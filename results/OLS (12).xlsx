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eixiang/Desktop/金融/"/>
    </mc:Choice>
  </mc:AlternateContent>
  <xr:revisionPtr revIDLastSave="0" documentId="13_ncr:1_{09E4F46D-16FB-8841-A0BA-6A8161899221}" xr6:coauthVersionLast="47" xr6:coauthVersionMax="47" xr10:uidLastSave="{00000000-0000-0000-0000-000000000000}"/>
  <bookViews>
    <workbookView xWindow="0" yWindow="760" windowWidth="30240" windowHeight="17940" activeTab="5" xr2:uid="{00000000-000D-0000-FFFF-FFFF00000000}"/>
  </bookViews>
  <sheets>
    <sheet name="預測IC" sheetId="1" r:id="rId1"/>
    <sheet name="夏普比率" sheetId="6" r:id="rId2"/>
    <sheet name="夏普比率畫圖" sheetId="7" r:id="rId3"/>
    <sheet name="OLS勝率(預測)" sheetId="2" r:id="rId4"/>
    <sheet name="預測累積報酬" sheetId="3" r:id="rId5"/>
    <sheet name="預測畫圖" sheetId="4" r:id="rId6"/>
    <sheet name="ＯＬＳ再投資累積報酬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F6" i="6" l="1" a="1"/>
  <c r="EF6" i="6" s="1"/>
  <c r="EE6" i="6" a="1"/>
  <c r="EE6" i="6" s="1"/>
  <c r="ED6" i="6" a="1"/>
  <c r="ED6" i="6" s="1"/>
  <c r="EC6" i="6" a="1"/>
  <c r="EC6" i="6" s="1"/>
  <c r="EB6" i="6" a="1"/>
  <c r="EB6" i="6" s="1"/>
  <c r="EA6" i="6" a="1"/>
  <c r="EA6" i="6" s="1"/>
  <c r="DZ6" i="6" a="1"/>
  <c r="DZ6" i="6" s="1"/>
  <c r="DZ8" i="6" s="1"/>
  <c r="DY6" i="6" a="1"/>
  <c r="DY6" i="6" s="1"/>
  <c r="DX6" i="6" a="1"/>
  <c r="DX6" i="6" s="1"/>
  <c r="DW6" i="6" a="1"/>
  <c r="DW6" i="6" s="1"/>
  <c r="DV6" i="6" a="1"/>
  <c r="DV6" i="6" s="1"/>
  <c r="DU6" i="6" a="1"/>
  <c r="DU6" i="6" s="1"/>
  <c r="DT6" i="6" a="1"/>
  <c r="DT6" i="6" s="1"/>
  <c r="DS6" i="6" a="1"/>
  <c r="DS6" i="6" s="1"/>
  <c r="DR6" i="6" a="1"/>
  <c r="DR6" i="6" s="1"/>
  <c r="DR8" i="6" s="1"/>
  <c r="DQ6" i="6" a="1"/>
  <c r="DQ6" i="6" s="1"/>
  <c r="DQ8" i="6" s="1"/>
  <c r="DP6" i="6" a="1"/>
  <c r="DP6" i="6" s="1"/>
  <c r="DP8" i="6" s="1"/>
  <c r="DO6" i="6" a="1"/>
  <c r="DO6" i="6" s="1"/>
  <c r="DO8" i="6" s="1"/>
  <c r="DN6" i="6" a="1"/>
  <c r="DN6" i="6" s="1"/>
  <c r="DM6" i="6" a="1"/>
  <c r="DM6" i="6" s="1"/>
  <c r="DL6" i="6" a="1"/>
  <c r="DL6" i="6" s="1"/>
  <c r="DK6" i="6" a="1"/>
  <c r="DK6" i="6" s="1"/>
  <c r="DJ6" i="6" a="1"/>
  <c r="DJ6" i="6" s="1"/>
  <c r="DI6" i="6" a="1"/>
  <c r="DI6" i="6" s="1"/>
  <c r="DH6" i="6" a="1"/>
  <c r="DH6" i="6" s="1"/>
  <c r="DG6" i="6" a="1"/>
  <c r="DG6" i="6" s="1"/>
  <c r="DG8" i="6" s="1"/>
  <c r="DF6" i="6" a="1"/>
  <c r="DF6" i="6" s="1"/>
  <c r="DF8" i="6" s="1"/>
  <c r="DE6" i="6"/>
  <c r="DE8" i="6" s="1"/>
  <c r="DE6" i="6" a="1"/>
  <c r="DD6" i="6"/>
  <c r="DD8" i="6" s="1"/>
  <c r="DD6" i="6" a="1"/>
  <c r="DC6" i="6" a="1"/>
  <c r="DC6" i="6" s="1"/>
  <c r="DB6" i="6" a="1"/>
  <c r="DB6" i="6" s="1"/>
  <c r="DA6" i="6" a="1"/>
  <c r="DA6" i="6" s="1"/>
  <c r="CZ6" i="6" a="1"/>
  <c r="CZ6" i="6" s="1"/>
  <c r="CY6" i="6" a="1"/>
  <c r="CY6" i="6" s="1"/>
  <c r="CX6" i="6" a="1"/>
  <c r="CX6" i="6" s="1"/>
  <c r="CW6" i="6" a="1"/>
  <c r="CW6" i="6" s="1"/>
  <c r="CV6" i="6"/>
  <c r="CV8" i="6" s="1"/>
  <c r="CV6" i="6" a="1"/>
  <c r="CU6" i="6"/>
  <c r="CU8" i="6" s="1"/>
  <c r="CU6" i="6" a="1"/>
  <c r="CT6" i="6"/>
  <c r="CT8" i="6" s="1"/>
  <c r="CT6" i="6" a="1"/>
  <c r="CS6" i="6" a="1"/>
  <c r="CS6" i="6" s="1"/>
  <c r="CS8" i="6" s="1"/>
  <c r="CR6" i="6" a="1"/>
  <c r="CR6" i="6" s="1"/>
  <c r="CQ6" i="6" a="1"/>
  <c r="CQ6" i="6" s="1"/>
  <c r="CP6" i="6" a="1"/>
  <c r="CP6" i="6" s="1"/>
  <c r="CO6" i="6" a="1"/>
  <c r="CO6" i="6" s="1"/>
  <c r="CN6" i="6" a="1"/>
  <c r="CN6" i="6" s="1"/>
  <c r="CM6" i="6" a="1"/>
  <c r="CM6" i="6" s="1"/>
  <c r="CL6" i="6" a="1"/>
  <c r="CL6" i="6" s="1"/>
  <c r="CK6" i="6"/>
  <c r="CK8" i="6" s="1"/>
  <c r="CK6" i="6" a="1"/>
  <c r="CJ6" i="6" a="1"/>
  <c r="CJ6" i="6" s="1"/>
  <c r="CJ8" i="6" s="1"/>
  <c r="CI6" i="6" a="1"/>
  <c r="CI6" i="6" s="1"/>
  <c r="CI8" i="6" s="1"/>
  <c r="CH6" i="6" a="1"/>
  <c r="CH6" i="6" s="1"/>
  <c r="CH8" i="6" s="1"/>
  <c r="CG6" i="6" a="1"/>
  <c r="CG6" i="6" s="1"/>
  <c r="CF6" i="6" a="1"/>
  <c r="CF6" i="6" s="1"/>
  <c r="CE6" i="6" a="1"/>
  <c r="CE6" i="6" s="1"/>
  <c r="CD6" i="6" a="1"/>
  <c r="CD6" i="6" s="1"/>
  <c r="CC6" i="6" a="1"/>
  <c r="CC6" i="6" s="1"/>
  <c r="CB6" i="6" a="1"/>
  <c r="CB6" i="6" s="1"/>
  <c r="CA6" i="6" a="1"/>
  <c r="CA6" i="6" s="1"/>
  <c r="BZ6" i="6" a="1"/>
  <c r="BZ6" i="6" s="1"/>
  <c r="BZ8" i="6" s="1"/>
  <c r="BY6" i="6" a="1"/>
  <c r="BY6" i="6" s="1"/>
  <c r="BY8" i="6" s="1"/>
  <c r="BX6" i="6" a="1"/>
  <c r="BX6" i="6" s="1"/>
  <c r="BX8" i="6" s="1"/>
  <c r="BW6" i="6" a="1"/>
  <c r="BW6" i="6" s="1"/>
  <c r="BW8" i="6" s="1"/>
  <c r="BV6" i="6" a="1"/>
  <c r="BV6" i="6" s="1"/>
  <c r="BU6" i="6" a="1"/>
  <c r="BU6" i="6" s="1"/>
  <c r="BT6" i="6" a="1"/>
  <c r="BT6" i="6" s="1"/>
  <c r="BS6" i="6" a="1"/>
  <c r="BS6" i="6" s="1"/>
  <c r="BR6" i="6" a="1"/>
  <c r="BR6" i="6" s="1"/>
  <c r="BQ6" i="6" a="1"/>
  <c r="BQ6" i="6" s="1"/>
  <c r="BP6" i="6" a="1"/>
  <c r="BP6" i="6" s="1"/>
  <c r="BO6" i="6" a="1"/>
  <c r="BO6" i="6" s="1"/>
  <c r="BO8" i="6" s="1"/>
  <c r="BN6" i="6" a="1"/>
  <c r="BN6" i="6" s="1"/>
  <c r="BN8" i="6" s="1"/>
  <c r="BM6" i="6" a="1"/>
  <c r="BM6" i="6" s="1"/>
  <c r="BM8" i="6" s="1"/>
  <c r="BL6" i="6" a="1"/>
  <c r="BL6" i="6" s="1"/>
  <c r="BL8" i="6" s="1"/>
  <c r="BK6" i="6" a="1"/>
  <c r="BK6" i="6" s="1"/>
  <c r="BJ6" i="6" a="1"/>
  <c r="BJ6" i="6" s="1"/>
  <c r="BI6" i="6" a="1"/>
  <c r="BI6" i="6" s="1"/>
  <c r="BH6" i="6" a="1"/>
  <c r="BH6" i="6" s="1"/>
  <c r="BG6" i="6" a="1"/>
  <c r="BG6" i="6" s="1"/>
  <c r="BF6" i="6" a="1"/>
  <c r="BF6" i="6" s="1"/>
  <c r="BE6" i="6" a="1"/>
  <c r="BE6" i="6" s="1"/>
  <c r="BD6" i="6" a="1"/>
  <c r="BD6" i="6" s="1"/>
  <c r="BD8" i="6" s="1"/>
  <c r="BC6" i="6" a="1"/>
  <c r="BC6" i="6" s="1"/>
  <c r="BC8" i="6" s="1"/>
  <c r="BB6" i="6" a="1"/>
  <c r="BB6" i="6" s="1"/>
  <c r="BB8" i="6" s="1"/>
  <c r="BA6" i="6"/>
  <c r="BA8" i="6" s="1"/>
  <c r="BA6" i="6" a="1"/>
  <c r="AZ6" i="6" a="1"/>
  <c r="AZ6" i="6" s="1"/>
  <c r="AY6" i="6" a="1"/>
  <c r="AY6" i="6" s="1"/>
  <c r="AX6" i="6" a="1"/>
  <c r="AX6" i="6" s="1"/>
  <c r="AW6" i="6" a="1"/>
  <c r="AW6" i="6" s="1"/>
  <c r="AV6" i="6" a="1"/>
  <c r="AV6" i="6" s="1"/>
  <c r="AU6" i="6" a="1"/>
  <c r="AU6" i="6" s="1"/>
  <c r="AT6" i="6" a="1"/>
  <c r="AT6" i="6" s="1"/>
  <c r="AS6" i="6" a="1"/>
  <c r="AS6" i="6" s="1"/>
  <c r="AS8" i="6" s="1"/>
  <c r="AR6" i="6"/>
  <c r="AR8" i="6" s="1"/>
  <c r="AR6" i="6" a="1"/>
  <c r="AQ6" i="6"/>
  <c r="AQ8" i="6" s="1"/>
  <c r="AQ6" i="6" a="1"/>
  <c r="AP6" i="6"/>
  <c r="AP8" i="6" s="1"/>
  <c r="AP6" i="6" a="1"/>
  <c r="AO6" i="6" a="1"/>
  <c r="AO6" i="6" s="1"/>
  <c r="AN6" i="6" a="1"/>
  <c r="AN6" i="6" s="1"/>
  <c r="AM6" i="6" a="1"/>
  <c r="AM6" i="6" s="1"/>
  <c r="AL6" i="6" a="1"/>
  <c r="AL6" i="6" s="1"/>
  <c r="AK6" i="6" a="1"/>
  <c r="AK6" i="6" s="1"/>
  <c r="AJ6" i="6" a="1"/>
  <c r="AJ6" i="6" s="1"/>
  <c r="AI6" i="6" a="1"/>
  <c r="AI6" i="6" s="1"/>
  <c r="AH6" i="6"/>
  <c r="AH8" i="6" s="1"/>
  <c r="AH6" i="6" a="1"/>
  <c r="AG6" i="6"/>
  <c r="AG8" i="6" s="1"/>
  <c r="AG6" i="6" a="1"/>
  <c r="AF6" i="6" a="1"/>
  <c r="AF6" i="6" s="1"/>
  <c r="AF8" i="6" s="1"/>
  <c r="AE6" i="6" a="1"/>
  <c r="AE6" i="6" s="1"/>
  <c r="AE8" i="6" s="1"/>
  <c r="AD6" i="6" a="1"/>
  <c r="AD6" i="6" s="1"/>
  <c r="AC6" i="6" a="1"/>
  <c r="AC6" i="6" s="1"/>
  <c r="AB6" i="6" a="1"/>
  <c r="AB6" i="6" s="1"/>
  <c r="AA6" i="6" a="1"/>
  <c r="AA6" i="6" s="1"/>
  <c r="Z6" i="6" a="1"/>
  <c r="Z6" i="6" s="1"/>
  <c r="Y6" i="6" a="1"/>
  <c r="Y6" i="6" s="1"/>
  <c r="X6" i="6" a="1"/>
  <c r="X6" i="6" s="1"/>
  <c r="W6" i="6" a="1"/>
  <c r="W6" i="6" s="1"/>
  <c r="W8" i="6" s="1"/>
  <c r="V6" i="6" a="1"/>
  <c r="V6" i="6" s="1"/>
  <c r="V8" i="6" s="1"/>
  <c r="U6" i="6" a="1"/>
  <c r="U6" i="6" s="1"/>
  <c r="U8" i="6" s="1"/>
  <c r="T6" i="6" a="1"/>
  <c r="T6" i="6" s="1"/>
  <c r="T8" i="6" s="1"/>
  <c r="S6" i="6" a="1"/>
  <c r="S6" i="6" s="1"/>
  <c r="R6" i="6" a="1"/>
  <c r="R6" i="6" s="1"/>
  <c r="Q6" i="6" a="1"/>
  <c r="Q6" i="6" s="1"/>
  <c r="P6" i="6" a="1"/>
  <c r="P6" i="6" s="1"/>
  <c r="O6" i="6" a="1"/>
  <c r="O6" i="6" s="1"/>
  <c r="N6" i="6" a="1"/>
  <c r="N6" i="6" s="1"/>
  <c r="M6" i="6" a="1"/>
  <c r="M6" i="6" s="1"/>
  <c r="L6" i="6" a="1"/>
  <c r="L6" i="6" s="1"/>
  <c r="L8" i="6" s="1"/>
  <c r="K6" i="6" a="1"/>
  <c r="K6" i="6" s="1"/>
  <c r="K8" i="6" s="1"/>
  <c r="J6" i="6" a="1"/>
  <c r="J6" i="6" s="1"/>
  <c r="J8" i="6" s="1"/>
  <c r="I6" i="6" a="1"/>
  <c r="I6" i="6" s="1"/>
  <c r="I8" i="6" s="1"/>
  <c r="H6" i="6" a="1"/>
  <c r="H6" i="6" s="1"/>
  <c r="G6" i="6" a="1"/>
  <c r="G6" i="6" s="1"/>
  <c r="F6" i="6" a="1"/>
  <c r="F6" i="6" s="1"/>
  <c r="E6" i="6" a="1"/>
  <c r="E6" i="6" s="1"/>
  <c r="D6" i="6" a="1"/>
  <c r="D6" i="6" s="1"/>
  <c r="C6" i="6" a="1"/>
  <c r="C6" i="6" s="1"/>
  <c r="C6" i="1" a="1"/>
  <c r="C6" i="1" s="1"/>
  <c r="D6" i="1" a="1"/>
  <c r="D6" i="1" s="1"/>
  <c r="E6" i="1" a="1"/>
  <c r="E6" i="1" s="1"/>
  <c r="F6" i="1" a="1"/>
  <c r="F6" i="1" s="1"/>
  <c r="G6" i="1" a="1"/>
  <c r="G6" i="1" s="1"/>
  <c r="H6" i="1" a="1"/>
  <c r="H6" i="1"/>
  <c r="I6" i="1" a="1"/>
  <c r="I6" i="1"/>
  <c r="J6" i="1" a="1"/>
  <c r="J6" i="1"/>
  <c r="K6" i="1" a="1"/>
  <c r="K6" i="1"/>
  <c r="L6" i="1" a="1"/>
  <c r="L6" i="1"/>
  <c r="L7" i="1" s="1"/>
  <c r="M6" i="1" a="1"/>
  <c r="M6" i="1" s="1"/>
  <c r="N6" i="1" a="1"/>
  <c r="N6" i="1" s="1"/>
  <c r="O6" i="1" a="1"/>
  <c r="O6" i="1"/>
  <c r="P6" i="1" a="1"/>
  <c r="P6" i="1" s="1"/>
  <c r="Q6" i="1" a="1"/>
  <c r="Q6" i="1" s="1"/>
  <c r="R6" i="1" a="1"/>
  <c r="R6" i="1" s="1"/>
  <c r="S6" i="1" a="1"/>
  <c r="S6" i="1" s="1"/>
  <c r="T6" i="1" a="1"/>
  <c r="T6" i="1"/>
  <c r="U6" i="1" a="1"/>
  <c r="U6" i="1"/>
  <c r="V6" i="1" a="1"/>
  <c r="V6" i="1"/>
  <c r="W6" i="1" a="1"/>
  <c r="W6" i="1"/>
  <c r="W7" i="1" s="1"/>
  <c r="X6" i="1" a="1"/>
  <c r="X6" i="1" s="1"/>
  <c r="Y6" i="1" a="1"/>
  <c r="Y6" i="1" s="1"/>
  <c r="Z6" i="1" a="1"/>
  <c r="Z6" i="1"/>
  <c r="AA6" i="1" a="1"/>
  <c r="AA6" i="1" s="1"/>
  <c r="AB6" i="1" a="1"/>
  <c r="AB6" i="1" s="1"/>
  <c r="AC6" i="1" a="1"/>
  <c r="AC6" i="1" s="1"/>
  <c r="AD6" i="1" a="1"/>
  <c r="AD6" i="1" s="1"/>
  <c r="AE6" i="1" a="1"/>
  <c r="AE6" i="1"/>
  <c r="AF6" i="1" a="1"/>
  <c r="AF6" i="1"/>
  <c r="AG6" i="1" a="1"/>
  <c r="AG6" i="1"/>
  <c r="AH6" i="1" a="1"/>
  <c r="AH6" i="1"/>
  <c r="AH7" i="1" s="1"/>
  <c r="AI6" i="1" a="1"/>
  <c r="AI6" i="1" s="1"/>
  <c r="AJ6" i="1" a="1"/>
  <c r="AJ6" i="1" s="1"/>
  <c r="AK6" i="1" a="1"/>
  <c r="AK6" i="1"/>
  <c r="AL6" i="1" a="1"/>
  <c r="AL6" i="1" s="1"/>
  <c r="AM6" i="1" a="1"/>
  <c r="AM6" i="1" s="1"/>
  <c r="AN6" i="1" a="1"/>
  <c r="AN6" i="1" s="1"/>
  <c r="AO6" i="1" a="1"/>
  <c r="AO6" i="1" s="1"/>
  <c r="AP6" i="1" a="1"/>
  <c r="AP6" i="1"/>
  <c r="AQ6" i="1" a="1"/>
  <c r="AQ6" i="1"/>
  <c r="AR6" i="1" a="1"/>
  <c r="AR6" i="1"/>
  <c r="AS6" i="1" a="1"/>
  <c r="AS6" i="1"/>
  <c r="AS7" i="1" s="1"/>
  <c r="AT6" i="1" a="1"/>
  <c r="AT6" i="1" s="1"/>
  <c r="AU6" i="1" a="1"/>
  <c r="AU6" i="1" s="1"/>
  <c r="AV6" i="1" a="1"/>
  <c r="AV6" i="1"/>
  <c r="AW6" i="1" a="1"/>
  <c r="AW6" i="1" s="1"/>
  <c r="AX6" i="1" a="1"/>
  <c r="AX6" i="1" s="1"/>
  <c r="AY6" i="1" a="1"/>
  <c r="AY6" i="1" s="1"/>
  <c r="AZ6" i="1" a="1"/>
  <c r="AZ6" i="1" s="1"/>
  <c r="BA6" i="1" a="1"/>
  <c r="BA6" i="1"/>
  <c r="BB6" i="1" a="1"/>
  <c r="BB6" i="1"/>
  <c r="BC6" i="1" a="1"/>
  <c r="BC6" i="1"/>
  <c r="BD6" i="1" a="1"/>
  <c r="BD6" i="1"/>
  <c r="BD7" i="1" s="1"/>
  <c r="BE6" i="1" a="1"/>
  <c r="BE6" i="1" s="1"/>
  <c r="BF6" i="1" a="1"/>
  <c r="BF6" i="1" s="1"/>
  <c r="BG6" i="1" a="1"/>
  <c r="BG6" i="1"/>
  <c r="BH6" i="1" a="1"/>
  <c r="BH6" i="1" s="1"/>
  <c r="BI6" i="1" a="1"/>
  <c r="BI6" i="1" s="1"/>
  <c r="BJ6" i="1" a="1"/>
  <c r="BJ6" i="1" s="1"/>
  <c r="BK6" i="1" a="1"/>
  <c r="BK6" i="1" s="1"/>
  <c r="BL6" i="1" a="1"/>
  <c r="BL6" i="1"/>
  <c r="BM6" i="1" a="1"/>
  <c r="BM6" i="1"/>
  <c r="BN6" i="1" a="1"/>
  <c r="BN6" i="1"/>
  <c r="BO6" i="1" a="1"/>
  <c r="BO6" i="1"/>
  <c r="BO7" i="1" s="1"/>
  <c r="BP6" i="1" a="1"/>
  <c r="BP6" i="1" s="1"/>
  <c r="BQ6" i="1" a="1"/>
  <c r="BQ6" i="1" s="1"/>
  <c r="BR6" i="1" a="1"/>
  <c r="BR6" i="1"/>
  <c r="BS6" i="1" a="1"/>
  <c r="BS6" i="1" s="1"/>
  <c r="BT6" i="1" a="1"/>
  <c r="BT6" i="1" s="1"/>
  <c r="BU6" i="1" a="1"/>
  <c r="BU6" i="1" s="1"/>
  <c r="BV6" i="1" a="1"/>
  <c r="BV6" i="1" s="1"/>
  <c r="BW6" i="1" a="1"/>
  <c r="BW6" i="1"/>
  <c r="BX6" i="1" a="1"/>
  <c r="BX6" i="1"/>
  <c r="BY6" i="1" a="1"/>
  <c r="BY6" i="1"/>
  <c r="BZ6" i="1" a="1"/>
  <c r="BZ6" i="1"/>
  <c r="BZ7" i="1" s="1"/>
  <c r="CA6" i="1" a="1"/>
  <c r="CA6" i="1" s="1"/>
  <c r="CB6" i="1" a="1"/>
  <c r="CB6" i="1" s="1"/>
  <c r="CC6" i="1" a="1"/>
  <c r="CC6" i="1"/>
  <c r="CD6" i="1" a="1"/>
  <c r="CD6" i="1" s="1"/>
  <c r="CE6" i="1" a="1"/>
  <c r="CE6" i="1" s="1"/>
  <c r="CF6" i="1" a="1"/>
  <c r="CF6" i="1" s="1"/>
  <c r="CG6" i="1" a="1"/>
  <c r="CG6" i="1" s="1"/>
  <c r="CH6" i="1" a="1"/>
  <c r="CH6" i="1" s="1"/>
  <c r="CI6" i="1" a="1"/>
  <c r="CI6" i="1"/>
  <c r="CJ6" i="1" a="1"/>
  <c r="CJ6" i="1"/>
  <c r="CJ8" i="1" s="1"/>
  <c r="CK6" i="1" a="1"/>
  <c r="CK6" i="1"/>
  <c r="CK7" i="1" s="1"/>
  <c r="CL6" i="1" a="1"/>
  <c r="CL6" i="1" s="1"/>
  <c r="CM6" i="1" a="1"/>
  <c r="CM6" i="1" s="1"/>
  <c r="CN6" i="1" a="1"/>
  <c r="CN6" i="1"/>
  <c r="CO6" i="1" a="1"/>
  <c r="CO6" i="1" s="1"/>
  <c r="CP6" i="1" a="1"/>
  <c r="CP6" i="1" s="1"/>
  <c r="CQ6" i="1" a="1"/>
  <c r="CQ6" i="1" s="1"/>
  <c r="CR6" i="1" a="1"/>
  <c r="CR6" i="1" s="1"/>
  <c r="CS6" i="1" a="1"/>
  <c r="CS6" i="1" s="1"/>
  <c r="CT6" i="1" a="1"/>
  <c r="CT6" i="1"/>
  <c r="CU6" i="1" a="1"/>
  <c r="CU6" i="1" s="1"/>
  <c r="CV6" i="1" a="1"/>
  <c r="CV6" i="1"/>
  <c r="CV7" i="1" s="1"/>
  <c r="CW6" i="1" a="1"/>
  <c r="CW6" i="1" s="1"/>
  <c r="CX6" i="1" a="1"/>
  <c r="CX6" i="1" s="1"/>
  <c r="CY6" i="1" a="1"/>
  <c r="CY6" i="1"/>
  <c r="CZ6" i="1" a="1"/>
  <c r="CZ6" i="1"/>
  <c r="DA6" i="1" a="1"/>
  <c r="DA6" i="1" s="1"/>
  <c r="DB6" i="1" a="1"/>
  <c r="DB6" i="1" s="1"/>
  <c r="DC6" i="1" a="1"/>
  <c r="DC6" i="1" s="1"/>
  <c r="DD6" i="1" a="1"/>
  <c r="DD6" i="1" s="1"/>
  <c r="DE6" i="1" a="1"/>
  <c r="DE6" i="1"/>
  <c r="DF6" i="1" a="1"/>
  <c r="DF6" i="1"/>
  <c r="DF8" i="1" s="1"/>
  <c r="DG6" i="1" a="1"/>
  <c r="DG6" i="1"/>
  <c r="DG7" i="1" s="1"/>
  <c r="DH6" i="1" a="1"/>
  <c r="DH6" i="1"/>
  <c r="DI6" i="1" a="1"/>
  <c r="DI6" i="1" s="1"/>
  <c r="DJ6" i="1" a="1"/>
  <c r="DJ6" i="1"/>
  <c r="DK6" i="1" a="1"/>
  <c r="DK6" i="1"/>
  <c r="DL6" i="1" a="1"/>
  <c r="DL6" i="1" s="1"/>
  <c r="DM6" i="1" a="1"/>
  <c r="DM6" i="1" s="1"/>
  <c r="DN6" i="1" a="1"/>
  <c r="DN6" i="1" s="1"/>
  <c r="DO6" i="1" a="1"/>
  <c r="DO6" i="1" s="1"/>
  <c r="DP6" i="1" a="1"/>
  <c r="DP6" i="1"/>
  <c r="DP8" i="1" s="1"/>
  <c r="DQ6" i="1" a="1"/>
  <c r="DQ6" i="1"/>
  <c r="DQ8" i="1" s="1"/>
  <c r="DR6" i="1" a="1"/>
  <c r="DR6" i="1"/>
  <c r="DR7" i="1" s="1"/>
  <c r="DS6" i="1" a="1"/>
  <c r="DS6" i="1"/>
  <c r="DT6" i="1" a="1"/>
  <c r="DT6" i="1" s="1"/>
  <c r="DU6" i="1" a="1"/>
  <c r="DU6" i="1"/>
  <c r="DV6" i="1" a="1"/>
  <c r="DV6" i="1"/>
  <c r="DW6" i="1" a="1"/>
  <c r="DW6" i="1" s="1"/>
  <c r="DX6" i="1" a="1"/>
  <c r="DX6" i="1" s="1"/>
  <c r="DY6" i="1" a="1"/>
  <c r="DY6" i="1" s="1"/>
  <c r="DZ6" i="1" a="1"/>
  <c r="DZ6" i="1" s="1"/>
  <c r="EA6" i="1" a="1"/>
  <c r="EA6" i="1"/>
  <c r="EA8" i="1" s="1"/>
  <c r="EB6" i="1" a="1"/>
  <c r="EB6" i="1"/>
  <c r="EB8" i="1" s="1"/>
  <c r="EC6" i="1" a="1"/>
  <c r="EC6" i="1"/>
  <c r="EC7" i="1" s="1"/>
  <c r="ED6" i="1" a="1"/>
  <c r="ED6" i="1"/>
  <c r="EE6" i="1" a="1"/>
  <c r="EE6" i="1" s="1"/>
  <c r="EF6" i="1" a="1"/>
  <c r="EF6" i="1"/>
  <c r="H7" i="1"/>
  <c r="I7" i="1"/>
  <c r="J7" i="1"/>
  <c r="K7" i="1"/>
  <c r="O7" i="1"/>
  <c r="T7" i="1"/>
  <c r="U7" i="1"/>
  <c r="V7" i="1"/>
  <c r="Z7" i="1"/>
  <c r="AE7" i="1"/>
  <c r="AF7" i="1"/>
  <c r="AG7" i="1"/>
  <c r="AK7" i="1"/>
  <c r="AP7" i="1"/>
  <c r="AQ7" i="1"/>
  <c r="AR7" i="1"/>
  <c r="AV7" i="1"/>
  <c r="BA7" i="1"/>
  <c r="BB7" i="1"/>
  <c r="BC7" i="1"/>
  <c r="BG7" i="1"/>
  <c r="BL7" i="1"/>
  <c r="BM7" i="1"/>
  <c r="BN7" i="1"/>
  <c r="BR7" i="1"/>
  <c r="BW7" i="1"/>
  <c r="BX7" i="1"/>
  <c r="BY7" i="1"/>
  <c r="CC7" i="1"/>
  <c r="CI7" i="1"/>
  <c r="CJ7" i="1"/>
  <c r="CN7" i="1"/>
  <c r="CT7" i="1"/>
  <c r="CY7" i="1"/>
  <c r="CZ7" i="1"/>
  <c r="DE7" i="1"/>
  <c r="DF7" i="1"/>
  <c r="DH7" i="1"/>
  <c r="DJ7" i="1"/>
  <c r="DK7" i="1"/>
  <c r="DP7" i="1"/>
  <c r="DQ7" i="1"/>
  <c r="DS7" i="1"/>
  <c r="DU7" i="1"/>
  <c r="DV7" i="1"/>
  <c r="EA7" i="1"/>
  <c r="EB7" i="1"/>
  <c r="ED7" i="1"/>
  <c r="EF7" i="1"/>
  <c r="H8" i="1"/>
  <c r="I8" i="1"/>
  <c r="J8" i="1"/>
  <c r="K8" i="1"/>
  <c r="O8" i="1"/>
  <c r="T8" i="1"/>
  <c r="U8" i="1"/>
  <c r="V8" i="1"/>
  <c r="Z8" i="1"/>
  <c r="AE8" i="1"/>
  <c r="AF8" i="1"/>
  <c r="AG8" i="1"/>
  <c r="AK8" i="1"/>
  <c r="AP8" i="1"/>
  <c r="AQ8" i="1"/>
  <c r="AR8" i="1"/>
  <c r="AV8" i="1"/>
  <c r="BA8" i="1"/>
  <c r="BB8" i="1"/>
  <c r="BC8" i="1"/>
  <c r="BG8" i="1"/>
  <c r="BL8" i="1"/>
  <c r="BM8" i="1"/>
  <c r="BN8" i="1"/>
  <c r="BR8" i="1"/>
  <c r="BW8" i="1"/>
  <c r="BX8" i="1"/>
  <c r="BY8" i="1"/>
  <c r="CC8" i="1"/>
  <c r="CI8" i="1"/>
  <c r="CN8" i="1"/>
  <c r="CT8" i="1"/>
  <c r="CY8" i="1"/>
  <c r="CZ8" i="1"/>
  <c r="DE8" i="1"/>
  <c r="DH8" i="1"/>
  <c r="DJ8" i="1"/>
  <c r="DK8" i="1"/>
  <c r="DS8" i="1"/>
  <c r="DU8" i="1"/>
  <c r="DV8" i="1"/>
  <c r="ED8" i="1"/>
  <c r="EF8" i="1"/>
  <c r="F7" i="6" l="1"/>
  <c r="F8" i="6"/>
  <c r="M8" i="6"/>
  <c r="M7" i="6"/>
  <c r="AL7" i="6"/>
  <c r="AL8" i="6"/>
  <c r="BK8" i="6"/>
  <c r="BK7" i="6"/>
  <c r="BR8" i="6"/>
  <c r="BR7" i="6"/>
  <c r="CQ8" i="6"/>
  <c r="CQ7" i="6"/>
  <c r="CX8" i="6"/>
  <c r="CX7" i="6"/>
  <c r="DW7" i="6"/>
  <c r="DW8" i="6"/>
  <c r="N8" i="6"/>
  <c r="N7" i="6"/>
  <c r="DX8" i="6"/>
  <c r="DX7" i="6"/>
  <c r="CZ7" i="6"/>
  <c r="CZ8" i="6"/>
  <c r="AV8" i="6"/>
  <c r="AV7" i="6"/>
  <c r="BU8" i="6"/>
  <c r="BU7" i="6"/>
  <c r="DA7" i="6"/>
  <c r="DA8" i="6"/>
  <c r="Q7" i="6"/>
  <c r="Q8" i="6"/>
  <c r="X8" i="6"/>
  <c r="X7" i="6"/>
  <c r="AW7" i="6"/>
  <c r="AW8" i="6"/>
  <c r="BV8" i="6"/>
  <c r="BV7" i="6"/>
  <c r="DB8" i="6"/>
  <c r="DB7" i="6"/>
  <c r="BE8" i="6"/>
  <c r="BE7" i="6"/>
  <c r="DC8" i="6"/>
  <c r="DC7" i="6"/>
  <c r="DK7" i="6"/>
  <c r="DK8" i="6"/>
  <c r="AZ8" i="6"/>
  <c r="AZ7" i="6"/>
  <c r="BG8" i="6"/>
  <c r="BG7" i="6"/>
  <c r="CF8" i="6"/>
  <c r="CF7" i="6"/>
  <c r="CM8" i="6"/>
  <c r="CM7" i="6"/>
  <c r="DL7" i="6"/>
  <c r="DL8" i="6"/>
  <c r="DS8" i="6"/>
  <c r="DS7" i="6"/>
  <c r="EC8" i="6"/>
  <c r="EC7" i="6"/>
  <c r="G8" i="6"/>
  <c r="G7" i="6"/>
  <c r="AM7" i="6"/>
  <c r="AM8" i="6"/>
  <c r="BS7" i="6"/>
  <c r="BS8" i="6"/>
  <c r="H8" i="6"/>
  <c r="H7" i="6"/>
  <c r="AU8" i="6"/>
  <c r="AU7" i="6"/>
  <c r="BT7" i="6"/>
  <c r="BT8" i="6"/>
  <c r="AO8" i="6"/>
  <c r="AO7" i="6"/>
  <c r="CB8" i="6"/>
  <c r="CB7" i="6"/>
  <c r="CC8" i="6"/>
  <c r="CC7" i="6"/>
  <c r="DI8" i="6"/>
  <c r="DI7" i="6"/>
  <c r="Y8" i="6"/>
  <c r="Y7" i="6"/>
  <c r="DJ8" i="6"/>
  <c r="DJ7" i="6"/>
  <c r="Z8" i="6"/>
  <c r="Z7" i="6"/>
  <c r="AY8" i="6"/>
  <c r="AY7" i="6"/>
  <c r="BF8" i="6"/>
  <c r="BF7" i="6"/>
  <c r="AA7" i="6"/>
  <c r="AA8" i="6"/>
  <c r="C8" i="6"/>
  <c r="C7" i="6"/>
  <c r="AB7" i="6"/>
  <c r="AB8" i="6"/>
  <c r="AI8" i="6"/>
  <c r="AI7" i="6"/>
  <c r="BH7" i="6"/>
  <c r="BH8" i="6"/>
  <c r="CG8" i="6"/>
  <c r="CG7" i="6"/>
  <c r="CN8" i="6"/>
  <c r="CN7" i="6"/>
  <c r="DM8" i="6"/>
  <c r="DM7" i="6"/>
  <c r="DT8" i="6"/>
  <c r="DT7" i="6"/>
  <c r="ED8" i="6"/>
  <c r="ED7" i="6"/>
  <c r="AT8" i="6"/>
  <c r="AT7" i="6"/>
  <c r="CY8" i="6"/>
  <c r="CY7" i="6"/>
  <c r="O8" i="6"/>
  <c r="O7" i="6"/>
  <c r="CA8" i="6"/>
  <c r="CA7" i="6"/>
  <c r="DY8" i="6"/>
  <c r="DY7" i="6"/>
  <c r="P7" i="6"/>
  <c r="P8" i="6"/>
  <c r="CD7" i="6"/>
  <c r="CD8" i="6"/>
  <c r="D8" i="6"/>
  <c r="D7" i="6"/>
  <c r="AC8" i="6"/>
  <c r="AC7" i="6"/>
  <c r="AJ8" i="6"/>
  <c r="AJ7" i="6"/>
  <c r="BI7" i="6"/>
  <c r="BI8" i="6"/>
  <c r="BP8" i="6"/>
  <c r="BP7" i="6"/>
  <c r="CO7" i="6"/>
  <c r="CO8" i="6"/>
  <c r="DN8" i="6"/>
  <c r="DN7" i="6"/>
  <c r="DU8" i="6"/>
  <c r="DU7" i="6"/>
  <c r="EE8" i="6"/>
  <c r="EE7" i="6"/>
  <c r="CR8" i="6"/>
  <c r="CR7" i="6"/>
  <c r="AN8" i="6"/>
  <c r="AN7" i="6"/>
  <c r="DH8" i="6"/>
  <c r="DH7" i="6"/>
  <c r="R8" i="6"/>
  <c r="R7" i="6"/>
  <c r="AX7" i="6"/>
  <c r="AX8" i="6"/>
  <c r="EA8" i="6"/>
  <c r="EA7" i="6"/>
  <c r="S8" i="6"/>
  <c r="S7" i="6"/>
  <c r="CE7" i="6"/>
  <c r="CE8" i="6"/>
  <c r="CL8" i="6"/>
  <c r="CL7" i="6"/>
  <c r="EB8" i="6"/>
  <c r="EB7" i="6"/>
  <c r="E7" i="6"/>
  <c r="E8" i="6"/>
  <c r="AD8" i="6"/>
  <c r="AD7" i="6"/>
  <c r="AK8" i="6"/>
  <c r="AK7" i="6"/>
  <c r="BJ8" i="6"/>
  <c r="BJ7" i="6"/>
  <c r="BQ8" i="6"/>
  <c r="BQ7" i="6"/>
  <c r="CP7" i="6"/>
  <c r="CP8" i="6"/>
  <c r="CW8" i="6"/>
  <c r="CW7" i="6"/>
  <c r="DV7" i="6"/>
  <c r="DV8" i="6"/>
  <c r="EF8" i="6"/>
  <c r="EF7" i="6"/>
  <c r="I7" i="6"/>
  <c r="T7" i="6"/>
  <c r="AE7" i="6"/>
  <c r="AP7" i="6"/>
  <c r="BA7" i="6"/>
  <c r="BL7" i="6"/>
  <c r="BW7" i="6"/>
  <c r="CH7" i="6"/>
  <c r="CS7" i="6"/>
  <c r="DD7" i="6"/>
  <c r="DO7" i="6"/>
  <c r="DZ7" i="6"/>
  <c r="J7" i="6"/>
  <c r="U7" i="6"/>
  <c r="AF7" i="6"/>
  <c r="AQ7" i="6"/>
  <c r="BB7" i="6"/>
  <c r="BM7" i="6"/>
  <c r="BX7" i="6"/>
  <c r="CI7" i="6"/>
  <c r="CT7" i="6"/>
  <c r="DE7" i="6"/>
  <c r="DP7" i="6"/>
  <c r="K7" i="6"/>
  <c r="V7" i="6"/>
  <c r="AG7" i="6"/>
  <c r="AR7" i="6"/>
  <c r="BC7" i="6"/>
  <c r="BN7" i="6"/>
  <c r="BY7" i="6"/>
  <c r="CJ7" i="6"/>
  <c r="CU7" i="6"/>
  <c r="DF7" i="6"/>
  <c r="DQ7" i="6"/>
  <c r="L7" i="6"/>
  <c r="W7" i="6"/>
  <c r="AH7" i="6"/>
  <c r="AS7" i="6"/>
  <c r="BD7" i="6"/>
  <c r="BO7" i="6"/>
  <c r="BZ7" i="6"/>
  <c r="CK7" i="6"/>
  <c r="CV7" i="6"/>
  <c r="DG7" i="6"/>
  <c r="DR7" i="6"/>
  <c r="Y7" i="1"/>
  <c r="Y8" i="1"/>
  <c r="CO7" i="1"/>
  <c r="CO8" i="1"/>
  <c r="DM7" i="1"/>
  <c r="DM8" i="1"/>
  <c r="CP7" i="1"/>
  <c r="CP8" i="1"/>
  <c r="CH8" i="1"/>
  <c r="CH7" i="1"/>
  <c r="AU7" i="1"/>
  <c r="AU8" i="1"/>
  <c r="Q7" i="1"/>
  <c r="Q8" i="1"/>
  <c r="CW8" i="1"/>
  <c r="CW7" i="1"/>
  <c r="CG7" i="1"/>
  <c r="CG8" i="1"/>
  <c r="BQ7" i="1"/>
  <c r="BQ8" i="1"/>
  <c r="BJ7" i="1"/>
  <c r="BJ8" i="1"/>
  <c r="AT8" i="1"/>
  <c r="AT7" i="1"/>
  <c r="DZ8" i="1"/>
  <c r="DZ7" i="1"/>
  <c r="AD7" i="1"/>
  <c r="AD8" i="1"/>
  <c r="AM7" i="1"/>
  <c r="AM8" i="1"/>
  <c r="P7" i="1"/>
  <c r="P8" i="1"/>
  <c r="CF7" i="1"/>
  <c r="CF8" i="1"/>
  <c r="BP8" i="1"/>
  <c r="BP7" i="1"/>
  <c r="BI7" i="1"/>
  <c r="BI8" i="1"/>
  <c r="AZ7" i="1"/>
  <c r="AZ8" i="1"/>
  <c r="AJ7" i="1"/>
  <c r="AJ8" i="1"/>
  <c r="AC7" i="1"/>
  <c r="AC8" i="1"/>
  <c r="M8" i="1"/>
  <c r="M7" i="1"/>
  <c r="G7" i="1"/>
  <c r="G8" i="1"/>
  <c r="DT7" i="1"/>
  <c r="DT8" i="1"/>
  <c r="AO8" i="1"/>
  <c r="AO7" i="1"/>
  <c r="R7" i="1"/>
  <c r="R8" i="1"/>
  <c r="DL7" i="1"/>
  <c r="DL8" i="1"/>
  <c r="CX7" i="1"/>
  <c r="CX8" i="1"/>
  <c r="BK7" i="1"/>
  <c r="BK8" i="1"/>
  <c r="AN7" i="1"/>
  <c r="AN8" i="1"/>
  <c r="X8" i="1"/>
  <c r="X7" i="1"/>
  <c r="DD8" i="1"/>
  <c r="DD7" i="1"/>
  <c r="CE7" i="1"/>
  <c r="CE8" i="1"/>
  <c r="EE7" i="1"/>
  <c r="EE8" i="1"/>
  <c r="DC8" i="1"/>
  <c r="DC7" i="1"/>
  <c r="CL8" i="1"/>
  <c r="CL7" i="1"/>
  <c r="N7" i="1"/>
  <c r="N8" i="1"/>
  <c r="DI8" i="1"/>
  <c r="DI7" i="1"/>
  <c r="DA7" i="1"/>
  <c r="DA8" i="1"/>
  <c r="BV7" i="1"/>
  <c r="BV8" i="1"/>
  <c r="BF7" i="1"/>
  <c r="BF8" i="1"/>
  <c r="AY7" i="1"/>
  <c r="AY8" i="1"/>
  <c r="AI8" i="1"/>
  <c r="AI7" i="1"/>
  <c r="AB7" i="1"/>
  <c r="AB8" i="1"/>
  <c r="F7" i="1"/>
  <c r="F8" i="1"/>
  <c r="AL7" i="1"/>
  <c r="AL8" i="1"/>
  <c r="DY7" i="1"/>
  <c r="DY8" i="1"/>
  <c r="CM8" i="1"/>
  <c r="CM7" i="1"/>
  <c r="BH7" i="1"/>
  <c r="BH8" i="1"/>
  <c r="DX7" i="1"/>
  <c r="DX8" i="1"/>
  <c r="CD7" i="1"/>
  <c r="CD8" i="1"/>
  <c r="DW7" i="1"/>
  <c r="DW8" i="1"/>
  <c r="DB7" i="1"/>
  <c r="DB8" i="1"/>
  <c r="CS8" i="1"/>
  <c r="CS7" i="1"/>
  <c r="CB7" i="1"/>
  <c r="CB8" i="1"/>
  <c r="BU7" i="1"/>
  <c r="BU8" i="1"/>
  <c r="BE8" i="1"/>
  <c r="BE7" i="1"/>
  <c r="AX7" i="1"/>
  <c r="AX8" i="1"/>
  <c r="AA7" i="1"/>
  <c r="AA8" i="1"/>
  <c r="E7" i="1"/>
  <c r="E8" i="1"/>
  <c r="CU8" i="1"/>
  <c r="CU7" i="1"/>
  <c r="DO8" i="1"/>
  <c r="DO7" i="1"/>
  <c r="CR7" i="1"/>
  <c r="CR8" i="1"/>
  <c r="CA8" i="1"/>
  <c r="CA7" i="1"/>
  <c r="BT7" i="1"/>
  <c r="BT8" i="1"/>
  <c r="AW7" i="1"/>
  <c r="AW8" i="1"/>
  <c r="D7" i="1"/>
  <c r="D8" i="1"/>
  <c r="DN7" i="1"/>
  <c r="DN8" i="1"/>
  <c r="CQ7" i="1"/>
  <c r="CQ8" i="1"/>
  <c r="BS7" i="1"/>
  <c r="BS8" i="1"/>
  <c r="S7" i="1"/>
  <c r="S8" i="1"/>
  <c r="C8" i="1"/>
  <c r="C7" i="1"/>
  <c r="EC8" i="1"/>
  <c r="DR8" i="1"/>
  <c r="DG8" i="1"/>
  <c r="CV8" i="1"/>
  <c r="CK8" i="1"/>
  <c r="BZ8" i="1"/>
  <c r="BO8" i="1"/>
  <c r="BD8" i="1"/>
  <c r="AS8" i="1"/>
  <c r="AH8" i="1"/>
  <c r="W8" i="1"/>
  <c r="L8" i="1"/>
  <c r="EF25" i="5" l="1" a="1"/>
  <c r="EF25" i="5" s="1"/>
  <c r="EE25" i="5" a="1"/>
  <c r="EE25" i="5" s="1"/>
  <c r="ED25" i="5" a="1"/>
  <c r="ED25" i="5" s="1"/>
  <c r="EC25" i="5" a="1"/>
  <c r="EC25" i="5" s="1"/>
  <c r="EB25" i="5" a="1"/>
  <c r="EB25" i="5" s="1"/>
  <c r="EA25" i="5" a="1"/>
  <c r="EA25" i="5" s="1"/>
  <c r="DZ25" i="5" a="1"/>
  <c r="DZ25" i="5" s="1"/>
  <c r="DY25" i="5" a="1"/>
  <c r="DY25" i="5" s="1"/>
  <c r="DX25" i="5" a="1"/>
  <c r="DX25" i="5" s="1"/>
  <c r="DW25" i="5" a="1"/>
  <c r="DW25" i="5" s="1"/>
  <c r="DV25" i="5" a="1"/>
  <c r="DV25" i="5" s="1"/>
  <c r="DU25" i="5" a="1"/>
  <c r="DU25" i="5" s="1"/>
  <c r="DT25" i="5" a="1"/>
  <c r="DT25" i="5" s="1"/>
  <c r="DS25" i="5" a="1"/>
  <c r="DS25" i="5"/>
  <c r="DR25" i="5" a="1"/>
  <c r="DR25" i="5" s="1"/>
  <c r="DQ25" i="5" a="1"/>
  <c r="DQ25" i="5" s="1"/>
  <c r="DP25" i="5" a="1"/>
  <c r="DP25" i="5" s="1"/>
  <c r="DO25" i="5" a="1"/>
  <c r="DO25" i="5" s="1"/>
  <c r="DN25" i="5" a="1"/>
  <c r="DN25" i="5" s="1"/>
  <c r="DM25" i="5" a="1"/>
  <c r="DM25" i="5"/>
  <c r="DL25" i="5" a="1"/>
  <c r="DL25" i="5" s="1"/>
  <c r="DK25" i="5" a="1"/>
  <c r="DK25" i="5" s="1"/>
  <c r="DJ25" i="5" a="1"/>
  <c r="DJ25" i="5" s="1"/>
  <c r="DI25" i="5" a="1"/>
  <c r="DI25" i="5" s="1"/>
  <c r="DH25" i="5" a="1"/>
  <c r="DH25" i="5" s="1"/>
  <c r="DG25" i="5" a="1"/>
  <c r="DG25" i="5" s="1"/>
  <c r="DF25" i="5" a="1"/>
  <c r="DF25" i="5" s="1"/>
  <c r="DE25" i="5" a="1"/>
  <c r="DE25" i="5" s="1"/>
  <c r="DD25" i="5" a="1"/>
  <c r="DD25" i="5" s="1"/>
  <c r="DC25" i="5" a="1"/>
  <c r="DC25" i="5" s="1"/>
  <c r="DB25" i="5" a="1"/>
  <c r="DB25" i="5" s="1"/>
  <c r="DA25" i="5" a="1"/>
  <c r="DA25" i="5" s="1"/>
  <c r="CZ25" i="5" a="1"/>
  <c r="CZ25" i="5"/>
  <c r="CY25" i="5" a="1"/>
  <c r="CY25" i="5"/>
  <c r="CX25" i="5" a="1"/>
  <c r="CX25" i="5" s="1"/>
  <c r="CW25" i="5" a="1"/>
  <c r="CW25" i="5" s="1"/>
  <c r="CV25" i="5" a="1"/>
  <c r="CV25" i="5" s="1"/>
  <c r="CU25" i="5" a="1"/>
  <c r="CU25" i="5" s="1"/>
  <c r="CT25" i="5" a="1"/>
  <c r="CT25" i="5" s="1"/>
  <c r="CS25" i="5" a="1"/>
  <c r="CS25" i="5" s="1"/>
  <c r="CR25" i="5" a="1"/>
  <c r="CR25" i="5" s="1"/>
  <c r="CQ25" i="5" a="1"/>
  <c r="CQ25" i="5"/>
  <c r="CP25" i="5" a="1"/>
  <c r="CP25" i="5" s="1"/>
  <c r="CO25" i="5" a="1"/>
  <c r="CO25" i="5" s="1"/>
  <c r="CN25" i="5" a="1"/>
  <c r="CN25" i="5" s="1"/>
  <c r="CM25" i="5" a="1"/>
  <c r="CM25" i="5" s="1"/>
  <c r="CL25" i="5" a="1"/>
  <c r="CL25" i="5" s="1"/>
  <c r="CK25" i="5" a="1"/>
  <c r="CK25" i="5" s="1"/>
  <c r="CJ25" i="5" a="1"/>
  <c r="CJ25" i="5" s="1"/>
  <c r="CI25" i="5" a="1"/>
  <c r="CI25" i="5" s="1"/>
  <c r="CH25" i="5" a="1"/>
  <c r="CH25" i="5" s="1"/>
  <c r="CG25" i="5" a="1"/>
  <c r="CG25" i="5"/>
  <c r="CF25" i="5" a="1"/>
  <c r="CF25" i="5" s="1"/>
  <c r="CE25" i="5" a="1"/>
  <c r="CE25" i="5" s="1"/>
  <c r="CD25" i="5" a="1"/>
  <c r="CD25" i="5"/>
  <c r="CC25" i="5" a="1"/>
  <c r="CC25" i="5"/>
  <c r="CB25" i="5" a="1"/>
  <c r="CB25" i="5" s="1"/>
  <c r="CA25" i="5" a="1"/>
  <c r="CA25" i="5" s="1"/>
  <c r="BZ25" i="5" a="1"/>
  <c r="BZ25" i="5" s="1"/>
  <c r="BY25" i="5" a="1"/>
  <c r="BY25" i="5" s="1"/>
  <c r="BX25" i="5" a="1"/>
  <c r="BX25" i="5" s="1"/>
  <c r="BW25" i="5" a="1"/>
  <c r="BW25" i="5" s="1"/>
  <c r="BV25" i="5" a="1"/>
  <c r="BV25" i="5" s="1"/>
  <c r="BU25" i="5" a="1"/>
  <c r="BU25" i="5"/>
  <c r="BT25" i="5" a="1"/>
  <c r="BT25" i="5" s="1"/>
  <c r="BS25" i="5" a="1"/>
  <c r="BS25" i="5" s="1"/>
  <c r="BR25" i="5" a="1"/>
  <c r="BR25" i="5" s="1"/>
  <c r="BQ25" i="5" a="1"/>
  <c r="BQ25" i="5" s="1"/>
  <c r="BP25" i="5" a="1"/>
  <c r="BP25" i="5" s="1"/>
  <c r="BO25" i="5" a="1"/>
  <c r="BO25" i="5"/>
  <c r="BN25" i="5" a="1"/>
  <c r="BN25" i="5" s="1"/>
  <c r="BM25" i="5" a="1"/>
  <c r="BM25" i="5" s="1"/>
  <c r="BL25" i="5" a="1"/>
  <c r="BL25" i="5" s="1"/>
  <c r="BK25" i="5" a="1"/>
  <c r="BK25" i="5" s="1"/>
  <c r="BJ25" i="5" a="1"/>
  <c r="BJ25" i="5"/>
  <c r="BI25" i="5" a="1"/>
  <c r="BI25" i="5" s="1"/>
  <c r="BH25" i="5" a="1"/>
  <c r="BH25" i="5" s="1"/>
  <c r="BG25" i="5" a="1"/>
  <c r="BG25" i="5"/>
  <c r="BF25" i="5" a="1"/>
  <c r="BF25" i="5" s="1"/>
  <c r="BE25" i="5" a="1"/>
  <c r="BE25" i="5" s="1"/>
  <c r="BD25" i="5" a="1"/>
  <c r="BD25" i="5"/>
  <c r="BC25" i="5" a="1"/>
  <c r="BC25" i="5" s="1"/>
  <c r="BB25" i="5" a="1"/>
  <c r="BB25" i="5" s="1"/>
  <c r="BA25" i="5" a="1"/>
  <c r="BA25" i="5" s="1"/>
  <c r="AZ25" i="5" a="1"/>
  <c r="AZ25" i="5" s="1"/>
  <c r="AY25" i="5" a="1"/>
  <c r="AY25" i="5" s="1"/>
  <c r="AX25" i="5" a="1"/>
  <c r="AX25" i="5" s="1"/>
  <c r="AW25" i="5" a="1"/>
  <c r="AW25" i="5"/>
  <c r="AV25" i="5" a="1"/>
  <c r="AV25" i="5"/>
  <c r="AU25" i="5" a="1"/>
  <c r="AU25" i="5" s="1"/>
  <c r="AT25" i="5" a="1"/>
  <c r="AT25" i="5" s="1"/>
  <c r="AS25" i="5" a="1"/>
  <c r="AS25" i="5" s="1"/>
  <c r="AR25" i="5" a="1"/>
  <c r="AR25" i="5" s="1"/>
  <c r="AQ25" i="5" a="1"/>
  <c r="AQ25" i="5" s="1"/>
  <c r="AP25" i="5" a="1"/>
  <c r="AP25" i="5" s="1"/>
  <c r="AO25" i="5" a="1"/>
  <c r="AO25" i="5" s="1"/>
  <c r="AN25" i="5" a="1"/>
  <c r="AN25" i="5" s="1"/>
  <c r="AM25" i="5" a="1"/>
  <c r="AM25" i="5" s="1"/>
  <c r="AL25" i="5" a="1"/>
  <c r="AL25" i="5"/>
  <c r="AK25" i="5" a="1"/>
  <c r="AK25" i="5" s="1"/>
  <c r="AJ25" i="5" a="1"/>
  <c r="AJ25" i="5" s="1"/>
  <c r="AI25" i="5" a="1"/>
  <c r="AI25" i="5" s="1"/>
  <c r="AH25" i="5" a="1"/>
  <c r="AH25" i="5" s="1"/>
  <c r="AG25" i="5" a="1"/>
  <c r="AG25" i="5" s="1"/>
  <c r="AF25" i="5" a="1"/>
  <c r="AF25" i="5" s="1"/>
  <c r="AE25" i="5" a="1"/>
  <c r="AE25" i="5" s="1"/>
  <c r="AD25" i="5" a="1"/>
  <c r="AD25" i="5" s="1"/>
  <c r="AC25" i="5" a="1"/>
  <c r="AC25" i="5" s="1"/>
  <c r="AB25" i="5" a="1"/>
  <c r="AB25" i="5" s="1"/>
  <c r="AA25" i="5" a="1"/>
  <c r="AA25" i="5" s="1"/>
  <c r="Z25" i="5" a="1"/>
  <c r="Z25" i="5" s="1"/>
  <c r="Y25" i="5" a="1"/>
  <c r="Y25" i="5" s="1"/>
  <c r="X25" i="5" a="1"/>
  <c r="X25" i="5" s="1"/>
  <c r="W25" i="5" a="1"/>
  <c r="W25" i="5" s="1"/>
  <c r="V25" i="5" a="1"/>
  <c r="V25" i="5" s="1"/>
  <c r="U25" i="5" a="1"/>
  <c r="U25" i="5" s="1"/>
  <c r="T25" i="5" a="1"/>
  <c r="T25" i="5" s="1"/>
  <c r="S25" i="5" a="1"/>
  <c r="S25" i="5" s="1"/>
  <c r="R25" i="5" a="1"/>
  <c r="R25" i="5"/>
  <c r="Q25" i="5" a="1"/>
  <c r="Q25" i="5" s="1"/>
  <c r="P25" i="5" a="1"/>
  <c r="P25" i="5" s="1"/>
  <c r="O25" i="5" a="1"/>
  <c r="O25" i="5" s="1"/>
  <c r="N25" i="5" a="1"/>
  <c r="N25" i="5" s="1"/>
  <c r="M25" i="5" a="1"/>
  <c r="M25" i="5" s="1"/>
  <c r="L25" i="5" a="1"/>
  <c r="L25" i="5" s="1"/>
  <c r="K25" i="5" a="1"/>
  <c r="K25" i="5" s="1"/>
  <c r="J25" i="5" a="1"/>
  <c r="J25" i="5" s="1"/>
  <c r="I25" i="5" a="1"/>
  <c r="I25" i="5" s="1"/>
  <c r="H25" i="5" a="1"/>
  <c r="H25" i="5" s="1"/>
  <c r="G25" i="5" a="1"/>
  <c r="G25" i="5"/>
  <c r="F25" i="5" a="1"/>
  <c r="F25" i="5" s="1"/>
  <c r="E25" i="5" a="1"/>
  <c r="E25" i="5" s="1"/>
  <c r="D25" i="5" a="1"/>
  <c r="D25" i="5" s="1"/>
  <c r="C25" i="5" a="1"/>
  <c r="C25" i="5" s="1"/>
  <c r="EF24" i="5" a="1"/>
  <c r="EF24" i="5" s="1"/>
  <c r="EE24" i="5" a="1"/>
  <c r="EE24" i="5"/>
  <c r="ED24" i="5" a="1"/>
  <c r="ED24" i="5" s="1"/>
  <c r="EC24" i="5" a="1"/>
  <c r="EC24" i="5" s="1"/>
  <c r="EB24" i="5" a="1"/>
  <c r="EB24" i="5" s="1"/>
  <c r="EA24" i="5" a="1"/>
  <c r="EA24" i="5" s="1"/>
  <c r="DZ24" i="5" a="1"/>
  <c r="DZ24" i="5" s="1"/>
  <c r="DY24" i="5" a="1"/>
  <c r="DY24" i="5" s="1"/>
  <c r="DX24" i="5" a="1"/>
  <c r="DX24" i="5"/>
  <c r="DW24" i="5" a="1"/>
  <c r="DW24" i="5"/>
  <c r="DV24" i="5" a="1"/>
  <c r="DV24" i="5" s="1"/>
  <c r="DU24" i="5" a="1"/>
  <c r="DU24" i="5" s="1"/>
  <c r="DT24" i="5" a="1"/>
  <c r="DT24" i="5"/>
  <c r="DS24" i="5" a="1"/>
  <c r="DS24" i="5" s="1"/>
  <c r="DR24" i="5" a="1"/>
  <c r="DR24" i="5" s="1"/>
  <c r="DQ24" i="5" a="1"/>
  <c r="DQ24" i="5" s="1"/>
  <c r="DP24" i="5" a="1"/>
  <c r="DP24" i="5" s="1"/>
  <c r="DO24" i="5" a="1"/>
  <c r="DO24" i="5" s="1"/>
  <c r="DN24" i="5" a="1"/>
  <c r="DN24" i="5" s="1"/>
  <c r="DM24" i="5" a="1"/>
  <c r="DM24" i="5"/>
  <c r="DL24" i="5" a="1"/>
  <c r="DL24" i="5"/>
  <c r="DK24" i="5" a="1"/>
  <c r="DK24" i="5" s="1"/>
  <c r="DJ24" i="5" a="1"/>
  <c r="DJ24" i="5" s="1"/>
  <c r="DI24" i="5" a="1"/>
  <c r="DI24" i="5" s="1"/>
  <c r="DH24" i="5" a="1"/>
  <c r="DH24" i="5" s="1"/>
  <c r="DG24" i="5" a="1"/>
  <c r="DG24" i="5" s="1"/>
  <c r="DF24" i="5" a="1"/>
  <c r="DF24" i="5" s="1"/>
  <c r="DE24" i="5" a="1"/>
  <c r="DE24" i="5" s="1"/>
  <c r="DD24" i="5" a="1"/>
  <c r="DD24" i="5" s="1"/>
  <c r="DC24" i="5" a="1"/>
  <c r="DC24" i="5" s="1"/>
  <c r="DB24" i="5" a="1"/>
  <c r="DB24" i="5" s="1"/>
  <c r="DA24" i="5" a="1"/>
  <c r="DA24" i="5" s="1"/>
  <c r="CZ24" i="5" a="1"/>
  <c r="CZ24" i="5" s="1"/>
  <c r="CY24" i="5" a="1"/>
  <c r="CY24" i="5" s="1"/>
  <c r="CX24" i="5" a="1"/>
  <c r="CX24" i="5" s="1"/>
  <c r="CW24" i="5" a="1"/>
  <c r="CW24" i="5" s="1"/>
  <c r="CV24" i="5" a="1"/>
  <c r="CV24" i="5" s="1"/>
  <c r="CU24" i="5" a="1"/>
  <c r="CU24" i="5" s="1"/>
  <c r="CT24" i="5" a="1"/>
  <c r="CT24" i="5" s="1"/>
  <c r="CS24" i="5" a="1"/>
  <c r="CS24" i="5" s="1"/>
  <c r="CR24" i="5" a="1"/>
  <c r="CR24" i="5" s="1"/>
  <c r="CQ24" i="5" a="1"/>
  <c r="CQ24" i="5" s="1"/>
  <c r="CP24" i="5" a="1"/>
  <c r="CP24" i="5" s="1"/>
  <c r="CO24" i="5" a="1"/>
  <c r="CO24" i="5" s="1"/>
  <c r="CN24" i="5" a="1"/>
  <c r="CN24" i="5" s="1"/>
  <c r="CM24" i="5" a="1"/>
  <c r="CM24" i="5" s="1"/>
  <c r="CL24" i="5" a="1"/>
  <c r="CL24" i="5" s="1"/>
  <c r="CK24" i="5" a="1"/>
  <c r="CK24" i="5" s="1"/>
  <c r="CJ24" i="5" a="1"/>
  <c r="CJ24" i="5" s="1"/>
  <c r="CI24" i="5" a="1"/>
  <c r="CI24" i="5" s="1"/>
  <c r="CH24" i="5" a="1"/>
  <c r="CH24" i="5"/>
  <c r="CG24" i="5" a="1"/>
  <c r="CG24" i="5" s="1"/>
  <c r="CF24" i="5" a="1"/>
  <c r="CF24" i="5" s="1"/>
  <c r="CE24" i="5" a="1"/>
  <c r="CE24" i="5" s="1"/>
  <c r="CD24" i="5" a="1"/>
  <c r="CD24" i="5" s="1"/>
  <c r="CC24" i="5" a="1"/>
  <c r="CC24" i="5" s="1"/>
  <c r="CB24" i="5" a="1"/>
  <c r="CB24" i="5"/>
  <c r="CA24" i="5" a="1"/>
  <c r="CA24" i="5" s="1"/>
  <c r="BZ24" i="5" a="1"/>
  <c r="BZ24" i="5" s="1"/>
  <c r="BY24" i="5" a="1"/>
  <c r="BY24" i="5" s="1"/>
  <c r="BX24" i="5" a="1"/>
  <c r="BX24" i="5" s="1"/>
  <c r="BW24" i="5" a="1"/>
  <c r="BW24" i="5"/>
  <c r="BV24" i="5" a="1"/>
  <c r="BV24" i="5" s="1"/>
  <c r="BU24" i="5" a="1"/>
  <c r="BU24" i="5" s="1"/>
  <c r="BT24" i="5" a="1"/>
  <c r="BT24" i="5"/>
  <c r="BS24" i="5" a="1"/>
  <c r="BS24" i="5" s="1"/>
  <c r="BR24" i="5" a="1"/>
  <c r="BR24" i="5" s="1"/>
  <c r="BQ24" i="5" a="1"/>
  <c r="BQ24" i="5" s="1"/>
  <c r="BP24" i="5" a="1"/>
  <c r="BP24" i="5" s="1"/>
  <c r="BO24" i="5" a="1"/>
  <c r="BO24" i="5" s="1"/>
  <c r="BN24" i="5" a="1"/>
  <c r="BN24" i="5" s="1"/>
  <c r="BM24" i="5" a="1"/>
  <c r="BM24" i="5" s="1"/>
  <c r="BL24" i="5" a="1"/>
  <c r="BL24" i="5"/>
  <c r="BK24" i="5" a="1"/>
  <c r="BK24" i="5" s="1"/>
  <c r="BJ24" i="5" a="1"/>
  <c r="BJ24" i="5" s="1"/>
  <c r="BI24" i="5" a="1"/>
  <c r="BI24" i="5" s="1"/>
  <c r="BH24" i="5" a="1"/>
  <c r="BH24" i="5" s="1"/>
  <c r="BG24" i="5" a="1"/>
  <c r="BG24" i="5" s="1"/>
  <c r="BF24" i="5" a="1"/>
  <c r="BF24" i="5" s="1"/>
  <c r="BE24" i="5" a="1"/>
  <c r="BE24" i="5" s="1"/>
  <c r="BD24" i="5" a="1"/>
  <c r="BD24" i="5" s="1"/>
  <c r="BC24" i="5" a="1"/>
  <c r="BC24" i="5" s="1"/>
  <c r="BB24" i="5" a="1"/>
  <c r="BB24" i="5" s="1"/>
  <c r="BA24" i="5" a="1"/>
  <c r="BA24" i="5" s="1"/>
  <c r="AZ24" i="5" a="1"/>
  <c r="AZ24" i="5" s="1"/>
  <c r="AY24" i="5" a="1"/>
  <c r="AY24" i="5" s="1"/>
  <c r="AX24" i="5" a="1"/>
  <c r="AX24" i="5" s="1"/>
  <c r="AW24" i="5" a="1"/>
  <c r="AW24" i="5" s="1"/>
  <c r="AV24" i="5" a="1"/>
  <c r="AV24" i="5"/>
  <c r="AU24" i="5" a="1"/>
  <c r="AU24" i="5"/>
  <c r="AT24" i="5" a="1"/>
  <c r="AT24" i="5" s="1"/>
  <c r="AS24" i="5" a="1"/>
  <c r="AS24" i="5" s="1"/>
  <c r="AR24" i="5" a="1"/>
  <c r="AR24" i="5" s="1"/>
  <c r="AQ24" i="5" a="1"/>
  <c r="AQ24" i="5" s="1"/>
  <c r="AP24" i="5" a="1"/>
  <c r="AP24" i="5" s="1"/>
  <c r="AO24" i="5" a="1"/>
  <c r="AO24" i="5" s="1"/>
  <c r="AN24" i="5" a="1"/>
  <c r="AN24" i="5"/>
  <c r="AM24" i="5" a="1"/>
  <c r="AM24" i="5"/>
  <c r="AL24" i="5" a="1"/>
  <c r="AL24" i="5" s="1"/>
  <c r="AK24" i="5" a="1"/>
  <c r="AK24" i="5" s="1"/>
  <c r="AJ24" i="5" a="1"/>
  <c r="AJ24" i="5" s="1"/>
  <c r="AI24" i="5" a="1"/>
  <c r="AI24" i="5" s="1"/>
  <c r="AH24" i="5" a="1"/>
  <c r="AH24" i="5" s="1"/>
  <c r="AG24" i="5" a="1"/>
  <c r="AG24" i="5" s="1"/>
  <c r="AF24" i="5" a="1"/>
  <c r="AF24" i="5" s="1"/>
  <c r="AE24" i="5" a="1"/>
  <c r="AE24" i="5"/>
  <c r="AD24" i="5" a="1"/>
  <c r="AD24" i="5" s="1"/>
  <c r="AC24" i="5" a="1"/>
  <c r="AC24" i="5" s="1"/>
  <c r="AB24" i="5" a="1"/>
  <c r="AB24" i="5" s="1"/>
  <c r="AA24" i="5" a="1"/>
  <c r="AA24" i="5" s="1"/>
  <c r="Z24" i="5" a="1"/>
  <c r="Z24" i="5"/>
  <c r="Y24" i="5" a="1"/>
  <c r="Y24" i="5" s="1"/>
  <c r="X24" i="5" a="1"/>
  <c r="X24" i="5" s="1"/>
  <c r="W24" i="5" a="1"/>
  <c r="W24" i="5" s="1"/>
  <c r="V24" i="5" a="1"/>
  <c r="V24" i="5" s="1"/>
  <c r="U24" i="5" a="1"/>
  <c r="U24" i="5" s="1"/>
  <c r="T24" i="5" a="1"/>
  <c r="T24" i="5" s="1"/>
  <c r="S24" i="5" a="1"/>
  <c r="S24" i="5" s="1"/>
  <c r="R24" i="5" a="1"/>
  <c r="R24" i="5" s="1"/>
  <c r="Q24" i="5" a="1"/>
  <c r="Q24" i="5" s="1"/>
  <c r="P24" i="5" a="1"/>
  <c r="P24" i="5" s="1"/>
  <c r="O24" i="5" a="1"/>
  <c r="O24" i="5"/>
  <c r="N24" i="5" a="1"/>
  <c r="N24" i="5" s="1"/>
  <c r="M24" i="5" a="1"/>
  <c r="M24" i="5" s="1"/>
  <c r="L24" i="5" a="1"/>
  <c r="L24" i="5" s="1"/>
  <c r="K24" i="5" a="1"/>
  <c r="K24" i="5" s="1"/>
  <c r="J24" i="5" a="1"/>
  <c r="J24" i="5"/>
  <c r="I24" i="5" a="1"/>
  <c r="I24" i="5"/>
  <c r="H24" i="5" a="1"/>
  <c r="H24" i="5" s="1"/>
  <c r="G24" i="5" a="1"/>
  <c r="G24" i="5" s="1"/>
  <c r="F24" i="5" a="1"/>
  <c r="F24" i="5" s="1"/>
  <c r="E24" i="5" a="1"/>
  <c r="E24" i="5" s="1"/>
  <c r="D24" i="5" a="1"/>
  <c r="D24" i="5" s="1"/>
  <c r="C24" i="5" a="1"/>
  <c r="C24" i="5" s="1"/>
  <c r="EF23" i="5" a="1"/>
  <c r="EF23" i="5" s="1"/>
  <c r="EE23" i="5" a="1"/>
  <c r="EE23" i="5" s="1"/>
  <c r="ED23" i="5" a="1"/>
  <c r="ED23" i="5" s="1"/>
  <c r="EC23" i="5" a="1"/>
  <c r="EC23" i="5" s="1"/>
  <c r="EB23" i="5" a="1"/>
  <c r="EB23" i="5" s="1"/>
  <c r="EA23" i="5" a="1"/>
  <c r="EA23" i="5" s="1"/>
  <c r="DZ23" i="5" a="1"/>
  <c r="DZ23" i="5" s="1"/>
  <c r="DY23" i="5" a="1"/>
  <c r="DY23" i="5" s="1"/>
  <c r="DX23" i="5" a="1"/>
  <c r="DX23" i="5" s="1"/>
  <c r="DW23" i="5" a="1"/>
  <c r="DW23" i="5"/>
  <c r="DV23" i="5" a="1"/>
  <c r="DV23" i="5" s="1"/>
  <c r="DU23" i="5" a="1"/>
  <c r="DU23" i="5" s="1"/>
  <c r="DT23" i="5" a="1"/>
  <c r="DT23" i="5" s="1"/>
  <c r="DS23" i="5" a="1"/>
  <c r="DS23" i="5" s="1"/>
  <c r="DR23" i="5" a="1"/>
  <c r="DR23" i="5" s="1"/>
  <c r="DQ23" i="5" a="1"/>
  <c r="DQ23" i="5" s="1"/>
  <c r="DP23" i="5" a="1"/>
  <c r="DP23" i="5" s="1"/>
  <c r="DO23" i="5" a="1"/>
  <c r="DO23" i="5"/>
  <c r="DN23" i="5" a="1"/>
  <c r="DN23" i="5" s="1"/>
  <c r="DM23" i="5" a="1"/>
  <c r="DM23" i="5" s="1"/>
  <c r="DL23" i="5" a="1"/>
  <c r="DL23" i="5"/>
  <c r="DK23" i="5" a="1"/>
  <c r="DK23" i="5"/>
  <c r="DJ23" i="5" a="1"/>
  <c r="DJ23" i="5" s="1"/>
  <c r="DI23" i="5" a="1"/>
  <c r="DI23" i="5" s="1"/>
  <c r="DH23" i="5" a="1"/>
  <c r="DH23" i="5" s="1"/>
  <c r="DG23" i="5" a="1"/>
  <c r="DG23" i="5" s="1"/>
  <c r="DF23" i="5" a="1"/>
  <c r="DF23" i="5" s="1"/>
  <c r="DE23" i="5" a="1"/>
  <c r="DE23" i="5" s="1"/>
  <c r="DD23" i="5" a="1"/>
  <c r="DD23" i="5"/>
  <c r="DC23" i="5" a="1"/>
  <c r="DC23" i="5"/>
  <c r="DB23" i="5" a="1"/>
  <c r="DB23" i="5" s="1"/>
  <c r="DA23" i="5" a="1"/>
  <c r="DA23" i="5" s="1"/>
  <c r="CZ23" i="5" a="1"/>
  <c r="CZ23" i="5" s="1"/>
  <c r="CY23" i="5" a="1"/>
  <c r="CY23" i="5" s="1"/>
  <c r="CX23" i="5" a="1"/>
  <c r="CX23" i="5" s="1"/>
  <c r="CW23" i="5" a="1"/>
  <c r="CW23" i="5"/>
  <c r="CV23" i="5" a="1"/>
  <c r="CV23" i="5" s="1"/>
  <c r="CU23" i="5" a="1"/>
  <c r="CU23" i="5" s="1"/>
  <c r="CT23" i="5" a="1"/>
  <c r="CT23" i="5" s="1"/>
  <c r="CS23" i="5" a="1"/>
  <c r="CS23" i="5"/>
  <c r="CR23" i="5" a="1"/>
  <c r="CR23" i="5" s="1"/>
  <c r="CQ23" i="5" a="1"/>
  <c r="CQ23" i="5" s="1"/>
  <c r="CP23" i="5" a="1"/>
  <c r="CP23" i="5"/>
  <c r="CO23" i="5" a="1"/>
  <c r="CO23" i="5"/>
  <c r="CN23" i="5" a="1"/>
  <c r="CN23" i="5" s="1"/>
  <c r="CM23" i="5" a="1"/>
  <c r="CM23" i="5" s="1"/>
  <c r="CL23" i="5" a="1"/>
  <c r="CL23" i="5"/>
  <c r="CK23" i="5" a="1"/>
  <c r="CK23" i="5" s="1"/>
  <c r="CJ23" i="5" a="1"/>
  <c r="CJ23" i="5" s="1"/>
  <c r="CI23" i="5" a="1"/>
  <c r="CI23" i="5" s="1"/>
  <c r="CH23" i="5" a="1"/>
  <c r="CH23" i="5"/>
  <c r="CG23" i="5" a="1"/>
  <c r="CG23" i="5" s="1"/>
  <c r="CF23" i="5" a="1"/>
  <c r="CF23" i="5" s="1"/>
  <c r="CE23" i="5" a="1"/>
  <c r="CE23" i="5"/>
  <c r="CD23" i="5" a="1"/>
  <c r="CD23" i="5" s="1"/>
  <c r="CC23" i="5" a="1"/>
  <c r="CC23" i="5" s="1"/>
  <c r="CB23" i="5" a="1"/>
  <c r="CB23" i="5" s="1"/>
  <c r="CA23" i="5" a="1"/>
  <c r="CA23" i="5"/>
  <c r="BZ23" i="5" a="1"/>
  <c r="BZ23" i="5" s="1"/>
  <c r="BY23" i="5" a="1"/>
  <c r="BY23" i="5"/>
  <c r="BX23" i="5" a="1"/>
  <c r="BX23" i="5" s="1"/>
  <c r="BW23" i="5" a="1"/>
  <c r="BW23" i="5"/>
  <c r="BV23" i="5" a="1"/>
  <c r="BV23" i="5" s="1"/>
  <c r="BU23" i="5" a="1"/>
  <c r="BU23" i="5" s="1"/>
  <c r="BT23" i="5" a="1"/>
  <c r="BT23" i="5"/>
  <c r="BS23" i="5" a="1"/>
  <c r="BS23" i="5" s="1"/>
  <c r="BR23" i="5" a="1"/>
  <c r="BR23" i="5" s="1"/>
  <c r="BQ23" i="5" a="1"/>
  <c r="BQ23" i="5" s="1"/>
  <c r="BP23" i="5" a="1"/>
  <c r="BP23" i="5" s="1"/>
  <c r="BO23" i="5" a="1"/>
  <c r="BO23" i="5" s="1"/>
  <c r="BN23" i="5" a="1"/>
  <c r="BN23" i="5" s="1"/>
  <c r="BM23" i="5" a="1"/>
  <c r="BM23" i="5" s="1"/>
  <c r="BL23" i="5" a="1"/>
  <c r="BL23" i="5" s="1"/>
  <c r="BK23" i="5" a="1"/>
  <c r="BK23" i="5" s="1"/>
  <c r="BJ23" i="5" a="1"/>
  <c r="BJ23" i="5" s="1"/>
  <c r="BI23" i="5" a="1"/>
  <c r="BI23" i="5"/>
  <c r="BH23" i="5" a="1"/>
  <c r="BH23" i="5" s="1"/>
  <c r="BG23" i="5" a="1"/>
  <c r="BG23" i="5" s="1"/>
  <c r="BF23" i="5" a="1"/>
  <c r="BF23" i="5" s="1"/>
  <c r="BE23" i="5" a="1"/>
  <c r="BE23" i="5" s="1"/>
  <c r="BD23" i="5" a="1"/>
  <c r="BD23" i="5" s="1"/>
  <c r="BC23" i="5" a="1"/>
  <c r="BC23" i="5" s="1"/>
  <c r="BB23" i="5" a="1"/>
  <c r="BB23" i="5" s="1"/>
  <c r="BA23" i="5" a="1"/>
  <c r="BA23" i="5" s="1"/>
  <c r="AZ23" i="5" a="1"/>
  <c r="AZ23" i="5" s="1"/>
  <c r="AY23" i="5" a="1"/>
  <c r="AY23" i="5" s="1"/>
  <c r="AX23" i="5" a="1"/>
  <c r="AX23" i="5"/>
  <c r="AW23" i="5" a="1"/>
  <c r="AW23" i="5" s="1"/>
  <c r="AV23" i="5" a="1"/>
  <c r="AV23" i="5" s="1"/>
  <c r="AU23" i="5" a="1"/>
  <c r="AU23" i="5" s="1"/>
  <c r="AT23" i="5" a="1"/>
  <c r="AT23" i="5" s="1"/>
  <c r="AS23" i="5" a="1"/>
  <c r="AS23" i="5" s="1"/>
  <c r="AR23" i="5" a="1"/>
  <c r="AR23" i="5" s="1"/>
  <c r="AQ23" i="5" a="1"/>
  <c r="AQ23" i="5" s="1"/>
  <c r="AP23" i="5" a="1"/>
  <c r="AP23" i="5" s="1"/>
  <c r="AO23" i="5" a="1"/>
  <c r="AO23" i="5"/>
  <c r="AN23" i="5" a="1"/>
  <c r="AN23" i="5" s="1"/>
  <c r="AM23" i="5" a="1"/>
  <c r="AM23" i="5" s="1"/>
  <c r="AL23" i="5" a="1"/>
  <c r="AL23" i="5" s="1"/>
  <c r="AK23" i="5" a="1"/>
  <c r="AK23" i="5" s="1"/>
  <c r="AJ23" i="5" a="1"/>
  <c r="AJ23" i="5" s="1"/>
  <c r="AI23" i="5" a="1"/>
  <c r="AI23" i="5" s="1"/>
  <c r="AH23" i="5" a="1"/>
  <c r="AH23" i="5" s="1"/>
  <c r="AG23" i="5" a="1"/>
  <c r="AG23" i="5"/>
  <c r="AF23" i="5" a="1"/>
  <c r="AF23" i="5" s="1"/>
  <c r="AE23" i="5" a="1"/>
  <c r="AE23" i="5" s="1"/>
  <c r="AD23" i="5" a="1"/>
  <c r="AD23" i="5"/>
  <c r="AC23" i="5" a="1"/>
  <c r="AC23" i="5" s="1"/>
  <c r="AB23" i="5" a="1"/>
  <c r="AB23" i="5" s="1"/>
  <c r="AA23" i="5" a="1"/>
  <c r="AA23" i="5" s="1"/>
  <c r="Z23" i="5" a="1"/>
  <c r="Z23" i="5" s="1"/>
  <c r="Y23" i="5" a="1"/>
  <c r="Y23" i="5" s="1"/>
  <c r="X23" i="5" a="1"/>
  <c r="X23" i="5"/>
  <c r="W23" i="5" a="1"/>
  <c r="W23" i="5" s="1"/>
  <c r="V23" i="5" a="1"/>
  <c r="V23" i="5"/>
  <c r="U23" i="5" a="1"/>
  <c r="U23" i="5" s="1"/>
  <c r="T23" i="5" a="1"/>
  <c r="T23" i="5"/>
  <c r="S23" i="5" a="1"/>
  <c r="S23" i="5"/>
  <c r="R23" i="5" a="1"/>
  <c r="R23" i="5" s="1"/>
  <c r="Q23" i="5" a="1"/>
  <c r="Q23" i="5" s="1"/>
  <c r="P23" i="5" a="1"/>
  <c r="P23" i="5"/>
  <c r="O23" i="5" a="1"/>
  <c r="O23" i="5" s="1"/>
  <c r="N23" i="5" a="1"/>
  <c r="N23" i="5" s="1"/>
  <c r="M23" i="5" a="1"/>
  <c r="M23" i="5" s="1"/>
  <c r="L23" i="5" a="1"/>
  <c r="L23" i="5" s="1"/>
  <c r="K23" i="5" a="1"/>
  <c r="K23" i="5"/>
  <c r="J23" i="5" a="1"/>
  <c r="J23" i="5" s="1"/>
  <c r="I23" i="5" a="1"/>
  <c r="I23" i="5" s="1"/>
  <c r="H23" i="5" a="1"/>
  <c r="H23" i="5"/>
  <c r="G23" i="5" a="1"/>
  <c r="G23" i="5" s="1"/>
  <c r="F23" i="5" a="1"/>
  <c r="F23" i="5" s="1"/>
  <c r="E23" i="5" a="1"/>
  <c r="E23" i="5" s="1"/>
  <c r="D23" i="5" a="1"/>
  <c r="D23" i="5" s="1"/>
  <c r="C23" i="5" a="1"/>
  <c r="C23" i="5" s="1"/>
  <c r="EF22" i="5" a="1"/>
  <c r="EF22" i="5" s="1"/>
  <c r="EE22" i="5" a="1"/>
  <c r="EE22" i="5" s="1"/>
  <c r="ED22" i="5" a="1"/>
  <c r="ED22" i="5" s="1"/>
  <c r="EC22" i="5" a="1"/>
  <c r="EC22" i="5" s="1"/>
  <c r="EB22" i="5" a="1"/>
  <c r="EB22" i="5" s="1"/>
  <c r="EA22" i="5" a="1"/>
  <c r="EA22" i="5" s="1"/>
  <c r="DZ22" i="5" a="1"/>
  <c r="DZ22" i="5" s="1"/>
  <c r="DY22" i="5" a="1"/>
  <c r="DY22" i="5" s="1"/>
  <c r="DX22" i="5" a="1"/>
  <c r="DX22" i="5"/>
  <c r="DW22" i="5" a="1"/>
  <c r="DW22" i="5" s="1"/>
  <c r="DV22" i="5" a="1"/>
  <c r="DV22" i="5" s="1"/>
  <c r="DU22" i="5" a="1"/>
  <c r="DU22" i="5" s="1"/>
  <c r="DT22" i="5" a="1"/>
  <c r="DT22" i="5" s="1"/>
  <c r="DS22" i="5" a="1"/>
  <c r="DS22" i="5" s="1"/>
  <c r="DR22" i="5" a="1"/>
  <c r="DR22" i="5" s="1"/>
  <c r="DQ22" i="5" a="1"/>
  <c r="DQ22" i="5"/>
  <c r="DP22" i="5" a="1"/>
  <c r="DP22" i="5"/>
  <c r="DO22" i="5" a="1"/>
  <c r="DO22" i="5" s="1"/>
  <c r="DN22" i="5" a="1"/>
  <c r="DN22" i="5" s="1"/>
  <c r="DM22" i="5" a="1"/>
  <c r="DM22" i="5" s="1"/>
  <c r="DL22" i="5" a="1"/>
  <c r="DL22" i="5" s="1"/>
  <c r="DK22" i="5" a="1"/>
  <c r="DK22" i="5" s="1"/>
  <c r="DJ22" i="5" a="1"/>
  <c r="DJ22" i="5" s="1"/>
  <c r="DI22" i="5" a="1"/>
  <c r="DI22" i="5" s="1"/>
  <c r="DH22" i="5" a="1"/>
  <c r="DH22" i="5" s="1"/>
  <c r="DG22" i="5" a="1"/>
  <c r="DG22" i="5" s="1"/>
  <c r="DF22" i="5" a="1"/>
  <c r="DF22" i="5"/>
  <c r="DE22" i="5" a="1"/>
  <c r="DE22" i="5" s="1"/>
  <c r="DD22" i="5" a="1"/>
  <c r="DD22" i="5" s="1"/>
  <c r="DC22" i="5" a="1"/>
  <c r="DC22" i="5" s="1"/>
  <c r="DB22" i="5" a="1"/>
  <c r="DB22" i="5" s="1"/>
  <c r="DA22" i="5" a="1"/>
  <c r="DA22" i="5" s="1"/>
  <c r="CZ22" i="5" a="1"/>
  <c r="CZ22" i="5" s="1"/>
  <c r="CY22" i="5" a="1"/>
  <c r="CY22" i="5"/>
  <c r="CX22" i="5" a="1"/>
  <c r="CX22" i="5" s="1"/>
  <c r="CW22" i="5" a="1"/>
  <c r="CW22" i="5"/>
  <c r="CV22" i="5" a="1"/>
  <c r="CV22" i="5" s="1"/>
  <c r="CU22" i="5" a="1"/>
  <c r="CU22" i="5" s="1"/>
  <c r="CT22" i="5" a="1"/>
  <c r="CT22" i="5"/>
  <c r="CS22" i="5" a="1"/>
  <c r="CS22" i="5" s="1"/>
  <c r="CR22" i="5" a="1"/>
  <c r="CR22" i="5" s="1"/>
  <c r="CQ22" i="5" a="1"/>
  <c r="CQ22" i="5"/>
  <c r="CP22" i="5" a="1"/>
  <c r="CP22" i="5" s="1"/>
  <c r="CO22" i="5" a="1"/>
  <c r="CO22" i="5" s="1"/>
  <c r="CN22" i="5" a="1"/>
  <c r="CN22" i="5" s="1"/>
  <c r="CM22" i="5" a="1"/>
  <c r="CM22" i="5" s="1"/>
  <c r="CL22" i="5" a="1"/>
  <c r="CL22" i="5"/>
  <c r="CK22" i="5" a="1"/>
  <c r="CK22" i="5"/>
  <c r="CJ22" i="5" a="1"/>
  <c r="CJ22" i="5" s="1"/>
  <c r="CI22" i="5" a="1"/>
  <c r="CI22" i="5" s="1"/>
  <c r="CH22" i="5" a="1"/>
  <c r="CH22" i="5" s="1"/>
  <c r="CG22" i="5" a="1"/>
  <c r="CG22" i="5" s="1"/>
  <c r="CF22" i="5" a="1"/>
  <c r="CF22" i="5"/>
  <c r="CE22" i="5" a="1"/>
  <c r="CE22" i="5" s="1"/>
  <c r="CD22" i="5" a="1"/>
  <c r="CD22" i="5" s="1"/>
  <c r="CC22" i="5" a="1"/>
  <c r="CC22" i="5" s="1"/>
  <c r="CB22" i="5" a="1"/>
  <c r="CB22" i="5" s="1"/>
  <c r="CA22" i="5" a="1"/>
  <c r="CA22" i="5" s="1"/>
  <c r="BZ22" i="5" a="1"/>
  <c r="BZ22" i="5" s="1"/>
  <c r="BY22" i="5" a="1"/>
  <c r="BY22" i="5" s="1"/>
  <c r="BX22" i="5" a="1"/>
  <c r="BX22" i="5"/>
  <c r="BW22" i="5" a="1"/>
  <c r="BW22" i="5" s="1"/>
  <c r="BV22" i="5" a="1"/>
  <c r="BV22" i="5" s="1"/>
  <c r="BU22" i="5" a="1"/>
  <c r="BU22" i="5" s="1"/>
  <c r="BT22" i="5" a="1"/>
  <c r="BT22" i="5" s="1"/>
  <c r="BS22" i="5" a="1"/>
  <c r="BS22" i="5" s="1"/>
  <c r="BR22" i="5" a="1"/>
  <c r="BR22" i="5" s="1"/>
  <c r="BQ22" i="5" a="1"/>
  <c r="BQ22" i="5" s="1"/>
  <c r="BP22" i="5" a="1"/>
  <c r="BP22" i="5" s="1"/>
  <c r="BO22" i="5" a="1"/>
  <c r="BO22" i="5" s="1"/>
  <c r="BN22" i="5" a="1"/>
  <c r="BN22" i="5" s="1"/>
  <c r="BM22" i="5" a="1"/>
  <c r="BM22" i="5" s="1"/>
  <c r="BL22" i="5" a="1"/>
  <c r="BL22" i="5" s="1"/>
  <c r="BK22" i="5" a="1"/>
  <c r="BK22" i="5" s="1"/>
  <c r="BJ22" i="5" a="1"/>
  <c r="BJ22" i="5" s="1"/>
  <c r="BI22" i="5" a="1"/>
  <c r="BI22" i="5" s="1"/>
  <c r="BH22" i="5" a="1"/>
  <c r="BH22" i="5" s="1"/>
  <c r="BG22" i="5" a="1"/>
  <c r="BG22" i="5"/>
  <c r="BF22" i="5" a="1"/>
  <c r="BF22" i="5" s="1"/>
  <c r="BE22" i="5" a="1"/>
  <c r="BE22" i="5"/>
  <c r="BD22" i="5" a="1"/>
  <c r="BD22" i="5" s="1"/>
  <c r="BC22" i="5" a="1"/>
  <c r="BC22" i="5" s="1"/>
  <c r="BB22" i="5" a="1"/>
  <c r="BB22" i="5" s="1"/>
  <c r="BA22" i="5" a="1"/>
  <c r="BA22" i="5" s="1"/>
  <c r="AZ22" i="5" a="1"/>
  <c r="AZ22" i="5" s="1"/>
  <c r="AY22" i="5" a="1"/>
  <c r="AY22" i="5" s="1"/>
  <c r="AX22" i="5" a="1"/>
  <c r="AX22" i="5" s="1"/>
  <c r="AW22" i="5" a="1"/>
  <c r="AW22" i="5" s="1"/>
  <c r="AV22" i="5" a="1"/>
  <c r="AV22" i="5"/>
  <c r="AU22" i="5" a="1"/>
  <c r="AU22" i="5" s="1"/>
  <c r="AT22" i="5" a="1"/>
  <c r="AT22" i="5" s="1"/>
  <c r="AS22" i="5" a="1"/>
  <c r="AS22" i="5" s="1"/>
  <c r="AR22" i="5" a="1"/>
  <c r="AR22" i="5"/>
  <c r="AQ22" i="5" a="1"/>
  <c r="AQ22" i="5" s="1"/>
  <c r="AP22" i="5" a="1"/>
  <c r="AP22" i="5" s="1"/>
  <c r="AO22" i="5" a="1"/>
  <c r="AO22" i="5" s="1"/>
  <c r="AN22" i="5" a="1"/>
  <c r="AN22" i="5" s="1"/>
  <c r="AM22" i="5" a="1"/>
  <c r="AM22" i="5" s="1"/>
  <c r="AL22" i="5" a="1"/>
  <c r="AL22" i="5" s="1"/>
  <c r="AK22" i="5" a="1"/>
  <c r="AK22" i="5" s="1"/>
  <c r="AJ22" i="5" a="1"/>
  <c r="AJ22" i="5" s="1"/>
  <c r="AI22" i="5" a="1"/>
  <c r="AI22" i="5"/>
  <c r="AH22" i="5" a="1"/>
  <c r="AH22" i="5"/>
  <c r="AG22" i="5" a="1"/>
  <c r="AG22" i="5"/>
  <c r="AF22" i="5" a="1"/>
  <c r="AF22" i="5" s="1"/>
  <c r="AE22" i="5" a="1"/>
  <c r="AE22" i="5" s="1"/>
  <c r="AD22" i="5" a="1"/>
  <c r="AD22" i="5" s="1"/>
  <c r="AC22" i="5" a="1"/>
  <c r="AC22" i="5"/>
  <c r="AB22" i="5" a="1"/>
  <c r="AB22" i="5" s="1"/>
  <c r="AA22" i="5" a="1"/>
  <c r="AA22" i="5" s="1"/>
  <c r="Z22" i="5" a="1"/>
  <c r="Z22" i="5" s="1"/>
  <c r="Y22" i="5" a="1"/>
  <c r="Y22" i="5" s="1"/>
  <c r="X22" i="5" a="1"/>
  <c r="X22" i="5" s="1"/>
  <c r="W22" i="5" a="1"/>
  <c r="W22" i="5" s="1"/>
  <c r="V22" i="5" a="1"/>
  <c r="V22" i="5" s="1"/>
  <c r="U22" i="5" a="1"/>
  <c r="U22" i="5"/>
  <c r="T22" i="5" a="1"/>
  <c r="T22" i="5" s="1"/>
  <c r="S22" i="5" a="1"/>
  <c r="S22" i="5" s="1"/>
  <c r="R22" i="5" a="1"/>
  <c r="R22" i="5" s="1"/>
  <c r="Q22" i="5" a="1"/>
  <c r="Q22" i="5" s="1"/>
  <c r="P22" i="5" a="1"/>
  <c r="P22" i="5" s="1"/>
  <c r="O22" i="5" a="1"/>
  <c r="O22" i="5" s="1"/>
  <c r="N22" i="5" a="1"/>
  <c r="N22" i="5" s="1"/>
  <c r="M22" i="5" a="1"/>
  <c r="M22" i="5" s="1"/>
  <c r="L22" i="5" a="1"/>
  <c r="L22" i="5"/>
  <c r="K22" i="5" a="1"/>
  <c r="K22" i="5" s="1"/>
  <c r="J22" i="5" a="1"/>
  <c r="J22" i="5" s="1"/>
  <c r="I22" i="5" a="1"/>
  <c r="I22" i="5" s="1"/>
  <c r="H22" i="5" a="1"/>
  <c r="H22" i="5"/>
  <c r="G22" i="5" a="1"/>
  <c r="G22" i="5" s="1"/>
  <c r="F22" i="5" a="1"/>
  <c r="F22" i="5" s="1"/>
  <c r="E22" i="5" a="1"/>
  <c r="E22" i="5" s="1"/>
  <c r="D22" i="5" a="1"/>
  <c r="D22" i="5"/>
  <c r="C22" i="5" a="1"/>
  <c r="C22" i="5" s="1"/>
  <c r="EF21" i="5" a="1"/>
  <c r="EF21" i="5" s="1"/>
  <c r="EE21" i="5" a="1"/>
  <c r="EE21" i="5"/>
  <c r="ED21" i="5" a="1"/>
  <c r="ED21" i="5"/>
  <c r="EC21" i="5" a="1"/>
  <c r="EC21" i="5"/>
  <c r="EB21" i="5" a="1"/>
  <c r="EB21" i="5" s="1"/>
  <c r="EA21" i="5" a="1"/>
  <c r="EA21" i="5" s="1"/>
  <c r="DZ21" i="5" a="1"/>
  <c r="DZ21" i="5" s="1"/>
  <c r="DY21" i="5" a="1"/>
  <c r="DY21" i="5" s="1"/>
  <c r="DX21" i="5" a="1"/>
  <c r="DX21" i="5" s="1"/>
  <c r="DW21" i="5" a="1"/>
  <c r="DW21" i="5" s="1"/>
  <c r="DV21" i="5" a="1"/>
  <c r="DV21" i="5"/>
  <c r="DU21" i="5" a="1"/>
  <c r="DU21" i="5"/>
  <c r="DT21" i="5" a="1"/>
  <c r="DT21" i="5" s="1"/>
  <c r="DS21" i="5" a="1"/>
  <c r="DS21" i="5" s="1"/>
  <c r="DR21" i="5" a="1"/>
  <c r="DR21" i="5"/>
  <c r="DQ21" i="5" a="1"/>
  <c r="DQ21" i="5" s="1"/>
  <c r="DP21" i="5" a="1"/>
  <c r="DP21" i="5"/>
  <c r="DO21" i="5" a="1"/>
  <c r="DO21" i="5" s="1"/>
  <c r="DN21" i="5" a="1"/>
  <c r="DN21" i="5" s="1"/>
  <c r="DM21" i="5" a="1"/>
  <c r="DM21" i="5" s="1"/>
  <c r="DL21" i="5" a="1"/>
  <c r="DL21" i="5" s="1"/>
  <c r="DK21" i="5" a="1"/>
  <c r="DK21" i="5" s="1"/>
  <c r="DJ21" i="5" a="1"/>
  <c r="DJ21" i="5"/>
  <c r="DI21" i="5" a="1"/>
  <c r="DI21" i="5"/>
  <c r="DH21" i="5" a="1"/>
  <c r="DH21" i="5" s="1"/>
  <c r="DG21" i="5" a="1"/>
  <c r="DG21" i="5" s="1"/>
  <c r="DF21" i="5" a="1"/>
  <c r="DF21" i="5" s="1"/>
  <c r="DE21" i="5" a="1"/>
  <c r="DE21" i="5" s="1"/>
  <c r="DD21" i="5" a="1"/>
  <c r="DD21" i="5"/>
  <c r="DC21" i="5" a="1"/>
  <c r="DC21" i="5" s="1"/>
  <c r="DB21" i="5" a="1"/>
  <c r="DB21" i="5" s="1"/>
  <c r="DA21" i="5" a="1"/>
  <c r="DA21" i="5" s="1"/>
  <c r="CZ21" i="5" a="1"/>
  <c r="CZ21" i="5"/>
  <c r="CY21" i="5" a="1"/>
  <c r="CY21" i="5" s="1"/>
  <c r="CX21" i="5" a="1"/>
  <c r="CX21" i="5" s="1"/>
  <c r="CW21" i="5" a="1"/>
  <c r="CW21" i="5"/>
  <c r="CV21" i="5" a="1"/>
  <c r="CV21" i="5" s="1"/>
  <c r="CU21" i="5" a="1"/>
  <c r="CU21" i="5" s="1"/>
  <c r="CT21" i="5" a="1"/>
  <c r="CT21" i="5"/>
  <c r="CS21" i="5" a="1"/>
  <c r="CS21" i="5" s="1"/>
  <c r="CR21" i="5" a="1"/>
  <c r="CR21" i="5" s="1"/>
  <c r="CQ21" i="5" a="1"/>
  <c r="CQ21" i="5" s="1"/>
  <c r="CP21" i="5" a="1"/>
  <c r="CP21" i="5" s="1"/>
  <c r="CO21" i="5" a="1"/>
  <c r="CO21" i="5"/>
  <c r="CN21" i="5" a="1"/>
  <c r="CN21" i="5" s="1"/>
  <c r="CM21" i="5" a="1"/>
  <c r="CM21" i="5"/>
  <c r="CL21" i="5" a="1"/>
  <c r="CL21" i="5" s="1"/>
  <c r="CK21" i="5" a="1"/>
  <c r="CK21" i="5" s="1"/>
  <c r="CJ21" i="5" a="1"/>
  <c r="CJ21" i="5" s="1"/>
  <c r="CI21" i="5" a="1"/>
  <c r="CI21" i="5"/>
  <c r="CH21" i="5" a="1"/>
  <c r="CH21" i="5" s="1"/>
  <c r="CG21" i="5" a="1"/>
  <c r="CG21" i="5" s="1"/>
  <c r="CF21" i="5" a="1"/>
  <c r="CF21" i="5" s="1"/>
  <c r="CE21" i="5" a="1"/>
  <c r="CE21" i="5"/>
  <c r="CD21" i="5" a="1"/>
  <c r="CD21" i="5" s="1"/>
  <c r="CC21" i="5" a="1"/>
  <c r="CC21" i="5" s="1"/>
  <c r="CB21" i="5" a="1"/>
  <c r="CB21" i="5"/>
  <c r="CA21" i="5" a="1"/>
  <c r="CA21" i="5"/>
  <c r="BZ21" i="5" a="1"/>
  <c r="BZ21" i="5"/>
  <c r="BY21" i="5" a="1"/>
  <c r="BY21" i="5" s="1"/>
  <c r="BX21" i="5" a="1"/>
  <c r="BX21" i="5" s="1"/>
  <c r="BW21" i="5" a="1"/>
  <c r="BW21" i="5" s="1"/>
  <c r="BV21" i="5" a="1"/>
  <c r="BV21" i="5" s="1"/>
  <c r="BU21" i="5" a="1"/>
  <c r="BU21" i="5" s="1"/>
  <c r="BT21" i="5" a="1"/>
  <c r="BT21" i="5"/>
  <c r="BS21" i="5" a="1"/>
  <c r="BS21" i="5" s="1"/>
  <c r="BR21" i="5" a="1"/>
  <c r="BR21" i="5" s="1"/>
  <c r="BQ21" i="5" a="1"/>
  <c r="BQ21" i="5" s="1"/>
  <c r="BP21" i="5" a="1"/>
  <c r="BP21" i="5" s="1"/>
  <c r="BO21" i="5" a="1"/>
  <c r="BO21" i="5"/>
  <c r="BN21" i="5" a="1"/>
  <c r="BN21" i="5" s="1"/>
  <c r="BM21" i="5" a="1"/>
  <c r="BM21" i="5"/>
  <c r="BL21" i="5" a="1"/>
  <c r="BL21" i="5" s="1"/>
  <c r="BK21" i="5" a="1"/>
  <c r="BK21" i="5" s="1"/>
  <c r="BJ21" i="5" a="1"/>
  <c r="BJ21" i="5" s="1"/>
  <c r="BI21" i="5" a="1"/>
  <c r="BI21" i="5"/>
  <c r="BH21" i="5" a="1"/>
  <c r="BH21" i="5"/>
  <c r="BG21" i="5" a="1"/>
  <c r="BG21" i="5" s="1"/>
  <c r="BF21" i="5" a="1"/>
  <c r="BF21" i="5"/>
  <c r="BE21" i="5" a="1"/>
  <c r="BE21" i="5" s="1"/>
  <c r="BD21" i="5" a="1"/>
  <c r="BD21" i="5" s="1"/>
  <c r="BC21" i="5" a="1"/>
  <c r="BC21" i="5" s="1"/>
  <c r="BB21" i="5" a="1"/>
  <c r="BB21" i="5"/>
  <c r="BA21" i="5" a="1"/>
  <c r="BA21" i="5" s="1"/>
  <c r="AZ21" i="5" a="1"/>
  <c r="AZ21" i="5" s="1"/>
  <c r="AY21" i="5" a="1"/>
  <c r="AY21" i="5" s="1"/>
  <c r="AX21" i="5" a="1"/>
  <c r="AX21" i="5" s="1"/>
  <c r="AW21" i="5" a="1"/>
  <c r="AW21" i="5" s="1"/>
  <c r="AV21" i="5" a="1"/>
  <c r="AV21" i="5"/>
  <c r="AU21" i="5" a="1"/>
  <c r="AU21" i="5"/>
  <c r="AT21" i="5" a="1"/>
  <c r="AT21" i="5" s="1"/>
  <c r="AS21" i="5" a="1"/>
  <c r="AS21" i="5"/>
  <c r="AR21" i="5" a="1"/>
  <c r="AR21" i="5" s="1"/>
  <c r="AQ21" i="5" a="1"/>
  <c r="AQ21" i="5" s="1"/>
  <c r="AP21" i="5" a="1"/>
  <c r="AP21" i="5" s="1"/>
  <c r="AO21" i="5" a="1"/>
  <c r="AO21" i="5" s="1"/>
  <c r="AN21" i="5" a="1"/>
  <c r="AN21" i="5" s="1"/>
  <c r="AM21" i="5" a="1"/>
  <c r="AM21" i="5" s="1"/>
  <c r="AL21" i="5" a="1"/>
  <c r="AL21" i="5" s="1"/>
  <c r="AK21" i="5" a="1"/>
  <c r="AK21" i="5"/>
  <c r="AJ21" i="5" a="1"/>
  <c r="AJ21" i="5"/>
  <c r="AI21" i="5" a="1"/>
  <c r="AI21" i="5" s="1"/>
  <c r="AH21" i="5" a="1"/>
  <c r="AH21" i="5" s="1"/>
  <c r="AG21" i="5" a="1"/>
  <c r="AG21" i="5" s="1"/>
  <c r="AF21" i="5" a="1"/>
  <c r="AF21" i="5" s="1"/>
  <c r="AE21" i="5" a="1"/>
  <c r="AE21" i="5" s="1"/>
  <c r="AD21" i="5" a="1"/>
  <c r="AD21" i="5" s="1"/>
  <c r="AC21" i="5" a="1"/>
  <c r="AC21" i="5" s="1"/>
  <c r="AB21" i="5" a="1"/>
  <c r="AB21" i="5" s="1"/>
  <c r="AA21" i="5" a="1"/>
  <c r="AA21" i="5"/>
  <c r="Z21" i="5" a="1"/>
  <c r="Z21" i="5"/>
  <c r="Y21" i="5" a="1"/>
  <c r="Y21" i="5" s="1"/>
  <c r="X21" i="5" a="1"/>
  <c r="X21" i="5"/>
  <c r="W21" i="5" a="1"/>
  <c r="W21" i="5"/>
  <c r="V21" i="5" a="1"/>
  <c r="V21" i="5" s="1"/>
  <c r="U21" i="5" a="1"/>
  <c r="U21" i="5"/>
  <c r="T21" i="5" a="1"/>
  <c r="T21" i="5"/>
  <c r="S21" i="5" a="1"/>
  <c r="S21" i="5" s="1"/>
  <c r="R21" i="5" a="1"/>
  <c r="R21" i="5" s="1"/>
  <c r="Q21" i="5" a="1"/>
  <c r="Q21" i="5"/>
  <c r="P21" i="5" a="1"/>
  <c r="P21" i="5"/>
  <c r="O21" i="5" a="1"/>
  <c r="O21" i="5" s="1"/>
  <c r="N21" i="5" a="1"/>
  <c r="N21" i="5" s="1"/>
  <c r="M21" i="5" a="1"/>
  <c r="M21" i="5"/>
  <c r="L21" i="5" a="1"/>
  <c r="L21" i="5"/>
  <c r="K21" i="5" a="1"/>
  <c r="K21" i="5" s="1"/>
  <c r="J21" i="5" a="1"/>
  <c r="J21" i="5"/>
  <c r="I21" i="5" a="1"/>
  <c r="I21" i="5" s="1"/>
  <c r="H21" i="5" a="1"/>
  <c r="H21" i="5" s="1"/>
  <c r="G21" i="5" a="1"/>
  <c r="G21" i="5" s="1"/>
  <c r="F21" i="5" a="1"/>
  <c r="F21" i="5" s="1"/>
  <c r="E21" i="5" a="1"/>
  <c r="E21" i="5"/>
  <c r="D21" i="5" a="1"/>
  <c r="D21" i="5"/>
  <c r="C21" i="5" a="1"/>
  <c r="C21" i="5" s="1"/>
  <c r="EF20" i="5" a="1"/>
  <c r="EF20" i="5" s="1"/>
  <c r="EE20" i="5" a="1"/>
  <c r="EE20" i="5"/>
  <c r="ED20" i="5" a="1"/>
  <c r="ED20" i="5" s="1"/>
  <c r="EC20" i="5" a="1"/>
  <c r="EC20" i="5"/>
  <c r="EB20" i="5" a="1"/>
  <c r="EB20" i="5"/>
  <c r="EA20" i="5" a="1"/>
  <c r="EA20" i="5" s="1"/>
  <c r="DZ20" i="5" a="1"/>
  <c r="DZ20" i="5" s="1"/>
  <c r="DY20" i="5" a="1"/>
  <c r="DY20" i="5" s="1"/>
  <c r="DX20" i="5" a="1"/>
  <c r="DX20" i="5" s="1"/>
  <c r="DW20" i="5" a="1"/>
  <c r="DW20" i="5" s="1"/>
  <c r="DV20" i="5" a="1"/>
  <c r="DV20" i="5"/>
  <c r="DU20" i="5" a="1"/>
  <c r="DU20" i="5"/>
  <c r="DT20" i="5" a="1"/>
  <c r="DT20" i="5" s="1"/>
  <c r="DS20" i="5" a="1"/>
  <c r="DS20" i="5" s="1"/>
  <c r="DR20" i="5" a="1"/>
  <c r="DR20" i="5" s="1"/>
  <c r="DQ20" i="5" a="1"/>
  <c r="DQ20" i="5" s="1"/>
  <c r="DP20" i="5" a="1"/>
  <c r="DP20" i="5" s="1"/>
  <c r="DO20" i="5" a="1"/>
  <c r="DO20" i="5" s="1"/>
  <c r="DN20" i="5" a="1"/>
  <c r="DN20" i="5" s="1"/>
  <c r="DM20" i="5" a="1"/>
  <c r="DM20" i="5" s="1"/>
  <c r="DL20" i="5" a="1"/>
  <c r="DL20" i="5"/>
  <c r="DK20" i="5" a="1"/>
  <c r="DK20" i="5" s="1"/>
  <c r="DJ20" i="5" a="1"/>
  <c r="DJ20" i="5"/>
  <c r="DI20" i="5" a="1"/>
  <c r="DI20" i="5"/>
  <c r="DH20" i="5" a="1"/>
  <c r="DH20" i="5" s="1"/>
  <c r="DG20" i="5" a="1"/>
  <c r="DG20" i="5"/>
  <c r="DF20" i="5" a="1"/>
  <c r="DF20" i="5" s="1"/>
  <c r="DE20" i="5" a="1"/>
  <c r="DE20" i="5" s="1"/>
  <c r="DD20" i="5" a="1"/>
  <c r="DD20" i="5" s="1"/>
  <c r="DC20" i="5" a="1"/>
  <c r="DC20" i="5" s="1"/>
  <c r="DB20" i="5" a="1"/>
  <c r="DB20" i="5"/>
  <c r="DA20" i="5" a="1"/>
  <c r="DA20" i="5"/>
  <c r="CZ20" i="5" a="1"/>
  <c r="CZ20" i="5" s="1"/>
  <c r="CY20" i="5" a="1"/>
  <c r="CY20" i="5" s="1"/>
  <c r="CX20" i="5" a="1"/>
  <c r="CX20" i="5"/>
  <c r="CW20" i="5" a="1"/>
  <c r="CW20" i="5" s="1"/>
  <c r="CV20" i="5" a="1"/>
  <c r="CV20" i="5"/>
  <c r="CU20" i="5" a="1"/>
  <c r="CU20" i="5"/>
  <c r="CT20" i="5" a="1"/>
  <c r="CT20" i="5" s="1"/>
  <c r="CS20" i="5" a="1"/>
  <c r="CS20" i="5" s="1"/>
  <c r="CR20" i="5" a="1"/>
  <c r="CR20" i="5" s="1"/>
  <c r="CQ20" i="5" a="1"/>
  <c r="CQ20" i="5"/>
  <c r="CP20" i="5" a="1"/>
  <c r="CP20" i="5" s="1"/>
  <c r="CO20" i="5" a="1"/>
  <c r="CO20" i="5" s="1"/>
  <c r="CN20" i="5" a="1"/>
  <c r="CN20" i="5"/>
  <c r="CM20" i="5" a="1"/>
  <c r="CM20" i="5"/>
  <c r="CL20" i="5" a="1"/>
  <c r="CL20" i="5" s="1"/>
  <c r="CK20" i="5" a="1"/>
  <c r="CK20" i="5" s="1"/>
  <c r="CJ20" i="5" a="1"/>
  <c r="CJ20" i="5" s="1"/>
  <c r="CI20" i="5" a="1"/>
  <c r="CI20" i="5" s="1"/>
  <c r="CH20" i="5" a="1"/>
  <c r="CH20" i="5" s="1"/>
  <c r="CG20" i="5" a="1"/>
  <c r="CG20" i="5"/>
  <c r="CF20" i="5" a="1"/>
  <c r="CF20" i="5"/>
  <c r="CE20" i="5" a="1"/>
  <c r="CE20" i="5" s="1"/>
  <c r="CD20" i="5" a="1"/>
  <c r="CD20" i="5" s="1"/>
  <c r="CC20" i="5" a="1"/>
  <c r="CC20" i="5" s="1"/>
  <c r="CB20" i="5" a="1"/>
  <c r="CB20" i="5" s="1"/>
  <c r="CA20" i="5" a="1"/>
  <c r="CA20" i="5" s="1"/>
  <c r="BZ20" i="5" a="1"/>
  <c r="BZ20" i="5" s="1"/>
  <c r="BY20" i="5" a="1"/>
  <c r="BY20" i="5" s="1"/>
  <c r="BX20" i="5" a="1"/>
  <c r="BX20" i="5" s="1"/>
  <c r="BW20" i="5" a="1"/>
  <c r="BW20" i="5" s="1"/>
  <c r="BV20" i="5" a="1"/>
  <c r="BV20" i="5" s="1"/>
  <c r="BU20" i="5" a="1"/>
  <c r="BU20" i="5"/>
  <c r="BT20" i="5" a="1"/>
  <c r="BT20" i="5"/>
  <c r="BS20" i="5" a="1"/>
  <c r="BS20" i="5" s="1"/>
  <c r="BR20" i="5" a="1"/>
  <c r="BR20" i="5"/>
  <c r="BQ20" i="5" a="1"/>
  <c r="BQ20" i="5"/>
  <c r="BP20" i="5" a="1"/>
  <c r="BP20" i="5" s="1"/>
  <c r="BO20" i="5" a="1"/>
  <c r="BO20" i="5"/>
  <c r="BN20" i="5" a="1"/>
  <c r="BN20" i="5" s="1"/>
  <c r="BM20" i="5" a="1"/>
  <c r="BM20" i="5" s="1"/>
  <c r="BL20" i="5" a="1"/>
  <c r="BL20" i="5" s="1"/>
  <c r="BK20" i="5" a="1"/>
  <c r="BK20" i="5"/>
  <c r="BJ20" i="5" a="1"/>
  <c r="BJ20" i="5" s="1"/>
  <c r="BI20" i="5" a="1"/>
  <c r="BI20" i="5" s="1"/>
  <c r="BH20" i="5" a="1"/>
  <c r="BH20" i="5"/>
  <c r="BG20" i="5" a="1"/>
  <c r="BG20" i="5"/>
  <c r="BF20" i="5" a="1"/>
  <c r="BF20" i="5" s="1"/>
  <c r="BE20" i="5" a="1"/>
  <c r="BE20" i="5" s="1"/>
  <c r="BD20" i="5" a="1"/>
  <c r="BD20" i="5"/>
  <c r="BC20" i="5" a="1"/>
  <c r="BC20" i="5" s="1"/>
  <c r="BB20" i="5" a="1"/>
  <c r="BB20" i="5" s="1"/>
  <c r="BA20" i="5" a="1"/>
  <c r="BA20" i="5" s="1"/>
  <c r="AZ20" i="5" a="1"/>
  <c r="AZ20" i="5" s="1"/>
  <c r="AY20" i="5" a="1"/>
  <c r="AY20" i="5"/>
  <c r="AX20" i="5" a="1"/>
  <c r="AX20" i="5" s="1"/>
  <c r="AW20" i="5" a="1"/>
  <c r="AW20" i="5" s="1"/>
  <c r="AV20" i="5" a="1"/>
  <c r="AV20" i="5" s="1"/>
  <c r="AU20" i="5" a="1"/>
  <c r="AU20" i="5" s="1"/>
  <c r="AT20" i="5" a="1"/>
  <c r="AT20" i="5" s="1"/>
  <c r="AS20" i="5" a="1"/>
  <c r="AS20" i="5"/>
  <c r="AR20" i="5" a="1"/>
  <c r="AR20" i="5" s="1"/>
  <c r="AQ20" i="5" a="1"/>
  <c r="AQ20" i="5" s="1"/>
  <c r="AP20" i="5" a="1"/>
  <c r="AP20" i="5" s="1"/>
  <c r="AO20" i="5" a="1"/>
  <c r="AO20" i="5" s="1"/>
  <c r="AN20" i="5" a="1"/>
  <c r="AN20" i="5" s="1"/>
  <c r="AM20" i="5" a="1"/>
  <c r="AM20" i="5"/>
  <c r="AL20" i="5" a="1"/>
  <c r="AL20" i="5"/>
  <c r="AK20" i="5" a="1"/>
  <c r="AK20" i="5" s="1"/>
  <c r="AJ20" i="5" a="1"/>
  <c r="AJ20" i="5"/>
  <c r="AI20" i="5" a="1"/>
  <c r="AI20" i="5" s="1"/>
  <c r="AH20" i="5" a="1"/>
  <c r="AH20" i="5" s="1"/>
  <c r="AG20" i="5" a="1"/>
  <c r="AG20" i="5"/>
  <c r="AF20" i="5" a="1"/>
  <c r="AF20" i="5" s="1"/>
  <c r="AE20" i="5" a="1"/>
  <c r="AE20" i="5" s="1"/>
  <c r="AD20" i="5" a="1"/>
  <c r="AD20" i="5" s="1"/>
  <c r="AC20" i="5" a="1"/>
  <c r="AC20" i="5" s="1"/>
  <c r="AB20" i="5" a="1"/>
  <c r="AB20" i="5"/>
  <c r="AA20" i="5" a="1"/>
  <c r="AA20" i="5" s="1"/>
  <c r="Z20" i="5" a="1"/>
  <c r="Z20" i="5"/>
  <c r="Y20" i="5" a="1"/>
  <c r="Y20" i="5"/>
  <c r="X20" i="5" a="1"/>
  <c r="X20" i="5" s="1"/>
  <c r="W20" i="5" a="1"/>
  <c r="W20" i="5"/>
  <c r="V20" i="5" a="1"/>
  <c r="V20" i="5" s="1"/>
  <c r="U20" i="5" a="1"/>
  <c r="U20" i="5" s="1"/>
  <c r="T20" i="5" a="1"/>
  <c r="T20" i="5" s="1"/>
  <c r="S20" i="5" a="1"/>
  <c r="S20" i="5" s="1"/>
  <c r="R20" i="5" a="1"/>
  <c r="R20" i="5" s="1"/>
  <c r="Q20" i="5" a="1"/>
  <c r="Q20" i="5"/>
  <c r="P20" i="5" a="1"/>
  <c r="P20" i="5"/>
  <c r="O20" i="5" a="1"/>
  <c r="O20" i="5" s="1"/>
  <c r="N20" i="5" a="1"/>
  <c r="N20" i="5" s="1"/>
  <c r="M20" i="5" a="1"/>
  <c r="M20" i="5" s="1"/>
  <c r="L20" i="5" a="1"/>
  <c r="L20" i="5" s="1"/>
  <c r="K20" i="5" a="1"/>
  <c r="K20" i="5"/>
  <c r="J20" i="5" a="1"/>
  <c r="J20" i="5" s="1"/>
  <c r="I20" i="5" a="1"/>
  <c r="I20" i="5" s="1"/>
  <c r="H20" i="5" a="1"/>
  <c r="H20" i="5" s="1"/>
  <c r="G20" i="5" a="1"/>
  <c r="G20" i="5"/>
  <c r="F20" i="5" a="1"/>
  <c r="F20" i="5" s="1"/>
  <c r="E20" i="5" a="1"/>
  <c r="E20" i="5" s="1"/>
  <c r="D20" i="5" a="1"/>
  <c r="D20" i="5"/>
  <c r="C20" i="5" a="1"/>
  <c r="C20" i="5"/>
  <c r="EF19" i="5" a="1"/>
  <c r="EF19" i="5" s="1"/>
  <c r="EE19" i="5" a="1"/>
  <c r="EE19" i="5"/>
  <c r="ED19" i="5" a="1"/>
  <c r="ED19" i="5" s="1"/>
  <c r="EC19" i="5" a="1"/>
  <c r="EC19" i="5" s="1"/>
  <c r="EB19" i="5" a="1"/>
  <c r="EB19" i="5" s="1"/>
  <c r="EA19" i="5" a="1"/>
  <c r="EA19" i="5" s="1"/>
  <c r="DZ19" i="5" a="1"/>
  <c r="DZ19" i="5" s="1"/>
  <c r="DY19" i="5" a="1"/>
  <c r="DY19" i="5" s="1"/>
  <c r="DX19" i="5" a="1"/>
  <c r="DX19" i="5" s="1"/>
  <c r="DW19" i="5" a="1"/>
  <c r="DW19" i="5" s="1"/>
  <c r="DV19" i="5" a="1"/>
  <c r="DV19" i="5"/>
  <c r="DU19" i="5" a="1"/>
  <c r="DU19" i="5" s="1"/>
  <c r="DT19" i="5" a="1"/>
  <c r="DT19" i="5"/>
  <c r="DS19" i="5" a="1"/>
  <c r="DS19" i="5" s="1"/>
  <c r="DR19" i="5" a="1"/>
  <c r="DR19" i="5" s="1"/>
  <c r="DQ19" i="5" a="1"/>
  <c r="DQ19" i="5" s="1"/>
  <c r="DP19" i="5" a="1"/>
  <c r="DP19" i="5" s="1"/>
  <c r="DO19" i="5" a="1"/>
  <c r="DO19" i="5" s="1"/>
  <c r="DN19" i="5" a="1"/>
  <c r="DN19" i="5"/>
  <c r="DM19" i="5" a="1"/>
  <c r="DM19" i="5" s="1"/>
  <c r="DL19" i="5" a="1"/>
  <c r="DL19" i="5" s="1"/>
  <c r="DK19" i="5" a="1"/>
  <c r="DK19" i="5" s="1"/>
  <c r="DJ19" i="5" a="1"/>
  <c r="DJ19" i="5" s="1"/>
  <c r="DI19" i="5" a="1"/>
  <c r="DI19" i="5" s="1"/>
  <c r="DH19" i="5" a="1"/>
  <c r="DH19" i="5"/>
  <c r="DG19" i="5" a="1"/>
  <c r="DG19" i="5" s="1"/>
  <c r="DF19" i="5" a="1"/>
  <c r="DF19" i="5" s="1"/>
  <c r="DE19" i="5" a="1"/>
  <c r="DE19" i="5" s="1"/>
  <c r="DD19" i="5" a="1"/>
  <c r="DD19" i="5" s="1"/>
  <c r="DC19" i="5" a="1"/>
  <c r="DC19" i="5"/>
  <c r="DB19" i="5" a="1"/>
  <c r="DB19" i="5" s="1"/>
  <c r="DA19" i="5" a="1"/>
  <c r="DA19" i="5"/>
  <c r="CZ19" i="5" a="1"/>
  <c r="CZ19" i="5" s="1"/>
  <c r="CY19" i="5" a="1"/>
  <c r="CY19" i="5" s="1"/>
  <c r="CX19" i="5" a="1"/>
  <c r="CX19" i="5"/>
  <c r="CW19" i="5" a="1"/>
  <c r="CW19" i="5" s="1"/>
  <c r="CV19" i="5" a="1"/>
  <c r="CV19" i="5" s="1"/>
  <c r="CU19" i="5" a="1"/>
  <c r="CU19" i="5" s="1"/>
  <c r="CT19" i="5" a="1"/>
  <c r="CT19" i="5" s="1"/>
  <c r="CS19" i="5" a="1"/>
  <c r="CS19" i="5" s="1"/>
  <c r="CR19" i="5" a="1"/>
  <c r="CR19" i="5"/>
  <c r="CQ19" i="5" a="1"/>
  <c r="CQ19" i="5" s="1"/>
  <c r="CP19" i="5" a="1"/>
  <c r="CP19" i="5" s="1"/>
  <c r="CO19" i="5" a="1"/>
  <c r="CO19" i="5" s="1"/>
  <c r="CN19" i="5" a="1"/>
  <c r="CN19" i="5" s="1"/>
  <c r="CM19" i="5" a="1"/>
  <c r="CM19" i="5" s="1"/>
  <c r="CL19" i="5" a="1"/>
  <c r="CL19" i="5"/>
  <c r="CK19" i="5" a="1"/>
  <c r="CK19" i="5" s="1"/>
  <c r="CJ19" i="5" a="1"/>
  <c r="CJ19" i="5" s="1"/>
  <c r="CI19" i="5" a="1"/>
  <c r="CI19" i="5" s="1"/>
  <c r="CH19" i="5" a="1"/>
  <c r="CH19" i="5" s="1"/>
  <c r="CG19" i="5" a="1"/>
  <c r="CG19" i="5"/>
  <c r="CF19" i="5" a="1"/>
  <c r="CF19" i="5" s="1"/>
  <c r="CE19" i="5" a="1"/>
  <c r="CE19" i="5" s="1"/>
  <c r="CD19" i="5" a="1"/>
  <c r="CD19" i="5" s="1"/>
  <c r="CC19" i="5" a="1"/>
  <c r="CC19" i="5" s="1"/>
  <c r="CB19" i="5" a="1"/>
  <c r="CB19" i="5" s="1"/>
  <c r="CA19" i="5" a="1"/>
  <c r="CA19" i="5" s="1"/>
  <c r="BZ19" i="5" a="1"/>
  <c r="BZ19" i="5" s="1"/>
  <c r="BY19" i="5" a="1"/>
  <c r="BY19" i="5" s="1"/>
  <c r="BX19" i="5" a="1"/>
  <c r="BX19" i="5" s="1"/>
  <c r="BW19" i="5" a="1"/>
  <c r="BW19" i="5" s="1"/>
  <c r="BV19" i="5" a="1"/>
  <c r="BV19" i="5" s="1"/>
  <c r="BU19" i="5" a="1"/>
  <c r="BU19" i="5" s="1"/>
  <c r="BT19" i="5" a="1"/>
  <c r="BT19" i="5" s="1"/>
  <c r="BS19" i="5" a="1"/>
  <c r="BS19" i="5" s="1"/>
  <c r="BR19" i="5" a="1"/>
  <c r="BR19" i="5" s="1"/>
  <c r="BQ19" i="5" a="1"/>
  <c r="BQ19" i="5" s="1"/>
  <c r="BP19" i="5" a="1"/>
  <c r="BP19" i="5"/>
  <c r="BO19" i="5" a="1"/>
  <c r="BO19" i="5" s="1"/>
  <c r="BN19" i="5" a="1"/>
  <c r="BN19" i="5" s="1"/>
  <c r="BM19" i="5" a="1"/>
  <c r="BM19" i="5" s="1"/>
  <c r="BL19" i="5" a="1"/>
  <c r="BL19" i="5" s="1"/>
  <c r="BK19" i="5" a="1"/>
  <c r="BK19" i="5" s="1"/>
  <c r="BJ19" i="5" a="1"/>
  <c r="BJ19" i="5" s="1"/>
  <c r="BI19" i="5" a="1"/>
  <c r="BI19" i="5" s="1"/>
  <c r="BH19" i="5" a="1"/>
  <c r="BH19" i="5" s="1"/>
  <c r="BG19" i="5" a="1"/>
  <c r="BG19" i="5" s="1"/>
  <c r="BF19" i="5" a="1"/>
  <c r="BF19" i="5" s="1"/>
  <c r="BE19" i="5" a="1"/>
  <c r="BE19" i="5"/>
  <c r="BD19" i="5" a="1"/>
  <c r="BD19" i="5" s="1"/>
  <c r="BC19" i="5" a="1"/>
  <c r="BC19" i="5" s="1"/>
  <c r="BB19" i="5" a="1"/>
  <c r="BB19" i="5" s="1"/>
  <c r="BA19" i="5" a="1"/>
  <c r="BA19" i="5" s="1"/>
  <c r="AZ19" i="5" a="1"/>
  <c r="AZ19" i="5"/>
  <c r="AY19" i="5" a="1"/>
  <c r="AY19" i="5" s="1"/>
  <c r="AX19" i="5" a="1"/>
  <c r="AX19" i="5" s="1"/>
  <c r="AW19" i="5" a="1"/>
  <c r="AW19" i="5" s="1"/>
  <c r="AV19" i="5" a="1"/>
  <c r="AV19" i="5" s="1"/>
  <c r="AU19" i="5" a="1"/>
  <c r="AU19" i="5" s="1"/>
  <c r="AT19" i="5" a="1"/>
  <c r="AT19" i="5" s="1"/>
  <c r="AS19" i="5" a="1"/>
  <c r="AS19" i="5" s="1"/>
  <c r="AR19" i="5" a="1"/>
  <c r="AR19" i="5" s="1"/>
  <c r="AQ19" i="5" a="1"/>
  <c r="AQ19" i="5" s="1"/>
  <c r="AP19" i="5" a="1"/>
  <c r="AP19" i="5"/>
  <c r="AO19" i="5" a="1"/>
  <c r="AO19" i="5" s="1"/>
  <c r="AN19" i="5" a="1"/>
  <c r="AN19" i="5"/>
  <c r="AM19" i="5" a="1"/>
  <c r="AM19" i="5" s="1"/>
  <c r="AL19" i="5" a="1"/>
  <c r="AL19" i="5" s="1"/>
  <c r="AK19" i="5" a="1"/>
  <c r="AK19" i="5" s="1"/>
  <c r="AJ19" i="5" a="1"/>
  <c r="AJ19" i="5" s="1"/>
  <c r="AI19" i="5" a="1"/>
  <c r="AI19" i="5"/>
  <c r="AH19" i="5" a="1"/>
  <c r="AH19" i="5"/>
  <c r="AG19" i="5" a="1"/>
  <c r="AG19" i="5" s="1"/>
  <c r="AF19" i="5" a="1"/>
  <c r="AF19" i="5" s="1"/>
  <c r="AE19" i="5" a="1"/>
  <c r="AE19" i="5" s="1"/>
  <c r="AD19" i="5" a="1"/>
  <c r="AD19" i="5" s="1"/>
  <c r="AC19" i="5" a="1"/>
  <c r="AC19" i="5" s="1"/>
  <c r="AB19" i="5" a="1"/>
  <c r="AB19" i="5" s="1"/>
  <c r="AA19" i="5" a="1"/>
  <c r="AA19" i="5"/>
  <c r="Z19" i="5" a="1"/>
  <c r="Z19" i="5" s="1"/>
  <c r="Y19" i="5" a="1"/>
  <c r="Y19" i="5"/>
  <c r="X19" i="5" a="1"/>
  <c r="X19" i="5" s="1"/>
  <c r="W19" i="5" a="1"/>
  <c r="W19" i="5" s="1"/>
  <c r="V19" i="5" a="1"/>
  <c r="V19" i="5" s="1"/>
  <c r="U19" i="5" a="1"/>
  <c r="U19" i="5"/>
  <c r="T19" i="5" a="1"/>
  <c r="T19" i="5" s="1"/>
  <c r="S19" i="5" a="1"/>
  <c r="S19" i="5" s="1"/>
  <c r="R19" i="5" a="1"/>
  <c r="R19" i="5"/>
  <c r="Q19" i="5" a="1"/>
  <c r="Q19" i="5"/>
  <c r="P19" i="5" a="1"/>
  <c r="P19" i="5" s="1"/>
  <c r="O19" i="5" a="1"/>
  <c r="O19" i="5" s="1"/>
  <c r="N19" i="5" a="1"/>
  <c r="N19" i="5"/>
  <c r="M19" i="5" a="1"/>
  <c r="M19" i="5" s="1"/>
  <c r="L19" i="5" a="1"/>
  <c r="L19" i="5" s="1"/>
  <c r="K19" i="5" a="1"/>
  <c r="K19" i="5"/>
  <c r="J19" i="5" a="1"/>
  <c r="J19" i="5" s="1"/>
  <c r="I19" i="5" a="1"/>
  <c r="I19" i="5" s="1"/>
  <c r="H19" i="5" a="1"/>
  <c r="H19" i="5" s="1"/>
  <c r="G19" i="5" a="1"/>
  <c r="G19" i="5" s="1"/>
  <c r="F19" i="5" a="1"/>
  <c r="F19" i="5" s="1"/>
  <c r="E19" i="5" a="1"/>
  <c r="E19" i="5" s="1"/>
  <c r="D19" i="5" a="1"/>
  <c r="D19" i="5"/>
  <c r="C19" i="5" a="1"/>
  <c r="C19" i="5" s="1"/>
  <c r="EF18" i="5" a="1"/>
  <c r="EF18" i="5" s="1"/>
  <c r="EE18" i="5" a="1"/>
  <c r="EE18" i="5" s="1"/>
  <c r="ED18" i="5" a="1"/>
  <c r="ED18" i="5"/>
  <c r="EC18" i="5" a="1"/>
  <c r="EC18" i="5" s="1"/>
  <c r="EB18" i="5" a="1"/>
  <c r="EB18" i="5" s="1"/>
  <c r="EA18" i="5" a="1"/>
  <c r="EA18" i="5" s="1"/>
  <c r="DZ18" i="5" a="1"/>
  <c r="DZ18" i="5" s="1"/>
  <c r="DY18" i="5" a="1"/>
  <c r="DY18" i="5" s="1"/>
  <c r="DX18" i="5" a="1"/>
  <c r="DX18" i="5" s="1"/>
  <c r="DW18" i="5" a="1"/>
  <c r="DW18" i="5" s="1"/>
  <c r="DV18" i="5" a="1"/>
  <c r="DV18" i="5" s="1"/>
  <c r="DU18" i="5" a="1"/>
  <c r="DU18" i="5" s="1"/>
  <c r="DT18" i="5" a="1"/>
  <c r="DT18" i="5"/>
  <c r="DS18" i="5" a="1"/>
  <c r="DS18" i="5" s="1"/>
  <c r="DR18" i="5" a="1"/>
  <c r="DR18" i="5" s="1"/>
  <c r="DQ18" i="5" a="1"/>
  <c r="DQ18" i="5" s="1"/>
  <c r="DP18" i="5" a="1"/>
  <c r="DP18" i="5" s="1"/>
  <c r="DO18" i="5" a="1"/>
  <c r="DO18" i="5" s="1"/>
  <c r="DN18" i="5" a="1"/>
  <c r="DN18" i="5" s="1"/>
  <c r="DM18" i="5" a="1"/>
  <c r="DM18" i="5" s="1"/>
  <c r="DL18" i="5" a="1"/>
  <c r="DL18" i="5"/>
  <c r="DK18" i="5" a="1"/>
  <c r="DK18" i="5" s="1"/>
  <c r="DJ18" i="5" a="1"/>
  <c r="DJ18" i="5" s="1"/>
  <c r="DI18" i="5" a="1"/>
  <c r="DI18" i="5" s="1"/>
  <c r="DH18" i="5" a="1"/>
  <c r="DH18" i="5" s="1"/>
  <c r="DG18" i="5" a="1"/>
  <c r="DG18" i="5" s="1"/>
  <c r="DF18" i="5" a="1"/>
  <c r="DF18" i="5" s="1"/>
  <c r="DE18" i="5" a="1"/>
  <c r="DE18" i="5" s="1"/>
  <c r="DD18" i="5" a="1"/>
  <c r="DD18" i="5" s="1"/>
  <c r="DC18" i="5" a="1"/>
  <c r="DC18" i="5" s="1"/>
  <c r="DB18" i="5" a="1"/>
  <c r="DB18" i="5" s="1"/>
  <c r="DA18" i="5" a="1"/>
  <c r="DA18" i="5" s="1"/>
  <c r="CZ18" i="5" a="1"/>
  <c r="CZ18" i="5" s="1"/>
  <c r="CY18" i="5" a="1"/>
  <c r="CY18" i="5" s="1"/>
  <c r="CX18" i="5" a="1"/>
  <c r="CX18" i="5" s="1"/>
  <c r="CW18" i="5" a="1"/>
  <c r="CW18" i="5"/>
  <c r="CV18" i="5" a="1"/>
  <c r="CV18" i="5" s="1"/>
  <c r="CU18" i="5" a="1"/>
  <c r="CU18" i="5" s="1"/>
  <c r="CT18" i="5" a="1"/>
  <c r="CT18" i="5"/>
  <c r="CS18" i="5" a="1"/>
  <c r="CS18" i="5" s="1"/>
  <c r="CR18" i="5" a="1"/>
  <c r="CR18" i="5" s="1"/>
  <c r="CQ18" i="5" a="1"/>
  <c r="CQ18" i="5" s="1"/>
  <c r="CP18" i="5" a="1"/>
  <c r="CP18" i="5" s="1"/>
  <c r="CO18" i="5" a="1"/>
  <c r="CO18" i="5"/>
  <c r="CN18" i="5" a="1"/>
  <c r="CN18" i="5" s="1"/>
  <c r="CM18" i="5" a="1"/>
  <c r="CM18" i="5" s="1"/>
  <c r="CL18" i="5" a="1"/>
  <c r="CL18" i="5"/>
  <c r="CK18" i="5" a="1"/>
  <c r="CK18" i="5" s="1"/>
  <c r="CJ18" i="5" a="1"/>
  <c r="CJ18" i="5" s="1"/>
  <c r="CI18" i="5" a="1"/>
  <c r="CI18" i="5" s="1"/>
  <c r="CH18" i="5" a="1"/>
  <c r="CH18" i="5" s="1"/>
  <c r="CG18" i="5" a="1"/>
  <c r="CG18" i="5" s="1"/>
  <c r="CF18" i="5" a="1"/>
  <c r="CF18" i="5" s="1"/>
  <c r="CE18" i="5" a="1"/>
  <c r="CE18" i="5" s="1"/>
  <c r="CD18" i="5" a="1"/>
  <c r="CD18" i="5" s="1"/>
  <c r="CC18" i="5" a="1"/>
  <c r="CC18" i="5" s="1"/>
  <c r="CB18" i="5" a="1"/>
  <c r="CB18" i="5"/>
  <c r="CA18" i="5" a="1"/>
  <c r="CA18" i="5" s="1"/>
  <c r="BZ18" i="5" a="1"/>
  <c r="BZ18" i="5" s="1"/>
  <c r="BY18" i="5" a="1"/>
  <c r="BY18" i="5" s="1"/>
  <c r="BX18" i="5" a="1"/>
  <c r="BX18" i="5" s="1"/>
  <c r="BW18" i="5" a="1"/>
  <c r="BW18" i="5" s="1"/>
  <c r="BV18" i="5" a="1"/>
  <c r="BV18" i="5" s="1"/>
  <c r="BU18" i="5" a="1"/>
  <c r="BU18" i="5" s="1"/>
  <c r="BT18" i="5" a="1"/>
  <c r="BT18" i="5" s="1"/>
  <c r="BS18" i="5" a="1"/>
  <c r="BS18" i="5" s="1"/>
  <c r="BR18" i="5" a="1"/>
  <c r="BR18" i="5"/>
  <c r="BQ18" i="5" a="1"/>
  <c r="BQ18" i="5" s="1"/>
  <c r="BP18" i="5" a="1"/>
  <c r="BP18" i="5" s="1"/>
  <c r="BO18" i="5" a="1"/>
  <c r="BO18" i="5" s="1"/>
  <c r="BN18" i="5" a="1"/>
  <c r="BN18" i="5" s="1"/>
  <c r="BM18" i="5" a="1"/>
  <c r="BM18" i="5"/>
  <c r="BL18" i="5" a="1"/>
  <c r="BL18" i="5" s="1"/>
  <c r="BK18" i="5" a="1"/>
  <c r="BK18" i="5" s="1"/>
  <c r="BJ18" i="5" a="1"/>
  <c r="BJ18" i="5" s="1"/>
  <c r="BI18" i="5" a="1"/>
  <c r="BI18" i="5" s="1"/>
  <c r="BH18" i="5" a="1"/>
  <c r="BH18" i="5" s="1"/>
  <c r="BG18" i="5" a="1"/>
  <c r="BG18" i="5" s="1"/>
  <c r="BF18" i="5" a="1"/>
  <c r="BF18" i="5" s="1"/>
  <c r="BE18" i="5" a="1"/>
  <c r="BE18" i="5" s="1"/>
  <c r="BD18" i="5" a="1"/>
  <c r="BD18" i="5" s="1"/>
  <c r="BC18" i="5" a="1"/>
  <c r="BC18" i="5" s="1"/>
  <c r="BB18" i="5" a="1"/>
  <c r="BB18" i="5" s="1"/>
  <c r="BA18" i="5" a="1"/>
  <c r="BA18" i="5" s="1"/>
  <c r="AZ18" i="5" a="1"/>
  <c r="AZ18" i="5" s="1"/>
  <c r="AY18" i="5" a="1"/>
  <c r="AY18" i="5" s="1"/>
  <c r="AX18" i="5" a="1"/>
  <c r="AX18" i="5"/>
  <c r="AW18" i="5" a="1"/>
  <c r="AW18" i="5" s="1"/>
  <c r="AV18" i="5" a="1"/>
  <c r="AV18" i="5" s="1"/>
  <c r="AU18" i="5" a="1"/>
  <c r="AU18" i="5" s="1"/>
  <c r="AT18" i="5" a="1"/>
  <c r="AT18" i="5" s="1"/>
  <c r="AS18" i="5" a="1"/>
  <c r="AS18" i="5" s="1"/>
  <c r="AR18" i="5" a="1"/>
  <c r="AR18" i="5" s="1"/>
  <c r="AQ18" i="5" a="1"/>
  <c r="AQ18" i="5" s="1"/>
  <c r="AP18" i="5" a="1"/>
  <c r="AP18" i="5" s="1"/>
  <c r="AO18" i="5" a="1"/>
  <c r="AO18" i="5" s="1"/>
  <c r="AN18" i="5" a="1"/>
  <c r="AN18" i="5" s="1"/>
  <c r="AM18" i="5" a="1"/>
  <c r="AM18" i="5" s="1"/>
  <c r="AL18" i="5" a="1"/>
  <c r="AL18" i="5"/>
  <c r="AK18" i="5" a="1"/>
  <c r="AK18" i="5" s="1"/>
  <c r="AJ18" i="5" a="1"/>
  <c r="AJ18" i="5" s="1"/>
  <c r="AI18" i="5" a="1"/>
  <c r="AI18" i="5"/>
  <c r="AH18" i="5" a="1"/>
  <c r="AH18" i="5" s="1"/>
  <c r="AG18" i="5" a="1"/>
  <c r="AG18" i="5" s="1"/>
  <c r="AF18" i="5" a="1"/>
  <c r="AF18" i="5" s="1"/>
  <c r="AE18" i="5" a="1"/>
  <c r="AE18" i="5" s="1"/>
  <c r="AD18" i="5" a="1"/>
  <c r="AD18" i="5" s="1"/>
  <c r="AC18" i="5" a="1"/>
  <c r="AC18" i="5" s="1"/>
  <c r="AB18" i="5" a="1"/>
  <c r="AB18" i="5" s="1"/>
  <c r="AA18" i="5" a="1"/>
  <c r="AA18" i="5"/>
  <c r="Z18" i="5" a="1"/>
  <c r="Z18" i="5" s="1"/>
  <c r="Y18" i="5" a="1"/>
  <c r="Y18" i="5"/>
  <c r="X18" i="5" a="1"/>
  <c r="X18" i="5"/>
  <c r="W18" i="5" a="1"/>
  <c r="W18" i="5"/>
  <c r="V18" i="5" a="1"/>
  <c r="V18" i="5" s="1"/>
  <c r="U18" i="5" a="1"/>
  <c r="U18" i="5"/>
  <c r="T18" i="5" a="1"/>
  <c r="T18" i="5" s="1"/>
  <c r="S18" i="5" a="1"/>
  <c r="S18" i="5" s="1"/>
  <c r="R18" i="5" a="1"/>
  <c r="R18" i="5" s="1"/>
  <c r="Q18" i="5" a="1"/>
  <c r="Q18" i="5" s="1"/>
  <c r="P18" i="5" a="1"/>
  <c r="P18" i="5" s="1"/>
  <c r="O18" i="5" a="1"/>
  <c r="O18" i="5" s="1"/>
  <c r="N18" i="5" a="1"/>
  <c r="N18" i="5" s="1"/>
  <c r="M18" i="5" a="1"/>
  <c r="M18" i="5" s="1"/>
  <c r="L18" i="5" a="1"/>
  <c r="L18" i="5"/>
  <c r="K18" i="5" a="1"/>
  <c r="K18" i="5" s="1"/>
  <c r="J18" i="5" a="1"/>
  <c r="J18" i="5" s="1"/>
  <c r="I18" i="5" a="1"/>
  <c r="I18" i="5" s="1"/>
  <c r="H18" i="5" a="1"/>
  <c r="H18" i="5" s="1"/>
  <c r="G18" i="5" a="1"/>
  <c r="G18" i="5" s="1"/>
  <c r="F18" i="5" a="1"/>
  <c r="F18" i="5" s="1"/>
  <c r="E18" i="5" a="1"/>
  <c r="E18" i="5" s="1"/>
  <c r="D18" i="5" a="1"/>
  <c r="D18" i="5"/>
  <c r="C18" i="5" a="1"/>
  <c r="C18" i="5" s="1"/>
  <c r="EF17" i="5" a="1"/>
  <c r="EF17" i="5" s="1"/>
  <c r="EE17" i="5" a="1"/>
  <c r="EE17" i="5" s="1"/>
  <c r="ED17" i="5" a="1"/>
  <c r="ED17" i="5" s="1"/>
  <c r="EC17" i="5" a="1"/>
  <c r="EC17" i="5" s="1"/>
  <c r="EB17" i="5" a="1"/>
  <c r="EB17" i="5" s="1"/>
  <c r="EA17" i="5" a="1"/>
  <c r="EA17" i="5" s="1"/>
  <c r="DZ17" i="5" a="1"/>
  <c r="DZ17" i="5" s="1"/>
  <c r="DY17" i="5" a="1"/>
  <c r="DY17" i="5" s="1"/>
  <c r="DX17" i="5" a="1"/>
  <c r="DX17" i="5" s="1"/>
  <c r="DW17" i="5" a="1"/>
  <c r="DW17" i="5"/>
  <c r="DV17" i="5" a="1"/>
  <c r="DV17" i="5" s="1"/>
  <c r="DU17" i="5" a="1"/>
  <c r="DU17" i="5" s="1"/>
  <c r="DT17" i="5" a="1"/>
  <c r="DT17" i="5" s="1"/>
  <c r="DS17" i="5" a="1"/>
  <c r="DS17" i="5" s="1"/>
  <c r="DR17" i="5" a="1"/>
  <c r="DR17" i="5" s="1"/>
  <c r="DQ17" i="5" a="1"/>
  <c r="DQ17" i="5" s="1"/>
  <c r="DP17" i="5" a="1"/>
  <c r="DP17" i="5" s="1"/>
  <c r="DO17" i="5" a="1"/>
  <c r="DO17" i="5" s="1"/>
  <c r="DN17" i="5" a="1"/>
  <c r="DN17" i="5"/>
  <c r="DM17" i="5" a="1"/>
  <c r="DM17" i="5" s="1"/>
  <c r="DL17" i="5" a="1"/>
  <c r="DL17" i="5" s="1"/>
  <c r="DK17" i="5" a="1"/>
  <c r="DK17" i="5" s="1"/>
  <c r="DJ17" i="5" a="1"/>
  <c r="DJ17" i="5" s="1"/>
  <c r="DI17" i="5" a="1"/>
  <c r="DI17" i="5" s="1"/>
  <c r="DH17" i="5" a="1"/>
  <c r="DH17" i="5" s="1"/>
  <c r="DG17" i="5" a="1"/>
  <c r="DG17" i="5" s="1"/>
  <c r="DF17" i="5" a="1"/>
  <c r="DF17" i="5" s="1"/>
  <c r="DE17" i="5" a="1"/>
  <c r="DE17" i="5" s="1"/>
  <c r="DD17" i="5" a="1"/>
  <c r="DD17" i="5" s="1"/>
  <c r="DC17" i="5" a="1"/>
  <c r="DC17" i="5" s="1"/>
  <c r="DB17" i="5" a="1"/>
  <c r="DB17" i="5"/>
  <c r="DA17" i="5" a="1"/>
  <c r="DA17" i="5" s="1"/>
  <c r="CZ17" i="5" a="1"/>
  <c r="CZ17" i="5" s="1"/>
  <c r="CY17" i="5" a="1"/>
  <c r="CY17" i="5"/>
  <c r="CX17" i="5" a="1"/>
  <c r="CX17" i="5" s="1"/>
  <c r="CW17" i="5" a="1"/>
  <c r="CW17" i="5" s="1"/>
  <c r="CV17" i="5" a="1"/>
  <c r="CV17" i="5"/>
  <c r="CU17" i="5" a="1"/>
  <c r="CU17" i="5"/>
  <c r="CT17" i="5" a="1"/>
  <c r="CT17" i="5" s="1"/>
  <c r="CS17" i="5" a="1"/>
  <c r="CS17" i="5" s="1"/>
  <c r="CR17" i="5" a="1"/>
  <c r="CR17" i="5" s="1"/>
  <c r="CQ17" i="5" a="1"/>
  <c r="CQ17" i="5" s="1"/>
  <c r="CP17" i="5" a="1"/>
  <c r="CP17" i="5"/>
  <c r="CO17" i="5" a="1"/>
  <c r="CO17" i="5" s="1"/>
  <c r="CN17" i="5" a="1"/>
  <c r="CN17" i="5" s="1"/>
  <c r="CM17" i="5" a="1"/>
  <c r="CM17" i="5" s="1"/>
  <c r="CL17" i="5" a="1"/>
  <c r="CL17" i="5" s="1"/>
  <c r="CK17" i="5" a="1"/>
  <c r="CK17" i="5" s="1"/>
  <c r="CJ17" i="5" a="1"/>
  <c r="CJ17" i="5" s="1"/>
  <c r="CI17" i="5" a="1"/>
  <c r="CI17" i="5" s="1"/>
  <c r="CH17" i="5" a="1"/>
  <c r="CH17" i="5" s="1"/>
  <c r="CG17" i="5" a="1"/>
  <c r="CG17" i="5"/>
  <c r="CF17" i="5" a="1"/>
  <c r="CF17" i="5"/>
  <c r="CE17" i="5" a="1"/>
  <c r="CE17" i="5"/>
  <c r="CD17" i="5" a="1"/>
  <c r="CD17" i="5" s="1"/>
  <c r="CC17" i="5" a="1"/>
  <c r="CC17" i="5" s="1"/>
  <c r="CB17" i="5" a="1"/>
  <c r="CB17" i="5" s="1"/>
  <c r="CA17" i="5" a="1"/>
  <c r="CA17" i="5" s="1"/>
  <c r="BZ17" i="5" a="1"/>
  <c r="BZ17" i="5" s="1"/>
  <c r="BY17" i="5" a="1"/>
  <c r="BY17" i="5" s="1"/>
  <c r="BX17" i="5" a="1"/>
  <c r="BX17" i="5" s="1"/>
  <c r="BW17" i="5" a="1"/>
  <c r="BW17" i="5" s="1"/>
  <c r="BV17" i="5" a="1"/>
  <c r="BV17" i="5" s="1"/>
  <c r="BU17" i="5" a="1"/>
  <c r="BU17" i="5"/>
  <c r="BT17" i="5" a="1"/>
  <c r="BT17" i="5" s="1"/>
  <c r="BS17" i="5" a="1"/>
  <c r="BS17" i="5" s="1"/>
  <c r="BR17" i="5" a="1"/>
  <c r="BR17" i="5" s="1"/>
  <c r="BQ17" i="5" a="1"/>
  <c r="BQ17" i="5" s="1"/>
  <c r="BP17" i="5" a="1"/>
  <c r="BP17" i="5" s="1"/>
  <c r="BO17" i="5" a="1"/>
  <c r="BO17" i="5" s="1"/>
  <c r="BN17" i="5" a="1"/>
  <c r="BN17" i="5" s="1"/>
  <c r="BM17" i="5" a="1"/>
  <c r="BM17" i="5" s="1"/>
  <c r="BL17" i="5" a="1"/>
  <c r="BL17" i="5" s="1"/>
  <c r="BK17" i="5" a="1"/>
  <c r="BK17" i="5" s="1"/>
  <c r="BJ17" i="5" a="1"/>
  <c r="BJ17" i="5" s="1"/>
  <c r="BI17" i="5" a="1"/>
  <c r="BI17" i="5" s="1"/>
  <c r="BH17" i="5" a="1"/>
  <c r="BH17" i="5" s="1"/>
  <c r="BG17" i="5" a="1"/>
  <c r="BG17" i="5"/>
  <c r="BF17" i="5" a="1"/>
  <c r="BF17" i="5" s="1"/>
  <c r="BE17" i="5" a="1"/>
  <c r="BE17" i="5" s="1"/>
  <c r="BD17" i="5" a="1"/>
  <c r="BD17" i="5"/>
  <c r="BC17" i="5" a="1"/>
  <c r="BC17" i="5" s="1"/>
  <c r="BB17" i="5" a="1"/>
  <c r="BB17" i="5" s="1"/>
  <c r="BA17" i="5" a="1"/>
  <c r="BA17" i="5" s="1"/>
  <c r="AZ17" i="5" a="1"/>
  <c r="AZ17" i="5" s="1"/>
  <c r="AY17" i="5" a="1"/>
  <c r="AY17" i="5" s="1"/>
  <c r="AX17" i="5" a="1"/>
  <c r="AX17" i="5" s="1"/>
  <c r="AW17" i="5" a="1"/>
  <c r="AW17" i="5" s="1"/>
  <c r="AV17" i="5" a="1"/>
  <c r="AV17" i="5"/>
  <c r="AU17" i="5" a="1"/>
  <c r="AU17" i="5" s="1"/>
  <c r="AT17" i="5" a="1"/>
  <c r="AT17" i="5" s="1"/>
  <c r="AS17" i="5" a="1"/>
  <c r="AS17" i="5" s="1"/>
  <c r="AR17" i="5" a="1"/>
  <c r="AR17" i="5"/>
  <c r="AQ17" i="5" a="1"/>
  <c r="AQ17" i="5" s="1"/>
  <c r="AP17" i="5" a="1"/>
  <c r="AP17" i="5" s="1"/>
  <c r="AO17" i="5" a="1"/>
  <c r="AO17" i="5"/>
  <c r="AN17" i="5" a="1"/>
  <c r="AN17" i="5"/>
  <c r="AM17" i="5" a="1"/>
  <c r="AM17" i="5" s="1"/>
  <c r="AL17" i="5" a="1"/>
  <c r="AL17" i="5" s="1"/>
  <c r="AK17" i="5" a="1"/>
  <c r="AK17" i="5"/>
  <c r="AJ17" i="5" a="1"/>
  <c r="AJ17" i="5" s="1"/>
  <c r="AI17" i="5" a="1"/>
  <c r="AI17" i="5" s="1"/>
  <c r="AH17" i="5" a="1"/>
  <c r="AH17" i="5" s="1"/>
  <c r="AG17" i="5" a="1"/>
  <c r="AG17" i="5"/>
  <c r="AF17" i="5" a="1"/>
  <c r="AF17" i="5" s="1"/>
  <c r="AE17" i="5" a="1"/>
  <c r="AE17" i="5" s="1"/>
  <c r="AD17" i="5" a="1"/>
  <c r="AD17" i="5" s="1"/>
  <c r="AC17" i="5" a="1"/>
  <c r="AC17" i="5"/>
  <c r="AB17" i="5" a="1"/>
  <c r="AB17" i="5" s="1"/>
  <c r="AA17" i="5" a="1"/>
  <c r="AA17" i="5" s="1"/>
  <c r="Z17" i="5" a="1"/>
  <c r="Z17" i="5" s="1"/>
  <c r="Y17" i="5" a="1"/>
  <c r="Y17" i="5" s="1"/>
  <c r="X17" i="5" a="1"/>
  <c r="X17" i="5" s="1"/>
  <c r="W17" i="5" a="1"/>
  <c r="W17" i="5" s="1"/>
  <c r="V17" i="5" a="1"/>
  <c r="V17" i="5" s="1"/>
  <c r="U17" i="5" a="1"/>
  <c r="U17" i="5" s="1"/>
  <c r="T17" i="5" a="1"/>
  <c r="T17" i="5" s="1"/>
  <c r="S17" i="5" a="1"/>
  <c r="S17" i="5"/>
  <c r="R17" i="5" a="1"/>
  <c r="R17" i="5"/>
  <c r="Q17" i="5" a="1"/>
  <c r="Q17" i="5"/>
  <c r="P17" i="5" a="1"/>
  <c r="P17" i="5" s="1"/>
  <c r="O17" i="5" a="1"/>
  <c r="O17" i="5"/>
  <c r="N17" i="5" a="1"/>
  <c r="N17" i="5" s="1"/>
  <c r="M17" i="5" a="1"/>
  <c r="M17" i="5" s="1"/>
  <c r="L17" i="5" a="1"/>
  <c r="L17" i="5" s="1"/>
  <c r="K17" i="5" a="1"/>
  <c r="K17" i="5" s="1"/>
  <c r="J17" i="5" a="1"/>
  <c r="J17" i="5" s="1"/>
  <c r="I17" i="5" a="1"/>
  <c r="I17" i="5" s="1"/>
  <c r="H17" i="5" a="1"/>
  <c r="H17" i="5" s="1"/>
  <c r="G17" i="5" a="1"/>
  <c r="G17" i="5"/>
  <c r="F17" i="5" a="1"/>
  <c r="F17" i="5" s="1"/>
  <c r="E17" i="5" a="1"/>
  <c r="E17" i="5" s="1"/>
  <c r="D17" i="5" a="1"/>
  <c r="D17" i="5" s="1"/>
  <c r="C17" i="5" a="1"/>
  <c r="C17" i="5" s="1"/>
  <c r="EF16" i="5" a="1"/>
  <c r="EF16" i="5" s="1"/>
  <c r="EE16" i="5" a="1"/>
  <c r="EE16" i="5" s="1"/>
  <c r="ED16" i="5" a="1"/>
  <c r="ED16" i="5" s="1"/>
  <c r="EC16" i="5" a="1"/>
  <c r="EC16" i="5" s="1"/>
  <c r="EB16" i="5" a="1"/>
  <c r="EB16" i="5" s="1"/>
  <c r="EA16" i="5" a="1"/>
  <c r="EA16" i="5" s="1"/>
  <c r="DZ16" i="5" a="1"/>
  <c r="DZ16" i="5" s="1"/>
  <c r="DY16" i="5" a="1"/>
  <c r="DY16" i="5" s="1"/>
  <c r="DX16" i="5" a="1"/>
  <c r="DX16" i="5" s="1"/>
  <c r="DW16" i="5" a="1"/>
  <c r="DW16" i="5"/>
  <c r="DV16" i="5" a="1"/>
  <c r="DV16" i="5" s="1"/>
  <c r="DU16" i="5" a="1"/>
  <c r="DU16" i="5" s="1"/>
  <c r="DT16" i="5" a="1"/>
  <c r="DT16" i="5"/>
  <c r="DS16" i="5" a="1"/>
  <c r="DS16" i="5" s="1"/>
  <c r="DR16" i="5" a="1"/>
  <c r="DR16" i="5" s="1"/>
  <c r="DQ16" i="5" a="1"/>
  <c r="DQ16" i="5" s="1"/>
  <c r="DP16" i="5" a="1"/>
  <c r="DP16" i="5" s="1"/>
  <c r="DO16" i="5" a="1"/>
  <c r="DO16" i="5" s="1"/>
  <c r="DN16" i="5" a="1"/>
  <c r="DN16" i="5" s="1"/>
  <c r="DM16" i="5" a="1"/>
  <c r="DM16" i="5" s="1"/>
  <c r="DL16" i="5" a="1"/>
  <c r="DL16" i="5"/>
  <c r="DK16" i="5" a="1"/>
  <c r="DK16" i="5" s="1"/>
  <c r="DJ16" i="5" a="1"/>
  <c r="DJ16" i="5" s="1"/>
  <c r="DI16" i="5" a="1"/>
  <c r="DI16" i="5" s="1"/>
  <c r="DH16" i="5" a="1"/>
  <c r="DH16" i="5"/>
  <c r="DG16" i="5" a="1"/>
  <c r="DG16" i="5" s="1"/>
  <c r="DF16" i="5" a="1"/>
  <c r="DF16" i="5" s="1"/>
  <c r="DE16" i="5" a="1"/>
  <c r="DE16" i="5"/>
  <c r="DD16" i="5" a="1"/>
  <c r="DD16" i="5"/>
  <c r="DC16" i="5" a="1"/>
  <c r="DC16" i="5" s="1"/>
  <c r="DB16" i="5" a="1"/>
  <c r="DB16" i="5" s="1"/>
  <c r="DA16" i="5" a="1"/>
  <c r="DA16" i="5" s="1"/>
  <c r="CZ16" i="5" a="1"/>
  <c r="CZ16" i="5" s="1"/>
  <c r="CY16" i="5" a="1"/>
  <c r="CY16" i="5" s="1"/>
  <c r="CX16" i="5" a="1"/>
  <c r="CX16" i="5" s="1"/>
  <c r="CW16" i="5" a="1"/>
  <c r="CW16" i="5" s="1"/>
  <c r="CV16" i="5" a="1"/>
  <c r="CV16" i="5" s="1"/>
  <c r="CU16" i="5" a="1"/>
  <c r="CU16" i="5" s="1"/>
  <c r="CT16" i="5" a="1"/>
  <c r="CT16" i="5" s="1"/>
  <c r="CS16" i="5" a="1"/>
  <c r="CS16" i="5"/>
  <c r="CR16" i="5" a="1"/>
  <c r="CR16" i="5"/>
  <c r="CQ16" i="5" a="1"/>
  <c r="CQ16" i="5" s="1"/>
  <c r="CP16" i="5" a="1"/>
  <c r="CP16" i="5" s="1"/>
  <c r="CO16" i="5" a="1"/>
  <c r="CO16" i="5" s="1"/>
  <c r="CN16" i="5" a="1"/>
  <c r="CN16" i="5" s="1"/>
  <c r="CM16" i="5" a="1"/>
  <c r="CM16" i="5" s="1"/>
  <c r="CL16" i="5" a="1"/>
  <c r="CL16" i="5" s="1"/>
  <c r="CK16" i="5" a="1"/>
  <c r="CK16" i="5" s="1"/>
  <c r="CJ16" i="5" a="1"/>
  <c r="CJ16" i="5" s="1"/>
  <c r="CI16" i="5" a="1"/>
  <c r="CI16" i="5" s="1"/>
  <c r="CH16" i="5" a="1"/>
  <c r="CH16" i="5"/>
  <c r="CG16" i="5" a="1"/>
  <c r="CG16" i="5"/>
  <c r="CF16" i="5" a="1"/>
  <c r="CF16" i="5" s="1"/>
  <c r="CE16" i="5" a="1"/>
  <c r="CE16" i="5" s="1"/>
  <c r="CD16" i="5" a="1"/>
  <c r="CD16" i="5" s="1"/>
  <c r="CC16" i="5" a="1"/>
  <c r="CC16" i="5" s="1"/>
  <c r="CB16" i="5" a="1"/>
  <c r="CB16" i="5" s="1"/>
  <c r="CA16" i="5" a="1"/>
  <c r="CA16" i="5" s="1"/>
  <c r="BZ16" i="5" a="1"/>
  <c r="BZ16" i="5" s="1"/>
  <c r="BY16" i="5" a="1"/>
  <c r="BY16" i="5" s="1"/>
  <c r="BX16" i="5" a="1"/>
  <c r="BX16" i="5" s="1"/>
  <c r="BW16" i="5" a="1"/>
  <c r="BW16" i="5" s="1"/>
  <c r="BV16" i="5" a="1"/>
  <c r="BV16" i="5" s="1"/>
  <c r="BU16" i="5" a="1"/>
  <c r="BU16" i="5"/>
  <c r="BT16" i="5" a="1"/>
  <c r="BT16" i="5" s="1"/>
  <c r="BS16" i="5" a="1"/>
  <c r="BS16" i="5" s="1"/>
  <c r="BR16" i="5" a="1"/>
  <c r="BR16" i="5" s="1"/>
  <c r="BQ16" i="5" a="1"/>
  <c r="BQ16" i="5" s="1"/>
  <c r="BP16" i="5" a="1"/>
  <c r="BP16" i="5" s="1"/>
  <c r="BO16" i="5" a="1"/>
  <c r="BO16" i="5" s="1"/>
  <c r="BN16" i="5" a="1"/>
  <c r="BN16" i="5" s="1"/>
  <c r="BM16" i="5" a="1"/>
  <c r="BM16" i="5"/>
  <c r="BL16" i="5" a="1"/>
  <c r="BL16" i="5" s="1"/>
  <c r="BK16" i="5" a="1"/>
  <c r="BK16" i="5" s="1"/>
  <c r="BJ16" i="5" a="1"/>
  <c r="BJ16" i="5" s="1"/>
  <c r="BI16" i="5" a="1"/>
  <c r="BI16" i="5"/>
  <c r="BH16" i="5" a="1"/>
  <c r="BH16" i="5" s="1"/>
  <c r="BG16" i="5" a="1"/>
  <c r="BG16" i="5" s="1"/>
  <c r="BF16" i="5" a="1"/>
  <c r="BF16" i="5" s="1"/>
  <c r="BE16" i="5" a="1"/>
  <c r="BE16" i="5"/>
  <c r="BD16" i="5" a="1"/>
  <c r="BD16" i="5" s="1"/>
  <c r="BC16" i="5" a="1"/>
  <c r="BC16" i="5" s="1"/>
  <c r="BB16" i="5" a="1"/>
  <c r="BB16" i="5" s="1"/>
  <c r="BA16" i="5" a="1"/>
  <c r="BA16" i="5" s="1"/>
  <c r="AZ16" i="5" a="1"/>
  <c r="AZ16" i="5" s="1"/>
  <c r="AY16" i="5" a="1"/>
  <c r="AY16" i="5" s="1"/>
  <c r="AX16" i="5" a="1"/>
  <c r="AX16" i="5" s="1"/>
  <c r="AW16" i="5" a="1"/>
  <c r="AW16" i="5" s="1"/>
  <c r="AV16" i="5" a="1"/>
  <c r="AV16" i="5" s="1"/>
  <c r="AU16" i="5" a="1"/>
  <c r="AU16" i="5" s="1"/>
  <c r="AT16" i="5" a="1"/>
  <c r="AT16" i="5"/>
  <c r="AS16" i="5" a="1"/>
  <c r="AS16" i="5" s="1"/>
  <c r="AR16" i="5" a="1"/>
  <c r="AR16" i="5" s="1"/>
  <c r="AQ16" i="5" a="1"/>
  <c r="AQ16" i="5" s="1"/>
  <c r="AP16" i="5" a="1"/>
  <c r="AP16" i="5" s="1"/>
  <c r="AO16" i="5" a="1"/>
  <c r="AO16" i="5"/>
  <c r="AN16" i="5" a="1"/>
  <c r="AN16" i="5" s="1"/>
  <c r="AM16" i="5" a="1"/>
  <c r="AM16" i="5" s="1"/>
  <c r="AL16" i="5" a="1"/>
  <c r="AL16" i="5" s="1"/>
  <c r="AK16" i="5" a="1"/>
  <c r="AK16" i="5" s="1"/>
  <c r="AJ16" i="5" a="1"/>
  <c r="AJ16" i="5" s="1"/>
  <c r="AI16" i="5" a="1"/>
  <c r="AI16" i="5" s="1"/>
  <c r="AH16" i="5" a="1"/>
  <c r="AH16" i="5" s="1"/>
  <c r="AG16" i="5" a="1"/>
  <c r="AG16" i="5" s="1"/>
  <c r="AF16" i="5" a="1"/>
  <c r="AF16" i="5" s="1"/>
  <c r="AE16" i="5" a="1"/>
  <c r="AE16" i="5"/>
  <c r="AD16" i="5" a="1"/>
  <c r="AD16" i="5"/>
  <c r="AC16" i="5" a="1"/>
  <c r="AC16" i="5" s="1"/>
  <c r="AB16" i="5" a="1"/>
  <c r="AB16" i="5"/>
  <c r="AA16" i="5" a="1"/>
  <c r="AA16" i="5" s="1"/>
  <c r="Z16" i="5" a="1"/>
  <c r="Z16" i="5" s="1"/>
  <c r="Y16" i="5" a="1"/>
  <c r="Y16" i="5" s="1"/>
  <c r="X16" i="5" a="1"/>
  <c r="X16" i="5"/>
  <c r="W16" i="5" a="1"/>
  <c r="W16" i="5" s="1"/>
  <c r="V16" i="5" a="1"/>
  <c r="V16" i="5" s="1"/>
  <c r="U16" i="5" a="1"/>
  <c r="U16" i="5" s="1"/>
  <c r="T16" i="5" a="1"/>
  <c r="T16" i="5"/>
  <c r="S16" i="5" a="1"/>
  <c r="S16" i="5"/>
  <c r="R16" i="5" a="1"/>
  <c r="R16" i="5" s="1"/>
  <c r="Q16" i="5" a="1"/>
  <c r="Q16" i="5" s="1"/>
  <c r="P16" i="5" a="1"/>
  <c r="P16" i="5" s="1"/>
  <c r="O16" i="5" a="1"/>
  <c r="O16" i="5" s="1"/>
  <c r="N16" i="5" a="1"/>
  <c r="N16" i="5" s="1"/>
  <c r="M16" i="5" a="1"/>
  <c r="M16" i="5" s="1"/>
  <c r="L16" i="5" a="1"/>
  <c r="L16" i="5" s="1"/>
  <c r="K16" i="5" a="1"/>
  <c r="K16" i="5" s="1"/>
  <c r="J16" i="5" a="1"/>
  <c r="J16" i="5"/>
  <c r="I16" i="5" a="1"/>
  <c r="I16" i="5"/>
  <c r="H16" i="5" a="1"/>
  <c r="H16" i="5" s="1"/>
  <c r="G16" i="5" a="1"/>
  <c r="G16" i="5" s="1"/>
  <c r="F16" i="5" a="1"/>
  <c r="F16" i="5" s="1"/>
  <c r="E16" i="5" a="1"/>
  <c r="E16" i="5" s="1"/>
  <c r="D16" i="5" a="1"/>
  <c r="D16" i="5" s="1"/>
  <c r="C16" i="5" a="1"/>
  <c r="C16" i="5" s="1"/>
  <c r="EF15" i="5" a="1"/>
  <c r="EF15" i="5" s="1"/>
  <c r="EE15" i="5" a="1"/>
  <c r="EE15" i="5" s="1"/>
  <c r="ED15" i="5" a="1"/>
  <c r="ED15" i="5" s="1"/>
  <c r="EC15" i="5" a="1"/>
  <c r="EC15" i="5" s="1"/>
  <c r="EB15" i="5" a="1"/>
  <c r="EB15" i="5" s="1"/>
  <c r="EA15" i="5" a="1"/>
  <c r="EA15" i="5" s="1"/>
  <c r="DZ15" i="5" a="1"/>
  <c r="DZ15" i="5" s="1"/>
  <c r="DY15" i="5" a="1"/>
  <c r="DY15" i="5"/>
  <c r="DX15" i="5" a="1"/>
  <c r="DX15" i="5" s="1"/>
  <c r="DW15" i="5" a="1"/>
  <c r="DW15" i="5" s="1"/>
  <c r="DV15" i="5" a="1"/>
  <c r="DV15" i="5" s="1"/>
  <c r="DU15" i="5" a="1"/>
  <c r="DU15" i="5" s="1"/>
  <c r="DT15" i="5" a="1"/>
  <c r="DT15" i="5" s="1"/>
  <c r="DS15" i="5" a="1"/>
  <c r="DS15" i="5" s="1"/>
  <c r="DR15" i="5" a="1"/>
  <c r="DR15" i="5" s="1"/>
  <c r="DQ15" i="5" a="1"/>
  <c r="DQ15" i="5" s="1"/>
  <c r="DP15" i="5" a="1"/>
  <c r="DP15" i="5"/>
  <c r="DO15" i="5" a="1"/>
  <c r="DO15" i="5"/>
  <c r="DN15" i="5" a="1"/>
  <c r="DN15" i="5" s="1"/>
  <c r="DM15" i="5" a="1"/>
  <c r="DM15" i="5" s="1"/>
  <c r="DL15" i="5" a="1"/>
  <c r="DL15" i="5" s="1"/>
  <c r="DK15" i="5" a="1"/>
  <c r="DK15" i="5" s="1"/>
  <c r="DJ15" i="5" a="1"/>
  <c r="DJ15" i="5" s="1"/>
  <c r="DI15" i="5" a="1"/>
  <c r="DI15" i="5" s="1"/>
  <c r="DH15" i="5" a="1"/>
  <c r="DH15" i="5" s="1"/>
  <c r="DG15" i="5" a="1"/>
  <c r="DG15" i="5" s="1"/>
  <c r="DF15" i="5" a="1"/>
  <c r="DF15" i="5"/>
  <c r="DE15" i="5" a="1"/>
  <c r="DE15" i="5" s="1"/>
  <c r="DD15" i="5" a="1"/>
  <c r="DD15" i="5" s="1"/>
  <c r="DC15" i="5" a="1"/>
  <c r="DC15" i="5" s="1"/>
  <c r="DB15" i="5" a="1"/>
  <c r="DB15" i="5" s="1"/>
  <c r="DA15" i="5" a="1"/>
  <c r="DA15" i="5" s="1"/>
  <c r="CZ15" i="5" a="1"/>
  <c r="CZ15" i="5" s="1"/>
  <c r="CY15" i="5" a="1"/>
  <c r="CY15" i="5" s="1"/>
  <c r="CX15" i="5" a="1"/>
  <c r="CX15" i="5" s="1"/>
  <c r="CW15" i="5" a="1"/>
  <c r="CW15" i="5" s="1"/>
  <c r="CV15" i="5" a="1"/>
  <c r="CV15" i="5" s="1"/>
  <c r="CU15" i="5" a="1"/>
  <c r="CU15" i="5"/>
  <c r="CT15" i="5" a="1"/>
  <c r="CT15" i="5"/>
  <c r="CS15" i="5" a="1"/>
  <c r="CS15" i="5"/>
  <c r="CR15" i="5" a="1"/>
  <c r="CR15" i="5"/>
  <c r="CQ15" i="5" a="1"/>
  <c r="CQ15" i="5" s="1"/>
  <c r="CP15" i="5" a="1"/>
  <c r="CP15" i="5" s="1"/>
  <c r="CO15" i="5" a="1"/>
  <c r="CO15" i="5" s="1"/>
  <c r="CN15" i="5" a="1"/>
  <c r="CN15" i="5" s="1"/>
  <c r="CM15" i="5" a="1"/>
  <c r="CM15" i="5" s="1"/>
  <c r="CL15" i="5" a="1"/>
  <c r="CL15" i="5" s="1"/>
  <c r="CK15" i="5" a="1"/>
  <c r="CK15" i="5" s="1"/>
  <c r="CJ15" i="5" a="1"/>
  <c r="CJ15" i="5" s="1"/>
  <c r="CI15" i="5" a="1"/>
  <c r="CI15" i="5" s="1"/>
  <c r="CH15" i="5" a="1"/>
  <c r="CH15" i="5" s="1"/>
  <c r="CG15" i="5" a="1"/>
  <c r="CG15" i="5"/>
  <c r="CF15" i="5" a="1"/>
  <c r="CF15" i="5" s="1"/>
  <c r="CE15" i="5" a="1"/>
  <c r="CE15" i="5" s="1"/>
  <c r="CD15" i="5" a="1"/>
  <c r="CD15" i="5" s="1"/>
  <c r="CC15" i="5" a="1"/>
  <c r="CC15" i="5"/>
  <c r="CB15" i="5" a="1"/>
  <c r="CB15" i="5" s="1"/>
  <c r="CA15" i="5" a="1"/>
  <c r="CA15" i="5" s="1"/>
  <c r="BZ15" i="5" a="1"/>
  <c r="BZ15" i="5" s="1"/>
  <c r="BY15" i="5" a="1"/>
  <c r="BY15" i="5" s="1"/>
  <c r="BX15" i="5" a="1"/>
  <c r="BX15" i="5" s="1"/>
  <c r="BW15" i="5" a="1"/>
  <c r="BW15" i="5" s="1"/>
  <c r="BV15" i="5" a="1"/>
  <c r="BV15" i="5" s="1"/>
  <c r="BU15" i="5" a="1"/>
  <c r="BU15" i="5" s="1"/>
  <c r="BT15" i="5" a="1"/>
  <c r="BT15" i="5" s="1"/>
  <c r="BS15" i="5" a="1"/>
  <c r="BS15" i="5" s="1"/>
  <c r="BR15" i="5" a="1"/>
  <c r="BR15" i="5"/>
  <c r="BQ15" i="5" a="1"/>
  <c r="BQ15" i="5" s="1"/>
  <c r="BP15" i="5" a="1"/>
  <c r="BP15" i="5" s="1"/>
  <c r="BO15" i="5" a="1"/>
  <c r="BO15" i="5" s="1"/>
  <c r="BN15" i="5" a="1"/>
  <c r="BN15" i="5" s="1"/>
  <c r="BM15" i="5" a="1"/>
  <c r="BM15" i="5" s="1"/>
  <c r="BL15" i="5" a="1"/>
  <c r="BL15" i="5" s="1"/>
  <c r="BK15" i="5" a="1"/>
  <c r="BK15" i="5"/>
  <c r="BJ15" i="5" a="1"/>
  <c r="BJ15" i="5" s="1"/>
  <c r="BI15" i="5" a="1"/>
  <c r="BI15" i="5" s="1"/>
  <c r="BH15" i="5" a="1"/>
  <c r="BH15" i="5" s="1"/>
  <c r="BG15" i="5" a="1"/>
  <c r="BG15" i="5" s="1"/>
  <c r="BF15" i="5" a="1"/>
  <c r="BF15" i="5" s="1"/>
  <c r="BE15" i="5" a="1"/>
  <c r="BE15" i="5" s="1"/>
  <c r="BD15" i="5" a="1"/>
  <c r="BD15" i="5" s="1"/>
  <c r="BC15" i="5" a="1"/>
  <c r="BC15" i="5"/>
  <c r="BB15" i="5" a="1"/>
  <c r="BB15" i="5"/>
  <c r="BA15" i="5" a="1"/>
  <c r="BA15" i="5"/>
  <c r="AZ15" i="5" a="1"/>
  <c r="AZ15" i="5" s="1"/>
  <c r="AY15" i="5" a="1"/>
  <c r="AY15" i="5" s="1"/>
  <c r="AX15" i="5" a="1"/>
  <c r="AX15" i="5" s="1"/>
  <c r="AW15" i="5" a="1"/>
  <c r="AW15" i="5" s="1"/>
  <c r="AV15" i="5" a="1"/>
  <c r="AV15" i="5" s="1"/>
  <c r="AU15" i="5" a="1"/>
  <c r="AU15" i="5" s="1"/>
  <c r="AT15" i="5" a="1"/>
  <c r="AT15" i="5" s="1"/>
  <c r="AS15" i="5" a="1"/>
  <c r="AS15" i="5"/>
  <c r="AR15" i="5" a="1"/>
  <c r="AR15" i="5" s="1"/>
  <c r="AQ15" i="5" a="1"/>
  <c r="AQ15" i="5" s="1"/>
  <c r="AP15" i="5" a="1"/>
  <c r="AP15" i="5" s="1"/>
  <c r="AO15" i="5" a="1"/>
  <c r="AO15" i="5"/>
  <c r="AN15" i="5" a="1"/>
  <c r="AN15" i="5" s="1"/>
  <c r="AM15" i="5" a="1"/>
  <c r="AM15" i="5" s="1"/>
  <c r="AL15" i="5" a="1"/>
  <c r="AL15" i="5" s="1"/>
  <c r="AK15" i="5" a="1"/>
  <c r="AK15" i="5" s="1"/>
  <c r="AJ15" i="5" a="1"/>
  <c r="AJ15" i="5" s="1"/>
  <c r="AI15" i="5" a="1"/>
  <c r="AI15" i="5" s="1"/>
  <c r="AH15" i="5" a="1"/>
  <c r="AH15" i="5" s="1"/>
  <c r="AG15" i="5" a="1"/>
  <c r="AG15" i="5" s="1"/>
  <c r="AF15" i="5" a="1"/>
  <c r="AF15" i="5" s="1"/>
  <c r="AE15" i="5" a="1"/>
  <c r="AE15" i="5"/>
  <c r="AD15" i="5" a="1"/>
  <c r="AD15" i="5"/>
  <c r="AC15" i="5" a="1"/>
  <c r="AC15" i="5" s="1"/>
  <c r="AB15" i="5" a="1"/>
  <c r="AB15" i="5" s="1"/>
  <c r="AA15" i="5" a="1"/>
  <c r="AA15" i="5" s="1"/>
  <c r="Z15" i="5" a="1"/>
  <c r="Z15" i="5"/>
  <c r="Y15" i="5" a="1"/>
  <c r="Y15" i="5" s="1"/>
  <c r="X15" i="5" a="1"/>
  <c r="X15" i="5" s="1"/>
  <c r="W15" i="5" a="1"/>
  <c r="W15" i="5"/>
  <c r="V15" i="5" a="1"/>
  <c r="V15" i="5"/>
  <c r="U15" i="5" a="1"/>
  <c r="U15" i="5" s="1"/>
  <c r="T15" i="5" a="1"/>
  <c r="T15" i="5" s="1"/>
  <c r="S15" i="5" a="1"/>
  <c r="S15" i="5" s="1"/>
  <c r="R15" i="5" a="1"/>
  <c r="R15" i="5" s="1"/>
  <c r="Q15" i="5" a="1"/>
  <c r="Q15" i="5" s="1"/>
  <c r="P15" i="5" a="1"/>
  <c r="P15" i="5" s="1"/>
  <c r="O15" i="5" a="1"/>
  <c r="O15" i="5" s="1"/>
  <c r="N15" i="5" a="1"/>
  <c r="N15" i="5" s="1"/>
  <c r="M15" i="5" a="1"/>
  <c r="M15" i="5" s="1"/>
  <c r="L15" i="5" a="1"/>
  <c r="L15" i="5"/>
  <c r="K15" i="5" a="1"/>
  <c r="K15" i="5" s="1"/>
  <c r="J15" i="5" a="1"/>
  <c r="J15" i="5" s="1"/>
  <c r="I15" i="5" a="1"/>
  <c r="I15" i="5"/>
  <c r="H15" i="5" a="1"/>
  <c r="H15" i="5" s="1"/>
  <c r="G15" i="5" a="1"/>
  <c r="G15" i="5" s="1"/>
  <c r="F15" i="5" a="1"/>
  <c r="F15" i="5" s="1"/>
  <c r="E15" i="5" a="1"/>
  <c r="E15" i="5" s="1"/>
  <c r="D15" i="5" a="1"/>
  <c r="D15" i="5" s="1"/>
  <c r="C15" i="5" a="1"/>
  <c r="C15" i="5" s="1"/>
  <c r="EF14" i="5" a="1"/>
  <c r="EF14" i="5" s="1"/>
  <c r="EE14" i="5" a="1"/>
  <c r="EE14" i="5"/>
  <c r="ED14" i="5" a="1"/>
  <c r="ED14" i="5" s="1"/>
  <c r="EC14" i="5" a="1"/>
  <c r="EC14" i="5" s="1"/>
  <c r="EB14" i="5" a="1"/>
  <c r="EB14" i="5" s="1"/>
  <c r="EA14" i="5" a="1"/>
  <c r="EA14" i="5"/>
  <c r="DZ14" i="5" a="1"/>
  <c r="DZ14" i="5"/>
  <c r="DY14" i="5" a="1"/>
  <c r="DY14" i="5" s="1"/>
  <c r="DX14" i="5" a="1"/>
  <c r="DX14" i="5"/>
  <c r="DW14" i="5" a="1"/>
  <c r="DW14" i="5" s="1"/>
  <c r="DV14" i="5" a="1"/>
  <c r="DV14" i="5" s="1"/>
  <c r="DU14" i="5" a="1"/>
  <c r="DU14" i="5" s="1"/>
  <c r="DT14" i="5" a="1"/>
  <c r="DT14" i="5" s="1"/>
  <c r="DS14" i="5" a="1"/>
  <c r="DS14" i="5" s="1"/>
  <c r="DR14" i="5" a="1"/>
  <c r="DR14" i="5" s="1"/>
  <c r="DQ14" i="5" a="1"/>
  <c r="DQ14" i="5" s="1"/>
  <c r="DP14" i="5" a="1"/>
  <c r="DP14" i="5" s="1"/>
  <c r="DO14" i="5" a="1"/>
  <c r="DO14" i="5" s="1"/>
  <c r="DN14" i="5" a="1"/>
  <c r="DN14" i="5" s="1"/>
  <c r="DM14" i="5" a="1"/>
  <c r="DM14" i="5" s="1"/>
  <c r="DL14" i="5" a="1"/>
  <c r="DL14" i="5" s="1"/>
  <c r="DK14" i="5" a="1"/>
  <c r="DK14" i="5" s="1"/>
  <c r="DJ14" i="5" a="1"/>
  <c r="DJ14" i="5" s="1"/>
  <c r="DI14" i="5" a="1"/>
  <c r="DI14" i="5" s="1"/>
  <c r="DH14" i="5" a="1"/>
  <c r="DH14" i="5" s="1"/>
  <c r="DG14" i="5" a="1"/>
  <c r="DG14" i="5" s="1"/>
  <c r="DF14" i="5" a="1"/>
  <c r="DF14" i="5" s="1"/>
  <c r="DE14" i="5" a="1"/>
  <c r="DE14" i="5" s="1"/>
  <c r="DD14" i="5" a="1"/>
  <c r="DD14" i="5"/>
  <c r="DC14" i="5" a="1"/>
  <c r="DC14" i="5" s="1"/>
  <c r="DB14" i="5" a="1"/>
  <c r="DB14" i="5" s="1"/>
  <c r="DA14" i="5" a="1"/>
  <c r="DA14" i="5"/>
  <c r="CZ14" i="5" a="1"/>
  <c r="CZ14" i="5" s="1"/>
  <c r="CY14" i="5" a="1"/>
  <c r="CY14" i="5" s="1"/>
  <c r="CX14" i="5" a="1"/>
  <c r="CX14" i="5"/>
  <c r="CW14" i="5" a="1"/>
  <c r="CW14" i="5"/>
  <c r="CV14" i="5" a="1"/>
  <c r="CV14" i="5" s="1"/>
  <c r="CU14" i="5" a="1"/>
  <c r="CU14" i="5" s="1"/>
  <c r="CT14" i="5" a="1"/>
  <c r="CT14" i="5"/>
  <c r="CS14" i="5" a="1"/>
  <c r="CS14" i="5" s="1"/>
  <c r="CR14" i="5" a="1"/>
  <c r="CR14" i="5" s="1"/>
  <c r="CQ14" i="5" a="1"/>
  <c r="CQ14" i="5" s="1"/>
  <c r="CP14" i="5" a="1"/>
  <c r="CP14" i="5" s="1"/>
  <c r="CO14" i="5" a="1"/>
  <c r="CO14" i="5" s="1"/>
  <c r="CN14" i="5" a="1"/>
  <c r="CN14" i="5" s="1"/>
  <c r="CM14" i="5" a="1"/>
  <c r="CM14" i="5" s="1"/>
  <c r="CL14" i="5" a="1"/>
  <c r="CL14" i="5" s="1"/>
  <c r="CK14" i="5" a="1"/>
  <c r="CK14" i="5" s="1"/>
  <c r="CJ14" i="5" a="1"/>
  <c r="CJ14" i="5"/>
  <c r="CI14" i="5" a="1"/>
  <c r="CI14" i="5"/>
  <c r="CH14" i="5" a="1"/>
  <c r="CH14" i="5" s="1"/>
  <c r="CG14" i="5" a="1"/>
  <c r="CG14" i="5" s="1"/>
  <c r="CF14" i="5" a="1"/>
  <c r="CF14" i="5" s="1"/>
  <c r="CE14" i="5" a="1"/>
  <c r="CE14" i="5" s="1"/>
  <c r="CD14" i="5" a="1"/>
  <c r="CD14" i="5" s="1"/>
  <c r="CC14" i="5" a="1"/>
  <c r="CC14" i="5" s="1"/>
  <c r="CB14" i="5" a="1"/>
  <c r="CB14" i="5" s="1"/>
  <c r="CA14" i="5" a="1"/>
  <c r="CA14" i="5"/>
  <c r="BZ14" i="5" a="1"/>
  <c r="BZ14" i="5" s="1"/>
  <c r="BY14" i="5" a="1"/>
  <c r="BY14" i="5" s="1"/>
  <c r="BX14" i="5" a="1"/>
  <c r="BX14" i="5" s="1"/>
  <c r="BW14" i="5" a="1"/>
  <c r="BW14" i="5"/>
  <c r="BV14" i="5" a="1"/>
  <c r="BV14" i="5" s="1"/>
  <c r="BU14" i="5" a="1"/>
  <c r="BU14" i="5"/>
  <c r="BT14" i="5" a="1"/>
  <c r="BT14" i="5" s="1"/>
  <c r="BS14" i="5" a="1"/>
  <c r="BS14" i="5" s="1"/>
  <c r="BR14" i="5" a="1"/>
  <c r="BR14" i="5" s="1"/>
  <c r="BQ14" i="5" a="1"/>
  <c r="BQ14" i="5" s="1"/>
  <c r="BP14" i="5" a="1"/>
  <c r="BP14" i="5"/>
  <c r="BO14" i="5" a="1"/>
  <c r="BO14" i="5" s="1"/>
  <c r="BN14" i="5" a="1"/>
  <c r="BN14" i="5" s="1"/>
  <c r="BM14" i="5" a="1"/>
  <c r="BM14" i="5" s="1"/>
  <c r="BL14" i="5" a="1"/>
  <c r="BL14" i="5" s="1"/>
  <c r="BK14" i="5" a="1"/>
  <c r="BK14" i="5" s="1"/>
  <c r="BJ14" i="5" a="1"/>
  <c r="BJ14" i="5" s="1"/>
  <c r="BI14" i="5" a="1"/>
  <c r="BI14" i="5" s="1"/>
  <c r="BH14" i="5" a="1"/>
  <c r="BH14" i="5" s="1"/>
  <c r="BG14" i="5" a="1"/>
  <c r="BG14" i="5" s="1"/>
  <c r="BF14" i="5" a="1"/>
  <c r="BF14" i="5"/>
  <c r="BE14" i="5" a="1"/>
  <c r="BE14" i="5" s="1"/>
  <c r="BD14" i="5" a="1"/>
  <c r="BD14" i="5" s="1"/>
  <c r="BC14" i="5" a="1"/>
  <c r="BC14" i="5"/>
  <c r="BB14" i="5" a="1"/>
  <c r="BB14" i="5" s="1"/>
  <c r="BA14" i="5" a="1"/>
  <c r="BA14" i="5" s="1"/>
  <c r="AZ14" i="5" a="1"/>
  <c r="AZ14" i="5" s="1"/>
  <c r="AY14" i="5" a="1"/>
  <c r="AY14" i="5" s="1"/>
  <c r="AX14" i="5" a="1"/>
  <c r="AX14" i="5" s="1"/>
  <c r="AW14" i="5" a="1"/>
  <c r="AW14" i="5" s="1"/>
  <c r="AV14" i="5" a="1"/>
  <c r="AV14" i="5" s="1"/>
  <c r="AU14" i="5" a="1"/>
  <c r="AU14" i="5" s="1"/>
  <c r="AT14" i="5" a="1"/>
  <c r="AT14" i="5" s="1"/>
  <c r="AS14" i="5" a="1"/>
  <c r="AS14" i="5"/>
  <c r="AR14" i="5" a="1"/>
  <c r="AR14" i="5" s="1"/>
  <c r="AQ14" i="5" a="1"/>
  <c r="AQ14" i="5" s="1"/>
  <c r="AP14" i="5" a="1"/>
  <c r="AP14" i="5" s="1"/>
  <c r="AO14" i="5" a="1"/>
  <c r="AO14" i="5" s="1"/>
  <c r="AN14" i="5" a="1"/>
  <c r="AN14" i="5"/>
  <c r="AM14" i="5" a="1"/>
  <c r="AM14" i="5"/>
  <c r="AL14" i="5" a="1"/>
  <c r="AL14" i="5" s="1"/>
  <c r="AK14" i="5" a="1"/>
  <c r="AK14" i="5" s="1"/>
  <c r="AJ14" i="5" a="1"/>
  <c r="AJ14" i="5" s="1"/>
  <c r="AI14" i="5" a="1"/>
  <c r="AI14" i="5" s="1"/>
  <c r="AH14" i="5" a="1"/>
  <c r="AH14" i="5" s="1"/>
  <c r="AG14" i="5" a="1"/>
  <c r="AG14" i="5" s="1"/>
  <c r="AF14" i="5" a="1"/>
  <c r="AF14" i="5" s="1"/>
  <c r="AE14" i="5" a="1"/>
  <c r="AE14" i="5"/>
  <c r="AD14" i="5" a="1"/>
  <c r="AD14" i="5" s="1"/>
  <c r="AC14" i="5" a="1"/>
  <c r="AC14" i="5" s="1"/>
  <c r="AB14" i="5" a="1"/>
  <c r="AB14" i="5" s="1"/>
  <c r="AA14" i="5" a="1"/>
  <c r="AA14" i="5" s="1"/>
  <c r="Z14" i="5" a="1"/>
  <c r="Z14" i="5" s="1"/>
  <c r="Y14" i="5" a="1"/>
  <c r="Y14" i="5" s="1"/>
  <c r="X14" i="5" a="1"/>
  <c r="X14" i="5" s="1"/>
  <c r="W14" i="5" a="1"/>
  <c r="W14" i="5"/>
  <c r="V14" i="5" a="1"/>
  <c r="V14" i="5" s="1"/>
  <c r="U14" i="5" a="1"/>
  <c r="U14" i="5" s="1"/>
  <c r="T14" i="5" a="1"/>
  <c r="T14" i="5" s="1"/>
  <c r="S14" i="5" a="1"/>
  <c r="S14" i="5" s="1"/>
  <c r="R14" i="5" a="1"/>
  <c r="R14" i="5" s="1"/>
  <c r="Q14" i="5" a="1"/>
  <c r="Q14" i="5"/>
  <c r="P14" i="5" a="1"/>
  <c r="P14" i="5" s="1"/>
  <c r="O14" i="5" a="1"/>
  <c r="O14" i="5" s="1"/>
  <c r="N14" i="5" a="1"/>
  <c r="N14" i="5"/>
  <c r="M14" i="5" a="1"/>
  <c r="M14" i="5"/>
  <c r="L14" i="5" a="1"/>
  <c r="L14" i="5" s="1"/>
  <c r="K14" i="5" a="1"/>
  <c r="K14" i="5" s="1"/>
  <c r="J14" i="5" a="1"/>
  <c r="J14" i="5"/>
  <c r="I14" i="5" a="1"/>
  <c r="I14" i="5" s="1"/>
  <c r="H14" i="5" a="1"/>
  <c r="H14" i="5" s="1"/>
  <c r="G14" i="5" a="1"/>
  <c r="G14" i="5"/>
  <c r="F14" i="5" a="1"/>
  <c r="F14" i="5" s="1"/>
  <c r="E14" i="5" a="1"/>
  <c r="E14" i="5" s="1"/>
  <c r="D14" i="5" a="1"/>
  <c r="D14" i="5" s="1"/>
  <c r="C14" i="5" a="1"/>
  <c r="C14" i="5" s="1"/>
  <c r="EF13" i="5" a="1"/>
  <c r="EF13" i="5"/>
  <c r="EE13" i="5" a="1"/>
  <c r="EE13" i="5" s="1"/>
  <c r="ED13" i="5" a="1"/>
  <c r="ED13" i="5"/>
  <c r="EC13" i="5" a="1"/>
  <c r="EC13" i="5"/>
  <c r="EB13" i="5" a="1"/>
  <c r="EB13" i="5" s="1"/>
  <c r="EA13" i="5" a="1"/>
  <c r="EA13" i="5" s="1"/>
  <c r="DZ13" i="5" a="1"/>
  <c r="DZ13" i="5" s="1"/>
  <c r="DY13" i="5" a="1"/>
  <c r="DY13" i="5"/>
  <c r="DX13" i="5" a="1"/>
  <c r="DX13" i="5" s="1"/>
  <c r="DW13" i="5" a="1"/>
  <c r="DW13" i="5" s="1"/>
  <c r="DV13" i="5" a="1"/>
  <c r="DV13" i="5"/>
  <c r="DU13" i="5" a="1"/>
  <c r="DU13" i="5"/>
  <c r="DT13" i="5" a="1"/>
  <c r="DT13" i="5" s="1"/>
  <c r="DS13" i="5" a="1"/>
  <c r="DS13" i="5" s="1"/>
  <c r="DR13" i="5" a="1"/>
  <c r="DR13" i="5"/>
  <c r="DQ13" i="5" a="1"/>
  <c r="DQ13" i="5" s="1"/>
  <c r="DP13" i="5" a="1"/>
  <c r="DP13" i="5" s="1"/>
  <c r="DO13" i="5" a="1"/>
  <c r="DO13" i="5" s="1"/>
  <c r="DN13" i="5" a="1"/>
  <c r="DN13" i="5" s="1"/>
  <c r="DM13" i="5" a="1"/>
  <c r="DM13" i="5" s="1"/>
  <c r="DL13" i="5" a="1"/>
  <c r="DL13" i="5" s="1"/>
  <c r="DK13" i="5" a="1"/>
  <c r="DK13" i="5" s="1"/>
  <c r="DJ13" i="5" a="1"/>
  <c r="DJ13" i="5"/>
  <c r="DI13" i="5" a="1"/>
  <c r="DI13" i="5" s="1"/>
  <c r="DH13" i="5" a="1"/>
  <c r="DH13" i="5" s="1"/>
  <c r="DG13" i="5" a="1"/>
  <c r="DG13" i="5" s="1"/>
  <c r="DF13" i="5" a="1"/>
  <c r="DF13" i="5" s="1"/>
  <c r="DE13" i="5" a="1"/>
  <c r="DE13" i="5" s="1"/>
  <c r="DD13" i="5" a="1"/>
  <c r="DD13" i="5" s="1"/>
  <c r="DC13" i="5" a="1"/>
  <c r="DC13" i="5" s="1"/>
  <c r="DB13" i="5" a="1"/>
  <c r="DB13" i="5" s="1"/>
  <c r="DA13" i="5" a="1"/>
  <c r="DA13" i="5" s="1"/>
  <c r="CZ13" i="5" a="1"/>
  <c r="CZ13" i="5" s="1"/>
  <c r="CY13" i="5" a="1"/>
  <c r="CY13" i="5" s="1"/>
  <c r="CX13" i="5" a="1"/>
  <c r="CX13" i="5"/>
  <c r="CW13" i="5" a="1"/>
  <c r="CW13" i="5"/>
  <c r="CV13" i="5" a="1"/>
  <c r="CV13" i="5"/>
  <c r="CU13" i="5" a="1"/>
  <c r="CU13" i="5" s="1"/>
  <c r="CT13" i="5" a="1"/>
  <c r="CT13" i="5" s="1"/>
  <c r="CS13" i="5" a="1"/>
  <c r="CS13" i="5" s="1"/>
  <c r="CR13" i="5" a="1"/>
  <c r="CR13" i="5" s="1"/>
  <c r="CQ13" i="5" a="1"/>
  <c r="CQ13" i="5" s="1"/>
  <c r="CP13" i="5" a="1"/>
  <c r="CP13" i="5" s="1"/>
  <c r="CO13" i="5" a="1"/>
  <c r="CO13" i="5" s="1"/>
  <c r="CN13" i="5" a="1"/>
  <c r="CN13" i="5" s="1"/>
  <c r="CM13" i="5" a="1"/>
  <c r="CM13" i="5" s="1"/>
  <c r="CL13" i="5" a="1"/>
  <c r="CL13" i="5" s="1"/>
  <c r="CK13" i="5" a="1"/>
  <c r="CK13" i="5" s="1"/>
  <c r="CJ13" i="5" a="1"/>
  <c r="CJ13" i="5" s="1"/>
  <c r="CI13" i="5" a="1"/>
  <c r="CI13" i="5" s="1"/>
  <c r="CH13" i="5" a="1"/>
  <c r="CH13" i="5" s="1"/>
  <c r="CG13" i="5" a="1"/>
  <c r="CG13" i="5" s="1"/>
  <c r="CF13" i="5" a="1"/>
  <c r="CF13" i="5" s="1"/>
  <c r="CE13" i="5" a="1"/>
  <c r="CE13" i="5" s="1"/>
  <c r="CD13" i="5" a="1"/>
  <c r="CD13" i="5"/>
  <c r="CC13" i="5" a="1"/>
  <c r="CC13" i="5"/>
  <c r="CB13" i="5" a="1"/>
  <c r="CB13" i="5"/>
  <c r="CA13" i="5" a="1"/>
  <c r="CA13" i="5" s="1"/>
  <c r="BZ13" i="5" a="1"/>
  <c r="BZ13" i="5" s="1"/>
  <c r="BY13" i="5" a="1"/>
  <c r="BY13" i="5" s="1"/>
  <c r="BX13" i="5" a="1"/>
  <c r="BX13" i="5" s="1"/>
  <c r="BW13" i="5" a="1"/>
  <c r="BW13" i="5" s="1"/>
  <c r="BV13" i="5" a="1"/>
  <c r="BV13" i="5" s="1"/>
  <c r="BU13" i="5" a="1"/>
  <c r="BU13" i="5" s="1"/>
  <c r="BT13" i="5" a="1"/>
  <c r="BT13" i="5" s="1"/>
  <c r="BS13" i="5" a="1"/>
  <c r="BS13" i="5"/>
  <c r="BR13" i="5" a="1"/>
  <c r="BR13" i="5"/>
  <c r="BQ13" i="5" a="1"/>
  <c r="BQ13" i="5"/>
  <c r="BP13" i="5" a="1"/>
  <c r="BP13" i="5"/>
  <c r="BO13" i="5" a="1"/>
  <c r="BO13" i="5" s="1"/>
  <c r="BN13" i="5" a="1"/>
  <c r="BN13" i="5" s="1"/>
  <c r="BM13" i="5" a="1"/>
  <c r="BM13" i="5" s="1"/>
  <c r="BL13" i="5" a="1"/>
  <c r="BL13" i="5" s="1"/>
  <c r="BK13" i="5" a="1"/>
  <c r="BK13" i="5" s="1"/>
  <c r="BJ13" i="5" a="1"/>
  <c r="BJ13" i="5"/>
  <c r="BI13" i="5" a="1"/>
  <c r="BI13" i="5" s="1"/>
  <c r="BH13" i="5" a="1"/>
  <c r="BH13" i="5" s="1"/>
  <c r="BG13" i="5" a="1"/>
  <c r="BG13" i="5" s="1"/>
  <c r="BF13" i="5" a="1"/>
  <c r="BF13" i="5" s="1"/>
  <c r="BE13" i="5" a="1"/>
  <c r="BE13" i="5" s="1"/>
  <c r="BD13" i="5" a="1"/>
  <c r="BD13" i="5" s="1"/>
  <c r="BC13" i="5" a="1"/>
  <c r="BC13" i="5" s="1"/>
  <c r="BB13" i="5" a="1"/>
  <c r="BB13" i="5" s="1"/>
  <c r="BA13" i="5" a="1"/>
  <c r="BA13" i="5" s="1"/>
  <c r="AZ13" i="5" a="1"/>
  <c r="AZ13" i="5" s="1"/>
  <c r="AY13" i="5" a="1"/>
  <c r="AY13" i="5" s="1"/>
  <c r="AX13" i="5" a="1"/>
  <c r="AX13" i="5" s="1"/>
  <c r="AW13" i="5" a="1"/>
  <c r="AW13" i="5" s="1"/>
  <c r="AV13" i="5" a="1"/>
  <c r="AV13" i="5" s="1"/>
  <c r="AU13" i="5" a="1"/>
  <c r="AU13" i="5" s="1"/>
  <c r="AT13" i="5" a="1"/>
  <c r="AT13" i="5" s="1"/>
  <c r="AS13" i="5" a="1"/>
  <c r="AS13" i="5" s="1"/>
  <c r="AR13" i="5" a="1"/>
  <c r="AR13" i="5" s="1"/>
  <c r="AQ13" i="5" a="1"/>
  <c r="AQ13" i="5" s="1"/>
  <c r="AP13" i="5" a="1"/>
  <c r="AP13" i="5" s="1"/>
  <c r="AO13" i="5" a="1"/>
  <c r="AO13" i="5" s="1"/>
  <c r="AN13" i="5" a="1"/>
  <c r="AN13" i="5" s="1"/>
  <c r="AM13" i="5" a="1"/>
  <c r="AM13" i="5" s="1"/>
  <c r="AL13" i="5" a="1"/>
  <c r="AL13" i="5" s="1"/>
  <c r="AK13" i="5" a="1"/>
  <c r="AK13" i="5" s="1"/>
  <c r="AJ13" i="5" a="1"/>
  <c r="AJ13" i="5" s="1"/>
  <c r="AI13" i="5" a="1"/>
  <c r="AI13" i="5" s="1"/>
  <c r="AH13" i="5" a="1"/>
  <c r="AH13" i="5"/>
  <c r="AG13" i="5" a="1"/>
  <c r="AG13" i="5"/>
  <c r="AF13" i="5" a="1"/>
  <c r="AF13" i="5" s="1"/>
  <c r="AE13" i="5" a="1"/>
  <c r="AE13" i="5" s="1"/>
  <c r="AD13" i="5" a="1"/>
  <c r="AD13" i="5" s="1"/>
  <c r="AC13" i="5" a="1"/>
  <c r="AC13" i="5" s="1"/>
  <c r="AB13" i="5" a="1"/>
  <c r="AB13" i="5" s="1"/>
  <c r="AA13" i="5" a="1"/>
  <c r="AA13" i="5" s="1"/>
  <c r="Z13" i="5" a="1"/>
  <c r="Z13" i="5" s="1"/>
  <c r="Y13" i="5" a="1"/>
  <c r="Y13" i="5"/>
  <c r="X13" i="5" a="1"/>
  <c r="X13" i="5" s="1"/>
  <c r="W13" i="5" a="1"/>
  <c r="W13" i="5" s="1"/>
  <c r="V13" i="5" a="1"/>
  <c r="V13" i="5" s="1"/>
  <c r="U13" i="5" a="1"/>
  <c r="U13" i="5" s="1"/>
  <c r="T13" i="5" a="1"/>
  <c r="T13" i="5"/>
  <c r="S13" i="5" a="1"/>
  <c r="S13" i="5" s="1"/>
  <c r="R13" i="5" a="1"/>
  <c r="R13" i="5" s="1"/>
  <c r="Q13" i="5" a="1"/>
  <c r="Q13" i="5" s="1"/>
  <c r="P13" i="5" a="1"/>
  <c r="P13" i="5" s="1"/>
  <c r="O13" i="5" a="1"/>
  <c r="O13" i="5" s="1"/>
  <c r="N13" i="5" a="1"/>
  <c r="N13" i="5" s="1"/>
  <c r="M13" i="5" a="1"/>
  <c r="M13" i="5" s="1"/>
  <c r="L13" i="5" a="1"/>
  <c r="L13" i="5"/>
  <c r="K13" i="5" a="1"/>
  <c r="K13" i="5"/>
  <c r="J13" i="5" a="1"/>
  <c r="J13" i="5"/>
  <c r="I13" i="5" a="1"/>
  <c r="I13" i="5"/>
  <c r="H13" i="5" a="1"/>
  <c r="H13" i="5" s="1"/>
  <c r="G13" i="5" a="1"/>
  <c r="G13" i="5" s="1"/>
  <c r="F13" i="5" a="1"/>
  <c r="F13" i="5" s="1"/>
  <c r="E13" i="5" a="1"/>
  <c r="E13" i="5" s="1"/>
  <c r="D13" i="5" a="1"/>
  <c r="D13" i="5" s="1"/>
  <c r="C13" i="5" a="1"/>
  <c r="C13" i="5"/>
  <c r="EF12" i="5" a="1"/>
  <c r="EF12" i="5" s="1"/>
  <c r="EE12" i="5" a="1"/>
  <c r="EE12" i="5" s="1"/>
  <c r="ED12" i="5" a="1"/>
  <c r="ED12" i="5" s="1"/>
  <c r="EC12" i="5" a="1"/>
  <c r="EC12" i="5" s="1"/>
  <c r="EB12" i="5" a="1"/>
  <c r="EB12" i="5" s="1"/>
  <c r="EA12" i="5" a="1"/>
  <c r="EA12" i="5"/>
  <c r="DZ12" i="5" a="1"/>
  <c r="DZ12" i="5" s="1"/>
  <c r="DY12" i="5" a="1"/>
  <c r="DY12" i="5" s="1"/>
  <c r="DX12" i="5" a="1"/>
  <c r="DX12" i="5" s="1"/>
  <c r="DW12" i="5" a="1"/>
  <c r="DW12" i="5" s="1"/>
  <c r="DV12" i="5" a="1"/>
  <c r="DV12" i="5"/>
  <c r="DU12" i="5" a="1"/>
  <c r="DU12" i="5" s="1"/>
  <c r="DT12" i="5" a="1"/>
  <c r="DT12" i="5"/>
  <c r="DS12" i="5" a="1"/>
  <c r="DS12" i="5"/>
  <c r="DR12" i="5" a="1"/>
  <c r="DR12" i="5"/>
  <c r="DQ12" i="5" a="1"/>
  <c r="DQ12" i="5" s="1"/>
  <c r="DP12" i="5" a="1"/>
  <c r="DP12" i="5" s="1"/>
  <c r="DO12" i="5" a="1"/>
  <c r="DO12" i="5" s="1"/>
  <c r="DN12" i="5" a="1"/>
  <c r="DN12" i="5" s="1"/>
  <c r="DM12" i="5" a="1"/>
  <c r="DM12" i="5" s="1"/>
  <c r="DL12" i="5" a="1"/>
  <c r="DL12" i="5" s="1"/>
  <c r="DK12" i="5" a="1"/>
  <c r="DK12" i="5"/>
  <c r="DJ12" i="5" a="1"/>
  <c r="DJ12" i="5" s="1"/>
  <c r="DI12" i="5" a="1"/>
  <c r="DI12" i="5" s="1"/>
  <c r="DH12" i="5" a="1"/>
  <c r="DH12" i="5" s="1"/>
  <c r="DG12" i="5" a="1"/>
  <c r="DG12" i="5" s="1"/>
  <c r="DF12" i="5" a="1"/>
  <c r="DF12" i="5" s="1"/>
  <c r="DE12" i="5" a="1"/>
  <c r="DE12" i="5" s="1"/>
  <c r="DD12" i="5" a="1"/>
  <c r="DD12" i="5" s="1"/>
  <c r="DC12" i="5" a="1"/>
  <c r="DC12" i="5" s="1"/>
  <c r="DB12" i="5" a="1"/>
  <c r="DB12" i="5" s="1"/>
  <c r="DA12" i="5" a="1"/>
  <c r="DA12" i="5" s="1"/>
  <c r="CZ12" i="5" a="1"/>
  <c r="CZ12" i="5"/>
  <c r="CY12" i="5" a="1"/>
  <c r="CY12" i="5" s="1"/>
  <c r="CX12" i="5" a="1"/>
  <c r="CX12" i="5" s="1"/>
  <c r="CW12" i="5" a="1"/>
  <c r="CW12" i="5"/>
  <c r="CV12" i="5" a="1"/>
  <c r="CV12" i="5"/>
  <c r="CU12" i="5" a="1"/>
  <c r="CU12" i="5" s="1"/>
  <c r="CT12" i="5" a="1"/>
  <c r="CT12" i="5" s="1"/>
  <c r="CS12" i="5" a="1"/>
  <c r="CS12" i="5" s="1"/>
  <c r="CR12" i="5" a="1"/>
  <c r="CR12" i="5" s="1"/>
  <c r="CQ12" i="5" a="1"/>
  <c r="CQ12" i="5" s="1"/>
  <c r="CP12" i="5" a="1"/>
  <c r="CP12" i="5" s="1"/>
  <c r="CO12" i="5" a="1"/>
  <c r="CO12" i="5" s="1"/>
  <c r="CN12" i="5" a="1"/>
  <c r="CN12" i="5" s="1"/>
  <c r="CM12" i="5" a="1"/>
  <c r="CM12" i="5"/>
  <c r="CL12" i="5" a="1"/>
  <c r="CL12" i="5"/>
  <c r="CK12" i="5" a="1"/>
  <c r="CK12" i="5"/>
  <c r="CJ12" i="5" a="1"/>
  <c r="CJ12" i="5" s="1"/>
  <c r="CI12" i="5" a="1"/>
  <c r="CI12" i="5" s="1"/>
  <c r="CH12" i="5" a="1"/>
  <c r="CH12" i="5"/>
  <c r="CG12" i="5" a="1"/>
  <c r="CG12" i="5" s="1"/>
  <c r="CF12" i="5" a="1"/>
  <c r="CF12" i="5" s="1"/>
  <c r="CE12" i="5" a="1"/>
  <c r="CE12" i="5" s="1"/>
  <c r="CD12" i="5" a="1"/>
  <c r="CD12" i="5" s="1"/>
  <c r="CC12" i="5" a="1"/>
  <c r="CC12" i="5" s="1"/>
  <c r="CB12" i="5" a="1"/>
  <c r="CB12" i="5"/>
  <c r="CA12" i="5" a="1"/>
  <c r="CA12" i="5" s="1"/>
  <c r="BZ12" i="5" a="1"/>
  <c r="BZ12" i="5" s="1"/>
  <c r="BY12" i="5" a="1"/>
  <c r="BY12" i="5" s="1"/>
  <c r="BX12" i="5" a="1"/>
  <c r="BX12" i="5" s="1"/>
  <c r="BW12" i="5" a="1"/>
  <c r="BW12" i="5" s="1"/>
  <c r="BV12" i="5" a="1"/>
  <c r="BV12" i="5" s="1"/>
  <c r="BU12" i="5" a="1"/>
  <c r="BU12" i="5" s="1"/>
  <c r="BT12" i="5" a="1"/>
  <c r="BT12" i="5" s="1"/>
  <c r="BS12" i="5" a="1"/>
  <c r="BS12" i="5"/>
  <c r="BR12" i="5" a="1"/>
  <c r="BR12" i="5" s="1"/>
  <c r="BQ12" i="5" a="1"/>
  <c r="BQ12" i="5" s="1"/>
  <c r="BP12" i="5" a="1"/>
  <c r="BP12" i="5" s="1"/>
  <c r="BO12" i="5" a="1"/>
  <c r="BO12" i="5" s="1"/>
  <c r="BN12" i="5" a="1"/>
  <c r="BN12" i="5" s="1"/>
  <c r="BM12" i="5" a="1"/>
  <c r="BM12" i="5"/>
  <c r="BL12" i="5" a="1"/>
  <c r="BL12" i="5" s="1"/>
  <c r="BK12" i="5" a="1"/>
  <c r="BK12" i="5" s="1"/>
  <c r="BJ12" i="5" a="1"/>
  <c r="BJ12" i="5" s="1"/>
  <c r="BI12" i="5" a="1"/>
  <c r="BI12" i="5" s="1"/>
  <c r="BH12" i="5" a="1"/>
  <c r="BH12" i="5"/>
  <c r="BG12" i="5" a="1"/>
  <c r="BG12" i="5" s="1"/>
  <c r="BF12" i="5" a="1"/>
  <c r="BF12" i="5" s="1"/>
  <c r="BE12" i="5" a="1"/>
  <c r="BE12" i="5"/>
  <c r="BD12" i="5" a="1"/>
  <c r="BD12" i="5"/>
  <c r="BC12" i="5" a="1"/>
  <c r="BC12" i="5"/>
  <c r="BB12" i="5" a="1"/>
  <c r="BB12" i="5"/>
  <c r="BA12" i="5" a="1"/>
  <c r="BA12" i="5" s="1"/>
  <c r="AZ12" i="5" a="1"/>
  <c r="AZ12" i="5" s="1"/>
  <c r="AY12" i="5" a="1"/>
  <c r="AY12" i="5" s="1"/>
  <c r="AX12" i="5" a="1"/>
  <c r="AX12" i="5" s="1"/>
  <c r="AW12" i="5" a="1"/>
  <c r="AW12" i="5" s="1"/>
  <c r="AV12" i="5" a="1"/>
  <c r="AV12" i="5" s="1"/>
  <c r="AU12" i="5" a="1"/>
  <c r="AU12" i="5"/>
  <c r="AT12" i="5" a="1"/>
  <c r="AT12" i="5"/>
  <c r="AS12" i="5" a="1"/>
  <c r="AS12" i="5"/>
  <c r="AR12" i="5" a="1"/>
  <c r="AR12" i="5" s="1"/>
  <c r="AQ12" i="5" a="1"/>
  <c r="AQ12" i="5" s="1"/>
  <c r="AP12" i="5" a="1"/>
  <c r="AP12" i="5" s="1"/>
  <c r="AO12" i="5" a="1"/>
  <c r="AO12" i="5" s="1"/>
  <c r="AN12" i="5" a="1"/>
  <c r="AN12" i="5" s="1"/>
  <c r="AM12" i="5" a="1"/>
  <c r="AM12" i="5" s="1"/>
  <c r="AL12" i="5" a="1"/>
  <c r="AL12" i="5"/>
  <c r="AK12" i="5" a="1"/>
  <c r="AK12" i="5" s="1"/>
  <c r="AJ12" i="5" a="1"/>
  <c r="AJ12" i="5" s="1"/>
  <c r="AI12" i="5" a="1"/>
  <c r="AI12" i="5"/>
  <c r="AH12" i="5" a="1"/>
  <c r="AH12" i="5"/>
  <c r="AG12" i="5" a="1"/>
  <c r="AG12" i="5"/>
  <c r="AF12" i="5" a="1"/>
  <c r="AF12" i="5"/>
  <c r="AE12" i="5" a="1"/>
  <c r="AE12" i="5" s="1"/>
  <c r="AD12" i="5" a="1"/>
  <c r="AD12" i="5" s="1"/>
  <c r="AC12" i="5" a="1"/>
  <c r="AC12" i="5" s="1"/>
  <c r="AB12" i="5" a="1"/>
  <c r="AB12" i="5" s="1"/>
  <c r="AA12" i="5" a="1"/>
  <c r="AA12" i="5"/>
  <c r="Z12" i="5" a="1"/>
  <c r="Z12" i="5" s="1"/>
  <c r="Y12" i="5" a="1"/>
  <c r="Y12" i="5" s="1"/>
  <c r="X12" i="5" a="1"/>
  <c r="X12" i="5" s="1"/>
  <c r="W12" i="5" a="1"/>
  <c r="W12" i="5"/>
  <c r="V12" i="5" a="1"/>
  <c r="V12" i="5"/>
  <c r="U12" i="5" a="1"/>
  <c r="U12" i="5"/>
  <c r="T12" i="5" a="1"/>
  <c r="T12" i="5"/>
  <c r="S12" i="5" a="1"/>
  <c r="S12" i="5" s="1"/>
  <c r="R12" i="5" a="1"/>
  <c r="R12" i="5" s="1"/>
  <c r="Q12" i="5" a="1"/>
  <c r="Q12" i="5" s="1"/>
  <c r="P12" i="5" a="1"/>
  <c r="P12" i="5" s="1"/>
  <c r="O12" i="5" a="1"/>
  <c r="O12" i="5" s="1"/>
  <c r="N12" i="5" a="1"/>
  <c r="N12" i="5" s="1"/>
  <c r="M12" i="5" a="1"/>
  <c r="M12" i="5" s="1"/>
  <c r="L12" i="5" a="1"/>
  <c r="L12" i="5" s="1"/>
  <c r="K12" i="5" a="1"/>
  <c r="K12" i="5" s="1"/>
  <c r="J12" i="5" a="1"/>
  <c r="J12" i="5" s="1"/>
  <c r="I12" i="5" a="1"/>
  <c r="I12" i="5"/>
  <c r="H12" i="5" a="1"/>
  <c r="H12" i="5" s="1"/>
  <c r="G12" i="5" a="1"/>
  <c r="G12" i="5" s="1"/>
  <c r="F12" i="5" a="1"/>
  <c r="F12" i="5" s="1"/>
  <c r="E12" i="5" a="1"/>
  <c r="E12" i="5" s="1"/>
  <c r="D12" i="5" a="1"/>
  <c r="D12" i="5" s="1"/>
  <c r="C12" i="5" a="1"/>
  <c r="C12" i="5" s="1"/>
  <c r="EF6" i="5" a="1"/>
  <c r="EF6" i="5" s="1"/>
  <c r="EE6" i="5" a="1"/>
  <c r="EE6" i="5" s="1"/>
  <c r="ED6" i="5" a="1"/>
  <c r="ED6" i="5" s="1"/>
  <c r="EC6" i="5" a="1"/>
  <c r="EC6" i="5" s="1"/>
  <c r="EB6" i="5" a="1"/>
  <c r="EB6" i="5" s="1"/>
  <c r="EA6" i="5" a="1"/>
  <c r="EA6" i="5"/>
  <c r="DZ6" i="5" a="1"/>
  <c r="DZ6" i="5"/>
  <c r="DY6" i="5" a="1"/>
  <c r="DY6" i="5"/>
  <c r="DX6" i="5" a="1"/>
  <c r="DX6" i="5" s="1"/>
  <c r="DW6" i="5" a="1"/>
  <c r="DW6" i="5"/>
  <c r="DW8" i="5" s="1"/>
  <c r="DV6" i="5" a="1"/>
  <c r="DV6" i="5" s="1"/>
  <c r="DU6" i="5" a="1"/>
  <c r="DU6" i="5" s="1"/>
  <c r="DT6" i="5" a="1"/>
  <c r="DT6" i="5" s="1"/>
  <c r="DS6" i="5" a="1"/>
  <c r="DS6" i="5" s="1"/>
  <c r="DR6" i="5" a="1"/>
  <c r="DR6" i="5" s="1"/>
  <c r="DQ6" i="5" a="1"/>
  <c r="DQ6" i="5"/>
  <c r="DP6" i="5" a="1"/>
  <c r="DP6" i="5"/>
  <c r="DO6" i="5" a="1"/>
  <c r="DO6" i="5"/>
  <c r="DN6" i="5" a="1"/>
  <c r="DN6" i="5"/>
  <c r="DM6" i="5" a="1"/>
  <c r="DM6" i="5" s="1"/>
  <c r="DL6" i="5" a="1"/>
  <c r="DL6" i="5"/>
  <c r="DL8" i="5" s="1"/>
  <c r="DK6" i="5" a="1"/>
  <c r="DK6" i="5" s="1"/>
  <c r="DJ6" i="5" a="1"/>
  <c r="DJ6" i="5"/>
  <c r="DI6" i="5" a="1"/>
  <c r="DI6" i="5" s="1"/>
  <c r="DH6" i="5" a="1"/>
  <c r="DH6" i="5"/>
  <c r="DG6" i="5" a="1"/>
  <c r="DG6" i="5" s="1"/>
  <c r="DF6" i="5" a="1"/>
  <c r="DF6" i="5"/>
  <c r="DE6" i="5" a="1"/>
  <c r="DE6" i="5"/>
  <c r="DD6" i="5" a="1"/>
  <c r="DD6" i="5"/>
  <c r="DC6" i="5" a="1"/>
  <c r="DC6" i="5"/>
  <c r="DB6" i="5" a="1"/>
  <c r="DB6" i="5" s="1"/>
  <c r="DA6" i="5" a="1"/>
  <c r="DA6" i="5"/>
  <c r="DA8" i="5" s="1"/>
  <c r="CZ6" i="5" a="1"/>
  <c r="CZ6" i="5" s="1"/>
  <c r="CY6" i="5" a="1"/>
  <c r="CY6" i="5" s="1"/>
  <c r="CX6" i="5" a="1"/>
  <c r="CX6" i="5" s="1"/>
  <c r="CW6" i="5" a="1"/>
  <c r="CW6" i="5" s="1"/>
  <c r="CV6" i="5" a="1"/>
  <c r="CV6" i="5" s="1"/>
  <c r="CU6" i="5" a="1"/>
  <c r="CU6" i="5"/>
  <c r="CT6" i="5" a="1"/>
  <c r="CT6" i="5"/>
  <c r="CS6" i="5" a="1"/>
  <c r="CS6" i="5" s="1"/>
  <c r="CR6" i="5" a="1"/>
  <c r="CR6" i="5"/>
  <c r="CQ6" i="5" a="1"/>
  <c r="CQ6" i="5" s="1"/>
  <c r="CP6" i="5" a="1"/>
  <c r="CP6" i="5"/>
  <c r="CP8" i="5" s="1"/>
  <c r="CO6" i="5" a="1"/>
  <c r="CO6" i="5" s="1"/>
  <c r="CN6" i="5" a="1"/>
  <c r="CN6" i="5" s="1"/>
  <c r="CM6" i="5" a="1"/>
  <c r="CM6" i="5" s="1"/>
  <c r="CL6" i="5" a="1"/>
  <c r="CL6" i="5" s="1"/>
  <c r="CK6" i="5" a="1"/>
  <c r="CK6" i="5" s="1"/>
  <c r="CJ6" i="5" a="1"/>
  <c r="CJ6" i="5"/>
  <c r="CI6" i="5" a="1"/>
  <c r="CI6" i="5"/>
  <c r="CH6" i="5" a="1"/>
  <c r="CH6" i="5"/>
  <c r="CG6" i="5" a="1"/>
  <c r="CG6" i="5"/>
  <c r="CF6" i="5" a="1"/>
  <c r="CF6" i="5" s="1"/>
  <c r="CE6" i="5" a="1"/>
  <c r="CE6" i="5"/>
  <c r="CE8" i="5" s="1"/>
  <c r="CD6" i="5" a="1"/>
  <c r="CD6" i="5" s="1"/>
  <c r="CC6" i="5" a="1"/>
  <c r="CC6" i="5" s="1"/>
  <c r="CB6" i="5" a="1"/>
  <c r="CB6" i="5" s="1"/>
  <c r="CA6" i="5" a="1"/>
  <c r="CA6" i="5" s="1"/>
  <c r="BZ6" i="5" a="1"/>
  <c r="BZ6" i="5" s="1"/>
  <c r="BY6" i="5" a="1"/>
  <c r="BY6" i="5"/>
  <c r="BX6" i="5" a="1"/>
  <c r="BX6" i="5"/>
  <c r="BW6" i="5" a="1"/>
  <c r="BW6" i="5" s="1"/>
  <c r="BV6" i="5" a="1"/>
  <c r="BV6" i="5"/>
  <c r="BU6" i="5" a="1"/>
  <c r="BU6" i="5" s="1"/>
  <c r="BT6" i="5" a="1"/>
  <c r="BT6" i="5"/>
  <c r="BT8" i="5" s="1"/>
  <c r="BS6" i="5" a="1"/>
  <c r="BS6" i="5" s="1"/>
  <c r="BR6" i="5" a="1"/>
  <c r="BR6" i="5" s="1"/>
  <c r="BQ6" i="5" a="1"/>
  <c r="BQ6" i="5" s="1"/>
  <c r="BP6" i="5" a="1"/>
  <c r="BP6" i="5" s="1"/>
  <c r="BO6" i="5" a="1"/>
  <c r="BO6" i="5" s="1"/>
  <c r="BN6" i="5" a="1"/>
  <c r="BN6" i="5"/>
  <c r="BM6" i="5" a="1"/>
  <c r="BM6" i="5"/>
  <c r="BL6" i="5" a="1"/>
  <c r="BL6" i="5" s="1"/>
  <c r="BK6" i="5" a="1"/>
  <c r="BK6" i="5"/>
  <c r="BJ6" i="5" a="1"/>
  <c r="BJ6" i="5" s="1"/>
  <c r="BI6" i="5" a="1"/>
  <c r="BI6" i="5"/>
  <c r="BI8" i="5" s="1"/>
  <c r="BH6" i="5" a="1"/>
  <c r="BH6" i="5" s="1"/>
  <c r="BG6" i="5" a="1"/>
  <c r="BG6" i="5"/>
  <c r="BF6" i="5" a="1"/>
  <c r="BF6" i="5" s="1"/>
  <c r="BE6" i="5" a="1"/>
  <c r="BE6" i="5" s="1"/>
  <c r="BD6" i="5" a="1"/>
  <c r="BD6" i="5" s="1"/>
  <c r="BC6" i="5" a="1"/>
  <c r="BC6" i="5"/>
  <c r="BB6" i="5" a="1"/>
  <c r="BB6" i="5"/>
  <c r="BA6" i="5" a="1"/>
  <c r="BA6" i="5"/>
  <c r="AZ6" i="5" a="1"/>
  <c r="AZ6" i="5"/>
  <c r="AY6" i="5" a="1"/>
  <c r="AY6" i="5" s="1"/>
  <c r="AX6" i="5" a="1"/>
  <c r="AX6" i="5"/>
  <c r="AX8" i="5" s="1"/>
  <c r="AW6" i="5" a="1"/>
  <c r="AW6" i="5" s="1"/>
  <c r="AV6" i="5" a="1"/>
  <c r="AV6" i="5" s="1"/>
  <c r="AU6" i="5" a="1"/>
  <c r="AU6" i="5" s="1"/>
  <c r="AT6" i="5" a="1"/>
  <c r="AT6" i="5"/>
  <c r="AS6" i="5" a="1"/>
  <c r="AS6" i="5" s="1"/>
  <c r="AR6" i="5" a="1"/>
  <c r="AR6" i="5"/>
  <c r="AQ6" i="5" a="1"/>
  <c r="AQ6" i="5"/>
  <c r="AP6" i="5" a="1"/>
  <c r="AP6" i="5"/>
  <c r="AO6" i="5" a="1"/>
  <c r="AO6" i="5"/>
  <c r="AN6" i="5" a="1"/>
  <c r="AN6" i="5" s="1"/>
  <c r="AM6" i="5" a="1"/>
  <c r="AM6" i="5"/>
  <c r="AM8" i="5" s="1"/>
  <c r="AL6" i="5" a="1"/>
  <c r="AL6" i="5" s="1"/>
  <c r="AK6" i="5" a="1"/>
  <c r="AK6" i="5"/>
  <c r="AJ6" i="5" a="1"/>
  <c r="AJ6" i="5" s="1"/>
  <c r="AI6" i="5" a="1"/>
  <c r="AI6" i="5"/>
  <c r="AH6" i="5" a="1"/>
  <c r="AH6" i="5" s="1"/>
  <c r="AG6" i="5" a="1"/>
  <c r="AG6" i="5"/>
  <c r="AF6" i="5" a="1"/>
  <c r="AF6" i="5"/>
  <c r="AE6" i="5" a="1"/>
  <c r="AE6" i="5"/>
  <c r="AD6" i="5" a="1"/>
  <c r="AD6" i="5"/>
  <c r="AC6" i="5" a="1"/>
  <c r="AC6" i="5" s="1"/>
  <c r="AB6" i="5" a="1"/>
  <c r="AB6" i="5"/>
  <c r="AB8" i="5" s="1"/>
  <c r="AA6" i="5" a="1"/>
  <c r="AA6" i="5" s="1"/>
  <c r="Z6" i="5" a="1"/>
  <c r="Z6" i="5" s="1"/>
  <c r="Y6" i="5" a="1"/>
  <c r="Y6" i="5" s="1"/>
  <c r="X6" i="5" a="1"/>
  <c r="X6" i="5"/>
  <c r="W6" i="5" a="1"/>
  <c r="W6" i="5" s="1"/>
  <c r="V6" i="5" a="1"/>
  <c r="V6" i="5"/>
  <c r="U6" i="5" a="1"/>
  <c r="U6" i="5"/>
  <c r="T6" i="5" a="1"/>
  <c r="T6" i="5"/>
  <c r="S6" i="5" a="1"/>
  <c r="S6" i="5"/>
  <c r="R6" i="5" a="1"/>
  <c r="R6" i="5"/>
  <c r="Q6" i="5" a="1"/>
  <c r="Q6" i="5"/>
  <c r="P6" i="5" a="1"/>
  <c r="P6" i="5"/>
  <c r="O6" i="5" a="1"/>
  <c r="O6" i="5"/>
  <c r="N6" i="5" a="1"/>
  <c r="N6" i="5" s="1"/>
  <c r="M6" i="5" a="1"/>
  <c r="M6" i="5"/>
  <c r="L6" i="5" a="1"/>
  <c r="L6" i="5" s="1"/>
  <c r="K6" i="5" a="1"/>
  <c r="K6" i="5" s="1"/>
  <c r="J6" i="5" a="1"/>
  <c r="J6" i="5" s="1"/>
  <c r="I6" i="5" a="1"/>
  <c r="I6" i="5" s="1"/>
  <c r="H6" i="5" a="1"/>
  <c r="H6" i="5" s="1"/>
  <c r="G6" i="5" a="1"/>
  <c r="G6" i="5" s="1"/>
  <c r="F6" i="5" a="1"/>
  <c r="F6" i="5"/>
  <c r="E6" i="5" a="1"/>
  <c r="E6" i="5" s="1"/>
  <c r="D6" i="5" a="1"/>
  <c r="D6" i="5" s="1"/>
  <c r="C6" i="5" a="1"/>
  <c r="C6" i="5"/>
  <c r="G19" i="4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D19" i="4"/>
  <c r="E19" i="4" s="1"/>
  <c r="F19" i="4" s="1"/>
  <c r="H18" i="4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18" i="4"/>
  <c r="F18" i="4" s="1"/>
  <c r="G18" i="4" s="1"/>
  <c r="D18" i="4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J16" i="4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D16" i="4"/>
  <c r="E16" i="4" s="1"/>
  <c r="F16" i="4" s="1"/>
  <c r="G16" i="4" s="1"/>
  <c r="H16" i="4" s="1"/>
  <c r="I16" i="4" s="1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14" i="4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D14" i="4"/>
  <c r="H13" i="4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D13" i="4"/>
  <c r="E13" i="4" s="1"/>
  <c r="F13" i="4" s="1"/>
  <c r="G13" i="4" s="1"/>
  <c r="U12" i="4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T12" i="4"/>
  <c r="O12" i="4"/>
  <c r="P12" i="4" s="1"/>
  <c r="Q12" i="4" s="1"/>
  <c r="R12" i="4" s="1"/>
  <c r="S12" i="4" s="1"/>
  <c r="I12" i="4"/>
  <c r="J12" i="4" s="1"/>
  <c r="K12" i="4" s="1"/>
  <c r="L12" i="4" s="1"/>
  <c r="M12" i="4" s="1"/>
  <c r="N12" i="4" s="1"/>
  <c r="D12" i="4"/>
  <c r="E12" i="4" s="1"/>
  <c r="F12" i="4" s="1"/>
  <c r="G12" i="4" s="1"/>
  <c r="H12" i="4" s="1"/>
  <c r="EE8" i="4"/>
  <c r="ED8" i="4"/>
  <c r="EC8" i="4"/>
  <c r="CZ8" i="4"/>
  <c r="CU8" i="4"/>
  <c r="CK8" i="4"/>
  <c r="CJ8" i="4"/>
  <c r="CE8" i="4"/>
  <c r="CD8" i="4"/>
  <c r="BT8" i="4"/>
  <c r="BS8" i="4"/>
  <c r="BG8" i="4"/>
  <c r="AQ8" i="4"/>
  <c r="AM8" i="4"/>
  <c r="AL8" i="4"/>
  <c r="AK8" i="4"/>
  <c r="AB8" i="4"/>
  <c r="AA8" i="4"/>
  <c r="J8" i="4"/>
  <c r="F8" i="4"/>
  <c r="ED7" i="4"/>
  <c r="EC7" i="4"/>
  <c r="DX7" i="4"/>
  <c r="DW7" i="4"/>
  <c r="DM7" i="4"/>
  <c r="DL7" i="4"/>
  <c r="DH7" i="4"/>
  <c r="DG7" i="4"/>
  <c r="CP7" i="4"/>
  <c r="CG7" i="4"/>
  <c r="CF7" i="4"/>
  <c r="CE7" i="4"/>
  <c r="CD7" i="4"/>
  <c r="BT7" i="4"/>
  <c r="BS7" i="4"/>
  <c r="BR7" i="4"/>
  <c r="BO7" i="4"/>
  <c r="BG7" i="4"/>
  <c r="AO7" i="4"/>
  <c r="AN7" i="4"/>
  <c r="AM7" i="4"/>
  <c r="AE7" i="4"/>
  <c r="AB7" i="4"/>
  <c r="AA7" i="4"/>
  <c r="R7" i="4"/>
  <c r="Q7" i="4"/>
  <c r="P7" i="4"/>
  <c r="O7" i="4"/>
  <c r="E7" i="4"/>
  <c r="EF6" i="4" a="1"/>
  <c r="EF6" i="4"/>
  <c r="EF7" i="4" s="1"/>
  <c r="EE6" i="4" a="1"/>
  <c r="EE6" i="4"/>
  <c r="EE7" i="4" s="1"/>
  <c r="ED6" i="4" a="1"/>
  <c r="ED6" i="4"/>
  <c r="EC6" i="4" a="1"/>
  <c r="EC6" i="4"/>
  <c r="EB6" i="4" a="1"/>
  <c r="EB6" i="4" s="1"/>
  <c r="EA6" i="4" a="1"/>
  <c r="EA6" i="4"/>
  <c r="DZ6" i="4" a="1"/>
  <c r="DZ6" i="4" s="1"/>
  <c r="DY6" i="4" a="1"/>
  <c r="DY6" i="4" s="1"/>
  <c r="DX6" i="4" a="1"/>
  <c r="DX6" i="4"/>
  <c r="DX8" i="4" s="1"/>
  <c r="DW6" i="4" a="1"/>
  <c r="DW6" i="4"/>
  <c r="DW8" i="4" s="1"/>
  <c r="DV6" i="4" a="1"/>
  <c r="DV6" i="4" s="1"/>
  <c r="DU6" i="4" a="1"/>
  <c r="DU6" i="4"/>
  <c r="DT6" i="4" a="1"/>
  <c r="DT6" i="4"/>
  <c r="DS6" i="4" a="1"/>
  <c r="DS6" i="4" s="1"/>
  <c r="DS7" i="4" s="1"/>
  <c r="DR6" i="4" a="1"/>
  <c r="DR6" i="4" s="1"/>
  <c r="DR7" i="4" s="1"/>
  <c r="DQ6" i="4" a="1"/>
  <c r="DQ6" i="4"/>
  <c r="DQ7" i="4" s="1"/>
  <c r="DP6" i="4" a="1"/>
  <c r="DP6" i="4" s="1"/>
  <c r="DO6" i="4" a="1"/>
  <c r="DO6" i="4" s="1"/>
  <c r="DN6" i="4" a="1"/>
  <c r="DN6" i="4"/>
  <c r="DM6" i="4" a="1"/>
  <c r="DM6" i="4" s="1"/>
  <c r="DM8" i="4" s="1"/>
  <c r="DL6" i="4" a="1"/>
  <c r="DL6" i="4" s="1"/>
  <c r="DL8" i="4" s="1"/>
  <c r="DK6" i="4" a="1"/>
  <c r="DK6" i="4"/>
  <c r="DJ6" i="4" a="1"/>
  <c r="DJ6" i="4"/>
  <c r="DI6" i="4" a="1"/>
  <c r="DI6" i="4"/>
  <c r="DH6" i="4" a="1"/>
  <c r="DH6" i="4" s="1"/>
  <c r="DH8" i="4" s="1"/>
  <c r="DG6" i="4" a="1"/>
  <c r="DG6" i="4"/>
  <c r="DG8" i="4" s="1"/>
  <c r="DF6" i="4" a="1"/>
  <c r="DF6" i="4"/>
  <c r="DF7" i="4" s="1"/>
  <c r="DE6" i="4" a="1"/>
  <c r="DE6" i="4" s="1"/>
  <c r="DD6" i="4" a="1"/>
  <c r="DD6" i="4" s="1"/>
  <c r="DC6" i="4" a="1"/>
  <c r="DC6" i="4"/>
  <c r="DB6" i="4" a="1"/>
  <c r="DB6" i="4" s="1"/>
  <c r="DA6" i="4" a="1"/>
  <c r="DA6" i="4"/>
  <c r="DA8" i="4" s="1"/>
  <c r="CZ6" i="4" a="1"/>
  <c r="CZ6" i="4"/>
  <c r="CZ7" i="4" s="1"/>
  <c r="CY6" i="4" a="1"/>
  <c r="CY6" i="4"/>
  <c r="CX6" i="4" a="1"/>
  <c r="CX6" i="4"/>
  <c r="CW6" i="4" a="1"/>
  <c r="CW6" i="4"/>
  <c r="CV6" i="4" a="1"/>
  <c r="CV6" i="4" s="1"/>
  <c r="CU6" i="4" a="1"/>
  <c r="CU6" i="4" s="1"/>
  <c r="CU7" i="4" s="1"/>
  <c r="CT6" i="4" a="1"/>
  <c r="CT6" i="4"/>
  <c r="CS6" i="4" a="1"/>
  <c r="CS6" i="4"/>
  <c r="CR6" i="4" a="1"/>
  <c r="CR6" i="4" s="1"/>
  <c r="CQ6" i="4" a="1"/>
  <c r="CQ6" i="4" s="1"/>
  <c r="CQ8" i="4" s="1"/>
  <c r="CP6" i="4" a="1"/>
  <c r="CP6" i="4"/>
  <c r="CP8" i="4" s="1"/>
  <c r="CO6" i="4" a="1"/>
  <c r="CO6" i="4"/>
  <c r="CO7" i="4" s="1"/>
  <c r="CN6" i="4" a="1"/>
  <c r="CN6" i="4"/>
  <c r="CM6" i="4" a="1"/>
  <c r="CM6" i="4"/>
  <c r="CL6" i="4" a="1"/>
  <c r="CL6" i="4" s="1"/>
  <c r="CK6" i="4" a="1"/>
  <c r="CK6" i="4" s="1"/>
  <c r="CK7" i="4" s="1"/>
  <c r="CJ6" i="4" a="1"/>
  <c r="CJ6" i="4" s="1"/>
  <c r="CJ7" i="4" s="1"/>
  <c r="CI6" i="4" a="1"/>
  <c r="CI6" i="4"/>
  <c r="CI7" i="4" s="1"/>
  <c r="CH6" i="4" a="1"/>
  <c r="CH6" i="4" s="1"/>
  <c r="CG6" i="4" a="1"/>
  <c r="CG6" i="4"/>
  <c r="CG8" i="4" s="1"/>
  <c r="CF6" i="4" a="1"/>
  <c r="CF6" i="4" s="1"/>
  <c r="CF8" i="4" s="1"/>
  <c r="CE6" i="4" a="1"/>
  <c r="CE6" i="4"/>
  <c r="CD6" i="4" a="1"/>
  <c r="CD6" i="4"/>
  <c r="CC6" i="4" a="1"/>
  <c r="CC6" i="4"/>
  <c r="CB6" i="4" a="1"/>
  <c r="CB6" i="4" s="1"/>
  <c r="CA6" i="4" a="1"/>
  <c r="CA6" i="4"/>
  <c r="BZ6" i="4" a="1"/>
  <c r="BZ6" i="4" s="1"/>
  <c r="BY6" i="4" a="1"/>
  <c r="BY6" i="4" s="1"/>
  <c r="BX6" i="4" a="1"/>
  <c r="BX6" i="4"/>
  <c r="BW6" i="4" a="1"/>
  <c r="BW6" i="4"/>
  <c r="BV6" i="4" a="1"/>
  <c r="BV6" i="4" s="1"/>
  <c r="BU6" i="4" a="1"/>
  <c r="BU6" i="4" s="1"/>
  <c r="BT6" i="4" a="1"/>
  <c r="BT6" i="4"/>
  <c r="BS6" i="4" a="1"/>
  <c r="BS6" i="4"/>
  <c r="BR6" i="4" a="1"/>
  <c r="BR6" i="4" s="1"/>
  <c r="BR8" i="4" s="1"/>
  <c r="BQ6" i="4" a="1"/>
  <c r="BQ6" i="4"/>
  <c r="BQ8" i="4" s="1"/>
  <c r="BP6" i="4" a="1"/>
  <c r="BP6" i="4" s="1"/>
  <c r="BP8" i="4" s="1"/>
  <c r="BO6" i="4" a="1"/>
  <c r="BO6" i="4" s="1"/>
  <c r="BO8" i="4" s="1"/>
  <c r="BN6" i="4" a="1"/>
  <c r="BN6" i="4" s="1"/>
  <c r="BM6" i="4" a="1"/>
  <c r="BM6" i="4"/>
  <c r="BL6" i="4" a="1"/>
  <c r="BL6" i="4" s="1"/>
  <c r="BK6" i="4" a="1"/>
  <c r="BK6" i="4" s="1"/>
  <c r="BJ6" i="4" a="1"/>
  <c r="BJ6" i="4" s="1"/>
  <c r="BI6" i="4" a="1"/>
  <c r="BI6" i="4"/>
  <c r="BI8" i="4" s="1"/>
  <c r="BH6" i="4" a="1"/>
  <c r="BH6" i="4"/>
  <c r="BH8" i="4" s="1"/>
  <c r="BG6" i="4" a="1"/>
  <c r="BG6" i="4"/>
  <c r="BF6" i="4" a="1"/>
  <c r="BF6" i="4" s="1"/>
  <c r="BF7" i="4" s="1"/>
  <c r="BE6" i="4" a="1"/>
  <c r="BE6" i="4" s="1"/>
  <c r="BE7" i="4" s="1"/>
  <c r="BD6" i="4" a="1"/>
  <c r="BD6" i="4" s="1"/>
  <c r="BC6" i="4" a="1"/>
  <c r="BC6" i="4" s="1"/>
  <c r="BB6" i="4" a="1"/>
  <c r="BB6" i="4"/>
  <c r="BB7" i="4" s="1"/>
  <c r="BA6" i="4" a="1"/>
  <c r="BA6" i="4"/>
  <c r="BA8" i="4" s="1"/>
  <c r="AZ6" i="4" a="1"/>
  <c r="AZ6" i="4"/>
  <c r="AY6" i="4" a="1"/>
  <c r="AY6" i="4" s="1"/>
  <c r="AX6" i="4" a="1"/>
  <c r="AX6" i="4"/>
  <c r="AX7" i="4" s="1"/>
  <c r="AW6" i="4" a="1"/>
  <c r="AW6" i="4"/>
  <c r="AW8" i="4" s="1"/>
  <c r="AV6" i="4" a="1"/>
  <c r="AV6" i="4" s="1"/>
  <c r="AU6" i="4" a="1"/>
  <c r="AU6" i="4"/>
  <c r="AT6" i="4" a="1"/>
  <c r="AT6" i="4"/>
  <c r="AS6" i="4" a="1"/>
  <c r="AS6" i="4" s="1"/>
  <c r="AS8" i="4" s="1"/>
  <c r="AR6" i="4" a="1"/>
  <c r="AR6" i="4" s="1"/>
  <c r="AQ6" i="4" a="1"/>
  <c r="AQ6" i="4"/>
  <c r="AQ7" i="4" s="1"/>
  <c r="AP6" i="4" a="1"/>
  <c r="AP6" i="4" s="1"/>
  <c r="AO6" i="4" a="1"/>
  <c r="AO6" i="4"/>
  <c r="AO8" i="4" s="1"/>
  <c r="AN6" i="4" a="1"/>
  <c r="AN6" i="4" s="1"/>
  <c r="AN8" i="4" s="1"/>
  <c r="AM6" i="4" a="1"/>
  <c r="AM6" i="4"/>
  <c r="AL6" i="4" a="1"/>
  <c r="AL6" i="4"/>
  <c r="AL7" i="4" s="1"/>
  <c r="AK6" i="4" a="1"/>
  <c r="AK6" i="4"/>
  <c r="AK7" i="4" s="1"/>
  <c r="AJ6" i="4" a="1"/>
  <c r="AJ6" i="4" s="1"/>
  <c r="AI6" i="4" a="1"/>
  <c r="AI6" i="4"/>
  <c r="AH6" i="4" a="1"/>
  <c r="AH6" i="4" s="1"/>
  <c r="AG6" i="4" a="1"/>
  <c r="AG6" i="4" s="1"/>
  <c r="AF6" i="4" a="1"/>
  <c r="AF6" i="4"/>
  <c r="AE6" i="4" a="1"/>
  <c r="AE6" i="4" s="1"/>
  <c r="AE8" i="4" s="1"/>
  <c r="AD6" i="4" a="1"/>
  <c r="AD6" i="4"/>
  <c r="AC6" i="4" a="1"/>
  <c r="AC6" i="4" s="1"/>
  <c r="AC8" i="4" s="1"/>
  <c r="AB6" i="4" a="1"/>
  <c r="AB6" i="4"/>
  <c r="AA6" i="4" a="1"/>
  <c r="AA6" i="4"/>
  <c r="Z6" i="4" a="1"/>
  <c r="Z6" i="4"/>
  <c r="Y6" i="4" a="1"/>
  <c r="Y6" i="4" s="1"/>
  <c r="X6" i="4" a="1"/>
  <c r="X6" i="4"/>
  <c r="W6" i="4" a="1"/>
  <c r="W6" i="4" s="1"/>
  <c r="W7" i="4" s="1"/>
  <c r="V6" i="4" a="1"/>
  <c r="V6" i="4" s="1"/>
  <c r="U6" i="4" a="1"/>
  <c r="U6" i="4"/>
  <c r="T6" i="4" a="1"/>
  <c r="T6" i="4"/>
  <c r="S6" i="4" a="1"/>
  <c r="S6" i="4" s="1"/>
  <c r="R6" i="4" a="1"/>
  <c r="R6" i="4" s="1"/>
  <c r="R8" i="4" s="1"/>
  <c r="Q6" i="4" a="1"/>
  <c r="Q6" i="4"/>
  <c r="Q8" i="4" s="1"/>
  <c r="P6" i="4" a="1"/>
  <c r="P6" i="4"/>
  <c r="P8" i="4" s="1"/>
  <c r="O6" i="4" a="1"/>
  <c r="O6" i="4"/>
  <c r="O8" i="4" s="1"/>
  <c r="N6" i="4" a="1"/>
  <c r="N6" i="4"/>
  <c r="M6" i="4" a="1"/>
  <c r="M6" i="4" s="1"/>
  <c r="L6" i="4" a="1"/>
  <c r="L6" i="4" s="1"/>
  <c r="L7" i="4" s="1"/>
  <c r="K6" i="4" a="1"/>
  <c r="K6" i="4" s="1"/>
  <c r="K7" i="4" s="1"/>
  <c r="J6" i="4" a="1"/>
  <c r="J6" i="4"/>
  <c r="J7" i="4" s="1"/>
  <c r="I6" i="4" a="1"/>
  <c r="I6" i="4"/>
  <c r="H6" i="4" a="1"/>
  <c r="H6" i="4"/>
  <c r="G6" i="4" a="1"/>
  <c r="G6" i="4" s="1"/>
  <c r="F6" i="4" a="1"/>
  <c r="F6" i="4"/>
  <c r="F7" i="4" s="1"/>
  <c r="E6" i="4" a="1"/>
  <c r="E6" i="4"/>
  <c r="E8" i="4" s="1"/>
  <c r="D6" i="4" a="1"/>
  <c r="D6" i="4" s="1"/>
  <c r="C6" i="4" a="1"/>
  <c r="C6" i="4"/>
  <c r="C8" i="4" s="1"/>
  <c r="E25" i="3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H25" i="3" s="1"/>
  <c r="AI25" i="3" s="1"/>
  <c r="AJ25" i="3" s="1"/>
  <c r="AK25" i="3" s="1"/>
  <c r="AL25" i="3" s="1"/>
  <c r="AM25" i="3" s="1"/>
  <c r="AN25" i="3" s="1"/>
  <c r="AO25" i="3" s="1"/>
  <c r="AP25" i="3" s="1"/>
  <c r="AQ25" i="3" s="1"/>
  <c r="AR25" i="3" s="1"/>
  <c r="AS25" i="3" s="1"/>
  <c r="AT25" i="3" s="1"/>
  <c r="AU25" i="3" s="1"/>
  <c r="AV25" i="3" s="1"/>
  <c r="AW25" i="3" s="1"/>
  <c r="AX25" i="3" s="1"/>
  <c r="AY25" i="3" s="1"/>
  <c r="AZ25" i="3" s="1"/>
  <c r="BA25" i="3" s="1"/>
  <c r="BB25" i="3" s="1"/>
  <c r="BC25" i="3" s="1"/>
  <c r="BD25" i="3" s="1"/>
  <c r="BE25" i="3" s="1"/>
  <c r="BF25" i="3" s="1"/>
  <c r="BG25" i="3" s="1"/>
  <c r="BH25" i="3" s="1"/>
  <c r="BI25" i="3" s="1"/>
  <c r="BJ25" i="3" s="1"/>
  <c r="BK25" i="3" s="1"/>
  <c r="BL25" i="3" s="1"/>
  <c r="BM25" i="3" s="1"/>
  <c r="BN25" i="3" s="1"/>
  <c r="BO25" i="3" s="1"/>
  <c r="BP25" i="3" s="1"/>
  <c r="BQ25" i="3" s="1"/>
  <c r="BR25" i="3" s="1"/>
  <c r="BS25" i="3" s="1"/>
  <c r="BT25" i="3" s="1"/>
  <c r="BU25" i="3" s="1"/>
  <c r="BV25" i="3" s="1"/>
  <c r="BW25" i="3" s="1"/>
  <c r="BX25" i="3" s="1"/>
  <c r="BY25" i="3" s="1"/>
  <c r="BZ25" i="3" s="1"/>
  <c r="CA25" i="3" s="1"/>
  <c r="CB25" i="3" s="1"/>
  <c r="CC25" i="3" s="1"/>
  <c r="CD25" i="3" s="1"/>
  <c r="CE25" i="3" s="1"/>
  <c r="CF25" i="3" s="1"/>
  <c r="CG25" i="3" s="1"/>
  <c r="CH25" i="3" s="1"/>
  <c r="CI25" i="3" s="1"/>
  <c r="CJ25" i="3" s="1"/>
  <c r="CK25" i="3" s="1"/>
  <c r="CL25" i="3" s="1"/>
  <c r="CM25" i="3" s="1"/>
  <c r="CN25" i="3" s="1"/>
  <c r="CO25" i="3" s="1"/>
  <c r="CP25" i="3" s="1"/>
  <c r="CQ25" i="3" s="1"/>
  <c r="CR25" i="3" s="1"/>
  <c r="CS25" i="3" s="1"/>
  <c r="CT25" i="3" s="1"/>
  <c r="CU25" i="3" s="1"/>
  <c r="CV25" i="3" s="1"/>
  <c r="CW25" i="3" s="1"/>
  <c r="CX25" i="3" s="1"/>
  <c r="CY25" i="3" s="1"/>
  <c r="CZ25" i="3" s="1"/>
  <c r="DA25" i="3" s="1"/>
  <c r="DB25" i="3" s="1"/>
  <c r="DC25" i="3" s="1"/>
  <c r="DD25" i="3" s="1"/>
  <c r="DE25" i="3" s="1"/>
  <c r="DF25" i="3" s="1"/>
  <c r="DG25" i="3" s="1"/>
  <c r="DH25" i="3" s="1"/>
  <c r="DI25" i="3" s="1"/>
  <c r="DJ25" i="3" s="1"/>
  <c r="DK25" i="3" s="1"/>
  <c r="DL25" i="3" s="1"/>
  <c r="DM25" i="3" s="1"/>
  <c r="DN25" i="3" s="1"/>
  <c r="DO25" i="3" s="1"/>
  <c r="DP25" i="3" s="1"/>
  <c r="DQ25" i="3" s="1"/>
  <c r="DR25" i="3" s="1"/>
  <c r="DS25" i="3" s="1"/>
  <c r="DT25" i="3" s="1"/>
  <c r="DU25" i="3" s="1"/>
  <c r="DV25" i="3" s="1"/>
  <c r="DW25" i="3" s="1"/>
  <c r="DX25" i="3" s="1"/>
  <c r="DY25" i="3" s="1"/>
  <c r="DZ25" i="3" s="1"/>
  <c r="EA25" i="3" s="1"/>
  <c r="EB25" i="3" s="1"/>
  <c r="EC25" i="3" s="1"/>
  <c r="ED25" i="3" s="1"/>
  <c r="EE25" i="3" s="1"/>
  <c r="EF25" i="3" s="1"/>
  <c r="D25" i="3"/>
  <c r="D24" i="3"/>
  <c r="E24" i="3" s="1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AH24" i="3" s="1"/>
  <c r="AI24" i="3" s="1"/>
  <c r="AJ24" i="3" s="1"/>
  <c r="AK24" i="3" s="1"/>
  <c r="AL24" i="3" s="1"/>
  <c r="AM24" i="3" s="1"/>
  <c r="AN24" i="3" s="1"/>
  <c r="AO24" i="3" s="1"/>
  <c r="AP24" i="3" s="1"/>
  <c r="AQ24" i="3" s="1"/>
  <c r="AR24" i="3" s="1"/>
  <c r="AS24" i="3" s="1"/>
  <c r="AT24" i="3" s="1"/>
  <c r="AU24" i="3" s="1"/>
  <c r="AV24" i="3" s="1"/>
  <c r="AW24" i="3" s="1"/>
  <c r="AX24" i="3" s="1"/>
  <c r="AY24" i="3" s="1"/>
  <c r="AZ24" i="3" s="1"/>
  <c r="BA24" i="3" s="1"/>
  <c r="BB24" i="3" s="1"/>
  <c r="BC24" i="3" s="1"/>
  <c r="BD24" i="3" s="1"/>
  <c r="BE24" i="3" s="1"/>
  <c r="BF24" i="3" s="1"/>
  <c r="BG24" i="3" s="1"/>
  <c r="BH24" i="3" s="1"/>
  <c r="BI24" i="3" s="1"/>
  <c r="BJ24" i="3" s="1"/>
  <c r="BK24" i="3" s="1"/>
  <c r="BL24" i="3" s="1"/>
  <c r="BM24" i="3" s="1"/>
  <c r="BN24" i="3" s="1"/>
  <c r="BO24" i="3" s="1"/>
  <c r="BP24" i="3" s="1"/>
  <c r="BQ24" i="3" s="1"/>
  <c r="BR24" i="3" s="1"/>
  <c r="BS24" i="3" s="1"/>
  <c r="BT24" i="3" s="1"/>
  <c r="BU24" i="3" s="1"/>
  <c r="BV24" i="3" s="1"/>
  <c r="BW24" i="3" s="1"/>
  <c r="BX24" i="3" s="1"/>
  <c r="BY24" i="3" s="1"/>
  <c r="BZ24" i="3" s="1"/>
  <c r="CA24" i="3" s="1"/>
  <c r="CB24" i="3" s="1"/>
  <c r="CC24" i="3" s="1"/>
  <c r="CD24" i="3" s="1"/>
  <c r="CE24" i="3" s="1"/>
  <c r="CF24" i="3" s="1"/>
  <c r="CG24" i="3" s="1"/>
  <c r="CH24" i="3" s="1"/>
  <c r="CI24" i="3" s="1"/>
  <c r="CJ24" i="3" s="1"/>
  <c r="CK24" i="3" s="1"/>
  <c r="CL24" i="3" s="1"/>
  <c r="CM24" i="3" s="1"/>
  <c r="CN24" i="3" s="1"/>
  <c r="CO24" i="3" s="1"/>
  <c r="CP24" i="3" s="1"/>
  <c r="CQ24" i="3" s="1"/>
  <c r="CR24" i="3" s="1"/>
  <c r="CS24" i="3" s="1"/>
  <c r="CT24" i="3" s="1"/>
  <c r="CU24" i="3" s="1"/>
  <c r="CV24" i="3" s="1"/>
  <c r="CW24" i="3" s="1"/>
  <c r="CX24" i="3" s="1"/>
  <c r="CY24" i="3" s="1"/>
  <c r="CZ24" i="3" s="1"/>
  <c r="DA24" i="3" s="1"/>
  <c r="DB24" i="3" s="1"/>
  <c r="DC24" i="3" s="1"/>
  <c r="DD24" i="3" s="1"/>
  <c r="DE24" i="3" s="1"/>
  <c r="DF24" i="3" s="1"/>
  <c r="DG24" i="3" s="1"/>
  <c r="DH24" i="3" s="1"/>
  <c r="DI24" i="3" s="1"/>
  <c r="DJ24" i="3" s="1"/>
  <c r="DK24" i="3" s="1"/>
  <c r="DL24" i="3" s="1"/>
  <c r="DM24" i="3" s="1"/>
  <c r="DN24" i="3" s="1"/>
  <c r="DO24" i="3" s="1"/>
  <c r="DP24" i="3" s="1"/>
  <c r="DQ24" i="3" s="1"/>
  <c r="DR24" i="3" s="1"/>
  <c r="DS24" i="3" s="1"/>
  <c r="DT24" i="3" s="1"/>
  <c r="DU24" i="3" s="1"/>
  <c r="DV24" i="3" s="1"/>
  <c r="DW24" i="3" s="1"/>
  <c r="DX24" i="3" s="1"/>
  <c r="DY24" i="3" s="1"/>
  <c r="DZ24" i="3" s="1"/>
  <c r="EA24" i="3" s="1"/>
  <c r="EB24" i="3" s="1"/>
  <c r="EC24" i="3" s="1"/>
  <c r="ED24" i="3" s="1"/>
  <c r="EE24" i="3" s="1"/>
  <c r="EF24" i="3" s="1"/>
  <c r="D23" i="3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Z23" i="3" s="1"/>
  <c r="BA23" i="3" s="1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BL23" i="3" s="1"/>
  <c r="BM23" i="3" s="1"/>
  <c r="BN23" i="3" s="1"/>
  <c r="BO23" i="3" s="1"/>
  <c r="BP23" i="3" s="1"/>
  <c r="BQ23" i="3" s="1"/>
  <c r="BR23" i="3" s="1"/>
  <c r="BS23" i="3" s="1"/>
  <c r="BT23" i="3" s="1"/>
  <c r="BU23" i="3" s="1"/>
  <c r="BV23" i="3" s="1"/>
  <c r="BW23" i="3" s="1"/>
  <c r="BX23" i="3" s="1"/>
  <c r="BY23" i="3" s="1"/>
  <c r="BZ23" i="3" s="1"/>
  <c r="CA23" i="3" s="1"/>
  <c r="CB23" i="3" s="1"/>
  <c r="CC23" i="3" s="1"/>
  <c r="CD23" i="3" s="1"/>
  <c r="CE23" i="3" s="1"/>
  <c r="CF23" i="3" s="1"/>
  <c r="CG23" i="3" s="1"/>
  <c r="CH23" i="3" s="1"/>
  <c r="CI23" i="3" s="1"/>
  <c r="CJ23" i="3" s="1"/>
  <c r="CK23" i="3" s="1"/>
  <c r="CL23" i="3" s="1"/>
  <c r="CM23" i="3" s="1"/>
  <c r="CN23" i="3" s="1"/>
  <c r="CO23" i="3" s="1"/>
  <c r="CP23" i="3" s="1"/>
  <c r="CQ23" i="3" s="1"/>
  <c r="CR23" i="3" s="1"/>
  <c r="CS23" i="3" s="1"/>
  <c r="CT23" i="3" s="1"/>
  <c r="CU23" i="3" s="1"/>
  <c r="CV23" i="3" s="1"/>
  <c r="CW23" i="3" s="1"/>
  <c r="CX23" i="3" s="1"/>
  <c r="CY23" i="3" s="1"/>
  <c r="CZ23" i="3" s="1"/>
  <c r="DA23" i="3" s="1"/>
  <c r="DB23" i="3" s="1"/>
  <c r="DC23" i="3" s="1"/>
  <c r="DD23" i="3" s="1"/>
  <c r="DE23" i="3" s="1"/>
  <c r="DF23" i="3" s="1"/>
  <c r="DG23" i="3" s="1"/>
  <c r="DH23" i="3" s="1"/>
  <c r="DI23" i="3" s="1"/>
  <c r="DJ23" i="3" s="1"/>
  <c r="DK23" i="3" s="1"/>
  <c r="DL23" i="3" s="1"/>
  <c r="DM23" i="3" s="1"/>
  <c r="DN23" i="3" s="1"/>
  <c r="DO23" i="3" s="1"/>
  <c r="DP23" i="3" s="1"/>
  <c r="DQ23" i="3" s="1"/>
  <c r="DR23" i="3" s="1"/>
  <c r="DS23" i="3" s="1"/>
  <c r="DT23" i="3" s="1"/>
  <c r="DU23" i="3" s="1"/>
  <c r="DV23" i="3" s="1"/>
  <c r="DW23" i="3" s="1"/>
  <c r="DX23" i="3" s="1"/>
  <c r="DY23" i="3" s="1"/>
  <c r="DZ23" i="3" s="1"/>
  <c r="EA23" i="3" s="1"/>
  <c r="EB23" i="3" s="1"/>
  <c r="EC23" i="3" s="1"/>
  <c r="ED23" i="3" s="1"/>
  <c r="EE23" i="3" s="1"/>
  <c r="EF23" i="3" s="1"/>
  <c r="S22" i="3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AK22" i="3" s="1"/>
  <c r="AL22" i="3" s="1"/>
  <c r="AM22" i="3" s="1"/>
  <c r="AN22" i="3" s="1"/>
  <c r="AO22" i="3" s="1"/>
  <c r="AP22" i="3" s="1"/>
  <c r="AQ22" i="3" s="1"/>
  <c r="AR22" i="3" s="1"/>
  <c r="AS22" i="3" s="1"/>
  <c r="AT22" i="3" s="1"/>
  <c r="AU22" i="3" s="1"/>
  <c r="AV22" i="3" s="1"/>
  <c r="AW22" i="3" s="1"/>
  <c r="AX22" i="3" s="1"/>
  <c r="AY22" i="3" s="1"/>
  <c r="AZ22" i="3" s="1"/>
  <c r="BA22" i="3" s="1"/>
  <c r="BB22" i="3" s="1"/>
  <c r="BC22" i="3" s="1"/>
  <c r="BD22" i="3" s="1"/>
  <c r="BE22" i="3" s="1"/>
  <c r="BF22" i="3" s="1"/>
  <c r="BG22" i="3" s="1"/>
  <c r="BH22" i="3" s="1"/>
  <c r="BI22" i="3" s="1"/>
  <c r="BJ22" i="3" s="1"/>
  <c r="BK22" i="3" s="1"/>
  <c r="BL22" i="3" s="1"/>
  <c r="BM22" i="3" s="1"/>
  <c r="BN22" i="3" s="1"/>
  <c r="BO22" i="3" s="1"/>
  <c r="BP22" i="3" s="1"/>
  <c r="BQ22" i="3" s="1"/>
  <c r="BR22" i="3" s="1"/>
  <c r="BS22" i="3" s="1"/>
  <c r="BT22" i="3" s="1"/>
  <c r="BU22" i="3" s="1"/>
  <c r="BV22" i="3" s="1"/>
  <c r="BW22" i="3" s="1"/>
  <c r="BX22" i="3" s="1"/>
  <c r="BY22" i="3" s="1"/>
  <c r="BZ22" i="3" s="1"/>
  <c r="CA22" i="3" s="1"/>
  <c r="CB22" i="3" s="1"/>
  <c r="CC22" i="3" s="1"/>
  <c r="CD22" i="3" s="1"/>
  <c r="CE22" i="3" s="1"/>
  <c r="CF22" i="3" s="1"/>
  <c r="CG22" i="3" s="1"/>
  <c r="CH22" i="3" s="1"/>
  <c r="CI22" i="3" s="1"/>
  <c r="CJ22" i="3" s="1"/>
  <c r="CK22" i="3" s="1"/>
  <c r="CL22" i="3" s="1"/>
  <c r="CM22" i="3" s="1"/>
  <c r="CN22" i="3" s="1"/>
  <c r="CO22" i="3" s="1"/>
  <c r="CP22" i="3" s="1"/>
  <c r="CQ22" i="3" s="1"/>
  <c r="CR22" i="3" s="1"/>
  <c r="CS22" i="3" s="1"/>
  <c r="CT22" i="3" s="1"/>
  <c r="CU22" i="3" s="1"/>
  <c r="CV22" i="3" s="1"/>
  <c r="CW22" i="3" s="1"/>
  <c r="CX22" i="3" s="1"/>
  <c r="CY22" i="3" s="1"/>
  <c r="CZ22" i="3" s="1"/>
  <c r="DA22" i="3" s="1"/>
  <c r="DB22" i="3" s="1"/>
  <c r="DC22" i="3" s="1"/>
  <c r="DD22" i="3" s="1"/>
  <c r="DE22" i="3" s="1"/>
  <c r="DF22" i="3" s="1"/>
  <c r="DG22" i="3" s="1"/>
  <c r="DH22" i="3" s="1"/>
  <c r="DI22" i="3" s="1"/>
  <c r="DJ22" i="3" s="1"/>
  <c r="DK22" i="3" s="1"/>
  <c r="DL22" i="3" s="1"/>
  <c r="DM22" i="3" s="1"/>
  <c r="DN22" i="3" s="1"/>
  <c r="DO22" i="3" s="1"/>
  <c r="DP22" i="3" s="1"/>
  <c r="DQ22" i="3" s="1"/>
  <c r="DR22" i="3" s="1"/>
  <c r="DS22" i="3" s="1"/>
  <c r="DT22" i="3" s="1"/>
  <c r="DU22" i="3" s="1"/>
  <c r="DV22" i="3" s="1"/>
  <c r="DW22" i="3" s="1"/>
  <c r="DX22" i="3" s="1"/>
  <c r="DY22" i="3" s="1"/>
  <c r="DZ22" i="3" s="1"/>
  <c r="EA22" i="3" s="1"/>
  <c r="EB22" i="3" s="1"/>
  <c r="EC22" i="3" s="1"/>
  <c r="ED22" i="3" s="1"/>
  <c r="EE22" i="3" s="1"/>
  <c r="EF22" i="3" s="1"/>
  <c r="E22" i="3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D22" i="3"/>
  <c r="D21" i="3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H21" i="3" s="1"/>
  <c r="AI21" i="3" s="1"/>
  <c r="AJ21" i="3" s="1"/>
  <c r="AK21" i="3" s="1"/>
  <c r="AL21" i="3" s="1"/>
  <c r="AM21" i="3" s="1"/>
  <c r="AN21" i="3" s="1"/>
  <c r="AO21" i="3" s="1"/>
  <c r="AP21" i="3" s="1"/>
  <c r="AQ21" i="3" s="1"/>
  <c r="AR21" i="3" s="1"/>
  <c r="AS21" i="3" s="1"/>
  <c r="AT21" i="3" s="1"/>
  <c r="AU21" i="3" s="1"/>
  <c r="AV21" i="3" s="1"/>
  <c r="AW21" i="3" s="1"/>
  <c r="AX21" i="3" s="1"/>
  <c r="AY21" i="3" s="1"/>
  <c r="AZ21" i="3" s="1"/>
  <c r="BA21" i="3" s="1"/>
  <c r="BB21" i="3" s="1"/>
  <c r="BC21" i="3" s="1"/>
  <c r="BD21" i="3" s="1"/>
  <c r="BE21" i="3" s="1"/>
  <c r="BF21" i="3" s="1"/>
  <c r="BG21" i="3" s="1"/>
  <c r="BH21" i="3" s="1"/>
  <c r="BI21" i="3" s="1"/>
  <c r="BJ21" i="3" s="1"/>
  <c r="BK21" i="3" s="1"/>
  <c r="BL21" i="3" s="1"/>
  <c r="BM21" i="3" s="1"/>
  <c r="BN21" i="3" s="1"/>
  <c r="BO21" i="3" s="1"/>
  <c r="BP21" i="3" s="1"/>
  <c r="BQ21" i="3" s="1"/>
  <c r="BR21" i="3" s="1"/>
  <c r="BS21" i="3" s="1"/>
  <c r="BT21" i="3" s="1"/>
  <c r="BU21" i="3" s="1"/>
  <c r="BV21" i="3" s="1"/>
  <c r="BW21" i="3" s="1"/>
  <c r="BX21" i="3" s="1"/>
  <c r="BY21" i="3" s="1"/>
  <c r="BZ21" i="3" s="1"/>
  <c r="CA21" i="3" s="1"/>
  <c r="CB21" i="3" s="1"/>
  <c r="CC21" i="3" s="1"/>
  <c r="CD21" i="3" s="1"/>
  <c r="CE21" i="3" s="1"/>
  <c r="CF21" i="3" s="1"/>
  <c r="CG21" i="3" s="1"/>
  <c r="CH21" i="3" s="1"/>
  <c r="CI21" i="3" s="1"/>
  <c r="CJ21" i="3" s="1"/>
  <c r="CK21" i="3" s="1"/>
  <c r="CL21" i="3" s="1"/>
  <c r="CM21" i="3" s="1"/>
  <c r="CN21" i="3" s="1"/>
  <c r="CO21" i="3" s="1"/>
  <c r="CP21" i="3" s="1"/>
  <c r="CQ21" i="3" s="1"/>
  <c r="CR21" i="3" s="1"/>
  <c r="CS21" i="3" s="1"/>
  <c r="CT21" i="3" s="1"/>
  <c r="CU21" i="3" s="1"/>
  <c r="CV21" i="3" s="1"/>
  <c r="CW21" i="3" s="1"/>
  <c r="CX21" i="3" s="1"/>
  <c r="CY21" i="3" s="1"/>
  <c r="CZ21" i="3" s="1"/>
  <c r="DA21" i="3" s="1"/>
  <c r="DB21" i="3" s="1"/>
  <c r="DC21" i="3" s="1"/>
  <c r="DD21" i="3" s="1"/>
  <c r="DE21" i="3" s="1"/>
  <c r="DF21" i="3" s="1"/>
  <c r="DG21" i="3" s="1"/>
  <c r="DH21" i="3" s="1"/>
  <c r="DI21" i="3" s="1"/>
  <c r="DJ21" i="3" s="1"/>
  <c r="DK21" i="3" s="1"/>
  <c r="DL21" i="3" s="1"/>
  <c r="DM21" i="3" s="1"/>
  <c r="DN21" i="3" s="1"/>
  <c r="DO21" i="3" s="1"/>
  <c r="DP21" i="3" s="1"/>
  <c r="DQ21" i="3" s="1"/>
  <c r="DR21" i="3" s="1"/>
  <c r="DS21" i="3" s="1"/>
  <c r="DT21" i="3" s="1"/>
  <c r="DU21" i="3" s="1"/>
  <c r="DV21" i="3" s="1"/>
  <c r="DW21" i="3" s="1"/>
  <c r="DX21" i="3" s="1"/>
  <c r="DY21" i="3" s="1"/>
  <c r="DZ21" i="3" s="1"/>
  <c r="EA21" i="3" s="1"/>
  <c r="EB21" i="3" s="1"/>
  <c r="EC21" i="3" s="1"/>
  <c r="ED21" i="3" s="1"/>
  <c r="EE21" i="3" s="1"/>
  <c r="EF21" i="3" s="1"/>
  <c r="E20" i="3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CU20" i="3" s="1"/>
  <c r="CV20" i="3" s="1"/>
  <c r="CW20" i="3" s="1"/>
  <c r="CX20" i="3" s="1"/>
  <c r="CY20" i="3" s="1"/>
  <c r="CZ20" i="3" s="1"/>
  <c r="DA20" i="3" s="1"/>
  <c r="DB20" i="3" s="1"/>
  <c r="DC20" i="3" s="1"/>
  <c r="DD20" i="3" s="1"/>
  <c r="DE20" i="3" s="1"/>
  <c r="DF20" i="3" s="1"/>
  <c r="DG20" i="3" s="1"/>
  <c r="DH20" i="3" s="1"/>
  <c r="DI20" i="3" s="1"/>
  <c r="DJ20" i="3" s="1"/>
  <c r="DK20" i="3" s="1"/>
  <c r="DL20" i="3" s="1"/>
  <c r="DM20" i="3" s="1"/>
  <c r="DN20" i="3" s="1"/>
  <c r="DO20" i="3" s="1"/>
  <c r="DP20" i="3" s="1"/>
  <c r="DQ20" i="3" s="1"/>
  <c r="DR20" i="3" s="1"/>
  <c r="DS20" i="3" s="1"/>
  <c r="DT20" i="3" s="1"/>
  <c r="DU20" i="3" s="1"/>
  <c r="DV20" i="3" s="1"/>
  <c r="DW20" i="3" s="1"/>
  <c r="DX20" i="3" s="1"/>
  <c r="DY20" i="3" s="1"/>
  <c r="DZ20" i="3" s="1"/>
  <c r="EA20" i="3" s="1"/>
  <c r="EB20" i="3" s="1"/>
  <c r="EC20" i="3" s="1"/>
  <c r="ED20" i="3" s="1"/>
  <c r="EE20" i="3" s="1"/>
  <c r="EF20" i="3" s="1"/>
  <c r="D20" i="3"/>
  <c r="D19" i="3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AZ19" i="3" s="1"/>
  <c r="BA19" i="3" s="1"/>
  <c r="BB19" i="3" s="1"/>
  <c r="BC19" i="3" s="1"/>
  <c r="BD19" i="3" s="1"/>
  <c r="BE19" i="3" s="1"/>
  <c r="BF19" i="3" s="1"/>
  <c r="BG19" i="3" s="1"/>
  <c r="BH19" i="3" s="1"/>
  <c r="BI19" i="3" s="1"/>
  <c r="BJ19" i="3" s="1"/>
  <c r="BK19" i="3" s="1"/>
  <c r="BL19" i="3" s="1"/>
  <c r="BM19" i="3" s="1"/>
  <c r="BN19" i="3" s="1"/>
  <c r="BO19" i="3" s="1"/>
  <c r="BP19" i="3" s="1"/>
  <c r="BQ19" i="3" s="1"/>
  <c r="BR19" i="3" s="1"/>
  <c r="BS19" i="3" s="1"/>
  <c r="BT19" i="3" s="1"/>
  <c r="BU19" i="3" s="1"/>
  <c r="BV19" i="3" s="1"/>
  <c r="BW19" i="3" s="1"/>
  <c r="BX19" i="3" s="1"/>
  <c r="BY19" i="3" s="1"/>
  <c r="BZ19" i="3" s="1"/>
  <c r="CA19" i="3" s="1"/>
  <c r="CB19" i="3" s="1"/>
  <c r="CC19" i="3" s="1"/>
  <c r="CD19" i="3" s="1"/>
  <c r="CE19" i="3" s="1"/>
  <c r="CF19" i="3" s="1"/>
  <c r="CG19" i="3" s="1"/>
  <c r="CH19" i="3" s="1"/>
  <c r="CI19" i="3" s="1"/>
  <c r="CJ19" i="3" s="1"/>
  <c r="CK19" i="3" s="1"/>
  <c r="CL19" i="3" s="1"/>
  <c r="CM19" i="3" s="1"/>
  <c r="CN19" i="3" s="1"/>
  <c r="CO19" i="3" s="1"/>
  <c r="CP19" i="3" s="1"/>
  <c r="CQ19" i="3" s="1"/>
  <c r="CR19" i="3" s="1"/>
  <c r="CS19" i="3" s="1"/>
  <c r="CT19" i="3" s="1"/>
  <c r="CU19" i="3" s="1"/>
  <c r="CV19" i="3" s="1"/>
  <c r="CW19" i="3" s="1"/>
  <c r="CX19" i="3" s="1"/>
  <c r="CY19" i="3" s="1"/>
  <c r="CZ19" i="3" s="1"/>
  <c r="DA19" i="3" s="1"/>
  <c r="DB19" i="3" s="1"/>
  <c r="DC19" i="3" s="1"/>
  <c r="DD19" i="3" s="1"/>
  <c r="DE19" i="3" s="1"/>
  <c r="DF19" i="3" s="1"/>
  <c r="DG19" i="3" s="1"/>
  <c r="DH19" i="3" s="1"/>
  <c r="DI19" i="3" s="1"/>
  <c r="DJ19" i="3" s="1"/>
  <c r="DK19" i="3" s="1"/>
  <c r="DL19" i="3" s="1"/>
  <c r="DM19" i="3" s="1"/>
  <c r="DN19" i="3" s="1"/>
  <c r="DO19" i="3" s="1"/>
  <c r="DP19" i="3" s="1"/>
  <c r="DQ19" i="3" s="1"/>
  <c r="DR19" i="3" s="1"/>
  <c r="DS19" i="3" s="1"/>
  <c r="DT19" i="3" s="1"/>
  <c r="DU19" i="3" s="1"/>
  <c r="DV19" i="3" s="1"/>
  <c r="DW19" i="3" s="1"/>
  <c r="DX19" i="3" s="1"/>
  <c r="DY19" i="3" s="1"/>
  <c r="DZ19" i="3" s="1"/>
  <c r="EA19" i="3" s="1"/>
  <c r="EB19" i="3" s="1"/>
  <c r="EC19" i="3" s="1"/>
  <c r="ED19" i="3" s="1"/>
  <c r="EE19" i="3" s="1"/>
  <c r="EF19" i="3" s="1"/>
  <c r="D18" i="3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AH18" i="3" s="1"/>
  <c r="AI18" i="3" s="1"/>
  <c r="AJ18" i="3" s="1"/>
  <c r="AK18" i="3" s="1"/>
  <c r="AL18" i="3" s="1"/>
  <c r="AM18" i="3" s="1"/>
  <c r="AN18" i="3" s="1"/>
  <c r="AO18" i="3" s="1"/>
  <c r="AP18" i="3" s="1"/>
  <c r="AQ18" i="3" s="1"/>
  <c r="AR18" i="3" s="1"/>
  <c r="AS18" i="3" s="1"/>
  <c r="AT18" i="3" s="1"/>
  <c r="AU18" i="3" s="1"/>
  <c r="AV18" i="3" s="1"/>
  <c r="AW18" i="3" s="1"/>
  <c r="AX18" i="3" s="1"/>
  <c r="AY18" i="3" s="1"/>
  <c r="AZ18" i="3" s="1"/>
  <c r="BA18" i="3" s="1"/>
  <c r="BB18" i="3" s="1"/>
  <c r="BC18" i="3" s="1"/>
  <c r="BD18" i="3" s="1"/>
  <c r="BE18" i="3" s="1"/>
  <c r="BF18" i="3" s="1"/>
  <c r="BG18" i="3" s="1"/>
  <c r="BH18" i="3" s="1"/>
  <c r="BI18" i="3" s="1"/>
  <c r="BJ18" i="3" s="1"/>
  <c r="BK18" i="3" s="1"/>
  <c r="BL18" i="3" s="1"/>
  <c r="BM18" i="3" s="1"/>
  <c r="BN18" i="3" s="1"/>
  <c r="BO18" i="3" s="1"/>
  <c r="BP18" i="3" s="1"/>
  <c r="BQ18" i="3" s="1"/>
  <c r="BR18" i="3" s="1"/>
  <c r="BS18" i="3" s="1"/>
  <c r="BT18" i="3" s="1"/>
  <c r="BU18" i="3" s="1"/>
  <c r="BV18" i="3" s="1"/>
  <c r="BW18" i="3" s="1"/>
  <c r="BX18" i="3" s="1"/>
  <c r="BY18" i="3" s="1"/>
  <c r="BZ18" i="3" s="1"/>
  <c r="CA18" i="3" s="1"/>
  <c r="CB18" i="3" s="1"/>
  <c r="CC18" i="3" s="1"/>
  <c r="CD18" i="3" s="1"/>
  <c r="CE18" i="3" s="1"/>
  <c r="CF18" i="3" s="1"/>
  <c r="CG18" i="3" s="1"/>
  <c r="CH18" i="3" s="1"/>
  <c r="CI18" i="3" s="1"/>
  <c r="CJ18" i="3" s="1"/>
  <c r="CK18" i="3" s="1"/>
  <c r="CL18" i="3" s="1"/>
  <c r="CM18" i="3" s="1"/>
  <c r="CN18" i="3" s="1"/>
  <c r="CO18" i="3" s="1"/>
  <c r="CP18" i="3" s="1"/>
  <c r="CQ18" i="3" s="1"/>
  <c r="CR18" i="3" s="1"/>
  <c r="CS18" i="3" s="1"/>
  <c r="CT18" i="3" s="1"/>
  <c r="CU18" i="3" s="1"/>
  <c r="CV18" i="3" s="1"/>
  <c r="CW18" i="3" s="1"/>
  <c r="CX18" i="3" s="1"/>
  <c r="CY18" i="3" s="1"/>
  <c r="CZ18" i="3" s="1"/>
  <c r="DA18" i="3" s="1"/>
  <c r="DB18" i="3" s="1"/>
  <c r="DC18" i="3" s="1"/>
  <c r="DD18" i="3" s="1"/>
  <c r="DE18" i="3" s="1"/>
  <c r="DF18" i="3" s="1"/>
  <c r="DG18" i="3" s="1"/>
  <c r="DH18" i="3" s="1"/>
  <c r="DI18" i="3" s="1"/>
  <c r="DJ18" i="3" s="1"/>
  <c r="DK18" i="3" s="1"/>
  <c r="DL18" i="3" s="1"/>
  <c r="DM18" i="3" s="1"/>
  <c r="DN18" i="3" s="1"/>
  <c r="DO18" i="3" s="1"/>
  <c r="DP18" i="3" s="1"/>
  <c r="DQ18" i="3" s="1"/>
  <c r="DR18" i="3" s="1"/>
  <c r="DS18" i="3" s="1"/>
  <c r="DT18" i="3" s="1"/>
  <c r="DU18" i="3" s="1"/>
  <c r="DV18" i="3" s="1"/>
  <c r="DW18" i="3" s="1"/>
  <c r="DX18" i="3" s="1"/>
  <c r="DY18" i="3" s="1"/>
  <c r="DZ18" i="3" s="1"/>
  <c r="EA18" i="3" s="1"/>
  <c r="EB18" i="3" s="1"/>
  <c r="EC18" i="3" s="1"/>
  <c r="ED18" i="3" s="1"/>
  <c r="EE18" i="3" s="1"/>
  <c r="EF18" i="3" s="1"/>
  <c r="E17" i="3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AK17" i="3" s="1"/>
  <c r="AL17" i="3" s="1"/>
  <c r="AM17" i="3" s="1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AX17" i="3" s="1"/>
  <c r="AY17" i="3" s="1"/>
  <c r="AZ17" i="3" s="1"/>
  <c r="BA17" i="3" s="1"/>
  <c r="BB17" i="3" s="1"/>
  <c r="BC17" i="3" s="1"/>
  <c r="BD17" i="3" s="1"/>
  <c r="BE17" i="3" s="1"/>
  <c r="BF17" i="3" s="1"/>
  <c r="BG17" i="3" s="1"/>
  <c r="BH17" i="3" s="1"/>
  <c r="BI17" i="3" s="1"/>
  <c r="BJ17" i="3" s="1"/>
  <c r="BK17" i="3" s="1"/>
  <c r="BL17" i="3" s="1"/>
  <c r="BM17" i="3" s="1"/>
  <c r="BN17" i="3" s="1"/>
  <c r="BO17" i="3" s="1"/>
  <c r="BP17" i="3" s="1"/>
  <c r="BQ17" i="3" s="1"/>
  <c r="BR17" i="3" s="1"/>
  <c r="BS17" i="3" s="1"/>
  <c r="BT17" i="3" s="1"/>
  <c r="BU17" i="3" s="1"/>
  <c r="BV17" i="3" s="1"/>
  <c r="BW17" i="3" s="1"/>
  <c r="BX17" i="3" s="1"/>
  <c r="BY17" i="3" s="1"/>
  <c r="BZ17" i="3" s="1"/>
  <c r="CA17" i="3" s="1"/>
  <c r="CB17" i="3" s="1"/>
  <c r="CC17" i="3" s="1"/>
  <c r="CD17" i="3" s="1"/>
  <c r="CE17" i="3" s="1"/>
  <c r="CF17" i="3" s="1"/>
  <c r="CG17" i="3" s="1"/>
  <c r="CH17" i="3" s="1"/>
  <c r="CI17" i="3" s="1"/>
  <c r="CJ17" i="3" s="1"/>
  <c r="CK17" i="3" s="1"/>
  <c r="CL17" i="3" s="1"/>
  <c r="CM17" i="3" s="1"/>
  <c r="CN17" i="3" s="1"/>
  <c r="CO17" i="3" s="1"/>
  <c r="CP17" i="3" s="1"/>
  <c r="CQ17" i="3" s="1"/>
  <c r="CR17" i="3" s="1"/>
  <c r="CS17" i="3" s="1"/>
  <c r="CT17" i="3" s="1"/>
  <c r="CU17" i="3" s="1"/>
  <c r="CV17" i="3" s="1"/>
  <c r="CW17" i="3" s="1"/>
  <c r="CX17" i="3" s="1"/>
  <c r="CY17" i="3" s="1"/>
  <c r="CZ17" i="3" s="1"/>
  <c r="DA17" i="3" s="1"/>
  <c r="DB17" i="3" s="1"/>
  <c r="DC17" i="3" s="1"/>
  <c r="DD17" i="3" s="1"/>
  <c r="DE17" i="3" s="1"/>
  <c r="DF17" i="3" s="1"/>
  <c r="DG17" i="3" s="1"/>
  <c r="DH17" i="3" s="1"/>
  <c r="DI17" i="3" s="1"/>
  <c r="DJ17" i="3" s="1"/>
  <c r="DK17" i="3" s="1"/>
  <c r="DL17" i="3" s="1"/>
  <c r="DM17" i="3" s="1"/>
  <c r="DN17" i="3" s="1"/>
  <c r="DO17" i="3" s="1"/>
  <c r="DP17" i="3" s="1"/>
  <c r="DQ17" i="3" s="1"/>
  <c r="DR17" i="3" s="1"/>
  <c r="DS17" i="3" s="1"/>
  <c r="DT17" i="3" s="1"/>
  <c r="DU17" i="3" s="1"/>
  <c r="DV17" i="3" s="1"/>
  <c r="DW17" i="3" s="1"/>
  <c r="DX17" i="3" s="1"/>
  <c r="DY17" i="3" s="1"/>
  <c r="DZ17" i="3" s="1"/>
  <c r="EA17" i="3" s="1"/>
  <c r="EB17" i="3" s="1"/>
  <c r="EC17" i="3" s="1"/>
  <c r="ED17" i="3" s="1"/>
  <c r="EE17" i="3" s="1"/>
  <c r="EF17" i="3" s="1"/>
  <c r="D17" i="3"/>
  <c r="D16" i="3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AK16" i="3" s="1"/>
  <c r="AL16" i="3" s="1"/>
  <c r="AM16" i="3" s="1"/>
  <c r="AN16" i="3" s="1"/>
  <c r="AO16" i="3" s="1"/>
  <c r="AP16" i="3" s="1"/>
  <c r="AQ16" i="3" s="1"/>
  <c r="AR16" i="3" s="1"/>
  <c r="AS16" i="3" s="1"/>
  <c r="AT16" i="3" s="1"/>
  <c r="AU16" i="3" s="1"/>
  <c r="AV16" i="3" s="1"/>
  <c r="AW16" i="3" s="1"/>
  <c r="AX16" i="3" s="1"/>
  <c r="AY16" i="3" s="1"/>
  <c r="AZ16" i="3" s="1"/>
  <c r="BA16" i="3" s="1"/>
  <c r="BB16" i="3" s="1"/>
  <c r="BC16" i="3" s="1"/>
  <c r="BD16" i="3" s="1"/>
  <c r="BE16" i="3" s="1"/>
  <c r="BF16" i="3" s="1"/>
  <c r="BG16" i="3" s="1"/>
  <c r="BH16" i="3" s="1"/>
  <c r="BI16" i="3" s="1"/>
  <c r="BJ16" i="3" s="1"/>
  <c r="BK16" i="3" s="1"/>
  <c r="BL16" i="3" s="1"/>
  <c r="BM16" i="3" s="1"/>
  <c r="BN16" i="3" s="1"/>
  <c r="BO16" i="3" s="1"/>
  <c r="BP16" i="3" s="1"/>
  <c r="BQ16" i="3" s="1"/>
  <c r="BR16" i="3" s="1"/>
  <c r="BS16" i="3" s="1"/>
  <c r="BT16" i="3" s="1"/>
  <c r="BU16" i="3" s="1"/>
  <c r="BV16" i="3" s="1"/>
  <c r="BW16" i="3" s="1"/>
  <c r="BX16" i="3" s="1"/>
  <c r="BY16" i="3" s="1"/>
  <c r="BZ16" i="3" s="1"/>
  <c r="CA16" i="3" s="1"/>
  <c r="CB16" i="3" s="1"/>
  <c r="CC16" i="3" s="1"/>
  <c r="CD16" i="3" s="1"/>
  <c r="CE16" i="3" s="1"/>
  <c r="CF16" i="3" s="1"/>
  <c r="CG16" i="3" s="1"/>
  <c r="CH16" i="3" s="1"/>
  <c r="CI16" i="3" s="1"/>
  <c r="CJ16" i="3" s="1"/>
  <c r="CK16" i="3" s="1"/>
  <c r="CL16" i="3" s="1"/>
  <c r="CM16" i="3" s="1"/>
  <c r="CN16" i="3" s="1"/>
  <c r="CO16" i="3" s="1"/>
  <c r="CP16" i="3" s="1"/>
  <c r="CQ16" i="3" s="1"/>
  <c r="CR16" i="3" s="1"/>
  <c r="CS16" i="3" s="1"/>
  <c r="CT16" i="3" s="1"/>
  <c r="CU16" i="3" s="1"/>
  <c r="CV16" i="3" s="1"/>
  <c r="CW16" i="3" s="1"/>
  <c r="CX16" i="3" s="1"/>
  <c r="CY16" i="3" s="1"/>
  <c r="CZ16" i="3" s="1"/>
  <c r="DA16" i="3" s="1"/>
  <c r="DB16" i="3" s="1"/>
  <c r="DC16" i="3" s="1"/>
  <c r="DD16" i="3" s="1"/>
  <c r="DE16" i="3" s="1"/>
  <c r="DF16" i="3" s="1"/>
  <c r="DG16" i="3" s="1"/>
  <c r="DH16" i="3" s="1"/>
  <c r="DI16" i="3" s="1"/>
  <c r="DJ16" i="3" s="1"/>
  <c r="DK16" i="3" s="1"/>
  <c r="DL16" i="3" s="1"/>
  <c r="DM16" i="3" s="1"/>
  <c r="DN16" i="3" s="1"/>
  <c r="DO16" i="3" s="1"/>
  <c r="DP16" i="3" s="1"/>
  <c r="DQ16" i="3" s="1"/>
  <c r="DR16" i="3" s="1"/>
  <c r="DS16" i="3" s="1"/>
  <c r="DT16" i="3" s="1"/>
  <c r="DU16" i="3" s="1"/>
  <c r="DV16" i="3" s="1"/>
  <c r="DW16" i="3" s="1"/>
  <c r="DX16" i="3" s="1"/>
  <c r="DY16" i="3" s="1"/>
  <c r="DZ16" i="3" s="1"/>
  <c r="EA16" i="3" s="1"/>
  <c r="EB16" i="3" s="1"/>
  <c r="EC16" i="3" s="1"/>
  <c r="ED16" i="3" s="1"/>
  <c r="EE16" i="3" s="1"/>
  <c r="EF16" i="3" s="1"/>
  <c r="D15" i="3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AK15" i="3" s="1"/>
  <c r="AL15" i="3" s="1"/>
  <c r="AM15" i="3" s="1"/>
  <c r="AN15" i="3" s="1"/>
  <c r="AO15" i="3" s="1"/>
  <c r="AP15" i="3" s="1"/>
  <c r="AQ15" i="3" s="1"/>
  <c r="AR15" i="3" s="1"/>
  <c r="AS15" i="3" s="1"/>
  <c r="AT15" i="3" s="1"/>
  <c r="AU15" i="3" s="1"/>
  <c r="AV15" i="3" s="1"/>
  <c r="AW15" i="3" s="1"/>
  <c r="AX15" i="3" s="1"/>
  <c r="AY15" i="3" s="1"/>
  <c r="AZ15" i="3" s="1"/>
  <c r="BA15" i="3" s="1"/>
  <c r="BB15" i="3" s="1"/>
  <c r="BC15" i="3" s="1"/>
  <c r="BD15" i="3" s="1"/>
  <c r="BE15" i="3" s="1"/>
  <c r="BF15" i="3" s="1"/>
  <c r="BG15" i="3" s="1"/>
  <c r="BH15" i="3" s="1"/>
  <c r="BI15" i="3" s="1"/>
  <c r="BJ15" i="3" s="1"/>
  <c r="BK15" i="3" s="1"/>
  <c r="BL15" i="3" s="1"/>
  <c r="BM15" i="3" s="1"/>
  <c r="BN15" i="3" s="1"/>
  <c r="BO15" i="3" s="1"/>
  <c r="BP15" i="3" s="1"/>
  <c r="BQ15" i="3" s="1"/>
  <c r="BR15" i="3" s="1"/>
  <c r="BS15" i="3" s="1"/>
  <c r="BT15" i="3" s="1"/>
  <c r="BU15" i="3" s="1"/>
  <c r="BV15" i="3" s="1"/>
  <c r="BW15" i="3" s="1"/>
  <c r="BX15" i="3" s="1"/>
  <c r="BY15" i="3" s="1"/>
  <c r="BZ15" i="3" s="1"/>
  <c r="CA15" i="3" s="1"/>
  <c r="CB15" i="3" s="1"/>
  <c r="CC15" i="3" s="1"/>
  <c r="CD15" i="3" s="1"/>
  <c r="CE15" i="3" s="1"/>
  <c r="CF15" i="3" s="1"/>
  <c r="CG15" i="3" s="1"/>
  <c r="CH15" i="3" s="1"/>
  <c r="CI15" i="3" s="1"/>
  <c r="CJ15" i="3" s="1"/>
  <c r="CK15" i="3" s="1"/>
  <c r="CL15" i="3" s="1"/>
  <c r="CM15" i="3" s="1"/>
  <c r="CN15" i="3" s="1"/>
  <c r="CO15" i="3" s="1"/>
  <c r="CP15" i="3" s="1"/>
  <c r="CQ15" i="3" s="1"/>
  <c r="CR15" i="3" s="1"/>
  <c r="CS15" i="3" s="1"/>
  <c r="CT15" i="3" s="1"/>
  <c r="CU15" i="3" s="1"/>
  <c r="CV15" i="3" s="1"/>
  <c r="CW15" i="3" s="1"/>
  <c r="CX15" i="3" s="1"/>
  <c r="CY15" i="3" s="1"/>
  <c r="CZ15" i="3" s="1"/>
  <c r="DA15" i="3" s="1"/>
  <c r="DB15" i="3" s="1"/>
  <c r="DC15" i="3" s="1"/>
  <c r="DD15" i="3" s="1"/>
  <c r="DE15" i="3" s="1"/>
  <c r="DF15" i="3" s="1"/>
  <c r="DG15" i="3" s="1"/>
  <c r="DH15" i="3" s="1"/>
  <c r="DI15" i="3" s="1"/>
  <c r="DJ15" i="3" s="1"/>
  <c r="DK15" i="3" s="1"/>
  <c r="DL15" i="3" s="1"/>
  <c r="DM15" i="3" s="1"/>
  <c r="DN15" i="3" s="1"/>
  <c r="DO15" i="3" s="1"/>
  <c r="DP15" i="3" s="1"/>
  <c r="DQ15" i="3" s="1"/>
  <c r="DR15" i="3" s="1"/>
  <c r="DS15" i="3" s="1"/>
  <c r="DT15" i="3" s="1"/>
  <c r="DU15" i="3" s="1"/>
  <c r="DV15" i="3" s="1"/>
  <c r="DW15" i="3" s="1"/>
  <c r="DX15" i="3" s="1"/>
  <c r="DY15" i="3" s="1"/>
  <c r="DZ15" i="3" s="1"/>
  <c r="EA15" i="3" s="1"/>
  <c r="EB15" i="3" s="1"/>
  <c r="EC15" i="3" s="1"/>
  <c r="ED15" i="3" s="1"/>
  <c r="EE15" i="3" s="1"/>
  <c r="EF15" i="3" s="1"/>
  <c r="D14" i="3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AG14" i="3" s="1"/>
  <c r="AH14" i="3" s="1"/>
  <c r="AI14" i="3" s="1"/>
  <c r="AJ14" i="3" s="1"/>
  <c r="AK14" i="3" s="1"/>
  <c r="AL14" i="3" s="1"/>
  <c r="AM14" i="3" s="1"/>
  <c r="AN14" i="3" s="1"/>
  <c r="AO14" i="3" s="1"/>
  <c r="AP14" i="3" s="1"/>
  <c r="AQ14" i="3" s="1"/>
  <c r="AR14" i="3" s="1"/>
  <c r="AS14" i="3" s="1"/>
  <c r="AT14" i="3" s="1"/>
  <c r="AU14" i="3" s="1"/>
  <c r="AV14" i="3" s="1"/>
  <c r="AW14" i="3" s="1"/>
  <c r="AX14" i="3" s="1"/>
  <c r="AY14" i="3" s="1"/>
  <c r="AZ14" i="3" s="1"/>
  <c r="BA14" i="3" s="1"/>
  <c r="BB14" i="3" s="1"/>
  <c r="BC14" i="3" s="1"/>
  <c r="BD14" i="3" s="1"/>
  <c r="BE14" i="3" s="1"/>
  <c r="BF14" i="3" s="1"/>
  <c r="BG14" i="3" s="1"/>
  <c r="BH14" i="3" s="1"/>
  <c r="BI14" i="3" s="1"/>
  <c r="BJ14" i="3" s="1"/>
  <c r="BK14" i="3" s="1"/>
  <c r="BL14" i="3" s="1"/>
  <c r="BM14" i="3" s="1"/>
  <c r="BN14" i="3" s="1"/>
  <c r="BO14" i="3" s="1"/>
  <c r="BP14" i="3" s="1"/>
  <c r="BQ14" i="3" s="1"/>
  <c r="BR14" i="3" s="1"/>
  <c r="BS14" i="3" s="1"/>
  <c r="BT14" i="3" s="1"/>
  <c r="BU14" i="3" s="1"/>
  <c r="BV14" i="3" s="1"/>
  <c r="BW14" i="3" s="1"/>
  <c r="BX14" i="3" s="1"/>
  <c r="BY14" i="3" s="1"/>
  <c r="BZ14" i="3" s="1"/>
  <c r="CA14" i="3" s="1"/>
  <c r="CB14" i="3" s="1"/>
  <c r="CC14" i="3" s="1"/>
  <c r="CD14" i="3" s="1"/>
  <c r="CE14" i="3" s="1"/>
  <c r="CF14" i="3" s="1"/>
  <c r="CG14" i="3" s="1"/>
  <c r="CH14" i="3" s="1"/>
  <c r="CI14" i="3" s="1"/>
  <c r="CJ14" i="3" s="1"/>
  <c r="CK14" i="3" s="1"/>
  <c r="CL14" i="3" s="1"/>
  <c r="CM14" i="3" s="1"/>
  <c r="CN14" i="3" s="1"/>
  <c r="CO14" i="3" s="1"/>
  <c r="CP14" i="3" s="1"/>
  <c r="CQ14" i="3" s="1"/>
  <c r="CR14" i="3" s="1"/>
  <c r="CS14" i="3" s="1"/>
  <c r="CT14" i="3" s="1"/>
  <c r="CU14" i="3" s="1"/>
  <c r="CV14" i="3" s="1"/>
  <c r="CW14" i="3" s="1"/>
  <c r="CX14" i="3" s="1"/>
  <c r="CY14" i="3" s="1"/>
  <c r="CZ14" i="3" s="1"/>
  <c r="DA14" i="3" s="1"/>
  <c r="DB14" i="3" s="1"/>
  <c r="DC14" i="3" s="1"/>
  <c r="DD14" i="3" s="1"/>
  <c r="DE14" i="3" s="1"/>
  <c r="DF14" i="3" s="1"/>
  <c r="DG14" i="3" s="1"/>
  <c r="DH14" i="3" s="1"/>
  <c r="DI14" i="3" s="1"/>
  <c r="DJ14" i="3" s="1"/>
  <c r="DK14" i="3" s="1"/>
  <c r="DL14" i="3" s="1"/>
  <c r="DM14" i="3" s="1"/>
  <c r="DN14" i="3" s="1"/>
  <c r="DO14" i="3" s="1"/>
  <c r="DP14" i="3" s="1"/>
  <c r="DQ14" i="3" s="1"/>
  <c r="DR14" i="3" s="1"/>
  <c r="DS14" i="3" s="1"/>
  <c r="DT14" i="3" s="1"/>
  <c r="DU14" i="3" s="1"/>
  <c r="DV14" i="3" s="1"/>
  <c r="DW14" i="3" s="1"/>
  <c r="DX14" i="3" s="1"/>
  <c r="DY14" i="3" s="1"/>
  <c r="DZ14" i="3" s="1"/>
  <c r="EA14" i="3" s="1"/>
  <c r="EB14" i="3" s="1"/>
  <c r="EC14" i="3" s="1"/>
  <c r="ED14" i="3" s="1"/>
  <c r="EE14" i="3" s="1"/>
  <c r="EF14" i="3" s="1"/>
  <c r="D13" i="3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CU13" i="3" s="1"/>
  <c r="CV13" i="3" s="1"/>
  <c r="CW13" i="3" s="1"/>
  <c r="CX13" i="3" s="1"/>
  <c r="CY13" i="3" s="1"/>
  <c r="CZ13" i="3" s="1"/>
  <c r="DA13" i="3" s="1"/>
  <c r="DB13" i="3" s="1"/>
  <c r="DC13" i="3" s="1"/>
  <c r="DD13" i="3" s="1"/>
  <c r="DE13" i="3" s="1"/>
  <c r="DF13" i="3" s="1"/>
  <c r="DG13" i="3" s="1"/>
  <c r="DH13" i="3" s="1"/>
  <c r="DI13" i="3" s="1"/>
  <c r="DJ13" i="3" s="1"/>
  <c r="DK13" i="3" s="1"/>
  <c r="DL13" i="3" s="1"/>
  <c r="DM13" i="3" s="1"/>
  <c r="DN13" i="3" s="1"/>
  <c r="DO13" i="3" s="1"/>
  <c r="DP13" i="3" s="1"/>
  <c r="DQ13" i="3" s="1"/>
  <c r="DR13" i="3" s="1"/>
  <c r="DS13" i="3" s="1"/>
  <c r="DT13" i="3" s="1"/>
  <c r="DU13" i="3" s="1"/>
  <c r="DV13" i="3" s="1"/>
  <c r="DW13" i="3" s="1"/>
  <c r="DX13" i="3" s="1"/>
  <c r="DY13" i="3" s="1"/>
  <c r="DZ13" i="3" s="1"/>
  <c r="EA13" i="3" s="1"/>
  <c r="EB13" i="3" s="1"/>
  <c r="EC13" i="3" s="1"/>
  <c r="ED13" i="3" s="1"/>
  <c r="EE13" i="3" s="1"/>
  <c r="EF13" i="3" s="1"/>
  <c r="E12" i="3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W12" i="3" s="1"/>
  <c r="AX12" i="3" s="1"/>
  <c r="AY12" i="3" s="1"/>
  <c r="AZ12" i="3" s="1"/>
  <c r="BA12" i="3" s="1"/>
  <c r="BB12" i="3" s="1"/>
  <c r="BC12" i="3" s="1"/>
  <c r="BD12" i="3" s="1"/>
  <c r="BE12" i="3" s="1"/>
  <c r="BF12" i="3" s="1"/>
  <c r="BG12" i="3" s="1"/>
  <c r="BH12" i="3" s="1"/>
  <c r="BI12" i="3" s="1"/>
  <c r="BJ12" i="3" s="1"/>
  <c r="BK12" i="3" s="1"/>
  <c r="BL12" i="3" s="1"/>
  <c r="BM12" i="3" s="1"/>
  <c r="BN12" i="3" s="1"/>
  <c r="BO12" i="3" s="1"/>
  <c r="BP12" i="3" s="1"/>
  <c r="BQ12" i="3" s="1"/>
  <c r="BR12" i="3" s="1"/>
  <c r="BS12" i="3" s="1"/>
  <c r="BT12" i="3" s="1"/>
  <c r="BU12" i="3" s="1"/>
  <c r="BV12" i="3" s="1"/>
  <c r="BW12" i="3" s="1"/>
  <c r="BX12" i="3" s="1"/>
  <c r="BY12" i="3" s="1"/>
  <c r="BZ12" i="3" s="1"/>
  <c r="CA12" i="3" s="1"/>
  <c r="CB12" i="3" s="1"/>
  <c r="CC12" i="3" s="1"/>
  <c r="CD12" i="3" s="1"/>
  <c r="CE12" i="3" s="1"/>
  <c r="CF12" i="3" s="1"/>
  <c r="CG12" i="3" s="1"/>
  <c r="CH12" i="3" s="1"/>
  <c r="CI12" i="3" s="1"/>
  <c r="CJ12" i="3" s="1"/>
  <c r="CK12" i="3" s="1"/>
  <c r="CL12" i="3" s="1"/>
  <c r="CM12" i="3" s="1"/>
  <c r="CN12" i="3" s="1"/>
  <c r="CO12" i="3" s="1"/>
  <c r="CP12" i="3" s="1"/>
  <c r="CQ12" i="3" s="1"/>
  <c r="CR12" i="3" s="1"/>
  <c r="CS12" i="3" s="1"/>
  <c r="CT12" i="3" s="1"/>
  <c r="CU12" i="3" s="1"/>
  <c r="CV12" i="3" s="1"/>
  <c r="CW12" i="3" s="1"/>
  <c r="CX12" i="3" s="1"/>
  <c r="CY12" i="3" s="1"/>
  <c r="CZ12" i="3" s="1"/>
  <c r="DA12" i="3" s="1"/>
  <c r="DB12" i="3" s="1"/>
  <c r="DC12" i="3" s="1"/>
  <c r="DD12" i="3" s="1"/>
  <c r="DE12" i="3" s="1"/>
  <c r="DF12" i="3" s="1"/>
  <c r="DG12" i="3" s="1"/>
  <c r="DH12" i="3" s="1"/>
  <c r="DI12" i="3" s="1"/>
  <c r="DJ12" i="3" s="1"/>
  <c r="DK12" i="3" s="1"/>
  <c r="DL12" i="3" s="1"/>
  <c r="DM12" i="3" s="1"/>
  <c r="DN12" i="3" s="1"/>
  <c r="DO12" i="3" s="1"/>
  <c r="DP12" i="3" s="1"/>
  <c r="DQ12" i="3" s="1"/>
  <c r="DR12" i="3" s="1"/>
  <c r="DS12" i="3" s="1"/>
  <c r="DT12" i="3" s="1"/>
  <c r="DU12" i="3" s="1"/>
  <c r="DV12" i="3" s="1"/>
  <c r="DW12" i="3" s="1"/>
  <c r="DX12" i="3" s="1"/>
  <c r="DY12" i="3" s="1"/>
  <c r="DZ12" i="3" s="1"/>
  <c r="EA12" i="3" s="1"/>
  <c r="EB12" i="3" s="1"/>
  <c r="EC12" i="3" s="1"/>
  <c r="ED12" i="3" s="1"/>
  <c r="EE12" i="3" s="1"/>
  <c r="EF12" i="3" s="1"/>
  <c r="D12" i="3"/>
  <c r="EB8" i="3"/>
  <c r="EA8" i="3"/>
  <c r="DT8" i="3"/>
  <c r="DR8" i="3"/>
  <c r="DQ8" i="3"/>
  <c r="DA8" i="3"/>
  <c r="CU8" i="3"/>
  <c r="CO8" i="3"/>
  <c r="CI8" i="3"/>
  <c r="CH8" i="3"/>
  <c r="CG8" i="3"/>
  <c r="CD8" i="3"/>
  <c r="BS8" i="3"/>
  <c r="BQ8" i="3"/>
  <c r="BH8" i="3"/>
  <c r="AW8" i="3"/>
  <c r="AS8" i="3"/>
  <c r="AL8" i="3"/>
  <c r="AG8" i="3"/>
  <c r="AA8" i="3"/>
  <c r="K8" i="3"/>
  <c r="I8" i="3"/>
  <c r="EC7" i="3"/>
  <c r="EB7" i="3"/>
  <c r="EA7" i="3"/>
  <c r="DT7" i="3"/>
  <c r="DS7" i="3"/>
  <c r="DR7" i="3"/>
  <c r="CS7" i="3"/>
  <c r="CO7" i="3"/>
  <c r="CJ7" i="3"/>
  <c r="CI7" i="3"/>
  <c r="CH7" i="3"/>
  <c r="CG7" i="3"/>
  <c r="CD7" i="3"/>
  <c r="BS7" i="3"/>
  <c r="BR7" i="3"/>
  <c r="BQ7" i="3"/>
  <c r="BH7" i="3"/>
  <c r="BE7" i="3"/>
  <c r="AW7" i="3"/>
  <c r="AV7" i="3"/>
  <c r="AL7" i="3"/>
  <c r="AG7" i="3"/>
  <c r="AA7" i="3"/>
  <c r="Z7" i="3"/>
  <c r="V7" i="3"/>
  <c r="K7" i="3"/>
  <c r="EF6" i="3" a="1"/>
  <c r="EF6" i="3"/>
  <c r="EF8" i="3" s="1"/>
  <c r="EE6" i="3" a="1"/>
  <c r="EE6" i="3"/>
  <c r="EE8" i="3" s="1"/>
  <c r="ED6" i="3" a="1"/>
  <c r="ED6" i="3" s="1"/>
  <c r="EC6" i="3" a="1"/>
  <c r="EC6" i="3" s="1"/>
  <c r="EC8" i="3" s="1"/>
  <c r="EB6" i="3" a="1"/>
  <c r="EB6" i="3"/>
  <c r="EA6" i="3" a="1"/>
  <c r="EA6" i="3"/>
  <c r="DZ6" i="3" a="1"/>
  <c r="DZ6" i="3"/>
  <c r="DZ8" i="3" s="1"/>
  <c r="DY6" i="3" a="1"/>
  <c r="DY6" i="3"/>
  <c r="DX6" i="3" a="1"/>
  <c r="DX6" i="3" s="1"/>
  <c r="DW6" i="3" a="1"/>
  <c r="DW6" i="3"/>
  <c r="DW7" i="3" s="1"/>
  <c r="DV6" i="3" a="1"/>
  <c r="DV6" i="3" s="1"/>
  <c r="DU6" i="3" a="1"/>
  <c r="DU6" i="3" s="1"/>
  <c r="DT6" i="3" a="1"/>
  <c r="DT6" i="3"/>
  <c r="DS6" i="3" a="1"/>
  <c r="DS6" i="3"/>
  <c r="DS8" i="3" s="1"/>
  <c r="DR6" i="3" a="1"/>
  <c r="DR6" i="3" s="1"/>
  <c r="DQ6" i="3" a="1"/>
  <c r="DQ6" i="3" s="1"/>
  <c r="DQ7" i="3" s="1"/>
  <c r="DP6" i="3" a="1"/>
  <c r="DP6" i="3" s="1"/>
  <c r="DP7" i="3" s="1"/>
  <c r="DO6" i="3" a="1"/>
  <c r="DO6" i="3" s="1"/>
  <c r="DN6" i="3" a="1"/>
  <c r="DN6" i="3" s="1"/>
  <c r="DM6" i="3" a="1"/>
  <c r="DM6" i="3"/>
  <c r="DM7" i="3" s="1"/>
  <c r="DL6" i="3" a="1"/>
  <c r="DL6" i="3"/>
  <c r="DL7" i="3" s="1"/>
  <c r="DK6" i="3" a="1"/>
  <c r="DK6" i="3"/>
  <c r="DK8" i="3" s="1"/>
  <c r="DJ6" i="3" a="1"/>
  <c r="DJ6" i="3"/>
  <c r="DI6" i="3" a="1"/>
  <c r="DI6" i="3" s="1"/>
  <c r="DH6" i="3" a="1"/>
  <c r="DH6" i="3"/>
  <c r="DH8" i="3" s="1"/>
  <c r="DG6" i="3" a="1"/>
  <c r="DG6" i="3" s="1"/>
  <c r="DF6" i="3" a="1"/>
  <c r="DF6" i="3" s="1"/>
  <c r="DF8" i="3" s="1"/>
  <c r="DE6" i="3" a="1"/>
  <c r="DE6" i="3" s="1"/>
  <c r="DE8" i="3" s="1"/>
  <c r="DD6" i="3" a="1"/>
  <c r="DD6" i="3"/>
  <c r="DD8" i="3" s="1"/>
  <c r="DC6" i="3" a="1"/>
  <c r="DC6" i="3" s="1"/>
  <c r="DB6" i="3" a="1"/>
  <c r="DB6" i="3" s="1"/>
  <c r="DA6" i="3" a="1"/>
  <c r="DA6" i="3" s="1"/>
  <c r="DA7" i="3" s="1"/>
  <c r="CZ6" i="3" a="1"/>
  <c r="CZ6" i="3"/>
  <c r="CZ8" i="3" s="1"/>
  <c r="CY6" i="3" a="1"/>
  <c r="CY6" i="3"/>
  <c r="CX6" i="3" a="1"/>
  <c r="CX6" i="3"/>
  <c r="CW6" i="3" a="1"/>
  <c r="CW6" i="3" s="1"/>
  <c r="CV6" i="3" a="1"/>
  <c r="CV6" i="3" s="1"/>
  <c r="CU6" i="3" a="1"/>
  <c r="CU6" i="3" s="1"/>
  <c r="CU7" i="3" s="1"/>
  <c r="CT6" i="3" a="1"/>
  <c r="CT6" i="3" s="1"/>
  <c r="CT8" i="3" s="1"/>
  <c r="CS6" i="3" a="1"/>
  <c r="CS6" i="3"/>
  <c r="CS8" i="3" s="1"/>
  <c r="CR6" i="3" a="1"/>
  <c r="CR6" i="3" s="1"/>
  <c r="CQ6" i="3" a="1"/>
  <c r="CQ6" i="3"/>
  <c r="CQ8" i="3" s="1"/>
  <c r="CP6" i="3" a="1"/>
  <c r="CP6" i="3" s="1"/>
  <c r="CO6" i="3" a="1"/>
  <c r="CO6" i="3"/>
  <c r="CN6" i="3" a="1"/>
  <c r="CN6" i="3"/>
  <c r="CM6" i="3" a="1"/>
  <c r="CM6" i="3"/>
  <c r="CL6" i="3" a="1"/>
  <c r="CL6" i="3"/>
  <c r="CK6" i="3" a="1"/>
  <c r="CK6" i="3" s="1"/>
  <c r="CJ6" i="3" a="1"/>
  <c r="CJ6" i="3" s="1"/>
  <c r="CJ8" i="3" s="1"/>
  <c r="CI6" i="3" a="1"/>
  <c r="CI6" i="3" s="1"/>
  <c r="CH6" i="3" a="1"/>
  <c r="CH6" i="3"/>
  <c r="CG6" i="3" a="1"/>
  <c r="CG6" i="3"/>
  <c r="CF6" i="3" a="1"/>
  <c r="CF6" i="3" s="1"/>
  <c r="CE6" i="3" a="1"/>
  <c r="CE6" i="3"/>
  <c r="CE7" i="3" s="1"/>
  <c r="CD6" i="3" a="1"/>
  <c r="CD6" i="3"/>
  <c r="CC6" i="3" a="1"/>
  <c r="CC6" i="3"/>
  <c r="CC8" i="3" s="1"/>
  <c r="CB6" i="3" a="1"/>
  <c r="CB6" i="3" s="1"/>
  <c r="CA6" i="3" a="1"/>
  <c r="CA6" i="3"/>
  <c r="BZ6" i="3" a="1"/>
  <c r="BZ6" i="3"/>
  <c r="BY6" i="3" a="1"/>
  <c r="BY6" i="3" s="1"/>
  <c r="BX6" i="3" a="1"/>
  <c r="BX6" i="3" s="1"/>
  <c r="BX8" i="3" s="1"/>
  <c r="BW6" i="3" a="1"/>
  <c r="BW6" i="3" s="1"/>
  <c r="BV6" i="3" a="1"/>
  <c r="BV6" i="3"/>
  <c r="BV8" i="3" s="1"/>
  <c r="BU6" i="3" a="1"/>
  <c r="BU6" i="3"/>
  <c r="BU8" i="3" s="1"/>
  <c r="BT6" i="3" a="1"/>
  <c r="BT6" i="3" s="1"/>
  <c r="BS6" i="3" a="1"/>
  <c r="BS6" i="3"/>
  <c r="BR6" i="3" a="1"/>
  <c r="BR6" i="3"/>
  <c r="BR8" i="3" s="1"/>
  <c r="BQ6" i="3" a="1"/>
  <c r="BQ6" i="3"/>
  <c r="BP6" i="3" a="1"/>
  <c r="BP6" i="3" s="1"/>
  <c r="BO6" i="3" a="1"/>
  <c r="BO6" i="3"/>
  <c r="BN6" i="3" a="1"/>
  <c r="BN6" i="3" s="1"/>
  <c r="BM6" i="3" a="1"/>
  <c r="BM6" i="3" s="1"/>
  <c r="BL6" i="3" a="1"/>
  <c r="BL6" i="3" s="1"/>
  <c r="BK6" i="3" a="1"/>
  <c r="BK6" i="3" s="1"/>
  <c r="BJ6" i="3" a="1"/>
  <c r="BJ6" i="3"/>
  <c r="BJ7" i="3" s="1"/>
  <c r="BI6" i="3" a="1"/>
  <c r="BI6" i="3"/>
  <c r="BI7" i="3" s="1"/>
  <c r="BH6" i="3" a="1"/>
  <c r="BH6" i="3"/>
  <c r="BG6" i="3" a="1"/>
  <c r="BG6" i="3"/>
  <c r="BF6" i="3" a="1"/>
  <c r="BF6" i="3" s="1"/>
  <c r="BE6" i="3" a="1"/>
  <c r="BE6" i="3"/>
  <c r="BE8" i="3" s="1"/>
  <c r="BD6" i="3" a="1"/>
  <c r="BD6" i="3" s="1"/>
  <c r="BC6" i="3" a="1"/>
  <c r="BC6" i="3" s="1"/>
  <c r="BB6" i="3" a="1"/>
  <c r="BB6" i="3" s="1"/>
  <c r="BA6" i="3" a="1"/>
  <c r="BA6" i="3"/>
  <c r="AZ6" i="3" a="1"/>
  <c r="AZ6" i="3" s="1"/>
  <c r="AY6" i="3" a="1"/>
  <c r="AY6" i="3" s="1"/>
  <c r="AX6" i="3" a="1"/>
  <c r="AX6" i="3"/>
  <c r="AX7" i="3" s="1"/>
  <c r="AW6" i="3" a="1"/>
  <c r="AW6" i="3"/>
  <c r="AV6" i="3" a="1"/>
  <c r="AV6" i="3"/>
  <c r="AV8" i="3" s="1"/>
  <c r="AU6" i="3" a="1"/>
  <c r="AU6" i="3"/>
  <c r="AT6" i="3" a="1"/>
  <c r="AT6" i="3" s="1"/>
  <c r="AS6" i="3" a="1"/>
  <c r="AS6" i="3"/>
  <c r="AS7" i="3" s="1"/>
  <c r="AR6" i="3" a="1"/>
  <c r="AR6" i="3" s="1"/>
  <c r="AR7" i="3" s="1"/>
  <c r="AQ6" i="3" a="1"/>
  <c r="AQ6" i="3"/>
  <c r="AP6" i="3" a="1"/>
  <c r="AP6" i="3" s="1"/>
  <c r="AO6" i="3" a="1"/>
  <c r="AO6" i="3"/>
  <c r="AN6" i="3" a="1"/>
  <c r="AN6" i="3" s="1"/>
  <c r="AM6" i="3" a="1"/>
  <c r="AM6" i="3"/>
  <c r="AM7" i="3" s="1"/>
  <c r="AL6" i="3" a="1"/>
  <c r="AL6" i="3"/>
  <c r="AK6" i="3" a="1"/>
  <c r="AK6" i="3"/>
  <c r="AK8" i="3" s="1"/>
  <c r="AJ6" i="3" a="1"/>
  <c r="AJ6" i="3"/>
  <c r="AJ8" i="3" s="1"/>
  <c r="AI6" i="3" a="1"/>
  <c r="AI6" i="3" s="1"/>
  <c r="AH6" i="3" a="1"/>
  <c r="AH6" i="3" s="1"/>
  <c r="AG6" i="3" a="1"/>
  <c r="AG6" i="3" s="1"/>
  <c r="AF6" i="3" a="1"/>
  <c r="AF6" i="3" s="1"/>
  <c r="AE6" i="3" a="1"/>
  <c r="AE6" i="3"/>
  <c r="AD6" i="3" a="1"/>
  <c r="AD6" i="3"/>
  <c r="AC6" i="3" a="1"/>
  <c r="AC6" i="3" s="1"/>
  <c r="AB6" i="3" a="1"/>
  <c r="AB6" i="3" s="1"/>
  <c r="AA6" i="3" a="1"/>
  <c r="AA6" i="3"/>
  <c r="Z6" i="3" a="1"/>
  <c r="Z6" i="3"/>
  <c r="Z8" i="3" s="1"/>
  <c r="Y6" i="3" a="1"/>
  <c r="Y6" i="3" s="1"/>
  <c r="X6" i="3" a="1"/>
  <c r="X6" i="3"/>
  <c r="W6" i="3" a="1"/>
  <c r="W6" i="3" s="1"/>
  <c r="V6" i="3" a="1"/>
  <c r="V6" i="3"/>
  <c r="V8" i="3" s="1"/>
  <c r="U6" i="3" a="1"/>
  <c r="U6" i="3" s="1"/>
  <c r="T6" i="3" a="1"/>
  <c r="T6" i="3"/>
  <c r="T7" i="3" s="1"/>
  <c r="S6" i="3" a="1"/>
  <c r="S6" i="3"/>
  <c r="R6" i="3" a="1"/>
  <c r="R6" i="3" s="1"/>
  <c r="Q6" i="3" a="1"/>
  <c r="Q6" i="3" s="1"/>
  <c r="P6" i="3" a="1"/>
  <c r="P6" i="3"/>
  <c r="O6" i="3" a="1"/>
  <c r="O6" i="3"/>
  <c r="O8" i="3" s="1"/>
  <c r="N6" i="3" a="1"/>
  <c r="N6" i="3" s="1"/>
  <c r="M6" i="3" a="1"/>
  <c r="M6" i="3"/>
  <c r="L6" i="3" a="1"/>
  <c r="L6" i="3" s="1"/>
  <c r="K6" i="3" a="1"/>
  <c r="K6" i="3"/>
  <c r="J6" i="3" a="1"/>
  <c r="J6" i="3" s="1"/>
  <c r="I6" i="3" a="1"/>
  <c r="I6" i="3"/>
  <c r="I7" i="3" s="1"/>
  <c r="H6" i="3" a="1"/>
  <c r="H6" i="3"/>
  <c r="H7" i="3" s="1"/>
  <c r="G6" i="3" a="1"/>
  <c r="G6" i="3" s="1"/>
  <c r="F6" i="3" a="1"/>
  <c r="F6" i="3" s="1"/>
  <c r="E6" i="3" a="1"/>
  <c r="E6" i="3"/>
  <c r="D6" i="3" a="1"/>
  <c r="D6" i="3"/>
  <c r="C6" i="3" a="1"/>
  <c r="C6" i="3" s="1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EG14" i="2" s="1"/>
  <c r="D14" i="2"/>
  <c r="C14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EA8" i="2"/>
  <c r="DV8" i="2"/>
  <c r="DU8" i="2"/>
  <c r="DT8" i="2"/>
  <c r="DK8" i="2"/>
  <c r="DE8" i="2"/>
  <c r="CX8" i="2"/>
  <c r="CN8" i="2"/>
  <c r="CM8" i="2"/>
  <c r="CB8" i="2"/>
  <c r="BT8" i="2"/>
  <c r="BQ8" i="2"/>
  <c r="BF8" i="2"/>
  <c r="BE8" i="2"/>
  <c r="AS8" i="2"/>
  <c r="AR8" i="2"/>
  <c r="AH8" i="2"/>
  <c r="AB8" i="2"/>
  <c r="AA8" i="2"/>
  <c r="N8" i="2"/>
  <c r="ED7" i="2"/>
  <c r="DY7" i="2"/>
  <c r="DT7" i="2"/>
  <c r="DN7" i="2"/>
  <c r="DK7" i="2"/>
  <c r="DC7" i="2"/>
  <c r="CY7" i="2"/>
  <c r="CX7" i="2"/>
  <c r="CW7" i="2"/>
  <c r="CR7" i="2"/>
  <c r="CN7" i="2"/>
  <c r="CM7" i="2"/>
  <c r="CL7" i="2"/>
  <c r="CK7" i="2"/>
  <c r="CG7" i="2"/>
  <c r="CB7" i="2"/>
  <c r="CA7" i="2"/>
  <c r="BV7" i="2"/>
  <c r="BU7" i="2"/>
  <c r="BT7" i="2"/>
  <c r="BK7" i="2"/>
  <c r="BF7" i="2"/>
  <c r="BE7" i="2"/>
  <c r="AS7" i="2"/>
  <c r="AO7" i="2"/>
  <c r="AN7" i="2"/>
  <c r="AH7" i="2"/>
  <c r="AB7" i="2"/>
  <c r="AA7" i="2"/>
  <c r="Z7" i="2"/>
  <c r="Q7" i="2"/>
  <c r="N7" i="2"/>
  <c r="C7" i="2"/>
  <c r="EF6" i="2" a="1"/>
  <c r="EF6" i="2"/>
  <c r="EF8" i="2" s="1"/>
  <c r="EE6" i="2" a="1"/>
  <c r="EE6" i="2" s="1"/>
  <c r="EE8" i="2" s="1"/>
  <c r="ED6" i="2" a="1"/>
  <c r="ED6" i="2"/>
  <c r="ED8" i="2" s="1"/>
  <c r="EC6" i="2" a="1"/>
  <c r="EC6" i="2" s="1"/>
  <c r="EB6" i="2" a="1"/>
  <c r="EB6" i="2"/>
  <c r="EB7" i="2" s="1"/>
  <c r="EA6" i="2" a="1"/>
  <c r="EA6" i="2"/>
  <c r="EA7" i="2" s="1"/>
  <c r="DZ6" i="2" a="1"/>
  <c r="DZ6" i="2" s="1"/>
  <c r="DY6" i="2" a="1"/>
  <c r="DY6" i="2"/>
  <c r="DY8" i="2" s="1"/>
  <c r="DX6" i="2" a="1"/>
  <c r="DX6" i="2" s="1"/>
  <c r="DW6" i="2" a="1"/>
  <c r="DW6" i="2" s="1"/>
  <c r="DV6" i="2" a="1"/>
  <c r="DV6" i="2"/>
  <c r="DV7" i="2" s="1"/>
  <c r="DU6" i="2" a="1"/>
  <c r="DU6" i="2"/>
  <c r="DU7" i="2" s="1"/>
  <c r="DT6" i="2" a="1"/>
  <c r="DT6" i="2" s="1"/>
  <c r="DS6" i="2" a="1"/>
  <c r="DS6" i="2"/>
  <c r="DS8" i="2" s="1"/>
  <c r="DR6" i="2" a="1"/>
  <c r="DR6" i="2" s="1"/>
  <c r="DQ6" i="2" a="1"/>
  <c r="DQ6" i="2" s="1"/>
  <c r="DP6" i="2" a="1"/>
  <c r="DP6" i="2"/>
  <c r="DP7" i="2" s="1"/>
  <c r="DO6" i="2" a="1"/>
  <c r="DO6" i="2"/>
  <c r="DN6" i="2" a="1"/>
  <c r="DN6" i="2"/>
  <c r="DN8" i="2" s="1"/>
  <c r="DM6" i="2" a="1"/>
  <c r="DM6" i="2"/>
  <c r="DM8" i="2" s="1"/>
  <c r="DL6" i="2" a="1"/>
  <c r="DL6" i="2" s="1"/>
  <c r="DK6" i="2" a="1"/>
  <c r="DK6" i="2"/>
  <c r="DJ6" i="2" a="1"/>
  <c r="DJ6" i="2" s="1"/>
  <c r="DI6" i="2" a="1"/>
  <c r="DI6" i="2" s="1"/>
  <c r="DI7" i="2" s="1"/>
  <c r="DH6" i="2" a="1"/>
  <c r="DH6" i="2"/>
  <c r="DH8" i="2" s="1"/>
  <c r="DG6" i="2" a="1"/>
  <c r="DG6" i="2"/>
  <c r="DG7" i="2" s="1"/>
  <c r="DF6" i="2" a="1"/>
  <c r="DF6" i="2" s="1"/>
  <c r="DE6" i="2" a="1"/>
  <c r="DE6" i="2"/>
  <c r="DE7" i="2" s="1"/>
  <c r="DD6" i="2" a="1"/>
  <c r="DD6" i="2" s="1"/>
  <c r="DC6" i="2" a="1"/>
  <c r="DC6" i="2"/>
  <c r="DC8" i="2" s="1"/>
  <c r="DB6" i="2" a="1"/>
  <c r="DB6" i="2"/>
  <c r="DB8" i="2" s="1"/>
  <c r="DA6" i="2" a="1"/>
  <c r="DA6" i="2" s="1"/>
  <c r="CZ6" i="2" a="1"/>
  <c r="CZ6" i="2" s="1"/>
  <c r="CY6" i="2" a="1"/>
  <c r="CY6" i="2"/>
  <c r="CY8" i="2" s="1"/>
  <c r="CX6" i="2" a="1"/>
  <c r="CX6" i="2" s="1"/>
  <c r="CW6" i="2" a="1"/>
  <c r="CW6" i="2"/>
  <c r="CW8" i="2" s="1"/>
  <c r="CV6" i="2" a="1"/>
  <c r="CV6" i="2"/>
  <c r="CV7" i="2" s="1"/>
  <c r="CU6" i="2" a="1"/>
  <c r="CU6" i="2" s="1"/>
  <c r="CT6" i="2" a="1"/>
  <c r="CT6" i="2" s="1"/>
  <c r="CS6" i="2" a="1"/>
  <c r="CS6" i="2"/>
  <c r="CR6" i="2" a="1"/>
  <c r="CR6" i="2"/>
  <c r="CR8" i="2" s="1"/>
  <c r="CQ6" i="2" a="1"/>
  <c r="CQ6" i="2"/>
  <c r="CQ8" i="2" s="1"/>
  <c r="CP6" i="2" a="1"/>
  <c r="CP6" i="2"/>
  <c r="CP7" i="2" s="1"/>
  <c r="CO6" i="2" a="1"/>
  <c r="CO6" i="2" s="1"/>
  <c r="CN6" i="2" a="1"/>
  <c r="CN6" i="2"/>
  <c r="CM6" i="2" a="1"/>
  <c r="CM6" i="2" s="1"/>
  <c r="CL6" i="2" a="1"/>
  <c r="CL6" i="2"/>
  <c r="CL8" i="2" s="1"/>
  <c r="CK6" i="2" a="1"/>
  <c r="CK6" i="2"/>
  <c r="CK8" i="2" s="1"/>
  <c r="CJ6" i="2" a="1"/>
  <c r="CJ6" i="2"/>
  <c r="CJ7" i="2" s="1"/>
  <c r="CI6" i="2" a="1"/>
  <c r="CI6" i="2" s="1"/>
  <c r="CH6" i="2" a="1"/>
  <c r="CH6" i="2"/>
  <c r="CG6" i="2" a="1"/>
  <c r="CG6" i="2"/>
  <c r="CG8" i="2" s="1"/>
  <c r="CF6" i="2" a="1"/>
  <c r="CF6" i="2" s="1"/>
  <c r="CE6" i="2" a="1"/>
  <c r="CE6" i="2"/>
  <c r="CE7" i="2" s="1"/>
  <c r="CD6" i="2" a="1"/>
  <c r="CD6" i="2" s="1"/>
  <c r="CC6" i="2" a="1"/>
  <c r="CC6" i="2" s="1"/>
  <c r="CB6" i="2" a="1"/>
  <c r="CB6" i="2" s="1"/>
  <c r="CA6" i="2" a="1"/>
  <c r="CA6" i="2"/>
  <c r="CA8" i="2" s="1"/>
  <c r="BZ6" i="2" a="1"/>
  <c r="BZ6" i="2" s="1"/>
  <c r="BY6" i="2" a="1"/>
  <c r="BY6" i="2"/>
  <c r="BY7" i="2" s="1"/>
  <c r="BX6" i="2" a="1"/>
  <c r="BX6" i="2" s="1"/>
  <c r="BW6" i="2" a="1"/>
  <c r="BW6" i="2" s="1"/>
  <c r="BV6" i="2" a="1"/>
  <c r="BV6" i="2"/>
  <c r="BV8" i="2" s="1"/>
  <c r="BU6" i="2" a="1"/>
  <c r="BU6" i="2"/>
  <c r="BU8" i="2" s="1"/>
  <c r="BT6" i="2" a="1"/>
  <c r="BT6" i="2"/>
  <c r="BS6" i="2" a="1"/>
  <c r="BS6" i="2"/>
  <c r="BS7" i="2" s="1"/>
  <c r="BR6" i="2" a="1"/>
  <c r="BR6" i="2" s="1"/>
  <c r="BQ6" i="2" a="1"/>
  <c r="BQ6" i="2" s="1"/>
  <c r="BQ7" i="2" s="1"/>
  <c r="BP6" i="2" a="1"/>
  <c r="BP6" i="2"/>
  <c r="BP7" i="2" s="1"/>
  <c r="BO6" i="2" a="1"/>
  <c r="BO6" i="2"/>
  <c r="BO7" i="2" s="1"/>
  <c r="BN6" i="2" a="1"/>
  <c r="BN6" i="2"/>
  <c r="BN7" i="2" s="1"/>
  <c r="BM6" i="2" a="1"/>
  <c r="BM6" i="2"/>
  <c r="BM7" i="2" s="1"/>
  <c r="BL6" i="2" a="1"/>
  <c r="BL6" i="2" s="1"/>
  <c r="BK6" i="2" a="1"/>
  <c r="BK6" i="2"/>
  <c r="BK8" i="2" s="1"/>
  <c r="BJ6" i="2" a="1"/>
  <c r="BJ6" i="2" s="1"/>
  <c r="BI6" i="2" a="1"/>
  <c r="BI6" i="2" s="1"/>
  <c r="BH6" i="2" a="1"/>
  <c r="BH6" i="2"/>
  <c r="BH7" i="2" s="1"/>
  <c r="BG6" i="2" a="1"/>
  <c r="BG6" i="2" s="1"/>
  <c r="BF6" i="2" a="1"/>
  <c r="BF6" i="2" s="1"/>
  <c r="BE6" i="2" a="1"/>
  <c r="BE6" i="2"/>
  <c r="BD6" i="2" a="1"/>
  <c r="BD6" i="2" s="1"/>
  <c r="BC6" i="2" a="1"/>
  <c r="BC6" i="2" s="1"/>
  <c r="BB6" i="2" a="1"/>
  <c r="BB6" i="2"/>
  <c r="BB7" i="2" s="1"/>
  <c r="BA6" i="2" a="1"/>
  <c r="BA6" i="2" s="1"/>
  <c r="AZ6" i="2" a="1"/>
  <c r="AZ6" i="2"/>
  <c r="AZ8" i="2" s="1"/>
  <c r="AY6" i="2" a="1"/>
  <c r="AY6" i="2"/>
  <c r="AY8" i="2" s="1"/>
  <c r="AX6" i="2" a="1"/>
  <c r="AX6" i="2"/>
  <c r="AX7" i="2" s="1"/>
  <c r="AW6" i="2" a="1"/>
  <c r="AW6" i="2"/>
  <c r="AW7" i="2" s="1"/>
  <c r="AV6" i="2" a="1"/>
  <c r="AV6" i="2"/>
  <c r="AV7" i="2" s="1"/>
  <c r="AU6" i="2" a="1"/>
  <c r="AU6" i="2" s="1"/>
  <c r="AU7" i="2" s="1"/>
  <c r="AT6" i="2" a="1"/>
  <c r="AT6" i="2" s="1"/>
  <c r="AS6" i="2" a="1"/>
  <c r="AS6" i="2"/>
  <c r="AR6" i="2" a="1"/>
  <c r="AR6" i="2"/>
  <c r="AR7" i="2" s="1"/>
  <c r="AQ6" i="2" a="1"/>
  <c r="AQ6" i="2"/>
  <c r="AQ7" i="2" s="1"/>
  <c r="AP6" i="2" a="1"/>
  <c r="AP6" i="2"/>
  <c r="AO6" i="2" a="1"/>
  <c r="AO6" i="2"/>
  <c r="AO8" i="2" s="1"/>
  <c r="AN6" i="2" a="1"/>
  <c r="AN6" i="2"/>
  <c r="AN8" i="2" s="1"/>
  <c r="AM6" i="2" a="1"/>
  <c r="AM6" i="2" s="1"/>
  <c r="AL6" i="2" a="1"/>
  <c r="AL6" i="2" s="1"/>
  <c r="AK6" i="2" a="1"/>
  <c r="AK6" i="2"/>
  <c r="AK7" i="2" s="1"/>
  <c r="AJ6" i="2" a="1"/>
  <c r="AJ6" i="2" s="1"/>
  <c r="AJ7" i="2" s="1"/>
  <c r="AI6" i="2" a="1"/>
  <c r="AI6" i="2" s="1"/>
  <c r="AH6" i="2" a="1"/>
  <c r="AH6" i="2"/>
  <c r="AG6" i="2" a="1"/>
  <c r="AG6" i="2" s="1"/>
  <c r="AF6" i="2" a="1"/>
  <c r="AF6" i="2" s="1"/>
  <c r="AE6" i="2" a="1"/>
  <c r="AE6" i="2"/>
  <c r="AD6" i="2" a="1"/>
  <c r="AD6" i="2"/>
  <c r="AD8" i="2" s="1"/>
  <c r="AC6" i="2" a="1"/>
  <c r="AC6" i="2" s="1"/>
  <c r="AB6" i="2" a="1"/>
  <c r="AB6" i="2"/>
  <c r="AA6" i="2" a="1"/>
  <c r="AA6" i="2"/>
  <c r="Z6" i="2" a="1"/>
  <c r="Z6" i="2"/>
  <c r="Z8" i="2" s="1"/>
  <c r="Y6" i="2" a="1"/>
  <c r="Y6" i="2" s="1"/>
  <c r="Y8" i="2" s="1"/>
  <c r="X6" i="2" a="1"/>
  <c r="X6" i="2" s="1"/>
  <c r="W6" i="2" a="1"/>
  <c r="W6" i="2" s="1"/>
  <c r="V6" i="2" a="1"/>
  <c r="V6" i="2"/>
  <c r="V7" i="2" s="1"/>
  <c r="U6" i="2" a="1"/>
  <c r="U6" i="2"/>
  <c r="U7" i="2" s="1"/>
  <c r="T6" i="2" a="1"/>
  <c r="T6" i="2"/>
  <c r="S6" i="2" a="1"/>
  <c r="S6" i="2"/>
  <c r="S8" i="2" s="1"/>
  <c r="R6" i="2" a="1"/>
  <c r="R6" i="2" s="1"/>
  <c r="Q6" i="2" a="1"/>
  <c r="Q6" i="2"/>
  <c r="Q8" i="2" s="1"/>
  <c r="P6" i="2" a="1"/>
  <c r="P6" i="2" s="1"/>
  <c r="O6" i="2" a="1"/>
  <c r="O6" i="2" s="1"/>
  <c r="N6" i="2" a="1"/>
  <c r="N6" i="2" s="1"/>
  <c r="M6" i="2" a="1"/>
  <c r="M6" i="2"/>
  <c r="M7" i="2" s="1"/>
  <c r="L6" i="2" a="1"/>
  <c r="L6" i="2" s="1"/>
  <c r="K6" i="2" a="1"/>
  <c r="K6" i="2"/>
  <c r="K7" i="2" s="1"/>
  <c r="J6" i="2" a="1"/>
  <c r="J6" i="2" s="1"/>
  <c r="I6" i="2" a="1"/>
  <c r="I6" i="2" s="1"/>
  <c r="H6" i="2" a="1"/>
  <c r="H6" i="2"/>
  <c r="H8" i="2" s="1"/>
  <c r="G6" i="2" a="1"/>
  <c r="G6" i="2" s="1"/>
  <c r="F6" i="2" a="1"/>
  <c r="F6" i="2" s="1"/>
  <c r="E6" i="2" a="1"/>
  <c r="E6" i="2"/>
  <c r="E7" i="2" s="1"/>
  <c r="D6" i="2" a="1"/>
  <c r="D6" i="2"/>
  <c r="D7" i="2" s="1"/>
  <c r="C6" i="2" a="1"/>
  <c r="C6" i="2" s="1"/>
  <c r="C8" i="2" s="1"/>
  <c r="EG13" i="2" l="1"/>
  <c r="EH18" i="2"/>
  <c r="EH24" i="2"/>
  <c r="EH22" i="2"/>
  <c r="EG16" i="2"/>
  <c r="EH17" i="2"/>
  <c r="EH21" i="2"/>
  <c r="EH23" i="2"/>
  <c r="EG18" i="2"/>
  <c r="EH13" i="2"/>
  <c r="AI7" i="2"/>
  <c r="AI8" i="2"/>
  <c r="BC7" i="2"/>
  <c r="BC8" i="2"/>
  <c r="BR8" i="2"/>
  <c r="BR7" i="2"/>
  <c r="DA7" i="2"/>
  <c r="DA8" i="2"/>
  <c r="EC8" i="2"/>
  <c r="EC7" i="2"/>
  <c r="F7" i="2"/>
  <c r="F8" i="2"/>
  <c r="BD8" i="2"/>
  <c r="BD7" i="2"/>
  <c r="BL7" i="2"/>
  <c r="BL8" i="2"/>
  <c r="CT7" i="2"/>
  <c r="CT8" i="2"/>
  <c r="G8" i="2"/>
  <c r="G7" i="2"/>
  <c r="O7" i="2"/>
  <c r="O8" i="2"/>
  <c r="AC8" i="2"/>
  <c r="AC7" i="2"/>
  <c r="BZ7" i="2"/>
  <c r="BZ8" i="2"/>
  <c r="CU7" i="2"/>
  <c r="CU8" i="2"/>
  <c r="DW7" i="2"/>
  <c r="DW8" i="2"/>
  <c r="P7" i="2"/>
  <c r="P8" i="2"/>
  <c r="CO7" i="2"/>
  <c r="CO8" i="2"/>
  <c r="DJ7" i="2"/>
  <c r="DJ8" i="2"/>
  <c r="DX8" i="2"/>
  <c r="DX7" i="2"/>
  <c r="W7" i="2"/>
  <c r="W8" i="2"/>
  <c r="AL7" i="2"/>
  <c r="AL8" i="2"/>
  <c r="CI7" i="2"/>
  <c r="CI8" i="2"/>
  <c r="DQ7" i="2"/>
  <c r="DQ8" i="2"/>
  <c r="I7" i="2"/>
  <c r="I8" i="2"/>
  <c r="X7" i="2"/>
  <c r="X8" i="2"/>
  <c r="AM8" i="2"/>
  <c r="AM7" i="2"/>
  <c r="BG7" i="2"/>
  <c r="BG8" i="2"/>
  <c r="DD7" i="2"/>
  <c r="DD8" i="2"/>
  <c r="DR8" i="2"/>
  <c r="DR7" i="2"/>
  <c r="J7" i="2"/>
  <c r="J8" i="2"/>
  <c r="R8" i="2"/>
  <c r="R7" i="2"/>
  <c r="CC7" i="2"/>
  <c r="CC8" i="2"/>
  <c r="DL8" i="2"/>
  <c r="DL7" i="2"/>
  <c r="AF7" i="2"/>
  <c r="AF8" i="2"/>
  <c r="AT7" i="2"/>
  <c r="AT8" i="2"/>
  <c r="CD7" i="2"/>
  <c r="CD8" i="2"/>
  <c r="AG7" i="2"/>
  <c r="AG8" i="2"/>
  <c r="BA7" i="2"/>
  <c r="BA8" i="2"/>
  <c r="BI7" i="2"/>
  <c r="BI8" i="2"/>
  <c r="DF7" i="2"/>
  <c r="DF8" i="2"/>
  <c r="L7" i="2"/>
  <c r="L8" i="2"/>
  <c r="BJ8" i="2"/>
  <c r="BJ7" i="2"/>
  <c r="BW7" i="2"/>
  <c r="BW8" i="2"/>
  <c r="BX7" i="2"/>
  <c r="BX8" i="2"/>
  <c r="CF8" i="2"/>
  <c r="CF7" i="2"/>
  <c r="CZ8" i="2"/>
  <c r="CZ7" i="2"/>
  <c r="H7" i="2"/>
  <c r="Y7" i="2"/>
  <c r="AQ8" i="2"/>
  <c r="BS8" i="2"/>
  <c r="EG21" i="2"/>
  <c r="L8" i="3"/>
  <c r="L7" i="3"/>
  <c r="AH8" i="3"/>
  <c r="AH7" i="3"/>
  <c r="AO8" i="3"/>
  <c r="AO7" i="3"/>
  <c r="M8" i="2"/>
  <c r="M8" i="3"/>
  <c r="M7" i="3"/>
  <c r="AI8" i="3"/>
  <c r="AI7" i="3"/>
  <c r="BD7" i="3"/>
  <c r="BD8" i="3"/>
  <c r="CF8" i="3"/>
  <c r="CF7" i="3"/>
  <c r="DB8" i="3"/>
  <c r="DB7" i="3"/>
  <c r="DE7" i="4"/>
  <c r="DE8" i="4"/>
  <c r="AP7" i="2"/>
  <c r="AP8" i="2"/>
  <c r="DM7" i="2"/>
  <c r="F7" i="3"/>
  <c r="F8" i="3"/>
  <c r="AP8" i="3"/>
  <c r="AP7" i="3"/>
  <c r="BK8" i="3"/>
  <c r="BK7" i="3"/>
  <c r="DC8" i="3"/>
  <c r="DC7" i="3"/>
  <c r="CR8" i="4"/>
  <c r="CR7" i="4"/>
  <c r="AE7" i="2"/>
  <c r="AE8" i="2"/>
  <c r="EE7" i="2"/>
  <c r="BH8" i="2"/>
  <c r="BY8" i="2"/>
  <c r="DG8" i="2"/>
  <c r="G8" i="3"/>
  <c r="G7" i="3"/>
  <c r="N8" i="3"/>
  <c r="N7" i="3"/>
  <c r="U8" i="3"/>
  <c r="U7" i="3"/>
  <c r="AB7" i="3"/>
  <c r="AB8" i="3"/>
  <c r="BL8" i="3"/>
  <c r="BL7" i="3"/>
  <c r="CV8" i="3"/>
  <c r="CV7" i="3"/>
  <c r="CL7" i="4"/>
  <c r="CL8" i="4"/>
  <c r="DU7" i="5"/>
  <c r="DU8" i="5"/>
  <c r="T7" i="2"/>
  <c r="T8" i="2"/>
  <c r="EF7" i="2"/>
  <c r="AU8" i="2"/>
  <c r="CP8" i="2"/>
  <c r="DI8" i="2"/>
  <c r="EH14" i="2"/>
  <c r="AC8" i="3"/>
  <c r="AC7" i="3"/>
  <c r="BF8" i="3"/>
  <c r="BF7" i="3"/>
  <c r="BT7" i="3"/>
  <c r="BT8" i="3"/>
  <c r="CW8" i="3"/>
  <c r="CW7" i="3"/>
  <c r="DZ7" i="2"/>
  <c r="DZ8" i="2"/>
  <c r="AD7" i="2"/>
  <c r="DB7" i="2"/>
  <c r="DS7" i="2"/>
  <c r="AV8" i="2"/>
  <c r="BM8" i="2"/>
  <c r="EB8" i="2"/>
  <c r="EH19" i="2"/>
  <c r="EG19" i="2"/>
  <c r="BG8" i="3"/>
  <c r="BG7" i="3"/>
  <c r="CB7" i="3"/>
  <c r="CB8" i="3"/>
  <c r="DO7" i="2"/>
  <c r="DO8" i="2"/>
  <c r="D8" i="2"/>
  <c r="U8" i="2"/>
  <c r="AW8" i="2"/>
  <c r="BN8" i="2"/>
  <c r="W8" i="3"/>
  <c r="W7" i="3"/>
  <c r="AY8" i="3"/>
  <c r="AY7" i="3"/>
  <c r="CP7" i="3"/>
  <c r="CP8" i="3"/>
  <c r="DU8" i="3"/>
  <c r="DU7" i="3"/>
  <c r="E8" i="2"/>
  <c r="V8" i="2"/>
  <c r="AJ8" i="2"/>
  <c r="AX8" i="2"/>
  <c r="BO8" i="2"/>
  <c r="CV8" i="2"/>
  <c r="EG15" i="2"/>
  <c r="EH15" i="2"/>
  <c r="EH20" i="2"/>
  <c r="EG24" i="2"/>
  <c r="X7" i="3"/>
  <c r="X8" i="3"/>
  <c r="AZ8" i="3"/>
  <c r="AZ7" i="3"/>
  <c r="DG8" i="3"/>
  <c r="DG7" i="3"/>
  <c r="DP7" i="4"/>
  <c r="DP8" i="4"/>
  <c r="CS7" i="2"/>
  <c r="CS8" i="2"/>
  <c r="S7" i="2"/>
  <c r="CQ7" i="2"/>
  <c r="DH7" i="2"/>
  <c r="AK8" i="2"/>
  <c r="BB8" i="2"/>
  <c r="BP8" i="2"/>
  <c r="CE8" i="2"/>
  <c r="DP8" i="2"/>
  <c r="C8" i="3"/>
  <c r="C7" i="3"/>
  <c r="J8" i="3"/>
  <c r="J7" i="3"/>
  <c r="Q7" i="3"/>
  <c r="Q8" i="3"/>
  <c r="AT8" i="3"/>
  <c r="AT7" i="3"/>
  <c r="BP7" i="3"/>
  <c r="BP8" i="3"/>
  <c r="CK8" i="3"/>
  <c r="CK7" i="3"/>
  <c r="DN8" i="3"/>
  <c r="DN7" i="3"/>
  <c r="CH7" i="2"/>
  <c r="CH8" i="2"/>
  <c r="AY7" i="2"/>
  <c r="EH12" i="2"/>
  <c r="EG12" i="2"/>
  <c r="EH16" i="2"/>
  <c r="EG20" i="2"/>
  <c r="R8" i="3"/>
  <c r="R7" i="3"/>
  <c r="Y8" i="3"/>
  <c r="Y7" i="3"/>
  <c r="AF7" i="3"/>
  <c r="AF8" i="3"/>
  <c r="AU8" i="3"/>
  <c r="AU7" i="3"/>
  <c r="BW8" i="3"/>
  <c r="BW7" i="3"/>
  <c r="CR8" i="3"/>
  <c r="CR7" i="3"/>
  <c r="DO8" i="3"/>
  <c r="DO7" i="3"/>
  <c r="ED8" i="3"/>
  <c r="ED7" i="3"/>
  <c r="AZ7" i="2"/>
  <c r="K8" i="2"/>
  <c r="CJ8" i="2"/>
  <c r="AN8" i="3"/>
  <c r="AN7" i="3"/>
  <c r="DI8" i="3"/>
  <c r="DI7" i="3"/>
  <c r="DX8" i="3"/>
  <c r="DX7" i="3"/>
  <c r="H8" i="3"/>
  <c r="BJ8" i="3"/>
  <c r="CE8" i="3"/>
  <c r="DP8" i="3"/>
  <c r="G8" i="4"/>
  <c r="G7" i="4"/>
  <c r="AP8" i="4"/>
  <c r="AP7" i="4"/>
  <c r="BD7" i="4"/>
  <c r="BD8" i="4"/>
  <c r="BL8" i="4"/>
  <c r="BL7" i="4"/>
  <c r="DV7" i="3"/>
  <c r="DV8" i="3"/>
  <c r="CB8" i="4"/>
  <c r="CB7" i="4"/>
  <c r="CV7" i="4"/>
  <c r="CV8" i="4"/>
  <c r="DB8" i="4"/>
  <c r="DB7" i="4"/>
  <c r="DI8" i="4"/>
  <c r="DI7" i="4"/>
  <c r="CI8" i="4"/>
  <c r="CA8" i="5"/>
  <c r="CA7" i="5"/>
  <c r="CI8" i="5"/>
  <c r="CI7" i="5"/>
  <c r="BY8" i="3"/>
  <c r="BY7" i="3"/>
  <c r="DJ8" i="3"/>
  <c r="DJ7" i="3"/>
  <c r="CC8" i="4"/>
  <c r="CC7" i="4"/>
  <c r="CW7" i="4"/>
  <c r="CW8" i="4"/>
  <c r="DC8" i="4"/>
  <c r="DC7" i="4"/>
  <c r="G8" i="5"/>
  <c r="G7" i="5"/>
  <c r="BL8" i="5"/>
  <c r="BL7" i="5"/>
  <c r="CB7" i="5"/>
  <c r="CB8" i="5"/>
  <c r="CZ8" i="5"/>
  <c r="CZ7" i="5"/>
  <c r="DN8" i="5"/>
  <c r="DN7" i="5"/>
  <c r="S8" i="3"/>
  <c r="S7" i="3"/>
  <c r="AD8" i="3"/>
  <c r="AD7" i="3"/>
  <c r="BA8" i="3"/>
  <c r="BA7" i="3"/>
  <c r="BM8" i="3"/>
  <c r="BM7" i="3"/>
  <c r="BZ8" i="3"/>
  <c r="BZ7" i="3"/>
  <c r="CL8" i="3"/>
  <c r="CL7" i="3"/>
  <c r="CX8" i="3"/>
  <c r="CX7" i="3"/>
  <c r="DD7" i="3"/>
  <c r="BV8" i="4"/>
  <c r="BV7" i="4"/>
  <c r="DJ8" i="4"/>
  <c r="DJ7" i="4"/>
  <c r="H8" i="5"/>
  <c r="H7" i="5"/>
  <c r="BE8" i="5"/>
  <c r="BE7" i="5"/>
  <c r="BM8" i="5"/>
  <c r="BM7" i="5"/>
  <c r="BU8" i="5"/>
  <c r="BU7" i="5"/>
  <c r="CC7" i="5"/>
  <c r="CC8" i="5"/>
  <c r="DG8" i="5"/>
  <c r="DG7" i="5"/>
  <c r="EB8" i="5"/>
  <c r="EB7" i="5"/>
  <c r="BN8" i="3"/>
  <c r="BN7" i="3"/>
  <c r="DE7" i="3"/>
  <c r="DZ7" i="3"/>
  <c r="AX8" i="3"/>
  <c r="BW8" i="4"/>
  <c r="BW7" i="4"/>
  <c r="CX7" i="4"/>
  <c r="CX8" i="4"/>
  <c r="DD8" i="4"/>
  <c r="DD7" i="4"/>
  <c r="AK7" i="5"/>
  <c r="AK8" i="5"/>
  <c r="AY8" i="5"/>
  <c r="AY7" i="5"/>
  <c r="BF7" i="5"/>
  <c r="BF8" i="5"/>
  <c r="BV8" i="5"/>
  <c r="BV7" i="5"/>
  <c r="CS8" i="5"/>
  <c r="CS7" i="5"/>
  <c r="DH8" i="5"/>
  <c r="DH7" i="5"/>
  <c r="DO8" i="5"/>
  <c r="DO7" i="5"/>
  <c r="DV8" i="5"/>
  <c r="DV7" i="5"/>
  <c r="EC8" i="5"/>
  <c r="EC7" i="5"/>
  <c r="EG22" i="2"/>
  <c r="AE8" i="3"/>
  <c r="AE7" i="3"/>
  <c r="BB8" i="3"/>
  <c r="BB7" i="3"/>
  <c r="BO8" i="3"/>
  <c r="BO7" i="3"/>
  <c r="CA8" i="3"/>
  <c r="CA7" i="3"/>
  <c r="CM8" i="3"/>
  <c r="CM7" i="3"/>
  <c r="CY8" i="3"/>
  <c r="CY7" i="3"/>
  <c r="BU7" i="3"/>
  <c r="DF7" i="3"/>
  <c r="DK7" i="4"/>
  <c r="DK8" i="4"/>
  <c r="DY8" i="4"/>
  <c r="DY7" i="4"/>
  <c r="BE8" i="4"/>
  <c r="D8" i="3"/>
  <c r="D7" i="3"/>
  <c r="AQ8" i="3"/>
  <c r="AQ7" i="3"/>
  <c r="BC8" i="3"/>
  <c r="BC7" i="3"/>
  <c r="DY8" i="3"/>
  <c r="DY7" i="3"/>
  <c r="O7" i="3"/>
  <c r="AJ7" i="3"/>
  <c r="BV7" i="3"/>
  <c r="CQ7" i="3"/>
  <c r="Y7" i="4"/>
  <c r="Y8" i="4"/>
  <c r="AF7" i="4"/>
  <c r="AF8" i="4"/>
  <c r="BX7" i="4"/>
  <c r="BX8" i="4"/>
  <c r="CY7" i="4"/>
  <c r="CY8" i="4"/>
  <c r="BF8" i="4"/>
  <c r="EG17" i="2"/>
  <c r="CN8" i="3"/>
  <c r="CN7" i="3"/>
  <c r="AK7" i="3"/>
  <c r="DH7" i="3"/>
  <c r="T8" i="3"/>
  <c r="Z7" i="4"/>
  <c r="Z8" i="4"/>
  <c r="DQ8" i="4"/>
  <c r="E8" i="3"/>
  <c r="E7" i="3"/>
  <c r="P8" i="3"/>
  <c r="P7" i="3"/>
  <c r="BX7" i="3"/>
  <c r="DM8" i="3"/>
  <c r="S8" i="4"/>
  <c r="S7" i="4"/>
  <c r="DR8" i="4"/>
  <c r="EG23" i="2"/>
  <c r="CC7" i="3"/>
  <c r="CT7" i="3"/>
  <c r="EE7" i="3"/>
  <c r="AM8" i="3"/>
  <c r="M8" i="4"/>
  <c r="M7" i="4"/>
  <c r="T8" i="4"/>
  <c r="T7" i="4"/>
  <c r="AV8" i="4"/>
  <c r="AV7" i="4"/>
  <c r="BJ8" i="4"/>
  <c r="BJ7" i="4"/>
  <c r="BP7" i="4"/>
  <c r="CQ7" i="4"/>
  <c r="DS8" i="4"/>
  <c r="EF7" i="3"/>
  <c r="AR8" i="3"/>
  <c r="BI8" i="3"/>
  <c r="N8" i="4"/>
  <c r="N7" i="4"/>
  <c r="BC7" i="4"/>
  <c r="BC8" i="4"/>
  <c r="BK8" i="4"/>
  <c r="BK7" i="4"/>
  <c r="BQ7" i="4"/>
  <c r="AT8" i="4"/>
  <c r="AT7" i="4"/>
  <c r="CH8" i="4"/>
  <c r="CH7" i="4"/>
  <c r="DV8" i="4"/>
  <c r="DV7" i="4"/>
  <c r="AJ7" i="4"/>
  <c r="AJ8" i="4"/>
  <c r="K8" i="4"/>
  <c r="DW8" i="3"/>
  <c r="D8" i="4"/>
  <c r="D7" i="4"/>
  <c r="X7" i="4"/>
  <c r="X8" i="4"/>
  <c r="AD8" i="4"/>
  <c r="AD7" i="4"/>
  <c r="BY7" i="4"/>
  <c r="BY8" i="4"/>
  <c r="L8" i="4"/>
  <c r="DK7" i="3"/>
  <c r="AR7" i="4"/>
  <c r="AR8" i="4"/>
  <c r="AY8" i="4"/>
  <c r="AY7" i="4"/>
  <c r="EB7" i="4"/>
  <c r="EB8" i="4"/>
  <c r="CZ7" i="3"/>
  <c r="DL8" i="3"/>
  <c r="AZ8" i="4"/>
  <c r="AZ7" i="4"/>
  <c r="AS7" i="4"/>
  <c r="DO8" i="4"/>
  <c r="DO7" i="4"/>
  <c r="W8" i="5"/>
  <c r="W7" i="5"/>
  <c r="AE8" i="5"/>
  <c r="AE7" i="5"/>
  <c r="AR8" i="5"/>
  <c r="AR7" i="5"/>
  <c r="AZ8" i="5"/>
  <c r="AZ7" i="5"/>
  <c r="BG7" i="5"/>
  <c r="BG8" i="5"/>
  <c r="BN8" i="5"/>
  <c r="BN7" i="5"/>
  <c r="CT8" i="5"/>
  <c r="CT7" i="5"/>
  <c r="DB8" i="5"/>
  <c r="DB7" i="5"/>
  <c r="ED8" i="5"/>
  <c r="ED7" i="5"/>
  <c r="K8" i="5"/>
  <c r="K7" i="5"/>
  <c r="R8" i="5"/>
  <c r="R7" i="5"/>
  <c r="X8" i="5"/>
  <c r="X7" i="5"/>
  <c r="AL8" i="5"/>
  <c r="AL7" i="5"/>
  <c r="BW8" i="5"/>
  <c r="BW7" i="5"/>
  <c r="CL8" i="5"/>
  <c r="CL7" i="5"/>
  <c r="DC8" i="5"/>
  <c r="DC7" i="5"/>
  <c r="DI7" i="5"/>
  <c r="DI8" i="5"/>
  <c r="DP8" i="5"/>
  <c r="DP7" i="5"/>
  <c r="EE7" i="5"/>
  <c r="EE8" i="5"/>
  <c r="H8" i="4"/>
  <c r="H7" i="4"/>
  <c r="AG7" i="4"/>
  <c r="AG8" i="4"/>
  <c r="BM7" i="4"/>
  <c r="BM8" i="4"/>
  <c r="BZ7" i="4"/>
  <c r="BZ8" i="4"/>
  <c r="CM7" i="4"/>
  <c r="CM8" i="4"/>
  <c r="CS8" i="4"/>
  <c r="CS7" i="4"/>
  <c r="DT7" i="4"/>
  <c r="DT8" i="4"/>
  <c r="DZ8" i="4"/>
  <c r="DZ7" i="4"/>
  <c r="L8" i="5"/>
  <c r="L7" i="5"/>
  <c r="U7" i="4"/>
  <c r="U8" i="4"/>
  <c r="AH8" i="4"/>
  <c r="AH7" i="4"/>
  <c r="AU8" i="4"/>
  <c r="AU7" i="4"/>
  <c r="CA7" i="4"/>
  <c r="CA8" i="4"/>
  <c r="EA7" i="4"/>
  <c r="EA8" i="4"/>
  <c r="W8" i="4"/>
  <c r="M8" i="5"/>
  <c r="M7" i="5"/>
  <c r="I8" i="4"/>
  <c r="I7" i="4"/>
  <c r="AI8" i="4"/>
  <c r="AI7" i="4"/>
  <c r="BN7" i="4"/>
  <c r="BN8" i="4"/>
  <c r="CN7" i="4"/>
  <c r="CN8" i="4"/>
  <c r="CT7" i="4"/>
  <c r="CT8" i="4"/>
  <c r="DN8" i="4"/>
  <c r="DN7" i="4"/>
  <c r="DU8" i="4"/>
  <c r="DU7" i="4"/>
  <c r="C7" i="4"/>
  <c r="BA7" i="4"/>
  <c r="BB8" i="4"/>
  <c r="EF8" i="4"/>
  <c r="D7" i="5"/>
  <c r="D8" i="5"/>
  <c r="Z7" i="5"/>
  <c r="Z8" i="5"/>
  <c r="V7" i="4"/>
  <c r="V8" i="4"/>
  <c r="BU8" i="4"/>
  <c r="BU7" i="4"/>
  <c r="AC7" i="4"/>
  <c r="N7" i="5"/>
  <c r="N8" i="5"/>
  <c r="AX8" i="4"/>
  <c r="DS8" i="5"/>
  <c r="DS7" i="5"/>
  <c r="BH7" i="4"/>
  <c r="E8" i="5"/>
  <c r="E7" i="5"/>
  <c r="S8" i="5"/>
  <c r="S7" i="5"/>
  <c r="Y7" i="5"/>
  <c r="Y8" i="5"/>
  <c r="AF8" i="5"/>
  <c r="AF7" i="5"/>
  <c r="AS8" i="5"/>
  <c r="AS7" i="5"/>
  <c r="BA8" i="5"/>
  <c r="BA7" i="5"/>
  <c r="BH8" i="5"/>
  <c r="BH7" i="5"/>
  <c r="CF8" i="5"/>
  <c r="CF7" i="5"/>
  <c r="CM7" i="5"/>
  <c r="CM8" i="5"/>
  <c r="BI7" i="4"/>
  <c r="DA7" i="4"/>
  <c r="DF8" i="4"/>
  <c r="F8" i="5"/>
  <c r="F7" i="5"/>
  <c r="AT8" i="5"/>
  <c r="AT7" i="5"/>
  <c r="BP8" i="5"/>
  <c r="BP7" i="5"/>
  <c r="CN7" i="5"/>
  <c r="CN8" i="5"/>
  <c r="AW7" i="4"/>
  <c r="CO8" i="4"/>
  <c r="T8" i="5"/>
  <c r="T7" i="5"/>
  <c r="AG8" i="5"/>
  <c r="AG7" i="5"/>
  <c r="AN8" i="5"/>
  <c r="AN7" i="5"/>
  <c r="CY7" i="5"/>
  <c r="CY8" i="5"/>
  <c r="DT7" i="5"/>
  <c r="DT8" i="5"/>
  <c r="EA8" i="5"/>
  <c r="EA7" i="5"/>
  <c r="AV7" i="5"/>
  <c r="AV8" i="5"/>
  <c r="BY8" i="5"/>
  <c r="BY7" i="5"/>
  <c r="CG8" i="5"/>
  <c r="CG7" i="5"/>
  <c r="CU8" i="5"/>
  <c r="CU7" i="5"/>
  <c r="DJ7" i="5"/>
  <c r="DJ8" i="5"/>
  <c r="BR7" i="5"/>
  <c r="BR8" i="5"/>
  <c r="I8" i="5"/>
  <c r="I7" i="5"/>
  <c r="BS8" i="5"/>
  <c r="BS7" i="5"/>
  <c r="BZ8" i="5"/>
  <c r="BZ7" i="5"/>
  <c r="CH8" i="5"/>
  <c r="CH7" i="5"/>
  <c r="CO8" i="5"/>
  <c r="CO7" i="5"/>
  <c r="CV8" i="5"/>
  <c r="CV7" i="5"/>
  <c r="C7" i="5"/>
  <c r="C8" i="5"/>
  <c r="J8" i="5"/>
  <c r="J7" i="5"/>
  <c r="CW8" i="5"/>
  <c r="CW7" i="5"/>
  <c r="Q8" i="5"/>
  <c r="Q7" i="5"/>
  <c r="AD8" i="5"/>
  <c r="AD7" i="5"/>
  <c r="AJ7" i="5"/>
  <c r="AJ8" i="5"/>
  <c r="AQ8" i="5"/>
  <c r="AQ7" i="5"/>
  <c r="BD8" i="5"/>
  <c r="BD7" i="5"/>
  <c r="DF8" i="5"/>
  <c r="DF7" i="5"/>
  <c r="DM8" i="5"/>
  <c r="DM7" i="5"/>
  <c r="O7" i="5"/>
  <c r="O8" i="5"/>
  <c r="AA8" i="5"/>
  <c r="AA7" i="5"/>
  <c r="AO8" i="5"/>
  <c r="AO7" i="5"/>
  <c r="AU7" i="5"/>
  <c r="AU8" i="5"/>
  <c r="BB8" i="5"/>
  <c r="BB7" i="5"/>
  <c r="BO8" i="5"/>
  <c r="BO7" i="5"/>
  <c r="DD8" i="5"/>
  <c r="DD7" i="5"/>
  <c r="DQ8" i="5"/>
  <c r="DQ7" i="5"/>
  <c r="DX8" i="5"/>
  <c r="DX7" i="5"/>
  <c r="EF7" i="5"/>
  <c r="EF8" i="5"/>
  <c r="U8" i="5"/>
  <c r="U7" i="5"/>
  <c r="AH8" i="5"/>
  <c r="AH7" i="5"/>
  <c r="CJ8" i="5"/>
  <c r="CJ7" i="5"/>
  <c r="CQ8" i="5"/>
  <c r="CQ7" i="5"/>
  <c r="DK8" i="5"/>
  <c r="DK7" i="5"/>
  <c r="DY8" i="5"/>
  <c r="DY7" i="5"/>
  <c r="P8" i="5"/>
  <c r="P7" i="5"/>
  <c r="AI8" i="5"/>
  <c r="AI7" i="5"/>
  <c r="AP8" i="5"/>
  <c r="AP7" i="5"/>
  <c r="BC8" i="5"/>
  <c r="BC7" i="5"/>
  <c r="BJ8" i="5"/>
  <c r="BJ7" i="5"/>
  <c r="CD8" i="5"/>
  <c r="CD7" i="5"/>
  <c r="CR8" i="5"/>
  <c r="CR7" i="5"/>
  <c r="CX7" i="5"/>
  <c r="CX8" i="5"/>
  <c r="DE8" i="5"/>
  <c r="DE7" i="5"/>
  <c r="DR8" i="5"/>
  <c r="DR7" i="5"/>
  <c r="V8" i="5"/>
  <c r="V7" i="5"/>
  <c r="AC8" i="5"/>
  <c r="AC7" i="5"/>
  <c r="AW8" i="5"/>
  <c r="AW7" i="5"/>
  <c r="BK8" i="5"/>
  <c r="BK7" i="5"/>
  <c r="BQ7" i="5"/>
  <c r="BQ8" i="5"/>
  <c r="BX8" i="5"/>
  <c r="BX7" i="5"/>
  <c r="CK8" i="5"/>
  <c r="CK7" i="5"/>
  <c r="DZ8" i="5"/>
  <c r="DZ7" i="5"/>
  <c r="AB7" i="5"/>
  <c r="AM7" i="5"/>
  <c r="AX7" i="5"/>
  <c r="BI7" i="5"/>
  <c r="BT7" i="5"/>
  <c r="CE7" i="5"/>
  <c r="CP7" i="5"/>
  <c r="DA7" i="5"/>
  <c r="DL7" i="5"/>
  <c r="DW7" i="5"/>
</calcChain>
</file>

<file path=xl/sharedStrings.xml><?xml version="1.0" encoding="utf-8"?>
<sst xmlns="http://schemas.openxmlformats.org/spreadsheetml/2006/main" count="1993" uniqueCount="251">
  <si>
    <t>OLS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</si>
  <si>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</si>
  <si>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</si>
  <si>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</si>
  <si>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</si>
  <si>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</si>
  <si>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</si>
  <si>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</si>
  <si>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</si>
  <si>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</si>
  <si>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</si>
  <si>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</si>
  <si>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</si>
  <si>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</si>
  <si>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</si>
  <si>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</si>
  <si>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</si>
  <si>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</si>
  <si>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</si>
  <si>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</si>
  <si>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</si>
  <si>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</si>
  <si>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</si>
  <si>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</si>
  <si>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</si>
  <si>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</si>
  <si>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</si>
  <si>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</si>
  <si>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</si>
  <si>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</si>
  <si>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</si>
  <si>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</si>
  <si>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</si>
  <si>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</si>
  <si>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</si>
  <si>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</si>
  <si>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</si>
  <si>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</si>
  <si>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</si>
  <si>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</si>
  <si>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</si>
  <si>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</si>
  <si>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</si>
  <si>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</si>
  <si>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</si>
  <si>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</si>
  <si>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</si>
  <si>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</si>
  <si>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</si>
  <si>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</si>
  <si>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</si>
  <si>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</si>
  <si>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</si>
  <si>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</si>
  <si>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</si>
  <si>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</si>
  <si>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</si>
  <si>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</si>
  <si>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</si>
  <si>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</si>
  <si>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</si>
  <si>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</si>
  <si>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</si>
  <si>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</si>
  <si>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</si>
  <si>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</si>
  <si>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</si>
  <si>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</si>
  <si>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</si>
  <si>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</si>
  <si>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</si>
  <si>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</si>
  <si>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</si>
  <si>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</si>
  <si>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</si>
  <si>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</si>
  <si>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</si>
  <si>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</si>
  <si>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</si>
  <si>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</si>
  <si>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</si>
  <si>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</si>
  <si>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</si>
  <si>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</si>
  <si>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</si>
  <si>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</si>
  <si>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</si>
  <si>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</si>
  <si>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</si>
  <si>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</si>
  <si>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</si>
  <si>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</si>
  <si>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</si>
  <si>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</si>
  <si>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</si>
  <si>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</si>
  <si>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</si>
  <si>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</si>
  <si>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</si>
  <si>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</si>
  <si>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</si>
  <si>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</si>
  <si>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</si>
  <si>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</si>
  <si>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</si>
  <si>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</si>
  <si>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</si>
  <si>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</si>
  <si>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</si>
  <si>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</si>
  <si>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</si>
  <si>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</si>
  <si>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</si>
  <si>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</si>
  <si>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</si>
  <si>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</si>
  <si>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</si>
  <si>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</si>
  <si>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</si>
  <si>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</si>
  <si>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</si>
  <si>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</si>
  <si>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</si>
  <si>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</si>
  <si>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</si>
  <si>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</si>
  <si>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</si>
  <si>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</si>
  <si>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</si>
  <si>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</si>
  <si>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</si>
  <si>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</si>
  <si>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</si>
  <si>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</si>
  <si>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</si>
  <si>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</si>
  <si>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</si>
  <si>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</si>
  <si>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</si>
  <si>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</si>
  <si>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>投資組合</t>
  </si>
  <si>
    <t>公司數</t>
  </si>
  <si>
    <t>等第</t>
  </si>
  <si>
    <t>分數</t>
  </si>
  <si>
    <t>大盤</t>
  </si>
  <si>
    <t>TWII</t>
  </si>
  <si>
    <t>科風</t>
  </si>
  <si>
    <t>昇益</t>
  </si>
  <si>
    <t>上亞科技</t>
  </si>
  <si>
    <t>久威</t>
  </si>
  <si>
    <t>立康</t>
  </si>
  <si>
    <t>士開</t>
  </si>
  <si>
    <t>威盛</t>
  </si>
  <si>
    <t>飛寶企業</t>
  </si>
  <si>
    <t>威致</t>
  </si>
  <si>
    <t>沛亨</t>
  </si>
  <si>
    <t>昱捷</t>
  </si>
  <si>
    <t>天瀚</t>
  </si>
  <si>
    <t>欣巴巴</t>
  </si>
  <si>
    <t>合正</t>
  </si>
  <si>
    <t>百徽</t>
  </si>
  <si>
    <t>泰偉</t>
  </si>
  <si>
    <t>網家</t>
  </si>
  <si>
    <t>青雲</t>
  </si>
  <si>
    <t>浪凡</t>
  </si>
  <si>
    <t>信立</t>
  </si>
  <si>
    <t>業旺</t>
  </si>
  <si>
    <t>新零售</t>
  </si>
  <si>
    <t>印鉐</t>
  </si>
  <si>
    <t>中茂</t>
  </si>
  <si>
    <t>麗升能源</t>
  </si>
  <si>
    <t>天剛</t>
  </si>
  <si>
    <t>長華*</t>
  </si>
  <si>
    <t>元隆</t>
  </si>
  <si>
    <t>恒大</t>
  </si>
  <si>
    <t>安鈦克</t>
  </si>
  <si>
    <t>燁興</t>
  </si>
  <si>
    <t>一詮</t>
  </si>
  <si>
    <t>德宏</t>
  </si>
  <si>
    <t>正峰</t>
  </si>
  <si>
    <t>萬海</t>
  </si>
  <si>
    <t>創惟</t>
  </si>
  <si>
    <t>易通展</t>
  </si>
  <si>
    <t>凱鈺</t>
  </si>
  <si>
    <t>潤泰新</t>
  </si>
  <si>
    <t>郡都開發</t>
  </si>
  <si>
    <t>華城</t>
  </si>
  <si>
    <t>愛地雅</t>
  </si>
  <si>
    <t>天揚</t>
  </si>
  <si>
    <t>皇家美食</t>
  </si>
  <si>
    <t>連宇</t>
  </si>
  <si>
    <t>東訊</t>
  </si>
  <si>
    <t>華孚</t>
  </si>
  <si>
    <t>萬國通</t>
  </si>
  <si>
    <t>愛山林</t>
  </si>
  <si>
    <t>台積電</t>
  </si>
  <si>
    <t>力麗店</t>
  </si>
  <si>
    <t>中環</t>
  </si>
  <si>
    <t>關中</t>
  </si>
  <si>
    <t>南亞科</t>
  </si>
  <si>
    <t>佳和</t>
  </si>
  <si>
    <t>健信</t>
  </si>
  <si>
    <t>卓越</t>
  </si>
  <si>
    <t>淳安</t>
  </si>
  <si>
    <t>海灣</t>
  </si>
  <si>
    <t>旺宏</t>
  </si>
  <si>
    <t>寶隆</t>
  </si>
  <si>
    <t>茂矽</t>
  </si>
  <si>
    <t>建碁</t>
  </si>
  <si>
    <t>樂事綠能</t>
  </si>
  <si>
    <t>福華</t>
  </si>
  <si>
    <t>友達</t>
  </si>
  <si>
    <t>閎暉</t>
  </si>
  <si>
    <t>建榮</t>
  </si>
  <si>
    <t>中美實</t>
  </si>
  <si>
    <t>四維航</t>
  </si>
  <si>
    <t>中石化</t>
  </si>
  <si>
    <t>華義</t>
  </si>
  <si>
    <t>陽明</t>
  </si>
  <si>
    <t>倫飛</t>
  </si>
  <si>
    <t>如興</t>
  </si>
  <si>
    <t>世紀</t>
  </si>
  <si>
    <t>長榮</t>
  </si>
  <si>
    <t>洛碁</t>
  </si>
  <si>
    <t>國喬</t>
  </si>
  <si>
    <t>得利影</t>
  </si>
  <si>
    <t>2025/02</t>
  </si>
  <si>
    <t>SUM</t>
  </si>
  <si>
    <t>勝率</t>
  </si>
  <si>
    <t>時間</t>
  </si>
  <si>
    <t>100等分</t>
  </si>
  <si>
    <t>107等分</t>
  </si>
  <si>
    <t>137等分</t>
  </si>
  <si>
    <t>160等分</t>
  </si>
  <si>
    <t>192等分</t>
  </si>
  <si>
    <t>241等分</t>
  </si>
  <si>
    <t>321等分</t>
  </si>
  <si>
    <t>家數</t>
  </si>
  <si>
    <t>等分</t>
  </si>
  <si>
    <t>10等分</t>
  </si>
  <si>
    <t>20等分</t>
  </si>
  <si>
    <t>50等分</t>
  </si>
  <si>
    <t>120等分</t>
  </si>
  <si>
    <t>482等分</t>
  </si>
  <si>
    <t>964等分</t>
  </si>
  <si>
    <t>低</t>
    <phoneticPr fontId="1" type="noConversion"/>
  </si>
  <si>
    <t>公司名稱</t>
    <phoneticPr fontId="1" type="noConversion"/>
  </si>
  <si>
    <t>高</t>
    <phoneticPr fontId="1" type="noConversion"/>
  </si>
  <si>
    <t>夏普比率</t>
  </si>
  <si>
    <t>標準差</t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</si>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</sst>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rgb="FFC00000"/>
      <name val="新細明體"/>
      <family val="2"/>
      <scheme val="minor"/>
    </font>
    <font>
      <b/>
      <sz val="11"/>
      <color rgb="FF000000"/>
      <name val="新細明體"/>
      <family val="1"/>
      <charset val="136"/>
      <scheme val="minor"/>
    </font>
    <font>
      <b/>
      <sz val="12"/>
      <color rgb="FF000000"/>
      <name val="新細明體"/>
      <family val="1"/>
      <charset val="136"/>
    </font>
    <font>
      <sz val="11"/>
      <color theme="1"/>
      <name val="PMingLiU"/>
      <family val="1"/>
      <charset val="136"/>
    </font>
    <font>
      <b/>
      <sz val="11"/>
      <color theme="1"/>
      <name val="新細明體"/>
      <family val="2"/>
      <scheme val="minor"/>
    </font>
    <font>
      <b/>
      <sz val="11"/>
      <color theme="1"/>
      <name val="PMingLiU"/>
      <family val="1"/>
      <charset val="136"/>
    </font>
    <font>
      <sz val="11"/>
      <color rgb="FFC00000"/>
      <name val="PMingLiU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7C4CB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D0D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2" fillId="2" borderId="0" xfId="0" applyFont="1" applyFill="1"/>
    <xf numFmtId="0" fontId="0" fillId="3" borderId="1" xfId="0" applyFill="1" applyBorder="1"/>
    <xf numFmtId="0" fontId="0" fillId="4" borderId="0" xfId="0" applyFill="1" applyAlignment="1">
      <alignment vertical="center"/>
    </xf>
    <xf numFmtId="0" fontId="0" fillId="0" borderId="0" xfId="0" applyAlignment="1">
      <alignment horizontal="center"/>
    </xf>
    <xf numFmtId="0" fontId="2" fillId="5" borderId="0" xfId="0" applyFont="1" applyFill="1" applyAlignment="1">
      <alignment vertical="center"/>
    </xf>
    <xf numFmtId="0" fontId="3" fillId="0" borderId="5" xfId="0" applyFont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0" fillId="7" borderId="1" xfId="0" applyFill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8" fillId="0" borderId="1" xfId="0" applyFont="1" applyBorder="1"/>
    <xf numFmtId="0" fontId="9" fillId="0" borderId="1" xfId="0" applyFont="1" applyBorder="1"/>
    <xf numFmtId="0" fontId="10" fillId="8" borderId="1" xfId="0" applyFont="1" applyFill="1" applyBorder="1"/>
    <xf numFmtId="0" fontId="7" fillId="9" borderId="0" xfId="0" applyFont="1" applyFill="1"/>
    <xf numFmtId="0" fontId="0" fillId="9" borderId="0" xfId="0" applyFill="1" applyAlignment="1">
      <alignment vertical="center"/>
    </xf>
    <xf numFmtId="0" fontId="6" fillId="0" borderId="6" xfId="0" applyFont="1" applyBorder="1" applyAlignment="1">
      <alignment vertical="center"/>
    </xf>
    <xf numFmtId="0" fontId="2" fillId="2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7" fillId="9" borderId="1" xfId="0" applyFont="1" applyFill="1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3" fillId="0" borderId="1" xfId="0" applyFont="1" applyBorder="1" applyAlignment="1">
      <alignment horizontal="center"/>
    </xf>
    <xf numFmtId="0" fontId="3" fillId="0" borderId="3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夏普比率畫圖!$C$1</c:f>
              <c:strCache>
                <c:ptCount val="1"/>
                <c:pt idx="0">
                  <c:v>夏普比率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夏普比率畫圖!$A$2:$B$15</c:f>
              <c:multiLvlStrCache>
                <c:ptCount val="14"/>
                <c:lvl>
                  <c:pt idx="0">
                    <c:v>10等分</c:v>
                  </c:pt>
                  <c:pt idx="1">
                    <c:v>20等分</c:v>
                  </c:pt>
                  <c:pt idx="2">
                    <c:v>50等分</c:v>
                  </c:pt>
                  <c:pt idx="3">
                    <c:v>100等分</c:v>
                  </c:pt>
                  <c:pt idx="4">
                    <c:v>107等分</c:v>
                  </c:pt>
                  <c:pt idx="5">
                    <c:v>120等分</c:v>
                  </c:pt>
                  <c:pt idx="6">
                    <c:v>137等分</c:v>
                  </c:pt>
                  <c:pt idx="7">
                    <c:v>160等分</c:v>
                  </c:pt>
                  <c:pt idx="8">
                    <c:v>192等分</c:v>
                  </c:pt>
                  <c:pt idx="9">
                    <c:v>241等分</c:v>
                  </c:pt>
                  <c:pt idx="10">
                    <c:v>321等分</c:v>
                  </c:pt>
                  <c:pt idx="11">
                    <c:v>482等分</c:v>
                  </c:pt>
                  <c:pt idx="12">
                    <c:v>964等分</c:v>
                  </c:pt>
                  <c:pt idx="13">
                    <c:v>TWII</c:v>
                  </c:pt>
                </c:lvl>
                <c:lvl>
                  <c:pt idx="0">
                    <c:v>96</c:v>
                  </c:pt>
                  <c:pt idx="1">
                    <c:v>48</c:v>
                  </c:pt>
                  <c:pt idx="2">
                    <c:v>19</c:v>
                  </c:pt>
                  <c:pt idx="3">
                    <c:v>10</c:v>
                  </c:pt>
                  <c:pt idx="4">
                    <c:v>9</c:v>
                  </c:pt>
                  <c:pt idx="5">
                    <c:v>8</c:v>
                  </c:pt>
                  <c:pt idx="6">
                    <c:v>7</c:v>
                  </c:pt>
                  <c:pt idx="7">
                    <c:v>6</c:v>
                  </c:pt>
                  <c:pt idx="8">
                    <c:v>5</c:v>
                  </c:pt>
                  <c:pt idx="9">
                    <c:v>4</c:v>
                  </c:pt>
                  <c:pt idx="10">
                    <c:v>3</c:v>
                  </c:pt>
                  <c:pt idx="11">
                    <c:v>2</c:v>
                  </c:pt>
                  <c:pt idx="12">
                    <c:v>1</c:v>
                  </c:pt>
                  <c:pt idx="13">
                    <c:v>大盤</c:v>
                  </c:pt>
                </c:lvl>
              </c:multiLvlStrCache>
            </c:multiLvlStrRef>
          </c:cat>
          <c:val>
            <c:numRef>
              <c:f>夏普比率畫圖!$C$2:$C$15</c:f>
              <c:numCache>
                <c:formatCode>General</c:formatCode>
                <c:ptCount val="14"/>
                <c:pt idx="0">
                  <c:v>9.6030000000000004E-2</c:v>
                </c:pt>
                <c:pt idx="1">
                  <c:v>0.12620000000000001</c:v>
                </c:pt>
                <c:pt idx="2">
                  <c:v>4.3220000000000001E-2</c:v>
                </c:pt>
                <c:pt idx="3">
                  <c:v>8.7440000000000004E-2</c:v>
                </c:pt>
                <c:pt idx="4">
                  <c:v>8.8080000000000006E-2</c:v>
                </c:pt>
                <c:pt idx="5">
                  <c:v>7.3130000000000001E-2</c:v>
                </c:pt>
                <c:pt idx="6">
                  <c:v>7.5889999999999999E-2</c:v>
                </c:pt>
                <c:pt idx="7">
                  <c:v>9.4369999999999996E-2</c:v>
                </c:pt>
                <c:pt idx="8">
                  <c:v>7.9869999999999997E-2</c:v>
                </c:pt>
                <c:pt idx="9">
                  <c:v>0.10054</c:v>
                </c:pt>
                <c:pt idx="10">
                  <c:v>5.9709999999999999E-2</c:v>
                </c:pt>
                <c:pt idx="11">
                  <c:v>2.1160000000000002E-2</c:v>
                </c:pt>
                <c:pt idx="12">
                  <c:v>-4.1680000000000002E-2</c:v>
                </c:pt>
                <c:pt idx="13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C-9545-A98C-866614A52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95042895"/>
        <c:axId val="396044847"/>
      </c:barChart>
      <c:catAx>
        <c:axId val="49504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6044847"/>
        <c:crosses val="autoZero"/>
        <c:auto val="1"/>
        <c:lblAlgn val="ctr"/>
        <c:lblOffset val="100"/>
        <c:noMultiLvlLbl val="0"/>
      </c:catAx>
      <c:valAx>
        <c:axId val="39604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9504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OLS</a:t>
            </a:r>
            <a:r>
              <a:rPr lang="zh-TW" altLang="en-US"/>
              <a:t>預測累積報酬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預測畫圖!$B$12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預測畫圖!$C$12:$EF$12</c:f>
              <c:numCache>
                <c:formatCode>General</c:formatCode>
                <c:ptCount val="134"/>
                <c:pt idx="0">
                  <c:v>-3.6350225217569622E-2</c:v>
                </c:pt>
                <c:pt idx="1">
                  <c:v>0.33635947478243045</c:v>
                </c:pt>
                <c:pt idx="2">
                  <c:v>0.24101486931145999</c:v>
                </c:pt>
                <c:pt idx="3">
                  <c:v>0.27593630586815737</c:v>
                </c:pt>
                <c:pt idx="4">
                  <c:v>0.24153238490112086</c:v>
                </c:pt>
                <c:pt idx="5">
                  <c:v>0.24028865884301576</c:v>
                </c:pt>
                <c:pt idx="6">
                  <c:v>0.18185721456315021</c:v>
                </c:pt>
                <c:pt idx="7">
                  <c:v>0.23181867981053986</c:v>
                </c:pt>
                <c:pt idx="8">
                  <c:v>0.32633347740247076</c:v>
                </c:pt>
                <c:pt idx="9">
                  <c:v>0.2451624168338245</c:v>
                </c:pt>
                <c:pt idx="10">
                  <c:v>0.24302940039753682</c:v>
                </c:pt>
                <c:pt idx="11">
                  <c:v>0.35282559482267051</c:v>
                </c:pt>
                <c:pt idx="12">
                  <c:v>0.42658293906898515</c:v>
                </c:pt>
                <c:pt idx="13">
                  <c:v>0.44847950891420918</c:v>
                </c:pt>
                <c:pt idx="14">
                  <c:v>0.60401635102202167</c:v>
                </c:pt>
                <c:pt idx="15">
                  <c:v>0.65614604112713915</c:v>
                </c:pt>
                <c:pt idx="16">
                  <c:v>0.74163393133307998</c:v>
                </c:pt>
                <c:pt idx="17">
                  <c:v>0.80843405627619203</c:v>
                </c:pt>
                <c:pt idx="18">
                  <c:v>0.94540211794346085</c:v>
                </c:pt>
                <c:pt idx="19">
                  <c:v>1.0555291242742968</c:v>
                </c:pt>
                <c:pt idx="20">
                  <c:v>1.1062005485192874</c:v>
                </c:pt>
                <c:pt idx="21">
                  <c:v>1.1846370485192874</c:v>
                </c:pt>
                <c:pt idx="22">
                  <c:v>1.2366658465764295</c:v>
                </c:pt>
                <c:pt idx="23">
                  <c:v>1.2833858186297882</c:v>
                </c:pt>
                <c:pt idx="24">
                  <c:v>1.2293046716017546</c:v>
                </c:pt>
                <c:pt idx="25">
                  <c:v>1.145604499085924</c:v>
                </c:pt>
                <c:pt idx="26">
                  <c:v>1.1499221679339791</c:v>
                </c:pt>
                <c:pt idx="27">
                  <c:v>1.0682087930457966</c:v>
                </c:pt>
                <c:pt idx="28">
                  <c:v>1.2800014360930687</c:v>
                </c:pt>
                <c:pt idx="29">
                  <c:v>1.1422751489154144</c:v>
                </c:pt>
                <c:pt idx="30">
                  <c:v>1.0979506047003385</c:v>
                </c:pt>
                <c:pt idx="31">
                  <c:v>1.2309179697100612</c:v>
                </c:pt>
                <c:pt idx="32">
                  <c:v>1.2060687125775302</c:v>
                </c:pt>
                <c:pt idx="33">
                  <c:v>1.172350790458357</c:v>
                </c:pt>
                <c:pt idx="34">
                  <c:v>1.1029893392664405</c:v>
                </c:pt>
                <c:pt idx="35">
                  <c:v>1.147421001762255</c:v>
                </c:pt>
                <c:pt idx="36">
                  <c:v>1.2025436238968821</c:v>
                </c:pt>
                <c:pt idx="37">
                  <c:v>1.3042323298092655</c:v>
                </c:pt>
                <c:pt idx="38">
                  <c:v>1.2528478095692981</c:v>
                </c:pt>
                <c:pt idx="39">
                  <c:v>1.2402656095692981</c:v>
                </c:pt>
                <c:pt idx="40">
                  <c:v>1.2776327363654199</c:v>
                </c:pt>
                <c:pt idx="41">
                  <c:v>1.2530824363654198</c:v>
                </c:pt>
                <c:pt idx="42">
                  <c:v>1.3069036154025337</c:v>
                </c:pt>
                <c:pt idx="43">
                  <c:v>1.3778934280062387</c:v>
                </c:pt>
                <c:pt idx="44">
                  <c:v>1.4550675052562005</c:v>
                </c:pt>
                <c:pt idx="45">
                  <c:v>1.4882925052562006</c:v>
                </c:pt>
                <c:pt idx="46">
                  <c:v>1.4726325660016197</c:v>
                </c:pt>
                <c:pt idx="47">
                  <c:v>1.3912720000468517</c:v>
                </c:pt>
                <c:pt idx="48">
                  <c:v>1.36226634074636</c:v>
                </c:pt>
                <c:pt idx="49">
                  <c:v>1.2944200116277096</c:v>
                </c:pt>
                <c:pt idx="50">
                  <c:v>1.3050335264353625</c:v>
                </c:pt>
                <c:pt idx="51">
                  <c:v>1.4138220264353625</c:v>
                </c:pt>
                <c:pt idx="52">
                  <c:v>1.4759771701031927</c:v>
                </c:pt>
                <c:pt idx="53">
                  <c:v>1.5290204440079889</c:v>
                </c:pt>
                <c:pt idx="54">
                  <c:v>1.4805777229903256</c:v>
                </c:pt>
                <c:pt idx="55">
                  <c:v>1.6914498104803131</c:v>
                </c:pt>
                <c:pt idx="56">
                  <c:v>1.6939393492148782</c:v>
                </c:pt>
                <c:pt idx="57">
                  <c:v>1.7283811946965677</c:v>
                </c:pt>
                <c:pt idx="58">
                  <c:v>1.7495403091033073</c:v>
                </c:pt>
                <c:pt idx="59">
                  <c:v>1.8796505641394767</c:v>
                </c:pt>
                <c:pt idx="60">
                  <c:v>1.9252554964398902</c:v>
                </c:pt>
                <c:pt idx="61">
                  <c:v>1.9850109174142112</c:v>
                </c:pt>
                <c:pt idx="62">
                  <c:v>2.0332299219019552</c:v>
                </c:pt>
                <c:pt idx="63">
                  <c:v>2.096950649312967</c:v>
                </c:pt>
                <c:pt idx="64">
                  <c:v>2.0692161733580359</c:v>
                </c:pt>
                <c:pt idx="65">
                  <c:v>2.0176003733580359</c:v>
                </c:pt>
                <c:pt idx="66">
                  <c:v>1.9741691198651401</c:v>
                </c:pt>
                <c:pt idx="67">
                  <c:v>1.9240116907430804</c:v>
                </c:pt>
                <c:pt idx="68">
                  <c:v>1.9121457798344688</c:v>
                </c:pt>
                <c:pt idx="69">
                  <c:v>1.8522948437426181</c:v>
                </c:pt>
                <c:pt idx="70">
                  <c:v>1.8717712635384116</c:v>
                </c:pt>
                <c:pt idx="71">
                  <c:v>1.7855911635384116</c:v>
                </c:pt>
                <c:pt idx="72">
                  <c:v>2.0844701531143395</c:v>
                </c:pt>
                <c:pt idx="73">
                  <c:v>2.0306185841698756</c:v>
                </c:pt>
                <c:pt idx="74">
                  <c:v>1.9372796841698756</c:v>
                </c:pt>
                <c:pt idx="75">
                  <c:v>1.8343732151925283</c:v>
                </c:pt>
                <c:pt idx="76">
                  <c:v>1.815781194396086</c:v>
                </c:pt>
                <c:pt idx="77">
                  <c:v>1.684689594396086</c:v>
                </c:pt>
                <c:pt idx="78">
                  <c:v>1.8583391943960861</c:v>
                </c:pt>
                <c:pt idx="79">
                  <c:v>1.8112247262674124</c:v>
                </c:pt>
                <c:pt idx="80">
                  <c:v>1.6947081571972917</c:v>
                </c:pt>
                <c:pt idx="81">
                  <c:v>1.7360575870652593</c:v>
                </c:pt>
                <c:pt idx="82">
                  <c:v>1.6501715655350955</c:v>
                </c:pt>
                <c:pt idx="83">
                  <c:v>1.7315141735184236</c:v>
                </c:pt>
                <c:pt idx="84">
                  <c:v>1.7290032347380913</c:v>
                </c:pt>
                <c:pt idx="85">
                  <c:v>1.8160475908108094</c:v>
                </c:pt>
                <c:pt idx="86">
                  <c:v>1.9116883389835146</c:v>
                </c:pt>
                <c:pt idx="87">
                  <c:v>1.7500338659403381</c:v>
                </c:pt>
                <c:pt idx="88">
                  <c:v>1.8246649820687919</c:v>
                </c:pt>
                <c:pt idx="89">
                  <c:v>1.8672990978679522</c:v>
                </c:pt>
                <c:pt idx="90">
                  <c:v>1.7603198536683842</c:v>
                </c:pt>
                <c:pt idx="91">
                  <c:v>1.6327840182354345</c:v>
                </c:pt>
                <c:pt idx="92">
                  <c:v>1.6078206577789957</c:v>
                </c:pt>
                <c:pt idx="93">
                  <c:v>1.4263317255432606</c:v>
                </c:pt>
                <c:pt idx="94">
                  <c:v>1.4432441255432606</c:v>
                </c:pt>
                <c:pt idx="95">
                  <c:v>1.4481857959088726</c:v>
                </c:pt>
                <c:pt idx="96">
                  <c:v>1.5722357273227408</c:v>
                </c:pt>
                <c:pt idx="97">
                  <c:v>1.5117917273227408</c:v>
                </c:pt>
                <c:pt idx="98">
                  <c:v>1.5378638182258675</c:v>
                </c:pt>
                <c:pt idx="99">
                  <c:v>1.3854760393342995</c:v>
                </c:pt>
                <c:pt idx="100">
                  <c:v>1.2925281349989415</c:v>
                </c:pt>
                <c:pt idx="101">
                  <c:v>1.2687647998584595</c:v>
                </c:pt>
                <c:pt idx="102">
                  <c:v>1.2423889644165829</c:v>
                </c:pt>
                <c:pt idx="103">
                  <c:v>1.2726155826307066</c:v>
                </c:pt>
                <c:pt idx="104">
                  <c:v>1.2375404326561246</c:v>
                </c:pt>
                <c:pt idx="105">
                  <c:v>1.2520471587875708</c:v>
                </c:pt>
                <c:pt idx="106">
                  <c:v>1.3092107935188233</c:v>
                </c:pt>
                <c:pt idx="107">
                  <c:v>1.3152653197914275</c:v>
                </c:pt>
                <c:pt idx="108">
                  <c:v>1.4283568826317872</c:v>
                </c:pt>
                <c:pt idx="109">
                  <c:v>1.2987333826317871</c:v>
                </c:pt>
                <c:pt idx="110">
                  <c:v>1.3528417012889173</c:v>
                </c:pt>
                <c:pt idx="111">
                  <c:v>1.2928179245978602</c:v>
                </c:pt>
                <c:pt idx="112">
                  <c:v>1.2206293267920627</c:v>
                </c:pt>
                <c:pt idx="113">
                  <c:v>1.2209333199948906</c:v>
                </c:pt>
                <c:pt idx="114">
                  <c:v>1.2599854366885563</c:v>
                </c:pt>
                <c:pt idx="115">
                  <c:v>1.3417161489396854</c:v>
                </c:pt>
                <c:pt idx="116">
                  <c:v>1.3758205646887824</c:v>
                </c:pt>
                <c:pt idx="117">
                  <c:v>1.3995561666956751</c:v>
                </c:pt>
                <c:pt idx="118">
                  <c:v>1.3625174777434776</c:v>
                </c:pt>
                <c:pt idx="119">
                  <c:v>1.3404820777434776</c:v>
                </c:pt>
                <c:pt idx="120">
                  <c:v>1.330910535284713</c:v>
                </c:pt>
                <c:pt idx="121">
                  <c:v>1.3836293252737826</c:v>
                </c:pt>
                <c:pt idx="122">
                  <c:v>1.1949886803713947</c:v>
                </c:pt>
                <c:pt idx="123">
                  <c:v>1.148260951018155</c:v>
                </c:pt>
                <c:pt idx="124">
                  <c:v>1.1737995781649875</c:v>
                </c:pt>
                <c:pt idx="125">
                  <c:v>1.1522539078445075</c:v>
                </c:pt>
                <c:pt idx="126">
                  <c:v>1.0685802731519687</c:v>
                </c:pt>
                <c:pt idx="127">
                  <c:v>1.1051767709157727</c:v>
                </c:pt>
                <c:pt idx="128">
                  <c:v>1.2143544709157728</c:v>
                </c:pt>
                <c:pt idx="129">
                  <c:v>1.3024419204430275</c:v>
                </c:pt>
                <c:pt idx="130">
                  <c:v>1.2262848436464078</c:v>
                </c:pt>
                <c:pt idx="131">
                  <c:v>1.1156248091581875</c:v>
                </c:pt>
                <c:pt idx="132">
                  <c:v>1.066280629218028</c:v>
                </c:pt>
                <c:pt idx="133">
                  <c:v>1.066280629218028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E-C249-9F41-D5DF3891B2CB}"/>
            </c:ext>
          </c:extLst>
        </c:ser>
        <c:ser>
          <c:idx val="1"/>
          <c:order val="1"/>
          <c:tx>
            <c:strRef>
              <c:f>預測畫圖!$B$13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預測畫圖!$C$13:$EF$13</c:f>
              <c:numCache>
                <c:formatCode>General</c:formatCode>
                <c:ptCount val="134"/>
                <c:pt idx="0">
                  <c:v>-3.9435389831589431E-2</c:v>
                </c:pt>
                <c:pt idx="1">
                  <c:v>0.36876005461285494</c:v>
                </c:pt>
                <c:pt idx="2">
                  <c:v>0.28205588318430164</c:v>
                </c:pt>
                <c:pt idx="3">
                  <c:v>0.36077135508863262</c:v>
                </c:pt>
                <c:pt idx="4">
                  <c:v>0.35262480442968336</c:v>
                </c:pt>
                <c:pt idx="5">
                  <c:v>0.35197545497286031</c:v>
                </c:pt>
                <c:pt idx="6">
                  <c:v>0.29444483630723889</c:v>
                </c:pt>
                <c:pt idx="7">
                  <c:v>0.34115476234990505</c:v>
                </c:pt>
                <c:pt idx="8">
                  <c:v>0.42757565393229563</c:v>
                </c:pt>
                <c:pt idx="9">
                  <c:v>0.34241404981808421</c:v>
                </c:pt>
                <c:pt idx="10">
                  <c:v>0.32842661395616712</c:v>
                </c:pt>
                <c:pt idx="11">
                  <c:v>0.44866911223536382</c:v>
                </c:pt>
                <c:pt idx="12">
                  <c:v>0.52849597280648086</c:v>
                </c:pt>
                <c:pt idx="13">
                  <c:v>0.53668415232081279</c:v>
                </c:pt>
                <c:pt idx="14">
                  <c:v>0.69458722274515083</c:v>
                </c:pt>
                <c:pt idx="15">
                  <c:v>0.74357820102807737</c:v>
                </c:pt>
                <c:pt idx="16">
                  <c:v>0.85343724536288401</c:v>
                </c:pt>
                <c:pt idx="17">
                  <c:v>0.92065630552048527</c:v>
                </c:pt>
                <c:pt idx="18">
                  <c:v>1.0507187769502297</c:v>
                </c:pt>
                <c:pt idx="19">
                  <c:v>1.1262902630591367</c:v>
                </c:pt>
                <c:pt idx="20">
                  <c:v>1.227921620190312</c:v>
                </c:pt>
                <c:pt idx="21">
                  <c:v>1.3015999535236453</c:v>
                </c:pt>
                <c:pt idx="22">
                  <c:v>1.3518787879847078</c:v>
                </c:pt>
                <c:pt idx="23">
                  <c:v>1.3949367188689195</c:v>
                </c:pt>
                <c:pt idx="24">
                  <c:v>1.3514490830329273</c:v>
                </c:pt>
                <c:pt idx="25">
                  <c:v>1.2764640413949468</c:v>
                </c:pt>
                <c:pt idx="26">
                  <c:v>1.2636985933595302</c:v>
                </c:pt>
                <c:pt idx="27">
                  <c:v>1.2105625378116733</c:v>
                </c:pt>
                <c:pt idx="28">
                  <c:v>1.4201907789885839</c:v>
                </c:pt>
                <c:pt idx="29">
                  <c:v>1.2722751687241574</c:v>
                </c:pt>
                <c:pt idx="30">
                  <c:v>1.2284990089883849</c:v>
                </c:pt>
                <c:pt idx="31">
                  <c:v>1.3769006341555374</c:v>
                </c:pt>
                <c:pt idx="32">
                  <c:v>1.3435173784838901</c:v>
                </c:pt>
                <c:pt idx="33">
                  <c:v>1.2953968999475598</c:v>
                </c:pt>
                <c:pt idx="34">
                  <c:v>1.2579634469660719</c:v>
                </c:pt>
                <c:pt idx="35">
                  <c:v>1.3066523800705951</c:v>
                </c:pt>
                <c:pt idx="36">
                  <c:v>1.3727291106723931</c:v>
                </c:pt>
                <c:pt idx="37">
                  <c:v>1.4791853107620687</c:v>
                </c:pt>
                <c:pt idx="38">
                  <c:v>1.4380951574003276</c:v>
                </c:pt>
                <c:pt idx="39">
                  <c:v>1.4328547129558831</c:v>
                </c:pt>
                <c:pt idx="40">
                  <c:v>1.4713209131019518</c:v>
                </c:pt>
                <c:pt idx="41">
                  <c:v>1.4388286908797296</c:v>
                </c:pt>
                <c:pt idx="42">
                  <c:v>1.503896916353699</c:v>
                </c:pt>
                <c:pt idx="43">
                  <c:v>1.6264609597039839</c:v>
                </c:pt>
                <c:pt idx="44">
                  <c:v>1.7085512315469857</c:v>
                </c:pt>
                <c:pt idx="45">
                  <c:v>1.7321597871025414</c:v>
                </c:pt>
                <c:pt idx="46">
                  <c:v>1.6929068570278907</c:v>
                </c:pt>
                <c:pt idx="47">
                  <c:v>1.5922855279264878</c:v>
                </c:pt>
                <c:pt idx="48">
                  <c:v>1.5726836743273487</c:v>
                </c:pt>
                <c:pt idx="49">
                  <c:v>1.4845334928067759</c:v>
                </c:pt>
                <c:pt idx="50">
                  <c:v>1.4994565978643619</c:v>
                </c:pt>
                <c:pt idx="51">
                  <c:v>1.6319305978643619</c:v>
                </c:pt>
                <c:pt idx="52">
                  <c:v>1.6990520639720537</c:v>
                </c:pt>
                <c:pt idx="53">
                  <c:v>1.7349887755179576</c:v>
                </c:pt>
                <c:pt idx="54">
                  <c:v>1.6835777811234827</c:v>
                </c:pt>
                <c:pt idx="55">
                  <c:v>1.9313646402239428</c:v>
                </c:pt>
                <c:pt idx="56">
                  <c:v>1.9448379222718994</c:v>
                </c:pt>
                <c:pt idx="57">
                  <c:v>1.9310623077879376</c:v>
                </c:pt>
                <c:pt idx="58">
                  <c:v>1.9800522482208487</c:v>
                </c:pt>
                <c:pt idx="59">
                  <c:v>2.0766190517463867</c:v>
                </c:pt>
                <c:pt idx="60">
                  <c:v>2.1279906762723981</c:v>
                </c:pt>
                <c:pt idx="61">
                  <c:v>2.1891642757568683</c:v>
                </c:pt>
                <c:pt idx="62">
                  <c:v>2.2286622612479743</c:v>
                </c:pt>
                <c:pt idx="63">
                  <c:v>2.2899670111578589</c:v>
                </c:pt>
                <c:pt idx="64">
                  <c:v>2.2680766512042014</c:v>
                </c:pt>
                <c:pt idx="65">
                  <c:v>2.2103277623153126</c:v>
                </c:pt>
                <c:pt idx="66">
                  <c:v>2.1866370436480653</c:v>
                </c:pt>
                <c:pt idx="67">
                  <c:v>2.1603401956266208</c:v>
                </c:pt>
                <c:pt idx="68">
                  <c:v>2.1283332084337379</c:v>
                </c:pt>
                <c:pt idx="69">
                  <c:v>2.0816723259402194</c:v>
                </c:pt>
                <c:pt idx="70">
                  <c:v>2.1394374361250197</c:v>
                </c:pt>
                <c:pt idx="71">
                  <c:v>2.0449269916805752</c:v>
                </c:pt>
                <c:pt idx="72">
                  <c:v>2.3628978262189424</c:v>
                </c:pt>
                <c:pt idx="73">
                  <c:v>2.2963383071008594</c:v>
                </c:pt>
                <c:pt idx="74">
                  <c:v>2.1773428626564151</c:v>
                </c:pt>
                <c:pt idx="75">
                  <c:v>2.0658170141547658</c:v>
                </c:pt>
                <c:pt idx="76">
                  <c:v>2.0361026243992026</c:v>
                </c:pt>
                <c:pt idx="77">
                  <c:v>1.8967936243992027</c:v>
                </c:pt>
                <c:pt idx="78">
                  <c:v>1.9411799577325362</c:v>
                </c:pt>
                <c:pt idx="79">
                  <c:v>1.8801914318588062</c:v>
                </c:pt>
                <c:pt idx="80">
                  <c:v>1.7475963710652949</c:v>
                </c:pt>
                <c:pt idx="81">
                  <c:v>1.8003964554005758</c:v>
                </c:pt>
                <c:pt idx="82">
                  <c:v>1.7386685772539092</c:v>
                </c:pt>
                <c:pt idx="83">
                  <c:v>1.7891173019579054</c:v>
                </c:pt>
                <c:pt idx="84">
                  <c:v>1.7848766338457547</c:v>
                </c:pt>
                <c:pt idx="85">
                  <c:v>1.8304001846334212</c:v>
                </c:pt>
                <c:pt idx="86">
                  <c:v>1.9188228744150289</c:v>
                </c:pt>
                <c:pt idx="87">
                  <c:v>1.7220824362558151</c:v>
                </c:pt>
                <c:pt idx="88">
                  <c:v>1.8110710644053267</c:v>
                </c:pt>
                <c:pt idx="89">
                  <c:v>1.8441285795462767</c:v>
                </c:pt>
                <c:pt idx="90">
                  <c:v>1.7094883707523714</c:v>
                </c:pt>
                <c:pt idx="91">
                  <c:v>1.57285668127028</c:v>
                </c:pt>
                <c:pt idx="92">
                  <c:v>1.5525229014499191</c:v>
                </c:pt>
                <c:pt idx="93">
                  <c:v>1.3632363679825208</c:v>
                </c:pt>
                <c:pt idx="94">
                  <c:v>1.385044590204743</c:v>
                </c:pt>
                <c:pt idx="95">
                  <c:v>1.4106019681655777</c:v>
                </c:pt>
                <c:pt idx="96">
                  <c:v>1.5460736690297838</c:v>
                </c:pt>
                <c:pt idx="97">
                  <c:v>1.4866202245853395</c:v>
                </c:pt>
                <c:pt idx="98">
                  <c:v>1.5339618837596194</c:v>
                </c:pt>
                <c:pt idx="99">
                  <c:v>1.3716959084570033</c:v>
                </c:pt>
                <c:pt idx="100">
                  <c:v>1.2904152705827889</c:v>
                </c:pt>
                <c:pt idx="101">
                  <c:v>1.2576904483406448</c:v>
                </c:pt>
                <c:pt idx="102">
                  <c:v>1.2278856543734094</c:v>
                </c:pt>
                <c:pt idx="103">
                  <c:v>1.2705978241536353</c:v>
                </c:pt>
                <c:pt idx="104">
                  <c:v>1.227655461833135</c:v>
                </c:pt>
                <c:pt idx="105">
                  <c:v>1.259399172320415</c:v>
                </c:pt>
                <c:pt idx="106">
                  <c:v>1.293951572679205</c:v>
                </c:pt>
                <c:pt idx="107">
                  <c:v>1.296649586231531</c:v>
                </c:pt>
                <c:pt idx="108">
                  <c:v>1.4230215060820037</c:v>
                </c:pt>
                <c:pt idx="109">
                  <c:v>1.2858720616375592</c:v>
                </c:pt>
                <c:pt idx="110">
                  <c:v>1.3312715595388205</c:v>
                </c:pt>
                <c:pt idx="111">
                  <c:v>1.2603165071019349</c:v>
                </c:pt>
                <c:pt idx="112">
                  <c:v>1.2026307377546754</c:v>
                </c:pt>
                <c:pt idx="113">
                  <c:v>1.2245036120044497</c:v>
                </c:pt>
                <c:pt idx="114">
                  <c:v>1.2434139861729929</c:v>
                </c:pt>
                <c:pt idx="115">
                  <c:v>1.3593007179179846</c:v>
                </c:pt>
                <c:pt idx="116">
                  <c:v>1.4058645843977626</c:v>
                </c:pt>
                <c:pt idx="117">
                  <c:v>1.4257065329769887</c:v>
                </c:pt>
                <c:pt idx="118">
                  <c:v>1.378636376972457</c:v>
                </c:pt>
                <c:pt idx="119">
                  <c:v>1.3674580436391237</c:v>
                </c:pt>
                <c:pt idx="120">
                  <c:v>1.3778810680156386</c:v>
                </c:pt>
                <c:pt idx="121">
                  <c:v>1.4369940430938246</c:v>
                </c:pt>
                <c:pt idx="122">
                  <c:v>1.2468858006479062</c:v>
                </c:pt>
                <c:pt idx="123">
                  <c:v>1.2011574834754193</c:v>
                </c:pt>
                <c:pt idx="124">
                  <c:v>1.24207521317511</c:v>
                </c:pt>
                <c:pt idx="125">
                  <c:v>1.2201274853990691</c:v>
                </c:pt>
                <c:pt idx="126">
                  <c:v>1.1251426211778321</c:v>
                </c:pt>
                <c:pt idx="127">
                  <c:v>1.1377917927636214</c:v>
                </c:pt>
                <c:pt idx="128">
                  <c:v>1.2775916816525104</c:v>
                </c:pt>
                <c:pt idx="129">
                  <c:v>1.378270782329712</c:v>
                </c:pt>
                <c:pt idx="130">
                  <c:v>1.309769301761873</c:v>
                </c:pt>
                <c:pt idx="131">
                  <c:v>1.1950700741209561</c:v>
                </c:pt>
                <c:pt idx="132">
                  <c:v>1.1358290774657702</c:v>
                </c:pt>
                <c:pt idx="133">
                  <c:v>1.1358290774657702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E-C249-9F41-D5DF3891B2CB}"/>
            </c:ext>
          </c:extLst>
        </c:ser>
        <c:ser>
          <c:idx val="2"/>
          <c:order val="2"/>
          <c:tx>
            <c:strRef>
              <c:f>預測畫圖!$B$14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預測畫圖!$C$14:$EF$14</c:f>
              <c:numCache>
                <c:formatCode>General</c:formatCode>
                <c:ptCount val="134"/>
                <c:pt idx="0">
                  <c:v>-5.9146797802220617E-2</c:v>
                </c:pt>
                <c:pt idx="1">
                  <c:v>0.34273720219777948</c:v>
                </c:pt>
                <c:pt idx="2">
                  <c:v>0.24226157919468727</c:v>
                </c:pt>
                <c:pt idx="3">
                  <c:v>0.36164453929687707</c:v>
                </c:pt>
                <c:pt idx="4">
                  <c:v>0.25332816601179708</c:v>
                </c:pt>
                <c:pt idx="5">
                  <c:v>0.26195039376624141</c:v>
                </c:pt>
                <c:pt idx="6">
                  <c:v>0.12645021354300032</c:v>
                </c:pt>
                <c:pt idx="7">
                  <c:v>0.16986172929464194</c:v>
                </c:pt>
                <c:pt idx="8">
                  <c:v>0.30550961807227422</c:v>
                </c:pt>
                <c:pt idx="9">
                  <c:v>0.2547514109655552</c:v>
                </c:pt>
                <c:pt idx="10">
                  <c:v>0.28380287534201254</c:v>
                </c:pt>
                <c:pt idx="11">
                  <c:v>0.42501036383830865</c:v>
                </c:pt>
                <c:pt idx="12">
                  <c:v>0.52868085346792781</c:v>
                </c:pt>
                <c:pt idx="13">
                  <c:v>0.5370089393218368</c:v>
                </c:pt>
                <c:pt idx="14">
                  <c:v>0.72598435801132666</c:v>
                </c:pt>
                <c:pt idx="15">
                  <c:v>0.78747659588330166</c:v>
                </c:pt>
                <c:pt idx="16">
                  <c:v>0.93128182318220087</c:v>
                </c:pt>
                <c:pt idx="17">
                  <c:v>0.98552626321380954</c:v>
                </c:pt>
                <c:pt idx="18">
                  <c:v>1.1180212876436286</c:v>
                </c:pt>
                <c:pt idx="19">
                  <c:v>1.2394127490695543</c:v>
                </c:pt>
                <c:pt idx="20">
                  <c:v>1.4055475783388534</c:v>
                </c:pt>
                <c:pt idx="21">
                  <c:v>1.532670864053139</c:v>
                </c:pt>
                <c:pt idx="22">
                  <c:v>1.6365501079619502</c:v>
                </c:pt>
                <c:pt idx="23">
                  <c:v>1.725784471402473</c:v>
                </c:pt>
                <c:pt idx="24">
                  <c:v>1.684079226219749</c:v>
                </c:pt>
                <c:pt idx="25">
                  <c:v>1.5993809264892649</c:v>
                </c:pt>
                <c:pt idx="26">
                  <c:v>1.6007463469660972</c:v>
                </c:pt>
                <c:pt idx="27">
                  <c:v>1.5283025578775657</c:v>
                </c:pt>
                <c:pt idx="28">
                  <c:v>1.7866939067927743</c:v>
                </c:pt>
                <c:pt idx="29">
                  <c:v>1.6361502669687009</c:v>
                </c:pt>
                <c:pt idx="30">
                  <c:v>1.5544302870759472</c:v>
                </c:pt>
                <c:pt idx="31">
                  <c:v>1.7174987919007969</c:v>
                </c:pt>
                <c:pt idx="32">
                  <c:v>1.6360750418496273</c:v>
                </c:pt>
                <c:pt idx="33">
                  <c:v>1.5652078241880247</c:v>
                </c:pt>
                <c:pt idx="34">
                  <c:v>1.5423749388260284</c:v>
                </c:pt>
                <c:pt idx="35">
                  <c:v>1.5899027024582861</c:v>
                </c:pt>
                <c:pt idx="36">
                  <c:v>1.6565461078830572</c:v>
                </c:pt>
                <c:pt idx="37">
                  <c:v>1.7358407478382589</c:v>
                </c:pt>
                <c:pt idx="38">
                  <c:v>1.7604250282830658</c:v>
                </c:pt>
                <c:pt idx="39">
                  <c:v>1.7584093139973516</c:v>
                </c:pt>
                <c:pt idx="40">
                  <c:v>1.8346401593238015</c:v>
                </c:pt>
                <c:pt idx="41">
                  <c:v>1.7729457307523731</c:v>
                </c:pt>
                <c:pt idx="42">
                  <c:v>1.8587722823063422</c:v>
                </c:pt>
                <c:pt idx="43">
                  <c:v>2.0251580917304013</c:v>
                </c:pt>
                <c:pt idx="44">
                  <c:v>2.1640563063766209</c:v>
                </c:pt>
                <c:pt idx="45">
                  <c:v>2.1991143063766208</c:v>
                </c:pt>
                <c:pt idx="46">
                  <c:v>2.1745762721355133</c:v>
                </c:pt>
                <c:pt idx="47">
                  <c:v>2.0485119347093859</c:v>
                </c:pt>
                <c:pt idx="48">
                  <c:v>2.0183225759808958</c:v>
                </c:pt>
                <c:pt idx="49">
                  <c:v>1.9666762485873874</c:v>
                </c:pt>
                <c:pt idx="50">
                  <c:v>1.967308559512073</c:v>
                </c:pt>
                <c:pt idx="51">
                  <c:v>2.1345658452263585</c:v>
                </c:pt>
                <c:pt idx="52">
                  <c:v>2.2177674178196791</c:v>
                </c:pt>
                <c:pt idx="53">
                  <c:v>2.1937511461323789</c:v>
                </c:pt>
                <c:pt idx="54">
                  <c:v>2.1253899328942158</c:v>
                </c:pt>
                <c:pt idx="55">
                  <c:v>2.2903764275902234</c:v>
                </c:pt>
                <c:pt idx="56">
                  <c:v>2.2735701863640192</c:v>
                </c:pt>
                <c:pt idx="57">
                  <c:v>2.2940740394278247</c:v>
                </c:pt>
                <c:pt idx="58">
                  <c:v>2.3700651331682834</c:v>
                </c:pt>
                <c:pt idx="59">
                  <c:v>2.4685989898537053</c:v>
                </c:pt>
                <c:pt idx="60">
                  <c:v>2.4695800737568221</c:v>
                </c:pt>
                <c:pt idx="61">
                  <c:v>2.5253679546186021</c:v>
                </c:pt>
                <c:pt idx="62">
                  <c:v>2.5534493109916974</c:v>
                </c:pt>
                <c:pt idx="63">
                  <c:v>2.5956408997965008</c:v>
                </c:pt>
                <c:pt idx="64">
                  <c:v>2.5754134036901264</c:v>
                </c:pt>
                <c:pt idx="65">
                  <c:v>2.5129514036901264</c:v>
                </c:pt>
                <c:pt idx="66">
                  <c:v>2.4264917127778971</c:v>
                </c:pt>
                <c:pt idx="67">
                  <c:v>2.4207435191939424</c:v>
                </c:pt>
                <c:pt idx="68">
                  <c:v>2.3878702626179105</c:v>
                </c:pt>
                <c:pt idx="69">
                  <c:v>2.3263249397252057</c:v>
                </c:pt>
                <c:pt idx="70">
                  <c:v>2.4070023837652466</c:v>
                </c:pt>
                <c:pt idx="71">
                  <c:v>2.2914968123366752</c:v>
                </c:pt>
                <c:pt idx="72">
                  <c:v>2.5098723114676638</c:v>
                </c:pt>
                <c:pt idx="73">
                  <c:v>2.4352914480530656</c:v>
                </c:pt>
                <c:pt idx="74">
                  <c:v>2.372603019481637</c:v>
                </c:pt>
                <c:pt idx="75">
                  <c:v>2.2192830316790388</c:v>
                </c:pt>
                <c:pt idx="76">
                  <c:v>2.2032064877861779</c:v>
                </c:pt>
                <c:pt idx="77">
                  <c:v>2.0963602020718923</c:v>
                </c:pt>
                <c:pt idx="78">
                  <c:v>2.2010199163576067</c:v>
                </c:pt>
                <c:pt idx="79">
                  <c:v>2.0794246931888427</c:v>
                </c:pt>
                <c:pt idx="80">
                  <c:v>1.9014983368799654</c:v>
                </c:pt>
                <c:pt idx="81">
                  <c:v>1.8575405934933567</c:v>
                </c:pt>
                <c:pt idx="82">
                  <c:v>1.7659313379294372</c:v>
                </c:pt>
                <c:pt idx="83">
                  <c:v>1.811296986888596</c:v>
                </c:pt>
                <c:pt idx="84">
                  <c:v>1.9263562976977744</c:v>
                </c:pt>
                <c:pt idx="85">
                  <c:v>1.988669975522684</c:v>
                </c:pt>
                <c:pt idx="86">
                  <c:v>2.0847280071882071</c:v>
                </c:pt>
                <c:pt idx="87">
                  <c:v>1.931814063378722</c:v>
                </c:pt>
                <c:pt idx="88">
                  <c:v>2.0754626065431157</c:v>
                </c:pt>
                <c:pt idx="89">
                  <c:v>2.1105488605212921</c:v>
                </c:pt>
                <c:pt idx="90">
                  <c:v>1.9599513508990447</c:v>
                </c:pt>
                <c:pt idx="91">
                  <c:v>1.7971122419510339</c:v>
                </c:pt>
                <c:pt idx="92">
                  <c:v>1.8353549175459767</c:v>
                </c:pt>
                <c:pt idx="93">
                  <c:v>1.6416325098937674</c:v>
                </c:pt>
                <c:pt idx="94">
                  <c:v>1.669761795608053</c:v>
                </c:pt>
                <c:pt idx="95">
                  <c:v>1.6534893014080443</c:v>
                </c:pt>
                <c:pt idx="96">
                  <c:v>1.7980541225841793</c:v>
                </c:pt>
                <c:pt idx="97">
                  <c:v>1.7351096940127508</c:v>
                </c:pt>
                <c:pt idx="98">
                  <c:v>1.801668268511067</c:v>
                </c:pt>
                <c:pt idx="99">
                  <c:v>1.6485925789019138</c:v>
                </c:pt>
                <c:pt idx="100">
                  <c:v>1.5554141949940063</c:v>
                </c:pt>
                <c:pt idx="101">
                  <c:v>1.4639549815813038</c:v>
                </c:pt>
                <c:pt idx="102">
                  <c:v>1.4165740420626103</c:v>
                </c:pt>
                <c:pt idx="103">
                  <c:v>1.4623092507413697</c:v>
                </c:pt>
                <c:pt idx="104">
                  <c:v>1.4259004692458634</c:v>
                </c:pt>
                <c:pt idx="105">
                  <c:v>1.4669146565651974</c:v>
                </c:pt>
                <c:pt idx="106">
                  <c:v>1.5053352440516483</c:v>
                </c:pt>
                <c:pt idx="107">
                  <c:v>1.5334072191296098</c:v>
                </c:pt>
                <c:pt idx="108">
                  <c:v>1.6516243124032051</c:v>
                </c:pt>
                <c:pt idx="109">
                  <c:v>1.4592217409746338</c:v>
                </c:pt>
                <c:pt idx="110">
                  <c:v>1.4778349890050519</c:v>
                </c:pt>
                <c:pt idx="111">
                  <c:v>1.3316389129056396</c:v>
                </c:pt>
                <c:pt idx="112">
                  <c:v>1.2743883229190136</c:v>
                </c:pt>
                <c:pt idx="113">
                  <c:v>1.2782185969866058</c:v>
                </c:pt>
                <c:pt idx="114">
                  <c:v>1.2834692757288697</c:v>
                </c:pt>
                <c:pt idx="115">
                  <c:v>1.4085779589984004</c:v>
                </c:pt>
                <c:pt idx="116">
                  <c:v>1.4387769764599903</c:v>
                </c:pt>
                <c:pt idx="117">
                  <c:v>1.4181722899931246</c:v>
                </c:pt>
                <c:pt idx="118">
                  <c:v>1.3524228318092257</c:v>
                </c:pt>
                <c:pt idx="119">
                  <c:v>1.3419711175235114</c:v>
                </c:pt>
                <c:pt idx="120">
                  <c:v>1.3673567687806496</c:v>
                </c:pt>
                <c:pt idx="121">
                  <c:v>1.389957803621757</c:v>
                </c:pt>
                <c:pt idx="122">
                  <c:v>1.2273690191975068</c:v>
                </c:pt>
                <c:pt idx="123">
                  <c:v>1.1568413266914293</c:v>
                </c:pt>
                <c:pt idx="124">
                  <c:v>1.2387500189758025</c:v>
                </c:pt>
                <c:pt idx="125">
                  <c:v>1.3069273124975378</c:v>
                </c:pt>
                <c:pt idx="126">
                  <c:v>1.1411642078355346</c:v>
                </c:pt>
                <c:pt idx="127">
                  <c:v>1.0979363529660928</c:v>
                </c:pt>
                <c:pt idx="128">
                  <c:v>1.2968836386803786</c:v>
                </c:pt>
                <c:pt idx="129">
                  <c:v>1.406847993130574</c:v>
                </c:pt>
                <c:pt idx="130">
                  <c:v>1.2638077625377884</c:v>
                </c:pt>
                <c:pt idx="131">
                  <c:v>1.1810486611492217</c:v>
                </c:pt>
                <c:pt idx="132">
                  <c:v>1.1280336208338575</c:v>
                </c:pt>
                <c:pt idx="133">
                  <c:v>1.1280336208338575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E-C249-9F41-D5DF3891B2CB}"/>
            </c:ext>
          </c:extLst>
        </c:ser>
        <c:ser>
          <c:idx val="3"/>
          <c:order val="3"/>
          <c:tx>
            <c:strRef>
              <c:f>預測畫圖!$B$15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預測畫圖!$C$15:$EF$15</c:f>
              <c:numCache>
                <c:formatCode>General</c:formatCode>
                <c:ptCount val="134"/>
                <c:pt idx="0">
                  <c:v>-7.386192988077088E-2</c:v>
                </c:pt>
                <c:pt idx="1">
                  <c:v>0.33365940345256251</c:v>
                </c:pt>
                <c:pt idx="2">
                  <c:v>0.19307572686123131</c:v>
                </c:pt>
                <c:pt idx="3">
                  <c:v>0.37076438866679184</c:v>
                </c:pt>
                <c:pt idx="4">
                  <c:v>0.27469841680961443</c:v>
                </c:pt>
                <c:pt idx="5">
                  <c:v>0.2626296283471295</c:v>
                </c:pt>
                <c:pt idx="6">
                  <c:v>0.127975295455663</c:v>
                </c:pt>
                <c:pt idx="7">
                  <c:v>0.16340487997585401</c:v>
                </c:pt>
                <c:pt idx="8">
                  <c:v>0.40219429469977075</c:v>
                </c:pt>
                <c:pt idx="9">
                  <c:v>0.38186764505942566</c:v>
                </c:pt>
                <c:pt idx="10">
                  <c:v>0.33817740890311837</c:v>
                </c:pt>
                <c:pt idx="11">
                  <c:v>0.49002099005109845</c:v>
                </c:pt>
                <c:pt idx="12">
                  <c:v>0.58224237307055571</c:v>
                </c:pt>
                <c:pt idx="13">
                  <c:v>0.60575553389507575</c:v>
                </c:pt>
                <c:pt idx="14">
                  <c:v>0.80291862215959564</c:v>
                </c:pt>
                <c:pt idx="15">
                  <c:v>0.89321771279045192</c:v>
                </c:pt>
                <c:pt idx="16">
                  <c:v>1.0159095891261933</c:v>
                </c:pt>
                <c:pt idx="17">
                  <c:v>1.0430638671124925</c:v>
                </c:pt>
                <c:pt idx="18">
                  <c:v>1.1787622057444158</c:v>
                </c:pt>
                <c:pt idx="19">
                  <c:v>1.271450525469729</c:v>
                </c:pt>
                <c:pt idx="20">
                  <c:v>1.4461852887719606</c:v>
                </c:pt>
                <c:pt idx="21">
                  <c:v>1.5691089554386273</c:v>
                </c:pt>
                <c:pt idx="22">
                  <c:v>1.6722391943690655</c:v>
                </c:pt>
                <c:pt idx="23">
                  <c:v>1.7638583049450891</c:v>
                </c:pt>
                <c:pt idx="24">
                  <c:v>1.7222881204069334</c:v>
                </c:pt>
                <c:pt idx="25">
                  <c:v>1.6200345145229906</c:v>
                </c:pt>
                <c:pt idx="26">
                  <c:v>1.6341760572316004</c:v>
                </c:pt>
                <c:pt idx="27">
                  <c:v>1.6101785999705398</c:v>
                </c:pt>
                <c:pt idx="28">
                  <c:v>1.9186714578959085</c:v>
                </c:pt>
                <c:pt idx="29">
                  <c:v>1.7498408771878655</c:v>
                </c:pt>
                <c:pt idx="30">
                  <c:v>1.7083537737435539</c:v>
                </c:pt>
                <c:pt idx="31">
                  <c:v>1.9125100609087635</c:v>
                </c:pt>
                <c:pt idx="32">
                  <c:v>1.8647437081489671</c:v>
                </c:pt>
                <c:pt idx="33">
                  <c:v>1.7875409985043955</c:v>
                </c:pt>
                <c:pt idx="34">
                  <c:v>1.7469594753912325</c:v>
                </c:pt>
                <c:pt idx="35">
                  <c:v>1.817230421062038</c:v>
                </c:pt>
                <c:pt idx="36">
                  <c:v>1.8603364328734431</c:v>
                </c:pt>
                <c:pt idx="37">
                  <c:v>1.9439047272391252</c:v>
                </c:pt>
                <c:pt idx="38">
                  <c:v>1.9997948533682399</c:v>
                </c:pt>
                <c:pt idx="39">
                  <c:v>1.9900818533682398</c:v>
                </c:pt>
                <c:pt idx="40">
                  <c:v>2.0783346104288904</c:v>
                </c:pt>
                <c:pt idx="41">
                  <c:v>2.0037177770955572</c:v>
                </c:pt>
                <c:pt idx="42">
                  <c:v>2.1015147323638717</c:v>
                </c:pt>
                <c:pt idx="43">
                  <c:v>2.2861083961739297</c:v>
                </c:pt>
                <c:pt idx="44">
                  <c:v>2.4391230226481904</c:v>
                </c:pt>
                <c:pt idx="45">
                  <c:v>2.481800689314857</c:v>
                </c:pt>
                <c:pt idx="46">
                  <c:v>2.4594445211607203</c:v>
                </c:pt>
                <c:pt idx="47">
                  <c:v>2.2353207258598644</c:v>
                </c:pt>
                <c:pt idx="48">
                  <c:v>2.1690474831473923</c:v>
                </c:pt>
                <c:pt idx="49">
                  <c:v>2.0534359547779686</c:v>
                </c:pt>
                <c:pt idx="50">
                  <c:v>2.0190720708238956</c:v>
                </c:pt>
                <c:pt idx="51">
                  <c:v>2.2208739041572287</c:v>
                </c:pt>
                <c:pt idx="52">
                  <c:v>2.2849293905034145</c:v>
                </c:pt>
                <c:pt idx="53">
                  <c:v>2.2816949978733465</c:v>
                </c:pt>
                <c:pt idx="54">
                  <c:v>2.2305631239096799</c:v>
                </c:pt>
                <c:pt idx="55">
                  <c:v>2.3723725588734217</c:v>
                </c:pt>
                <c:pt idx="56">
                  <c:v>2.3560289005405797</c:v>
                </c:pt>
                <c:pt idx="57">
                  <c:v>2.3580471022420109</c:v>
                </c:pt>
                <c:pt idx="58">
                  <c:v>2.4593313322012271</c:v>
                </c:pt>
                <c:pt idx="59">
                  <c:v>2.518243549373683</c:v>
                </c:pt>
                <c:pt idx="60">
                  <c:v>2.4487245127442412</c:v>
                </c:pt>
                <c:pt idx="61">
                  <c:v>2.5118890464912607</c:v>
                </c:pt>
                <c:pt idx="62">
                  <c:v>2.5436753113604058</c:v>
                </c:pt>
                <c:pt idx="63">
                  <c:v>2.6158604110829069</c:v>
                </c:pt>
                <c:pt idx="64">
                  <c:v>2.5901314498177914</c:v>
                </c:pt>
                <c:pt idx="65">
                  <c:v>2.5777227831511249</c:v>
                </c:pt>
                <c:pt idx="66">
                  <c:v>2.468069648218068</c:v>
                </c:pt>
                <c:pt idx="67">
                  <c:v>2.4747448942415882</c:v>
                </c:pt>
                <c:pt idx="68">
                  <c:v>2.4782448261812271</c:v>
                </c:pt>
                <c:pt idx="69">
                  <c:v>2.3959214225039158</c:v>
                </c:pt>
                <c:pt idx="70">
                  <c:v>2.4718576737381537</c:v>
                </c:pt>
                <c:pt idx="71">
                  <c:v>2.3717723404048203</c:v>
                </c:pt>
                <c:pt idx="72">
                  <c:v>2.6792253472145537</c:v>
                </c:pt>
                <c:pt idx="73">
                  <c:v>2.624395065654237</c:v>
                </c:pt>
                <c:pt idx="74">
                  <c:v>2.5967168989875704</c:v>
                </c:pt>
                <c:pt idx="75">
                  <c:v>2.5280147741655163</c:v>
                </c:pt>
                <c:pt idx="76">
                  <c:v>2.4986860189417417</c:v>
                </c:pt>
                <c:pt idx="77">
                  <c:v>2.3708475189417415</c:v>
                </c:pt>
                <c:pt idx="78">
                  <c:v>2.393353185608408</c:v>
                </c:pt>
                <c:pt idx="79">
                  <c:v>2.2446212723200007</c:v>
                </c:pt>
                <c:pt idx="80">
                  <c:v>2.0463554431430415</c:v>
                </c:pt>
                <c:pt idx="81">
                  <c:v>1.9673039181722272</c:v>
                </c:pt>
                <c:pt idx="82">
                  <c:v>1.91018629330527</c:v>
                </c:pt>
                <c:pt idx="83">
                  <c:v>1.9529013370480042</c:v>
                </c:pt>
                <c:pt idx="84">
                  <c:v>2.0636355448017087</c:v>
                </c:pt>
                <c:pt idx="85">
                  <c:v>2.1255760447677448</c:v>
                </c:pt>
                <c:pt idx="86">
                  <c:v>2.2443733077250791</c:v>
                </c:pt>
                <c:pt idx="87">
                  <c:v>2.1290255260863415</c:v>
                </c:pt>
                <c:pt idx="88">
                  <c:v>2.3043731676680563</c:v>
                </c:pt>
                <c:pt idx="89">
                  <c:v>2.3813058223353596</c:v>
                </c:pt>
                <c:pt idx="90">
                  <c:v>2.2151592645600791</c:v>
                </c:pt>
                <c:pt idx="91">
                  <c:v>2.0561266655777461</c:v>
                </c:pt>
                <c:pt idx="92">
                  <c:v>2.0885212730941647</c:v>
                </c:pt>
                <c:pt idx="93">
                  <c:v>1.9122145488479727</c:v>
                </c:pt>
                <c:pt idx="94">
                  <c:v>1.9559902155146394</c:v>
                </c:pt>
                <c:pt idx="95">
                  <c:v>1.9280495783296425</c:v>
                </c:pt>
                <c:pt idx="96">
                  <c:v>2.0746571215905814</c:v>
                </c:pt>
                <c:pt idx="97">
                  <c:v>1.9985136215905814</c:v>
                </c:pt>
                <c:pt idx="98">
                  <c:v>2.0590295001636187</c:v>
                </c:pt>
                <c:pt idx="99">
                  <c:v>1.9108792093591138</c:v>
                </c:pt>
                <c:pt idx="100">
                  <c:v>1.8029870899019229</c:v>
                </c:pt>
                <c:pt idx="101">
                  <c:v>1.7454878268134109</c:v>
                </c:pt>
                <c:pt idx="102">
                  <c:v>1.687263950110174</c:v>
                </c:pt>
                <c:pt idx="103">
                  <c:v>1.7229848491353896</c:v>
                </c:pt>
                <c:pt idx="104">
                  <c:v>1.7581642490374838</c:v>
                </c:pt>
                <c:pt idx="105">
                  <c:v>1.7643653742923127</c:v>
                </c:pt>
                <c:pt idx="106">
                  <c:v>1.7973837889481046</c:v>
                </c:pt>
                <c:pt idx="107">
                  <c:v>1.8186801313752716</c:v>
                </c:pt>
                <c:pt idx="108">
                  <c:v>1.945170929212793</c:v>
                </c:pt>
                <c:pt idx="109">
                  <c:v>1.7205795958794596</c:v>
                </c:pt>
                <c:pt idx="110">
                  <c:v>1.7792266288907281</c:v>
                </c:pt>
                <c:pt idx="111">
                  <c:v>1.6139761599316562</c:v>
                </c:pt>
                <c:pt idx="112">
                  <c:v>1.5979918703569922</c:v>
                </c:pt>
                <c:pt idx="113">
                  <c:v>1.609974656265966</c:v>
                </c:pt>
                <c:pt idx="114">
                  <c:v>1.5638767537803384</c:v>
                </c:pt>
                <c:pt idx="115">
                  <c:v>1.7378050555088866</c:v>
                </c:pt>
                <c:pt idx="116">
                  <c:v>1.7865105753694805</c:v>
                </c:pt>
                <c:pt idx="117">
                  <c:v>1.8143485898524743</c:v>
                </c:pt>
                <c:pt idx="118">
                  <c:v>1.7339744180143992</c:v>
                </c:pt>
                <c:pt idx="119">
                  <c:v>1.7164290846810659</c:v>
                </c:pt>
                <c:pt idx="120">
                  <c:v>1.761348047832946</c:v>
                </c:pt>
                <c:pt idx="121">
                  <c:v>1.766381294353051</c:v>
                </c:pt>
                <c:pt idx="122">
                  <c:v>1.5718618548900718</c:v>
                </c:pt>
                <c:pt idx="123">
                  <c:v>1.5002684682926697</c:v>
                </c:pt>
                <c:pt idx="124">
                  <c:v>1.5608776076333539</c:v>
                </c:pt>
                <c:pt idx="125">
                  <c:v>1.6554918009908917</c:v>
                </c:pt>
                <c:pt idx="126">
                  <c:v>1.5033723913864048</c:v>
                </c:pt>
                <c:pt idx="127">
                  <c:v>1.4237288232479697</c:v>
                </c:pt>
                <c:pt idx="128">
                  <c:v>1.6567764899146364</c:v>
                </c:pt>
                <c:pt idx="129">
                  <c:v>1.765529999552889</c:v>
                </c:pt>
                <c:pt idx="130">
                  <c:v>1.62175579672788</c:v>
                </c:pt>
                <c:pt idx="131">
                  <c:v>1.5414705384515048</c:v>
                </c:pt>
                <c:pt idx="132">
                  <c:v>1.5186546526075919</c:v>
                </c:pt>
                <c:pt idx="133">
                  <c:v>1.5186546526075919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FE-C249-9F41-D5DF3891B2CB}"/>
            </c:ext>
          </c:extLst>
        </c:ser>
        <c:ser>
          <c:idx val="4"/>
          <c:order val="4"/>
          <c:tx>
            <c:strRef>
              <c:f>預測畫圖!$B$16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預測畫圖!$C$16:$EF$16</c:f>
              <c:numCache>
                <c:formatCode>General</c:formatCode>
                <c:ptCount val="134"/>
                <c:pt idx="0">
                  <c:v>1.1241331728202891E-2</c:v>
                </c:pt>
                <c:pt idx="1">
                  <c:v>0.39326713172820293</c:v>
                </c:pt>
                <c:pt idx="2">
                  <c:v>0.24714222646395703</c:v>
                </c:pt>
                <c:pt idx="3">
                  <c:v>0.45267349079713126</c:v>
                </c:pt>
                <c:pt idx="4">
                  <c:v>0.33549034950819218</c:v>
                </c:pt>
                <c:pt idx="5">
                  <c:v>0.34707337558676987</c:v>
                </c:pt>
                <c:pt idx="6">
                  <c:v>0.18892381298566818</c:v>
                </c:pt>
                <c:pt idx="7">
                  <c:v>0.22339507171252443</c:v>
                </c:pt>
                <c:pt idx="8">
                  <c:v>0.43811957547360625</c:v>
                </c:pt>
                <c:pt idx="9">
                  <c:v>0.4291198041324179</c:v>
                </c:pt>
                <c:pt idx="10">
                  <c:v>0.3514015758411444</c:v>
                </c:pt>
                <c:pt idx="11">
                  <c:v>0.51954516403068829</c:v>
                </c:pt>
                <c:pt idx="12">
                  <c:v>0.61864664817516202</c:v>
                </c:pt>
                <c:pt idx="13">
                  <c:v>0.66178532706368953</c:v>
                </c:pt>
                <c:pt idx="14">
                  <c:v>0.87851106606666807</c:v>
                </c:pt>
                <c:pt idx="15">
                  <c:v>0.98776412170413685</c:v>
                </c:pt>
                <c:pt idx="16">
                  <c:v>1.0703267324114247</c:v>
                </c:pt>
                <c:pt idx="17">
                  <c:v>1.0546638218921653</c:v>
                </c:pt>
                <c:pt idx="18">
                  <c:v>1.2033135020099404</c:v>
                </c:pt>
                <c:pt idx="19">
                  <c:v>1.3068311052145578</c:v>
                </c:pt>
                <c:pt idx="20">
                  <c:v>1.5332747672976592</c:v>
                </c:pt>
                <c:pt idx="21">
                  <c:v>1.6833177672976591</c:v>
                </c:pt>
                <c:pt idx="22">
                  <c:v>1.8122828061800329</c:v>
                </c:pt>
                <c:pt idx="23">
                  <c:v>1.9178997666636921</c:v>
                </c:pt>
                <c:pt idx="24">
                  <c:v>1.8963052132763949</c:v>
                </c:pt>
                <c:pt idx="25">
                  <c:v>1.8115453725502217</c:v>
                </c:pt>
                <c:pt idx="26">
                  <c:v>1.8587936352781893</c:v>
                </c:pt>
                <c:pt idx="27">
                  <c:v>1.8318063317075113</c:v>
                </c:pt>
                <c:pt idx="28">
                  <c:v>1.9930275388626222</c:v>
                </c:pt>
                <c:pt idx="29">
                  <c:v>1.7695297192262496</c:v>
                </c:pt>
                <c:pt idx="30">
                  <c:v>1.737366470344573</c:v>
                </c:pt>
                <c:pt idx="31">
                  <c:v>1.9540089229929338</c:v>
                </c:pt>
                <c:pt idx="32">
                  <c:v>1.8707295692422103</c:v>
                </c:pt>
                <c:pt idx="33">
                  <c:v>1.8100038845814261</c:v>
                </c:pt>
                <c:pt idx="34">
                  <c:v>1.8017553695188131</c:v>
                </c:pt>
                <c:pt idx="35">
                  <c:v>1.8746488215557902</c:v>
                </c:pt>
                <c:pt idx="36">
                  <c:v>1.9077448023045929</c:v>
                </c:pt>
                <c:pt idx="37">
                  <c:v>1.9832149958235912</c:v>
                </c:pt>
                <c:pt idx="38">
                  <c:v>2.0323232904629909</c:v>
                </c:pt>
                <c:pt idx="39">
                  <c:v>2.0197176904629908</c:v>
                </c:pt>
                <c:pt idx="40">
                  <c:v>1.9922652051300398</c:v>
                </c:pt>
                <c:pt idx="41">
                  <c:v>1.9789760051300398</c:v>
                </c:pt>
                <c:pt idx="42">
                  <c:v>2.0910718148128566</c:v>
                </c:pt>
                <c:pt idx="43">
                  <c:v>2.3301955622579271</c:v>
                </c:pt>
                <c:pt idx="44">
                  <c:v>2.4732682031850928</c:v>
                </c:pt>
                <c:pt idx="45">
                  <c:v>2.5447426031850928</c:v>
                </c:pt>
                <c:pt idx="46">
                  <c:v>2.537877335005942</c:v>
                </c:pt>
                <c:pt idx="47">
                  <c:v>2.3335381150453953</c:v>
                </c:pt>
                <c:pt idx="48">
                  <c:v>2.4155957510629618</c:v>
                </c:pt>
                <c:pt idx="49">
                  <c:v>2.2593217433562978</c:v>
                </c:pt>
                <c:pt idx="50">
                  <c:v>2.2225228784957571</c:v>
                </c:pt>
                <c:pt idx="51">
                  <c:v>2.4537362784957573</c:v>
                </c:pt>
                <c:pt idx="52">
                  <c:v>2.5243418461734977</c:v>
                </c:pt>
                <c:pt idx="53">
                  <c:v>2.4709120329519005</c:v>
                </c:pt>
                <c:pt idx="54">
                  <c:v>2.4768588300911607</c:v>
                </c:pt>
                <c:pt idx="55">
                  <c:v>2.614830093160136</c:v>
                </c:pt>
                <c:pt idx="56">
                  <c:v>2.6079039504514427</c:v>
                </c:pt>
                <c:pt idx="57">
                  <c:v>2.5362975033373316</c:v>
                </c:pt>
                <c:pt idx="58">
                  <c:v>2.6505531690718551</c:v>
                </c:pt>
                <c:pt idx="59">
                  <c:v>2.699692952883129</c:v>
                </c:pt>
                <c:pt idx="60">
                  <c:v>2.5970946687286838</c:v>
                </c:pt>
                <c:pt idx="61">
                  <c:v>2.6669541106659045</c:v>
                </c:pt>
                <c:pt idx="62">
                  <c:v>2.7144226621300933</c:v>
                </c:pt>
                <c:pt idx="63">
                  <c:v>2.8000872935712735</c:v>
                </c:pt>
                <c:pt idx="64">
                  <c:v>2.8385490110872529</c:v>
                </c:pt>
                <c:pt idx="65">
                  <c:v>2.8458328110872531</c:v>
                </c:pt>
                <c:pt idx="66">
                  <c:v>2.7372325435280009</c:v>
                </c:pt>
                <c:pt idx="67">
                  <c:v>2.7493061752584733</c:v>
                </c:pt>
                <c:pt idx="68">
                  <c:v>2.7818423729833293</c:v>
                </c:pt>
                <c:pt idx="69">
                  <c:v>2.6853118717688735</c:v>
                </c:pt>
                <c:pt idx="70">
                  <c:v>2.7840668211365802</c:v>
                </c:pt>
                <c:pt idx="71">
                  <c:v>2.6503570211365801</c:v>
                </c:pt>
                <c:pt idx="72">
                  <c:v>3.0021865711849847</c:v>
                </c:pt>
                <c:pt idx="73">
                  <c:v>2.9441985529089538</c:v>
                </c:pt>
                <c:pt idx="74">
                  <c:v>2.9010107529089537</c:v>
                </c:pt>
                <c:pt idx="75">
                  <c:v>2.8107393486486703</c:v>
                </c:pt>
                <c:pt idx="76">
                  <c:v>2.7706366205969175</c:v>
                </c:pt>
                <c:pt idx="77">
                  <c:v>2.6441412205969175</c:v>
                </c:pt>
                <c:pt idx="78">
                  <c:v>2.6570560205969174</c:v>
                </c:pt>
                <c:pt idx="79">
                  <c:v>2.4681965080535218</c:v>
                </c:pt>
                <c:pt idx="80">
                  <c:v>2.2242327125837886</c:v>
                </c:pt>
                <c:pt idx="81">
                  <c:v>2.1184478233076969</c:v>
                </c:pt>
                <c:pt idx="82">
                  <c:v>2.0424775825645889</c:v>
                </c:pt>
                <c:pt idx="83">
                  <c:v>2.0646728115887218</c:v>
                </c:pt>
                <c:pt idx="84">
                  <c:v>2.1498810140237974</c:v>
                </c:pt>
                <c:pt idx="85">
                  <c:v>2.2733213339111482</c:v>
                </c:pt>
                <c:pt idx="86">
                  <c:v>2.3539109578517698</c:v>
                </c:pt>
                <c:pt idx="87">
                  <c:v>2.2045978072215182</c:v>
                </c:pt>
                <c:pt idx="88">
                  <c:v>2.393648972392139</c:v>
                </c:pt>
                <c:pt idx="89">
                  <c:v>2.3714895610216544</c:v>
                </c:pt>
                <c:pt idx="90">
                  <c:v>2.1429713578401133</c:v>
                </c:pt>
                <c:pt idx="91">
                  <c:v>1.9509401527310859</c:v>
                </c:pt>
                <c:pt idx="92">
                  <c:v>1.9740581980313689</c:v>
                </c:pt>
                <c:pt idx="93">
                  <c:v>1.7785720875464268</c:v>
                </c:pt>
                <c:pt idx="94">
                  <c:v>1.8008658875464267</c:v>
                </c:pt>
                <c:pt idx="95">
                  <c:v>1.7827891767665918</c:v>
                </c:pt>
                <c:pt idx="96">
                  <c:v>1.9295171858382185</c:v>
                </c:pt>
                <c:pt idx="97">
                  <c:v>1.8325129858382185</c:v>
                </c:pt>
                <c:pt idx="98">
                  <c:v>1.900416694013064</c:v>
                </c:pt>
                <c:pt idx="99">
                  <c:v>1.7552625060131972</c:v>
                </c:pt>
                <c:pt idx="100">
                  <c:v>1.6542958489013737</c:v>
                </c:pt>
                <c:pt idx="101">
                  <c:v>1.6412332150390432</c:v>
                </c:pt>
                <c:pt idx="102">
                  <c:v>1.5937613218838655</c:v>
                </c:pt>
                <c:pt idx="103">
                  <c:v>1.6506640316409997</c:v>
                </c:pt>
                <c:pt idx="104">
                  <c:v>1.7002771008765556</c:v>
                </c:pt>
                <c:pt idx="105">
                  <c:v>1.7038742856335058</c:v>
                </c:pt>
                <c:pt idx="106">
                  <c:v>1.7142930072403586</c:v>
                </c:pt>
                <c:pt idx="107">
                  <c:v>1.7597929657311571</c:v>
                </c:pt>
                <c:pt idx="108">
                  <c:v>1.8838662737152783</c:v>
                </c:pt>
                <c:pt idx="109">
                  <c:v>1.6055666737152783</c:v>
                </c:pt>
                <c:pt idx="110">
                  <c:v>1.6798150093073716</c:v>
                </c:pt>
                <c:pt idx="111">
                  <c:v>1.5432569168746741</c:v>
                </c:pt>
                <c:pt idx="112">
                  <c:v>1.5224912583866794</c:v>
                </c:pt>
                <c:pt idx="113">
                  <c:v>1.5419566317202993</c:v>
                </c:pt>
                <c:pt idx="114">
                  <c:v>1.5848214058286452</c:v>
                </c:pt>
                <c:pt idx="115">
                  <c:v>1.768056139449814</c:v>
                </c:pt>
                <c:pt idx="116">
                  <c:v>1.8178769941267099</c:v>
                </c:pt>
                <c:pt idx="117">
                  <c:v>1.8277075255175972</c:v>
                </c:pt>
                <c:pt idx="118">
                  <c:v>1.7702473438928972</c:v>
                </c:pt>
                <c:pt idx="119">
                  <c:v>1.7146895438928971</c:v>
                </c:pt>
                <c:pt idx="120">
                  <c:v>1.6448967859946146</c:v>
                </c:pt>
                <c:pt idx="121">
                  <c:v>1.6152114471957721</c:v>
                </c:pt>
                <c:pt idx="122">
                  <c:v>1.3425671193538267</c:v>
                </c:pt>
                <c:pt idx="123">
                  <c:v>1.2405249381713515</c:v>
                </c:pt>
                <c:pt idx="124">
                  <c:v>1.3095851421293911</c:v>
                </c:pt>
                <c:pt idx="125">
                  <c:v>1.4074363603341165</c:v>
                </c:pt>
                <c:pt idx="126">
                  <c:v>1.2200345302949231</c:v>
                </c:pt>
                <c:pt idx="127">
                  <c:v>1.2381496568073058</c:v>
                </c:pt>
                <c:pt idx="128">
                  <c:v>1.5318408568073059</c:v>
                </c:pt>
                <c:pt idx="129">
                  <c:v>1.6142479992517256</c:v>
                </c:pt>
                <c:pt idx="130">
                  <c:v>1.4832418534896581</c:v>
                </c:pt>
                <c:pt idx="131">
                  <c:v>1.4254142892894595</c:v>
                </c:pt>
                <c:pt idx="132">
                  <c:v>1.4053967019924407</c:v>
                </c:pt>
                <c:pt idx="133">
                  <c:v>1.4053967019924407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FE-C249-9F41-D5DF3891B2CB}"/>
            </c:ext>
          </c:extLst>
        </c:ser>
        <c:ser>
          <c:idx val="5"/>
          <c:order val="5"/>
          <c:tx>
            <c:strRef>
              <c:f>預測畫圖!$B$17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預測畫圖!$C$17:$EF$17</c:f>
              <c:numCache>
                <c:formatCode>General</c:formatCode>
                <c:ptCount val="134"/>
                <c:pt idx="0">
                  <c:v>1.038483447742689E-2</c:v>
                </c:pt>
                <c:pt idx="1">
                  <c:v>0.13677383447742689</c:v>
                </c:pt>
                <c:pt idx="2">
                  <c:v>9.3056279597705877E-2</c:v>
                </c:pt>
                <c:pt idx="3">
                  <c:v>0.27709486120383586</c:v>
                </c:pt>
                <c:pt idx="4">
                  <c:v>0.13325271009127138</c:v>
                </c:pt>
                <c:pt idx="5">
                  <c:v>9.5408633062978976E-2</c:v>
                </c:pt>
                <c:pt idx="6">
                  <c:v>-5.1846975064494011E-2</c:v>
                </c:pt>
                <c:pt idx="7">
                  <c:v>8.588350627148307E-3</c:v>
                </c:pt>
                <c:pt idx="8">
                  <c:v>0.2154683766305438</c:v>
                </c:pt>
                <c:pt idx="9">
                  <c:v>0.15824220976559938</c:v>
                </c:pt>
                <c:pt idx="10">
                  <c:v>5.8557616357388126E-2</c:v>
                </c:pt>
                <c:pt idx="11">
                  <c:v>0.19760829221818793</c:v>
                </c:pt>
                <c:pt idx="12">
                  <c:v>0.3273907507485414</c:v>
                </c:pt>
                <c:pt idx="13">
                  <c:v>0.36728247360864413</c:v>
                </c:pt>
                <c:pt idx="14">
                  <c:v>0.62459254770289641</c:v>
                </c:pt>
                <c:pt idx="15">
                  <c:v>0.72016785880952661</c:v>
                </c:pt>
                <c:pt idx="16">
                  <c:v>0.9293273342844911</c:v>
                </c:pt>
                <c:pt idx="17">
                  <c:v>0.94336769862469605</c:v>
                </c:pt>
                <c:pt idx="18">
                  <c:v>1.0296461162364541</c:v>
                </c:pt>
                <c:pt idx="19">
                  <c:v>1.1350168866258086</c:v>
                </c:pt>
                <c:pt idx="20">
                  <c:v>1.4579374353139956</c:v>
                </c:pt>
                <c:pt idx="21">
                  <c:v>1.6657384353139957</c:v>
                </c:pt>
                <c:pt idx="22">
                  <c:v>1.7584676592602002</c:v>
                </c:pt>
                <c:pt idx="23">
                  <c:v>1.8726716464829247</c:v>
                </c:pt>
                <c:pt idx="24">
                  <c:v>1.8921626900230186</c:v>
                </c:pt>
                <c:pt idx="25">
                  <c:v>1.7623231076259489</c:v>
                </c:pt>
                <c:pt idx="26">
                  <c:v>1.7811508443327491</c:v>
                </c:pt>
                <c:pt idx="27">
                  <c:v>1.807084120330184</c:v>
                </c:pt>
                <c:pt idx="28">
                  <c:v>1.9351890991264298</c:v>
                </c:pt>
                <c:pt idx="29">
                  <c:v>1.6400448410430664</c:v>
                </c:pt>
                <c:pt idx="30">
                  <c:v>1.6289982689366225</c:v>
                </c:pt>
                <c:pt idx="31">
                  <c:v>1.8693495245953893</c:v>
                </c:pt>
                <c:pt idx="32">
                  <c:v>1.8016198440002382</c:v>
                </c:pt>
                <c:pt idx="33">
                  <c:v>1.722678679988539</c:v>
                </c:pt>
                <c:pt idx="34">
                  <c:v>1.7409970488978517</c:v>
                </c:pt>
                <c:pt idx="35">
                  <c:v>1.8063768716309623</c:v>
                </c:pt>
                <c:pt idx="36">
                  <c:v>1.8749126790785928</c:v>
                </c:pt>
                <c:pt idx="37">
                  <c:v>1.9868687351416872</c:v>
                </c:pt>
                <c:pt idx="38">
                  <c:v>2.0724365100555744</c:v>
                </c:pt>
                <c:pt idx="39">
                  <c:v>2.0534927600555744</c:v>
                </c:pt>
                <c:pt idx="40">
                  <c:v>1.9766272530450266</c:v>
                </c:pt>
                <c:pt idx="41">
                  <c:v>2.0246155030450268</c:v>
                </c:pt>
                <c:pt idx="42">
                  <c:v>2.0890713716916562</c:v>
                </c:pt>
                <c:pt idx="43">
                  <c:v>2.3539096292396535</c:v>
                </c:pt>
                <c:pt idx="44">
                  <c:v>2.4173649588529336</c:v>
                </c:pt>
                <c:pt idx="45">
                  <c:v>2.4682642088529336</c:v>
                </c:pt>
                <c:pt idx="46">
                  <c:v>2.4584731788988363</c:v>
                </c:pt>
                <c:pt idx="47">
                  <c:v>2.240754876381799</c:v>
                </c:pt>
                <c:pt idx="48">
                  <c:v>2.3064771711143059</c:v>
                </c:pt>
                <c:pt idx="49">
                  <c:v>2.2134177769857128</c:v>
                </c:pt>
                <c:pt idx="50">
                  <c:v>2.1423855953376272</c:v>
                </c:pt>
                <c:pt idx="51">
                  <c:v>2.4368988453376272</c:v>
                </c:pt>
                <c:pt idx="52">
                  <c:v>2.4752199930628209</c:v>
                </c:pt>
                <c:pt idx="53">
                  <c:v>2.4534691296921931</c:v>
                </c:pt>
                <c:pt idx="54">
                  <c:v>2.4471185962947914</c:v>
                </c:pt>
                <c:pt idx="55">
                  <c:v>2.6462358127253944</c:v>
                </c:pt>
                <c:pt idx="56">
                  <c:v>2.6828710019422068</c:v>
                </c:pt>
                <c:pt idx="57">
                  <c:v>2.6065496388034517</c:v>
                </c:pt>
                <c:pt idx="58">
                  <c:v>2.7604242848957083</c:v>
                </c:pt>
                <c:pt idx="59">
                  <c:v>2.7924067993067005</c:v>
                </c:pt>
                <c:pt idx="60">
                  <c:v>2.7094336374166348</c:v>
                </c:pt>
                <c:pt idx="61">
                  <c:v>2.7967744278843329</c:v>
                </c:pt>
                <c:pt idx="62">
                  <c:v>2.8375697139130538</c:v>
                </c:pt>
                <c:pt idx="63">
                  <c:v>3.025817216505442</c:v>
                </c:pt>
                <c:pt idx="64">
                  <c:v>3.0896744529191222</c:v>
                </c:pt>
                <c:pt idx="65">
                  <c:v>3.0854944529191224</c:v>
                </c:pt>
                <c:pt idx="66">
                  <c:v>3.0126037098847793</c:v>
                </c:pt>
                <c:pt idx="67">
                  <c:v>3.0249275720686439</c:v>
                </c:pt>
                <c:pt idx="68">
                  <c:v>3.0906693930289912</c:v>
                </c:pt>
                <c:pt idx="69">
                  <c:v>2.997717189680734</c:v>
                </c:pt>
                <c:pt idx="70">
                  <c:v>3.133213651879303</c:v>
                </c:pt>
                <c:pt idx="71">
                  <c:v>3.1139734018793028</c:v>
                </c:pt>
                <c:pt idx="72">
                  <c:v>3.2984340725997119</c:v>
                </c:pt>
                <c:pt idx="73">
                  <c:v>3.2100547378120732</c:v>
                </c:pt>
                <c:pt idx="74">
                  <c:v>3.1951349878120734</c:v>
                </c:pt>
                <c:pt idx="75">
                  <c:v>3.1474720590913576</c:v>
                </c:pt>
                <c:pt idx="76">
                  <c:v>3.086954455788959</c:v>
                </c:pt>
                <c:pt idx="77">
                  <c:v>2.879084205788959</c:v>
                </c:pt>
                <c:pt idx="78">
                  <c:v>2.8710647057889589</c:v>
                </c:pt>
                <c:pt idx="79">
                  <c:v>2.7202763155866783</c:v>
                </c:pt>
                <c:pt idx="80">
                  <c:v>2.3252003731216329</c:v>
                </c:pt>
                <c:pt idx="81">
                  <c:v>2.2106742155104646</c:v>
                </c:pt>
                <c:pt idx="82">
                  <c:v>2.1255888800363336</c:v>
                </c:pt>
                <c:pt idx="83">
                  <c:v>2.282215320663302</c:v>
                </c:pt>
                <c:pt idx="84">
                  <c:v>2.355398047738301</c:v>
                </c:pt>
                <c:pt idx="85">
                  <c:v>2.4410258047548035</c:v>
                </c:pt>
                <c:pt idx="86">
                  <c:v>2.5081854350516593</c:v>
                </c:pt>
                <c:pt idx="87">
                  <c:v>2.3207523135109325</c:v>
                </c:pt>
                <c:pt idx="88">
                  <c:v>2.5462553019143037</c:v>
                </c:pt>
                <c:pt idx="89">
                  <c:v>2.5157164117105282</c:v>
                </c:pt>
                <c:pt idx="90">
                  <c:v>2.2779244305711357</c:v>
                </c:pt>
                <c:pt idx="91">
                  <c:v>2.0552243696932231</c:v>
                </c:pt>
                <c:pt idx="92">
                  <c:v>2.0781365638627194</c:v>
                </c:pt>
                <c:pt idx="93">
                  <c:v>1.8390765975014516</c:v>
                </c:pt>
                <c:pt idx="94">
                  <c:v>1.8699838475014516</c:v>
                </c:pt>
                <c:pt idx="95">
                  <c:v>1.7839112906300556</c:v>
                </c:pt>
                <c:pt idx="96">
                  <c:v>1.9428279129475057</c:v>
                </c:pt>
                <c:pt idx="97">
                  <c:v>1.8112001629475056</c:v>
                </c:pt>
                <c:pt idx="98">
                  <c:v>1.8495456798191883</c:v>
                </c:pt>
                <c:pt idx="99">
                  <c:v>1.6925768329075768</c:v>
                </c:pt>
                <c:pt idx="100">
                  <c:v>1.5401245266622576</c:v>
                </c:pt>
                <c:pt idx="101">
                  <c:v>1.5262773202505571</c:v>
                </c:pt>
                <c:pt idx="102">
                  <c:v>1.5274695767072888</c:v>
                </c:pt>
                <c:pt idx="103">
                  <c:v>1.5790940103834434</c:v>
                </c:pt>
                <c:pt idx="104">
                  <c:v>1.6241415696067341</c:v>
                </c:pt>
                <c:pt idx="105">
                  <c:v>1.6269603639978047</c:v>
                </c:pt>
                <c:pt idx="106">
                  <c:v>1.6559381010581313</c:v>
                </c:pt>
                <c:pt idx="107">
                  <c:v>1.8047470035478743</c:v>
                </c:pt>
                <c:pt idx="108">
                  <c:v>1.9529319346796039</c:v>
                </c:pt>
                <c:pt idx="109">
                  <c:v>1.8714949346796039</c:v>
                </c:pt>
                <c:pt idx="110">
                  <c:v>1.9616441373974245</c:v>
                </c:pt>
                <c:pt idx="111">
                  <c:v>1.8050384189337829</c:v>
                </c:pt>
                <c:pt idx="112">
                  <c:v>1.7840723567817645</c:v>
                </c:pt>
                <c:pt idx="113">
                  <c:v>1.7968093482827776</c:v>
                </c:pt>
                <c:pt idx="114">
                  <c:v>1.7925547842618921</c:v>
                </c:pt>
                <c:pt idx="115">
                  <c:v>2.0128504251264197</c:v>
                </c:pt>
                <c:pt idx="116">
                  <c:v>1.9942916160686321</c:v>
                </c:pt>
                <c:pt idx="117">
                  <c:v>2.018557771162198</c:v>
                </c:pt>
                <c:pt idx="118">
                  <c:v>1.9481350723540147</c:v>
                </c:pt>
                <c:pt idx="119">
                  <c:v>1.8945783223540147</c:v>
                </c:pt>
                <c:pt idx="120">
                  <c:v>1.8099728887484787</c:v>
                </c:pt>
                <c:pt idx="121">
                  <c:v>1.8047576984017994</c:v>
                </c:pt>
                <c:pt idx="122">
                  <c:v>1.4649510595442314</c:v>
                </c:pt>
                <c:pt idx="123">
                  <c:v>1.3100528084143268</c:v>
                </c:pt>
                <c:pt idx="124">
                  <c:v>1.4383006770784479</c:v>
                </c:pt>
                <c:pt idx="125">
                  <c:v>1.5551295669532303</c:v>
                </c:pt>
                <c:pt idx="126">
                  <c:v>1.3294676857652412</c:v>
                </c:pt>
                <c:pt idx="127">
                  <c:v>1.5093587074901416</c:v>
                </c:pt>
                <c:pt idx="128">
                  <c:v>1.7754164574901417</c:v>
                </c:pt>
                <c:pt idx="129">
                  <c:v>1.8017186514886756</c:v>
                </c:pt>
                <c:pt idx="130">
                  <c:v>1.6616246335364497</c:v>
                </c:pt>
                <c:pt idx="131">
                  <c:v>1.7907798368736361</c:v>
                </c:pt>
                <c:pt idx="132">
                  <c:v>1.8017357822805105</c:v>
                </c:pt>
                <c:pt idx="133">
                  <c:v>1.8017357822805105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FE-C249-9F41-D5DF3891B2CB}"/>
            </c:ext>
          </c:extLst>
        </c:ser>
        <c:ser>
          <c:idx val="6"/>
          <c:order val="6"/>
          <c:tx>
            <c:strRef>
              <c:f>預測畫圖!$B$18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預測畫圖!$C$18:$EF$18</c:f>
              <c:numCache>
                <c:formatCode>General</c:formatCode>
                <c:ptCount val="134"/>
                <c:pt idx="0">
                  <c:v>2.5922326608526759E-2</c:v>
                </c:pt>
                <c:pt idx="1">
                  <c:v>0.16835165994186005</c:v>
                </c:pt>
                <c:pt idx="2">
                  <c:v>0.14612124768262191</c:v>
                </c:pt>
                <c:pt idx="3">
                  <c:v>0.21395230860389947</c:v>
                </c:pt>
                <c:pt idx="4">
                  <c:v>0.11006794531356537</c:v>
                </c:pt>
                <c:pt idx="5">
                  <c:v>-0.11973759917783522</c:v>
                </c:pt>
                <c:pt idx="6">
                  <c:v>-0.24323076851590503</c:v>
                </c:pt>
                <c:pt idx="7">
                  <c:v>-0.19063217925056211</c:v>
                </c:pt>
                <c:pt idx="8">
                  <c:v>5.4733733432193593E-2</c:v>
                </c:pt>
                <c:pt idx="9">
                  <c:v>-5.2753435219048211E-2</c:v>
                </c:pt>
                <c:pt idx="10">
                  <c:v>-0.12685349398962076</c:v>
                </c:pt>
                <c:pt idx="11">
                  <c:v>-2.8822633181987994E-2</c:v>
                </c:pt>
                <c:pt idx="12">
                  <c:v>0.1146577128222844</c:v>
                </c:pt>
                <c:pt idx="13">
                  <c:v>0.15751620134127431</c:v>
                </c:pt>
                <c:pt idx="14">
                  <c:v>0.43429309517432613</c:v>
                </c:pt>
                <c:pt idx="15">
                  <c:v>0.4709215294459142</c:v>
                </c:pt>
                <c:pt idx="16">
                  <c:v>0.71797815897564377</c:v>
                </c:pt>
                <c:pt idx="17">
                  <c:v>0.73821677145247777</c:v>
                </c:pt>
                <c:pt idx="18">
                  <c:v>0.84880679485498201</c:v>
                </c:pt>
                <c:pt idx="19">
                  <c:v>0.90583092948927169</c:v>
                </c:pt>
                <c:pt idx="20">
                  <c:v>1.2520244147885202</c:v>
                </c:pt>
                <c:pt idx="21">
                  <c:v>1.5092264147885202</c:v>
                </c:pt>
                <c:pt idx="22">
                  <c:v>1.5571647469682885</c:v>
                </c:pt>
                <c:pt idx="23">
                  <c:v>1.6327130161141346</c:v>
                </c:pt>
                <c:pt idx="24">
                  <c:v>1.6397610330009913</c:v>
                </c:pt>
                <c:pt idx="25">
                  <c:v>1.5053248202876657</c:v>
                </c:pt>
                <c:pt idx="26">
                  <c:v>1.5911012810030982</c:v>
                </c:pt>
                <c:pt idx="27">
                  <c:v>1.6096950302177595</c:v>
                </c:pt>
                <c:pt idx="28">
                  <c:v>1.7405188730340937</c:v>
                </c:pt>
                <c:pt idx="29">
                  <c:v>1.3106021049854817</c:v>
                </c:pt>
                <c:pt idx="30">
                  <c:v>1.2997900044186395</c:v>
                </c:pt>
                <c:pt idx="31">
                  <c:v>1.5474122505820407</c:v>
                </c:pt>
                <c:pt idx="32">
                  <c:v>1.4800193495708547</c:v>
                </c:pt>
                <c:pt idx="33">
                  <c:v>1.4341532200727001</c:v>
                </c:pt>
                <c:pt idx="34">
                  <c:v>1.5127289887776143</c:v>
                </c:pt>
                <c:pt idx="35">
                  <c:v>1.5530699555845147</c:v>
                </c:pt>
                <c:pt idx="36">
                  <c:v>1.6371588590522181</c:v>
                </c:pt>
                <c:pt idx="37">
                  <c:v>1.7482916687157775</c:v>
                </c:pt>
                <c:pt idx="38">
                  <c:v>1.9064445440095044</c:v>
                </c:pt>
                <c:pt idx="39">
                  <c:v>1.8859512106761711</c:v>
                </c:pt>
                <c:pt idx="40">
                  <c:v>1.806525093197578</c:v>
                </c:pt>
                <c:pt idx="41">
                  <c:v>1.8744497598642447</c:v>
                </c:pt>
                <c:pt idx="42">
                  <c:v>1.9572601987627947</c:v>
                </c:pt>
                <c:pt idx="43">
                  <c:v>1.9749885697572314</c:v>
                </c:pt>
                <c:pt idx="44">
                  <c:v>2.0849031670754159</c:v>
                </c:pt>
                <c:pt idx="45">
                  <c:v>2.1445508337420827</c:v>
                </c:pt>
                <c:pt idx="46">
                  <c:v>2.1747002229490917</c:v>
                </c:pt>
                <c:pt idx="47">
                  <c:v>2.1845754089547857</c:v>
                </c:pt>
                <c:pt idx="48">
                  <c:v>2.2830316850841492</c:v>
                </c:pt>
                <c:pt idx="49">
                  <c:v>2.0555461888506956</c:v>
                </c:pt>
                <c:pt idx="50">
                  <c:v>2.0099477636832335</c:v>
                </c:pt>
                <c:pt idx="51">
                  <c:v>2.3794990970165668</c:v>
                </c:pt>
                <c:pt idx="52">
                  <c:v>2.2486621588936115</c:v>
                </c:pt>
                <c:pt idx="53">
                  <c:v>2.2264879774277833</c:v>
                </c:pt>
                <c:pt idx="54">
                  <c:v>2.204271794033303</c:v>
                </c:pt>
                <c:pt idx="55">
                  <c:v>2.4033742425817417</c:v>
                </c:pt>
                <c:pt idx="56">
                  <c:v>2.4496537547501278</c:v>
                </c:pt>
                <c:pt idx="57">
                  <c:v>2.3216932124119958</c:v>
                </c:pt>
                <c:pt idx="58">
                  <c:v>2.4090112715891716</c:v>
                </c:pt>
                <c:pt idx="59">
                  <c:v>2.398777296140068</c:v>
                </c:pt>
                <c:pt idx="60">
                  <c:v>2.3779225408103013</c:v>
                </c:pt>
                <c:pt idx="61">
                  <c:v>2.5173939312111648</c:v>
                </c:pt>
                <c:pt idx="62">
                  <c:v>2.5198244144566981</c:v>
                </c:pt>
                <c:pt idx="63">
                  <c:v>2.4913056079927229</c:v>
                </c:pt>
                <c:pt idx="64">
                  <c:v>2.5417900371054731</c:v>
                </c:pt>
                <c:pt idx="65">
                  <c:v>2.5412500371054731</c:v>
                </c:pt>
                <c:pt idx="66">
                  <c:v>2.4500218459110639</c:v>
                </c:pt>
                <c:pt idx="67">
                  <c:v>2.4708354553775167</c:v>
                </c:pt>
                <c:pt idx="68">
                  <c:v>2.5678830450820618</c:v>
                </c:pt>
                <c:pt idx="69">
                  <c:v>2.6350262604997869</c:v>
                </c:pt>
                <c:pt idx="70">
                  <c:v>2.8479750266377972</c:v>
                </c:pt>
                <c:pt idx="71">
                  <c:v>2.8472943599711305</c:v>
                </c:pt>
                <c:pt idx="72">
                  <c:v>2.9794661515069119</c:v>
                </c:pt>
                <c:pt idx="73">
                  <c:v>2.8265287812569198</c:v>
                </c:pt>
                <c:pt idx="74">
                  <c:v>2.8588791145902532</c:v>
                </c:pt>
                <c:pt idx="75">
                  <c:v>2.8116213787273612</c:v>
                </c:pt>
                <c:pt idx="76">
                  <c:v>2.7841313002470378</c:v>
                </c:pt>
                <c:pt idx="77">
                  <c:v>2.5293913002470378</c:v>
                </c:pt>
                <c:pt idx="78">
                  <c:v>2.4042863002470378</c:v>
                </c:pt>
                <c:pt idx="79">
                  <c:v>2.0885146400441887</c:v>
                </c:pt>
                <c:pt idx="80">
                  <c:v>1.6951273009399106</c:v>
                </c:pt>
                <c:pt idx="81">
                  <c:v>1.5943569439058458</c:v>
                </c:pt>
                <c:pt idx="82">
                  <c:v>1.3872716112723329</c:v>
                </c:pt>
                <c:pt idx="83">
                  <c:v>1.5408778960818763</c:v>
                </c:pt>
                <c:pt idx="84">
                  <c:v>1.6054952188922504</c:v>
                </c:pt>
                <c:pt idx="85">
                  <c:v>1.7088747239818132</c:v>
                </c:pt>
                <c:pt idx="86">
                  <c:v>1.8197982642685955</c:v>
                </c:pt>
                <c:pt idx="87">
                  <c:v>1.72480125224505</c:v>
                </c:pt>
                <c:pt idx="88">
                  <c:v>2.0452332559028754</c:v>
                </c:pt>
                <c:pt idx="89">
                  <c:v>2.053780027723783</c:v>
                </c:pt>
                <c:pt idx="90">
                  <c:v>1.8684942698185563</c:v>
                </c:pt>
                <c:pt idx="91">
                  <c:v>1.6090857128491538</c:v>
                </c:pt>
                <c:pt idx="92">
                  <c:v>1.6262453283682776</c:v>
                </c:pt>
                <c:pt idx="93">
                  <c:v>1.3794725583763909</c:v>
                </c:pt>
                <c:pt idx="94">
                  <c:v>1.4039118917097242</c:v>
                </c:pt>
                <c:pt idx="95">
                  <c:v>1.2778205135209526</c:v>
                </c:pt>
                <c:pt idx="96">
                  <c:v>1.4451744247073208</c:v>
                </c:pt>
                <c:pt idx="97">
                  <c:v>1.2621290913739873</c:v>
                </c:pt>
                <c:pt idx="98">
                  <c:v>1.285013133705972</c:v>
                </c:pt>
                <c:pt idx="99">
                  <c:v>1.2307198382321682</c:v>
                </c:pt>
                <c:pt idx="100">
                  <c:v>1.0682799695187215</c:v>
                </c:pt>
                <c:pt idx="101">
                  <c:v>1.0606927230775824</c:v>
                </c:pt>
                <c:pt idx="102">
                  <c:v>1.0567009691956584</c:v>
                </c:pt>
                <c:pt idx="103">
                  <c:v>1.1150844760241505</c:v>
                </c:pt>
                <c:pt idx="104">
                  <c:v>1.1358092604683081</c:v>
                </c:pt>
                <c:pt idx="105">
                  <c:v>1.1675194295941336</c:v>
                </c:pt>
                <c:pt idx="106">
                  <c:v>1.1497629260922007</c:v>
                </c:pt>
                <c:pt idx="107">
                  <c:v>1.2468346317284276</c:v>
                </c:pt>
                <c:pt idx="108">
                  <c:v>1.3349560422314912</c:v>
                </c:pt>
                <c:pt idx="109">
                  <c:v>1.2535007088981578</c:v>
                </c:pt>
                <c:pt idx="110">
                  <c:v>1.3346062527384279</c:v>
                </c:pt>
                <c:pt idx="111">
                  <c:v>1.1809064899080983</c:v>
                </c:pt>
                <c:pt idx="112">
                  <c:v>1.1575603132751369</c:v>
                </c:pt>
                <c:pt idx="113">
                  <c:v>1.1607736440182757</c:v>
                </c:pt>
                <c:pt idx="114">
                  <c:v>1.1180970949022349</c:v>
                </c:pt>
                <c:pt idx="115">
                  <c:v>1.4234721231744381</c:v>
                </c:pt>
                <c:pt idx="116">
                  <c:v>1.447240791461887</c:v>
                </c:pt>
                <c:pt idx="117">
                  <c:v>1.4574680493147909</c:v>
                </c:pt>
                <c:pt idx="118">
                  <c:v>1.2920638827701509</c:v>
                </c:pt>
                <c:pt idx="119">
                  <c:v>1.2208278827701509</c:v>
                </c:pt>
                <c:pt idx="120">
                  <c:v>1.0913040434009458</c:v>
                </c:pt>
                <c:pt idx="121">
                  <c:v>1.1184327973791159</c:v>
                </c:pt>
                <c:pt idx="122">
                  <c:v>0.74316392503714379</c:v>
                </c:pt>
                <c:pt idx="123">
                  <c:v>0.58610155548739296</c:v>
                </c:pt>
                <c:pt idx="124">
                  <c:v>0.66449127919439011</c:v>
                </c:pt>
                <c:pt idx="125">
                  <c:v>0.82884340323592931</c:v>
                </c:pt>
                <c:pt idx="126">
                  <c:v>0.51108903087144686</c:v>
                </c:pt>
                <c:pt idx="127">
                  <c:v>0.67671527709720247</c:v>
                </c:pt>
                <c:pt idx="128">
                  <c:v>0.81707161043053578</c:v>
                </c:pt>
                <c:pt idx="129">
                  <c:v>0.94683756073660486</c:v>
                </c:pt>
                <c:pt idx="130">
                  <c:v>0.97526637251465575</c:v>
                </c:pt>
                <c:pt idx="131">
                  <c:v>1.1589483590188117</c:v>
                </c:pt>
                <c:pt idx="132">
                  <c:v>1.1948477162148805</c:v>
                </c:pt>
                <c:pt idx="133">
                  <c:v>1.1948477162148805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FE-C249-9F41-D5DF3891B2CB}"/>
            </c:ext>
          </c:extLst>
        </c:ser>
        <c:ser>
          <c:idx val="7"/>
          <c:order val="7"/>
          <c:tx>
            <c:strRef>
              <c:f>預測畫圖!$B$19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預測畫圖!$C$19:$EF$19</c:f>
              <c:numCache>
                <c:formatCode>General</c:formatCode>
                <c:ptCount val="134"/>
                <c:pt idx="0">
                  <c:v>-1.74467705393903E-2</c:v>
                </c:pt>
                <c:pt idx="1">
                  <c:v>3.2542899924253299E-3</c:v>
                </c:pt>
                <c:pt idx="2">
                  <c:v>2.7236419247192039E-2</c:v>
                </c:pt>
                <c:pt idx="3">
                  <c:v>2.0678840274368962E-2</c:v>
                </c:pt>
                <c:pt idx="4">
                  <c:v>5.2523970074888654E-2</c:v>
                </c:pt>
                <c:pt idx="5">
                  <c:v>8.6872502811879165E-2</c:v>
                </c:pt>
                <c:pt idx="6">
                  <c:v>7.8617570030553932E-2</c:v>
                </c:pt>
                <c:pt idx="7">
                  <c:v>9.146109442460669E-2</c:v>
                </c:pt>
                <c:pt idx="8">
                  <c:v>4.0442569797815867E-2</c:v>
                </c:pt>
                <c:pt idx="9">
                  <c:v>4.1316512538852455E-2</c:v>
                </c:pt>
                <c:pt idx="10">
                  <c:v>6.4706088044348381E-2</c:v>
                </c:pt>
                <c:pt idx="11">
                  <c:v>7.769506024468123E-2</c:v>
                </c:pt>
                <c:pt idx="12">
                  <c:v>8.3549648970316109E-2</c:v>
                </c:pt>
                <c:pt idx="13">
                  <c:v>0.11096285554210666</c:v>
                </c:pt>
                <c:pt idx="14">
                  <c:v>0.10724991942441381</c:v>
                </c:pt>
                <c:pt idx="15">
                  <c:v>0.13132653347223713</c:v>
                </c:pt>
                <c:pt idx="16">
                  <c:v>0.11913650817319718</c:v>
                </c:pt>
                <c:pt idx="17">
                  <c:v>7.9386930013607582E-2</c:v>
                </c:pt>
                <c:pt idx="18">
                  <c:v>6.2314801819580296E-3</c:v>
                </c:pt>
                <c:pt idx="19">
                  <c:v>-5.2028749728156631E-2</c:v>
                </c:pt>
                <c:pt idx="20">
                  <c:v>-5.1255952162648256E-2</c:v>
                </c:pt>
                <c:pt idx="21">
                  <c:v>-6.6644310274292864E-3</c:v>
                </c:pt>
                <c:pt idx="22">
                  <c:v>-3.4364111077642381E-2</c:v>
                </c:pt>
                <c:pt idx="23">
                  <c:v>-3.2269105127898733E-2</c:v>
                </c:pt>
                <c:pt idx="24">
                  <c:v>-5.5669656120462846E-2</c:v>
                </c:pt>
                <c:pt idx="25">
                  <c:v>-2.3540285023140657E-2</c:v>
                </c:pt>
                <c:pt idx="26">
                  <c:v>1.5362988070925773E-2</c:v>
                </c:pt>
                <c:pt idx="27">
                  <c:v>-2.7502394100178497E-2</c:v>
                </c:pt>
                <c:pt idx="28">
                  <c:v>-8.8551995500263381E-3</c:v>
                </c:pt>
                <c:pt idx="29">
                  <c:v>6.3745687725026111E-3</c:v>
                </c:pt>
                <c:pt idx="30">
                  <c:v>4.2391172551395032E-2</c:v>
                </c:pt>
                <c:pt idx="31">
                  <c:v>5.1745783936711198E-2</c:v>
                </c:pt>
                <c:pt idx="32">
                  <c:v>6.2494035273549339E-2</c:v>
                </c:pt>
                <c:pt idx="33">
                  <c:v>7.5851789326630309E-2</c:v>
                </c:pt>
                <c:pt idx="34">
                  <c:v>7.051904199753492E-2</c:v>
                </c:pt>
                <c:pt idx="35">
                  <c:v>7.1902177804796602E-2</c:v>
                </c:pt>
                <c:pt idx="36">
                  <c:v>9.2698106224871069E-2</c:v>
                </c:pt>
                <c:pt idx="37">
                  <c:v>0.1242158084452617</c:v>
                </c:pt>
                <c:pt idx="38">
                  <c:v>0.13045752497859114</c:v>
                </c:pt>
                <c:pt idx="39">
                  <c:v>0.13660278663216252</c:v>
                </c:pt>
                <c:pt idx="40">
                  <c:v>0.15354914430885902</c:v>
                </c:pt>
                <c:pt idx="41">
                  <c:v>0.18823197476316725</c:v>
                </c:pt>
                <c:pt idx="42">
                  <c:v>0.19133056338036422</c:v>
                </c:pt>
                <c:pt idx="43">
                  <c:v>0.20641191052385033</c:v>
                </c:pt>
                <c:pt idx="44">
                  <c:v>0.18716070129398635</c:v>
                </c:pt>
                <c:pt idx="45">
                  <c:v>0.22587221468161778</c:v>
                </c:pt>
                <c:pt idx="46">
                  <c:v>0.20401526354588118</c:v>
                </c:pt>
                <c:pt idx="47">
                  <c:v>0.21178956425567086</c:v>
                </c:pt>
                <c:pt idx="48">
                  <c:v>0.25418681095099682</c:v>
                </c:pt>
                <c:pt idx="49">
                  <c:v>0.22787783608983708</c:v>
                </c:pt>
                <c:pt idx="50">
                  <c:v>0.23744958539855332</c:v>
                </c:pt>
                <c:pt idx="51">
                  <c:v>0.21319984413227849</c:v>
                </c:pt>
                <c:pt idx="52">
                  <c:v>0.23336321827619433</c:v>
                </c:pt>
                <c:pt idx="53">
                  <c:v>0.22985821949407831</c:v>
                </c:pt>
                <c:pt idx="54">
                  <c:v>0.2500101545926206</c:v>
                </c:pt>
                <c:pt idx="55">
                  <c:v>0.25059149082339088</c:v>
                </c:pt>
                <c:pt idx="56">
                  <c:v>0.24537178987013827</c:v>
                </c:pt>
                <c:pt idx="57">
                  <c:v>0.12950002846800829</c:v>
                </c:pt>
                <c:pt idx="58">
                  <c:v>0.13822525416044565</c:v>
                </c:pt>
                <c:pt idx="59">
                  <c:v>0.1218479931826235</c:v>
                </c:pt>
                <c:pt idx="60">
                  <c:v>0.14268836478288394</c:v>
                </c:pt>
                <c:pt idx="61">
                  <c:v>0.18766423688499864</c:v>
                </c:pt>
                <c:pt idx="62">
                  <c:v>0.2116185429668625</c:v>
                </c:pt>
                <c:pt idx="63">
                  <c:v>0.24185764435830509</c:v>
                </c:pt>
                <c:pt idx="64">
                  <c:v>0.19813175676721759</c:v>
                </c:pt>
                <c:pt idx="65">
                  <c:v>0.22002122633541621</c:v>
                </c:pt>
                <c:pt idx="66">
                  <c:v>0.22864865659892461</c:v>
                </c:pt>
                <c:pt idx="67">
                  <c:v>0.20945570260426583</c:v>
                </c:pt>
                <c:pt idx="68">
                  <c:v>0.22919083249239888</c:v>
                </c:pt>
                <c:pt idx="69">
                  <c:v>0.2768851699760983</c:v>
                </c:pt>
                <c:pt idx="70">
                  <c:v>0.28833998678268169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FE-C249-9F41-D5DF3891B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585136"/>
        <c:axId val="103586848"/>
      </c:lineChart>
      <c:catAx>
        <c:axId val="10358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3586848"/>
        <c:crosses val="autoZero"/>
        <c:auto val="1"/>
        <c:lblAlgn val="ctr"/>
        <c:lblOffset val="100"/>
        <c:noMultiLvlLbl val="0"/>
      </c:catAx>
      <c:valAx>
        <c:axId val="10358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358513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ＯＬＳ再投資累積報酬!$A$12:$B$12</c:f>
              <c:strCache>
                <c:ptCount val="2"/>
                <c:pt idx="0">
                  <c:v>96</c:v>
                </c:pt>
                <c:pt idx="1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ＯＬＳ再投資累積報酬!$C$10:$EF$11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ＯＬＳ再投資累積報酬!$C$12:$EF$12</c:f>
              <c:numCache>
                <c:formatCode>General</c:formatCode>
                <c:ptCount val="134"/>
                <c:pt idx="0">
                  <c:v>1.4499246984096104E-2</c:v>
                </c:pt>
                <c:pt idx="1">
                  <c:v>0.13085065443953203</c:v>
                </c:pt>
                <c:pt idx="2">
                  <c:v>0.12927456013038485</c:v>
                </c:pt>
                <c:pt idx="3">
                  <c:v>6.6081050492748261E-2</c:v>
                </c:pt>
                <c:pt idx="4">
                  <c:v>3.2022481015443693E-2</c:v>
                </c:pt>
                <c:pt idx="5">
                  <c:v>4.1929131440529899E-2</c:v>
                </c:pt>
                <c:pt idx="6">
                  <c:v>4.1030020515253618E-3</c:v>
                </c:pt>
                <c:pt idx="7">
                  <c:v>4.8067229012812351E-2</c:v>
                </c:pt>
                <c:pt idx="8">
                  <c:v>7.8658213337229554E-2</c:v>
                </c:pt>
                <c:pt idx="9">
                  <c:v>6.9210725009507978E-2</c:v>
                </c:pt>
                <c:pt idx="10">
                  <c:v>9.7960918058617841E-2</c:v>
                </c:pt>
                <c:pt idx="11">
                  <c:v>0.13606384474348365</c:v>
                </c:pt>
                <c:pt idx="12">
                  <c:v>0.15722858766577752</c:v>
                </c:pt>
                <c:pt idx="13">
                  <c:v>0.15693427190837128</c:v>
                </c:pt>
                <c:pt idx="14">
                  <c:v>0.19603030200105054</c:v>
                </c:pt>
                <c:pt idx="15">
                  <c:v>0.18000647856683916</c:v>
                </c:pt>
                <c:pt idx="16">
                  <c:v>0.19305148532012861</c:v>
                </c:pt>
                <c:pt idx="17">
                  <c:v>0.24464319388667333</c:v>
                </c:pt>
                <c:pt idx="18">
                  <c:v>0.26999311632651657</c:v>
                </c:pt>
                <c:pt idx="19">
                  <c:v>0.25791427065668282</c:v>
                </c:pt>
                <c:pt idx="20">
                  <c:v>0.2936612543046766</c:v>
                </c:pt>
                <c:pt idx="21">
                  <c:v>0.32868550221276971</c:v>
                </c:pt>
                <c:pt idx="22">
                  <c:v>0.30131671536365312</c:v>
                </c:pt>
                <c:pt idx="23">
                  <c:v>0.38411127795521294</c:v>
                </c:pt>
                <c:pt idx="24">
                  <c:v>0.32957222581720558</c:v>
                </c:pt>
                <c:pt idx="25">
                  <c:v>0.28345054788965762</c:v>
                </c:pt>
                <c:pt idx="26">
                  <c:v>0.34348131058015996</c:v>
                </c:pt>
                <c:pt idx="27">
                  <c:v>0.34008172539417658</c:v>
                </c:pt>
                <c:pt idx="28">
                  <c:v>0.40231206086863436</c:v>
                </c:pt>
                <c:pt idx="29">
                  <c:v>0.32937486183363407</c:v>
                </c:pt>
                <c:pt idx="30">
                  <c:v>0.33444633443470329</c:v>
                </c:pt>
                <c:pt idx="31">
                  <c:v>0.35541453475096874</c:v>
                </c:pt>
                <c:pt idx="32">
                  <c:v>0.36733376891056402</c:v>
                </c:pt>
                <c:pt idx="33">
                  <c:v>0.39293476425190432</c:v>
                </c:pt>
                <c:pt idx="34">
                  <c:v>0.36998565109865456</c:v>
                </c:pt>
                <c:pt idx="35">
                  <c:v>0.39445222898161547</c:v>
                </c:pt>
                <c:pt idx="36">
                  <c:v>0.43640587995900137</c:v>
                </c:pt>
                <c:pt idx="37">
                  <c:v>0.5358529048153895</c:v>
                </c:pt>
                <c:pt idx="38">
                  <c:v>0.55888374226888105</c:v>
                </c:pt>
                <c:pt idx="39">
                  <c:v>0.56610708990264103</c:v>
                </c:pt>
                <c:pt idx="40">
                  <c:v>0.57804385851958928</c:v>
                </c:pt>
                <c:pt idx="41">
                  <c:v>0.58988607496241019</c:v>
                </c:pt>
                <c:pt idx="42">
                  <c:v>0.62025245136924134</c:v>
                </c:pt>
                <c:pt idx="43">
                  <c:v>0.73722719660331393</c:v>
                </c:pt>
                <c:pt idx="44">
                  <c:v>0.73077594010409097</c:v>
                </c:pt>
                <c:pt idx="45">
                  <c:v>0.69306251265838315</c:v>
                </c:pt>
                <c:pt idx="46">
                  <c:v>0.69201031321670148</c:v>
                </c:pt>
                <c:pt idx="47">
                  <c:v>0.61638419999890104</c:v>
                </c:pt>
                <c:pt idx="48">
                  <c:v>0.58811150403218271</c:v>
                </c:pt>
                <c:pt idx="49">
                  <c:v>0.55060896048778929</c:v>
                </c:pt>
                <c:pt idx="50">
                  <c:v>0.55826569415061078</c:v>
                </c:pt>
                <c:pt idx="51">
                  <c:v>0.5672803748148123</c:v>
                </c:pt>
                <c:pt idx="52">
                  <c:v>0.58651527621905863</c:v>
                </c:pt>
                <c:pt idx="53">
                  <c:v>0.60814036303036412</c:v>
                </c:pt>
                <c:pt idx="54">
                  <c:v>0.57821478481969213</c:v>
                </c:pt>
                <c:pt idx="55">
                  <c:v>0.68492885382680746</c:v>
                </c:pt>
                <c:pt idx="56">
                  <c:v>0.74166186148732427</c:v>
                </c:pt>
                <c:pt idx="57">
                  <c:v>0.76643414516124775</c:v>
                </c:pt>
                <c:pt idx="58">
                  <c:v>0.68914193898281639</c:v>
                </c:pt>
                <c:pt idx="59">
                  <c:v>0.73080145975163524</c:v>
                </c:pt>
                <c:pt idx="60">
                  <c:v>0.72966365943881284</c:v>
                </c:pt>
                <c:pt idx="61">
                  <c:v>0.78523619317971471</c:v>
                </c:pt>
                <c:pt idx="62">
                  <c:v>0.87504372191343416</c:v>
                </c:pt>
                <c:pt idx="63">
                  <c:v>0.89674916648613268</c:v>
                </c:pt>
                <c:pt idx="64">
                  <c:v>0.85075999771725108</c:v>
                </c:pt>
                <c:pt idx="65">
                  <c:v>0.89966170375693522</c:v>
                </c:pt>
                <c:pt idx="66">
                  <c:v>0.9352148392896189</c:v>
                </c:pt>
                <c:pt idx="67">
                  <c:v>0.93083930217884214</c:v>
                </c:pt>
                <c:pt idx="68">
                  <c:v>0.86781119502501269</c:v>
                </c:pt>
                <c:pt idx="69">
                  <c:v>0.89837752050385489</c:v>
                </c:pt>
                <c:pt idx="70">
                  <c:v>0.91504815523853322</c:v>
                </c:pt>
                <c:pt idx="71">
                  <c:v>0.853664518266124</c:v>
                </c:pt>
                <c:pt idx="72">
                  <c:v>0.93610996225886023</c:v>
                </c:pt>
                <c:pt idx="73">
                  <c:v>0.94963398823151479</c:v>
                </c:pt>
                <c:pt idx="74">
                  <c:v>0.86030768902746124</c:v>
                </c:pt>
                <c:pt idx="75">
                  <c:v>0.7759298142071851</c:v>
                </c:pt>
                <c:pt idx="76">
                  <c:v>0.71483731812458395</c:v>
                </c:pt>
                <c:pt idx="77">
                  <c:v>0.59055325095418221</c:v>
                </c:pt>
                <c:pt idx="78">
                  <c:v>0.69483953167929613</c:v>
                </c:pt>
                <c:pt idx="79">
                  <c:v>0.61966447790434098</c:v>
                </c:pt>
                <c:pt idx="80">
                  <c:v>0.63848402101248136</c:v>
                </c:pt>
                <c:pt idx="81">
                  <c:v>0.62534129089325252</c:v>
                </c:pt>
                <c:pt idx="82">
                  <c:v>0.54524778783427319</c:v>
                </c:pt>
                <c:pt idx="83">
                  <c:v>0.57068737581845896</c:v>
                </c:pt>
                <c:pt idx="84">
                  <c:v>0.62660075355882139</c:v>
                </c:pt>
                <c:pt idx="85">
                  <c:v>0.60147761135333422</c:v>
                </c:pt>
                <c:pt idx="86">
                  <c:v>0.69132281251543803</c:v>
                </c:pt>
                <c:pt idx="87">
                  <c:v>0.55865497704758593</c:v>
                </c:pt>
                <c:pt idx="88">
                  <c:v>0.53493267510755893</c:v>
                </c:pt>
                <c:pt idx="89">
                  <c:v>0.57650433306463622</c:v>
                </c:pt>
                <c:pt idx="90">
                  <c:v>0.53737583406405975</c:v>
                </c:pt>
                <c:pt idx="91">
                  <c:v>0.46773421315318586</c:v>
                </c:pt>
                <c:pt idx="92">
                  <c:v>0.55973817387949887</c:v>
                </c:pt>
                <c:pt idx="93">
                  <c:v>0.47058356088345654</c:v>
                </c:pt>
                <c:pt idx="94">
                  <c:v>0.44924640444123565</c:v>
                </c:pt>
                <c:pt idx="95">
                  <c:v>0.43572629309838673</c:v>
                </c:pt>
                <c:pt idx="96">
                  <c:v>0.5430892294731513</c:v>
                </c:pt>
                <c:pt idx="97">
                  <c:v>0.53629434856808933</c:v>
                </c:pt>
                <c:pt idx="98">
                  <c:v>0.55632251005854894</c:v>
                </c:pt>
                <c:pt idx="99">
                  <c:v>0.50846148687920834</c:v>
                </c:pt>
                <c:pt idx="100">
                  <c:v>0.48369164984780033</c:v>
                </c:pt>
                <c:pt idx="101">
                  <c:v>0.465406245138966</c:v>
                </c:pt>
                <c:pt idx="102">
                  <c:v>0.4736180653120825</c:v>
                </c:pt>
                <c:pt idx="103">
                  <c:v>0.50748457289284565</c:v>
                </c:pt>
                <c:pt idx="104">
                  <c:v>0.45627049366736405</c:v>
                </c:pt>
                <c:pt idx="105">
                  <c:v>0.55815197214115431</c:v>
                </c:pt>
                <c:pt idx="106">
                  <c:v>0.59669698157266127</c:v>
                </c:pt>
                <c:pt idx="107">
                  <c:v>0.57813646541420516</c:v>
                </c:pt>
                <c:pt idx="108">
                  <c:v>0.65293133044544671</c:v>
                </c:pt>
                <c:pt idx="109">
                  <c:v>0.55177949173941543</c:v>
                </c:pt>
                <c:pt idx="110">
                  <c:v>0.59830068413937898</c:v>
                </c:pt>
                <c:pt idx="111">
                  <c:v>0.53216612980694644</c:v>
                </c:pt>
                <c:pt idx="112">
                  <c:v>0.53380738406395345</c:v>
                </c:pt>
                <c:pt idx="113">
                  <c:v>0.50517145583732304</c:v>
                </c:pt>
                <c:pt idx="114">
                  <c:v>0.4914089306650562</c:v>
                </c:pt>
                <c:pt idx="115">
                  <c:v>0.4637560563034604</c:v>
                </c:pt>
                <c:pt idx="116">
                  <c:v>0.49161240006146145</c:v>
                </c:pt>
                <c:pt idx="117">
                  <c:v>0.54021576913444247</c:v>
                </c:pt>
                <c:pt idx="118">
                  <c:v>0.42540708844352682</c:v>
                </c:pt>
                <c:pt idx="119">
                  <c:v>0.44973166040781565</c:v>
                </c:pt>
                <c:pt idx="120">
                  <c:v>0.38300880598664366</c:v>
                </c:pt>
                <c:pt idx="121">
                  <c:v>0.4173265673780584</c:v>
                </c:pt>
                <c:pt idx="122">
                  <c:v>0.35243123461333536</c:v>
                </c:pt>
                <c:pt idx="123">
                  <c:v>0.32977606188524589</c:v>
                </c:pt>
                <c:pt idx="124">
                  <c:v>0.38792127047747749</c:v>
                </c:pt>
                <c:pt idx="125">
                  <c:v>0.36280109356554724</c:v>
                </c:pt>
                <c:pt idx="126">
                  <c:v>0.4482871832337223</c:v>
                </c:pt>
                <c:pt idx="127">
                  <c:v>0.47730925096594512</c:v>
                </c:pt>
                <c:pt idx="128">
                  <c:v>0.55279635280130002</c:v>
                </c:pt>
                <c:pt idx="129">
                  <c:v>0.60019666771047109</c:v>
                </c:pt>
                <c:pt idx="130">
                  <c:v>0.57637947151713909</c:v>
                </c:pt>
                <c:pt idx="131">
                  <c:v>0.53942192438572767</c:v>
                </c:pt>
                <c:pt idx="132">
                  <c:v>0.49598516391685865</c:v>
                </c:pt>
                <c:pt idx="133">
                  <c:v>0.45225243745928312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4-9540-A7DA-88238ACD6121}"/>
            </c:ext>
          </c:extLst>
        </c:ser>
        <c:ser>
          <c:idx val="1"/>
          <c:order val="1"/>
          <c:tx>
            <c:strRef>
              <c:f>ＯＬＳ再投資累積報酬!$A$13:$B$13</c:f>
              <c:strCache>
                <c:ptCount val="2"/>
                <c:pt idx="0">
                  <c:v>48</c:v>
                </c:pt>
                <c:pt idx="1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ＯＬＳ再投資累積報酬!$C$10:$EF$11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ＯＬＳ再投資累積報酬!$C$13:$EF$13</c:f>
              <c:numCache>
                <c:formatCode>General</c:formatCode>
                <c:ptCount val="134"/>
                <c:pt idx="0">
                  <c:v>-7.4773642018864939E-3</c:v>
                </c:pt>
                <c:pt idx="1">
                  <c:v>0.11534245275272559</c:v>
                </c:pt>
                <c:pt idx="2">
                  <c:v>0.10918171739739169</c:v>
                </c:pt>
                <c:pt idx="3">
                  <c:v>4.264575869943088E-2</c:v>
                </c:pt>
                <c:pt idx="4">
                  <c:v>3.0084583702588041E-2</c:v>
                </c:pt>
                <c:pt idx="5">
                  <c:v>4.7996093115068694E-2</c:v>
                </c:pt>
                <c:pt idx="6">
                  <c:v>1.3744580395264494E-2</c:v>
                </c:pt>
                <c:pt idx="7">
                  <c:v>4.8769346132733649E-2</c:v>
                </c:pt>
                <c:pt idx="8">
                  <c:v>0.11203755172514485</c:v>
                </c:pt>
                <c:pt idx="9">
                  <c:v>8.7594443259422894E-2</c:v>
                </c:pt>
                <c:pt idx="10">
                  <c:v>9.1161490081260066E-2</c:v>
                </c:pt>
                <c:pt idx="11">
                  <c:v>0.13850962498135777</c:v>
                </c:pt>
                <c:pt idx="12">
                  <c:v>0.17980709851809218</c:v>
                </c:pt>
                <c:pt idx="13">
                  <c:v>0.17240068524596408</c:v>
                </c:pt>
                <c:pt idx="14">
                  <c:v>0.22424220852722332</c:v>
                </c:pt>
                <c:pt idx="15">
                  <c:v>0.21629698656012275</c:v>
                </c:pt>
                <c:pt idx="16">
                  <c:v>0.20898241608489099</c:v>
                </c:pt>
                <c:pt idx="17">
                  <c:v>0.27293734761585764</c:v>
                </c:pt>
                <c:pt idx="18">
                  <c:v>0.34188100282345513</c:v>
                </c:pt>
                <c:pt idx="19">
                  <c:v>0.33890653584744657</c:v>
                </c:pt>
                <c:pt idx="20">
                  <c:v>0.38037100391678758</c:v>
                </c:pt>
                <c:pt idx="21">
                  <c:v>0.45391228219150181</c:v>
                </c:pt>
                <c:pt idx="22">
                  <c:v>0.46362929953031795</c:v>
                </c:pt>
                <c:pt idx="23">
                  <c:v>0.57841360011028975</c:v>
                </c:pt>
                <c:pt idx="24">
                  <c:v>0.5277157281631637</c:v>
                </c:pt>
                <c:pt idx="25">
                  <c:v>0.45640467712107347</c:v>
                </c:pt>
                <c:pt idx="26">
                  <c:v>0.55365129385664313</c:v>
                </c:pt>
                <c:pt idx="27">
                  <c:v>0.52189430659697522</c:v>
                </c:pt>
                <c:pt idx="28">
                  <c:v>0.63918885691485605</c:v>
                </c:pt>
                <c:pt idx="29">
                  <c:v>0.51906719466330298</c:v>
                </c:pt>
                <c:pt idx="30">
                  <c:v>0.50402051854877938</c:v>
                </c:pt>
                <c:pt idx="31">
                  <c:v>0.54155366124440207</c:v>
                </c:pt>
                <c:pt idx="32">
                  <c:v>0.57029754230917162</c:v>
                </c:pt>
                <c:pt idx="33">
                  <c:v>0.57297874816466887</c:v>
                </c:pt>
                <c:pt idx="34">
                  <c:v>0.51264024245715678</c:v>
                </c:pt>
                <c:pt idx="35">
                  <c:v>0.54766002502058586</c:v>
                </c:pt>
                <c:pt idx="36">
                  <c:v>0.61928951274280841</c:v>
                </c:pt>
                <c:pt idx="37">
                  <c:v>0.78984966273119106</c:v>
                </c:pt>
                <c:pt idx="38">
                  <c:v>0.7867910840618777</c:v>
                </c:pt>
                <c:pt idx="39">
                  <c:v>0.79856212870034926</c:v>
                </c:pt>
                <c:pt idx="40">
                  <c:v>0.80944215038566458</c:v>
                </c:pt>
                <c:pt idx="41">
                  <c:v>0.7927040565603678</c:v>
                </c:pt>
                <c:pt idx="42">
                  <c:v>0.86676625165621335</c:v>
                </c:pt>
                <c:pt idx="43">
                  <c:v>1.0280976322394588</c:v>
                </c:pt>
                <c:pt idx="44">
                  <c:v>1.0599294731871955</c:v>
                </c:pt>
                <c:pt idx="45">
                  <c:v>1.0373550923273132</c:v>
                </c:pt>
                <c:pt idx="46">
                  <c:v>1.0290426558770944</c:v>
                </c:pt>
                <c:pt idx="47">
                  <c:v>0.9624903973678347</c:v>
                </c:pt>
                <c:pt idx="48">
                  <c:v>0.93450095915477305</c:v>
                </c:pt>
                <c:pt idx="49">
                  <c:v>0.87410480213604869</c:v>
                </c:pt>
                <c:pt idx="50">
                  <c:v>0.88636320471591423</c:v>
                </c:pt>
                <c:pt idx="51">
                  <c:v>0.93549538144671174</c:v>
                </c:pt>
                <c:pt idx="52">
                  <c:v>0.95733506057664552</c:v>
                </c:pt>
                <c:pt idx="53">
                  <c:v>0.96388122750961291</c:v>
                </c:pt>
                <c:pt idx="54">
                  <c:v>0.91008697331838406</c:v>
                </c:pt>
                <c:pt idx="55">
                  <c:v>1.1424626978818142</c:v>
                </c:pt>
                <c:pt idx="56">
                  <c:v>1.2422296064148224</c:v>
                </c:pt>
                <c:pt idx="57">
                  <c:v>1.261234138734407</c:v>
                </c:pt>
                <c:pt idx="58">
                  <c:v>1.212387955840966</c:v>
                </c:pt>
                <c:pt idx="59">
                  <c:v>1.2660739558115899</c:v>
                </c:pt>
                <c:pt idx="60">
                  <c:v>1.2459548540567513</c:v>
                </c:pt>
                <c:pt idx="61">
                  <c:v>1.3233505491729414</c:v>
                </c:pt>
                <c:pt idx="62">
                  <c:v>1.4473518772812439</c:v>
                </c:pt>
                <c:pt idx="63">
                  <c:v>1.5343618771935406</c:v>
                </c:pt>
                <c:pt idx="64">
                  <c:v>1.4561040359547461</c:v>
                </c:pt>
                <c:pt idx="65">
                  <c:v>1.4756350775863267</c:v>
                </c:pt>
                <c:pt idx="66">
                  <c:v>1.4727860691439605</c:v>
                </c:pt>
                <c:pt idx="67">
                  <c:v>1.4562643530684847</c:v>
                </c:pt>
                <c:pt idx="68">
                  <c:v>1.35757038795458</c:v>
                </c:pt>
                <c:pt idx="69">
                  <c:v>1.3587988511074554</c:v>
                </c:pt>
                <c:pt idx="70">
                  <c:v>1.4005650527847493</c:v>
                </c:pt>
                <c:pt idx="71">
                  <c:v>1.3250907373957057</c:v>
                </c:pt>
                <c:pt idx="72">
                  <c:v>1.5011326705926757</c:v>
                </c:pt>
                <c:pt idx="73">
                  <c:v>1.5029976121708493</c:v>
                </c:pt>
                <c:pt idx="74">
                  <c:v>1.4258337417009059</c:v>
                </c:pt>
                <c:pt idx="75">
                  <c:v>1.2411353137544863</c:v>
                </c:pt>
                <c:pt idx="76">
                  <c:v>1.1659865379619618</c:v>
                </c:pt>
                <c:pt idx="77">
                  <c:v>0.90514345765369475</c:v>
                </c:pt>
                <c:pt idx="78">
                  <c:v>1.1339853207381863</c:v>
                </c:pt>
                <c:pt idx="79">
                  <c:v>1.0887359889581516</c:v>
                </c:pt>
                <c:pt idx="80">
                  <c:v>1.1079961907722624</c:v>
                </c:pt>
                <c:pt idx="81">
                  <c:v>1.1333841949629369</c:v>
                </c:pt>
                <c:pt idx="82">
                  <c:v>1.0096159795716888</c:v>
                </c:pt>
                <c:pt idx="83">
                  <c:v>1.0177137393360489</c:v>
                </c:pt>
                <c:pt idx="84">
                  <c:v>1.0470377849477743</c:v>
                </c:pt>
                <c:pt idx="85">
                  <c:v>1.0533960643897302</c:v>
                </c:pt>
                <c:pt idx="86">
                  <c:v>1.188277750947043</c:v>
                </c:pt>
                <c:pt idx="87">
                  <c:v>1.0291370565032789</c:v>
                </c:pt>
                <c:pt idx="88">
                  <c:v>1.0082434304376355</c:v>
                </c:pt>
                <c:pt idx="89">
                  <c:v>1.0622402082152891</c:v>
                </c:pt>
                <c:pt idx="90">
                  <c:v>0.98937230312124358</c:v>
                </c:pt>
                <c:pt idx="91">
                  <c:v>0.85066025510025112</c:v>
                </c:pt>
                <c:pt idx="92">
                  <c:v>0.98238815150042402</c:v>
                </c:pt>
                <c:pt idx="93">
                  <c:v>0.76106465156415992</c:v>
                </c:pt>
                <c:pt idx="94">
                  <c:v>0.76801726143084137</c:v>
                </c:pt>
                <c:pt idx="95">
                  <c:v>0.7687395674072377</c:v>
                </c:pt>
                <c:pt idx="96">
                  <c:v>0.95815558870184159</c:v>
                </c:pt>
                <c:pt idx="97">
                  <c:v>0.91053483578602878</c:v>
                </c:pt>
                <c:pt idx="98">
                  <c:v>0.97990467393742153</c:v>
                </c:pt>
                <c:pt idx="99">
                  <c:v>0.91935356314949646</c:v>
                </c:pt>
                <c:pt idx="100">
                  <c:v>0.84027283386275387</c:v>
                </c:pt>
                <c:pt idx="101">
                  <c:v>0.83125877972899831</c:v>
                </c:pt>
                <c:pt idx="102">
                  <c:v>0.82103362233541755</c:v>
                </c:pt>
                <c:pt idx="103">
                  <c:v>0.89708284491118673</c:v>
                </c:pt>
                <c:pt idx="104">
                  <c:v>0.84059612968595432</c:v>
                </c:pt>
                <c:pt idx="105">
                  <c:v>0.96755503737929449</c:v>
                </c:pt>
                <c:pt idx="106">
                  <c:v>1.0117109005024862</c:v>
                </c:pt>
                <c:pt idx="107">
                  <c:v>0.97696537008192386</c:v>
                </c:pt>
                <c:pt idx="108">
                  <c:v>1.117993697675288</c:v>
                </c:pt>
                <c:pt idx="109">
                  <c:v>0.93008379657200058</c:v>
                </c:pt>
                <c:pt idx="110">
                  <c:v>0.987157184366245</c:v>
                </c:pt>
                <c:pt idx="111">
                  <c:v>0.97320510813126559</c:v>
                </c:pt>
                <c:pt idx="112">
                  <c:v>0.92703034870805934</c:v>
                </c:pt>
                <c:pt idx="113">
                  <c:v>0.88453799856140947</c:v>
                </c:pt>
                <c:pt idx="114">
                  <c:v>0.90650397449467723</c:v>
                </c:pt>
                <c:pt idx="115">
                  <c:v>0.88214669041152605</c:v>
                </c:pt>
                <c:pt idx="116">
                  <c:v>0.96557310487705461</c:v>
                </c:pt>
                <c:pt idx="117">
                  <c:v>1.0614668041935684</c:v>
                </c:pt>
                <c:pt idx="118">
                  <c:v>0.88185323952558115</c:v>
                </c:pt>
                <c:pt idx="119">
                  <c:v>0.91039871846846232</c:v>
                </c:pt>
                <c:pt idx="120">
                  <c:v>0.85324877039573543</c:v>
                </c:pt>
                <c:pt idx="121">
                  <c:v>0.90856047952483032</c:v>
                </c:pt>
                <c:pt idx="122">
                  <c:v>0.86332978378799163</c:v>
                </c:pt>
                <c:pt idx="123">
                  <c:v>0.84497075922064679</c:v>
                </c:pt>
                <c:pt idx="124">
                  <c:v>0.92692028226678724</c:v>
                </c:pt>
                <c:pt idx="125">
                  <c:v>0.88215867647774626</c:v>
                </c:pt>
                <c:pt idx="126">
                  <c:v>0.90004788851902995</c:v>
                </c:pt>
                <c:pt idx="127">
                  <c:v>0.95759131663725983</c:v>
                </c:pt>
                <c:pt idx="128">
                  <c:v>1.0791937897071815</c:v>
                </c:pt>
                <c:pt idx="129">
                  <c:v>1.1981346791280134</c:v>
                </c:pt>
                <c:pt idx="130">
                  <c:v>1.1498090123629545</c:v>
                </c:pt>
                <c:pt idx="131">
                  <c:v>1.0337665792944768</c:v>
                </c:pt>
                <c:pt idx="132">
                  <c:v>0.96082049738867248</c:v>
                </c:pt>
                <c:pt idx="133">
                  <c:v>0.87353841288755629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B4-9540-A7DA-88238ACD6121}"/>
            </c:ext>
          </c:extLst>
        </c:ser>
        <c:ser>
          <c:idx val="2"/>
          <c:order val="2"/>
          <c:tx>
            <c:strRef>
              <c:f>ＯＬＳ再投資累積報酬!$A$14:$B$14</c:f>
              <c:strCache>
                <c:ptCount val="2"/>
                <c:pt idx="0">
                  <c:v>19</c:v>
                </c:pt>
                <c:pt idx="1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ＯＬＳ再投資累積報酬!$C$10:$EF$11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ＯＬＳ再投資累積報酬!$C$14:$EF$14</c:f>
              <c:numCache>
                <c:formatCode>General</c:formatCode>
                <c:ptCount val="134"/>
                <c:pt idx="0">
                  <c:v>-3.3228977675766158E-2</c:v>
                </c:pt>
                <c:pt idx="1">
                  <c:v>0.18169271799537046</c:v>
                </c:pt>
                <c:pt idx="2">
                  <c:v>0.12506512139058445</c:v>
                </c:pt>
                <c:pt idx="3">
                  <c:v>5.7176548822539974E-2</c:v>
                </c:pt>
                <c:pt idx="4">
                  <c:v>4.5201742959455338E-4</c:v>
                </c:pt>
                <c:pt idx="5">
                  <c:v>-1.1061445367023137E-2</c:v>
                </c:pt>
                <c:pt idx="6">
                  <c:v>-5.4364453701715609E-2</c:v>
                </c:pt>
                <c:pt idx="7">
                  <c:v>-3.2321715628479519E-2</c:v>
                </c:pt>
                <c:pt idx="8">
                  <c:v>1.6862919721769121E-2</c:v>
                </c:pt>
                <c:pt idx="9">
                  <c:v>-4.0357060043077597E-2</c:v>
                </c:pt>
                <c:pt idx="10">
                  <c:v>-5.8611114035275969E-2</c:v>
                </c:pt>
                <c:pt idx="11">
                  <c:v>-4.604173386186905E-3</c:v>
                </c:pt>
                <c:pt idx="12">
                  <c:v>3.2699068605627879E-2</c:v>
                </c:pt>
                <c:pt idx="13">
                  <c:v>3.9454387936467272E-2</c:v>
                </c:pt>
                <c:pt idx="14">
                  <c:v>0.16845470138553154</c:v>
                </c:pt>
                <c:pt idx="15">
                  <c:v>0.18708125662849739</c:v>
                </c:pt>
                <c:pt idx="16">
                  <c:v>0.15763363330383062</c:v>
                </c:pt>
                <c:pt idx="17">
                  <c:v>0.23848447899692049</c:v>
                </c:pt>
                <c:pt idx="18">
                  <c:v>0.36761712482494713</c:v>
                </c:pt>
                <c:pt idx="19">
                  <c:v>0.43930939262782709</c:v>
                </c:pt>
                <c:pt idx="20">
                  <c:v>0.50810118898285528</c:v>
                </c:pt>
                <c:pt idx="21">
                  <c:v>0.58890794939594771</c:v>
                </c:pt>
                <c:pt idx="22">
                  <c:v>0.67660135438587021</c:v>
                </c:pt>
                <c:pt idx="23">
                  <c:v>0.74117050214744307</c:v>
                </c:pt>
                <c:pt idx="24">
                  <c:v>0.67248101190105958</c:v>
                </c:pt>
                <c:pt idx="25">
                  <c:v>0.55412057206375609</c:v>
                </c:pt>
                <c:pt idx="26">
                  <c:v>0.5493236820360865</c:v>
                </c:pt>
                <c:pt idx="27">
                  <c:v>0.44106532228822792</c:v>
                </c:pt>
                <c:pt idx="28">
                  <c:v>0.60943495583199603</c:v>
                </c:pt>
                <c:pt idx="29">
                  <c:v>0.45480029164441493</c:v>
                </c:pt>
                <c:pt idx="30">
                  <c:v>0.41795122587533307</c:v>
                </c:pt>
                <c:pt idx="31">
                  <c:v>0.53273747501634872</c:v>
                </c:pt>
                <c:pt idx="32">
                  <c:v>0.47838255174978639</c:v>
                </c:pt>
                <c:pt idx="33">
                  <c:v>0.44215393709974848</c:v>
                </c:pt>
                <c:pt idx="34">
                  <c:v>0.3304225719003786</c:v>
                </c:pt>
                <c:pt idx="35">
                  <c:v>0.38093763894390831</c:v>
                </c:pt>
                <c:pt idx="36">
                  <c:v>0.46550925158661727</c:v>
                </c:pt>
                <c:pt idx="37">
                  <c:v>0.61000064789448305</c:v>
                </c:pt>
                <c:pt idx="38">
                  <c:v>0.54874921565303825</c:v>
                </c:pt>
                <c:pt idx="39">
                  <c:v>0.53782254539725627</c:v>
                </c:pt>
                <c:pt idx="40">
                  <c:v>0.53838841448036234</c:v>
                </c:pt>
                <c:pt idx="41">
                  <c:v>0.51043516827895252</c:v>
                </c:pt>
                <c:pt idx="42">
                  <c:v>0.63939157042409267</c:v>
                </c:pt>
                <c:pt idx="43">
                  <c:v>0.76956496572405308</c:v>
                </c:pt>
                <c:pt idx="44">
                  <c:v>0.87117624056618514</c:v>
                </c:pt>
                <c:pt idx="45">
                  <c:v>0.88694434729655613</c:v>
                </c:pt>
                <c:pt idx="46">
                  <c:v>0.92159417710151637</c:v>
                </c:pt>
                <c:pt idx="47">
                  <c:v>0.8843724878699597</c:v>
                </c:pt>
                <c:pt idx="48">
                  <c:v>0.88118682083414823</c:v>
                </c:pt>
                <c:pt idx="49">
                  <c:v>0.76630164969214976</c:v>
                </c:pt>
                <c:pt idx="50">
                  <c:v>0.79742679128723659</c:v>
                </c:pt>
                <c:pt idx="51">
                  <c:v>0.98058098646582348</c:v>
                </c:pt>
                <c:pt idx="52">
                  <c:v>0.96112970266690034</c:v>
                </c:pt>
                <c:pt idx="53">
                  <c:v>1.0461011022455153</c:v>
                </c:pt>
                <c:pt idx="54">
                  <c:v>0.95650834532756202</c:v>
                </c:pt>
                <c:pt idx="55">
                  <c:v>1.2574765793526854</c:v>
                </c:pt>
                <c:pt idx="56">
                  <c:v>1.3508780114875418</c:v>
                </c:pt>
                <c:pt idx="57">
                  <c:v>1.3634381780745182</c:v>
                </c:pt>
                <c:pt idx="58">
                  <c:v>1.4604125705150879</c:v>
                </c:pt>
                <c:pt idx="59">
                  <c:v>1.6292071957650691</c:v>
                </c:pt>
                <c:pt idx="60">
                  <c:v>1.5406254722053023</c:v>
                </c:pt>
                <c:pt idx="61">
                  <c:v>1.6930551132355576</c:v>
                </c:pt>
                <c:pt idx="62">
                  <c:v>1.8176851930168647</c:v>
                </c:pt>
                <c:pt idx="63">
                  <c:v>1.8911928524013777</c:v>
                </c:pt>
                <c:pt idx="64">
                  <c:v>1.794022619763239</c:v>
                </c:pt>
                <c:pt idx="65">
                  <c:v>1.653394755588248</c:v>
                </c:pt>
                <c:pt idx="66">
                  <c:v>1.5183781373936509</c:v>
                </c:pt>
                <c:pt idx="67">
                  <c:v>1.4480412726688292</c:v>
                </c:pt>
                <c:pt idx="68">
                  <c:v>1.3737855124367426</c:v>
                </c:pt>
                <c:pt idx="69">
                  <c:v>1.3008474485611696</c:v>
                </c:pt>
                <c:pt idx="70">
                  <c:v>1.2804738232202149</c:v>
                </c:pt>
                <c:pt idx="71">
                  <c:v>1.1863308227502856</c:v>
                </c:pt>
                <c:pt idx="72">
                  <c:v>1.4725160803300792</c:v>
                </c:pt>
                <c:pt idx="73">
                  <c:v>1.4370718322406733</c:v>
                </c:pt>
                <c:pt idx="74">
                  <c:v>1.2411288198566908</c:v>
                </c:pt>
                <c:pt idx="75">
                  <c:v>1.1065847649247926</c:v>
                </c:pt>
                <c:pt idx="76">
                  <c:v>1.0550466080572356</c:v>
                </c:pt>
                <c:pt idx="77">
                  <c:v>0.7170617452578858</c:v>
                </c:pt>
                <c:pt idx="78">
                  <c:v>0.92413116791394367</c:v>
                </c:pt>
                <c:pt idx="79">
                  <c:v>0.98748585606624206</c:v>
                </c:pt>
                <c:pt idx="80">
                  <c:v>0.84407539721284897</c:v>
                </c:pt>
                <c:pt idx="81">
                  <c:v>0.92314457422894702</c:v>
                </c:pt>
                <c:pt idx="82">
                  <c:v>0.81290865090497544</c:v>
                </c:pt>
                <c:pt idx="83">
                  <c:v>0.90152302832816122</c:v>
                </c:pt>
                <c:pt idx="84">
                  <c:v>0.92947848212146544</c:v>
                </c:pt>
                <c:pt idx="85">
                  <c:v>0.98479249136482983</c:v>
                </c:pt>
                <c:pt idx="86">
                  <c:v>1.0915586207726502</c:v>
                </c:pt>
                <c:pt idx="87">
                  <c:v>0.8042964919829898</c:v>
                </c:pt>
                <c:pt idx="88">
                  <c:v>0.862106170293643</c:v>
                </c:pt>
                <c:pt idx="89">
                  <c:v>0.90498430934920515</c:v>
                </c:pt>
                <c:pt idx="90">
                  <c:v>0.75494058484543114</c:v>
                </c:pt>
                <c:pt idx="91">
                  <c:v>0.57978113828181232</c:v>
                </c:pt>
                <c:pt idx="92">
                  <c:v>0.63069416665034206</c:v>
                </c:pt>
                <c:pt idx="93">
                  <c:v>0.2919668430304867</c:v>
                </c:pt>
                <c:pt idx="94">
                  <c:v>0.28703785352781552</c:v>
                </c:pt>
                <c:pt idx="95">
                  <c:v>0.27460264014632929</c:v>
                </c:pt>
                <c:pt idx="96">
                  <c:v>0.40403216518481644</c:v>
                </c:pt>
                <c:pt idx="97">
                  <c:v>0.34871374125511312</c:v>
                </c:pt>
                <c:pt idx="98">
                  <c:v>0.40908740731569404</c:v>
                </c:pt>
                <c:pt idx="99">
                  <c:v>0.28136881344809228</c:v>
                </c:pt>
                <c:pt idx="100">
                  <c:v>0.15789466647437744</c:v>
                </c:pt>
                <c:pt idx="101">
                  <c:v>0.14596673075266797</c:v>
                </c:pt>
                <c:pt idx="102">
                  <c:v>0.11811482394858586</c:v>
                </c:pt>
                <c:pt idx="103">
                  <c:v>0.14445880914843956</c:v>
                </c:pt>
                <c:pt idx="104">
                  <c:v>0.11741226136078931</c:v>
                </c:pt>
                <c:pt idx="105">
                  <c:v>0.20591729268134618</c:v>
                </c:pt>
                <c:pt idx="106">
                  <c:v>0.28131959159890751</c:v>
                </c:pt>
                <c:pt idx="107">
                  <c:v>0.19908397759691643</c:v>
                </c:pt>
                <c:pt idx="108">
                  <c:v>0.30379375302873624</c:v>
                </c:pt>
                <c:pt idx="109">
                  <c:v>0.22720554556035988</c:v>
                </c:pt>
                <c:pt idx="110">
                  <c:v>0.27710266106281867</c:v>
                </c:pt>
                <c:pt idx="111">
                  <c:v>0.26587178273080658</c:v>
                </c:pt>
                <c:pt idx="112">
                  <c:v>0.16787649053940501</c:v>
                </c:pt>
                <c:pt idx="113">
                  <c:v>0.12027983385198349</c:v>
                </c:pt>
                <c:pt idx="114">
                  <c:v>0.15660145335262654</c:v>
                </c:pt>
                <c:pt idx="115">
                  <c:v>0.20857419624788909</c:v>
                </c:pt>
                <c:pt idx="116">
                  <c:v>0.29352312279395676</c:v>
                </c:pt>
                <c:pt idx="117">
                  <c:v>0.34984275266246989</c:v>
                </c:pt>
                <c:pt idx="118">
                  <c:v>0.253770982174226</c:v>
                </c:pt>
                <c:pt idx="119">
                  <c:v>0.26354366506464921</c:v>
                </c:pt>
                <c:pt idx="120">
                  <c:v>0.15053515708886178</c:v>
                </c:pt>
                <c:pt idx="121">
                  <c:v>0.15945674074225114</c:v>
                </c:pt>
                <c:pt idx="122">
                  <c:v>2.1576943403678328E-2</c:v>
                </c:pt>
                <c:pt idx="123">
                  <c:v>-2.4550549057485438E-2</c:v>
                </c:pt>
                <c:pt idx="124">
                  <c:v>7.1379409753294931E-2</c:v>
                </c:pt>
                <c:pt idx="125">
                  <c:v>4.1713238139063691E-2</c:v>
                </c:pt>
                <c:pt idx="126">
                  <c:v>9.1362318825491062E-2</c:v>
                </c:pt>
                <c:pt idx="127">
                  <c:v>0.11504225014896985</c:v>
                </c:pt>
                <c:pt idx="128">
                  <c:v>0.23493775496058</c:v>
                </c:pt>
                <c:pt idx="129">
                  <c:v>0.33148497956876133</c:v>
                </c:pt>
                <c:pt idx="130">
                  <c:v>0.27388491601260689</c:v>
                </c:pt>
                <c:pt idx="131">
                  <c:v>0.17401327599172256</c:v>
                </c:pt>
                <c:pt idx="132">
                  <c:v>0.12411097374608482</c:v>
                </c:pt>
                <c:pt idx="133">
                  <c:v>9.5418928597247987E-2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B4-9540-A7DA-88238ACD6121}"/>
            </c:ext>
          </c:extLst>
        </c:ser>
        <c:ser>
          <c:idx val="3"/>
          <c:order val="3"/>
          <c:tx>
            <c:strRef>
              <c:f>ＯＬＳ再投資累積報酬!$A$15:$B$15</c:f>
              <c:strCache>
                <c:ptCount val="2"/>
                <c:pt idx="0">
                  <c:v>10</c:v>
                </c:pt>
                <c:pt idx="1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ＯＬＳ再投資累積報酬!$C$10:$EF$11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ＯＬＳ再投資累積報酬!$C$15:$EF$15</c:f>
              <c:numCache>
                <c:formatCode>General</c:formatCode>
                <c:ptCount val="134"/>
                <c:pt idx="0">
                  <c:v>-3.6350225217569587E-2</c:v>
                </c:pt>
                <c:pt idx="1">
                  <c:v>0.32281139324665786</c:v>
                </c:pt>
                <c:pt idx="2">
                  <c:v>0.19668846284505048</c:v>
                </c:pt>
                <c:pt idx="3">
                  <c:v>0.23847854307842575</c:v>
                </c:pt>
                <c:pt idx="4">
                  <c:v>0.19587002516298502</c:v>
                </c:pt>
                <c:pt idx="5">
                  <c:v>0.19438269045058298</c:v>
                </c:pt>
                <c:pt idx="6">
                  <c:v>0.12459318482468373</c:v>
                </c:pt>
                <c:pt idx="7">
                  <c:v>0.1807795081457535</c:v>
                </c:pt>
                <c:pt idx="8">
                  <c:v>0.29238064435884925</c:v>
                </c:pt>
                <c:pt idx="9">
                  <c:v>0.18747673679785093</c:v>
                </c:pt>
                <c:pt idx="10">
                  <c:v>0.18494382940055187</c:v>
                </c:pt>
                <c:pt idx="11">
                  <c:v>0.31504615247627732</c:v>
                </c:pt>
                <c:pt idx="12">
                  <c:v>0.41204046424426166</c:v>
                </c:pt>
                <c:pt idx="13">
                  <c:v>0.44295930689386864</c:v>
                </c:pt>
                <c:pt idx="14">
                  <c:v>0.66739264077821892</c:v>
                </c:pt>
                <c:pt idx="15">
                  <c:v>0.75431330242554084</c:v>
                </c:pt>
                <c:pt idx="16">
                  <c:v>0.90428584541011703</c:v>
                </c:pt>
                <c:pt idx="17">
                  <c:v>1.0314923778109124</c:v>
                </c:pt>
                <c:pt idx="18">
                  <c:v>1.309741951091504</c:v>
                </c:pt>
                <c:pt idx="19">
                  <c:v>1.5641069175619555</c:v>
                </c:pt>
                <c:pt idx="20">
                  <c:v>1.6940338669912527</c:v>
                </c:pt>
                <c:pt idx="21">
                  <c:v>1.9053444543995122</c:v>
                </c:pt>
                <c:pt idx="22">
                  <c:v>2.0565060343039021</c:v>
                </c:pt>
                <c:pt idx="23">
                  <c:v>2.1993059108075026</c:v>
                </c:pt>
                <c:pt idx="24">
                  <c:v>2.0262837774574649</c:v>
                </c:pt>
                <c:pt idx="25">
                  <c:v>1.772983303202416</c:v>
                </c:pt>
                <c:pt idx="26">
                  <c:v>1.7849561268268301</c:v>
                </c:pt>
                <c:pt idx="27">
                  <c:v>1.5573879627882889</c:v>
                </c:pt>
                <c:pt idx="28">
                  <c:v>2.0990239187244994</c:v>
                </c:pt>
                <c:pt idx="29">
                  <c:v>1.6722068605238292</c:v>
                </c:pt>
                <c:pt idx="30">
                  <c:v>1.5537625093827119</c:v>
                </c:pt>
                <c:pt idx="31">
                  <c:v>1.8933295811159483</c:v>
                </c:pt>
                <c:pt idx="32">
                  <c:v>1.8214324903856403</c:v>
                </c:pt>
                <c:pt idx="33">
                  <c:v>1.7262996494103127</c:v>
                </c:pt>
                <c:pt idx="34">
                  <c:v>1.5371995493432005</c:v>
                </c:pt>
                <c:pt idx="35">
                  <c:v>1.6499315434041502</c:v>
                </c:pt>
                <c:pt idx="36">
                  <c:v>1.7960027185538463</c:v>
                </c:pt>
                <c:pt idx="37">
                  <c:v>2.0803246167310929</c:v>
                </c:pt>
                <c:pt idx="38">
                  <c:v>1.9220436141170043</c:v>
                </c:pt>
                <c:pt idx="39">
                  <c:v>1.8852778769554615</c:v>
                </c:pt>
                <c:pt idx="40">
                  <c:v>1.9930924212257013</c:v>
                </c:pt>
                <c:pt idx="41">
                  <c:v>1.9196111043568838</c:v>
                </c:pt>
                <c:pt idx="42">
                  <c:v>2.0767480163232217</c:v>
                </c:pt>
                <c:pt idx="43">
                  <c:v>2.2951657814308284</c:v>
                </c:pt>
                <c:pt idx="44">
                  <c:v>2.549467159998402</c:v>
                </c:pt>
                <c:pt idx="45">
                  <c:v>2.6673982063893491</c:v>
                </c:pt>
                <c:pt idx="46">
                  <c:v>2.6099669732549327</c:v>
                </c:pt>
                <c:pt idx="47">
                  <c:v>2.3162580172328902</c:v>
                </c:pt>
                <c:pt idx="48">
                  <c:v>2.2200677670325084</c:v>
                </c:pt>
                <c:pt idx="49">
                  <c:v>2.0015979895260632</c:v>
                </c:pt>
                <c:pt idx="50">
                  <c:v>2.0334554942345191</c:v>
                </c:pt>
                <c:pt idx="51">
                  <c:v>2.3634605672690507</c:v>
                </c:pt>
                <c:pt idx="52">
                  <c:v>2.5725169420487406</c:v>
                </c:pt>
                <c:pt idx="53">
                  <c:v>2.7620149367353566</c:v>
                </c:pt>
                <c:pt idx="54">
                  <c:v>2.5797726966908043</c:v>
                </c:pt>
                <c:pt idx="55">
                  <c:v>3.3346468379816558</c:v>
                </c:pt>
                <c:pt idx="56">
                  <c:v>3.3454381091854719</c:v>
                </c:pt>
                <c:pt idx="57">
                  <c:v>3.4951030170922825</c:v>
                </c:pt>
                <c:pt idx="58">
                  <c:v>3.5902154161010182</c:v>
                </c:pt>
                <c:pt idx="59">
                  <c:v>4.1874495145608783</c:v>
                </c:pt>
                <c:pt idx="60">
                  <c:v>4.4240227984842404</c:v>
                </c:pt>
                <c:pt idx="61">
                  <c:v>4.748137564181981</c:v>
                </c:pt>
                <c:pt idx="62">
                  <c:v>5.0253070351854427</c:v>
                </c:pt>
                <c:pt idx="63">
                  <c:v>5.4092439823421454</c:v>
                </c:pt>
                <c:pt idx="64">
                  <c:v>5.2314869592245916</c:v>
                </c:pt>
                <c:pt idx="65">
                  <c:v>4.9098437746346466</c:v>
                </c:pt>
                <c:pt idx="66">
                  <c:v>4.6531718515550775</c:v>
                </c:pt>
                <c:pt idx="67">
                  <c:v>4.3696232850958809</c:v>
                </c:pt>
                <c:pt idx="68">
                  <c:v>4.3059078135821265</c:v>
                </c:pt>
                <c:pt idx="69">
                  <c:v>3.9883442641221709</c:v>
                </c:pt>
                <c:pt idx="70">
                  <c:v>4.0854993510961526</c:v>
                </c:pt>
                <c:pt idx="71">
                  <c:v>3.6472305084687511</c:v>
                </c:pt>
                <c:pt idx="72">
                  <c:v>5.0361900671663165</c:v>
                </c:pt>
                <c:pt idx="73">
                  <c:v>4.711131761602422</c:v>
                </c:pt>
                <c:pt idx="74">
                  <c:v>4.1780610052193898</c:v>
                </c:pt>
                <c:pt idx="75">
                  <c:v>3.6452050310229689</c:v>
                </c:pt>
                <c:pt idx="76">
                  <c:v>3.5588412824824518</c:v>
                </c:pt>
                <c:pt idx="77">
                  <c:v>2.9612154846157752</c:v>
                </c:pt>
                <c:pt idx="78">
                  <c:v>3.6490789690331109</c:v>
                </c:pt>
                <c:pt idx="79">
                  <c:v>3.4300400861189129</c:v>
                </c:pt>
                <c:pt idx="80">
                  <c:v>2.9138670144412355</c:v>
                </c:pt>
                <c:pt idx="81">
                  <c:v>3.0757031840674252</c:v>
                </c:pt>
                <c:pt idx="82">
                  <c:v>2.7256572526500533</c:v>
                </c:pt>
                <c:pt idx="83">
                  <c:v>3.0287119300326104</c:v>
                </c:pt>
                <c:pt idx="84">
                  <c:v>3.0185960810127037</c:v>
                </c:pt>
                <c:pt idx="85">
                  <c:v>3.3683921892008026</c:v>
                </c:pt>
                <c:pt idx="86">
                  <c:v>3.7861884864877693</c:v>
                </c:pt>
                <c:pt idx="87">
                  <c:v>3.0124797088192699</c:v>
                </c:pt>
                <c:pt idx="88">
                  <c:v>3.3119355479312258</c:v>
                </c:pt>
                <c:pt idx="89">
                  <c:v>3.4957711074002411</c:v>
                </c:pt>
                <c:pt idx="90">
                  <c:v>3.0148169122363084</c:v>
                </c:pt>
                <c:pt idx="91">
                  <c:v>2.5027838832239153</c:v>
                </c:pt>
                <c:pt idx="92">
                  <c:v>2.4153426265459923</c:v>
                </c:pt>
                <c:pt idx="93">
                  <c:v>1.7954957400349691</c:v>
                </c:pt>
                <c:pt idx="94">
                  <c:v>1.8427742821887367</c:v>
                </c:pt>
                <c:pt idx="95">
                  <c:v>1.8568223356151528</c:v>
                </c:pt>
                <c:pt idx="96">
                  <c:v>2.2112109504098187</c:v>
                </c:pt>
                <c:pt idx="97">
                  <c:v>2.0171125157232477</c:v>
                </c:pt>
                <c:pt idx="98">
                  <c:v>2.0957749474981453</c:v>
                </c:pt>
                <c:pt idx="99">
                  <c:v>1.6240166793007424</c:v>
                </c:pt>
                <c:pt idx="100">
                  <c:v>1.3801198280187132</c:v>
                </c:pt>
                <c:pt idx="101">
                  <c:v>1.323560242870998</c:v>
                </c:pt>
                <c:pt idx="102">
                  <c:v>1.262274400265746</c:v>
                </c:pt>
                <c:pt idx="103">
                  <c:v>1.3306553048581646</c:v>
                </c:pt>
                <c:pt idx="104">
                  <c:v>1.2489072205012088</c:v>
                </c:pt>
                <c:pt idx="105">
                  <c:v>1.2815315016440518</c:v>
                </c:pt>
                <c:pt idx="106">
                  <c:v>1.4119521350318784</c:v>
                </c:pt>
                <c:pt idx="107">
                  <c:v>1.4265553626016927</c:v>
                </c:pt>
                <c:pt idx="108">
                  <c:v>1.7009783008769737</c:v>
                </c:pt>
                <c:pt idx="109">
                  <c:v>1.3508680400932471</c:v>
                </c:pt>
                <c:pt idx="110">
                  <c:v>1.4780695571274758</c:v>
                </c:pt>
                <c:pt idx="111">
                  <c:v>1.3293264634055491</c:v>
                </c:pt>
                <c:pt idx="112">
                  <c:v>1.1611756521803649</c:v>
                </c:pt>
                <c:pt idx="113">
                  <c:v>1.1618326348887451</c:v>
                </c:pt>
                <c:pt idx="114">
                  <c:v>1.2462567752185953</c:v>
                </c:pt>
                <c:pt idx="115">
                  <c:v>1.4298449413561354</c:v>
                </c:pt>
                <c:pt idx="116">
                  <c:v>1.5127133834419855</c:v>
                </c:pt>
                <c:pt idx="117">
                  <c:v>1.5723541482687571</c:v>
                </c:pt>
                <c:pt idx="118">
                  <c:v>1.4770775230961357</c:v>
                </c:pt>
                <c:pt idx="119">
                  <c:v>1.4224941290437032</c:v>
                </c:pt>
                <c:pt idx="120">
                  <c:v>1.3993071236314534</c:v>
                </c:pt>
                <c:pt idx="121">
                  <c:v>1.5257956920014584</c:v>
                </c:pt>
                <c:pt idx="122">
                  <c:v>1.0493279637706303</c:v>
                </c:pt>
                <c:pt idx="123">
                  <c:v>0.95356752132353062</c:v>
                </c:pt>
                <c:pt idx="124">
                  <c:v>1.0034589538567742</c:v>
                </c:pt>
                <c:pt idx="125">
                  <c:v>0.96029308773636224</c:v>
                </c:pt>
                <c:pt idx="126">
                  <c:v>0.79626824002280117</c:v>
                </c:pt>
                <c:pt idx="127">
                  <c:v>0.86200536665198779</c:v>
                </c:pt>
                <c:pt idx="128">
                  <c:v>1.0652948299707088</c:v>
                </c:pt>
                <c:pt idx="129">
                  <c:v>1.247221384064654</c:v>
                </c:pt>
                <c:pt idx="130">
                  <c:v>1.0760795725394359</c:v>
                </c:pt>
                <c:pt idx="131">
                  <c:v>0.84634053544193222</c:v>
                </c:pt>
                <c:pt idx="132">
                  <c:v>0.75523437583027486</c:v>
                </c:pt>
                <c:pt idx="133">
                  <c:v>0.70320203246972479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B4-9540-A7DA-88238ACD6121}"/>
            </c:ext>
          </c:extLst>
        </c:ser>
        <c:ser>
          <c:idx val="4"/>
          <c:order val="4"/>
          <c:tx>
            <c:strRef>
              <c:f>ＯＬＳ再投資累積報酬!$A$16:$B$16</c:f>
              <c:strCache>
                <c:ptCount val="2"/>
                <c:pt idx="0">
                  <c:v>9</c:v>
                </c:pt>
                <c:pt idx="1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ＯＬＳ再投資累積報酬!$C$10:$EF$11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ＯＬＳ再投資累積報酬!$C$16:$EF$16</c:f>
              <c:numCache>
                <c:formatCode>General</c:formatCode>
                <c:ptCount val="134"/>
                <c:pt idx="0">
                  <c:v>-3.9435389831589451E-2</c:v>
                </c:pt>
                <c:pt idx="1">
                  <c:v>0.35266270813370948</c:v>
                </c:pt>
                <c:pt idx="2">
                  <c:v>0.23538120880267299</c:v>
                </c:pt>
                <c:pt idx="3">
                  <c:v>0.3326248236353182</c:v>
                </c:pt>
                <c:pt idx="4">
                  <c:v>0.32176852800019962</c:v>
                </c:pt>
                <c:pt idx="5">
                  <c:v>0.32091023832449683</c:v>
                </c:pt>
                <c:pt idx="6">
                  <c:v>0.24491745511193508</c:v>
                </c:pt>
                <c:pt idx="7">
                  <c:v>0.30306745736943785</c:v>
                </c:pt>
                <c:pt idx="8">
                  <c:v>0.41567970882730343</c:v>
                </c:pt>
                <c:pt idx="9">
                  <c:v>0.29511815391163054</c:v>
                </c:pt>
                <c:pt idx="10">
                  <c:v>0.27700277180018706</c:v>
                </c:pt>
                <c:pt idx="11">
                  <c:v>0.43055277539090064</c:v>
                </c:pt>
                <c:pt idx="12">
                  <c:v>0.54474931233165447</c:v>
                </c:pt>
                <c:pt idx="13">
                  <c:v>0.55739799700566683</c:v>
                </c:pt>
                <c:pt idx="14">
                  <c:v>0.80331592260557572</c:v>
                </c:pt>
                <c:pt idx="15">
                  <c:v>0.89166213380720105</c:v>
                </c:pt>
                <c:pt idx="16">
                  <c:v>1.0994783280316014</c:v>
                </c:pt>
                <c:pt idx="17">
                  <c:v>1.2406032880631379</c:v>
                </c:pt>
                <c:pt idx="18">
                  <c:v>1.5320216892022414</c:v>
                </c:pt>
                <c:pt idx="19">
                  <c:v>1.7233703311152397</c:v>
                </c:pt>
                <c:pt idx="20">
                  <c:v>2.0001501538372599</c:v>
                </c:pt>
                <c:pt idx="21">
                  <c:v>2.2211962169217325</c:v>
                </c:pt>
                <c:pt idx="22">
                  <c:v>2.383154208278941</c:v>
                </c:pt>
                <c:pt idx="23">
                  <c:v>2.5288258283496452</c:v>
                </c:pt>
                <c:pt idx="24">
                  <c:v>2.3753655357977324</c:v>
                </c:pt>
                <c:pt idx="25">
                  <c:v>2.1222636105525354</c:v>
                </c:pt>
                <c:pt idx="26">
                  <c:v>2.0824065166791548</c:v>
                </c:pt>
                <c:pt idx="27">
                  <c:v>1.9186195927878154</c:v>
                </c:pt>
                <c:pt idx="28">
                  <c:v>2.5304446846883959</c:v>
                </c:pt>
                <c:pt idx="29">
                  <c:v>2.0082368046479107</c:v>
                </c:pt>
                <c:pt idx="30">
                  <c:v>1.8765477497646139</c:v>
                </c:pt>
                <c:pt idx="31">
                  <c:v>2.3034321107005979</c:v>
                </c:pt>
                <c:pt idx="32">
                  <c:v>2.1931527919551503</c:v>
                </c:pt>
                <c:pt idx="33">
                  <c:v>2.0394967515666496</c:v>
                </c:pt>
                <c:pt idx="34">
                  <c:v>1.925717892829494</c:v>
                </c:pt>
                <c:pt idx="35">
                  <c:v>2.0681679755961762</c:v>
                </c:pt>
                <c:pt idx="36">
                  <c:v>2.2709024843607084</c:v>
                </c:pt>
                <c:pt idx="37">
                  <c:v>2.6191103337096289</c:v>
                </c:pt>
                <c:pt idx="38">
                  <c:v>2.4704005350644378</c:v>
                </c:pt>
                <c:pt idx="39">
                  <c:v>2.4522140938604622</c:v>
                </c:pt>
                <c:pt idx="40">
                  <c:v>2.5850076521419778</c:v>
                </c:pt>
                <c:pt idx="41">
                  <c:v>2.4685227868402135</c:v>
                </c:pt>
                <c:pt idx="42">
                  <c:v>2.6942134095959331</c:v>
                </c:pt>
                <c:pt idx="43">
                  <c:v>3.1469911420748522</c:v>
                </c:pt>
                <c:pt idx="44">
                  <c:v>3.4874187722582972</c:v>
                </c:pt>
                <c:pt idx="45">
                  <c:v>3.5933602476442008</c:v>
                </c:pt>
                <c:pt idx="46">
                  <c:v>3.4130573990357425</c:v>
                </c:pt>
                <c:pt idx="47">
                  <c:v>2.9690096981439864</c:v>
                </c:pt>
                <c:pt idx="48">
                  <c:v>2.8912097511074042</c:v>
                </c:pt>
                <c:pt idx="49">
                  <c:v>2.5481989052126641</c:v>
                </c:pt>
                <c:pt idx="50">
                  <c:v>2.6011490502403642</c:v>
                </c:pt>
                <c:pt idx="51">
                  <c:v>3.0782076695219063</c:v>
                </c:pt>
                <c:pt idx="52">
                  <c:v>3.3519429473918496</c:v>
                </c:pt>
                <c:pt idx="53">
                  <c:v>3.5083374657565018</c:v>
                </c:pt>
                <c:pt idx="54">
                  <c:v>3.2765593535760926</c:v>
                </c:pt>
                <c:pt idx="55">
                  <c:v>4.3362345635554069</c:v>
                </c:pt>
                <c:pt idx="56">
                  <c:v>4.4081311569042434</c:v>
                </c:pt>
                <c:pt idx="57">
                  <c:v>4.3336308270080286</c:v>
                </c:pt>
                <c:pt idx="58">
                  <c:v>4.5949250835142896</c:v>
                </c:pt>
                <c:pt idx="59">
                  <c:v>5.1352091147941188</c:v>
                </c:pt>
                <c:pt idx="60">
                  <c:v>5.450384773827885</c:v>
                </c:pt>
                <c:pt idx="61">
                  <c:v>5.8449780285027568</c:v>
                </c:pt>
                <c:pt idx="62">
                  <c:v>6.115340871359499</c:v>
                </c:pt>
                <c:pt idx="63">
                  <c:v>6.5515450640017736</c:v>
                </c:pt>
                <c:pt idx="64">
                  <c:v>6.3862390243445075</c:v>
                </c:pt>
                <c:pt idx="65">
                  <c:v>5.9596919276208622</c:v>
                </c:pt>
                <c:pt idx="66">
                  <c:v>5.7948118241528839</c:v>
                </c:pt>
                <c:pt idx="67">
                  <c:v>5.6161296902788225</c:v>
                </c:pt>
                <c:pt idx="68">
                  <c:v>5.4043673120156139</c:v>
                </c:pt>
                <c:pt idx="69">
                  <c:v>5.1055338814243241</c:v>
                </c:pt>
                <c:pt idx="70">
                  <c:v>5.458220718821833</c:v>
                </c:pt>
                <c:pt idx="71">
                  <c:v>4.8478514083656616</c:v>
                </c:pt>
                <c:pt idx="72">
                  <c:v>6.7072976009400564</c:v>
                </c:pt>
                <c:pt idx="73">
                  <c:v>6.1943035789215326</c:v>
                </c:pt>
                <c:pt idx="74">
                  <c:v>5.338214227079507</c:v>
                </c:pt>
                <c:pt idx="75">
                  <c:v>4.6313395074192396</c:v>
                </c:pt>
                <c:pt idx="76">
                  <c:v>4.4640076904498835</c:v>
                </c:pt>
                <c:pt idx="77">
                  <c:v>3.7028222431010009</c:v>
                </c:pt>
                <c:pt idx="78">
                  <c:v>3.9115632787906964</c:v>
                </c:pt>
                <c:pt idx="79">
                  <c:v>3.6120142746817079</c:v>
                </c:pt>
                <c:pt idx="80">
                  <c:v>3.0004839615497447</c:v>
                </c:pt>
                <c:pt idx="81">
                  <c:v>3.2117098521015102</c:v>
                </c:pt>
                <c:pt idx="82">
                  <c:v>2.951729939561873</c:v>
                </c:pt>
                <c:pt idx="83">
                  <c:v>3.1510896753873698</c:v>
                </c:pt>
                <c:pt idx="84">
                  <c:v>3.1334862817702769</c:v>
                </c:pt>
                <c:pt idx="85">
                  <c:v>3.321657254448569</c:v>
                </c:pt>
                <c:pt idx="86">
                  <c:v>3.7037898132011087</c:v>
                </c:pt>
                <c:pt idx="87">
                  <c:v>2.7783641443430764</c:v>
                </c:pt>
                <c:pt idx="88">
                  <c:v>3.1145955861974697</c:v>
                </c:pt>
                <c:pt idx="89">
                  <c:v>3.2506138920870784</c:v>
                </c:pt>
                <c:pt idx="90">
                  <c:v>2.6783103501541996</c:v>
                </c:pt>
                <c:pt idx="91">
                  <c:v>2.1757365925731684</c:v>
                </c:pt>
                <c:pt idx="92">
                  <c:v>2.1111618639323226</c:v>
                </c:pt>
                <c:pt idx="93">
                  <c:v>1.5222608196526033</c:v>
                </c:pt>
                <c:pt idx="94">
                  <c:v>1.5772668441099915</c:v>
                </c:pt>
                <c:pt idx="95">
                  <c:v>1.643135026950838</c:v>
                </c:pt>
                <c:pt idx="96">
                  <c:v>2.0012050246656274</c:v>
                </c:pt>
                <c:pt idx="97">
                  <c:v>1.8227730484652822</c:v>
                </c:pt>
                <c:pt idx="98">
                  <c:v>1.9564078080520688</c:v>
                </c:pt>
                <c:pt idx="99">
                  <c:v>1.47668341168623</c:v>
                </c:pt>
                <c:pt idx="100">
                  <c:v>1.2753770041718879</c:v>
                </c:pt>
                <c:pt idx="101">
                  <c:v>1.2009156961765002</c:v>
                </c:pt>
                <c:pt idx="102">
                  <c:v>1.135317857312705</c:v>
                </c:pt>
                <c:pt idx="103">
                  <c:v>1.2265219161689935</c:v>
                </c:pt>
                <c:pt idx="104">
                  <c:v>1.1309098053303299</c:v>
                </c:pt>
                <c:pt idx="105">
                  <c:v>1.1985527892652419</c:v>
                </c:pt>
                <c:pt idx="106">
                  <c:v>1.2745180654498691</c:v>
                </c:pt>
                <c:pt idx="107">
                  <c:v>1.2806547460154634</c:v>
                </c:pt>
                <c:pt idx="108">
                  <c:v>1.5688654647855298</c:v>
                </c:pt>
                <c:pt idx="109">
                  <c:v>1.2165469934376745</c:v>
                </c:pt>
                <c:pt idx="110">
                  <c:v>1.3171771140142954</c:v>
                </c:pt>
                <c:pt idx="111">
                  <c:v>1.1527616903838598</c:v>
                </c:pt>
                <c:pt idx="112">
                  <c:v>1.0285779760527602</c:v>
                </c:pt>
                <c:pt idx="113">
                  <c:v>1.072948807028824</c:v>
                </c:pt>
                <c:pt idx="114">
                  <c:v>1.1121490446019746</c:v>
                </c:pt>
                <c:pt idx="115">
                  <c:v>1.356919094339204</c:v>
                </c:pt>
                <c:pt idx="116">
                  <c:v>1.4666663603516543</c:v>
                </c:pt>
                <c:pt idx="117">
                  <c:v>1.5156098274358585</c:v>
                </c:pt>
                <c:pt idx="118">
                  <c:v>1.3971996804119193</c:v>
                </c:pt>
                <c:pt idx="119">
                  <c:v>1.3704029833177147</c:v>
                </c:pt>
                <c:pt idx="120">
                  <c:v>1.3951097513949988</c:v>
                </c:pt>
                <c:pt idx="121">
                  <c:v>1.5366918144387318</c:v>
                </c:pt>
                <c:pt idx="122">
                  <c:v>1.0544457919688366</c:v>
                </c:pt>
                <c:pt idx="123">
                  <c:v>0.96049944318000424</c:v>
                </c:pt>
                <c:pt idx="124">
                  <c:v>1.0407186294724378</c:v>
                </c:pt>
                <c:pt idx="125">
                  <c:v>0.99592949252528129</c:v>
                </c:pt>
                <c:pt idx="126">
                  <c:v>0.8063464006826051</c:v>
                </c:pt>
                <c:pt idx="127">
                  <c:v>0.82919518624821231</c:v>
                </c:pt>
                <c:pt idx="128">
                  <c:v>1.084916470041803</c:v>
                </c:pt>
                <c:pt idx="129">
                  <c:v>1.2948239852326977</c:v>
                </c:pt>
                <c:pt idx="130">
                  <c:v>1.1376251446016692</c:v>
                </c:pt>
                <c:pt idx="131">
                  <c:v>0.89244119153005474</c:v>
                </c:pt>
                <c:pt idx="132">
                  <c:v>0.78033108923248684</c:v>
                </c:pt>
                <c:pt idx="133">
                  <c:v>0.7188234195034211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B4-9540-A7DA-88238ACD6121}"/>
            </c:ext>
          </c:extLst>
        </c:ser>
        <c:ser>
          <c:idx val="5"/>
          <c:order val="5"/>
          <c:tx>
            <c:strRef>
              <c:f>ＯＬＳ再投資累積報酬!$A$17:$B$17</c:f>
              <c:strCache>
                <c:ptCount val="2"/>
                <c:pt idx="0">
                  <c:v>8</c:v>
                </c:pt>
                <c:pt idx="1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ＯＬＳ再投資累積報酬!$C$10:$EF$11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ＯＬＳ再投資累積報酬!$C$17:$EF$17</c:f>
              <c:numCache>
                <c:formatCode>General</c:formatCode>
                <c:ptCount val="134"/>
                <c:pt idx="0">
                  <c:v>-3.8913468982799793E-2</c:v>
                </c:pt>
                <c:pt idx="1">
                  <c:v>0.38356899742143846</c:v>
                </c:pt>
                <c:pt idx="2">
                  <c:v>0.24981784779619964</c:v>
                </c:pt>
                <c:pt idx="3">
                  <c:v>0.3507433438019365</c:v>
                </c:pt>
                <c:pt idx="4">
                  <c:v>0.20839245417714469</c:v>
                </c:pt>
                <c:pt idx="5">
                  <c:v>0.21799054245687932</c:v>
                </c:pt>
                <c:pt idx="6">
                  <c:v>7.9474534153169296E-2</c:v>
                </c:pt>
                <c:pt idx="7">
                  <c:v>0.12465960572381896</c:v>
                </c:pt>
                <c:pt idx="8">
                  <c:v>0.23888012494159172</c:v>
                </c:pt>
                <c:pt idx="9">
                  <c:v>0.18655628161056814</c:v>
                </c:pt>
                <c:pt idx="10">
                  <c:v>0.20395017874082177</c:v>
                </c:pt>
                <c:pt idx="11">
                  <c:v>0.33551523788497506</c:v>
                </c:pt>
                <c:pt idx="12">
                  <c:v>0.47070513073004583</c:v>
                </c:pt>
                <c:pt idx="13">
                  <c:v>0.49038749916980473</c:v>
                </c:pt>
                <c:pt idx="14">
                  <c:v>0.73153412601368029</c:v>
                </c:pt>
                <c:pt idx="15">
                  <c:v>0.82167365235054279</c:v>
                </c:pt>
                <c:pt idx="16">
                  <c:v>1.0385518965811813</c:v>
                </c:pt>
                <c:pt idx="17">
                  <c:v>1.183700898347436</c:v>
                </c:pt>
                <c:pt idx="18">
                  <c:v>1.4921948192194514</c:v>
                </c:pt>
                <c:pt idx="19">
                  <c:v>1.7345848296543758</c:v>
                </c:pt>
                <c:pt idx="20">
                  <c:v>2.0864363514941373</c:v>
                </c:pt>
                <c:pt idx="21">
                  <c:v>2.3956552212185609</c:v>
                </c:pt>
                <c:pt idx="22">
                  <c:v>2.6456539920664244</c:v>
                </c:pt>
                <c:pt idx="23">
                  <c:v>2.8420398650962571</c:v>
                </c:pt>
                <c:pt idx="24">
                  <c:v>2.7067624498797973</c:v>
                </c:pt>
                <c:pt idx="25">
                  <c:v>2.3922360094081485</c:v>
                </c:pt>
                <c:pt idx="26">
                  <c:v>2.3240986927916869</c:v>
                </c:pt>
                <c:pt idx="27">
                  <c:v>2.1586337840919931</c:v>
                </c:pt>
                <c:pt idx="28">
                  <c:v>2.8602380625135782</c:v>
                </c:pt>
                <c:pt idx="29">
                  <c:v>2.395904213677214</c:v>
                </c:pt>
                <c:pt idx="30">
                  <c:v>2.1831842929704468</c:v>
                </c:pt>
                <c:pt idx="31">
                  <c:v>2.6511916111252436</c:v>
                </c:pt>
                <c:pt idx="32">
                  <c:v>2.4429350328963655</c:v>
                </c:pt>
                <c:pt idx="33">
                  <c:v>2.230806789819844</c:v>
                </c:pt>
                <c:pt idx="34">
                  <c:v>2.1358989662122299</c:v>
                </c:pt>
                <c:pt idx="35">
                  <c:v>2.2949655777608577</c:v>
                </c:pt>
                <c:pt idx="36">
                  <c:v>2.5433050495797924</c:v>
                </c:pt>
                <c:pt idx="37">
                  <c:v>2.9447158751538365</c:v>
                </c:pt>
                <c:pt idx="38">
                  <c:v>2.642177754503451</c:v>
                </c:pt>
                <c:pt idx="39">
                  <c:v>2.628485897779834</c:v>
                </c:pt>
                <c:pt idx="40">
                  <c:v>2.8481077622741555</c:v>
                </c:pt>
                <c:pt idx="41">
                  <c:v>2.7134369779582577</c:v>
                </c:pt>
                <c:pt idx="42">
                  <c:v>2.9225909759474056</c:v>
                </c:pt>
                <c:pt idx="43">
                  <c:v>3.4210416448873673</c:v>
                </c:pt>
                <c:pt idx="44">
                  <c:v>3.9325544369348524</c:v>
                </c:pt>
                <c:pt idx="45">
                  <c:v>4.0685122845880013</c:v>
                </c:pt>
                <c:pt idx="46">
                  <c:v>4.0258258415885271</c:v>
                </c:pt>
                <c:pt idx="47">
                  <c:v>3.5352092204557062</c:v>
                </c:pt>
                <c:pt idx="48">
                  <c:v>3.4650130448586376</c:v>
                </c:pt>
                <c:pt idx="49">
                  <c:v>3.1502553842294798</c:v>
                </c:pt>
                <c:pt idx="50">
                  <c:v>3.1910323867197938</c:v>
                </c:pt>
                <c:pt idx="51">
                  <c:v>3.8333950639066261</c:v>
                </c:pt>
                <c:pt idx="52">
                  <c:v>4.2387390175225086</c:v>
                </c:pt>
                <c:pt idx="53">
                  <c:v>4.3558587933602508</c:v>
                </c:pt>
                <c:pt idx="54">
                  <c:v>3.9415818183009899</c:v>
                </c:pt>
                <c:pt idx="55">
                  <c:v>4.6718331159795712</c:v>
                </c:pt>
                <c:pt idx="56">
                  <c:v>4.4710829156206424</c:v>
                </c:pt>
                <c:pt idx="57">
                  <c:v>4.5450490069150709</c:v>
                </c:pt>
                <c:pt idx="58">
                  <c:v>4.9927473892060199</c:v>
                </c:pt>
                <c:pt idx="59">
                  <c:v>5.57924705513107</c:v>
                </c:pt>
                <c:pt idx="60">
                  <c:v>5.6894581723230502</c:v>
                </c:pt>
                <c:pt idx="61">
                  <c:v>5.9179195401813844</c:v>
                </c:pt>
                <c:pt idx="62">
                  <c:v>6.1189474412506053</c:v>
                </c:pt>
                <c:pt idx="63">
                  <c:v>6.4995988490875405</c:v>
                </c:pt>
                <c:pt idx="64">
                  <c:v>6.2357658457969372</c:v>
                </c:pt>
                <c:pt idx="65">
                  <c:v>5.7970116166760786</c:v>
                </c:pt>
                <c:pt idx="66">
                  <c:v>5.6229964589107411</c:v>
                </c:pt>
                <c:pt idx="67">
                  <c:v>5.5591085506181983</c:v>
                </c:pt>
                <c:pt idx="68">
                  <c:v>5.4219837077933679</c:v>
                </c:pt>
                <c:pt idx="69">
                  <c:v>5.0838652363782373</c:v>
                </c:pt>
                <c:pt idx="70">
                  <c:v>5.5165973002153521</c:v>
                </c:pt>
                <c:pt idx="71">
                  <c:v>4.8216421123058479</c:v>
                </c:pt>
                <c:pt idx="72">
                  <c:v>6.0345045492819924</c:v>
                </c:pt>
                <c:pt idx="73">
                  <c:v>5.4531661324222389</c:v>
                </c:pt>
                <c:pt idx="74">
                  <c:v>4.8345503006986785</c:v>
                </c:pt>
                <c:pt idx="75">
                  <c:v>4.1310309850450002</c:v>
                </c:pt>
                <c:pt idx="76">
                  <c:v>3.9876964946515523</c:v>
                </c:pt>
                <c:pt idx="77">
                  <c:v>3.2413706346811706</c:v>
                </c:pt>
                <c:pt idx="78">
                  <c:v>3.4184839103295044</c:v>
                </c:pt>
                <c:pt idx="79">
                  <c:v>3.080977507478484</c:v>
                </c:pt>
                <c:pt idx="80">
                  <c:v>2.3663320483742076</c:v>
                </c:pt>
                <c:pt idx="81">
                  <c:v>2.5623831758096811</c:v>
                </c:pt>
                <c:pt idx="82">
                  <c:v>2.296219757337878</c:v>
                </c:pt>
                <c:pt idx="83">
                  <c:v>2.4048930644072235</c:v>
                </c:pt>
                <c:pt idx="84">
                  <c:v>2.392288887868141</c:v>
                </c:pt>
                <c:pt idx="85">
                  <c:v>2.5644215011844467</c:v>
                </c:pt>
                <c:pt idx="86">
                  <c:v>2.8636755318712535</c:v>
                </c:pt>
                <c:pt idx="87">
                  <c:v>2.3349736533978911</c:v>
                </c:pt>
                <c:pt idx="88">
                  <c:v>2.7837588716322177</c:v>
                </c:pt>
                <c:pt idx="89">
                  <c:v>2.8848535725450768</c:v>
                </c:pt>
                <c:pt idx="90">
                  <c:v>2.3510246729074802</c:v>
                </c:pt>
                <c:pt idx="91">
                  <c:v>1.8545393063072408</c:v>
                </c:pt>
                <c:pt idx="92">
                  <c:v>2.0027101730727508</c:v>
                </c:pt>
                <c:pt idx="93">
                  <c:v>1.4129699926618633</c:v>
                </c:pt>
                <c:pt idx="94">
                  <c:v>1.4408316523033826</c:v>
                </c:pt>
                <c:pt idx="95">
                  <c:v>1.4831539167442918</c:v>
                </c:pt>
                <c:pt idx="96">
                  <c:v>1.8689165778236538</c:v>
                </c:pt>
                <c:pt idx="97">
                  <c:v>1.6741418865949114</c:v>
                </c:pt>
                <c:pt idx="98">
                  <c:v>1.8436643483260688</c:v>
                </c:pt>
                <c:pt idx="99">
                  <c:v>1.4881782793364953</c:v>
                </c:pt>
                <c:pt idx="100">
                  <c:v>1.300049823265983</c:v>
                </c:pt>
                <c:pt idx="101">
                  <c:v>1.2273850751404822</c:v>
                </c:pt>
                <c:pt idx="102">
                  <c:v>1.1296120936201417</c:v>
                </c:pt>
                <c:pt idx="103">
                  <c:v>1.2038993752656637</c:v>
                </c:pt>
                <c:pt idx="104">
                  <c:v>1.1083306530768011</c:v>
                </c:pt>
                <c:pt idx="105">
                  <c:v>1.169799920627534</c:v>
                </c:pt>
                <c:pt idx="106">
                  <c:v>1.2221460472024015</c:v>
                </c:pt>
                <c:pt idx="107">
                  <c:v>1.2569769530602031</c:v>
                </c:pt>
                <c:pt idx="108">
                  <c:v>1.5350646494467668</c:v>
                </c:pt>
                <c:pt idx="109">
                  <c:v>1.1207504779444899</c:v>
                </c:pt>
                <c:pt idx="110">
                  <c:v>1.1950711945556858</c:v>
                </c:pt>
                <c:pt idx="111">
                  <c:v>0.91207150956304694</c:v>
                </c:pt>
                <c:pt idx="112">
                  <c:v>0.78182480929991049</c:v>
                </c:pt>
                <c:pt idx="113">
                  <c:v>0.78882690272105571</c:v>
                </c:pt>
                <c:pt idx="114">
                  <c:v>0.85542041244445199</c:v>
                </c:pt>
                <c:pt idx="115">
                  <c:v>1.0529855085823332</c:v>
                </c:pt>
                <c:pt idx="116">
                  <c:v>1.1869439305629763</c:v>
                </c:pt>
                <c:pt idx="117">
                  <c:v>1.1508188791891993</c:v>
                </c:pt>
                <c:pt idx="118">
                  <c:v>0.99455327335845256</c:v>
                </c:pt>
                <c:pt idx="119">
                  <c:v>0.94324039857139641</c:v>
                </c:pt>
                <c:pt idx="120">
                  <c:v>0.95588221939076323</c:v>
                </c:pt>
                <c:pt idx="121">
                  <c:v>1.0728673200242049</c:v>
                </c:pt>
                <c:pt idx="122">
                  <c:v>0.74213076857212767</c:v>
                </c:pt>
                <c:pt idx="123">
                  <c:v>0.66347559195163086</c:v>
                </c:pt>
                <c:pt idx="124">
                  <c:v>0.74445605139106785</c:v>
                </c:pt>
                <c:pt idx="125">
                  <c:v>0.7846399108320925</c:v>
                </c:pt>
                <c:pt idx="126">
                  <c:v>0.55975647570845011</c:v>
                </c:pt>
                <c:pt idx="127">
                  <c:v>0.55228359938255545</c:v>
                </c:pt>
                <c:pt idx="128">
                  <c:v>0.80774659800649129</c:v>
                </c:pt>
                <c:pt idx="129">
                  <c:v>1.0016912824616111</c:v>
                </c:pt>
                <c:pt idx="130">
                  <c:v>0.75846173678188467</c:v>
                </c:pt>
                <c:pt idx="131">
                  <c:v>0.57682903889720527</c:v>
                </c:pt>
                <c:pt idx="132">
                  <c:v>0.47547251820370029</c:v>
                </c:pt>
                <c:pt idx="133">
                  <c:v>0.41500064591325114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B4-9540-A7DA-88238ACD6121}"/>
            </c:ext>
          </c:extLst>
        </c:ser>
        <c:ser>
          <c:idx val="6"/>
          <c:order val="6"/>
          <c:tx>
            <c:strRef>
              <c:f>ＯＬＳ再投資累積報酬!$A$18:$B$18</c:f>
              <c:strCache>
                <c:ptCount val="2"/>
                <c:pt idx="0">
                  <c:v>7</c:v>
                </c:pt>
                <c:pt idx="1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ＯＬＳ再投資累積報酬!$C$10:$EF$11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ＯＬＳ再投資累積報酬!$C$18:$EF$18</c:f>
              <c:numCache>
                <c:formatCode>General</c:formatCode>
                <c:ptCount val="134"/>
                <c:pt idx="0">
                  <c:v>-5.9146797802220652E-2</c:v>
                </c:pt>
                <c:pt idx="1">
                  <c:v>0.31896705050983187</c:v>
                </c:pt>
                <c:pt idx="2">
                  <c:v>0.18644301438930544</c:v>
                </c:pt>
                <c:pt idx="3">
                  <c:v>0.32808409343966582</c:v>
                </c:pt>
                <c:pt idx="4">
                  <c:v>0.18423084102067788</c:v>
                </c:pt>
                <c:pt idx="5">
                  <c:v>0.19444154904579536</c:v>
                </c:pt>
                <c:pt idx="6">
                  <c:v>3.2594503883962789E-2</c:v>
                </c:pt>
                <c:pt idx="7">
                  <c:v>7.7420996454380164E-2</c:v>
                </c:pt>
                <c:pt idx="8">
                  <c:v>0.22357087994810954</c:v>
                </c:pt>
                <c:pt idx="9">
                  <c:v>0.16146461581395299</c:v>
                </c:pt>
                <c:pt idx="10">
                  <c:v>0.19520686372478768</c:v>
                </c:pt>
                <c:pt idx="11">
                  <c:v>0.36397902318489983</c:v>
                </c:pt>
                <c:pt idx="12">
                  <c:v>0.50538339636300811</c:v>
                </c:pt>
                <c:pt idx="13">
                  <c:v>0.51792035853096841</c:v>
                </c:pt>
                <c:pt idx="14">
                  <c:v>0.80476999382165881</c:v>
                </c:pt>
                <c:pt idx="15">
                  <c:v>0.91574933958594285</c:v>
                </c:pt>
                <c:pt idx="16">
                  <c:v>1.1912441088128154</c:v>
                </c:pt>
                <c:pt idx="17">
                  <c:v>1.3101069184679281</c:v>
                </c:pt>
                <c:pt idx="18">
                  <c:v>1.6161845910658306</c:v>
                </c:pt>
                <c:pt idx="19">
                  <c:v>1.9337670619352996</c:v>
                </c:pt>
                <c:pt idx="20">
                  <c:v>2.4211679518858134</c:v>
                </c:pt>
                <c:pt idx="21">
                  <c:v>2.8560780629099511</c:v>
                </c:pt>
                <c:pt idx="22">
                  <c:v>3.2566445365383903</c:v>
                </c:pt>
                <c:pt idx="23">
                  <c:v>3.6364835021489732</c:v>
                </c:pt>
                <c:pt idx="24">
                  <c:v>3.4431178209061946</c:v>
                </c:pt>
                <c:pt idx="25">
                  <c:v>3.066793295973226</c:v>
                </c:pt>
                <c:pt idx="26">
                  <c:v>3.072346178814592</c:v>
                </c:pt>
                <c:pt idx="27">
                  <c:v>2.7773299911410607</c:v>
                </c:pt>
                <c:pt idx="28">
                  <c:v>3.7533593828498724</c:v>
                </c:pt>
                <c:pt idx="29">
                  <c:v>3.0377713599637417</c:v>
                </c:pt>
                <c:pt idx="30">
                  <c:v>2.7078047656159683</c:v>
                </c:pt>
                <c:pt idx="31">
                  <c:v>3.3124309449274163</c:v>
                </c:pt>
                <c:pt idx="32">
                  <c:v>2.9612966455547172</c:v>
                </c:pt>
                <c:pt idx="33">
                  <c:v>2.6805705739520151</c:v>
                </c:pt>
                <c:pt idx="34">
                  <c:v>2.5965325279702314</c:v>
                </c:pt>
                <c:pt idx="35">
                  <c:v>2.7674676758553272</c:v>
                </c:pt>
                <c:pt idx="36">
                  <c:v>3.0185445516020737</c:v>
                </c:pt>
                <c:pt idx="37">
                  <c:v>3.3371935949652975</c:v>
                </c:pt>
                <c:pt idx="38">
                  <c:v>3.4438203786473442</c:v>
                </c:pt>
                <c:pt idx="39">
                  <c:v>3.4348629064269565</c:v>
                </c:pt>
                <c:pt idx="40">
                  <c:v>3.7729362546908005</c:v>
                </c:pt>
                <c:pt idx="41">
                  <c:v>3.4784726798497969</c:v>
                </c:pt>
                <c:pt idx="42">
                  <c:v>3.8628445461899679</c:v>
                </c:pt>
                <c:pt idx="43">
                  <c:v>4.6719528721111558</c:v>
                </c:pt>
                <c:pt idx="44">
                  <c:v>5.4597769996048928</c:v>
                </c:pt>
                <c:pt idx="45">
                  <c:v>5.686243861657041</c:v>
                </c:pt>
                <c:pt idx="46">
                  <c:v>5.522176580835306</c:v>
                </c:pt>
                <c:pt idx="47">
                  <c:v>4.6999627115960978</c:v>
                </c:pt>
                <c:pt idx="48">
                  <c:v>4.5278844925567059</c:v>
                </c:pt>
                <c:pt idx="49">
                  <c:v>4.2423895602606239</c:v>
                </c:pt>
                <c:pt idx="50">
                  <c:v>4.2457043804510342</c:v>
                </c:pt>
                <c:pt idx="51">
                  <c:v>5.123086656784813</c:v>
                </c:pt>
                <c:pt idx="52">
                  <c:v>5.6325370957544871</c:v>
                </c:pt>
                <c:pt idx="53">
                  <c:v>5.4732482828867486</c:v>
                </c:pt>
                <c:pt idx="54">
                  <c:v>5.0307291766767568</c:v>
                </c:pt>
                <c:pt idx="55">
                  <c:v>6.0257180439975935</c:v>
                </c:pt>
                <c:pt idx="56">
                  <c:v>5.9076421317628744</c:v>
                </c:pt>
                <c:pt idx="57">
                  <c:v>6.0492754110498925</c:v>
                </c:pt>
                <c:pt idx="58">
                  <c:v>6.5849575596132954</c:v>
                </c:pt>
                <c:pt idx="59">
                  <c:v>7.3323326807572382</c:v>
                </c:pt>
                <c:pt idx="60">
                  <c:v>7.3405073982257445</c:v>
                </c:pt>
                <c:pt idx="61">
                  <c:v>7.8058066312847565</c:v>
                </c:pt>
                <c:pt idx="62">
                  <c:v>8.0530856254504286</c:v>
                </c:pt>
                <c:pt idx="63">
                  <c:v>8.4350496915741093</c:v>
                </c:pt>
                <c:pt idx="64">
                  <c:v>8.2442022606743421</c:v>
                </c:pt>
                <c:pt idx="65">
                  <c:v>7.6667908990681006</c:v>
                </c:pt>
                <c:pt idx="66">
                  <c:v>6.9174628367337512</c:v>
                </c:pt>
                <c:pt idx="67">
                  <c:v>6.8719517276544382</c:v>
                </c:pt>
                <c:pt idx="68">
                  <c:v>6.6131750387571167</c:v>
                </c:pt>
                <c:pt idx="69">
                  <c:v>6.1446197227581303</c:v>
                </c:pt>
                <c:pt idx="70">
                  <c:v>6.7210293806283214</c:v>
                </c:pt>
                <c:pt idx="71">
                  <c:v>5.829207470002058</c:v>
                </c:pt>
                <c:pt idx="72">
                  <c:v>7.3205390599328339</c:v>
                </c:pt>
                <c:pt idx="73">
                  <c:v>6.6999860727681542</c:v>
                </c:pt>
                <c:pt idx="74">
                  <c:v>6.2172860458444328</c:v>
                </c:pt>
                <c:pt idx="75">
                  <c:v>5.1107318373277026</c:v>
                </c:pt>
                <c:pt idx="76">
                  <c:v>5.0124923887274013</c:v>
                </c:pt>
                <c:pt idx="77">
                  <c:v>4.3700799091064653</c:v>
                </c:pt>
                <c:pt idx="78">
                  <c:v>4.9321109380850032</c:v>
                </c:pt>
                <c:pt idx="79">
                  <c:v>4.2107945847066901</c:v>
                </c:pt>
                <c:pt idx="80">
                  <c:v>3.2836568907757986</c:v>
                </c:pt>
                <c:pt idx="81">
                  <c:v>3.0953570004147979</c:v>
                </c:pt>
                <c:pt idx="82">
                  <c:v>2.7201843943383128</c:v>
                </c:pt>
                <c:pt idx="83">
                  <c:v>2.8889529736352051</c:v>
                </c:pt>
                <c:pt idx="84">
                  <c:v>3.3364132225509771</c:v>
                </c:pt>
                <c:pt idx="85">
                  <c:v>3.6066310790166964</c:v>
                </c:pt>
                <c:pt idx="86">
                  <c:v>4.0491349930762652</c:v>
                </c:pt>
                <c:pt idx="87">
                  <c:v>3.2770518484584965</c:v>
                </c:pt>
                <c:pt idx="88">
                  <c:v>3.8914441155281363</c:v>
                </c:pt>
                <c:pt idx="89">
                  <c:v>4.063066566085614</c:v>
                </c:pt>
                <c:pt idx="90">
                  <c:v>3.3005813501814574</c:v>
                </c:pt>
                <c:pt idx="91">
                  <c:v>2.6002785151594763</c:v>
                </c:pt>
                <c:pt idx="92">
                  <c:v>2.7379627984661625</c:v>
                </c:pt>
                <c:pt idx="93">
                  <c:v>2.0138356454329078</c:v>
                </c:pt>
                <c:pt idx="94">
                  <c:v>2.0986126893991885</c:v>
                </c:pt>
                <c:pt idx="95">
                  <c:v>2.0481905323828662</c:v>
                </c:pt>
                <c:pt idx="96">
                  <c:v>2.4888516516075829</c:v>
                </c:pt>
                <c:pt idx="97">
                  <c:v>2.2692478780266589</c:v>
                </c:pt>
                <c:pt idx="98">
                  <c:v>2.4868443564697582</c:v>
                </c:pt>
                <c:pt idx="99">
                  <c:v>1.9530932520433657</c:v>
                </c:pt>
                <c:pt idx="100">
                  <c:v>1.6779287952886177</c:v>
                </c:pt>
                <c:pt idx="101">
                  <c:v>1.4330075340962947</c:v>
                </c:pt>
                <c:pt idx="102">
                  <c:v>1.3177293512747523</c:v>
                </c:pt>
                <c:pt idx="103">
                  <c:v>1.4237311868161888</c:v>
                </c:pt>
                <c:pt idx="104">
                  <c:v>1.3354860876315544</c:v>
                </c:pt>
                <c:pt idx="105">
                  <c:v>1.4312741515113734</c:v>
                </c:pt>
                <c:pt idx="106">
                  <c:v>1.5246851327530631</c:v>
                </c:pt>
                <c:pt idx="107">
                  <c:v>1.5955580308794066</c:v>
                </c:pt>
                <c:pt idx="108">
                  <c:v>1.9023973567129069</c:v>
                </c:pt>
                <c:pt idx="109">
                  <c:v>1.3439686419738548</c:v>
                </c:pt>
                <c:pt idx="110">
                  <c:v>1.3875975116824368</c:v>
                </c:pt>
                <c:pt idx="111">
                  <c:v>1.0385401241697436</c:v>
                </c:pt>
                <c:pt idx="112">
                  <c:v>0.92183249934961586</c:v>
                </c:pt>
                <c:pt idx="113">
                  <c:v>0.92919364453413045</c:v>
                </c:pt>
                <c:pt idx="114">
                  <c:v>0.93932322059319651</c:v>
                </c:pt>
                <c:pt idx="115">
                  <c:v>1.181949395155637</c:v>
                </c:pt>
                <c:pt idx="116">
                  <c:v>1.2478421230402472</c:v>
                </c:pt>
                <c:pt idx="117">
                  <c:v>1.2015260408679889</c:v>
                </c:pt>
                <c:pt idx="118">
                  <c:v>1.0567768965031745</c:v>
                </c:pt>
                <c:pt idx="119">
                  <c:v>1.0352800520314651</c:v>
                </c:pt>
                <c:pt idx="120">
                  <c:v>1.0869469616429459</c:v>
                </c:pt>
                <c:pt idx="121">
                  <c:v>1.1341141226345814</c:v>
                </c:pt>
                <c:pt idx="122">
                  <c:v>0.78713110161279998</c:v>
                </c:pt>
                <c:pt idx="123">
                  <c:v>0.66108886881020479</c:v>
                </c:pt>
                <c:pt idx="124">
                  <c:v>0.79714648582257741</c:v>
                </c:pt>
                <c:pt idx="125">
                  <c:v>0.91967106928805831</c:v>
                </c:pt>
                <c:pt idx="126">
                  <c:v>0.60146043291304241</c:v>
                </c:pt>
                <c:pt idx="127">
                  <c:v>0.53223273373992375</c:v>
                </c:pt>
                <c:pt idx="128">
                  <c:v>0.83706627720006144</c:v>
                </c:pt>
                <c:pt idx="129">
                  <c:v>1.0390780844545899</c:v>
                </c:pt>
                <c:pt idx="130">
                  <c:v>0.7474078850575101</c:v>
                </c:pt>
                <c:pt idx="131">
                  <c:v>0.60279397873085494</c:v>
                </c:pt>
                <c:pt idx="132">
                  <c:v>0.51782179133121575</c:v>
                </c:pt>
                <c:pt idx="133">
                  <c:v>0.42075426896368628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B4-9540-A7DA-88238ACD6121}"/>
            </c:ext>
          </c:extLst>
        </c:ser>
        <c:ser>
          <c:idx val="7"/>
          <c:order val="7"/>
          <c:tx>
            <c:strRef>
              <c:f>ＯＬＳ再投資累積報酬!$A$19:$B$19</c:f>
              <c:strCache>
                <c:ptCount val="2"/>
                <c:pt idx="0">
                  <c:v>6</c:v>
                </c:pt>
                <c:pt idx="1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ＯＬＳ再投資累積報酬!$C$10:$EF$11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ＯＬＳ再投資累積報酬!$C$19:$EF$19</c:f>
              <c:numCache>
                <c:formatCode>General</c:formatCode>
                <c:ptCount val="134"/>
                <c:pt idx="0">
                  <c:v>-7.3861929880770893E-2</c:v>
                </c:pt>
                <c:pt idx="1">
                  <c:v>0.30355909130497749</c:v>
                </c:pt>
                <c:pt idx="2">
                  <c:v>0.1202999615952689</c:v>
                </c:pt>
                <c:pt idx="3">
                  <c:v>0.31936456259195301</c:v>
                </c:pt>
                <c:pt idx="4">
                  <c:v>0.19261852365263721</c:v>
                </c:pt>
                <c:pt idx="5">
                  <c:v>0.17822506297423235</c:v>
                </c:pt>
                <c:pt idx="6">
                  <c:v>1.9571953123431074E-2</c:v>
                </c:pt>
                <c:pt idx="7">
                  <c:v>5.5694963811034004E-2</c:v>
                </c:pt>
                <c:pt idx="8">
                  <c:v>0.30778374634645722</c:v>
                </c:pt>
                <c:pt idx="9">
                  <c:v>0.28120088432913493</c:v>
                </c:pt>
                <c:pt idx="10">
                  <c:v>0.22522491512912524</c:v>
                </c:pt>
                <c:pt idx="11">
                  <c:v>0.41126745395406172</c:v>
                </c:pt>
                <c:pt idx="12">
                  <c:v>0.54141649036805339</c:v>
                </c:pt>
                <c:pt idx="13">
                  <c:v>0.57766006420364469</c:v>
                </c:pt>
                <c:pt idx="14">
                  <c:v>0.88871639469363606</c:v>
                </c:pt>
                <c:pt idx="15">
                  <c:v>1.0592657675940607</c:v>
                </c:pt>
                <c:pt idx="16">
                  <c:v>1.3119209484941368</c:v>
                </c:pt>
                <c:pt idx="17">
                  <c:v>1.3746994926118949</c:v>
                </c:pt>
                <c:pt idx="18">
                  <c:v>1.6969422685094004</c:v>
                </c:pt>
                <c:pt idx="19">
                  <c:v>1.9469173157737112</c:v>
                </c:pt>
                <c:pt idx="20">
                  <c:v>2.4618462154166783</c:v>
                </c:pt>
                <c:pt idx="21">
                  <c:v>2.8873890456518194</c:v>
                </c:pt>
                <c:pt idx="22">
                  <c:v>3.2882964067454603</c:v>
                </c:pt>
                <c:pt idx="23">
                  <c:v>3.6811863094178374</c:v>
                </c:pt>
                <c:pt idx="24">
                  <c:v>3.4865885306778495</c:v>
                </c:pt>
                <c:pt idx="25">
                  <c:v>3.0278186752984988</c:v>
                </c:pt>
                <c:pt idx="26">
                  <c:v>3.0847782451177688</c:v>
                </c:pt>
                <c:pt idx="27">
                  <c:v>2.9867539537596448</c:v>
                </c:pt>
                <c:pt idx="28">
                  <c:v>4.2166390748002209</c:v>
                </c:pt>
                <c:pt idx="29">
                  <c:v>3.3359108704574307</c:v>
                </c:pt>
                <c:pt idx="30">
                  <c:v>3.1560264876494477</c:v>
                </c:pt>
                <c:pt idx="31">
                  <c:v>4.0045054247282259</c:v>
                </c:pt>
                <c:pt idx="32">
                  <c:v>3.765458453222343</c:v>
                </c:pt>
                <c:pt idx="33">
                  <c:v>3.3975521479349498</c:v>
                </c:pt>
                <c:pt idx="34">
                  <c:v>3.2190927838021883</c:v>
                </c:pt>
                <c:pt idx="35">
                  <c:v>3.5155724235928396</c:v>
                </c:pt>
                <c:pt idx="36">
                  <c:v>3.7102207418194872</c:v>
                </c:pt>
                <c:pt idx="37">
                  <c:v>4.1038458552992001</c:v>
                </c:pt>
                <c:pt idx="38">
                  <c:v>4.3891004438954315</c:v>
                </c:pt>
                <c:pt idx="39">
                  <c:v>4.3367561112838757</c:v>
                </c:pt>
                <c:pt idx="40">
                  <c:v>4.8077395518649544</c:v>
                </c:pt>
                <c:pt idx="41">
                  <c:v>4.374384417680039</c:v>
                </c:pt>
                <c:pt idx="42">
                  <c:v>4.8999828501706197</c:v>
                </c:pt>
                <c:pt idx="43">
                  <c:v>5.9890823009001233</c:v>
                </c:pt>
                <c:pt idx="44">
                  <c:v>7.0585141185702227</c:v>
                </c:pt>
                <c:pt idx="45">
                  <c:v>7.4024326979511894</c:v>
                </c:pt>
                <c:pt idx="46">
                  <c:v>7.2145864996519791</c:v>
                </c:pt>
                <c:pt idx="47">
                  <c:v>5.3735021965228027</c:v>
                </c:pt>
                <c:pt idx="48">
                  <c:v>4.9511095385241717</c:v>
                </c:pt>
                <c:pt idx="49">
                  <c:v>4.2630926692815363</c:v>
                </c:pt>
                <c:pt idx="50">
                  <c:v>4.0822323635548132</c:v>
                </c:pt>
                <c:pt idx="51">
                  <c:v>5.1078361719461745</c:v>
                </c:pt>
                <c:pt idx="52">
                  <c:v>5.4990765884630122</c:v>
                </c:pt>
                <c:pt idx="53">
                  <c:v>5.4780560230430391</c:v>
                </c:pt>
                <c:pt idx="54">
                  <c:v>5.146820878943231</c:v>
                </c:pt>
                <c:pt idx="55">
                  <c:v>6.0184980746095009</c:v>
                </c:pt>
                <c:pt idx="56">
                  <c:v>5.9037901400683728</c:v>
                </c:pt>
                <c:pt idx="57">
                  <c:v>5.9177233810753807</c:v>
                </c:pt>
                <c:pt idx="58">
                  <c:v>6.6183796667984662</c:v>
                </c:pt>
                <c:pt idx="59">
                  <c:v>7.0671953042311184</c:v>
                </c:pt>
                <c:pt idx="60">
                  <c:v>6.5063716583794156</c:v>
                </c:pt>
                <c:pt idx="61">
                  <c:v>6.9805081243127907</c:v>
                </c:pt>
                <c:pt idx="62">
                  <c:v>7.2341786693425636</c:v>
                </c:pt>
                <c:pt idx="63">
                  <c:v>7.8285636777219487</c:v>
                </c:pt>
                <c:pt idx="64">
                  <c:v>7.6014139048312366</c:v>
                </c:pt>
                <c:pt idx="65">
                  <c:v>7.494681826824154</c:v>
                </c:pt>
                <c:pt idx="66">
                  <c:v>6.5632133342540184</c:v>
                </c:pt>
                <c:pt idx="67">
                  <c:v>6.6136996439885305</c:v>
                </c:pt>
                <c:pt idx="68">
                  <c:v>6.6403470745513431</c:v>
                </c:pt>
                <c:pt idx="69">
                  <c:v>6.0113676980982884</c:v>
                </c:pt>
                <c:pt idx="70">
                  <c:v>6.5437846771167019</c:v>
                </c:pt>
                <c:pt idx="71">
                  <c:v>5.788762473112584</c:v>
                </c:pt>
                <c:pt idx="72">
                  <c:v>7.8759879079881294</c:v>
                </c:pt>
                <c:pt idx="73">
                  <c:v>7.3893149918671721</c:v>
                </c:pt>
                <c:pt idx="74">
                  <c:v>7.1571141333031072</c:v>
                </c:pt>
                <c:pt idx="75">
                  <c:v>6.5967030599291778</c:v>
                </c:pt>
                <c:pt idx="76">
                  <c:v>6.373901215376816</c:v>
                </c:pt>
                <c:pt idx="77">
                  <c:v>5.4312327448548672</c:v>
                </c:pt>
                <c:pt idx="78">
                  <c:v>5.5759719252663231</c:v>
                </c:pt>
                <c:pt idx="79">
                  <c:v>4.5979150390906121</c:v>
                </c:pt>
                <c:pt idx="80">
                  <c:v>3.488039772203142</c:v>
                </c:pt>
                <c:pt idx="81">
                  <c:v>3.1332533840808177</c:v>
                </c:pt>
                <c:pt idx="82">
                  <c:v>2.8971717678088083</c:v>
                </c:pt>
                <c:pt idx="83">
                  <c:v>3.0636396303437099</c:v>
                </c:pt>
                <c:pt idx="84">
                  <c:v>3.5136235454063769</c:v>
                </c:pt>
                <c:pt idx="85">
                  <c:v>3.7931996444673208</c:v>
                </c:pt>
                <c:pt idx="86">
                  <c:v>4.3626186430381066</c:v>
                </c:pt>
                <c:pt idx="87">
                  <c:v>3.7440524787891247</c:v>
                </c:pt>
                <c:pt idx="88">
                  <c:v>4.5759108924846865</c:v>
                </c:pt>
                <c:pt idx="89">
                  <c:v>5.0048805196318664</c:v>
                </c:pt>
                <c:pt idx="90">
                  <c:v>4.0071902914431936</c:v>
                </c:pt>
                <c:pt idx="91">
                  <c:v>3.2108838057958788</c:v>
                </c:pt>
                <c:pt idx="92">
                  <c:v>3.3472937339818793</c:v>
                </c:pt>
                <c:pt idx="93">
                  <c:v>2.580836616407538</c:v>
                </c:pt>
                <c:pt idx="94">
                  <c:v>2.737590126515189</c:v>
                </c:pt>
                <c:pt idx="95">
                  <c:v>2.6331594768440016</c:v>
                </c:pt>
                <c:pt idx="96">
                  <c:v>3.1658080620192992</c:v>
                </c:pt>
                <c:pt idx="97">
                  <c:v>2.8486088558489326</c:v>
                </c:pt>
                <c:pt idx="98">
                  <c:v>3.0815108020446029</c:v>
                </c:pt>
                <c:pt idx="99">
                  <c:v>2.4768337897999668</c:v>
                </c:pt>
                <c:pt idx="100">
                  <c:v>2.1017108232180708</c:v>
                </c:pt>
                <c:pt idx="101">
                  <c:v>1.9233647365693698</c:v>
                </c:pt>
                <c:pt idx="102">
                  <c:v>1.7531551085887647</c:v>
                </c:pt>
                <c:pt idx="103">
                  <c:v>1.8515002842234205</c:v>
                </c:pt>
                <c:pt idx="104">
                  <c:v>1.9518143530430514</c:v>
                </c:pt>
                <c:pt idx="105">
                  <c:v>1.970118923575273</c:v>
                </c:pt>
                <c:pt idx="106">
                  <c:v>2.0681875417708957</c:v>
                </c:pt>
                <c:pt idx="107">
                  <c:v>2.1335287142912165</c:v>
                </c:pt>
                <c:pt idx="108">
                  <c:v>2.5298912614086952</c:v>
                </c:pt>
                <c:pt idx="109">
                  <c:v>1.7371082764872345</c:v>
                </c:pt>
                <c:pt idx="110">
                  <c:v>1.8976315559337977</c:v>
                </c:pt>
                <c:pt idx="111">
                  <c:v>1.4187965824451325</c:v>
                </c:pt>
                <c:pt idx="112">
                  <c:v>1.3801338374491219</c:v>
                </c:pt>
                <c:pt idx="113">
                  <c:v>1.4086544716579792</c:v>
                </c:pt>
                <c:pt idx="114">
                  <c:v>1.2976205527019187</c:v>
                </c:pt>
                <c:pt idx="115">
                  <c:v>1.6972417934499719</c:v>
                </c:pt>
                <c:pt idx="116">
                  <c:v>1.8286123571896735</c:v>
                </c:pt>
                <c:pt idx="117">
                  <c:v>1.9073553089558946</c:v>
                </c:pt>
                <c:pt idx="118">
                  <c:v>1.6736790337595338</c:v>
                </c:pt>
                <c:pt idx="119">
                  <c:v>1.626768443885878</c:v>
                </c:pt>
                <c:pt idx="120">
                  <c:v>1.7447601588253092</c:v>
                </c:pt>
                <c:pt idx="121">
                  <c:v>1.7585752133432395</c:v>
                </c:pt>
                <c:pt idx="122">
                  <c:v>1.221978709127244</c:v>
                </c:pt>
                <c:pt idx="123">
                  <c:v>1.0628997283935009</c:v>
                </c:pt>
                <c:pt idx="124">
                  <c:v>1.1879303054775621</c:v>
                </c:pt>
                <c:pt idx="125">
                  <c:v>1.3949395664528326</c:v>
                </c:pt>
                <c:pt idx="126">
                  <c:v>1.0306227735656019</c:v>
                </c:pt>
                <c:pt idx="127">
                  <c:v>0.86889673033567205</c:v>
                </c:pt>
                <c:pt idx="128">
                  <c:v>1.3044387525813632</c:v>
                </c:pt>
                <c:pt idx="129">
                  <c:v>1.5550545546709831</c:v>
                </c:pt>
                <c:pt idx="130">
                  <c:v>1.1877036228987539</c:v>
                </c:pt>
                <c:pt idx="131">
                  <c:v>1.0120632725021657</c:v>
                </c:pt>
                <c:pt idx="132">
                  <c:v>0.9661562665660266</c:v>
                </c:pt>
                <c:pt idx="133">
                  <c:v>0.82062137971480942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B4-9540-A7DA-88238ACD6121}"/>
            </c:ext>
          </c:extLst>
        </c:ser>
        <c:ser>
          <c:idx val="8"/>
          <c:order val="8"/>
          <c:tx>
            <c:strRef>
              <c:f>ＯＬＳ再投資累積報酬!$A$20:$B$20</c:f>
              <c:strCache>
                <c:ptCount val="2"/>
                <c:pt idx="0">
                  <c:v>5</c:v>
                </c:pt>
                <c:pt idx="1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ＯＬＳ再投資累積報酬!$C$10:$EF$11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ＯＬＳ再投資累積報酬!$C$20:$EF$20</c:f>
              <c:numCache>
                <c:formatCode>General</c:formatCode>
                <c:ptCount val="134"/>
                <c:pt idx="0">
                  <c:v>1.1241331728202963E-2</c:v>
                </c:pt>
                <c:pt idx="1">
                  <c:v>0.39756161047473526</c:v>
                </c:pt>
                <c:pt idx="2">
                  <c:v>0.19334305254316764</c:v>
                </c:pt>
                <c:pt idx="3">
                  <c:v>0.43861235891557437</c:v>
                </c:pt>
                <c:pt idx="4">
                  <c:v>0.27003124360075659</c:v>
                </c:pt>
                <c:pt idx="5">
                  <c:v>0.28474204861599262</c:v>
                </c:pt>
                <c:pt idx="6">
                  <c:v>8.1560655572129992E-2</c:v>
                </c:pt>
                <c:pt idx="7">
                  <c:v>0.11884341275914512</c:v>
                </c:pt>
                <c:pt idx="8">
                  <c:v>0.35908650935020781</c:v>
                </c:pt>
                <c:pt idx="9">
                  <c:v>0.34685504153316216</c:v>
                </c:pt>
                <c:pt idx="10">
                  <c:v>0.24217985394003527</c:v>
                </c:pt>
                <c:pt idx="11">
                  <c:v>0.45104443175827624</c:v>
                </c:pt>
                <c:pt idx="12">
                  <c:v>0.59484508850509599</c:v>
                </c:pt>
                <c:pt idx="13">
                  <c:v>0.66364459865506253</c:v>
                </c:pt>
                <c:pt idx="14">
                  <c:v>1.0241992037368943</c:v>
                </c:pt>
                <c:pt idx="15">
                  <c:v>1.2453491519640814</c:v>
                </c:pt>
                <c:pt idx="16">
                  <c:v>1.4307310398996309</c:v>
                </c:pt>
                <c:pt idx="17">
                  <c:v>1.3926587171252969</c:v>
                </c:pt>
                <c:pt idx="18">
                  <c:v>1.7483266700569775</c:v>
                </c:pt>
                <c:pt idx="19">
                  <c:v>2.0328268597646031</c:v>
                </c:pt>
                <c:pt idx="20">
                  <c:v>2.7195912803536926</c:v>
                </c:pt>
                <c:pt idx="21">
                  <c:v>3.2776899148318011</c:v>
                </c:pt>
                <c:pt idx="22">
                  <c:v>3.8293623610248222</c:v>
                </c:pt>
                <c:pt idx="23">
                  <c:v>4.3394249346704523</c:v>
                </c:pt>
                <c:pt idx="24">
                  <c:v>4.2241224378612463</c:v>
                </c:pt>
                <c:pt idx="25">
                  <c:v>3.7813266520940996</c:v>
                </c:pt>
                <c:pt idx="26">
                  <c:v>4.0072360299404748</c:v>
                </c:pt>
                <c:pt idx="27">
                  <c:v>3.872104231150435</c:v>
                </c:pt>
                <c:pt idx="28">
                  <c:v>4.6575907566820325</c:v>
                </c:pt>
                <c:pt idx="29">
                  <c:v>3.3931315581687018</c:v>
                </c:pt>
                <c:pt idx="30">
                  <c:v>3.251834174493375</c:v>
                </c:pt>
                <c:pt idx="31">
                  <c:v>4.1729619583097382</c:v>
                </c:pt>
                <c:pt idx="32">
                  <c:v>3.7421610294446266</c:v>
                </c:pt>
                <c:pt idx="33">
                  <c:v>3.4541900541599126</c:v>
                </c:pt>
                <c:pt idx="34">
                  <c:v>3.4174496004064343</c:v>
                </c:pt>
                <c:pt idx="35">
                  <c:v>3.7394527509794235</c:v>
                </c:pt>
                <c:pt idx="36">
                  <c:v>3.8963095879856988</c:v>
                </c:pt>
                <c:pt idx="37">
                  <c:v>4.2658350201199067</c:v>
                </c:pt>
                <c:pt idx="38">
                  <c:v>4.5244311978104239</c:v>
                </c:pt>
                <c:pt idx="39">
                  <c:v>4.4547924279033051</c:v>
                </c:pt>
                <c:pt idx="40">
                  <c:v>4.3050448187819974</c:v>
                </c:pt>
                <c:pt idx="41">
                  <c:v>4.2345450171762398</c:v>
                </c:pt>
                <c:pt idx="42">
                  <c:v>4.8213155791977655</c:v>
                </c:pt>
                <c:pt idx="43">
                  <c:v>6.2133303755559064</c:v>
                </c:pt>
                <c:pt idx="44">
                  <c:v>7.2453606022668318</c:v>
                </c:pt>
                <c:pt idx="45">
                  <c:v>7.834692804097493</c:v>
                </c:pt>
                <c:pt idx="46">
                  <c:v>7.7740402687169485</c:v>
                </c:pt>
                <c:pt idx="47">
                  <c:v>5.9811597243049013</c:v>
                </c:pt>
                <c:pt idx="48">
                  <c:v>6.5540171879424074</c:v>
                </c:pt>
                <c:pt idx="49">
                  <c:v>5.3735206476976245</c:v>
                </c:pt>
                <c:pt idx="50">
                  <c:v>5.1389823226971352</c:v>
                </c:pt>
                <c:pt idx="51">
                  <c:v>6.5583972980678373</c:v>
                </c:pt>
                <c:pt idx="52">
                  <c:v>7.0920622300318144</c:v>
                </c:pt>
                <c:pt idx="53">
                  <c:v>6.6597048565036721</c:v>
                </c:pt>
                <c:pt idx="54">
                  <c:v>6.705255567431907</c:v>
                </c:pt>
                <c:pt idx="55">
                  <c:v>7.7683594103397411</c:v>
                </c:pt>
                <c:pt idx="56">
                  <c:v>7.7076285017426134</c:v>
                </c:pt>
                <c:pt idx="57">
                  <c:v>7.0841061619432555</c:v>
                </c:pt>
                <c:pt idx="58">
                  <c:v>8.0077610933446461</c:v>
                </c:pt>
                <c:pt idx="59">
                  <c:v>8.4504005260952066</c:v>
                </c:pt>
                <c:pt idx="60">
                  <c:v>7.4808056475455711</c:v>
                </c:pt>
                <c:pt idx="61">
                  <c:v>8.0732699972611339</c:v>
                </c:pt>
                <c:pt idx="62">
                  <c:v>8.5039649810746045</c:v>
                </c:pt>
                <c:pt idx="63">
                  <c:v>9.3181186384082455</c:v>
                </c:pt>
                <c:pt idx="64">
                  <c:v>9.7149712027750628</c:v>
                </c:pt>
                <c:pt idx="65">
                  <c:v>9.7930169100218354</c:v>
                </c:pt>
                <c:pt idx="66">
                  <c:v>8.6208923858219304</c:v>
                </c:pt>
                <c:pt idx="67">
                  <c:v>8.7370514974068527</c:v>
                </c:pt>
                <c:pt idx="68">
                  <c:v>9.0538581301835883</c:v>
                </c:pt>
                <c:pt idx="69">
                  <c:v>8.0833541657379335</c:v>
                </c:pt>
                <c:pt idx="70">
                  <c:v>8.9803803464643313</c:v>
                </c:pt>
                <c:pt idx="71">
                  <c:v>7.6459056864146557</c:v>
                </c:pt>
                <c:pt idx="72">
                  <c:v>10.687790793826869</c:v>
                </c:pt>
                <c:pt idx="73">
                  <c:v>10.010038967668013</c:v>
                </c:pt>
                <c:pt idx="74">
                  <c:v>9.5345396067401609</c:v>
                </c:pt>
                <c:pt idx="75">
                  <c:v>8.5835719232041505</c:v>
                </c:pt>
                <c:pt idx="76">
                  <c:v>8.199244544603479</c:v>
                </c:pt>
                <c:pt idx="77">
                  <c:v>7.0355824262360436</c:v>
                </c:pt>
                <c:pt idx="78">
                  <c:v>7.1393603661543956</c:v>
                </c:pt>
                <c:pt idx="79">
                  <c:v>5.6021647349874417</c:v>
                </c:pt>
                <c:pt idx="80">
                  <c:v>3.991475567923481</c:v>
                </c:pt>
                <c:pt idx="81">
                  <c:v>3.463452877646378</c:v>
                </c:pt>
                <c:pt idx="82">
                  <c:v>3.1243632879860641</c:v>
                </c:pt>
                <c:pt idx="83">
                  <c:v>3.2159044757416408</c:v>
                </c:pt>
                <c:pt idx="84">
                  <c:v>3.5751341177575746</c:v>
                </c:pt>
                <c:pt idx="85">
                  <c:v>4.1398901367811032</c:v>
                </c:pt>
                <c:pt idx="86">
                  <c:v>4.5541119500004026</c:v>
                </c:pt>
                <c:pt idx="87">
                  <c:v>3.7248099957927119</c:v>
                </c:pt>
                <c:pt idx="88">
                  <c:v>4.6180408307071197</c:v>
                </c:pt>
                <c:pt idx="89">
                  <c:v>4.4935483528433018</c:v>
                </c:pt>
                <c:pt idx="90">
                  <c:v>3.2381725541606361</c:v>
                </c:pt>
                <c:pt idx="91">
                  <c:v>2.424311171125165</c:v>
                </c:pt>
                <c:pt idx="92">
                  <c:v>2.503474551901502</c:v>
                </c:pt>
                <c:pt idx="93">
                  <c:v>1.818593938567302</c:v>
                </c:pt>
                <c:pt idx="94">
                  <c:v>1.8814311081149335</c:v>
                </c:pt>
                <c:pt idx="95">
                  <c:v>1.8293443113415204</c:v>
                </c:pt>
                <c:pt idx="96">
                  <c:v>2.2444883691227946</c:v>
                </c:pt>
                <c:pt idx="97">
                  <c:v>1.9297593704667331</c:v>
                </c:pt>
                <c:pt idx="98">
                  <c:v>2.1287008957814253</c:v>
                </c:pt>
                <c:pt idx="99">
                  <c:v>1.6745568577598169</c:v>
                </c:pt>
                <c:pt idx="100">
                  <c:v>1.4045157925763054</c:v>
                </c:pt>
                <c:pt idx="101">
                  <c:v>1.3731064831616897</c:v>
                </c:pt>
                <c:pt idx="102">
                  <c:v>1.260450625747179</c:v>
                </c:pt>
                <c:pt idx="103">
                  <c:v>1.3890763916244033</c:v>
                </c:pt>
                <c:pt idx="104">
                  <c:v>1.5076058040510967</c:v>
                </c:pt>
                <c:pt idx="105">
                  <c:v>1.5166261254258693</c:v>
                </c:pt>
                <c:pt idx="106">
                  <c:v>1.5428461524152137</c:v>
                </c:pt>
                <c:pt idx="107">
                  <c:v>1.6585455467985923</c:v>
                </c:pt>
                <c:pt idx="108">
                  <c:v>1.9884000872163479</c:v>
                </c:pt>
                <c:pt idx="109">
                  <c:v>1.1567295383040732</c:v>
                </c:pt>
                <c:pt idx="110">
                  <c:v>1.3168631168454543</c:v>
                </c:pt>
                <c:pt idx="111">
                  <c:v>1.0004767091813651</c:v>
                </c:pt>
                <c:pt idx="112">
                  <c:v>0.95893549302531711</c:v>
                </c:pt>
                <c:pt idx="113">
                  <c:v>0.99706690373353357</c:v>
                </c:pt>
                <c:pt idx="114">
                  <c:v>1.082670725441325</c:v>
                </c:pt>
                <c:pt idx="115">
                  <c:v>1.4642883410381726</c:v>
                </c:pt>
                <c:pt idx="116">
                  <c:v>1.5870612923590044</c:v>
                </c:pt>
                <c:pt idx="117">
                  <c:v>1.6124934796036889</c:v>
                </c:pt>
                <c:pt idx="118">
                  <c:v>1.4623791297723163</c:v>
                </c:pt>
                <c:pt idx="119">
                  <c:v>1.325574762556252</c:v>
                </c:pt>
                <c:pt idx="120">
                  <c:v>1.1632664861788076</c:v>
                </c:pt>
                <c:pt idx="121">
                  <c:v>1.099049187624408</c:v>
                </c:pt>
                <c:pt idx="122">
                  <c:v>0.5267553327573693</c:v>
                </c:pt>
                <c:pt idx="123">
                  <c:v>0.37096188847083145</c:v>
                </c:pt>
                <c:pt idx="124">
                  <c:v>0.46564079610732634</c:v>
                </c:pt>
                <c:pt idx="125">
                  <c:v>0.60905553345697161</c:v>
                </c:pt>
                <c:pt idx="126">
                  <c:v>0.30751558185244487</c:v>
                </c:pt>
                <c:pt idx="127">
                  <c:v>0.33120139203461352</c:v>
                </c:pt>
                <c:pt idx="128">
                  <c:v>0.72216352630292957</c:v>
                </c:pt>
                <c:pt idx="129">
                  <c:v>0.86408210132755925</c:v>
                </c:pt>
                <c:pt idx="130">
                  <c:v>0.61987588984857989</c:v>
                </c:pt>
                <c:pt idx="131">
                  <c:v>0.52620241283200708</c:v>
                </c:pt>
                <c:pt idx="132">
                  <c:v>0.49565152280022162</c:v>
                </c:pt>
                <c:pt idx="133">
                  <c:v>0.36732462214396255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B4-9540-A7DA-88238ACD6121}"/>
            </c:ext>
          </c:extLst>
        </c:ser>
        <c:ser>
          <c:idx val="9"/>
          <c:order val="9"/>
          <c:tx>
            <c:strRef>
              <c:f>ＯＬＳ再投資累積報酬!$A$21:$B$21</c:f>
              <c:strCache>
                <c:ptCount val="2"/>
                <c:pt idx="0">
                  <c:v>4</c:v>
                </c:pt>
                <c:pt idx="1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ＯＬＳ再投資累積報酬!$C$10:$EF$11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ＯＬＳ再投資累積報酬!$C$21:$EF$21</c:f>
              <c:numCache>
                <c:formatCode>General</c:formatCode>
                <c:ptCount val="134"/>
                <c:pt idx="0">
                  <c:v>1.0384834477426885E-2</c:v>
                </c:pt>
                <c:pt idx="1">
                  <c:v>0.13808636332219448</c:v>
                </c:pt>
                <c:pt idx="2">
                  <c:v>8.8332010275794293E-2</c:v>
                </c:pt>
                <c:pt idx="3">
                  <c:v>0.28862708976349971</c:v>
                </c:pt>
                <c:pt idx="4">
                  <c:v>0.10326819718999425</c:v>
                </c:pt>
                <c:pt idx="5">
                  <c:v>6.1516030552670742E-2</c:v>
                </c:pt>
                <c:pt idx="6">
                  <c:v>-9.4798158063423954E-2</c:v>
                </c:pt>
                <c:pt idx="7">
                  <c:v>-4.0091989929312399E-2</c:v>
                </c:pt>
                <c:pt idx="8">
                  <c:v>0.15849380415497905</c:v>
                </c:pt>
                <c:pt idx="9">
                  <c:v>9.219764440640188E-2</c:v>
                </c:pt>
                <c:pt idx="10">
                  <c:v>-1.6677633697656402E-2</c:v>
                </c:pt>
                <c:pt idx="11">
                  <c:v>0.12005400592572557</c:v>
                </c:pt>
                <c:pt idx="12">
                  <c:v>0.2654173685015373</c:v>
                </c:pt>
                <c:pt idx="13">
                  <c:v>0.31589704746816127</c:v>
                </c:pt>
                <c:pt idx="14">
                  <c:v>0.65449061425260169</c:v>
                </c:pt>
                <c:pt idx="15">
                  <c:v>0.81261906943279372</c:v>
                </c:pt>
                <c:pt idx="16">
                  <c:v>1.1917455232312748</c:v>
                </c:pt>
                <c:pt idx="17">
                  <c:v>1.222518428918455</c:v>
                </c:pt>
                <c:pt idx="18">
                  <c:v>1.4142738020785095</c:v>
                </c:pt>
                <c:pt idx="19">
                  <c:v>1.6686676925343584</c:v>
                </c:pt>
                <c:pt idx="20">
                  <c:v>2.5304353280739913</c:v>
                </c:pt>
                <c:pt idx="21">
                  <c:v>3.2640633196830944</c:v>
                </c:pt>
                <c:pt idx="22">
                  <c:v>3.6594666021747839</c:v>
                </c:pt>
                <c:pt idx="23">
                  <c:v>4.1915962664742645</c:v>
                </c:pt>
                <c:pt idx="24">
                  <c:v>4.2927858953467037</c:v>
                </c:pt>
                <c:pt idx="25">
                  <c:v>3.6055727849777863</c:v>
                </c:pt>
                <c:pt idx="26">
                  <c:v>3.6922852967573521</c:v>
                </c:pt>
                <c:pt idx="27">
                  <c:v>3.8139716264168664</c:v>
                </c:pt>
                <c:pt idx="28">
                  <c:v>4.4306653595447285</c:v>
                </c:pt>
                <c:pt idx="29">
                  <c:v>2.8278356611028777</c:v>
                </c:pt>
                <c:pt idx="30">
                  <c:v>2.7855511984608876</c:v>
                </c:pt>
                <c:pt idx="31">
                  <c:v>3.6954131823715111</c:v>
                </c:pt>
                <c:pt idx="32">
                  <c:v>3.3773943472672272</c:v>
                </c:pt>
                <c:pt idx="33">
                  <c:v>3.0318377421557203</c:v>
                </c:pt>
                <c:pt idx="34">
                  <c:v>3.1056944332990195</c:v>
                </c:pt>
                <c:pt idx="35">
                  <c:v>3.3741240075444283</c:v>
                </c:pt>
                <c:pt idx="36">
                  <c:v>3.6739081282775512</c:v>
                </c:pt>
                <c:pt idx="37">
                  <c:v>4.1971804487207454</c:v>
                </c:pt>
                <c:pt idx="38">
                  <c:v>4.641891615543738</c:v>
                </c:pt>
                <c:pt idx="39">
                  <c:v>4.5350130312517809</c:v>
                </c:pt>
                <c:pt idx="40">
                  <c:v>4.1095614482946248</c:v>
                </c:pt>
                <c:pt idx="41">
                  <c:v>4.3547603604657494</c:v>
                </c:pt>
                <c:pt idx="42">
                  <c:v>4.6999060908941077</c:v>
                </c:pt>
                <c:pt idx="43">
                  <c:v>6.2094592881937194</c:v>
                </c:pt>
                <c:pt idx="44">
                  <c:v>6.6669379036595755</c:v>
                </c:pt>
                <c:pt idx="45">
                  <c:v>7.0571792927524211</c:v>
                </c:pt>
                <c:pt idx="46">
                  <c:v>6.978291208951549</c:v>
                </c:pt>
                <c:pt idx="47">
                  <c:v>5.2412711899520161</c:v>
                </c:pt>
                <c:pt idx="48">
                  <c:v>5.6514618546035464</c:v>
                </c:pt>
                <c:pt idx="49">
                  <c:v>5.0324808443446916</c:v>
                </c:pt>
                <c:pt idx="50">
                  <c:v>4.6039805692206013</c:v>
                </c:pt>
                <c:pt idx="51">
                  <c:v>6.2544270995986109</c:v>
                </c:pt>
                <c:pt idx="52">
                  <c:v>6.5324250721439796</c:v>
                </c:pt>
                <c:pt idx="53">
                  <c:v>6.3685883235502834</c:v>
                </c:pt>
                <c:pt idx="54">
                  <c:v>6.3217938573098751</c:v>
                </c:pt>
                <c:pt idx="55">
                  <c:v>7.7796890694561061</c:v>
                </c:pt>
                <c:pt idx="56">
                  <c:v>8.1013346397804114</c:v>
                </c:pt>
                <c:pt idx="57">
                  <c:v>7.4067083736903978</c:v>
                </c:pt>
                <c:pt idx="58">
                  <c:v>8.7002876494928181</c:v>
                </c:pt>
                <c:pt idx="59">
                  <c:v>9.0105272390334896</c:v>
                </c:pt>
                <c:pt idx="60">
                  <c:v>8.1799221418242496</c:v>
                </c:pt>
                <c:pt idx="61">
                  <c:v>8.9817037981231049</c:v>
                </c:pt>
                <c:pt idx="62">
                  <c:v>9.3889102596215039</c:v>
                </c:pt>
                <c:pt idx="63">
                  <c:v>11.34459667065169</c:v>
                </c:pt>
                <c:pt idx="64">
                  <c:v>12.132888498681025</c:v>
                </c:pt>
                <c:pt idx="65">
                  <c:v>12.077993024756539</c:v>
                </c:pt>
                <c:pt idx="66">
                  <c:v>11.124728395784079</c:v>
                </c:pt>
                <c:pt idx="67">
                  <c:v>11.274151877550509</c:v>
                </c:pt>
                <c:pt idx="68">
                  <c:v>12.081076972724544</c:v>
                </c:pt>
                <c:pt idx="69">
                  <c:v>10.865162045941647</c:v>
                </c:pt>
                <c:pt idx="70">
                  <c:v>12.472849526579477</c:v>
                </c:pt>
                <c:pt idx="71">
                  <c:v>12.213628533475706</c:v>
                </c:pt>
                <c:pt idx="72">
                  <c:v>14.651023315410971</c:v>
                </c:pt>
                <c:pt idx="73">
                  <c:v>13.267796286049128</c:v>
                </c:pt>
                <c:pt idx="74">
                  <c:v>13.054924332410346</c:v>
                </c:pt>
                <c:pt idx="75">
                  <c:v>12.385025475779619</c:v>
                </c:pt>
                <c:pt idx="76">
                  <c:v>11.574995813843891</c:v>
                </c:pt>
                <c:pt idx="77">
                  <c:v>8.9610282902712086</c:v>
                </c:pt>
                <c:pt idx="78">
                  <c:v>8.8811458238973788</c:v>
                </c:pt>
                <c:pt idx="79">
                  <c:v>7.3911837517579055</c:v>
                </c:pt>
                <c:pt idx="80">
                  <c:v>4.0760289226347748</c:v>
                </c:pt>
                <c:pt idx="81">
                  <c:v>3.4946908342022551</c:v>
                </c:pt>
                <c:pt idx="82">
                  <c:v>3.1122585567216543</c:v>
                </c:pt>
                <c:pt idx="83">
                  <c:v>3.7563469773987626</c:v>
                </c:pt>
                <c:pt idx="84">
                  <c:v>4.1044294201197316</c:v>
                </c:pt>
                <c:pt idx="85">
                  <c:v>4.5415102622136292</c:v>
                </c:pt>
                <c:pt idx="86">
                  <c:v>4.9136760427101285</c:v>
                </c:pt>
                <c:pt idx="87">
                  <c:v>3.805257282244356</c:v>
                </c:pt>
                <c:pt idx="88">
                  <c:v>4.8888571594375199</c:v>
                </c:pt>
                <c:pt idx="89">
                  <c:v>4.709017997219739</c:v>
                </c:pt>
                <c:pt idx="90">
                  <c:v>3.3514592973004103</c:v>
                </c:pt>
                <c:pt idx="91">
                  <c:v>2.3823890468838496</c:v>
                </c:pt>
                <c:pt idx="92">
                  <c:v>2.45988700148283</c:v>
                </c:pt>
                <c:pt idx="93">
                  <c:v>1.6327665312945565</c:v>
                </c:pt>
                <c:pt idx="94">
                  <c:v>1.7141381046689101</c:v>
                </c:pt>
                <c:pt idx="95">
                  <c:v>1.4805252982979722</c:v>
                </c:pt>
                <c:pt idx="96">
                  <c:v>1.8747220002764711</c:v>
                </c:pt>
                <c:pt idx="97">
                  <c:v>1.4963288115045796</c:v>
                </c:pt>
                <c:pt idx="98">
                  <c:v>1.5920518300633959</c:v>
                </c:pt>
                <c:pt idx="99">
                  <c:v>1.1851804431632118</c:v>
                </c:pt>
                <c:pt idx="100">
                  <c:v>0.85204464504081168</c:v>
                </c:pt>
                <c:pt idx="101">
                  <c:v>0.82639900055724658</c:v>
                </c:pt>
                <c:pt idx="102">
                  <c:v>0.82857653655822938</c:v>
                </c:pt>
                <c:pt idx="103">
                  <c:v>0.92297576469155218</c:v>
                </c:pt>
                <c:pt idx="104">
                  <c:v>1.0096011293364473</c:v>
                </c:pt>
                <c:pt idx="105">
                  <c:v>1.0152657817281101</c:v>
                </c:pt>
                <c:pt idx="106">
                  <c:v>1.0736636236577008</c:v>
                </c:pt>
                <c:pt idx="107">
                  <c:v>1.3822432316271072</c:v>
                </c:pt>
                <c:pt idx="108">
                  <c:v>1.735255780844799</c:v>
                </c:pt>
                <c:pt idx="109">
                  <c:v>1.512504755820141</c:v>
                </c:pt>
                <c:pt idx="110">
                  <c:v>1.7390050563820592</c:v>
                </c:pt>
                <c:pt idx="111">
                  <c:v>1.3100612016517998</c:v>
                </c:pt>
                <c:pt idx="112">
                  <c:v>1.2616283149230014</c:v>
                </c:pt>
                <c:pt idx="113">
                  <c:v>1.2904346555486264</c:v>
                </c:pt>
                <c:pt idx="114">
                  <c:v>1.28068985467094</c:v>
                </c:pt>
                <c:pt idx="115">
                  <c:v>1.7831158878189006</c:v>
                </c:pt>
                <c:pt idx="116">
                  <c:v>1.7314645714711747</c:v>
                </c:pt>
                <c:pt idx="117">
                  <c:v>1.7977467143950752</c:v>
                </c:pt>
                <c:pt idx="118">
                  <c:v>1.600721840185646</c:v>
                </c:pt>
                <c:pt idx="119">
                  <c:v>1.4614356307712835</c:v>
                </c:pt>
                <c:pt idx="120">
                  <c:v>1.2531848019377629</c:v>
                </c:pt>
                <c:pt idx="121">
                  <c:v>1.2414340143094127</c:v>
                </c:pt>
                <c:pt idx="122">
                  <c:v>0.47977985568590542</c:v>
                </c:pt>
                <c:pt idx="123">
                  <c:v>0.25056454398289585</c:v>
                </c:pt>
                <c:pt idx="124">
                  <c:v>0.41094678137562068</c:v>
                </c:pt>
                <c:pt idx="125">
                  <c:v>0.57578612751613178</c:v>
                </c:pt>
                <c:pt idx="126">
                  <c:v>0.22019126563090485</c:v>
                </c:pt>
                <c:pt idx="127">
                  <c:v>0.4396927191050477</c:v>
                </c:pt>
                <c:pt idx="128">
                  <c:v>0.82273412464151852</c:v>
                </c:pt>
                <c:pt idx="129">
                  <c:v>0.87067603119558767</c:v>
                </c:pt>
                <c:pt idx="130">
                  <c:v>0.60860550969847438</c:v>
                </c:pt>
                <c:pt idx="131">
                  <c:v>0.81636528139289899</c:v>
                </c:pt>
                <c:pt idx="132">
                  <c:v>0.83626528025478164</c:v>
                </c:pt>
                <c:pt idx="133">
                  <c:v>0.78339093964248518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B4-9540-A7DA-88238ACD6121}"/>
            </c:ext>
          </c:extLst>
        </c:ser>
        <c:ser>
          <c:idx val="10"/>
          <c:order val="10"/>
          <c:tx>
            <c:strRef>
              <c:f>ＯＬＳ再投資累積報酬!$A$22:$B$22</c:f>
              <c:strCache>
                <c:ptCount val="2"/>
                <c:pt idx="0">
                  <c:v>3</c:v>
                </c:pt>
                <c:pt idx="1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ＯＬＳ再投資累積報酬!$C$10:$EF$11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ＯＬＳ再投資累積報酬!$C$22:$EF$22</c:f>
              <c:numCache>
                <c:formatCode>General</c:formatCode>
                <c:ptCount val="134"/>
                <c:pt idx="0">
                  <c:v>2.5922326608526669E-2</c:v>
                </c:pt>
                <c:pt idx="1">
                  <c:v>0.1720437596391613</c:v>
                </c:pt>
                <c:pt idx="2">
                  <c:v>0.14598874367651526</c:v>
                </c:pt>
                <c:pt idx="3">
                  <c:v>0.22372237596393529</c:v>
                </c:pt>
                <c:pt idx="4">
                  <c:v>9.6596756092786951E-2</c:v>
                </c:pt>
                <c:pt idx="5">
                  <c:v>-0.15540725852861947</c:v>
                </c:pt>
                <c:pt idx="6">
                  <c:v>-0.25970869297284926</c:v>
                </c:pt>
                <c:pt idx="7">
                  <c:v>-0.22077041457782431</c:v>
                </c:pt>
                <c:pt idx="8">
                  <c:v>-2.9574036161306827E-2</c:v>
                </c:pt>
                <c:pt idx="9">
                  <c:v>-0.13388237539998027</c:v>
                </c:pt>
                <c:pt idx="10">
                  <c:v>-0.19806174228507045</c:v>
                </c:pt>
                <c:pt idx="11">
                  <c:v>-0.11944704456670263</c:v>
                </c:pt>
                <c:pt idx="12">
                  <c:v>6.8949981539514482E-3</c:v>
                </c:pt>
                <c:pt idx="13">
                  <c:v>5.0048995872161051E-2</c:v>
                </c:pt>
                <c:pt idx="14">
                  <c:v>0.34067829532217297</c:v>
                </c:pt>
                <c:pt idx="15">
                  <c:v>0.38978524214172605</c:v>
                </c:pt>
                <c:pt idx="16">
                  <c:v>0.73314089983542008</c:v>
                </c:pt>
                <c:pt idx="17">
                  <c:v>0.76821726687494074</c:v>
                </c:pt>
                <c:pt idx="18">
                  <c:v>0.96376445579935233</c:v>
                </c:pt>
                <c:pt idx="19">
                  <c:v>1.0757464245168871</c:v>
                </c:pt>
                <c:pt idx="20">
                  <c:v>1.7943563138178416</c:v>
                </c:pt>
                <c:pt idx="21">
                  <c:v>2.513070346444418</c:v>
                </c:pt>
                <c:pt idx="22">
                  <c:v>2.6814810796831643</c:v>
                </c:pt>
                <c:pt idx="23">
                  <c:v>2.9596106031464076</c:v>
                </c:pt>
                <c:pt idx="24">
                  <c:v>2.9875180055427606</c:v>
                </c:pt>
                <c:pt idx="25">
                  <c:v>2.4514511867513984</c:v>
                </c:pt>
                <c:pt idx="26">
                  <c:v>2.7475044538830127</c:v>
                </c:pt>
                <c:pt idx="27">
                  <c:v>2.8171846118793398</c:v>
                </c:pt>
                <c:pt idx="28">
                  <c:v>3.3165633715447722</c:v>
                </c:pt>
                <c:pt idx="29">
                  <c:v>1.4608003977732236</c:v>
                </c:pt>
                <c:pt idx="30">
                  <c:v>1.434193976397574</c:v>
                </c:pt>
                <c:pt idx="31">
                  <c:v>2.0369545564305627</c:v>
                </c:pt>
                <c:pt idx="32">
                  <c:v>1.8322853786335673</c:v>
                </c:pt>
                <c:pt idx="33">
                  <c:v>1.7023794106814298</c:v>
                </c:pt>
                <c:pt idx="34">
                  <c:v>1.9147209502080562</c:v>
                </c:pt>
                <c:pt idx="35">
                  <c:v>2.0323036113117765</c:v>
                </c:pt>
                <c:pt idx="36">
                  <c:v>2.2872866969681414</c:v>
                </c:pt>
                <c:pt idx="37">
                  <c:v>2.6526121037718524</c:v>
                </c:pt>
                <c:pt idx="38">
                  <c:v>3.2302832103160393</c:v>
                </c:pt>
                <c:pt idx="39">
                  <c:v>3.1435906063926291</c:v>
                </c:pt>
                <c:pt idx="40">
                  <c:v>2.8144812921060929</c:v>
                </c:pt>
                <c:pt idx="41">
                  <c:v>3.073578662378635</c:v>
                </c:pt>
                <c:pt idx="42">
                  <c:v>3.4109134992979779</c:v>
                </c:pt>
                <c:pt idx="43">
                  <c:v>3.4891118102379011</c:v>
                </c:pt>
                <c:pt idx="44">
                  <c:v>3.9825307271765054</c:v>
                </c:pt>
                <c:pt idx="45">
                  <c:v>4.2797270591475547</c:v>
                </c:pt>
                <c:pt idx="46">
                  <c:v>4.4389076051605718</c:v>
                </c:pt>
                <c:pt idx="47">
                  <c:v>4.4926178294293155</c:v>
                </c:pt>
                <c:pt idx="48">
                  <c:v>5.0334005271166733</c:v>
                </c:pt>
                <c:pt idx="49">
                  <c:v>3.6608894142303567</c:v>
                </c:pt>
                <c:pt idx="50">
                  <c:v>3.4483601970617581</c:v>
                </c:pt>
                <c:pt idx="51">
                  <c:v>5.0922576390328604</c:v>
                </c:pt>
                <c:pt idx="52">
                  <c:v>4.295165303285617</c:v>
                </c:pt>
                <c:pt idx="53">
                  <c:v>4.177749346959005</c:v>
                </c:pt>
                <c:pt idx="54">
                  <c:v>4.062719517896312</c:v>
                </c:pt>
                <c:pt idx="55">
                  <c:v>5.0707193702234381</c:v>
                </c:pt>
                <c:pt idx="56">
                  <c:v>5.3516693011885508</c:v>
                </c:pt>
                <c:pt idx="57">
                  <c:v>4.538906252656</c:v>
                </c:pt>
                <c:pt idx="58">
                  <c:v>5.0225527966022447</c:v>
                </c:pt>
                <c:pt idx="59">
                  <c:v>4.9609181391408876</c:v>
                </c:pt>
                <c:pt idx="60">
                  <c:v>4.8366046498083373</c:v>
                </c:pt>
                <c:pt idx="61">
                  <c:v>5.6506440155372513</c:v>
                </c:pt>
                <c:pt idx="62">
                  <c:v>5.6668082943890212</c:v>
                </c:pt>
                <c:pt idx="63">
                  <c:v>5.476678878908916</c:v>
                </c:pt>
                <c:pt idx="64">
                  <c:v>5.8036503146572409</c:v>
                </c:pt>
                <c:pt idx="65">
                  <c:v>5.7999763434873257</c:v>
                </c:pt>
                <c:pt idx="66">
                  <c:v>5.1796268015062044</c:v>
                </c:pt>
                <c:pt idx="67">
                  <c:v>5.3082471404011793</c:v>
                </c:pt>
                <c:pt idx="68">
                  <c:v>5.9204473206377024</c:v>
                </c:pt>
                <c:pt idx="69">
                  <c:v>6.3851084058743002</c:v>
                </c:pt>
                <c:pt idx="70">
                  <c:v>7.9577581287006804</c:v>
                </c:pt>
                <c:pt idx="71">
                  <c:v>7.9516608813344121</c:v>
                </c:pt>
                <c:pt idx="72">
                  <c:v>9.134817937241154</c:v>
                </c:pt>
                <c:pt idx="73">
                  <c:v>7.5848255339570443</c:v>
                </c:pt>
                <c:pt idx="74">
                  <c:v>7.8625475015890647</c:v>
                </c:pt>
                <c:pt idx="75">
                  <c:v>7.4437235726866344</c:v>
                </c:pt>
                <c:pt idx="76">
                  <c:v>7.211604949007322</c:v>
                </c:pt>
                <c:pt idx="77">
                  <c:v>5.119780704297197</c:v>
                </c:pt>
                <c:pt idx="78">
                  <c:v>4.3541655392860958</c:v>
                </c:pt>
                <c:pt idx="79">
                  <c:v>2.6634717979448426</c:v>
                </c:pt>
                <c:pt idx="80">
                  <c:v>1.2223083754677551</c:v>
                </c:pt>
                <c:pt idx="81">
                  <c:v>0.99836556703207679</c:v>
                </c:pt>
                <c:pt idx="82">
                  <c:v>0.58453336885988039</c:v>
                </c:pt>
                <c:pt idx="83">
                  <c:v>0.82792765280719638</c:v>
                </c:pt>
                <c:pt idx="84">
                  <c:v>0.94604344402264839</c:v>
                </c:pt>
                <c:pt idx="85">
                  <c:v>1.1472244521484978</c:v>
                </c:pt>
                <c:pt idx="86">
                  <c:v>1.3854021901711553</c:v>
                </c:pt>
                <c:pt idx="87">
                  <c:v>1.1587961096304746</c:v>
                </c:pt>
                <c:pt idx="88">
                  <c:v>1.850543472528086</c:v>
                </c:pt>
                <c:pt idx="89">
                  <c:v>1.8749064171533605</c:v>
                </c:pt>
                <c:pt idx="90">
                  <c:v>1.3422272027444997</c:v>
                </c:pt>
                <c:pt idx="91">
                  <c:v>0.73463342398606901</c:v>
                </c:pt>
                <c:pt idx="92">
                  <c:v>0.76439906660829116</c:v>
                </c:pt>
                <c:pt idx="93">
                  <c:v>0.32899342157026368</c:v>
                </c:pt>
                <c:pt idx="94">
                  <c:v>0.36147313479782639</c:v>
                </c:pt>
                <c:pt idx="95">
                  <c:v>0.18980311086418111</c:v>
                </c:pt>
                <c:pt idx="96">
                  <c:v>0.38892131500900984</c:v>
                </c:pt>
                <c:pt idx="97">
                  <c:v>0.13468574992941384</c:v>
                </c:pt>
                <c:pt idx="98">
                  <c:v>0.16065194666429838</c:v>
                </c:pt>
                <c:pt idx="99">
                  <c:v>9.763632758180818E-2</c:v>
                </c:pt>
                <c:pt idx="100">
                  <c:v>-8.0663573365690522E-2</c:v>
                </c:pt>
                <c:pt idx="101">
                  <c:v>-8.7638805396881181E-2</c:v>
                </c:pt>
                <c:pt idx="102">
                  <c:v>-9.1280726737155038E-2</c:v>
                </c:pt>
                <c:pt idx="103">
                  <c:v>-3.8226508841431306E-2</c:v>
                </c:pt>
                <c:pt idx="104">
                  <c:v>-1.8293960553065092E-2</c:v>
                </c:pt>
                <c:pt idx="105">
                  <c:v>1.2836103989641412E-2</c:v>
                </c:pt>
                <c:pt idx="106">
                  <c:v>-5.1483238377346696E-3</c:v>
                </c:pt>
                <c:pt idx="107">
                  <c:v>9.1423625222395666E-2</c:v>
                </c:pt>
                <c:pt idx="108">
                  <c:v>0.18760141453336021</c:v>
                </c:pt>
                <c:pt idx="109">
                  <c:v>9.086494544540713E-2</c:v>
                </c:pt>
                <c:pt idx="110">
                  <c:v>0.17934014010204358</c:v>
                </c:pt>
                <c:pt idx="111">
                  <c:v>-1.9241597279283651E-3</c:v>
                </c:pt>
                <c:pt idx="112">
                  <c:v>-2.5225414588011641E-2</c:v>
                </c:pt>
                <c:pt idx="113">
                  <c:v>-2.2093141445076903E-2</c:v>
                </c:pt>
                <c:pt idx="114">
                  <c:v>-6.3826831525109262E-2</c:v>
                </c:pt>
                <c:pt idx="115">
                  <c:v>0.22205707626558824</c:v>
                </c:pt>
                <c:pt idx="116">
                  <c:v>0.25110374553967474</c:v>
                </c:pt>
                <c:pt idx="117">
                  <c:v>0.26389910614604295</c:v>
                </c:pt>
                <c:pt idx="118">
                  <c:v>5.484492789744122E-2</c:v>
                </c:pt>
                <c:pt idx="119">
                  <c:v>-2.029800538626092E-2</c:v>
                </c:pt>
                <c:pt idx="120">
                  <c:v>-0.14719276916630064</c:v>
                </c:pt>
                <c:pt idx="121">
                  <c:v>-0.12405717161020879</c:v>
                </c:pt>
                <c:pt idx="122">
                  <c:v>-0.45277124905608335</c:v>
                </c:pt>
                <c:pt idx="123">
                  <c:v>-0.53872029336508542</c:v>
                </c:pt>
                <c:pt idx="124">
                  <c:v>-0.50256070461032976</c:v>
                </c:pt>
                <c:pt idx="125">
                  <c:v>-0.42080549983131077</c:v>
                </c:pt>
                <c:pt idx="126">
                  <c:v>-0.60484708470937276</c:v>
                </c:pt>
                <c:pt idx="127">
                  <c:v>-0.53939939066462217</c:v>
                </c:pt>
                <c:pt idx="128">
                  <c:v>-0.47475117800720945</c:v>
                </c:pt>
                <c:pt idx="129">
                  <c:v>-0.40659176547417164</c:v>
                </c:pt>
                <c:pt idx="130">
                  <c:v>-0.38972187446729134</c:v>
                </c:pt>
                <c:pt idx="131">
                  <c:v>-0.27762477604941094</c:v>
                </c:pt>
                <c:pt idx="132">
                  <c:v>-0.25169196985521847</c:v>
                </c:pt>
                <c:pt idx="133">
                  <c:v>-0.27907455616629639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9B4-9540-A7DA-88238ACD6121}"/>
            </c:ext>
          </c:extLst>
        </c:ser>
        <c:ser>
          <c:idx val="11"/>
          <c:order val="11"/>
          <c:tx>
            <c:strRef>
              <c:f>ＯＬＳ再投資累積報酬!$A$23:$B$23</c:f>
              <c:strCache>
                <c:ptCount val="2"/>
                <c:pt idx="0">
                  <c:v>2</c:v>
                </c:pt>
                <c:pt idx="1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ＯＬＳ再投資累積報酬!$C$10:$EF$11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ＯＬＳ再投資累積報酬!$C$23:$EF$23</c:f>
              <c:numCache>
                <c:formatCode>General</c:formatCode>
                <c:ptCount val="134"/>
                <c:pt idx="0">
                  <c:v>3.132568458197138E-2</c:v>
                </c:pt>
                <c:pt idx="1">
                  <c:v>0.29337935308014296</c:v>
                </c:pt>
                <c:pt idx="2">
                  <c:v>0.27389900654121568</c:v>
                </c:pt>
                <c:pt idx="3">
                  <c:v>0.50625318568949984</c:v>
                </c:pt>
                <c:pt idx="4">
                  <c:v>0.54687919670237184</c:v>
                </c:pt>
                <c:pt idx="5">
                  <c:v>0.14034350190751188</c:v>
                </c:pt>
                <c:pt idx="6">
                  <c:v>-2.8600701201249246E-2</c:v>
                </c:pt>
                <c:pt idx="7">
                  <c:v>-0.12395548198939188</c:v>
                </c:pt>
                <c:pt idx="8">
                  <c:v>9.7510242534815106E-4</c:v>
                </c:pt>
                <c:pt idx="9">
                  <c:v>-0.23169591567732506</c:v>
                </c:pt>
                <c:pt idx="10">
                  <c:v>-0.43026404200852375</c:v>
                </c:pt>
                <c:pt idx="11">
                  <c:v>-0.35802151473419275</c:v>
                </c:pt>
                <c:pt idx="12">
                  <c:v>-0.22669558522374278</c:v>
                </c:pt>
                <c:pt idx="13">
                  <c:v>-0.21843398382774748</c:v>
                </c:pt>
                <c:pt idx="14">
                  <c:v>-0.26499032148796864</c:v>
                </c:pt>
                <c:pt idx="15">
                  <c:v>-0.22367458711249932</c:v>
                </c:pt>
                <c:pt idx="16">
                  <c:v>-9.2246576405060732E-2</c:v>
                </c:pt>
                <c:pt idx="17">
                  <c:v>-9.1907649227799149E-2</c:v>
                </c:pt>
                <c:pt idx="18">
                  <c:v>-6.767251081195802E-3</c:v>
                </c:pt>
                <c:pt idx="19">
                  <c:v>-6.9695509259212418E-2</c:v>
                </c:pt>
                <c:pt idx="20">
                  <c:v>0.39910290751357635</c:v>
                </c:pt>
                <c:pt idx="21">
                  <c:v>0.67130677278778772</c:v>
                </c:pt>
                <c:pt idx="22">
                  <c:v>0.68398992450322194</c:v>
                </c:pt>
                <c:pt idx="23">
                  <c:v>0.73961634769170503</c:v>
                </c:pt>
                <c:pt idx="24">
                  <c:v>0.75110876119942005</c:v>
                </c:pt>
                <c:pt idx="25">
                  <c:v>0.63896814159190196</c:v>
                </c:pt>
                <c:pt idx="26">
                  <c:v>0.91555188193752657</c:v>
                </c:pt>
                <c:pt idx="27">
                  <c:v>0.92128951834231931</c:v>
                </c:pt>
                <c:pt idx="28">
                  <c:v>1.1849134741333156</c:v>
                </c:pt>
                <c:pt idx="29">
                  <c:v>0.47556093903898211</c:v>
                </c:pt>
                <c:pt idx="30">
                  <c:v>0.69083626870509729</c:v>
                </c:pt>
                <c:pt idx="31">
                  <c:v>0.46147615436550016</c:v>
                </c:pt>
                <c:pt idx="32">
                  <c:v>0.35120753044844655</c:v>
                </c:pt>
                <c:pt idx="33">
                  <c:v>0.37412732789975633</c:v>
                </c:pt>
                <c:pt idx="34">
                  <c:v>0.4994466742596495</c:v>
                </c:pt>
                <c:pt idx="35">
                  <c:v>0.6965215194984451</c:v>
                </c:pt>
                <c:pt idx="36">
                  <c:v>0.70970262479070545</c:v>
                </c:pt>
                <c:pt idx="37">
                  <c:v>1.123988702307253</c:v>
                </c:pt>
                <c:pt idx="38">
                  <c:v>1.3168096631955999</c:v>
                </c:pt>
                <c:pt idx="39">
                  <c:v>1.6997006873981153</c:v>
                </c:pt>
                <c:pt idx="40">
                  <c:v>1.4582799743242734</c:v>
                </c:pt>
                <c:pt idx="41">
                  <c:v>1.8175231766521254</c:v>
                </c:pt>
                <c:pt idx="42">
                  <c:v>1.7760861788630868</c:v>
                </c:pt>
                <c:pt idx="43">
                  <c:v>2.0800840025878684</c:v>
                </c:pt>
                <c:pt idx="44">
                  <c:v>2.7071764500088915</c:v>
                </c:pt>
                <c:pt idx="45">
                  <c:v>2.3484848854118314</c:v>
                </c:pt>
                <c:pt idx="46">
                  <c:v>2.5226962066404073</c:v>
                </c:pt>
                <c:pt idx="47">
                  <c:v>2.5748771270635968</c:v>
                </c:pt>
                <c:pt idx="48">
                  <c:v>2.7827190536619848</c:v>
                </c:pt>
                <c:pt idx="49">
                  <c:v>1.587438384445405</c:v>
                </c:pt>
                <c:pt idx="50">
                  <c:v>1.6123988335109609</c:v>
                </c:pt>
                <c:pt idx="51">
                  <c:v>3.0931783333128955</c:v>
                </c:pt>
                <c:pt idx="52">
                  <c:v>1.8618346617492496</c:v>
                </c:pt>
                <c:pt idx="53">
                  <c:v>2.1332249649907511</c:v>
                </c:pt>
                <c:pt idx="54">
                  <c:v>2.3570336130022831</c:v>
                </c:pt>
                <c:pt idx="55">
                  <c:v>3.0620412639116079</c:v>
                </c:pt>
                <c:pt idx="56">
                  <c:v>3.3657254448635561</c:v>
                </c:pt>
                <c:pt idx="57">
                  <c:v>2.4773702498386374</c:v>
                </c:pt>
                <c:pt idx="58">
                  <c:v>2.9580108191290133</c:v>
                </c:pt>
                <c:pt idx="59">
                  <c:v>3.1876554520668838</c:v>
                </c:pt>
                <c:pt idx="60">
                  <c:v>3.1666758699736368</c:v>
                </c:pt>
                <c:pt idx="61">
                  <c:v>3.6432031314453335</c:v>
                </c:pt>
                <c:pt idx="62">
                  <c:v>3.3205215845521643</c:v>
                </c:pt>
                <c:pt idx="63">
                  <c:v>3.2055807180982239</c:v>
                </c:pt>
                <c:pt idx="64">
                  <c:v>3.051972127361589</c:v>
                </c:pt>
                <c:pt idx="65">
                  <c:v>2.9609081057712645</c:v>
                </c:pt>
                <c:pt idx="66">
                  <c:v>2.7258027614120328</c:v>
                </c:pt>
                <c:pt idx="67">
                  <c:v>2.7922871835979892</c:v>
                </c:pt>
                <c:pt idx="68">
                  <c:v>3.6287409488236237</c:v>
                </c:pt>
                <c:pt idx="69">
                  <c:v>3.9536288700302773</c:v>
                </c:pt>
                <c:pt idx="70">
                  <c:v>4.9725295765279167</c:v>
                </c:pt>
                <c:pt idx="71">
                  <c:v>5.0741850161852096</c:v>
                </c:pt>
                <c:pt idx="72">
                  <c:v>5.1674997748708682</c:v>
                </c:pt>
                <c:pt idx="73">
                  <c:v>4.4013758913747649</c:v>
                </c:pt>
                <c:pt idx="74">
                  <c:v>4.6170852389727077</c:v>
                </c:pt>
                <c:pt idx="75">
                  <c:v>4.5740035296303638</c:v>
                </c:pt>
                <c:pt idx="76">
                  <c:v>4.1523123272148226</c:v>
                </c:pt>
                <c:pt idx="77">
                  <c:v>2.5233186195001305</c:v>
                </c:pt>
                <c:pt idx="78">
                  <c:v>2.2254396468144919</c:v>
                </c:pt>
                <c:pt idx="79">
                  <c:v>0.15875023213190786</c:v>
                </c:pt>
                <c:pt idx="80">
                  <c:v>2.3611441934215716E-2</c:v>
                </c:pt>
                <c:pt idx="81">
                  <c:v>7.0690258767682757E-3</c:v>
                </c:pt>
                <c:pt idx="82">
                  <c:v>-0.21109963001736909</c:v>
                </c:pt>
                <c:pt idx="83">
                  <c:v>-8.320107115609543E-2</c:v>
                </c:pt>
                <c:pt idx="84">
                  <c:v>4.0770493889900505E-2</c:v>
                </c:pt>
                <c:pt idx="85">
                  <c:v>6.1456189991584642E-2</c:v>
                </c:pt>
                <c:pt idx="86">
                  <c:v>0.1377286005170526</c:v>
                </c:pt>
                <c:pt idx="87">
                  <c:v>-4.8915161090152814E-2</c:v>
                </c:pt>
                <c:pt idx="88">
                  <c:v>0.31890068105471903</c:v>
                </c:pt>
                <c:pt idx="89">
                  <c:v>0.38880924690607954</c:v>
                </c:pt>
                <c:pt idx="90">
                  <c:v>1.5982047842015623E-2</c:v>
                </c:pt>
                <c:pt idx="91">
                  <c:v>-0.30035487761409385</c:v>
                </c:pt>
                <c:pt idx="92">
                  <c:v>-0.31763770038699202</c:v>
                </c:pt>
                <c:pt idx="93">
                  <c:v>-0.42067315922895188</c:v>
                </c:pt>
                <c:pt idx="94">
                  <c:v>-0.38069091731313798</c:v>
                </c:pt>
                <c:pt idx="95">
                  <c:v>-0.40103535940844148</c:v>
                </c:pt>
                <c:pt idx="96">
                  <c:v>-0.27998227857495139</c:v>
                </c:pt>
                <c:pt idx="97">
                  <c:v>-0.42531749563573673</c:v>
                </c:pt>
                <c:pt idx="98">
                  <c:v>-0.4392169320735948</c:v>
                </c:pt>
                <c:pt idx="99">
                  <c:v>-0.47390696881263328</c:v>
                </c:pt>
                <c:pt idx="100">
                  <c:v>-0.6221130719567417</c:v>
                </c:pt>
                <c:pt idx="101">
                  <c:v>-0.59895574513615391</c:v>
                </c:pt>
                <c:pt idx="102">
                  <c:v>-0.61138095287296434</c:v>
                </c:pt>
                <c:pt idx="103">
                  <c:v>-0.60518047501454975</c:v>
                </c:pt>
                <c:pt idx="104">
                  <c:v>-0.65223920610765562</c:v>
                </c:pt>
                <c:pt idx="105">
                  <c:v>-0.61996746532977143</c:v>
                </c:pt>
                <c:pt idx="106">
                  <c:v>-0.6428020802601242</c:v>
                </c:pt>
                <c:pt idx="107">
                  <c:v>-0.57444373064175513</c:v>
                </c:pt>
                <c:pt idx="108">
                  <c:v>-0.50934355634104667</c:v>
                </c:pt>
                <c:pt idx="109">
                  <c:v>-0.57765667167879542</c:v>
                </c:pt>
                <c:pt idx="110">
                  <c:v>-0.49956002078998307</c:v>
                </c:pt>
                <c:pt idx="111">
                  <c:v>-0.55962912354246963</c:v>
                </c:pt>
                <c:pt idx="112">
                  <c:v>-0.58065674351942154</c:v>
                </c:pt>
                <c:pt idx="113">
                  <c:v>-0.59166142271166167</c:v>
                </c:pt>
                <c:pt idx="114">
                  <c:v>-0.58728798003853033</c:v>
                </c:pt>
                <c:pt idx="115">
                  <c:v>-0.47792967178002177</c:v>
                </c:pt>
                <c:pt idx="116">
                  <c:v>-0.52213379864397469</c:v>
                </c:pt>
                <c:pt idx="117">
                  <c:v>-0.49963192377621557</c:v>
                </c:pt>
                <c:pt idx="118">
                  <c:v>-0.62269550447013344</c:v>
                </c:pt>
                <c:pt idx="119">
                  <c:v>-0.66134110607702778</c:v>
                </c:pt>
                <c:pt idx="120">
                  <c:v>-0.7450557394523194</c:v>
                </c:pt>
                <c:pt idx="121">
                  <c:v>-0.75074009321280177</c:v>
                </c:pt>
                <c:pt idx="122">
                  <c:v>-0.88166179205390238</c:v>
                </c:pt>
                <c:pt idx="123">
                  <c:v>-0.90447046407104814</c:v>
                </c:pt>
                <c:pt idx="124">
                  <c:v>-0.89097899655234347</c:v>
                </c:pt>
                <c:pt idx="125">
                  <c:v>-0.87233610112469662</c:v>
                </c:pt>
                <c:pt idx="126">
                  <c:v>-0.90657835839219825</c:v>
                </c:pt>
                <c:pt idx="127">
                  <c:v>-0.89449585576526935</c:v>
                </c:pt>
                <c:pt idx="128">
                  <c:v>-0.89752983844102752</c:v>
                </c:pt>
                <c:pt idx="129">
                  <c:v>-0.87249795005669084</c:v>
                </c:pt>
                <c:pt idx="130">
                  <c:v>-0.85678906726669513</c:v>
                </c:pt>
                <c:pt idx="131">
                  <c:v>-0.82895984929777722</c:v>
                </c:pt>
                <c:pt idx="132">
                  <c:v>-0.81706476656054061</c:v>
                </c:pt>
                <c:pt idx="133">
                  <c:v>-0.83415347845705423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9B4-9540-A7DA-88238ACD6121}"/>
            </c:ext>
          </c:extLst>
        </c:ser>
        <c:ser>
          <c:idx val="12"/>
          <c:order val="12"/>
          <c:tx>
            <c:strRef>
              <c:f>ＯＬＳ再投資累積報酬!$A$24:$B$24</c:f>
              <c:strCache>
                <c:ptCount val="2"/>
                <c:pt idx="0">
                  <c:v>1</c:v>
                </c:pt>
                <c:pt idx="1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ＯＬＳ再投資累積報酬!$C$10:$EF$11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ＯＬＳ再投資累積報酬!$C$24:$EF$24</c:f>
              <c:numCache>
                <c:formatCode>General</c:formatCode>
                <c:ptCount val="134"/>
                <c:pt idx="0">
                  <c:v>2.7766967310441037E-2</c:v>
                </c:pt>
                <c:pt idx="1">
                  <c:v>0.13117060189154461</c:v>
                </c:pt>
                <c:pt idx="2">
                  <c:v>0.22379122927586903</c:v>
                </c:pt>
                <c:pt idx="3">
                  <c:v>0.47044111232908969</c:v>
                </c:pt>
                <c:pt idx="4">
                  <c:v>0.5037060025306459</c:v>
                </c:pt>
                <c:pt idx="5">
                  <c:v>-2.3827432394791792E-2</c:v>
                </c:pt>
                <c:pt idx="6">
                  <c:v>-2.1765821137268659E-2</c:v>
                </c:pt>
                <c:pt idx="7">
                  <c:v>-0.11956203717782221</c:v>
                </c:pt>
                <c:pt idx="8">
                  <c:v>-7.5148928759797506E-2</c:v>
                </c:pt>
                <c:pt idx="9">
                  <c:v>-0.38382670851963419</c:v>
                </c:pt>
                <c:pt idx="10">
                  <c:v>-0.47429286382231561</c:v>
                </c:pt>
                <c:pt idx="11">
                  <c:v>-0.41899283079020055</c:v>
                </c:pt>
                <c:pt idx="12">
                  <c:v>-0.28227650244067448</c:v>
                </c:pt>
                <c:pt idx="13">
                  <c:v>-0.22648319992552945</c:v>
                </c:pt>
                <c:pt idx="14">
                  <c:v>-0.27364062197515249</c:v>
                </c:pt>
                <c:pt idx="15">
                  <c:v>-9.5176032553588974E-2</c:v>
                </c:pt>
                <c:pt idx="16">
                  <c:v>3.1394181952103084E-2</c:v>
                </c:pt>
                <c:pt idx="17">
                  <c:v>-9.6180041283749351E-2</c:v>
                </c:pt>
                <c:pt idx="18">
                  <c:v>3.8054100721904405E-2</c:v>
                </c:pt>
                <c:pt idx="19">
                  <c:v>-8.2921052945452156E-2</c:v>
                </c:pt>
                <c:pt idx="20">
                  <c:v>0.50669975049429095</c:v>
                </c:pt>
                <c:pt idx="21">
                  <c:v>0.50534522741859655</c:v>
                </c:pt>
                <c:pt idx="22">
                  <c:v>0.54960063027264572</c:v>
                </c:pt>
                <c:pt idx="23">
                  <c:v>0.71361396733340854</c:v>
                </c:pt>
                <c:pt idx="24">
                  <c:v>0.73682961221151699</c:v>
                </c:pt>
                <c:pt idx="25">
                  <c:v>0.39755797111092939</c:v>
                </c:pt>
                <c:pt idx="26">
                  <c:v>0.95902315990130438</c:v>
                </c:pt>
                <c:pt idx="27">
                  <c:v>1.0764120332947051</c:v>
                </c:pt>
                <c:pt idx="28">
                  <c:v>1.4774539695842748</c:v>
                </c:pt>
                <c:pt idx="29">
                  <c:v>0.25014950234258104</c:v>
                </c:pt>
                <c:pt idx="30">
                  <c:v>0.72527556224257772</c:v>
                </c:pt>
                <c:pt idx="31">
                  <c:v>0.20403055347189114</c:v>
                </c:pt>
                <c:pt idx="32">
                  <c:v>2.1124255603595321E-2</c:v>
                </c:pt>
                <c:pt idx="33">
                  <c:v>4.1661479723730688E-2</c:v>
                </c:pt>
                <c:pt idx="34">
                  <c:v>0.15955585493614177</c:v>
                </c:pt>
                <c:pt idx="35">
                  <c:v>9.6154894258009938E-2</c:v>
                </c:pt>
                <c:pt idx="36">
                  <c:v>7.5416431333054978E-2</c:v>
                </c:pt>
                <c:pt idx="37">
                  <c:v>0.3132872165882219</c:v>
                </c:pt>
                <c:pt idx="38">
                  <c:v>0.44843196029766252</c:v>
                </c:pt>
                <c:pt idx="39">
                  <c:v>0.68667729128722343</c:v>
                </c:pt>
                <c:pt idx="40">
                  <c:v>0.60727363026515557</c:v>
                </c:pt>
                <c:pt idx="41">
                  <c:v>0.88184900634424301</c:v>
                </c:pt>
                <c:pt idx="42">
                  <c:v>0.82923989011882759</c:v>
                </c:pt>
                <c:pt idx="43">
                  <c:v>1.1050325223914079</c:v>
                </c:pt>
                <c:pt idx="44">
                  <c:v>1.5888553353760604</c:v>
                </c:pt>
                <c:pt idx="45">
                  <c:v>1.5383157015188487</c:v>
                </c:pt>
                <c:pt idx="46">
                  <c:v>1.525655746589401</c:v>
                </c:pt>
                <c:pt idx="47">
                  <c:v>1.2440670108120262</c:v>
                </c:pt>
                <c:pt idx="48">
                  <c:v>1.8442107429748815</c:v>
                </c:pt>
                <c:pt idx="49">
                  <c:v>0.10952786176168394</c:v>
                </c:pt>
                <c:pt idx="50">
                  <c:v>4.9841107697778275E-2</c:v>
                </c:pt>
                <c:pt idx="51">
                  <c:v>0.77504614870881872</c:v>
                </c:pt>
                <c:pt idx="52">
                  <c:v>-0.65069934182685563</c:v>
                </c:pt>
                <c:pt idx="53">
                  <c:v>-0.58587080959028692</c:v>
                </c:pt>
                <c:pt idx="54">
                  <c:v>-0.56679421594839796</c:v>
                </c:pt>
                <c:pt idx="55">
                  <c:v>-0.59467985462554196</c:v>
                </c:pt>
                <c:pt idx="56">
                  <c:v>-0.58380269703934484</c:v>
                </c:pt>
                <c:pt idx="57">
                  <c:v>-0.7445611265169173</c:v>
                </c:pt>
                <c:pt idx="58">
                  <c:v>-0.75175214771955812</c:v>
                </c:pt>
                <c:pt idx="59">
                  <c:v>-0.76678783852363197</c:v>
                </c:pt>
                <c:pt idx="60">
                  <c:v>-0.76912456070282753</c:v>
                </c:pt>
                <c:pt idx="61">
                  <c:v>-0.74462707890045698</c:v>
                </c:pt>
                <c:pt idx="62">
                  <c:v>-0.72297581189436766</c:v>
                </c:pt>
                <c:pt idx="63">
                  <c:v>-0.72848586689836592</c:v>
                </c:pt>
                <c:pt idx="64">
                  <c:v>-0.68474230878626063</c:v>
                </c:pt>
                <c:pt idx="65">
                  <c:v>-0.67471932100950216</c:v>
                </c:pt>
                <c:pt idx="66">
                  <c:v>-0.67021175492197116</c:v>
                </c:pt>
                <c:pt idx="67">
                  <c:v>-0.65624317037060387</c:v>
                </c:pt>
                <c:pt idx="68">
                  <c:v>-0.61443510843694527</c:v>
                </c:pt>
                <c:pt idx="69">
                  <c:v>-0.59292087422915329</c:v>
                </c:pt>
                <c:pt idx="70">
                  <c:v>-0.49997386866353033</c:v>
                </c:pt>
                <c:pt idx="71">
                  <c:v>-0.39831505597990668</c:v>
                </c:pt>
                <c:pt idx="72">
                  <c:v>-0.30744411593542054</c:v>
                </c:pt>
                <c:pt idx="73">
                  <c:v>-0.34764239311740464</c:v>
                </c:pt>
                <c:pt idx="74">
                  <c:v>-0.53704790069969732</c:v>
                </c:pt>
                <c:pt idx="75">
                  <c:v>-0.65690291171624438</c:v>
                </c:pt>
                <c:pt idx="76">
                  <c:v>-0.69643513489676323</c:v>
                </c:pt>
                <c:pt idx="77">
                  <c:v>-0.89062527553843873</c:v>
                </c:pt>
                <c:pt idx="78">
                  <c:v>-0.9105828815109398</c:v>
                </c:pt>
                <c:pt idx="79">
                  <c:v>-0.97239979406157195</c:v>
                </c:pt>
                <c:pt idx="80">
                  <c:v>-0.97819918894616598</c:v>
                </c:pt>
                <c:pt idx="81">
                  <c:v>-0.97724072426735231</c:v>
                </c:pt>
                <c:pt idx="82">
                  <c:v>-0.98907484133864843</c:v>
                </c:pt>
                <c:pt idx="83">
                  <c:v>-0.98674807879006254</c:v>
                </c:pt>
                <c:pt idx="84">
                  <c:v>-0.9828573194451512</c:v>
                </c:pt>
                <c:pt idx="85">
                  <c:v>-0.98308205116593472</c:v>
                </c:pt>
                <c:pt idx="86">
                  <c:v>-0.97761655104473844</c:v>
                </c:pt>
                <c:pt idx="87">
                  <c:v>-0.97796760741504718</c:v>
                </c:pt>
                <c:pt idx="88">
                  <c:v>-0.96585888844879875</c:v>
                </c:pt>
                <c:pt idx="89">
                  <c:v>-0.96218056720479417</c:v>
                </c:pt>
                <c:pt idx="90">
                  <c:v>-0.98382877397148472</c:v>
                </c:pt>
                <c:pt idx="91">
                  <c:v>-0.98642173634990804</c:v>
                </c:pt>
                <c:pt idx="92">
                  <c:v>-0.98859683360583128</c:v>
                </c:pt>
                <c:pt idx="93">
                  <c:v>-0.99016804689418392</c:v>
                </c:pt>
                <c:pt idx="94">
                  <c:v>-0.99043211349069993</c:v>
                </c:pt>
                <c:pt idx="95">
                  <c:v>-0.98868217970055061</c:v>
                </c:pt>
                <c:pt idx="96">
                  <c:v>-0.98808540184678806</c:v>
                </c:pt>
                <c:pt idx="97">
                  <c:v>-0.99239224312881846</c:v>
                </c:pt>
                <c:pt idx="98">
                  <c:v>-0.99418001437699155</c:v>
                </c:pt>
                <c:pt idx="99">
                  <c:v>-0.99503377498936518</c:v>
                </c:pt>
                <c:pt idx="100">
                  <c:v>-0.99682274852476027</c:v>
                </c:pt>
                <c:pt idx="101">
                  <c:v>-0.99630769410620335</c:v>
                </c:pt>
                <c:pt idx="102">
                  <c:v>-0.9962171912426091</c:v>
                </c:pt>
                <c:pt idx="103">
                  <c:v>-0.9954778008989027</c:v>
                </c:pt>
                <c:pt idx="104">
                  <c:v>-0.99634233574065312</c:v>
                </c:pt>
                <c:pt idx="105">
                  <c:v>-0.9970586699813615</c:v>
                </c:pt>
                <c:pt idx="106">
                  <c:v>-0.99667163333166375</c:v>
                </c:pt>
                <c:pt idx="107">
                  <c:v>-0.99602380648786892</c:v>
                </c:pt>
                <c:pt idx="108">
                  <c:v>-0.99503536858753783</c:v>
                </c:pt>
                <c:pt idx="109">
                  <c:v>-0.99635499244012737</c:v>
                </c:pt>
                <c:pt idx="110">
                  <c:v>-0.99481279411654444</c:v>
                </c:pt>
                <c:pt idx="111">
                  <c:v>-0.99600258287919963</c:v>
                </c:pt>
                <c:pt idx="112">
                  <c:v>-0.99666624097854772</c:v>
                </c:pt>
                <c:pt idx="113">
                  <c:v>-0.99687080214304058</c:v>
                </c:pt>
                <c:pt idx="114">
                  <c:v>-0.99653185965029756</c:v>
                </c:pt>
                <c:pt idx="115">
                  <c:v>-0.99473935845839956</c:v>
                </c:pt>
                <c:pt idx="116">
                  <c:v>-0.99517659294291738</c:v>
                </c:pt>
                <c:pt idx="117">
                  <c:v>-0.99462492335528541</c:v>
                </c:pt>
                <c:pt idx="118">
                  <c:v>-0.99655495912497238</c:v>
                </c:pt>
                <c:pt idx="119">
                  <c:v>-0.99663554552112099</c:v>
                </c:pt>
                <c:pt idx="120">
                  <c:v>-0.99712005043260732</c:v>
                </c:pt>
                <c:pt idx="121">
                  <c:v>-0.9972048238400868</c:v>
                </c:pt>
                <c:pt idx="122">
                  <c:v>-0.99935862812410692</c:v>
                </c:pt>
                <c:pt idx="123">
                  <c:v>-0.99983994984883662</c:v>
                </c:pt>
                <c:pt idx="124">
                  <c:v>-0.99982252725514431</c:v>
                </c:pt>
                <c:pt idx="125">
                  <c:v>-0.99979169361422582</c:v>
                </c:pt>
                <c:pt idx="126">
                  <c:v>-0.99979837327838805</c:v>
                </c:pt>
                <c:pt idx="127">
                  <c:v>-0.99980823376551409</c:v>
                </c:pt>
                <c:pt idx="128">
                  <c:v>-0.99981876499181332</c:v>
                </c:pt>
                <c:pt idx="129">
                  <c:v>-0.99971189108499836</c:v>
                </c:pt>
                <c:pt idx="130">
                  <c:v>-0.9996379475343834</c:v>
                </c:pt>
                <c:pt idx="131">
                  <c:v>-0.99960733958542591</c:v>
                </c:pt>
                <c:pt idx="132">
                  <c:v>-0.99962134341972542</c:v>
                </c:pt>
                <c:pt idx="133">
                  <c:v>-0.99967211558729152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9B4-9540-A7DA-88238ACD6121}"/>
            </c:ext>
          </c:extLst>
        </c:ser>
        <c:ser>
          <c:idx val="13"/>
          <c:order val="13"/>
          <c:tx>
            <c:strRef>
              <c:f>ＯＬＳ再投資累積報酬!$A$25:$B$25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ＯＬＳ再投資累積報酬!$C$10:$EF$11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ＯＬＳ再投資累積報酬!$C$25:$EF$25</c:f>
              <c:numCache>
                <c:formatCode>General</c:formatCode>
                <c:ptCount val="134"/>
                <c:pt idx="0">
                  <c:v>-1.7446770539390255E-2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9B4-9540-A7DA-88238ACD6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5361328"/>
        <c:axId val="1895987520"/>
      </c:lineChart>
      <c:catAx>
        <c:axId val="102536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5987520"/>
        <c:crosses val="autoZero"/>
        <c:auto val="1"/>
        <c:lblAlgn val="ctr"/>
        <c:lblOffset val="100"/>
        <c:noMultiLvlLbl val="0"/>
      </c:catAx>
      <c:valAx>
        <c:axId val="189598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536132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345440</xdr:colOff>
      <xdr:row>10</xdr:row>
      <xdr:rowOff>20320</xdr:rowOff>
    </xdr:from>
    <xdr:to>
      <xdr:col>14</xdr:col>
      <xdr:colOff>10160</xdr:colOff>
      <xdr:row>24</xdr:row>
      <xdr:rowOff>162560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141E9C5-33D8-45D3-7310-6C059171E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121</xdr:col>
      <xdr:colOff>173567</xdr:colOff>
      <xdr:row>20</xdr:row>
      <xdr:rowOff>127000</xdr:rowOff>
    </xdr:from>
    <xdr:to>
      <xdr:col>129</xdr:col>
      <xdr:colOff>139700</xdr:colOff>
      <xdr:row>36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254000</xdr:colOff>
      <xdr:row>29</xdr:row>
      <xdr:rowOff>42291</xdr:rowOff>
    </xdr:from>
    <xdr:to>
      <xdr:col>144</xdr:col>
      <xdr:colOff>663863</xdr:colOff>
      <xdr:row>65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31"/>
  <sheetViews>
    <sheetView topLeftCell="AN1" zoomScale="125" workbookViewId="0">
      <selection activeCell="EE11" sqref="EE11:EF11"/>
    </sheetView>
  </sheetViews>
  <sheetFormatPr baseColWidth="10" defaultColWidth="9" defaultRowHeight="14"/>
  <cols>
    <col min="3" max="3" width="9.3984375" bestFit="1" customWidth="1"/>
  </cols>
  <sheetData>
    <row r="1" spans="1:136">
      <c r="A1" t="s">
        <v>0</v>
      </c>
    </row>
    <row r="2" spans="1:136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6">
      <c r="B3" s="1" t="s">
        <v>136</v>
      </c>
      <c r="C3" s="5">
        <v>7.8798868708972569E-2</v>
      </c>
      <c r="D3" s="5">
        <v>0.1797330866000165</v>
      </c>
      <c r="E3" s="5">
        <v>1.5489078774060919E-2</v>
      </c>
      <c r="F3" s="5">
        <v>-2.2168251176828E-2</v>
      </c>
      <c r="G3" s="5">
        <v>-8.1037288150830888E-3</v>
      </c>
      <c r="H3" s="5">
        <v>-1.540126879534739E-2</v>
      </c>
      <c r="I3" s="5">
        <v>-0.19676558635554181</v>
      </c>
      <c r="J3" s="5">
        <v>0.27883034253820949</v>
      </c>
      <c r="K3" s="5">
        <v>-5.6931615083884446E-3</v>
      </c>
      <c r="L3" s="5">
        <v>-4.7889749224816418E-2</v>
      </c>
      <c r="M3" s="5">
        <v>-5.2700847804921791E-3</v>
      </c>
      <c r="N3" s="5">
        <v>-0.19106965066791309</v>
      </c>
      <c r="O3" s="5">
        <v>0.31084678168383029</v>
      </c>
      <c r="P3" s="5">
        <v>0.11377091314306841</v>
      </c>
      <c r="Q3" s="5">
        <v>-0.1230705033938234</v>
      </c>
      <c r="R3" s="5">
        <v>-0.1125584938483804</v>
      </c>
      <c r="S3" s="5">
        <v>0.10466589270197239</v>
      </c>
      <c r="T3" s="5">
        <v>-0.14458476697667069</v>
      </c>
      <c r="U3" s="5">
        <v>-0.26280780822848793</v>
      </c>
      <c r="V3" s="5">
        <v>3.018865545683036E-3</v>
      </c>
      <c r="W3" s="5">
        <v>0.13196040423464411</v>
      </c>
      <c r="X3" s="5">
        <v>-8.9415173838410772E-2</v>
      </c>
      <c r="Y3" s="5">
        <v>0.27906324575998892</v>
      </c>
      <c r="Z3" s="5">
        <v>0.10308974194226191</v>
      </c>
      <c r="AA3" s="5">
        <v>0.48637748963693189</v>
      </c>
      <c r="AB3" s="5">
        <v>-0.2348198317515614</v>
      </c>
      <c r="AC3" s="5">
        <v>1.209651139005591E-2</v>
      </c>
      <c r="AD3" s="5">
        <v>2.4631762383159391E-2</v>
      </c>
      <c r="AE3" s="5">
        <v>-5.6680955135353086E-3</v>
      </c>
      <c r="AF3" s="5">
        <v>-5.6269213313916128E-2</v>
      </c>
      <c r="AG3" s="5">
        <v>0.1224049331936696</v>
      </c>
      <c r="AH3" s="5">
        <v>4.3996774628331507E-2</v>
      </c>
      <c r="AI3" s="5">
        <v>0.16226838670026481</v>
      </c>
      <c r="AJ3" s="5">
        <v>6.8930166950289418E-2</v>
      </c>
      <c r="AK3" s="5">
        <v>8.7359955926433919E-2</v>
      </c>
      <c r="AL3" s="5">
        <v>0.18738072328871311</v>
      </c>
      <c r="AM3" s="5">
        <v>9.6837349683267515E-2</v>
      </c>
      <c r="AN3" s="5">
        <v>0.2075736584826241</v>
      </c>
      <c r="AO3" s="5">
        <v>0.1179758622033628</v>
      </c>
      <c r="AP3" s="5">
        <v>-2.8503518413619089E-2</v>
      </c>
      <c r="AQ3" s="5">
        <v>-0.2114396427417907</v>
      </c>
      <c r="AR3" s="5">
        <v>-3.2302566009502653E-2</v>
      </c>
      <c r="AS3" s="5">
        <v>0.14111009314114151</v>
      </c>
      <c r="AT3" s="5">
        <v>-3.4807512436285597E-2</v>
      </c>
      <c r="AU3" s="5">
        <v>4.4456114444752393E-2</v>
      </c>
      <c r="AV3" s="5">
        <v>2.116273888563475E-2</v>
      </c>
      <c r="AW3" s="5">
        <v>-0.17415500379798879</v>
      </c>
      <c r="AX3" s="5">
        <v>7.6317816973353048E-2</v>
      </c>
      <c r="AY3" s="5">
        <v>9.0306432388433389E-3</v>
      </c>
      <c r="AZ3" s="5">
        <v>1.663894988550357E-2</v>
      </c>
      <c r="BA3" s="5">
        <v>0.1604995491281753</v>
      </c>
      <c r="BB3" s="5">
        <v>-0.1237409532939386</v>
      </c>
      <c r="BC3" s="5">
        <v>0.1567368975950951</v>
      </c>
      <c r="BD3" s="5">
        <v>0.16688346547535959</v>
      </c>
      <c r="BE3" s="5">
        <v>-0.13147229447438161</v>
      </c>
      <c r="BF3" s="5">
        <v>9.9500132775895977E-3</v>
      </c>
      <c r="BG3" s="5">
        <v>0.31531123716865839</v>
      </c>
      <c r="BH3" s="5">
        <v>0.27010117711850451</v>
      </c>
      <c r="BI3" s="5">
        <v>5.6315448743319167E-2</v>
      </c>
      <c r="BJ3" s="5">
        <v>-2.4098168569960938E-3</v>
      </c>
      <c r="BK3" s="5">
        <v>7.980037571183507E-2</v>
      </c>
      <c r="BL3" s="5">
        <v>-2.3392393936943919E-2</v>
      </c>
      <c r="BM3" s="5">
        <v>9.4008939681691994E-2</v>
      </c>
      <c r="BN3" s="5">
        <v>1.7643905957802519E-2</v>
      </c>
      <c r="BO3" s="5">
        <v>-0.14928793997254061</v>
      </c>
      <c r="BP3" s="5">
        <v>4.1225940656231752E-2</v>
      </c>
      <c r="BQ3" s="5">
        <v>-8.2741207352384771E-2</v>
      </c>
      <c r="BR3" s="5">
        <v>0.21346470331308501</v>
      </c>
      <c r="BS3" s="5">
        <v>-6.7985397750361887E-2</v>
      </c>
      <c r="BT3" s="5">
        <v>0.14435039701784599</v>
      </c>
      <c r="BU3" s="5">
        <v>0.11377937808470839</v>
      </c>
      <c r="BV3" s="5">
        <v>5.6009583131783613E-3</v>
      </c>
      <c r="BW3" s="5">
        <v>0.11314663575547999</v>
      </c>
      <c r="BX3" s="5">
        <v>-9.0571156630970151E-2</v>
      </c>
      <c r="BY3" s="5">
        <v>0.1185697363729505</v>
      </c>
      <c r="BZ3" s="5">
        <v>-0.14071284467671219</v>
      </c>
      <c r="CA3" s="5">
        <v>7.3472777058868566E-2</v>
      </c>
      <c r="CB3" s="5">
        <v>-0.17102560649194909</v>
      </c>
      <c r="CC3" s="5">
        <v>8.6731635966007636E-2</v>
      </c>
      <c r="CD3" s="5">
        <v>3.1267715866914132E-2</v>
      </c>
      <c r="CE3" s="5">
        <v>0.2187970365966756</v>
      </c>
      <c r="CF3" s="5">
        <v>-0.1415947073656891</v>
      </c>
      <c r="CG3" s="5">
        <v>9.9731607421901902E-2</v>
      </c>
      <c r="CH3" s="5">
        <v>4.5308069873115593E-2</v>
      </c>
      <c r="CI3" s="5">
        <v>8.9441140161071353E-2</v>
      </c>
      <c r="CJ3" s="5">
        <v>-0.39111281147264948</v>
      </c>
      <c r="CK3" s="5">
        <v>-0.1097911700085549</v>
      </c>
      <c r="CL3" s="5">
        <v>-4.3456184080796822E-2</v>
      </c>
      <c r="CM3" s="5">
        <v>0.18311247425732069</v>
      </c>
      <c r="CN3" s="5">
        <v>-0.39746167912504587</v>
      </c>
      <c r="CO3" s="5">
        <v>-9.6930225730285202E-2</v>
      </c>
      <c r="CP3" s="5">
        <v>-9.5682049872747921E-2</v>
      </c>
      <c r="CQ3" s="5">
        <v>0.17197496741798041</v>
      </c>
      <c r="CR3" s="5">
        <v>6.1939484759435059E-2</v>
      </c>
      <c r="CS3" s="5">
        <v>-4.7664038974437717E-2</v>
      </c>
      <c r="CT3" s="5">
        <v>-1.0473980040771101E-2</v>
      </c>
      <c r="CU3" s="5">
        <v>-3.4400594909696942E-2</v>
      </c>
      <c r="CV3" s="5">
        <v>-2.258422919649478E-2</v>
      </c>
      <c r="CW3" s="5">
        <v>3.967601364242257E-2</v>
      </c>
      <c r="CX3" s="5">
        <v>-5.3904732790443062E-2</v>
      </c>
      <c r="CY3" s="5">
        <v>2.7221884648997219E-2</v>
      </c>
      <c r="CZ3" s="5">
        <v>9.8878435478775006E-2</v>
      </c>
      <c r="DA3" s="5">
        <v>0.31254073484349981</v>
      </c>
      <c r="DB3" s="5">
        <v>-0.15564612733519101</v>
      </c>
      <c r="DC3" s="5">
        <v>-0.186958527424675</v>
      </c>
      <c r="DD3" s="5">
        <v>-0.16852286341555181</v>
      </c>
      <c r="DE3" s="5">
        <v>0.1677976140486318</v>
      </c>
      <c r="DF3" s="5">
        <v>-9.1638386466206867E-2</v>
      </c>
      <c r="DG3" s="5">
        <v>-7.5708963031608456E-2</v>
      </c>
      <c r="DH3" s="5">
        <v>7.7960520930394628E-3</v>
      </c>
      <c r="DI3" s="5">
        <v>-2.5500379680462042E-3</v>
      </c>
      <c r="DJ3" s="5">
        <v>-6.8988362574606832E-2</v>
      </c>
      <c r="DK3" s="5">
        <v>4.6125318624910039E-2</v>
      </c>
      <c r="DL3" s="5">
        <v>-5.8337699674183729E-2</v>
      </c>
      <c r="DM3" s="5">
        <v>-7.0566061856035006E-2</v>
      </c>
      <c r="DN3" s="5">
        <v>2.809287103658753E-2</v>
      </c>
      <c r="DO3" s="5">
        <v>-7.0883392118804012E-2</v>
      </c>
      <c r="DP3" s="5">
        <v>0.16113140194021519</v>
      </c>
      <c r="DQ3" s="5">
        <v>0.1547440050249739</v>
      </c>
      <c r="DR3" s="5">
        <v>-0.1074253347743107</v>
      </c>
      <c r="DS3" s="5">
        <v>0.1128417239921658</v>
      </c>
      <c r="DT3" s="5">
        <v>-9.1401515312695802E-2</v>
      </c>
      <c r="DU3" s="5">
        <v>-6.5441570505781171E-2</v>
      </c>
      <c r="DV3" s="5">
        <v>-7.3758705524149371E-2</v>
      </c>
      <c r="DW3" s="5">
        <v>6.6155769939566539E-2</v>
      </c>
      <c r="DX3" s="5">
        <v>6.9417132083774952E-2</v>
      </c>
      <c r="DY3" s="5">
        <v>-0.10299216834685949</v>
      </c>
      <c r="DZ3" s="5">
        <v>0.26391340422439719</v>
      </c>
      <c r="EA3" s="5">
        <v>-8.9759100562534361E-2</v>
      </c>
      <c r="EB3" s="5">
        <v>0.19432476998554751</v>
      </c>
      <c r="EC3" s="5">
        <v>-3.0097119912414479E-2</v>
      </c>
      <c r="ED3" s="5">
        <v>2.8618294955548851E-2</v>
      </c>
      <c r="EE3" s="5">
        <v>-8.7371804917650953E-2</v>
      </c>
      <c r="EF3" s="5">
        <v>-2.097644515945252E-2</v>
      </c>
    </row>
    <row r="4" spans="1:136">
      <c r="B4" s="1" t="s">
        <v>137</v>
      </c>
      <c r="C4" s="5">
        <v>-0.2033298904066001</v>
      </c>
      <c r="D4" s="5">
        <v>-0.19670615347595799</v>
      </c>
      <c r="E4" s="5">
        <v>-0.25411088976615298</v>
      </c>
      <c r="F4" s="5">
        <v>4.6098132519260197E-2</v>
      </c>
      <c r="G4" s="5">
        <v>3.0705585377122091E-2</v>
      </c>
      <c r="H4" s="5">
        <v>-5.0794665387496003E-2</v>
      </c>
      <c r="I4" s="5">
        <v>7.7645993308728123E-4</v>
      </c>
      <c r="J4" s="5">
        <v>4.8875938188759349E-2</v>
      </c>
      <c r="K4" s="5">
        <v>-0.10205312675095971</v>
      </c>
      <c r="L4" s="5">
        <v>-1.86487966438591E-2</v>
      </c>
      <c r="M4" s="5">
        <v>-5.5059352573051612E-2</v>
      </c>
      <c r="N4" s="5">
        <v>-2.980539628833689E-2</v>
      </c>
      <c r="O4" s="5">
        <v>-0.18676845762429831</v>
      </c>
      <c r="P4" s="5">
        <v>3.0016143098960061E-2</v>
      </c>
      <c r="Q4" s="5">
        <v>9.7885090716637535E-2</v>
      </c>
      <c r="R4" s="5">
        <v>-9.3921517598078097E-2</v>
      </c>
      <c r="S4" s="5">
        <v>2.2808945852236921E-2</v>
      </c>
      <c r="T4" s="5">
        <v>7.3321485340407833E-2</v>
      </c>
      <c r="U4" s="5">
        <v>7.4453756001915394E-3</v>
      </c>
      <c r="V4" s="5">
        <v>-2.162307259445129E-2</v>
      </c>
      <c r="W4" s="5">
        <v>-5.7679730450974631E-3</v>
      </c>
      <c r="X4" s="5">
        <v>-0.1698621934781421</v>
      </c>
      <c r="Y4" s="5">
        <v>-0.23417865773462759</v>
      </c>
      <c r="Z4" s="5">
        <v>-1.0182398713556751E-2</v>
      </c>
      <c r="AA4" s="5">
        <v>-3.1047645711428369E-3</v>
      </c>
      <c r="AB4" s="5">
        <v>-0.16354736732336941</v>
      </c>
      <c r="AC4" s="5">
        <v>-6.5817326243049479E-2</v>
      </c>
      <c r="AD4" s="5">
        <v>-5.3291001780785052E-2</v>
      </c>
      <c r="AE4" s="5">
        <v>4.4148085053993917E-2</v>
      </c>
      <c r="AF4" s="5">
        <v>8.1272612622841578E-2</v>
      </c>
      <c r="AG4" s="5">
        <v>-0.1017872468284171</v>
      </c>
      <c r="AH4" s="5">
        <v>0.1188108231774461</v>
      </c>
      <c r="AI4" s="5">
        <v>-8.6264025106641995E-2</v>
      </c>
      <c r="AJ4" s="5">
        <v>-9.7080353915666606E-2</v>
      </c>
      <c r="AK4" s="5">
        <v>7.7483445716659105E-2</v>
      </c>
      <c r="AL4" s="5">
        <v>1.8676259356256612E-2</v>
      </c>
      <c r="AM4" s="5">
        <v>-7.3616058355145952E-3</v>
      </c>
      <c r="AN4" s="5">
        <v>1.1279678641054501E-2</v>
      </c>
      <c r="AO4" s="5">
        <v>-4.4653672927386978E-2</v>
      </c>
      <c r="AP4" s="5">
        <v>8.0316784439199651E-2</v>
      </c>
      <c r="AQ4" s="5">
        <v>-9.065489430089535E-2</v>
      </c>
      <c r="AR4" s="5">
        <v>0.11489008982476891</v>
      </c>
      <c r="AS4" s="5">
        <v>8.2303546348533985E-2</v>
      </c>
      <c r="AT4" s="5">
        <v>9.2421253692602789E-3</v>
      </c>
      <c r="AU4" s="5">
        <v>-3.3161859626785528E-2</v>
      </c>
      <c r="AV4" s="5">
        <v>-0.2173053184250211</v>
      </c>
      <c r="AW4" s="5">
        <v>5.2685655817201749E-2</v>
      </c>
      <c r="AX4" s="5">
        <v>1.3493885720954781E-2</v>
      </c>
      <c r="AY4" s="5">
        <v>0.1041661451594766</v>
      </c>
      <c r="AZ4" s="5">
        <v>1.7139753527592561E-2</v>
      </c>
      <c r="BA4" s="5">
        <v>-0.15393947590357021</v>
      </c>
      <c r="BB4" s="5">
        <v>-0.25209000741856791</v>
      </c>
      <c r="BC4" s="5">
        <v>-0.1509089515544382</v>
      </c>
      <c r="BD4" s="5">
        <v>-2.256906534059766E-2</v>
      </c>
      <c r="BE4" s="5">
        <v>-3.1980232980275858E-2</v>
      </c>
      <c r="BF4" s="5">
        <v>0.12360403054618981</v>
      </c>
      <c r="BG4" s="5">
        <v>-7.4229896004924356E-2</v>
      </c>
      <c r="BH4" s="5">
        <v>-6.4502472889254037E-2</v>
      </c>
      <c r="BI4" s="5">
        <v>1.824796293577791E-2</v>
      </c>
      <c r="BJ4" s="5">
        <v>-0.15119856136795379</v>
      </c>
      <c r="BK4" s="5">
        <v>-5.7995346273466808E-2</v>
      </c>
      <c r="BL4" s="5">
        <v>-4.6827851998019199E-2</v>
      </c>
      <c r="BM4" s="5">
        <v>2.007808697382707E-2</v>
      </c>
      <c r="BN4" s="5">
        <v>4.1159851064172408E-2</v>
      </c>
      <c r="BO4" s="5">
        <v>4.4821746513099107E-2</v>
      </c>
      <c r="BP4" s="5">
        <v>8.3537285837463671E-2</v>
      </c>
      <c r="BQ4" s="5">
        <v>3.0584215049547229E-2</v>
      </c>
      <c r="BR4" s="5">
        <v>-0.11513801838410841</v>
      </c>
      <c r="BS4" s="5">
        <v>-1.9945733381826258E-2</v>
      </c>
      <c r="BT4" s="5">
        <v>-3.340062489588469E-2</v>
      </c>
      <c r="BU4" s="5">
        <v>-4.5048156861273718E-2</v>
      </c>
      <c r="BV4" s="5">
        <v>0.17298229554948641</v>
      </c>
      <c r="BW4" s="5">
        <v>-9.9199124220314516E-2</v>
      </c>
      <c r="BX4" s="5">
        <v>-6.8360249990837119E-2</v>
      </c>
      <c r="BY4" s="5">
        <v>-0.18303206657081719</v>
      </c>
      <c r="BZ4" s="5">
        <v>8.5483425285028503E-2</v>
      </c>
      <c r="CA4" s="5">
        <v>9.7162092942060241E-3</v>
      </c>
      <c r="CB4" s="5">
        <v>0.19814488479862649</v>
      </c>
      <c r="CC4" s="5">
        <v>-0.29368551385020503</v>
      </c>
      <c r="CD4" s="5">
        <v>-0.13248019500703731</v>
      </c>
      <c r="CE4" s="5">
        <v>-5.8262282818763111E-2</v>
      </c>
      <c r="CF4" s="5">
        <v>-0.1140691280773574</v>
      </c>
      <c r="CG4" s="5">
        <v>5.6736524131114408E-2</v>
      </c>
      <c r="CH4" s="5">
        <v>-4.7296779651766494E-3</v>
      </c>
      <c r="CI4" s="5">
        <v>8.4443901855131287E-2</v>
      </c>
      <c r="CJ4" s="5">
        <v>2.7869588243326859E-2</v>
      </c>
      <c r="CK4" s="5">
        <v>-2.232469786150304E-2</v>
      </c>
      <c r="CL4" s="5">
        <v>-6.8175763142658496E-2</v>
      </c>
      <c r="CM4" s="5">
        <v>4.0425862777794919E-2</v>
      </c>
      <c r="CN4" s="5">
        <v>0.18770361883890979</v>
      </c>
      <c r="CO4" s="5">
        <v>1.3964512578574779E-3</v>
      </c>
      <c r="CP4" s="5">
        <v>2.0238036750885868E-2</v>
      </c>
      <c r="CQ4" s="5">
        <v>-3.0594997259303369E-2</v>
      </c>
      <c r="CR4" s="5">
        <v>-0.28726340823344998</v>
      </c>
      <c r="CS4" s="5">
        <v>-0.27841972942992038</v>
      </c>
      <c r="CT4" s="5">
        <v>8.2270680617856584E-2</v>
      </c>
      <c r="CU4" s="5">
        <v>-0.1048554960401091</v>
      </c>
      <c r="CV4" s="5">
        <v>0.11088351979357471</v>
      </c>
      <c r="CW4" s="5">
        <v>-5.0507103363436563E-2</v>
      </c>
      <c r="CX4" s="5">
        <v>5.9564972115538239E-2</v>
      </c>
      <c r="CY4" s="5">
        <v>-0.17485206724227001</v>
      </c>
      <c r="CZ4" s="5">
        <v>-0.12999288727490921</v>
      </c>
      <c r="DA4" s="5">
        <v>-0.22061040036900439</v>
      </c>
      <c r="DB4" s="5">
        <v>-4.9769885023174247E-2</v>
      </c>
      <c r="DC4" s="5">
        <v>-0.1428822193239476</v>
      </c>
      <c r="DD4" s="5">
        <v>0.1006356253829281</v>
      </c>
      <c r="DE4" s="5">
        <v>4.4473068308818142E-2</v>
      </c>
      <c r="DF4" s="5">
        <v>5.5744001155495937E-2</v>
      </c>
      <c r="DG4" s="5">
        <v>-0.1401895090203702</v>
      </c>
      <c r="DH4" s="5">
        <v>0.15742013530757151</v>
      </c>
      <c r="DI4" s="5">
        <v>-6.1975928482361553E-2</v>
      </c>
      <c r="DJ4" s="5">
        <v>-0.12007758793922819</v>
      </c>
      <c r="DK4" s="5">
        <v>-0.163860282805075</v>
      </c>
      <c r="DL4" s="5">
        <v>9.4497364979279297E-2</v>
      </c>
      <c r="DM4" s="5">
        <v>0.23347887989474711</v>
      </c>
      <c r="DN4" s="5">
        <v>7.41389367052534E-2</v>
      </c>
      <c r="DO4" s="5">
        <v>-4.4768182471788258E-2</v>
      </c>
      <c r="DP4" s="5">
        <v>-6.9268899611042656E-2</v>
      </c>
      <c r="DQ4" s="5">
        <v>-0.1694470405102351</v>
      </c>
      <c r="DR4" s="5">
        <v>-0.1292383591030131</v>
      </c>
      <c r="DS4" s="5">
        <v>-7.3029030634589986E-2</v>
      </c>
      <c r="DT4" s="5">
        <v>-0.2035882020359274</v>
      </c>
      <c r="DU4" s="5">
        <v>-5.4890571845771063E-2</v>
      </c>
      <c r="DV4" s="5">
        <v>1.1078381509349811E-2</v>
      </c>
      <c r="DW4" s="5">
        <v>-4.5384063983000536E-3</v>
      </c>
      <c r="DX4" s="5">
        <v>-8.4289001087523019E-2</v>
      </c>
      <c r="DY4" s="5">
        <v>0.10021881700383869</v>
      </c>
      <c r="DZ4" s="5">
        <v>-0.13097722178277141</v>
      </c>
      <c r="EA4" s="5">
        <v>-0.19315799713893969</v>
      </c>
      <c r="EB4" s="5">
        <v>-0.31868386846927171</v>
      </c>
      <c r="EC4" s="5">
        <v>4.9076536231201118E-2</v>
      </c>
      <c r="ED4" s="5">
        <v>5.2784729286493359E-2</v>
      </c>
      <c r="EE4" s="5">
        <v>0.1201448565603975</v>
      </c>
      <c r="EF4" s="5">
        <v>0.24405280405184021</v>
      </c>
    </row>
    <row r="5" spans="1:136">
      <c r="B5" s="1" t="s">
        <v>138</v>
      </c>
      <c r="C5" s="5">
        <v>-0.20935792122733929</v>
      </c>
      <c r="D5" s="5">
        <v>-0.1073627692333063</v>
      </c>
      <c r="E5" s="5">
        <v>0.52484760680152232</v>
      </c>
      <c r="F5" s="5">
        <v>4.6837059958046809E-2</v>
      </c>
      <c r="G5" s="5">
        <v>-0.2104714261735883</v>
      </c>
      <c r="H5" s="5">
        <v>0.4744149628629204</v>
      </c>
      <c r="I5" s="5">
        <v>0.14678498763585299</v>
      </c>
      <c r="J5" s="5">
        <v>-5.6231752728838222E-2</v>
      </c>
      <c r="K5" s="5">
        <v>0.27552845629080469</v>
      </c>
      <c r="L5" s="5">
        <v>-0.43004286310886081</v>
      </c>
      <c r="M5" s="5">
        <v>0.32376774959305898</v>
      </c>
      <c r="N5" s="5">
        <v>-0.34824165047033961</v>
      </c>
      <c r="O5" s="5">
        <v>-9.7528911512976074E-2</v>
      </c>
      <c r="P5" s="5">
        <v>0.39546612391174241</v>
      </c>
      <c r="Q5" s="5">
        <v>4.8467491330228173E-2</v>
      </c>
      <c r="R5" s="5">
        <v>-9.8851331549351315E-2</v>
      </c>
      <c r="S5" s="5">
        <v>0.3057921371194337</v>
      </c>
      <c r="T5" s="5">
        <v>7.2071946189346189E-2</v>
      </c>
      <c r="U5" s="5">
        <v>-4.7890408561752917E-4</v>
      </c>
      <c r="V5" s="5">
        <v>-0.13936695356286269</v>
      </c>
      <c r="W5" s="5">
        <v>-0.39469012652483237</v>
      </c>
      <c r="X5" s="5">
        <v>-0.12947787244850251</v>
      </c>
      <c r="Y5" s="5">
        <v>-0.68127295831176804</v>
      </c>
      <c r="Z5" s="5">
        <v>-4.1720386960932424E-3</v>
      </c>
      <c r="AA5" s="5">
        <v>1.8198047382592619E-2</v>
      </c>
      <c r="AB5" s="5">
        <v>0.20112165888415301</v>
      </c>
      <c r="AC5" s="5">
        <v>-8.9163225286403025E-2</v>
      </c>
      <c r="AD5" s="5">
        <v>0.14514145822358679</v>
      </c>
      <c r="AE5" s="5">
        <v>7.4669147590605167E-2</v>
      </c>
      <c r="AF5" s="5">
        <v>0.17577042279847119</v>
      </c>
      <c r="AG5" s="5">
        <v>-0.30336041259100399</v>
      </c>
      <c r="AH5" s="5">
        <v>-0.3482499081721625</v>
      </c>
      <c r="AI5" s="5">
        <v>0.25872371710226461</v>
      </c>
      <c r="AJ5" s="5">
        <v>-0.48889196953357</v>
      </c>
      <c r="AK5" s="5">
        <v>0.13254842946584691</v>
      </c>
      <c r="AL5" s="5">
        <v>-2.3789775596635129E-2</v>
      </c>
      <c r="AM5" s="5">
        <v>1.17524054827144E-2</v>
      </c>
      <c r="AN5" s="5">
        <v>-7.4933432869098024E-2</v>
      </c>
      <c r="AO5" s="5">
        <v>0.1844633194704077</v>
      </c>
      <c r="AP5" s="5">
        <v>3.2348031051998787E-2</v>
      </c>
      <c r="AQ5" s="5">
        <v>0.1511984265546954</v>
      </c>
      <c r="AR5" s="5">
        <v>-9.5283109587288514E-2</v>
      </c>
      <c r="AS5" s="5">
        <v>-0.1260043749729467</v>
      </c>
      <c r="AT5" s="5">
        <v>0.1516447920969482</v>
      </c>
      <c r="AU5" s="5">
        <v>-0.20083705233961571</v>
      </c>
      <c r="AV5" s="5">
        <v>7.890636801828628E-2</v>
      </c>
      <c r="AW5" s="5">
        <v>6.7935762483271878E-4</v>
      </c>
      <c r="AX5" s="5">
        <v>0.1122931240608864</v>
      </c>
      <c r="AY5" s="5">
        <v>-0.118056117907044</v>
      </c>
      <c r="AZ5" s="5">
        <v>0.20621977214253931</v>
      </c>
      <c r="BA5" s="5">
        <v>-3.9691918773370187E-2</v>
      </c>
      <c r="BB5" s="5">
        <v>8.2995939761629778E-2</v>
      </c>
      <c r="BC5" s="5">
        <v>-0.13000542995066139</v>
      </c>
      <c r="BD5" s="5">
        <v>-0.1063161628626854</v>
      </c>
      <c r="BE5" s="5">
        <v>0.1159333959862182</v>
      </c>
      <c r="BF5" s="5">
        <v>-0.28526227318364472</v>
      </c>
      <c r="BG5" s="5">
        <v>-0.15093334040887121</v>
      </c>
      <c r="BH5" s="5">
        <v>2.919940093087194E-3</v>
      </c>
      <c r="BI5" s="5">
        <v>5.812657406460206E-2</v>
      </c>
      <c r="BJ5" s="5">
        <v>-0.25986983403483388</v>
      </c>
      <c r="BK5" s="5">
        <v>0.18487944696901781</v>
      </c>
      <c r="BL5" s="5">
        <v>-0.26913172790454543</v>
      </c>
      <c r="BM5" s="5">
        <v>0.1717381908649544</v>
      </c>
      <c r="BN5" s="5">
        <v>-0.18092216130584951</v>
      </c>
      <c r="BO5" s="5">
        <v>-6.3203737577877367E-2</v>
      </c>
      <c r="BP5" s="5">
        <v>7.1867500126512024E-2</v>
      </c>
      <c r="BQ5" s="5">
        <v>-0.16861046240236999</v>
      </c>
      <c r="BR5" s="5">
        <v>-2.5447831594333319E-2</v>
      </c>
      <c r="BS5" s="5">
        <v>0.1244241075337672</v>
      </c>
      <c r="BT5" s="5">
        <v>0.20772231279415901</v>
      </c>
      <c r="BU5" s="5">
        <v>-6.0051294436158628E-2</v>
      </c>
      <c r="BV5" s="5">
        <v>-5.1700003009333508E-2</v>
      </c>
      <c r="BW5" s="5">
        <v>-0.1268015683060742</v>
      </c>
      <c r="BX5" s="5">
        <v>-0.10582029087279909</v>
      </c>
      <c r="BY5" s="5">
        <v>5.3607320437496067E-2</v>
      </c>
      <c r="BZ5" s="5">
        <v>-3.4479447424122608E-2</v>
      </c>
      <c r="CA5" s="5">
        <v>-2.0066210971329639E-2</v>
      </c>
      <c r="CB5" s="5">
        <v>8.4589606751002688E-2</v>
      </c>
      <c r="CC5" s="5">
        <v>-0.1103836570393476</v>
      </c>
      <c r="CD5" s="5">
        <v>0.32742328506094998</v>
      </c>
      <c r="CE5" s="5">
        <v>-1.486719718236725E-2</v>
      </c>
      <c r="CF5" s="5">
        <v>-0.14937324914413941</v>
      </c>
      <c r="CG5" s="5">
        <v>0.16320028060313421</v>
      </c>
      <c r="CH5" s="5">
        <v>-6.9038325074175663E-2</v>
      </c>
      <c r="CI5" s="5">
        <v>-0.11536214708505139</v>
      </c>
      <c r="CJ5" s="5">
        <v>-0.26301723908525793</v>
      </c>
      <c r="CK5" s="5">
        <v>0.37897350211797709</v>
      </c>
      <c r="CL5" s="5">
        <v>-7.6383453932209341E-2</v>
      </c>
      <c r="CM5" s="5">
        <v>4.2833444041791832E-2</v>
      </c>
      <c r="CN5" s="5">
        <v>-0.15161552738072651</v>
      </c>
      <c r="CO5" s="5">
        <v>0.43716796518582229</v>
      </c>
      <c r="CP5" s="5">
        <v>-4.1833927507883796E-3</v>
      </c>
      <c r="CQ5" s="5">
        <v>-0.49935244279872992</v>
      </c>
      <c r="CR5" s="5">
        <v>0.3398570382696095</v>
      </c>
      <c r="CS5" s="5">
        <v>-0.18988696947799641</v>
      </c>
      <c r="CT5" s="5">
        <v>0.2246197528310597</v>
      </c>
      <c r="CU5" s="5">
        <v>-0.25171771168640761</v>
      </c>
      <c r="CV5" s="5">
        <v>-6.0587944319075937E-2</v>
      </c>
      <c r="CW5" s="5">
        <v>0.2108770628752098</v>
      </c>
      <c r="CX5" s="5">
        <v>0.25016150139728283</v>
      </c>
      <c r="CY5" s="5">
        <v>-0.52413353929587791</v>
      </c>
      <c r="CZ5" s="5">
        <v>0.8216183061041753</v>
      </c>
      <c r="DA5" s="5">
        <v>-0.17652298417539669</v>
      </c>
      <c r="DB5" s="5">
        <v>0.13115957739194459</v>
      </c>
      <c r="DC5" s="5">
        <v>0.1757366545058428</v>
      </c>
      <c r="DD5" s="5">
        <v>-0.42083892435479142</v>
      </c>
      <c r="DE5" s="5">
        <v>-0.2279724207651195</v>
      </c>
      <c r="DF5" s="5">
        <v>-0.33715973842927388</v>
      </c>
      <c r="DG5" s="5">
        <v>-0.44400370439279008</v>
      </c>
      <c r="DH5" s="5">
        <v>-4.293279443633978E-2</v>
      </c>
      <c r="DI5" s="5">
        <v>0.30896916307249689</v>
      </c>
      <c r="DJ5" s="5">
        <v>-0.28669247758290828</v>
      </c>
      <c r="DK5" s="5">
        <v>0.84621248517861269</v>
      </c>
      <c r="DL5" s="5">
        <v>-0.16924034367306559</v>
      </c>
      <c r="DM5" s="5">
        <v>-0.43945016692248923</v>
      </c>
      <c r="DN5" s="5">
        <v>0.74751336560070059</v>
      </c>
      <c r="DO5" s="5">
        <v>-0.39996426308914668</v>
      </c>
      <c r="DP5" s="5">
        <v>-4.4863264481034962E-2</v>
      </c>
      <c r="DQ5" s="5">
        <v>-0.58863430244229409</v>
      </c>
      <c r="DR5" s="5">
        <v>-6.5627469319089037E-3</v>
      </c>
      <c r="DS5" s="5">
        <v>-0.19878519438361211</v>
      </c>
      <c r="DT5" s="5">
        <v>0.4132117833889476</v>
      </c>
      <c r="DU5" s="5">
        <v>-0.17065403209770361</v>
      </c>
      <c r="DV5" s="5">
        <v>0.68828031734213269</v>
      </c>
      <c r="DW5" s="5">
        <v>4.0806005098273937E-2</v>
      </c>
      <c r="DX5" s="5">
        <v>-0.1999347157162332</v>
      </c>
      <c r="DY5" s="5">
        <v>0.56631420698904078</v>
      </c>
      <c r="DZ5" s="5">
        <v>0.47362880432099852</v>
      </c>
      <c r="EA5" s="5">
        <v>9.5444977871898054E-2</v>
      </c>
      <c r="EB5" s="5">
        <v>-1.076360940060376</v>
      </c>
      <c r="EC5" s="5">
        <v>-0.13610628648279391</v>
      </c>
      <c r="ED5" s="5">
        <v>-0.27349656344743889</v>
      </c>
      <c r="EE5" s="5">
        <v>0.60134859370029736</v>
      </c>
      <c r="EF5" s="5">
        <v>6.7468790588863341E-3</v>
      </c>
    </row>
    <row r="6" spans="1:136">
      <c r="A6" s="29" t="s">
        <v>139</v>
      </c>
      <c r="B6" s="30"/>
      <c r="C6" s="5">
        <f t="array" ref="C6">MATCH(MAX(ABS(C3:C5)),ABS(C3:C5),0)</f>
        <v>3</v>
      </c>
      <c r="D6" s="5">
        <f t="array" ref="D6">MATCH(MAX(ABS(D3:D5)),ABS(D3:D5),0)</f>
        <v>2</v>
      </c>
      <c r="E6" s="5">
        <f t="array" ref="E6">MATCH(MAX(ABS(E3:E5)),ABS(E3:E5),0)</f>
        <v>3</v>
      </c>
      <c r="F6" s="5">
        <f t="array" ref="F6">MATCH(MAX(ABS(F3:F5)),ABS(F3:F5),0)</f>
        <v>3</v>
      </c>
      <c r="G6" s="5">
        <f t="array" ref="G6">MATCH(MAX(ABS(G3:G5)),ABS(G3:G5),0)</f>
        <v>3</v>
      </c>
      <c r="H6" s="5">
        <f t="array" ref="H6">MATCH(MAX(ABS(H3:H5)),ABS(H3:H5),0)</f>
        <v>3</v>
      </c>
      <c r="I6" s="5">
        <f t="array" ref="I6">MATCH(MAX(ABS(I3:I5)),ABS(I3:I5),0)</f>
        <v>1</v>
      </c>
      <c r="J6" s="5">
        <f t="array" ref="J6">MATCH(MAX(ABS(J3:J5)),ABS(J3:J5),0)</f>
        <v>1</v>
      </c>
      <c r="K6" s="5">
        <f t="array" ref="K6">MATCH(MAX(ABS(K3:K5)),ABS(K3:K5),0)</f>
        <v>3</v>
      </c>
      <c r="L6" s="5">
        <f t="array" ref="L6">MATCH(MAX(ABS(L3:L5)),ABS(L3:L5),0)</f>
        <v>3</v>
      </c>
      <c r="M6" s="5">
        <f t="array" ref="M6">MATCH(MAX(ABS(M3:M5)),ABS(M3:M5),0)</f>
        <v>3</v>
      </c>
      <c r="N6" s="5">
        <f t="array" ref="N6">MATCH(MAX(ABS(N3:N5)),ABS(N3:N5),0)</f>
        <v>3</v>
      </c>
      <c r="O6" s="5">
        <f t="array" ref="O6">MATCH(MAX(ABS(O3:O5)),ABS(O3:O5),0)</f>
        <v>1</v>
      </c>
      <c r="P6" s="5">
        <f t="array" ref="P6">MATCH(MAX(ABS(P3:P5)),ABS(P3:P5),0)</f>
        <v>3</v>
      </c>
      <c r="Q6" s="5">
        <f t="array" ref="Q6">MATCH(MAX(ABS(Q3:Q5)),ABS(Q3:Q5),0)</f>
        <v>1</v>
      </c>
      <c r="R6" s="5">
        <f t="array" ref="R6">MATCH(MAX(ABS(R3:R5)),ABS(R3:R5),0)</f>
        <v>1</v>
      </c>
      <c r="S6" s="5">
        <f t="array" ref="S6">MATCH(MAX(ABS(S3:S5)),ABS(S3:S5),0)</f>
        <v>3</v>
      </c>
      <c r="T6" s="5">
        <f t="array" ref="T6">MATCH(MAX(ABS(T3:T5)),ABS(T3:T5),0)</f>
        <v>1</v>
      </c>
      <c r="U6" s="5">
        <f t="array" ref="U6">MATCH(MAX(ABS(U3:U5)),ABS(U3:U5),0)</f>
        <v>1</v>
      </c>
      <c r="V6" s="5">
        <f t="array" ref="V6">MATCH(MAX(ABS(V3:V5)),ABS(V3:V5),0)</f>
        <v>3</v>
      </c>
      <c r="W6" s="5">
        <f t="array" ref="W6">MATCH(MAX(ABS(W3:W5)),ABS(W3:W5),0)</f>
        <v>3</v>
      </c>
      <c r="X6" s="5">
        <f t="array" ref="X6">MATCH(MAX(ABS(X3:X5)),ABS(X3:X5),0)</f>
        <v>2</v>
      </c>
      <c r="Y6" s="5">
        <f t="array" ref="Y6">MATCH(MAX(ABS(Y3:Y5)),ABS(Y3:Y5),0)</f>
        <v>3</v>
      </c>
      <c r="Z6" s="5">
        <f t="array" ref="Z6">MATCH(MAX(ABS(Z3:Z5)),ABS(Z3:Z5),0)</f>
        <v>1</v>
      </c>
      <c r="AA6" s="5">
        <f t="array" ref="AA6">MATCH(MAX(ABS(AA3:AA5)),ABS(AA3:AA5),0)</f>
        <v>1</v>
      </c>
      <c r="AB6" s="5">
        <f t="array" ref="AB6">MATCH(MAX(ABS(AB3:AB5)),ABS(AB3:AB5),0)</f>
        <v>1</v>
      </c>
      <c r="AC6" s="5">
        <f t="array" ref="AC6">MATCH(MAX(ABS(AC3:AC5)),ABS(AC3:AC5),0)</f>
        <v>3</v>
      </c>
      <c r="AD6" s="5">
        <f t="array" ref="AD6">MATCH(MAX(ABS(AD3:AD5)),ABS(AD3:AD5),0)</f>
        <v>3</v>
      </c>
      <c r="AE6" s="5">
        <f t="array" ref="AE6">MATCH(MAX(ABS(AE3:AE5)),ABS(AE3:AE5),0)</f>
        <v>3</v>
      </c>
      <c r="AF6" s="5">
        <f t="array" ref="AF6">MATCH(MAX(ABS(AF3:AF5)),ABS(AF3:AF5),0)</f>
        <v>3</v>
      </c>
      <c r="AG6" s="5">
        <f t="array" ref="AG6">MATCH(MAX(ABS(AG3:AG5)),ABS(AG3:AG5),0)</f>
        <v>3</v>
      </c>
      <c r="AH6" s="5">
        <f t="array" ref="AH6">MATCH(MAX(ABS(AH3:AH5)),ABS(AH3:AH5),0)</f>
        <v>3</v>
      </c>
      <c r="AI6" s="5">
        <f t="array" ref="AI6">MATCH(MAX(ABS(AI3:AI5)),ABS(AI3:AI5),0)</f>
        <v>3</v>
      </c>
      <c r="AJ6" s="5">
        <f t="array" ref="AJ6">MATCH(MAX(ABS(AJ3:AJ5)),ABS(AJ3:AJ5),0)</f>
        <v>3</v>
      </c>
      <c r="AK6" s="5">
        <f t="array" ref="AK6">MATCH(MAX(ABS(AK3:AK5)),ABS(AK3:AK5),0)</f>
        <v>3</v>
      </c>
      <c r="AL6" s="5">
        <f t="array" ref="AL6">MATCH(MAX(ABS(AL3:AL5)),ABS(AL3:AL5),0)</f>
        <v>1</v>
      </c>
      <c r="AM6" s="5">
        <f t="array" ref="AM6">MATCH(MAX(ABS(AM3:AM5)),ABS(AM3:AM5),0)</f>
        <v>1</v>
      </c>
      <c r="AN6" s="5">
        <f t="array" ref="AN6">MATCH(MAX(ABS(AN3:AN5)),ABS(AN3:AN5),0)</f>
        <v>1</v>
      </c>
      <c r="AO6" s="5">
        <f t="array" ref="AO6">MATCH(MAX(ABS(AO3:AO5)),ABS(AO3:AO5),0)</f>
        <v>3</v>
      </c>
      <c r="AP6" s="5">
        <f t="array" ref="AP6">MATCH(MAX(ABS(AP3:AP5)),ABS(AP3:AP5),0)</f>
        <v>2</v>
      </c>
      <c r="AQ6" s="5">
        <f t="array" ref="AQ6">MATCH(MAX(ABS(AQ3:AQ5)),ABS(AQ3:AQ5),0)</f>
        <v>1</v>
      </c>
      <c r="AR6" s="5">
        <f t="array" ref="AR6">MATCH(MAX(ABS(AR3:AR5)),ABS(AR3:AR5),0)</f>
        <v>2</v>
      </c>
      <c r="AS6" s="5">
        <f t="array" ref="AS6">MATCH(MAX(ABS(AS3:AS5)),ABS(AS3:AS5),0)</f>
        <v>1</v>
      </c>
      <c r="AT6" s="5">
        <f t="array" ref="AT6">MATCH(MAX(ABS(AT3:AT5)),ABS(AT3:AT5),0)</f>
        <v>3</v>
      </c>
      <c r="AU6" s="5">
        <f t="array" ref="AU6">MATCH(MAX(ABS(AU3:AU5)),ABS(AU3:AU5),0)</f>
        <v>3</v>
      </c>
      <c r="AV6" s="5">
        <f t="array" ref="AV6">MATCH(MAX(ABS(AV3:AV5)),ABS(AV3:AV5),0)</f>
        <v>2</v>
      </c>
      <c r="AW6" s="5">
        <f t="array" ref="AW6">MATCH(MAX(ABS(AW3:AW5)),ABS(AW3:AW5),0)</f>
        <v>1</v>
      </c>
      <c r="AX6" s="5">
        <f t="array" ref="AX6">MATCH(MAX(ABS(AX3:AX5)),ABS(AX3:AX5),0)</f>
        <v>3</v>
      </c>
      <c r="AY6" s="5">
        <f t="array" ref="AY6">MATCH(MAX(ABS(AY3:AY5)),ABS(AY3:AY5),0)</f>
        <v>3</v>
      </c>
      <c r="AZ6" s="5">
        <f t="array" ref="AZ6">MATCH(MAX(ABS(AZ3:AZ5)),ABS(AZ3:AZ5),0)</f>
        <v>3</v>
      </c>
      <c r="BA6" s="5">
        <f t="array" ref="BA6">MATCH(MAX(ABS(BA3:BA5)),ABS(BA3:BA5),0)</f>
        <v>1</v>
      </c>
      <c r="BB6" s="5">
        <f t="array" ref="BB6">MATCH(MAX(ABS(BB3:BB5)),ABS(BB3:BB5),0)</f>
        <v>2</v>
      </c>
      <c r="BC6" s="5">
        <f t="array" ref="BC6">MATCH(MAX(ABS(BC3:BC5)),ABS(BC3:BC5),0)</f>
        <v>1</v>
      </c>
      <c r="BD6" s="5">
        <f t="array" ref="BD6">MATCH(MAX(ABS(BD3:BD5)),ABS(BD3:BD5),0)</f>
        <v>1</v>
      </c>
      <c r="BE6" s="5">
        <f t="array" ref="BE6">MATCH(MAX(ABS(BE3:BE5)),ABS(BE3:BE5),0)</f>
        <v>1</v>
      </c>
      <c r="BF6" s="5">
        <f t="array" ref="BF6">MATCH(MAX(ABS(BF3:BF5)),ABS(BF3:BF5),0)</f>
        <v>3</v>
      </c>
      <c r="BG6" s="5">
        <f t="array" ref="BG6">MATCH(MAX(ABS(BG3:BG5)),ABS(BG3:BG5),0)</f>
        <v>1</v>
      </c>
      <c r="BH6" s="5">
        <f t="array" ref="BH6">MATCH(MAX(ABS(BH3:BH5)),ABS(BH3:BH5),0)</f>
        <v>1</v>
      </c>
      <c r="BI6" s="5">
        <f t="array" ref="BI6">MATCH(MAX(ABS(BI3:BI5)),ABS(BI3:BI5),0)</f>
        <v>3</v>
      </c>
      <c r="BJ6" s="5">
        <f t="array" ref="BJ6">MATCH(MAX(ABS(BJ3:BJ5)),ABS(BJ3:BJ5),0)</f>
        <v>3</v>
      </c>
      <c r="BK6" s="5">
        <f t="array" ref="BK6">MATCH(MAX(ABS(BK3:BK5)),ABS(BK3:BK5),0)</f>
        <v>3</v>
      </c>
      <c r="BL6" s="5">
        <f t="array" ref="BL6">MATCH(MAX(ABS(BL3:BL5)),ABS(BL3:BL5),0)</f>
        <v>3</v>
      </c>
      <c r="BM6" s="5">
        <f t="array" ref="BM6">MATCH(MAX(ABS(BM3:BM5)),ABS(BM3:BM5),0)</f>
        <v>3</v>
      </c>
      <c r="BN6" s="5">
        <f t="array" ref="BN6">MATCH(MAX(ABS(BN3:BN5)),ABS(BN3:BN5),0)</f>
        <v>3</v>
      </c>
      <c r="BO6" s="5">
        <f t="array" ref="BO6">MATCH(MAX(ABS(BO3:BO5)),ABS(BO3:BO5),0)</f>
        <v>1</v>
      </c>
      <c r="BP6" s="5">
        <f t="array" ref="BP6">MATCH(MAX(ABS(BP3:BP5)),ABS(BP3:BP5),0)</f>
        <v>2</v>
      </c>
      <c r="BQ6" s="5">
        <f t="array" ref="BQ6">MATCH(MAX(ABS(BQ3:BQ5)),ABS(BQ3:BQ5),0)</f>
        <v>3</v>
      </c>
      <c r="BR6" s="5">
        <f t="array" ref="BR6">MATCH(MAX(ABS(BR3:BR5)),ABS(BR3:BR5),0)</f>
        <v>1</v>
      </c>
      <c r="BS6" s="5">
        <f t="array" ref="BS6">MATCH(MAX(ABS(BS3:BS5)),ABS(BS3:BS5),0)</f>
        <v>3</v>
      </c>
      <c r="BT6" s="5">
        <f t="array" ref="BT6">MATCH(MAX(ABS(BT3:BT5)),ABS(BT3:BT5),0)</f>
        <v>3</v>
      </c>
      <c r="BU6" s="5">
        <f t="array" ref="BU6">MATCH(MAX(ABS(BU3:BU5)),ABS(BU3:BU5),0)</f>
        <v>1</v>
      </c>
      <c r="BV6" s="5">
        <f t="array" ref="BV6">MATCH(MAX(ABS(BV3:BV5)),ABS(BV3:BV5),0)</f>
        <v>2</v>
      </c>
      <c r="BW6" s="5">
        <f t="array" ref="BW6">MATCH(MAX(ABS(BW3:BW5)),ABS(BW3:BW5),0)</f>
        <v>3</v>
      </c>
      <c r="BX6" s="5">
        <f t="array" ref="BX6">MATCH(MAX(ABS(BX3:BX5)),ABS(BX3:BX5),0)</f>
        <v>3</v>
      </c>
      <c r="BY6" s="5">
        <f t="array" ref="BY6">MATCH(MAX(ABS(BY3:BY5)),ABS(BY3:BY5),0)</f>
        <v>2</v>
      </c>
      <c r="BZ6" s="5">
        <f t="array" ref="BZ6">MATCH(MAX(ABS(BZ3:BZ5)),ABS(BZ3:BZ5),0)</f>
        <v>1</v>
      </c>
      <c r="CA6" s="5">
        <f t="array" ref="CA6">MATCH(MAX(ABS(CA3:CA5)),ABS(CA3:CA5),0)</f>
        <v>1</v>
      </c>
      <c r="CB6" s="5">
        <f t="array" ref="CB6">MATCH(MAX(ABS(CB3:CB5)),ABS(CB3:CB5),0)</f>
        <v>2</v>
      </c>
      <c r="CC6" s="5">
        <f t="array" ref="CC6">MATCH(MAX(ABS(CC3:CC5)),ABS(CC3:CC5),0)</f>
        <v>2</v>
      </c>
      <c r="CD6" s="5">
        <f t="array" ref="CD6">MATCH(MAX(ABS(CD3:CD5)),ABS(CD3:CD5),0)</f>
        <v>3</v>
      </c>
      <c r="CE6" s="5">
        <f t="array" ref="CE6">MATCH(MAX(ABS(CE3:CE5)),ABS(CE3:CE5),0)</f>
        <v>1</v>
      </c>
      <c r="CF6" s="5">
        <f t="array" ref="CF6">MATCH(MAX(ABS(CF3:CF5)),ABS(CF3:CF5),0)</f>
        <v>3</v>
      </c>
      <c r="CG6" s="5">
        <f t="array" ref="CG6">MATCH(MAX(ABS(CG3:CG5)),ABS(CG3:CG5),0)</f>
        <v>3</v>
      </c>
      <c r="CH6" s="5">
        <f t="array" ref="CH6">MATCH(MAX(ABS(CH3:CH5)),ABS(CH3:CH5),0)</f>
        <v>3</v>
      </c>
      <c r="CI6" s="5">
        <f t="array" ref="CI6">MATCH(MAX(ABS(CI3:CI5)),ABS(CI3:CI5),0)</f>
        <v>3</v>
      </c>
      <c r="CJ6" s="5">
        <f t="array" ref="CJ6">MATCH(MAX(ABS(CJ3:CJ5)),ABS(CJ3:CJ5),0)</f>
        <v>1</v>
      </c>
      <c r="CK6" s="5">
        <f t="array" ref="CK6">MATCH(MAX(ABS(CK3:CK5)),ABS(CK3:CK5),0)</f>
        <v>3</v>
      </c>
      <c r="CL6" s="5">
        <f t="array" ref="CL6">MATCH(MAX(ABS(CL3:CL5)),ABS(CL3:CL5),0)</f>
        <v>3</v>
      </c>
      <c r="CM6" s="5">
        <f t="array" ref="CM6">MATCH(MAX(ABS(CM3:CM5)),ABS(CM3:CM5),0)</f>
        <v>1</v>
      </c>
      <c r="CN6" s="5">
        <f t="array" ref="CN6">MATCH(MAX(ABS(CN3:CN5)),ABS(CN3:CN5),0)</f>
        <v>1</v>
      </c>
      <c r="CO6" s="5">
        <f t="array" ref="CO6">MATCH(MAX(ABS(CO3:CO5)),ABS(CO3:CO5),0)</f>
        <v>3</v>
      </c>
      <c r="CP6" s="5">
        <f t="array" ref="CP6">MATCH(MAX(ABS(CP3:CP5)),ABS(CP3:CP5),0)</f>
        <v>1</v>
      </c>
      <c r="CQ6" s="5">
        <f t="array" ref="CQ6">MATCH(MAX(ABS(CQ3:CQ5)),ABS(CQ3:CQ5),0)</f>
        <v>3</v>
      </c>
      <c r="CR6" s="5">
        <f t="array" ref="CR6">MATCH(MAX(ABS(CR3:CR5)),ABS(CR3:CR5),0)</f>
        <v>3</v>
      </c>
      <c r="CS6" s="5">
        <f t="array" ref="CS6">MATCH(MAX(ABS(CS3:CS5)),ABS(CS3:CS5),0)</f>
        <v>2</v>
      </c>
      <c r="CT6" s="5">
        <f t="array" ref="CT6">MATCH(MAX(ABS(CT3:CT5)),ABS(CT3:CT5),0)</f>
        <v>3</v>
      </c>
      <c r="CU6" s="5">
        <f t="array" ref="CU6">MATCH(MAX(ABS(CU3:CU5)),ABS(CU3:CU5),0)</f>
        <v>3</v>
      </c>
      <c r="CV6" s="5">
        <f t="array" ref="CV6">MATCH(MAX(ABS(CV3:CV5)),ABS(CV3:CV5),0)</f>
        <v>2</v>
      </c>
      <c r="CW6" s="5">
        <f t="array" ref="CW6">MATCH(MAX(ABS(CW3:CW5)),ABS(CW3:CW5),0)</f>
        <v>3</v>
      </c>
      <c r="CX6" s="5">
        <f t="array" ref="CX6">MATCH(MAX(ABS(CX3:CX5)),ABS(CX3:CX5),0)</f>
        <v>3</v>
      </c>
      <c r="CY6" s="5">
        <f t="array" ref="CY6">MATCH(MAX(ABS(CY3:CY5)),ABS(CY3:CY5),0)</f>
        <v>3</v>
      </c>
      <c r="CZ6" s="5">
        <f t="array" ref="CZ6">MATCH(MAX(ABS(CZ3:CZ5)),ABS(CZ3:CZ5),0)</f>
        <v>3</v>
      </c>
      <c r="DA6" s="5">
        <f t="array" ref="DA6">MATCH(MAX(ABS(DA3:DA5)),ABS(DA3:DA5),0)</f>
        <v>1</v>
      </c>
      <c r="DB6" s="5">
        <f t="array" ref="DB6">MATCH(MAX(ABS(DB3:DB5)),ABS(DB3:DB5),0)</f>
        <v>1</v>
      </c>
      <c r="DC6" s="5">
        <f t="array" ref="DC6">MATCH(MAX(ABS(DC3:DC5)),ABS(DC3:DC5),0)</f>
        <v>1</v>
      </c>
      <c r="DD6" s="5">
        <f t="array" ref="DD6">MATCH(MAX(ABS(DD3:DD5)),ABS(DD3:DD5),0)</f>
        <v>3</v>
      </c>
      <c r="DE6" s="5">
        <f t="array" ref="DE6">MATCH(MAX(ABS(DE3:DE5)),ABS(DE3:DE5),0)</f>
        <v>3</v>
      </c>
      <c r="DF6" s="5">
        <f t="array" ref="DF6">MATCH(MAX(ABS(DF3:DF5)),ABS(DF3:DF5),0)</f>
        <v>3</v>
      </c>
      <c r="DG6" s="5">
        <f t="array" ref="DG6">MATCH(MAX(ABS(DG3:DG5)),ABS(DG3:DG5),0)</f>
        <v>3</v>
      </c>
      <c r="DH6" s="5">
        <f t="array" ref="DH6">MATCH(MAX(ABS(DH3:DH5)),ABS(DH3:DH5),0)</f>
        <v>2</v>
      </c>
      <c r="DI6" s="5">
        <f t="array" ref="DI6">MATCH(MAX(ABS(DI3:DI5)),ABS(DI3:DI5),0)</f>
        <v>3</v>
      </c>
      <c r="DJ6" s="5">
        <f t="array" ref="DJ6">MATCH(MAX(ABS(DJ3:DJ5)),ABS(DJ3:DJ5),0)</f>
        <v>3</v>
      </c>
      <c r="DK6" s="5">
        <f t="array" ref="DK6">MATCH(MAX(ABS(DK3:DK5)),ABS(DK3:DK5),0)</f>
        <v>3</v>
      </c>
      <c r="DL6" s="5">
        <f t="array" ref="DL6">MATCH(MAX(ABS(DL3:DL5)),ABS(DL3:DL5),0)</f>
        <v>3</v>
      </c>
      <c r="DM6" s="5">
        <f t="array" ref="DM6">MATCH(MAX(ABS(DM3:DM5)),ABS(DM3:DM5),0)</f>
        <v>3</v>
      </c>
      <c r="DN6" s="5">
        <f t="array" ref="DN6">MATCH(MAX(ABS(DN3:DN5)),ABS(DN3:DN5),0)</f>
        <v>3</v>
      </c>
      <c r="DO6" s="5">
        <f t="array" ref="DO6">MATCH(MAX(ABS(DO3:DO5)),ABS(DO3:DO5),0)</f>
        <v>3</v>
      </c>
      <c r="DP6" s="5">
        <f t="array" ref="DP6">MATCH(MAX(ABS(DP3:DP5)),ABS(DP3:DP5),0)</f>
        <v>1</v>
      </c>
      <c r="DQ6" s="5">
        <f t="array" ref="DQ6">MATCH(MAX(ABS(DQ3:DQ5)),ABS(DQ3:DQ5),0)</f>
        <v>3</v>
      </c>
      <c r="DR6" s="5">
        <f t="array" ref="DR6">MATCH(MAX(ABS(DR3:DR5)),ABS(DR3:DR5),0)</f>
        <v>2</v>
      </c>
      <c r="DS6" s="5">
        <f t="array" ref="DS6">MATCH(MAX(ABS(DS3:DS5)),ABS(DS3:DS5),0)</f>
        <v>3</v>
      </c>
      <c r="DT6" s="5">
        <f t="array" ref="DT6">MATCH(MAX(ABS(DT3:DT5)),ABS(DT3:DT5),0)</f>
        <v>3</v>
      </c>
      <c r="DU6" s="5">
        <f t="array" ref="DU6">MATCH(MAX(ABS(DU3:DU5)),ABS(DU3:DU5),0)</f>
        <v>3</v>
      </c>
      <c r="DV6" s="5">
        <f t="array" ref="DV6">MATCH(MAX(ABS(DV3:DV5)),ABS(DV3:DV5),0)</f>
        <v>3</v>
      </c>
      <c r="DW6" s="5">
        <f t="array" ref="DW6">MATCH(MAX(ABS(DW3:DW5)),ABS(DW3:DW5),0)</f>
        <v>1</v>
      </c>
      <c r="DX6" s="5">
        <f t="array" ref="DX6">MATCH(MAX(ABS(DX3:DX5)),ABS(DX3:DX5),0)</f>
        <v>3</v>
      </c>
      <c r="DY6" s="5">
        <f t="array" ref="DY6">MATCH(MAX(ABS(DY3:DY5)),ABS(DY3:DY5),0)</f>
        <v>3</v>
      </c>
      <c r="DZ6" s="5">
        <f t="array" ref="DZ6">MATCH(MAX(ABS(DZ3:DZ5)),ABS(DZ3:DZ5),0)</f>
        <v>3</v>
      </c>
      <c r="EA6" s="5">
        <f t="array" ref="EA6">MATCH(MAX(ABS(EA3:EA5)),ABS(EA3:EA5),0)</f>
        <v>2</v>
      </c>
      <c r="EB6" s="5">
        <f t="array" ref="EB6">MATCH(MAX(ABS(EB3:EB5)),ABS(EB3:EB5),0)</f>
        <v>3</v>
      </c>
      <c r="EC6" s="5">
        <f t="array" ref="EC6">MATCH(MAX(ABS(EC3:EC5)),ABS(EC3:EC5),0)</f>
        <v>3</v>
      </c>
      <c r="ED6" s="5">
        <f t="array" ref="ED6">MATCH(MAX(ABS(ED3:ED5)),ABS(ED3:ED5),0)</f>
        <v>3</v>
      </c>
      <c r="EE6" s="5">
        <f t="array" ref="EE6">MATCH(MAX(ABS(EE3:EE5)),ABS(EE3:EE5),0)</f>
        <v>3</v>
      </c>
      <c r="EF6" s="5">
        <f t="array" ref="EF6">MATCH(MAX(ABS(EF3:EF5)),ABS(EF3:EF5),0)</f>
        <v>2</v>
      </c>
    </row>
    <row r="7" spans="1:136">
      <c r="C7" s="5" t="str">
        <f t="shared" ref="C7:AH7" si="0">IF(C6=1,"bm",IF(C6=2,"size",IF(C6=3,"mom")))</f>
        <v>mom</v>
      </c>
      <c r="D7" s="5" t="str">
        <f t="shared" si="0"/>
        <v>size</v>
      </c>
      <c r="E7" s="5" t="str">
        <f t="shared" si="0"/>
        <v>mom</v>
      </c>
      <c r="F7" s="5" t="str">
        <f t="shared" si="0"/>
        <v>mom</v>
      </c>
      <c r="G7" s="5" t="str">
        <f t="shared" si="0"/>
        <v>mom</v>
      </c>
      <c r="H7" s="5" t="str">
        <f t="shared" si="0"/>
        <v>mom</v>
      </c>
      <c r="I7" s="5" t="str">
        <f t="shared" si="0"/>
        <v>bm</v>
      </c>
      <c r="J7" s="5" t="str">
        <f t="shared" si="0"/>
        <v>bm</v>
      </c>
      <c r="K7" s="5" t="str">
        <f t="shared" si="0"/>
        <v>mom</v>
      </c>
      <c r="L7" s="5" t="str">
        <f t="shared" si="0"/>
        <v>mom</v>
      </c>
      <c r="M7" s="5" t="str">
        <f t="shared" si="0"/>
        <v>mom</v>
      </c>
      <c r="N7" s="5" t="str">
        <f t="shared" si="0"/>
        <v>mom</v>
      </c>
      <c r="O7" s="5" t="str">
        <f t="shared" si="0"/>
        <v>bm</v>
      </c>
      <c r="P7" s="5" t="str">
        <f t="shared" si="0"/>
        <v>mom</v>
      </c>
      <c r="Q7" s="5" t="str">
        <f t="shared" si="0"/>
        <v>bm</v>
      </c>
      <c r="R7" s="5" t="str">
        <f t="shared" si="0"/>
        <v>bm</v>
      </c>
      <c r="S7" s="5" t="str">
        <f t="shared" si="0"/>
        <v>mom</v>
      </c>
      <c r="T7" s="5" t="str">
        <f t="shared" si="0"/>
        <v>bm</v>
      </c>
      <c r="U7" s="5" t="str">
        <f t="shared" si="0"/>
        <v>bm</v>
      </c>
      <c r="V7" s="5" t="str">
        <f t="shared" si="0"/>
        <v>mom</v>
      </c>
      <c r="W7" s="5" t="str">
        <f t="shared" si="0"/>
        <v>mom</v>
      </c>
      <c r="X7" s="5" t="str">
        <f t="shared" si="0"/>
        <v>size</v>
      </c>
      <c r="Y7" s="5" t="str">
        <f t="shared" si="0"/>
        <v>mom</v>
      </c>
      <c r="Z7" s="5" t="str">
        <f t="shared" si="0"/>
        <v>bm</v>
      </c>
      <c r="AA7" s="5" t="str">
        <f t="shared" si="0"/>
        <v>bm</v>
      </c>
      <c r="AB7" s="5" t="str">
        <f t="shared" si="0"/>
        <v>bm</v>
      </c>
      <c r="AC7" s="5" t="str">
        <f t="shared" si="0"/>
        <v>mom</v>
      </c>
      <c r="AD7" s="5" t="str">
        <f t="shared" si="0"/>
        <v>mom</v>
      </c>
      <c r="AE7" s="5" t="str">
        <f t="shared" si="0"/>
        <v>mom</v>
      </c>
      <c r="AF7" s="5" t="str">
        <f t="shared" si="0"/>
        <v>mom</v>
      </c>
      <c r="AG7" s="5" t="str">
        <f t="shared" si="0"/>
        <v>mom</v>
      </c>
      <c r="AH7" s="5" t="str">
        <f t="shared" si="0"/>
        <v>mom</v>
      </c>
      <c r="AI7" s="5" t="str">
        <f t="shared" ref="AI7:BN7" si="1">IF(AI6=1,"bm",IF(AI6=2,"size",IF(AI6=3,"mom")))</f>
        <v>mom</v>
      </c>
      <c r="AJ7" s="5" t="str">
        <f t="shared" si="1"/>
        <v>mom</v>
      </c>
      <c r="AK7" s="5" t="str">
        <f t="shared" si="1"/>
        <v>mom</v>
      </c>
      <c r="AL7" s="5" t="str">
        <f t="shared" si="1"/>
        <v>bm</v>
      </c>
      <c r="AM7" s="5" t="str">
        <f t="shared" si="1"/>
        <v>bm</v>
      </c>
      <c r="AN7" s="5" t="str">
        <f t="shared" si="1"/>
        <v>bm</v>
      </c>
      <c r="AO7" s="5" t="str">
        <f t="shared" si="1"/>
        <v>mom</v>
      </c>
      <c r="AP7" s="5" t="str">
        <f t="shared" si="1"/>
        <v>size</v>
      </c>
      <c r="AQ7" s="5" t="str">
        <f t="shared" si="1"/>
        <v>bm</v>
      </c>
      <c r="AR7" s="5" t="str">
        <f t="shared" si="1"/>
        <v>size</v>
      </c>
      <c r="AS7" s="5" t="str">
        <f t="shared" si="1"/>
        <v>bm</v>
      </c>
      <c r="AT7" s="5" t="str">
        <f t="shared" si="1"/>
        <v>mom</v>
      </c>
      <c r="AU7" s="5" t="str">
        <f t="shared" si="1"/>
        <v>mom</v>
      </c>
      <c r="AV7" s="5" t="str">
        <f t="shared" si="1"/>
        <v>size</v>
      </c>
      <c r="AW7" s="5" t="str">
        <f t="shared" si="1"/>
        <v>bm</v>
      </c>
      <c r="AX7" s="5" t="str">
        <f t="shared" si="1"/>
        <v>mom</v>
      </c>
      <c r="AY7" s="5" t="str">
        <f t="shared" si="1"/>
        <v>mom</v>
      </c>
      <c r="AZ7" s="5" t="str">
        <f t="shared" si="1"/>
        <v>mom</v>
      </c>
      <c r="BA7" s="5" t="str">
        <f t="shared" si="1"/>
        <v>bm</v>
      </c>
      <c r="BB7" s="5" t="str">
        <f t="shared" si="1"/>
        <v>size</v>
      </c>
      <c r="BC7" s="5" t="str">
        <f t="shared" si="1"/>
        <v>bm</v>
      </c>
      <c r="BD7" s="5" t="str">
        <f t="shared" si="1"/>
        <v>bm</v>
      </c>
      <c r="BE7" s="5" t="str">
        <f t="shared" si="1"/>
        <v>bm</v>
      </c>
      <c r="BF7" s="5" t="str">
        <f t="shared" si="1"/>
        <v>mom</v>
      </c>
      <c r="BG7" s="5" t="str">
        <f t="shared" si="1"/>
        <v>bm</v>
      </c>
      <c r="BH7" s="5" t="str">
        <f t="shared" si="1"/>
        <v>bm</v>
      </c>
      <c r="BI7" s="5" t="str">
        <f t="shared" si="1"/>
        <v>mom</v>
      </c>
      <c r="BJ7" s="5" t="str">
        <f t="shared" si="1"/>
        <v>mom</v>
      </c>
      <c r="BK7" s="5" t="str">
        <f t="shared" si="1"/>
        <v>mom</v>
      </c>
      <c r="BL7" s="5" t="str">
        <f t="shared" si="1"/>
        <v>mom</v>
      </c>
      <c r="BM7" s="5" t="str">
        <f t="shared" si="1"/>
        <v>mom</v>
      </c>
      <c r="BN7" s="5" t="str">
        <f t="shared" si="1"/>
        <v>mom</v>
      </c>
      <c r="BO7" s="5" t="str">
        <f t="shared" ref="BO7:CT7" si="2">IF(BO6=1,"bm",IF(BO6=2,"size",IF(BO6=3,"mom")))</f>
        <v>bm</v>
      </c>
      <c r="BP7" s="5" t="str">
        <f t="shared" si="2"/>
        <v>size</v>
      </c>
      <c r="BQ7" s="5" t="str">
        <f t="shared" si="2"/>
        <v>mom</v>
      </c>
      <c r="BR7" s="5" t="str">
        <f t="shared" si="2"/>
        <v>bm</v>
      </c>
      <c r="BS7" s="5" t="str">
        <f t="shared" si="2"/>
        <v>mom</v>
      </c>
      <c r="BT7" s="5" t="str">
        <f t="shared" si="2"/>
        <v>mom</v>
      </c>
      <c r="BU7" s="5" t="str">
        <f t="shared" si="2"/>
        <v>bm</v>
      </c>
      <c r="BV7" s="5" t="str">
        <f t="shared" si="2"/>
        <v>size</v>
      </c>
      <c r="BW7" s="5" t="str">
        <f t="shared" si="2"/>
        <v>mom</v>
      </c>
      <c r="BX7" s="5" t="str">
        <f t="shared" si="2"/>
        <v>mom</v>
      </c>
      <c r="BY7" s="5" t="str">
        <f t="shared" si="2"/>
        <v>size</v>
      </c>
      <c r="BZ7" s="5" t="str">
        <f t="shared" si="2"/>
        <v>bm</v>
      </c>
      <c r="CA7" s="5" t="str">
        <f t="shared" si="2"/>
        <v>bm</v>
      </c>
      <c r="CB7" s="5" t="str">
        <f t="shared" si="2"/>
        <v>size</v>
      </c>
      <c r="CC7" s="5" t="str">
        <f t="shared" si="2"/>
        <v>size</v>
      </c>
      <c r="CD7" s="5" t="str">
        <f t="shared" si="2"/>
        <v>mom</v>
      </c>
      <c r="CE7" s="5" t="str">
        <f t="shared" si="2"/>
        <v>bm</v>
      </c>
      <c r="CF7" s="5" t="str">
        <f t="shared" si="2"/>
        <v>mom</v>
      </c>
      <c r="CG7" s="5" t="str">
        <f t="shared" si="2"/>
        <v>mom</v>
      </c>
      <c r="CH7" s="5" t="str">
        <f t="shared" si="2"/>
        <v>mom</v>
      </c>
      <c r="CI7" s="5" t="str">
        <f t="shared" si="2"/>
        <v>mom</v>
      </c>
      <c r="CJ7" s="5" t="str">
        <f t="shared" si="2"/>
        <v>bm</v>
      </c>
      <c r="CK7" s="5" t="str">
        <f t="shared" si="2"/>
        <v>mom</v>
      </c>
      <c r="CL7" s="5" t="str">
        <f t="shared" si="2"/>
        <v>mom</v>
      </c>
      <c r="CM7" s="5" t="str">
        <f t="shared" si="2"/>
        <v>bm</v>
      </c>
      <c r="CN7" s="5" t="str">
        <f t="shared" si="2"/>
        <v>bm</v>
      </c>
      <c r="CO7" s="5" t="str">
        <f t="shared" si="2"/>
        <v>mom</v>
      </c>
      <c r="CP7" s="5" t="str">
        <f t="shared" si="2"/>
        <v>bm</v>
      </c>
      <c r="CQ7" s="5" t="str">
        <f t="shared" si="2"/>
        <v>mom</v>
      </c>
      <c r="CR7" s="5" t="str">
        <f t="shared" si="2"/>
        <v>mom</v>
      </c>
      <c r="CS7" s="5" t="str">
        <f t="shared" si="2"/>
        <v>size</v>
      </c>
      <c r="CT7" s="5" t="str">
        <f t="shared" si="2"/>
        <v>mom</v>
      </c>
      <c r="CU7" s="5" t="str">
        <f t="shared" ref="CU7:DZ7" si="3">IF(CU6=1,"bm",IF(CU6=2,"size",IF(CU6=3,"mom")))</f>
        <v>mom</v>
      </c>
      <c r="CV7" s="5" t="str">
        <f t="shared" si="3"/>
        <v>size</v>
      </c>
      <c r="CW7" s="5" t="str">
        <f t="shared" si="3"/>
        <v>mom</v>
      </c>
      <c r="CX7" s="5" t="str">
        <f t="shared" si="3"/>
        <v>mom</v>
      </c>
      <c r="CY7" s="5" t="str">
        <f t="shared" si="3"/>
        <v>mom</v>
      </c>
      <c r="CZ7" s="5" t="str">
        <f t="shared" si="3"/>
        <v>mom</v>
      </c>
      <c r="DA7" s="5" t="str">
        <f t="shared" si="3"/>
        <v>bm</v>
      </c>
      <c r="DB7" s="5" t="str">
        <f t="shared" si="3"/>
        <v>bm</v>
      </c>
      <c r="DC7" s="5" t="str">
        <f t="shared" si="3"/>
        <v>bm</v>
      </c>
      <c r="DD7" s="5" t="str">
        <f t="shared" si="3"/>
        <v>mom</v>
      </c>
      <c r="DE7" s="5" t="str">
        <f t="shared" si="3"/>
        <v>mom</v>
      </c>
      <c r="DF7" s="5" t="str">
        <f t="shared" si="3"/>
        <v>mom</v>
      </c>
      <c r="DG7" s="5" t="str">
        <f t="shared" si="3"/>
        <v>mom</v>
      </c>
      <c r="DH7" s="5" t="str">
        <f t="shared" si="3"/>
        <v>size</v>
      </c>
      <c r="DI7" s="5" t="str">
        <f t="shared" si="3"/>
        <v>mom</v>
      </c>
      <c r="DJ7" s="5" t="str">
        <f t="shared" si="3"/>
        <v>mom</v>
      </c>
      <c r="DK7" s="5" t="str">
        <f t="shared" si="3"/>
        <v>mom</v>
      </c>
      <c r="DL7" s="5" t="str">
        <f t="shared" si="3"/>
        <v>mom</v>
      </c>
      <c r="DM7" s="5" t="str">
        <f t="shared" si="3"/>
        <v>mom</v>
      </c>
      <c r="DN7" s="5" t="str">
        <f t="shared" si="3"/>
        <v>mom</v>
      </c>
      <c r="DO7" s="5" t="str">
        <f t="shared" si="3"/>
        <v>mom</v>
      </c>
      <c r="DP7" s="5" t="str">
        <f t="shared" si="3"/>
        <v>bm</v>
      </c>
      <c r="DQ7" s="5" t="str">
        <f t="shared" si="3"/>
        <v>mom</v>
      </c>
      <c r="DR7" s="5" t="str">
        <f t="shared" si="3"/>
        <v>size</v>
      </c>
      <c r="DS7" s="5" t="str">
        <f t="shared" si="3"/>
        <v>mom</v>
      </c>
      <c r="DT7" s="5" t="str">
        <f t="shared" si="3"/>
        <v>mom</v>
      </c>
      <c r="DU7" s="5" t="str">
        <f t="shared" si="3"/>
        <v>mom</v>
      </c>
      <c r="DV7" s="5" t="str">
        <f t="shared" si="3"/>
        <v>mom</v>
      </c>
      <c r="DW7" s="5" t="str">
        <f t="shared" si="3"/>
        <v>bm</v>
      </c>
      <c r="DX7" s="5" t="str">
        <f t="shared" si="3"/>
        <v>mom</v>
      </c>
      <c r="DY7" s="5" t="str">
        <f t="shared" si="3"/>
        <v>mom</v>
      </c>
      <c r="DZ7" s="5" t="str">
        <f t="shared" si="3"/>
        <v>mom</v>
      </c>
      <c r="EA7" s="5" t="str">
        <f t="shared" ref="EA7:EF7" si="4">IF(EA6=1,"bm",IF(EA6=2,"size",IF(EA6=3,"mom")))</f>
        <v>size</v>
      </c>
      <c r="EB7" s="5" t="str">
        <f t="shared" si="4"/>
        <v>mom</v>
      </c>
      <c r="EC7" s="5" t="str">
        <f t="shared" si="4"/>
        <v>mom</v>
      </c>
      <c r="ED7" s="5" t="str">
        <f t="shared" si="4"/>
        <v>mom</v>
      </c>
      <c r="EE7" s="5" t="str">
        <f t="shared" si="4"/>
        <v>mom</v>
      </c>
      <c r="EF7" s="5" t="str">
        <f t="shared" si="4"/>
        <v>size</v>
      </c>
    </row>
    <row r="8" spans="1:136">
      <c r="C8" s="5">
        <f t="shared" ref="C8:AH8" si="5">IF(C6=1,C3,IF(C6=2,C4,IF(C6=3,C5)))</f>
        <v>-0.20935792122733929</v>
      </c>
      <c r="D8" s="5">
        <f t="shared" si="5"/>
        <v>-0.19670615347595799</v>
      </c>
      <c r="E8" s="5">
        <f t="shared" si="5"/>
        <v>0.52484760680152232</v>
      </c>
      <c r="F8" s="5">
        <f t="shared" si="5"/>
        <v>4.6837059958046809E-2</v>
      </c>
      <c r="G8" s="5">
        <f t="shared" si="5"/>
        <v>-0.2104714261735883</v>
      </c>
      <c r="H8" s="5">
        <f t="shared" si="5"/>
        <v>0.4744149628629204</v>
      </c>
      <c r="I8" s="5">
        <f t="shared" si="5"/>
        <v>-0.19676558635554181</v>
      </c>
      <c r="J8" s="5">
        <f t="shared" si="5"/>
        <v>0.27883034253820949</v>
      </c>
      <c r="K8" s="5">
        <f t="shared" si="5"/>
        <v>0.27552845629080469</v>
      </c>
      <c r="L8" s="5">
        <f t="shared" si="5"/>
        <v>-0.43004286310886081</v>
      </c>
      <c r="M8" s="5">
        <f t="shared" si="5"/>
        <v>0.32376774959305898</v>
      </c>
      <c r="N8" s="5">
        <f t="shared" si="5"/>
        <v>-0.34824165047033961</v>
      </c>
      <c r="O8" s="5">
        <f t="shared" si="5"/>
        <v>0.31084678168383029</v>
      </c>
      <c r="P8" s="5">
        <f t="shared" si="5"/>
        <v>0.39546612391174241</v>
      </c>
      <c r="Q8" s="5">
        <f t="shared" si="5"/>
        <v>-0.1230705033938234</v>
      </c>
      <c r="R8" s="5">
        <f t="shared" si="5"/>
        <v>-0.1125584938483804</v>
      </c>
      <c r="S8" s="5">
        <f t="shared" si="5"/>
        <v>0.3057921371194337</v>
      </c>
      <c r="T8" s="5">
        <f t="shared" si="5"/>
        <v>-0.14458476697667069</v>
      </c>
      <c r="U8" s="5">
        <f t="shared" si="5"/>
        <v>-0.26280780822848793</v>
      </c>
      <c r="V8" s="5">
        <f t="shared" si="5"/>
        <v>-0.13936695356286269</v>
      </c>
      <c r="W8" s="5">
        <f t="shared" si="5"/>
        <v>-0.39469012652483237</v>
      </c>
      <c r="X8" s="5">
        <f t="shared" si="5"/>
        <v>-0.1698621934781421</v>
      </c>
      <c r="Y8" s="5">
        <f t="shared" si="5"/>
        <v>-0.68127295831176804</v>
      </c>
      <c r="Z8" s="5">
        <f t="shared" si="5"/>
        <v>0.10308974194226191</v>
      </c>
      <c r="AA8" s="5">
        <f t="shared" si="5"/>
        <v>0.48637748963693189</v>
      </c>
      <c r="AB8" s="5">
        <f t="shared" si="5"/>
        <v>-0.2348198317515614</v>
      </c>
      <c r="AC8" s="5">
        <f t="shared" si="5"/>
        <v>-8.9163225286403025E-2</v>
      </c>
      <c r="AD8" s="5">
        <f t="shared" si="5"/>
        <v>0.14514145822358679</v>
      </c>
      <c r="AE8" s="5">
        <f t="shared" si="5"/>
        <v>7.4669147590605167E-2</v>
      </c>
      <c r="AF8" s="5">
        <f t="shared" si="5"/>
        <v>0.17577042279847119</v>
      </c>
      <c r="AG8" s="5">
        <f t="shared" si="5"/>
        <v>-0.30336041259100399</v>
      </c>
      <c r="AH8" s="5">
        <f t="shared" si="5"/>
        <v>-0.3482499081721625</v>
      </c>
      <c r="AI8" s="5">
        <f t="shared" ref="AI8:BN8" si="6">IF(AI6=1,AI3,IF(AI6=2,AI4,IF(AI6=3,AI5)))</f>
        <v>0.25872371710226461</v>
      </c>
      <c r="AJ8" s="5">
        <f t="shared" si="6"/>
        <v>-0.48889196953357</v>
      </c>
      <c r="AK8" s="5">
        <f t="shared" si="6"/>
        <v>0.13254842946584691</v>
      </c>
      <c r="AL8" s="5">
        <f t="shared" si="6"/>
        <v>0.18738072328871311</v>
      </c>
      <c r="AM8" s="5">
        <f t="shared" si="6"/>
        <v>9.6837349683267515E-2</v>
      </c>
      <c r="AN8" s="5">
        <f t="shared" si="6"/>
        <v>0.2075736584826241</v>
      </c>
      <c r="AO8" s="5">
        <f t="shared" si="6"/>
        <v>0.1844633194704077</v>
      </c>
      <c r="AP8" s="5">
        <f t="shared" si="6"/>
        <v>8.0316784439199651E-2</v>
      </c>
      <c r="AQ8" s="5">
        <f t="shared" si="6"/>
        <v>-0.2114396427417907</v>
      </c>
      <c r="AR8" s="5">
        <f t="shared" si="6"/>
        <v>0.11489008982476891</v>
      </c>
      <c r="AS8" s="5">
        <f t="shared" si="6"/>
        <v>0.14111009314114151</v>
      </c>
      <c r="AT8" s="5">
        <f t="shared" si="6"/>
        <v>0.1516447920969482</v>
      </c>
      <c r="AU8" s="5">
        <f t="shared" si="6"/>
        <v>-0.20083705233961571</v>
      </c>
      <c r="AV8" s="5">
        <f t="shared" si="6"/>
        <v>-0.2173053184250211</v>
      </c>
      <c r="AW8" s="5">
        <f t="shared" si="6"/>
        <v>-0.17415500379798879</v>
      </c>
      <c r="AX8" s="5">
        <f t="shared" si="6"/>
        <v>0.1122931240608864</v>
      </c>
      <c r="AY8" s="5">
        <f t="shared" si="6"/>
        <v>-0.118056117907044</v>
      </c>
      <c r="AZ8" s="5">
        <f t="shared" si="6"/>
        <v>0.20621977214253931</v>
      </c>
      <c r="BA8" s="5">
        <f t="shared" si="6"/>
        <v>0.1604995491281753</v>
      </c>
      <c r="BB8" s="5">
        <f t="shared" si="6"/>
        <v>-0.25209000741856791</v>
      </c>
      <c r="BC8" s="5">
        <f t="shared" si="6"/>
        <v>0.1567368975950951</v>
      </c>
      <c r="BD8" s="5">
        <f t="shared" si="6"/>
        <v>0.16688346547535959</v>
      </c>
      <c r="BE8" s="5">
        <f t="shared" si="6"/>
        <v>-0.13147229447438161</v>
      </c>
      <c r="BF8" s="5">
        <f t="shared" si="6"/>
        <v>-0.28526227318364472</v>
      </c>
      <c r="BG8" s="5">
        <f t="shared" si="6"/>
        <v>0.31531123716865839</v>
      </c>
      <c r="BH8" s="5">
        <f t="shared" si="6"/>
        <v>0.27010117711850451</v>
      </c>
      <c r="BI8" s="5">
        <f t="shared" si="6"/>
        <v>5.812657406460206E-2</v>
      </c>
      <c r="BJ8" s="5">
        <f t="shared" si="6"/>
        <v>-0.25986983403483388</v>
      </c>
      <c r="BK8" s="5">
        <f t="shared" si="6"/>
        <v>0.18487944696901781</v>
      </c>
      <c r="BL8" s="5">
        <f t="shared" si="6"/>
        <v>-0.26913172790454543</v>
      </c>
      <c r="BM8" s="5">
        <f t="shared" si="6"/>
        <v>0.1717381908649544</v>
      </c>
      <c r="BN8" s="5">
        <f t="shared" si="6"/>
        <v>-0.18092216130584951</v>
      </c>
      <c r="BO8" s="5">
        <f t="shared" ref="BO8:CT8" si="7">IF(BO6=1,BO3,IF(BO6=2,BO4,IF(BO6=3,BO5)))</f>
        <v>-0.14928793997254061</v>
      </c>
      <c r="BP8" s="5">
        <f t="shared" si="7"/>
        <v>8.3537285837463671E-2</v>
      </c>
      <c r="BQ8" s="5">
        <f t="shared" si="7"/>
        <v>-0.16861046240236999</v>
      </c>
      <c r="BR8" s="5">
        <f t="shared" si="7"/>
        <v>0.21346470331308501</v>
      </c>
      <c r="BS8" s="5">
        <f t="shared" si="7"/>
        <v>0.1244241075337672</v>
      </c>
      <c r="BT8" s="5">
        <f t="shared" si="7"/>
        <v>0.20772231279415901</v>
      </c>
      <c r="BU8" s="5">
        <f t="shared" si="7"/>
        <v>0.11377937808470839</v>
      </c>
      <c r="BV8" s="5">
        <f t="shared" si="7"/>
        <v>0.17298229554948641</v>
      </c>
      <c r="BW8" s="5">
        <f t="shared" si="7"/>
        <v>-0.1268015683060742</v>
      </c>
      <c r="BX8" s="5">
        <f t="shared" si="7"/>
        <v>-0.10582029087279909</v>
      </c>
      <c r="BY8" s="5">
        <f t="shared" si="7"/>
        <v>-0.18303206657081719</v>
      </c>
      <c r="BZ8" s="5">
        <f t="shared" si="7"/>
        <v>-0.14071284467671219</v>
      </c>
      <c r="CA8" s="5">
        <f t="shared" si="7"/>
        <v>7.3472777058868566E-2</v>
      </c>
      <c r="CB8" s="5">
        <f t="shared" si="7"/>
        <v>0.19814488479862649</v>
      </c>
      <c r="CC8" s="5">
        <f t="shared" si="7"/>
        <v>-0.29368551385020503</v>
      </c>
      <c r="CD8" s="5">
        <f t="shared" si="7"/>
        <v>0.32742328506094998</v>
      </c>
      <c r="CE8" s="5">
        <f t="shared" si="7"/>
        <v>0.2187970365966756</v>
      </c>
      <c r="CF8" s="5">
        <f t="shared" si="7"/>
        <v>-0.14937324914413941</v>
      </c>
      <c r="CG8" s="5">
        <f t="shared" si="7"/>
        <v>0.16320028060313421</v>
      </c>
      <c r="CH8" s="5">
        <f t="shared" si="7"/>
        <v>-6.9038325074175663E-2</v>
      </c>
      <c r="CI8" s="5">
        <f t="shared" si="7"/>
        <v>-0.11536214708505139</v>
      </c>
      <c r="CJ8" s="5">
        <f t="shared" si="7"/>
        <v>-0.39111281147264948</v>
      </c>
      <c r="CK8" s="5">
        <f t="shared" si="7"/>
        <v>0.37897350211797709</v>
      </c>
      <c r="CL8" s="5">
        <f t="shared" si="7"/>
        <v>-7.6383453932209341E-2</v>
      </c>
      <c r="CM8" s="5">
        <f t="shared" si="7"/>
        <v>0.18311247425732069</v>
      </c>
      <c r="CN8" s="5">
        <f t="shared" si="7"/>
        <v>-0.39746167912504587</v>
      </c>
      <c r="CO8" s="5">
        <f t="shared" si="7"/>
        <v>0.43716796518582229</v>
      </c>
      <c r="CP8" s="5">
        <f t="shared" si="7"/>
        <v>-9.5682049872747921E-2</v>
      </c>
      <c r="CQ8" s="5">
        <f t="shared" si="7"/>
        <v>-0.49935244279872992</v>
      </c>
      <c r="CR8" s="5">
        <f t="shared" si="7"/>
        <v>0.3398570382696095</v>
      </c>
      <c r="CS8" s="5">
        <f t="shared" si="7"/>
        <v>-0.27841972942992038</v>
      </c>
      <c r="CT8" s="5">
        <f t="shared" si="7"/>
        <v>0.2246197528310597</v>
      </c>
      <c r="CU8" s="5">
        <f t="shared" ref="CU8:DZ8" si="8">IF(CU6=1,CU3,IF(CU6=2,CU4,IF(CU6=3,CU5)))</f>
        <v>-0.25171771168640761</v>
      </c>
      <c r="CV8" s="5">
        <f t="shared" si="8"/>
        <v>0.11088351979357471</v>
      </c>
      <c r="CW8" s="5">
        <f t="shared" si="8"/>
        <v>0.2108770628752098</v>
      </c>
      <c r="CX8" s="5">
        <f t="shared" si="8"/>
        <v>0.25016150139728283</v>
      </c>
      <c r="CY8" s="5">
        <f t="shared" si="8"/>
        <v>-0.52413353929587791</v>
      </c>
      <c r="CZ8" s="5">
        <f t="shared" si="8"/>
        <v>0.8216183061041753</v>
      </c>
      <c r="DA8" s="5">
        <f t="shared" si="8"/>
        <v>0.31254073484349981</v>
      </c>
      <c r="DB8" s="5">
        <f t="shared" si="8"/>
        <v>-0.15564612733519101</v>
      </c>
      <c r="DC8" s="5">
        <f t="shared" si="8"/>
        <v>-0.186958527424675</v>
      </c>
      <c r="DD8" s="5">
        <f t="shared" si="8"/>
        <v>-0.42083892435479142</v>
      </c>
      <c r="DE8" s="5">
        <f t="shared" si="8"/>
        <v>-0.2279724207651195</v>
      </c>
      <c r="DF8" s="5">
        <f t="shared" si="8"/>
        <v>-0.33715973842927388</v>
      </c>
      <c r="DG8" s="5">
        <f t="shared" si="8"/>
        <v>-0.44400370439279008</v>
      </c>
      <c r="DH8" s="5">
        <f t="shared" si="8"/>
        <v>0.15742013530757151</v>
      </c>
      <c r="DI8" s="5">
        <f t="shared" si="8"/>
        <v>0.30896916307249689</v>
      </c>
      <c r="DJ8" s="5">
        <f t="shared" si="8"/>
        <v>-0.28669247758290828</v>
      </c>
      <c r="DK8" s="5">
        <f t="shared" si="8"/>
        <v>0.84621248517861269</v>
      </c>
      <c r="DL8" s="5">
        <f t="shared" si="8"/>
        <v>-0.16924034367306559</v>
      </c>
      <c r="DM8" s="5">
        <f t="shared" si="8"/>
        <v>-0.43945016692248923</v>
      </c>
      <c r="DN8" s="5">
        <f t="shared" si="8"/>
        <v>0.74751336560070059</v>
      </c>
      <c r="DO8" s="5">
        <f t="shared" si="8"/>
        <v>-0.39996426308914668</v>
      </c>
      <c r="DP8" s="5">
        <f t="shared" si="8"/>
        <v>0.16113140194021519</v>
      </c>
      <c r="DQ8" s="5">
        <f t="shared" si="8"/>
        <v>-0.58863430244229409</v>
      </c>
      <c r="DR8" s="5">
        <f t="shared" si="8"/>
        <v>-0.1292383591030131</v>
      </c>
      <c r="DS8" s="5">
        <f t="shared" si="8"/>
        <v>-0.19878519438361211</v>
      </c>
      <c r="DT8" s="5">
        <f t="shared" si="8"/>
        <v>0.4132117833889476</v>
      </c>
      <c r="DU8" s="5">
        <f t="shared" si="8"/>
        <v>-0.17065403209770361</v>
      </c>
      <c r="DV8" s="5">
        <f t="shared" si="8"/>
        <v>0.68828031734213269</v>
      </c>
      <c r="DW8" s="5">
        <f t="shared" si="8"/>
        <v>6.6155769939566539E-2</v>
      </c>
      <c r="DX8" s="5">
        <f t="shared" si="8"/>
        <v>-0.1999347157162332</v>
      </c>
      <c r="DY8" s="5">
        <f t="shared" si="8"/>
        <v>0.56631420698904078</v>
      </c>
      <c r="DZ8" s="5">
        <f t="shared" si="8"/>
        <v>0.47362880432099852</v>
      </c>
      <c r="EA8" s="5">
        <f t="shared" ref="EA8:EF8" si="9">IF(EA6=1,EA3,IF(EA6=2,EA4,IF(EA6=3,EA5)))</f>
        <v>-0.19315799713893969</v>
      </c>
      <c r="EB8" s="5">
        <f t="shared" si="9"/>
        <v>-1.076360940060376</v>
      </c>
      <c r="EC8" s="5">
        <f t="shared" si="9"/>
        <v>-0.13610628648279391</v>
      </c>
      <c r="ED8" s="5">
        <f t="shared" si="9"/>
        <v>-0.27349656344743889</v>
      </c>
      <c r="EE8" s="5">
        <f t="shared" si="9"/>
        <v>0.60134859370029736</v>
      </c>
      <c r="EF8" s="5">
        <f t="shared" si="9"/>
        <v>0.24405280405184021</v>
      </c>
    </row>
    <row r="10" spans="1:136">
      <c r="A10" s="29" t="s">
        <v>140</v>
      </c>
      <c r="B10" s="30"/>
      <c r="C10" s="1" t="s">
        <v>141</v>
      </c>
      <c r="D10" s="2">
        <v>964</v>
      </c>
    </row>
    <row r="11" spans="1:136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226</v>
      </c>
    </row>
    <row r="12" spans="1:136">
      <c r="A12" s="1">
        <v>10</v>
      </c>
      <c r="B12" s="1">
        <v>96</v>
      </c>
      <c r="C12" s="4">
        <v>1.4499246984096079E-2</v>
      </c>
      <c r="D12" s="5">
        <v>0.11468851041666669</v>
      </c>
      <c r="E12" s="5">
        <v>-1.3937245408664461E-3</v>
      </c>
      <c r="F12" s="5">
        <v>-5.5959384784458728E-2</v>
      </c>
      <c r="G12" s="5">
        <v>-3.1947448518630461E-2</v>
      </c>
      <c r="H12" s="5">
        <v>9.5992583565995809E-3</v>
      </c>
      <c r="I12" s="5">
        <v>-3.6303936849052011E-2</v>
      </c>
      <c r="J12" s="5">
        <v>4.3784578744871523E-2</v>
      </c>
      <c r="K12" s="5">
        <v>2.918799813369918E-2</v>
      </c>
      <c r="L12" s="5">
        <v>-8.7585559641662342E-3</v>
      </c>
      <c r="M12" s="5">
        <v>2.688917383320695E-2</v>
      </c>
      <c r="N12" s="5">
        <v>3.4703354243462818E-2</v>
      </c>
      <c r="O12" s="5">
        <v>1.8629888645978979E-2</v>
      </c>
      <c r="P12" s="5">
        <v>-2.5432810815711028E-4</v>
      </c>
      <c r="Q12" s="5">
        <v>3.3792784120907728E-2</v>
      </c>
      <c r="R12" s="5">
        <v>-1.3397506239935729E-2</v>
      </c>
      <c r="S12" s="5">
        <v>1.105502977333921E-2</v>
      </c>
      <c r="T12" s="5">
        <v>4.3243488819513169E-2</v>
      </c>
      <c r="U12" s="5">
        <v>2.0367220553130991E-2</v>
      </c>
      <c r="V12" s="5">
        <v>-9.5109536536482214E-3</v>
      </c>
      <c r="W12" s="5">
        <v>2.8417662858163131E-2</v>
      </c>
      <c r="X12" s="5">
        <v>2.707373958333335E-2</v>
      </c>
      <c r="Y12" s="5">
        <v>-2.0598393527691269E-2</v>
      </c>
      <c r="Z12" s="5">
        <v>6.362368331557397E-2</v>
      </c>
      <c r="AA12" s="5">
        <v>-3.9403661401111782E-2</v>
      </c>
      <c r="AB12" s="5">
        <v>-3.4689110551478157E-2</v>
      </c>
      <c r="AC12" s="5">
        <v>4.6772945626311249E-2</v>
      </c>
      <c r="AD12" s="5">
        <v>-2.5304298312235208E-3</v>
      </c>
      <c r="AE12" s="5">
        <v>4.6437716666984021E-2</v>
      </c>
      <c r="AF12" s="5">
        <v>-5.2012102776767682E-2</v>
      </c>
      <c r="AG12" s="5">
        <v>3.814930420809846E-3</v>
      </c>
      <c r="AH12" s="5">
        <v>1.5713033769280859E-2</v>
      </c>
      <c r="AI12" s="5">
        <v>8.79379249226157E-3</v>
      </c>
      <c r="AJ12" s="5">
        <v>1.8723296332934201E-2</v>
      </c>
      <c r="AK12" s="5">
        <v>-1.6475368224135679E-2</v>
      </c>
      <c r="AL12" s="5">
        <v>1.7859003021922081E-2</v>
      </c>
      <c r="AM12" s="5">
        <v>3.0086115612597931E-2</v>
      </c>
      <c r="AN12" s="5">
        <v>6.9233234313428524E-2</v>
      </c>
      <c r="AO12" s="5">
        <v>1.499547084312732E-2</v>
      </c>
      <c r="AP12" s="5">
        <v>4.6336666666666696E-3</v>
      </c>
      <c r="AQ12" s="5">
        <v>7.6219363885838051E-3</v>
      </c>
      <c r="AR12" s="5">
        <v>7.5043645833333256E-3</v>
      </c>
      <c r="AS12" s="5">
        <v>1.9099718454700602E-2</v>
      </c>
      <c r="AT12" s="5">
        <v>7.2195382352435097E-2</v>
      </c>
      <c r="AU12" s="5">
        <v>-3.713536440044597E-3</v>
      </c>
      <c r="AV12" s="5">
        <v>-2.178989583333333E-2</v>
      </c>
      <c r="AW12" s="5">
        <v>-6.2147701801607523E-4</v>
      </c>
      <c r="AX12" s="5">
        <v>-4.4696011972897853E-2</v>
      </c>
      <c r="AY12" s="5">
        <v>-1.749132165900753E-2</v>
      </c>
      <c r="AZ12" s="5">
        <v>-2.361455316530062E-2</v>
      </c>
      <c r="BA12" s="5">
        <v>4.9378881832418033E-3</v>
      </c>
      <c r="BB12" s="5">
        <v>5.7850729166666658E-3</v>
      </c>
      <c r="BC12" s="5">
        <v>1.227278903847649E-2</v>
      </c>
      <c r="BD12" s="5">
        <v>1.3630556941652629E-2</v>
      </c>
      <c r="BE12" s="5">
        <v>-1.860880983938528E-2</v>
      </c>
      <c r="BF12" s="5">
        <v>6.7616949247695318E-2</v>
      </c>
      <c r="BG12" s="5">
        <v>3.3670862441262807E-2</v>
      </c>
      <c r="BH12" s="5">
        <v>1.422336001132196E-2</v>
      </c>
      <c r="BI12" s="5">
        <v>-4.3756064379844611E-2</v>
      </c>
      <c r="BJ12" s="5">
        <v>2.4663126175119381E-2</v>
      </c>
      <c r="BK12" s="5">
        <v>-6.5738349503457333E-4</v>
      </c>
      <c r="BL12" s="5">
        <v>3.2129098300494131E-2</v>
      </c>
      <c r="BM12" s="5">
        <v>5.030568452332447E-2</v>
      </c>
      <c r="BN12" s="5">
        <v>1.1575967172940649E-2</v>
      </c>
      <c r="BO12" s="5">
        <v>-2.4246310256236889E-2</v>
      </c>
      <c r="BP12" s="5">
        <v>2.6422499999999991E-2</v>
      </c>
      <c r="BQ12" s="5">
        <v>1.8715508904754308E-2</v>
      </c>
      <c r="BR12" s="5">
        <v>-2.2610084533988121E-3</v>
      </c>
      <c r="BS12" s="5">
        <v>-3.2642854888392712E-2</v>
      </c>
      <c r="BT12" s="5">
        <v>1.636478331442541E-2</v>
      </c>
      <c r="BU12" s="5">
        <v>8.7815171400964752E-3</v>
      </c>
      <c r="BV12" s="5">
        <v>-3.2053312499999979E-2</v>
      </c>
      <c r="BW12" s="5">
        <v>4.4477003891650199E-2</v>
      </c>
      <c r="BX12" s="5">
        <v>6.985153858139255E-3</v>
      </c>
      <c r="BY12" s="5">
        <v>-4.5816958333333269E-2</v>
      </c>
      <c r="BZ12" s="5">
        <v>-4.5356945691272972E-2</v>
      </c>
      <c r="CA12" s="5">
        <v>-3.4400287440342493E-2</v>
      </c>
      <c r="CB12" s="5">
        <v>-7.2475718750000029E-2</v>
      </c>
      <c r="CC12" s="5">
        <v>6.5566041666666686E-2</v>
      </c>
      <c r="CD12" s="5">
        <v>-4.435526335668457E-2</v>
      </c>
      <c r="CE12" s="5">
        <v>1.161940844222922E-2</v>
      </c>
      <c r="CF12" s="5">
        <v>-8.0212745139300254E-3</v>
      </c>
      <c r="CG12" s="5">
        <v>-4.9277959963080598E-2</v>
      </c>
      <c r="CH12" s="5">
        <v>1.6463112378785821E-2</v>
      </c>
      <c r="CI12" s="5">
        <v>3.5598030901105832E-2</v>
      </c>
      <c r="CJ12" s="5">
        <v>-1.544518047868886E-2</v>
      </c>
      <c r="CK12" s="5">
        <v>5.6101440647790157E-2</v>
      </c>
      <c r="CL12" s="5">
        <v>-7.8440280286020903E-2</v>
      </c>
      <c r="CM12" s="5">
        <v>-1.5219726167340819E-2</v>
      </c>
      <c r="CN12" s="5">
        <v>2.7083701214559368E-2</v>
      </c>
      <c r="CO12" s="5">
        <v>-2.4819785255212591E-2</v>
      </c>
      <c r="CP12" s="5">
        <v>-4.5299021467493747E-2</v>
      </c>
      <c r="CQ12" s="5">
        <v>6.2684347003574781E-2</v>
      </c>
      <c r="CR12" s="5">
        <v>-5.7159986521513537E-2</v>
      </c>
      <c r="CS12" s="5">
        <v>-1.4509312499999989E-2</v>
      </c>
      <c r="CT12" s="5">
        <v>-9.3290632299768764E-3</v>
      </c>
      <c r="CU12" s="5">
        <v>7.4779529281356727E-2</v>
      </c>
      <c r="CV12" s="5">
        <v>-4.4034270833333243E-3</v>
      </c>
      <c r="CW12" s="5">
        <v>1.303666937857764E-2</v>
      </c>
      <c r="CX12" s="5">
        <v>-3.0752638267462981E-2</v>
      </c>
      <c r="CY12" s="5">
        <v>-1.6420596247805602E-2</v>
      </c>
      <c r="CZ12" s="5">
        <v>-1.2324262059916619E-2</v>
      </c>
      <c r="DA12" s="5">
        <v>5.6037840703605252E-3</v>
      </c>
      <c r="DB12" s="5">
        <v>2.298187595412704E-2</v>
      </c>
      <c r="DC12" s="5">
        <v>-3.3973202874774677E-2</v>
      </c>
      <c r="DD12" s="5">
        <v>6.9960545734343321E-2</v>
      </c>
      <c r="DE12" s="5">
        <v>2.473764441509502E-2</v>
      </c>
      <c r="DF12" s="5">
        <v>-1.1624319687869001E-2</v>
      </c>
      <c r="DG12" s="5">
        <v>4.7394421629824317E-2</v>
      </c>
      <c r="DH12" s="5">
        <v>-6.1195427083333309E-2</v>
      </c>
      <c r="DI12" s="5">
        <v>2.9979254557499689E-2</v>
      </c>
      <c r="DJ12" s="5">
        <v>-4.1378042935671558E-2</v>
      </c>
      <c r="DK12" s="5">
        <v>1.0711986285806619E-3</v>
      </c>
      <c r="DL12" s="5">
        <v>-1.8669833333803058E-2</v>
      </c>
      <c r="DM12" s="5">
        <v>-9.143493333529153E-3</v>
      </c>
      <c r="DN12" s="5">
        <v>-1.854144345861243E-2</v>
      </c>
      <c r="DO12" s="5">
        <v>1.9030728267897829E-2</v>
      </c>
      <c r="DP12" s="5">
        <v>3.2584449600297112E-2</v>
      </c>
      <c r="DQ12" s="5">
        <v>-7.454064748047276E-2</v>
      </c>
      <c r="DR12" s="5">
        <v>1.7065E-2</v>
      </c>
      <c r="DS12" s="5">
        <v>-4.6024279005124763E-2</v>
      </c>
      <c r="DT12" s="5">
        <v>2.481384156258671E-2</v>
      </c>
      <c r="DU12" s="5">
        <v>-4.5787141974466997E-2</v>
      </c>
      <c r="DV12" s="5">
        <v>-1.6751441513820589E-2</v>
      </c>
      <c r="DW12" s="5">
        <v>4.3725564220037427E-2</v>
      </c>
      <c r="DX12" s="5">
        <v>-1.8099136778333389E-2</v>
      </c>
      <c r="DY12" s="5">
        <v>6.2728222094769928E-2</v>
      </c>
      <c r="DZ12" s="5">
        <v>2.0038890123589111E-2</v>
      </c>
      <c r="EA12" s="5">
        <v>5.1097697916666678E-2</v>
      </c>
      <c r="EB12" s="5">
        <v>3.052577681784165E-2</v>
      </c>
      <c r="EC12" s="5">
        <v>-1.48839181295192E-2</v>
      </c>
      <c r="ED12" s="5">
        <v>-2.344457524294118E-2</v>
      </c>
      <c r="EE12" s="5">
        <v>-2.821628026780338E-2</v>
      </c>
      <c r="EF12" s="5">
        <v>-2.9233395833333311E-2</v>
      </c>
    </row>
    <row r="13" spans="1:136">
      <c r="A13" s="1">
        <v>20</v>
      </c>
      <c r="B13" s="1">
        <v>48</v>
      </c>
      <c r="C13" s="4">
        <v>-7.4773642018864783E-3</v>
      </c>
      <c r="D13" s="5">
        <v>0.12374510416666661</v>
      </c>
      <c r="E13" s="5">
        <v>-5.52362670328634E-3</v>
      </c>
      <c r="F13" s="5">
        <v>-5.9986526692922967E-2</v>
      </c>
      <c r="G13" s="5">
        <v>-1.2047404300105931E-2</v>
      </c>
      <c r="H13" s="5">
        <v>1.7388387027498991E-2</v>
      </c>
      <c r="I13" s="5">
        <v>-3.2682862984722338E-2</v>
      </c>
      <c r="J13" s="5">
        <v>3.4549891969644697E-2</v>
      </c>
      <c r="K13" s="5">
        <v>6.0326139227570137E-2</v>
      </c>
      <c r="L13" s="5">
        <v>-2.1980470378722781E-2</v>
      </c>
      <c r="M13" s="5">
        <v>3.2797582260047169E-3</v>
      </c>
      <c r="N13" s="5">
        <v>4.3392417465696789E-2</v>
      </c>
      <c r="O13" s="5">
        <v>3.6273275719922483E-2</v>
      </c>
      <c r="P13" s="5">
        <v>-6.2776476607329448E-3</v>
      </c>
      <c r="Q13" s="5">
        <v>4.4218264227970053E-2</v>
      </c>
      <c r="R13" s="5">
        <v>-6.4899101760743979E-3</v>
      </c>
      <c r="S13" s="5">
        <v>-6.0138030070422746E-3</v>
      </c>
      <c r="T13" s="5">
        <v>5.2899802908693339E-2</v>
      </c>
      <c r="U13" s="5">
        <v>5.4161075041694179E-2</v>
      </c>
      <c r="V13" s="5">
        <v>-2.216639903053957E-3</v>
      </c>
      <c r="W13" s="5">
        <v>3.096890407148287E-2</v>
      </c>
      <c r="X13" s="5">
        <v>5.3276458333333318E-2</v>
      </c>
      <c r="Y13" s="5">
        <v>6.6833587265454353E-3</v>
      </c>
      <c r="Z13" s="5">
        <v>7.842443480518356E-2</v>
      </c>
      <c r="AA13" s="5">
        <v>-3.2119510338471283E-2</v>
      </c>
      <c r="AB13" s="5">
        <v>-4.6678220121377283E-2</v>
      </c>
      <c r="AC13" s="5">
        <v>6.6771700381929838E-2</v>
      </c>
      <c r="AD13" s="5">
        <v>-2.0440228373792429E-2</v>
      </c>
      <c r="AE13" s="5">
        <v>7.7071416726800679E-2</v>
      </c>
      <c r="AF13" s="5">
        <v>-7.3281160828311181E-2</v>
      </c>
      <c r="AG13" s="5">
        <v>-9.9052077270740842E-3</v>
      </c>
      <c r="AH13" s="5">
        <v>2.4955206549866871E-2</v>
      </c>
      <c r="AI13" s="5">
        <v>1.8646046379966041E-2</v>
      </c>
      <c r="AJ13" s="5">
        <v>1.707450838618965E-3</v>
      </c>
      <c r="AK13" s="5">
        <v>-3.8359390282872087E-2</v>
      </c>
      <c r="AL13" s="5">
        <v>2.3151428595171029E-2</v>
      </c>
      <c r="AM13" s="5">
        <v>4.6282443536828928E-2</v>
      </c>
      <c r="AN13" s="5">
        <v>0.10533023813603409</v>
      </c>
      <c r="AO13" s="5">
        <v>-1.7088466886353789E-3</v>
      </c>
      <c r="AP13" s="5">
        <v>6.5878125000000034E-3</v>
      </c>
      <c r="AQ13" s="5">
        <v>6.0492887688996834E-3</v>
      </c>
      <c r="AR13" s="5">
        <v>-9.2504166666666568E-3</v>
      </c>
      <c r="AS13" s="5">
        <v>4.1313118484234093E-2</v>
      </c>
      <c r="AT13" s="5">
        <v>8.6422914727599456E-2</v>
      </c>
      <c r="AU13" s="5">
        <v>1.5695418426472509E-2</v>
      </c>
      <c r="AV13" s="5">
        <v>-1.0958812499999989E-2</v>
      </c>
      <c r="AW13" s="5">
        <v>-4.0800135830634E-3</v>
      </c>
      <c r="AX13" s="5">
        <v>-3.2799832135855793E-2</v>
      </c>
      <c r="AY13" s="5">
        <v>-1.42622039071387E-2</v>
      </c>
      <c r="AZ13" s="5">
        <v>-3.1220536093770089E-2</v>
      </c>
      <c r="BA13" s="5">
        <v>6.5409376070610318E-3</v>
      </c>
      <c r="BB13" s="5">
        <v>2.604597916666667E-2</v>
      </c>
      <c r="BC13" s="5">
        <v>1.128376711165765E-2</v>
      </c>
      <c r="BD13" s="5">
        <v>3.344428383681335E-3</v>
      </c>
      <c r="BE13" s="5">
        <v>-2.7391806305641558E-2</v>
      </c>
      <c r="BF13" s="5">
        <v>0.1216571432659557</v>
      </c>
      <c r="BG13" s="5">
        <v>4.6566462338711673E-2</v>
      </c>
      <c r="BH13" s="5">
        <v>8.4757298116190372E-3</v>
      </c>
      <c r="BI13" s="5">
        <v>-2.1601559102932929E-2</v>
      </c>
      <c r="BJ13" s="5">
        <v>2.4266087613108871E-2</v>
      </c>
      <c r="BK13" s="5">
        <v>-8.8783959160913702E-3</v>
      </c>
      <c r="BL13" s="5">
        <v>3.4460040448450822E-2</v>
      </c>
      <c r="BM13" s="5">
        <v>5.3371768695190711E-2</v>
      </c>
      <c r="BN13" s="5">
        <v>3.5552713412407247E-2</v>
      </c>
      <c r="BO13" s="5">
        <v>-3.0878716233474109E-2</v>
      </c>
      <c r="BP13" s="5">
        <v>7.9520416666666559E-3</v>
      </c>
      <c r="BQ13" s="5">
        <v>-1.1508192254020789E-3</v>
      </c>
      <c r="BR13" s="5">
        <v>-6.6814174835574522E-3</v>
      </c>
      <c r="BS13" s="5">
        <v>-4.0180514361416918E-2</v>
      </c>
      <c r="BT13" s="5">
        <v>5.2107167580298965E-4</v>
      </c>
      <c r="BU13" s="5">
        <v>1.7706555036553769E-2</v>
      </c>
      <c r="BV13" s="5">
        <v>-3.144022916666666E-2</v>
      </c>
      <c r="BW13" s="5">
        <v>7.5714005636679529E-2</v>
      </c>
      <c r="BX13" s="5">
        <v>7.4563880601007104E-4</v>
      </c>
      <c r="BY13" s="5">
        <v>-3.0828583333333329E-2</v>
      </c>
      <c r="BZ13" s="5">
        <v>-7.6138123059050211E-2</v>
      </c>
      <c r="CA13" s="5">
        <v>-3.3531565600396843E-2</v>
      </c>
      <c r="CB13" s="5">
        <v>-0.1204269166666667</v>
      </c>
      <c r="CC13" s="5">
        <v>0.1201179166666667</v>
      </c>
      <c r="CD13" s="5">
        <v>-2.1204143880606541E-2</v>
      </c>
      <c r="CE13" s="5">
        <v>9.2209843254137634E-3</v>
      </c>
      <c r="CF13" s="5">
        <v>1.2043667015059319E-2</v>
      </c>
      <c r="CG13" s="5">
        <v>-5.8014967807239318E-2</v>
      </c>
      <c r="CH13" s="5">
        <v>4.0295060582103241E-3</v>
      </c>
      <c r="CI13" s="5">
        <v>1.4533303233279799E-2</v>
      </c>
      <c r="CJ13" s="5">
        <v>3.106087971951194E-3</v>
      </c>
      <c r="CK13" s="5">
        <v>6.568712626679736E-2</v>
      </c>
      <c r="CL13" s="5">
        <v>-7.2724175153218551E-2</v>
      </c>
      <c r="CM13" s="5">
        <v>-1.0296803756394969E-2</v>
      </c>
      <c r="CN13" s="5">
        <v>2.688756599885234E-2</v>
      </c>
      <c r="CO13" s="5">
        <v>-3.5334344080657359E-2</v>
      </c>
      <c r="CP13" s="5">
        <v>-6.9726540277734339E-2</v>
      </c>
      <c r="CQ13" s="5">
        <v>7.1178864968403879E-2</v>
      </c>
      <c r="CR13" s="5">
        <v>-0.11164488638047471</v>
      </c>
      <c r="CS13" s="5">
        <v>3.9479583333333346E-3</v>
      </c>
      <c r="CT13" s="5">
        <v>4.0854011561625853E-4</v>
      </c>
      <c r="CU13" s="5">
        <v>0.1070909617136373</v>
      </c>
      <c r="CV13" s="5">
        <v>-2.4319187499999999E-2</v>
      </c>
      <c r="CW13" s="5">
        <v>3.6309119756433333E-2</v>
      </c>
      <c r="CX13" s="5">
        <v>-3.0582841479689871E-2</v>
      </c>
      <c r="CY13" s="5">
        <v>-4.1201751884096749E-2</v>
      </c>
      <c r="CZ13" s="5">
        <v>-4.8982161600653051E-3</v>
      </c>
      <c r="DA13" s="5">
        <v>-5.583676925821391E-3</v>
      </c>
      <c r="DB13" s="5">
        <v>4.1761569716784581E-2</v>
      </c>
      <c r="DC13" s="5">
        <v>-2.9775565878292928E-2</v>
      </c>
      <c r="DD13" s="5">
        <v>6.8977058924383453E-2</v>
      </c>
      <c r="DE13" s="5">
        <v>2.2441996429236069E-2</v>
      </c>
      <c r="DF13" s="5">
        <v>-1.727163202818234E-2</v>
      </c>
      <c r="DG13" s="5">
        <v>7.1335760214919608E-2</v>
      </c>
      <c r="DH13" s="5">
        <v>-8.8720708333333301E-2</v>
      </c>
      <c r="DI13" s="5">
        <v>2.957041963442816E-2</v>
      </c>
      <c r="DJ13" s="5">
        <v>-7.0211236155579941E-3</v>
      </c>
      <c r="DK13" s="5">
        <v>-2.3400891895590289E-2</v>
      </c>
      <c r="DL13" s="5">
        <v>-2.2050690678088229E-2</v>
      </c>
      <c r="DM13" s="5">
        <v>1.1655894415520189E-2</v>
      </c>
      <c r="DN13" s="5">
        <v>-1.277588948620326E-2</v>
      </c>
      <c r="DO13" s="5">
        <v>4.4325139422202869E-2</v>
      </c>
      <c r="DP13" s="5">
        <v>4.8786635856269467E-2</v>
      </c>
      <c r="DQ13" s="5">
        <v>-8.712901139257051E-2</v>
      </c>
      <c r="DR13" s="5">
        <v>1.5168812499999971E-2</v>
      </c>
      <c r="DS13" s="5">
        <v>-2.991519389132713E-2</v>
      </c>
      <c r="DT13" s="5">
        <v>2.9845809161003281E-2</v>
      </c>
      <c r="DU13" s="5">
        <v>-2.369885378120147E-2</v>
      </c>
      <c r="DV13" s="5">
        <v>-9.8528047622480752E-3</v>
      </c>
      <c r="DW13" s="5">
        <v>4.4417789624350307E-2</v>
      </c>
      <c r="DX13" s="5">
        <v>-2.3229609548966131E-2</v>
      </c>
      <c r="DY13" s="5">
        <v>9.5046248038774313E-3</v>
      </c>
      <c r="DZ13" s="5">
        <v>3.028525147494129E-2</v>
      </c>
      <c r="EA13" s="5">
        <v>6.2118416666666669E-2</v>
      </c>
      <c r="EB13" s="5">
        <v>5.7205292748389078E-2</v>
      </c>
      <c r="EC13" s="5">
        <v>-2.198485253152441E-2</v>
      </c>
      <c r="ED13" s="5">
        <v>-5.3978019629255351E-2</v>
      </c>
      <c r="EE13" s="5">
        <v>-3.58674799008201E-2</v>
      </c>
      <c r="EF13" s="5">
        <v>-4.4513041666666663E-2</v>
      </c>
    </row>
    <row r="14" spans="1:136">
      <c r="A14" s="1">
        <v>50</v>
      </c>
      <c r="B14" s="1">
        <v>19</v>
      </c>
      <c r="C14" s="4">
        <v>-3.3228977675766179E-2</v>
      </c>
      <c r="D14" s="5">
        <v>0.22230878947368421</v>
      </c>
      <c r="E14" s="5">
        <v>-4.7920746013269233E-2</v>
      </c>
      <c r="F14" s="5">
        <v>-6.0341904906032563E-2</v>
      </c>
      <c r="G14" s="5">
        <v>-5.3656630442780677E-2</v>
      </c>
      <c r="H14" s="5">
        <v>-1.1508260862123591E-2</v>
      </c>
      <c r="I14" s="5">
        <v>-4.3787359823142302E-2</v>
      </c>
      <c r="J14" s="5">
        <v>2.330997196491089E-2</v>
      </c>
      <c r="K14" s="5">
        <v>5.0827466260847963E-2</v>
      </c>
      <c r="L14" s="5">
        <v>-5.6271084976235522E-2</v>
      </c>
      <c r="M14" s="5">
        <v>-1.902171446498398E-2</v>
      </c>
      <c r="N14" s="5">
        <v>5.7369426657022049E-2</v>
      </c>
      <c r="O14" s="5">
        <v>3.7475787013006502E-2</v>
      </c>
      <c r="P14" s="5">
        <v>6.5414209581504002E-3</v>
      </c>
      <c r="Q14" s="5">
        <v>0.12410387117144869</v>
      </c>
      <c r="R14" s="5">
        <v>1.5941187297101821E-2</v>
      </c>
      <c r="S14" s="5">
        <v>-2.480674609276777E-2</v>
      </c>
      <c r="T14" s="5">
        <v>6.9841479520895866E-2</v>
      </c>
      <c r="U14" s="5">
        <v>0.1042666646356476</v>
      </c>
      <c r="V14" s="5">
        <v>5.2421300158885083E-2</v>
      </c>
      <c r="W14" s="5">
        <v>4.779500273352006E-2</v>
      </c>
      <c r="X14" s="5">
        <v>5.3581789473684222E-2</v>
      </c>
      <c r="Y14" s="5">
        <v>5.5190991412221717E-2</v>
      </c>
      <c r="Z14" s="5">
        <v>3.8511926280307661E-2</v>
      </c>
      <c r="AA14" s="5">
        <v>-3.9450180302082173E-2</v>
      </c>
      <c r="AB14" s="5">
        <v>-7.0769377347230211E-2</v>
      </c>
      <c r="AC14" s="5">
        <v>-3.086562338789272E-3</v>
      </c>
      <c r="AD14" s="5">
        <v>-6.9874591735142114E-2</v>
      </c>
      <c r="AE14" s="5">
        <v>0.11683691983956609</v>
      </c>
      <c r="AF14" s="5">
        <v>-9.6080095456633624E-2</v>
      </c>
      <c r="AG14" s="5">
        <v>-2.5329295010953049E-2</v>
      </c>
      <c r="AH14" s="5">
        <v>8.0952184423801643E-2</v>
      </c>
      <c r="AI14" s="5">
        <v>-3.5462643898611923E-2</v>
      </c>
      <c r="AJ14" s="5">
        <v>-2.4505575101084909E-2</v>
      </c>
      <c r="AK14" s="5">
        <v>-7.7475339022454029E-2</v>
      </c>
      <c r="AL14" s="5">
        <v>3.7969189722460717E-2</v>
      </c>
      <c r="AM14" s="5">
        <v>6.1242166378625243E-2</v>
      </c>
      <c r="AN14" s="5">
        <v>9.8594666769543718E-2</v>
      </c>
      <c r="AO14" s="5">
        <v>-3.804435254206133E-2</v>
      </c>
      <c r="AP14" s="5">
        <v>-7.0551578947368413E-3</v>
      </c>
      <c r="AQ14" s="5">
        <v>3.6796773775995059E-4</v>
      </c>
      <c r="AR14" s="5">
        <v>-1.8170473684210521E-2</v>
      </c>
      <c r="AS14" s="5">
        <v>8.5376985953046783E-2</v>
      </c>
      <c r="AT14" s="5">
        <v>7.9403479710638047E-2</v>
      </c>
      <c r="AU14" s="5">
        <v>5.7421613114133872E-2</v>
      </c>
      <c r="AV14" s="5">
        <v>8.4268421052631631E-3</v>
      </c>
      <c r="AW14" s="5">
        <v>1.8362931505957501E-2</v>
      </c>
      <c r="AX14" s="5">
        <v>-1.9370213375490559E-2</v>
      </c>
      <c r="AY14" s="5">
        <v>-1.6905718250070641E-3</v>
      </c>
      <c r="AZ14" s="5">
        <v>-6.107058048123927E-2</v>
      </c>
      <c r="BA14" s="5">
        <v>1.7621645544243138E-2</v>
      </c>
      <c r="BB14" s="5">
        <v>0.101898</v>
      </c>
      <c r="BC14" s="5">
        <v>-9.8209989552774171E-3</v>
      </c>
      <c r="BD14" s="5">
        <v>4.3327781667405418E-2</v>
      </c>
      <c r="BE14" s="5">
        <v>-4.3787062535487017E-2</v>
      </c>
      <c r="BF14" s="5">
        <v>0.15382926157400831</v>
      </c>
      <c r="BG14" s="5">
        <v>4.1374264073932777E-2</v>
      </c>
      <c r="BH14" s="5">
        <v>5.3427555686006711E-3</v>
      </c>
      <c r="BI14" s="5">
        <v>4.1031067933231892E-2</v>
      </c>
      <c r="BJ14" s="5">
        <v>6.8604195602302687E-2</v>
      </c>
      <c r="BK14" s="5">
        <v>-3.3691419870768569E-2</v>
      </c>
      <c r="BL14" s="5">
        <v>5.9996895527440267E-2</v>
      </c>
      <c r="BM14" s="5">
        <v>4.6278325003000387E-2</v>
      </c>
      <c r="BN14" s="5">
        <v>2.6087960275579629E-2</v>
      </c>
      <c r="BO14" s="5">
        <v>-3.3609045677264478E-2</v>
      </c>
      <c r="BP14" s="5">
        <v>-5.033168421052632E-2</v>
      </c>
      <c r="BQ14" s="5">
        <v>-5.0884482194080573E-2</v>
      </c>
      <c r="BR14" s="5">
        <v>-2.7929429532617921E-2</v>
      </c>
      <c r="BS14" s="5">
        <v>-3.033272398677064E-2</v>
      </c>
      <c r="BT14" s="5">
        <v>-3.0726476125764419E-2</v>
      </c>
      <c r="BU14" s="5">
        <v>-8.8548353580308568E-3</v>
      </c>
      <c r="BV14" s="5">
        <v>-4.1282210526315803E-2</v>
      </c>
      <c r="BW14" s="5">
        <v>0.13089750855718521</v>
      </c>
      <c r="BX14" s="5">
        <v>-1.4335295277300691E-2</v>
      </c>
      <c r="BY14" s="5">
        <v>-8.0401000000000056E-2</v>
      </c>
      <c r="BZ14" s="5">
        <v>-6.0034056828782267E-2</v>
      </c>
      <c r="CA14" s="5">
        <v>-2.446526611493707E-2</v>
      </c>
      <c r="CB14" s="5">
        <v>-0.16446578947368409</v>
      </c>
      <c r="CC14" s="5">
        <v>0.1205952105263158</v>
      </c>
      <c r="CD14" s="5">
        <v>3.2926387352783637E-2</v>
      </c>
      <c r="CE14" s="5">
        <v>-7.2156719211697945E-2</v>
      </c>
      <c r="CF14" s="5">
        <v>4.2877410075316917E-2</v>
      </c>
      <c r="CG14" s="5">
        <v>-5.7320663667820577E-2</v>
      </c>
      <c r="CH14" s="5">
        <v>4.8879670456065782E-2</v>
      </c>
      <c r="CI14" s="5">
        <v>1.470161201144274E-2</v>
      </c>
      <c r="CJ14" s="5">
        <v>2.866785494417454E-2</v>
      </c>
      <c r="CK14" s="5">
        <v>5.3792086513992962E-2</v>
      </c>
      <c r="CL14" s="5">
        <v>-0.13734357045347451</v>
      </c>
      <c r="CM14" s="5">
        <v>3.2040010368317121E-2</v>
      </c>
      <c r="CN14" s="5">
        <v>2.3026688670926061E-2</v>
      </c>
      <c r="CO14" s="5">
        <v>-7.8763758718324112E-2</v>
      </c>
      <c r="CP14" s="5">
        <v>-9.9809331481752833E-2</v>
      </c>
      <c r="CQ14" s="5">
        <v>3.2227899887387702E-2</v>
      </c>
      <c r="CR14" s="5">
        <v>-0.207719712590648</v>
      </c>
      <c r="CS14" s="5">
        <v>-3.8151052631578849E-3</v>
      </c>
      <c r="CT14" s="5">
        <v>-9.6618862820552417E-3</v>
      </c>
      <c r="CU14" s="5">
        <v>0.1015449999567145</v>
      </c>
      <c r="CV14" s="5">
        <v>-3.9399684210526323E-2</v>
      </c>
      <c r="CW14" s="5">
        <v>4.476388444326003E-2</v>
      </c>
      <c r="CX14" s="5">
        <v>-9.0639227349923676E-2</v>
      </c>
      <c r="CY14" s="5">
        <v>-9.6361130127283909E-2</v>
      </c>
      <c r="CZ14" s="5">
        <v>-1.030139965842336E-2</v>
      </c>
      <c r="DA14" s="5">
        <v>-2.4304289170584491E-2</v>
      </c>
      <c r="DB14" s="5">
        <v>2.356107318819085E-2</v>
      </c>
      <c r="DC14" s="5">
        <v>-2.3632609204847509E-2</v>
      </c>
      <c r="DD14" s="5">
        <v>7.920535184818453E-2</v>
      </c>
      <c r="DE14" s="5">
        <v>6.2526924006459011E-2</v>
      </c>
      <c r="DF14" s="5">
        <v>-6.4180407871054571E-2</v>
      </c>
      <c r="DG14" s="5">
        <v>8.7324805758533047E-2</v>
      </c>
      <c r="DH14" s="5">
        <v>-5.8742578947368403E-2</v>
      </c>
      <c r="DI14" s="5">
        <v>4.0659134635571623E-2</v>
      </c>
      <c r="DJ14" s="5">
        <v>-8.7940293873207658E-3</v>
      </c>
      <c r="DK14" s="5">
        <v>-7.7413284290136219E-2</v>
      </c>
      <c r="DL14" s="5">
        <v>-4.0754871831899041E-2</v>
      </c>
      <c r="DM14" s="5">
        <v>3.2421916741778967E-2</v>
      </c>
      <c r="DN14" s="5">
        <v>4.4935740608495638E-2</v>
      </c>
      <c r="DO14" s="5">
        <v>7.0288548944531612E-2</v>
      </c>
      <c r="DP14" s="5">
        <v>4.3539716357652018E-2</v>
      </c>
      <c r="DQ14" s="5">
        <v>-7.1172564581132955E-2</v>
      </c>
      <c r="DR14" s="5">
        <v>7.7946315789473707E-3</v>
      </c>
      <c r="DS14" s="5">
        <v>-8.9437754388967186E-2</v>
      </c>
      <c r="DT14" s="5">
        <v>7.7542903390828534E-3</v>
      </c>
      <c r="DU14" s="5">
        <v>-0.11891758656757311</v>
      </c>
      <c r="DV14" s="5">
        <v>-4.5153223904483022E-2</v>
      </c>
      <c r="DW14" s="5">
        <v>9.8344367017777726E-2</v>
      </c>
      <c r="DX14" s="5">
        <v>-2.7689697360398641E-2</v>
      </c>
      <c r="DY14" s="5">
        <v>4.7660986602341179E-2</v>
      </c>
      <c r="DZ14" s="5">
        <v>2.1697589256116791E-2</v>
      </c>
      <c r="EA14" s="5">
        <v>0.1075255263157895</v>
      </c>
      <c r="EB14" s="5">
        <v>7.8179830700263173E-2</v>
      </c>
      <c r="EC14" s="5">
        <v>-4.3260017529307637E-2</v>
      </c>
      <c r="ED14" s="5">
        <v>-7.8399264145063485E-2</v>
      </c>
      <c r="EE14" s="5">
        <v>-4.2505739301358231E-2</v>
      </c>
      <c r="EF14" s="5">
        <v>-2.5524210526315781E-2</v>
      </c>
    </row>
    <row r="15" spans="1:136">
      <c r="A15" s="1">
        <v>100</v>
      </c>
      <c r="B15" s="1">
        <v>10</v>
      </c>
      <c r="C15" s="4">
        <v>-3.6350225217569622E-2</v>
      </c>
      <c r="D15" s="5">
        <v>0.37270970000000009</v>
      </c>
      <c r="E15" s="5">
        <v>-9.5344605470970442E-2</v>
      </c>
      <c r="F15" s="5">
        <v>3.4921436556697362E-2</v>
      </c>
      <c r="G15" s="5">
        <v>-3.4403920967036511E-2</v>
      </c>
      <c r="H15" s="5">
        <v>-1.2437260581051001E-3</v>
      </c>
      <c r="I15" s="5">
        <v>-5.843144427986554E-2</v>
      </c>
      <c r="J15" s="5">
        <v>4.9961465247389647E-2</v>
      </c>
      <c r="K15" s="5">
        <v>9.4514797591930877E-2</v>
      </c>
      <c r="L15" s="5">
        <v>-8.1171060568646272E-2</v>
      </c>
      <c r="M15" s="5">
        <v>-2.1330164362876949E-3</v>
      </c>
      <c r="N15" s="5">
        <v>0.10979619442513371</v>
      </c>
      <c r="O15" s="5">
        <v>7.375734424631461E-2</v>
      </c>
      <c r="P15" s="5">
        <v>2.1896569845224052E-2</v>
      </c>
      <c r="Q15" s="5">
        <v>0.15553684210781249</v>
      </c>
      <c r="R15" s="5">
        <v>5.2129690105117463E-2</v>
      </c>
      <c r="S15" s="5">
        <v>8.5487890205940886E-2</v>
      </c>
      <c r="T15" s="5">
        <v>6.6800124943112091E-2</v>
      </c>
      <c r="U15" s="5">
        <v>0.1369680616672688</v>
      </c>
      <c r="V15" s="5">
        <v>0.1101270063308359</v>
      </c>
      <c r="W15" s="5">
        <v>5.0671424244990583E-2</v>
      </c>
      <c r="X15" s="5">
        <v>7.8436500000000034E-2</v>
      </c>
      <c r="Y15" s="5">
        <v>5.202879805714216E-2</v>
      </c>
      <c r="Z15" s="5">
        <v>4.6719972053358677E-2</v>
      </c>
      <c r="AA15" s="5">
        <v>-5.4081147028033669E-2</v>
      </c>
      <c r="AB15" s="5">
        <v>-8.370017251583052E-2</v>
      </c>
      <c r="AC15" s="5">
        <v>4.3176688480551298E-3</v>
      </c>
      <c r="AD15" s="5">
        <v>-8.171337488818238E-2</v>
      </c>
      <c r="AE15" s="5">
        <v>0.21179264304727199</v>
      </c>
      <c r="AF15" s="5">
        <v>-0.13772628717765439</v>
      </c>
      <c r="AG15" s="5">
        <v>-4.4324544215075819E-2</v>
      </c>
      <c r="AH15" s="5">
        <v>0.13296736500972281</v>
      </c>
      <c r="AI15" s="5">
        <v>-2.4849257132530979E-2</v>
      </c>
      <c r="AJ15" s="5">
        <v>-3.3717922119173148E-2</v>
      </c>
      <c r="AK15" s="5">
        <v>-6.9361451191916404E-2</v>
      </c>
      <c r="AL15" s="5">
        <v>4.4431662495814539E-2</v>
      </c>
      <c r="AM15" s="5">
        <v>5.5122622134627111E-2</v>
      </c>
      <c r="AN15" s="5">
        <v>0.10168870591238351</v>
      </c>
      <c r="AO15" s="5">
        <v>-5.1384520239967417E-2</v>
      </c>
      <c r="AP15" s="5">
        <v>-1.25822E-2</v>
      </c>
      <c r="AQ15" s="5">
        <v>3.7367126796121669E-2</v>
      </c>
      <c r="AR15" s="5">
        <v>-2.4550300000000001E-2</v>
      </c>
      <c r="AS15" s="5">
        <v>5.3821179037114017E-2</v>
      </c>
      <c r="AT15" s="5">
        <v>7.098981260370496E-2</v>
      </c>
      <c r="AU15" s="5">
        <v>7.7174077249961781E-2</v>
      </c>
      <c r="AV15" s="5">
        <v>3.3224999999999998E-2</v>
      </c>
      <c r="AW15" s="5">
        <v>-1.5659939254580951E-2</v>
      </c>
      <c r="AX15" s="5">
        <v>-8.1360565954768135E-2</v>
      </c>
      <c r="AY15" s="5">
        <v>-2.9005659300491791E-2</v>
      </c>
      <c r="AZ15" s="5">
        <v>-6.7846329118650434E-2</v>
      </c>
      <c r="BA15" s="5">
        <v>1.061351480765297E-2</v>
      </c>
      <c r="BB15" s="5">
        <v>0.1087885</v>
      </c>
      <c r="BC15" s="5">
        <v>6.2155143667830287E-2</v>
      </c>
      <c r="BD15" s="5">
        <v>5.3043273904796059E-2</v>
      </c>
      <c r="BE15" s="5">
        <v>-4.8442721017663122E-2</v>
      </c>
      <c r="BF15" s="5">
        <v>0.2108720874899874</v>
      </c>
      <c r="BG15" s="5">
        <v>2.489538734565238E-3</v>
      </c>
      <c r="BH15" s="5">
        <v>3.4441845481689458E-2</v>
      </c>
      <c r="BI15" s="5">
        <v>2.115911440673959E-2</v>
      </c>
      <c r="BJ15" s="5">
        <v>0.13011025503616941</v>
      </c>
      <c r="BK15" s="5">
        <v>4.5604932300413459E-2</v>
      </c>
      <c r="BL15" s="5">
        <v>5.9755420974320878E-2</v>
      </c>
      <c r="BM15" s="5">
        <v>4.8219004487744091E-2</v>
      </c>
      <c r="BN15" s="5">
        <v>6.3720727411011702E-2</v>
      </c>
      <c r="BO15" s="5">
        <v>-2.773447595493098E-2</v>
      </c>
      <c r="BP15" s="5">
        <v>-5.161580000000001E-2</v>
      </c>
      <c r="BQ15" s="5">
        <v>-4.3431253492895713E-2</v>
      </c>
      <c r="BR15" s="5">
        <v>-5.0157429122059692E-2</v>
      </c>
      <c r="BS15" s="5">
        <v>-1.1865910908611719E-2</v>
      </c>
      <c r="BT15" s="5">
        <v>-5.9850936091850722E-2</v>
      </c>
      <c r="BU15" s="5">
        <v>1.9476419795793471E-2</v>
      </c>
      <c r="BV15" s="5">
        <v>-8.6180100000000009E-2</v>
      </c>
      <c r="BW15" s="5">
        <v>0.29887898957592779</v>
      </c>
      <c r="BX15" s="5">
        <v>-5.385156894446378E-2</v>
      </c>
      <c r="BY15" s="5">
        <v>-9.3338900000000002E-2</v>
      </c>
      <c r="BZ15" s="5">
        <v>-0.1029064689773473</v>
      </c>
      <c r="CA15" s="5">
        <v>-1.859202079644226E-2</v>
      </c>
      <c r="CB15" s="5">
        <v>-0.1310916</v>
      </c>
      <c r="CC15" s="5">
        <v>0.17364959999999999</v>
      </c>
      <c r="CD15" s="5">
        <v>-4.7114468128673648E-2</v>
      </c>
      <c r="CE15" s="5">
        <v>-0.1165165690701207</v>
      </c>
      <c r="CF15" s="5">
        <v>4.1349429867967538E-2</v>
      </c>
      <c r="CG15" s="5">
        <v>-8.5886021530163809E-2</v>
      </c>
      <c r="CH15" s="5">
        <v>8.1342607983328249E-2</v>
      </c>
      <c r="CI15" s="5">
        <v>-2.5109387803323689E-3</v>
      </c>
      <c r="CJ15" s="5">
        <v>8.7044356072718085E-2</v>
      </c>
      <c r="CK15" s="5">
        <v>9.5640748172705348E-2</v>
      </c>
      <c r="CL15" s="5">
        <v>-0.16165447304317659</v>
      </c>
      <c r="CM15" s="5">
        <v>7.4631116128453773E-2</v>
      </c>
      <c r="CN15" s="5">
        <v>4.2634115799160301E-2</v>
      </c>
      <c r="CO15" s="5">
        <v>-0.1069792441995681</v>
      </c>
      <c r="CP15" s="5">
        <v>-0.12753583543294969</v>
      </c>
      <c r="CQ15" s="5">
        <v>-2.49633604564388E-2</v>
      </c>
      <c r="CR15" s="5">
        <v>-0.18148893223573509</v>
      </c>
      <c r="CS15" s="5">
        <v>1.6912400000000001E-2</v>
      </c>
      <c r="CT15" s="5">
        <v>4.9416703656119249E-3</v>
      </c>
      <c r="CU15" s="5">
        <v>0.12404993141386809</v>
      </c>
      <c r="CV15" s="5">
        <v>-6.0443999999999998E-2</v>
      </c>
      <c r="CW15" s="5">
        <v>2.6072090903126711E-2</v>
      </c>
      <c r="CX15" s="5">
        <v>-0.15238777889156799</v>
      </c>
      <c r="CY15" s="5">
        <v>-9.2947904335357948E-2</v>
      </c>
      <c r="CZ15" s="5">
        <v>-2.3763335140482119E-2</v>
      </c>
      <c r="DA15" s="5">
        <v>-2.6375835441876511E-2</v>
      </c>
      <c r="DB15" s="5">
        <v>3.0226618214123681E-2</v>
      </c>
      <c r="DC15" s="5">
        <v>-3.5075149974582137E-2</v>
      </c>
      <c r="DD15" s="5">
        <v>1.450672613144627E-2</v>
      </c>
      <c r="DE15" s="5">
        <v>5.7163634731252508E-2</v>
      </c>
      <c r="DF15" s="5">
        <v>6.0545262726041799E-3</v>
      </c>
      <c r="DG15" s="5">
        <v>0.11309156284035971</v>
      </c>
      <c r="DH15" s="5">
        <v>-0.1296235</v>
      </c>
      <c r="DI15" s="5">
        <v>5.4108318657130297E-2</v>
      </c>
      <c r="DJ15" s="5">
        <v>-6.0023776691057282E-2</v>
      </c>
      <c r="DK15" s="5">
        <v>-7.2188597805797533E-2</v>
      </c>
      <c r="DL15" s="5">
        <v>3.0399320282783332E-4</v>
      </c>
      <c r="DM15" s="5">
        <v>3.9052116693665768E-2</v>
      </c>
      <c r="DN15" s="5">
        <v>8.1730712251129128E-2</v>
      </c>
      <c r="DO15" s="5">
        <v>3.4104415749097068E-2</v>
      </c>
      <c r="DP15" s="5">
        <v>2.3735602006892551E-2</v>
      </c>
      <c r="DQ15" s="5">
        <v>-3.7038688952197418E-2</v>
      </c>
      <c r="DR15" s="5">
        <v>-2.20354E-2</v>
      </c>
      <c r="DS15" s="5">
        <v>-9.5715424587646258E-3</v>
      </c>
      <c r="DT15" s="5">
        <v>5.271878998906962E-2</v>
      </c>
      <c r="DU15" s="5">
        <v>-0.18864064490238791</v>
      </c>
      <c r="DV15" s="5">
        <v>-4.6727729353239662E-2</v>
      </c>
      <c r="DW15" s="5">
        <v>2.5538627146832551E-2</v>
      </c>
      <c r="DX15" s="5">
        <v>-2.1545670320480031E-2</v>
      </c>
      <c r="DY15" s="5">
        <v>-8.3673634692538773E-2</v>
      </c>
      <c r="DZ15" s="5">
        <v>3.6596497763803963E-2</v>
      </c>
      <c r="EA15" s="5">
        <v>0.1091777</v>
      </c>
      <c r="EB15" s="5">
        <v>8.8087449527254891E-2</v>
      </c>
      <c r="EC15" s="5">
        <v>-7.6157076796619858E-2</v>
      </c>
      <c r="ED15" s="5">
        <v>-0.1106600344882203</v>
      </c>
      <c r="EE15" s="5">
        <v>-4.9344179940159598E-2</v>
      </c>
      <c r="EF15" s="5">
        <v>-2.96441E-2</v>
      </c>
    </row>
    <row r="16" spans="1:136">
      <c r="A16" s="1">
        <v>107</v>
      </c>
      <c r="B16" s="1">
        <v>9</v>
      </c>
      <c r="C16" s="4">
        <v>-3.9435389831589431E-2</v>
      </c>
      <c r="D16" s="5">
        <v>0.40819544444444439</v>
      </c>
      <c r="E16" s="5">
        <v>-8.6704171428553314E-2</v>
      </c>
      <c r="F16" s="5">
        <v>7.871547190433098E-2</v>
      </c>
      <c r="G16" s="5">
        <v>-8.1465506589492725E-3</v>
      </c>
      <c r="H16" s="5">
        <v>-6.4934945682303775E-4</v>
      </c>
      <c r="I16" s="5">
        <v>-5.7530618665621432E-2</v>
      </c>
      <c r="J16" s="5">
        <v>4.6709926042666168E-2</v>
      </c>
      <c r="K16" s="5">
        <v>8.642089158239058E-2</v>
      </c>
      <c r="L16" s="5">
        <v>-8.5161604114211434E-2</v>
      </c>
      <c r="M16" s="5">
        <v>-1.3987435861917089E-2</v>
      </c>
      <c r="N16" s="5">
        <v>0.1202424982791967</v>
      </c>
      <c r="O16" s="5">
        <v>7.9826860571117084E-2</v>
      </c>
      <c r="P16" s="5">
        <v>8.1881795143319731E-3</v>
      </c>
      <c r="Q16" s="5">
        <v>0.15790307042433799</v>
      </c>
      <c r="R16" s="5">
        <v>4.899097828292652E-2</v>
      </c>
      <c r="S16" s="5">
        <v>0.1098590443348066</v>
      </c>
      <c r="T16" s="5">
        <v>6.7219060157601318E-2</v>
      </c>
      <c r="U16" s="5">
        <v>0.1300624714297445</v>
      </c>
      <c r="V16" s="5">
        <v>7.5571486108906974E-2</v>
      </c>
      <c r="W16" s="5">
        <v>0.1016313571311754</v>
      </c>
      <c r="X16" s="5">
        <v>7.3678333333333373E-2</v>
      </c>
      <c r="Y16" s="5">
        <v>5.0278834461062571E-2</v>
      </c>
      <c r="Z16" s="5">
        <v>4.3057930884211712E-2</v>
      </c>
      <c r="AA16" s="5">
        <v>-4.3487635835992113E-2</v>
      </c>
      <c r="AB16" s="5">
        <v>-7.4985041637980393E-2</v>
      </c>
      <c r="AC16" s="5">
        <v>-1.27654480354167E-2</v>
      </c>
      <c r="AD16" s="5">
        <v>-5.3136055547856789E-2</v>
      </c>
      <c r="AE16" s="5">
        <v>0.20962824117691051</v>
      </c>
      <c r="AF16" s="5">
        <v>-0.14791561026442651</v>
      </c>
      <c r="AG16" s="5">
        <v>-4.3776159735772403E-2</v>
      </c>
      <c r="AH16" s="5">
        <v>0.1484016251671525</v>
      </c>
      <c r="AI16" s="5">
        <v>-3.3383255671647301E-2</v>
      </c>
      <c r="AJ16" s="5">
        <v>-4.812047853633028E-2</v>
      </c>
      <c r="AK16" s="5">
        <v>-3.7433452981487869E-2</v>
      </c>
      <c r="AL16" s="5">
        <v>4.8688933104523248E-2</v>
      </c>
      <c r="AM16" s="5">
        <v>6.6076730601797973E-2</v>
      </c>
      <c r="AN16" s="5">
        <v>0.1064562000896756</v>
      </c>
      <c r="AO16" s="5">
        <v>-4.1090153361741252E-2</v>
      </c>
      <c r="AP16" s="5">
        <v>-5.2404444444444451E-3</v>
      </c>
      <c r="AQ16" s="5">
        <v>3.8466200146068608E-2</v>
      </c>
      <c r="AR16" s="5">
        <v>-3.2492222222222207E-2</v>
      </c>
      <c r="AS16" s="5">
        <v>6.5068225473969343E-2</v>
      </c>
      <c r="AT16" s="5">
        <v>0.1225640433502848</v>
      </c>
      <c r="AU16" s="5">
        <v>8.2090271843001925E-2</v>
      </c>
      <c r="AV16" s="5">
        <v>2.360855555555556E-2</v>
      </c>
      <c r="AW16" s="5">
        <v>-3.9252930074650652E-2</v>
      </c>
      <c r="AX16" s="5">
        <v>-0.1006213291014028</v>
      </c>
      <c r="AY16" s="5">
        <v>-1.9601853599139189E-2</v>
      </c>
      <c r="AZ16" s="5">
        <v>-8.8150181520572649E-2</v>
      </c>
      <c r="BA16" s="5">
        <v>1.4923105057586089E-2</v>
      </c>
      <c r="BB16" s="5">
        <v>0.13247400000000001</v>
      </c>
      <c r="BC16" s="5">
        <v>6.712146610769186E-2</v>
      </c>
      <c r="BD16" s="5">
        <v>3.5936711545904013E-2</v>
      </c>
      <c r="BE16" s="5">
        <v>-5.1410994394474947E-2</v>
      </c>
      <c r="BF16" s="5">
        <v>0.24778685910046011</v>
      </c>
      <c r="BG16" s="5">
        <v>1.347328204795663E-2</v>
      </c>
      <c r="BH16" s="5">
        <v>-1.377561448396186E-2</v>
      </c>
      <c r="BI16" s="5">
        <v>4.8989940432910987E-2</v>
      </c>
      <c r="BJ16" s="5">
        <v>9.6566803525538036E-2</v>
      </c>
      <c r="BK16" s="5">
        <v>5.137162452601142E-2</v>
      </c>
      <c r="BL16" s="5">
        <v>6.1173599484470167E-2</v>
      </c>
      <c r="BM16" s="5">
        <v>3.9497985491106162E-2</v>
      </c>
      <c r="BN16" s="5">
        <v>6.1304749909884763E-2</v>
      </c>
      <c r="BO16" s="5">
        <v>-2.1890359953657689E-2</v>
      </c>
      <c r="BP16" s="5">
        <v>-5.7748888888888898E-2</v>
      </c>
      <c r="BQ16" s="5">
        <v>-2.3690718667247399E-2</v>
      </c>
      <c r="BR16" s="5">
        <v>-2.6296848021444389E-2</v>
      </c>
      <c r="BS16" s="5">
        <v>-3.2006987192883168E-2</v>
      </c>
      <c r="BT16" s="5">
        <v>-4.6660882493518303E-2</v>
      </c>
      <c r="BU16" s="5">
        <v>5.7765110184800447E-2</v>
      </c>
      <c r="BV16" s="5">
        <v>-9.4510444444444452E-2</v>
      </c>
      <c r="BW16" s="5">
        <v>0.31797083453836722</v>
      </c>
      <c r="BX16" s="5">
        <v>-6.6559519118082902E-2</v>
      </c>
      <c r="BY16" s="5">
        <v>-0.1189954444444445</v>
      </c>
      <c r="BZ16" s="5">
        <v>-0.11152584850164921</v>
      </c>
      <c r="CA16" s="5">
        <v>-2.971438975556321E-2</v>
      </c>
      <c r="CB16" s="5">
        <v>-0.13930899999999999</v>
      </c>
      <c r="CC16" s="5">
        <v>4.4386333333333347E-2</v>
      </c>
      <c r="CD16" s="5">
        <v>-6.0988525873729958E-2</v>
      </c>
      <c r="CE16" s="5">
        <v>-0.13259506079351141</v>
      </c>
      <c r="CF16" s="5">
        <v>5.280008433528089E-2</v>
      </c>
      <c r="CG16" s="5">
        <v>-6.1727878146666561E-2</v>
      </c>
      <c r="CH16" s="5">
        <v>5.0448724703996098E-2</v>
      </c>
      <c r="CI16" s="5">
        <v>-4.2406681121506702E-3</v>
      </c>
      <c r="CJ16" s="5">
        <v>4.5523550787666608E-2</v>
      </c>
      <c r="CK16" s="5">
        <v>8.8422689781607638E-2</v>
      </c>
      <c r="CL16" s="5">
        <v>-0.19674043815921369</v>
      </c>
      <c r="CM16" s="5">
        <v>8.8988628149511667E-2</v>
      </c>
      <c r="CN16" s="5">
        <v>3.3057515140949983E-2</v>
      </c>
      <c r="CO16" s="5">
        <v>-0.13464020879390531</v>
      </c>
      <c r="CP16" s="5">
        <v>-0.13663168948209131</v>
      </c>
      <c r="CQ16" s="5">
        <v>-2.0333779820360921E-2</v>
      </c>
      <c r="CR16" s="5">
        <v>-0.1892865334673984</v>
      </c>
      <c r="CS16" s="5">
        <v>2.1808222222222218E-2</v>
      </c>
      <c r="CT16" s="5">
        <v>2.5557377960834651E-2</v>
      </c>
      <c r="CU16" s="5">
        <v>0.1354717008642061</v>
      </c>
      <c r="CV16" s="5">
        <v>-5.9453444444444448E-2</v>
      </c>
      <c r="CW16" s="5">
        <v>4.7341659174279828E-2</v>
      </c>
      <c r="CX16" s="5">
        <v>-0.16226597530261619</v>
      </c>
      <c r="CY16" s="5">
        <v>-8.1280637874214245E-2</v>
      </c>
      <c r="CZ16" s="5">
        <v>-3.2724822242144208E-2</v>
      </c>
      <c r="DA16" s="5">
        <v>-2.9804793967235531E-2</v>
      </c>
      <c r="DB16" s="5">
        <v>4.2712169780226052E-2</v>
      </c>
      <c r="DC16" s="5">
        <v>-4.2942362320500277E-2</v>
      </c>
      <c r="DD16" s="5">
        <v>3.1743710487280023E-2</v>
      </c>
      <c r="DE16" s="5">
        <v>3.4552400358790022E-2</v>
      </c>
      <c r="DF16" s="5">
        <v>2.6980135523259619E-3</v>
      </c>
      <c r="DG16" s="5">
        <v>0.12637191985047269</v>
      </c>
      <c r="DH16" s="5">
        <v>-0.13714944444444449</v>
      </c>
      <c r="DI16" s="5">
        <v>4.5399497901261208E-2</v>
      </c>
      <c r="DJ16" s="5">
        <v>-7.0955052436885546E-2</v>
      </c>
      <c r="DK16" s="5">
        <v>-5.7685769347259337E-2</v>
      </c>
      <c r="DL16" s="5">
        <v>2.187287424977424E-2</v>
      </c>
      <c r="DM16" s="5">
        <v>1.8910374168543239E-2</v>
      </c>
      <c r="DN16" s="5">
        <v>0.1158867317449916</v>
      </c>
      <c r="DO16" s="5">
        <v>4.656386647977797E-2</v>
      </c>
      <c r="DP16" s="5">
        <v>1.9841948579226051E-2</v>
      </c>
      <c r="DQ16" s="5">
        <v>-4.7070156004531787E-2</v>
      </c>
      <c r="DR16" s="5">
        <v>-1.117833333333333E-2</v>
      </c>
      <c r="DS16" s="5">
        <v>1.042302437651493E-2</v>
      </c>
      <c r="DT16" s="5">
        <v>5.9112975078185963E-2</v>
      </c>
      <c r="DU16" s="5">
        <v>-0.1901082424459184</v>
      </c>
      <c r="DV16" s="5">
        <v>-4.5728317172487008E-2</v>
      </c>
      <c r="DW16" s="5">
        <v>4.0917729699690833E-2</v>
      </c>
      <c r="DX16" s="5">
        <v>-2.1947727776040898E-2</v>
      </c>
      <c r="DY16" s="5">
        <v>-9.4984864221236961E-2</v>
      </c>
      <c r="DZ16" s="5">
        <v>1.264917158578936E-2</v>
      </c>
      <c r="EA16" s="5">
        <v>0.13979988888888889</v>
      </c>
      <c r="EB16" s="5">
        <v>0.1006791006772017</v>
      </c>
      <c r="EC16" s="5">
        <v>-6.8501480567839029E-2</v>
      </c>
      <c r="ED16" s="5">
        <v>-0.11469922764091681</v>
      </c>
      <c r="EE16" s="5">
        <v>-5.9240996655185861E-2</v>
      </c>
      <c r="EF16" s="5">
        <v>-3.4548444444444437E-2</v>
      </c>
    </row>
    <row r="17" spans="1:136">
      <c r="A17" s="1">
        <v>120</v>
      </c>
      <c r="B17" s="1">
        <v>8</v>
      </c>
      <c r="C17" s="4">
        <v>-3.8913468982799751E-2</v>
      </c>
      <c r="D17" s="5">
        <v>0.43958837499999998</v>
      </c>
      <c r="E17" s="5">
        <v>-9.6671109192610821E-2</v>
      </c>
      <c r="F17" s="5">
        <v>8.0752164152319103E-2</v>
      </c>
      <c r="G17" s="5">
        <v>-0.10538707466373071</v>
      </c>
      <c r="H17" s="5">
        <v>7.9428568480016878E-3</v>
      </c>
      <c r="I17" s="5">
        <v>-0.1137250278021875</v>
      </c>
      <c r="J17" s="5">
        <v>4.1858395118229183E-2</v>
      </c>
      <c r="K17" s="5">
        <v>0.1015600797223099</v>
      </c>
      <c r="L17" s="5">
        <v>-4.2234791145342128E-2</v>
      </c>
      <c r="M17" s="5">
        <v>1.4659142090288421E-2</v>
      </c>
      <c r="N17" s="5">
        <v>0.1092778268298058</v>
      </c>
      <c r="O17" s="5">
        <v>0.1012267692723357</v>
      </c>
      <c r="P17" s="5">
        <v>1.338294674336832E-2</v>
      </c>
      <c r="Q17" s="5">
        <v>0.16180129461512691</v>
      </c>
      <c r="R17" s="5">
        <v>5.2057608904527208E-2</v>
      </c>
      <c r="S17" s="5">
        <v>0.1190543893253307</v>
      </c>
      <c r="T17" s="5">
        <v>7.120201453280707E-2</v>
      </c>
      <c r="U17" s="5">
        <v>0.14127114253855691</v>
      </c>
      <c r="V17" s="5">
        <v>9.7259655852603044E-2</v>
      </c>
      <c r="W17" s="5">
        <v>0.1286672543576686</v>
      </c>
      <c r="X17" s="5">
        <v>0.10018637499999999</v>
      </c>
      <c r="Y17" s="5">
        <v>7.3623131490407626E-2</v>
      </c>
      <c r="Z17" s="5">
        <v>5.3868489290865788E-2</v>
      </c>
      <c r="AA17" s="5">
        <v>-3.5209789582199093E-2</v>
      </c>
      <c r="AB17" s="5">
        <v>-8.4852062878172319E-2</v>
      </c>
      <c r="AC17" s="5">
        <v>-2.008625473802152E-2</v>
      </c>
      <c r="AD17" s="5">
        <v>-4.9777375460754107E-2</v>
      </c>
      <c r="AE17" s="5">
        <v>0.22212270442845089</v>
      </c>
      <c r="AF17" s="5">
        <v>-0.1202863246558465</v>
      </c>
      <c r="AG17" s="5">
        <v>-6.2640141571138702E-2</v>
      </c>
      <c r="AH17" s="5">
        <v>0.14702488925580459</v>
      </c>
      <c r="AI17" s="5">
        <v>-5.7037975655486538E-2</v>
      </c>
      <c r="AJ17" s="5">
        <v>-6.1612618608742321E-2</v>
      </c>
      <c r="AK17" s="5">
        <v>-2.937588960957525E-2</v>
      </c>
      <c r="AL17" s="5">
        <v>5.0724405748556509E-2</v>
      </c>
      <c r="AM17" s="5">
        <v>7.5369367587656971E-2</v>
      </c>
      <c r="AN17" s="5">
        <v>0.1132871203459177</v>
      </c>
      <c r="AO17" s="5">
        <v>-7.6694527622622979E-2</v>
      </c>
      <c r="AP17" s="5">
        <v>-3.7592499999999991E-3</v>
      </c>
      <c r="AQ17" s="5">
        <v>6.052713740149903E-2</v>
      </c>
      <c r="AR17" s="5">
        <v>-3.4996625000000003E-2</v>
      </c>
      <c r="AS17" s="5">
        <v>5.6323562034475708E-2</v>
      </c>
      <c r="AT17" s="5">
        <v>0.1270717931072517</v>
      </c>
      <c r="AU17" s="5">
        <v>0.11569960953410489</v>
      </c>
      <c r="AV17" s="5">
        <v>2.7563375000000011E-2</v>
      </c>
      <c r="AW17" s="5">
        <v>-8.4218880418367916E-3</v>
      </c>
      <c r="AX17" s="5">
        <v>-9.7619105117607935E-2</v>
      </c>
      <c r="AY17" s="5">
        <v>-1.547804570524644E-2</v>
      </c>
      <c r="AZ17" s="5">
        <v>-7.0494230916434586E-2</v>
      </c>
      <c r="BA17" s="5">
        <v>9.8251791071129642E-3</v>
      </c>
      <c r="BB17" s="5">
        <v>0.15327075000000001</v>
      </c>
      <c r="BC17" s="5">
        <v>8.386319517781364E-2</v>
      </c>
      <c r="BD17" s="5">
        <v>2.235648224620481E-2</v>
      </c>
      <c r="BE17" s="5">
        <v>-7.7350242238060404E-2</v>
      </c>
      <c r="BF17" s="5">
        <v>0.14777683028015831</v>
      </c>
      <c r="BG17" s="5">
        <v>-3.5394236088037288E-2</v>
      </c>
      <c r="BH17" s="5">
        <v>1.351946085175304E-2</v>
      </c>
      <c r="BI17" s="5">
        <v>8.073839955835159E-2</v>
      </c>
      <c r="BJ17" s="5">
        <v>9.7868244368423979E-2</v>
      </c>
      <c r="BK17" s="5">
        <v>1.67513267503808E-2</v>
      </c>
      <c r="BL17" s="5">
        <v>3.4152447324294427E-2</v>
      </c>
      <c r="BM17" s="5">
        <v>2.905901115235426E-2</v>
      </c>
      <c r="BN17" s="5">
        <v>5.3470180947152127E-2</v>
      </c>
      <c r="BO17" s="5">
        <v>-3.5179615416723611E-2</v>
      </c>
      <c r="BP17" s="5">
        <v>-6.0636875000000007E-2</v>
      </c>
      <c r="BQ17" s="5">
        <v>-2.5601715515448219E-2</v>
      </c>
      <c r="BR17" s="5">
        <v>-9.6463751247498966E-3</v>
      </c>
      <c r="BS17" s="5">
        <v>-2.0906018213695501E-2</v>
      </c>
      <c r="BT17" s="5">
        <v>-5.2650160261977733E-2</v>
      </c>
      <c r="BU17" s="5">
        <v>7.1127818750752414E-2</v>
      </c>
      <c r="BV17" s="5">
        <v>-0.106643875</v>
      </c>
      <c r="BW17" s="5">
        <v>0.2083368255173885</v>
      </c>
      <c r="BX17" s="5">
        <v>-8.2640989537648424E-2</v>
      </c>
      <c r="BY17" s="5">
        <v>-9.5862375000000014E-2</v>
      </c>
      <c r="BZ17" s="5">
        <v>-0.12057815588108529</v>
      </c>
      <c r="CA17" s="5">
        <v>-2.7934832358489561E-2</v>
      </c>
      <c r="CB17" s="5">
        <v>-0.14963337500000001</v>
      </c>
      <c r="CC17" s="5">
        <v>4.1758499999999997E-2</v>
      </c>
      <c r="CD17" s="5">
        <v>-7.6385115279474114E-2</v>
      </c>
      <c r="CE17" s="5">
        <v>-0.17511624550605151</v>
      </c>
      <c r="CF17" s="5">
        <v>5.8238796594696537E-2</v>
      </c>
      <c r="CG17" s="5">
        <v>-7.4714988628731105E-2</v>
      </c>
      <c r="CH17" s="5">
        <v>3.296907217045305E-2</v>
      </c>
      <c r="CI17" s="5">
        <v>-3.7017833748845611E-3</v>
      </c>
      <c r="CJ17" s="5">
        <v>5.0742321484442049E-2</v>
      </c>
      <c r="CK17" s="5">
        <v>8.3955848259630761E-2</v>
      </c>
      <c r="CL17" s="5">
        <v>-0.13683909896473681</v>
      </c>
      <c r="CM17" s="5">
        <v>0.13456934443157431</v>
      </c>
      <c r="CN17" s="5">
        <v>2.6718061150986971E-2</v>
      </c>
      <c r="CO17" s="5">
        <v>-0.13741287532952509</v>
      </c>
      <c r="CP17" s="5">
        <v>-0.1481592691973436</v>
      </c>
      <c r="CQ17" s="5">
        <v>5.1907103341726511E-2</v>
      </c>
      <c r="CR17" s="5">
        <v>-0.19640263176228931</v>
      </c>
      <c r="CS17" s="5">
        <v>1.1546625E-2</v>
      </c>
      <c r="CT17" s="5">
        <v>1.7339280405090751E-2</v>
      </c>
      <c r="CU17" s="5">
        <v>0.15535189279975939</v>
      </c>
      <c r="CV17" s="5">
        <v>-6.7891375000000004E-2</v>
      </c>
      <c r="CW17" s="5">
        <v>6.3393218804487977E-2</v>
      </c>
      <c r="CX17" s="5">
        <v>-0.1250098553997174</v>
      </c>
      <c r="CY17" s="5">
        <v>-7.5608913409805675E-2</v>
      </c>
      <c r="CZ17" s="5">
        <v>-3.1592684380340692E-2</v>
      </c>
      <c r="DA17" s="5">
        <v>-4.3895859145134192E-2</v>
      </c>
      <c r="DB17" s="5">
        <v>3.4883010792467917E-2</v>
      </c>
      <c r="DC17" s="5">
        <v>-4.3363468977499313E-2</v>
      </c>
      <c r="DD17" s="5">
        <v>2.9155420882880739E-2</v>
      </c>
      <c r="DE17" s="5">
        <v>2.4124863346722019E-2</v>
      </c>
      <c r="DF17" s="5">
        <v>1.5674444936529901E-2</v>
      </c>
      <c r="DG17" s="5">
        <v>0.12321246613063939</v>
      </c>
      <c r="DH17" s="5">
        <v>-0.16343337499999999</v>
      </c>
      <c r="DI17" s="5">
        <v>3.5044536065945063E-2</v>
      </c>
      <c r="DJ17" s="5">
        <v>-0.12892505978600949</v>
      </c>
      <c r="DK17" s="5">
        <v>-6.8118111488885122E-2</v>
      </c>
      <c r="DL17" s="5">
        <v>3.929731691128693E-3</v>
      </c>
      <c r="DM17" s="5">
        <v>3.7227475515992328E-2</v>
      </c>
      <c r="DN17" s="5">
        <v>0.1064799626072864</v>
      </c>
      <c r="DO17" s="5">
        <v>6.5250544351453679E-2</v>
      </c>
      <c r="DP17" s="5">
        <v>-1.651850825662354E-2</v>
      </c>
      <c r="DQ17" s="5">
        <v>-7.2654005106024863E-2</v>
      </c>
      <c r="DR17" s="5">
        <v>-2.5726499999999999E-2</v>
      </c>
      <c r="DS17" s="5">
        <v>6.5055362314722226E-3</v>
      </c>
      <c r="DT17" s="5">
        <v>5.9811935234976271E-2</v>
      </c>
      <c r="DU17" s="5">
        <v>-0.15955509947844379</v>
      </c>
      <c r="DV17" s="5">
        <v>-4.5148836149058763E-2</v>
      </c>
      <c r="DW17" s="5">
        <v>4.8681483414150163E-2</v>
      </c>
      <c r="DX17" s="5">
        <v>2.3035180169188669E-2</v>
      </c>
      <c r="DY17" s="5">
        <v>-0.12601053790105471</v>
      </c>
      <c r="DZ17" s="5">
        <v>-4.7910532459885732E-3</v>
      </c>
      <c r="EA17" s="5">
        <v>0.16457237499999999</v>
      </c>
      <c r="EB17" s="5">
        <v>0.1072853267537575</v>
      </c>
      <c r="EC17" s="5">
        <v>-0.1215120172680231</v>
      </c>
      <c r="ED17" s="5">
        <v>-0.10329067393702911</v>
      </c>
      <c r="EE17" s="5">
        <v>-6.4278699968889033E-2</v>
      </c>
      <c r="EF17" s="5">
        <v>-4.0984749999999993E-2</v>
      </c>
    </row>
    <row r="18" spans="1:136">
      <c r="A18" s="1">
        <v>137</v>
      </c>
      <c r="B18" s="1">
        <v>7</v>
      </c>
      <c r="C18" s="4">
        <v>-5.9146797802220617E-2</v>
      </c>
      <c r="D18" s="5">
        <v>0.40188400000000007</v>
      </c>
      <c r="E18" s="5">
        <v>-0.10047562300309219</v>
      </c>
      <c r="F18" s="5">
        <v>0.11938296010218979</v>
      </c>
      <c r="G18" s="5">
        <v>-0.10831637328507999</v>
      </c>
      <c r="H18" s="5">
        <v>8.6222277544443261E-3</v>
      </c>
      <c r="I18" s="5">
        <v>-0.13550018022324109</v>
      </c>
      <c r="J18" s="5">
        <v>4.3411515751641608E-2</v>
      </c>
      <c r="K18" s="5">
        <v>0.13564788877763229</v>
      </c>
      <c r="L18" s="5">
        <v>-5.0758207106719029E-2</v>
      </c>
      <c r="M18" s="5">
        <v>2.9051464376457319E-2</v>
      </c>
      <c r="N18" s="5">
        <v>0.14120748849629611</v>
      </c>
      <c r="O18" s="5">
        <v>0.10367048962961919</v>
      </c>
      <c r="P18" s="5">
        <v>8.3280858539089599E-3</v>
      </c>
      <c r="Q18" s="5">
        <v>0.18897541868948989</v>
      </c>
      <c r="R18" s="5">
        <v>6.149223787197499E-2</v>
      </c>
      <c r="S18" s="5">
        <v>0.14380522729889919</v>
      </c>
      <c r="T18" s="5">
        <v>5.4244440031608693E-2</v>
      </c>
      <c r="U18" s="5">
        <v>0.132495024429819</v>
      </c>
      <c r="V18" s="5">
        <v>0.1213914614259257</v>
      </c>
      <c r="W18" s="5">
        <v>0.16613482926929909</v>
      </c>
      <c r="X18" s="5">
        <v>0.12712328571428569</v>
      </c>
      <c r="Y18" s="5">
        <v>0.1038792439088113</v>
      </c>
      <c r="Z18" s="5">
        <v>8.9234363440522865E-2</v>
      </c>
      <c r="AA18" s="5">
        <v>-4.1705245182724067E-2</v>
      </c>
      <c r="AB18" s="5">
        <v>-8.4698299730484178E-2</v>
      </c>
      <c r="AC18" s="5">
        <v>1.3654204768322529E-3</v>
      </c>
      <c r="AD18" s="5">
        <v>-7.2443789088531399E-2</v>
      </c>
      <c r="AE18" s="5">
        <v>0.25839134891520849</v>
      </c>
      <c r="AF18" s="5">
        <v>-0.1505436398240734</v>
      </c>
      <c r="AG18" s="5">
        <v>-8.1719979892753619E-2</v>
      </c>
      <c r="AH18" s="5">
        <v>0.16306850482484961</v>
      </c>
      <c r="AI18" s="5">
        <v>-8.1423750051169697E-2</v>
      </c>
      <c r="AJ18" s="5">
        <v>-7.0867217661602505E-2</v>
      </c>
      <c r="AK18" s="5">
        <v>-2.283288536199644E-2</v>
      </c>
      <c r="AL18" s="5">
        <v>4.7527763632257733E-2</v>
      </c>
      <c r="AM18" s="5">
        <v>6.6643405424771207E-2</v>
      </c>
      <c r="AN18" s="5">
        <v>7.9294639955201793E-2</v>
      </c>
      <c r="AO18" s="5">
        <v>2.4584280444806969E-2</v>
      </c>
      <c r="AP18" s="5">
        <v>-2.0157142857142869E-3</v>
      </c>
      <c r="AQ18" s="5">
        <v>7.6230845326449942E-2</v>
      </c>
      <c r="AR18" s="5">
        <v>-6.169442857142856E-2</v>
      </c>
      <c r="AS18" s="5">
        <v>8.5826551553969135E-2</v>
      </c>
      <c r="AT18" s="5">
        <v>0.16638580942405889</v>
      </c>
      <c r="AU18" s="5">
        <v>0.13889821464621971</v>
      </c>
      <c r="AV18" s="5">
        <v>3.5058000000000013E-2</v>
      </c>
      <c r="AW18" s="5">
        <v>-2.4538034241107461E-2</v>
      </c>
      <c r="AX18" s="5">
        <v>-0.12606433742612741</v>
      </c>
      <c r="AY18" s="5">
        <v>-3.0189358728490181E-2</v>
      </c>
      <c r="AZ18" s="5">
        <v>-5.1646327393508343E-2</v>
      </c>
      <c r="BA18" s="5">
        <v>6.3231092468556214E-4</v>
      </c>
      <c r="BB18" s="5">
        <v>0.16725728571428569</v>
      </c>
      <c r="BC18" s="5">
        <v>8.3201572593320602E-2</v>
      </c>
      <c r="BD18" s="5">
        <v>-2.4016271687300441E-2</v>
      </c>
      <c r="BE18" s="5">
        <v>-6.8361213238162841E-2</v>
      </c>
      <c r="BF18" s="5">
        <v>0.1649864946960074</v>
      </c>
      <c r="BG18" s="5">
        <v>-1.680624122620418E-2</v>
      </c>
      <c r="BH18" s="5">
        <v>2.0503853063805449E-2</v>
      </c>
      <c r="BI18" s="5">
        <v>7.5991093740458621E-2</v>
      </c>
      <c r="BJ18" s="5">
        <v>9.8533856685421792E-2</v>
      </c>
      <c r="BK18" s="5">
        <v>9.810839031169187E-4</v>
      </c>
      <c r="BL18" s="5">
        <v>5.5787880861779937E-2</v>
      </c>
      <c r="BM18" s="5">
        <v>2.8081356373095352E-2</v>
      </c>
      <c r="BN18" s="5">
        <v>4.2191588804803559E-2</v>
      </c>
      <c r="BO18" s="5">
        <v>-2.0227496106374639E-2</v>
      </c>
      <c r="BP18" s="5">
        <v>-6.2461999999999997E-2</v>
      </c>
      <c r="BQ18" s="5">
        <v>-8.6459690912229228E-2</v>
      </c>
      <c r="BR18" s="5">
        <v>-5.7481935839547244E-3</v>
      </c>
      <c r="BS18" s="5">
        <v>-3.2873256576031823E-2</v>
      </c>
      <c r="BT18" s="5">
        <v>-6.1545322892704799E-2</v>
      </c>
      <c r="BU18" s="5">
        <v>8.0677444040040805E-2</v>
      </c>
      <c r="BV18" s="5">
        <v>-0.1155055714285714</v>
      </c>
      <c r="BW18" s="5">
        <v>0.21837549913098869</v>
      </c>
      <c r="BX18" s="5">
        <v>-7.4580863414598103E-2</v>
      </c>
      <c r="BY18" s="5">
        <v>-6.2688428571428589E-2</v>
      </c>
      <c r="BZ18" s="5">
        <v>-0.15331998780259809</v>
      </c>
      <c r="CA18" s="5">
        <v>-1.6076543892860819E-2</v>
      </c>
      <c r="CB18" s="5">
        <v>-0.1068462857142857</v>
      </c>
      <c r="CC18" s="5">
        <v>0.1046597142857143</v>
      </c>
      <c r="CD18" s="5">
        <v>-0.1215952231687642</v>
      </c>
      <c r="CE18" s="5">
        <v>-0.1779263563088774</v>
      </c>
      <c r="CF18" s="5">
        <v>-4.3957743386608697E-2</v>
      </c>
      <c r="CG18" s="5">
        <v>-9.1609255563919342E-2</v>
      </c>
      <c r="CH18" s="5">
        <v>4.5365648959158789E-2</v>
      </c>
      <c r="CI18" s="5">
        <v>0.1150593108091785</v>
      </c>
      <c r="CJ18" s="5">
        <v>6.2313677824909687E-2</v>
      </c>
      <c r="CK18" s="5">
        <v>9.6058031665523097E-2</v>
      </c>
      <c r="CL18" s="5">
        <v>-0.15291394380948509</v>
      </c>
      <c r="CM18" s="5">
        <v>0.14364854316439371</v>
      </c>
      <c r="CN18" s="5">
        <v>3.5086253978176607E-2</v>
      </c>
      <c r="CO18" s="5">
        <v>-0.1505975096222473</v>
      </c>
      <c r="CP18" s="5">
        <v>-0.16283910894801071</v>
      </c>
      <c r="CQ18" s="5">
        <v>3.8242675594942703E-2</v>
      </c>
      <c r="CR18" s="5">
        <v>-0.19372240765220919</v>
      </c>
      <c r="CS18" s="5">
        <v>2.8129285714285711E-2</v>
      </c>
      <c r="CT18" s="5">
        <v>-1.6272494200008831E-2</v>
      </c>
      <c r="CU18" s="5">
        <v>0.14456482117613489</v>
      </c>
      <c r="CV18" s="5">
        <v>-6.2944428571428568E-2</v>
      </c>
      <c r="CW18" s="5">
        <v>6.6558574498316259E-2</v>
      </c>
      <c r="CX18" s="5">
        <v>-0.1530756896091533</v>
      </c>
      <c r="CY18" s="5">
        <v>-9.3178383907907517E-2</v>
      </c>
      <c r="CZ18" s="5">
        <v>-9.1459213412702536E-2</v>
      </c>
      <c r="DA18" s="5">
        <v>-4.7380939518693557E-2</v>
      </c>
      <c r="DB18" s="5">
        <v>4.5735208678759381E-2</v>
      </c>
      <c r="DC18" s="5">
        <v>-3.6408781495506221E-2</v>
      </c>
      <c r="DD18" s="5">
        <v>4.1014187319333921E-2</v>
      </c>
      <c r="DE18" s="5">
        <v>3.8420587486450893E-2</v>
      </c>
      <c r="DF18" s="5">
        <v>2.8071975077961529E-2</v>
      </c>
      <c r="DG18" s="5">
        <v>0.11821709327359541</v>
      </c>
      <c r="DH18" s="5">
        <v>-0.1924025714285714</v>
      </c>
      <c r="DI18" s="5">
        <v>1.8613248030418191E-2</v>
      </c>
      <c r="DJ18" s="5">
        <v>-0.14619607609941229</v>
      </c>
      <c r="DK18" s="5">
        <v>-5.7250589986626008E-2</v>
      </c>
      <c r="DL18" s="5">
        <v>3.830274067592157E-3</v>
      </c>
      <c r="DM18" s="5">
        <v>5.250678742263995E-3</v>
      </c>
      <c r="DN18" s="5">
        <v>0.1251086832695307</v>
      </c>
      <c r="DO18" s="5">
        <v>3.019901746158983E-2</v>
      </c>
      <c r="DP18" s="5">
        <v>-2.0604686466865741E-2</v>
      </c>
      <c r="DQ18" s="5">
        <v>-6.5749458183898837E-2</v>
      </c>
      <c r="DR18" s="5">
        <v>-1.0451714285714279E-2</v>
      </c>
      <c r="DS18" s="5">
        <v>2.5385651257138282E-2</v>
      </c>
      <c r="DT18" s="5">
        <v>2.2601034841107401E-2</v>
      </c>
      <c r="DU18" s="5">
        <v>-0.16258878442425009</v>
      </c>
      <c r="DV18" s="5">
        <v>-7.0527692506077544E-2</v>
      </c>
      <c r="DW18" s="5">
        <v>8.1908692284373169E-2</v>
      </c>
      <c r="DX18" s="5">
        <v>6.8177293521735294E-2</v>
      </c>
      <c r="DY18" s="5">
        <v>-0.16576310466200311</v>
      </c>
      <c r="DZ18" s="5">
        <v>-4.3227854869441883E-2</v>
      </c>
      <c r="EA18" s="5">
        <v>0.19894728571428569</v>
      </c>
      <c r="EB18" s="5">
        <v>0.1099643544501954</v>
      </c>
      <c r="EC18" s="5">
        <v>-0.14304023059278551</v>
      </c>
      <c r="ED18" s="5">
        <v>-8.2759101388566583E-2</v>
      </c>
      <c r="EE18" s="5">
        <v>-5.3015040315364213E-2</v>
      </c>
      <c r="EF18" s="5">
        <v>-6.3951857142857144E-2</v>
      </c>
    </row>
    <row r="19" spans="1:136">
      <c r="A19" s="1">
        <v>160</v>
      </c>
      <c r="B19" s="1">
        <v>6</v>
      </c>
      <c r="C19" s="4">
        <v>-7.386192988077088E-2</v>
      </c>
      <c r="D19" s="5">
        <v>0.4075213333333334</v>
      </c>
      <c r="E19" s="5">
        <v>-0.1405836765913312</v>
      </c>
      <c r="F19" s="5">
        <v>0.1776886618055605</v>
      </c>
      <c r="G19" s="5">
        <v>-9.6065971857177412E-2</v>
      </c>
      <c r="H19" s="5">
        <v>-1.2068788462484921E-2</v>
      </c>
      <c r="I19" s="5">
        <v>-0.1346543328914665</v>
      </c>
      <c r="J19" s="5">
        <v>3.5429584520191022E-2</v>
      </c>
      <c r="K19" s="5">
        <v>0.23878941472391671</v>
      </c>
      <c r="L19" s="5">
        <v>-2.032664964034506E-2</v>
      </c>
      <c r="M19" s="5">
        <v>-4.3690236156307287E-2</v>
      </c>
      <c r="N19" s="5">
        <v>0.15184358114798011</v>
      </c>
      <c r="O19" s="5">
        <v>9.2221383019457218E-2</v>
      </c>
      <c r="P19" s="5">
        <v>2.3513160824520051E-2</v>
      </c>
      <c r="Q19" s="5">
        <v>0.19716308826451989</v>
      </c>
      <c r="R19" s="5">
        <v>9.0299090630856282E-2</v>
      </c>
      <c r="S19" s="5">
        <v>0.1226918763357415</v>
      </c>
      <c r="T19" s="5">
        <v>2.7154277986299109E-2</v>
      </c>
      <c r="U19" s="5">
        <v>0.13569833863192321</v>
      </c>
      <c r="V19" s="5">
        <v>9.2688319725313148E-2</v>
      </c>
      <c r="W19" s="5">
        <v>0.1747347633022315</v>
      </c>
      <c r="X19" s="5">
        <v>0.12292366666666669</v>
      </c>
      <c r="Y19" s="5">
        <v>0.10313023893043829</v>
      </c>
      <c r="Z19" s="5">
        <v>9.1619110576023566E-2</v>
      </c>
      <c r="AA19" s="5">
        <v>-4.1570184538155738E-2</v>
      </c>
      <c r="AB19" s="5">
        <v>-0.10225360588394269</v>
      </c>
      <c r="AC19" s="5">
        <v>1.4141542708609799E-2</v>
      </c>
      <c r="AD19" s="5">
        <v>-2.399745726106059E-2</v>
      </c>
      <c r="AE19" s="5">
        <v>0.30849285792536868</v>
      </c>
      <c r="AF19" s="5">
        <v>-0.1688305807080431</v>
      </c>
      <c r="AG19" s="5">
        <v>-4.1487103444311647E-2</v>
      </c>
      <c r="AH19" s="5">
        <v>0.20415628716520959</v>
      </c>
      <c r="AI19" s="5">
        <v>-4.7766352759796363E-2</v>
      </c>
      <c r="AJ19" s="5">
        <v>-7.720270964457146E-2</v>
      </c>
      <c r="AK19" s="5">
        <v>-4.0581523113162987E-2</v>
      </c>
      <c r="AL19" s="5">
        <v>7.0270945670805551E-2</v>
      </c>
      <c r="AM19" s="5">
        <v>4.3106011811404943E-2</v>
      </c>
      <c r="AN19" s="5">
        <v>8.3568294365682083E-2</v>
      </c>
      <c r="AO19" s="5">
        <v>5.5890126129114689E-2</v>
      </c>
      <c r="AP19" s="5">
        <v>-9.7129999999999959E-3</v>
      </c>
      <c r="AQ19" s="5">
        <v>8.8252757060650652E-2</v>
      </c>
      <c r="AR19" s="5">
        <v>-7.4616833333333327E-2</v>
      </c>
      <c r="AS19" s="5">
        <v>9.7796955268314459E-2</v>
      </c>
      <c r="AT19" s="5">
        <v>0.18459366381005801</v>
      </c>
      <c r="AU19" s="5">
        <v>0.1530146264742607</v>
      </c>
      <c r="AV19" s="5">
        <v>4.2677666666666669E-2</v>
      </c>
      <c r="AW19" s="5">
        <v>-2.2356168154136491E-2</v>
      </c>
      <c r="AX19" s="5">
        <v>-0.2241237953008561</v>
      </c>
      <c r="AY19" s="5">
        <v>-6.6273242712472244E-2</v>
      </c>
      <c r="AZ19" s="5">
        <v>-0.11561152836942371</v>
      </c>
      <c r="BA19" s="5">
        <v>-3.4363883954073027E-2</v>
      </c>
      <c r="BB19" s="5">
        <v>0.20180183333333329</v>
      </c>
      <c r="BC19" s="5">
        <v>6.4055486346185769E-2</v>
      </c>
      <c r="BD19" s="5">
        <v>-3.2343926300681461E-3</v>
      </c>
      <c r="BE19" s="5">
        <v>-5.1131873963666558E-2</v>
      </c>
      <c r="BF19" s="5">
        <v>0.14180943496374171</v>
      </c>
      <c r="BG19" s="5">
        <v>-1.6343658332842171E-2</v>
      </c>
      <c r="BH19" s="5">
        <v>2.0182017014309939E-3</v>
      </c>
      <c r="BI19" s="5">
        <v>0.1012842299592162</v>
      </c>
      <c r="BJ19" s="5">
        <v>5.8912217172455733E-2</v>
      </c>
      <c r="BK19" s="5">
        <v>-6.9519036629441727E-2</v>
      </c>
      <c r="BL19" s="5">
        <v>6.3164533747019302E-2</v>
      </c>
      <c r="BM19" s="5">
        <v>3.1786264869145278E-2</v>
      </c>
      <c r="BN19" s="5">
        <v>7.2185099722501103E-2</v>
      </c>
      <c r="BO19" s="5">
        <v>-2.5728961265115379E-2</v>
      </c>
      <c r="BP19" s="5">
        <v>-1.240866666666667E-2</v>
      </c>
      <c r="BQ19" s="5">
        <v>-0.10965313493305689</v>
      </c>
      <c r="BR19" s="5">
        <v>6.6752460235200081E-3</v>
      </c>
      <c r="BS19" s="5">
        <v>3.4999319396389061E-3</v>
      </c>
      <c r="BT19" s="5">
        <v>-8.2323403677311308E-2</v>
      </c>
      <c r="BU19" s="5">
        <v>7.5936251234238056E-2</v>
      </c>
      <c r="BV19" s="5">
        <v>-0.1000853333333333</v>
      </c>
      <c r="BW19" s="5">
        <v>0.30745300680973342</v>
      </c>
      <c r="BX19" s="5">
        <v>-5.4830281560316878E-2</v>
      </c>
      <c r="BY19" s="5">
        <v>-2.767816666666666E-2</v>
      </c>
      <c r="BZ19" s="5">
        <v>-6.8702124822053873E-2</v>
      </c>
      <c r="CA19" s="5">
        <v>-2.932875522377449E-2</v>
      </c>
      <c r="CB19" s="5">
        <v>-0.12783849999999999</v>
      </c>
      <c r="CC19" s="5">
        <v>2.250566666666666E-2</v>
      </c>
      <c r="CD19" s="5">
        <v>-0.14873191328840721</v>
      </c>
      <c r="CE19" s="5">
        <v>-0.1982658291769592</v>
      </c>
      <c r="CF19" s="5">
        <v>-7.9051524970814385E-2</v>
      </c>
      <c r="CG19" s="5">
        <v>-5.7117624866957151E-2</v>
      </c>
      <c r="CH19" s="5">
        <v>4.271504374273416E-2</v>
      </c>
      <c r="CI19" s="5">
        <v>0.11073420775370441</v>
      </c>
      <c r="CJ19" s="5">
        <v>6.194049996603615E-2</v>
      </c>
      <c r="CK19" s="5">
        <v>0.1187972629573345</v>
      </c>
      <c r="CL19" s="5">
        <v>-0.1153477816387375</v>
      </c>
      <c r="CM19" s="5">
        <v>0.17534764158171501</v>
      </c>
      <c r="CN19" s="5">
        <v>7.6932654667303466E-2</v>
      </c>
      <c r="CO19" s="5">
        <v>-0.16614655777528059</v>
      </c>
      <c r="CP19" s="5">
        <v>-0.15903259898233271</v>
      </c>
      <c r="CQ19" s="5">
        <v>3.2394607516418629E-2</v>
      </c>
      <c r="CR19" s="5">
        <v>-0.17630672424619201</v>
      </c>
      <c r="CS19" s="5">
        <v>4.3775666666666657E-2</v>
      </c>
      <c r="CT19" s="5">
        <v>-2.794063718499688E-2</v>
      </c>
      <c r="CU19" s="5">
        <v>0.146607543260939</v>
      </c>
      <c r="CV19" s="5">
        <v>-7.6143500000000003E-2</v>
      </c>
      <c r="CW19" s="5">
        <v>6.0515878573037342E-2</v>
      </c>
      <c r="CX19" s="5">
        <v>-0.1481502908045049</v>
      </c>
      <c r="CY19" s="5">
        <v>-0.107892119457191</v>
      </c>
      <c r="CZ19" s="5">
        <v>-5.7499263088511957E-2</v>
      </c>
      <c r="DA19" s="5">
        <v>-5.8223876703236761E-2</v>
      </c>
      <c r="DB19" s="5">
        <v>3.572089902521567E-2</v>
      </c>
      <c r="DC19" s="5">
        <v>3.5179399902094073E-2</v>
      </c>
      <c r="DD19" s="5">
        <v>6.2011252548289514E-3</v>
      </c>
      <c r="DE19" s="5">
        <v>3.3018414655792E-2</v>
      </c>
      <c r="DF19" s="5">
        <v>2.1296342427166989E-2</v>
      </c>
      <c r="DG19" s="5">
        <v>0.12649079783752129</v>
      </c>
      <c r="DH19" s="5">
        <v>-0.22459133333333331</v>
      </c>
      <c r="DI19" s="5">
        <v>5.8647033011268501E-2</v>
      </c>
      <c r="DJ19" s="5">
        <v>-0.16525046895907189</v>
      </c>
      <c r="DK19" s="5">
        <v>-1.598428957466394E-2</v>
      </c>
      <c r="DL19" s="5">
        <v>1.198278590897381E-2</v>
      </c>
      <c r="DM19" s="5">
        <v>-4.6097902485627673E-2</v>
      </c>
      <c r="DN19" s="5">
        <v>0.17392830172854831</v>
      </c>
      <c r="DO19" s="5">
        <v>4.8705519860593828E-2</v>
      </c>
      <c r="DP19" s="5">
        <v>2.783801448299373E-2</v>
      </c>
      <c r="DQ19" s="5">
        <v>-8.0374171838075048E-2</v>
      </c>
      <c r="DR19" s="5">
        <v>-1.7545333333333329E-2</v>
      </c>
      <c r="DS19" s="5">
        <v>4.4918963151879987E-2</v>
      </c>
      <c r="DT19" s="5">
        <v>5.0332465201051654E-3</v>
      </c>
      <c r="DU19" s="5">
        <v>-0.1945194394629792</v>
      </c>
      <c r="DV19" s="5">
        <v>-7.1593386597402109E-2</v>
      </c>
      <c r="DW19" s="5">
        <v>6.0609139340684293E-2</v>
      </c>
      <c r="DX19" s="5">
        <v>9.4614193357537776E-2</v>
      </c>
      <c r="DY19" s="5">
        <v>-0.15211940960448689</v>
      </c>
      <c r="DZ19" s="5">
        <v>-7.9643568138435011E-2</v>
      </c>
      <c r="EA19" s="5">
        <v>0.23304766666666671</v>
      </c>
      <c r="EB19" s="5">
        <v>0.1087535096382525</v>
      </c>
      <c r="EC19" s="5">
        <v>-0.14377420282500911</v>
      </c>
      <c r="ED19" s="5">
        <v>-8.0285258276375129E-2</v>
      </c>
      <c r="EE19" s="5">
        <v>-2.2815885843912861E-2</v>
      </c>
      <c r="EF19" s="5">
        <v>-7.4019999999999975E-2</v>
      </c>
    </row>
    <row r="20" spans="1:136">
      <c r="A20" s="1">
        <v>192</v>
      </c>
      <c r="B20" s="1">
        <v>5</v>
      </c>
      <c r="C20" s="4">
        <v>1.1241331728202891E-2</v>
      </c>
      <c r="D20" s="5">
        <v>0.38202580000000003</v>
      </c>
      <c r="E20" s="5">
        <v>-0.1461249052642459</v>
      </c>
      <c r="F20" s="5">
        <v>0.2055312643331742</v>
      </c>
      <c r="G20" s="5">
        <v>-0.1171831412889391</v>
      </c>
      <c r="H20" s="5">
        <v>1.158302607857771E-2</v>
      </c>
      <c r="I20" s="5">
        <v>-0.15814956260110169</v>
      </c>
      <c r="J20" s="5">
        <v>3.4471258726856233E-2</v>
      </c>
      <c r="K20" s="5">
        <v>0.21472450376108179</v>
      </c>
      <c r="L20" s="5">
        <v>-8.9997713411883729E-3</v>
      </c>
      <c r="M20" s="5">
        <v>-7.7718228291273506E-2</v>
      </c>
      <c r="N20" s="5">
        <v>0.16814358818954389</v>
      </c>
      <c r="O20" s="5">
        <v>9.9101484144473756E-2</v>
      </c>
      <c r="P20" s="5">
        <v>4.3138678888527522E-2</v>
      </c>
      <c r="Q20" s="5">
        <v>0.21672573900297851</v>
      </c>
      <c r="R20" s="5">
        <v>0.1092530556374688</v>
      </c>
      <c r="S20" s="5">
        <v>8.2562610707287917E-2</v>
      </c>
      <c r="T20" s="5">
        <v>-1.566291051925937E-2</v>
      </c>
      <c r="U20" s="5">
        <v>0.14864968011777491</v>
      </c>
      <c r="V20" s="5">
        <v>0.1035176032046175</v>
      </c>
      <c r="W20" s="5">
        <v>0.22644366208310149</v>
      </c>
      <c r="X20" s="5">
        <v>0.15004300000000001</v>
      </c>
      <c r="Y20" s="5">
        <v>0.12896503888237379</v>
      </c>
      <c r="Z20" s="5">
        <v>0.1056169604836593</v>
      </c>
      <c r="AA20" s="5">
        <v>-2.159455338729711E-2</v>
      </c>
      <c r="AB20" s="5">
        <v>-8.4759840726173208E-2</v>
      </c>
      <c r="AC20" s="5">
        <v>4.7248262727967477E-2</v>
      </c>
      <c r="AD20" s="5">
        <v>-2.698730357067794E-2</v>
      </c>
      <c r="AE20" s="5">
        <v>0.16122120715511101</v>
      </c>
      <c r="AF20" s="5">
        <v>-0.22349781963637269</v>
      </c>
      <c r="AG20" s="5">
        <v>-3.216324888167648E-2</v>
      </c>
      <c r="AH20" s="5">
        <v>0.21664245264836079</v>
      </c>
      <c r="AI20" s="5">
        <v>-8.3279353750723401E-2</v>
      </c>
      <c r="AJ20" s="5">
        <v>-6.0725684660784138E-2</v>
      </c>
      <c r="AK20" s="5">
        <v>-8.2485150626129544E-3</v>
      </c>
      <c r="AL20" s="5">
        <v>7.2893452036976947E-2</v>
      </c>
      <c r="AM20" s="5">
        <v>3.3095980748802607E-2</v>
      </c>
      <c r="AN20" s="5">
        <v>7.5470193518998266E-2</v>
      </c>
      <c r="AO20" s="5">
        <v>4.9108294639399641E-2</v>
      </c>
      <c r="AP20" s="5">
        <v>-1.26056E-2</v>
      </c>
      <c r="AQ20" s="5">
        <v>-2.7452485332951051E-2</v>
      </c>
      <c r="AR20" s="5">
        <v>-1.3289199999999999E-2</v>
      </c>
      <c r="AS20" s="5">
        <v>0.112095809682817</v>
      </c>
      <c r="AT20" s="5">
        <v>0.23912374744507051</v>
      </c>
      <c r="AU20" s="5">
        <v>0.14307264092716551</v>
      </c>
      <c r="AV20" s="5">
        <v>7.1474400000000007E-2</v>
      </c>
      <c r="AW20" s="5">
        <v>-6.8652681791509596E-3</v>
      </c>
      <c r="AX20" s="5">
        <v>-0.20433921996054669</v>
      </c>
      <c r="AY20" s="5">
        <v>8.2057636017566535E-2</v>
      </c>
      <c r="AZ20" s="5">
        <v>-0.15627400770666389</v>
      </c>
      <c r="BA20" s="5">
        <v>-3.6798864860540501E-2</v>
      </c>
      <c r="BB20" s="5">
        <v>0.23121340000000001</v>
      </c>
      <c r="BC20" s="5">
        <v>7.0605567677740205E-2</v>
      </c>
      <c r="BD20" s="5">
        <v>-5.3429813221597323E-2</v>
      </c>
      <c r="BE20" s="5">
        <v>5.9467971392603326E-3</v>
      </c>
      <c r="BF20" s="5">
        <v>0.13797126306897531</v>
      </c>
      <c r="BG20" s="5">
        <v>-6.9261427086933884E-3</v>
      </c>
      <c r="BH20" s="5">
        <v>-7.1606447114111002E-2</v>
      </c>
      <c r="BI20" s="5">
        <v>0.1142556657345235</v>
      </c>
      <c r="BJ20" s="5">
        <v>4.9139783811273992E-2</v>
      </c>
      <c r="BK20" s="5">
        <v>-0.1025982841544454</v>
      </c>
      <c r="BL20" s="5">
        <v>6.9859441937220601E-2</v>
      </c>
      <c r="BM20" s="5">
        <v>4.7468551464188873E-2</v>
      </c>
      <c r="BN20" s="5">
        <v>8.5664631441180417E-2</v>
      </c>
      <c r="BO20" s="5">
        <v>3.8461717515979203E-2</v>
      </c>
      <c r="BP20" s="5">
        <v>7.2838000000000009E-3</v>
      </c>
      <c r="BQ20" s="5">
        <v>-0.1086002675592522</v>
      </c>
      <c r="BR20" s="5">
        <v>1.207363173047259E-2</v>
      </c>
      <c r="BS20" s="5">
        <v>3.2536197724856143E-2</v>
      </c>
      <c r="BT20" s="5">
        <v>-9.6530501214455888E-2</v>
      </c>
      <c r="BU20" s="5">
        <v>9.8754949367706665E-2</v>
      </c>
      <c r="BV20" s="5">
        <v>-0.13370979999999999</v>
      </c>
      <c r="BW20" s="5">
        <v>0.35182955004840472</v>
      </c>
      <c r="BX20" s="5">
        <v>-5.7988018276030777E-2</v>
      </c>
      <c r="BY20" s="5">
        <v>-4.3187799999999998E-2</v>
      </c>
      <c r="BZ20" s="5">
        <v>-9.02714042602836E-2</v>
      </c>
      <c r="CA20" s="5">
        <v>-4.0102728051752932E-2</v>
      </c>
      <c r="CB20" s="5">
        <v>-0.12649540000000001</v>
      </c>
      <c r="CC20" s="5">
        <v>1.2914800000000001E-2</v>
      </c>
      <c r="CD20" s="5">
        <v>-0.1888595125433957</v>
      </c>
      <c r="CE20" s="5">
        <v>-0.2439637954697331</v>
      </c>
      <c r="CF20" s="5">
        <v>-0.1057848892760917</v>
      </c>
      <c r="CG20" s="5">
        <v>-7.597024074310807E-2</v>
      </c>
      <c r="CH20" s="5">
        <v>2.219522902413288E-2</v>
      </c>
      <c r="CI20" s="5">
        <v>8.5208202435075389E-2</v>
      </c>
      <c r="CJ20" s="5">
        <v>0.123440319887351</v>
      </c>
      <c r="CK20" s="5">
        <v>8.0589623940621552E-2</v>
      </c>
      <c r="CL20" s="5">
        <v>-0.14931315063025169</v>
      </c>
      <c r="CM20" s="5">
        <v>0.18905116517062071</v>
      </c>
      <c r="CN20" s="5">
        <v>-2.215941137048465E-2</v>
      </c>
      <c r="CO20" s="5">
        <v>-0.22851820318154101</v>
      </c>
      <c r="CP20" s="5">
        <v>-0.1920312051090273</v>
      </c>
      <c r="CQ20" s="5">
        <v>2.3118045300283038E-2</v>
      </c>
      <c r="CR20" s="5">
        <v>-0.1954861104849421</v>
      </c>
      <c r="CS20" s="5">
        <v>2.2293799999999999E-2</v>
      </c>
      <c r="CT20" s="5">
        <v>-1.807671077983496E-2</v>
      </c>
      <c r="CU20" s="5">
        <v>0.14672800907162681</v>
      </c>
      <c r="CV20" s="5">
        <v>-9.7004200000000013E-2</v>
      </c>
      <c r="CW20" s="5">
        <v>6.7903708174845409E-2</v>
      </c>
      <c r="CX20" s="5">
        <v>-0.14515418799986671</v>
      </c>
      <c r="CY20" s="5">
        <v>-0.1009666571118235</v>
      </c>
      <c r="CZ20" s="5">
        <v>-1.306263386233056E-2</v>
      </c>
      <c r="DA20" s="5">
        <v>-4.7471893155177573E-2</v>
      </c>
      <c r="DB20" s="5">
        <v>5.6902709757134122E-2</v>
      </c>
      <c r="DC20" s="5">
        <v>4.9613069235555772E-2</v>
      </c>
      <c r="DD20" s="5">
        <v>3.597184756950339E-3</v>
      </c>
      <c r="DE20" s="5">
        <v>1.0418721606852799E-2</v>
      </c>
      <c r="DF20" s="5">
        <v>4.5499958490798388E-2</v>
      </c>
      <c r="DG20" s="5">
        <v>0.1240733079841211</v>
      </c>
      <c r="DH20" s="5">
        <v>-0.27829959999999998</v>
      </c>
      <c r="DI20" s="5">
        <v>7.4248335592093345E-2</v>
      </c>
      <c r="DJ20" s="5">
        <v>-0.1365580924326974</v>
      </c>
      <c r="DK20" s="5">
        <v>-2.0765658487994779E-2</v>
      </c>
      <c r="DL20" s="5">
        <v>1.9465373333619789E-2</v>
      </c>
      <c r="DM20" s="5">
        <v>4.2864774108345972E-2</v>
      </c>
      <c r="DN20" s="5">
        <v>0.18323473362116879</v>
      </c>
      <c r="DO20" s="5">
        <v>4.9820854676895968E-2</v>
      </c>
      <c r="DP20" s="5">
        <v>9.8305313908873052E-3</v>
      </c>
      <c r="DQ20" s="5">
        <v>-5.7460181624700082E-2</v>
      </c>
      <c r="DR20" s="5">
        <v>-5.5557799999999997E-2</v>
      </c>
      <c r="DS20" s="5">
        <v>-6.9792757898282515E-2</v>
      </c>
      <c r="DT20" s="5">
        <v>-2.968533879884255E-2</v>
      </c>
      <c r="DU20" s="5">
        <v>-0.27264432784194559</v>
      </c>
      <c r="DV20" s="5">
        <v>-0.10204218118247529</v>
      </c>
      <c r="DW20" s="5">
        <v>6.9060203958039607E-2</v>
      </c>
      <c r="DX20" s="5">
        <v>9.7851218204725254E-2</v>
      </c>
      <c r="DY20" s="5">
        <v>-0.1874018300391932</v>
      </c>
      <c r="DZ20" s="5">
        <v>1.8115126512382701E-2</v>
      </c>
      <c r="EA20" s="5">
        <v>0.29369119999999999</v>
      </c>
      <c r="EB20" s="5">
        <v>8.2407142444419712E-2</v>
      </c>
      <c r="EC20" s="5">
        <v>-0.13100614576206751</v>
      </c>
      <c r="ED20" s="5">
        <v>-5.7827564200198737E-2</v>
      </c>
      <c r="EE20" s="5">
        <v>-2.0017587297018819E-2</v>
      </c>
      <c r="EF20" s="5">
        <v>-8.5799999999999987E-2</v>
      </c>
    </row>
    <row r="21" spans="1:136">
      <c r="A21" s="1">
        <v>241</v>
      </c>
      <c r="B21" s="1">
        <v>4</v>
      </c>
      <c r="C21" s="4">
        <v>1.038483447742689E-2</v>
      </c>
      <c r="D21" s="5">
        <v>0.126389</v>
      </c>
      <c r="E21" s="5">
        <v>-4.3717554879721017E-2</v>
      </c>
      <c r="F21" s="5">
        <v>0.18403858160612999</v>
      </c>
      <c r="G21" s="5">
        <v>-0.14384215111256449</v>
      </c>
      <c r="H21" s="5">
        <v>-3.7844077028292407E-2</v>
      </c>
      <c r="I21" s="5">
        <v>-0.14725560812747299</v>
      </c>
      <c r="J21" s="5">
        <v>6.0435325691642318E-2</v>
      </c>
      <c r="K21" s="5">
        <v>0.2068800260033955</v>
      </c>
      <c r="L21" s="5">
        <v>-5.7226166864944403E-2</v>
      </c>
      <c r="M21" s="5">
        <v>-9.9684593408211258E-2</v>
      </c>
      <c r="N21" s="5">
        <v>0.13905067586079981</v>
      </c>
      <c r="O21" s="5">
        <v>0.1297824585303535</v>
      </c>
      <c r="P21" s="5">
        <v>3.9891722860102737E-2</v>
      </c>
      <c r="Q21" s="5">
        <v>0.25731007409425227</v>
      </c>
      <c r="R21" s="5">
        <v>9.5575311106630215E-2</v>
      </c>
      <c r="S21" s="5">
        <v>0.2091594754749645</v>
      </c>
      <c r="T21" s="5">
        <v>1.4040364340204919E-2</v>
      </c>
      <c r="U21" s="5">
        <v>8.6278417611758002E-2</v>
      </c>
      <c r="V21" s="5">
        <v>0.10537077038935461</v>
      </c>
      <c r="W21" s="5">
        <v>0.32292054868818693</v>
      </c>
      <c r="X21" s="5">
        <v>0.20780100000000001</v>
      </c>
      <c r="Y21" s="5">
        <v>9.2729223946204448E-2</v>
      </c>
      <c r="Z21" s="5">
        <v>0.1142039872227245</v>
      </c>
      <c r="AA21" s="5">
        <v>1.9491043540093941E-2</v>
      </c>
      <c r="AB21" s="5">
        <v>-0.1298395823970698</v>
      </c>
      <c r="AC21" s="5">
        <v>1.882773670680014E-2</v>
      </c>
      <c r="AD21" s="5">
        <v>2.593327599743489E-2</v>
      </c>
      <c r="AE21" s="5">
        <v>0.12810497879624591</v>
      </c>
      <c r="AF21" s="5">
        <v>-0.29514425808336342</v>
      </c>
      <c r="AG21" s="5">
        <v>-1.10465721064439E-2</v>
      </c>
      <c r="AH21" s="5">
        <v>0.2403512556587668</v>
      </c>
      <c r="AI21" s="5">
        <v>-6.7729680595151026E-2</v>
      </c>
      <c r="AJ21" s="5">
        <v>-7.8941164011699164E-2</v>
      </c>
      <c r="AK21" s="5">
        <v>1.8318368909312599E-2</v>
      </c>
      <c r="AL21" s="5">
        <v>6.5379822733110632E-2</v>
      </c>
      <c r="AM21" s="5">
        <v>6.8535807447630548E-2</v>
      </c>
      <c r="AN21" s="5">
        <v>0.11195605606309431</v>
      </c>
      <c r="AO21" s="5">
        <v>8.5567774913887312E-2</v>
      </c>
      <c r="AP21" s="5">
        <v>-1.8943749999999999E-2</v>
      </c>
      <c r="AQ21" s="5">
        <v>-7.6865507010547632E-2</v>
      </c>
      <c r="AR21" s="5">
        <v>4.7988250000000003E-2</v>
      </c>
      <c r="AS21" s="5">
        <v>6.4455868646629361E-2</v>
      </c>
      <c r="AT21" s="5">
        <v>0.26483825754799722</v>
      </c>
      <c r="AU21" s="5">
        <v>6.3455329613280029E-2</v>
      </c>
      <c r="AV21" s="5">
        <v>5.0899250000000007E-2</v>
      </c>
      <c r="AW21" s="5">
        <v>-9.7910299540974015E-3</v>
      </c>
      <c r="AX21" s="5">
        <v>-0.21771830251703739</v>
      </c>
      <c r="AY21" s="5">
        <v>6.5722294732506903E-2</v>
      </c>
      <c r="AZ21" s="5">
        <v>-9.3059394128593209E-2</v>
      </c>
      <c r="BA21" s="5">
        <v>-7.1032181648085849E-2</v>
      </c>
      <c r="BB21" s="5">
        <v>0.29451325</v>
      </c>
      <c r="BC21" s="5">
        <v>3.8321147725193863E-2</v>
      </c>
      <c r="BD21" s="5">
        <v>-2.1750863370627919E-2</v>
      </c>
      <c r="BE21" s="5">
        <v>-6.3505333974014731E-3</v>
      </c>
      <c r="BF21" s="5">
        <v>0.19911721643060321</v>
      </c>
      <c r="BG21" s="5">
        <v>3.6635189216812601E-2</v>
      </c>
      <c r="BH21" s="5">
        <v>-7.6321363138755302E-2</v>
      </c>
      <c r="BI21" s="5">
        <v>0.15387464609225671</v>
      </c>
      <c r="BJ21" s="5">
        <v>3.1982514410992063E-2</v>
      </c>
      <c r="BK21" s="5">
        <v>-8.2973161890065844E-2</v>
      </c>
      <c r="BL21" s="5">
        <v>8.7340790467698257E-2</v>
      </c>
      <c r="BM21" s="5">
        <v>4.0795286028720637E-2</v>
      </c>
      <c r="BN21" s="5">
        <v>0.18824750259238801</v>
      </c>
      <c r="BO21" s="5">
        <v>6.3857236413680254E-2</v>
      </c>
      <c r="BP21" s="5">
        <v>-4.1799999999999997E-3</v>
      </c>
      <c r="BQ21" s="5">
        <v>-7.2890743034343203E-2</v>
      </c>
      <c r="BR21" s="5">
        <v>1.232386218386442E-2</v>
      </c>
      <c r="BS21" s="5">
        <v>6.5741820960347419E-2</v>
      </c>
      <c r="BT21" s="5">
        <v>-9.2952203348257254E-2</v>
      </c>
      <c r="BU21" s="5">
        <v>0.1354964621985692</v>
      </c>
      <c r="BV21" s="5">
        <v>-1.924025E-2</v>
      </c>
      <c r="BW21" s="5">
        <v>0.18446067072040909</v>
      </c>
      <c r="BX21" s="5">
        <v>-8.8379334787638542E-2</v>
      </c>
      <c r="BY21" s="5">
        <v>-1.4919750000000009E-2</v>
      </c>
      <c r="BZ21" s="5">
        <v>-4.7662928720715619E-2</v>
      </c>
      <c r="CA21" s="5">
        <v>-6.0517603302398457E-2</v>
      </c>
      <c r="CB21" s="5">
        <v>-0.20787025000000001</v>
      </c>
      <c r="CC21" s="5">
        <v>-8.0194999999999989E-3</v>
      </c>
      <c r="CD21" s="5">
        <v>-0.15078839020228069</v>
      </c>
      <c r="CE21" s="5">
        <v>-0.39507594246504552</v>
      </c>
      <c r="CF21" s="5">
        <v>-0.1145261576111684</v>
      </c>
      <c r="CG21" s="5">
        <v>-8.508533547413108E-2</v>
      </c>
      <c r="CH21" s="5">
        <v>0.15662644062696859</v>
      </c>
      <c r="CI21" s="5">
        <v>7.3182727074998788E-2</v>
      </c>
      <c r="CJ21" s="5">
        <v>8.5627757016502298E-2</v>
      </c>
      <c r="CK21" s="5">
        <v>6.7159630296855705E-2</v>
      </c>
      <c r="CL21" s="5">
        <v>-0.18743312154072689</v>
      </c>
      <c r="CM21" s="5">
        <v>0.2255029884033713</v>
      </c>
      <c r="CN21" s="5">
        <v>-3.05388902037756E-2</v>
      </c>
      <c r="CO21" s="5">
        <v>-0.23779198113939251</v>
      </c>
      <c r="CP21" s="5">
        <v>-0.22270006087791269</v>
      </c>
      <c r="CQ21" s="5">
        <v>2.2912194169496192E-2</v>
      </c>
      <c r="CR21" s="5">
        <v>-0.23905996636126789</v>
      </c>
      <c r="CS21" s="5">
        <v>3.0907250000000001E-2</v>
      </c>
      <c r="CT21" s="5">
        <v>-8.6072556871396061E-2</v>
      </c>
      <c r="CU21" s="5">
        <v>0.1589166223174501</v>
      </c>
      <c r="CV21" s="5">
        <v>-0.13162774999999999</v>
      </c>
      <c r="CW21" s="5">
        <v>3.8345516871682743E-2</v>
      </c>
      <c r="CX21" s="5">
        <v>-0.15696884691161159</v>
      </c>
      <c r="CY21" s="5">
        <v>-0.15245230624531919</v>
      </c>
      <c r="CZ21" s="5">
        <v>-1.3847206411700621E-2</v>
      </c>
      <c r="DA21" s="5">
        <v>1.192256456731756E-3</v>
      </c>
      <c r="DB21" s="5">
        <v>5.1624433676154581E-2</v>
      </c>
      <c r="DC21" s="5">
        <v>4.5047559223290658E-2</v>
      </c>
      <c r="DD21" s="5">
        <v>2.8187943910707451E-3</v>
      </c>
      <c r="DE21" s="5">
        <v>2.897773706032665E-2</v>
      </c>
      <c r="DF21" s="5">
        <v>0.1488089024897431</v>
      </c>
      <c r="DG21" s="5">
        <v>0.14818493113172959</v>
      </c>
      <c r="DH21" s="5">
        <v>-8.1436999999999996E-2</v>
      </c>
      <c r="DI21" s="5">
        <v>9.0149202717820648E-2</v>
      </c>
      <c r="DJ21" s="5">
        <v>-0.1566057184636416</v>
      </c>
      <c r="DK21" s="5">
        <v>-2.0966062152018541E-2</v>
      </c>
      <c r="DL21" s="5">
        <v>1.273699150101321E-2</v>
      </c>
      <c r="DM21" s="5">
        <v>-4.2545640208855387E-3</v>
      </c>
      <c r="DN21" s="5">
        <v>0.22029564086452741</v>
      </c>
      <c r="DO21" s="5">
        <v>-1.8558809057787451E-2</v>
      </c>
      <c r="DP21" s="5">
        <v>2.426615509356601E-2</v>
      </c>
      <c r="DQ21" s="5">
        <v>-7.0422698808183373E-2</v>
      </c>
      <c r="DR21" s="5">
        <v>-5.355675E-2</v>
      </c>
      <c r="DS21" s="5">
        <v>-8.4605433605535907E-2</v>
      </c>
      <c r="DT21" s="5">
        <v>-5.2151903466792276E-3</v>
      </c>
      <c r="DU21" s="5">
        <v>-0.3398066388575679</v>
      </c>
      <c r="DV21" s="5">
        <v>-0.15489825112990471</v>
      </c>
      <c r="DW21" s="5">
        <v>0.12824786866412111</v>
      </c>
      <c r="DX21" s="5">
        <v>0.1168288898747825</v>
      </c>
      <c r="DY21" s="5">
        <v>-0.22566188118798919</v>
      </c>
      <c r="DZ21" s="5">
        <v>0.17989102172490029</v>
      </c>
      <c r="EA21" s="5">
        <v>0.26605774999999998</v>
      </c>
      <c r="EB21" s="5">
        <v>2.6302193998533951E-2</v>
      </c>
      <c r="EC21" s="5">
        <v>-0.14009401795222581</v>
      </c>
      <c r="ED21" s="5">
        <v>0.12915520333718639</v>
      </c>
      <c r="EE21" s="5">
        <v>1.095594540687448E-2</v>
      </c>
      <c r="EF21" s="5">
        <v>-2.8794500000000001E-2</v>
      </c>
    </row>
    <row r="22" spans="1:136">
      <c r="A22" s="1">
        <v>321</v>
      </c>
      <c r="B22" s="1">
        <v>3</v>
      </c>
      <c r="C22" s="4">
        <v>2.5922326608526759E-2</v>
      </c>
      <c r="D22" s="5">
        <v>0.1424293333333333</v>
      </c>
      <c r="E22" s="5">
        <v>-2.2230412259238129E-2</v>
      </c>
      <c r="F22" s="5">
        <v>6.7831060921277567E-2</v>
      </c>
      <c r="G22" s="5">
        <v>-0.1038843632903341</v>
      </c>
      <c r="H22" s="5">
        <v>-0.22980554449140059</v>
      </c>
      <c r="I22" s="5">
        <v>-0.12349316933806979</v>
      </c>
      <c r="J22" s="5">
        <v>5.2598589265342909E-2</v>
      </c>
      <c r="K22" s="5">
        <v>0.2453659126827557</v>
      </c>
      <c r="L22" s="5">
        <v>-0.1074871686512418</v>
      </c>
      <c r="M22" s="5">
        <v>-7.4100058770572547E-2</v>
      </c>
      <c r="N22" s="5">
        <v>9.8030860807632764E-2</v>
      </c>
      <c r="O22" s="5">
        <v>0.1434803460042724</v>
      </c>
      <c r="P22" s="5">
        <v>4.28584885189899E-2</v>
      </c>
      <c r="Q22" s="5">
        <v>0.27677689383305182</v>
      </c>
      <c r="R22" s="5">
        <v>3.6628434271588052E-2</v>
      </c>
      <c r="S22" s="5">
        <v>0.24705662952972959</v>
      </c>
      <c r="T22" s="5">
        <v>2.023861247683403E-2</v>
      </c>
      <c r="U22" s="5">
        <v>0.11059002340250421</v>
      </c>
      <c r="V22" s="5">
        <v>5.7024134634289667E-2</v>
      </c>
      <c r="W22" s="5">
        <v>0.34619348529924859</v>
      </c>
      <c r="X22" s="5">
        <v>0.25720199999999999</v>
      </c>
      <c r="Y22" s="5">
        <v>4.7938332179768291E-2</v>
      </c>
      <c r="Z22" s="5">
        <v>7.5548269145846045E-2</v>
      </c>
      <c r="AA22" s="5">
        <v>7.0480168868567589E-3</v>
      </c>
      <c r="AB22" s="5">
        <v>-0.13443621271332551</v>
      </c>
      <c r="AC22" s="5">
        <v>8.5776460715432462E-2</v>
      </c>
      <c r="AD22" s="5">
        <v>1.859374921466125E-2</v>
      </c>
      <c r="AE22" s="5">
        <v>0.13082384281633419</v>
      </c>
      <c r="AF22" s="5">
        <v>-0.42991676804861201</v>
      </c>
      <c r="AG22" s="5">
        <v>-1.0812100566842311E-2</v>
      </c>
      <c r="AH22" s="5">
        <v>0.24762224616340131</v>
      </c>
      <c r="AI22" s="5">
        <v>-6.7392901011186057E-2</v>
      </c>
      <c r="AJ22" s="5">
        <v>-4.586612949815471E-2</v>
      </c>
      <c r="AK22" s="5">
        <v>7.8575768704914215E-2</v>
      </c>
      <c r="AL22" s="5">
        <v>4.0340966806900407E-2</v>
      </c>
      <c r="AM22" s="5">
        <v>8.4088903467703563E-2</v>
      </c>
      <c r="AN22" s="5">
        <v>0.1111328096635593</v>
      </c>
      <c r="AO22" s="5">
        <v>0.1581528752937269</v>
      </c>
      <c r="AP22" s="5">
        <v>-2.0493333333333329E-2</v>
      </c>
      <c r="AQ22" s="5">
        <v>-7.9426117478593142E-2</v>
      </c>
      <c r="AR22" s="5">
        <v>6.7924666666666661E-2</v>
      </c>
      <c r="AS22" s="5">
        <v>8.2810438898549957E-2</v>
      </c>
      <c r="AT22" s="5">
        <v>1.7728370994436651E-2</v>
      </c>
      <c r="AU22" s="5">
        <v>0.1099145973181844</v>
      </c>
      <c r="AV22" s="5">
        <v>5.9647666666666682E-2</v>
      </c>
      <c r="AW22" s="5">
        <v>3.014938920700894E-2</v>
      </c>
      <c r="AX22" s="5">
        <v>9.875186005693877E-3</v>
      </c>
      <c r="AY22" s="5">
        <v>9.8456276129363446E-2</v>
      </c>
      <c r="AZ22" s="5">
        <v>-0.2274854962334536</v>
      </c>
      <c r="BA22" s="5">
        <v>-4.5598425167461952E-2</v>
      </c>
      <c r="BB22" s="5">
        <v>0.36955133333333329</v>
      </c>
      <c r="BC22" s="5">
        <v>-0.13083693812295519</v>
      </c>
      <c r="BD22" s="5">
        <v>-2.2174181465828179E-2</v>
      </c>
      <c r="BE22" s="5">
        <v>-2.221618339448047E-2</v>
      </c>
      <c r="BF22" s="5">
        <v>0.1991024485484385</v>
      </c>
      <c r="BG22" s="5">
        <v>4.6279512168386029E-2</v>
      </c>
      <c r="BH22" s="5">
        <v>-0.12796054233813189</v>
      </c>
      <c r="BI22" s="5">
        <v>8.731805917717568E-2</v>
      </c>
      <c r="BJ22" s="5">
        <v>-1.023397544910358E-2</v>
      </c>
      <c r="BK22" s="5">
        <v>-2.085475532976656E-2</v>
      </c>
      <c r="BL22" s="5">
        <v>0.13947139040086359</v>
      </c>
      <c r="BM22" s="5">
        <v>2.4304832455331882E-3</v>
      </c>
      <c r="BN22" s="5">
        <v>-2.851880646397522E-2</v>
      </c>
      <c r="BO22" s="5">
        <v>5.0484429112750417E-2</v>
      </c>
      <c r="BP22" s="5">
        <v>-5.4000000000000055E-4</v>
      </c>
      <c r="BQ22" s="5">
        <v>-9.1228191194409197E-2</v>
      </c>
      <c r="BR22" s="5">
        <v>2.081360946645289E-2</v>
      </c>
      <c r="BS22" s="5">
        <v>9.7047589704545023E-2</v>
      </c>
      <c r="BT22" s="5">
        <v>6.7143215417725319E-2</v>
      </c>
      <c r="BU22" s="5">
        <v>0.21294876613801031</v>
      </c>
      <c r="BV22" s="5">
        <v>-6.806666666666697E-4</v>
      </c>
      <c r="BW22" s="5">
        <v>0.1321717915357814</v>
      </c>
      <c r="BX22" s="5">
        <v>-0.15293737024999199</v>
      </c>
      <c r="BY22" s="5">
        <v>3.2350333333333328E-2</v>
      </c>
      <c r="BZ22" s="5">
        <v>-4.725773586289217E-2</v>
      </c>
      <c r="CA22" s="5">
        <v>-2.749007848032349E-2</v>
      </c>
      <c r="CB22" s="5">
        <v>-0.25474000000000002</v>
      </c>
      <c r="CC22" s="5">
        <v>-0.12510499999999999</v>
      </c>
      <c r="CD22" s="5">
        <v>-0.31577166020284902</v>
      </c>
      <c r="CE22" s="5">
        <v>-0.39338733910427809</v>
      </c>
      <c r="CF22" s="5">
        <v>-0.1007703570340648</v>
      </c>
      <c r="CG22" s="5">
        <v>-0.207085332633513</v>
      </c>
      <c r="CH22" s="5">
        <v>0.1536062848095433</v>
      </c>
      <c r="CI22" s="5">
        <v>6.4617322810374245E-2</v>
      </c>
      <c r="CJ22" s="5">
        <v>0.1033795050895627</v>
      </c>
      <c r="CK22" s="5">
        <v>0.1109235402867822</v>
      </c>
      <c r="CL22" s="5">
        <v>-9.499701202354538E-2</v>
      </c>
      <c r="CM22" s="5">
        <v>0.32043200365782532</v>
      </c>
      <c r="CN22" s="5">
        <v>8.5467718209073992E-3</v>
      </c>
      <c r="CO22" s="5">
        <v>-0.18528575790522681</v>
      </c>
      <c r="CP22" s="5">
        <v>-0.25940855696940252</v>
      </c>
      <c r="CQ22" s="5">
        <v>1.7159615519123799E-2</v>
      </c>
      <c r="CR22" s="5">
        <v>-0.24677276999188669</v>
      </c>
      <c r="CS22" s="5">
        <v>2.443933333333333E-2</v>
      </c>
      <c r="CT22" s="5">
        <v>-0.1260913781887717</v>
      </c>
      <c r="CU22" s="5">
        <v>0.16735391118636819</v>
      </c>
      <c r="CV22" s="5">
        <v>-0.18304533333333339</v>
      </c>
      <c r="CW22" s="5">
        <v>2.2884042331984721E-2</v>
      </c>
      <c r="CX22" s="5">
        <v>-5.4293295473803682E-2</v>
      </c>
      <c r="CY22" s="5">
        <v>-0.16243986871344671</v>
      </c>
      <c r="CZ22" s="5">
        <v>-7.58724644113902E-3</v>
      </c>
      <c r="DA22" s="5">
        <v>-3.9917538819241108E-3</v>
      </c>
      <c r="DB22" s="5">
        <v>5.8383506828492103E-2</v>
      </c>
      <c r="DC22" s="5">
        <v>2.0724784444157599E-2</v>
      </c>
      <c r="DD22" s="5">
        <v>3.1710169125825367E-2</v>
      </c>
      <c r="DE22" s="5">
        <v>-1.7756503501932811E-2</v>
      </c>
      <c r="DF22" s="5">
        <v>9.7071705636226913E-2</v>
      </c>
      <c r="DG22" s="5">
        <v>8.8121410503063616E-2</v>
      </c>
      <c r="DH22" s="5">
        <v>-8.1455333333333324E-2</v>
      </c>
      <c r="DI22" s="5">
        <v>8.1105543840270106E-2</v>
      </c>
      <c r="DJ22" s="5">
        <v>-0.15369976283032971</v>
      </c>
      <c r="DK22" s="5">
        <v>-2.3346176632961561E-2</v>
      </c>
      <c r="DL22" s="5">
        <v>3.213330743138731E-3</v>
      </c>
      <c r="DM22" s="5">
        <v>-4.2676549116040817E-2</v>
      </c>
      <c r="DN22" s="5">
        <v>0.30537502827220309</v>
      </c>
      <c r="DO22" s="5">
        <v>2.3768668287448849E-2</v>
      </c>
      <c r="DP22" s="5">
        <v>1.022725785290381E-2</v>
      </c>
      <c r="DQ22" s="5">
        <v>-0.16540416654463991</v>
      </c>
      <c r="DR22" s="5">
        <v>-7.1235999999999994E-2</v>
      </c>
      <c r="DS22" s="5">
        <v>-0.12952383936920511</v>
      </c>
      <c r="DT22" s="5">
        <v>2.712875397817005E-2</v>
      </c>
      <c r="DU22" s="5">
        <v>-0.37526887234197209</v>
      </c>
      <c r="DV22" s="5">
        <v>-0.15706236954975081</v>
      </c>
      <c r="DW22" s="5">
        <v>7.838972370699715E-2</v>
      </c>
      <c r="DX22" s="5">
        <v>0.1643521240415392</v>
      </c>
      <c r="DY22" s="5">
        <v>-0.31775437236448251</v>
      </c>
      <c r="DZ22" s="5">
        <v>0.16562624622575561</v>
      </c>
      <c r="EA22" s="5">
        <v>0.14035633333333331</v>
      </c>
      <c r="EB22" s="5">
        <v>0.12976595030606911</v>
      </c>
      <c r="EC22" s="5">
        <v>2.8428811778050931E-2</v>
      </c>
      <c r="ED22" s="5">
        <v>0.18368198650415579</v>
      </c>
      <c r="EE22" s="5">
        <v>3.5899357196068807E-2</v>
      </c>
      <c r="EF22" s="5">
        <v>-3.6592666666666662E-2</v>
      </c>
    </row>
    <row r="23" spans="1:136">
      <c r="A23" s="1">
        <v>482</v>
      </c>
      <c r="B23" s="1">
        <v>2</v>
      </c>
      <c r="C23" s="4">
        <v>3.1325684581971477E-2</v>
      </c>
      <c r="D23" s="5">
        <v>0.25409399999999999</v>
      </c>
      <c r="E23" s="5">
        <v>-1.5061587686965401E-2</v>
      </c>
      <c r="F23" s="5">
        <v>0.1823960753208787</v>
      </c>
      <c r="G23" s="5">
        <v>2.6971568524368019E-2</v>
      </c>
      <c r="H23" s="5">
        <v>-0.2628102412014528</v>
      </c>
      <c r="I23" s="5">
        <v>-0.148152028600294</v>
      </c>
      <c r="J23" s="5">
        <v>-9.8162291146452377E-2</v>
      </c>
      <c r="K23" s="5">
        <v>0.14260757512465491</v>
      </c>
      <c r="L23" s="5">
        <v>-0.23244436104246219</v>
      </c>
      <c r="M23" s="5">
        <v>-0.2584499163586424</v>
      </c>
      <c r="N23" s="5">
        <v>0.12680001369232849</v>
      </c>
      <c r="O23" s="5">
        <v>0.20456437797300209</v>
      </c>
      <c r="P23" s="5">
        <v>1.068350475974675E-2</v>
      </c>
      <c r="Q23" s="5">
        <v>-5.95680169005205E-2</v>
      </c>
      <c r="R23" s="5">
        <v>5.6211143313255052E-2</v>
      </c>
      <c r="S23" s="5">
        <v>0.16929499991324401</v>
      </c>
      <c r="T23" s="5">
        <v>3.733692084787466E-4</v>
      </c>
      <c r="U23" s="5">
        <v>9.3757422440794366E-2</v>
      </c>
      <c r="V23" s="5">
        <v>-6.3357010979066042E-2</v>
      </c>
      <c r="W23" s="5">
        <v>0.50391933118531074</v>
      </c>
      <c r="X23" s="5">
        <v>0.19455600000000001</v>
      </c>
      <c r="Y23" s="5">
        <v>7.588763428678244E-3</v>
      </c>
      <c r="Z23" s="5">
        <v>3.3032515443875303E-2</v>
      </c>
      <c r="AA23" s="5">
        <v>6.6062919694702682E-3</v>
      </c>
      <c r="AB23" s="5">
        <v>-6.4039779876783498E-2</v>
      </c>
      <c r="AC23" s="5">
        <v>0.1687547996369127</v>
      </c>
      <c r="AD23" s="5">
        <v>2.9952915704841848E-3</v>
      </c>
      <c r="AE23" s="5">
        <v>0.13721198875766</v>
      </c>
      <c r="AF23" s="5">
        <v>-0.32465932564021122</v>
      </c>
      <c r="AG23" s="5">
        <v>0.145893892939672</v>
      </c>
      <c r="AH23" s="5">
        <v>-0.1356489203506672</v>
      </c>
      <c r="AI23" s="5">
        <v>-7.5450169739462281E-2</v>
      </c>
      <c r="AJ23" s="5">
        <v>1.6962455385149559E-2</v>
      </c>
      <c r="AK23" s="5">
        <v>9.1199224275259672E-2</v>
      </c>
      <c r="AL23" s="5">
        <v>0.1314317131925356</v>
      </c>
      <c r="AM23" s="5">
        <v>7.769489004865255E-3</v>
      </c>
      <c r="AN23" s="5">
        <v>0.24231469935730071</v>
      </c>
      <c r="AO23" s="5">
        <v>9.078247952961746E-2</v>
      </c>
      <c r="AP23" s="5">
        <v>0.16526650000000001</v>
      </c>
      <c r="AQ23" s="5">
        <v>-8.9424992259610633E-2</v>
      </c>
      <c r="AR23" s="5">
        <v>0.14613599999999999</v>
      </c>
      <c r="AS23" s="5">
        <v>-1.470688799737762E-2</v>
      </c>
      <c r="AT23" s="5">
        <v>0.1095059029649002</v>
      </c>
      <c r="AU23" s="5">
        <v>0.20359589118158589</v>
      </c>
      <c r="AV23" s="5">
        <v>-9.6755999999999995E-2</v>
      </c>
      <c r="AW23" s="5">
        <v>5.202690983840276E-2</v>
      </c>
      <c r="AX23" s="5">
        <v>1.4812779008540821E-2</v>
      </c>
      <c r="AY23" s="5">
        <v>5.8139600106789993E-2</v>
      </c>
      <c r="AZ23" s="5">
        <v>-0.31598452125580129</v>
      </c>
      <c r="BA23" s="5">
        <v>9.6467800801007808E-3</v>
      </c>
      <c r="BB23" s="5">
        <v>0.56682749999999993</v>
      </c>
      <c r="BC23" s="5">
        <v>-0.30082824917306578</v>
      </c>
      <c r="BD23" s="5">
        <v>9.4830881346450333E-2</v>
      </c>
      <c r="BE23" s="5">
        <v>7.1430762397296579E-2</v>
      </c>
      <c r="BF23" s="5">
        <v>0.21000911286045121</v>
      </c>
      <c r="BG23" s="5">
        <v>7.4761471196752541E-2</v>
      </c>
      <c r="BH23" s="5">
        <v>-0.2034839813552872</v>
      </c>
      <c r="BI23" s="5">
        <v>0.13821955522644711</v>
      </c>
      <c r="BJ23" s="5">
        <v>5.8020213544642429E-2</v>
      </c>
      <c r="BK23" s="5">
        <v>-5.0098634745350491E-3</v>
      </c>
      <c r="BL23" s="5">
        <v>0.11436629014166901</v>
      </c>
      <c r="BM23" s="5">
        <v>-6.9495462024450616E-2</v>
      </c>
      <c r="BN23" s="5">
        <v>-2.660347002197758E-2</v>
      </c>
      <c r="BO23" s="5">
        <v>-3.6524941745999073E-2</v>
      </c>
      <c r="BP23" s="5">
        <v>-2.2474000000000001E-2</v>
      </c>
      <c r="BQ23" s="5">
        <v>-5.9356424860417777E-2</v>
      </c>
      <c r="BR23" s="5">
        <v>1.7844321463962809E-2</v>
      </c>
      <c r="BS23" s="5">
        <v>0.2205670944023907</v>
      </c>
      <c r="BT23" s="5">
        <v>7.018926416463693E-2</v>
      </c>
      <c r="BU23" s="5">
        <v>0.20568773584594591</v>
      </c>
      <c r="BV23" s="5">
        <v>1.702049999999999E-2</v>
      </c>
      <c r="BW23" s="5">
        <v>1.536251504309036E-2</v>
      </c>
      <c r="BX23" s="5">
        <v>-0.1242195235446351</v>
      </c>
      <c r="BY23" s="5">
        <v>3.9935999999999972E-2</v>
      </c>
      <c r="BZ23" s="5">
        <v>-7.6697624318448621E-3</v>
      </c>
      <c r="CA23" s="5">
        <v>-7.5653199746629096E-2</v>
      </c>
      <c r="CB23" s="5">
        <v>-0.31616749999999999</v>
      </c>
      <c r="CC23" s="5">
        <v>-8.4545000000000009E-2</v>
      </c>
      <c r="CD23" s="5">
        <v>-0.64074657751655262</v>
      </c>
      <c r="CE23" s="5">
        <v>-0.1166246067964614</v>
      </c>
      <c r="CF23" s="5">
        <v>-1.616083543008176E-2</v>
      </c>
      <c r="CG23" s="5">
        <v>-0.21663724162720299</v>
      </c>
      <c r="CH23" s="5">
        <v>0.16212257431707061</v>
      </c>
      <c r="CI23" s="5">
        <v>0.13522219665147919</v>
      </c>
      <c r="CJ23" s="5">
        <v>1.9875367550410569E-2</v>
      </c>
      <c r="CK23" s="5">
        <v>7.1856390536544607E-2</v>
      </c>
      <c r="CL23" s="5">
        <v>-0.1640494591789142</v>
      </c>
      <c r="CM23" s="5">
        <v>0.3867329465229094</v>
      </c>
      <c r="CN23" s="5">
        <v>5.3005178369803271E-2</v>
      </c>
      <c r="CO23" s="5">
        <v>-0.26845097690314912</v>
      </c>
      <c r="CP23" s="5">
        <v>-0.31136074316275669</v>
      </c>
      <c r="CQ23" s="5">
        <v>-2.4702270079380868E-2</v>
      </c>
      <c r="CR23" s="5">
        <v>-0.15099817047394759</v>
      </c>
      <c r="CS23" s="5">
        <v>6.9014999999999993E-2</v>
      </c>
      <c r="CT23" s="5">
        <v>-3.2850224006144763E-2</v>
      </c>
      <c r="CU23" s="5">
        <v>0.20210388498715681</v>
      </c>
      <c r="CV23" s="5">
        <v>-0.20184949999999999</v>
      </c>
      <c r="CW23" s="5">
        <v>-2.418628778900123E-2</v>
      </c>
      <c r="CX23" s="5">
        <v>-6.1859993147280662E-2</v>
      </c>
      <c r="CY23" s="5">
        <v>-0.28171082747401988</v>
      </c>
      <c r="CZ23" s="5">
        <v>6.1281100514640897E-2</v>
      </c>
      <c r="DA23" s="5">
        <v>-3.0982136225910391E-2</v>
      </c>
      <c r="DB23" s="5">
        <v>1.5955156866996431E-2</v>
      </c>
      <c r="DC23" s="5">
        <v>-0.1191904860704142</v>
      </c>
      <c r="DD23" s="5">
        <v>9.2798674677153081E-2</v>
      </c>
      <c r="DE23" s="5">
        <v>-6.0085947510171572E-2</v>
      </c>
      <c r="DF23" s="5">
        <v>0.1913738738124513</v>
      </c>
      <c r="DG23" s="5">
        <v>0.15297665429505281</v>
      </c>
      <c r="DH23" s="5">
        <v>-0.13922799999999999</v>
      </c>
      <c r="DI23" s="5">
        <v>0.18491271354810521</v>
      </c>
      <c r="DJ23" s="5">
        <v>-0.1200325818239187</v>
      </c>
      <c r="DK23" s="5">
        <v>-4.7749797048578922E-2</v>
      </c>
      <c r="DL23" s="5">
        <v>-2.6242652104624471E-2</v>
      </c>
      <c r="DM23" s="5">
        <v>1.071033430682497E-2</v>
      </c>
      <c r="DN23" s="5">
        <v>0.26497485648399138</v>
      </c>
      <c r="DO23" s="5">
        <v>-8.4670827807182117E-2</v>
      </c>
      <c r="DP23" s="5">
        <v>4.7088232655722921E-2</v>
      </c>
      <c r="DQ23" s="5">
        <v>-0.24594610755878629</v>
      </c>
      <c r="DR23" s="5">
        <v>-0.1024255</v>
      </c>
      <c r="DS23" s="5">
        <v>-0.24719455144246849</v>
      </c>
      <c r="DT23" s="5">
        <v>-2.2296457069757209E-2</v>
      </c>
      <c r="DU23" s="5">
        <v>-0.52524170665309988</v>
      </c>
      <c r="DV23" s="5">
        <v>-0.19274140121789701</v>
      </c>
      <c r="DW23" s="5">
        <v>0.14122823258283859</v>
      </c>
      <c r="DX23" s="5">
        <v>0.1710027869684545</v>
      </c>
      <c r="DY23" s="5">
        <v>-0.26822192937212391</v>
      </c>
      <c r="DZ23" s="5">
        <v>0.12933301555171881</v>
      </c>
      <c r="EA23" s="5">
        <v>-2.8757000000000001E-2</v>
      </c>
      <c r="EB23" s="5">
        <v>0.24428465812392219</v>
      </c>
      <c r="EC23" s="5">
        <v>0.1232049429556647</v>
      </c>
      <c r="ED23" s="5">
        <v>0.194323278521919</v>
      </c>
      <c r="EE23" s="5">
        <v>6.9545558094986554E-2</v>
      </c>
      <c r="EF23" s="5">
        <v>-9.3413999999999997E-2</v>
      </c>
    </row>
    <row r="24" spans="1:136">
      <c r="A24" s="1">
        <v>964</v>
      </c>
      <c r="B24" s="1">
        <v>1</v>
      </c>
      <c r="C24" s="4">
        <v>2.776696731044102E-2</v>
      </c>
      <c r="D24" s="5">
        <v>0.10061</v>
      </c>
      <c r="E24" s="5">
        <v>8.1880334610397495E-2</v>
      </c>
      <c r="F24" s="5">
        <v>0.20154571887164621</v>
      </c>
      <c r="G24" s="5">
        <v>2.2622388562617651E-2</v>
      </c>
      <c r="H24" s="5">
        <v>-0.35082219133103881</v>
      </c>
      <c r="I24" s="5">
        <v>2.111933203143501E-3</v>
      </c>
      <c r="J24" s="5">
        <v>-9.9972192910136135E-2</v>
      </c>
      <c r="K24" s="5">
        <v>5.0444335993488708E-2</v>
      </c>
      <c r="L24" s="5">
        <v>-0.33375944447564659</v>
      </c>
      <c r="M24" s="5">
        <v>-0.14681933889950849</v>
      </c>
      <c r="N24" s="5">
        <v>0.1051917107958454</v>
      </c>
      <c r="O24" s="5">
        <v>0.235309193405423</v>
      </c>
      <c r="P24" s="5">
        <v>7.7736485854057236E-2</v>
      </c>
      <c r="Q24" s="5">
        <v>-6.096496164670627E-2</v>
      </c>
      <c r="R24" s="5">
        <v>0.24569737077925971</v>
      </c>
      <c r="S24" s="5">
        <v>0.13988379956700059</v>
      </c>
      <c r="T24" s="5">
        <v>-0.1236910440917892</v>
      </c>
      <c r="U24" s="5">
        <v>0.14851867422391801</v>
      </c>
      <c r="V24" s="5">
        <v>-0.11654031671685081</v>
      </c>
      <c r="W24" s="5">
        <v>0.64293352860565944</v>
      </c>
      <c r="X24" s="5">
        <v>-8.9899999999999702E-4</v>
      </c>
      <c r="Y24" s="5">
        <v>2.9398839580432611E-2</v>
      </c>
      <c r="Z24" s="5">
        <v>0.10584232727880701</v>
      </c>
      <c r="AA24" s="5">
        <v>1.354776823757727E-2</v>
      </c>
      <c r="AB24" s="5">
        <v>-0.1953396226752438</v>
      </c>
      <c r="AC24" s="5">
        <v>0.4017473338469546</v>
      </c>
      <c r="AD24" s="5">
        <v>5.9922146810819088E-2</v>
      </c>
      <c r="AE24" s="5">
        <v>0.19314178971175811</v>
      </c>
      <c r="AF24" s="5">
        <v>-0.49538941280416188</v>
      </c>
      <c r="AG24" s="5">
        <v>0.38005539258279603</v>
      </c>
      <c r="AH24" s="5">
        <v>-0.30212275660657528</v>
      </c>
      <c r="AI24" s="5">
        <v>-0.15191167478339729</v>
      </c>
      <c r="AJ24" s="5">
        <v>2.011236537319892E-2</v>
      </c>
      <c r="AK24" s="5">
        <v>0.11317916377562411</v>
      </c>
      <c r="AL24" s="5">
        <v>-5.4676935490635382E-2</v>
      </c>
      <c r="AM24" s="5">
        <v>-1.89192814205267E-2</v>
      </c>
      <c r="AN24" s="5">
        <v>0.22118946514543131</v>
      </c>
      <c r="AO24" s="5">
        <v>0.1029057025777895</v>
      </c>
      <c r="AP24" s="5">
        <v>0.16448499999999999</v>
      </c>
      <c r="AQ24" s="5">
        <v>-4.7076972834245667E-2</v>
      </c>
      <c r="AR24" s="5">
        <v>0.17083300000000001</v>
      </c>
      <c r="AS24" s="5">
        <v>-2.7956077266590069E-2</v>
      </c>
      <c r="AT24" s="5">
        <v>0.15076897992568081</v>
      </c>
      <c r="AU24" s="5">
        <v>0.22984101567941989</v>
      </c>
      <c r="AV24" s="5">
        <v>-1.9522000000000001E-2</v>
      </c>
      <c r="AW24" s="5">
        <v>-4.9875415110391882E-3</v>
      </c>
      <c r="AX24" s="5">
        <v>-0.1114913369162155</v>
      </c>
      <c r="AY24" s="5">
        <v>0.26743574468647008</v>
      </c>
      <c r="AZ24" s="5">
        <v>-0.60989956018477687</v>
      </c>
      <c r="BA24" s="5">
        <v>-5.3794732084633153E-2</v>
      </c>
      <c r="BB24" s="5">
        <v>0.69077599999999995</v>
      </c>
      <c r="BC24" s="5">
        <v>-0.8032160130443774</v>
      </c>
      <c r="BD24" s="5">
        <v>0.18559521924643521</v>
      </c>
      <c r="BE24" s="5">
        <v>4.606435403168687E-2</v>
      </c>
      <c r="BF24" s="5">
        <v>-6.4370420949463519E-2</v>
      </c>
      <c r="BG24" s="5">
        <v>2.6835965866310919E-2</v>
      </c>
      <c r="BH24" s="5">
        <v>-0.38625533691353497</v>
      </c>
      <c r="BI24" s="5">
        <v>-2.8151632148178202E-2</v>
      </c>
      <c r="BJ24" s="5">
        <v>-6.0567254322459393E-2</v>
      </c>
      <c r="BK24" s="5">
        <v>-1.00197269490701E-2</v>
      </c>
      <c r="BL24" s="5">
        <v>0.1061069201511666</v>
      </c>
      <c r="BM24" s="5">
        <v>8.4782939838988242E-2</v>
      </c>
      <c r="BN24" s="5">
        <v>-1.989015847921969E-2</v>
      </c>
      <c r="BO24" s="5">
        <v>0.16110969109564191</v>
      </c>
      <c r="BP24" s="5">
        <v>3.1793000000000002E-2</v>
      </c>
      <c r="BQ24" s="5">
        <v>1.385746642413632E-2</v>
      </c>
      <c r="BR24" s="5">
        <v>4.2356223303417713E-2</v>
      </c>
      <c r="BS24" s="5">
        <v>0.1216210365296066</v>
      </c>
      <c r="BT24" s="5">
        <v>5.5799256308256592E-2</v>
      </c>
      <c r="BU24" s="5">
        <v>0.22832663155994071</v>
      </c>
      <c r="BV24" s="5">
        <v>0.20330699999999999</v>
      </c>
      <c r="BW24" s="5">
        <v>0.15102744542241939</v>
      </c>
      <c r="BX24" s="5">
        <v>-5.8043369649915091E-2</v>
      </c>
      <c r="BY24" s="5">
        <v>-0.29033999999999999</v>
      </c>
      <c r="BZ24" s="5">
        <v>-0.25889289884999689</v>
      </c>
      <c r="CA24" s="5">
        <v>-0.1152216807734147</v>
      </c>
      <c r="CB24" s="5">
        <v>-0.63969900000000002</v>
      </c>
      <c r="CC24" s="5">
        <v>-0.18246999999999999</v>
      </c>
      <c r="CD24" s="5">
        <v>-0.69133196858938295</v>
      </c>
      <c r="CE24" s="5">
        <v>-0.21012143523608839</v>
      </c>
      <c r="CF24" s="5">
        <v>4.3964633996731547E-2</v>
      </c>
      <c r="CG24" s="5">
        <v>-0.51996896607392207</v>
      </c>
      <c r="CH24" s="5">
        <v>0.2129728840293183</v>
      </c>
      <c r="CI24" s="5">
        <v>0.29359964364968388</v>
      </c>
      <c r="CJ24" s="5">
        <v>-1.310948541941956E-2</v>
      </c>
      <c r="CK24" s="5">
        <v>0.32305926532838408</v>
      </c>
      <c r="CL24" s="5">
        <v>-1.5683747889366519E-2</v>
      </c>
      <c r="CM24" s="5">
        <v>0.54958710995910021</v>
      </c>
      <c r="CN24" s="5">
        <v>0.1077387664572132</v>
      </c>
      <c r="CO24" s="5">
        <v>-0.57240960973467503</v>
      </c>
      <c r="CP24" s="5">
        <v>-0.1603442048148421</v>
      </c>
      <c r="CQ24" s="5">
        <v>-0.1601896466275006</v>
      </c>
      <c r="CR24" s="5">
        <v>-0.1377874560487031</v>
      </c>
      <c r="CS24" s="5">
        <v>-2.6858E-2</v>
      </c>
      <c r="CT24" s="5">
        <v>0.1828965872921165</v>
      </c>
      <c r="CU24" s="5">
        <v>5.2729044813654813E-2</v>
      </c>
      <c r="CV24" s="5">
        <v>-0.36147600000000002</v>
      </c>
      <c r="CW24" s="5">
        <v>-0.234993215272846</v>
      </c>
      <c r="CX24" s="5">
        <v>-0.14669462567028749</v>
      </c>
      <c r="CY24" s="5">
        <v>-0.36022804676873771</v>
      </c>
      <c r="CZ24" s="5">
        <v>0.16210690987816029</v>
      </c>
      <c r="DA24" s="5">
        <v>2.451120416275485E-2</v>
      </c>
      <c r="DB24" s="5">
        <v>0.19546067251265431</v>
      </c>
      <c r="DC24" s="5">
        <v>-0.19117575817053481</v>
      </c>
      <c r="DD24" s="5">
        <v>-0.19584472218244131</v>
      </c>
      <c r="DE24" s="5">
        <v>0.13158559129553279</v>
      </c>
      <c r="DF24" s="5">
        <v>0.19463806375593051</v>
      </c>
      <c r="DG24" s="5">
        <v>0.24858898273322999</v>
      </c>
      <c r="DH24" s="5">
        <v>-0.26580500000000001</v>
      </c>
      <c r="DI24" s="5">
        <v>0.42309879972833903</v>
      </c>
      <c r="DJ24" s="5">
        <v>-0.2293698745310894</v>
      </c>
      <c r="DK24" s="5">
        <v>-0.16602172835425</v>
      </c>
      <c r="DL24" s="5">
        <v>-6.1360513215416877E-2</v>
      </c>
      <c r="DM24" s="5">
        <v>0.10831609512618499</v>
      </c>
      <c r="DN24" s="5">
        <v>0.51684793899753223</v>
      </c>
      <c r="DO24" s="5">
        <v>-8.3114289590005733E-2</v>
      </c>
      <c r="DP24" s="5">
        <v>0.1143734254860139</v>
      </c>
      <c r="DQ24" s="5">
        <v>-0.35907130209664839</v>
      </c>
      <c r="DR24" s="5">
        <v>-2.3392E-2</v>
      </c>
      <c r="DS24" s="5">
        <v>-0.14400697483881431</v>
      </c>
      <c r="DT24" s="5">
        <v>-2.9435726388863388E-2</v>
      </c>
      <c r="DU24" s="5">
        <v>-0.7705433077559587</v>
      </c>
      <c r="DV24" s="5">
        <v>-0.75045654918922122</v>
      </c>
      <c r="DW24" s="5">
        <v>0.10885708989133031</v>
      </c>
      <c r="DX24" s="5">
        <v>0.17373733044807921</v>
      </c>
      <c r="DY24" s="5">
        <v>-3.2066535729951551E-2</v>
      </c>
      <c r="DZ24" s="5">
        <v>-4.8904664258799802E-2</v>
      </c>
      <c r="EA24" s="5">
        <v>-5.4917000000000001E-2</v>
      </c>
      <c r="EB24" s="5">
        <v>0.58969791699909047</v>
      </c>
      <c r="EC24" s="5">
        <v>0.25665137996352638</v>
      </c>
      <c r="ED24" s="5">
        <v>8.4540092567264802E-2</v>
      </c>
      <c r="EE24" s="5">
        <v>-3.5663982870964749E-2</v>
      </c>
      <c r="EF24" s="5">
        <v>-0.13408500000000001</v>
      </c>
    </row>
    <row r="26" spans="1:136">
      <c r="A26" t="s">
        <v>144</v>
      </c>
      <c r="B26" t="s">
        <v>145</v>
      </c>
      <c r="C26" s="6">
        <v>-1.74467705393903E-2</v>
      </c>
      <c r="D26" s="6">
        <v>2.070106053181563E-2</v>
      </c>
      <c r="E26" s="6">
        <v>2.3982129254766709E-2</v>
      </c>
      <c r="F26" s="6">
        <v>-6.557578972823077E-3</v>
      </c>
      <c r="G26" s="6">
        <v>3.1845129800519692E-2</v>
      </c>
      <c r="H26" s="6">
        <v>3.4348532736990518E-2</v>
      </c>
      <c r="I26" s="6">
        <v>-8.2549327813252367E-3</v>
      </c>
      <c r="J26" s="6">
        <v>1.2843524394052759E-2</v>
      </c>
      <c r="K26" s="6">
        <v>-5.1018524626790823E-2</v>
      </c>
      <c r="L26" s="6">
        <v>8.7394274103658827E-4</v>
      </c>
      <c r="M26" s="6">
        <v>2.3389575505495919E-2</v>
      </c>
      <c r="N26" s="6">
        <v>1.2988972200332851E-2</v>
      </c>
      <c r="O26" s="6">
        <v>5.8545887256348812E-3</v>
      </c>
      <c r="P26" s="6">
        <v>2.7413206571790558E-2</v>
      </c>
      <c r="Q26" s="6">
        <v>-3.7129361176928542E-3</v>
      </c>
      <c r="R26" s="6">
        <v>2.4076614047823328E-2</v>
      </c>
      <c r="S26" s="6">
        <v>-1.219002529903996E-2</v>
      </c>
      <c r="T26" s="6">
        <v>-3.9749578159589592E-2</v>
      </c>
      <c r="U26" s="6">
        <v>-7.3155449831649552E-2</v>
      </c>
      <c r="V26" s="6">
        <v>-5.8260229910114661E-2</v>
      </c>
      <c r="W26" s="6">
        <v>7.7279756550837221E-4</v>
      </c>
      <c r="X26" s="6">
        <v>4.459152113521897E-2</v>
      </c>
      <c r="Y26" s="6">
        <v>-2.7699680050213091E-2</v>
      </c>
      <c r="Z26" s="6">
        <v>2.0950059497436462E-3</v>
      </c>
      <c r="AA26" s="6">
        <v>-2.340055099256411E-2</v>
      </c>
      <c r="AB26" s="6">
        <v>3.2129371097322189E-2</v>
      </c>
      <c r="AC26" s="6">
        <v>3.890327309406643E-2</v>
      </c>
      <c r="AD26" s="6">
        <v>-4.286538217110427E-2</v>
      </c>
      <c r="AE26" s="6">
        <v>1.8647194550152159E-2</v>
      </c>
      <c r="AF26" s="6">
        <v>1.5229768322528949E-2</v>
      </c>
      <c r="AG26" s="6">
        <v>3.6016603778892417E-2</v>
      </c>
      <c r="AH26" s="6">
        <v>9.3546113853161701E-3</v>
      </c>
      <c r="AI26" s="6">
        <v>1.0748251336838139E-2</v>
      </c>
      <c r="AJ26" s="6">
        <v>1.335775405308097E-2</v>
      </c>
      <c r="AK26" s="6">
        <v>-5.3327473290953921E-3</v>
      </c>
      <c r="AL26" s="6">
        <v>1.383135807261675E-3</v>
      </c>
      <c r="AM26" s="6">
        <v>2.079592842007446E-2</v>
      </c>
      <c r="AN26" s="6">
        <v>3.1517702220390638E-2</v>
      </c>
      <c r="AO26" s="6">
        <v>6.2417165333294418E-3</v>
      </c>
      <c r="AP26" s="6">
        <v>6.1452616535713897E-3</v>
      </c>
      <c r="AQ26" s="6">
        <v>1.694635767669651E-2</v>
      </c>
      <c r="AR26" s="6">
        <v>3.4682830454308228E-2</v>
      </c>
      <c r="AS26" s="6">
        <v>3.0985886171969678E-3</v>
      </c>
      <c r="AT26" s="6">
        <v>1.508134714348611E-2</v>
      </c>
      <c r="AU26" s="6">
        <v>-1.9251209229863991E-2</v>
      </c>
      <c r="AV26" s="6">
        <v>3.8711513387631437E-2</v>
      </c>
      <c r="AW26" s="6">
        <v>-2.1856951135736599E-2</v>
      </c>
      <c r="AX26" s="6">
        <v>7.7743007097896798E-3</v>
      </c>
      <c r="AY26" s="6">
        <v>4.2397246695325942E-2</v>
      </c>
      <c r="AZ26" s="6">
        <v>-2.630897486115975E-2</v>
      </c>
      <c r="BA26" s="6">
        <v>9.5717493087162323E-3</v>
      </c>
      <c r="BB26" s="6">
        <v>-2.424974126627483E-2</v>
      </c>
      <c r="BC26" s="6">
        <v>2.0163374143915822E-2</v>
      </c>
      <c r="BD26" s="6">
        <v>-3.5049987821160239E-3</v>
      </c>
      <c r="BE26" s="6">
        <v>2.0151935098542271E-2</v>
      </c>
      <c r="BF26" s="6">
        <v>5.8133623077027128E-4</v>
      </c>
      <c r="BG26" s="6">
        <v>-5.2197009532526043E-3</v>
      </c>
      <c r="BH26" s="6">
        <v>-0.11587176140213</v>
      </c>
      <c r="BI26" s="6">
        <v>8.7252256924373536E-3</v>
      </c>
      <c r="BJ26" s="6">
        <v>-1.6377260977822151E-2</v>
      </c>
      <c r="BK26" s="6">
        <v>2.0840371600260421E-2</v>
      </c>
      <c r="BL26" s="6">
        <v>4.4975872102114713E-2</v>
      </c>
      <c r="BM26" s="6">
        <v>2.3954306081863871E-2</v>
      </c>
      <c r="BN26" s="6">
        <v>3.0239101391442601E-2</v>
      </c>
      <c r="BO26" s="6">
        <v>-4.372588759108751E-2</v>
      </c>
      <c r="BP26" s="6">
        <v>2.1889469568198618E-2</v>
      </c>
      <c r="BQ26" s="6">
        <v>8.6274302635084028E-3</v>
      </c>
      <c r="BR26" s="6">
        <v>-1.9192953994658781E-2</v>
      </c>
      <c r="BS26" s="6">
        <v>1.973512988813305E-2</v>
      </c>
      <c r="BT26" s="6">
        <v>4.7694337483699438E-2</v>
      </c>
      <c r="BU26" s="6">
        <v>1.145481680658339E-2</v>
      </c>
      <c r="BV26" s="6">
        <v>4.3228620735213191E-2</v>
      </c>
      <c r="BW26" s="6">
        <v>-4.2747430436922793E-2</v>
      </c>
      <c r="BX26" s="6">
        <v>-1.781129242779457E-2</v>
      </c>
      <c r="BY26" s="6">
        <v>-0.1511530968690756</v>
      </c>
      <c r="BZ26" s="6">
        <v>0.12422400361957529</v>
      </c>
      <c r="CA26" s="6">
        <v>-4.5572538445296431E-3</v>
      </c>
      <c r="CB26" s="6">
        <v>6.0211240204911178E-2</v>
      </c>
      <c r="CC26" s="6">
        <v>8.5992033482502284E-2</v>
      </c>
      <c r="CD26" s="6">
        <v>-5.8084795823660634E-3</v>
      </c>
      <c r="CE26" s="6">
        <v>-6.0413469889680736E-3</v>
      </c>
      <c r="CF26" s="6">
        <v>2.4523243722520739E-3</v>
      </c>
      <c r="CG26" s="6">
        <v>8.963625193702289E-2</v>
      </c>
      <c r="CH26" s="6">
        <v>7.099273252675789E-2</v>
      </c>
      <c r="CI26" s="6">
        <v>2.7170642901783448E-2</v>
      </c>
      <c r="CJ26" s="6">
        <v>5.2468428425330033E-2</v>
      </c>
      <c r="CK26" s="6">
        <v>2.9480660943049509E-2</v>
      </c>
      <c r="CL26" s="6">
        <v>6.6825081060201283E-2</v>
      </c>
      <c r="CM26" s="6">
        <v>-2.8772229019816971E-2</v>
      </c>
      <c r="CN26" s="6">
        <v>3.9462515901637851E-2</v>
      </c>
      <c r="CO26" s="6">
        <v>-2.9031086977359909E-2</v>
      </c>
      <c r="CP26" s="6">
        <v>1.3983882519467901E-2</v>
      </c>
      <c r="CQ26" s="6">
        <v>-3.2276964959333833E-2</v>
      </c>
      <c r="CR26" s="6">
        <v>3.1035766128940231E-3</v>
      </c>
      <c r="CS26" s="6">
        <v>2.5591855767083171E-2</v>
      </c>
      <c r="CT26" s="6">
        <v>4.4391886287193302E-2</v>
      </c>
      <c r="CU26" s="6">
        <v>-3.0338958549577438E-2</v>
      </c>
      <c r="CV26" s="6">
        <v>-1.2579764545717069E-3</v>
      </c>
      <c r="CW26" s="6">
        <v>2.336356455857952E-3</v>
      </c>
      <c r="CX26" s="6">
        <v>-6.4264144925906069E-2</v>
      </c>
      <c r="CY26" s="6">
        <v>1.2909779458992439E-2</v>
      </c>
      <c r="CZ26" s="6">
        <v>-0.12547709467085871</v>
      </c>
      <c r="DA26" s="6">
        <v>1.1690682939792569E-2</v>
      </c>
      <c r="DB26" s="6">
        <v>6.3378437007417512E-3</v>
      </c>
      <c r="DC26" s="6">
        <v>-0.1173053564693855</v>
      </c>
      <c r="DD26" s="6">
        <v>-3.6010872049446613E-2</v>
      </c>
      <c r="DE26" s="6">
        <v>0.1389113040722679</v>
      </c>
      <c r="DF26" s="6">
        <v>-5.1143506226105737E-2</v>
      </c>
      <c r="DG26" s="6">
        <v>7.6731447181969059E-2</v>
      </c>
      <c r="DH26" s="6">
        <v>1.550878219700816E-2</v>
      </c>
      <c r="DI26" s="6">
        <v>2.3223773674755831E-2</v>
      </c>
      <c r="DJ26" s="6">
        <v>-1.8372876361227891E-2</v>
      </c>
      <c r="DK26" s="6">
        <v>6.2199014085099431E-2</v>
      </c>
      <c r="DL26" s="6">
        <v>2.0098304486957191E-2</v>
      </c>
      <c r="DM26" s="6">
        <v>1.349893974806809E-2</v>
      </c>
      <c r="DN26" s="6">
        <v>-3.025221272842088E-2</v>
      </c>
      <c r="DO26" s="6">
        <v>-1.7022835708053841E-2</v>
      </c>
      <c r="DP26" s="6">
        <v>-2.1788523272461981E-2</v>
      </c>
      <c r="DQ26" s="6">
        <v>8.5745624585137223E-2</v>
      </c>
      <c r="DR26" s="6">
        <v>2.8106743604973752E-2</v>
      </c>
      <c r="DS26" s="6">
        <v>-2.3031598073594501E-3</v>
      </c>
      <c r="DT26" s="6">
        <v>5.8471198131487503E-2</v>
      </c>
      <c r="DU26" s="6">
        <v>6.7658949048647651E-2</v>
      </c>
      <c r="DV26" s="6">
        <v>5.0207706404322644E-3</v>
      </c>
      <c r="DW26" s="6">
        <v>3.7416183675207063E-2</v>
      </c>
      <c r="DX26" s="6">
        <v>8.4111003746042121E-2</v>
      </c>
      <c r="DY26" s="6">
        <v>-3.6832398544012837E-2</v>
      </c>
      <c r="DZ26" s="6">
        <v>3.0917028169369942E-3</v>
      </c>
      <c r="EA26" s="6">
        <v>-1.957628214294549E-3</v>
      </c>
      <c r="EB26" s="6">
        <v>2.6459103603519739E-2</v>
      </c>
      <c r="EC26" s="6">
        <v>-2.4752538760690269E-2</v>
      </c>
      <c r="ED26" s="6">
        <v>3.4115490982559941E-2</v>
      </c>
      <c r="EE26" s="6">
        <v>2.1061973989032982E-2</v>
      </c>
      <c r="EF26" s="6">
        <v>-2.0277392706005901E-2</v>
      </c>
    </row>
    <row r="28" spans="1:136">
      <c r="B28" s="12" t="s">
        <v>245</v>
      </c>
      <c r="C28" s="14">
        <v>3043</v>
      </c>
      <c r="D28" s="14">
        <v>5455</v>
      </c>
      <c r="E28" s="14">
        <v>6130</v>
      </c>
      <c r="F28" s="14">
        <v>6130</v>
      </c>
      <c r="G28" s="14">
        <v>6130</v>
      </c>
      <c r="H28" s="14">
        <v>6130</v>
      </c>
      <c r="I28" s="14">
        <v>6114</v>
      </c>
      <c r="J28" s="14">
        <v>6242</v>
      </c>
      <c r="K28" s="14">
        <v>5324</v>
      </c>
      <c r="L28" s="14">
        <v>5324</v>
      </c>
      <c r="M28" s="14">
        <v>5324</v>
      </c>
      <c r="N28" s="14">
        <v>5324</v>
      </c>
      <c r="O28" s="14">
        <v>5455</v>
      </c>
      <c r="P28" s="14">
        <v>2388</v>
      </c>
      <c r="Q28" s="14">
        <v>5455</v>
      </c>
      <c r="R28" s="14">
        <v>5455</v>
      </c>
      <c r="S28" s="14">
        <v>2388</v>
      </c>
      <c r="T28" s="14">
        <v>5455</v>
      </c>
      <c r="U28" s="14">
        <v>4413</v>
      </c>
      <c r="V28" s="14">
        <v>2388</v>
      </c>
      <c r="W28" s="14">
        <v>2028</v>
      </c>
      <c r="X28" s="14">
        <v>6291</v>
      </c>
      <c r="Y28" s="14">
        <v>3232</v>
      </c>
      <c r="Z28" s="14">
        <v>6225</v>
      </c>
      <c r="AA28" s="14">
        <v>6225</v>
      </c>
      <c r="AB28" s="14">
        <v>6225</v>
      </c>
      <c r="AC28" s="14">
        <v>9906</v>
      </c>
      <c r="AD28" s="14">
        <v>9906</v>
      </c>
      <c r="AE28" s="14">
        <v>5381</v>
      </c>
      <c r="AF28" s="14">
        <v>5455</v>
      </c>
      <c r="AG28" s="14">
        <v>6259</v>
      </c>
      <c r="AH28" s="14">
        <v>6259</v>
      </c>
      <c r="AI28" s="14">
        <v>6259</v>
      </c>
      <c r="AJ28" s="14">
        <v>6259</v>
      </c>
      <c r="AK28" s="14">
        <v>6259</v>
      </c>
      <c r="AL28" s="14">
        <v>6225</v>
      </c>
      <c r="AM28" s="14">
        <v>6225</v>
      </c>
      <c r="AN28" s="14">
        <v>6225</v>
      </c>
      <c r="AO28" s="14">
        <v>6259</v>
      </c>
      <c r="AP28" s="14">
        <v>6291</v>
      </c>
      <c r="AQ28" s="14">
        <v>6225</v>
      </c>
      <c r="AR28" s="14">
        <v>6291</v>
      </c>
      <c r="AS28" s="14">
        <v>6225</v>
      </c>
      <c r="AT28" s="14">
        <v>3064</v>
      </c>
      <c r="AU28" s="14">
        <v>3064</v>
      </c>
      <c r="AV28" s="14">
        <v>6291</v>
      </c>
      <c r="AW28" s="14">
        <v>3043</v>
      </c>
      <c r="AX28" s="14">
        <v>3064</v>
      </c>
      <c r="AY28" s="14">
        <v>8044</v>
      </c>
      <c r="AZ28" s="14">
        <v>5386</v>
      </c>
      <c r="BA28" s="14">
        <v>6225</v>
      </c>
      <c r="BB28" s="14">
        <v>6291</v>
      </c>
      <c r="BC28" s="14">
        <v>6225</v>
      </c>
      <c r="BD28" s="14">
        <v>6225</v>
      </c>
      <c r="BE28" s="14">
        <v>6225</v>
      </c>
      <c r="BF28" s="14">
        <v>6165</v>
      </c>
      <c r="BG28" s="14">
        <v>6225</v>
      </c>
      <c r="BH28" s="14">
        <v>6225</v>
      </c>
      <c r="BI28" s="14">
        <v>4303</v>
      </c>
      <c r="BJ28" s="14">
        <v>1475</v>
      </c>
      <c r="BK28" s="14">
        <v>4303</v>
      </c>
      <c r="BL28" s="14">
        <v>4303</v>
      </c>
      <c r="BM28" s="14">
        <v>4303</v>
      </c>
      <c r="BN28" s="14">
        <v>4303</v>
      </c>
      <c r="BO28" s="14">
        <v>6225</v>
      </c>
      <c r="BP28" s="14">
        <v>1475</v>
      </c>
      <c r="BQ28" s="14">
        <v>4303</v>
      </c>
      <c r="BR28" s="14">
        <v>6225</v>
      </c>
      <c r="BS28" s="14">
        <v>3085</v>
      </c>
      <c r="BT28" s="14">
        <v>3085</v>
      </c>
      <c r="BU28" s="14">
        <v>8080</v>
      </c>
      <c r="BV28" s="14">
        <v>1475</v>
      </c>
      <c r="BW28" s="14">
        <v>3085</v>
      </c>
      <c r="BX28" s="14">
        <v>3064</v>
      </c>
      <c r="BY28" s="14">
        <v>1475</v>
      </c>
      <c r="BZ28" s="14">
        <v>8080</v>
      </c>
      <c r="CA28" s="14">
        <v>8080</v>
      </c>
      <c r="CB28" s="14">
        <v>5205</v>
      </c>
      <c r="CC28" s="14">
        <v>8087</v>
      </c>
      <c r="CD28" s="14">
        <v>5310</v>
      </c>
      <c r="CE28" s="14">
        <v>5205</v>
      </c>
      <c r="CF28" s="14">
        <v>8070</v>
      </c>
      <c r="CG28" s="14">
        <v>8070</v>
      </c>
      <c r="CH28" s="14">
        <v>8070</v>
      </c>
      <c r="CI28" s="14">
        <v>8070</v>
      </c>
      <c r="CJ28" s="14">
        <v>8080</v>
      </c>
      <c r="CK28" s="14">
        <v>8070</v>
      </c>
      <c r="CL28" s="14">
        <v>8070</v>
      </c>
      <c r="CM28" s="14">
        <v>5205</v>
      </c>
      <c r="CN28" s="14">
        <v>6287</v>
      </c>
      <c r="CO28" s="14">
        <v>8070</v>
      </c>
      <c r="CP28" s="14">
        <v>6287</v>
      </c>
      <c r="CQ28" s="14">
        <v>1325</v>
      </c>
      <c r="CR28" s="14">
        <v>3043</v>
      </c>
      <c r="CS28" s="14">
        <v>5205</v>
      </c>
      <c r="CT28" s="14">
        <v>1325</v>
      </c>
      <c r="CU28" s="14">
        <v>3064</v>
      </c>
      <c r="CV28" s="14">
        <v>5205</v>
      </c>
      <c r="CW28" s="14">
        <v>6276</v>
      </c>
      <c r="CX28" s="14">
        <v>1325</v>
      </c>
      <c r="CY28" s="14">
        <v>6276</v>
      </c>
      <c r="CZ28" s="14">
        <v>6276</v>
      </c>
      <c r="DA28" s="14">
        <v>6225</v>
      </c>
      <c r="DB28" s="14">
        <v>6225</v>
      </c>
      <c r="DC28" s="14">
        <v>6225</v>
      </c>
      <c r="DD28" s="14">
        <v>2007</v>
      </c>
      <c r="DE28" s="14">
        <v>2486</v>
      </c>
      <c r="DF28" s="14">
        <v>2486</v>
      </c>
      <c r="DG28" s="14">
        <v>5475</v>
      </c>
      <c r="DH28" s="14">
        <v>1538</v>
      </c>
      <c r="DI28" s="14">
        <v>2615</v>
      </c>
      <c r="DJ28" s="14">
        <v>6104</v>
      </c>
      <c r="DK28" s="14">
        <v>6241</v>
      </c>
      <c r="DL28" s="14">
        <v>5468</v>
      </c>
      <c r="DM28" s="14">
        <v>9945</v>
      </c>
      <c r="DN28" s="14">
        <v>4402</v>
      </c>
      <c r="DO28" s="14">
        <v>4402</v>
      </c>
      <c r="DP28" s="14">
        <v>1519</v>
      </c>
      <c r="DQ28" s="14">
        <v>8933</v>
      </c>
      <c r="DR28" s="14">
        <v>5345</v>
      </c>
      <c r="DS28" s="14">
        <v>2615</v>
      </c>
      <c r="DT28" s="14">
        <v>8933</v>
      </c>
      <c r="DU28" s="14">
        <v>3085</v>
      </c>
      <c r="DV28" s="14">
        <v>3085</v>
      </c>
      <c r="DW28" s="14">
        <v>4419</v>
      </c>
      <c r="DX28" s="14">
        <v>2482</v>
      </c>
      <c r="DY28" s="14">
        <v>2482</v>
      </c>
      <c r="DZ28" s="14">
        <v>6291</v>
      </c>
      <c r="EA28" s="14">
        <v>2321</v>
      </c>
      <c r="EB28" s="14">
        <v>6235</v>
      </c>
      <c r="EC28" s="14">
        <v>9950</v>
      </c>
      <c r="ED28" s="14">
        <v>6291</v>
      </c>
      <c r="EE28" s="14">
        <v>6276</v>
      </c>
      <c r="EF28" s="14">
        <v>2321</v>
      </c>
    </row>
    <row r="29" spans="1:136">
      <c r="B29" s="12" t="s">
        <v>246</v>
      </c>
      <c r="C29" s="14" t="s">
        <v>146</v>
      </c>
      <c r="D29" s="14" t="s">
        <v>147</v>
      </c>
      <c r="E29" s="14" t="s">
        <v>148</v>
      </c>
      <c r="F29" s="14" t="s">
        <v>148</v>
      </c>
      <c r="G29" s="14" t="s">
        <v>148</v>
      </c>
      <c r="H29" s="14" t="s">
        <v>148</v>
      </c>
      <c r="I29" s="14" t="s">
        <v>149</v>
      </c>
      <c r="J29" s="14" t="s">
        <v>150</v>
      </c>
      <c r="K29" s="14" t="s">
        <v>151</v>
      </c>
      <c r="L29" s="14" t="s">
        <v>151</v>
      </c>
      <c r="M29" s="14" t="s">
        <v>151</v>
      </c>
      <c r="N29" s="14" t="s">
        <v>151</v>
      </c>
      <c r="O29" s="14" t="s">
        <v>147</v>
      </c>
      <c r="P29" s="14" t="s">
        <v>152</v>
      </c>
      <c r="Q29" s="14" t="s">
        <v>147</v>
      </c>
      <c r="R29" s="14" t="s">
        <v>147</v>
      </c>
      <c r="S29" s="14" t="s">
        <v>152</v>
      </c>
      <c r="T29" s="14" t="s">
        <v>147</v>
      </c>
      <c r="U29" s="14" t="s">
        <v>153</v>
      </c>
      <c r="V29" s="14" t="s">
        <v>152</v>
      </c>
      <c r="W29" s="14" t="s">
        <v>154</v>
      </c>
      <c r="X29" s="14" t="s">
        <v>155</v>
      </c>
      <c r="Y29" s="14" t="s">
        <v>156</v>
      </c>
      <c r="Z29" s="14" t="s">
        <v>157</v>
      </c>
      <c r="AA29" s="14" t="s">
        <v>157</v>
      </c>
      <c r="AB29" s="14" t="s">
        <v>157</v>
      </c>
      <c r="AC29" s="14" t="s">
        <v>158</v>
      </c>
      <c r="AD29" s="14" t="s">
        <v>158</v>
      </c>
      <c r="AE29" s="14" t="s">
        <v>159</v>
      </c>
      <c r="AF29" s="14" t="s">
        <v>147</v>
      </c>
      <c r="AG29" s="14" t="s">
        <v>160</v>
      </c>
      <c r="AH29" s="14" t="s">
        <v>160</v>
      </c>
      <c r="AI29" s="14" t="s">
        <v>160</v>
      </c>
      <c r="AJ29" s="14" t="s">
        <v>160</v>
      </c>
      <c r="AK29" s="14" t="s">
        <v>160</v>
      </c>
      <c r="AL29" s="14" t="s">
        <v>157</v>
      </c>
      <c r="AM29" s="14" t="s">
        <v>157</v>
      </c>
      <c r="AN29" s="14" t="s">
        <v>157</v>
      </c>
      <c r="AO29" s="14" t="s">
        <v>160</v>
      </c>
      <c r="AP29" s="14" t="s">
        <v>155</v>
      </c>
      <c r="AQ29" s="14" t="s">
        <v>157</v>
      </c>
      <c r="AR29" s="14" t="s">
        <v>155</v>
      </c>
      <c r="AS29" s="14" t="s">
        <v>157</v>
      </c>
      <c r="AT29" s="14" t="s">
        <v>161</v>
      </c>
      <c r="AU29" s="14" t="s">
        <v>161</v>
      </c>
      <c r="AV29" s="14" t="s">
        <v>155</v>
      </c>
      <c r="AW29" s="14" t="s">
        <v>146</v>
      </c>
      <c r="AX29" s="14" t="s">
        <v>161</v>
      </c>
      <c r="AY29" s="14" t="s">
        <v>162</v>
      </c>
      <c r="AZ29" s="14" t="s">
        <v>163</v>
      </c>
      <c r="BA29" s="14" t="s">
        <v>157</v>
      </c>
      <c r="BB29" s="14" t="s">
        <v>155</v>
      </c>
      <c r="BC29" s="14" t="s">
        <v>157</v>
      </c>
      <c r="BD29" s="14" t="s">
        <v>157</v>
      </c>
      <c r="BE29" s="14" t="s">
        <v>157</v>
      </c>
      <c r="BF29" s="14" t="s">
        <v>164</v>
      </c>
      <c r="BG29" s="14" t="s">
        <v>157</v>
      </c>
      <c r="BH29" s="14" t="s">
        <v>157</v>
      </c>
      <c r="BI29" s="14" t="s">
        <v>165</v>
      </c>
      <c r="BJ29" s="14" t="s">
        <v>166</v>
      </c>
      <c r="BK29" s="14" t="s">
        <v>165</v>
      </c>
      <c r="BL29" s="14" t="s">
        <v>165</v>
      </c>
      <c r="BM29" s="14" t="s">
        <v>165</v>
      </c>
      <c r="BN29" s="14" t="s">
        <v>165</v>
      </c>
      <c r="BO29" s="14" t="s">
        <v>157</v>
      </c>
      <c r="BP29" s="14" t="s">
        <v>166</v>
      </c>
      <c r="BQ29" s="14" t="s">
        <v>165</v>
      </c>
      <c r="BR29" s="14" t="s">
        <v>157</v>
      </c>
      <c r="BS29" s="14" t="s">
        <v>167</v>
      </c>
      <c r="BT29" s="14" t="s">
        <v>167</v>
      </c>
      <c r="BU29" s="14" t="s">
        <v>168</v>
      </c>
      <c r="BV29" s="14" t="s">
        <v>166</v>
      </c>
      <c r="BW29" s="14" t="s">
        <v>167</v>
      </c>
      <c r="BX29" s="14" t="s">
        <v>161</v>
      </c>
      <c r="BY29" s="14" t="s">
        <v>166</v>
      </c>
      <c r="BZ29" s="14" t="s">
        <v>168</v>
      </c>
      <c r="CA29" s="14" t="s">
        <v>168</v>
      </c>
      <c r="CB29" s="14" t="s">
        <v>169</v>
      </c>
      <c r="CC29" s="14" t="s">
        <v>170</v>
      </c>
      <c r="CD29" s="14" t="s">
        <v>171</v>
      </c>
      <c r="CE29" s="14" t="s">
        <v>169</v>
      </c>
      <c r="CF29" s="14" t="s">
        <v>172</v>
      </c>
      <c r="CG29" s="14" t="s">
        <v>172</v>
      </c>
      <c r="CH29" s="14" t="s">
        <v>172</v>
      </c>
      <c r="CI29" s="14" t="s">
        <v>172</v>
      </c>
      <c r="CJ29" s="14" t="s">
        <v>168</v>
      </c>
      <c r="CK29" s="14" t="s">
        <v>172</v>
      </c>
      <c r="CL29" s="14" t="s">
        <v>172</v>
      </c>
      <c r="CM29" s="14" t="s">
        <v>169</v>
      </c>
      <c r="CN29" s="14" t="s">
        <v>173</v>
      </c>
      <c r="CO29" s="14" t="s">
        <v>172</v>
      </c>
      <c r="CP29" s="14" t="s">
        <v>173</v>
      </c>
      <c r="CQ29" s="14" t="s">
        <v>174</v>
      </c>
      <c r="CR29" s="14" t="s">
        <v>146</v>
      </c>
      <c r="CS29" s="14" t="s">
        <v>169</v>
      </c>
      <c r="CT29" s="14" t="s">
        <v>174</v>
      </c>
      <c r="CU29" s="14" t="s">
        <v>161</v>
      </c>
      <c r="CV29" s="14" t="s">
        <v>169</v>
      </c>
      <c r="CW29" s="14" t="s">
        <v>175</v>
      </c>
      <c r="CX29" s="14" t="s">
        <v>174</v>
      </c>
      <c r="CY29" s="14" t="s">
        <v>175</v>
      </c>
      <c r="CZ29" s="14" t="s">
        <v>175</v>
      </c>
      <c r="DA29" s="14" t="s">
        <v>157</v>
      </c>
      <c r="DB29" s="14" t="s">
        <v>157</v>
      </c>
      <c r="DC29" s="14" t="s">
        <v>157</v>
      </c>
      <c r="DD29" s="14" t="s">
        <v>176</v>
      </c>
      <c r="DE29" s="14" t="s">
        <v>177</v>
      </c>
      <c r="DF29" s="14" t="s">
        <v>177</v>
      </c>
      <c r="DG29" s="14" t="s">
        <v>178</v>
      </c>
      <c r="DH29" s="14" t="s">
        <v>179</v>
      </c>
      <c r="DI29" s="14" t="s">
        <v>180</v>
      </c>
      <c r="DJ29" s="14" t="s">
        <v>181</v>
      </c>
      <c r="DK29" s="14" t="s">
        <v>182</v>
      </c>
      <c r="DL29" s="14" t="s">
        <v>183</v>
      </c>
      <c r="DM29" s="14" t="s">
        <v>184</v>
      </c>
      <c r="DN29" s="14" t="s">
        <v>185</v>
      </c>
      <c r="DO29" s="14" t="s">
        <v>185</v>
      </c>
      <c r="DP29" s="14" t="s">
        <v>186</v>
      </c>
      <c r="DQ29" s="14" t="s">
        <v>187</v>
      </c>
      <c r="DR29" s="14" t="s">
        <v>188</v>
      </c>
      <c r="DS29" s="14" t="s">
        <v>180</v>
      </c>
      <c r="DT29" s="14" t="s">
        <v>187</v>
      </c>
      <c r="DU29" s="14" t="s">
        <v>167</v>
      </c>
      <c r="DV29" s="14" t="s">
        <v>167</v>
      </c>
      <c r="DW29" s="14" t="s">
        <v>189</v>
      </c>
      <c r="DX29" s="14" t="s">
        <v>190</v>
      </c>
      <c r="DY29" s="14" t="s">
        <v>190</v>
      </c>
      <c r="DZ29" s="14" t="s">
        <v>155</v>
      </c>
      <c r="EA29" s="14" t="s">
        <v>191</v>
      </c>
      <c r="EB29" s="14" t="s">
        <v>192</v>
      </c>
      <c r="EC29" s="14" t="s">
        <v>193</v>
      </c>
      <c r="ED29" s="14" t="s">
        <v>155</v>
      </c>
      <c r="EE29" s="14" t="s">
        <v>175</v>
      </c>
      <c r="EF29" s="14" t="s">
        <v>191</v>
      </c>
    </row>
    <row r="30" spans="1:136">
      <c r="B30" s="12" t="s">
        <v>247</v>
      </c>
      <c r="C30" s="14">
        <v>2540</v>
      </c>
      <c r="D30" s="14">
        <v>2330</v>
      </c>
      <c r="E30" s="14">
        <v>5364</v>
      </c>
      <c r="F30" s="14">
        <v>5364</v>
      </c>
      <c r="G30" s="14">
        <v>5364</v>
      </c>
      <c r="H30" s="14">
        <v>5364</v>
      </c>
      <c r="I30" s="14">
        <v>2323</v>
      </c>
      <c r="J30" s="14">
        <v>2323</v>
      </c>
      <c r="K30" s="14">
        <v>5364</v>
      </c>
      <c r="L30" s="14">
        <v>8941</v>
      </c>
      <c r="M30" s="14">
        <v>5364</v>
      </c>
      <c r="N30" s="14">
        <v>5364</v>
      </c>
      <c r="O30" s="14">
        <v>2323</v>
      </c>
      <c r="P30" s="14">
        <v>2408</v>
      </c>
      <c r="Q30" s="14">
        <v>2323</v>
      </c>
      <c r="R30" s="14">
        <v>2323</v>
      </c>
      <c r="S30" s="14">
        <v>2408</v>
      </c>
      <c r="T30" s="14">
        <v>2323</v>
      </c>
      <c r="U30" s="14">
        <v>2323</v>
      </c>
      <c r="V30" s="14">
        <v>2408</v>
      </c>
      <c r="W30" s="14">
        <v>5455</v>
      </c>
      <c r="X30" s="14">
        <v>2330</v>
      </c>
      <c r="Y30" s="14">
        <v>1449</v>
      </c>
      <c r="Z30" s="14">
        <v>2323</v>
      </c>
      <c r="AA30" s="14">
        <v>2323</v>
      </c>
      <c r="AB30" s="14">
        <v>2323</v>
      </c>
      <c r="AC30" s="14">
        <v>4502</v>
      </c>
      <c r="AD30" s="14">
        <v>4502</v>
      </c>
      <c r="AE30" s="14">
        <v>4502</v>
      </c>
      <c r="AF30" s="14">
        <v>4502</v>
      </c>
      <c r="AG30" s="14">
        <v>4502</v>
      </c>
      <c r="AH30" s="14">
        <v>4502</v>
      </c>
      <c r="AI30" s="14">
        <v>4502</v>
      </c>
      <c r="AJ30" s="14">
        <v>4502</v>
      </c>
      <c r="AK30" s="14">
        <v>2496</v>
      </c>
      <c r="AL30" s="14">
        <v>2323</v>
      </c>
      <c r="AM30" s="14">
        <v>2323</v>
      </c>
      <c r="AN30" s="14">
        <v>2323</v>
      </c>
      <c r="AO30" s="14">
        <v>6283</v>
      </c>
      <c r="AP30" s="14">
        <v>2330</v>
      </c>
      <c r="AQ30" s="14">
        <v>2323</v>
      </c>
      <c r="AR30" s="14">
        <v>2330</v>
      </c>
      <c r="AS30" s="14">
        <v>2323</v>
      </c>
      <c r="AT30" s="14">
        <v>2496</v>
      </c>
      <c r="AU30" s="14">
        <v>2496</v>
      </c>
      <c r="AV30" s="14">
        <v>2330</v>
      </c>
      <c r="AW30" s="14">
        <v>3252</v>
      </c>
      <c r="AX30" s="14">
        <v>2337</v>
      </c>
      <c r="AY30" s="14">
        <v>1475</v>
      </c>
      <c r="AZ30" s="14">
        <v>4303</v>
      </c>
      <c r="BA30" s="14">
        <v>3252</v>
      </c>
      <c r="BB30" s="14">
        <v>2330</v>
      </c>
      <c r="BC30" s="14">
        <v>1906</v>
      </c>
      <c r="BD30" s="14">
        <v>1906</v>
      </c>
      <c r="BE30" s="14">
        <v>1906</v>
      </c>
      <c r="BF30" s="14">
        <v>2342</v>
      </c>
      <c r="BG30" s="14">
        <v>1906</v>
      </c>
      <c r="BH30" s="14">
        <v>1906</v>
      </c>
      <c r="BI30" s="14">
        <v>3046</v>
      </c>
      <c r="BJ30" s="14">
        <v>3046</v>
      </c>
      <c r="BK30" s="14">
        <v>2388</v>
      </c>
      <c r="BL30" s="14">
        <v>1529</v>
      </c>
      <c r="BM30" s="14">
        <v>1529</v>
      </c>
      <c r="BN30" s="14">
        <v>1529</v>
      </c>
      <c r="BO30" s="14">
        <v>8085</v>
      </c>
      <c r="BP30" s="14">
        <v>2330</v>
      </c>
      <c r="BQ30" s="14">
        <v>1529</v>
      </c>
      <c r="BR30" s="14">
        <v>2409</v>
      </c>
      <c r="BS30" s="14">
        <v>1529</v>
      </c>
      <c r="BT30" s="14">
        <v>1529</v>
      </c>
      <c r="BU30" s="14">
        <v>3311</v>
      </c>
      <c r="BV30" s="14">
        <v>2330</v>
      </c>
      <c r="BW30" s="14">
        <v>5340</v>
      </c>
      <c r="BX30" s="14">
        <v>4702</v>
      </c>
      <c r="BY30" s="14">
        <v>2330</v>
      </c>
      <c r="BZ30" s="14">
        <v>5608</v>
      </c>
      <c r="CA30" s="14">
        <v>5608</v>
      </c>
      <c r="CB30" s="14">
        <v>2330</v>
      </c>
      <c r="CC30" s="14">
        <v>2330</v>
      </c>
      <c r="CD30" s="14">
        <v>1325</v>
      </c>
      <c r="CE30" s="14">
        <v>1314</v>
      </c>
      <c r="CF30" s="14">
        <v>1325</v>
      </c>
      <c r="CG30" s="14">
        <v>1325</v>
      </c>
      <c r="CH30" s="14">
        <v>1325</v>
      </c>
      <c r="CI30" s="14">
        <v>2321</v>
      </c>
      <c r="CJ30" s="14">
        <v>3252</v>
      </c>
      <c r="CK30" s="14">
        <v>6259</v>
      </c>
      <c r="CL30" s="14">
        <v>3086</v>
      </c>
      <c r="CM30" s="14">
        <v>3252</v>
      </c>
      <c r="CN30" s="14">
        <v>3252</v>
      </c>
      <c r="CO30" s="14">
        <v>2609</v>
      </c>
      <c r="CP30" s="14">
        <v>3252</v>
      </c>
      <c r="CQ30" s="14">
        <v>5475</v>
      </c>
      <c r="CR30" s="14">
        <v>2609</v>
      </c>
      <c r="CS30" s="14">
        <v>2330</v>
      </c>
      <c r="CT30" s="14">
        <v>5475</v>
      </c>
      <c r="CU30" s="14">
        <v>5475</v>
      </c>
      <c r="CV30" s="14">
        <v>2330</v>
      </c>
      <c r="CW30" s="14">
        <v>5475</v>
      </c>
      <c r="CX30" s="14">
        <v>5475</v>
      </c>
      <c r="CY30" s="14">
        <v>2364</v>
      </c>
      <c r="CZ30" s="14">
        <v>2364</v>
      </c>
      <c r="DA30" s="14">
        <v>1314</v>
      </c>
      <c r="DB30" s="14">
        <v>4414</v>
      </c>
      <c r="DC30" s="14">
        <v>1314</v>
      </c>
      <c r="DD30" s="14">
        <v>2364</v>
      </c>
      <c r="DE30" s="14">
        <v>2364</v>
      </c>
      <c r="DF30" s="14">
        <v>2364</v>
      </c>
      <c r="DG30" s="14">
        <v>2364</v>
      </c>
      <c r="DH30" s="14">
        <v>2330</v>
      </c>
      <c r="DI30" s="14">
        <v>3043</v>
      </c>
      <c r="DJ30" s="14">
        <v>3043</v>
      </c>
      <c r="DK30" s="14">
        <v>3043</v>
      </c>
      <c r="DL30" s="14">
        <v>3043</v>
      </c>
      <c r="DM30" s="14">
        <v>3043</v>
      </c>
      <c r="DN30" s="14">
        <v>3043</v>
      </c>
      <c r="DO30" s="14">
        <v>5314</v>
      </c>
      <c r="DP30" s="14">
        <v>2603</v>
      </c>
      <c r="DQ30" s="14">
        <v>5314</v>
      </c>
      <c r="DR30" s="14">
        <v>2330</v>
      </c>
      <c r="DS30" s="14">
        <v>8077</v>
      </c>
      <c r="DT30" s="14">
        <v>8077</v>
      </c>
      <c r="DU30" s="14">
        <v>5314</v>
      </c>
      <c r="DV30" s="14">
        <v>5314</v>
      </c>
      <c r="DW30" s="14">
        <v>1312</v>
      </c>
      <c r="DX30" s="14">
        <v>5314</v>
      </c>
      <c r="DY30" s="14">
        <v>5314</v>
      </c>
      <c r="DZ30" s="14">
        <v>5314</v>
      </c>
      <c r="EA30" s="14">
        <v>2330</v>
      </c>
      <c r="EB30" s="14">
        <v>6144</v>
      </c>
      <c r="EC30" s="14">
        <v>6144</v>
      </c>
      <c r="ED30" s="14">
        <v>3064</v>
      </c>
      <c r="EE30" s="14">
        <v>3064</v>
      </c>
      <c r="EF30" s="14">
        <v>2330</v>
      </c>
    </row>
    <row r="31" spans="1:136">
      <c r="B31" s="12" t="s">
        <v>246</v>
      </c>
      <c r="C31" s="14" t="s">
        <v>194</v>
      </c>
      <c r="D31" s="14" t="s">
        <v>195</v>
      </c>
      <c r="E31" s="14" t="s">
        <v>196</v>
      </c>
      <c r="F31" s="14" t="s">
        <v>196</v>
      </c>
      <c r="G31" s="14" t="s">
        <v>196</v>
      </c>
      <c r="H31" s="14" t="s">
        <v>196</v>
      </c>
      <c r="I31" s="14" t="s">
        <v>197</v>
      </c>
      <c r="J31" s="14" t="s">
        <v>197</v>
      </c>
      <c r="K31" s="14" t="s">
        <v>196</v>
      </c>
      <c r="L31" s="14" t="s">
        <v>198</v>
      </c>
      <c r="M31" s="14" t="s">
        <v>196</v>
      </c>
      <c r="N31" s="14" t="s">
        <v>196</v>
      </c>
      <c r="O31" s="14" t="s">
        <v>197</v>
      </c>
      <c r="P31" s="14" t="s">
        <v>199</v>
      </c>
      <c r="Q31" s="14" t="s">
        <v>197</v>
      </c>
      <c r="R31" s="14" t="s">
        <v>197</v>
      </c>
      <c r="S31" s="14" t="s">
        <v>199</v>
      </c>
      <c r="T31" s="14" t="s">
        <v>197</v>
      </c>
      <c r="U31" s="14" t="s">
        <v>197</v>
      </c>
      <c r="V31" s="14" t="s">
        <v>199</v>
      </c>
      <c r="W31" s="14" t="s">
        <v>147</v>
      </c>
      <c r="X31" s="14" t="s">
        <v>195</v>
      </c>
      <c r="Y31" s="14" t="s">
        <v>200</v>
      </c>
      <c r="Z31" s="14" t="s">
        <v>197</v>
      </c>
      <c r="AA31" s="14" t="s">
        <v>197</v>
      </c>
      <c r="AB31" s="14" t="s">
        <v>197</v>
      </c>
      <c r="AC31" s="14" t="s">
        <v>201</v>
      </c>
      <c r="AD31" s="14" t="s">
        <v>201</v>
      </c>
      <c r="AE31" s="14" t="s">
        <v>201</v>
      </c>
      <c r="AF31" s="14" t="s">
        <v>201</v>
      </c>
      <c r="AG31" s="14" t="s">
        <v>201</v>
      </c>
      <c r="AH31" s="14" t="s">
        <v>201</v>
      </c>
      <c r="AI31" s="14" t="s">
        <v>201</v>
      </c>
      <c r="AJ31" s="14" t="s">
        <v>201</v>
      </c>
      <c r="AK31" s="14" t="s">
        <v>202</v>
      </c>
      <c r="AL31" s="14" t="s">
        <v>197</v>
      </c>
      <c r="AM31" s="14" t="s">
        <v>197</v>
      </c>
      <c r="AN31" s="14" t="s">
        <v>197</v>
      </c>
      <c r="AO31" s="14" t="s">
        <v>203</v>
      </c>
      <c r="AP31" s="14" t="s">
        <v>195</v>
      </c>
      <c r="AQ31" s="14" t="s">
        <v>197</v>
      </c>
      <c r="AR31" s="14" t="s">
        <v>195</v>
      </c>
      <c r="AS31" s="14" t="s">
        <v>197</v>
      </c>
      <c r="AT31" s="14" t="s">
        <v>202</v>
      </c>
      <c r="AU31" s="14" t="s">
        <v>202</v>
      </c>
      <c r="AV31" s="14" t="s">
        <v>195</v>
      </c>
      <c r="AW31" s="14" t="s">
        <v>204</v>
      </c>
      <c r="AX31" s="14" t="s">
        <v>205</v>
      </c>
      <c r="AY31" s="14" t="s">
        <v>166</v>
      </c>
      <c r="AZ31" s="14" t="s">
        <v>165</v>
      </c>
      <c r="BA31" s="14" t="s">
        <v>204</v>
      </c>
      <c r="BB31" s="14" t="s">
        <v>195</v>
      </c>
      <c r="BC31" s="14" t="s">
        <v>206</v>
      </c>
      <c r="BD31" s="14" t="s">
        <v>206</v>
      </c>
      <c r="BE31" s="14" t="s">
        <v>206</v>
      </c>
      <c r="BF31" s="14" t="s">
        <v>207</v>
      </c>
      <c r="BG31" s="14" t="s">
        <v>206</v>
      </c>
      <c r="BH31" s="14" t="s">
        <v>206</v>
      </c>
      <c r="BI31" s="14" t="s">
        <v>208</v>
      </c>
      <c r="BJ31" s="14" t="s">
        <v>208</v>
      </c>
      <c r="BK31" s="14" t="s">
        <v>152</v>
      </c>
      <c r="BL31" s="14" t="s">
        <v>209</v>
      </c>
      <c r="BM31" s="14" t="s">
        <v>209</v>
      </c>
      <c r="BN31" s="14" t="s">
        <v>209</v>
      </c>
      <c r="BO31" s="14" t="s">
        <v>210</v>
      </c>
      <c r="BP31" s="14" t="s">
        <v>195</v>
      </c>
      <c r="BQ31" s="14" t="s">
        <v>209</v>
      </c>
      <c r="BR31" s="14" t="s">
        <v>211</v>
      </c>
      <c r="BS31" s="14" t="s">
        <v>209</v>
      </c>
      <c r="BT31" s="14" t="s">
        <v>209</v>
      </c>
      <c r="BU31" s="14" t="s">
        <v>212</v>
      </c>
      <c r="BV31" s="14" t="s">
        <v>195</v>
      </c>
      <c r="BW31" s="14" t="s">
        <v>213</v>
      </c>
      <c r="BX31" s="14" t="s">
        <v>214</v>
      </c>
      <c r="BY31" s="14" t="s">
        <v>195</v>
      </c>
      <c r="BZ31" s="14" t="s">
        <v>215</v>
      </c>
      <c r="CA31" s="14" t="s">
        <v>215</v>
      </c>
      <c r="CB31" s="14" t="s">
        <v>195</v>
      </c>
      <c r="CC31" s="14" t="s">
        <v>195</v>
      </c>
      <c r="CD31" s="14" t="s">
        <v>174</v>
      </c>
      <c r="CE31" s="14" t="s">
        <v>216</v>
      </c>
      <c r="CF31" s="14" t="s">
        <v>174</v>
      </c>
      <c r="CG31" s="14" t="s">
        <v>174</v>
      </c>
      <c r="CH31" s="14" t="s">
        <v>174</v>
      </c>
      <c r="CI31" s="14" t="s">
        <v>191</v>
      </c>
      <c r="CJ31" s="14" t="s">
        <v>204</v>
      </c>
      <c r="CK31" s="14" t="s">
        <v>160</v>
      </c>
      <c r="CL31" s="14" t="s">
        <v>217</v>
      </c>
      <c r="CM31" s="14" t="s">
        <v>204</v>
      </c>
      <c r="CN31" s="14" t="s">
        <v>204</v>
      </c>
      <c r="CO31" s="14" t="s">
        <v>218</v>
      </c>
      <c r="CP31" s="14" t="s">
        <v>204</v>
      </c>
      <c r="CQ31" s="14" t="s">
        <v>178</v>
      </c>
      <c r="CR31" s="14" t="s">
        <v>218</v>
      </c>
      <c r="CS31" s="14" t="s">
        <v>195</v>
      </c>
      <c r="CT31" s="14" t="s">
        <v>178</v>
      </c>
      <c r="CU31" s="14" t="s">
        <v>178</v>
      </c>
      <c r="CV31" s="14" t="s">
        <v>195</v>
      </c>
      <c r="CW31" s="14" t="s">
        <v>178</v>
      </c>
      <c r="CX31" s="14" t="s">
        <v>178</v>
      </c>
      <c r="CY31" s="14" t="s">
        <v>219</v>
      </c>
      <c r="CZ31" s="14" t="s">
        <v>219</v>
      </c>
      <c r="DA31" s="14" t="s">
        <v>216</v>
      </c>
      <c r="DB31" s="14" t="s">
        <v>220</v>
      </c>
      <c r="DC31" s="14" t="s">
        <v>216</v>
      </c>
      <c r="DD31" s="14" t="s">
        <v>219</v>
      </c>
      <c r="DE31" s="14" t="s">
        <v>219</v>
      </c>
      <c r="DF31" s="14" t="s">
        <v>219</v>
      </c>
      <c r="DG31" s="14" t="s">
        <v>219</v>
      </c>
      <c r="DH31" s="14" t="s">
        <v>195</v>
      </c>
      <c r="DI31" s="14" t="s">
        <v>146</v>
      </c>
      <c r="DJ31" s="14" t="s">
        <v>146</v>
      </c>
      <c r="DK31" s="14" t="s">
        <v>146</v>
      </c>
      <c r="DL31" s="14" t="s">
        <v>146</v>
      </c>
      <c r="DM31" s="14" t="s">
        <v>146</v>
      </c>
      <c r="DN31" s="14" t="s">
        <v>146</v>
      </c>
      <c r="DO31" s="14" t="s">
        <v>221</v>
      </c>
      <c r="DP31" s="14" t="s">
        <v>222</v>
      </c>
      <c r="DQ31" s="14" t="s">
        <v>221</v>
      </c>
      <c r="DR31" s="14" t="s">
        <v>195</v>
      </c>
      <c r="DS31" s="14" t="s">
        <v>223</v>
      </c>
      <c r="DT31" s="14" t="s">
        <v>223</v>
      </c>
      <c r="DU31" s="14" t="s">
        <v>221</v>
      </c>
      <c r="DV31" s="14" t="s">
        <v>221</v>
      </c>
      <c r="DW31" s="14" t="s">
        <v>224</v>
      </c>
      <c r="DX31" s="14" t="s">
        <v>221</v>
      </c>
      <c r="DY31" s="14" t="s">
        <v>221</v>
      </c>
      <c r="DZ31" s="14" t="s">
        <v>221</v>
      </c>
      <c r="EA31" s="14" t="s">
        <v>195</v>
      </c>
      <c r="EB31" s="14" t="s">
        <v>225</v>
      </c>
      <c r="EC31" s="14" t="s">
        <v>225</v>
      </c>
      <c r="ED31" s="14" t="s">
        <v>161</v>
      </c>
      <c r="EE31" s="14" t="s">
        <v>161</v>
      </c>
      <c r="EF31" s="14" t="s">
        <v>195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2F5C-2C14-E644-86AD-12CE24A2F205}">
  <dimension ref="A1:EI26"/>
  <sheetViews>
    <sheetView topLeftCell="DW1" zoomScale="159" workbookViewId="0">
      <selection activeCell="EI26" sqref="EI26"/>
    </sheetView>
  </sheetViews>
  <sheetFormatPr baseColWidth="10" defaultRowHeight="14"/>
  <sheetData>
    <row r="1" spans="1:139">
      <c r="A1" s="17" t="s">
        <v>0</v>
      </c>
    </row>
    <row r="2" spans="1:139">
      <c r="A2" s="17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9">
      <c r="A3" s="17"/>
      <c r="B3" s="18" t="s">
        <v>136</v>
      </c>
      <c r="C3" s="5">
        <v>7.8798868708972569E-2</v>
      </c>
      <c r="D3" s="5">
        <v>0.1797330866000165</v>
      </c>
      <c r="E3" s="5">
        <v>1.5489078774060919E-2</v>
      </c>
      <c r="F3" s="5">
        <v>-2.2168251176828E-2</v>
      </c>
      <c r="G3" s="5">
        <v>-8.1037288150830888E-3</v>
      </c>
      <c r="H3" s="5">
        <v>-1.540126879534739E-2</v>
      </c>
      <c r="I3" s="5">
        <v>-0.19676558635554181</v>
      </c>
      <c r="J3" s="5">
        <v>0.27883034253820949</v>
      </c>
      <c r="K3" s="5">
        <v>-5.6931615083884446E-3</v>
      </c>
      <c r="L3" s="5">
        <v>-4.7889749224816418E-2</v>
      </c>
      <c r="M3" s="5">
        <v>-5.2700847804921791E-3</v>
      </c>
      <c r="N3" s="5">
        <v>-0.19106965066791309</v>
      </c>
      <c r="O3" s="5">
        <v>0.31084678168383029</v>
      </c>
      <c r="P3" s="5">
        <v>0.11377091314306841</v>
      </c>
      <c r="Q3" s="5">
        <v>-0.1230705033938234</v>
      </c>
      <c r="R3" s="5">
        <v>-0.1125584938483804</v>
      </c>
      <c r="S3" s="5">
        <v>0.10466589270197239</v>
      </c>
      <c r="T3" s="5">
        <v>-0.14458476697667069</v>
      </c>
      <c r="U3" s="5">
        <v>-0.26280780822848793</v>
      </c>
      <c r="V3" s="5">
        <v>3.018865545683036E-3</v>
      </c>
      <c r="W3" s="5">
        <v>0.13196040423464411</v>
      </c>
      <c r="X3" s="5">
        <v>-8.9415173838410772E-2</v>
      </c>
      <c r="Y3" s="5">
        <v>0.27906324575998892</v>
      </c>
      <c r="Z3" s="5">
        <v>0.10308974194226191</v>
      </c>
      <c r="AA3" s="5">
        <v>0.48637748963693189</v>
      </c>
      <c r="AB3" s="5">
        <v>-0.2348198317515614</v>
      </c>
      <c r="AC3" s="5">
        <v>1.209651139005591E-2</v>
      </c>
      <c r="AD3" s="5">
        <v>2.4631762383159391E-2</v>
      </c>
      <c r="AE3" s="5">
        <v>-5.6680955135353086E-3</v>
      </c>
      <c r="AF3" s="5">
        <v>-5.6269213313916128E-2</v>
      </c>
      <c r="AG3" s="5">
        <v>0.1224049331936696</v>
      </c>
      <c r="AH3" s="5">
        <v>4.3996774628331507E-2</v>
      </c>
      <c r="AI3" s="5">
        <v>0.16226838670026481</v>
      </c>
      <c r="AJ3" s="5">
        <v>6.8930166950289418E-2</v>
      </c>
      <c r="AK3" s="5">
        <v>8.7359955926433919E-2</v>
      </c>
      <c r="AL3" s="5">
        <v>0.18738072328871311</v>
      </c>
      <c r="AM3" s="5">
        <v>9.6837349683267515E-2</v>
      </c>
      <c r="AN3" s="5">
        <v>0.2075736584826241</v>
      </c>
      <c r="AO3" s="5">
        <v>0.1179758622033628</v>
      </c>
      <c r="AP3" s="5">
        <v>-2.8503518413619089E-2</v>
      </c>
      <c r="AQ3" s="5">
        <v>-0.2114396427417907</v>
      </c>
      <c r="AR3" s="5">
        <v>-3.2302566009502653E-2</v>
      </c>
      <c r="AS3" s="5">
        <v>0.14111009314114151</v>
      </c>
      <c r="AT3" s="5">
        <v>-3.4807512436285597E-2</v>
      </c>
      <c r="AU3" s="5">
        <v>4.4456114444752393E-2</v>
      </c>
      <c r="AV3" s="5">
        <v>2.116273888563475E-2</v>
      </c>
      <c r="AW3" s="5">
        <v>-0.17415500379798879</v>
      </c>
      <c r="AX3" s="5">
        <v>7.6317816973353048E-2</v>
      </c>
      <c r="AY3" s="5">
        <v>9.0306432388433389E-3</v>
      </c>
      <c r="AZ3" s="5">
        <v>1.663894988550357E-2</v>
      </c>
      <c r="BA3" s="5">
        <v>0.1604995491281753</v>
      </c>
      <c r="BB3" s="5">
        <v>-0.1237409532939386</v>
      </c>
      <c r="BC3" s="5">
        <v>0.1567368975950951</v>
      </c>
      <c r="BD3" s="5">
        <v>0.16688346547535959</v>
      </c>
      <c r="BE3" s="5">
        <v>-0.13147229447438161</v>
      </c>
      <c r="BF3" s="5">
        <v>9.9500132775895977E-3</v>
      </c>
      <c r="BG3" s="5">
        <v>0.31531123716865839</v>
      </c>
      <c r="BH3" s="5">
        <v>0.27010117711850451</v>
      </c>
      <c r="BI3" s="5">
        <v>5.6315448743319167E-2</v>
      </c>
      <c r="BJ3" s="5">
        <v>-2.4098168569960938E-3</v>
      </c>
      <c r="BK3" s="5">
        <v>7.980037571183507E-2</v>
      </c>
      <c r="BL3" s="5">
        <v>-2.3392393936943919E-2</v>
      </c>
      <c r="BM3" s="5">
        <v>9.4008939681691994E-2</v>
      </c>
      <c r="BN3" s="5">
        <v>1.7643905957802519E-2</v>
      </c>
      <c r="BO3" s="5">
        <v>-0.14928793997254061</v>
      </c>
      <c r="BP3" s="5">
        <v>4.1225940656231752E-2</v>
      </c>
      <c r="BQ3" s="5">
        <v>-8.2741207352384771E-2</v>
      </c>
      <c r="BR3" s="5">
        <v>0.21346470331308501</v>
      </c>
      <c r="BS3" s="5">
        <v>-6.7985397750361887E-2</v>
      </c>
      <c r="BT3" s="5">
        <v>0.14435039701784599</v>
      </c>
      <c r="BU3" s="5">
        <v>0.11377937808470839</v>
      </c>
      <c r="BV3" s="5">
        <v>5.6009583131783613E-3</v>
      </c>
      <c r="BW3" s="5">
        <v>0.11314663575547999</v>
      </c>
      <c r="BX3" s="5">
        <v>-9.0571156630970151E-2</v>
      </c>
      <c r="BY3" s="5">
        <v>0.1185697363729505</v>
      </c>
      <c r="BZ3" s="5">
        <v>-0.14071284467671219</v>
      </c>
      <c r="CA3" s="5">
        <v>7.3472777058868566E-2</v>
      </c>
      <c r="CB3" s="5">
        <v>-0.17102560649194909</v>
      </c>
      <c r="CC3" s="5">
        <v>8.6731635966007636E-2</v>
      </c>
      <c r="CD3" s="5">
        <v>3.1267715866914132E-2</v>
      </c>
      <c r="CE3" s="5">
        <v>0.2187970365966756</v>
      </c>
      <c r="CF3" s="5">
        <v>-0.1415947073656891</v>
      </c>
      <c r="CG3" s="5">
        <v>9.9731607421901902E-2</v>
      </c>
      <c r="CH3" s="5">
        <v>4.5308069873115593E-2</v>
      </c>
      <c r="CI3" s="5">
        <v>8.9441140161071353E-2</v>
      </c>
      <c r="CJ3" s="5">
        <v>-0.39111281147264948</v>
      </c>
      <c r="CK3" s="5">
        <v>-0.1097911700085549</v>
      </c>
      <c r="CL3" s="5">
        <v>-4.3456184080796822E-2</v>
      </c>
      <c r="CM3" s="5">
        <v>0.18311247425732069</v>
      </c>
      <c r="CN3" s="5">
        <v>-0.39746167912504587</v>
      </c>
      <c r="CO3" s="5">
        <v>-9.6930225730285202E-2</v>
      </c>
      <c r="CP3" s="5">
        <v>-9.5682049872747921E-2</v>
      </c>
      <c r="CQ3" s="5">
        <v>0.17197496741798041</v>
      </c>
      <c r="CR3" s="5">
        <v>6.1939484759435059E-2</v>
      </c>
      <c r="CS3" s="5">
        <v>-4.7664038974437717E-2</v>
      </c>
      <c r="CT3" s="5">
        <v>-1.0473980040771101E-2</v>
      </c>
      <c r="CU3" s="5">
        <v>-3.4400594909696942E-2</v>
      </c>
      <c r="CV3" s="5">
        <v>-2.258422919649478E-2</v>
      </c>
      <c r="CW3" s="5">
        <v>3.967601364242257E-2</v>
      </c>
      <c r="CX3" s="5">
        <v>-5.3904732790443062E-2</v>
      </c>
      <c r="CY3" s="5">
        <v>2.7221884648997219E-2</v>
      </c>
      <c r="CZ3" s="5">
        <v>9.8878435478775006E-2</v>
      </c>
      <c r="DA3" s="5">
        <v>0.31254073484349981</v>
      </c>
      <c r="DB3" s="5">
        <v>-0.15564612733519101</v>
      </c>
      <c r="DC3" s="5">
        <v>-0.186958527424675</v>
      </c>
      <c r="DD3" s="5">
        <v>-0.16852286341555181</v>
      </c>
      <c r="DE3" s="5">
        <v>0.1677976140486318</v>
      </c>
      <c r="DF3" s="5">
        <v>-9.1638386466206867E-2</v>
      </c>
      <c r="DG3" s="5">
        <v>-7.5708963031608456E-2</v>
      </c>
      <c r="DH3" s="5">
        <v>7.7960520930394628E-3</v>
      </c>
      <c r="DI3" s="5">
        <v>-2.5500379680462042E-3</v>
      </c>
      <c r="DJ3" s="5">
        <v>-6.8988362574606832E-2</v>
      </c>
      <c r="DK3" s="5">
        <v>4.6125318624910039E-2</v>
      </c>
      <c r="DL3" s="5">
        <v>-5.8337699674183729E-2</v>
      </c>
      <c r="DM3" s="5">
        <v>-7.0566061856035006E-2</v>
      </c>
      <c r="DN3" s="5">
        <v>2.809287103658753E-2</v>
      </c>
      <c r="DO3" s="5">
        <v>-7.0883392118804012E-2</v>
      </c>
      <c r="DP3" s="5">
        <v>0.16113140194021519</v>
      </c>
      <c r="DQ3" s="5">
        <v>0.1547440050249739</v>
      </c>
      <c r="DR3" s="5">
        <v>-0.1074253347743107</v>
      </c>
      <c r="DS3" s="5">
        <v>0.1128417239921658</v>
      </c>
      <c r="DT3" s="5">
        <v>-9.1401515312695802E-2</v>
      </c>
      <c r="DU3" s="5">
        <v>-6.5441570505781171E-2</v>
      </c>
      <c r="DV3" s="5">
        <v>-7.3758705524149371E-2</v>
      </c>
      <c r="DW3" s="5">
        <v>6.6155769939566539E-2</v>
      </c>
      <c r="DX3" s="5">
        <v>6.9417132083774952E-2</v>
      </c>
      <c r="DY3" s="5">
        <v>-0.10299216834685949</v>
      </c>
      <c r="DZ3" s="5">
        <v>0.26391340422439719</v>
      </c>
      <c r="EA3" s="5">
        <v>-8.9759100562534361E-2</v>
      </c>
      <c r="EB3" s="5">
        <v>0.19432476998554751</v>
      </c>
      <c r="EC3" s="5">
        <v>-3.0097119912414479E-2</v>
      </c>
      <c r="ED3" s="5">
        <v>2.8618294955548851E-2</v>
      </c>
      <c r="EE3" s="5">
        <v>-8.7371804917650953E-2</v>
      </c>
      <c r="EF3" s="5">
        <v>-2.097644515945252E-2</v>
      </c>
    </row>
    <row r="4" spans="1:139">
      <c r="A4" s="17"/>
      <c r="B4" s="18" t="s">
        <v>137</v>
      </c>
      <c r="C4" s="5">
        <v>-0.2033298904066001</v>
      </c>
      <c r="D4" s="5">
        <v>-0.19670615347595799</v>
      </c>
      <c r="E4" s="5">
        <v>-0.25411088976615298</v>
      </c>
      <c r="F4" s="5">
        <v>4.6098132519260197E-2</v>
      </c>
      <c r="G4" s="5">
        <v>3.0705585377122091E-2</v>
      </c>
      <c r="H4" s="5">
        <v>-5.0794665387496003E-2</v>
      </c>
      <c r="I4" s="5">
        <v>7.7645993308728123E-4</v>
      </c>
      <c r="J4" s="5">
        <v>4.8875938188759349E-2</v>
      </c>
      <c r="K4" s="5">
        <v>-0.10205312675095971</v>
      </c>
      <c r="L4" s="5">
        <v>-1.86487966438591E-2</v>
      </c>
      <c r="M4" s="5">
        <v>-5.5059352573051612E-2</v>
      </c>
      <c r="N4" s="5">
        <v>-2.980539628833689E-2</v>
      </c>
      <c r="O4" s="5">
        <v>-0.18676845762429831</v>
      </c>
      <c r="P4" s="5">
        <v>3.0016143098960061E-2</v>
      </c>
      <c r="Q4" s="5">
        <v>9.7885090716637535E-2</v>
      </c>
      <c r="R4" s="5">
        <v>-9.3921517598078097E-2</v>
      </c>
      <c r="S4" s="5">
        <v>2.2808945852236921E-2</v>
      </c>
      <c r="T4" s="5">
        <v>7.3321485340407833E-2</v>
      </c>
      <c r="U4" s="5">
        <v>7.4453756001915394E-3</v>
      </c>
      <c r="V4" s="5">
        <v>-2.162307259445129E-2</v>
      </c>
      <c r="W4" s="5">
        <v>-5.7679730450974631E-3</v>
      </c>
      <c r="X4" s="5">
        <v>-0.1698621934781421</v>
      </c>
      <c r="Y4" s="5">
        <v>-0.23417865773462759</v>
      </c>
      <c r="Z4" s="5">
        <v>-1.0182398713556751E-2</v>
      </c>
      <c r="AA4" s="5">
        <v>-3.1047645711428369E-3</v>
      </c>
      <c r="AB4" s="5">
        <v>-0.16354736732336941</v>
      </c>
      <c r="AC4" s="5">
        <v>-6.5817326243049479E-2</v>
      </c>
      <c r="AD4" s="5">
        <v>-5.3291001780785052E-2</v>
      </c>
      <c r="AE4" s="5">
        <v>4.4148085053993917E-2</v>
      </c>
      <c r="AF4" s="5">
        <v>8.1272612622841578E-2</v>
      </c>
      <c r="AG4" s="5">
        <v>-0.1017872468284171</v>
      </c>
      <c r="AH4" s="5">
        <v>0.1188108231774461</v>
      </c>
      <c r="AI4" s="5">
        <v>-8.6264025106641995E-2</v>
      </c>
      <c r="AJ4" s="5">
        <v>-9.7080353915666606E-2</v>
      </c>
      <c r="AK4" s="5">
        <v>7.7483445716659105E-2</v>
      </c>
      <c r="AL4" s="5">
        <v>1.8676259356256612E-2</v>
      </c>
      <c r="AM4" s="5">
        <v>-7.3616058355145952E-3</v>
      </c>
      <c r="AN4" s="5">
        <v>1.1279678641054501E-2</v>
      </c>
      <c r="AO4" s="5">
        <v>-4.4653672927386978E-2</v>
      </c>
      <c r="AP4" s="5">
        <v>8.0316784439199651E-2</v>
      </c>
      <c r="AQ4" s="5">
        <v>-9.065489430089535E-2</v>
      </c>
      <c r="AR4" s="5">
        <v>0.11489008982476891</v>
      </c>
      <c r="AS4" s="5">
        <v>8.2303546348533985E-2</v>
      </c>
      <c r="AT4" s="5">
        <v>9.2421253692602789E-3</v>
      </c>
      <c r="AU4" s="5">
        <v>-3.3161859626785528E-2</v>
      </c>
      <c r="AV4" s="5">
        <v>-0.2173053184250211</v>
      </c>
      <c r="AW4" s="5">
        <v>5.2685655817201749E-2</v>
      </c>
      <c r="AX4" s="5">
        <v>1.3493885720954781E-2</v>
      </c>
      <c r="AY4" s="5">
        <v>0.1041661451594766</v>
      </c>
      <c r="AZ4" s="5">
        <v>1.7139753527592561E-2</v>
      </c>
      <c r="BA4" s="5">
        <v>-0.15393947590357021</v>
      </c>
      <c r="BB4" s="5">
        <v>-0.25209000741856791</v>
      </c>
      <c r="BC4" s="5">
        <v>-0.1509089515544382</v>
      </c>
      <c r="BD4" s="5">
        <v>-2.256906534059766E-2</v>
      </c>
      <c r="BE4" s="5">
        <v>-3.1980232980275858E-2</v>
      </c>
      <c r="BF4" s="5">
        <v>0.12360403054618981</v>
      </c>
      <c r="BG4" s="5">
        <v>-7.4229896004924356E-2</v>
      </c>
      <c r="BH4" s="5">
        <v>-6.4502472889254037E-2</v>
      </c>
      <c r="BI4" s="5">
        <v>1.824796293577791E-2</v>
      </c>
      <c r="BJ4" s="5">
        <v>-0.15119856136795379</v>
      </c>
      <c r="BK4" s="5">
        <v>-5.7995346273466808E-2</v>
      </c>
      <c r="BL4" s="5">
        <v>-4.6827851998019199E-2</v>
      </c>
      <c r="BM4" s="5">
        <v>2.007808697382707E-2</v>
      </c>
      <c r="BN4" s="5">
        <v>4.1159851064172408E-2</v>
      </c>
      <c r="BO4" s="5">
        <v>4.4821746513099107E-2</v>
      </c>
      <c r="BP4" s="5">
        <v>8.3537285837463671E-2</v>
      </c>
      <c r="BQ4" s="5">
        <v>3.0584215049547229E-2</v>
      </c>
      <c r="BR4" s="5">
        <v>-0.11513801838410841</v>
      </c>
      <c r="BS4" s="5">
        <v>-1.9945733381826258E-2</v>
      </c>
      <c r="BT4" s="5">
        <v>-3.340062489588469E-2</v>
      </c>
      <c r="BU4" s="5">
        <v>-4.5048156861273718E-2</v>
      </c>
      <c r="BV4" s="5">
        <v>0.17298229554948641</v>
      </c>
      <c r="BW4" s="5">
        <v>-9.9199124220314516E-2</v>
      </c>
      <c r="BX4" s="5">
        <v>-6.8360249990837119E-2</v>
      </c>
      <c r="BY4" s="5">
        <v>-0.18303206657081719</v>
      </c>
      <c r="BZ4" s="5">
        <v>8.5483425285028503E-2</v>
      </c>
      <c r="CA4" s="5">
        <v>9.7162092942060241E-3</v>
      </c>
      <c r="CB4" s="5">
        <v>0.19814488479862649</v>
      </c>
      <c r="CC4" s="5">
        <v>-0.29368551385020503</v>
      </c>
      <c r="CD4" s="5">
        <v>-0.13248019500703731</v>
      </c>
      <c r="CE4" s="5">
        <v>-5.8262282818763111E-2</v>
      </c>
      <c r="CF4" s="5">
        <v>-0.1140691280773574</v>
      </c>
      <c r="CG4" s="5">
        <v>5.6736524131114408E-2</v>
      </c>
      <c r="CH4" s="5">
        <v>-4.7296779651766494E-3</v>
      </c>
      <c r="CI4" s="5">
        <v>8.4443901855131287E-2</v>
      </c>
      <c r="CJ4" s="5">
        <v>2.7869588243326859E-2</v>
      </c>
      <c r="CK4" s="5">
        <v>-2.232469786150304E-2</v>
      </c>
      <c r="CL4" s="5">
        <v>-6.8175763142658496E-2</v>
      </c>
      <c r="CM4" s="5">
        <v>4.0425862777794919E-2</v>
      </c>
      <c r="CN4" s="5">
        <v>0.18770361883890979</v>
      </c>
      <c r="CO4" s="5">
        <v>1.3964512578574779E-3</v>
      </c>
      <c r="CP4" s="5">
        <v>2.0238036750885868E-2</v>
      </c>
      <c r="CQ4" s="5">
        <v>-3.0594997259303369E-2</v>
      </c>
      <c r="CR4" s="5">
        <v>-0.28726340823344998</v>
      </c>
      <c r="CS4" s="5">
        <v>-0.27841972942992038</v>
      </c>
      <c r="CT4" s="5">
        <v>8.2270680617856584E-2</v>
      </c>
      <c r="CU4" s="5">
        <v>-0.1048554960401091</v>
      </c>
      <c r="CV4" s="5">
        <v>0.11088351979357471</v>
      </c>
      <c r="CW4" s="5">
        <v>-5.0507103363436563E-2</v>
      </c>
      <c r="CX4" s="5">
        <v>5.9564972115538239E-2</v>
      </c>
      <c r="CY4" s="5">
        <v>-0.17485206724227001</v>
      </c>
      <c r="CZ4" s="5">
        <v>-0.12999288727490921</v>
      </c>
      <c r="DA4" s="5">
        <v>-0.22061040036900439</v>
      </c>
      <c r="DB4" s="5">
        <v>-4.9769885023174247E-2</v>
      </c>
      <c r="DC4" s="5">
        <v>-0.1428822193239476</v>
      </c>
      <c r="DD4" s="5">
        <v>0.1006356253829281</v>
      </c>
      <c r="DE4" s="5">
        <v>4.4473068308818142E-2</v>
      </c>
      <c r="DF4" s="5">
        <v>5.5744001155495937E-2</v>
      </c>
      <c r="DG4" s="5">
        <v>-0.1401895090203702</v>
      </c>
      <c r="DH4" s="5">
        <v>0.15742013530757151</v>
      </c>
      <c r="DI4" s="5">
        <v>-6.1975928482361553E-2</v>
      </c>
      <c r="DJ4" s="5">
        <v>-0.12007758793922819</v>
      </c>
      <c r="DK4" s="5">
        <v>-0.163860282805075</v>
      </c>
      <c r="DL4" s="5">
        <v>9.4497364979279297E-2</v>
      </c>
      <c r="DM4" s="5">
        <v>0.23347887989474711</v>
      </c>
      <c r="DN4" s="5">
        <v>7.41389367052534E-2</v>
      </c>
      <c r="DO4" s="5">
        <v>-4.4768182471788258E-2</v>
      </c>
      <c r="DP4" s="5">
        <v>-6.9268899611042656E-2</v>
      </c>
      <c r="DQ4" s="5">
        <v>-0.1694470405102351</v>
      </c>
      <c r="DR4" s="5">
        <v>-0.1292383591030131</v>
      </c>
      <c r="DS4" s="5">
        <v>-7.3029030634589986E-2</v>
      </c>
      <c r="DT4" s="5">
        <v>-0.2035882020359274</v>
      </c>
      <c r="DU4" s="5">
        <v>-5.4890571845771063E-2</v>
      </c>
      <c r="DV4" s="5">
        <v>1.1078381509349811E-2</v>
      </c>
      <c r="DW4" s="5">
        <v>-4.5384063983000536E-3</v>
      </c>
      <c r="DX4" s="5">
        <v>-8.4289001087523019E-2</v>
      </c>
      <c r="DY4" s="5">
        <v>0.10021881700383869</v>
      </c>
      <c r="DZ4" s="5">
        <v>-0.13097722178277141</v>
      </c>
      <c r="EA4" s="5">
        <v>-0.19315799713893969</v>
      </c>
      <c r="EB4" s="5">
        <v>-0.31868386846927171</v>
      </c>
      <c r="EC4" s="5">
        <v>4.9076536231201118E-2</v>
      </c>
      <c r="ED4" s="5">
        <v>5.2784729286493359E-2</v>
      </c>
      <c r="EE4" s="5">
        <v>0.1201448565603975</v>
      </c>
      <c r="EF4" s="5">
        <v>0.24405280405184021</v>
      </c>
    </row>
    <row r="5" spans="1:139">
      <c r="A5" s="17"/>
      <c r="B5" s="18" t="s">
        <v>138</v>
      </c>
      <c r="C5" s="5">
        <v>-0.20935792122733929</v>
      </c>
      <c r="D5" s="5">
        <v>-0.1073627692333063</v>
      </c>
      <c r="E5" s="5">
        <v>0.52484760680152232</v>
      </c>
      <c r="F5" s="5">
        <v>4.6837059958046809E-2</v>
      </c>
      <c r="G5" s="5">
        <v>-0.2104714261735883</v>
      </c>
      <c r="H5" s="5">
        <v>0.4744149628629204</v>
      </c>
      <c r="I5" s="5">
        <v>0.14678498763585299</v>
      </c>
      <c r="J5" s="5">
        <v>-5.6231752728838222E-2</v>
      </c>
      <c r="K5" s="5">
        <v>0.27552845629080469</v>
      </c>
      <c r="L5" s="5">
        <v>-0.43004286310886081</v>
      </c>
      <c r="M5" s="5">
        <v>0.32376774959305898</v>
      </c>
      <c r="N5" s="5">
        <v>-0.34824165047033961</v>
      </c>
      <c r="O5" s="5">
        <v>-9.7528911512976074E-2</v>
      </c>
      <c r="P5" s="5">
        <v>0.39546612391174241</v>
      </c>
      <c r="Q5" s="5">
        <v>4.8467491330228173E-2</v>
      </c>
      <c r="R5" s="5">
        <v>-9.8851331549351315E-2</v>
      </c>
      <c r="S5" s="5">
        <v>0.3057921371194337</v>
      </c>
      <c r="T5" s="5">
        <v>7.2071946189346189E-2</v>
      </c>
      <c r="U5" s="5">
        <v>-4.7890408561752917E-4</v>
      </c>
      <c r="V5" s="5">
        <v>-0.13936695356286269</v>
      </c>
      <c r="W5" s="5">
        <v>-0.39469012652483237</v>
      </c>
      <c r="X5" s="5">
        <v>-0.12947787244850251</v>
      </c>
      <c r="Y5" s="5">
        <v>-0.68127295831176804</v>
      </c>
      <c r="Z5" s="5">
        <v>-4.1720386960932424E-3</v>
      </c>
      <c r="AA5" s="5">
        <v>1.8198047382592619E-2</v>
      </c>
      <c r="AB5" s="5">
        <v>0.20112165888415301</v>
      </c>
      <c r="AC5" s="5">
        <v>-8.9163225286403025E-2</v>
      </c>
      <c r="AD5" s="5">
        <v>0.14514145822358679</v>
      </c>
      <c r="AE5" s="5">
        <v>7.4669147590605167E-2</v>
      </c>
      <c r="AF5" s="5">
        <v>0.17577042279847119</v>
      </c>
      <c r="AG5" s="5">
        <v>-0.30336041259100399</v>
      </c>
      <c r="AH5" s="5">
        <v>-0.3482499081721625</v>
      </c>
      <c r="AI5" s="5">
        <v>0.25872371710226461</v>
      </c>
      <c r="AJ5" s="5">
        <v>-0.48889196953357</v>
      </c>
      <c r="AK5" s="5">
        <v>0.13254842946584691</v>
      </c>
      <c r="AL5" s="5">
        <v>-2.3789775596635129E-2</v>
      </c>
      <c r="AM5" s="5">
        <v>1.17524054827144E-2</v>
      </c>
      <c r="AN5" s="5">
        <v>-7.4933432869098024E-2</v>
      </c>
      <c r="AO5" s="5">
        <v>0.1844633194704077</v>
      </c>
      <c r="AP5" s="5">
        <v>3.2348031051998787E-2</v>
      </c>
      <c r="AQ5" s="5">
        <v>0.1511984265546954</v>
      </c>
      <c r="AR5" s="5">
        <v>-9.5283109587288514E-2</v>
      </c>
      <c r="AS5" s="5">
        <v>-0.1260043749729467</v>
      </c>
      <c r="AT5" s="5">
        <v>0.1516447920969482</v>
      </c>
      <c r="AU5" s="5">
        <v>-0.20083705233961571</v>
      </c>
      <c r="AV5" s="5">
        <v>7.890636801828628E-2</v>
      </c>
      <c r="AW5" s="5">
        <v>6.7935762483271878E-4</v>
      </c>
      <c r="AX5" s="5">
        <v>0.1122931240608864</v>
      </c>
      <c r="AY5" s="5">
        <v>-0.118056117907044</v>
      </c>
      <c r="AZ5" s="5">
        <v>0.20621977214253931</v>
      </c>
      <c r="BA5" s="5">
        <v>-3.9691918773370187E-2</v>
      </c>
      <c r="BB5" s="5">
        <v>8.2995939761629778E-2</v>
      </c>
      <c r="BC5" s="5">
        <v>-0.13000542995066139</v>
      </c>
      <c r="BD5" s="5">
        <v>-0.1063161628626854</v>
      </c>
      <c r="BE5" s="5">
        <v>0.1159333959862182</v>
      </c>
      <c r="BF5" s="5">
        <v>-0.28526227318364472</v>
      </c>
      <c r="BG5" s="5">
        <v>-0.15093334040887121</v>
      </c>
      <c r="BH5" s="5">
        <v>2.919940093087194E-3</v>
      </c>
      <c r="BI5" s="5">
        <v>5.812657406460206E-2</v>
      </c>
      <c r="BJ5" s="5">
        <v>-0.25986983403483388</v>
      </c>
      <c r="BK5" s="5">
        <v>0.18487944696901781</v>
      </c>
      <c r="BL5" s="5">
        <v>-0.26913172790454543</v>
      </c>
      <c r="BM5" s="5">
        <v>0.1717381908649544</v>
      </c>
      <c r="BN5" s="5">
        <v>-0.18092216130584951</v>
      </c>
      <c r="BO5" s="5">
        <v>-6.3203737577877367E-2</v>
      </c>
      <c r="BP5" s="5">
        <v>7.1867500126512024E-2</v>
      </c>
      <c r="BQ5" s="5">
        <v>-0.16861046240236999</v>
      </c>
      <c r="BR5" s="5">
        <v>-2.5447831594333319E-2</v>
      </c>
      <c r="BS5" s="5">
        <v>0.1244241075337672</v>
      </c>
      <c r="BT5" s="5">
        <v>0.20772231279415901</v>
      </c>
      <c r="BU5" s="5">
        <v>-6.0051294436158628E-2</v>
      </c>
      <c r="BV5" s="5">
        <v>-5.1700003009333508E-2</v>
      </c>
      <c r="BW5" s="5">
        <v>-0.1268015683060742</v>
      </c>
      <c r="BX5" s="5">
        <v>-0.10582029087279909</v>
      </c>
      <c r="BY5" s="5">
        <v>5.3607320437496067E-2</v>
      </c>
      <c r="BZ5" s="5">
        <v>-3.4479447424122608E-2</v>
      </c>
      <c r="CA5" s="5">
        <v>-2.0066210971329639E-2</v>
      </c>
      <c r="CB5" s="5">
        <v>8.4589606751002688E-2</v>
      </c>
      <c r="CC5" s="5">
        <v>-0.1103836570393476</v>
      </c>
      <c r="CD5" s="5">
        <v>0.32742328506094998</v>
      </c>
      <c r="CE5" s="5">
        <v>-1.486719718236725E-2</v>
      </c>
      <c r="CF5" s="5">
        <v>-0.14937324914413941</v>
      </c>
      <c r="CG5" s="5">
        <v>0.16320028060313421</v>
      </c>
      <c r="CH5" s="5">
        <v>-6.9038325074175663E-2</v>
      </c>
      <c r="CI5" s="5">
        <v>-0.11536214708505139</v>
      </c>
      <c r="CJ5" s="5">
        <v>-0.26301723908525793</v>
      </c>
      <c r="CK5" s="5">
        <v>0.37897350211797709</v>
      </c>
      <c r="CL5" s="5">
        <v>-7.6383453932209341E-2</v>
      </c>
      <c r="CM5" s="5">
        <v>4.2833444041791832E-2</v>
      </c>
      <c r="CN5" s="5">
        <v>-0.15161552738072651</v>
      </c>
      <c r="CO5" s="5">
        <v>0.43716796518582229</v>
      </c>
      <c r="CP5" s="5">
        <v>-4.1833927507883796E-3</v>
      </c>
      <c r="CQ5" s="5">
        <v>-0.49935244279872992</v>
      </c>
      <c r="CR5" s="5">
        <v>0.3398570382696095</v>
      </c>
      <c r="CS5" s="5">
        <v>-0.18988696947799641</v>
      </c>
      <c r="CT5" s="5">
        <v>0.2246197528310597</v>
      </c>
      <c r="CU5" s="5">
        <v>-0.25171771168640761</v>
      </c>
      <c r="CV5" s="5">
        <v>-6.0587944319075937E-2</v>
      </c>
      <c r="CW5" s="5">
        <v>0.2108770628752098</v>
      </c>
      <c r="CX5" s="5">
        <v>0.25016150139728283</v>
      </c>
      <c r="CY5" s="5">
        <v>-0.52413353929587791</v>
      </c>
      <c r="CZ5" s="5">
        <v>0.8216183061041753</v>
      </c>
      <c r="DA5" s="5">
        <v>-0.17652298417539669</v>
      </c>
      <c r="DB5" s="5">
        <v>0.13115957739194459</v>
      </c>
      <c r="DC5" s="5">
        <v>0.1757366545058428</v>
      </c>
      <c r="DD5" s="5">
        <v>-0.42083892435479142</v>
      </c>
      <c r="DE5" s="5">
        <v>-0.2279724207651195</v>
      </c>
      <c r="DF5" s="5">
        <v>-0.33715973842927388</v>
      </c>
      <c r="DG5" s="5">
        <v>-0.44400370439279008</v>
      </c>
      <c r="DH5" s="5">
        <v>-4.293279443633978E-2</v>
      </c>
      <c r="DI5" s="5">
        <v>0.30896916307249689</v>
      </c>
      <c r="DJ5" s="5">
        <v>-0.28669247758290828</v>
      </c>
      <c r="DK5" s="5">
        <v>0.84621248517861269</v>
      </c>
      <c r="DL5" s="5">
        <v>-0.16924034367306559</v>
      </c>
      <c r="DM5" s="5">
        <v>-0.43945016692248923</v>
      </c>
      <c r="DN5" s="5">
        <v>0.74751336560070059</v>
      </c>
      <c r="DO5" s="5">
        <v>-0.39996426308914668</v>
      </c>
      <c r="DP5" s="5">
        <v>-4.4863264481034962E-2</v>
      </c>
      <c r="DQ5" s="5">
        <v>-0.58863430244229409</v>
      </c>
      <c r="DR5" s="5">
        <v>-6.5627469319089037E-3</v>
      </c>
      <c r="DS5" s="5">
        <v>-0.19878519438361211</v>
      </c>
      <c r="DT5" s="5">
        <v>0.4132117833889476</v>
      </c>
      <c r="DU5" s="5">
        <v>-0.17065403209770361</v>
      </c>
      <c r="DV5" s="5">
        <v>0.68828031734213269</v>
      </c>
      <c r="DW5" s="5">
        <v>4.0806005098273937E-2</v>
      </c>
      <c r="DX5" s="5">
        <v>-0.1999347157162332</v>
      </c>
      <c r="DY5" s="5">
        <v>0.56631420698904078</v>
      </c>
      <c r="DZ5" s="5">
        <v>0.47362880432099852</v>
      </c>
      <c r="EA5" s="5">
        <v>9.5444977871898054E-2</v>
      </c>
      <c r="EB5" s="5">
        <v>-1.076360940060376</v>
      </c>
      <c r="EC5" s="5">
        <v>-0.13610628648279391</v>
      </c>
      <c r="ED5" s="5">
        <v>-0.27349656344743889</v>
      </c>
      <c r="EE5" s="5">
        <v>0.60134859370029736</v>
      </c>
      <c r="EF5" s="5">
        <v>6.7468790588863341E-3</v>
      </c>
    </row>
    <row r="6" spans="1:139">
      <c r="A6" s="31" t="s">
        <v>139</v>
      </c>
      <c r="B6" s="32"/>
      <c r="C6" s="5">
        <f t="array" ref="C6">MATCH(MAX(ABS(C3:C5)),ABS(C3:C5),0)</f>
        <v>3</v>
      </c>
      <c r="D6" s="5">
        <f t="array" ref="D6">MATCH(MAX(ABS(D3:D5)),ABS(D3:D5),0)</f>
        <v>2</v>
      </c>
      <c r="E6" s="5">
        <f t="array" ref="E6">MATCH(MAX(ABS(E3:E5)),ABS(E3:E5),0)</f>
        <v>3</v>
      </c>
      <c r="F6" s="5">
        <f t="array" ref="F6">MATCH(MAX(ABS(F3:F5)),ABS(F3:F5),0)</f>
        <v>3</v>
      </c>
      <c r="G6" s="5">
        <f t="array" ref="G6">MATCH(MAX(ABS(G3:G5)),ABS(G3:G5),0)</f>
        <v>3</v>
      </c>
      <c r="H6" s="5">
        <f t="array" ref="H6">MATCH(MAX(ABS(H3:H5)),ABS(H3:H5),0)</f>
        <v>3</v>
      </c>
      <c r="I6" s="5">
        <f t="array" ref="I6">MATCH(MAX(ABS(I3:I5)),ABS(I3:I5),0)</f>
        <v>1</v>
      </c>
      <c r="J6" s="5">
        <f t="array" ref="J6">MATCH(MAX(ABS(J3:J5)),ABS(J3:J5),0)</f>
        <v>1</v>
      </c>
      <c r="K6" s="5">
        <f t="array" ref="K6">MATCH(MAX(ABS(K3:K5)),ABS(K3:K5),0)</f>
        <v>3</v>
      </c>
      <c r="L6" s="5">
        <f t="array" ref="L6">MATCH(MAX(ABS(L3:L5)),ABS(L3:L5),0)</f>
        <v>3</v>
      </c>
      <c r="M6" s="5">
        <f t="array" ref="M6">MATCH(MAX(ABS(M3:M5)),ABS(M3:M5),0)</f>
        <v>3</v>
      </c>
      <c r="N6" s="5">
        <f t="array" ref="N6">MATCH(MAX(ABS(N3:N5)),ABS(N3:N5),0)</f>
        <v>3</v>
      </c>
      <c r="O6" s="5">
        <f t="array" ref="O6">MATCH(MAX(ABS(O3:O5)),ABS(O3:O5),0)</f>
        <v>1</v>
      </c>
      <c r="P6" s="5">
        <f t="array" ref="P6">MATCH(MAX(ABS(P3:P5)),ABS(P3:P5),0)</f>
        <v>3</v>
      </c>
      <c r="Q6" s="5">
        <f t="array" ref="Q6">MATCH(MAX(ABS(Q3:Q5)),ABS(Q3:Q5),0)</f>
        <v>1</v>
      </c>
      <c r="R6" s="5">
        <f t="array" ref="R6">MATCH(MAX(ABS(R3:R5)),ABS(R3:R5),0)</f>
        <v>1</v>
      </c>
      <c r="S6" s="5">
        <f t="array" ref="S6">MATCH(MAX(ABS(S3:S5)),ABS(S3:S5),0)</f>
        <v>3</v>
      </c>
      <c r="T6" s="5">
        <f t="array" ref="T6">MATCH(MAX(ABS(T3:T5)),ABS(T3:T5),0)</f>
        <v>1</v>
      </c>
      <c r="U6" s="5">
        <f t="array" ref="U6">MATCH(MAX(ABS(U3:U5)),ABS(U3:U5),0)</f>
        <v>1</v>
      </c>
      <c r="V6" s="5">
        <f t="array" ref="V6">MATCH(MAX(ABS(V3:V5)),ABS(V3:V5),0)</f>
        <v>3</v>
      </c>
      <c r="W6" s="5">
        <f t="array" ref="W6">MATCH(MAX(ABS(W3:W5)),ABS(W3:W5),0)</f>
        <v>3</v>
      </c>
      <c r="X6" s="5">
        <f t="array" ref="X6">MATCH(MAX(ABS(X3:X5)),ABS(X3:X5),0)</f>
        <v>2</v>
      </c>
      <c r="Y6" s="5">
        <f t="array" ref="Y6">MATCH(MAX(ABS(Y3:Y5)),ABS(Y3:Y5),0)</f>
        <v>3</v>
      </c>
      <c r="Z6" s="5">
        <f t="array" ref="Z6">MATCH(MAX(ABS(Z3:Z5)),ABS(Z3:Z5),0)</f>
        <v>1</v>
      </c>
      <c r="AA6" s="5">
        <f t="array" ref="AA6">MATCH(MAX(ABS(AA3:AA5)),ABS(AA3:AA5),0)</f>
        <v>1</v>
      </c>
      <c r="AB6" s="5">
        <f t="array" ref="AB6">MATCH(MAX(ABS(AB3:AB5)),ABS(AB3:AB5),0)</f>
        <v>1</v>
      </c>
      <c r="AC6" s="5">
        <f t="array" ref="AC6">MATCH(MAX(ABS(AC3:AC5)),ABS(AC3:AC5),0)</f>
        <v>3</v>
      </c>
      <c r="AD6" s="5">
        <f t="array" ref="AD6">MATCH(MAX(ABS(AD3:AD5)),ABS(AD3:AD5),0)</f>
        <v>3</v>
      </c>
      <c r="AE6" s="5">
        <f t="array" ref="AE6">MATCH(MAX(ABS(AE3:AE5)),ABS(AE3:AE5),0)</f>
        <v>3</v>
      </c>
      <c r="AF6" s="5">
        <f t="array" ref="AF6">MATCH(MAX(ABS(AF3:AF5)),ABS(AF3:AF5),0)</f>
        <v>3</v>
      </c>
      <c r="AG6" s="5">
        <f t="array" ref="AG6">MATCH(MAX(ABS(AG3:AG5)),ABS(AG3:AG5),0)</f>
        <v>3</v>
      </c>
      <c r="AH6" s="5">
        <f t="array" ref="AH6">MATCH(MAX(ABS(AH3:AH5)),ABS(AH3:AH5),0)</f>
        <v>3</v>
      </c>
      <c r="AI6" s="5">
        <f t="array" ref="AI6">MATCH(MAX(ABS(AI3:AI5)),ABS(AI3:AI5),0)</f>
        <v>3</v>
      </c>
      <c r="AJ6" s="5">
        <f t="array" ref="AJ6">MATCH(MAX(ABS(AJ3:AJ5)),ABS(AJ3:AJ5),0)</f>
        <v>3</v>
      </c>
      <c r="AK6" s="5">
        <f t="array" ref="AK6">MATCH(MAX(ABS(AK3:AK5)),ABS(AK3:AK5),0)</f>
        <v>3</v>
      </c>
      <c r="AL6" s="5">
        <f t="array" ref="AL6">MATCH(MAX(ABS(AL3:AL5)),ABS(AL3:AL5),0)</f>
        <v>1</v>
      </c>
      <c r="AM6" s="5">
        <f t="array" ref="AM6">MATCH(MAX(ABS(AM3:AM5)),ABS(AM3:AM5),0)</f>
        <v>1</v>
      </c>
      <c r="AN6" s="5">
        <f t="array" ref="AN6">MATCH(MAX(ABS(AN3:AN5)),ABS(AN3:AN5),0)</f>
        <v>1</v>
      </c>
      <c r="AO6" s="5">
        <f t="array" ref="AO6">MATCH(MAX(ABS(AO3:AO5)),ABS(AO3:AO5),0)</f>
        <v>3</v>
      </c>
      <c r="AP6" s="5">
        <f t="array" ref="AP6">MATCH(MAX(ABS(AP3:AP5)),ABS(AP3:AP5),0)</f>
        <v>2</v>
      </c>
      <c r="AQ6" s="5">
        <f t="array" ref="AQ6">MATCH(MAX(ABS(AQ3:AQ5)),ABS(AQ3:AQ5),0)</f>
        <v>1</v>
      </c>
      <c r="AR6" s="5">
        <f t="array" ref="AR6">MATCH(MAX(ABS(AR3:AR5)),ABS(AR3:AR5),0)</f>
        <v>2</v>
      </c>
      <c r="AS6" s="5">
        <f t="array" ref="AS6">MATCH(MAX(ABS(AS3:AS5)),ABS(AS3:AS5),0)</f>
        <v>1</v>
      </c>
      <c r="AT6" s="5">
        <f t="array" ref="AT6">MATCH(MAX(ABS(AT3:AT5)),ABS(AT3:AT5),0)</f>
        <v>3</v>
      </c>
      <c r="AU6" s="5">
        <f t="array" ref="AU6">MATCH(MAX(ABS(AU3:AU5)),ABS(AU3:AU5),0)</f>
        <v>3</v>
      </c>
      <c r="AV6" s="5">
        <f t="array" ref="AV6">MATCH(MAX(ABS(AV3:AV5)),ABS(AV3:AV5),0)</f>
        <v>2</v>
      </c>
      <c r="AW6" s="5">
        <f t="array" ref="AW6">MATCH(MAX(ABS(AW3:AW5)),ABS(AW3:AW5),0)</f>
        <v>1</v>
      </c>
      <c r="AX6" s="5">
        <f t="array" ref="AX6">MATCH(MAX(ABS(AX3:AX5)),ABS(AX3:AX5),0)</f>
        <v>3</v>
      </c>
      <c r="AY6" s="5">
        <f t="array" ref="AY6">MATCH(MAX(ABS(AY3:AY5)),ABS(AY3:AY5),0)</f>
        <v>3</v>
      </c>
      <c r="AZ6" s="5">
        <f t="array" ref="AZ6">MATCH(MAX(ABS(AZ3:AZ5)),ABS(AZ3:AZ5),0)</f>
        <v>3</v>
      </c>
      <c r="BA6" s="5">
        <f t="array" ref="BA6">MATCH(MAX(ABS(BA3:BA5)),ABS(BA3:BA5),0)</f>
        <v>1</v>
      </c>
      <c r="BB6" s="5">
        <f t="array" ref="BB6">MATCH(MAX(ABS(BB3:BB5)),ABS(BB3:BB5),0)</f>
        <v>2</v>
      </c>
      <c r="BC6" s="5">
        <f t="array" ref="BC6">MATCH(MAX(ABS(BC3:BC5)),ABS(BC3:BC5),0)</f>
        <v>1</v>
      </c>
      <c r="BD6" s="5">
        <f t="array" ref="BD6">MATCH(MAX(ABS(BD3:BD5)),ABS(BD3:BD5),0)</f>
        <v>1</v>
      </c>
      <c r="BE6" s="5">
        <f t="array" ref="BE6">MATCH(MAX(ABS(BE3:BE5)),ABS(BE3:BE5),0)</f>
        <v>1</v>
      </c>
      <c r="BF6" s="5">
        <f t="array" ref="BF6">MATCH(MAX(ABS(BF3:BF5)),ABS(BF3:BF5),0)</f>
        <v>3</v>
      </c>
      <c r="BG6" s="5">
        <f t="array" ref="BG6">MATCH(MAX(ABS(BG3:BG5)),ABS(BG3:BG5),0)</f>
        <v>1</v>
      </c>
      <c r="BH6" s="5">
        <f t="array" ref="BH6">MATCH(MAX(ABS(BH3:BH5)),ABS(BH3:BH5),0)</f>
        <v>1</v>
      </c>
      <c r="BI6" s="5">
        <f t="array" ref="BI6">MATCH(MAX(ABS(BI3:BI5)),ABS(BI3:BI5),0)</f>
        <v>3</v>
      </c>
      <c r="BJ6" s="5">
        <f t="array" ref="BJ6">MATCH(MAX(ABS(BJ3:BJ5)),ABS(BJ3:BJ5),0)</f>
        <v>3</v>
      </c>
      <c r="BK6" s="5">
        <f t="array" ref="BK6">MATCH(MAX(ABS(BK3:BK5)),ABS(BK3:BK5),0)</f>
        <v>3</v>
      </c>
      <c r="BL6" s="5">
        <f t="array" ref="BL6">MATCH(MAX(ABS(BL3:BL5)),ABS(BL3:BL5),0)</f>
        <v>3</v>
      </c>
      <c r="BM6" s="5">
        <f t="array" ref="BM6">MATCH(MAX(ABS(BM3:BM5)),ABS(BM3:BM5),0)</f>
        <v>3</v>
      </c>
      <c r="BN6" s="5">
        <f t="array" ref="BN6">MATCH(MAX(ABS(BN3:BN5)),ABS(BN3:BN5),0)</f>
        <v>3</v>
      </c>
      <c r="BO6" s="5">
        <f t="array" ref="BO6">MATCH(MAX(ABS(BO3:BO5)),ABS(BO3:BO5),0)</f>
        <v>1</v>
      </c>
      <c r="BP6" s="5">
        <f t="array" ref="BP6">MATCH(MAX(ABS(BP3:BP5)),ABS(BP3:BP5),0)</f>
        <v>2</v>
      </c>
      <c r="BQ6" s="5">
        <f t="array" ref="BQ6">MATCH(MAX(ABS(BQ3:BQ5)),ABS(BQ3:BQ5),0)</f>
        <v>3</v>
      </c>
      <c r="BR6" s="5">
        <f t="array" ref="BR6">MATCH(MAX(ABS(BR3:BR5)),ABS(BR3:BR5),0)</f>
        <v>1</v>
      </c>
      <c r="BS6" s="5">
        <f t="array" ref="BS6">MATCH(MAX(ABS(BS3:BS5)),ABS(BS3:BS5),0)</f>
        <v>3</v>
      </c>
      <c r="BT6" s="5">
        <f t="array" ref="BT6">MATCH(MAX(ABS(BT3:BT5)),ABS(BT3:BT5),0)</f>
        <v>3</v>
      </c>
      <c r="BU6" s="5">
        <f t="array" ref="BU6">MATCH(MAX(ABS(BU3:BU5)),ABS(BU3:BU5),0)</f>
        <v>1</v>
      </c>
      <c r="BV6" s="5">
        <f t="array" ref="BV6">MATCH(MAX(ABS(BV3:BV5)),ABS(BV3:BV5),0)</f>
        <v>2</v>
      </c>
      <c r="BW6" s="5">
        <f t="array" ref="BW6">MATCH(MAX(ABS(BW3:BW5)),ABS(BW3:BW5),0)</f>
        <v>3</v>
      </c>
      <c r="BX6" s="5">
        <f t="array" ref="BX6">MATCH(MAX(ABS(BX3:BX5)),ABS(BX3:BX5),0)</f>
        <v>3</v>
      </c>
      <c r="BY6" s="5">
        <f t="array" ref="BY6">MATCH(MAX(ABS(BY3:BY5)),ABS(BY3:BY5),0)</f>
        <v>2</v>
      </c>
      <c r="BZ6" s="5">
        <f t="array" ref="BZ6">MATCH(MAX(ABS(BZ3:BZ5)),ABS(BZ3:BZ5),0)</f>
        <v>1</v>
      </c>
      <c r="CA6" s="5">
        <f t="array" ref="CA6">MATCH(MAX(ABS(CA3:CA5)),ABS(CA3:CA5),0)</f>
        <v>1</v>
      </c>
      <c r="CB6" s="5">
        <f t="array" ref="CB6">MATCH(MAX(ABS(CB3:CB5)),ABS(CB3:CB5),0)</f>
        <v>2</v>
      </c>
      <c r="CC6" s="5">
        <f t="array" ref="CC6">MATCH(MAX(ABS(CC3:CC5)),ABS(CC3:CC5),0)</f>
        <v>2</v>
      </c>
      <c r="CD6" s="5">
        <f t="array" ref="CD6">MATCH(MAX(ABS(CD3:CD5)),ABS(CD3:CD5),0)</f>
        <v>3</v>
      </c>
      <c r="CE6" s="5">
        <f t="array" ref="CE6">MATCH(MAX(ABS(CE3:CE5)),ABS(CE3:CE5),0)</f>
        <v>1</v>
      </c>
      <c r="CF6" s="5">
        <f t="array" ref="CF6">MATCH(MAX(ABS(CF3:CF5)),ABS(CF3:CF5),0)</f>
        <v>3</v>
      </c>
      <c r="CG6" s="5">
        <f t="array" ref="CG6">MATCH(MAX(ABS(CG3:CG5)),ABS(CG3:CG5),0)</f>
        <v>3</v>
      </c>
      <c r="CH6" s="5">
        <f t="array" ref="CH6">MATCH(MAX(ABS(CH3:CH5)),ABS(CH3:CH5),0)</f>
        <v>3</v>
      </c>
      <c r="CI6" s="5">
        <f t="array" ref="CI6">MATCH(MAX(ABS(CI3:CI5)),ABS(CI3:CI5),0)</f>
        <v>3</v>
      </c>
      <c r="CJ6" s="5">
        <f t="array" ref="CJ6">MATCH(MAX(ABS(CJ3:CJ5)),ABS(CJ3:CJ5),0)</f>
        <v>1</v>
      </c>
      <c r="CK6" s="5">
        <f t="array" ref="CK6">MATCH(MAX(ABS(CK3:CK5)),ABS(CK3:CK5),0)</f>
        <v>3</v>
      </c>
      <c r="CL6" s="5">
        <f t="array" ref="CL6">MATCH(MAX(ABS(CL3:CL5)),ABS(CL3:CL5),0)</f>
        <v>3</v>
      </c>
      <c r="CM6" s="5">
        <f t="array" ref="CM6">MATCH(MAX(ABS(CM3:CM5)),ABS(CM3:CM5),0)</f>
        <v>1</v>
      </c>
      <c r="CN6" s="5">
        <f t="array" ref="CN6">MATCH(MAX(ABS(CN3:CN5)),ABS(CN3:CN5),0)</f>
        <v>1</v>
      </c>
      <c r="CO6" s="5">
        <f t="array" ref="CO6">MATCH(MAX(ABS(CO3:CO5)),ABS(CO3:CO5),0)</f>
        <v>3</v>
      </c>
      <c r="CP6" s="5">
        <f t="array" ref="CP6">MATCH(MAX(ABS(CP3:CP5)),ABS(CP3:CP5),0)</f>
        <v>1</v>
      </c>
      <c r="CQ6" s="5">
        <f t="array" ref="CQ6">MATCH(MAX(ABS(CQ3:CQ5)),ABS(CQ3:CQ5),0)</f>
        <v>3</v>
      </c>
      <c r="CR6" s="5">
        <f t="array" ref="CR6">MATCH(MAX(ABS(CR3:CR5)),ABS(CR3:CR5),0)</f>
        <v>3</v>
      </c>
      <c r="CS6" s="5">
        <f t="array" ref="CS6">MATCH(MAX(ABS(CS3:CS5)),ABS(CS3:CS5),0)</f>
        <v>2</v>
      </c>
      <c r="CT6" s="5">
        <f t="array" ref="CT6">MATCH(MAX(ABS(CT3:CT5)),ABS(CT3:CT5),0)</f>
        <v>3</v>
      </c>
      <c r="CU6" s="5">
        <f t="array" ref="CU6">MATCH(MAX(ABS(CU3:CU5)),ABS(CU3:CU5),0)</f>
        <v>3</v>
      </c>
      <c r="CV6" s="5">
        <f t="array" ref="CV6">MATCH(MAX(ABS(CV3:CV5)),ABS(CV3:CV5),0)</f>
        <v>2</v>
      </c>
      <c r="CW6" s="5">
        <f t="array" ref="CW6">MATCH(MAX(ABS(CW3:CW5)),ABS(CW3:CW5),0)</f>
        <v>3</v>
      </c>
      <c r="CX6" s="5">
        <f t="array" ref="CX6">MATCH(MAX(ABS(CX3:CX5)),ABS(CX3:CX5),0)</f>
        <v>3</v>
      </c>
      <c r="CY6" s="5">
        <f t="array" ref="CY6">MATCH(MAX(ABS(CY3:CY5)),ABS(CY3:CY5),0)</f>
        <v>3</v>
      </c>
      <c r="CZ6" s="5">
        <f t="array" ref="CZ6">MATCH(MAX(ABS(CZ3:CZ5)),ABS(CZ3:CZ5),0)</f>
        <v>3</v>
      </c>
      <c r="DA6" s="5">
        <f t="array" ref="DA6">MATCH(MAX(ABS(DA3:DA5)),ABS(DA3:DA5),0)</f>
        <v>1</v>
      </c>
      <c r="DB6" s="5">
        <f t="array" ref="DB6">MATCH(MAX(ABS(DB3:DB5)),ABS(DB3:DB5),0)</f>
        <v>1</v>
      </c>
      <c r="DC6" s="5">
        <f t="array" ref="DC6">MATCH(MAX(ABS(DC3:DC5)),ABS(DC3:DC5),0)</f>
        <v>1</v>
      </c>
      <c r="DD6" s="5">
        <f t="array" ref="DD6">MATCH(MAX(ABS(DD3:DD5)),ABS(DD3:DD5),0)</f>
        <v>3</v>
      </c>
      <c r="DE6" s="5">
        <f t="array" ref="DE6">MATCH(MAX(ABS(DE3:DE5)),ABS(DE3:DE5),0)</f>
        <v>3</v>
      </c>
      <c r="DF6" s="5">
        <f t="array" ref="DF6">MATCH(MAX(ABS(DF3:DF5)),ABS(DF3:DF5),0)</f>
        <v>3</v>
      </c>
      <c r="DG6" s="5">
        <f t="array" ref="DG6">MATCH(MAX(ABS(DG3:DG5)),ABS(DG3:DG5),0)</f>
        <v>3</v>
      </c>
      <c r="DH6" s="5">
        <f t="array" ref="DH6">MATCH(MAX(ABS(DH3:DH5)),ABS(DH3:DH5),0)</f>
        <v>2</v>
      </c>
      <c r="DI6" s="5">
        <f t="array" ref="DI6">MATCH(MAX(ABS(DI3:DI5)),ABS(DI3:DI5),0)</f>
        <v>3</v>
      </c>
      <c r="DJ6" s="5">
        <f t="array" ref="DJ6">MATCH(MAX(ABS(DJ3:DJ5)),ABS(DJ3:DJ5),0)</f>
        <v>3</v>
      </c>
      <c r="DK6" s="5">
        <f t="array" ref="DK6">MATCH(MAX(ABS(DK3:DK5)),ABS(DK3:DK5),0)</f>
        <v>3</v>
      </c>
      <c r="DL6" s="5">
        <f t="array" ref="DL6">MATCH(MAX(ABS(DL3:DL5)),ABS(DL3:DL5),0)</f>
        <v>3</v>
      </c>
      <c r="DM6" s="5">
        <f t="array" ref="DM6">MATCH(MAX(ABS(DM3:DM5)),ABS(DM3:DM5),0)</f>
        <v>3</v>
      </c>
      <c r="DN6" s="5">
        <f t="array" ref="DN6">MATCH(MAX(ABS(DN3:DN5)),ABS(DN3:DN5),0)</f>
        <v>3</v>
      </c>
      <c r="DO6" s="5">
        <f t="array" ref="DO6">MATCH(MAX(ABS(DO3:DO5)),ABS(DO3:DO5),0)</f>
        <v>3</v>
      </c>
      <c r="DP6" s="5">
        <f t="array" ref="DP6">MATCH(MAX(ABS(DP3:DP5)),ABS(DP3:DP5),0)</f>
        <v>1</v>
      </c>
      <c r="DQ6" s="5">
        <f t="array" ref="DQ6">MATCH(MAX(ABS(DQ3:DQ5)),ABS(DQ3:DQ5),0)</f>
        <v>3</v>
      </c>
      <c r="DR6" s="5">
        <f t="array" ref="DR6">MATCH(MAX(ABS(DR3:DR5)),ABS(DR3:DR5),0)</f>
        <v>2</v>
      </c>
      <c r="DS6" s="5">
        <f t="array" ref="DS6">MATCH(MAX(ABS(DS3:DS5)),ABS(DS3:DS5),0)</f>
        <v>3</v>
      </c>
      <c r="DT6" s="5">
        <f t="array" ref="DT6">MATCH(MAX(ABS(DT3:DT5)),ABS(DT3:DT5),0)</f>
        <v>3</v>
      </c>
      <c r="DU6" s="5">
        <f t="array" ref="DU6">MATCH(MAX(ABS(DU3:DU5)),ABS(DU3:DU5),0)</f>
        <v>3</v>
      </c>
      <c r="DV6" s="5">
        <f t="array" ref="DV6">MATCH(MAX(ABS(DV3:DV5)),ABS(DV3:DV5),0)</f>
        <v>3</v>
      </c>
      <c r="DW6" s="5">
        <f t="array" ref="DW6">MATCH(MAX(ABS(DW3:DW5)),ABS(DW3:DW5),0)</f>
        <v>1</v>
      </c>
      <c r="DX6" s="5">
        <f t="array" ref="DX6">MATCH(MAX(ABS(DX3:DX5)),ABS(DX3:DX5),0)</f>
        <v>3</v>
      </c>
      <c r="DY6" s="5">
        <f t="array" ref="DY6">MATCH(MAX(ABS(DY3:DY5)),ABS(DY3:DY5),0)</f>
        <v>3</v>
      </c>
      <c r="DZ6" s="5">
        <f t="array" ref="DZ6">MATCH(MAX(ABS(DZ3:DZ5)),ABS(DZ3:DZ5),0)</f>
        <v>3</v>
      </c>
      <c r="EA6" s="5">
        <f t="array" ref="EA6">MATCH(MAX(ABS(EA3:EA5)),ABS(EA3:EA5),0)</f>
        <v>2</v>
      </c>
      <c r="EB6" s="5">
        <f t="array" ref="EB6">MATCH(MAX(ABS(EB3:EB5)),ABS(EB3:EB5),0)</f>
        <v>3</v>
      </c>
      <c r="EC6" s="5">
        <f t="array" ref="EC6">MATCH(MAX(ABS(EC3:EC5)),ABS(EC3:EC5),0)</f>
        <v>3</v>
      </c>
      <c r="ED6" s="5">
        <f t="array" ref="ED6">MATCH(MAX(ABS(ED3:ED5)),ABS(ED3:ED5),0)</f>
        <v>3</v>
      </c>
      <c r="EE6" s="5">
        <f t="array" ref="EE6">MATCH(MAX(ABS(EE3:EE5)),ABS(EE3:EE5),0)</f>
        <v>3</v>
      </c>
      <c r="EF6" s="5">
        <f t="array" ref="EF6">MATCH(MAX(ABS(EF3:EF5)),ABS(EF3:EF5),0)</f>
        <v>2</v>
      </c>
    </row>
    <row r="7" spans="1:139">
      <c r="C7" s="5" t="str">
        <f t="shared" ref="C7:BN7" si="0">IF(C6=1,"bm",IF(C6=2,"size",IF(C6=3,"mom")))</f>
        <v>mom</v>
      </c>
      <c r="D7" s="5" t="str">
        <f t="shared" si="0"/>
        <v>size</v>
      </c>
      <c r="E7" s="5" t="str">
        <f t="shared" si="0"/>
        <v>mom</v>
      </c>
      <c r="F7" s="5" t="str">
        <f t="shared" si="0"/>
        <v>mom</v>
      </c>
      <c r="G7" s="5" t="str">
        <f t="shared" si="0"/>
        <v>mom</v>
      </c>
      <c r="H7" s="5" t="str">
        <f t="shared" si="0"/>
        <v>mom</v>
      </c>
      <c r="I7" s="5" t="str">
        <f t="shared" si="0"/>
        <v>bm</v>
      </c>
      <c r="J7" s="5" t="str">
        <f t="shared" si="0"/>
        <v>bm</v>
      </c>
      <c r="K7" s="5" t="str">
        <f t="shared" si="0"/>
        <v>mom</v>
      </c>
      <c r="L7" s="5" t="str">
        <f t="shared" si="0"/>
        <v>mom</v>
      </c>
      <c r="M7" s="5" t="str">
        <f t="shared" si="0"/>
        <v>mom</v>
      </c>
      <c r="N7" s="5" t="str">
        <f t="shared" si="0"/>
        <v>mom</v>
      </c>
      <c r="O7" s="5" t="str">
        <f t="shared" si="0"/>
        <v>bm</v>
      </c>
      <c r="P7" s="5" t="str">
        <f t="shared" si="0"/>
        <v>mom</v>
      </c>
      <c r="Q7" s="5" t="str">
        <f t="shared" si="0"/>
        <v>bm</v>
      </c>
      <c r="R7" s="5" t="str">
        <f t="shared" si="0"/>
        <v>bm</v>
      </c>
      <c r="S7" s="5" t="str">
        <f t="shared" si="0"/>
        <v>mom</v>
      </c>
      <c r="T7" s="5" t="str">
        <f t="shared" si="0"/>
        <v>bm</v>
      </c>
      <c r="U7" s="5" t="str">
        <f t="shared" si="0"/>
        <v>bm</v>
      </c>
      <c r="V7" s="5" t="str">
        <f t="shared" si="0"/>
        <v>mom</v>
      </c>
      <c r="W7" s="5" t="str">
        <f t="shared" si="0"/>
        <v>mom</v>
      </c>
      <c r="X7" s="5" t="str">
        <f t="shared" si="0"/>
        <v>size</v>
      </c>
      <c r="Y7" s="5" t="str">
        <f t="shared" si="0"/>
        <v>mom</v>
      </c>
      <c r="Z7" s="5" t="str">
        <f t="shared" si="0"/>
        <v>bm</v>
      </c>
      <c r="AA7" s="5" t="str">
        <f t="shared" si="0"/>
        <v>bm</v>
      </c>
      <c r="AB7" s="5" t="str">
        <f t="shared" si="0"/>
        <v>bm</v>
      </c>
      <c r="AC7" s="5" t="str">
        <f t="shared" si="0"/>
        <v>mom</v>
      </c>
      <c r="AD7" s="5" t="str">
        <f t="shared" si="0"/>
        <v>mom</v>
      </c>
      <c r="AE7" s="5" t="str">
        <f t="shared" si="0"/>
        <v>mom</v>
      </c>
      <c r="AF7" s="5" t="str">
        <f t="shared" si="0"/>
        <v>mom</v>
      </c>
      <c r="AG7" s="5" t="str">
        <f t="shared" si="0"/>
        <v>mom</v>
      </c>
      <c r="AH7" s="5" t="str">
        <f t="shared" si="0"/>
        <v>mom</v>
      </c>
      <c r="AI7" s="5" t="str">
        <f t="shared" si="0"/>
        <v>mom</v>
      </c>
      <c r="AJ7" s="5" t="str">
        <f t="shared" si="0"/>
        <v>mom</v>
      </c>
      <c r="AK7" s="5" t="str">
        <f t="shared" si="0"/>
        <v>mom</v>
      </c>
      <c r="AL7" s="5" t="str">
        <f t="shared" si="0"/>
        <v>bm</v>
      </c>
      <c r="AM7" s="5" t="str">
        <f t="shared" si="0"/>
        <v>bm</v>
      </c>
      <c r="AN7" s="5" t="str">
        <f t="shared" si="0"/>
        <v>bm</v>
      </c>
      <c r="AO7" s="5" t="str">
        <f t="shared" si="0"/>
        <v>mom</v>
      </c>
      <c r="AP7" s="5" t="str">
        <f t="shared" si="0"/>
        <v>size</v>
      </c>
      <c r="AQ7" s="5" t="str">
        <f t="shared" si="0"/>
        <v>bm</v>
      </c>
      <c r="AR7" s="5" t="str">
        <f t="shared" si="0"/>
        <v>size</v>
      </c>
      <c r="AS7" s="5" t="str">
        <f t="shared" si="0"/>
        <v>bm</v>
      </c>
      <c r="AT7" s="5" t="str">
        <f t="shared" si="0"/>
        <v>mom</v>
      </c>
      <c r="AU7" s="5" t="str">
        <f t="shared" si="0"/>
        <v>mom</v>
      </c>
      <c r="AV7" s="5" t="str">
        <f t="shared" si="0"/>
        <v>size</v>
      </c>
      <c r="AW7" s="5" t="str">
        <f t="shared" si="0"/>
        <v>bm</v>
      </c>
      <c r="AX7" s="5" t="str">
        <f t="shared" si="0"/>
        <v>mom</v>
      </c>
      <c r="AY7" s="5" t="str">
        <f t="shared" si="0"/>
        <v>mom</v>
      </c>
      <c r="AZ7" s="5" t="str">
        <f t="shared" si="0"/>
        <v>mom</v>
      </c>
      <c r="BA7" s="5" t="str">
        <f t="shared" si="0"/>
        <v>bm</v>
      </c>
      <c r="BB7" s="5" t="str">
        <f t="shared" si="0"/>
        <v>size</v>
      </c>
      <c r="BC7" s="5" t="str">
        <f t="shared" si="0"/>
        <v>bm</v>
      </c>
      <c r="BD7" s="5" t="str">
        <f t="shared" si="0"/>
        <v>bm</v>
      </c>
      <c r="BE7" s="5" t="str">
        <f t="shared" si="0"/>
        <v>bm</v>
      </c>
      <c r="BF7" s="5" t="str">
        <f t="shared" si="0"/>
        <v>mom</v>
      </c>
      <c r="BG7" s="5" t="str">
        <f t="shared" si="0"/>
        <v>bm</v>
      </c>
      <c r="BH7" s="5" t="str">
        <f t="shared" si="0"/>
        <v>bm</v>
      </c>
      <c r="BI7" s="5" t="str">
        <f t="shared" si="0"/>
        <v>mom</v>
      </c>
      <c r="BJ7" s="5" t="str">
        <f t="shared" si="0"/>
        <v>mom</v>
      </c>
      <c r="BK7" s="5" t="str">
        <f t="shared" si="0"/>
        <v>mom</v>
      </c>
      <c r="BL7" s="5" t="str">
        <f t="shared" si="0"/>
        <v>mom</v>
      </c>
      <c r="BM7" s="5" t="str">
        <f t="shared" si="0"/>
        <v>mom</v>
      </c>
      <c r="BN7" s="5" t="str">
        <f t="shared" si="0"/>
        <v>mom</v>
      </c>
      <c r="BO7" s="5" t="str">
        <f t="shared" ref="BO7:DZ7" si="1">IF(BO6=1,"bm",IF(BO6=2,"size",IF(BO6=3,"mom")))</f>
        <v>bm</v>
      </c>
      <c r="BP7" s="5" t="str">
        <f t="shared" si="1"/>
        <v>size</v>
      </c>
      <c r="BQ7" s="5" t="str">
        <f t="shared" si="1"/>
        <v>mom</v>
      </c>
      <c r="BR7" s="5" t="str">
        <f t="shared" si="1"/>
        <v>bm</v>
      </c>
      <c r="BS7" s="5" t="str">
        <f t="shared" si="1"/>
        <v>mom</v>
      </c>
      <c r="BT7" s="5" t="str">
        <f t="shared" si="1"/>
        <v>mom</v>
      </c>
      <c r="BU7" s="5" t="str">
        <f t="shared" si="1"/>
        <v>bm</v>
      </c>
      <c r="BV7" s="5" t="str">
        <f t="shared" si="1"/>
        <v>size</v>
      </c>
      <c r="BW7" s="5" t="str">
        <f t="shared" si="1"/>
        <v>mom</v>
      </c>
      <c r="BX7" s="5" t="str">
        <f t="shared" si="1"/>
        <v>mom</v>
      </c>
      <c r="BY7" s="5" t="str">
        <f t="shared" si="1"/>
        <v>size</v>
      </c>
      <c r="BZ7" s="5" t="str">
        <f t="shared" si="1"/>
        <v>bm</v>
      </c>
      <c r="CA7" s="5" t="str">
        <f t="shared" si="1"/>
        <v>bm</v>
      </c>
      <c r="CB7" s="5" t="str">
        <f t="shared" si="1"/>
        <v>size</v>
      </c>
      <c r="CC7" s="5" t="str">
        <f t="shared" si="1"/>
        <v>size</v>
      </c>
      <c r="CD7" s="5" t="str">
        <f t="shared" si="1"/>
        <v>mom</v>
      </c>
      <c r="CE7" s="5" t="str">
        <f t="shared" si="1"/>
        <v>bm</v>
      </c>
      <c r="CF7" s="5" t="str">
        <f t="shared" si="1"/>
        <v>mom</v>
      </c>
      <c r="CG7" s="5" t="str">
        <f t="shared" si="1"/>
        <v>mom</v>
      </c>
      <c r="CH7" s="5" t="str">
        <f t="shared" si="1"/>
        <v>mom</v>
      </c>
      <c r="CI7" s="5" t="str">
        <f t="shared" si="1"/>
        <v>mom</v>
      </c>
      <c r="CJ7" s="5" t="str">
        <f t="shared" si="1"/>
        <v>bm</v>
      </c>
      <c r="CK7" s="5" t="str">
        <f t="shared" si="1"/>
        <v>mom</v>
      </c>
      <c r="CL7" s="5" t="str">
        <f t="shared" si="1"/>
        <v>mom</v>
      </c>
      <c r="CM7" s="5" t="str">
        <f t="shared" si="1"/>
        <v>bm</v>
      </c>
      <c r="CN7" s="5" t="str">
        <f t="shared" si="1"/>
        <v>bm</v>
      </c>
      <c r="CO7" s="5" t="str">
        <f t="shared" si="1"/>
        <v>mom</v>
      </c>
      <c r="CP7" s="5" t="str">
        <f t="shared" si="1"/>
        <v>bm</v>
      </c>
      <c r="CQ7" s="5" t="str">
        <f t="shared" si="1"/>
        <v>mom</v>
      </c>
      <c r="CR7" s="5" t="str">
        <f t="shared" si="1"/>
        <v>mom</v>
      </c>
      <c r="CS7" s="5" t="str">
        <f t="shared" si="1"/>
        <v>size</v>
      </c>
      <c r="CT7" s="5" t="str">
        <f t="shared" si="1"/>
        <v>mom</v>
      </c>
      <c r="CU7" s="5" t="str">
        <f t="shared" si="1"/>
        <v>mom</v>
      </c>
      <c r="CV7" s="5" t="str">
        <f t="shared" si="1"/>
        <v>size</v>
      </c>
      <c r="CW7" s="5" t="str">
        <f t="shared" si="1"/>
        <v>mom</v>
      </c>
      <c r="CX7" s="5" t="str">
        <f t="shared" si="1"/>
        <v>mom</v>
      </c>
      <c r="CY7" s="5" t="str">
        <f t="shared" si="1"/>
        <v>mom</v>
      </c>
      <c r="CZ7" s="5" t="str">
        <f t="shared" si="1"/>
        <v>mom</v>
      </c>
      <c r="DA7" s="5" t="str">
        <f t="shared" si="1"/>
        <v>bm</v>
      </c>
      <c r="DB7" s="5" t="str">
        <f t="shared" si="1"/>
        <v>bm</v>
      </c>
      <c r="DC7" s="5" t="str">
        <f t="shared" si="1"/>
        <v>bm</v>
      </c>
      <c r="DD7" s="5" t="str">
        <f t="shared" si="1"/>
        <v>mom</v>
      </c>
      <c r="DE7" s="5" t="str">
        <f t="shared" si="1"/>
        <v>mom</v>
      </c>
      <c r="DF7" s="5" t="str">
        <f t="shared" si="1"/>
        <v>mom</v>
      </c>
      <c r="DG7" s="5" t="str">
        <f t="shared" si="1"/>
        <v>mom</v>
      </c>
      <c r="DH7" s="5" t="str">
        <f t="shared" si="1"/>
        <v>size</v>
      </c>
      <c r="DI7" s="5" t="str">
        <f t="shared" si="1"/>
        <v>mom</v>
      </c>
      <c r="DJ7" s="5" t="str">
        <f t="shared" si="1"/>
        <v>mom</v>
      </c>
      <c r="DK7" s="5" t="str">
        <f t="shared" si="1"/>
        <v>mom</v>
      </c>
      <c r="DL7" s="5" t="str">
        <f t="shared" si="1"/>
        <v>mom</v>
      </c>
      <c r="DM7" s="5" t="str">
        <f t="shared" si="1"/>
        <v>mom</v>
      </c>
      <c r="DN7" s="5" t="str">
        <f t="shared" si="1"/>
        <v>mom</v>
      </c>
      <c r="DO7" s="5" t="str">
        <f t="shared" si="1"/>
        <v>mom</v>
      </c>
      <c r="DP7" s="5" t="str">
        <f t="shared" si="1"/>
        <v>bm</v>
      </c>
      <c r="DQ7" s="5" t="str">
        <f t="shared" si="1"/>
        <v>mom</v>
      </c>
      <c r="DR7" s="5" t="str">
        <f t="shared" si="1"/>
        <v>size</v>
      </c>
      <c r="DS7" s="5" t="str">
        <f t="shared" si="1"/>
        <v>mom</v>
      </c>
      <c r="DT7" s="5" t="str">
        <f t="shared" si="1"/>
        <v>mom</v>
      </c>
      <c r="DU7" s="5" t="str">
        <f t="shared" si="1"/>
        <v>mom</v>
      </c>
      <c r="DV7" s="5" t="str">
        <f t="shared" si="1"/>
        <v>mom</v>
      </c>
      <c r="DW7" s="5" t="str">
        <f t="shared" si="1"/>
        <v>bm</v>
      </c>
      <c r="DX7" s="5" t="str">
        <f t="shared" si="1"/>
        <v>mom</v>
      </c>
      <c r="DY7" s="5" t="str">
        <f t="shared" si="1"/>
        <v>mom</v>
      </c>
      <c r="DZ7" s="5" t="str">
        <f t="shared" si="1"/>
        <v>mom</v>
      </c>
      <c r="EA7" s="5" t="str">
        <f t="shared" ref="EA7:EF7" si="2">IF(EA6=1,"bm",IF(EA6=2,"size",IF(EA6=3,"mom")))</f>
        <v>size</v>
      </c>
      <c r="EB7" s="5" t="str">
        <f t="shared" si="2"/>
        <v>mom</v>
      </c>
      <c r="EC7" s="5" t="str">
        <f t="shared" si="2"/>
        <v>mom</v>
      </c>
      <c r="ED7" s="5" t="str">
        <f t="shared" si="2"/>
        <v>mom</v>
      </c>
      <c r="EE7" s="5" t="str">
        <f t="shared" si="2"/>
        <v>mom</v>
      </c>
      <c r="EF7" s="5" t="str">
        <f t="shared" si="2"/>
        <v>size</v>
      </c>
    </row>
    <row r="8" spans="1:139">
      <c r="C8" s="5">
        <f t="shared" ref="C8:BN8" si="3">IF(C6=1,C3,IF(C6=2,C4,IF(C6=3,C5)))</f>
        <v>-0.20935792122733929</v>
      </c>
      <c r="D8" s="5">
        <f t="shared" si="3"/>
        <v>-0.19670615347595799</v>
      </c>
      <c r="E8" s="5">
        <f t="shared" si="3"/>
        <v>0.52484760680152232</v>
      </c>
      <c r="F8" s="5">
        <f t="shared" si="3"/>
        <v>4.6837059958046809E-2</v>
      </c>
      <c r="G8" s="5">
        <f t="shared" si="3"/>
        <v>-0.2104714261735883</v>
      </c>
      <c r="H8" s="5">
        <f t="shared" si="3"/>
        <v>0.4744149628629204</v>
      </c>
      <c r="I8" s="5">
        <f t="shared" si="3"/>
        <v>-0.19676558635554181</v>
      </c>
      <c r="J8" s="5">
        <f t="shared" si="3"/>
        <v>0.27883034253820949</v>
      </c>
      <c r="K8" s="5">
        <f t="shared" si="3"/>
        <v>0.27552845629080469</v>
      </c>
      <c r="L8" s="5">
        <f t="shared" si="3"/>
        <v>-0.43004286310886081</v>
      </c>
      <c r="M8" s="5">
        <f t="shared" si="3"/>
        <v>0.32376774959305898</v>
      </c>
      <c r="N8" s="5">
        <f t="shared" si="3"/>
        <v>-0.34824165047033961</v>
      </c>
      <c r="O8" s="5">
        <f t="shared" si="3"/>
        <v>0.31084678168383029</v>
      </c>
      <c r="P8" s="5">
        <f t="shared" si="3"/>
        <v>0.39546612391174241</v>
      </c>
      <c r="Q8" s="5">
        <f t="shared" si="3"/>
        <v>-0.1230705033938234</v>
      </c>
      <c r="R8" s="5">
        <f t="shared" si="3"/>
        <v>-0.1125584938483804</v>
      </c>
      <c r="S8" s="5">
        <f t="shared" si="3"/>
        <v>0.3057921371194337</v>
      </c>
      <c r="T8" s="5">
        <f t="shared" si="3"/>
        <v>-0.14458476697667069</v>
      </c>
      <c r="U8" s="5">
        <f t="shared" si="3"/>
        <v>-0.26280780822848793</v>
      </c>
      <c r="V8" s="5">
        <f t="shared" si="3"/>
        <v>-0.13936695356286269</v>
      </c>
      <c r="W8" s="5">
        <f t="shared" si="3"/>
        <v>-0.39469012652483237</v>
      </c>
      <c r="X8" s="5">
        <f t="shared" si="3"/>
        <v>-0.1698621934781421</v>
      </c>
      <c r="Y8" s="5">
        <f t="shared" si="3"/>
        <v>-0.68127295831176804</v>
      </c>
      <c r="Z8" s="5">
        <f t="shared" si="3"/>
        <v>0.10308974194226191</v>
      </c>
      <c r="AA8" s="5">
        <f t="shared" si="3"/>
        <v>0.48637748963693189</v>
      </c>
      <c r="AB8" s="5">
        <f t="shared" si="3"/>
        <v>-0.2348198317515614</v>
      </c>
      <c r="AC8" s="5">
        <f t="shared" si="3"/>
        <v>-8.9163225286403025E-2</v>
      </c>
      <c r="AD8" s="5">
        <f t="shared" si="3"/>
        <v>0.14514145822358679</v>
      </c>
      <c r="AE8" s="5">
        <f t="shared" si="3"/>
        <v>7.4669147590605167E-2</v>
      </c>
      <c r="AF8" s="5">
        <f t="shared" si="3"/>
        <v>0.17577042279847119</v>
      </c>
      <c r="AG8" s="5">
        <f t="shared" si="3"/>
        <v>-0.30336041259100399</v>
      </c>
      <c r="AH8" s="5">
        <f t="shared" si="3"/>
        <v>-0.3482499081721625</v>
      </c>
      <c r="AI8" s="5">
        <f t="shared" si="3"/>
        <v>0.25872371710226461</v>
      </c>
      <c r="AJ8" s="5">
        <f t="shared" si="3"/>
        <v>-0.48889196953357</v>
      </c>
      <c r="AK8" s="5">
        <f t="shared" si="3"/>
        <v>0.13254842946584691</v>
      </c>
      <c r="AL8" s="5">
        <f t="shared" si="3"/>
        <v>0.18738072328871311</v>
      </c>
      <c r="AM8" s="5">
        <f t="shared" si="3"/>
        <v>9.6837349683267515E-2</v>
      </c>
      <c r="AN8" s="5">
        <f t="shared" si="3"/>
        <v>0.2075736584826241</v>
      </c>
      <c r="AO8" s="5">
        <f t="shared" si="3"/>
        <v>0.1844633194704077</v>
      </c>
      <c r="AP8" s="5">
        <f t="shared" si="3"/>
        <v>8.0316784439199651E-2</v>
      </c>
      <c r="AQ8" s="5">
        <f t="shared" si="3"/>
        <v>-0.2114396427417907</v>
      </c>
      <c r="AR8" s="5">
        <f t="shared" si="3"/>
        <v>0.11489008982476891</v>
      </c>
      <c r="AS8" s="5">
        <f t="shared" si="3"/>
        <v>0.14111009314114151</v>
      </c>
      <c r="AT8" s="5">
        <f t="shared" si="3"/>
        <v>0.1516447920969482</v>
      </c>
      <c r="AU8" s="5">
        <f t="shared" si="3"/>
        <v>-0.20083705233961571</v>
      </c>
      <c r="AV8" s="5">
        <f t="shared" si="3"/>
        <v>-0.2173053184250211</v>
      </c>
      <c r="AW8" s="5">
        <f t="shared" si="3"/>
        <v>-0.17415500379798879</v>
      </c>
      <c r="AX8" s="5">
        <f t="shared" si="3"/>
        <v>0.1122931240608864</v>
      </c>
      <c r="AY8" s="5">
        <f t="shared" si="3"/>
        <v>-0.118056117907044</v>
      </c>
      <c r="AZ8" s="5">
        <f t="shared" si="3"/>
        <v>0.20621977214253931</v>
      </c>
      <c r="BA8" s="5">
        <f t="shared" si="3"/>
        <v>0.1604995491281753</v>
      </c>
      <c r="BB8" s="5">
        <f t="shared" si="3"/>
        <v>-0.25209000741856791</v>
      </c>
      <c r="BC8" s="5">
        <f t="shared" si="3"/>
        <v>0.1567368975950951</v>
      </c>
      <c r="BD8" s="5">
        <f t="shared" si="3"/>
        <v>0.16688346547535959</v>
      </c>
      <c r="BE8" s="5">
        <f t="shared" si="3"/>
        <v>-0.13147229447438161</v>
      </c>
      <c r="BF8" s="5">
        <f t="shared" si="3"/>
        <v>-0.28526227318364472</v>
      </c>
      <c r="BG8" s="5">
        <f t="shared" si="3"/>
        <v>0.31531123716865839</v>
      </c>
      <c r="BH8" s="5">
        <f t="shared" si="3"/>
        <v>0.27010117711850451</v>
      </c>
      <c r="BI8" s="5">
        <f t="shared" si="3"/>
        <v>5.812657406460206E-2</v>
      </c>
      <c r="BJ8" s="5">
        <f t="shared" si="3"/>
        <v>-0.25986983403483388</v>
      </c>
      <c r="BK8" s="5">
        <f t="shared" si="3"/>
        <v>0.18487944696901781</v>
      </c>
      <c r="BL8" s="5">
        <f t="shared" si="3"/>
        <v>-0.26913172790454543</v>
      </c>
      <c r="BM8" s="5">
        <f t="shared" si="3"/>
        <v>0.1717381908649544</v>
      </c>
      <c r="BN8" s="5">
        <f t="shared" si="3"/>
        <v>-0.18092216130584951</v>
      </c>
      <c r="BO8" s="5">
        <f t="shared" ref="BO8:DZ8" si="4">IF(BO6=1,BO3,IF(BO6=2,BO4,IF(BO6=3,BO5)))</f>
        <v>-0.14928793997254061</v>
      </c>
      <c r="BP8" s="5">
        <f t="shared" si="4"/>
        <v>8.3537285837463671E-2</v>
      </c>
      <c r="BQ8" s="5">
        <f t="shared" si="4"/>
        <v>-0.16861046240236999</v>
      </c>
      <c r="BR8" s="5">
        <f t="shared" si="4"/>
        <v>0.21346470331308501</v>
      </c>
      <c r="BS8" s="5">
        <f t="shared" si="4"/>
        <v>0.1244241075337672</v>
      </c>
      <c r="BT8" s="5">
        <f t="shared" si="4"/>
        <v>0.20772231279415901</v>
      </c>
      <c r="BU8" s="5">
        <f t="shared" si="4"/>
        <v>0.11377937808470839</v>
      </c>
      <c r="BV8" s="5">
        <f t="shared" si="4"/>
        <v>0.17298229554948641</v>
      </c>
      <c r="BW8" s="5">
        <f t="shared" si="4"/>
        <v>-0.1268015683060742</v>
      </c>
      <c r="BX8" s="5">
        <f t="shared" si="4"/>
        <v>-0.10582029087279909</v>
      </c>
      <c r="BY8" s="5">
        <f t="shared" si="4"/>
        <v>-0.18303206657081719</v>
      </c>
      <c r="BZ8" s="5">
        <f t="shared" si="4"/>
        <v>-0.14071284467671219</v>
      </c>
      <c r="CA8" s="5">
        <f t="shared" si="4"/>
        <v>7.3472777058868566E-2</v>
      </c>
      <c r="CB8" s="5">
        <f t="shared" si="4"/>
        <v>0.19814488479862649</v>
      </c>
      <c r="CC8" s="5">
        <f t="shared" si="4"/>
        <v>-0.29368551385020503</v>
      </c>
      <c r="CD8" s="5">
        <f t="shared" si="4"/>
        <v>0.32742328506094998</v>
      </c>
      <c r="CE8" s="5">
        <f t="shared" si="4"/>
        <v>0.2187970365966756</v>
      </c>
      <c r="CF8" s="5">
        <f t="shared" si="4"/>
        <v>-0.14937324914413941</v>
      </c>
      <c r="CG8" s="5">
        <f t="shared" si="4"/>
        <v>0.16320028060313421</v>
      </c>
      <c r="CH8" s="5">
        <f t="shared" si="4"/>
        <v>-6.9038325074175663E-2</v>
      </c>
      <c r="CI8" s="5">
        <f t="shared" si="4"/>
        <v>-0.11536214708505139</v>
      </c>
      <c r="CJ8" s="5">
        <f t="shared" si="4"/>
        <v>-0.39111281147264948</v>
      </c>
      <c r="CK8" s="5">
        <f t="shared" si="4"/>
        <v>0.37897350211797709</v>
      </c>
      <c r="CL8" s="5">
        <f t="shared" si="4"/>
        <v>-7.6383453932209341E-2</v>
      </c>
      <c r="CM8" s="5">
        <f t="shared" si="4"/>
        <v>0.18311247425732069</v>
      </c>
      <c r="CN8" s="5">
        <f t="shared" si="4"/>
        <v>-0.39746167912504587</v>
      </c>
      <c r="CO8" s="5">
        <f t="shared" si="4"/>
        <v>0.43716796518582229</v>
      </c>
      <c r="CP8" s="5">
        <f t="shared" si="4"/>
        <v>-9.5682049872747921E-2</v>
      </c>
      <c r="CQ8" s="5">
        <f t="shared" si="4"/>
        <v>-0.49935244279872992</v>
      </c>
      <c r="CR8" s="5">
        <f t="shared" si="4"/>
        <v>0.3398570382696095</v>
      </c>
      <c r="CS8" s="5">
        <f t="shared" si="4"/>
        <v>-0.27841972942992038</v>
      </c>
      <c r="CT8" s="5">
        <f t="shared" si="4"/>
        <v>0.2246197528310597</v>
      </c>
      <c r="CU8" s="5">
        <f t="shared" si="4"/>
        <v>-0.25171771168640761</v>
      </c>
      <c r="CV8" s="5">
        <f t="shared" si="4"/>
        <v>0.11088351979357471</v>
      </c>
      <c r="CW8" s="5">
        <f t="shared" si="4"/>
        <v>0.2108770628752098</v>
      </c>
      <c r="CX8" s="5">
        <f t="shared" si="4"/>
        <v>0.25016150139728283</v>
      </c>
      <c r="CY8" s="5">
        <f t="shared" si="4"/>
        <v>-0.52413353929587791</v>
      </c>
      <c r="CZ8" s="5">
        <f t="shared" si="4"/>
        <v>0.8216183061041753</v>
      </c>
      <c r="DA8" s="5">
        <f t="shared" si="4"/>
        <v>0.31254073484349981</v>
      </c>
      <c r="DB8" s="5">
        <f t="shared" si="4"/>
        <v>-0.15564612733519101</v>
      </c>
      <c r="DC8" s="5">
        <f t="shared" si="4"/>
        <v>-0.186958527424675</v>
      </c>
      <c r="DD8" s="5">
        <f t="shared" si="4"/>
        <v>-0.42083892435479142</v>
      </c>
      <c r="DE8" s="5">
        <f t="shared" si="4"/>
        <v>-0.2279724207651195</v>
      </c>
      <c r="DF8" s="5">
        <f t="shared" si="4"/>
        <v>-0.33715973842927388</v>
      </c>
      <c r="DG8" s="5">
        <f t="shared" si="4"/>
        <v>-0.44400370439279008</v>
      </c>
      <c r="DH8" s="5">
        <f t="shared" si="4"/>
        <v>0.15742013530757151</v>
      </c>
      <c r="DI8" s="5">
        <f t="shared" si="4"/>
        <v>0.30896916307249689</v>
      </c>
      <c r="DJ8" s="5">
        <f t="shared" si="4"/>
        <v>-0.28669247758290828</v>
      </c>
      <c r="DK8" s="5">
        <f t="shared" si="4"/>
        <v>0.84621248517861269</v>
      </c>
      <c r="DL8" s="5">
        <f t="shared" si="4"/>
        <v>-0.16924034367306559</v>
      </c>
      <c r="DM8" s="5">
        <f t="shared" si="4"/>
        <v>-0.43945016692248923</v>
      </c>
      <c r="DN8" s="5">
        <f t="shared" si="4"/>
        <v>0.74751336560070059</v>
      </c>
      <c r="DO8" s="5">
        <f t="shared" si="4"/>
        <v>-0.39996426308914668</v>
      </c>
      <c r="DP8" s="5">
        <f t="shared" si="4"/>
        <v>0.16113140194021519</v>
      </c>
      <c r="DQ8" s="5">
        <f t="shared" si="4"/>
        <v>-0.58863430244229409</v>
      </c>
      <c r="DR8" s="5">
        <f t="shared" si="4"/>
        <v>-0.1292383591030131</v>
      </c>
      <c r="DS8" s="5">
        <f t="shared" si="4"/>
        <v>-0.19878519438361211</v>
      </c>
      <c r="DT8" s="5">
        <f t="shared" si="4"/>
        <v>0.4132117833889476</v>
      </c>
      <c r="DU8" s="5">
        <f t="shared" si="4"/>
        <v>-0.17065403209770361</v>
      </c>
      <c r="DV8" s="5">
        <f t="shared" si="4"/>
        <v>0.68828031734213269</v>
      </c>
      <c r="DW8" s="5">
        <f t="shared" si="4"/>
        <v>6.6155769939566539E-2</v>
      </c>
      <c r="DX8" s="5">
        <f t="shared" si="4"/>
        <v>-0.1999347157162332</v>
      </c>
      <c r="DY8" s="5">
        <f t="shared" si="4"/>
        <v>0.56631420698904078</v>
      </c>
      <c r="DZ8" s="5">
        <f t="shared" si="4"/>
        <v>0.47362880432099852</v>
      </c>
      <c r="EA8" s="5">
        <f t="shared" ref="EA8:EF8" si="5">IF(EA6=1,EA3,IF(EA6=2,EA4,IF(EA6=3,EA5)))</f>
        <v>-0.19315799713893969</v>
      </c>
      <c r="EB8" s="5">
        <f t="shared" si="5"/>
        <v>-1.076360940060376</v>
      </c>
      <c r="EC8" s="5">
        <f t="shared" si="5"/>
        <v>-0.13610628648279391</v>
      </c>
      <c r="ED8" s="5">
        <f t="shared" si="5"/>
        <v>-0.27349656344743889</v>
      </c>
      <c r="EE8" s="5">
        <f t="shared" si="5"/>
        <v>0.60134859370029736</v>
      </c>
      <c r="EF8" s="5">
        <f t="shared" si="5"/>
        <v>0.24405280405184021</v>
      </c>
    </row>
    <row r="10" spans="1:139">
      <c r="A10" s="31" t="s">
        <v>140</v>
      </c>
      <c r="B10" s="32"/>
      <c r="C10" s="18" t="s">
        <v>141</v>
      </c>
      <c r="D10" s="19">
        <v>964</v>
      </c>
    </row>
    <row r="11" spans="1:139">
      <c r="A11" s="18" t="s">
        <v>142</v>
      </c>
      <c r="B11" s="18" t="s">
        <v>143</v>
      </c>
      <c r="C11" s="18" t="s">
        <v>3</v>
      </c>
      <c r="D11" s="18" t="s">
        <v>4</v>
      </c>
      <c r="E11" s="20" t="s">
        <v>5</v>
      </c>
      <c r="F11" s="20" t="s">
        <v>6</v>
      </c>
      <c r="G11" s="20" t="s">
        <v>7</v>
      </c>
      <c r="H11" s="20" t="s">
        <v>8</v>
      </c>
      <c r="I11" s="20" t="s">
        <v>9</v>
      </c>
      <c r="J11" s="20" t="s">
        <v>10</v>
      </c>
      <c r="K11" s="20" t="s">
        <v>11</v>
      </c>
      <c r="L11" s="20" t="s">
        <v>12</v>
      </c>
      <c r="M11" s="20" t="s">
        <v>13</v>
      </c>
      <c r="N11" s="20" t="s">
        <v>14</v>
      </c>
      <c r="O11" s="20" t="s">
        <v>15</v>
      </c>
      <c r="P11" s="20" t="s">
        <v>16</v>
      </c>
      <c r="Q11" s="20" t="s">
        <v>17</v>
      </c>
      <c r="R11" s="20" t="s">
        <v>18</v>
      </c>
      <c r="S11" s="20" t="s">
        <v>19</v>
      </c>
      <c r="T11" s="20" t="s">
        <v>20</v>
      </c>
      <c r="U11" s="20" t="s">
        <v>21</v>
      </c>
      <c r="V11" s="20" t="s">
        <v>22</v>
      </c>
      <c r="W11" s="20" t="s">
        <v>23</v>
      </c>
      <c r="X11" s="20" t="s">
        <v>24</v>
      </c>
      <c r="Y11" s="20" t="s">
        <v>25</v>
      </c>
      <c r="Z11" s="20" t="s">
        <v>26</v>
      </c>
      <c r="AA11" s="20" t="s">
        <v>27</v>
      </c>
      <c r="AB11" s="20" t="s">
        <v>28</v>
      </c>
      <c r="AC11" s="20" t="s">
        <v>29</v>
      </c>
      <c r="AD11" s="20" t="s">
        <v>30</v>
      </c>
      <c r="AE11" s="20" t="s">
        <v>31</v>
      </c>
      <c r="AF11" s="20" t="s">
        <v>32</v>
      </c>
      <c r="AG11" s="20" t="s">
        <v>33</v>
      </c>
      <c r="AH11" s="20" t="s">
        <v>34</v>
      </c>
      <c r="AI11" s="20" t="s">
        <v>35</v>
      </c>
      <c r="AJ11" s="20" t="s">
        <v>36</v>
      </c>
      <c r="AK11" s="20" t="s">
        <v>37</v>
      </c>
      <c r="AL11" s="20" t="s">
        <v>38</v>
      </c>
      <c r="AM11" s="20" t="s">
        <v>39</v>
      </c>
      <c r="AN11" s="20" t="s">
        <v>40</v>
      </c>
      <c r="AO11" s="20" t="s">
        <v>41</v>
      </c>
      <c r="AP11" s="20" t="s">
        <v>42</v>
      </c>
      <c r="AQ11" s="20" t="s">
        <v>43</v>
      </c>
      <c r="AR11" s="20" t="s">
        <v>44</v>
      </c>
      <c r="AS11" s="20" t="s">
        <v>45</v>
      </c>
      <c r="AT11" s="20" t="s">
        <v>46</v>
      </c>
      <c r="AU11" s="20" t="s">
        <v>47</v>
      </c>
      <c r="AV11" s="20" t="s">
        <v>48</v>
      </c>
      <c r="AW11" s="20" t="s">
        <v>49</v>
      </c>
      <c r="AX11" s="20" t="s">
        <v>50</v>
      </c>
      <c r="AY11" s="20" t="s">
        <v>51</v>
      </c>
      <c r="AZ11" s="20" t="s">
        <v>52</v>
      </c>
      <c r="BA11" s="20" t="s">
        <v>53</v>
      </c>
      <c r="BB11" s="20" t="s">
        <v>54</v>
      </c>
      <c r="BC11" s="20" t="s">
        <v>55</v>
      </c>
      <c r="BD11" s="20" t="s">
        <v>56</v>
      </c>
      <c r="BE11" s="20" t="s">
        <v>57</v>
      </c>
      <c r="BF11" s="20" t="s">
        <v>58</v>
      </c>
      <c r="BG11" s="20" t="s">
        <v>59</v>
      </c>
      <c r="BH11" s="20" t="s">
        <v>60</v>
      </c>
      <c r="BI11" s="20" t="s">
        <v>61</v>
      </c>
      <c r="BJ11" s="20" t="s">
        <v>62</v>
      </c>
      <c r="BK11" s="20" t="s">
        <v>63</v>
      </c>
      <c r="BL11" s="20" t="s">
        <v>64</v>
      </c>
      <c r="BM11" s="20" t="s">
        <v>65</v>
      </c>
      <c r="BN11" s="20" t="s">
        <v>66</v>
      </c>
      <c r="BO11" s="20" t="s">
        <v>67</v>
      </c>
      <c r="BP11" s="20" t="s">
        <v>68</v>
      </c>
      <c r="BQ11" s="20" t="s">
        <v>69</v>
      </c>
      <c r="BR11" s="20" t="s">
        <v>70</v>
      </c>
      <c r="BS11" s="20" t="s">
        <v>71</v>
      </c>
      <c r="BT11" s="20" t="s">
        <v>72</v>
      </c>
      <c r="BU11" s="20" t="s">
        <v>73</v>
      </c>
      <c r="BV11" s="20" t="s">
        <v>74</v>
      </c>
      <c r="BW11" s="20" t="s">
        <v>75</v>
      </c>
      <c r="BX11" s="20" t="s">
        <v>76</v>
      </c>
      <c r="BY11" s="20" t="s">
        <v>77</v>
      </c>
      <c r="BZ11" s="20" t="s">
        <v>78</v>
      </c>
      <c r="CA11" s="20" t="s">
        <v>79</v>
      </c>
      <c r="CB11" s="20" t="s">
        <v>80</v>
      </c>
      <c r="CC11" s="20" t="s">
        <v>81</v>
      </c>
      <c r="CD11" s="20" t="s">
        <v>82</v>
      </c>
      <c r="CE11" s="20" t="s">
        <v>83</v>
      </c>
      <c r="CF11" s="20" t="s">
        <v>84</v>
      </c>
      <c r="CG11" s="20" t="s">
        <v>85</v>
      </c>
      <c r="CH11" s="20" t="s">
        <v>86</v>
      </c>
      <c r="CI11" s="20" t="s">
        <v>87</v>
      </c>
      <c r="CJ11" s="20" t="s">
        <v>88</v>
      </c>
      <c r="CK11" s="20" t="s">
        <v>89</v>
      </c>
      <c r="CL11" s="20" t="s">
        <v>90</v>
      </c>
      <c r="CM11" s="20" t="s">
        <v>91</v>
      </c>
      <c r="CN11" s="20" t="s">
        <v>92</v>
      </c>
      <c r="CO11" s="20" t="s">
        <v>93</v>
      </c>
      <c r="CP11" s="20" t="s">
        <v>94</v>
      </c>
      <c r="CQ11" s="20" t="s">
        <v>95</v>
      </c>
      <c r="CR11" s="20" t="s">
        <v>96</v>
      </c>
      <c r="CS11" s="20" t="s">
        <v>97</v>
      </c>
      <c r="CT11" s="20" t="s">
        <v>98</v>
      </c>
      <c r="CU11" s="20" t="s">
        <v>99</v>
      </c>
      <c r="CV11" s="20" t="s">
        <v>100</v>
      </c>
      <c r="CW11" s="20" t="s">
        <v>101</v>
      </c>
      <c r="CX11" s="20" t="s">
        <v>102</v>
      </c>
      <c r="CY11" s="20" t="s">
        <v>103</v>
      </c>
      <c r="CZ11" s="20" t="s">
        <v>104</v>
      </c>
      <c r="DA11" s="20" t="s">
        <v>105</v>
      </c>
      <c r="DB11" s="20" t="s">
        <v>106</v>
      </c>
      <c r="DC11" s="20" t="s">
        <v>107</v>
      </c>
      <c r="DD11" s="20" t="s">
        <v>108</v>
      </c>
      <c r="DE11" s="20" t="s">
        <v>109</v>
      </c>
      <c r="DF11" s="20" t="s">
        <v>110</v>
      </c>
      <c r="DG11" s="20" t="s">
        <v>111</v>
      </c>
      <c r="DH11" s="20" t="s">
        <v>112</v>
      </c>
      <c r="DI11" s="20" t="s">
        <v>113</v>
      </c>
      <c r="DJ11" s="20" t="s">
        <v>114</v>
      </c>
      <c r="DK11" s="20" t="s">
        <v>115</v>
      </c>
      <c r="DL11" s="20" t="s">
        <v>116</v>
      </c>
      <c r="DM11" s="20" t="s">
        <v>117</v>
      </c>
      <c r="DN11" s="20" t="s">
        <v>118</v>
      </c>
      <c r="DO11" s="20" t="s">
        <v>119</v>
      </c>
      <c r="DP11" s="20" t="s">
        <v>120</v>
      </c>
      <c r="DQ11" s="20" t="s">
        <v>121</v>
      </c>
      <c r="DR11" s="20" t="s">
        <v>122</v>
      </c>
      <c r="DS11" s="20" t="s">
        <v>123</v>
      </c>
      <c r="DT11" s="20" t="s">
        <v>124</v>
      </c>
      <c r="DU11" s="20" t="s">
        <v>125</v>
      </c>
      <c r="DV11" s="20" t="s">
        <v>126</v>
      </c>
      <c r="DW11" s="20" t="s">
        <v>127</v>
      </c>
      <c r="DX11" s="20" t="s">
        <v>128</v>
      </c>
      <c r="DY11" s="20" t="s">
        <v>129</v>
      </c>
      <c r="DZ11" s="20" t="s">
        <v>130</v>
      </c>
      <c r="EA11" s="20" t="s">
        <v>131</v>
      </c>
      <c r="EB11" s="20" t="s">
        <v>132</v>
      </c>
      <c r="EC11" s="20" t="s">
        <v>133</v>
      </c>
      <c r="ED11" s="20" t="s">
        <v>134</v>
      </c>
      <c r="EE11" s="20" t="s">
        <v>135</v>
      </c>
      <c r="EF11" s="20" t="s">
        <v>226</v>
      </c>
      <c r="EG11" s="21" t="s">
        <v>250</v>
      </c>
      <c r="EH11" s="21" t="s">
        <v>249</v>
      </c>
      <c r="EI11" s="21" t="s">
        <v>248</v>
      </c>
    </row>
    <row r="12" spans="1:139">
      <c r="A12" s="18">
        <v>10</v>
      </c>
      <c r="B12" s="18">
        <v>96</v>
      </c>
      <c r="C12" s="4">
        <v>1.4499246984096079E-2</v>
      </c>
      <c r="D12" s="5">
        <v>0.11468851041666669</v>
      </c>
      <c r="E12" s="5">
        <v>-1.3937245408664461E-3</v>
      </c>
      <c r="F12" s="5">
        <v>-5.5959384784458728E-2</v>
      </c>
      <c r="G12" s="5">
        <v>-3.1947448518630461E-2</v>
      </c>
      <c r="H12" s="5">
        <v>9.5992583565995809E-3</v>
      </c>
      <c r="I12" s="5">
        <v>-3.6303936849052011E-2</v>
      </c>
      <c r="J12" s="5">
        <v>4.3784578744871523E-2</v>
      </c>
      <c r="K12" s="5">
        <v>2.918799813369918E-2</v>
      </c>
      <c r="L12" s="5">
        <v>-8.7585559641662342E-3</v>
      </c>
      <c r="M12" s="5">
        <v>2.688917383320695E-2</v>
      </c>
      <c r="N12" s="5">
        <v>3.4703354243462818E-2</v>
      </c>
      <c r="O12" s="5">
        <v>1.8629888645978979E-2</v>
      </c>
      <c r="P12" s="5">
        <v>-2.5432810815711028E-4</v>
      </c>
      <c r="Q12" s="5">
        <v>3.3792784120907728E-2</v>
      </c>
      <c r="R12" s="5">
        <v>-1.3397506239935729E-2</v>
      </c>
      <c r="S12" s="5">
        <v>1.105502977333921E-2</v>
      </c>
      <c r="T12" s="5">
        <v>4.3243488819513169E-2</v>
      </c>
      <c r="U12" s="5">
        <v>2.0367220553130991E-2</v>
      </c>
      <c r="V12" s="5">
        <v>-9.5109536536482214E-3</v>
      </c>
      <c r="W12" s="5">
        <v>2.8417662858163131E-2</v>
      </c>
      <c r="X12" s="5">
        <v>2.707373958333335E-2</v>
      </c>
      <c r="Y12" s="5">
        <v>-2.0598393527691269E-2</v>
      </c>
      <c r="Z12" s="5">
        <v>6.362368331557397E-2</v>
      </c>
      <c r="AA12" s="5">
        <v>-3.9403661401111782E-2</v>
      </c>
      <c r="AB12" s="5">
        <v>-3.4689110551478157E-2</v>
      </c>
      <c r="AC12" s="5">
        <v>4.6772945626311249E-2</v>
      </c>
      <c r="AD12" s="5">
        <v>-2.5304298312235208E-3</v>
      </c>
      <c r="AE12" s="5">
        <v>4.6437716666984021E-2</v>
      </c>
      <c r="AF12" s="5">
        <v>-5.2012102776767682E-2</v>
      </c>
      <c r="AG12" s="5">
        <v>3.814930420809846E-3</v>
      </c>
      <c r="AH12" s="5">
        <v>1.5713033769280859E-2</v>
      </c>
      <c r="AI12" s="5">
        <v>8.79379249226157E-3</v>
      </c>
      <c r="AJ12" s="5">
        <v>1.8723296332934201E-2</v>
      </c>
      <c r="AK12" s="5">
        <v>-1.6475368224135679E-2</v>
      </c>
      <c r="AL12" s="5">
        <v>1.7859003021922081E-2</v>
      </c>
      <c r="AM12" s="5">
        <v>3.0086115612597931E-2</v>
      </c>
      <c r="AN12" s="5">
        <v>6.9233234313428524E-2</v>
      </c>
      <c r="AO12" s="5">
        <v>1.499547084312732E-2</v>
      </c>
      <c r="AP12" s="5">
        <v>4.6336666666666696E-3</v>
      </c>
      <c r="AQ12" s="5">
        <v>7.6219363885838051E-3</v>
      </c>
      <c r="AR12" s="5">
        <v>7.5043645833333256E-3</v>
      </c>
      <c r="AS12" s="5">
        <v>1.9099718454700602E-2</v>
      </c>
      <c r="AT12" s="5">
        <v>7.2195382352435097E-2</v>
      </c>
      <c r="AU12" s="5">
        <v>-3.713536440044597E-3</v>
      </c>
      <c r="AV12" s="5">
        <v>-2.178989583333333E-2</v>
      </c>
      <c r="AW12" s="5">
        <v>-6.2147701801607523E-4</v>
      </c>
      <c r="AX12" s="5">
        <v>-4.4696011972897853E-2</v>
      </c>
      <c r="AY12" s="5">
        <v>-1.749132165900753E-2</v>
      </c>
      <c r="AZ12" s="5">
        <v>-2.361455316530062E-2</v>
      </c>
      <c r="BA12" s="5">
        <v>4.9378881832418033E-3</v>
      </c>
      <c r="BB12" s="5">
        <v>5.7850729166666658E-3</v>
      </c>
      <c r="BC12" s="5">
        <v>1.227278903847649E-2</v>
      </c>
      <c r="BD12" s="5">
        <v>1.3630556941652629E-2</v>
      </c>
      <c r="BE12" s="5">
        <v>-1.860880983938528E-2</v>
      </c>
      <c r="BF12" s="5">
        <v>6.7616949247695318E-2</v>
      </c>
      <c r="BG12" s="5">
        <v>3.3670862441262807E-2</v>
      </c>
      <c r="BH12" s="5">
        <v>1.422336001132196E-2</v>
      </c>
      <c r="BI12" s="5">
        <v>-4.3756064379844611E-2</v>
      </c>
      <c r="BJ12" s="5">
        <v>2.4663126175119381E-2</v>
      </c>
      <c r="BK12" s="5">
        <v>-6.5738349503457333E-4</v>
      </c>
      <c r="BL12" s="5">
        <v>3.2129098300494131E-2</v>
      </c>
      <c r="BM12" s="5">
        <v>5.030568452332447E-2</v>
      </c>
      <c r="BN12" s="5">
        <v>1.1575967172940649E-2</v>
      </c>
      <c r="BO12" s="5">
        <v>-2.4246310256236889E-2</v>
      </c>
      <c r="BP12" s="5">
        <v>2.6422499999999991E-2</v>
      </c>
      <c r="BQ12" s="5">
        <v>1.8715508904754308E-2</v>
      </c>
      <c r="BR12" s="5">
        <v>-2.2610084533988121E-3</v>
      </c>
      <c r="BS12" s="5">
        <v>-3.2642854888392712E-2</v>
      </c>
      <c r="BT12" s="5">
        <v>1.636478331442541E-2</v>
      </c>
      <c r="BU12" s="5">
        <v>8.7815171400964752E-3</v>
      </c>
      <c r="BV12" s="5">
        <v>-3.2053312499999979E-2</v>
      </c>
      <c r="BW12" s="5">
        <v>4.4477003891650199E-2</v>
      </c>
      <c r="BX12" s="5">
        <v>6.985153858139255E-3</v>
      </c>
      <c r="BY12" s="5">
        <v>-4.5816958333333269E-2</v>
      </c>
      <c r="BZ12" s="5">
        <v>-4.5356945691272972E-2</v>
      </c>
      <c r="CA12" s="5">
        <v>-3.4400287440342493E-2</v>
      </c>
      <c r="CB12" s="5">
        <v>-7.2475718750000029E-2</v>
      </c>
      <c r="CC12" s="5">
        <v>6.5566041666666686E-2</v>
      </c>
      <c r="CD12" s="5">
        <v>-4.435526335668457E-2</v>
      </c>
      <c r="CE12" s="5">
        <v>1.161940844222922E-2</v>
      </c>
      <c r="CF12" s="5">
        <v>-8.0212745139300254E-3</v>
      </c>
      <c r="CG12" s="5">
        <v>-4.9277959963080598E-2</v>
      </c>
      <c r="CH12" s="5">
        <v>1.6463112378785821E-2</v>
      </c>
      <c r="CI12" s="5">
        <v>3.5598030901105832E-2</v>
      </c>
      <c r="CJ12" s="5">
        <v>-1.544518047868886E-2</v>
      </c>
      <c r="CK12" s="5">
        <v>5.6101440647790157E-2</v>
      </c>
      <c r="CL12" s="5">
        <v>-7.8440280286020903E-2</v>
      </c>
      <c r="CM12" s="5">
        <v>-1.5219726167340819E-2</v>
      </c>
      <c r="CN12" s="5">
        <v>2.7083701214559368E-2</v>
      </c>
      <c r="CO12" s="5">
        <v>-2.4819785255212591E-2</v>
      </c>
      <c r="CP12" s="5">
        <v>-4.5299021467493747E-2</v>
      </c>
      <c r="CQ12" s="5">
        <v>6.2684347003574781E-2</v>
      </c>
      <c r="CR12" s="5">
        <v>-5.7159986521513537E-2</v>
      </c>
      <c r="CS12" s="5">
        <v>-1.4509312499999989E-2</v>
      </c>
      <c r="CT12" s="5">
        <v>-9.3290632299768764E-3</v>
      </c>
      <c r="CU12" s="5">
        <v>7.4779529281356727E-2</v>
      </c>
      <c r="CV12" s="5">
        <v>-4.4034270833333243E-3</v>
      </c>
      <c r="CW12" s="5">
        <v>1.303666937857764E-2</v>
      </c>
      <c r="CX12" s="5">
        <v>-3.0752638267462981E-2</v>
      </c>
      <c r="CY12" s="5">
        <v>-1.6420596247805602E-2</v>
      </c>
      <c r="CZ12" s="5">
        <v>-1.2324262059916619E-2</v>
      </c>
      <c r="DA12" s="5">
        <v>5.6037840703605252E-3</v>
      </c>
      <c r="DB12" s="5">
        <v>2.298187595412704E-2</v>
      </c>
      <c r="DC12" s="5">
        <v>-3.3973202874774677E-2</v>
      </c>
      <c r="DD12" s="5">
        <v>6.9960545734343321E-2</v>
      </c>
      <c r="DE12" s="5">
        <v>2.473764441509502E-2</v>
      </c>
      <c r="DF12" s="5">
        <v>-1.1624319687869001E-2</v>
      </c>
      <c r="DG12" s="5">
        <v>4.7394421629824317E-2</v>
      </c>
      <c r="DH12" s="5">
        <v>-6.1195427083333309E-2</v>
      </c>
      <c r="DI12" s="5">
        <v>2.9979254557499689E-2</v>
      </c>
      <c r="DJ12" s="5">
        <v>-4.1378042935671558E-2</v>
      </c>
      <c r="DK12" s="5">
        <v>1.0711986285806619E-3</v>
      </c>
      <c r="DL12" s="5">
        <v>-1.8669833333803058E-2</v>
      </c>
      <c r="DM12" s="5">
        <v>-9.143493333529153E-3</v>
      </c>
      <c r="DN12" s="5">
        <v>-1.854144345861243E-2</v>
      </c>
      <c r="DO12" s="5">
        <v>1.9030728267897829E-2</v>
      </c>
      <c r="DP12" s="5">
        <v>3.2584449600297112E-2</v>
      </c>
      <c r="DQ12" s="5">
        <v>-7.454064748047276E-2</v>
      </c>
      <c r="DR12" s="5">
        <v>1.7065E-2</v>
      </c>
      <c r="DS12" s="5">
        <v>-4.6024279005124763E-2</v>
      </c>
      <c r="DT12" s="5">
        <v>2.481384156258671E-2</v>
      </c>
      <c r="DU12" s="5">
        <v>-4.5787141974466997E-2</v>
      </c>
      <c r="DV12" s="5">
        <v>-1.6751441513820589E-2</v>
      </c>
      <c r="DW12" s="5">
        <v>4.3725564220037427E-2</v>
      </c>
      <c r="DX12" s="5">
        <v>-1.8099136778333389E-2</v>
      </c>
      <c r="DY12" s="5">
        <v>6.2728222094769928E-2</v>
      </c>
      <c r="DZ12" s="5">
        <v>2.0038890123589111E-2</v>
      </c>
      <c r="EA12" s="5">
        <v>5.1097697916666678E-2</v>
      </c>
      <c r="EB12" s="5">
        <v>3.052577681784165E-2</v>
      </c>
      <c r="EC12" s="5">
        <v>-1.48839181295192E-2</v>
      </c>
      <c r="ED12" s="5">
        <v>-2.344457524294118E-2</v>
      </c>
      <c r="EE12" s="5">
        <v>-2.821628026780338E-2</v>
      </c>
      <c r="EF12" s="5">
        <v>-2.9233395833333311E-2</v>
      </c>
      <c r="EG12" s="16">
        <v>3.4099999999999998E-3</v>
      </c>
      <c r="EH12" s="22">
        <v>3.5529999999999999E-2</v>
      </c>
      <c r="EI12" s="16">
        <v>9.6030000000000004E-2</v>
      </c>
    </row>
    <row r="13" spans="1:139">
      <c r="A13" s="18">
        <v>20</v>
      </c>
      <c r="B13" s="18">
        <v>48</v>
      </c>
      <c r="C13" s="4">
        <v>-7.4773642018864783E-3</v>
      </c>
      <c r="D13" s="5">
        <v>0.12374510416666661</v>
      </c>
      <c r="E13" s="5">
        <v>-5.52362670328634E-3</v>
      </c>
      <c r="F13" s="5">
        <v>-5.9986526692922967E-2</v>
      </c>
      <c r="G13" s="5">
        <v>-1.2047404300105931E-2</v>
      </c>
      <c r="H13" s="5">
        <v>1.7388387027498991E-2</v>
      </c>
      <c r="I13" s="5">
        <v>-3.2682862984722338E-2</v>
      </c>
      <c r="J13" s="5">
        <v>3.4549891969644697E-2</v>
      </c>
      <c r="K13" s="5">
        <v>6.0326139227570137E-2</v>
      </c>
      <c r="L13" s="5">
        <v>-2.1980470378722781E-2</v>
      </c>
      <c r="M13" s="5">
        <v>3.2797582260047169E-3</v>
      </c>
      <c r="N13" s="5">
        <v>4.3392417465696789E-2</v>
      </c>
      <c r="O13" s="5">
        <v>3.6273275719922483E-2</v>
      </c>
      <c r="P13" s="5">
        <v>-6.2776476607329448E-3</v>
      </c>
      <c r="Q13" s="5">
        <v>4.4218264227970053E-2</v>
      </c>
      <c r="R13" s="5">
        <v>-6.4899101760743979E-3</v>
      </c>
      <c r="S13" s="5">
        <v>-6.0138030070422746E-3</v>
      </c>
      <c r="T13" s="5">
        <v>5.2899802908693339E-2</v>
      </c>
      <c r="U13" s="5">
        <v>5.4161075041694179E-2</v>
      </c>
      <c r="V13" s="5">
        <v>-2.216639903053957E-3</v>
      </c>
      <c r="W13" s="5">
        <v>3.096890407148287E-2</v>
      </c>
      <c r="X13" s="5">
        <v>5.3276458333333318E-2</v>
      </c>
      <c r="Y13" s="5">
        <v>6.6833587265454353E-3</v>
      </c>
      <c r="Z13" s="5">
        <v>7.842443480518356E-2</v>
      </c>
      <c r="AA13" s="5">
        <v>-3.2119510338471283E-2</v>
      </c>
      <c r="AB13" s="5">
        <v>-4.6678220121377283E-2</v>
      </c>
      <c r="AC13" s="5">
        <v>6.6771700381929838E-2</v>
      </c>
      <c r="AD13" s="5">
        <v>-2.0440228373792429E-2</v>
      </c>
      <c r="AE13" s="5">
        <v>7.7071416726800679E-2</v>
      </c>
      <c r="AF13" s="5">
        <v>-7.3281160828311181E-2</v>
      </c>
      <c r="AG13" s="5">
        <v>-9.9052077270740842E-3</v>
      </c>
      <c r="AH13" s="5">
        <v>2.4955206549866871E-2</v>
      </c>
      <c r="AI13" s="5">
        <v>1.8646046379966041E-2</v>
      </c>
      <c r="AJ13" s="5">
        <v>1.707450838618965E-3</v>
      </c>
      <c r="AK13" s="5">
        <v>-3.8359390282872087E-2</v>
      </c>
      <c r="AL13" s="5">
        <v>2.3151428595171029E-2</v>
      </c>
      <c r="AM13" s="5">
        <v>4.6282443536828928E-2</v>
      </c>
      <c r="AN13" s="5">
        <v>0.10533023813603409</v>
      </c>
      <c r="AO13" s="5">
        <v>-1.7088466886353789E-3</v>
      </c>
      <c r="AP13" s="5">
        <v>6.5878125000000034E-3</v>
      </c>
      <c r="AQ13" s="5">
        <v>6.0492887688996834E-3</v>
      </c>
      <c r="AR13" s="5">
        <v>-9.2504166666666568E-3</v>
      </c>
      <c r="AS13" s="5">
        <v>4.1313118484234093E-2</v>
      </c>
      <c r="AT13" s="5">
        <v>8.6422914727599456E-2</v>
      </c>
      <c r="AU13" s="5">
        <v>1.5695418426472509E-2</v>
      </c>
      <c r="AV13" s="5">
        <v>-1.0958812499999989E-2</v>
      </c>
      <c r="AW13" s="5">
        <v>-4.0800135830634E-3</v>
      </c>
      <c r="AX13" s="5">
        <v>-3.2799832135855793E-2</v>
      </c>
      <c r="AY13" s="5">
        <v>-1.42622039071387E-2</v>
      </c>
      <c r="AZ13" s="5">
        <v>-3.1220536093770089E-2</v>
      </c>
      <c r="BA13" s="5">
        <v>6.5409376070610318E-3</v>
      </c>
      <c r="BB13" s="5">
        <v>2.604597916666667E-2</v>
      </c>
      <c r="BC13" s="5">
        <v>1.128376711165765E-2</v>
      </c>
      <c r="BD13" s="5">
        <v>3.344428383681335E-3</v>
      </c>
      <c r="BE13" s="5">
        <v>-2.7391806305641558E-2</v>
      </c>
      <c r="BF13" s="5">
        <v>0.1216571432659557</v>
      </c>
      <c r="BG13" s="5">
        <v>4.6566462338711673E-2</v>
      </c>
      <c r="BH13" s="5">
        <v>8.4757298116190372E-3</v>
      </c>
      <c r="BI13" s="5">
        <v>-2.1601559102932929E-2</v>
      </c>
      <c r="BJ13" s="5">
        <v>2.4266087613108871E-2</v>
      </c>
      <c r="BK13" s="5">
        <v>-8.8783959160913702E-3</v>
      </c>
      <c r="BL13" s="5">
        <v>3.4460040448450822E-2</v>
      </c>
      <c r="BM13" s="5">
        <v>5.3371768695190711E-2</v>
      </c>
      <c r="BN13" s="5">
        <v>3.5552713412407247E-2</v>
      </c>
      <c r="BO13" s="5">
        <v>-3.0878716233474109E-2</v>
      </c>
      <c r="BP13" s="5">
        <v>7.9520416666666559E-3</v>
      </c>
      <c r="BQ13" s="5">
        <v>-1.1508192254020789E-3</v>
      </c>
      <c r="BR13" s="5">
        <v>-6.6814174835574522E-3</v>
      </c>
      <c r="BS13" s="5">
        <v>-4.0180514361416918E-2</v>
      </c>
      <c r="BT13" s="5">
        <v>5.2107167580298965E-4</v>
      </c>
      <c r="BU13" s="5">
        <v>1.7706555036553769E-2</v>
      </c>
      <c r="BV13" s="5">
        <v>-3.144022916666666E-2</v>
      </c>
      <c r="BW13" s="5">
        <v>7.5714005636679529E-2</v>
      </c>
      <c r="BX13" s="5">
        <v>7.4563880601007104E-4</v>
      </c>
      <c r="BY13" s="5">
        <v>-3.0828583333333329E-2</v>
      </c>
      <c r="BZ13" s="5">
        <v>-7.6138123059050211E-2</v>
      </c>
      <c r="CA13" s="5">
        <v>-3.3531565600396843E-2</v>
      </c>
      <c r="CB13" s="5">
        <v>-0.1204269166666667</v>
      </c>
      <c r="CC13" s="5">
        <v>0.1201179166666667</v>
      </c>
      <c r="CD13" s="5">
        <v>-2.1204143880606541E-2</v>
      </c>
      <c r="CE13" s="5">
        <v>9.2209843254137634E-3</v>
      </c>
      <c r="CF13" s="5">
        <v>1.2043667015059319E-2</v>
      </c>
      <c r="CG13" s="5">
        <v>-5.8014967807239318E-2</v>
      </c>
      <c r="CH13" s="5">
        <v>4.0295060582103241E-3</v>
      </c>
      <c r="CI13" s="5">
        <v>1.4533303233279799E-2</v>
      </c>
      <c r="CJ13" s="5">
        <v>3.106087971951194E-3</v>
      </c>
      <c r="CK13" s="5">
        <v>6.568712626679736E-2</v>
      </c>
      <c r="CL13" s="5">
        <v>-7.2724175153218551E-2</v>
      </c>
      <c r="CM13" s="5">
        <v>-1.0296803756394969E-2</v>
      </c>
      <c r="CN13" s="5">
        <v>2.688756599885234E-2</v>
      </c>
      <c r="CO13" s="5">
        <v>-3.5334344080657359E-2</v>
      </c>
      <c r="CP13" s="5">
        <v>-6.9726540277734339E-2</v>
      </c>
      <c r="CQ13" s="5">
        <v>7.1178864968403879E-2</v>
      </c>
      <c r="CR13" s="5">
        <v>-0.11164488638047471</v>
      </c>
      <c r="CS13" s="5">
        <v>3.9479583333333346E-3</v>
      </c>
      <c r="CT13" s="5">
        <v>4.0854011561625853E-4</v>
      </c>
      <c r="CU13" s="5">
        <v>0.1070909617136373</v>
      </c>
      <c r="CV13" s="5">
        <v>-2.4319187499999999E-2</v>
      </c>
      <c r="CW13" s="5">
        <v>3.6309119756433333E-2</v>
      </c>
      <c r="CX13" s="5">
        <v>-3.0582841479689871E-2</v>
      </c>
      <c r="CY13" s="5">
        <v>-4.1201751884096749E-2</v>
      </c>
      <c r="CZ13" s="5">
        <v>-4.8982161600653051E-3</v>
      </c>
      <c r="DA13" s="5">
        <v>-5.583676925821391E-3</v>
      </c>
      <c r="DB13" s="5">
        <v>4.1761569716784581E-2</v>
      </c>
      <c r="DC13" s="5">
        <v>-2.9775565878292928E-2</v>
      </c>
      <c r="DD13" s="5">
        <v>6.8977058924383453E-2</v>
      </c>
      <c r="DE13" s="5">
        <v>2.2441996429236069E-2</v>
      </c>
      <c r="DF13" s="5">
        <v>-1.727163202818234E-2</v>
      </c>
      <c r="DG13" s="5">
        <v>7.1335760214919608E-2</v>
      </c>
      <c r="DH13" s="5">
        <v>-8.8720708333333301E-2</v>
      </c>
      <c r="DI13" s="5">
        <v>2.957041963442816E-2</v>
      </c>
      <c r="DJ13" s="5">
        <v>-7.0211236155579941E-3</v>
      </c>
      <c r="DK13" s="5">
        <v>-2.3400891895590289E-2</v>
      </c>
      <c r="DL13" s="5">
        <v>-2.2050690678088229E-2</v>
      </c>
      <c r="DM13" s="5">
        <v>1.1655894415520189E-2</v>
      </c>
      <c r="DN13" s="5">
        <v>-1.277588948620326E-2</v>
      </c>
      <c r="DO13" s="5">
        <v>4.4325139422202869E-2</v>
      </c>
      <c r="DP13" s="5">
        <v>4.8786635856269467E-2</v>
      </c>
      <c r="DQ13" s="5">
        <v>-8.712901139257051E-2</v>
      </c>
      <c r="DR13" s="5">
        <v>1.5168812499999971E-2</v>
      </c>
      <c r="DS13" s="5">
        <v>-2.991519389132713E-2</v>
      </c>
      <c r="DT13" s="5">
        <v>2.9845809161003281E-2</v>
      </c>
      <c r="DU13" s="5">
        <v>-2.369885378120147E-2</v>
      </c>
      <c r="DV13" s="5">
        <v>-9.8528047622480752E-3</v>
      </c>
      <c r="DW13" s="5">
        <v>4.4417789624350307E-2</v>
      </c>
      <c r="DX13" s="5">
        <v>-2.3229609548966131E-2</v>
      </c>
      <c r="DY13" s="5">
        <v>9.5046248038774313E-3</v>
      </c>
      <c r="DZ13" s="5">
        <v>3.028525147494129E-2</v>
      </c>
      <c r="EA13" s="5">
        <v>6.2118416666666669E-2</v>
      </c>
      <c r="EB13" s="5">
        <v>5.7205292748389078E-2</v>
      </c>
      <c r="EC13" s="5">
        <v>-2.198485253152441E-2</v>
      </c>
      <c r="ED13" s="5">
        <v>-5.3978019629255351E-2</v>
      </c>
      <c r="EE13" s="5">
        <v>-3.58674799008201E-2</v>
      </c>
      <c r="EF13" s="5">
        <v>-4.4513041666666663E-2</v>
      </c>
      <c r="EG13" s="16">
        <v>5.7000000000000002E-3</v>
      </c>
      <c r="EH13" s="16">
        <v>4.5190000000000001E-2</v>
      </c>
      <c r="EI13" s="16">
        <v>0.12620000000000001</v>
      </c>
    </row>
    <row r="14" spans="1:139">
      <c r="A14" s="18">
        <v>50</v>
      </c>
      <c r="B14" s="18">
        <v>19</v>
      </c>
      <c r="C14" s="4">
        <v>-3.3228977675766179E-2</v>
      </c>
      <c r="D14" s="5">
        <v>0.22230878947368421</v>
      </c>
      <c r="E14" s="5">
        <v>-4.7920746013269233E-2</v>
      </c>
      <c r="F14" s="5">
        <v>-6.0341904906032563E-2</v>
      </c>
      <c r="G14" s="5">
        <v>-5.3656630442780677E-2</v>
      </c>
      <c r="H14" s="5">
        <v>-1.1508260862123591E-2</v>
      </c>
      <c r="I14" s="5">
        <v>-4.3787359823142302E-2</v>
      </c>
      <c r="J14" s="5">
        <v>2.330997196491089E-2</v>
      </c>
      <c r="K14" s="5">
        <v>5.0827466260847963E-2</v>
      </c>
      <c r="L14" s="5">
        <v>-5.6271084976235522E-2</v>
      </c>
      <c r="M14" s="5">
        <v>-1.902171446498398E-2</v>
      </c>
      <c r="N14" s="5">
        <v>5.7369426657022049E-2</v>
      </c>
      <c r="O14" s="5">
        <v>3.7475787013006502E-2</v>
      </c>
      <c r="P14" s="5">
        <v>6.5414209581504002E-3</v>
      </c>
      <c r="Q14" s="5">
        <v>0.12410387117144869</v>
      </c>
      <c r="R14" s="5">
        <v>1.5941187297101821E-2</v>
      </c>
      <c r="S14" s="5">
        <v>-2.480674609276777E-2</v>
      </c>
      <c r="T14" s="5">
        <v>6.9841479520895866E-2</v>
      </c>
      <c r="U14" s="5">
        <v>0.1042666646356476</v>
      </c>
      <c r="V14" s="5">
        <v>5.2421300158885083E-2</v>
      </c>
      <c r="W14" s="5">
        <v>4.779500273352006E-2</v>
      </c>
      <c r="X14" s="5">
        <v>5.3581789473684222E-2</v>
      </c>
      <c r="Y14" s="5">
        <v>5.5190991412221717E-2</v>
      </c>
      <c r="Z14" s="5">
        <v>3.8511926280307661E-2</v>
      </c>
      <c r="AA14" s="5">
        <v>-3.9450180302082173E-2</v>
      </c>
      <c r="AB14" s="5">
        <v>-7.0769377347230211E-2</v>
      </c>
      <c r="AC14" s="5">
        <v>-3.086562338789272E-3</v>
      </c>
      <c r="AD14" s="5">
        <v>-6.9874591735142114E-2</v>
      </c>
      <c r="AE14" s="5">
        <v>0.11683691983956609</v>
      </c>
      <c r="AF14" s="5">
        <v>-9.6080095456633624E-2</v>
      </c>
      <c r="AG14" s="5">
        <v>-2.5329295010953049E-2</v>
      </c>
      <c r="AH14" s="5">
        <v>8.0952184423801643E-2</v>
      </c>
      <c r="AI14" s="5">
        <v>-3.5462643898611923E-2</v>
      </c>
      <c r="AJ14" s="5">
        <v>-2.4505575101084909E-2</v>
      </c>
      <c r="AK14" s="5">
        <v>-7.7475339022454029E-2</v>
      </c>
      <c r="AL14" s="5">
        <v>3.7969189722460717E-2</v>
      </c>
      <c r="AM14" s="5">
        <v>6.1242166378625243E-2</v>
      </c>
      <c r="AN14" s="5">
        <v>9.8594666769543718E-2</v>
      </c>
      <c r="AO14" s="5">
        <v>-3.804435254206133E-2</v>
      </c>
      <c r="AP14" s="5">
        <v>-7.0551578947368413E-3</v>
      </c>
      <c r="AQ14" s="5">
        <v>3.6796773775995059E-4</v>
      </c>
      <c r="AR14" s="5">
        <v>-1.8170473684210521E-2</v>
      </c>
      <c r="AS14" s="5">
        <v>8.5376985953046783E-2</v>
      </c>
      <c r="AT14" s="5">
        <v>7.9403479710638047E-2</v>
      </c>
      <c r="AU14" s="5">
        <v>5.7421613114133872E-2</v>
      </c>
      <c r="AV14" s="5">
        <v>8.4268421052631631E-3</v>
      </c>
      <c r="AW14" s="5">
        <v>1.8362931505957501E-2</v>
      </c>
      <c r="AX14" s="5">
        <v>-1.9370213375490559E-2</v>
      </c>
      <c r="AY14" s="5">
        <v>-1.6905718250070641E-3</v>
      </c>
      <c r="AZ14" s="5">
        <v>-6.107058048123927E-2</v>
      </c>
      <c r="BA14" s="5">
        <v>1.7621645544243138E-2</v>
      </c>
      <c r="BB14" s="5">
        <v>0.101898</v>
      </c>
      <c r="BC14" s="5">
        <v>-9.8209989552774171E-3</v>
      </c>
      <c r="BD14" s="5">
        <v>4.3327781667405418E-2</v>
      </c>
      <c r="BE14" s="5">
        <v>-4.3787062535487017E-2</v>
      </c>
      <c r="BF14" s="5">
        <v>0.15382926157400831</v>
      </c>
      <c r="BG14" s="5">
        <v>4.1374264073932777E-2</v>
      </c>
      <c r="BH14" s="5">
        <v>5.3427555686006711E-3</v>
      </c>
      <c r="BI14" s="5">
        <v>4.1031067933231892E-2</v>
      </c>
      <c r="BJ14" s="5">
        <v>6.8604195602302687E-2</v>
      </c>
      <c r="BK14" s="5">
        <v>-3.3691419870768569E-2</v>
      </c>
      <c r="BL14" s="5">
        <v>5.9996895527440267E-2</v>
      </c>
      <c r="BM14" s="5">
        <v>4.6278325003000387E-2</v>
      </c>
      <c r="BN14" s="5">
        <v>2.6087960275579629E-2</v>
      </c>
      <c r="BO14" s="5">
        <v>-3.3609045677264478E-2</v>
      </c>
      <c r="BP14" s="5">
        <v>-5.033168421052632E-2</v>
      </c>
      <c r="BQ14" s="5">
        <v>-5.0884482194080573E-2</v>
      </c>
      <c r="BR14" s="5">
        <v>-2.7929429532617921E-2</v>
      </c>
      <c r="BS14" s="5">
        <v>-3.033272398677064E-2</v>
      </c>
      <c r="BT14" s="5">
        <v>-3.0726476125764419E-2</v>
      </c>
      <c r="BU14" s="5">
        <v>-8.8548353580308568E-3</v>
      </c>
      <c r="BV14" s="5">
        <v>-4.1282210526315803E-2</v>
      </c>
      <c r="BW14" s="5">
        <v>0.13089750855718521</v>
      </c>
      <c r="BX14" s="5">
        <v>-1.4335295277300691E-2</v>
      </c>
      <c r="BY14" s="5">
        <v>-8.0401000000000056E-2</v>
      </c>
      <c r="BZ14" s="5">
        <v>-6.0034056828782267E-2</v>
      </c>
      <c r="CA14" s="5">
        <v>-2.446526611493707E-2</v>
      </c>
      <c r="CB14" s="5">
        <v>-0.16446578947368409</v>
      </c>
      <c r="CC14" s="5">
        <v>0.1205952105263158</v>
      </c>
      <c r="CD14" s="5">
        <v>3.2926387352783637E-2</v>
      </c>
      <c r="CE14" s="5">
        <v>-7.2156719211697945E-2</v>
      </c>
      <c r="CF14" s="5">
        <v>4.2877410075316917E-2</v>
      </c>
      <c r="CG14" s="5">
        <v>-5.7320663667820577E-2</v>
      </c>
      <c r="CH14" s="5">
        <v>4.8879670456065782E-2</v>
      </c>
      <c r="CI14" s="5">
        <v>1.470161201144274E-2</v>
      </c>
      <c r="CJ14" s="5">
        <v>2.866785494417454E-2</v>
      </c>
      <c r="CK14" s="5">
        <v>5.3792086513992962E-2</v>
      </c>
      <c r="CL14" s="5">
        <v>-0.13734357045347451</v>
      </c>
      <c r="CM14" s="5">
        <v>3.2040010368317121E-2</v>
      </c>
      <c r="CN14" s="5">
        <v>2.3026688670926061E-2</v>
      </c>
      <c r="CO14" s="5">
        <v>-7.8763758718324112E-2</v>
      </c>
      <c r="CP14" s="5">
        <v>-9.9809331481752833E-2</v>
      </c>
      <c r="CQ14" s="5">
        <v>3.2227899887387702E-2</v>
      </c>
      <c r="CR14" s="5">
        <v>-0.207719712590648</v>
      </c>
      <c r="CS14" s="5">
        <v>-3.8151052631578849E-3</v>
      </c>
      <c r="CT14" s="5">
        <v>-9.6618862820552417E-3</v>
      </c>
      <c r="CU14" s="5">
        <v>0.1015449999567145</v>
      </c>
      <c r="CV14" s="5">
        <v>-3.9399684210526323E-2</v>
      </c>
      <c r="CW14" s="5">
        <v>4.476388444326003E-2</v>
      </c>
      <c r="CX14" s="5">
        <v>-9.0639227349923676E-2</v>
      </c>
      <c r="CY14" s="5">
        <v>-9.6361130127283909E-2</v>
      </c>
      <c r="CZ14" s="5">
        <v>-1.030139965842336E-2</v>
      </c>
      <c r="DA14" s="5">
        <v>-2.4304289170584491E-2</v>
      </c>
      <c r="DB14" s="5">
        <v>2.356107318819085E-2</v>
      </c>
      <c r="DC14" s="5">
        <v>-2.3632609204847509E-2</v>
      </c>
      <c r="DD14" s="5">
        <v>7.920535184818453E-2</v>
      </c>
      <c r="DE14" s="5">
        <v>6.2526924006459011E-2</v>
      </c>
      <c r="DF14" s="5">
        <v>-6.4180407871054571E-2</v>
      </c>
      <c r="DG14" s="5">
        <v>8.7324805758533047E-2</v>
      </c>
      <c r="DH14" s="5">
        <v>-5.8742578947368403E-2</v>
      </c>
      <c r="DI14" s="5">
        <v>4.0659134635571623E-2</v>
      </c>
      <c r="DJ14" s="5">
        <v>-8.7940293873207658E-3</v>
      </c>
      <c r="DK14" s="5">
        <v>-7.7413284290136219E-2</v>
      </c>
      <c r="DL14" s="5">
        <v>-4.0754871831899041E-2</v>
      </c>
      <c r="DM14" s="5">
        <v>3.2421916741778967E-2</v>
      </c>
      <c r="DN14" s="5">
        <v>4.4935740608495638E-2</v>
      </c>
      <c r="DO14" s="5">
        <v>7.0288548944531612E-2</v>
      </c>
      <c r="DP14" s="5">
        <v>4.3539716357652018E-2</v>
      </c>
      <c r="DQ14" s="5">
        <v>-7.1172564581132955E-2</v>
      </c>
      <c r="DR14" s="5">
        <v>7.7946315789473707E-3</v>
      </c>
      <c r="DS14" s="5">
        <v>-8.9437754388967186E-2</v>
      </c>
      <c r="DT14" s="5">
        <v>7.7542903390828534E-3</v>
      </c>
      <c r="DU14" s="5">
        <v>-0.11891758656757311</v>
      </c>
      <c r="DV14" s="5">
        <v>-4.5153223904483022E-2</v>
      </c>
      <c r="DW14" s="5">
        <v>9.8344367017777726E-2</v>
      </c>
      <c r="DX14" s="5">
        <v>-2.7689697360398641E-2</v>
      </c>
      <c r="DY14" s="5">
        <v>4.7660986602341179E-2</v>
      </c>
      <c r="DZ14" s="5">
        <v>2.1697589256116791E-2</v>
      </c>
      <c r="EA14" s="5">
        <v>0.1075255263157895</v>
      </c>
      <c r="EB14" s="5">
        <v>7.8179830700263173E-2</v>
      </c>
      <c r="EC14" s="5">
        <v>-4.3260017529307637E-2</v>
      </c>
      <c r="ED14" s="5">
        <v>-7.8399264145063485E-2</v>
      </c>
      <c r="EE14" s="5">
        <v>-4.2505739301358231E-2</v>
      </c>
      <c r="EF14" s="5">
        <v>-2.5524210526315781E-2</v>
      </c>
      <c r="EG14" s="16">
        <v>2.8700000000000002E-3</v>
      </c>
      <c r="EH14" s="16">
        <v>6.6320000000000004E-2</v>
      </c>
      <c r="EI14" s="16">
        <v>4.3220000000000001E-2</v>
      </c>
    </row>
    <row r="15" spans="1:139">
      <c r="A15" s="18">
        <v>100</v>
      </c>
      <c r="B15" s="18">
        <v>10</v>
      </c>
      <c r="C15" s="4">
        <v>-3.6350225217569622E-2</v>
      </c>
      <c r="D15" s="5">
        <v>0.37270970000000009</v>
      </c>
      <c r="E15" s="5">
        <v>-9.5344605470970442E-2</v>
      </c>
      <c r="F15" s="5">
        <v>3.4921436556697362E-2</v>
      </c>
      <c r="G15" s="5">
        <v>-3.4403920967036511E-2</v>
      </c>
      <c r="H15" s="5">
        <v>-1.2437260581051001E-3</v>
      </c>
      <c r="I15" s="5">
        <v>-5.843144427986554E-2</v>
      </c>
      <c r="J15" s="5">
        <v>4.9961465247389647E-2</v>
      </c>
      <c r="K15" s="5">
        <v>9.4514797591930877E-2</v>
      </c>
      <c r="L15" s="5">
        <v>-8.1171060568646272E-2</v>
      </c>
      <c r="M15" s="5">
        <v>-2.1330164362876949E-3</v>
      </c>
      <c r="N15" s="5">
        <v>0.10979619442513371</v>
      </c>
      <c r="O15" s="5">
        <v>7.375734424631461E-2</v>
      </c>
      <c r="P15" s="5">
        <v>2.1896569845224052E-2</v>
      </c>
      <c r="Q15" s="5">
        <v>0.15553684210781249</v>
      </c>
      <c r="R15" s="5">
        <v>5.2129690105117463E-2</v>
      </c>
      <c r="S15" s="5">
        <v>8.5487890205940886E-2</v>
      </c>
      <c r="T15" s="5">
        <v>6.6800124943112091E-2</v>
      </c>
      <c r="U15" s="5">
        <v>0.1369680616672688</v>
      </c>
      <c r="V15" s="5">
        <v>0.1101270063308359</v>
      </c>
      <c r="W15" s="5">
        <v>5.0671424244990583E-2</v>
      </c>
      <c r="X15" s="5">
        <v>7.8436500000000034E-2</v>
      </c>
      <c r="Y15" s="5">
        <v>5.202879805714216E-2</v>
      </c>
      <c r="Z15" s="5">
        <v>4.6719972053358677E-2</v>
      </c>
      <c r="AA15" s="5">
        <v>-5.4081147028033669E-2</v>
      </c>
      <c r="AB15" s="5">
        <v>-8.370017251583052E-2</v>
      </c>
      <c r="AC15" s="5">
        <v>4.3176688480551298E-3</v>
      </c>
      <c r="AD15" s="5">
        <v>-8.171337488818238E-2</v>
      </c>
      <c r="AE15" s="5">
        <v>0.21179264304727199</v>
      </c>
      <c r="AF15" s="5">
        <v>-0.13772628717765439</v>
      </c>
      <c r="AG15" s="5">
        <v>-4.4324544215075819E-2</v>
      </c>
      <c r="AH15" s="5">
        <v>0.13296736500972281</v>
      </c>
      <c r="AI15" s="5">
        <v>-2.4849257132530979E-2</v>
      </c>
      <c r="AJ15" s="5">
        <v>-3.3717922119173148E-2</v>
      </c>
      <c r="AK15" s="5">
        <v>-6.9361451191916404E-2</v>
      </c>
      <c r="AL15" s="5">
        <v>4.4431662495814539E-2</v>
      </c>
      <c r="AM15" s="5">
        <v>5.5122622134627111E-2</v>
      </c>
      <c r="AN15" s="5">
        <v>0.10168870591238351</v>
      </c>
      <c r="AO15" s="5">
        <v>-5.1384520239967417E-2</v>
      </c>
      <c r="AP15" s="5">
        <v>-1.25822E-2</v>
      </c>
      <c r="AQ15" s="5">
        <v>3.7367126796121669E-2</v>
      </c>
      <c r="AR15" s="5">
        <v>-2.4550300000000001E-2</v>
      </c>
      <c r="AS15" s="5">
        <v>5.3821179037114017E-2</v>
      </c>
      <c r="AT15" s="5">
        <v>7.098981260370496E-2</v>
      </c>
      <c r="AU15" s="5">
        <v>7.7174077249961781E-2</v>
      </c>
      <c r="AV15" s="5">
        <v>3.3224999999999998E-2</v>
      </c>
      <c r="AW15" s="5">
        <v>-1.5659939254580951E-2</v>
      </c>
      <c r="AX15" s="5">
        <v>-8.1360565954768135E-2</v>
      </c>
      <c r="AY15" s="5">
        <v>-2.9005659300491791E-2</v>
      </c>
      <c r="AZ15" s="5">
        <v>-6.7846329118650434E-2</v>
      </c>
      <c r="BA15" s="5">
        <v>1.061351480765297E-2</v>
      </c>
      <c r="BB15" s="5">
        <v>0.1087885</v>
      </c>
      <c r="BC15" s="5">
        <v>6.2155143667830287E-2</v>
      </c>
      <c r="BD15" s="5">
        <v>5.3043273904796059E-2</v>
      </c>
      <c r="BE15" s="5">
        <v>-4.8442721017663122E-2</v>
      </c>
      <c r="BF15" s="5">
        <v>0.2108720874899874</v>
      </c>
      <c r="BG15" s="5">
        <v>2.489538734565238E-3</v>
      </c>
      <c r="BH15" s="5">
        <v>3.4441845481689458E-2</v>
      </c>
      <c r="BI15" s="5">
        <v>2.115911440673959E-2</v>
      </c>
      <c r="BJ15" s="5">
        <v>0.13011025503616941</v>
      </c>
      <c r="BK15" s="5">
        <v>4.5604932300413459E-2</v>
      </c>
      <c r="BL15" s="5">
        <v>5.9755420974320878E-2</v>
      </c>
      <c r="BM15" s="5">
        <v>4.8219004487744091E-2</v>
      </c>
      <c r="BN15" s="5">
        <v>6.3720727411011702E-2</v>
      </c>
      <c r="BO15" s="5">
        <v>-2.773447595493098E-2</v>
      </c>
      <c r="BP15" s="5">
        <v>-5.161580000000001E-2</v>
      </c>
      <c r="BQ15" s="5">
        <v>-4.3431253492895713E-2</v>
      </c>
      <c r="BR15" s="5">
        <v>-5.0157429122059692E-2</v>
      </c>
      <c r="BS15" s="5">
        <v>-1.1865910908611719E-2</v>
      </c>
      <c r="BT15" s="5">
        <v>-5.9850936091850722E-2</v>
      </c>
      <c r="BU15" s="5">
        <v>1.9476419795793471E-2</v>
      </c>
      <c r="BV15" s="5">
        <v>-8.6180100000000009E-2</v>
      </c>
      <c r="BW15" s="5">
        <v>0.29887898957592779</v>
      </c>
      <c r="BX15" s="5">
        <v>-5.385156894446378E-2</v>
      </c>
      <c r="BY15" s="5">
        <v>-9.3338900000000002E-2</v>
      </c>
      <c r="BZ15" s="5">
        <v>-0.1029064689773473</v>
      </c>
      <c r="CA15" s="5">
        <v>-1.859202079644226E-2</v>
      </c>
      <c r="CB15" s="5">
        <v>-0.1310916</v>
      </c>
      <c r="CC15" s="5">
        <v>0.17364959999999999</v>
      </c>
      <c r="CD15" s="5">
        <v>-4.7114468128673648E-2</v>
      </c>
      <c r="CE15" s="5">
        <v>-0.1165165690701207</v>
      </c>
      <c r="CF15" s="5">
        <v>4.1349429867967538E-2</v>
      </c>
      <c r="CG15" s="5">
        <v>-8.5886021530163809E-2</v>
      </c>
      <c r="CH15" s="5">
        <v>8.1342607983328249E-2</v>
      </c>
      <c r="CI15" s="5">
        <v>-2.5109387803323689E-3</v>
      </c>
      <c r="CJ15" s="5">
        <v>8.7044356072718085E-2</v>
      </c>
      <c r="CK15" s="5">
        <v>9.5640748172705348E-2</v>
      </c>
      <c r="CL15" s="5">
        <v>-0.16165447304317659</v>
      </c>
      <c r="CM15" s="5">
        <v>7.4631116128453773E-2</v>
      </c>
      <c r="CN15" s="5">
        <v>4.2634115799160301E-2</v>
      </c>
      <c r="CO15" s="5">
        <v>-0.1069792441995681</v>
      </c>
      <c r="CP15" s="5">
        <v>-0.12753583543294969</v>
      </c>
      <c r="CQ15" s="5">
        <v>-2.49633604564388E-2</v>
      </c>
      <c r="CR15" s="5">
        <v>-0.18148893223573509</v>
      </c>
      <c r="CS15" s="5">
        <v>1.6912400000000001E-2</v>
      </c>
      <c r="CT15" s="5">
        <v>4.9416703656119249E-3</v>
      </c>
      <c r="CU15" s="5">
        <v>0.12404993141386809</v>
      </c>
      <c r="CV15" s="5">
        <v>-6.0443999999999998E-2</v>
      </c>
      <c r="CW15" s="5">
        <v>2.6072090903126711E-2</v>
      </c>
      <c r="CX15" s="5">
        <v>-0.15238777889156799</v>
      </c>
      <c r="CY15" s="5">
        <v>-9.2947904335357948E-2</v>
      </c>
      <c r="CZ15" s="5">
        <v>-2.3763335140482119E-2</v>
      </c>
      <c r="DA15" s="5">
        <v>-2.6375835441876511E-2</v>
      </c>
      <c r="DB15" s="5">
        <v>3.0226618214123681E-2</v>
      </c>
      <c r="DC15" s="5">
        <v>-3.5075149974582137E-2</v>
      </c>
      <c r="DD15" s="5">
        <v>1.450672613144627E-2</v>
      </c>
      <c r="DE15" s="5">
        <v>5.7163634731252508E-2</v>
      </c>
      <c r="DF15" s="5">
        <v>6.0545262726041799E-3</v>
      </c>
      <c r="DG15" s="5">
        <v>0.11309156284035971</v>
      </c>
      <c r="DH15" s="5">
        <v>-0.1296235</v>
      </c>
      <c r="DI15" s="5">
        <v>5.4108318657130297E-2</v>
      </c>
      <c r="DJ15" s="5">
        <v>-6.0023776691057282E-2</v>
      </c>
      <c r="DK15" s="5">
        <v>-7.2188597805797533E-2</v>
      </c>
      <c r="DL15" s="5">
        <v>3.0399320282783332E-4</v>
      </c>
      <c r="DM15" s="5">
        <v>3.9052116693665768E-2</v>
      </c>
      <c r="DN15" s="5">
        <v>8.1730712251129128E-2</v>
      </c>
      <c r="DO15" s="5">
        <v>3.4104415749097068E-2</v>
      </c>
      <c r="DP15" s="5">
        <v>2.3735602006892551E-2</v>
      </c>
      <c r="DQ15" s="5">
        <v>-3.7038688952197418E-2</v>
      </c>
      <c r="DR15" s="5">
        <v>-2.20354E-2</v>
      </c>
      <c r="DS15" s="5">
        <v>-9.5715424587646258E-3</v>
      </c>
      <c r="DT15" s="5">
        <v>5.271878998906962E-2</v>
      </c>
      <c r="DU15" s="5">
        <v>-0.18864064490238791</v>
      </c>
      <c r="DV15" s="5">
        <v>-4.6727729353239662E-2</v>
      </c>
      <c r="DW15" s="5">
        <v>2.5538627146832551E-2</v>
      </c>
      <c r="DX15" s="5">
        <v>-2.1545670320480031E-2</v>
      </c>
      <c r="DY15" s="5">
        <v>-8.3673634692538773E-2</v>
      </c>
      <c r="DZ15" s="5">
        <v>3.6596497763803963E-2</v>
      </c>
      <c r="EA15" s="5">
        <v>0.1091777</v>
      </c>
      <c r="EB15" s="5">
        <v>8.8087449527254891E-2</v>
      </c>
      <c r="EC15" s="5">
        <v>-7.6157076796619858E-2</v>
      </c>
      <c r="ED15" s="5">
        <v>-0.1106600344882203</v>
      </c>
      <c r="EE15" s="5">
        <v>-4.9344179940159598E-2</v>
      </c>
      <c r="EF15" s="5">
        <v>-2.96441E-2</v>
      </c>
      <c r="EG15" s="22">
        <v>7.7400000000000004E-3</v>
      </c>
      <c r="EH15" s="16">
        <v>8.8480000000000003E-2</v>
      </c>
      <c r="EI15" s="16">
        <v>8.7440000000000004E-2</v>
      </c>
    </row>
    <row r="16" spans="1:139">
      <c r="A16" s="18">
        <v>107</v>
      </c>
      <c r="B16" s="18">
        <v>9</v>
      </c>
      <c r="C16" s="4">
        <v>-3.9435389831589431E-2</v>
      </c>
      <c r="D16" s="5">
        <v>0.40819544444444439</v>
      </c>
      <c r="E16" s="5">
        <v>-8.6704171428553314E-2</v>
      </c>
      <c r="F16" s="5">
        <v>7.871547190433098E-2</v>
      </c>
      <c r="G16" s="5">
        <v>-8.1465506589492725E-3</v>
      </c>
      <c r="H16" s="5">
        <v>-6.4934945682303775E-4</v>
      </c>
      <c r="I16" s="5">
        <v>-5.7530618665621432E-2</v>
      </c>
      <c r="J16" s="5">
        <v>4.6709926042666168E-2</v>
      </c>
      <c r="K16" s="5">
        <v>8.642089158239058E-2</v>
      </c>
      <c r="L16" s="5">
        <v>-8.5161604114211434E-2</v>
      </c>
      <c r="M16" s="5">
        <v>-1.3987435861917089E-2</v>
      </c>
      <c r="N16" s="5">
        <v>0.1202424982791967</v>
      </c>
      <c r="O16" s="5">
        <v>7.9826860571117084E-2</v>
      </c>
      <c r="P16" s="5">
        <v>8.1881795143319731E-3</v>
      </c>
      <c r="Q16" s="5">
        <v>0.15790307042433799</v>
      </c>
      <c r="R16" s="5">
        <v>4.899097828292652E-2</v>
      </c>
      <c r="S16" s="5">
        <v>0.1098590443348066</v>
      </c>
      <c r="T16" s="5">
        <v>6.7219060157601318E-2</v>
      </c>
      <c r="U16" s="5">
        <v>0.1300624714297445</v>
      </c>
      <c r="V16" s="5">
        <v>7.5571486108906974E-2</v>
      </c>
      <c r="W16" s="5">
        <v>0.1016313571311754</v>
      </c>
      <c r="X16" s="5">
        <v>7.3678333333333373E-2</v>
      </c>
      <c r="Y16" s="5">
        <v>5.0278834461062571E-2</v>
      </c>
      <c r="Z16" s="5">
        <v>4.3057930884211712E-2</v>
      </c>
      <c r="AA16" s="5">
        <v>-4.3487635835992113E-2</v>
      </c>
      <c r="AB16" s="5">
        <v>-7.4985041637980393E-2</v>
      </c>
      <c r="AC16" s="5">
        <v>-1.27654480354167E-2</v>
      </c>
      <c r="AD16" s="5">
        <v>-5.3136055547856789E-2</v>
      </c>
      <c r="AE16" s="5">
        <v>0.20962824117691051</v>
      </c>
      <c r="AF16" s="5">
        <v>-0.14791561026442651</v>
      </c>
      <c r="AG16" s="5">
        <v>-4.3776159735772403E-2</v>
      </c>
      <c r="AH16" s="5">
        <v>0.1484016251671525</v>
      </c>
      <c r="AI16" s="5">
        <v>-3.3383255671647301E-2</v>
      </c>
      <c r="AJ16" s="5">
        <v>-4.812047853633028E-2</v>
      </c>
      <c r="AK16" s="5">
        <v>-3.7433452981487869E-2</v>
      </c>
      <c r="AL16" s="5">
        <v>4.8688933104523248E-2</v>
      </c>
      <c r="AM16" s="5">
        <v>6.6076730601797973E-2</v>
      </c>
      <c r="AN16" s="5">
        <v>0.1064562000896756</v>
      </c>
      <c r="AO16" s="5">
        <v>-4.1090153361741252E-2</v>
      </c>
      <c r="AP16" s="5">
        <v>-5.2404444444444451E-3</v>
      </c>
      <c r="AQ16" s="5">
        <v>3.8466200146068608E-2</v>
      </c>
      <c r="AR16" s="5">
        <v>-3.2492222222222207E-2</v>
      </c>
      <c r="AS16" s="5">
        <v>6.5068225473969343E-2</v>
      </c>
      <c r="AT16" s="5">
        <v>0.1225640433502848</v>
      </c>
      <c r="AU16" s="5">
        <v>8.2090271843001925E-2</v>
      </c>
      <c r="AV16" s="5">
        <v>2.360855555555556E-2</v>
      </c>
      <c r="AW16" s="5">
        <v>-3.9252930074650652E-2</v>
      </c>
      <c r="AX16" s="5">
        <v>-0.1006213291014028</v>
      </c>
      <c r="AY16" s="5">
        <v>-1.9601853599139189E-2</v>
      </c>
      <c r="AZ16" s="5">
        <v>-8.8150181520572649E-2</v>
      </c>
      <c r="BA16" s="5">
        <v>1.4923105057586089E-2</v>
      </c>
      <c r="BB16" s="5">
        <v>0.13247400000000001</v>
      </c>
      <c r="BC16" s="5">
        <v>6.712146610769186E-2</v>
      </c>
      <c r="BD16" s="5">
        <v>3.5936711545904013E-2</v>
      </c>
      <c r="BE16" s="5">
        <v>-5.1410994394474947E-2</v>
      </c>
      <c r="BF16" s="5">
        <v>0.24778685910046011</v>
      </c>
      <c r="BG16" s="5">
        <v>1.347328204795663E-2</v>
      </c>
      <c r="BH16" s="5">
        <v>-1.377561448396186E-2</v>
      </c>
      <c r="BI16" s="5">
        <v>4.8989940432910987E-2</v>
      </c>
      <c r="BJ16" s="5">
        <v>9.6566803525538036E-2</v>
      </c>
      <c r="BK16" s="5">
        <v>5.137162452601142E-2</v>
      </c>
      <c r="BL16" s="5">
        <v>6.1173599484470167E-2</v>
      </c>
      <c r="BM16" s="5">
        <v>3.9497985491106162E-2</v>
      </c>
      <c r="BN16" s="5">
        <v>6.1304749909884763E-2</v>
      </c>
      <c r="BO16" s="5">
        <v>-2.1890359953657689E-2</v>
      </c>
      <c r="BP16" s="5">
        <v>-5.7748888888888898E-2</v>
      </c>
      <c r="BQ16" s="5">
        <v>-2.3690718667247399E-2</v>
      </c>
      <c r="BR16" s="5">
        <v>-2.6296848021444389E-2</v>
      </c>
      <c r="BS16" s="5">
        <v>-3.2006987192883168E-2</v>
      </c>
      <c r="BT16" s="5">
        <v>-4.6660882493518303E-2</v>
      </c>
      <c r="BU16" s="5">
        <v>5.7765110184800447E-2</v>
      </c>
      <c r="BV16" s="5">
        <v>-9.4510444444444452E-2</v>
      </c>
      <c r="BW16" s="5">
        <v>0.31797083453836722</v>
      </c>
      <c r="BX16" s="5">
        <v>-6.6559519118082902E-2</v>
      </c>
      <c r="BY16" s="5">
        <v>-0.1189954444444445</v>
      </c>
      <c r="BZ16" s="5">
        <v>-0.11152584850164921</v>
      </c>
      <c r="CA16" s="5">
        <v>-2.971438975556321E-2</v>
      </c>
      <c r="CB16" s="5">
        <v>-0.13930899999999999</v>
      </c>
      <c r="CC16" s="5">
        <v>4.4386333333333347E-2</v>
      </c>
      <c r="CD16" s="5">
        <v>-6.0988525873729958E-2</v>
      </c>
      <c r="CE16" s="5">
        <v>-0.13259506079351141</v>
      </c>
      <c r="CF16" s="5">
        <v>5.280008433528089E-2</v>
      </c>
      <c r="CG16" s="5">
        <v>-6.1727878146666561E-2</v>
      </c>
      <c r="CH16" s="5">
        <v>5.0448724703996098E-2</v>
      </c>
      <c r="CI16" s="5">
        <v>-4.2406681121506702E-3</v>
      </c>
      <c r="CJ16" s="5">
        <v>4.5523550787666608E-2</v>
      </c>
      <c r="CK16" s="5">
        <v>8.8422689781607638E-2</v>
      </c>
      <c r="CL16" s="5">
        <v>-0.19674043815921369</v>
      </c>
      <c r="CM16" s="5">
        <v>8.8988628149511667E-2</v>
      </c>
      <c r="CN16" s="5">
        <v>3.3057515140949983E-2</v>
      </c>
      <c r="CO16" s="5">
        <v>-0.13464020879390531</v>
      </c>
      <c r="CP16" s="5">
        <v>-0.13663168948209131</v>
      </c>
      <c r="CQ16" s="5">
        <v>-2.0333779820360921E-2</v>
      </c>
      <c r="CR16" s="5">
        <v>-0.1892865334673984</v>
      </c>
      <c r="CS16" s="5">
        <v>2.1808222222222218E-2</v>
      </c>
      <c r="CT16" s="5">
        <v>2.5557377960834651E-2</v>
      </c>
      <c r="CU16" s="5">
        <v>0.1354717008642061</v>
      </c>
      <c r="CV16" s="5">
        <v>-5.9453444444444448E-2</v>
      </c>
      <c r="CW16" s="5">
        <v>4.7341659174279828E-2</v>
      </c>
      <c r="CX16" s="5">
        <v>-0.16226597530261619</v>
      </c>
      <c r="CY16" s="5">
        <v>-8.1280637874214245E-2</v>
      </c>
      <c r="CZ16" s="5">
        <v>-3.2724822242144208E-2</v>
      </c>
      <c r="DA16" s="5">
        <v>-2.9804793967235531E-2</v>
      </c>
      <c r="DB16" s="5">
        <v>4.2712169780226052E-2</v>
      </c>
      <c r="DC16" s="5">
        <v>-4.2942362320500277E-2</v>
      </c>
      <c r="DD16" s="5">
        <v>3.1743710487280023E-2</v>
      </c>
      <c r="DE16" s="5">
        <v>3.4552400358790022E-2</v>
      </c>
      <c r="DF16" s="5">
        <v>2.6980135523259619E-3</v>
      </c>
      <c r="DG16" s="5">
        <v>0.12637191985047269</v>
      </c>
      <c r="DH16" s="5">
        <v>-0.13714944444444449</v>
      </c>
      <c r="DI16" s="5">
        <v>4.5399497901261208E-2</v>
      </c>
      <c r="DJ16" s="5">
        <v>-7.0955052436885546E-2</v>
      </c>
      <c r="DK16" s="5">
        <v>-5.7685769347259337E-2</v>
      </c>
      <c r="DL16" s="5">
        <v>2.187287424977424E-2</v>
      </c>
      <c r="DM16" s="5">
        <v>1.8910374168543239E-2</v>
      </c>
      <c r="DN16" s="5">
        <v>0.1158867317449916</v>
      </c>
      <c r="DO16" s="5">
        <v>4.656386647977797E-2</v>
      </c>
      <c r="DP16" s="5">
        <v>1.9841948579226051E-2</v>
      </c>
      <c r="DQ16" s="5">
        <v>-4.7070156004531787E-2</v>
      </c>
      <c r="DR16" s="5">
        <v>-1.117833333333333E-2</v>
      </c>
      <c r="DS16" s="5">
        <v>1.042302437651493E-2</v>
      </c>
      <c r="DT16" s="5">
        <v>5.9112975078185963E-2</v>
      </c>
      <c r="DU16" s="5">
        <v>-0.1901082424459184</v>
      </c>
      <c r="DV16" s="5">
        <v>-4.5728317172487008E-2</v>
      </c>
      <c r="DW16" s="5">
        <v>4.0917729699690833E-2</v>
      </c>
      <c r="DX16" s="5">
        <v>-2.1947727776040898E-2</v>
      </c>
      <c r="DY16" s="5">
        <v>-9.4984864221236961E-2</v>
      </c>
      <c r="DZ16" s="5">
        <v>1.264917158578936E-2</v>
      </c>
      <c r="EA16" s="5">
        <v>0.13979988888888889</v>
      </c>
      <c r="EB16" s="5">
        <v>0.1006791006772017</v>
      </c>
      <c r="EC16" s="5">
        <v>-6.8501480567839029E-2</v>
      </c>
      <c r="ED16" s="5">
        <v>-0.11469922764091681</v>
      </c>
      <c r="EE16" s="5">
        <v>-5.9240996655185861E-2</v>
      </c>
      <c r="EF16" s="5">
        <v>-3.4548444444444437E-2</v>
      </c>
      <c r="EG16" s="22">
        <v>8.2199999999999999E-3</v>
      </c>
      <c r="EH16" s="16">
        <v>9.3310000000000004E-2</v>
      </c>
      <c r="EI16" s="16">
        <v>8.8080000000000006E-2</v>
      </c>
    </row>
    <row r="17" spans="1:139">
      <c r="A17" s="18">
        <v>120</v>
      </c>
      <c r="B17" s="18">
        <v>8</v>
      </c>
      <c r="C17" s="4">
        <v>-3.8913468982799751E-2</v>
      </c>
      <c r="D17" s="5">
        <v>0.43958837499999998</v>
      </c>
      <c r="E17" s="5">
        <v>-9.6671109192610821E-2</v>
      </c>
      <c r="F17" s="5">
        <v>8.0752164152319103E-2</v>
      </c>
      <c r="G17" s="5">
        <v>-0.10538707466373071</v>
      </c>
      <c r="H17" s="5">
        <v>7.9428568480016878E-3</v>
      </c>
      <c r="I17" s="5">
        <v>-0.1137250278021875</v>
      </c>
      <c r="J17" s="5">
        <v>4.1858395118229183E-2</v>
      </c>
      <c r="K17" s="5">
        <v>0.1015600797223099</v>
      </c>
      <c r="L17" s="5">
        <v>-4.2234791145342128E-2</v>
      </c>
      <c r="M17" s="5">
        <v>1.4659142090288421E-2</v>
      </c>
      <c r="N17" s="5">
        <v>0.1092778268298058</v>
      </c>
      <c r="O17" s="5">
        <v>0.1012267692723357</v>
      </c>
      <c r="P17" s="5">
        <v>1.338294674336832E-2</v>
      </c>
      <c r="Q17" s="5">
        <v>0.16180129461512691</v>
      </c>
      <c r="R17" s="5">
        <v>5.2057608904527208E-2</v>
      </c>
      <c r="S17" s="5">
        <v>0.1190543893253307</v>
      </c>
      <c r="T17" s="5">
        <v>7.120201453280707E-2</v>
      </c>
      <c r="U17" s="5">
        <v>0.14127114253855691</v>
      </c>
      <c r="V17" s="5">
        <v>9.7259655852603044E-2</v>
      </c>
      <c r="W17" s="5">
        <v>0.1286672543576686</v>
      </c>
      <c r="X17" s="5">
        <v>0.10018637499999999</v>
      </c>
      <c r="Y17" s="5">
        <v>7.3623131490407626E-2</v>
      </c>
      <c r="Z17" s="5">
        <v>5.3868489290865788E-2</v>
      </c>
      <c r="AA17" s="5">
        <v>-3.5209789582199093E-2</v>
      </c>
      <c r="AB17" s="5">
        <v>-8.4852062878172319E-2</v>
      </c>
      <c r="AC17" s="5">
        <v>-2.008625473802152E-2</v>
      </c>
      <c r="AD17" s="5">
        <v>-4.9777375460754107E-2</v>
      </c>
      <c r="AE17" s="5">
        <v>0.22212270442845089</v>
      </c>
      <c r="AF17" s="5">
        <v>-0.1202863246558465</v>
      </c>
      <c r="AG17" s="5">
        <v>-6.2640141571138702E-2</v>
      </c>
      <c r="AH17" s="5">
        <v>0.14702488925580459</v>
      </c>
      <c r="AI17" s="5">
        <v>-5.7037975655486538E-2</v>
      </c>
      <c r="AJ17" s="5">
        <v>-6.1612618608742321E-2</v>
      </c>
      <c r="AK17" s="5">
        <v>-2.937588960957525E-2</v>
      </c>
      <c r="AL17" s="5">
        <v>5.0724405748556509E-2</v>
      </c>
      <c r="AM17" s="5">
        <v>7.5369367587656971E-2</v>
      </c>
      <c r="AN17" s="5">
        <v>0.1132871203459177</v>
      </c>
      <c r="AO17" s="5">
        <v>-7.6694527622622979E-2</v>
      </c>
      <c r="AP17" s="5">
        <v>-3.7592499999999991E-3</v>
      </c>
      <c r="AQ17" s="5">
        <v>6.052713740149903E-2</v>
      </c>
      <c r="AR17" s="5">
        <v>-3.4996625000000003E-2</v>
      </c>
      <c r="AS17" s="5">
        <v>5.6323562034475708E-2</v>
      </c>
      <c r="AT17" s="5">
        <v>0.1270717931072517</v>
      </c>
      <c r="AU17" s="5">
        <v>0.11569960953410489</v>
      </c>
      <c r="AV17" s="5">
        <v>2.7563375000000011E-2</v>
      </c>
      <c r="AW17" s="5">
        <v>-8.4218880418367916E-3</v>
      </c>
      <c r="AX17" s="5">
        <v>-9.7619105117607935E-2</v>
      </c>
      <c r="AY17" s="5">
        <v>-1.547804570524644E-2</v>
      </c>
      <c r="AZ17" s="5">
        <v>-7.0494230916434586E-2</v>
      </c>
      <c r="BA17" s="5">
        <v>9.8251791071129642E-3</v>
      </c>
      <c r="BB17" s="5">
        <v>0.15327075000000001</v>
      </c>
      <c r="BC17" s="5">
        <v>8.386319517781364E-2</v>
      </c>
      <c r="BD17" s="5">
        <v>2.235648224620481E-2</v>
      </c>
      <c r="BE17" s="5">
        <v>-7.7350242238060404E-2</v>
      </c>
      <c r="BF17" s="5">
        <v>0.14777683028015831</v>
      </c>
      <c r="BG17" s="5">
        <v>-3.5394236088037288E-2</v>
      </c>
      <c r="BH17" s="5">
        <v>1.351946085175304E-2</v>
      </c>
      <c r="BI17" s="5">
        <v>8.073839955835159E-2</v>
      </c>
      <c r="BJ17" s="5">
        <v>9.7868244368423979E-2</v>
      </c>
      <c r="BK17" s="5">
        <v>1.67513267503808E-2</v>
      </c>
      <c r="BL17" s="5">
        <v>3.4152447324294427E-2</v>
      </c>
      <c r="BM17" s="5">
        <v>2.905901115235426E-2</v>
      </c>
      <c r="BN17" s="5">
        <v>5.3470180947152127E-2</v>
      </c>
      <c r="BO17" s="5">
        <v>-3.5179615416723611E-2</v>
      </c>
      <c r="BP17" s="5">
        <v>-6.0636875000000007E-2</v>
      </c>
      <c r="BQ17" s="5">
        <v>-2.5601715515448219E-2</v>
      </c>
      <c r="BR17" s="5">
        <v>-9.6463751247498966E-3</v>
      </c>
      <c r="BS17" s="5">
        <v>-2.0906018213695501E-2</v>
      </c>
      <c r="BT17" s="5">
        <v>-5.2650160261977733E-2</v>
      </c>
      <c r="BU17" s="5">
        <v>7.1127818750752414E-2</v>
      </c>
      <c r="BV17" s="5">
        <v>-0.106643875</v>
      </c>
      <c r="BW17" s="5">
        <v>0.2083368255173885</v>
      </c>
      <c r="BX17" s="5">
        <v>-8.2640989537648424E-2</v>
      </c>
      <c r="BY17" s="5">
        <v>-9.5862375000000014E-2</v>
      </c>
      <c r="BZ17" s="5">
        <v>-0.12057815588108529</v>
      </c>
      <c r="CA17" s="5">
        <v>-2.7934832358489561E-2</v>
      </c>
      <c r="CB17" s="5">
        <v>-0.14963337500000001</v>
      </c>
      <c r="CC17" s="5">
        <v>4.1758499999999997E-2</v>
      </c>
      <c r="CD17" s="5">
        <v>-7.6385115279474114E-2</v>
      </c>
      <c r="CE17" s="5">
        <v>-0.17511624550605151</v>
      </c>
      <c r="CF17" s="5">
        <v>5.8238796594696537E-2</v>
      </c>
      <c r="CG17" s="5">
        <v>-7.4714988628731105E-2</v>
      </c>
      <c r="CH17" s="5">
        <v>3.296907217045305E-2</v>
      </c>
      <c r="CI17" s="5">
        <v>-3.7017833748845611E-3</v>
      </c>
      <c r="CJ17" s="5">
        <v>5.0742321484442049E-2</v>
      </c>
      <c r="CK17" s="5">
        <v>8.3955848259630761E-2</v>
      </c>
      <c r="CL17" s="5">
        <v>-0.13683909896473681</v>
      </c>
      <c r="CM17" s="5">
        <v>0.13456934443157431</v>
      </c>
      <c r="CN17" s="5">
        <v>2.6718061150986971E-2</v>
      </c>
      <c r="CO17" s="5">
        <v>-0.13741287532952509</v>
      </c>
      <c r="CP17" s="5">
        <v>-0.1481592691973436</v>
      </c>
      <c r="CQ17" s="5">
        <v>5.1907103341726511E-2</v>
      </c>
      <c r="CR17" s="5">
        <v>-0.19640263176228931</v>
      </c>
      <c r="CS17" s="5">
        <v>1.1546625E-2</v>
      </c>
      <c r="CT17" s="5">
        <v>1.7339280405090751E-2</v>
      </c>
      <c r="CU17" s="5">
        <v>0.15535189279975939</v>
      </c>
      <c r="CV17" s="5">
        <v>-6.7891375000000004E-2</v>
      </c>
      <c r="CW17" s="5">
        <v>6.3393218804487977E-2</v>
      </c>
      <c r="CX17" s="5">
        <v>-0.1250098553997174</v>
      </c>
      <c r="CY17" s="5">
        <v>-7.5608913409805675E-2</v>
      </c>
      <c r="CZ17" s="5">
        <v>-3.1592684380340692E-2</v>
      </c>
      <c r="DA17" s="5">
        <v>-4.3895859145134192E-2</v>
      </c>
      <c r="DB17" s="5">
        <v>3.4883010792467917E-2</v>
      </c>
      <c r="DC17" s="5">
        <v>-4.3363468977499313E-2</v>
      </c>
      <c r="DD17" s="5">
        <v>2.9155420882880739E-2</v>
      </c>
      <c r="DE17" s="5">
        <v>2.4124863346722019E-2</v>
      </c>
      <c r="DF17" s="5">
        <v>1.5674444936529901E-2</v>
      </c>
      <c r="DG17" s="5">
        <v>0.12321246613063939</v>
      </c>
      <c r="DH17" s="5">
        <v>-0.16343337499999999</v>
      </c>
      <c r="DI17" s="5">
        <v>3.5044536065945063E-2</v>
      </c>
      <c r="DJ17" s="5">
        <v>-0.12892505978600949</v>
      </c>
      <c r="DK17" s="5">
        <v>-6.8118111488885122E-2</v>
      </c>
      <c r="DL17" s="5">
        <v>3.929731691128693E-3</v>
      </c>
      <c r="DM17" s="5">
        <v>3.7227475515992328E-2</v>
      </c>
      <c r="DN17" s="5">
        <v>0.1064799626072864</v>
      </c>
      <c r="DO17" s="5">
        <v>6.5250544351453679E-2</v>
      </c>
      <c r="DP17" s="5">
        <v>-1.651850825662354E-2</v>
      </c>
      <c r="DQ17" s="5">
        <v>-7.2654005106024863E-2</v>
      </c>
      <c r="DR17" s="5">
        <v>-2.5726499999999999E-2</v>
      </c>
      <c r="DS17" s="5">
        <v>6.5055362314722226E-3</v>
      </c>
      <c r="DT17" s="5">
        <v>5.9811935234976271E-2</v>
      </c>
      <c r="DU17" s="5">
        <v>-0.15955509947844379</v>
      </c>
      <c r="DV17" s="5">
        <v>-4.5148836149058763E-2</v>
      </c>
      <c r="DW17" s="5">
        <v>4.8681483414150163E-2</v>
      </c>
      <c r="DX17" s="5">
        <v>2.3035180169188669E-2</v>
      </c>
      <c r="DY17" s="5">
        <v>-0.12601053790105471</v>
      </c>
      <c r="DZ17" s="5">
        <v>-4.7910532459885732E-3</v>
      </c>
      <c r="EA17" s="5">
        <v>0.16457237499999999</v>
      </c>
      <c r="EB17" s="5">
        <v>0.1072853267537575</v>
      </c>
      <c r="EC17" s="5">
        <v>-0.1215120172680231</v>
      </c>
      <c r="ED17" s="5">
        <v>-0.10329067393702911</v>
      </c>
      <c r="EE17" s="5">
        <v>-6.4278699968889033E-2</v>
      </c>
      <c r="EF17" s="5">
        <v>-4.0984749999999993E-2</v>
      </c>
      <c r="EG17" s="16">
        <v>7.0000000000000001E-3</v>
      </c>
      <c r="EH17" s="16">
        <v>9.5659999999999995E-2</v>
      </c>
      <c r="EI17" s="16">
        <v>7.3130000000000001E-2</v>
      </c>
    </row>
    <row r="18" spans="1:139">
      <c r="A18" s="18">
        <v>137</v>
      </c>
      <c r="B18" s="18">
        <v>7</v>
      </c>
      <c r="C18" s="4">
        <v>-5.9146797802220617E-2</v>
      </c>
      <c r="D18" s="5">
        <v>0.40188400000000007</v>
      </c>
      <c r="E18" s="5">
        <v>-0.10047562300309219</v>
      </c>
      <c r="F18" s="5">
        <v>0.11938296010218979</v>
      </c>
      <c r="G18" s="5">
        <v>-0.10831637328507999</v>
      </c>
      <c r="H18" s="5">
        <v>8.6222277544443261E-3</v>
      </c>
      <c r="I18" s="5">
        <v>-0.13550018022324109</v>
      </c>
      <c r="J18" s="5">
        <v>4.3411515751641608E-2</v>
      </c>
      <c r="K18" s="5">
        <v>0.13564788877763229</v>
      </c>
      <c r="L18" s="5">
        <v>-5.0758207106719029E-2</v>
      </c>
      <c r="M18" s="5">
        <v>2.9051464376457319E-2</v>
      </c>
      <c r="N18" s="5">
        <v>0.14120748849629611</v>
      </c>
      <c r="O18" s="5">
        <v>0.10367048962961919</v>
      </c>
      <c r="P18" s="5">
        <v>8.3280858539089599E-3</v>
      </c>
      <c r="Q18" s="5">
        <v>0.18897541868948989</v>
      </c>
      <c r="R18" s="5">
        <v>6.149223787197499E-2</v>
      </c>
      <c r="S18" s="5">
        <v>0.14380522729889919</v>
      </c>
      <c r="T18" s="5">
        <v>5.4244440031608693E-2</v>
      </c>
      <c r="U18" s="5">
        <v>0.132495024429819</v>
      </c>
      <c r="V18" s="5">
        <v>0.1213914614259257</v>
      </c>
      <c r="W18" s="5">
        <v>0.16613482926929909</v>
      </c>
      <c r="X18" s="5">
        <v>0.12712328571428569</v>
      </c>
      <c r="Y18" s="5">
        <v>0.1038792439088113</v>
      </c>
      <c r="Z18" s="5">
        <v>8.9234363440522865E-2</v>
      </c>
      <c r="AA18" s="5">
        <v>-4.1705245182724067E-2</v>
      </c>
      <c r="AB18" s="5">
        <v>-8.4698299730484178E-2</v>
      </c>
      <c r="AC18" s="5">
        <v>1.3654204768322529E-3</v>
      </c>
      <c r="AD18" s="5">
        <v>-7.2443789088531399E-2</v>
      </c>
      <c r="AE18" s="5">
        <v>0.25839134891520849</v>
      </c>
      <c r="AF18" s="5">
        <v>-0.1505436398240734</v>
      </c>
      <c r="AG18" s="5">
        <v>-8.1719979892753619E-2</v>
      </c>
      <c r="AH18" s="5">
        <v>0.16306850482484961</v>
      </c>
      <c r="AI18" s="5">
        <v>-8.1423750051169697E-2</v>
      </c>
      <c r="AJ18" s="5">
        <v>-7.0867217661602505E-2</v>
      </c>
      <c r="AK18" s="5">
        <v>-2.283288536199644E-2</v>
      </c>
      <c r="AL18" s="5">
        <v>4.7527763632257733E-2</v>
      </c>
      <c r="AM18" s="5">
        <v>6.6643405424771207E-2</v>
      </c>
      <c r="AN18" s="5">
        <v>7.9294639955201793E-2</v>
      </c>
      <c r="AO18" s="5">
        <v>2.4584280444806969E-2</v>
      </c>
      <c r="AP18" s="5">
        <v>-2.0157142857142869E-3</v>
      </c>
      <c r="AQ18" s="5">
        <v>7.6230845326449942E-2</v>
      </c>
      <c r="AR18" s="5">
        <v>-6.169442857142856E-2</v>
      </c>
      <c r="AS18" s="5">
        <v>8.5826551553969135E-2</v>
      </c>
      <c r="AT18" s="5">
        <v>0.16638580942405889</v>
      </c>
      <c r="AU18" s="5">
        <v>0.13889821464621971</v>
      </c>
      <c r="AV18" s="5">
        <v>3.5058000000000013E-2</v>
      </c>
      <c r="AW18" s="5">
        <v>-2.4538034241107461E-2</v>
      </c>
      <c r="AX18" s="5">
        <v>-0.12606433742612741</v>
      </c>
      <c r="AY18" s="5">
        <v>-3.0189358728490181E-2</v>
      </c>
      <c r="AZ18" s="5">
        <v>-5.1646327393508343E-2</v>
      </c>
      <c r="BA18" s="5">
        <v>6.3231092468556214E-4</v>
      </c>
      <c r="BB18" s="5">
        <v>0.16725728571428569</v>
      </c>
      <c r="BC18" s="5">
        <v>8.3201572593320602E-2</v>
      </c>
      <c r="BD18" s="5">
        <v>-2.4016271687300441E-2</v>
      </c>
      <c r="BE18" s="5">
        <v>-6.8361213238162841E-2</v>
      </c>
      <c r="BF18" s="5">
        <v>0.1649864946960074</v>
      </c>
      <c r="BG18" s="5">
        <v>-1.680624122620418E-2</v>
      </c>
      <c r="BH18" s="5">
        <v>2.0503853063805449E-2</v>
      </c>
      <c r="BI18" s="5">
        <v>7.5991093740458621E-2</v>
      </c>
      <c r="BJ18" s="5">
        <v>9.8533856685421792E-2</v>
      </c>
      <c r="BK18" s="5">
        <v>9.810839031169187E-4</v>
      </c>
      <c r="BL18" s="5">
        <v>5.5787880861779937E-2</v>
      </c>
      <c r="BM18" s="5">
        <v>2.8081356373095352E-2</v>
      </c>
      <c r="BN18" s="5">
        <v>4.2191588804803559E-2</v>
      </c>
      <c r="BO18" s="5">
        <v>-2.0227496106374639E-2</v>
      </c>
      <c r="BP18" s="5">
        <v>-6.2461999999999997E-2</v>
      </c>
      <c r="BQ18" s="5">
        <v>-8.6459690912229228E-2</v>
      </c>
      <c r="BR18" s="5">
        <v>-5.7481935839547244E-3</v>
      </c>
      <c r="BS18" s="5">
        <v>-3.2873256576031823E-2</v>
      </c>
      <c r="BT18" s="5">
        <v>-6.1545322892704799E-2</v>
      </c>
      <c r="BU18" s="5">
        <v>8.0677444040040805E-2</v>
      </c>
      <c r="BV18" s="5">
        <v>-0.1155055714285714</v>
      </c>
      <c r="BW18" s="5">
        <v>0.21837549913098869</v>
      </c>
      <c r="BX18" s="5">
        <v>-7.4580863414598103E-2</v>
      </c>
      <c r="BY18" s="5">
        <v>-6.2688428571428589E-2</v>
      </c>
      <c r="BZ18" s="5">
        <v>-0.15331998780259809</v>
      </c>
      <c r="CA18" s="5">
        <v>-1.6076543892860819E-2</v>
      </c>
      <c r="CB18" s="5">
        <v>-0.1068462857142857</v>
      </c>
      <c r="CC18" s="5">
        <v>0.1046597142857143</v>
      </c>
      <c r="CD18" s="5">
        <v>-0.1215952231687642</v>
      </c>
      <c r="CE18" s="5">
        <v>-0.1779263563088774</v>
      </c>
      <c r="CF18" s="5">
        <v>-4.3957743386608697E-2</v>
      </c>
      <c r="CG18" s="5">
        <v>-9.1609255563919342E-2</v>
      </c>
      <c r="CH18" s="5">
        <v>4.5365648959158789E-2</v>
      </c>
      <c r="CI18" s="5">
        <v>0.1150593108091785</v>
      </c>
      <c r="CJ18" s="5">
        <v>6.2313677824909687E-2</v>
      </c>
      <c r="CK18" s="5">
        <v>9.6058031665523097E-2</v>
      </c>
      <c r="CL18" s="5">
        <v>-0.15291394380948509</v>
      </c>
      <c r="CM18" s="5">
        <v>0.14364854316439371</v>
      </c>
      <c r="CN18" s="5">
        <v>3.5086253978176607E-2</v>
      </c>
      <c r="CO18" s="5">
        <v>-0.1505975096222473</v>
      </c>
      <c r="CP18" s="5">
        <v>-0.16283910894801071</v>
      </c>
      <c r="CQ18" s="5">
        <v>3.8242675594942703E-2</v>
      </c>
      <c r="CR18" s="5">
        <v>-0.19372240765220919</v>
      </c>
      <c r="CS18" s="5">
        <v>2.8129285714285711E-2</v>
      </c>
      <c r="CT18" s="5">
        <v>-1.6272494200008831E-2</v>
      </c>
      <c r="CU18" s="5">
        <v>0.14456482117613489</v>
      </c>
      <c r="CV18" s="5">
        <v>-6.2944428571428568E-2</v>
      </c>
      <c r="CW18" s="5">
        <v>6.6558574498316259E-2</v>
      </c>
      <c r="CX18" s="5">
        <v>-0.1530756896091533</v>
      </c>
      <c r="CY18" s="5">
        <v>-9.3178383907907517E-2</v>
      </c>
      <c r="CZ18" s="5">
        <v>-9.1459213412702536E-2</v>
      </c>
      <c r="DA18" s="5">
        <v>-4.7380939518693557E-2</v>
      </c>
      <c r="DB18" s="5">
        <v>4.5735208678759381E-2</v>
      </c>
      <c r="DC18" s="5">
        <v>-3.6408781495506221E-2</v>
      </c>
      <c r="DD18" s="5">
        <v>4.1014187319333921E-2</v>
      </c>
      <c r="DE18" s="5">
        <v>3.8420587486450893E-2</v>
      </c>
      <c r="DF18" s="5">
        <v>2.8071975077961529E-2</v>
      </c>
      <c r="DG18" s="5">
        <v>0.11821709327359541</v>
      </c>
      <c r="DH18" s="5">
        <v>-0.1924025714285714</v>
      </c>
      <c r="DI18" s="5">
        <v>1.8613248030418191E-2</v>
      </c>
      <c r="DJ18" s="5">
        <v>-0.14619607609941229</v>
      </c>
      <c r="DK18" s="5">
        <v>-5.7250589986626008E-2</v>
      </c>
      <c r="DL18" s="5">
        <v>3.830274067592157E-3</v>
      </c>
      <c r="DM18" s="5">
        <v>5.250678742263995E-3</v>
      </c>
      <c r="DN18" s="5">
        <v>0.1251086832695307</v>
      </c>
      <c r="DO18" s="5">
        <v>3.019901746158983E-2</v>
      </c>
      <c r="DP18" s="5">
        <v>-2.0604686466865741E-2</v>
      </c>
      <c r="DQ18" s="5">
        <v>-6.5749458183898837E-2</v>
      </c>
      <c r="DR18" s="5">
        <v>-1.0451714285714279E-2</v>
      </c>
      <c r="DS18" s="5">
        <v>2.5385651257138282E-2</v>
      </c>
      <c r="DT18" s="5">
        <v>2.2601034841107401E-2</v>
      </c>
      <c r="DU18" s="5">
        <v>-0.16258878442425009</v>
      </c>
      <c r="DV18" s="5">
        <v>-7.0527692506077544E-2</v>
      </c>
      <c r="DW18" s="5">
        <v>8.1908692284373169E-2</v>
      </c>
      <c r="DX18" s="5">
        <v>6.8177293521735294E-2</v>
      </c>
      <c r="DY18" s="5">
        <v>-0.16576310466200311</v>
      </c>
      <c r="DZ18" s="5">
        <v>-4.3227854869441883E-2</v>
      </c>
      <c r="EA18" s="5">
        <v>0.19894728571428569</v>
      </c>
      <c r="EB18" s="5">
        <v>0.1099643544501954</v>
      </c>
      <c r="EC18" s="5">
        <v>-0.14304023059278551</v>
      </c>
      <c r="ED18" s="5">
        <v>-8.2759101388566583E-2</v>
      </c>
      <c r="EE18" s="5">
        <v>-5.3015040315364213E-2</v>
      </c>
      <c r="EF18" s="5">
        <v>-6.3951857142857144E-2</v>
      </c>
      <c r="EG18" s="22">
        <v>7.9399999999999991E-3</v>
      </c>
      <c r="EH18" s="16">
        <v>0.10463</v>
      </c>
      <c r="EI18" s="16">
        <v>7.5889999999999999E-2</v>
      </c>
    </row>
    <row r="19" spans="1:139">
      <c r="A19" s="18">
        <v>160</v>
      </c>
      <c r="B19" s="18">
        <v>6</v>
      </c>
      <c r="C19" s="4">
        <v>-7.386192988077088E-2</v>
      </c>
      <c r="D19" s="5">
        <v>0.4075213333333334</v>
      </c>
      <c r="E19" s="5">
        <v>-0.1405836765913312</v>
      </c>
      <c r="F19" s="5">
        <v>0.1776886618055605</v>
      </c>
      <c r="G19" s="5">
        <v>-9.6065971857177412E-2</v>
      </c>
      <c r="H19" s="5">
        <v>-1.2068788462484921E-2</v>
      </c>
      <c r="I19" s="5">
        <v>-0.1346543328914665</v>
      </c>
      <c r="J19" s="5">
        <v>3.5429584520191022E-2</v>
      </c>
      <c r="K19" s="5">
        <v>0.23878941472391671</v>
      </c>
      <c r="L19" s="5">
        <v>-2.032664964034506E-2</v>
      </c>
      <c r="M19" s="5">
        <v>-4.3690236156307287E-2</v>
      </c>
      <c r="N19" s="5">
        <v>0.15184358114798011</v>
      </c>
      <c r="O19" s="5">
        <v>9.2221383019457218E-2</v>
      </c>
      <c r="P19" s="5">
        <v>2.3513160824520051E-2</v>
      </c>
      <c r="Q19" s="5">
        <v>0.19716308826451989</v>
      </c>
      <c r="R19" s="5">
        <v>9.0299090630856282E-2</v>
      </c>
      <c r="S19" s="5">
        <v>0.1226918763357415</v>
      </c>
      <c r="T19" s="5">
        <v>2.7154277986299109E-2</v>
      </c>
      <c r="U19" s="5">
        <v>0.13569833863192321</v>
      </c>
      <c r="V19" s="5">
        <v>9.2688319725313148E-2</v>
      </c>
      <c r="W19" s="5">
        <v>0.1747347633022315</v>
      </c>
      <c r="X19" s="5">
        <v>0.12292366666666669</v>
      </c>
      <c r="Y19" s="5">
        <v>0.10313023893043829</v>
      </c>
      <c r="Z19" s="5">
        <v>9.1619110576023566E-2</v>
      </c>
      <c r="AA19" s="5">
        <v>-4.1570184538155738E-2</v>
      </c>
      <c r="AB19" s="5">
        <v>-0.10225360588394269</v>
      </c>
      <c r="AC19" s="5">
        <v>1.4141542708609799E-2</v>
      </c>
      <c r="AD19" s="5">
        <v>-2.399745726106059E-2</v>
      </c>
      <c r="AE19" s="5">
        <v>0.30849285792536868</v>
      </c>
      <c r="AF19" s="5">
        <v>-0.1688305807080431</v>
      </c>
      <c r="AG19" s="5">
        <v>-4.1487103444311647E-2</v>
      </c>
      <c r="AH19" s="5">
        <v>0.20415628716520959</v>
      </c>
      <c r="AI19" s="5">
        <v>-4.7766352759796363E-2</v>
      </c>
      <c r="AJ19" s="5">
        <v>-7.720270964457146E-2</v>
      </c>
      <c r="AK19" s="5">
        <v>-4.0581523113162987E-2</v>
      </c>
      <c r="AL19" s="5">
        <v>7.0270945670805551E-2</v>
      </c>
      <c r="AM19" s="5">
        <v>4.3106011811404943E-2</v>
      </c>
      <c r="AN19" s="5">
        <v>8.3568294365682083E-2</v>
      </c>
      <c r="AO19" s="5">
        <v>5.5890126129114689E-2</v>
      </c>
      <c r="AP19" s="5">
        <v>-9.7129999999999959E-3</v>
      </c>
      <c r="AQ19" s="5">
        <v>8.8252757060650652E-2</v>
      </c>
      <c r="AR19" s="5">
        <v>-7.4616833333333327E-2</v>
      </c>
      <c r="AS19" s="5">
        <v>9.7796955268314459E-2</v>
      </c>
      <c r="AT19" s="5">
        <v>0.18459366381005801</v>
      </c>
      <c r="AU19" s="5">
        <v>0.1530146264742607</v>
      </c>
      <c r="AV19" s="5">
        <v>4.2677666666666669E-2</v>
      </c>
      <c r="AW19" s="5">
        <v>-2.2356168154136491E-2</v>
      </c>
      <c r="AX19" s="5">
        <v>-0.2241237953008561</v>
      </c>
      <c r="AY19" s="5">
        <v>-6.6273242712472244E-2</v>
      </c>
      <c r="AZ19" s="5">
        <v>-0.11561152836942371</v>
      </c>
      <c r="BA19" s="5">
        <v>-3.4363883954073027E-2</v>
      </c>
      <c r="BB19" s="5">
        <v>0.20180183333333329</v>
      </c>
      <c r="BC19" s="5">
        <v>6.4055486346185769E-2</v>
      </c>
      <c r="BD19" s="5">
        <v>-3.2343926300681461E-3</v>
      </c>
      <c r="BE19" s="5">
        <v>-5.1131873963666558E-2</v>
      </c>
      <c r="BF19" s="5">
        <v>0.14180943496374171</v>
      </c>
      <c r="BG19" s="5">
        <v>-1.6343658332842171E-2</v>
      </c>
      <c r="BH19" s="5">
        <v>2.0182017014309939E-3</v>
      </c>
      <c r="BI19" s="5">
        <v>0.1012842299592162</v>
      </c>
      <c r="BJ19" s="5">
        <v>5.8912217172455733E-2</v>
      </c>
      <c r="BK19" s="5">
        <v>-6.9519036629441727E-2</v>
      </c>
      <c r="BL19" s="5">
        <v>6.3164533747019302E-2</v>
      </c>
      <c r="BM19" s="5">
        <v>3.1786264869145278E-2</v>
      </c>
      <c r="BN19" s="5">
        <v>7.2185099722501103E-2</v>
      </c>
      <c r="BO19" s="5">
        <v>-2.5728961265115379E-2</v>
      </c>
      <c r="BP19" s="5">
        <v>-1.240866666666667E-2</v>
      </c>
      <c r="BQ19" s="5">
        <v>-0.10965313493305689</v>
      </c>
      <c r="BR19" s="5">
        <v>6.6752460235200081E-3</v>
      </c>
      <c r="BS19" s="5">
        <v>3.4999319396389061E-3</v>
      </c>
      <c r="BT19" s="5">
        <v>-8.2323403677311308E-2</v>
      </c>
      <c r="BU19" s="5">
        <v>7.5936251234238056E-2</v>
      </c>
      <c r="BV19" s="5">
        <v>-0.1000853333333333</v>
      </c>
      <c r="BW19" s="5">
        <v>0.30745300680973342</v>
      </c>
      <c r="BX19" s="5">
        <v>-5.4830281560316878E-2</v>
      </c>
      <c r="BY19" s="5">
        <v>-2.767816666666666E-2</v>
      </c>
      <c r="BZ19" s="5">
        <v>-6.8702124822053873E-2</v>
      </c>
      <c r="CA19" s="5">
        <v>-2.932875522377449E-2</v>
      </c>
      <c r="CB19" s="5">
        <v>-0.12783849999999999</v>
      </c>
      <c r="CC19" s="5">
        <v>2.250566666666666E-2</v>
      </c>
      <c r="CD19" s="5">
        <v>-0.14873191328840721</v>
      </c>
      <c r="CE19" s="5">
        <v>-0.1982658291769592</v>
      </c>
      <c r="CF19" s="5">
        <v>-7.9051524970814385E-2</v>
      </c>
      <c r="CG19" s="5">
        <v>-5.7117624866957151E-2</v>
      </c>
      <c r="CH19" s="5">
        <v>4.271504374273416E-2</v>
      </c>
      <c r="CI19" s="5">
        <v>0.11073420775370441</v>
      </c>
      <c r="CJ19" s="5">
        <v>6.194049996603615E-2</v>
      </c>
      <c r="CK19" s="5">
        <v>0.1187972629573345</v>
      </c>
      <c r="CL19" s="5">
        <v>-0.1153477816387375</v>
      </c>
      <c r="CM19" s="5">
        <v>0.17534764158171501</v>
      </c>
      <c r="CN19" s="5">
        <v>7.6932654667303466E-2</v>
      </c>
      <c r="CO19" s="5">
        <v>-0.16614655777528059</v>
      </c>
      <c r="CP19" s="5">
        <v>-0.15903259898233271</v>
      </c>
      <c r="CQ19" s="5">
        <v>3.2394607516418629E-2</v>
      </c>
      <c r="CR19" s="5">
        <v>-0.17630672424619201</v>
      </c>
      <c r="CS19" s="5">
        <v>4.3775666666666657E-2</v>
      </c>
      <c r="CT19" s="5">
        <v>-2.794063718499688E-2</v>
      </c>
      <c r="CU19" s="5">
        <v>0.146607543260939</v>
      </c>
      <c r="CV19" s="5">
        <v>-7.6143500000000003E-2</v>
      </c>
      <c r="CW19" s="5">
        <v>6.0515878573037342E-2</v>
      </c>
      <c r="CX19" s="5">
        <v>-0.1481502908045049</v>
      </c>
      <c r="CY19" s="5">
        <v>-0.107892119457191</v>
      </c>
      <c r="CZ19" s="5">
        <v>-5.7499263088511957E-2</v>
      </c>
      <c r="DA19" s="5">
        <v>-5.8223876703236761E-2</v>
      </c>
      <c r="DB19" s="5">
        <v>3.572089902521567E-2</v>
      </c>
      <c r="DC19" s="5">
        <v>3.5179399902094073E-2</v>
      </c>
      <c r="DD19" s="5">
        <v>6.2011252548289514E-3</v>
      </c>
      <c r="DE19" s="5">
        <v>3.3018414655792E-2</v>
      </c>
      <c r="DF19" s="5">
        <v>2.1296342427166989E-2</v>
      </c>
      <c r="DG19" s="5">
        <v>0.12649079783752129</v>
      </c>
      <c r="DH19" s="5">
        <v>-0.22459133333333331</v>
      </c>
      <c r="DI19" s="5">
        <v>5.8647033011268501E-2</v>
      </c>
      <c r="DJ19" s="5">
        <v>-0.16525046895907189</v>
      </c>
      <c r="DK19" s="5">
        <v>-1.598428957466394E-2</v>
      </c>
      <c r="DL19" s="5">
        <v>1.198278590897381E-2</v>
      </c>
      <c r="DM19" s="5">
        <v>-4.6097902485627673E-2</v>
      </c>
      <c r="DN19" s="5">
        <v>0.17392830172854831</v>
      </c>
      <c r="DO19" s="5">
        <v>4.8705519860593828E-2</v>
      </c>
      <c r="DP19" s="5">
        <v>2.783801448299373E-2</v>
      </c>
      <c r="DQ19" s="5">
        <v>-8.0374171838075048E-2</v>
      </c>
      <c r="DR19" s="5">
        <v>-1.7545333333333329E-2</v>
      </c>
      <c r="DS19" s="5">
        <v>4.4918963151879987E-2</v>
      </c>
      <c r="DT19" s="5">
        <v>5.0332465201051654E-3</v>
      </c>
      <c r="DU19" s="5">
        <v>-0.1945194394629792</v>
      </c>
      <c r="DV19" s="5">
        <v>-7.1593386597402109E-2</v>
      </c>
      <c r="DW19" s="5">
        <v>6.0609139340684293E-2</v>
      </c>
      <c r="DX19" s="5">
        <v>9.4614193357537776E-2</v>
      </c>
      <c r="DY19" s="5">
        <v>-0.15211940960448689</v>
      </c>
      <c r="DZ19" s="5">
        <v>-7.9643568138435011E-2</v>
      </c>
      <c r="EA19" s="5">
        <v>0.23304766666666671</v>
      </c>
      <c r="EB19" s="5">
        <v>0.1087535096382525</v>
      </c>
      <c r="EC19" s="5">
        <v>-0.14377420282500911</v>
      </c>
      <c r="ED19" s="5">
        <v>-8.0285258276375129E-2</v>
      </c>
      <c r="EE19" s="5">
        <v>-2.2815885843912861E-2</v>
      </c>
      <c r="EF19" s="5">
        <v>-7.4019999999999975E-2</v>
      </c>
      <c r="EG19" s="22">
        <v>1.078E-2</v>
      </c>
      <c r="EH19" s="16">
        <v>0.11423999999999999</v>
      </c>
      <c r="EI19" s="16">
        <v>9.4369999999999996E-2</v>
      </c>
    </row>
    <row r="20" spans="1:139">
      <c r="A20" s="18">
        <v>192</v>
      </c>
      <c r="B20" s="18">
        <v>5</v>
      </c>
      <c r="C20" s="4">
        <v>1.1241331728202891E-2</v>
      </c>
      <c r="D20" s="5">
        <v>0.38202580000000003</v>
      </c>
      <c r="E20" s="5">
        <v>-0.1461249052642459</v>
      </c>
      <c r="F20" s="5">
        <v>0.2055312643331742</v>
      </c>
      <c r="G20" s="5">
        <v>-0.1171831412889391</v>
      </c>
      <c r="H20" s="5">
        <v>1.158302607857771E-2</v>
      </c>
      <c r="I20" s="5">
        <v>-0.15814956260110169</v>
      </c>
      <c r="J20" s="5">
        <v>3.4471258726856233E-2</v>
      </c>
      <c r="K20" s="5">
        <v>0.21472450376108179</v>
      </c>
      <c r="L20" s="5">
        <v>-8.9997713411883729E-3</v>
      </c>
      <c r="M20" s="5">
        <v>-7.7718228291273506E-2</v>
      </c>
      <c r="N20" s="5">
        <v>0.16814358818954389</v>
      </c>
      <c r="O20" s="5">
        <v>9.9101484144473756E-2</v>
      </c>
      <c r="P20" s="5">
        <v>4.3138678888527522E-2</v>
      </c>
      <c r="Q20" s="5">
        <v>0.21672573900297851</v>
      </c>
      <c r="R20" s="5">
        <v>0.1092530556374688</v>
      </c>
      <c r="S20" s="5">
        <v>8.2562610707287917E-2</v>
      </c>
      <c r="T20" s="5">
        <v>-1.566291051925937E-2</v>
      </c>
      <c r="U20" s="5">
        <v>0.14864968011777491</v>
      </c>
      <c r="V20" s="5">
        <v>0.1035176032046175</v>
      </c>
      <c r="W20" s="5">
        <v>0.22644366208310149</v>
      </c>
      <c r="X20" s="5">
        <v>0.15004300000000001</v>
      </c>
      <c r="Y20" s="5">
        <v>0.12896503888237379</v>
      </c>
      <c r="Z20" s="5">
        <v>0.1056169604836593</v>
      </c>
      <c r="AA20" s="5">
        <v>-2.159455338729711E-2</v>
      </c>
      <c r="AB20" s="5">
        <v>-8.4759840726173208E-2</v>
      </c>
      <c r="AC20" s="5">
        <v>4.7248262727967477E-2</v>
      </c>
      <c r="AD20" s="5">
        <v>-2.698730357067794E-2</v>
      </c>
      <c r="AE20" s="5">
        <v>0.16122120715511101</v>
      </c>
      <c r="AF20" s="5">
        <v>-0.22349781963637269</v>
      </c>
      <c r="AG20" s="5">
        <v>-3.216324888167648E-2</v>
      </c>
      <c r="AH20" s="5">
        <v>0.21664245264836079</v>
      </c>
      <c r="AI20" s="5">
        <v>-8.3279353750723401E-2</v>
      </c>
      <c r="AJ20" s="5">
        <v>-6.0725684660784138E-2</v>
      </c>
      <c r="AK20" s="5">
        <v>-8.2485150626129544E-3</v>
      </c>
      <c r="AL20" s="5">
        <v>7.2893452036976947E-2</v>
      </c>
      <c r="AM20" s="5">
        <v>3.3095980748802607E-2</v>
      </c>
      <c r="AN20" s="5">
        <v>7.5470193518998266E-2</v>
      </c>
      <c r="AO20" s="5">
        <v>4.9108294639399641E-2</v>
      </c>
      <c r="AP20" s="5">
        <v>-1.26056E-2</v>
      </c>
      <c r="AQ20" s="5">
        <v>-2.7452485332951051E-2</v>
      </c>
      <c r="AR20" s="5">
        <v>-1.3289199999999999E-2</v>
      </c>
      <c r="AS20" s="5">
        <v>0.112095809682817</v>
      </c>
      <c r="AT20" s="5">
        <v>0.23912374744507051</v>
      </c>
      <c r="AU20" s="5">
        <v>0.14307264092716551</v>
      </c>
      <c r="AV20" s="5">
        <v>7.1474400000000007E-2</v>
      </c>
      <c r="AW20" s="5">
        <v>-6.8652681791509596E-3</v>
      </c>
      <c r="AX20" s="5">
        <v>-0.20433921996054669</v>
      </c>
      <c r="AY20" s="5">
        <v>8.2057636017566535E-2</v>
      </c>
      <c r="AZ20" s="5">
        <v>-0.15627400770666389</v>
      </c>
      <c r="BA20" s="5">
        <v>-3.6798864860540501E-2</v>
      </c>
      <c r="BB20" s="5">
        <v>0.23121340000000001</v>
      </c>
      <c r="BC20" s="5">
        <v>7.0605567677740205E-2</v>
      </c>
      <c r="BD20" s="5">
        <v>-5.3429813221597323E-2</v>
      </c>
      <c r="BE20" s="5">
        <v>5.9467971392603326E-3</v>
      </c>
      <c r="BF20" s="5">
        <v>0.13797126306897531</v>
      </c>
      <c r="BG20" s="5">
        <v>-6.9261427086933884E-3</v>
      </c>
      <c r="BH20" s="5">
        <v>-7.1606447114111002E-2</v>
      </c>
      <c r="BI20" s="5">
        <v>0.1142556657345235</v>
      </c>
      <c r="BJ20" s="5">
        <v>4.9139783811273992E-2</v>
      </c>
      <c r="BK20" s="5">
        <v>-0.1025982841544454</v>
      </c>
      <c r="BL20" s="5">
        <v>6.9859441937220601E-2</v>
      </c>
      <c r="BM20" s="5">
        <v>4.7468551464188873E-2</v>
      </c>
      <c r="BN20" s="5">
        <v>8.5664631441180417E-2</v>
      </c>
      <c r="BO20" s="5">
        <v>3.8461717515979203E-2</v>
      </c>
      <c r="BP20" s="5">
        <v>7.2838000000000009E-3</v>
      </c>
      <c r="BQ20" s="5">
        <v>-0.1086002675592522</v>
      </c>
      <c r="BR20" s="5">
        <v>1.207363173047259E-2</v>
      </c>
      <c r="BS20" s="5">
        <v>3.2536197724856143E-2</v>
      </c>
      <c r="BT20" s="5">
        <v>-9.6530501214455888E-2</v>
      </c>
      <c r="BU20" s="5">
        <v>9.8754949367706665E-2</v>
      </c>
      <c r="BV20" s="5">
        <v>-0.13370979999999999</v>
      </c>
      <c r="BW20" s="5">
        <v>0.35182955004840472</v>
      </c>
      <c r="BX20" s="5">
        <v>-5.7988018276030777E-2</v>
      </c>
      <c r="BY20" s="5">
        <v>-4.3187799999999998E-2</v>
      </c>
      <c r="BZ20" s="5">
        <v>-9.02714042602836E-2</v>
      </c>
      <c r="CA20" s="5">
        <v>-4.0102728051752932E-2</v>
      </c>
      <c r="CB20" s="5">
        <v>-0.12649540000000001</v>
      </c>
      <c r="CC20" s="5">
        <v>1.2914800000000001E-2</v>
      </c>
      <c r="CD20" s="5">
        <v>-0.1888595125433957</v>
      </c>
      <c r="CE20" s="5">
        <v>-0.2439637954697331</v>
      </c>
      <c r="CF20" s="5">
        <v>-0.1057848892760917</v>
      </c>
      <c r="CG20" s="5">
        <v>-7.597024074310807E-2</v>
      </c>
      <c r="CH20" s="5">
        <v>2.219522902413288E-2</v>
      </c>
      <c r="CI20" s="5">
        <v>8.5208202435075389E-2</v>
      </c>
      <c r="CJ20" s="5">
        <v>0.123440319887351</v>
      </c>
      <c r="CK20" s="5">
        <v>8.0589623940621552E-2</v>
      </c>
      <c r="CL20" s="5">
        <v>-0.14931315063025169</v>
      </c>
      <c r="CM20" s="5">
        <v>0.18905116517062071</v>
      </c>
      <c r="CN20" s="5">
        <v>-2.215941137048465E-2</v>
      </c>
      <c r="CO20" s="5">
        <v>-0.22851820318154101</v>
      </c>
      <c r="CP20" s="5">
        <v>-0.1920312051090273</v>
      </c>
      <c r="CQ20" s="5">
        <v>2.3118045300283038E-2</v>
      </c>
      <c r="CR20" s="5">
        <v>-0.1954861104849421</v>
      </c>
      <c r="CS20" s="5">
        <v>2.2293799999999999E-2</v>
      </c>
      <c r="CT20" s="5">
        <v>-1.807671077983496E-2</v>
      </c>
      <c r="CU20" s="5">
        <v>0.14672800907162681</v>
      </c>
      <c r="CV20" s="5">
        <v>-9.7004200000000013E-2</v>
      </c>
      <c r="CW20" s="5">
        <v>6.7903708174845409E-2</v>
      </c>
      <c r="CX20" s="5">
        <v>-0.14515418799986671</v>
      </c>
      <c r="CY20" s="5">
        <v>-0.1009666571118235</v>
      </c>
      <c r="CZ20" s="5">
        <v>-1.306263386233056E-2</v>
      </c>
      <c r="DA20" s="5">
        <v>-4.7471893155177573E-2</v>
      </c>
      <c r="DB20" s="5">
        <v>5.6902709757134122E-2</v>
      </c>
      <c r="DC20" s="5">
        <v>4.9613069235555772E-2</v>
      </c>
      <c r="DD20" s="5">
        <v>3.597184756950339E-3</v>
      </c>
      <c r="DE20" s="5">
        <v>1.0418721606852799E-2</v>
      </c>
      <c r="DF20" s="5">
        <v>4.5499958490798388E-2</v>
      </c>
      <c r="DG20" s="5">
        <v>0.1240733079841211</v>
      </c>
      <c r="DH20" s="5">
        <v>-0.27829959999999998</v>
      </c>
      <c r="DI20" s="5">
        <v>7.4248335592093345E-2</v>
      </c>
      <c r="DJ20" s="5">
        <v>-0.1365580924326974</v>
      </c>
      <c r="DK20" s="5">
        <v>-2.0765658487994779E-2</v>
      </c>
      <c r="DL20" s="5">
        <v>1.9465373333619789E-2</v>
      </c>
      <c r="DM20" s="5">
        <v>4.2864774108345972E-2</v>
      </c>
      <c r="DN20" s="5">
        <v>0.18323473362116879</v>
      </c>
      <c r="DO20" s="5">
        <v>4.9820854676895968E-2</v>
      </c>
      <c r="DP20" s="5">
        <v>9.8305313908873052E-3</v>
      </c>
      <c r="DQ20" s="5">
        <v>-5.7460181624700082E-2</v>
      </c>
      <c r="DR20" s="5">
        <v>-5.5557799999999997E-2</v>
      </c>
      <c r="DS20" s="5">
        <v>-6.9792757898282515E-2</v>
      </c>
      <c r="DT20" s="5">
        <v>-2.968533879884255E-2</v>
      </c>
      <c r="DU20" s="5">
        <v>-0.27264432784194559</v>
      </c>
      <c r="DV20" s="5">
        <v>-0.10204218118247529</v>
      </c>
      <c r="DW20" s="5">
        <v>6.9060203958039607E-2</v>
      </c>
      <c r="DX20" s="5">
        <v>9.7851218204725254E-2</v>
      </c>
      <c r="DY20" s="5">
        <v>-0.1874018300391932</v>
      </c>
      <c r="DZ20" s="5">
        <v>1.8115126512382701E-2</v>
      </c>
      <c r="EA20" s="5">
        <v>0.29369119999999999</v>
      </c>
      <c r="EB20" s="5">
        <v>8.2407142444419712E-2</v>
      </c>
      <c r="EC20" s="5">
        <v>-0.13100614576206751</v>
      </c>
      <c r="ED20" s="5">
        <v>-5.7827564200198737E-2</v>
      </c>
      <c r="EE20" s="5">
        <v>-2.0017587297018819E-2</v>
      </c>
      <c r="EF20" s="5">
        <v>-8.5799999999999987E-2</v>
      </c>
      <c r="EG20" s="22">
        <v>9.8499999999999994E-3</v>
      </c>
      <c r="EH20" s="16">
        <v>0.12330000000000001</v>
      </c>
      <c r="EI20" s="16">
        <v>7.9869999999999997E-2</v>
      </c>
    </row>
    <row r="21" spans="1:139">
      <c r="A21" s="18">
        <v>241</v>
      </c>
      <c r="B21" s="18">
        <v>4</v>
      </c>
      <c r="C21" s="4">
        <v>1.038483447742689E-2</v>
      </c>
      <c r="D21" s="5">
        <v>0.126389</v>
      </c>
      <c r="E21" s="5">
        <v>-4.3717554879721017E-2</v>
      </c>
      <c r="F21" s="5">
        <v>0.18403858160612999</v>
      </c>
      <c r="G21" s="5">
        <v>-0.14384215111256449</v>
      </c>
      <c r="H21" s="5">
        <v>-3.7844077028292407E-2</v>
      </c>
      <c r="I21" s="5">
        <v>-0.14725560812747299</v>
      </c>
      <c r="J21" s="5">
        <v>6.0435325691642318E-2</v>
      </c>
      <c r="K21" s="5">
        <v>0.2068800260033955</v>
      </c>
      <c r="L21" s="5">
        <v>-5.7226166864944403E-2</v>
      </c>
      <c r="M21" s="5">
        <v>-9.9684593408211258E-2</v>
      </c>
      <c r="N21" s="5">
        <v>0.13905067586079981</v>
      </c>
      <c r="O21" s="5">
        <v>0.1297824585303535</v>
      </c>
      <c r="P21" s="5">
        <v>3.9891722860102737E-2</v>
      </c>
      <c r="Q21" s="5">
        <v>0.25731007409425227</v>
      </c>
      <c r="R21" s="5">
        <v>9.5575311106630215E-2</v>
      </c>
      <c r="S21" s="5">
        <v>0.2091594754749645</v>
      </c>
      <c r="T21" s="5">
        <v>1.4040364340204919E-2</v>
      </c>
      <c r="U21" s="5">
        <v>8.6278417611758002E-2</v>
      </c>
      <c r="V21" s="5">
        <v>0.10537077038935461</v>
      </c>
      <c r="W21" s="5">
        <v>0.32292054868818693</v>
      </c>
      <c r="X21" s="5">
        <v>0.20780100000000001</v>
      </c>
      <c r="Y21" s="5">
        <v>9.2729223946204448E-2</v>
      </c>
      <c r="Z21" s="5">
        <v>0.1142039872227245</v>
      </c>
      <c r="AA21" s="5">
        <v>1.9491043540093941E-2</v>
      </c>
      <c r="AB21" s="5">
        <v>-0.1298395823970698</v>
      </c>
      <c r="AC21" s="5">
        <v>1.882773670680014E-2</v>
      </c>
      <c r="AD21" s="5">
        <v>2.593327599743489E-2</v>
      </c>
      <c r="AE21" s="5">
        <v>0.12810497879624591</v>
      </c>
      <c r="AF21" s="5">
        <v>-0.29514425808336342</v>
      </c>
      <c r="AG21" s="5">
        <v>-1.10465721064439E-2</v>
      </c>
      <c r="AH21" s="5">
        <v>0.2403512556587668</v>
      </c>
      <c r="AI21" s="5">
        <v>-6.7729680595151026E-2</v>
      </c>
      <c r="AJ21" s="5">
        <v>-7.8941164011699164E-2</v>
      </c>
      <c r="AK21" s="5">
        <v>1.8318368909312599E-2</v>
      </c>
      <c r="AL21" s="5">
        <v>6.5379822733110632E-2</v>
      </c>
      <c r="AM21" s="5">
        <v>6.8535807447630548E-2</v>
      </c>
      <c r="AN21" s="5">
        <v>0.11195605606309431</v>
      </c>
      <c r="AO21" s="5">
        <v>8.5567774913887312E-2</v>
      </c>
      <c r="AP21" s="5">
        <v>-1.8943749999999999E-2</v>
      </c>
      <c r="AQ21" s="5">
        <v>-7.6865507010547632E-2</v>
      </c>
      <c r="AR21" s="5">
        <v>4.7988250000000003E-2</v>
      </c>
      <c r="AS21" s="5">
        <v>6.4455868646629361E-2</v>
      </c>
      <c r="AT21" s="5">
        <v>0.26483825754799722</v>
      </c>
      <c r="AU21" s="5">
        <v>6.3455329613280029E-2</v>
      </c>
      <c r="AV21" s="5">
        <v>5.0899250000000007E-2</v>
      </c>
      <c r="AW21" s="5">
        <v>-9.7910299540974015E-3</v>
      </c>
      <c r="AX21" s="5">
        <v>-0.21771830251703739</v>
      </c>
      <c r="AY21" s="5">
        <v>6.5722294732506903E-2</v>
      </c>
      <c r="AZ21" s="5">
        <v>-9.3059394128593209E-2</v>
      </c>
      <c r="BA21" s="5">
        <v>-7.1032181648085849E-2</v>
      </c>
      <c r="BB21" s="5">
        <v>0.29451325</v>
      </c>
      <c r="BC21" s="5">
        <v>3.8321147725193863E-2</v>
      </c>
      <c r="BD21" s="5">
        <v>-2.1750863370627919E-2</v>
      </c>
      <c r="BE21" s="5">
        <v>-6.3505333974014731E-3</v>
      </c>
      <c r="BF21" s="5">
        <v>0.19911721643060321</v>
      </c>
      <c r="BG21" s="5">
        <v>3.6635189216812601E-2</v>
      </c>
      <c r="BH21" s="5">
        <v>-7.6321363138755302E-2</v>
      </c>
      <c r="BI21" s="5">
        <v>0.15387464609225671</v>
      </c>
      <c r="BJ21" s="5">
        <v>3.1982514410992063E-2</v>
      </c>
      <c r="BK21" s="5">
        <v>-8.2973161890065844E-2</v>
      </c>
      <c r="BL21" s="5">
        <v>8.7340790467698257E-2</v>
      </c>
      <c r="BM21" s="5">
        <v>4.0795286028720637E-2</v>
      </c>
      <c r="BN21" s="5">
        <v>0.18824750259238801</v>
      </c>
      <c r="BO21" s="5">
        <v>6.3857236413680254E-2</v>
      </c>
      <c r="BP21" s="5">
        <v>-4.1799999999999997E-3</v>
      </c>
      <c r="BQ21" s="5">
        <v>-7.2890743034343203E-2</v>
      </c>
      <c r="BR21" s="5">
        <v>1.232386218386442E-2</v>
      </c>
      <c r="BS21" s="5">
        <v>6.5741820960347419E-2</v>
      </c>
      <c r="BT21" s="5">
        <v>-9.2952203348257254E-2</v>
      </c>
      <c r="BU21" s="5">
        <v>0.1354964621985692</v>
      </c>
      <c r="BV21" s="5">
        <v>-1.924025E-2</v>
      </c>
      <c r="BW21" s="5">
        <v>0.18446067072040909</v>
      </c>
      <c r="BX21" s="5">
        <v>-8.8379334787638542E-2</v>
      </c>
      <c r="BY21" s="5">
        <v>-1.4919750000000009E-2</v>
      </c>
      <c r="BZ21" s="5">
        <v>-4.7662928720715619E-2</v>
      </c>
      <c r="CA21" s="5">
        <v>-6.0517603302398457E-2</v>
      </c>
      <c r="CB21" s="5">
        <v>-0.20787025000000001</v>
      </c>
      <c r="CC21" s="5">
        <v>-8.0194999999999989E-3</v>
      </c>
      <c r="CD21" s="5">
        <v>-0.15078839020228069</v>
      </c>
      <c r="CE21" s="5">
        <v>-0.39507594246504552</v>
      </c>
      <c r="CF21" s="5">
        <v>-0.1145261576111684</v>
      </c>
      <c r="CG21" s="5">
        <v>-8.508533547413108E-2</v>
      </c>
      <c r="CH21" s="5">
        <v>0.15662644062696859</v>
      </c>
      <c r="CI21" s="5">
        <v>7.3182727074998788E-2</v>
      </c>
      <c r="CJ21" s="5">
        <v>8.5627757016502298E-2</v>
      </c>
      <c r="CK21" s="5">
        <v>6.7159630296855705E-2</v>
      </c>
      <c r="CL21" s="5">
        <v>-0.18743312154072689</v>
      </c>
      <c r="CM21" s="5">
        <v>0.2255029884033713</v>
      </c>
      <c r="CN21" s="5">
        <v>-3.05388902037756E-2</v>
      </c>
      <c r="CO21" s="5">
        <v>-0.23779198113939251</v>
      </c>
      <c r="CP21" s="5">
        <v>-0.22270006087791269</v>
      </c>
      <c r="CQ21" s="5">
        <v>2.2912194169496192E-2</v>
      </c>
      <c r="CR21" s="5">
        <v>-0.23905996636126789</v>
      </c>
      <c r="CS21" s="5">
        <v>3.0907250000000001E-2</v>
      </c>
      <c r="CT21" s="5">
        <v>-8.6072556871396061E-2</v>
      </c>
      <c r="CU21" s="5">
        <v>0.1589166223174501</v>
      </c>
      <c r="CV21" s="5">
        <v>-0.13162774999999999</v>
      </c>
      <c r="CW21" s="5">
        <v>3.8345516871682743E-2</v>
      </c>
      <c r="CX21" s="5">
        <v>-0.15696884691161159</v>
      </c>
      <c r="CY21" s="5">
        <v>-0.15245230624531919</v>
      </c>
      <c r="CZ21" s="5">
        <v>-1.3847206411700621E-2</v>
      </c>
      <c r="DA21" s="5">
        <v>1.192256456731756E-3</v>
      </c>
      <c r="DB21" s="5">
        <v>5.1624433676154581E-2</v>
      </c>
      <c r="DC21" s="5">
        <v>4.5047559223290658E-2</v>
      </c>
      <c r="DD21" s="5">
        <v>2.8187943910707451E-3</v>
      </c>
      <c r="DE21" s="5">
        <v>2.897773706032665E-2</v>
      </c>
      <c r="DF21" s="5">
        <v>0.1488089024897431</v>
      </c>
      <c r="DG21" s="5">
        <v>0.14818493113172959</v>
      </c>
      <c r="DH21" s="5">
        <v>-8.1436999999999996E-2</v>
      </c>
      <c r="DI21" s="5">
        <v>9.0149202717820648E-2</v>
      </c>
      <c r="DJ21" s="5">
        <v>-0.1566057184636416</v>
      </c>
      <c r="DK21" s="5">
        <v>-2.0966062152018541E-2</v>
      </c>
      <c r="DL21" s="5">
        <v>1.273699150101321E-2</v>
      </c>
      <c r="DM21" s="5">
        <v>-4.2545640208855387E-3</v>
      </c>
      <c r="DN21" s="5">
        <v>0.22029564086452741</v>
      </c>
      <c r="DO21" s="5">
        <v>-1.8558809057787451E-2</v>
      </c>
      <c r="DP21" s="5">
        <v>2.426615509356601E-2</v>
      </c>
      <c r="DQ21" s="5">
        <v>-7.0422698808183373E-2</v>
      </c>
      <c r="DR21" s="5">
        <v>-5.355675E-2</v>
      </c>
      <c r="DS21" s="5">
        <v>-8.4605433605535907E-2</v>
      </c>
      <c r="DT21" s="5">
        <v>-5.2151903466792276E-3</v>
      </c>
      <c r="DU21" s="5">
        <v>-0.3398066388575679</v>
      </c>
      <c r="DV21" s="5">
        <v>-0.15489825112990471</v>
      </c>
      <c r="DW21" s="5">
        <v>0.12824786866412111</v>
      </c>
      <c r="DX21" s="5">
        <v>0.1168288898747825</v>
      </c>
      <c r="DY21" s="5">
        <v>-0.22566188118798919</v>
      </c>
      <c r="DZ21" s="5">
        <v>0.17989102172490029</v>
      </c>
      <c r="EA21" s="5">
        <v>0.26605774999999998</v>
      </c>
      <c r="EB21" s="5">
        <v>2.6302193998533951E-2</v>
      </c>
      <c r="EC21" s="5">
        <v>-0.14009401795222581</v>
      </c>
      <c r="ED21" s="5">
        <v>0.12915520333718639</v>
      </c>
      <c r="EE21" s="5">
        <v>1.095594540687448E-2</v>
      </c>
      <c r="EF21" s="5">
        <v>-2.8794500000000001E-2</v>
      </c>
      <c r="EG21" s="22">
        <v>1.323E-2</v>
      </c>
      <c r="EH21" s="16">
        <v>0.13159999999999999</v>
      </c>
      <c r="EI21" s="16">
        <v>0.10054</v>
      </c>
    </row>
    <row r="22" spans="1:139">
      <c r="A22" s="18">
        <v>321</v>
      </c>
      <c r="B22" s="18">
        <v>3</v>
      </c>
      <c r="C22" s="4">
        <v>2.5922326608526759E-2</v>
      </c>
      <c r="D22" s="5">
        <v>0.1424293333333333</v>
      </c>
      <c r="E22" s="5">
        <v>-2.2230412259238129E-2</v>
      </c>
      <c r="F22" s="5">
        <v>6.7831060921277567E-2</v>
      </c>
      <c r="G22" s="5">
        <v>-0.1038843632903341</v>
      </c>
      <c r="H22" s="5">
        <v>-0.22980554449140059</v>
      </c>
      <c r="I22" s="5">
        <v>-0.12349316933806979</v>
      </c>
      <c r="J22" s="5">
        <v>5.2598589265342909E-2</v>
      </c>
      <c r="K22" s="5">
        <v>0.2453659126827557</v>
      </c>
      <c r="L22" s="5">
        <v>-0.1074871686512418</v>
      </c>
      <c r="M22" s="5">
        <v>-7.4100058770572547E-2</v>
      </c>
      <c r="N22" s="5">
        <v>9.8030860807632764E-2</v>
      </c>
      <c r="O22" s="5">
        <v>0.1434803460042724</v>
      </c>
      <c r="P22" s="5">
        <v>4.28584885189899E-2</v>
      </c>
      <c r="Q22" s="5">
        <v>0.27677689383305182</v>
      </c>
      <c r="R22" s="5">
        <v>3.6628434271588052E-2</v>
      </c>
      <c r="S22" s="5">
        <v>0.24705662952972959</v>
      </c>
      <c r="T22" s="5">
        <v>2.023861247683403E-2</v>
      </c>
      <c r="U22" s="5">
        <v>0.11059002340250421</v>
      </c>
      <c r="V22" s="5">
        <v>5.7024134634289667E-2</v>
      </c>
      <c r="W22" s="5">
        <v>0.34619348529924859</v>
      </c>
      <c r="X22" s="5">
        <v>0.25720199999999999</v>
      </c>
      <c r="Y22" s="5">
        <v>4.7938332179768291E-2</v>
      </c>
      <c r="Z22" s="5">
        <v>7.5548269145846045E-2</v>
      </c>
      <c r="AA22" s="5">
        <v>7.0480168868567589E-3</v>
      </c>
      <c r="AB22" s="5">
        <v>-0.13443621271332551</v>
      </c>
      <c r="AC22" s="5">
        <v>8.5776460715432462E-2</v>
      </c>
      <c r="AD22" s="5">
        <v>1.859374921466125E-2</v>
      </c>
      <c r="AE22" s="5">
        <v>0.13082384281633419</v>
      </c>
      <c r="AF22" s="5">
        <v>-0.42991676804861201</v>
      </c>
      <c r="AG22" s="5">
        <v>-1.0812100566842311E-2</v>
      </c>
      <c r="AH22" s="5">
        <v>0.24762224616340131</v>
      </c>
      <c r="AI22" s="5">
        <v>-6.7392901011186057E-2</v>
      </c>
      <c r="AJ22" s="5">
        <v>-4.586612949815471E-2</v>
      </c>
      <c r="AK22" s="5">
        <v>7.8575768704914215E-2</v>
      </c>
      <c r="AL22" s="5">
        <v>4.0340966806900407E-2</v>
      </c>
      <c r="AM22" s="5">
        <v>8.4088903467703563E-2</v>
      </c>
      <c r="AN22" s="5">
        <v>0.1111328096635593</v>
      </c>
      <c r="AO22" s="5">
        <v>0.1581528752937269</v>
      </c>
      <c r="AP22" s="5">
        <v>-2.0493333333333329E-2</v>
      </c>
      <c r="AQ22" s="5">
        <v>-7.9426117478593142E-2</v>
      </c>
      <c r="AR22" s="5">
        <v>6.7924666666666661E-2</v>
      </c>
      <c r="AS22" s="5">
        <v>8.2810438898549957E-2</v>
      </c>
      <c r="AT22" s="5">
        <v>1.7728370994436651E-2</v>
      </c>
      <c r="AU22" s="5">
        <v>0.1099145973181844</v>
      </c>
      <c r="AV22" s="5">
        <v>5.9647666666666682E-2</v>
      </c>
      <c r="AW22" s="5">
        <v>3.014938920700894E-2</v>
      </c>
      <c r="AX22" s="5">
        <v>9.875186005693877E-3</v>
      </c>
      <c r="AY22" s="5">
        <v>9.8456276129363446E-2</v>
      </c>
      <c r="AZ22" s="5">
        <v>-0.2274854962334536</v>
      </c>
      <c r="BA22" s="5">
        <v>-4.5598425167461952E-2</v>
      </c>
      <c r="BB22" s="5">
        <v>0.36955133333333329</v>
      </c>
      <c r="BC22" s="5">
        <v>-0.13083693812295519</v>
      </c>
      <c r="BD22" s="5">
        <v>-2.2174181465828179E-2</v>
      </c>
      <c r="BE22" s="5">
        <v>-2.221618339448047E-2</v>
      </c>
      <c r="BF22" s="5">
        <v>0.1991024485484385</v>
      </c>
      <c r="BG22" s="5">
        <v>4.6279512168386029E-2</v>
      </c>
      <c r="BH22" s="5">
        <v>-0.12796054233813189</v>
      </c>
      <c r="BI22" s="5">
        <v>8.731805917717568E-2</v>
      </c>
      <c r="BJ22" s="5">
        <v>-1.023397544910358E-2</v>
      </c>
      <c r="BK22" s="5">
        <v>-2.085475532976656E-2</v>
      </c>
      <c r="BL22" s="5">
        <v>0.13947139040086359</v>
      </c>
      <c r="BM22" s="5">
        <v>2.4304832455331882E-3</v>
      </c>
      <c r="BN22" s="5">
        <v>-2.851880646397522E-2</v>
      </c>
      <c r="BO22" s="5">
        <v>5.0484429112750417E-2</v>
      </c>
      <c r="BP22" s="5">
        <v>-5.4000000000000055E-4</v>
      </c>
      <c r="BQ22" s="5">
        <v>-9.1228191194409197E-2</v>
      </c>
      <c r="BR22" s="5">
        <v>2.081360946645289E-2</v>
      </c>
      <c r="BS22" s="5">
        <v>9.7047589704545023E-2</v>
      </c>
      <c r="BT22" s="5">
        <v>6.7143215417725319E-2</v>
      </c>
      <c r="BU22" s="5">
        <v>0.21294876613801031</v>
      </c>
      <c r="BV22" s="5">
        <v>-6.806666666666697E-4</v>
      </c>
      <c r="BW22" s="5">
        <v>0.1321717915357814</v>
      </c>
      <c r="BX22" s="5">
        <v>-0.15293737024999199</v>
      </c>
      <c r="BY22" s="5">
        <v>3.2350333333333328E-2</v>
      </c>
      <c r="BZ22" s="5">
        <v>-4.725773586289217E-2</v>
      </c>
      <c r="CA22" s="5">
        <v>-2.749007848032349E-2</v>
      </c>
      <c r="CB22" s="5">
        <v>-0.25474000000000002</v>
      </c>
      <c r="CC22" s="5">
        <v>-0.12510499999999999</v>
      </c>
      <c r="CD22" s="5">
        <v>-0.31577166020284902</v>
      </c>
      <c r="CE22" s="5">
        <v>-0.39338733910427809</v>
      </c>
      <c r="CF22" s="5">
        <v>-0.1007703570340648</v>
      </c>
      <c r="CG22" s="5">
        <v>-0.207085332633513</v>
      </c>
      <c r="CH22" s="5">
        <v>0.1536062848095433</v>
      </c>
      <c r="CI22" s="5">
        <v>6.4617322810374245E-2</v>
      </c>
      <c r="CJ22" s="5">
        <v>0.1033795050895627</v>
      </c>
      <c r="CK22" s="5">
        <v>0.1109235402867822</v>
      </c>
      <c r="CL22" s="5">
        <v>-9.499701202354538E-2</v>
      </c>
      <c r="CM22" s="5">
        <v>0.32043200365782532</v>
      </c>
      <c r="CN22" s="5">
        <v>8.5467718209073992E-3</v>
      </c>
      <c r="CO22" s="5">
        <v>-0.18528575790522681</v>
      </c>
      <c r="CP22" s="5">
        <v>-0.25940855696940252</v>
      </c>
      <c r="CQ22" s="5">
        <v>1.7159615519123799E-2</v>
      </c>
      <c r="CR22" s="5">
        <v>-0.24677276999188669</v>
      </c>
      <c r="CS22" s="5">
        <v>2.443933333333333E-2</v>
      </c>
      <c r="CT22" s="5">
        <v>-0.1260913781887717</v>
      </c>
      <c r="CU22" s="5">
        <v>0.16735391118636819</v>
      </c>
      <c r="CV22" s="5">
        <v>-0.18304533333333339</v>
      </c>
      <c r="CW22" s="5">
        <v>2.2884042331984721E-2</v>
      </c>
      <c r="CX22" s="5">
        <v>-5.4293295473803682E-2</v>
      </c>
      <c r="CY22" s="5">
        <v>-0.16243986871344671</v>
      </c>
      <c r="CZ22" s="5">
        <v>-7.58724644113902E-3</v>
      </c>
      <c r="DA22" s="5">
        <v>-3.9917538819241108E-3</v>
      </c>
      <c r="DB22" s="5">
        <v>5.8383506828492103E-2</v>
      </c>
      <c r="DC22" s="5">
        <v>2.0724784444157599E-2</v>
      </c>
      <c r="DD22" s="5">
        <v>3.1710169125825367E-2</v>
      </c>
      <c r="DE22" s="5">
        <v>-1.7756503501932811E-2</v>
      </c>
      <c r="DF22" s="5">
        <v>9.7071705636226913E-2</v>
      </c>
      <c r="DG22" s="5">
        <v>8.8121410503063616E-2</v>
      </c>
      <c r="DH22" s="5">
        <v>-8.1455333333333324E-2</v>
      </c>
      <c r="DI22" s="5">
        <v>8.1105543840270106E-2</v>
      </c>
      <c r="DJ22" s="5">
        <v>-0.15369976283032971</v>
      </c>
      <c r="DK22" s="5">
        <v>-2.3346176632961561E-2</v>
      </c>
      <c r="DL22" s="5">
        <v>3.213330743138731E-3</v>
      </c>
      <c r="DM22" s="5">
        <v>-4.2676549116040817E-2</v>
      </c>
      <c r="DN22" s="5">
        <v>0.30537502827220309</v>
      </c>
      <c r="DO22" s="5">
        <v>2.3768668287448849E-2</v>
      </c>
      <c r="DP22" s="5">
        <v>1.022725785290381E-2</v>
      </c>
      <c r="DQ22" s="5">
        <v>-0.16540416654463991</v>
      </c>
      <c r="DR22" s="5">
        <v>-7.1235999999999994E-2</v>
      </c>
      <c r="DS22" s="5">
        <v>-0.12952383936920511</v>
      </c>
      <c r="DT22" s="5">
        <v>2.712875397817005E-2</v>
      </c>
      <c r="DU22" s="5">
        <v>-0.37526887234197209</v>
      </c>
      <c r="DV22" s="5">
        <v>-0.15706236954975081</v>
      </c>
      <c r="DW22" s="5">
        <v>7.838972370699715E-2</v>
      </c>
      <c r="DX22" s="5">
        <v>0.1643521240415392</v>
      </c>
      <c r="DY22" s="5">
        <v>-0.31775437236448251</v>
      </c>
      <c r="DZ22" s="5">
        <v>0.16562624622575561</v>
      </c>
      <c r="EA22" s="5">
        <v>0.14035633333333331</v>
      </c>
      <c r="EB22" s="5">
        <v>0.12976595030606911</v>
      </c>
      <c r="EC22" s="5">
        <v>2.8428811778050931E-2</v>
      </c>
      <c r="ED22" s="5">
        <v>0.18368198650415579</v>
      </c>
      <c r="EE22" s="5">
        <v>3.5899357196068807E-2</v>
      </c>
      <c r="EF22" s="5">
        <v>-3.6592666666666662E-2</v>
      </c>
      <c r="EG22" s="22">
        <v>8.6400000000000001E-3</v>
      </c>
      <c r="EH22" s="16">
        <v>0.14474999999999999</v>
      </c>
      <c r="EI22" s="16">
        <v>5.9709999999999999E-2</v>
      </c>
    </row>
    <row r="23" spans="1:139">
      <c r="A23" s="18">
        <v>482</v>
      </c>
      <c r="B23" s="18">
        <v>2</v>
      </c>
      <c r="C23" s="4">
        <v>3.1325684581971477E-2</v>
      </c>
      <c r="D23" s="5">
        <v>0.25409399999999999</v>
      </c>
      <c r="E23" s="5">
        <v>-1.5061587686965401E-2</v>
      </c>
      <c r="F23" s="5">
        <v>0.1823960753208787</v>
      </c>
      <c r="G23" s="5">
        <v>2.6971568524368019E-2</v>
      </c>
      <c r="H23" s="5">
        <v>-0.2628102412014528</v>
      </c>
      <c r="I23" s="5">
        <v>-0.148152028600294</v>
      </c>
      <c r="J23" s="5">
        <v>-9.8162291146452377E-2</v>
      </c>
      <c r="K23" s="5">
        <v>0.14260757512465491</v>
      </c>
      <c r="L23" s="5">
        <v>-0.23244436104246219</v>
      </c>
      <c r="M23" s="5">
        <v>-0.2584499163586424</v>
      </c>
      <c r="N23" s="5">
        <v>0.12680001369232849</v>
      </c>
      <c r="O23" s="5">
        <v>0.20456437797300209</v>
      </c>
      <c r="P23" s="5">
        <v>1.068350475974675E-2</v>
      </c>
      <c r="Q23" s="5">
        <v>-5.95680169005205E-2</v>
      </c>
      <c r="R23" s="5">
        <v>5.6211143313255052E-2</v>
      </c>
      <c r="S23" s="5">
        <v>0.16929499991324401</v>
      </c>
      <c r="T23" s="5">
        <v>3.733692084787466E-4</v>
      </c>
      <c r="U23" s="5">
        <v>9.3757422440794366E-2</v>
      </c>
      <c r="V23" s="5">
        <v>-6.3357010979066042E-2</v>
      </c>
      <c r="W23" s="5">
        <v>0.50391933118531074</v>
      </c>
      <c r="X23" s="5">
        <v>0.19455600000000001</v>
      </c>
      <c r="Y23" s="5">
        <v>7.588763428678244E-3</v>
      </c>
      <c r="Z23" s="5">
        <v>3.3032515443875303E-2</v>
      </c>
      <c r="AA23" s="5">
        <v>6.6062919694702682E-3</v>
      </c>
      <c r="AB23" s="5">
        <v>-6.4039779876783498E-2</v>
      </c>
      <c r="AC23" s="5">
        <v>0.1687547996369127</v>
      </c>
      <c r="AD23" s="5">
        <v>2.9952915704841848E-3</v>
      </c>
      <c r="AE23" s="5">
        <v>0.13721198875766</v>
      </c>
      <c r="AF23" s="5">
        <v>-0.32465932564021122</v>
      </c>
      <c r="AG23" s="5">
        <v>0.145893892939672</v>
      </c>
      <c r="AH23" s="5">
        <v>-0.1356489203506672</v>
      </c>
      <c r="AI23" s="5">
        <v>-7.5450169739462281E-2</v>
      </c>
      <c r="AJ23" s="5">
        <v>1.6962455385149559E-2</v>
      </c>
      <c r="AK23" s="5">
        <v>9.1199224275259672E-2</v>
      </c>
      <c r="AL23" s="5">
        <v>0.1314317131925356</v>
      </c>
      <c r="AM23" s="5">
        <v>7.769489004865255E-3</v>
      </c>
      <c r="AN23" s="5">
        <v>0.24231469935730071</v>
      </c>
      <c r="AO23" s="5">
        <v>9.078247952961746E-2</v>
      </c>
      <c r="AP23" s="5">
        <v>0.16526650000000001</v>
      </c>
      <c r="AQ23" s="5">
        <v>-8.9424992259610633E-2</v>
      </c>
      <c r="AR23" s="5">
        <v>0.14613599999999999</v>
      </c>
      <c r="AS23" s="5">
        <v>-1.470688799737762E-2</v>
      </c>
      <c r="AT23" s="5">
        <v>0.1095059029649002</v>
      </c>
      <c r="AU23" s="5">
        <v>0.20359589118158589</v>
      </c>
      <c r="AV23" s="5">
        <v>-9.6755999999999995E-2</v>
      </c>
      <c r="AW23" s="5">
        <v>5.202690983840276E-2</v>
      </c>
      <c r="AX23" s="5">
        <v>1.4812779008540821E-2</v>
      </c>
      <c r="AY23" s="5">
        <v>5.8139600106789993E-2</v>
      </c>
      <c r="AZ23" s="5">
        <v>-0.31598452125580129</v>
      </c>
      <c r="BA23" s="5">
        <v>9.6467800801007808E-3</v>
      </c>
      <c r="BB23" s="5">
        <v>0.56682749999999993</v>
      </c>
      <c r="BC23" s="5">
        <v>-0.30082824917306578</v>
      </c>
      <c r="BD23" s="5">
        <v>9.4830881346450333E-2</v>
      </c>
      <c r="BE23" s="5">
        <v>7.1430762397296579E-2</v>
      </c>
      <c r="BF23" s="5">
        <v>0.21000911286045121</v>
      </c>
      <c r="BG23" s="5">
        <v>7.4761471196752541E-2</v>
      </c>
      <c r="BH23" s="5">
        <v>-0.2034839813552872</v>
      </c>
      <c r="BI23" s="5">
        <v>0.13821955522644711</v>
      </c>
      <c r="BJ23" s="5">
        <v>5.8020213544642429E-2</v>
      </c>
      <c r="BK23" s="5">
        <v>-5.0098634745350491E-3</v>
      </c>
      <c r="BL23" s="5">
        <v>0.11436629014166901</v>
      </c>
      <c r="BM23" s="5">
        <v>-6.9495462024450616E-2</v>
      </c>
      <c r="BN23" s="5">
        <v>-2.660347002197758E-2</v>
      </c>
      <c r="BO23" s="5">
        <v>-3.6524941745999073E-2</v>
      </c>
      <c r="BP23" s="5">
        <v>-2.2474000000000001E-2</v>
      </c>
      <c r="BQ23" s="5">
        <v>-5.9356424860417777E-2</v>
      </c>
      <c r="BR23" s="5">
        <v>1.7844321463962809E-2</v>
      </c>
      <c r="BS23" s="5">
        <v>0.2205670944023907</v>
      </c>
      <c r="BT23" s="5">
        <v>7.018926416463693E-2</v>
      </c>
      <c r="BU23" s="5">
        <v>0.20568773584594591</v>
      </c>
      <c r="BV23" s="5">
        <v>1.702049999999999E-2</v>
      </c>
      <c r="BW23" s="5">
        <v>1.536251504309036E-2</v>
      </c>
      <c r="BX23" s="5">
        <v>-0.1242195235446351</v>
      </c>
      <c r="BY23" s="5">
        <v>3.9935999999999972E-2</v>
      </c>
      <c r="BZ23" s="5">
        <v>-7.6697624318448621E-3</v>
      </c>
      <c r="CA23" s="5">
        <v>-7.5653199746629096E-2</v>
      </c>
      <c r="CB23" s="5">
        <v>-0.31616749999999999</v>
      </c>
      <c r="CC23" s="5">
        <v>-8.4545000000000009E-2</v>
      </c>
      <c r="CD23" s="5">
        <v>-0.64074657751655262</v>
      </c>
      <c r="CE23" s="5">
        <v>-0.1166246067964614</v>
      </c>
      <c r="CF23" s="5">
        <v>-1.616083543008176E-2</v>
      </c>
      <c r="CG23" s="5">
        <v>-0.21663724162720299</v>
      </c>
      <c r="CH23" s="5">
        <v>0.16212257431707061</v>
      </c>
      <c r="CI23" s="5">
        <v>0.13522219665147919</v>
      </c>
      <c r="CJ23" s="5">
        <v>1.9875367550410569E-2</v>
      </c>
      <c r="CK23" s="5">
        <v>7.1856390536544607E-2</v>
      </c>
      <c r="CL23" s="5">
        <v>-0.1640494591789142</v>
      </c>
      <c r="CM23" s="5">
        <v>0.3867329465229094</v>
      </c>
      <c r="CN23" s="5">
        <v>5.3005178369803271E-2</v>
      </c>
      <c r="CO23" s="5">
        <v>-0.26845097690314912</v>
      </c>
      <c r="CP23" s="5">
        <v>-0.31136074316275669</v>
      </c>
      <c r="CQ23" s="5">
        <v>-2.4702270079380868E-2</v>
      </c>
      <c r="CR23" s="5">
        <v>-0.15099817047394759</v>
      </c>
      <c r="CS23" s="5">
        <v>6.9014999999999993E-2</v>
      </c>
      <c r="CT23" s="5">
        <v>-3.2850224006144763E-2</v>
      </c>
      <c r="CU23" s="5">
        <v>0.20210388498715681</v>
      </c>
      <c r="CV23" s="5">
        <v>-0.20184949999999999</v>
      </c>
      <c r="CW23" s="5">
        <v>-2.418628778900123E-2</v>
      </c>
      <c r="CX23" s="5">
        <v>-6.1859993147280662E-2</v>
      </c>
      <c r="CY23" s="5">
        <v>-0.28171082747401988</v>
      </c>
      <c r="CZ23" s="5">
        <v>6.1281100514640897E-2</v>
      </c>
      <c r="DA23" s="5">
        <v>-3.0982136225910391E-2</v>
      </c>
      <c r="DB23" s="5">
        <v>1.5955156866996431E-2</v>
      </c>
      <c r="DC23" s="5">
        <v>-0.1191904860704142</v>
      </c>
      <c r="DD23" s="5">
        <v>9.2798674677153081E-2</v>
      </c>
      <c r="DE23" s="5">
        <v>-6.0085947510171572E-2</v>
      </c>
      <c r="DF23" s="5">
        <v>0.1913738738124513</v>
      </c>
      <c r="DG23" s="5">
        <v>0.15297665429505281</v>
      </c>
      <c r="DH23" s="5">
        <v>-0.13922799999999999</v>
      </c>
      <c r="DI23" s="5">
        <v>0.18491271354810521</v>
      </c>
      <c r="DJ23" s="5">
        <v>-0.1200325818239187</v>
      </c>
      <c r="DK23" s="5">
        <v>-4.7749797048578922E-2</v>
      </c>
      <c r="DL23" s="5">
        <v>-2.6242652104624471E-2</v>
      </c>
      <c r="DM23" s="5">
        <v>1.071033430682497E-2</v>
      </c>
      <c r="DN23" s="5">
        <v>0.26497485648399138</v>
      </c>
      <c r="DO23" s="5">
        <v>-8.4670827807182117E-2</v>
      </c>
      <c r="DP23" s="5">
        <v>4.7088232655722921E-2</v>
      </c>
      <c r="DQ23" s="5">
        <v>-0.24594610755878629</v>
      </c>
      <c r="DR23" s="5">
        <v>-0.1024255</v>
      </c>
      <c r="DS23" s="5">
        <v>-0.24719455144246849</v>
      </c>
      <c r="DT23" s="5">
        <v>-2.2296457069757209E-2</v>
      </c>
      <c r="DU23" s="5">
        <v>-0.52524170665309988</v>
      </c>
      <c r="DV23" s="5">
        <v>-0.19274140121789701</v>
      </c>
      <c r="DW23" s="5">
        <v>0.14122823258283859</v>
      </c>
      <c r="DX23" s="5">
        <v>0.1710027869684545</v>
      </c>
      <c r="DY23" s="5">
        <v>-0.26822192937212391</v>
      </c>
      <c r="DZ23" s="5">
        <v>0.12933301555171881</v>
      </c>
      <c r="EA23" s="5">
        <v>-2.8757000000000001E-2</v>
      </c>
      <c r="EB23" s="5">
        <v>0.24428465812392219</v>
      </c>
      <c r="EC23" s="5">
        <v>0.1232049429556647</v>
      </c>
      <c r="ED23" s="5">
        <v>0.194323278521919</v>
      </c>
      <c r="EE23" s="5">
        <v>6.9545558094986554E-2</v>
      </c>
      <c r="EF23" s="5">
        <v>-9.3413999999999997E-2</v>
      </c>
      <c r="EG23" s="16">
        <v>3.7000000000000002E-3</v>
      </c>
      <c r="EH23" s="16">
        <v>0.17487</v>
      </c>
      <c r="EI23" s="16">
        <v>2.1160000000000002E-2</v>
      </c>
    </row>
    <row r="24" spans="1:139">
      <c r="A24" s="18">
        <v>964</v>
      </c>
      <c r="B24" s="18">
        <v>1</v>
      </c>
      <c r="C24" s="4">
        <v>2.776696731044102E-2</v>
      </c>
      <c r="D24" s="5">
        <v>0.10061</v>
      </c>
      <c r="E24" s="5">
        <v>8.1880334610397495E-2</v>
      </c>
      <c r="F24" s="5">
        <v>0.20154571887164621</v>
      </c>
      <c r="G24" s="5">
        <v>2.2622388562617651E-2</v>
      </c>
      <c r="H24" s="5">
        <v>-0.35082219133103881</v>
      </c>
      <c r="I24" s="5">
        <v>2.111933203143501E-3</v>
      </c>
      <c r="J24" s="5">
        <v>-9.9972192910136135E-2</v>
      </c>
      <c r="K24" s="5">
        <v>5.0444335993488708E-2</v>
      </c>
      <c r="L24" s="5">
        <v>-0.33375944447564659</v>
      </c>
      <c r="M24" s="5">
        <v>-0.14681933889950849</v>
      </c>
      <c r="N24" s="5">
        <v>0.1051917107958454</v>
      </c>
      <c r="O24" s="5">
        <v>0.235309193405423</v>
      </c>
      <c r="P24" s="5">
        <v>7.7736485854057236E-2</v>
      </c>
      <c r="Q24" s="5">
        <v>-6.096496164670627E-2</v>
      </c>
      <c r="R24" s="5">
        <v>0.24569737077925971</v>
      </c>
      <c r="S24" s="5">
        <v>0.13988379956700059</v>
      </c>
      <c r="T24" s="5">
        <v>-0.1236910440917892</v>
      </c>
      <c r="U24" s="5">
        <v>0.14851867422391801</v>
      </c>
      <c r="V24" s="5">
        <v>-0.11654031671685081</v>
      </c>
      <c r="W24" s="5">
        <v>0.64293352860565944</v>
      </c>
      <c r="X24" s="5">
        <v>-8.9899999999999702E-4</v>
      </c>
      <c r="Y24" s="5">
        <v>2.9398839580432611E-2</v>
      </c>
      <c r="Z24" s="5">
        <v>0.10584232727880701</v>
      </c>
      <c r="AA24" s="5">
        <v>1.354776823757727E-2</v>
      </c>
      <c r="AB24" s="5">
        <v>-0.1953396226752438</v>
      </c>
      <c r="AC24" s="5">
        <v>0.4017473338469546</v>
      </c>
      <c r="AD24" s="5">
        <v>5.9922146810819088E-2</v>
      </c>
      <c r="AE24" s="5">
        <v>0.19314178971175811</v>
      </c>
      <c r="AF24" s="5">
        <v>-0.49538941280416188</v>
      </c>
      <c r="AG24" s="5">
        <v>0.38005539258279603</v>
      </c>
      <c r="AH24" s="5">
        <v>-0.30212275660657528</v>
      </c>
      <c r="AI24" s="5">
        <v>-0.15191167478339729</v>
      </c>
      <c r="AJ24" s="5">
        <v>2.011236537319892E-2</v>
      </c>
      <c r="AK24" s="5">
        <v>0.11317916377562411</v>
      </c>
      <c r="AL24" s="5">
        <v>-5.4676935490635382E-2</v>
      </c>
      <c r="AM24" s="5">
        <v>-1.89192814205267E-2</v>
      </c>
      <c r="AN24" s="5">
        <v>0.22118946514543131</v>
      </c>
      <c r="AO24" s="5">
        <v>0.1029057025777895</v>
      </c>
      <c r="AP24" s="5">
        <v>0.16448499999999999</v>
      </c>
      <c r="AQ24" s="5">
        <v>-4.7076972834245667E-2</v>
      </c>
      <c r="AR24" s="5">
        <v>0.17083300000000001</v>
      </c>
      <c r="AS24" s="5">
        <v>-2.7956077266590069E-2</v>
      </c>
      <c r="AT24" s="5">
        <v>0.15076897992568081</v>
      </c>
      <c r="AU24" s="5">
        <v>0.22984101567941989</v>
      </c>
      <c r="AV24" s="5">
        <v>-1.9522000000000001E-2</v>
      </c>
      <c r="AW24" s="5">
        <v>-4.9875415110391882E-3</v>
      </c>
      <c r="AX24" s="5">
        <v>-0.1114913369162155</v>
      </c>
      <c r="AY24" s="5">
        <v>0.26743574468647008</v>
      </c>
      <c r="AZ24" s="5">
        <v>-0.60989956018477687</v>
      </c>
      <c r="BA24" s="5">
        <v>-5.3794732084633153E-2</v>
      </c>
      <c r="BB24" s="5">
        <v>0.69077599999999995</v>
      </c>
      <c r="BC24" s="5">
        <v>-0.8032160130443774</v>
      </c>
      <c r="BD24" s="5">
        <v>0.18559521924643521</v>
      </c>
      <c r="BE24" s="5">
        <v>4.606435403168687E-2</v>
      </c>
      <c r="BF24" s="5">
        <v>-6.4370420949463519E-2</v>
      </c>
      <c r="BG24" s="5">
        <v>2.6835965866310919E-2</v>
      </c>
      <c r="BH24" s="5">
        <v>-0.38625533691353497</v>
      </c>
      <c r="BI24" s="5">
        <v>-2.8151632148178202E-2</v>
      </c>
      <c r="BJ24" s="5">
        <v>-6.0567254322459393E-2</v>
      </c>
      <c r="BK24" s="5">
        <v>-1.00197269490701E-2</v>
      </c>
      <c r="BL24" s="5">
        <v>0.1061069201511666</v>
      </c>
      <c r="BM24" s="5">
        <v>8.4782939838988242E-2</v>
      </c>
      <c r="BN24" s="5">
        <v>-1.989015847921969E-2</v>
      </c>
      <c r="BO24" s="5">
        <v>0.16110969109564191</v>
      </c>
      <c r="BP24" s="5">
        <v>3.1793000000000002E-2</v>
      </c>
      <c r="BQ24" s="5">
        <v>1.385746642413632E-2</v>
      </c>
      <c r="BR24" s="5">
        <v>4.2356223303417713E-2</v>
      </c>
      <c r="BS24" s="5">
        <v>0.1216210365296066</v>
      </c>
      <c r="BT24" s="5">
        <v>5.5799256308256592E-2</v>
      </c>
      <c r="BU24" s="5">
        <v>0.22832663155994071</v>
      </c>
      <c r="BV24" s="5">
        <v>0.20330699999999999</v>
      </c>
      <c r="BW24" s="5">
        <v>0.15102744542241939</v>
      </c>
      <c r="BX24" s="5">
        <v>-5.8043369649915091E-2</v>
      </c>
      <c r="BY24" s="5">
        <v>-0.29033999999999999</v>
      </c>
      <c r="BZ24" s="5">
        <v>-0.25889289884999689</v>
      </c>
      <c r="CA24" s="5">
        <v>-0.1152216807734147</v>
      </c>
      <c r="CB24" s="5">
        <v>-0.63969900000000002</v>
      </c>
      <c r="CC24" s="5">
        <v>-0.18246999999999999</v>
      </c>
      <c r="CD24" s="5">
        <v>-0.69133196858938295</v>
      </c>
      <c r="CE24" s="5">
        <v>-0.21012143523608839</v>
      </c>
      <c r="CF24" s="5">
        <v>4.3964633996731547E-2</v>
      </c>
      <c r="CG24" s="5">
        <v>-0.51996896607392207</v>
      </c>
      <c r="CH24" s="5">
        <v>0.2129728840293183</v>
      </c>
      <c r="CI24" s="5">
        <v>0.29359964364968388</v>
      </c>
      <c r="CJ24" s="5">
        <v>-1.310948541941956E-2</v>
      </c>
      <c r="CK24" s="5">
        <v>0.32305926532838408</v>
      </c>
      <c r="CL24" s="5">
        <v>-1.5683747889366519E-2</v>
      </c>
      <c r="CM24" s="5">
        <v>0.54958710995910021</v>
      </c>
      <c r="CN24" s="5">
        <v>0.1077387664572132</v>
      </c>
      <c r="CO24" s="5">
        <v>-0.57240960973467503</v>
      </c>
      <c r="CP24" s="5">
        <v>-0.1603442048148421</v>
      </c>
      <c r="CQ24" s="5">
        <v>-0.1601896466275006</v>
      </c>
      <c r="CR24" s="5">
        <v>-0.1377874560487031</v>
      </c>
      <c r="CS24" s="5">
        <v>-2.6858E-2</v>
      </c>
      <c r="CT24" s="5">
        <v>0.1828965872921165</v>
      </c>
      <c r="CU24" s="5">
        <v>5.2729044813654813E-2</v>
      </c>
      <c r="CV24" s="5">
        <v>-0.36147600000000002</v>
      </c>
      <c r="CW24" s="5">
        <v>-0.234993215272846</v>
      </c>
      <c r="CX24" s="5">
        <v>-0.14669462567028749</v>
      </c>
      <c r="CY24" s="5">
        <v>-0.36022804676873771</v>
      </c>
      <c r="CZ24" s="5">
        <v>0.16210690987816029</v>
      </c>
      <c r="DA24" s="5">
        <v>2.451120416275485E-2</v>
      </c>
      <c r="DB24" s="5">
        <v>0.19546067251265431</v>
      </c>
      <c r="DC24" s="5">
        <v>-0.19117575817053481</v>
      </c>
      <c r="DD24" s="5">
        <v>-0.19584472218244131</v>
      </c>
      <c r="DE24" s="5">
        <v>0.13158559129553279</v>
      </c>
      <c r="DF24" s="5">
        <v>0.19463806375593051</v>
      </c>
      <c r="DG24" s="5">
        <v>0.24858898273322999</v>
      </c>
      <c r="DH24" s="5">
        <v>-0.26580500000000001</v>
      </c>
      <c r="DI24" s="5">
        <v>0.42309879972833903</v>
      </c>
      <c r="DJ24" s="5">
        <v>-0.2293698745310894</v>
      </c>
      <c r="DK24" s="5">
        <v>-0.16602172835425</v>
      </c>
      <c r="DL24" s="5">
        <v>-6.1360513215416877E-2</v>
      </c>
      <c r="DM24" s="5">
        <v>0.10831609512618499</v>
      </c>
      <c r="DN24" s="5">
        <v>0.51684793899753223</v>
      </c>
      <c r="DO24" s="5">
        <v>-8.3114289590005733E-2</v>
      </c>
      <c r="DP24" s="5">
        <v>0.1143734254860139</v>
      </c>
      <c r="DQ24" s="5">
        <v>-0.35907130209664839</v>
      </c>
      <c r="DR24" s="5">
        <v>-2.3392E-2</v>
      </c>
      <c r="DS24" s="5">
        <v>-0.14400697483881431</v>
      </c>
      <c r="DT24" s="5">
        <v>-2.9435726388863388E-2</v>
      </c>
      <c r="DU24" s="5">
        <v>-0.7705433077559587</v>
      </c>
      <c r="DV24" s="5">
        <v>-0.75045654918922122</v>
      </c>
      <c r="DW24" s="5">
        <v>0.10885708989133031</v>
      </c>
      <c r="DX24" s="5">
        <v>0.17373733044807921</v>
      </c>
      <c r="DY24" s="5">
        <v>-3.2066535729951551E-2</v>
      </c>
      <c r="DZ24" s="5">
        <v>-4.8904664258799802E-2</v>
      </c>
      <c r="EA24" s="5">
        <v>-5.4917000000000001E-2</v>
      </c>
      <c r="EB24" s="5">
        <v>0.58969791699909047</v>
      </c>
      <c r="EC24" s="5">
        <v>0.25665137996352638</v>
      </c>
      <c r="ED24" s="5">
        <v>8.4540092567264802E-2</v>
      </c>
      <c r="EE24" s="5">
        <v>-3.5663982870964749E-2</v>
      </c>
      <c r="EF24" s="5">
        <v>-0.13408500000000001</v>
      </c>
      <c r="EG24" s="16">
        <v>-1.0999999999999999E-2</v>
      </c>
      <c r="EH24" s="16">
        <v>0.26401999999999998</v>
      </c>
      <c r="EI24" s="16">
        <v>-4.1680000000000002E-2</v>
      </c>
    </row>
    <row r="25" spans="1:139">
      <c r="A25" s="17"/>
      <c r="B25" s="17"/>
      <c r="EG25" s="15"/>
      <c r="EH25" s="15"/>
      <c r="EI25" s="15"/>
    </row>
    <row r="26" spans="1:139">
      <c r="A26" s="17" t="s">
        <v>144</v>
      </c>
      <c r="B26" s="17" t="s">
        <v>145</v>
      </c>
      <c r="C26" s="24">
        <v>-1.74467705393903E-2</v>
      </c>
      <c r="D26" s="24">
        <v>2.070106053181563E-2</v>
      </c>
      <c r="E26" s="24">
        <v>2.3982129254766709E-2</v>
      </c>
      <c r="F26" s="24">
        <v>-6.557578972823077E-3</v>
      </c>
      <c r="G26" s="24">
        <v>3.1845129800519692E-2</v>
      </c>
      <c r="H26" s="24">
        <v>3.4348532736990518E-2</v>
      </c>
      <c r="I26" s="24">
        <v>-8.2549327813252367E-3</v>
      </c>
      <c r="J26" s="24">
        <v>1.2843524394052759E-2</v>
      </c>
      <c r="K26" s="24">
        <v>-5.1018524626790823E-2</v>
      </c>
      <c r="L26" s="24">
        <v>8.7394274103658827E-4</v>
      </c>
      <c r="M26" s="24">
        <v>2.3389575505495919E-2</v>
      </c>
      <c r="N26" s="24">
        <v>1.2988972200332851E-2</v>
      </c>
      <c r="O26" s="24">
        <v>5.8545887256348812E-3</v>
      </c>
      <c r="P26" s="24">
        <v>2.7413206571790558E-2</v>
      </c>
      <c r="Q26" s="24">
        <v>-3.7129361176928542E-3</v>
      </c>
      <c r="R26" s="24">
        <v>2.4076614047823328E-2</v>
      </c>
      <c r="S26" s="24">
        <v>-1.219002529903996E-2</v>
      </c>
      <c r="T26" s="24">
        <v>-3.9749578159589592E-2</v>
      </c>
      <c r="U26" s="24">
        <v>-7.3155449831649552E-2</v>
      </c>
      <c r="V26" s="24">
        <v>-5.8260229910114661E-2</v>
      </c>
      <c r="W26" s="24">
        <v>7.7279756550837221E-4</v>
      </c>
      <c r="X26" s="24">
        <v>4.459152113521897E-2</v>
      </c>
      <c r="Y26" s="24">
        <v>-2.7699680050213091E-2</v>
      </c>
      <c r="Z26" s="24">
        <v>2.0950059497436462E-3</v>
      </c>
      <c r="AA26" s="24">
        <v>-2.340055099256411E-2</v>
      </c>
      <c r="AB26" s="24">
        <v>3.2129371097322189E-2</v>
      </c>
      <c r="AC26" s="24">
        <v>3.890327309406643E-2</v>
      </c>
      <c r="AD26" s="24">
        <v>-4.286538217110427E-2</v>
      </c>
      <c r="AE26" s="24">
        <v>1.8647194550152159E-2</v>
      </c>
      <c r="AF26" s="24">
        <v>1.5229768322528949E-2</v>
      </c>
      <c r="AG26" s="24">
        <v>3.6016603778892417E-2</v>
      </c>
      <c r="AH26" s="24">
        <v>9.3546113853161701E-3</v>
      </c>
      <c r="AI26" s="24">
        <v>1.0748251336838139E-2</v>
      </c>
      <c r="AJ26" s="24">
        <v>1.335775405308097E-2</v>
      </c>
      <c r="AK26" s="24">
        <v>-5.3327473290953921E-3</v>
      </c>
      <c r="AL26" s="24">
        <v>1.383135807261675E-3</v>
      </c>
      <c r="AM26" s="24">
        <v>2.079592842007446E-2</v>
      </c>
      <c r="AN26" s="24">
        <v>3.1517702220390638E-2</v>
      </c>
      <c r="AO26" s="24">
        <v>6.2417165333294418E-3</v>
      </c>
      <c r="AP26" s="24">
        <v>6.1452616535713897E-3</v>
      </c>
      <c r="AQ26" s="24">
        <v>1.694635767669651E-2</v>
      </c>
      <c r="AR26" s="24">
        <v>3.4682830454308228E-2</v>
      </c>
      <c r="AS26" s="24">
        <v>3.0985886171969678E-3</v>
      </c>
      <c r="AT26" s="24">
        <v>1.508134714348611E-2</v>
      </c>
      <c r="AU26" s="24">
        <v>-1.9251209229863991E-2</v>
      </c>
      <c r="AV26" s="24">
        <v>3.8711513387631437E-2</v>
      </c>
      <c r="AW26" s="24">
        <v>-2.1856951135736599E-2</v>
      </c>
      <c r="AX26" s="24">
        <v>7.7743007097896798E-3</v>
      </c>
      <c r="AY26" s="24">
        <v>4.2397246695325942E-2</v>
      </c>
      <c r="AZ26" s="24">
        <v>-2.630897486115975E-2</v>
      </c>
      <c r="BA26" s="24">
        <v>9.5717493087162323E-3</v>
      </c>
      <c r="BB26" s="24">
        <v>-2.424974126627483E-2</v>
      </c>
      <c r="BC26" s="24">
        <v>2.0163374143915822E-2</v>
      </c>
      <c r="BD26" s="24">
        <v>-3.5049987821160239E-3</v>
      </c>
      <c r="BE26" s="24">
        <v>2.0151935098542271E-2</v>
      </c>
      <c r="BF26" s="24">
        <v>5.8133623077027128E-4</v>
      </c>
      <c r="BG26" s="24">
        <v>-5.2197009532526043E-3</v>
      </c>
      <c r="BH26" s="24">
        <v>-0.11587176140213</v>
      </c>
      <c r="BI26" s="24">
        <v>8.7252256924373536E-3</v>
      </c>
      <c r="BJ26" s="24">
        <v>-1.6377260977822151E-2</v>
      </c>
      <c r="BK26" s="24">
        <v>2.0840371600260421E-2</v>
      </c>
      <c r="BL26" s="24">
        <v>4.4975872102114713E-2</v>
      </c>
      <c r="BM26" s="24">
        <v>2.3954306081863871E-2</v>
      </c>
      <c r="BN26" s="24">
        <v>3.0239101391442601E-2</v>
      </c>
      <c r="BO26" s="24">
        <v>-4.372588759108751E-2</v>
      </c>
      <c r="BP26" s="24">
        <v>2.1889469568198618E-2</v>
      </c>
      <c r="BQ26" s="24">
        <v>8.6274302635084028E-3</v>
      </c>
      <c r="BR26" s="24">
        <v>-1.9192953994658781E-2</v>
      </c>
      <c r="BS26" s="24">
        <v>1.973512988813305E-2</v>
      </c>
      <c r="BT26" s="24">
        <v>4.7694337483699438E-2</v>
      </c>
      <c r="BU26" s="24">
        <v>1.145481680658339E-2</v>
      </c>
      <c r="BV26" s="24">
        <v>4.3228620735213191E-2</v>
      </c>
      <c r="BW26" s="24">
        <v>-4.2747430436922793E-2</v>
      </c>
      <c r="BX26" s="24">
        <v>-1.781129242779457E-2</v>
      </c>
      <c r="BY26" s="24">
        <v>-0.1511530968690756</v>
      </c>
      <c r="BZ26" s="24">
        <v>0.12422400361957529</v>
      </c>
      <c r="CA26" s="24">
        <v>-4.5572538445296431E-3</v>
      </c>
      <c r="CB26" s="24">
        <v>6.0211240204911178E-2</v>
      </c>
      <c r="CC26" s="24">
        <v>8.5992033482502284E-2</v>
      </c>
      <c r="CD26" s="24">
        <v>-5.8084795823660634E-3</v>
      </c>
      <c r="CE26" s="24">
        <v>-6.0413469889680736E-3</v>
      </c>
      <c r="CF26" s="24">
        <v>2.4523243722520739E-3</v>
      </c>
      <c r="CG26" s="24">
        <v>8.963625193702289E-2</v>
      </c>
      <c r="CH26" s="24">
        <v>7.099273252675789E-2</v>
      </c>
      <c r="CI26" s="24">
        <v>2.7170642901783448E-2</v>
      </c>
      <c r="CJ26" s="24">
        <v>5.2468428425330033E-2</v>
      </c>
      <c r="CK26" s="24">
        <v>2.9480660943049509E-2</v>
      </c>
      <c r="CL26" s="24">
        <v>6.6825081060201283E-2</v>
      </c>
      <c r="CM26" s="24">
        <v>-2.8772229019816971E-2</v>
      </c>
      <c r="CN26" s="24">
        <v>3.9462515901637851E-2</v>
      </c>
      <c r="CO26" s="24">
        <v>-2.9031086977359909E-2</v>
      </c>
      <c r="CP26" s="24">
        <v>1.3983882519467901E-2</v>
      </c>
      <c r="CQ26" s="24">
        <v>-3.2276964959333833E-2</v>
      </c>
      <c r="CR26" s="24">
        <v>3.1035766128940231E-3</v>
      </c>
      <c r="CS26" s="24">
        <v>2.5591855767083171E-2</v>
      </c>
      <c r="CT26" s="24">
        <v>4.4391886287193302E-2</v>
      </c>
      <c r="CU26" s="24">
        <v>-3.0338958549577438E-2</v>
      </c>
      <c r="CV26" s="24">
        <v>-1.2579764545717069E-3</v>
      </c>
      <c r="CW26" s="24">
        <v>2.336356455857952E-3</v>
      </c>
      <c r="CX26" s="24">
        <v>-6.4264144925906069E-2</v>
      </c>
      <c r="CY26" s="24">
        <v>1.2909779458992439E-2</v>
      </c>
      <c r="CZ26" s="24">
        <v>-0.12547709467085871</v>
      </c>
      <c r="DA26" s="24">
        <v>1.1690682939792569E-2</v>
      </c>
      <c r="DB26" s="24">
        <v>6.3378437007417512E-3</v>
      </c>
      <c r="DC26" s="24">
        <v>-0.1173053564693855</v>
      </c>
      <c r="DD26" s="24">
        <v>-3.6010872049446613E-2</v>
      </c>
      <c r="DE26" s="24">
        <v>0.1389113040722679</v>
      </c>
      <c r="DF26" s="24">
        <v>-5.1143506226105737E-2</v>
      </c>
      <c r="DG26" s="24">
        <v>7.6731447181969059E-2</v>
      </c>
      <c r="DH26" s="24">
        <v>1.550878219700816E-2</v>
      </c>
      <c r="DI26" s="24">
        <v>2.3223773674755831E-2</v>
      </c>
      <c r="DJ26" s="24">
        <v>-1.8372876361227891E-2</v>
      </c>
      <c r="DK26" s="24">
        <v>6.2199014085099431E-2</v>
      </c>
      <c r="DL26" s="24">
        <v>2.0098304486957191E-2</v>
      </c>
      <c r="DM26" s="24">
        <v>1.349893974806809E-2</v>
      </c>
      <c r="DN26" s="24">
        <v>-3.025221272842088E-2</v>
      </c>
      <c r="DO26" s="24">
        <v>-1.7022835708053841E-2</v>
      </c>
      <c r="DP26" s="24">
        <v>-2.1788523272461981E-2</v>
      </c>
      <c r="DQ26" s="24">
        <v>8.5745624585137223E-2</v>
      </c>
      <c r="DR26" s="24">
        <v>2.8106743604973752E-2</v>
      </c>
      <c r="DS26" s="24">
        <v>-2.3031598073594501E-3</v>
      </c>
      <c r="DT26" s="24">
        <v>5.8471198131487503E-2</v>
      </c>
      <c r="DU26" s="24">
        <v>6.7658949048647651E-2</v>
      </c>
      <c r="DV26" s="24">
        <v>5.0207706404322644E-3</v>
      </c>
      <c r="DW26" s="24">
        <v>3.7416183675207063E-2</v>
      </c>
      <c r="DX26" s="24">
        <v>8.4111003746042121E-2</v>
      </c>
      <c r="DY26" s="24">
        <v>-3.6832398544012837E-2</v>
      </c>
      <c r="DZ26" s="24">
        <v>3.0917028169369942E-3</v>
      </c>
      <c r="EA26" s="24">
        <v>-1.957628214294549E-3</v>
      </c>
      <c r="EB26" s="24">
        <v>2.6459103603519739E-2</v>
      </c>
      <c r="EC26" s="24">
        <v>-2.4752538760690269E-2</v>
      </c>
      <c r="ED26" s="24">
        <v>3.4115490982559941E-2</v>
      </c>
      <c r="EE26" s="24">
        <v>2.1061973989032982E-2</v>
      </c>
      <c r="EF26" s="24">
        <v>-2.0277392706005901E-2</v>
      </c>
      <c r="EG26" s="23">
        <v>7.3499999999999998E-3</v>
      </c>
      <c r="EH26" s="23">
        <v>4.2279999999999998E-2</v>
      </c>
      <c r="EI26" s="23">
        <v>0.17382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27C5-9675-0E4D-B96F-294FB354BD7C}">
  <dimension ref="A1:C15"/>
  <sheetViews>
    <sheetView zoomScale="153" workbookViewId="0">
      <selection activeCell="D10" sqref="D10"/>
    </sheetView>
  </sheetViews>
  <sheetFormatPr baseColWidth="10" defaultRowHeight="14"/>
  <sheetData>
    <row r="1" spans="1:3" ht="15">
      <c r="A1" s="27" t="s">
        <v>237</v>
      </c>
      <c r="B1" s="27" t="s">
        <v>238</v>
      </c>
      <c r="C1" s="21" t="s">
        <v>248</v>
      </c>
    </row>
    <row r="2" spans="1:3" ht="15">
      <c r="A2" s="27">
        <v>96</v>
      </c>
      <c r="B2" s="27" t="s">
        <v>239</v>
      </c>
      <c r="C2" s="16">
        <v>9.6030000000000004E-2</v>
      </c>
    </row>
    <row r="3" spans="1:3" ht="15">
      <c r="A3" s="27">
        <v>48</v>
      </c>
      <c r="B3" s="27" t="s">
        <v>240</v>
      </c>
      <c r="C3" s="16">
        <v>0.12620000000000001</v>
      </c>
    </row>
    <row r="4" spans="1:3" ht="15">
      <c r="A4" s="27">
        <v>19</v>
      </c>
      <c r="B4" s="27" t="s">
        <v>241</v>
      </c>
      <c r="C4" s="16">
        <v>4.3220000000000001E-2</v>
      </c>
    </row>
    <row r="5" spans="1:3" ht="15">
      <c r="A5" s="27">
        <v>10</v>
      </c>
      <c r="B5" s="27" t="s">
        <v>230</v>
      </c>
      <c r="C5" s="16">
        <v>8.7440000000000004E-2</v>
      </c>
    </row>
    <row r="6" spans="1:3" ht="15">
      <c r="A6" s="27">
        <v>9</v>
      </c>
      <c r="B6" s="27" t="s">
        <v>231</v>
      </c>
      <c r="C6" s="16">
        <v>8.8080000000000006E-2</v>
      </c>
    </row>
    <row r="7" spans="1:3" ht="15">
      <c r="A7" s="27">
        <v>8</v>
      </c>
      <c r="B7" s="27" t="s">
        <v>242</v>
      </c>
      <c r="C7" s="16">
        <v>7.3130000000000001E-2</v>
      </c>
    </row>
    <row r="8" spans="1:3" ht="15">
      <c r="A8" s="27">
        <v>7</v>
      </c>
      <c r="B8" s="27" t="s">
        <v>232</v>
      </c>
      <c r="C8" s="16">
        <v>7.5889999999999999E-2</v>
      </c>
    </row>
    <row r="9" spans="1:3" ht="15">
      <c r="A9" s="27">
        <v>6</v>
      </c>
      <c r="B9" s="27" t="s">
        <v>233</v>
      </c>
      <c r="C9" s="16">
        <v>9.4369999999999996E-2</v>
      </c>
    </row>
    <row r="10" spans="1:3" ht="15">
      <c r="A10" s="27">
        <v>5</v>
      </c>
      <c r="B10" s="27" t="s">
        <v>234</v>
      </c>
      <c r="C10" s="16">
        <v>7.9869999999999997E-2</v>
      </c>
    </row>
    <row r="11" spans="1:3" ht="15">
      <c r="A11" s="27">
        <v>4</v>
      </c>
      <c r="B11" s="27" t="s">
        <v>235</v>
      </c>
      <c r="C11" s="16">
        <v>0.10054</v>
      </c>
    </row>
    <row r="12" spans="1:3" ht="15">
      <c r="A12" s="27">
        <v>3</v>
      </c>
      <c r="B12" s="27" t="s">
        <v>236</v>
      </c>
      <c r="C12" s="16">
        <v>5.9709999999999999E-2</v>
      </c>
    </row>
    <row r="13" spans="1:3" ht="15">
      <c r="A13" s="27">
        <v>2</v>
      </c>
      <c r="B13" s="27" t="s">
        <v>243</v>
      </c>
      <c r="C13" s="16">
        <v>2.1160000000000002E-2</v>
      </c>
    </row>
    <row r="14" spans="1:3" ht="15">
      <c r="A14" s="27">
        <v>1</v>
      </c>
      <c r="B14" s="27" t="s">
        <v>244</v>
      </c>
      <c r="C14" s="16">
        <v>-4.1680000000000002E-2</v>
      </c>
    </row>
    <row r="15" spans="1:3">
      <c r="A15" s="12" t="s">
        <v>144</v>
      </c>
      <c r="B15" s="12" t="s">
        <v>145</v>
      </c>
      <c r="C15" s="28">
        <v>0.17382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H25"/>
  <sheetViews>
    <sheetView topLeftCell="A2" zoomScale="180" workbookViewId="0">
      <selection activeCell="L10" sqref="L10"/>
    </sheetView>
  </sheetViews>
  <sheetFormatPr baseColWidth="10" defaultRowHeight="14"/>
  <sheetData>
    <row r="1" spans="1:138">
      <c r="A1" t="s">
        <v>0</v>
      </c>
    </row>
    <row r="2" spans="1:138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8">
      <c r="B3" s="1" t="s">
        <v>136</v>
      </c>
      <c r="C3" s="5">
        <v>7.8798868708972569E-2</v>
      </c>
      <c r="D3" s="5">
        <v>0.1797330866000165</v>
      </c>
      <c r="E3" s="5">
        <v>1.5489078774060919E-2</v>
      </c>
      <c r="F3" s="5">
        <v>-2.2168251176828E-2</v>
      </c>
      <c r="G3" s="5">
        <v>-8.1037288150830888E-3</v>
      </c>
      <c r="H3" s="5">
        <v>-1.540126879534739E-2</v>
      </c>
      <c r="I3" s="5">
        <v>-0.19676558635554181</v>
      </c>
      <c r="J3" s="5">
        <v>0.27883034253820949</v>
      </c>
      <c r="K3" s="5">
        <v>-5.6931615083884446E-3</v>
      </c>
      <c r="L3" s="5">
        <v>-4.7889749224816418E-2</v>
      </c>
      <c r="M3" s="5">
        <v>-5.2700847804921791E-3</v>
      </c>
      <c r="N3" s="5">
        <v>-0.19106965066791309</v>
      </c>
      <c r="O3" s="5">
        <v>0.31084678168383029</v>
      </c>
      <c r="P3" s="5">
        <v>0.11377091314306841</v>
      </c>
      <c r="Q3" s="5">
        <v>-0.1230705033938234</v>
      </c>
      <c r="R3" s="5">
        <v>-0.1125584938483804</v>
      </c>
      <c r="S3" s="5">
        <v>0.10466589270197239</v>
      </c>
      <c r="T3" s="5">
        <v>-0.14458476697667069</v>
      </c>
      <c r="U3" s="5">
        <v>-0.26280780822848793</v>
      </c>
      <c r="V3" s="5">
        <v>3.018865545683036E-3</v>
      </c>
      <c r="W3" s="5">
        <v>0.13196040423464411</v>
      </c>
      <c r="X3" s="5">
        <v>-8.9415173838410772E-2</v>
      </c>
      <c r="Y3" s="5">
        <v>0.27906324575998892</v>
      </c>
      <c r="Z3" s="5">
        <v>0.10308974194226191</v>
      </c>
      <c r="AA3" s="5">
        <v>0.48637748963693189</v>
      </c>
      <c r="AB3" s="5">
        <v>-0.2348198317515614</v>
      </c>
      <c r="AC3" s="5">
        <v>1.209651139005591E-2</v>
      </c>
      <c r="AD3" s="5">
        <v>2.4631762383159391E-2</v>
      </c>
      <c r="AE3" s="5">
        <v>-5.6680955135353086E-3</v>
      </c>
      <c r="AF3" s="5">
        <v>-5.6269213313916128E-2</v>
      </c>
      <c r="AG3" s="5">
        <v>0.1224049331936696</v>
      </c>
      <c r="AH3" s="5">
        <v>4.3996774628331507E-2</v>
      </c>
      <c r="AI3" s="5">
        <v>0.16226838670026481</v>
      </c>
      <c r="AJ3" s="5">
        <v>6.8930166950289418E-2</v>
      </c>
      <c r="AK3" s="5">
        <v>8.7359955926433919E-2</v>
      </c>
      <c r="AL3" s="5">
        <v>0.18738072328871311</v>
      </c>
      <c r="AM3" s="5">
        <v>9.6837349683267515E-2</v>
      </c>
      <c r="AN3" s="5">
        <v>0.2075736584826241</v>
      </c>
      <c r="AO3" s="5">
        <v>0.1179758622033628</v>
      </c>
      <c r="AP3" s="5">
        <v>-2.8503518413619089E-2</v>
      </c>
      <c r="AQ3" s="5">
        <v>-0.2114396427417907</v>
      </c>
      <c r="AR3" s="5">
        <v>-3.2302566009502653E-2</v>
      </c>
      <c r="AS3" s="5">
        <v>0.14111009314114151</v>
      </c>
      <c r="AT3" s="5">
        <v>-3.4807512436285597E-2</v>
      </c>
      <c r="AU3" s="5">
        <v>4.4456114444752393E-2</v>
      </c>
      <c r="AV3" s="5">
        <v>2.116273888563475E-2</v>
      </c>
      <c r="AW3" s="5">
        <v>-0.17415500379798879</v>
      </c>
      <c r="AX3" s="5">
        <v>7.6317816973353048E-2</v>
      </c>
      <c r="AY3" s="5">
        <v>9.0306432388433389E-3</v>
      </c>
      <c r="AZ3" s="5">
        <v>1.663894988550357E-2</v>
      </c>
      <c r="BA3" s="5">
        <v>0.1604995491281753</v>
      </c>
      <c r="BB3" s="5">
        <v>-0.1237409532939386</v>
      </c>
      <c r="BC3" s="5">
        <v>0.1567368975950951</v>
      </c>
      <c r="BD3" s="5">
        <v>0.16688346547535959</v>
      </c>
      <c r="BE3" s="5">
        <v>-0.13147229447438161</v>
      </c>
      <c r="BF3" s="5">
        <v>9.9500132775895977E-3</v>
      </c>
      <c r="BG3" s="5">
        <v>0.31531123716865839</v>
      </c>
      <c r="BH3" s="5">
        <v>0.27010117711850451</v>
      </c>
      <c r="BI3" s="5">
        <v>5.6315448743319167E-2</v>
      </c>
      <c r="BJ3" s="5">
        <v>-2.4098168569960938E-3</v>
      </c>
      <c r="BK3" s="5">
        <v>7.980037571183507E-2</v>
      </c>
      <c r="BL3" s="5">
        <v>-2.3392393936943919E-2</v>
      </c>
      <c r="BM3" s="5">
        <v>9.4008939681691994E-2</v>
      </c>
      <c r="BN3" s="5">
        <v>1.7643905957802519E-2</v>
      </c>
      <c r="BO3" s="5">
        <v>-0.14928793997254061</v>
      </c>
      <c r="BP3" s="5">
        <v>4.1225940656231752E-2</v>
      </c>
      <c r="BQ3" s="5">
        <v>-8.2741207352384771E-2</v>
      </c>
      <c r="BR3" s="5">
        <v>0.21346470331308501</v>
      </c>
      <c r="BS3" s="5">
        <v>-6.7985397750361887E-2</v>
      </c>
      <c r="BT3" s="5">
        <v>0.14435039701784599</v>
      </c>
      <c r="BU3" s="5">
        <v>0.11377937808470839</v>
      </c>
      <c r="BV3" s="5">
        <v>5.6009583131783613E-3</v>
      </c>
      <c r="BW3" s="5">
        <v>0.11314663575547999</v>
      </c>
      <c r="BX3" s="5">
        <v>-9.0571156630970151E-2</v>
      </c>
      <c r="BY3" s="5">
        <v>0.1185697363729505</v>
      </c>
      <c r="BZ3" s="5">
        <v>-0.14071284467671219</v>
      </c>
      <c r="CA3" s="5">
        <v>7.3472777058868566E-2</v>
      </c>
      <c r="CB3" s="5">
        <v>-0.17102560649194909</v>
      </c>
      <c r="CC3" s="5">
        <v>8.6731635966007636E-2</v>
      </c>
      <c r="CD3" s="5">
        <v>3.1267715866914132E-2</v>
      </c>
      <c r="CE3" s="5">
        <v>0.2187970365966756</v>
      </c>
      <c r="CF3" s="5">
        <v>-0.1415947073656891</v>
      </c>
      <c r="CG3" s="5">
        <v>9.9731607421901902E-2</v>
      </c>
      <c r="CH3" s="5">
        <v>4.5308069873115593E-2</v>
      </c>
      <c r="CI3" s="5">
        <v>8.9441140161071353E-2</v>
      </c>
      <c r="CJ3" s="5">
        <v>-0.39111281147264948</v>
      </c>
      <c r="CK3" s="5">
        <v>-0.1097911700085549</v>
      </c>
      <c r="CL3" s="5">
        <v>-4.3456184080796822E-2</v>
      </c>
      <c r="CM3" s="5">
        <v>0.18311247425732069</v>
      </c>
      <c r="CN3" s="5">
        <v>-0.39746167912504587</v>
      </c>
      <c r="CO3" s="5">
        <v>-9.6930225730285202E-2</v>
      </c>
      <c r="CP3" s="5">
        <v>-9.5682049872747921E-2</v>
      </c>
      <c r="CQ3" s="5">
        <v>0.17197496741798041</v>
      </c>
      <c r="CR3" s="5">
        <v>6.1939484759435059E-2</v>
      </c>
      <c r="CS3" s="5">
        <v>-4.7664038974437717E-2</v>
      </c>
      <c r="CT3" s="5">
        <v>-1.0473980040771101E-2</v>
      </c>
      <c r="CU3" s="5">
        <v>-3.4400594909696942E-2</v>
      </c>
      <c r="CV3" s="5">
        <v>-2.258422919649478E-2</v>
      </c>
      <c r="CW3" s="5">
        <v>3.967601364242257E-2</v>
      </c>
      <c r="CX3" s="5">
        <v>-5.3904732790443062E-2</v>
      </c>
      <c r="CY3" s="5">
        <v>2.7221884648997219E-2</v>
      </c>
      <c r="CZ3" s="5">
        <v>9.8878435478775006E-2</v>
      </c>
      <c r="DA3" s="5">
        <v>0.31254073484349981</v>
      </c>
      <c r="DB3" s="5">
        <v>-0.15564612733519101</v>
      </c>
      <c r="DC3" s="5">
        <v>-0.186958527424675</v>
      </c>
      <c r="DD3" s="5">
        <v>-0.16852286341555181</v>
      </c>
      <c r="DE3" s="5">
        <v>0.1677976140486318</v>
      </c>
      <c r="DF3" s="5">
        <v>-9.1638386466206867E-2</v>
      </c>
      <c r="DG3" s="5">
        <v>-7.5708963031608456E-2</v>
      </c>
      <c r="DH3" s="5">
        <v>7.7960520930394628E-3</v>
      </c>
      <c r="DI3" s="5">
        <v>-2.5500379680462042E-3</v>
      </c>
      <c r="DJ3" s="5">
        <v>-6.8988362574606832E-2</v>
      </c>
      <c r="DK3" s="5">
        <v>4.6125318624910039E-2</v>
      </c>
      <c r="DL3" s="5">
        <v>-5.8337699674183729E-2</v>
      </c>
      <c r="DM3" s="5">
        <v>-7.0566061856035006E-2</v>
      </c>
      <c r="DN3" s="5">
        <v>2.809287103658753E-2</v>
      </c>
      <c r="DO3" s="5">
        <v>-7.0883392118804012E-2</v>
      </c>
      <c r="DP3" s="5">
        <v>0.16113140194021519</v>
      </c>
      <c r="DQ3" s="5">
        <v>0.1547440050249739</v>
      </c>
      <c r="DR3" s="5">
        <v>-0.1074253347743107</v>
      </c>
      <c r="DS3" s="5">
        <v>0.1128417239921658</v>
      </c>
      <c r="DT3" s="5">
        <v>-9.1401515312695802E-2</v>
      </c>
      <c r="DU3" s="5">
        <v>-6.5441570505781171E-2</v>
      </c>
      <c r="DV3" s="5">
        <v>-7.3758705524149371E-2</v>
      </c>
      <c r="DW3" s="5">
        <v>6.6155769939566539E-2</v>
      </c>
      <c r="DX3" s="5">
        <v>6.9417132083774952E-2</v>
      </c>
      <c r="DY3" s="5">
        <v>-0.10299216834685949</v>
      </c>
      <c r="DZ3" s="5">
        <v>0.26391340422439719</v>
      </c>
      <c r="EA3" s="5">
        <v>-8.9759100562534361E-2</v>
      </c>
      <c r="EB3" s="5">
        <v>0.19432476998554751</v>
      </c>
      <c r="EC3" s="5">
        <v>-3.0097119912414479E-2</v>
      </c>
      <c r="ED3" s="5">
        <v>2.8618294955548851E-2</v>
      </c>
      <c r="EE3" s="5">
        <v>-8.7371804917650953E-2</v>
      </c>
      <c r="EF3" s="5">
        <v>-2.097644515945252E-2</v>
      </c>
    </row>
    <row r="4" spans="1:138">
      <c r="B4" s="1" t="s">
        <v>137</v>
      </c>
      <c r="C4" s="5">
        <v>-0.2033298904066001</v>
      </c>
      <c r="D4" s="5">
        <v>-0.19670615347595799</v>
      </c>
      <c r="E4" s="5">
        <v>-0.25411088976615298</v>
      </c>
      <c r="F4" s="5">
        <v>4.6098132519260197E-2</v>
      </c>
      <c r="G4" s="5">
        <v>3.0705585377122091E-2</v>
      </c>
      <c r="H4" s="5">
        <v>-5.0794665387496003E-2</v>
      </c>
      <c r="I4" s="5">
        <v>7.7645993308728123E-4</v>
      </c>
      <c r="J4" s="5">
        <v>4.8875938188759349E-2</v>
      </c>
      <c r="K4" s="5">
        <v>-0.10205312675095971</v>
      </c>
      <c r="L4" s="5">
        <v>-1.86487966438591E-2</v>
      </c>
      <c r="M4" s="5">
        <v>-5.5059352573051612E-2</v>
      </c>
      <c r="N4" s="5">
        <v>-2.980539628833689E-2</v>
      </c>
      <c r="O4" s="5">
        <v>-0.18676845762429831</v>
      </c>
      <c r="P4" s="5">
        <v>3.0016143098960061E-2</v>
      </c>
      <c r="Q4" s="5">
        <v>9.7885090716637535E-2</v>
      </c>
      <c r="R4" s="5">
        <v>-9.3921517598078097E-2</v>
      </c>
      <c r="S4" s="5">
        <v>2.2808945852236921E-2</v>
      </c>
      <c r="T4" s="5">
        <v>7.3321485340407833E-2</v>
      </c>
      <c r="U4" s="5">
        <v>7.4453756001915394E-3</v>
      </c>
      <c r="V4" s="5">
        <v>-2.162307259445129E-2</v>
      </c>
      <c r="W4" s="5">
        <v>-5.7679730450974631E-3</v>
      </c>
      <c r="X4" s="5">
        <v>-0.1698621934781421</v>
      </c>
      <c r="Y4" s="5">
        <v>-0.23417865773462759</v>
      </c>
      <c r="Z4" s="5">
        <v>-1.0182398713556751E-2</v>
      </c>
      <c r="AA4" s="5">
        <v>-3.1047645711428369E-3</v>
      </c>
      <c r="AB4" s="5">
        <v>-0.16354736732336941</v>
      </c>
      <c r="AC4" s="5">
        <v>-6.5817326243049479E-2</v>
      </c>
      <c r="AD4" s="5">
        <v>-5.3291001780785052E-2</v>
      </c>
      <c r="AE4" s="5">
        <v>4.4148085053993917E-2</v>
      </c>
      <c r="AF4" s="5">
        <v>8.1272612622841578E-2</v>
      </c>
      <c r="AG4" s="5">
        <v>-0.1017872468284171</v>
      </c>
      <c r="AH4" s="5">
        <v>0.1188108231774461</v>
      </c>
      <c r="AI4" s="5">
        <v>-8.6264025106641995E-2</v>
      </c>
      <c r="AJ4" s="5">
        <v>-9.7080353915666606E-2</v>
      </c>
      <c r="AK4" s="5">
        <v>7.7483445716659105E-2</v>
      </c>
      <c r="AL4" s="5">
        <v>1.8676259356256612E-2</v>
      </c>
      <c r="AM4" s="5">
        <v>-7.3616058355145952E-3</v>
      </c>
      <c r="AN4" s="5">
        <v>1.1279678641054501E-2</v>
      </c>
      <c r="AO4" s="5">
        <v>-4.4653672927386978E-2</v>
      </c>
      <c r="AP4" s="5">
        <v>8.0316784439199651E-2</v>
      </c>
      <c r="AQ4" s="5">
        <v>-9.065489430089535E-2</v>
      </c>
      <c r="AR4" s="5">
        <v>0.11489008982476891</v>
      </c>
      <c r="AS4" s="5">
        <v>8.2303546348533985E-2</v>
      </c>
      <c r="AT4" s="5">
        <v>9.2421253692602789E-3</v>
      </c>
      <c r="AU4" s="5">
        <v>-3.3161859626785528E-2</v>
      </c>
      <c r="AV4" s="5">
        <v>-0.2173053184250211</v>
      </c>
      <c r="AW4" s="5">
        <v>5.2685655817201749E-2</v>
      </c>
      <c r="AX4" s="5">
        <v>1.3493885720954781E-2</v>
      </c>
      <c r="AY4" s="5">
        <v>0.1041661451594766</v>
      </c>
      <c r="AZ4" s="5">
        <v>1.7139753527592561E-2</v>
      </c>
      <c r="BA4" s="5">
        <v>-0.15393947590357021</v>
      </c>
      <c r="BB4" s="5">
        <v>-0.25209000741856791</v>
      </c>
      <c r="BC4" s="5">
        <v>-0.1509089515544382</v>
      </c>
      <c r="BD4" s="5">
        <v>-2.256906534059766E-2</v>
      </c>
      <c r="BE4" s="5">
        <v>-3.1980232980275858E-2</v>
      </c>
      <c r="BF4" s="5">
        <v>0.12360403054618981</v>
      </c>
      <c r="BG4" s="5">
        <v>-7.4229896004924356E-2</v>
      </c>
      <c r="BH4" s="5">
        <v>-6.4502472889254037E-2</v>
      </c>
      <c r="BI4" s="5">
        <v>1.824796293577791E-2</v>
      </c>
      <c r="BJ4" s="5">
        <v>-0.15119856136795379</v>
      </c>
      <c r="BK4" s="5">
        <v>-5.7995346273466808E-2</v>
      </c>
      <c r="BL4" s="5">
        <v>-4.6827851998019199E-2</v>
      </c>
      <c r="BM4" s="5">
        <v>2.007808697382707E-2</v>
      </c>
      <c r="BN4" s="5">
        <v>4.1159851064172408E-2</v>
      </c>
      <c r="BO4" s="5">
        <v>4.4821746513099107E-2</v>
      </c>
      <c r="BP4" s="5">
        <v>8.3537285837463671E-2</v>
      </c>
      <c r="BQ4" s="5">
        <v>3.0584215049547229E-2</v>
      </c>
      <c r="BR4" s="5">
        <v>-0.11513801838410841</v>
      </c>
      <c r="BS4" s="5">
        <v>-1.9945733381826258E-2</v>
      </c>
      <c r="BT4" s="5">
        <v>-3.340062489588469E-2</v>
      </c>
      <c r="BU4" s="5">
        <v>-4.5048156861273718E-2</v>
      </c>
      <c r="BV4" s="5">
        <v>0.17298229554948641</v>
      </c>
      <c r="BW4" s="5">
        <v>-9.9199124220314516E-2</v>
      </c>
      <c r="BX4" s="5">
        <v>-6.8360249990837119E-2</v>
      </c>
      <c r="BY4" s="5">
        <v>-0.18303206657081719</v>
      </c>
      <c r="BZ4" s="5">
        <v>8.5483425285028503E-2</v>
      </c>
      <c r="CA4" s="5">
        <v>9.7162092942060241E-3</v>
      </c>
      <c r="CB4" s="5">
        <v>0.19814488479862649</v>
      </c>
      <c r="CC4" s="5">
        <v>-0.29368551385020503</v>
      </c>
      <c r="CD4" s="5">
        <v>-0.13248019500703731</v>
      </c>
      <c r="CE4" s="5">
        <v>-5.8262282818763111E-2</v>
      </c>
      <c r="CF4" s="5">
        <v>-0.1140691280773574</v>
      </c>
      <c r="CG4" s="5">
        <v>5.6736524131114408E-2</v>
      </c>
      <c r="CH4" s="5">
        <v>-4.7296779651766494E-3</v>
      </c>
      <c r="CI4" s="5">
        <v>8.4443901855131287E-2</v>
      </c>
      <c r="CJ4" s="5">
        <v>2.7869588243326859E-2</v>
      </c>
      <c r="CK4" s="5">
        <v>-2.232469786150304E-2</v>
      </c>
      <c r="CL4" s="5">
        <v>-6.8175763142658496E-2</v>
      </c>
      <c r="CM4" s="5">
        <v>4.0425862777794919E-2</v>
      </c>
      <c r="CN4" s="5">
        <v>0.18770361883890979</v>
      </c>
      <c r="CO4" s="5">
        <v>1.3964512578574779E-3</v>
      </c>
      <c r="CP4" s="5">
        <v>2.0238036750885868E-2</v>
      </c>
      <c r="CQ4" s="5">
        <v>-3.0594997259303369E-2</v>
      </c>
      <c r="CR4" s="5">
        <v>-0.28726340823344998</v>
      </c>
      <c r="CS4" s="5">
        <v>-0.27841972942992038</v>
      </c>
      <c r="CT4" s="5">
        <v>8.2270680617856584E-2</v>
      </c>
      <c r="CU4" s="5">
        <v>-0.1048554960401091</v>
      </c>
      <c r="CV4" s="5">
        <v>0.11088351979357471</v>
      </c>
      <c r="CW4" s="5">
        <v>-5.0507103363436563E-2</v>
      </c>
      <c r="CX4" s="5">
        <v>5.9564972115538239E-2</v>
      </c>
      <c r="CY4" s="5">
        <v>-0.17485206724227001</v>
      </c>
      <c r="CZ4" s="5">
        <v>-0.12999288727490921</v>
      </c>
      <c r="DA4" s="5">
        <v>-0.22061040036900439</v>
      </c>
      <c r="DB4" s="5">
        <v>-4.9769885023174247E-2</v>
      </c>
      <c r="DC4" s="5">
        <v>-0.1428822193239476</v>
      </c>
      <c r="DD4" s="5">
        <v>0.1006356253829281</v>
      </c>
      <c r="DE4" s="5">
        <v>4.4473068308818142E-2</v>
      </c>
      <c r="DF4" s="5">
        <v>5.5744001155495937E-2</v>
      </c>
      <c r="DG4" s="5">
        <v>-0.1401895090203702</v>
      </c>
      <c r="DH4" s="5">
        <v>0.15742013530757151</v>
      </c>
      <c r="DI4" s="5">
        <v>-6.1975928482361553E-2</v>
      </c>
      <c r="DJ4" s="5">
        <v>-0.12007758793922819</v>
      </c>
      <c r="DK4" s="5">
        <v>-0.163860282805075</v>
      </c>
      <c r="DL4" s="5">
        <v>9.4497364979279297E-2</v>
      </c>
      <c r="DM4" s="5">
        <v>0.23347887989474711</v>
      </c>
      <c r="DN4" s="5">
        <v>7.41389367052534E-2</v>
      </c>
      <c r="DO4" s="5">
        <v>-4.4768182471788258E-2</v>
      </c>
      <c r="DP4" s="5">
        <v>-6.9268899611042656E-2</v>
      </c>
      <c r="DQ4" s="5">
        <v>-0.1694470405102351</v>
      </c>
      <c r="DR4" s="5">
        <v>-0.1292383591030131</v>
      </c>
      <c r="DS4" s="5">
        <v>-7.3029030634589986E-2</v>
      </c>
      <c r="DT4" s="5">
        <v>-0.2035882020359274</v>
      </c>
      <c r="DU4" s="5">
        <v>-5.4890571845771063E-2</v>
      </c>
      <c r="DV4" s="5">
        <v>1.1078381509349811E-2</v>
      </c>
      <c r="DW4" s="5">
        <v>-4.5384063983000536E-3</v>
      </c>
      <c r="DX4" s="5">
        <v>-8.4289001087523019E-2</v>
      </c>
      <c r="DY4" s="5">
        <v>0.10021881700383869</v>
      </c>
      <c r="DZ4" s="5">
        <v>-0.13097722178277141</v>
      </c>
      <c r="EA4" s="5">
        <v>-0.19315799713893969</v>
      </c>
      <c r="EB4" s="5">
        <v>-0.31868386846927171</v>
      </c>
      <c r="EC4" s="5">
        <v>4.9076536231201118E-2</v>
      </c>
      <c r="ED4" s="5">
        <v>5.2784729286493359E-2</v>
      </c>
      <c r="EE4" s="5">
        <v>0.1201448565603975</v>
      </c>
      <c r="EF4" s="5">
        <v>0.24405280405184021</v>
      </c>
    </row>
    <row r="5" spans="1:138">
      <c r="B5" s="1" t="s">
        <v>138</v>
      </c>
      <c r="C5" s="5">
        <v>-0.20935792122733929</v>
      </c>
      <c r="D5" s="5">
        <v>-0.1073627692333063</v>
      </c>
      <c r="E5" s="5">
        <v>0.52484760680152232</v>
      </c>
      <c r="F5" s="5">
        <v>4.6837059958046809E-2</v>
      </c>
      <c r="G5" s="5">
        <v>-0.2104714261735883</v>
      </c>
      <c r="H5" s="5">
        <v>0.4744149628629204</v>
      </c>
      <c r="I5" s="5">
        <v>0.14678498763585299</v>
      </c>
      <c r="J5" s="5">
        <v>-5.6231752728838222E-2</v>
      </c>
      <c r="K5" s="5">
        <v>0.27552845629080469</v>
      </c>
      <c r="L5" s="5">
        <v>-0.43004286310886081</v>
      </c>
      <c r="M5" s="5">
        <v>0.32376774959305898</v>
      </c>
      <c r="N5" s="5">
        <v>-0.34824165047033961</v>
      </c>
      <c r="O5" s="5">
        <v>-9.7528911512976074E-2</v>
      </c>
      <c r="P5" s="5">
        <v>0.39546612391174241</v>
      </c>
      <c r="Q5" s="5">
        <v>4.8467491330228173E-2</v>
      </c>
      <c r="R5" s="5">
        <v>-9.8851331549351315E-2</v>
      </c>
      <c r="S5" s="5">
        <v>0.3057921371194337</v>
      </c>
      <c r="T5" s="5">
        <v>7.2071946189346189E-2</v>
      </c>
      <c r="U5" s="5">
        <v>-4.7890408561752917E-4</v>
      </c>
      <c r="V5" s="5">
        <v>-0.13936695356286269</v>
      </c>
      <c r="W5" s="5">
        <v>-0.39469012652483237</v>
      </c>
      <c r="X5" s="5">
        <v>-0.12947787244850251</v>
      </c>
      <c r="Y5" s="5">
        <v>-0.68127295831176804</v>
      </c>
      <c r="Z5" s="5">
        <v>-4.1720386960932424E-3</v>
      </c>
      <c r="AA5" s="5">
        <v>1.8198047382592619E-2</v>
      </c>
      <c r="AB5" s="5">
        <v>0.20112165888415301</v>
      </c>
      <c r="AC5" s="5">
        <v>-8.9163225286403025E-2</v>
      </c>
      <c r="AD5" s="5">
        <v>0.14514145822358679</v>
      </c>
      <c r="AE5" s="5">
        <v>7.4669147590605167E-2</v>
      </c>
      <c r="AF5" s="5">
        <v>0.17577042279847119</v>
      </c>
      <c r="AG5" s="5">
        <v>-0.30336041259100399</v>
      </c>
      <c r="AH5" s="5">
        <v>-0.3482499081721625</v>
      </c>
      <c r="AI5" s="5">
        <v>0.25872371710226461</v>
      </c>
      <c r="AJ5" s="5">
        <v>-0.48889196953357</v>
      </c>
      <c r="AK5" s="5">
        <v>0.13254842946584691</v>
      </c>
      <c r="AL5" s="5">
        <v>-2.3789775596635129E-2</v>
      </c>
      <c r="AM5" s="5">
        <v>1.17524054827144E-2</v>
      </c>
      <c r="AN5" s="5">
        <v>-7.4933432869098024E-2</v>
      </c>
      <c r="AO5" s="5">
        <v>0.1844633194704077</v>
      </c>
      <c r="AP5" s="5">
        <v>3.2348031051998787E-2</v>
      </c>
      <c r="AQ5" s="5">
        <v>0.1511984265546954</v>
      </c>
      <c r="AR5" s="5">
        <v>-9.5283109587288514E-2</v>
      </c>
      <c r="AS5" s="5">
        <v>-0.1260043749729467</v>
      </c>
      <c r="AT5" s="5">
        <v>0.1516447920969482</v>
      </c>
      <c r="AU5" s="5">
        <v>-0.20083705233961571</v>
      </c>
      <c r="AV5" s="5">
        <v>7.890636801828628E-2</v>
      </c>
      <c r="AW5" s="5">
        <v>6.7935762483271878E-4</v>
      </c>
      <c r="AX5" s="5">
        <v>0.1122931240608864</v>
      </c>
      <c r="AY5" s="5">
        <v>-0.118056117907044</v>
      </c>
      <c r="AZ5" s="5">
        <v>0.20621977214253931</v>
      </c>
      <c r="BA5" s="5">
        <v>-3.9691918773370187E-2</v>
      </c>
      <c r="BB5" s="5">
        <v>8.2995939761629778E-2</v>
      </c>
      <c r="BC5" s="5">
        <v>-0.13000542995066139</v>
      </c>
      <c r="BD5" s="5">
        <v>-0.1063161628626854</v>
      </c>
      <c r="BE5" s="5">
        <v>0.1159333959862182</v>
      </c>
      <c r="BF5" s="5">
        <v>-0.28526227318364472</v>
      </c>
      <c r="BG5" s="5">
        <v>-0.15093334040887121</v>
      </c>
      <c r="BH5" s="5">
        <v>2.919940093087194E-3</v>
      </c>
      <c r="BI5" s="5">
        <v>5.812657406460206E-2</v>
      </c>
      <c r="BJ5" s="5">
        <v>-0.25986983403483388</v>
      </c>
      <c r="BK5" s="5">
        <v>0.18487944696901781</v>
      </c>
      <c r="BL5" s="5">
        <v>-0.26913172790454543</v>
      </c>
      <c r="BM5" s="5">
        <v>0.1717381908649544</v>
      </c>
      <c r="BN5" s="5">
        <v>-0.18092216130584951</v>
      </c>
      <c r="BO5" s="5">
        <v>-6.3203737577877367E-2</v>
      </c>
      <c r="BP5" s="5">
        <v>7.1867500126512024E-2</v>
      </c>
      <c r="BQ5" s="5">
        <v>-0.16861046240236999</v>
      </c>
      <c r="BR5" s="5">
        <v>-2.5447831594333319E-2</v>
      </c>
      <c r="BS5" s="5">
        <v>0.1244241075337672</v>
      </c>
      <c r="BT5" s="5">
        <v>0.20772231279415901</v>
      </c>
      <c r="BU5" s="5">
        <v>-6.0051294436158628E-2</v>
      </c>
      <c r="BV5" s="5">
        <v>-5.1700003009333508E-2</v>
      </c>
      <c r="BW5" s="5">
        <v>-0.1268015683060742</v>
      </c>
      <c r="BX5" s="5">
        <v>-0.10582029087279909</v>
      </c>
      <c r="BY5" s="5">
        <v>5.3607320437496067E-2</v>
      </c>
      <c r="BZ5" s="5">
        <v>-3.4479447424122608E-2</v>
      </c>
      <c r="CA5" s="5">
        <v>-2.0066210971329639E-2</v>
      </c>
      <c r="CB5" s="5">
        <v>8.4589606751002688E-2</v>
      </c>
      <c r="CC5" s="5">
        <v>-0.1103836570393476</v>
      </c>
      <c r="CD5" s="5">
        <v>0.32742328506094998</v>
      </c>
      <c r="CE5" s="5">
        <v>-1.486719718236725E-2</v>
      </c>
      <c r="CF5" s="5">
        <v>-0.14937324914413941</v>
      </c>
      <c r="CG5" s="5">
        <v>0.16320028060313421</v>
      </c>
      <c r="CH5" s="5">
        <v>-6.9038325074175663E-2</v>
      </c>
      <c r="CI5" s="5">
        <v>-0.11536214708505139</v>
      </c>
      <c r="CJ5" s="5">
        <v>-0.26301723908525793</v>
      </c>
      <c r="CK5" s="5">
        <v>0.37897350211797709</v>
      </c>
      <c r="CL5" s="5">
        <v>-7.6383453932209341E-2</v>
      </c>
      <c r="CM5" s="5">
        <v>4.2833444041791832E-2</v>
      </c>
      <c r="CN5" s="5">
        <v>-0.15161552738072651</v>
      </c>
      <c r="CO5" s="5">
        <v>0.43716796518582229</v>
      </c>
      <c r="CP5" s="5">
        <v>-4.1833927507883796E-3</v>
      </c>
      <c r="CQ5" s="5">
        <v>-0.49935244279872992</v>
      </c>
      <c r="CR5" s="5">
        <v>0.3398570382696095</v>
      </c>
      <c r="CS5" s="5">
        <v>-0.18988696947799641</v>
      </c>
      <c r="CT5" s="5">
        <v>0.2246197528310597</v>
      </c>
      <c r="CU5" s="5">
        <v>-0.25171771168640761</v>
      </c>
      <c r="CV5" s="5">
        <v>-6.0587944319075937E-2</v>
      </c>
      <c r="CW5" s="5">
        <v>0.2108770628752098</v>
      </c>
      <c r="CX5" s="5">
        <v>0.25016150139728283</v>
      </c>
      <c r="CY5" s="5">
        <v>-0.52413353929587791</v>
      </c>
      <c r="CZ5" s="5">
        <v>0.8216183061041753</v>
      </c>
      <c r="DA5" s="5">
        <v>-0.17652298417539669</v>
      </c>
      <c r="DB5" s="5">
        <v>0.13115957739194459</v>
      </c>
      <c r="DC5" s="5">
        <v>0.1757366545058428</v>
      </c>
      <c r="DD5" s="5">
        <v>-0.42083892435479142</v>
      </c>
      <c r="DE5" s="5">
        <v>-0.2279724207651195</v>
      </c>
      <c r="DF5" s="5">
        <v>-0.33715973842927388</v>
      </c>
      <c r="DG5" s="5">
        <v>-0.44400370439279008</v>
      </c>
      <c r="DH5" s="5">
        <v>-4.293279443633978E-2</v>
      </c>
      <c r="DI5" s="5">
        <v>0.30896916307249689</v>
      </c>
      <c r="DJ5" s="5">
        <v>-0.28669247758290828</v>
      </c>
      <c r="DK5" s="5">
        <v>0.84621248517861269</v>
      </c>
      <c r="DL5" s="5">
        <v>-0.16924034367306559</v>
      </c>
      <c r="DM5" s="5">
        <v>-0.43945016692248923</v>
      </c>
      <c r="DN5" s="5">
        <v>0.74751336560070059</v>
      </c>
      <c r="DO5" s="5">
        <v>-0.39996426308914668</v>
      </c>
      <c r="DP5" s="5">
        <v>-4.4863264481034962E-2</v>
      </c>
      <c r="DQ5" s="5">
        <v>-0.58863430244229409</v>
      </c>
      <c r="DR5" s="5">
        <v>-6.5627469319089037E-3</v>
      </c>
      <c r="DS5" s="5">
        <v>-0.19878519438361211</v>
      </c>
      <c r="DT5" s="5">
        <v>0.4132117833889476</v>
      </c>
      <c r="DU5" s="5">
        <v>-0.17065403209770361</v>
      </c>
      <c r="DV5" s="5">
        <v>0.68828031734213269</v>
      </c>
      <c r="DW5" s="5">
        <v>4.0806005098273937E-2</v>
      </c>
      <c r="DX5" s="5">
        <v>-0.1999347157162332</v>
      </c>
      <c r="DY5" s="5">
        <v>0.56631420698904078</v>
      </c>
      <c r="DZ5" s="5">
        <v>0.47362880432099852</v>
      </c>
      <c r="EA5" s="5">
        <v>9.5444977871898054E-2</v>
      </c>
      <c r="EB5" s="5">
        <v>-1.076360940060376</v>
      </c>
      <c r="EC5" s="5">
        <v>-0.13610628648279391</v>
      </c>
      <c r="ED5" s="5">
        <v>-0.27349656344743889</v>
      </c>
      <c r="EE5" s="5">
        <v>0.60134859370029736</v>
      </c>
      <c r="EF5" s="5">
        <v>6.7468790588863341E-3</v>
      </c>
    </row>
    <row r="6" spans="1:138">
      <c r="A6" s="29" t="s">
        <v>139</v>
      </c>
      <c r="B6" s="30"/>
      <c r="C6" s="5">
        <f t="array" ref="C6">MATCH(MAX(ABS(C3:C5)),ABS(C3:C5),0)</f>
        <v>3</v>
      </c>
      <c r="D6" s="5">
        <f t="array" ref="D6">MATCH(MAX(ABS(D3:D5)),ABS(D3:D5),0)</f>
        <v>2</v>
      </c>
      <c r="E6" s="5">
        <f t="array" ref="E6">MATCH(MAX(ABS(E3:E5)),ABS(E3:E5),0)</f>
        <v>3</v>
      </c>
      <c r="F6" s="5">
        <f t="array" ref="F6">MATCH(MAX(ABS(F3:F5)),ABS(F3:F5),0)</f>
        <v>3</v>
      </c>
      <c r="G6" s="5">
        <f t="array" ref="G6">MATCH(MAX(ABS(G3:G5)),ABS(G3:G5),0)</f>
        <v>3</v>
      </c>
      <c r="H6" s="5">
        <f t="array" ref="H6">MATCH(MAX(ABS(H3:H5)),ABS(H3:H5),0)</f>
        <v>3</v>
      </c>
      <c r="I6" s="5">
        <f t="array" ref="I6">MATCH(MAX(ABS(I3:I5)),ABS(I3:I5),0)</f>
        <v>1</v>
      </c>
      <c r="J6" s="5">
        <f t="array" ref="J6">MATCH(MAX(ABS(J3:J5)),ABS(J3:J5),0)</f>
        <v>1</v>
      </c>
      <c r="K6" s="5">
        <f t="array" ref="K6">MATCH(MAX(ABS(K3:K5)),ABS(K3:K5),0)</f>
        <v>3</v>
      </c>
      <c r="L6" s="5">
        <f t="array" ref="L6">MATCH(MAX(ABS(L3:L5)),ABS(L3:L5),0)</f>
        <v>3</v>
      </c>
      <c r="M6" s="5">
        <f t="array" ref="M6">MATCH(MAX(ABS(M3:M5)),ABS(M3:M5),0)</f>
        <v>3</v>
      </c>
      <c r="N6" s="5">
        <f t="array" ref="N6">MATCH(MAX(ABS(N3:N5)),ABS(N3:N5),0)</f>
        <v>3</v>
      </c>
      <c r="O6" s="5">
        <f t="array" ref="O6">MATCH(MAX(ABS(O3:O5)),ABS(O3:O5),0)</f>
        <v>1</v>
      </c>
      <c r="P6" s="5">
        <f t="array" ref="P6">MATCH(MAX(ABS(P3:P5)),ABS(P3:P5),0)</f>
        <v>3</v>
      </c>
      <c r="Q6" s="5">
        <f t="array" ref="Q6">MATCH(MAX(ABS(Q3:Q5)),ABS(Q3:Q5),0)</f>
        <v>1</v>
      </c>
      <c r="R6" s="5">
        <f t="array" ref="R6">MATCH(MAX(ABS(R3:R5)),ABS(R3:R5),0)</f>
        <v>1</v>
      </c>
      <c r="S6" s="5">
        <f t="array" ref="S6">MATCH(MAX(ABS(S3:S5)),ABS(S3:S5),0)</f>
        <v>3</v>
      </c>
      <c r="T6" s="5">
        <f t="array" ref="T6">MATCH(MAX(ABS(T3:T5)),ABS(T3:T5),0)</f>
        <v>1</v>
      </c>
      <c r="U6" s="5">
        <f t="array" ref="U6">MATCH(MAX(ABS(U3:U5)),ABS(U3:U5),0)</f>
        <v>1</v>
      </c>
      <c r="V6" s="5">
        <f t="array" ref="V6">MATCH(MAX(ABS(V3:V5)),ABS(V3:V5),0)</f>
        <v>3</v>
      </c>
      <c r="W6" s="5">
        <f t="array" ref="W6">MATCH(MAX(ABS(W3:W5)),ABS(W3:W5),0)</f>
        <v>3</v>
      </c>
      <c r="X6" s="5">
        <f t="array" ref="X6">MATCH(MAX(ABS(X3:X5)),ABS(X3:X5),0)</f>
        <v>2</v>
      </c>
      <c r="Y6" s="5">
        <f t="array" ref="Y6">MATCH(MAX(ABS(Y3:Y5)),ABS(Y3:Y5),0)</f>
        <v>3</v>
      </c>
      <c r="Z6" s="5">
        <f t="array" ref="Z6">MATCH(MAX(ABS(Z3:Z5)),ABS(Z3:Z5),0)</f>
        <v>1</v>
      </c>
      <c r="AA6" s="5">
        <f t="array" ref="AA6">MATCH(MAX(ABS(AA3:AA5)),ABS(AA3:AA5),0)</f>
        <v>1</v>
      </c>
      <c r="AB6" s="5">
        <f t="array" ref="AB6">MATCH(MAX(ABS(AB3:AB5)),ABS(AB3:AB5),0)</f>
        <v>1</v>
      </c>
      <c r="AC6" s="5">
        <f t="array" ref="AC6">MATCH(MAX(ABS(AC3:AC5)),ABS(AC3:AC5),0)</f>
        <v>3</v>
      </c>
      <c r="AD6" s="5">
        <f t="array" ref="AD6">MATCH(MAX(ABS(AD3:AD5)),ABS(AD3:AD5),0)</f>
        <v>3</v>
      </c>
      <c r="AE6" s="5">
        <f t="array" ref="AE6">MATCH(MAX(ABS(AE3:AE5)),ABS(AE3:AE5),0)</f>
        <v>3</v>
      </c>
      <c r="AF6" s="5">
        <f t="array" ref="AF6">MATCH(MAX(ABS(AF3:AF5)),ABS(AF3:AF5),0)</f>
        <v>3</v>
      </c>
      <c r="AG6" s="5">
        <f t="array" ref="AG6">MATCH(MAX(ABS(AG3:AG5)),ABS(AG3:AG5),0)</f>
        <v>3</v>
      </c>
      <c r="AH6" s="5">
        <f t="array" ref="AH6">MATCH(MAX(ABS(AH3:AH5)),ABS(AH3:AH5),0)</f>
        <v>3</v>
      </c>
      <c r="AI6" s="5">
        <f t="array" ref="AI6">MATCH(MAX(ABS(AI3:AI5)),ABS(AI3:AI5),0)</f>
        <v>3</v>
      </c>
      <c r="AJ6" s="5">
        <f t="array" ref="AJ6">MATCH(MAX(ABS(AJ3:AJ5)),ABS(AJ3:AJ5),0)</f>
        <v>3</v>
      </c>
      <c r="AK6" s="5">
        <f t="array" ref="AK6">MATCH(MAX(ABS(AK3:AK5)),ABS(AK3:AK5),0)</f>
        <v>3</v>
      </c>
      <c r="AL6" s="5">
        <f t="array" ref="AL6">MATCH(MAX(ABS(AL3:AL5)),ABS(AL3:AL5),0)</f>
        <v>1</v>
      </c>
      <c r="AM6" s="5">
        <f t="array" ref="AM6">MATCH(MAX(ABS(AM3:AM5)),ABS(AM3:AM5),0)</f>
        <v>1</v>
      </c>
      <c r="AN6" s="5">
        <f t="array" ref="AN6">MATCH(MAX(ABS(AN3:AN5)),ABS(AN3:AN5),0)</f>
        <v>1</v>
      </c>
      <c r="AO6" s="5">
        <f t="array" ref="AO6">MATCH(MAX(ABS(AO3:AO5)),ABS(AO3:AO5),0)</f>
        <v>3</v>
      </c>
      <c r="AP6" s="5">
        <f t="array" ref="AP6">MATCH(MAX(ABS(AP3:AP5)),ABS(AP3:AP5),0)</f>
        <v>2</v>
      </c>
      <c r="AQ6" s="5">
        <f t="array" ref="AQ6">MATCH(MAX(ABS(AQ3:AQ5)),ABS(AQ3:AQ5),0)</f>
        <v>1</v>
      </c>
      <c r="AR6" s="5">
        <f t="array" ref="AR6">MATCH(MAX(ABS(AR3:AR5)),ABS(AR3:AR5),0)</f>
        <v>2</v>
      </c>
      <c r="AS6" s="5">
        <f t="array" ref="AS6">MATCH(MAX(ABS(AS3:AS5)),ABS(AS3:AS5),0)</f>
        <v>1</v>
      </c>
      <c r="AT6" s="5">
        <f t="array" ref="AT6">MATCH(MAX(ABS(AT3:AT5)),ABS(AT3:AT5),0)</f>
        <v>3</v>
      </c>
      <c r="AU6" s="5">
        <f t="array" ref="AU6">MATCH(MAX(ABS(AU3:AU5)),ABS(AU3:AU5),0)</f>
        <v>3</v>
      </c>
      <c r="AV6" s="5">
        <f t="array" ref="AV6">MATCH(MAX(ABS(AV3:AV5)),ABS(AV3:AV5),0)</f>
        <v>2</v>
      </c>
      <c r="AW6" s="5">
        <f t="array" ref="AW6">MATCH(MAX(ABS(AW3:AW5)),ABS(AW3:AW5),0)</f>
        <v>1</v>
      </c>
      <c r="AX6" s="5">
        <f t="array" ref="AX6">MATCH(MAX(ABS(AX3:AX5)),ABS(AX3:AX5),0)</f>
        <v>3</v>
      </c>
      <c r="AY6" s="5">
        <f t="array" ref="AY6">MATCH(MAX(ABS(AY3:AY5)),ABS(AY3:AY5),0)</f>
        <v>3</v>
      </c>
      <c r="AZ6" s="5">
        <f t="array" ref="AZ6">MATCH(MAX(ABS(AZ3:AZ5)),ABS(AZ3:AZ5),0)</f>
        <v>3</v>
      </c>
      <c r="BA6" s="5">
        <f t="array" ref="BA6">MATCH(MAX(ABS(BA3:BA5)),ABS(BA3:BA5),0)</f>
        <v>1</v>
      </c>
      <c r="BB6" s="5">
        <f t="array" ref="BB6">MATCH(MAX(ABS(BB3:BB5)),ABS(BB3:BB5),0)</f>
        <v>2</v>
      </c>
      <c r="BC6" s="5">
        <f t="array" ref="BC6">MATCH(MAX(ABS(BC3:BC5)),ABS(BC3:BC5),0)</f>
        <v>1</v>
      </c>
      <c r="BD6" s="5">
        <f t="array" ref="BD6">MATCH(MAX(ABS(BD3:BD5)),ABS(BD3:BD5),0)</f>
        <v>1</v>
      </c>
      <c r="BE6" s="5">
        <f t="array" ref="BE6">MATCH(MAX(ABS(BE3:BE5)),ABS(BE3:BE5),0)</f>
        <v>1</v>
      </c>
      <c r="BF6" s="5">
        <f t="array" ref="BF6">MATCH(MAX(ABS(BF3:BF5)),ABS(BF3:BF5),0)</f>
        <v>3</v>
      </c>
      <c r="BG6" s="5">
        <f t="array" ref="BG6">MATCH(MAX(ABS(BG3:BG5)),ABS(BG3:BG5),0)</f>
        <v>1</v>
      </c>
      <c r="BH6" s="5">
        <f t="array" ref="BH6">MATCH(MAX(ABS(BH3:BH5)),ABS(BH3:BH5),0)</f>
        <v>1</v>
      </c>
      <c r="BI6" s="5">
        <f t="array" ref="BI6">MATCH(MAX(ABS(BI3:BI5)),ABS(BI3:BI5),0)</f>
        <v>3</v>
      </c>
      <c r="BJ6" s="5">
        <f t="array" ref="BJ6">MATCH(MAX(ABS(BJ3:BJ5)),ABS(BJ3:BJ5),0)</f>
        <v>3</v>
      </c>
      <c r="BK6" s="5">
        <f t="array" ref="BK6">MATCH(MAX(ABS(BK3:BK5)),ABS(BK3:BK5),0)</f>
        <v>3</v>
      </c>
      <c r="BL6" s="5">
        <f t="array" ref="BL6">MATCH(MAX(ABS(BL3:BL5)),ABS(BL3:BL5),0)</f>
        <v>3</v>
      </c>
      <c r="BM6" s="5">
        <f t="array" ref="BM6">MATCH(MAX(ABS(BM3:BM5)),ABS(BM3:BM5),0)</f>
        <v>3</v>
      </c>
      <c r="BN6" s="5">
        <f t="array" ref="BN6">MATCH(MAX(ABS(BN3:BN5)),ABS(BN3:BN5),0)</f>
        <v>3</v>
      </c>
      <c r="BO6" s="5">
        <f t="array" ref="BO6">MATCH(MAX(ABS(BO3:BO5)),ABS(BO3:BO5),0)</f>
        <v>1</v>
      </c>
      <c r="BP6" s="5">
        <f t="array" ref="BP6">MATCH(MAX(ABS(BP3:BP5)),ABS(BP3:BP5),0)</f>
        <v>2</v>
      </c>
      <c r="BQ6" s="5">
        <f t="array" ref="BQ6">MATCH(MAX(ABS(BQ3:BQ5)),ABS(BQ3:BQ5),0)</f>
        <v>3</v>
      </c>
      <c r="BR6" s="5">
        <f t="array" ref="BR6">MATCH(MAX(ABS(BR3:BR5)),ABS(BR3:BR5),0)</f>
        <v>1</v>
      </c>
      <c r="BS6" s="5">
        <f t="array" ref="BS6">MATCH(MAX(ABS(BS3:BS5)),ABS(BS3:BS5),0)</f>
        <v>3</v>
      </c>
      <c r="BT6" s="5">
        <f t="array" ref="BT6">MATCH(MAX(ABS(BT3:BT5)),ABS(BT3:BT5),0)</f>
        <v>3</v>
      </c>
      <c r="BU6" s="5">
        <f t="array" ref="BU6">MATCH(MAX(ABS(BU3:BU5)),ABS(BU3:BU5),0)</f>
        <v>1</v>
      </c>
      <c r="BV6" s="5">
        <f t="array" ref="BV6">MATCH(MAX(ABS(BV3:BV5)),ABS(BV3:BV5),0)</f>
        <v>2</v>
      </c>
      <c r="BW6" s="5">
        <f t="array" ref="BW6">MATCH(MAX(ABS(BW3:BW5)),ABS(BW3:BW5),0)</f>
        <v>3</v>
      </c>
      <c r="BX6" s="5">
        <f t="array" ref="BX6">MATCH(MAX(ABS(BX3:BX5)),ABS(BX3:BX5),0)</f>
        <v>3</v>
      </c>
      <c r="BY6" s="5">
        <f t="array" ref="BY6">MATCH(MAX(ABS(BY3:BY5)),ABS(BY3:BY5),0)</f>
        <v>2</v>
      </c>
      <c r="BZ6" s="5">
        <f t="array" ref="BZ6">MATCH(MAX(ABS(BZ3:BZ5)),ABS(BZ3:BZ5),0)</f>
        <v>1</v>
      </c>
      <c r="CA6" s="5">
        <f t="array" ref="CA6">MATCH(MAX(ABS(CA3:CA5)),ABS(CA3:CA5),0)</f>
        <v>1</v>
      </c>
      <c r="CB6" s="5">
        <f t="array" ref="CB6">MATCH(MAX(ABS(CB3:CB5)),ABS(CB3:CB5),0)</f>
        <v>2</v>
      </c>
      <c r="CC6" s="5">
        <f t="array" ref="CC6">MATCH(MAX(ABS(CC3:CC5)),ABS(CC3:CC5),0)</f>
        <v>2</v>
      </c>
      <c r="CD6" s="5">
        <f t="array" ref="CD6">MATCH(MAX(ABS(CD3:CD5)),ABS(CD3:CD5),0)</f>
        <v>3</v>
      </c>
      <c r="CE6" s="5">
        <f t="array" ref="CE6">MATCH(MAX(ABS(CE3:CE5)),ABS(CE3:CE5),0)</f>
        <v>1</v>
      </c>
      <c r="CF6" s="5">
        <f t="array" ref="CF6">MATCH(MAX(ABS(CF3:CF5)),ABS(CF3:CF5),0)</f>
        <v>3</v>
      </c>
      <c r="CG6" s="5">
        <f t="array" ref="CG6">MATCH(MAX(ABS(CG3:CG5)),ABS(CG3:CG5),0)</f>
        <v>3</v>
      </c>
      <c r="CH6" s="5">
        <f t="array" ref="CH6">MATCH(MAX(ABS(CH3:CH5)),ABS(CH3:CH5),0)</f>
        <v>3</v>
      </c>
      <c r="CI6" s="5">
        <f t="array" ref="CI6">MATCH(MAX(ABS(CI3:CI5)),ABS(CI3:CI5),0)</f>
        <v>3</v>
      </c>
      <c r="CJ6" s="5">
        <f t="array" ref="CJ6">MATCH(MAX(ABS(CJ3:CJ5)),ABS(CJ3:CJ5),0)</f>
        <v>1</v>
      </c>
      <c r="CK6" s="5">
        <f t="array" ref="CK6">MATCH(MAX(ABS(CK3:CK5)),ABS(CK3:CK5),0)</f>
        <v>3</v>
      </c>
      <c r="CL6" s="5">
        <f t="array" ref="CL6">MATCH(MAX(ABS(CL3:CL5)),ABS(CL3:CL5),0)</f>
        <v>3</v>
      </c>
      <c r="CM6" s="5">
        <f t="array" ref="CM6">MATCH(MAX(ABS(CM3:CM5)),ABS(CM3:CM5),0)</f>
        <v>1</v>
      </c>
      <c r="CN6" s="5">
        <f t="array" ref="CN6">MATCH(MAX(ABS(CN3:CN5)),ABS(CN3:CN5),0)</f>
        <v>1</v>
      </c>
      <c r="CO6" s="5">
        <f t="array" ref="CO6">MATCH(MAX(ABS(CO3:CO5)),ABS(CO3:CO5),0)</f>
        <v>3</v>
      </c>
      <c r="CP6" s="5">
        <f t="array" ref="CP6">MATCH(MAX(ABS(CP3:CP5)),ABS(CP3:CP5),0)</f>
        <v>1</v>
      </c>
      <c r="CQ6" s="5">
        <f t="array" ref="CQ6">MATCH(MAX(ABS(CQ3:CQ5)),ABS(CQ3:CQ5),0)</f>
        <v>3</v>
      </c>
      <c r="CR6" s="5">
        <f t="array" ref="CR6">MATCH(MAX(ABS(CR3:CR5)),ABS(CR3:CR5),0)</f>
        <v>3</v>
      </c>
      <c r="CS6" s="5">
        <f t="array" ref="CS6">MATCH(MAX(ABS(CS3:CS5)),ABS(CS3:CS5),0)</f>
        <v>2</v>
      </c>
      <c r="CT6" s="5">
        <f t="array" ref="CT6">MATCH(MAX(ABS(CT3:CT5)),ABS(CT3:CT5),0)</f>
        <v>3</v>
      </c>
      <c r="CU6" s="5">
        <f t="array" ref="CU6">MATCH(MAX(ABS(CU3:CU5)),ABS(CU3:CU5),0)</f>
        <v>3</v>
      </c>
      <c r="CV6" s="5">
        <f t="array" ref="CV6">MATCH(MAX(ABS(CV3:CV5)),ABS(CV3:CV5),0)</f>
        <v>2</v>
      </c>
      <c r="CW6" s="5">
        <f t="array" ref="CW6">MATCH(MAX(ABS(CW3:CW5)),ABS(CW3:CW5),0)</f>
        <v>3</v>
      </c>
      <c r="CX6" s="5">
        <f t="array" ref="CX6">MATCH(MAX(ABS(CX3:CX5)),ABS(CX3:CX5),0)</f>
        <v>3</v>
      </c>
      <c r="CY6" s="5">
        <f t="array" ref="CY6">MATCH(MAX(ABS(CY3:CY5)),ABS(CY3:CY5),0)</f>
        <v>3</v>
      </c>
      <c r="CZ6" s="5">
        <f t="array" ref="CZ6">MATCH(MAX(ABS(CZ3:CZ5)),ABS(CZ3:CZ5),0)</f>
        <v>3</v>
      </c>
      <c r="DA6" s="5">
        <f t="array" ref="DA6">MATCH(MAX(ABS(DA3:DA5)),ABS(DA3:DA5),0)</f>
        <v>1</v>
      </c>
      <c r="DB6" s="5">
        <f t="array" ref="DB6">MATCH(MAX(ABS(DB3:DB5)),ABS(DB3:DB5),0)</f>
        <v>1</v>
      </c>
      <c r="DC6" s="5">
        <f t="array" ref="DC6">MATCH(MAX(ABS(DC3:DC5)),ABS(DC3:DC5),0)</f>
        <v>1</v>
      </c>
      <c r="DD6" s="5">
        <f t="array" ref="DD6">MATCH(MAX(ABS(DD3:DD5)),ABS(DD3:DD5),0)</f>
        <v>3</v>
      </c>
      <c r="DE6" s="5">
        <f t="array" ref="DE6">MATCH(MAX(ABS(DE3:DE5)),ABS(DE3:DE5),0)</f>
        <v>3</v>
      </c>
      <c r="DF6" s="5">
        <f t="array" ref="DF6">MATCH(MAX(ABS(DF3:DF5)),ABS(DF3:DF5),0)</f>
        <v>3</v>
      </c>
      <c r="DG6" s="5">
        <f t="array" ref="DG6">MATCH(MAX(ABS(DG3:DG5)),ABS(DG3:DG5),0)</f>
        <v>3</v>
      </c>
      <c r="DH6" s="5">
        <f t="array" ref="DH6">MATCH(MAX(ABS(DH3:DH5)),ABS(DH3:DH5),0)</f>
        <v>2</v>
      </c>
      <c r="DI6" s="5">
        <f t="array" ref="DI6">MATCH(MAX(ABS(DI3:DI5)),ABS(DI3:DI5),0)</f>
        <v>3</v>
      </c>
      <c r="DJ6" s="5">
        <f t="array" ref="DJ6">MATCH(MAX(ABS(DJ3:DJ5)),ABS(DJ3:DJ5),0)</f>
        <v>3</v>
      </c>
      <c r="DK6" s="5">
        <f t="array" ref="DK6">MATCH(MAX(ABS(DK3:DK5)),ABS(DK3:DK5),0)</f>
        <v>3</v>
      </c>
      <c r="DL6" s="5">
        <f t="array" ref="DL6">MATCH(MAX(ABS(DL3:DL5)),ABS(DL3:DL5),0)</f>
        <v>3</v>
      </c>
      <c r="DM6" s="5">
        <f t="array" ref="DM6">MATCH(MAX(ABS(DM3:DM5)),ABS(DM3:DM5),0)</f>
        <v>3</v>
      </c>
      <c r="DN6" s="5">
        <f t="array" ref="DN6">MATCH(MAX(ABS(DN3:DN5)),ABS(DN3:DN5),0)</f>
        <v>3</v>
      </c>
      <c r="DO6" s="5">
        <f t="array" ref="DO6">MATCH(MAX(ABS(DO3:DO5)),ABS(DO3:DO5),0)</f>
        <v>3</v>
      </c>
      <c r="DP6" s="5">
        <f t="array" ref="DP6">MATCH(MAX(ABS(DP3:DP5)),ABS(DP3:DP5),0)</f>
        <v>1</v>
      </c>
      <c r="DQ6" s="5">
        <f t="array" ref="DQ6">MATCH(MAX(ABS(DQ3:DQ5)),ABS(DQ3:DQ5),0)</f>
        <v>3</v>
      </c>
      <c r="DR6" s="5">
        <f t="array" ref="DR6">MATCH(MAX(ABS(DR3:DR5)),ABS(DR3:DR5),0)</f>
        <v>2</v>
      </c>
      <c r="DS6" s="5">
        <f t="array" ref="DS6">MATCH(MAX(ABS(DS3:DS5)),ABS(DS3:DS5),0)</f>
        <v>3</v>
      </c>
      <c r="DT6" s="5">
        <f t="array" ref="DT6">MATCH(MAX(ABS(DT3:DT5)),ABS(DT3:DT5),0)</f>
        <v>3</v>
      </c>
      <c r="DU6" s="5">
        <f t="array" ref="DU6">MATCH(MAX(ABS(DU3:DU5)),ABS(DU3:DU5),0)</f>
        <v>3</v>
      </c>
      <c r="DV6" s="5">
        <f t="array" ref="DV6">MATCH(MAX(ABS(DV3:DV5)),ABS(DV3:DV5),0)</f>
        <v>3</v>
      </c>
      <c r="DW6" s="5">
        <f t="array" ref="DW6">MATCH(MAX(ABS(DW3:DW5)),ABS(DW3:DW5),0)</f>
        <v>1</v>
      </c>
      <c r="DX6" s="5">
        <f t="array" ref="DX6">MATCH(MAX(ABS(DX3:DX5)),ABS(DX3:DX5),0)</f>
        <v>3</v>
      </c>
      <c r="DY6" s="5">
        <f t="array" ref="DY6">MATCH(MAX(ABS(DY3:DY5)),ABS(DY3:DY5),0)</f>
        <v>3</v>
      </c>
      <c r="DZ6" s="5">
        <f t="array" ref="DZ6">MATCH(MAX(ABS(DZ3:DZ5)),ABS(DZ3:DZ5),0)</f>
        <v>3</v>
      </c>
      <c r="EA6" s="5">
        <f t="array" ref="EA6">MATCH(MAX(ABS(EA3:EA5)),ABS(EA3:EA5),0)</f>
        <v>2</v>
      </c>
      <c r="EB6" s="5">
        <f t="array" ref="EB6">MATCH(MAX(ABS(EB3:EB5)),ABS(EB3:EB5),0)</f>
        <v>3</v>
      </c>
      <c r="EC6" s="5">
        <f t="array" ref="EC6">MATCH(MAX(ABS(EC3:EC5)),ABS(EC3:EC5),0)</f>
        <v>3</v>
      </c>
      <c r="ED6" s="5">
        <f t="array" ref="ED6">MATCH(MAX(ABS(ED3:ED5)),ABS(ED3:ED5),0)</f>
        <v>3</v>
      </c>
      <c r="EE6" s="5">
        <f t="array" ref="EE6">MATCH(MAX(ABS(EE3:EE5)),ABS(EE3:EE5),0)</f>
        <v>3</v>
      </c>
      <c r="EF6" s="5">
        <f t="array" ref="EF6">MATCH(MAX(ABS(EF3:EF5)),ABS(EF3:EF5),0)</f>
        <v>2</v>
      </c>
    </row>
    <row r="7" spans="1:138">
      <c r="C7" s="5" t="str">
        <f t="shared" ref="C7:AH7" si="0">IF(C6=1,"bm",IF(C6=2,"size",IF(C6=3,"mom")))</f>
        <v>mom</v>
      </c>
      <c r="D7" s="5" t="str">
        <f t="shared" si="0"/>
        <v>size</v>
      </c>
      <c r="E7" s="5" t="str">
        <f t="shared" si="0"/>
        <v>mom</v>
      </c>
      <c r="F7" s="5" t="str">
        <f t="shared" si="0"/>
        <v>mom</v>
      </c>
      <c r="G7" s="5" t="str">
        <f t="shared" si="0"/>
        <v>mom</v>
      </c>
      <c r="H7" s="5" t="str">
        <f t="shared" si="0"/>
        <v>mom</v>
      </c>
      <c r="I7" s="5" t="str">
        <f t="shared" si="0"/>
        <v>bm</v>
      </c>
      <c r="J7" s="5" t="str">
        <f t="shared" si="0"/>
        <v>bm</v>
      </c>
      <c r="K7" s="5" t="str">
        <f t="shared" si="0"/>
        <v>mom</v>
      </c>
      <c r="L7" s="5" t="str">
        <f t="shared" si="0"/>
        <v>mom</v>
      </c>
      <c r="M7" s="5" t="str">
        <f t="shared" si="0"/>
        <v>mom</v>
      </c>
      <c r="N7" s="5" t="str">
        <f t="shared" si="0"/>
        <v>mom</v>
      </c>
      <c r="O7" s="5" t="str">
        <f t="shared" si="0"/>
        <v>bm</v>
      </c>
      <c r="P7" s="5" t="str">
        <f t="shared" si="0"/>
        <v>mom</v>
      </c>
      <c r="Q7" s="5" t="str">
        <f t="shared" si="0"/>
        <v>bm</v>
      </c>
      <c r="R7" s="5" t="str">
        <f t="shared" si="0"/>
        <v>bm</v>
      </c>
      <c r="S7" s="5" t="str">
        <f t="shared" si="0"/>
        <v>mom</v>
      </c>
      <c r="T7" s="5" t="str">
        <f t="shared" si="0"/>
        <v>bm</v>
      </c>
      <c r="U7" s="5" t="str">
        <f t="shared" si="0"/>
        <v>bm</v>
      </c>
      <c r="V7" s="5" t="str">
        <f t="shared" si="0"/>
        <v>mom</v>
      </c>
      <c r="W7" s="5" t="str">
        <f t="shared" si="0"/>
        <v>mom</v>
      </c>
      <c r="X7" s="5" t="str">
        <f t="shared" si="0"/>
        <v>size</v>
      </c>
      <c r="Y7" s="5" t="str">
        <f t="shared" si="0"/>
        <v>mom</v>
      </c>
      <c r="Z7" s="5" t="str">
        <f t="shared" si="0"/>
        <v>bm</v>
      </c>
      <c r="AA7" s="5" t="str">
        <f t="shared" si="0"/>
        <v>bm</v>
      </c>
      <c r="AB7" s="5" t="str">
        <f t="shared" si="0"/>
        <v>bm</v>
      </c>
      <c r="AC7" s="5" t="str">
        <f t="shared" si="0"/>
        <v>mom</v>
      </c>
      <c r="AD7" s="5" t="str">
        <f t="shared" si="0"/>
        <v>mom</v>
      </c>
      <c r="AE7" s="5" t="str">
        <f t="shared" si="0"/>
        <v>mom</v>
      </c>
      <c r="AF7" s="5" t="str">
        <f t="shared" si="0"/>
        <v>mom</v>
      </c>
      <c r="AG7" s="5" t="str">
        <f t="shared" si="0"/>
        <v>mom</v>
      </c>
      <c r="AH7" s="5" t="str">
        <f t="shared" si="0"/>
        <v>mom</v>
      </c>
      <c r="AI7" s="5" t="str">
        <f t="shared" ref="AI7:BN7" si="1">IF(AI6=1,"bm",IF(AI6=2,"size",IF(AI6=3,"mom")))</f>
        <v>mom</v>
      </c>
      <c r="AJ7" s="5" t="str">
        <f t="shared" si="1"/>
        <v>mom</v>
      </c>
      <c r="AK7" s="5" t="str">
        <f t="shared" si="1"/>
        <v>mom</v>
      </c>
      <c r="AL7" s="5" t="str">
        <f t="shared" si="1"/>
        <v>bm</v>
      </c>
      <c r="AM7" s="5" t="str">
        <f t="shared" si="1"/>
        <v>bm</v>
      </c>
      <c r="AN7" s="5" t="str">
        <f t="shared" si="1"/>
        <v>bm</v>
      </c>
      <c r="AO7" s="5" t="str">
        <f t="shared" si="1"/>
        <v>mom</v>
      </c>
      <c r="AP7" s="5" t="str">
        <f t="shared" si="1"/>
        <v>size</v>
      </c>
      <c r="AQ7" s="5" t="str">
        <f t="shared" si="1"/>
        <v>bm</v>
      </c>
      <c r="AR7" s="5" t="str">
        <f t="shared" si="1"/>
        <v>size</v>
      </c>
      <c r="AS7" s="5" t="str">
        <f t="shared" si="1"/>
        <v>bm</v>
      </c>
      <c r="AT7" s="5" t="str">
        <f t="shared" si="1"/>
        <v>mom</v>
      </c>
      <c r="AU7" s="5" t="str">
        <f t="shared" si="1"/>
        <v>mom</v>
      </c>
      <c r="AV7" s="5" t="str">
        <f t="shared" si="1"/>
        <v>size</v>
      </c>
      <c r="AW7" s="5" t="str">
        <f t="shared" si="1"/>
        <v>bm</v>
      </c>
      <c r="AX7" s="5" t="str">
        <f t="shared" si="1"/>
        <v>mom</v>
      </c>
      <c r="AY7" s="5" t="str">
        <f t="shared" si="1"/>
        <v>mom</v>
      </c>
      <c r="AZ7" s="5" t="str">
        <f t="shared" si="1"/>
        <v>mom</v>
      </c>
      <c r="BA7" s="5" t="str">
        <f t="shared" si="1"/>
        <v>bm</v>
      </c>
      <c r="BB7" s="5" t="str">
        <f t="shared" si="1"/>
        <v>size</v>
      </c>
      <c r="BC7" s="5" t="str">
        <f t="shared" si="1"/>
        <v>bm</v>
      </c>
      <c r="BD7" s="5" t="str">
        <f t="shared" si="1"/>
        <v>bm</v>
      </c>
      <c r="BE7" s="5" t="str">
        <f t="shared" si="1"/>
        <v>bm</v>
      </c>
      <c r="BF7" s="5" t="str">
        <f t="shared" si="1"/>
        <v>mom</v>
      </c>
      <c r="BG7" s="5" t="str">
        <f t="shared" si="1"/>
        <v>bm</v>
      </c>
      <c r="BH7" s="5" t="str">
        <f t="shared" si="1"/>
        <v>bm</v>
      </c>
      <c r="BI7" s="5" t="str">
        <f t="shared" si="1"/>
        <v>mom</v>
      </c>
      <c r="BJ7" s="5" t="str">
        <f t="shared" si="1"/>
        <v>mom</v>
      </c>
      <c r="BK7" s="5" t="str">
        <f t="shared" si="1"/>
        <v>mom</v>
      </c>
      <c r="BL7" s="5" t="str">
        <f t="shared" si="1"/>
        <v>mom</v>
      </c>
      <c r="BM7" s="5" t="str">
        <f t="shared" si="1"/>
        <v>mom</v>
      </c>
      <c r="BN7" s="5" t="str">
        <f t="shared" si="1"/>
        <v>mom</v>
      </c>
      <c r="BO7" s="5" t="str">
        <f t="shared" ref="BO7:CT7" si="2">IF(BO6=1,"bm",IF(BO6=2,"size",IF(BO6=3,"mom")))</f>
        <v>bm</v>
      </c>
      <c r="BP7" s="5" t="str">
        <f t="shared" si="2"/>
        <v>size</v>
      </c>
      <c r="BQ7" s="5" t="str">
        <f t="shared" si="2"/>
        <v>mom</v>
      </c>
      <c r="BR7" s="5" t="str">
        <f t="shared" si="2"/>
        <v>bm</v>
      </c>
      <c r="BS7" s="5" t="str">
        <f t="shared" si="2"/>
        <v>mom</v>
      </c>
      <c r="BT7" s="5" t="str">
        <f t="shared" si="2"/>
        <v>mom</v>
      </c>
      <c r="BU7" s="5" t="str">
        <f t="shared" si="2"/>
        <v>bm</v>
      </c>
      <c r="BV7" s="5" t="str">
        <f t="shared" si="2"/>
        <v>size</v>
      </c>
      <c r="BW7" s="5" t="str">
        <f t="shared" si="2"/>
        <v>mom</v>
      </c>
      <c r="BX7" s="5" t="str">
        <f t="shared" si="2"/>
        <v>mom</v>
      </c>
      <c r="BY7" s="5" t="str">
        <f t="shared" si="2"/>
        <v>size</v>
      </c>
      <c r="BZ7" s="5" t="str">
        <f t="shared" si="2"/>
        <v>bm</v>
      </c>
      <c r="CA7" s="5" t="str">
        <f t="shared" si="2"/>
        <v>bm</v>
      </c>
      <c r="CB7" s="5" t="str">
        <f t="shared" si="2"/>
        <v>size</v>
      </c>
      <c r="CC7" s="5" t="str">
        <f t="shared" si="2"/>
        <v>size</v>
      </c>
      <c r="CD7" s="5" t="str">
        <f t="shared" si="2"/>
        <v>mom</v>
      </c>
      <c r="CE7" s="5" t="str">
        <f t="shared" si="2"/>
        <v>bm</v>
      </c>
      <c r="CF7" s="5" t="str">
        <f t="shared" si="2"/>
        <v>mom</v>
      </c>
      <c r="CG7" s="5" t="str">
        <f t="shared" si="2"/>
        <v>mom</v>
      </c>
      <c r="CH7" s="5" t="str">
        <f t="shared" si="2"/>
        <v>mom</v>
      </c>
      <c r="CI7" s="5" t="str">
        <f t="shared" si="2"/>
        <v>mom</v>
      </c>
      <c r="CJ7" s="5" t="str">
        <f t="shared" si="2"/>
        <v>bm</v>
      </c>
      <c r="CK7" s="5" t="str">
        <f t="shared" si="2"/>
        <v>mom</v>
      </c>
      <c r="CL7" s="5" t="str">
        <f t="shared" si="2"/>
        <v>mom</v>
      </c>
      <c r="CM7" s="5" t="str">
        <f t="shared" si="2"/>
        <v>bm</v>
      </c>
      <c r="CN7" s="5" t="str">
        <f t="shared" si="2"/>
        <v>bm</v>
      </c>
      <c r="CO7" s="5" t="str">
        <f t="shared" si="2"/>
        <v>mom</v>
      </c>
      <c r="CP7" s="5" t="str">
        <f t="shared" si="2"/>
        <v>bm</v>
      </c>
      <c r="CQ7" s="5" t="str">
        <f t="shared" si="2"/>
        <v>mom</v>
      </c>
      <c r="CR7" s="5" t="str">
        <f t="shared" si="2"/>
        <v>mom</v>
      </c>
      <c r="CS7" s="5" t="str">
        <f t="shared" si="2"/>
        <v>size</v>
      </c>
      <c r="CT7" s="5" t="str">
        <f t="shared" si="2"/>
        <v>mom</v>
      </c>
      <c r="CU7" s="5" t="str">
        <f t="shared" ref="CU7:DZ7" si="3">IF(CU6=1,"bm",IF(CU6=2,"size",IF(CU6=3,"mom")))</f>
        <v>mom</v>
      </c>
      <c r="CV7" s="5" t="str">
        <f t="shared" si="3"/>
        <v>size</v>
      </c>
      <c r="CW7" s="5" t="str">
        <f t="shared" si="3"/>
        <v>mom</v>
      </c>
      <c r="CX7" s="5" t="str">
        <f t="shared" si="3"/>
        <v>mom</v>
      </c>
      <c r="CY7" s="5" t="str">
        <f t="shared" si="3"/>
        <v>mom</v>
      </c>
      <c r="CZ7" s="5" t="str">
        <f t="shared" si="3"/>
        <v>mom</v>
      </c>
      <c r="DA7" s="5" t="str">
        <f t="shared" si="3"/>
        <v>bm</v>
      </c>
      <c r="DB7" s="5" t="str">
        <f t="shared" si="3"/>
        <v>bm</v>
      </c>
      <c r="DC7" s="5" t="str">
        <f t="shared" si="3"/>
        <v>bm</v>
      </c>
      <c r="DD7" s="5" t="str">
        <f t="shared" si="3"/>
        <v>mom</v>
      </c>
      <c r="DE7" s="5" t="str">
        <f t="shared" si="3"/>
        <v>mom</v>
      </c>
      <c r="DF7" s="5" t="str">
        <f t="shared" si="3"/>
        <v>mom</v>
      </c>
      <c r="DG7" s="5" t="str">
        <f t="shared" si="3"/>
        <v>mom</v>
      </c>
      <c r="DH7" s="5" t="str">
        <f t="shared" si="3"/>
        <v>size</v>
      </c>
      <c r="DI7" s="5" t="str">
        <f t="shared" si="3"/>
        <v>mom</v>
      </c>
      <c r="DJ7" s="5" t="str">
        <f t="shared" si="3"/>
        <v>mom</v>
      </c>
      <c r="DK7" s="5" t="str">
        <f t="shared" si="3"/>
        <v>mom</v>
      </c>
      <c r="DL7" s="5" t="str">
        <f t="shared" si="3"/>
        <v>mom</v>
      </c>
      <c r="DM7" s="5" t="str">
        <f t="shared" si="3"/>
        <v>mom</v>
      </c>
      <c r="DN7" s="5" t="str">
        <f t="shared" si="3"/>
        <v>mom</v>
      </c>
      <c r="DO7" s="5" t="str">
        <f t="shared" si="3"/>
        <v>mom</v>
      </c>
      <c r="DP7" s="5" t="str">
        <f t="shared" si="3"/>
        <v>bm</v>
      </c>
      <c r="DQ7" s="5" t="str">
        <f t="shared" si="3"/>
        <v>mom</v>
      </c>
      <c r="DR7" s="5" t="str">
        <f t="shared" si="3"/>
        <v>size</v>
      </c>
      <c r="DS7" s="5" t="str">
        <f t="shared" si="3"/>
        <v>mom</v>
      </c>
      <c r="DT7" s="5" t="str">
        <f t="shared" si="3"/>
        <v>mom</v>
      </c>
      <c r="DU7" s="5" t="str">
        <f t="shared" si="3"/>
        <v>mom</v>
      </c>
      <c r="DV7" s="5" t="str">
        <f t="shared" si="3"/>
        <v>mom</v>
      </c>
      <c r="DW7" s="5" t="str">
        <f t="shared" si="3"/>
        <v>bm</v>
      </c>
      <c r="DX7" s="5" t="str">
        <f t="shared" si="3"/>
        <v>mom</v>
      </c>
      <c r="DY7" s="5" t="str">
        <f t="shared" si="3"/>
        <v>mom</v>
      </c>
      <c r="DZ7" s="5" t="str">
        <f t="shared" si="3"/>
        <v>mom</v>
      </c>
      <c r="EA7" s="5" t="str">
        <f t="shared" ref="EA7:EF7" si="4">IF(EA6=1,"bm",IF(EA6=2,"size",IF(EA6=3,"mom")))</f>
        <v>size</v>
      </c>
      <c r="EB7" s="5" t="str">
        <f t="shared" si="4"/>
        <v>mom</v>
      </c>
      <c r="EC7" s="5" t="str">
        <f t="shared" si="4"/>
        <v>mom</v>
      </c>
      <c r="ED7" s="5" t="str">
        <f t="shared" si="4"/>
        <v>mom</v>
      </c>
      <c r="EE7" s="5" t="str">
        <f t="shared" si="4"/>
        <v>mom</v>
      </c>
      <c r="EF7" s="5" t="str">
        <f t="shared" si="4"/>
        <v>size</v>
      </c>
    </row>
    <row r="8" spans="1:138">
      <c r="C8" s="5">
        <f t="shared" ref="C8:AH8" si="5">IF(C6=1,C3,IF(C6=2,C4,IF(C6=3,C5)))</f>
        <v>-0.20935792122733929</v>
      </c>
      <c r="D8" s="5">
        <f t="shared" si="5"/>
        <v>-0.19670615347595799</v>
      </c>
      <c r="E8" s="5">
        <f t="shared" si="5"/>
        <v>0.52484760680152232</v>
      </c>
      <c r="F8" s="5">
        <f t="shared" si="5"/>
        <v>4.6837059958046809E-2</v>
      </c>
      <c r="G8" s="5">
        <f t="shared" si="5"/>
        <v>-0.2104714261735883</v>
      </c>
      <c r="H8" s="5">
        <f t="shared" si="5"/>
        <v>0.4744149628629204</v>
      </c>
      <c r="I8" s="5">
        <f t="shared" si="5"/>
        <v>-0.19676558635554181</v>
      </c>
      <c r="J8" s="5">
        <f t="shared" si="5"/>
        <v>0.27883034253820949</v>
      </c>
      <c r="K8" s="5">
        <f t="shared" si="5"/>
        <v>0.27552845629080469</v>
      </c>
      <c r="L8" s="5">
        <f t="shared" si="5"/>
        <v>-0.43004286310886081</v>
      </c>
      <c r="M8" s="5">
        <f t="shared" si="5"/>
        <v>0.32376774959305898</v>
      </c>
      <c r="N8" s="5">
        <f t="shared" si="5"/>
        <v>-0.34824165047033961</v>
      </c>
      <c r="O8" s="5">
        <f t="shared" si="5"/>
        <v>0.31084678168383029</v>
      </c>
      <c r="P8" s="5">
        <f t="shared" si="5"/>
        <v>0.39546612391174241</v>
      </c>
      <c r="Q8" s="5">
        <f t="shared" si="5"/>
        <v>-0.1230705033938234</v>
      </c>
      <c r="R8" s="5">
        <f t="shared" si="5"/>
        <v>-0.1125584938483804</v>
      </c>
      <c r="S8" s="5">
        <f t="shared" si="5"/>
        <v>0.3057921371194337</v>
      </c>
      <c r="T8" s="5">
        <f t="shared" si="5"/>
        <v>-0.14458476697667069</v>
      </c>
      <c r="U8" s="5">
        <f t="shared" si="5"/>
        <v>-0.26280780822848793</v>
      </c>
      <c r="V8" s="5">
        <f t="shared" si="5"/>
        <v>-0.13936695356286269</v>
      </c>
      <c r="W8" s="5">
        <f t="shared" si="5"/>
        <v>-0.39469012652483237</v>
      </c>
      <c r="X8" s="5">
        <f t="shared" si="5"/>
        <v>-0.1698621934781421</v>
      </c>
      <c r="Y8" s="5">
        <f t="shared" si="5"/>
        <v>-0.68127295831176804</v>
      </c>
      <c r="Z8" s="5">
        <f t="shared" si="5"/>
        <v>0.10308974194226191</v>
      </c>
      <c r="AA8" s="5">
        <f t="shared" si="5"/>
        <v>0.48637748963693189</v>
      </c>
      <c r="AB8" s="5">
        <f t="shared" si="5"/>
        <v>-0.2348198317515614</v>
      </c>
      <c r="AC8" s="5">
        <f t="shared" si="5"/>
        <v>-8.9163225286403025E-2</v>
      </c>
      <c r="AD8" s="5">
        <f t="shared" si="5"/>
        <v>0.14514145822358679</v>
      </c>
      <c r="AE8" s="5">
        <f t="shared" si="5"/>
        <v>7.4669147590605167E-2</v>
      </c>
      <c r="AF8" s="5">
        <f t="shared" si="5"/>
        <v>0.17577042279847119</v>
      </c>
      <c r="AG8" s="5">
        <f t="shared" si="5"/>
        <v>-0.30336041259100399</v>
      </c>
      <c r="AH8" s="5">
        <f t="shared" si="5"/>
        <v>-0.3482499081721625</v>
      </c>
      <c r="AI8" s="5">
        <f t="shared" ref="AI8:BN8" si="6">IF(AI6=1,AI3,IF(AI6=2,AI4,IF(AI6=3,AI5)))</f>
        <v>0.25872371710226461</v>
      </c>
      <c r="AJ8" s="5">
        <f t="shared" si="6"/>
        <v>-0.48889196953357</v>
      </c>
      <c r="AK8" s="5">
        <f t="shared" si="6"/>
        <v>0.13254842946584691</v>
      </c>
      <c r="AL8" s="5">
        <f t="shared" si="6"/>
        <v>0.18738072328871311</v>
      </c>
      <c r="AM8" s="5">
        <f t="shared" si="6"/>
        <v>9.6837349683267515E-2</v>
      </c>
      <c r="AN8" s="5">
        <f t="shared" si="6"/>
        <v>0.2075736584826241</v>
      </c>
      <c r="AO8" s="5">
        <f t="shared" si="6"/>
        <v>0.1844633194704077</v>
      </c>
      <c r="AP8" s="5">
        <f t="shared" si="6"/>
        <v>8.0316784439199651E-2</v>
      </c>
      <c r="AQ8" s="5">
        <f t="shared" si="6"/>
        <v>-0.2114396427417907</v>
      </c>
      <c r="AR8" s="5">
        <f t="shared" si="6"/>
        <v>0.11489008982476891</v>
      </c>
      <c r="AS8" s="5">
        <f t="shared" si="6"/>
        <v>0.14111009314114151</v>
      </c>
      <c r="AT8" s="5">
        <f t="shared" si="6"/>
        <v>0.1516447920969482</v>
      </c>
      <c r="AU8" s="5">
        <f t="shared" si="6"/>
        <v>-0.20083705233961571</v>
      </c>
      <c r="AV8" s="5">
        <f t="shared" si="6"/>
        <v>-0.2173053184250211</v>
      </c>
      <c r="AW8" s="5">
        <f t="shared" si="6"/>
        <v>-0.17415500379798879</v>
      </c>
      <c r="AX8" s="5">
        <f t="shared" si="6"/>
        <v>0.1122931240608864</v>
      </c>
      <c r="AY8" s="5">
        <f t="shared" si="6"/>
        <v>-0.118056117907044</v>
      </c>
      <c r="AZ8" s="5">
        <f t="shared" si="6"/>
        <v>0.20621977214253931</v>
      </c>
      <c r="BA8" s="5">
        <f t="shared" si="6"/>
        <v>0.1604995491281753</v>
      </c>
      <c r="BB8" s="5">
        <f t="shared" si="6"/>
        <v>-0.25209000741856791</v>
      </c>
      <c r="BC8" s="5">
        <f t="shared" si="6"/>
        <v>0.1567368975950951</v>
      </c>
      <c r="BD8" s="5">
        <f t="shared" si="6"/>
        <v>0.16688346547535959</v>
      </c>
      <c r="BE8" s="5">
        <f t="shared" si="6"/>
        <v>-0.13147229447438161</v>
      </c>
      <c r="BF8" s="5">
        <f t="shared" si="6"/>
        <v>-0.28526227318364472</v>
      </c>
      <c r="BG8" s="5">
        <f t="shared" si="6"/>
        <v>0.31531123716865839</v>
      </c>
      <c r="BH8" s="5">
        <f t="shared" si="6"/>
        <v>0.27010117711850451</v>
      </c>
      <c r="BI8" s="5">
        <f t="shared" si="6"/>
        <v>5.812657406460206E-2</v>
      </c>
      <c r="BJ8" s="5">
        <f t="shared" si="6"/>
        <v>-0.25986983403483388</v>
      </c>
      <c r="BK8" s="5">
        <f t="shared" si="6"/>
        <v>0.18487944696901781</v>
      </c>
      <c r="BL8" s="5">
        <f t="shared" si="6"/>
        <v>-0.26913172790454543</v>
      </c>
      <c r="BM8" s="5">
        <f t="shared" si="6"/>
        <v>0.1717381908649544</v>
      </c>
      <c r="BN8" s="5">
        <f t="shared" si="6"/>
        <v>-0.18092216130584951</v>
      </c>
      <c r="BO8" s="5">
        <f t="shared" ref="BO8:CT8" si="7">IF(BO6=1,BO3,IF(BO6=2,BO4,IF(BO6=3,BO5)))</f>
        <v>-0.14928793997254061</v>
      </c>
      <c r="BP8" s="5">
        <f t="shared" si="7"/>
        <v>8.3537285837463671E-2</v>
      </c>
      <c r="BQ8" s="5">
        <f t="shared" si="7"/>
        <v>-0.16861046240236999</v>
      </c>
      <c r="BR8" s="5">
        <f t="shared" si="7"/>
        <v>0.21346470331308501</v>
      </c>
      <c r="BS8" s="5">
        <f t="shared" si="7"/>
        <v>0.1244241075337672</v>
      </c>
      <c r="BT8" s="5">
        <f t="shared" si="7"/>
        <v>0.20772231279415901</v>
      </c>
      <c r="BU8" s="5">
        <f t="shared" si="7"/>
        <v>0.11377937808470839</v>
      </c>
      <c r="BV8" s="5">
        <f t="shared" si="7"/>
        <v>0.17298229554948641</v>
      </c>
      <c r="BW8" s="5">
        <f t="shared" si="7"/>
        <v>-0.1268015683060742</v>
      </c>
      <c r="BX8" s="5">
        <f t="shared" si="7"/>
        <v>-0.10582029087279909</v>
      </c>
      <c r="BY8" s="5">
        <f t="shared" si="7"/>
        <v>-0.18303206657081719</v>
      </c>
      <c r="BZ8" s="5">
        <f t="shared" si="7"/>
        <v>-0.14071284467671219</v>
      </c>
      <c r="CA8" s="5">
        <f t="shared" si="7"/>
        <v>7.3472777058868566E-2</v>
      </c>
      <c r="CB8" s="5">
        <f t="shared" si="7"/>
        <v>0.19814488479862649</v>
      </c>
      <c r="CC8" s="5">
        <f t="shared" si="7"/>
        <v>-0.29368551385020503</v>
      </c>
      <c r="CD8" s="5">
        <f t="shared" si="7"/>
        <v>0.32742328506094998</v>
      </c>
      <c r="CE8" s="5">
        <f t="shared" si="7"/>
        <v>0.2187970365966756</v>
      </c>
      <c r="CF8" s="5">
        <f t="shared" si="7"/>
        <v>-0.14937324914413941</v>
      </c>
      <c r="CG8" s="5">
        <f t="shared" si="7"/>
        <v>0.16320028060313421</v>
      </c>
      <c r="CH8" s="5">
        <f t="shared" si="7"/>
        <v>-6.9038325074175663E-2</v>
      </c>
      <c r="CI8" s="5">
        <f t="shared" si="7"/>
        <v>-0.11536214708505139</v>
      </c>
      <c r="CJ8" s="5">
        <f t="shared" si="7"/>
        <v>-0.39111281147264948</v>
      </c>
      <c r="CK8" s="5">
        <f t="shared" si="7"/>
        <v>0.37897350211797709</v>
      </c>
      <c r="CL8" s="5">
        <f t="shared" si="7"/>
        <v>-7.6383453932209341E-2</v>
      </c>
      <c r="CM8" s="5">
        <f t="shared" si="7"/>
        <v>0.18311247425732069</v>
      </c>
      <c r="CN8" s="5">
        <f t="shared" si="7"/>
        <v>-0.39746167912504587</v>
      </c>
      <c r="CO8" s="5">
        <f t="shared" si="7"/>
        <v>0.43716796518582229</v>
      </c>
      <c r="CP8" s="5">
        <f t="shared" si="7"/>
        <v>-9.5682049872747921E-2</v>
      </c>
      <c r="CQ8" s="5">
        <f t="shared" si="7"/>
        <v>-0.49935244279872992</v>
      </c>
      <c r="CR8" s="5">
        <f t="shared" si="7"/>
        <v>0.3398570382696095</v>
      </c>
      <c r="CS8" s="5">
        <f t="shared" si="7"/>
        <v>-0.27841972942992038</v>
      </c>
      <c r="CT8" s="5">
        <f t="shared" si="7"/>
        <v>0.2246197528310597</v>
      </c>
      <c r="CU8" s="5">
        <f t="shared" ref="CU8:DZ8" si="8">IF(CU6=1,CU3,IF(CU6=2,CU4,IF(CU6=3,CU5)))</f>
        <v>-0.25171771168640761</v>
      </c>
      <c r="CV8" s="5">
        <f t="shared" si="8"/>
        <v>0.11088351979357471</v>
      </c>
      <c r="CW8" s="5">
        <f t="shared" si="8"/>
        <v>0.2108770628752098</v>
      </c>
      <c r="CX8" s="5">
        <f t="shared" si="8"/>
        <v>0.25016150139728283</v>
      </c>
      <c r="CY8" s="5">
        <f t="shared" si="8"/>
        <v>-0.52413353929587791</v>
      </c>
      <c r="CZ8" s="5">
        <f t="shared" si="8"/>
        <v>0.8216183061041753</v>
      </c>
      <c r="DA8" s="5">
        <f t="shared" si="8"/>
        <v>0.31254073484349981</v>
      </c>
      <c r="DB8" s="5">
        <f t="shared" si="8"/>
        <v>-0.15564612733519101</v>
      </c>
      <c r="DC8" s="5">
        <f t="shared" si="8"/>
        <v>-0.186958527424675</v>
      </c>
      <c r="DD8" s="5">
        <f t="shared" si="8"/>
        <v>-0.42083892435479142</v>
      </c>
      <c r="DE8" s="5">
        <f t="shared" si="8"/>
        <v>-0.2279724207651195</v>
      </c>
      <c r="DF8" s="5">
        <f t="shared" si="8"/>
        <v>-0.33715973842927388</v>
      </c>
      <c r="DG8" s="5">
        <f t="shared" si="8"/>
        <v>-0.44400370439279008</v>
      </c>
      <c r="DH8" s="5">
        <f t="shared" si="8"/>
        <v>0.15742013530757151</v>
      </c>
      <c r="DI8" s="5">
        <f t="shared" si="8"/>
        <v>0.30896916307249689</v>
      </c>
      <c r="DJ8" s="5">
        <f t="shared" si="8"/>
        <v>-0.28669247758290828</v>
      </c>
      <c r="DK8" s="5">
        <f t="shared" si="8"/>
        <v>0.84621248517861269</v>
      </c>
      <c r="DL8" s="5">
        <f t="shared" si="8"/>
        <v>-0.16924034367306559</v>
      </c>
      <c r="DM8" s="5">
        <f t="shared" si="8"/>
        <v>-0.43945016692248923</v>
      </c>
      <c r="DN8" s="5">
        <f t="shared" si="8"/>
        <v>0.74751336560070059</v>
      </c>
      <c r="DO8" s="5">
        <f t="shared" si="8"/>
        <v>-0.39996426308914668</v>
      </c>
      <c r="DP8" s="5">
        <f t="shared" si="8"/>
        <v>0.16113140194021519</v>
      </c>
      <c r="DQ8" s="5">
        <f t="shared" si="8"/>
        <v>-0.58863430244229409</v>
      </c>
      <c r="DR8" s="5">
        <f t="shared" si="8"/>
        <v>-0.1292383591030131</v>
      </c>
      <c r="DS8" s="5">
        <f t="shared" si="8"/>
        <v>-0.19878519438361211</v>
      </c>
      <c r="DT8" s="5">
        <f t="shared" si="8"/>
        <v>0.4132117833889476</v>
      </c>
      <c r="DU8" s="5">
        <f t="shared" si="8"/>
        <v>-0.17065403209770361</v>
      </c>
      <c r="DV8" s="5">
        <f t="shared" si="8"/>
        <v>0.68828031734213269</v>
      </c>
      <c r="DW8" s="5">
        <f t="shared" si="8"/>
        <v>6.6155769939566539E-2</v>
      </c>
      <c r="DX8" s="5">
        <f t="shared" si="8"/>
        <v>-0.1999347157162332</v>
      </c>
      <c r="DY8" s="5">
        <f t="shared" si="8"/>
        <v>0.56631420698904078</v>
      </c>
      <c r="DZ8" s="5">
        <f t="shared" si="8"/>
        <v>0.47362880432099852</v>
      </c>
      <c r="EA8" s="5">
        <f t="shared" ref="EA8:EF8" si="9">IF(EA6=1,EA3,IF(EA6=2,EA4,IF(EA6=3,EA5)))</f>
        <v>-0.19315799713893969</v>
      </c>
      <c r="EB8" s="5">
        <f t="shared" si="9"/>
        <v>-1.076360940060376</v>
      </c>
      <c r="EC8" s="5">
        <f t="shared" si="9"/>
        <v>-0.13610628648279391</v>
      </c>
      <c r="ED8" s="5">
        <f t="shared" si="9"/>
        <v>-0.27349656344743889</v>
      </c>
      <c r="EE8" s="5">
        <f t="shared" si="9"/>
        <v>0.60134859370029736</v>
      </c>
      <c r="EF8" s="5">
        <f t="shared" si="9"/>
        <v>0.24405280405184021</v>
      </c>
    </row>
    <row r="10" spans="1:138">
      <c r="A10" s="29" t="s">
        <v>140</v>
      </c>
      <c r="B10" s="30"/>
      <c r="C10" s="1" t="s">
        <v>141</v>
      </c>
      <c r="D10" s="2">
        <v>964</v>
      </c>
    </row>
    <row r="11" spans="1:138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226</v>
      </c>
      <c r="EG11" s="9" t="s">
        <v>227</v>
      </c>
      <c r="EH11" s="9" t="s">
        <v>228</v>
      </c>
    </row>
    <row r="12" spans="1:138">
      <c r="A12" s="1">
        <v>10</v>
      </c>
      <c r="B12" s="1">
        <v>96</v>
      </c>
      <c r="C12" s="5">
        <f>IF(預測IC!C12&gt;預測IC!C$26,1,0)</f>
        <v>1</v>
      </c>
      <c r="D12" s="5">
        <f>IF(預測IC!D12&gt;預測IC!D$26,1,0)</f>
        <v>1</v>
      </c>
      <c r="E12" s="5">
        <f>IF(預測IC!E12&gt;預測IC!E$26,1,0)</f>
        <v>0</v>
      </c>
      <c r="F12" s="5">
        <f>IF(預測IC!F12&gt;預測IC!F$26,1,0)</f>
        <v>0</v>
      </c>
      <c r="G12" s="5">
        <f>IF(預測IC!G12&gt;預測IC!G$26,1,0)</f>
        <v>0</v>
      </c>
      <c r="H12" s="5">
        <f>IF(預測IC!H12&gt;預測IC!H$26,1,0)</f>
        <v>0</v>
      </c>
      <c r="I12" s="5">
        <f>IF(預測IC!I12&gt;預測IC!I$26,1,0)</f>
        <v>0</v>
      </c>
      <c r="J12" s="5">
        <f>IF(預測IC!J12&gt;預測IC!J$26,1,0)</f>
        <v>1</v>
      </c>
      <c r="K12" s="5">
        <f>IF(預測IC!K12&gt;預測IC!K$26,1,0)</f>
        <v>1</v>
      </c>
      <c r="L12" s="5">
        <f>IF(預測IC!L12&gt;預測IC!L$26,1,0)</f>
        <v>0</v>
      </c>
      <c r="M12" s="5">
        <f>IF(預測IC!M12&gt;預測IC!M$26,1,0)</f>
        <v>1</v>
      </c>
      <c r="N12" s="5">
        <f>IF(預測IC!N12&gt;預測IC!N$26,1,0)</f>
        <v>1</v>
      </c>
      <c r="O12" s="5">
        <f>IF(預測IC!O12&gt;預測IC!O$26,1,0)</f>
        <v>1</v>
      </c>
      <c r="P12" s="5">
        <f>IF(預測IC!P12&gt;預測IC!P$26,1,0)</f>
        <v>0</v>
      </c>
      <c r="Q12" s="5">
        <f>IF(預測IC!Q12&gt;預測IC!Q$26,1,0)</f>
        <v>1</v>
      </c>
      <c r="R12" s="5">
        <f>IF(預測IC!R12&gt;預測IC!R$26,1,0)</f>
        <v>0</v>
      </c>
      <c r="S12" s="5">
        <f>IF(預測IC!S12&gt;預測IC!S$26,1,0)</f>
        <v>1</v>
      </c>
      <c r="T12" s="5">
        <f>IF(預測IC!T12&gt;預測IC!T$26,1,0)</f>
        <v>1</v>
      </c>
      <c r="U12" s="5">
        <f>IF(預測IC!U12&gt;預測IC!U$26,1,0)</f>
        <v>1</v>
      </c>
      <c r="V12" s="5">
        <f>IF(預測IC!V12&gt;預測IC!V$26,1,0)</f>
        <v>1</v>
      </c>
      <c r="W12" s="5">
        <f>IF(預測IC!W12&gt;預測IC!W$26,1,0)</f>
        <v>1</v>
      </c>
      <c r="X12" s="5">
        <f>IF(預測IC!X12&gt;預測IC!X$26,1,0)</f>
        <v>0</v>
      </c>
      <c r="Y12" s="5">
        <f>IF(預測IC!Y12&gt;預測IC!Y$26,1,0)</f>
        <v>1</v>
      </c>
      <c r="Z12" s="5">
        <f>IF(預測IC!Z12&gt;預測IC!Z$26,1,0)</f>
        <v>1</v>
      </c>
      <c r="AA12" s="5">
        <f>IF(預測IC!AA12&gt;預測IC!AA$26,1,0)</f>
        <v>0</v>
      </c>
      <c r="AB12" s="5">
        <f>IF(預測IC!AB12&gt;預測IC!AB$26,1,0)</f>
        <v>0</v>
      </c>
      <c r="AC12" s="5">
        <f>IF(預測IC!AC12&gt;預測IC!AC$26,1,0)</f>
        <v>1</v>
      </c>
      <c r="AD12" s="5">
        <f>IF(預測IC!AD12&gt;預測IC!AD$26,1,0)</f>
        <v>1</v>
      </c>
      <c r="AE12" s="5">
        <f>IF(預測IC!AE12&gt;預測IC!AE$26,1,0)</f>
        <v>1</v>
      </c>
      <c r="AF12" s="5">
        <f>IF(預測IC!AF12&gt;預測IC!AF$26,1,0)</f>
        <v>0</v>
      </c>
      <c r="AG12" s="5">
        <f>IF(預測IC!AG12&gt;預測IC!AG$26,1,0)</f>
        <v>0</v>
      </c>
      <c r="AH12" s="5">
        <f>IF(預測IC!AH12&gt;預測IC!AH$26,1,0)</f>
        <v>1</v>
      </c>
      <c r="AI12" s="5">
        <f>IF(預測IC!AI12&gt;預測IC!AI$26,1,0)</f>
        <v>0</v>
      </c>
      <c r="AJ12" s="5">
        <f>IF(預測IC!AJ12&gt;預測IC!AJ$26,1,0)</f>
        <v>1</v>
      </c>
      <c r="AK12" s="5">
        <f>IF(預測IC!AK12&gt;預測IC!AK$26,1,0)</f>
        <v>0</v>
      </c>
      <c r="AL12" s="5">
        <f>IF(預測IC!AL12&gt;預測IC!AL$26,1,0)</f>
        <v>1</v>
      </c>
      <c r="AM12" s="5">
        <f>IF(預測IC!AM12&gt;預測IC!AM$26,1,0)</f>
        <v>1</v>
      </c>
      <c r="AN12" s="5">
        <f>IF(預測IC!AN12&gt;預測IC!AN$26,1,0)</f>
        <v>1</v>
      </c>
      <c r="AO12" s="5">
        <f>IF(預測IC!AO12&gt;預測IC!AO$26,1,0)</f>
        <v>1</v>
      </c>
      <c r="AP12" s="5">
        <f>IF(預測IC!AP12&gt;預測IC!AP$26,1,0)</f>
        <v>0</v>
      </c>
      <c r="AQ12" s="5">
        <f>IF(預測IC!AQ12&gt;預測IC!AQ$26,1,0)</f>
        <v>0</v>
      </c>
      <c r="AR12" s="5">
        <f>IF(預測IC!AR12&gt;預測IC!AR$26,1,0)</f>
        <v>0</v>
      </c>
      <c r="AS12" s="5">
        <f>IF(預測IC!AS12&gt;預測IC!AS$26,1,0)</f>
        <v>1</v>
      </c>
      <c r="AT12" s="5">
        <f>IF(預測IC!AT12&gt;預測IC!AT$26,1,0)</f>
        <v>1</v>
      </c>
      <c r="AU12" s="5">
        <f>IF(預測IC!AU12&gt;預測IC!AU$26,1,0)</f>
        <v>1</v>
      </c>
      <c r="AV12" s="5">
        <f>IF(預測IC!AV12&gt;預測IC!AV$26,1,0)</f>
        <v>0</v>
      </c>
      <c r="AW12" s="5">
        <f>IF(預測IC!AW12&gt;預測IC!AW$26,1,0)</f>
        <v>1</v>
      </c>
      <c r="AX12" s="5">
        <f>IF(預測IC!AX12&gt;預測IC!AX$26,1,0)</f>
        <v>0</v>
      </c>
      <c r="AY12" s="5">
        <f>IF(預測IC!AY12&gt;預測IC!AY$26,1,0)</f>
        <v>0</v>
      </c>
      <c r="AZ12" s="5">
        <f>IF(預測IC!AZ12&gt;預測IC!AZ$26,1,0)</f>
        <v>1</v>
      </c>
      <c r="BA12" s="5">
        <f>IF(預測IC!BA12&gt;預測IC!BA$26,1,0)</f>
        <v>0</v>
      </c>
      <c r="BB12" s="5">
        <f>IF(預測IC!BB12&gt;預測IC!BB$26,1,0)</f>
        <v>1</v>
      </c>
      <c r="BC12" s="5">
        <f>IF(預測IC!BC12&gt;預測IC!BC$26,1,0)</f>
        <v>0</v>
      </c>
      <c r="BD12" s="5">
        <f>IF(預測IC!BD12&gt;預測IC!BD$26,1,0)</f>
        <v>1</v>
      </c>
      <c r="BE12" s="5">
        <f>IF(預測IC!BE12&gt;預測IC!BE$26,1,0)</f>
        <v>0</v>
      </c>
      <c r="BF12" s="5">
        <f>IF(預測IC!BF12&gt;預測IC!BF$26,1,0)</f>
        <v>1</v>
      </c>
      <c r="BG12" s="5">
        <f>IF(預測IC!BG12&gt;預測IC!BG$26,1,0)</f>
        <v>1</v>
      </c>
      <c r="BH12" s="5">
        <f>IF(預測IC!BH12&gt;預測IC!BH$26,1,0)</f>
        <v>1</v>
      </c>
      <c r="BI12" s="5">
        <f>IF(預測IC!BI12&gt;預測IC!BI$26,1,0)</f>
        <v>0</v>
      </c>
      <c r="BJ12" s="5">
        <f>IF(預測IC!BJ12&gt;預測IC!BJ$26,1,0)</f>
        <v>1</v>
      </c>
      <c r="BK12" s="5">
        <f>IF(預測IC!BK12&gt;預測IC!BK$26,1,0)</f>
        <v>0</v>
      </c>
      <c r="BL12" s="5">
        <f>IF(預測IC!BL12&gt;預測IC!BL$26,1,0)</f>
        <v>0</v>
      </c>
      <c r="BM12" s="5">
        <f>IF(預測IC!BM12&gt;預測IC!BM$26,1,0)</f>
        <v>1</v>
      </c>
      <c r="BN12" s="5">
        <f>IF(預測IC!BN12&gt;預測IC!BN$26,1,0)</f>
        <v>0</v>
      </c>
      <c r="BO12" s="5">
        <f>IF(預測IC!BO12&gt;預測IC!BO$26,1,0)</f>
        <v>1</v>
      </c>
      <c r="BP12" s="5">
        <f>IF(預測IC!BP12&gt;預測IC!BP$26,1,0)</f>
        <v>1</v>
      </c>
      <c r="BQ12" s="5">
        <f>IF(預測IC!BQ12&gt;預測IC!BQ$26,1,0)</f>
        <v>1</v>
      </c>
      <c r="BR12" s="5">
        <f>IF(預測IC!BR12&gt;預測IC!BR$26,1,0)</f>
        <v>1</v>
      </c>
      <c r="BS12" s="5">
        <f>IF(預測IC!BS12&gt;預測IC!BS$26,1,0)</f>
        <v>0</v>
      </c>
      <c r="BT12" s="5">
        <f>IF(預測IC!BT12&gt;預測IC!BT$26,1,0)</f>
        <v>0</v>
      </c>
      <c r="BU12" s="5">
        <f>IF(預測IC!BU12&gt;預測IC!BU$26,1,0)</f>
        <v>0</v>
      </c>
      <c r="BV12" s="5">
        <f>IF(預測IC!BV12&gt;預測IC!BV$26,1,0)</f>
        <v>0</v>
      </c>
      <c r="BW12" s="5">
        <f>IF(預測IC!BW12&gt;預測IC!BW$26,1,0)</f>
        <v>1</v>
      </c>
      <c r="BX12" s="5">
        <f>IF(預測IC!BX12&gt;預測IC!BX$26,1,0)</f>
        <v>1</v>
      </c>
      <c r="BY12" s="5">
        <f>IF(預測IC!BY12&gt;預測IC!BY$26,1,0)</f>
        <v>1</v>
      </c>
      <c r="BZ12" s="5">
        <f>IF(預測IC!BZ12&gt;預測IC!BZ$26,1,0)</f>
        <v>0</v>
      </c>
      <c r="CA12" s="5">
        <f>IF(預測IC!CA12&gt;預測IC!CA$26,1,0)</f>
        <v>0</v>
      </c>
      <c r="CB12" s="5">
        <f>IF(預測IC!CB12&gt;預測IC!CB$26,1,0)</f>
        <v>0</v>
      </c>
      <c r="CC12" s="5">
        <f>IF(預測IC!CC12&gt;預測IC!CC$26,1,0)</f>
        <v>0</v>
      </c>
      <c r="CD12" s="5">
        <f>IF(預測IC!CD12&gt;預測IC!CD$26,1,0)</f>
        <v>0</v>
      </c>
      <c r="CE12" s="5">
        <f>IF(預測IC!CE12&gt;預測IC!CE$26,1,0)</f>
        <v>1</v>
      </c>
      <c r="CF12" s="5">
        <f>IF(預測IC!CF12&gt;預測IC!CF$26,1,0)</f>
        <v>0</v>
      </c>
      <c r="CG12" s="5">
        <f>IF(預測IC!CG12&gt;預測IC!CG$26,1,0)</f>
        <v>0</v>
      </c>
      <c r="CH12" s="5">
        <f>IF(預測IC!CH12&gt;預測IC!CH$26,1,0)</f>
        <v>0</v>
      </c>
      <c r="CI12" s="5">
        <f>IF(預測IC!CI12&gt;預測IC!CI$26,1,0)</f>
        <v>1</v>
      </c>
      <c r="CJ12" s="5">
        <f>IF(預測IC!CJ12&gt;預測IC!CJ$26,1,0)</f>
        <v>0</v>
      </c>
      <c r="CK12" s="5">
        <f>IF(預測IC!CK12&gt;預測IC!CK$26,1,0)</f>
        <v>1</v>
      </c>
      <c r="CL12" s="5">
        <f>IF(預測IC!CL12&gt;預測IC!CL$26,1,0)</f>
        <v>0</v>
      </c>
      <c r="CM12" s="5">
        <f>IF(預測IC!CM12&gt;預測IC!CM$26,1,0)</f>
        <v>1</v>
      </c>
      <c r="CN12" s="5">
        <f>IF(預測IC!CN12&gt;預測IC!CN$26,1,0)</f>
        <v>0</v>
      </c>
      <c r="CO12" s="5">
        <f>IF(預測IC!CO12&gt;預測IC!CO$26,1,0)</f>
        <v>1</v>
      </c>
      <c r="CP12" s="5">
        <f>IF(預測IC!CP12&gt;預測IC!CP$26,1,0)</f>
        <v>0</v>
      </c>
      <c r="CQ12" s="5">
        <f>IF(預測IC!CQ12&gt;預測IC!CQ$26,1,0)</f>
        <v>1</v>
      </c>
      <c r="CR12" s="5">
        <f>IF(預測IC!CR12&gt;預測IC!CR$26,1,0)</f>
        <v>0</v>
      </c>
      <c r="CS12" s="5">
        <f>IF(預測IC!CS12&gt;預測IC!CS$26,1,0)</f>
        <v>0</v>
      </c>
      <c r="CT12" s="5">
        <f>IF(預測IC!CT12&gt;預測IC!CT$26,1,0)</f>
        <v>0</v>
      </c>
      <c r="CU12" s="5">
        <f>IF(預測IC!CU12&gt;預測IC!CU$26,1,0)</f>
        <v>1</v>
      </c>
      <c r="CV12" s="5">
        <f>IF(預測IC!CV12&gt;預測IC!CV$26,1,0)</f>
        <v>0</v>
      </c>
      <c r="CW12" s="5">
        <f>IF(預測IC!CW12&gt;預測IC!CW$26,1,0)</f>
        <v>1</v>
      </c>
      <c r="CX12" s="5">
        <f>IF(預測IC!CX12&gt;預測IC!CX$26,1,0)</f>
        <v>1</v>
      </c>
      <c r="CY12" s="5">
        <f>IF(預測IC!CY12&gt;預測IC!CY$26,1,0)</f>
        <v>0</v>
      </c>
      <c r="CZ12" s="5">
        <f>IF(預測IC!CZ12&gt;預測IC!CZ$26,1,0)</f>
        <v>1</v>
      </c>
      <c r="DA12" s="5">
        <f>IF(預測IC!DA12&gt;預測IC!DA$26,1,0)</f>
        <v>0</v>
      </c>
      <c r="DB12" s="5">
        <f>IF(預測IC!DB12&gt;預測IC!DB$26,1,0)</f>
        <v>1</v>
      </c>
      <c r="DC12" s="5">
        <f>IF(預測IC!DC12&gt;預測IC!DC$26,1,0)</f>
        <v>1</v>
      </c>
      <c r="DD12" s="5">
        <f>IF(預測IC!DD12&gt;預測IC!DD$26,1,0)</f>
        <v>1</v>
      </c>
      <c r="DE12" s="5">
        <f>IF(預測IC!DE12&gt;預測IC!DE$26,1,0)</f>
        <v>0</v>
      </c>
      <c r="DF12" s="5">
        <f>IF(預測IC!DF12&gt;預測IC!DF$26,1,0)</f>
        <v>1</v>
      </c>
      <c r="DG12" s="5">
        <f>IF(預測IC!DG12&gt;預測IC!DG$26,1,0)</f>
        <v>0</v>
      </c>
      <c r="DH12" s="5">
        <f>IF(預測IC!DH12&gt;預測IC!DH$26,1,0)</f>
        <v>0</v>
      </c>
      <c r="DI12" s="5">
        <f>IF(預測IC!DI12&gt;預測IC!DI$26,1,0)</f>
        <v>1</v>
      </c>
      <c r="DJ12" s="5">
        <f>IF(預測IC!DJ12&gt;預測IC!DJ$26,1,0)</f>
        <v>0</v>
      </c>
      <c r="DK12" s="5">
        <f>IF(預測IC!DK12&gt;預測IC!DK$26,1,0)</f>
        <v>0</v>
      </c>
      <c r="DL12" s="5">
        <f>IF(預測IC!DL12&gt;預測IC!DL$26,1,0)</f>
        <v>0</v>
      </c>
      <c r="DM12" s="5">
        <f>IF(預測IC!DM12&gt;預測IC!DM$26,1,0)</f>
        <v>0</v>
      </c>
      <c r="DN12" s="5">
        <f>IF(預測IC!DN12&gt;預測IC!DN$26,1,0)</f>
        <v>1</v>
      </c>
      <c r="DO12" s="5">
        <f>IF(預測IC!DO12&gt;預測IC!DO$26,1,0)</f>
        <v>1</v>
      </c>
      <c r="DP12" s="5">
        <f>IF(預測IC!DP12&gt;預測IC!DP$26,1,0)</f>
        <v>1</v>
      </c>
      <c r="DQ12" s="5">
        <f>IF(預測IC!DQ12&gt;預測IC!DQ$26,1,0)</f>
        <v>0</v>
      </c>
      <c r="DR12" s="5">
        <f>IF(預測IC!DR12&gt;預測IC!DR$26,1,0)</f>
        <v>0</v>
      </c>
      <c r="DS12" s="5">
        <f>IF(預測IC!DS12&gt;預測IC!DS$26,1,0)</f>
        <v>0</v>
      </c>
      <c r="DT12" s="5">
        <f>IF(預測IC!DT12&gt;預測IC!DT$26,1,0)</f>
        <v>0</v>
      </c>
      <c r="DU12" s="5">
        <f>IF(預測IC!DU12&gt;預測IC!DU$26,1,0)</f>
        <v>0</v>
      </c>
      <c r="DV12" s="5">
        <f>IF(預測IC!DV12&gt;預測IC!DV$26,1,0)</f>
        <v>0</v>
      </c>
      <c r="DW12" s="5">
        <f>IF(預測IC!DW12&gt;預測IC!DW$26,1,0)</f>
        <v>1</v>
      </c>
      <c r="DX12" s="5">
        <f>IF(預測IC!DX12&gt;預測IC!DX$26,1,0)</f>
        <v>0</v>
      </c>
      <c r="DY12" s="5">
        <f>IF(預測IC!DY12&gt;預測IC!DY$26,1,0)</f>
        <v>1</v>
      </c>
      <c r="DZ12" s="5">
        <f>IF(預測IC!DZ12&gt;預測IC!DZ$26,1,0)</f>
        <v>1</v>
      </c>
      <c r="EA12" s="5">
        <f>IF(預測IC!EA12&gt;預測IC!EA$26,1,0)</f>
        <v>1</v>
      </c>
      <c r="EB12" s="5">
        <f>IF(預測IC!EB12&gt;預測IC!EB$26,1,0)</f>
        <v>1</v>
      </c>
      <c r="EC12" s="5">
        <f>IF(預測IC!EC12&gt;預測IC!EC$26,1,0)</f>
        <v>1</v>
      </c>
      <c r="ED12" s="5">
        <f>IF(預測IC!ED12&gt;預測IC!ED$26,1,0)</f>
        <v>0</v>
      </c>
      <c r="EE12" s="5">
        <f>IF(預測IC!EE12&gt;預測IC!EE$26,1,0)</f>
        <v>0</v>
      </c>
      <c r="EF12" s="5">
        <f>IF(預測IC!EH12&gt;預測IC!EF$26,1,0)</f>
        <v>1</v>
      </c>
      <c r="EG12" s="7">
        <f t="shared" ref="EG12:EG24" si="10">SUM(C12:EF12)</f>
        <v>68</v>
      </c>
      <c r="EH12" s="10">
        <f t="shared" ref="EH12:EH24" si="11">SUM(C12:EF12)/134</f>
        <v>0.5074626865671642</v>
      </c>
    </row>
    <row r="13" spans="1:138">
      <c r="A13" s="1">
        <v>20</v>
      </c>
      <c r="B13" s="1">
        <v>48</v>
      </c>
      <c r="C13" s="5">
        <f>IF(預測IC!C13&gt;預測IC!C$26,1,0)</f>
        <v>1</v>
      </c>
      <c r="D13" s="5">
        <f>IF(預測IC!D13&gt;預測IC!D$26,1,0)</f>
        <v>1</v>
      </c>
      <c r="E13" s="5">
        <f>IF(預測IC!E13&gt;預測IC!E$26,1,0)</f>
        <v>0</v>
      </c>
      <c r="F13" s="5">
        <f>IF(預測IC!F13&gt;預測IC!F$26,1,0)</f>
        <v>0</v>
      </c>
      <c r="G13" s="5">
        <f>IF(預測IC!G13&gt;預測IC!G$26,1,0)</f>
        <v>0</v>
      </c>
      <c r="H13" s="5">
        <f>IF(預測IC!H13&gt;預測IC!H$26,1,0)</f>
        <v>0</v>
      </c>
      <c r="I13" s="5">
        <f>IF(預測IC!I13&gt;預測IC!I$26,1,0)</f>
        <v>0</v>
      </c>
      <c r="J13" s="5">
        <f>IF(預測IC!J13&gt;預測IC!J$26,1,0)</f>
        <v>1</v>
      </c>
      <c r="K13" s="5">
        <f>IF(預測IC!K13&gt;預測IC!K$26,1,0)</f>
        <v>1</v>
      </c>
      <c r="L13" s="5">
        <f>IF(預測IC!L13&gt;預測IC!L$26,1,0)</f>
        <v>0</v>
      </c>
      <c r="M13" s="5">
        <f>IF(預測IC!M13&gt;預測IC!M$26,1,0)</f>
        <v>0</v>
      </c>
      <c r="N13" s="5">
        <f>IF(預測IC!N13&gt;預測IC!N$26,1,0)</f>
        <v>1</v>
      </c>
      <c r="O13" s="5">
        <f>IF(預測IC!O13&gt;預測IC!O$26,1,0)</f>
        <v>1</v>
      </c>
      <c r="P13" s="5">
        <f>IF(預測IC!P13&gt;預測IC!P$26,1,0)</f>
        <v>0</v>
      </c>
      <c r="Q13" s="5">
        <f>IF(預測IC!Q13&gt;預測IC!Q$26,1,0)</f>
        <v>1</v>
      </c>
      <c r="R13" s="5">
        <f>IF(預測IC!R13&gt;預測IC!R$26,1,0)</f>
        <v>0</v>
      </c>
      <c r="S13" s="5">
        <f>IF(預測IC!S13&gt;預測IC!S$26,1,0)</f>
        <v>1</v>
      </c>
      <c r="T13" s="5">
        <f>IF(預測IC!T13&gt;預測IC!T$26,1,0)</f>
        <v>1</v>
      </c>
      <c r="U13" s="5">
        <f>IF(預測IC!U13&gt;預測IC!U$26,1,0)</f>
        <v>1</v>
      </c>
      <c r="V13" s="5">
        <f>IF(預測IC!V13&gt;預測IC!V$26,1,0)</f>
        <v>1</v>
      </c>
      <c r="W13" s="5">
        <f>IF(預測IC!W13&gt;預測IC!W$26,1,0)</f>
        <v>1</v>
      </c>
      <c r="X13" s="5">
        <f>IF(預測IC!X13&gt;預測IC!X$26,1,0)</f>
        <v>1</v>
      </c>
      <c r="Y13" s="5">
        <f>IF(預測IC!Y13&gt;預測IC!Y$26,1,0)</f>
        <v>1</v>
      </c>
      <c r="Z13" s="5">
        <f>IF(預測IC!Z13&gt;預測IC!Z$26,1,0)</f>
        <v>1</v>
      </c>
      <c r="AA13" s="5">
        <f>IF(預測IC!AA13&gt;預測IC!AA$26,1,0)</f>
        <v>0</v>
      </c>
      <c r="AB13" s="5">
        <f>IF(預測IC!AB13&gt;預測IC!AB$26,1,0)</f>
        <v>0</v>
      </c>
      <c r="AC13" s="5">
        <f>IF(預測IC!AC13&gt;預測IC!AC$26,1,0)</f>
        <v>1</v>
      </c>
      <c r="AD13" s="5">
        <f>IF(預測IC!AD13&gt;預測IC!AD$26,1,0)</f>
        <v>1</v>
      </c>
      <c r="AE13" s="5">
        <f>IF(預測IC!AE13&gt;預測IC!AE$26,1,0)</f>
        <v>1</v>
      </c>
      <c r="AF13" s="5">
        <f>IF(預測IC!AF13&gt;預測IC!AF$26,1,0)</f>
        <v>0</v>
      </c>
      <c r="AG13" s="5">
        <f>IF(預測IC!AG13&gt;預測IC!AG$26,1,0)</f>
        <v>0</v>
      </c>
      <c r="AH13" s="5">
        <f>IF(預測IC!AH13&gt;預測IC!AH$26,1,0)</f>
        <v>1</v>
      </c>
      <c r="AI13" s="5">
        <f>IF(預測IC!AI13&gt;預測IC!AI$26,1,0)</f>
        <v>1</v>
      </c>
      <c r="AJ13" s="5">
        <f>IF(預測IC!AJ13&gt;預測IC!AJ$26,1,0)</f>
        <v>0</v>
      </c>
      <c r="AK13" s="5">
        <f>IF(預測IC!AK13&gt;預測IC!AK$26,1,0)</f>
        <v>0</v>
      </c>
      <c r="AL13" s="5">
        <f>IF(預測IC!AL13&gt;預測IC!AL$26,1,0)</f>
        <v>1</v>
      </c>
      <c r="AM13" s="5">
        <f>IF(預測IC!AM13&gt;預測IC!AM$26,1,0)</f>
        <v>1</v>
      </c>
      <c r="AN13" s="5">
        <f>IF(預測IC!AN13&gt;預測IC!AN$26,1,0)</f>
        <v>1</v>
      </c>
      <c r="AO13" s="5">
        <f>IF(預測IC!AO13&gt;預測IC!AO$26,1,0)</f>
        <v>0</v>
      </c>
      <c r="AP13" s="5">
        <f>IF(預測IC!AP13&gt;預測IC!AP$26,1,0)</f>
        <v>1</v>
      </c>
      <c r="AQ13" s="5">
        <f>IF(預測IC!AQ13&gt;預測IC!AQ$26,1,0)</f>
        <v>0</v>
      </c>
      <c r="AR13" s="5">
        <f>IF(預測IC!AR13&gt;預測IC!AR$26,1,0)</f>
        <v>0</v>
      </c>
      <c r="AS13" s="5">
        <f>IF(預測IC!AS13&gt;預測IC!AS$26,1,0)</f>
        <v>1</v>
      </c>
      <c r="AT13" s="5">
        <f>IF(預測IC!AT13&gt;預測IC!AT$26,1,0)</f>
        <v>1</v>
      </c>
      <c r="AU13" s="5">
        <f>IF(預測IC!AU13&gt;預測IC!AU$26,1,0)</f>
        <v>1</v>
      </c>
      <c r="AV13" s="5">
        <f>IF(預測IC!AV13&gt;預測IC!AV$26,1,0)</f>
        <v>0</v>
      </c>
      <c r="AW13" s="5">
        <f>IF(預測IC!AW13&gt;預測IC!AW$26,1,0)</f>
        <v>1</v>
      </c>
      <c r="AX13" s="5">
        <f>IF(預測IC!AX13&gt;預測IC!AX$26,1,0)</f>
        <v>0</v>
      </c>
      <c r="AY13" s="5">
        <f>IF(預測IC!AY13&gt;預測IC!AY$26,1,0)</f>
        <v>0</v>
      </c>
      <c r="AZ13" s="5">
        <f>IF(預測IC!AZ13&gt;預測IC!AZ$26,1,0)</f>
        <v>0</v>
      </c>
      <c r="BA13" s="5">
        <f>IF(預測IC!BA13&gt;預測IC!BA$26,1,0)</f>
        <v>0</v>
      </c>
      <c r="BB13" s="5">
        <f>IF(預測IC!BB13&gt;預測IC!BB$26,1,0)</f>
        <v>1</v>
      </c>
      <c r="BC13" s="5">
        <f>IF(預測IC!BC13&gt;預測IC!BC$26,1,0)</f>
        <v>0</v>
      </c>
      <c r="BD13" s="5">
        <f>IF(預測IC!BD13&gt;預測IC!BD$26,1,0)</f>
        <v>1</v>
      </c>
      <c r="BE13" s="5">
        <f>IF(預測IC!BE13&gt;預測IC!BE$26,1,0)</f>
        <v>0</v>
      </c>
      <c r="BF13" s="5">
        <f>IF(預測IC!BF13&gt;預測IC!BF$26,1,0)</f>
        <v>1</v>
      </c>
      <c r="BG13" s="5">
        <f>IF(預測IC!BG13&gt;預測IC!BG$26,1,0)</f>
        <v>1</v>
      </c>
      <c r="BH13" s="5">
        <f>IF(預測IC!BH13&gt;預測IC!BH$26,1,0)</f>
        <v>1</v>
      </c>
      <c r="BI13" s="5">
        <f>IF(預測IC!BI13&gt;預測IC!BI$26,1,0)</f>
        <v>0</v>
      </c>
      <c r="BJ13" s="5">
        <f>IF(預測IC!BJ13&gt;預測IC!BJ$26,1,0)</f>
        <v>1</v>
      </c>
      <c r="BK13" s="5">
        <f>IF(預測IC!BK13&gt;預測IC!BK$26,1,0)</f>
        <v>0</v>
      </c>
      <c r="BL13" s="5">
        <f>IF(預測IC!BL13&gt;預測IC!BL$26,1,0)</f>
        <v>0</v>
      </c>
      <c r="BM13" s="5">
        <f>IF(預測IC!BM13&gt;預測IC!BM$26,1,0)</f>
        <v>1</v>
      </c>
      <c r="BN13" s="5">
        <f>IF(預測IC!BN13&gt;預測IC!BN$26,1,0)</f>
        <v>1</v>
      </c>
      <c r="BO13" s="5">
        <f>IF(預測IC!BO13&gt;預測IC!BO$26,1,0)</f>
        <v>1</v>
      </c>
      <c r="BP13" s="5">
        <f>IF(預測IC!BP13&gt;預測IC!BP$26,1,0)</f>
        <v>0</v>
      </c>
      <c r="BQ13" s="5">
        <f>IF(預測IC!BQ13&gt;預測IC!BQ$26,1,0)</f>
        <v>0</v>
      </c>
      <c r="BR13" s="5">
        <f>IF(預測IC!BR13&gt;預測IC!BR$26,1,0)</f>
        <v>1</v>
      </c>
      <c r="BS13" s="5">
        <f>IF(預測IC!BS13&gt;預測IC!BS$26,1,0)</f>
        <v>0</v>
      </c>
      <c r="BT13" s="5">
        <f>IF(預測IC!BT13&gt;預測IC!BT$26,1,0)</f>
        <v>0</v>
      </c>
      <c r="BU13" s="5">
        <f>IF(預測IC!BU13&gt;預測IC!BU$26,1,0)</f>
        <v>1</v>
      </c>
      <c r="BV13" s="5">
        <f>IF(預測IC!BV13&gt;預測IC!BV$26,1,0)</f>
        <v>0</v>
      </c>
      <c r="BW13" s="5">
        <f>IF(預測IC!BW13&gt;預測IC!BW$26,1,0)</f>
        <v>1</v>
      </c>
      <c r="BX13" s="5">
        <f>IF(預測IC!BX13&gt;預測IC!BX$26,1,0)</f>
        <v>1</v>
      </c>
      <c r="BY13" s="5">
        <f>IF(預測IC!BY13&gt;預測IC!BY$26,1,0)</f>
        <v>1</v>
      </c>
      <c r="BZ13" s="5">
        <f>IF(預測IC!BZ13&gt;預測IC!BZ$26,1,0)</f>
        <v>0</v>
      </c>
      <c r="CA13" s="5">
        <f>IF(預測IC!CA13&gt;預測IC!CA$26,1,0)</f>
        <v>0</v>
      </c>
      <c r="CB13" s="5">
        <f>IF(預測IC!CB13&gt;預測IC!CB$26,1,0)</f>
        <v>0</v>
      </c>
      <c r="CC13" s="5">
        <f>IF(預測IC!CC13&gt;預測IC!CC$26,1,0)</f>
        <v>1</v>
      </c>
      <c r="CD13" s="5">
        <f>IF(預測IC!CD13&gt;預測IC!CD$26,1,0)</f>
        <v>0</v>
      </c>
      <c r="CE13" s="5">
        <f>IF(預測IC!CE13&gt;預測IC!CE$26,1,0)</f>
        <v>1</v>
      </c>
      <c r="CF13" s="5">
        <f>IF(預測IC!CF13&gt;預測IC!CF$26,1,0)</f>
        <v>1</v>
      </c>
      <c r="CG13" s="5">
        <f>IF(預測IC!CG13&gt;預測IC!CG$26,1,0)</f>
        <v>0</v>
      </c>
      <c r="CH13" s="5">
        <f>IF(預測IC!CH13&gt;預測IC!CH$26,1,0)</f>
        <v>0</v>
      </c>
      <c r="CI13" s="5">
        <f>IF(預測IC!CI13&gt;預測IC!CI$26,1,0)</f>
        <v>0</v>
      </c>
      <c r="CJ13" s="5">
        <f>IF(預測IC!CJ13&gt;預測IC!CJ$26,1,0)</f>
        <v>0</v>
      </c>
      <c r="CK13" s="5">
        <f>IF(預測IC!CK13&gt;預測IC!CK$26,1,0)</f>
        <v>1</v>
      </c>
      <c r="CL13" s="5">
        <f>IF(預測IC!CL13&gt;預測IC!CL$26,1,0)</f>
        <v>0</v>
      </c>
      <c r="CM13" s="5">
        <f>IF(預測IC!CM13&gt;預測IC!CM$26,1,0)</f>
        <v>1</v>
      </c>
      <c r="CN13" s="5">
        <f>IF(預測IC!CN13&gt;預測IC!CN$26,1,0)</f>
        <v>0</v>
      </c>
      <c r="CO13" s="5">
        <f>IF(預測IC!CO13&gt;預測IC!CO$26,1,0)</f>
        <v>0</v>
      </c>
      <c r="CP13" s="5">
        <f>IF(預測IC!CP13&gt;預測IC!CP$26,1,0)</f>
        <v>0</v>
      </c>
      <c r="CQ13" s="5">
        <f>IF(預測IC!CQ13&gt;預測IC!CQ$26,1,0)</f>
        <v>1</v>
      </c>
      <c r="CR13" s="5">
        <f>IF(預測IC!CR13&gt;預測IC!CR$26,1,0)</f>
        <v>0</v>
      </c>
      <c r="CS13" s="5">
        <f>IF(預測IC!CS13&gt;預測IC!CS$26,1,0)</f>
        <v>0</v>
      </c>
      <c r="CT13" s="5">
        <f>IF(預測IC!CT13&gt;預測IC!CT$26,1,0)</f>
        <v>0</v>
      </c>
      <c r="CU13" s="5">
        <f>IF(預測IC!CU13&gt;預測IC!CU$26,1,0)</f>
        <v>1</v>
      </c>
      <c r="CV13" s="5">
        <f>IF(預測IC!CV13&gt;預測IC!CV$26,1,0)</f>
        <v>0</v>
      </c>
      <c r="CW13" s="5">
        <f>IF(預測IC!CW13&gt;預測IC!CW$26,1,0)</f>
        <v>1</v>
      </c>
      <c r="CX13" s="5">
        <f>IF(預測IC!CX13&gt;預測IC!CX$26,1,0)</f>
        <v>1</v>
      </c>
      <c r="CY13" s="5">
        <f>IF(預測IC!CY13&gt;預測IC!CY$26,1,0)</f>
        <v>0</v>
      </c>
      <c r="CZ13" s="5">
        <f>IF(預測IC!CZ13&gt;預測IC!CZ$26,1,0)</f>
        <v>1</v>
      </c>
      <c r="DA13" s="5">
        <f>IF(預測IC!DA13&gt;預測IC!DA$26,1,0)</f>
        <v>0</v>
      </c>
      <c r="DB13" s="5">
        <f>IF(預測IC!DB13&gt;預測IC!DB$26,1,0)</f>
        <v>1</v>
      </c>
      <c r="DC13" s="5">
        <f>IF(預測IC!DC13&gt;預測IC!DC$26,1,0)</f>
        <v>1</v>
      </c>
      <c r="DD13" s="5">
        <f>IF(預測IC!DD13&gt;預測IC!DD$26,1,0)</f>
        <v>1</v>
      </c>
      <c r="DE13" s="5">
        <f>IF(預測IC!DE13&gt;預測IC!DE$26,1,0)</f>
        <v>0</v>
      </c>
      <c r="DF13" s="5">
        <f>IF(預測IC!DF13&gt;預測IC!DF$26,1,0)</f>
        <v>1</v>
      </c>
      <c r="DG13" s="5">
        <f>IF(預測IC!DG13&gt;預測IC!DG$26,1,0)</f>
        <v>0</v>
      </c>
      <c r="DH13" s="5">
        <f>IF(預測IC!DH13&gt;預測IC!DH$26,1,0)</f>
        <v>0</v>
      </c>
      <c r="DI13" s="5">
        <f>IF(預測IC!DI13&gt;預測IC!DI$26,1,0)</f>
        <v>1</v>
      </c>
      <c r="DJ13" s="5">
        <f>IF(預測IC!DJ13&gt;預測IC!DJ$26,1,0)</f>
        <v>1</v>
      </c>
      <c r="DK13" s="5">
        <f>IF(預測IC!DK13&gt;預測IC!DK$26,1,0)</f>
        <v>0</v>
      </c>
      <c r="DL13" s="5">
        <f>IF(預測IC!DL13&gt;預測IC!DL$26,1,0)</f>
        <v>0</v>
      </c>
      <c r="DM13" s="5">
        <f>IF(預測IC!DM13&gt;預測IC!DM$26,1,0)</f>
        <v>0</v>
      </c>
      <c r="DN13" s="5">
        <f>IF(預測IC!DN13&gt;預測IC!DN$26,1,0)</f>
        <v>1</v>
      </c>
      <c r="DO13" s="5">
        <f>IF(預測IC!DO13&gt;預測IC!DO$26,1,0)</f>
        <v>1</v>
      </c>
      <c r="DP13" s="5">
        <f>IF(預測IC!DP13&gt;預測IC!DP$26,1,0)</f>
        <v>1</v>
      </c>
      <c r="DQ13" s="5">
        <f>IF(預測IC!DQ13&gt;預測IC!DQ$26,1,0)</f>
        <v>0</v>
      </c>
      <c r="DR13" s="5">
        <f>IF(預測IC!DR13&gt;預測IC!DR$26,1,0)</f>
        <v>0</v>
      </c>
      <c r="DS13" s="5">
        <f>IF(預測IC!DS13&gt;預測IC!DS$26,1,0)</f>
        <v>0</v>
      </c>
      <c r="DT13" s="5">
        <f>IF(預測IC!DT13&gt;預測IC!DT$26,1,0)</f>
        <v>0</v>
      </c>
      <c r="DU13" s="5">
        <f>IF(預測IC!DU13&gt;預測IC!DU$26,1,0)</f>
        <v>0</v>
      </c>
      <c r="DV13" s="5">
        <f>IF(預測IC!DV13&gt;預測IC!DV$26,1,0)</f>
        <v>0</v>
      </c>
      <c r="DW13" s="5">
        <f>IF(預測IC!DW13&gt;預測IC!DW$26,1,0)</f>
        <v>1</v>
      </c>
      <c r="DX13" s="5">
        <f>IF(預測IC!DX13&gt;預測IC!DX$26,1,0)</f>
        <v>0</v>
      </c>
      <c r="DY13" s="5">
        <f>IF(預測IC!DY13&gt;預測IC!DY$26,1,0)</f>
        <v>1</v>
      </c>
      <c r="DZ13" s="5">
        <f>IF(預測IC!DZ13&gt;預測IC!DZ$26,1,0)</f>
        <v>1</v>
      </c>
      <c r="EA13" s="5">
        <f>IF(預測IC!EA13&gt;預測IC!EA$26,1,0)</f>
        <v>1</v>
      </c>
      <c r="EB13" s="5">
        <f>IF(預測IC!EB13&gt;預測IC!EB$26,1,0)</f>
        <v>1</v>
      </c>
      <c r="EC13" s="5">
        <f>IF(預測IC!EC13&gt;預測IC!EC$26,1,0)</f>
        <v>1</v>
      </c>
      <c r="ED13" s="5">
        <f>IF(預測IC!ED13&gt;預測IC!ED$26,1,0)</f>
        <v>0</v>
      </c>
      <c r="EE13" s="5">
        <f>IF(預測IC!EE13&gt;預測IC!EE$26,1,0)</f>
        <v>0</v>
      </c>
      <c r="EF13" s="5">
        <f>IF(預測IC!EH13&gt;預測IC!EF$26,1,0)</f>
        <v>1</v>
      </c>
      <c r="EG13" s="7">
        <f t="shared" si="10"/>
        <v>68</v>
      </c>
      <c r="EH13" s="10">
        <f t="shared" si="11"/>
        <v>0.5074626865671642</v>
      </c>
    </row>
    <row r="14" spans="1:138">
      <c r="A14" s="1">
        <v>50</v>
      </c>
      <c r="B14" s="1">
        <v>19</v>
      </c>
      <c r="C14" s="5">
        <f>IF(預測IC!C14&gt;預測IC!C$26,1,0)</f>
        <v>0</v>
      </c>
      <c r="D14" s="5">
        <f>IF(預測IC!D14&gt;預測IC!D$26,1,0)</f>
        <v>1</v>
      </c>
      <c r="E14" s="5">
        <f>IF(預測IC!E14&gt;預測IC!E$26,1,0)</f>
        <v>0</v>
      </c>
      <c r="F14" s="5">
        <f>IF(預測IC!F14&gt;預測IC!F$26,1,0)</f>
        <v>0</v>
      </c>
      <c r="G14" s="5">
        <f>IF(預測IC!G14&gt;預測IC!G$26,1,0)</f>
        <v>0</v>
      </c>
      <c r="H14" s="5">
        <f>IF(預測IC!H14&gt;預測IC!H$26,1,0)</f>
        <v>0</v>
      </c>
      <c r="I14" s="5">
        <f>IF(預測IC!I14&gt;預測IC!I$26,1,0)</f>
        <v>0</v>
      </c>
      <c r="J14" s="5">
        <f>IF(預測IC!J14&gt;預測IC!J$26,1,0)</f>
        <v>1</v>
      </c>
      <c r="K14" s="5">
        <f>IF(預測IC!K14&gt;預測IC!K$26,1,0)</f>
        <v>1</v>
      </c>
      <c r="L14" s="5">
        <f>IF(預測IC!L14&gt;預測IC!L$26,1,0)</f>
        <v>0</v>
      </c>
      <c r="M14" s="5">
        <f>IF(預測IC!M14&gt;預測IC!M$26,1,0)</f>
        <v>0</v>
      </c>
      <c r="N14" s="5">
        <f>IF(預測IC!N14&gt;預測IC!N$26,1,0)</f>
        <v>1</v>
      </c>
      <c r="O14" s="5">
        <f>IF(預測IC!O14&gt;預測IC!O$26,1,0)</f>
        <v>1</v>
      </c>
      <c r="P14" s="5">
        <f>IF(預測IC!P14&gt;預測IC!P$26,1,0)</f>
        <v>0</v>
      </c>
      <c r="Q14" s="5">
        <f>IF(預測IC!Q14&gt;預測IC!Q$26,1,0)</f>
        <v>1</v>
      </c>
      <c r="R14" s="5">
        <f>IF(預測IC!R14&gt;預測IC!R$26,1,0)</f>
        <v>0</v>
      </c>
      <c r="S14" s="5">
        <f>IF(預測IC!S14&gt;預測IC!S$26,1,0)</f>
        <v>0</v>
      </c>
      <c r="T14" s="5">
        <f>IF(預測IC!T14&gt;預測IC!T$26,1,0)</f>
        <v>1</v>
      </c>
      <c r="U14" s="5">
        <f>IF(預測IC!U14&gt;預測IC!U$26,1,0)</f>
        <v>1</v>
      </c>
      <c r="V14" s="5">
        <f>IF(預測IC!V14&gt;預測IC!V$26,1,0)</f>
        <v>1</v>
      </c>
      <c r="W14" s="5">
        <f>IF(預測IC!W14&gt;預測IC!W$26,1,0)</f>
        <v>1</v>
      </c>
      <c r="X14" s="5">
        <f>IF(預測IC!X14&gt;預測IC!X$26,1,0)</f>
        <v>1</v>
      </c>
      <c r="Y14" s="5">
        <f>IF(預測IC!Y14&gt;預測IC!Y$26,1,0)</f>
        <v>1</v>
      </c>
      <c r="Z14" s="5">
        <f>IF(預測IC!Z14&gt;預測IC!Z$26,1,0)</f>
        <v>1</v>
      </c>
      <c r="AA14" s="5">
        <f>IF(預測IC!AA14&gt;預測IC!AA$26,1,0)</f>
        <v>0</v>
      </c>
      <c r="AB14" s="5">
        <f>IF(預測IC!AB14&gt;預測IC!AB$26,1,0)</f>
        <v>0</v>
      </c>
      <c r="AC14" s="5">
        <f>IF(預測IC!AC14&gt;預測IC!AC$26,1,0)</f>
        <v>0</v>
      </c>
      <c r="AD14" s="5">
        <f>IF(預測IC!AD14&gt;預測IC!AD$26,1,0)</f>
        <v>0</v>
      </c>
      <c r="AE14" s="5">
        <f>IF(預測IC!AE14&gt;預測IC!AE$26,1,0)</f>
        <v>1</v>
      </c>
      <c r="AF14" s="5">
        <f>IF(預測IC!AF14&gt;預測IC!AF$26,1,0)</f>
        <v>0</v>
      </c>
      <c r="AG14" s="5">
        <f>IF(預測IC!AG14&gt;預測IC!AG$26,1,0)</f>
        <v>0</v>
      </c>
      <c r="AH14" s="5">
        <f>IF(預測IC!AH14&gt;預測IC!AH$26,1,0)</f>
        <v>1</v>
      </c>
      <c r="AI14" s="5">
        <f>IF(預測IC!AI14&gt;預測IC!AI$26,1,0)</f>
        <v>0</v>
      </c>
      <c r="AJ14" s="5">
        <f>IF(預測IC!AJ14&gt;預測IC!AJ$26,1,0)</f>
        <v>0</v>
      </c>
      <c r="AK14" s="5">
        <f>IF(預測IC!AK14&gt;預測IC!AK$26,1,0)</f>
        <v>0</v>
      </c>
      <c r="AL14" s="5">
        <f>IF(預測IC!AL14&gt;預測IC!AL$26,1,0)</f>
        <v>1</v>
      </c>
      <c r="AM14" s="5">
        <f>IF(預測IC!AM14&gt;預測IC!AM$26,1,0)</f>
        <v>1</v>
      </c>
      <c r="AN14" s="5">
        <f>IF(預測IC!AN14&gt;預測IC!AN$26,1,0)</f>
        <v>1</v>
      </c>
      <c r="AO14" s="5">
        <f>IF(預測IC!AO14&gt;預測IC!AO$26,1,0)</f>
        <v>0</v>
      </c>
      <c r="AP14" s="5">
        <f>IF(預測IC!AP14&gt;預測IC!AP$26,1,0)</f>
        <v>0</v>
      </c>
      <c r="AQ14" s="5">
        <f>IF(預測IC!AQ14&gt;預測IC!AQ$26,1,0)</f>
        <v>0</v>
      </c>
      <c r="AR14" s="5">
        <f>IF(預測IC!AR14&gt;預測IC!AR$26,1,0)</f>
        <v>0</v>
      </c>
      <c r="AS14" s="5">
        <f>IF(預測IC!AS14&gt;預測IC!AS$26,1,0)</f>
        <v>1</v>
      </c>
      <c r="AT14" s="5">
        <f>IF(預測IC!AT14&gt;預測IC!AT$26,1,0)</f>
        <v>1</v>
      </c>
      <c r="AU14" s="5">
        <f>IF(預測IC!AU14&gt;預測IC!AU$26,1,0)</f>
        <v>1</v>
      </c>
      <c r="AV14" s="5">
        <f>IF(預測IC!AV14&gt;預測IC!AV$26,1,0)</f>
        <v>0</v>
      </c>
      <c r="AW14" s="5">
        <f>IF(預測IC!AW14&gt;預測IC!AW$26,1,0)</f>
        <v>1</v>
      </c>
      <c r="AX14" s="5">
        <f>IF(預測IC!AX14&gt;預測IC!AX$26,1,0)</f>
        <v>0</v>
      </c>
      <c r="AY14" s="5">
        <f>IF(預測IC!AY14&gt;預測IC!AY$26,1,0)</f>
        <v>0</v>
      </c>
      <c r="AZ14" s="5">
        <f>IF(預測IC!AZ14&gt;預測IC!AZ$26,1,0)</f>
        <v>0</v>
      </c>
      <c r="BA14" s="5">
        <f>IF(預測IC!BA14&gt;預測IC!BA$26,1,0)</f>
        <v>1</v>
      </c>
      <c r="BB14" s="5">
        <f>IF(預測IC!BB14&gt;預測IC!BB$26,1,0)</f>
        <v>1</v>
      </c>
      <c r="BC14" s="5">
        <f>IF(預測IC!BC14&gt;預測IC!BC$26,1,0)</f>
        <v>0</v>
      </c>
      <c r="BD14" s="5">
        <f>IF(預測IC!BD14&gt;預測IC!BD$26,1,0)</f>
        <v>1</v>
      </c>
      <c r="BE14" s="5">
        <f>IF(預測IC!BE14&gt;預測IC!BE$26,1,0)</f>
        <v>0</v>
      </c>
      <c r="BF14" s="5">
        <f>IF(預測IC!BF14&gt;預測IC!BF$26,1,0)</f>
        <v>1</v>
      </c>
      <c r="BG14" s="5">
        <f>IF(預測IC!BG14&gt;預測IC!BG$26,1,0)</f>
        <v>1</v>
      </c>
      <c r="BH14" s="5">
        <f>IF(預測IC!BH14&gt;預測IC!BH$26,1,0)</f>
        <v>1</v>
      </c>
      <c r="BI14" s="5">
        <f>IF(預測IC!BI14&gt;預測IC!BI$26,1,0)</f>
        <v>1</v>
      </c>
      <c r="BJ14" s="5">
        <f>IF(預測IC!BJ14&gt;預測IC!BJ$26,1,0)</f>
        <v>1</v>
      </c>
      <c r="BK14" s="5">
        <f>IF(預測IC!BK14&gt;預測IC!BK$26,1,0)</f>
        <v>0</v>
      </c>
      <c r="BL14" s="5">
        <f>IF(預測IC!BL14&gt;預測IC!BL$26,1,0)</f>
        <v>1</v>
      </c>
      <c r="BM14" s="5">
        <f>IF(預測IC!BM14&gt;預測IC!BM$26,1,0)</f>
        <v>1</v>
      </c>
      <c r="BN14" s="5">
        <f>IF(預測IC!BN14&gt;預測IC!BN$26,1,0)</f>
        <v>0</v>
      </c>
      <c r="BO14" s="5">
        <f>IF(預測IC!BO14&gt;預測IC!BO$26,1,0)</f>
        <v>1</v>
      </c>
      <c r="BP14" s="5">
        <f>IF(預測IC!BP14&gt;預測IC!BP$26,1,0)</f>
        <v>0</v>
      </c>
      <c r="BQ14" s="5">
        <f>IF(預測IC!BQ14&gt;預測IC!BQ$26,1,0)</f>
        <v>0</v>
      </c>
      <c r="BR14" s="5">
        <f>IF(預測IC!BR14&gt;預測IC!BR$26,1,0)</f>
        <v>0</v>
      </c>
      <c r="BS14" s="5">
        <f>IF(預測IC!BS14&gt;預測IC!BS$26,1,0)</f>
        <v>0</v>
      </c>
      <c r="BT14" s="5">
        <f>IF(預測IC!BT14&gt;預測IC!BT$26,1,0)</f>
        <v>0</v>
      </c>
      <c r="BU14" s="5">
        <f>IF(預測IC!BU14&gt;預測IC!BU$26,1,0)</f>
        <v>0</v>
      </c>
      <c r="BV14" s="5">
        <f>IF(預測IC!BV14&gt;預測IC!BV$26,1,0)</f>
        <v>0</v>
      </c>
      <c r="BW14" s="5">
        <f>IF(預測IC!BW14&gt;預測IC!BW$26,1,0)</f>
        <v>1</v>
      </c>
      <c r="BX14" s="5">
        <f>IF(預測IC!BX14&gt;預測IC!BX$26,1,0)</f>
        <v>1</v>
      </c>
      <c r="BY14" s="5">
        <f>IF(預測IC!BY14&gt;預測IC!BY$26,1,0)</f>
        <v>1</v>
      </c>
      <c r="BZ14" s="5">
        <f>IF(預測IC!BZ14&gt;預測IC!BZ$26,1,0)</f>
        <v>0</v>
      </c>
      <c r="CA14" s="5">
        <f>IF(預測IC!CA14&gt;預測IC!CA$26,1,0)</f>
        <v>0</v>
      </c>
      <c r="CB14" s="5">
        <f>IF(預測IC!CB14&gt;預測IC!CB$26,1,0)</f>
        <v>0</v>
      </c>
      <c r="CC14" s="5">
        <f>IF(預測IC!CC14&gt;預測IC!CC$26,1,0)</f>
        <v>1</v>
      </c>
      <c r="CD14" s="5">
        <f>IF(預測IC!CD14&gt;預測IC!CD$26,1,0)</f>
        <v>1</v>
      </c>
      <c r="CE14" s="5">
        <f>IF(預測IC!CE14&gt;預測IC!CE$26,1,0)</f>
        <v>0</v>
      </c>
      <c r="CF14" s="5">
        <f>IF(預測IC!CF14&gt;預測IC!CF$26,1,0)</f>
        <v>1</v>
      </c>
      <c r="CG14" s="5">
        <f>IF(預測IC!CG14&gt;預測IC!CG$26,1,0)</f>
        <v>0</v>
      </c>
      <c r="CH14" s="5">
        <f>IF(預測IC!CH14&gt;預測IC!CH$26,1,0)</f>
        <v>0</v>
      </c>
      <c r="CI14" s="5">
        <f>IF(預測IC!CI14&gt;預測IC!CI$26,1,0)</f>
        <v>0</v>
      </c>
      <c r="CJ14" s="5">
        <f>IF(預測IC!CJ14&gt;預測IC!CJ$26,1,0)</f>
        <v>0</v>
      </c>
      <c r="CK14" s="5">
        <f>IF(預測IC!CK14&gt;預測IC!CK$26,1,0)</f>
        <v>1</v>
      </c>
      <c r="CL14" s="5">
        <f>IF(預測IC!CL14&gt;預測IC!CL$26,1,0)</f>
        <v>0</v>
      </c>
      <c r="CM14" s="5">
        <f>IF(預測IC!CM14&gt;預測IC!CM$26,1,0)</f>
        <v>1</v>
      </c>
      <c r="CN14" s="5">
        <f>IF(預測IC!CN14&gt;預測IC!CN$26,1,0)</f>
        <v>0</v>
      </c>
      <c r="CO14" s="5">
        <f>IF(預測IC!CO14&gt;預測IC!CO$26,1,0)</f>
        <v>0</v>
      </c>
      <c r="CP14" s="5">
        <f>IF(預測IC!CP14&gt;預測IC!CP$26,1,0)</f>
        <v>0</v>
      </c>
      <c r="CQ14" s="5">
        <f>IF(預測IC!CQ14&gt;預測IC!CQ$26,1,0)</f>
        <v>1</v>
      </c>
      <c r="CR14" s="5">
        <f>IF(預測IC!CR14&gt;預測IC!CR$26,1,0)</f>
        <v>0</v>
      </c>
      <c r="CS14" s="5">
        <f>IF(預測IC!CS14&gt;預測IC!CS$26,1,0)</f>
        <v>0</v>
      </c>
      <c r="CT14" s="5">
        <f>IF(預測IC!CT14&gt;預測IC!CT$26,1,0)</f>
        <v>0</v>
      </c>
      <c r="CU14" s="5">
        <f>IF(預測IC!CU14&gt;預測IC!CU$26,1,0)</f>
        <v>1</v>
      </c>
      <c r="CV14" s="5">
        <f>IF(預測IC!CV14&gt;預測IC!CV$26,1,0)</f>
        <v>0</v>
      </c>
      <c r="CW14" s="5">
        <f>IF(預測IC!CW14&gt;預測IC!CW$26,1,0)</f>
        <v>1</v>
      </c>
      <c r="CX14" s="5">
        <f>IF(預測IC!CX14&gt;預測IC!CX$26,1,0)</f>
        <v>0</v>
      </c>
      <c r="CY14" s="5">
        <f>IF(預測IC!CY14&gt;預測IC!CY$26,1,0)</f>
        <v>0</v>
      </c>
      <c r="CZ14" s="5">
        <f>IF(預測IC!CZ14&gt;預測IC!CZ$26,1,0)</f>
        <v>1</v>
      </c>
      <c r="DA14" s="5">
        <f>IF(預測IC!DA14&gt;預測IC!DA$26,1,0)</f>
        <v>0</v>
      </c>
      <c r="DB14" s="5">
        <f>IF(預測IC!DB14&gt;預測IC!DB$26,1,0)</f>
        <v>1</v>
      </c>
      <c r="DC14" s="5">
        <f>IF(預測IC!DC14&gt;預測IC!DC$26,1,0)</f>
        <v>1</v>
      </c>
      <c r="DD14" s="5">
        <f>IF(預測IC!DD14&gt;預測IC!DD$26,1,0)</f>
        <v>1</v>
      </c>
      <c r="DE14" s="5">
        <f>IF(預測IC!DE14&gt;預測IC!DE$26,1,0)</f>
        <v>0</v>
      </c>
      <c r="DF14" s="5">
        <f>IF(預測IC!DF14&gt;預測IC!DF$26,1,0)</f>
        <v>0</v>
      </c>
      <c r="DG14" s="5">
        <f>IF(預測IC!DG14&gt;預測IC!DG$26,1,0)</f>
        <v>1</v>
      </c>
      <c r="DH14" s="5">
        <f>IF(預測IC!DH14&gt;預測IC!DH$26,1,0)</f>
        <v>0</v>
      </c>
      <c r="DI14" s="5">
        <f>IF(預測IC!DI14&gt;預測IC!DI$26,1,0)</f>
        <v>1</v>
      </c>
      <c r="DJ14" s="5">
        <f>IF(預測IC!DJ14&gt;預測IC!DJ$26,1,0)</f>
        <v>1</v>
      </c>
      <c r="DK14" s="5">
        <f>IF(預測IC!DK14&gt;預測IC!DK$26,1,0)</f>
        <v>0</v>
      </c>
      <c r="DL14" s="5">
        <f>IF(預測IC!DL14&gt;預測IC!DL$26,1,0)</f>
        <v>0</v>
      </c>
      <c r="DM14" s="5">
        <f>IF(預測IC!DM14&gt;預測IC!DM$26,1,0)</f>
        <v>1</v>
      </c>
      <c r="DN14" s="5">
        <f>IF(預測IC!DN14&gt;預測IC!DN$26,1,0)</f>
        <v>1</v>
      </c>
      <c r="DO14" s="5">
        <f>IF(預測IC!DO14&gt;預測IC!DO$26,1,0)</f>
        <v>1</v>
      </c>
      <c r="DP14" s="5">
        <f>IF(預測IC!DP14&gt;預測IC!DP$26,1,0)</f>
        <v>1</v>
      </c>
      <c r="DQ14" s="5">
        <f>IF(預測IC!DQ14&gt;預測IC!DQ$26,1,0)</f>
        <v>0</v>
      </c>
      <c r="DR14" s="5">
        <f>IF(預測IC!DR14&gt;預測IC!DR$26,1,0)</f>
        <v>0</v>
      </c>
      <c r="DS14" s="5">
        <f>IF(預測IC!DS14&gt;預測IC!DS$26,1,0)</f>
        <v>0</v>
      </c>
      <c r="DT14" s="5">
        <f>IF(預測IC!DT14&gt;預測IC!DT$26,1,0)</f>
        <v>0</v>
      </c>
      <c r="DU14" s="5">
        <f>IF(預測IC!DU14&gt;預測IC!DU$26,1,0)</f>
        <v>0</v>
      </c>
      <c r="DV14" s="5">
        <f>IF(預測IC!DV14&gt;預測IC!DV$26,1,0)</f>
        <v>0</v>
      </c>
      <c r="DW14" s="5">
        <f>IF(預測IC!DW14&gt;預測IC!DW$26,1,0)</f>
        <v>1</v>
      </c>
      <c r="DX14" s="5">
        <f>IF(預測IC!DX14&gt;預測IC!DX$26,1,0)</f>
        <v>0</v>
      </c>
      <c r="DY14" s="5">
        <f>IF(預測IC!DY14&gt;預測IC!DY$26,1,0)</f>
        <v>1</v>
      </c>
      <c r="DZ14" s="5">
        <f>IF(預測IC!DZ14&gt;預測IC!DZ$26,1,0)</f>
        <v>1</v>
      </c>
      <c r="EA14" s="5">
        <f>IF(預測IC!EA14&gt;預測IC!EA$26,1,0)</f>
        <v>1</v>
      </c>
      <c r="EB14" s="5">
        <f>IF(預測IC!EB14&gt;預測IC!EB$26,1,0)</f>
        <v>1</v>
      </c>
      <c r="EC14" s="5">
        <f>IF(預測IC!EC14&gt;預測IC!EC$26,1,0)</f>
        <v>0</v>
      </c>
      <c r="ED14" s="5">
        <f>IF(預測IC!ED14&gt;預測IC!ED$26,1,0)</f>
        <v>0</v>
      </c>
      <c r="EE14" s="5">
        <f>IF(預測IC!EE14&gt;預測IC!EE$26,1,0)</f>
        <v>0</v>
      </c>
      <c r="EF14" s="5">
        <f>IF(預測IC!EH14&gt;預測IC!EF$26,1,0)</f>
        <v>1</v>
      </c>
      <c r="EG14" s="7">
        <f t="shared" si="10"/>
        <v>61</v>
      </c>
      <c r="EH14" s="7">
        <f t="shared" si="11"/>
        <v>0.45522388059701491</v>
      </c>
    </row>
    <row r="15" spans="1:138">
      <c r="A15" s="1">
        <v>100</v>
      </c>
      <c r="B15" s="1">
        <v>10</v>
      </c>
      <c r="C15" s="5">
        <f>IF(預測IC!C15&gt;預測IC!C$26,1,0)</f>
        <v>0</v>
      </c>
      <c r="D15" s="5">
        <f>IF(預測IC!D15&gt;預測IC!D$26,1,0)</f>
        <v>1</v>
      </c>
      <c r="E15" s="5">
        <f>IF(預測IC!E15&gt;預測IC!E$26,1,0)</f>
        <v>0</v>
      </c>
      <c r="F15" s="5">
        <f>IF(預測IC!F15&gt;預測IC!F$26,1,0)</f>
        <v>1</v>
      </c>
      <c r="G15" s="5">
        <f>IF(預測IC!G15&gt;預測IC!G$26,1,0)</f>
        <v>0</v>
      </c>
      <c r="H15" s="5">
        <f>IF(預測IC!H15&gt;預測IC!H$26,1,0)</f>
        <v>0</v>
      </c>
      <c r="I15" s="5">
        <f>IF(預測IC!I15&gt;預測IC!I$26,1,0)</f>
        <v>0</v>
      </c>
      <c r="J15" s="5">
        <f>IF(預測IC!J15&gt;預測IC!J$26,1,0)</f>
        <v>1</v>
      </c>
      <c r="K15" s="5">
        <f>IF(預測IC!K15&gt;預測IC!K$26,1,0)</f>
        <v>1</v>
      </c>
      <c r="L15" s="5">
        <f>IF(預測IC!L15&gt;預測IC!L$26,1,0)</f>
        <v>0</v>
      </c>
      <c r="M15" s="5">
        <f>IF(預測IC!M15&gt;預測IC!M$26,1,0)</f>
        <v>0</v>
      </c>
      <c r="N15" s="5">
        <f>IF(預測IC!N15&gt;預測IC!N$26,1,0)</f>
        <v>1</v>
      </c>
      <c r="O15" s="5">
        <f>IF(預測IC!O15&gt;預測IC!O$26,1,0)</f>
        <v>1</v>
      </c>
      <c r="P15" s="5">
        <f>IF(預測IC!P15&gt;預測IC!P$26,1,0)</f>
        <v>0</v>
      </c>
      <c r="Q15" s="5">
        <f>IF(預測IC!Q15&gt;預測IC!Q$26,1,0)</f>
        <v>1</v>
      </c>
      <c r="R15" s="5">
        <f>IF(預測IC!R15&gt;預測IC!R$26,1,0)</f>
        <v>1</v>
      </c>
      <c r="S15" s="5">
        <f>IF(預測IC!S15&gt;預測IC!S$26,1,0)</f>
        <v>1</v>
      </c>
      <c r="T15" s="5">
        <f>IF(預測IC!T15&gt;預測IC!T$26,1,0)</f>
        <v>1</v>
      </c>
      <c r="U15" s="5">
        <f>IF(預測IC!U15&gt;預測IC!U$26,1,0)</f>
        <v>1</v>
      </c>
      <c r="V15" s="5">
        <f>IF(預測IC!V15&gt;預測IC!V$26,1,0)</f>
        <v>1</v>
      </c>
      <c r="W15" s="5">
        <f>IF(預測IC!W15&gt;預測IC!W$26,1,0)</f>
        <v>1</v>
      </c>
      <c r="X15" s="5">
        <f>IF(預測IC!X15&gt;預測IC!X$26,1,0)</f>
        <v>1</v>
      </c>
      <c r="Y15" s="5">
        <f>IF(預測IC!Y15&gt;預測IC!Y$26,1,0)</f>
        <v>1</v>
      </c>
      <c r="Z15" s="5">
        <f>IF(預測IC!Z15&gt;預測IC!Z$26,1,0)</f>
        <v>1</v>
      </c>
      <c r="AA15" s="5">
        <f>IF(預測IC!AA15&gt;預測IC!AA$26,1,0)</f>
        <v>0</v>
      </c>
      <c r="AB15" s="5">
        <f>IF(預測IC!AB15&gt;預測IC!AB$26,1,0)</f>
        <v>0</v>
      </c>
      <c r="AC15" s="5">
        <f>IF(預測IC!AC15&gt;預測IC!AC$26,1,0)</f>
        <v>0</v>
      </c>
      <c r="AD15" s="5">
        <f>IF(預測IC!AD15&gt;預測IC!AD$26,1,0)</f>
        <v>0</v>
      </c>
      <c r="AE15" s="5">
        <f>IF(預測IC!AE15&gt;預測IC!AE$26,1,0)</f>
        <v>1</v>
      </c>
      <c r="AF15" s="5">
        <f>IF(預測IC!AF15&gt;預測IC!AF$26,1,0)</f>
        <v>0</v>
      </c>
      <c r="AG15" s="5">
        <f>IF(預測IC!AG15&gt;預測IC!AG$26,1,0)</f>
        <v>0</v>
      </c>
      <c r="AH15" s="5">
        <f>IF(預測IC!AH15&gt;預測IC!AH$26,1,0)</f>
        <v>1</v>
      </c>
      <c r="AI15" s="5">
        <f>IF(預測IC!AI15&gt;預測IC!AI$26,1,0)</f>
        <v>0</v>
      </c>
      <c r="AJ15" s="5">
        <f>IF(預測IC!AJ15&gt;預測IC!AJ$26,1,0)</f>
        <v>0</v>
      </c>
      <c r="AK15" s="5">
        <f>IF(預測IC!AK15&gt;預測IC!AK$26,1,0)</f>
        <v>0</v>
      </c>
      <c r="AL15" s="5">
        <f>IF(預測IC!AL15&gt;預測IC!AL$26,1,0)</f>
        <v>1</v>
      </c>
      <c r="AM15" s="5">
        <f>IF(預測IC!AM15&gt;預測IC!AM$26,1,0)</f>
        <v>1</v>
      </c>
      <c r="AN15" s="5">
        <f>IF(預測IC!AN15&gt;預測IC!AN$26,1,0)</f>
        <v>1</v>
      </c>
      <c r="AO15" s="5">
        <f>IF(預測IC!AO15&gt;預測IC!AO$26,1,0)</f>
        <v>0</v>
      </c>
      <c r="AP15" s="5">
        <f>IF(預測IC!AP15&gt;預測IC!AP$26,1,0)</f>
        <v>0</v>
      </c>
      <c r="AQ15" s="5">
        <f>IF(預測IC!AQ15&gt;預測IC!AQ$26,1,0)</f>
        <v>1</v>
      </c>
      <c r="AR15" s="5">
        <f>IF(預測IC!AR15&gt;預測IC!AR$26,1,0)</f>
        <v>0</v>
      </c>
      <c r="AS15" s="5">
        <f>IF(預測IC!AS15&gt;預測IC!AS$26,1,0)</f>
        <v>1</v>
      </c>
      <c r="AT15" s="5">
        <f>IF(預測IC!AT15&gt;預測IC!AT$26,1,0)</f>
        <v>1</v>
      </c>
      <c r="AU15" s="5">
        <f>IF(預測IC!AU15&gt;預測IC!AU$26,1,0)</f>
        <v>1</v>
      </c>
      <c r="AV15" s="5">
        <f>IF(預測IC!AV15&gt;預測IC!AV$26,1,0)</f>
        <v>0</v>
      </c>
      <c r="AW15" s="5">
        <f>IF(預測IC!AW15&gt;預測IC!AW$26,1,0)</f>
        <v>1</v>
      </c>
      <c r="AX15" s="5">
        <f>IF(預測IC!AX15&gt;預測IC!AX$26,1,0)</f>
        <v>0</v>
      </c>
      <c r="AY15" s="5">
        <f>IF(預測IC!AY15&gt;預測IC!AY$26,1,0)</f>
        <v>0</v>
      </c>
      <c r="AZ15" s="5">
        <f>IF(預測IC!AZ15&gt;預測IC!AZ$26,1,0)</f>
        <v>0</v>
      </c>
      <c r="BA15" s="5">
        <f>IF(預測IC!BA15&gt;預測IC!BA$26,1,0)</f>
        <v>1</v>
      </c>
      <c r="BB15" s="5">
        <f>IF(預測IC!BB15&gt;預測IC!BB$26,1,0)</f>
        <v>1</v>
      </c>
      <c r="BC15" s="5">
        <f>IF(預測IC!BC15&gt;預測IC!BC$26,1,0)</f>
        <v>1</v>
      </c>
      <c r="BD15" s="5">
        <f>IF(預測IC!BD15&gt;預測IC!BD$26,1,0)</f>
        <v>1</v>
      </c>
      <c r="BE15" s="5">
        <f>IF(預測IC!BE15&gt;預測IC!BE$26,1,0)</f>
        <v>0</v>
      </c>
      <c r="BF15" s="5">
        <f>IF(預測IC!BF15&gt;預測IC!BF$26,1,0)</f>
        <v>1</v>
      </c>
      <c r="BG15" s="5">
        <f>IF(預測IC!BG15&gt;預測IC!BG$26,1,0)</f>
        <v>1</v>
      </c>
      <c r="BH15" s="5">
        <f>IF(預測IC!BH15&gt;預測IC!BH$26,1,0)</f>
        <v>1</v>
      </c>
      <c r="BI15" s="5">
        <f>IF(預測IC!BI15&gt;預測IC!BI$26,1,0)</f>
        <v>1</v>
      </c>
      <c r="BJ15" s="5">
        <f>IF(預測IC!BJ15&gt;預測IC!BJ$26,1,0)</f>
        <v>1</v>
      </c>
      <c r="BK15" s="5">
        <f>IF(預測IC!BK15&gt;預測IC!BK$26,1,0)</f>
        <v>1</v>
      </c>
      <c r="BL15" s="5">
        <f>IF(預測IC!BL15&gt;預測IC!BL$26,1,0)</f>
        <v>1</v>
      </c>
      <c r="BM15" s="5">
        <f>IF(預測IC!BM15&gt;預測IC!BM$26,1,0)</f>
        <v>1</v>
      </c>
      <c r="BN15" s="5">
        <f>IF(預測IC!BN15&gt;預測IC!BN$26,1,0)</f>
        <v>1</v>
      </c>
      <c r="BO15" s="5">
        <f>IF(預測IC!BO15&gt;預測IC!BO$26,1,0)</f>
        <v>1</v>
      </c>
      <c r="BP15" s="5">
        <f>IF(預測IC!BP15&gt;預測IC!BP$26,1,0)</f>
        <v>0</v>
      </c>
      <c r="BQ15" s="5">
        <f>IF(預測IC!BQ15&gt;預測IC!BQ$26,1,0)</f>
        <v>0</v>
      </c>
      <c r="BR15" s="5">
        <f>IF(預測IC!BR15&gt;預測IC!BR$26,1,0)</f>
        <v>0</v>
      </c>
      <c r="BS15" s="5">
        <f>IF(預測IC!BS15&gt;預測IC!BS$26,1,0)</f>
        <v>0</v>
      </c>
      <c r="BT15" s="5">
        <f>IF(預測IC!BT15&gt;預測IC!BT$26,1,0)</f>
        <v>0</v>
      </c>
      <c r="BU15" s="5">
        <f>IF(預測IC!BU15&gt;預測IC!BU$26,1,0)</f>
        <v>1</v>
      </c>
      <c r="BV15" s="5">
        <f>IF(預測IC!BV15&gt;預測IC!BV$26,1,0)</f>
        <v>0</v>
      </c>
      <c r="BW15" s="5">
        <f>IF(預測IC!BW15&gt;預測IC!BW$26,1,0)</f>
        <v>1</v>
      </c>
      <c r="BX15" s="5">
        <f>IF(預測IC!BX15&gt;預測IC!BX$26,1,0)</f>
        <v>0</v>
      </c>
      <c r="BY15" s="5">
        <f>IF(預測IC!BY15&gt;預測IC!BY$26,1,0)</f>
        <v>1</v>
      </c>
      <c r="BZ15" s="5">
        <f>IF(預測IC!BZ15&gt;預測IC!BZ$26,1,0)</f>
        <v>0</v>
      </c>
      <c r="CA15" s="5">
        <f>IF(預測IC!CA15&gt;預測IC!CA$26,1,0)</f>
        <v>0</v>
      </c>
      <c r="CB15" s="5">
        <f>IF(預測IC!CB15&gt;預測IC!CB$26,1,0)</f>
        <v>0</v>
      </c>
      <c r="CC15" s="5">
        <f>IF(預測IC!CC15&gt;預測IC!CC$26,1,0)</f>
        <v>1</v>
      </c>
      <c r="CD15" s="5">
        <f>IF(預測IC!CD15&gt;預測IC!CD$26,1,0)</f>
        <v>0</v>
      </c>
      <c r="CE15" s="5">
        <f>IF(預測IC!CE15&gt;預測IC!CE$26,1,0)</f>
        <v>0</v>
      </c>
      <c r="CF15" s="5">
        <f>IF(預測IC!CF15&gt;預測IC!CF$26,1,0)</f>
        <v>1</v>
      </c>
      <c r="CG15" s="5">
        <f>IF(預測IC!CG15&gt;預測IC!CG$26,1,0)</f>
        <v>0</v>
      </c>
      <c r="CH15" s="5">
        <f>IF(預測IC!CH15&gt;預測IC!CH$26,1,0)</f>
        <v>1</v>
      </c>
      <c r="CI15" s="5">
        <f>IF(預測IC!CI15&gt;預測IC!CI$26,1,0)</f>
        <v>0</v>
      </c>
      <c r="CJ15" s="5">
        <f>IF(預測IC!CJ15&gt;預測IC!CJ$26,1,0)</f>
        <v>1</v>
      </c>
      <c r="CK15" s="5">
        <f>IF(預測IC!CK15&gt;預測IC!CK$26,1,0)</f>
        <v>1</v>
      </c>
      <c r="CL15" s="5">
        <f>IF(預測IC!CL15&gt;預測IC!CL$26,1,0)</f>
        <v>0</v>
      </c>
      <c r="CM15" s="5">
        <f>IF(預測IC!CM15&gt;預測IC!CM$26,1,0)</f>
        <v>1</v>
      </c>
      <c r="CN15" s="5">
        <f>IF(預測IC!CN15&gt;預測IC!CN$26,1,0)</f>
        <v>1</v>
      </c>
      <c r="CO15" s="5">
        <f>IF(預測IC!CO15&gt;預測IC!CO$26,1,0)</f>
        <v>0</v>
      </c>
      <c r="CP15" s="5">
        <f>IF(預測IC!CP15&gt;預測IC!CP$26,1,0)</f>
        <v>0</v>
      </c>
      <c r="CQ15" s="5">
        <f>IF(預測IC!CQ15&gt;預測IC!CQ$26,1,0)</f>
        <v>1</v>
      </c>
      <c r="CR15" s="5">
        <f>IF(預測IC!CR15&gt;預測IC!CR$26,1,0)</f>
        <v>0</v>
      </c>
      <c r="CS15" s="5">
        <f>IF(預測IC!CS15&gt;預測IC!CS$26,1,0)</f>
        <v>0</v>
      </c>
      <c r="CT15" s="5">
        <f>IF(預測IC!CT15&gt;預測IC!CT$26,1,0)</f>
        <v>0</v>
      </c>
      <c r="CU15" s="5">
        <f>IF(預測IC!CU15&gt;預測IC!CU$26,1,0)</f>
        <v>1</v>
      </c>
      <c r="CV15" s="5">
        <f>IF(預測IC!CV15&gt;預測IC!CV$26,1,0)</f>
        <v>0</v>
      </c>
      <c r="CW15" s="5">
        <f>IF(預測IC!CW15&gt;預測IC!CW$26,1,0)</f>
        <v>1</v>
      </c>
      <c r="CX15" s="5">
        <f>IF(預測IC!CX15&gt;預測IC!CX$26,1,0)</f>
        <v>0</v>
      </c>
      <c r="CY15" s="5">
        <f>IF(預測IC!CY15&gt;預測IC!CY$26,1,0)</f>
        <v>0</v>
      </c>
      <c r="CZ15" s="5">
        <f>IF(預測IC!CZ15&gt;預測IC!CZ$26,1,0)</f>
        <v>1</v>
      </c>
      <c r="DA15" s="5">
        <f>IF(預測IC!DA15&gt;預測IC!DA$26,1,0)</f>
        <v>0</v>
      </c>
      <c r="DB15" s="5">
        <f>IF(預測IC!DB15&gt;預測IC!DB$26,1,0)</f>
        <v>1</v>
      </c>
      <c r="DC15" s="5">
        <f>IF(預測IC!DC15&gt;預測IC!DC$26,1,0)</f>
        <v>1</v>
      </c>
      <c r="DD15" s="5">
        <f>IF(預測IC!DD15&gt;預測IC!DD$26,1,0)</f>
        <v>1</v>
      </c>
      <c r="DE15" s="5">
        <f>IF(預測IC!DE15&gt;預測IC!DE$26,1,0)</f>
        <v>0</v>
      </c>
      <c r="DF15" s="5">
        <f>IF(預測IC!DF15&gt;預測IC!DF$26,1,0)</f>
        <v>1</v>
      </c>
      <c r="DG15" s="5">
        <f>IF(預測IC!DG15&gt;預測IC!DG$26,1,0)</f>
        <v>1</v>
      </c>
      <c r="DH15" s="5">
        <f>IF(預測IC!DH15&gt;預測IC!DH$26,1,0)</f>
        <v>0</v>
      </c>
      <c r="DI15" s="5">
        <f>IF(預測IC!DI15&gt;預測IC!DI$26,1,0)</f>
        <v>1</v>
      </c>
      <c r="DJ15" s="5">
        <f>IF(預測IC!DJ15&gt;預測IC!DJ$26,1,0)</f>
        <v>0</v>
      </c>
      <c r="DK15" s="5">
        <f>IF(預測IC!DK15&gt;預測IC!DK$26,1,0)</f>
        <v>0</v>
      </c>
      <c r="DL15" s="5">
        <f>IF(預測IC!DL15&gt;預測IC!DL$26,1,0)</f>
        <v>0</v>
      </c>
      <c r="DM15" s="5">
        <f>IF(預測IC!DM15&gt;預測IC!DM$26,1,0)</f>
        <v>1</v>
      </c>
      <c r="DN15" s="5">
        <f>IF(預測IC!DN15&gt;預測IC!DN$26,1,0)</f>
        <v>1</v>
      </c>
      <c r="DO15" s="5">
        <f>IF(預測IC!DO15&gt;預測IC!DO$26,1,0)</f>
        <v>1</v>
      </c>
      <c r="DP15" s="5">
        <f>IF(預測IC!DP15&gt;預測IC!DP$26,1,0)</f>
        <v>1</v>
      </c>
      <c r="DQ15" s="5">
        <f>IF(預測IC!DQ15&gt;預測IC!DQ$26,1,0)</f>
        <v>0</v>
      </c>
      <c r="DR15" s="5">
        <f>IF(預測IC!DR15&gt;預測IC!DR$26,1,0)</f>
        <v>0</v>
      </c>
      <c r="DS15" s="5">
        <f>IF(預測IC!DS15&gt;預測IC!DS$26,1,0)</f>
        <v>0</v>
      </c>
      <c r="DT15" s="5">
        <f>IF(預測IC!DT15&gt;預測IC!DT$26,1,0)</f>
        <v>0</v>
      </c>
      <c r="DU15" s="5">
        <f>IF(預測IC!DU15&gt;預測IC!DU$26,1,0)</f>
        <v>0</v>
      </c>
      <c r="DV15" s="5">
        <f>IF(預測IC!DV15&gt;預測IC!DV$26,1,0)</f>
        <v>0</v>
      </c>
      <c r="DW15" s="5">
        <f>IF(預測IC!DW15&gt;預測IC!DW$26,1,0)</f>
        <v>0</v>
      </c>
      <c r="DX15" s="5">
        <f>IF(預測IC!DX15&gt;預測IC!DX$26,1,0)</f>
        <v>0</v>
      </c>
      <c r="DY15" s="5">
        <f>IF(預測IC!DY15&gt;預測IC!DY$26,1,0)</f>
        <v>0</v>
      </c>
      <c r="DZ15" s="5">
        <f>IF(預測IC!DZ15&gt;預測IC!DZ$26,1,0)</f>
        <v>1</v>
      </c>
      <c r="EA15" s="5">
        <f>IF(預測IC!EA15&gt;預測IC!EA$26,1,0)</f>
        <v>1</v>
      </c>
      <c r="EB15" s="5">
        <f>IF(預測IC!EB15&gt;預測IC!EB$26,1,0)</f>
        <v>1</v>
      </c>
      <c r="EC15" s="5">
        <f>IF(預測IC!EC15&gt;預測IC!EC$26,1,0)</f>
        <v>0</v>
      </c>
      <c r="ED15" s="5">
        <f>IF(預測IC!ED15&gt;預測IC!ED$26,1,0)</f>
        <v>0</v>
      </c>
      <c r="EE15" s="5">
        <f>IF(預測IC!EE15&gt;預測IC!EE$26,1,0)</f>
        <v>0</v>
      </c>
      <c r="EF15" s="5">
        <f>IF(預測IC!EH15&gt;預測IC!EF$26,1,0)</f>
        <v>1</v>
      </c>
      <c r="EG15" s="7">
        <f t="shared" si="10"/>
        <v>68</v>
      </c>
      <c r="EH15" s="10">
        <f t="shared" si="11"/>
        <v>0.5074626865671642</v>
      </c>
    </row>
    <row r="16" spans="1:138">
      <c r="A16" s="1">
        <v>107</v>
      </c>
      <c r="B16" s="1">
        <v>9</v>
      </c>
      <c r="C16" s="5">
        <f>IF(預測IC!C16&gt;預測IC!C$26,1,0)</f>
        <v>0</v>
      </c>
      <c r="D16" s="5">
        <f>IF(預測IC!D16&gt;預測IC!D$26,1,0)</f>
        <v>1</v>
      </c>
      <c r="E16" s="5">
        <f>IF(預測IC!E16&gt;預測IC!E$26,1,0)</f>
        <v>0</v>
      </c>
      <c r="F16" s="5">
        <f>IF(預測IC!F16&gt;預測IC!F$26,1,0)</f>
        <v>1</v>
      </c>
      <c r="G16" s="5">
        <f>IF(預測IC!G16&gt;預測IC!G$26,1,0)</f>
        <v>0</v>
      </c>
      <c r="H16" s="5">
        <f>IF(預測IC!H16&gt;預測IC!H$26,1,0)</f>
        <v>0</v>
      </c>
      <c r="I16" s="5">
        <f>IF(預測IC!I16&gt;預測IC!I$26,1,0)</f>
        <v>0</v>
      </c>
      <c r="J16" s="5">
        <f>IF(預測IC!J16&gt;預測IC!J$26,1,0)</f>
        <v>1</v>
      </c>
      <c r="K16" s="5">
        <f>IF(預測IC!K16&gt;預測IC!K$26,1,0)</f>
        <v>1</v>
      </c>
      <c r="L16" s="5">
        <f>IF(預測IC!L16&gt;預測IC!L$26,1,0)</f>
        <v>0</v>
      </c>
      <c r="M16" s="5">
        <f>IF(預測IC!M16&gt;預測IC!M$26,1,0)</f>
        <v>0</v>
      </c>
      <c r="N16" s="5">
        <f>IF(預測IC!N16&gt;預測IC!N$26,1,0)</f>
        <v>1</v>
      </c>
      <c r="O16" s="5">
        <f>IF(預測IC!O16&gt;預測IC!O$26,1,0)</f>
        <v>1</v>
      </c>
      <c r="P16" s="5">
        <f>IF(預測IC!P16&gt;預測IC!P$26,1,0)</f>
        <v>0</v>
      </c>
      <c r="Q16" s="5">
        <f>IF(預測IC!Q16&gt;預測IC!Q$26,1,0)</f>
        <v>1</v>
      </c>
      <c r="R16" s="5">
        <f>IF(預測IC!R16&gt;預測IC!R$26,1,0)</f>
        <v>1</v>
      </c>
      <c r="S16" s="5">
        <f>IF(預測IC!S16&gt;預測IC!S$26,1,0)</f>
        <v>1</v>
      </c>
      <c r="T16" s="5">
        <f>IF(預測IC!T16&gt;預測IC!T$26,1,0)</f>
        <v>1</v>
      </c>
      <c r="U16" s="5">
        <f>IF(預測IC!U16&gt;預測IC!U$26,1,0)</f>
        <v>1</v>
      </c>
      <c r="V16" s="5">
        <f>IF(預測IC!V16&gt;預測IC!V$26,1,0)</f>
        <v>1</v>
      </c>
      <c r="W16" s="5">
        <f>IF(預測IC!W16&gt;預測IC!W$26,1,0)</f>
        <v>1</v>
      </c>
      <c r="X16" s="5">
        <f>IF(預測IC!X16&gt;預測IC!X$26,1,0)</f>
        <v>1</v>
      </c>
      <c r="Y16" s="5">
        <f>IF(預測IC!Y16&gt;預測IC!Y$26,1,0)</f>
        <v>1</v>
      </c>
      <c r="Z16" s="5">
        <f>IF(預測IC!Z16&gt;預測IC!Z$26,1,0)</f>
        <v>1</v>
      </c>
      <c r="AA16" s="5">
        <f>IF(預測IC!AA16&gt;預測IC!AA$26,1,0)</f>
        <v>0</v>
      </c>
      <c r="AB16" s="5">
        <f>IF(預測IC!AB16&gt;預測IC!AB$26,1,0)</f>
        <v>0</v>
      </c>
      <c r="AC16" s="5">
        <f>IF(預測IC!AC16&gt;預測IC!AC$26,1,0)</f>
        <v>0</v>
      </c>
      <c r="AD16" s="5">
        <f>IF(預測IC!AD16&gt;預測IC!AD$26,1,0)</f>
        <v>0</v>
      </c>
      <c r="AE16" s="5">
        <f>IF(預測IC!AE16&gt;預測IC!AE$26,1,0)</f>
        <v>1</v>
      </c>
      <c r="AF16" s="5">
        <f>IF(預測IC!AF16&gt;預測IC!AF$26,1,0)</f>
        <v>0</v>
      </c>
      <c r="AG16" s="5">
        <f>IF(預測IC!AG16&gt;預測IC!AG$26,1,0)</f>
        <v>0</v>
      </c>
      <c r="AH16" s="5">
        <f>IF(預測IC!AH16&gt;預測IC!AH$26,1,0)</f>
        <v>1</v>
      </c>
      <c r="AI16" s="5">
        <f>IF(預測IC!AI16&gt;預測IC!AI$26,1,0)</f>
        <v>0</v>
      </c>
      <c r="AJ16" s="5">
        <f>IF(預測IC!AJ16&gt;預測IC!AJ$26,1,0)</f>
        <v>0</v>
      </c>
      <c r="AK16" s="5">
        <f>IF(預測IC!AK16&gt;預測IC!AK$26,1,0)</f>
        <v>0</v>
      </c>
      <c r="AL16" s="5">
        <f>IF(預測IC!AL16&gt;預測IC!AL$26,1,0)</f>
        <v>1</v>
      </c>
      <c r="AM16" s="5">
        <f>IF(預測IC!AM16&gt;預測IC!AM$26,1,0)</f>
        <v>1</v>
      </c>
      <c r="AN16" s="5">
        <f>IF(預測IC!AN16&gt;預測IC!AN$26,1,0)</f>
        <v>1</v>
      </c>
      <c r="AO16" s="5">
        <f>IF(預測IC!AO16&gt;預測IC!AO$26,1,0)</f>
        <v>0</v>
      </c>
      <c r="AP16" s="5">
        <f>IF(預測IC!AP16&gt;預測IC!AP$26,1,0)</f>
        <v>0</v>
      </c>
      <c r="AQ16" s="5">
        <f>IF(預測IC!AQ16&gt;預測IC!AQ$26,1,0)</f>
        <v>1</v>
      </c>
      <c r="AR16" s="5">
        <f>IF(預測IC!AR16&gt;預測IC!AR$26,1,0)</f>
        <v>0</v>
      </c>
      <c r="AS16" s="5">
        <f>IF(預測IC!AS16&gt;預測IC!AS$26,1,0)</f>
        <v>1</v>
      </c>
      <c r="AT16" s="5">
        <f>IF(預測IC!AT16&gt;預測IC!AT$26,1,0)</f>
        <v>1</v>
      </c>
      <c r="AU16" s="5">
        <f>IF(預測IC!AU16&gt;預測IC!AU$26,1,0)</f>
        <v>1</v>
      </c>
      <c r="AV16" s="5">
        <f>IF(預測IC!AV16&gt;預測IC!AV$26,1,0)</f>
        <v>0</v>
      </c>
      <c r="AW16" s="5">
        <f>IF(預測IC!AW16&gt;預測IC!AW$26,1,0)</f>
        <v>0</v>
      </c>
      <c r="AX16" s="5">
        <f>IF(預測IC!AX16&gt;預測IC!AX$26,1,0)</f>
        <v>0</v>
      </c>
      <c r="AY16" s="5">
        <f>IF(預測IC!AY16&gt;預測IC!AY$26,1,0)</f>
        <v>0</v>
      </c>
      <c r="AZ16" s="5">
        <f>IF(預測IC!AZ16&gt;預測IC!AZ$26,1,0)</f>
        <v>0</v>
      </c>
      <c r="BA16" s="5">
        <f>IF(預測IC!BA16&gt;預測IC!BA$26,1,0)</f>
        <v>1</v>
      </c>
      <c r="BB16" s="5">
        <f>IF(預測IC!BB16&gt;預測IC!BB$26,1,0)</f>
        <v>1</v>
      </c>
      <c r="BC16" s="5">
        <f>IF(預測IC!BC16&gt;預測IC!BC$26,1,0)</f>
        <v>1</v>
      </c>
      <c r="BD16" s="5">
        <f>IF(預測IC!BD16&gt;預測IC!BD$26,1,0)</f>
        <v>1</v>
      </c>
      <c r="BE16" s="5">
        <f>IF(預測IC!BE16&gt;預測IC!BE$26,1,0)</f>
        <v>0</v>
      </c>
      <c r="BF16" s="5">
        <f>IF(預測IC!BF16&gt;預測IC!BF$26,1,0)</f>
        <v>1</v>
      </c>
      <c r="BG16" s="5">
        <f>IF(預測IC!BG16&gt;預測IC!BG$26,1,0)</f>
        <v>1</v>
      </c>
      <c r="BH16" s="5">
        <f>IF(預測IC!BH16&gt;預測IC!BH$26,1,0)</f>
        <v>1</v>
      </c>
      <c r="BI16" s="5">
        <f>IF(預測IC!BI16&gt;預測IC!BI$26,1,0)</f>
        <v>1</v>
      </c>
      <c r="BJ16" s="5">
        <f>IF(預測IC!BJ16&gt;預測IC!BJ$26,1,0)</f>
        <v>1</v>
      </c>
      <c r="BK16" s="5">
        <f>IF(預測IC!BK16&gt;預測IC!BK$26,1,0)</f>
        <v>1</v>
      </c>
      <c r="BL16" s="5">
        <f>IF(預測IC!BL16&gt;預測IC!BL$26,1,0)</f>
        <v>1</v>
      </c>
      <c r="BM16" s="5">
        <f>IF(預測IC!BM16&gt;預測IC!BM$26,1,0)</f>
        <v>1</v>
      </c>
      <c r="BN16" s="5">
        <f>IF(預測IC!BN16&gt;預測IC!BN$26,1,0)</f>
        <v>1</v>
      </c>
      <c r="BO16" s="5">
        <f>IF(預測IC!BO16&gt;預測IC!BO$26,1,0)</f>
        <v>1</v>
      </c>
      <c r="BP16" s="5">
        <f>IF(預測IC!BP16&gt;預測IC!BP$26,1,0)</f>
        <v>0</v>
      </c>
      <c r="BQ16" s="5">
        <f>IF(預測IC!BQ16&gt;預測IC!BQ$26,1,0)</f>
        <v>0</v>
      </c>
      <c r="BR16" s="5">
        <f>IF(預測IC!BR16&gt;預測IC!BR$26,1,0)</f>
        <v>0</v>
      </c>
      <c r="BS16" s="5">
        <f>IF(預測IC!BS16&gt;預測IC!BS$26,1,0)</f>
        <v>0</v>
      </c>
      <c r="BT16" s="5">
        <f>IF(預測IC!BT16&gt;預測IC!BT$26,1,0)</f>
        <v>0</v>
      </c>
      <c r="BU16" s="5">
        <f>IF(預測IC!BU16&gt;預測IC!BU$26,1,0)</f>
        <v>1</v>
      </c>
      <c r="BV16" s="5">
        <f>IF(預測IC!BV16&gt;預測IC!BV$26,1,0)</f>
        <v>0</v>
      </c>
      <c r="BW16" s="5">
        <f>IF(預測IC!BW16&gt;預測IC!BW$26,1,0)</f>
        <v>1</v>
      </c>
      <c r="BX16" s="5">
        <f>IF(預測IC!BX16&gt;預測IC!BX$26,1,0)</f>
        <v>0</v>
      </c>
      <c r="BY16" s="5">
        <f>IF(預測IC!BY16&gt;預測IC!BY$26,1,0)</f>
        <v>1</v>
      </c>
      <c r="BZ16" s="5">
        <f>IF(預測IC!BZ16&gt;預測IC!BZ$26,1,0)</f>
        <v>0</v>
      </c>
      <c r="CA16" s="5">
        <f>IF(預測IC!CA16&gt;預測IC!CA$26,1,0)</f>
        <v>0</v>
      </c>
      <c r="CB16" s="5">
        <f>IF(預測IC!CB16&gt;預測IC!CB$26,1,0)</f>
        <v>0</v>
      </c>
      <c r="CC16" s="5">
        <f>IF(預測IC!CC16&gt;預測IC!CC$26,1,0)</f>
        <v>0</v>
      </c>
      <c r="CD16" s="5">
        <f>IF(預測IC!CD16&gt;預測IC!CD$26,1,0)</f>
        <v>0</v>
      </c>
      <c r="CE16" s="5">
        <f>IF(預測IC!CE16&gt;預測IC!CE$26,1,0)</f>
        <v>0</v>
      </c>
      <c r="CF16" s="5">
        <f>IF(預測IC!CF16&gt;預測IC!CF$26,1,0)</f>
        <v>1</v>
      </c>
      <c r="CG16" s="5">
        <f>IF(預測IC!CG16&gt;預測IC!CG$26,1,0)</f>
        <v>0</v>
      </c>
      <c r="CH16" s="5">
        <f>IF(預測IC!CH16&gt;預測IC!CH$26,1,0)</f>
        <v>0</v>
      </c>
      <c r="CI16" s="5">
        <f>IF(預測IC!CI16&gt;預測IC!CI$26,1,0)</f>
        <v>0</v>
      </c>
      <c r="CJ16" s="5">
        <f>IF(預測IC!CJ16&gt;預測IC!CJ$26,1,0)</f>
        <v>0</v>
      </c>
      <c r="CK16" s="5">
        <f>IF(預測IC!CK16&gt;預測IC!CK$26,1,0)</f>
        <v>1</v>
      </c>
      <c r="CL16" s="5">
        <f>IF(預測IC!CL16&gt;預測IC!CL$26,1,0)</f>
        <v>0</v>
      </c>
      <c r="CM16" s="5">
        <f>IF(預測IC!CM16&gt;預測IC!CM$26,1,0)</f>
        <v>1</v>
      </c>
      <c r="CN16" s="5">
        <f>IF(預測IC!CN16&gt;預測IC!CN$26,1,0)</f>
        <v>0</v>
      </c>
      <c r="CO16" s="5">
        <f>IF(預測IC!CO16&gt;預測IC!CO$26,1,0)</f>
        <v>0</v>
      </c>
      <c r="CP16" s="5">
        <f>IF(預測IC!CP16&gt;預測IC!CP$26,1,0)</f>
        <v>0</v>
      </c>
      <c r="CQ16" s="5">
        <f>IF(預測IC!CQ16&gt;預測IC!CQ$26,1,0)</f>
        <v>1</v>
      </c>
      <c r="CR16" s="5">
        <f>IF(預測IC!CR16&gt;預測IC!CR$26,1,0)</f>
        <v>0</v>
      </c>
      <c r="CS16" s="5">
        <f>IF(預測IC!CS16&gt;預測IC!CS$26,1,0)</f>
        <v>0</v>
      </c>
      <c r="CT16" s="5">
        <f>IF(預測IC!CT16&gt;預測IC!CT$26,1,0)</f>
        <v>0</v>
      </c>
      <c r="CU16" s="5">
        <f>IF(預測IC!CU16&gt;預測IC!CU$26,1,0)</f>
        <v>1</v>
      </c>
      <c r="CV16" s="5">
        <f>IF(預測IC!CV16&gt;預測IC!CV$26,1,0)</f>
        <v>0</v>
      </c>
      <c r="CW16" s="5">
        <f>IF(預測IC!CW16&gt;預測IC!CW$26,1,0)</f>
        <v>1</v>
      </c>
      <c r="CX16" s="5">
        <f>IF(預測IC!CX16&gt;預測IC!CX$26,1,0)</f>
        <v>0</v>
      </c>
      <c r="CY16" s="5">
        <f>IF(預測IC!CY16&gt;預測IC!CY$26,1,0)</f>
        <v>0</v>
      </c>
      <c r="CZ16" s="5">
        <f>IF(預測IC!CZ16&gt;預測IC!CZ$26,1,0)</f>
        <v>1</v>
      </c>
      <c r="DA16" s="5">
        <f>IF(預測IC!DA16&gt;預測IC!DA$26,1,0)</f>
        <v>0</v>
      </c>
      <c r="DB16" s="5">
        <f>IF(預測IC!DB16&gt;預測IC!DB$26,1,0)</f>
        <v>1</v>
      </c>
      <c r="DC16" s="5">
        <f>IF(預測IC!DC16&gt;預測IC!DC$26,1,0)</f>
        <v>1</v>
      </c>
      <c r="DD16" s="5">
        <f>IF(預測IC!DD16&gt;預測IC!DD$26,1,0)</f>
        <v>1</v>
      </c>
      <c r="DE16" s="5">
        <f>IF(預測IC!DE16&gt;預測IC!DE$26,1,0)</f>
        <v>0</v>
      </c>
      <c r="DF16" s="5">
        <f>IF(預測IC!DF16&gt;預測IC!DF$26,1,0)</f>
        <v>1</v>
      </c>
      <c r="DG16" s="5">
        <f>IF(預測IC!DG16&gt;預測IC!DG$26,1,0)</f>
        <v>1</v>
      </c>
      <c r="DH16" s="5">
        <f>IF(預測IC!DH16&gt;預測IC!DH$26,1,0)</f>
        <v>0</v>
      </c>
      <c r="DI16" s="5">
        <f>IF(預測IC!DI16&gt;預測IC!DI$26,1,0)</f>
        <v>1</v>
      </c>
      <c r="DJ16" s="5">
        <f>IF(預測IC!DJ16&gt;預測IC!DJ$26,1,0)</f>
        <v>0</v>
      </c>
      <c r="DK16" s="5">
        <f>IF(預測IC!DK16&gt;預測IC!DK$26,1,0)</f>
        <v>0</v>
      </c>
      <c r="DL16" s="5">
        <f>IF(預測IC!DL16&gt;預測IC!DL$26,1,0)</f>
        <v>1</v>
      </c>
      <c r="DM16" s="5">
        <f>IF(預測IC!DM16&gt;預測IC!DM$26,1,0)</f>
        <v>1</v>
      </c>
      <c r="DN16" s="5">
        <f>IF(預測IC!DN16&gt;預測IC!DN$26,1,0)</f>
        <v>1</v>
      </c>
      <c r="DO16" s="5">
        <f>IF(預測IC!DO16&gt;預測IC!DO$26,1,0)</f>
        <v>1</v>
      </c>
      <c r="DP16" s="5">
        <f>IF(預測IC!DP16&gt;預測IC!DP$26,1,0)</f>
        <v>1</v>
      </c>
      <c r="DQ16" s="5">
        <f>IF(預測IC!DQ16&gt;預測IC!DQ$26,1,0)</f>
        <v>0</v>
      </c>
      <c r="DR16" s="5">
        <f>IF(預測IC!DR16&gt;預測IC!DR$26,1,0)</f>
        <v>0</v>
      </c>
      <c r="DS16" s="5">
        <f>IF(預測IC!DS16&gt;預測IC!DS$26,1,0)</f>
        <v>1</v>
      </c>
      <c r="DT16" s="5">
        <f>IF(預測IC!DT16&gt;預測IC!DT$26,1,0)</f>
        <v>1</v>
      </c>
      <c r="DU16" s="5">
        <f>IF(預測IC!DU16&gt;預測IC!DU$26,1,0)</f>
        <v>0</v>
      </c>
      <c r="DV16" s="5">
        <f>IF(預測IC!DV16&gt;預測IC!DV$26,1,0)</f>
        <v>0</v>
      </c>
      <c r="DW16" s="5">
        <f>IF(預測IC!DW16&gt;預測IC!DW$26,1,0)</f>
        <v>1</v>
      </c>
      <c r="DX16" s="5">
        <f>IF(預測IC!DX16&gt;預測IC!DX$26,1,0)</f>
        <v>0</v>
      </c>
      <c r="DY16" s="5">
        <f>IF(預測IC!DY16&gt;預測IC!DY$26,1,0)</f>
        <v>0</v>
      </c>
      <c r="DZ16" s="5">
        <f>IF(預測IC!DZ16&gt;預測IC!DZ$26,1,0)</f>
        <v>1</v>
      </c>
      <c r="EA16" s="5">
        <f>IF(預測IC!EA16&gt;預測IC!EA$26,1,0)</f>
        <v>1</v>
      </c>
      <c r="EB16" s="5">
        <f>IF(預測IC!EB16&gt;預測IC!EB$26,1,0)</f>
        <v>1</v>
      </c>
      <c r="EC16" s="5">
        <f>IF(預測IC!EC16&gt;預測IC!EC$26,1,0)</f>
        <v>0</v>
      </c>
      <c r="ED16" s="5">
        <f>IF(預測IC!ED16&gt;預測IC!ED$26,1,0)</f>
        <v>0</v>
      </c>
      <c r="EE16" s="5">
        <f>IF(預測IC!EE16&gt;預測IC!EE$26,1,0)</f>
        <v>0</v>
      </c>
      <c r="EF16" s="5">
        <f>IF(預測IC!EH16&gt;預測IC!EF$26,1,0)</f>
        <v>1</v>
      </c>
      <c r="EG16" s="7">
        <f t="shared" si="10"/>
        <v>67</v>
      </c>
      <c r="EH16" s="7">
        <f t="shared" si="11"/>
        <v>0.5</v>
      </c>
    </row>
    <row r="17" spans="1:138">
      <c r="A17" s="1">
        <v>120</v>
      </c>
      <c r="B17" s="1">
        <v>8</v>
      </c>
      <c r="C17" s="5">
        <f>IF(預測IC!C17&gt;預測IC!C$26,1,0)</f>
        <v>0</v>
      </c>
      <c r="D17" s="5">
        <f>IF(預測IC!D17&gt;預測IC!D$26,1,0)</f>
        <v>1</v>
      </c>
      <c r="E17" s="5">
        <f>IF(預測IC!E17&gt;預測IC!E$26,1,0)</f>
        <v>0</v>
      </c>
      <c r="F17" s="5">
        <f>IF(預測IC!F17&gt;預測IC!F$26,1,0)</f>
        <v>1</v>
      </c>
      <c r="G17" s="5">
        <f>IF(預測IC!G17&gt;預測IC!G$26,1,0)</f>
        <v>0</v>
      </c>
      <c r="H17" s="5">
        <f>IF(預測IC!H17&gt;預測IC!H$26,1,0)</f>
        <v>0</v>
      </c>
      <c r="I17" s="5">
        <f>IF(預測IC!I17&gt;預測IC!I$26,1,0)</f>
        <v>0</v>
      </c>
      <c r="J17" s="5">
        <f>IF(預測IC!J17&gt;預測IC!J$26,1,0)</f>
        <v>1</v>
      </c>
      <c r="K17" s="5">
        <f>IF(預測IC!K17&gt;預測IC!K$26,1,0)</f>
        <v>1</v>
      </c>
      <c r="L17" s="5">
        <f>IF(預測IC!L17&gt;預測IC!L$26,1,0)</f>
        <v>0</v>
      </c>
      <c r="M17" s="5">
        <f>IF(預測IC!M17&gt;預測IC!M$26,1,0)</f>
        <v>0</v>
      </c>
      <c r="N17" s="5">
        <f>IF(預測IC!N17&gt;預測IC!N$26,1,0)</f>
        <v>1</v>
      </c>
      <c r="O17" s="5">
        <f>IF(預測IC!O17&gt;預測IC!O$26,1,0)</f>
        <v>1</v>
      </c>
      <c r="P17" s="5">
        <f>IF(預測IC!P17&gt;預測IC!P$26,1,0)</f>
        <v>0</v>
      </c>
      <c r="Q17" s="5">
        <f>IF(預測IC!Q17&gt;預測IC!Q$26,1,0)</f>
        <v>1</v>
      </c>
      <c r="R17" s="5">
        <f>IF(預測IC!R17&gt;預測IC!R$26,1,0)</f>
        <v>1</v>
      </c>
      <c r="S17" s="5">
        <f>IF(預測IC!S17&gt;預測IC!S$26,1,0)</f>
        <v>1</v>
      </c>
      <c r="T17" s="5">
        <f>IF(預測IC!T17&gt;預測IC!T$26,1,0)</f>
        <v>1</v>
      </c>
      <c r="U17" s="5">
        <f>IF(預測IC!U17&gt;預測IC!U$26,1,0)</f>
        <v>1</v>
      </c>
      <c r="V17" s="5">
        <f>IF(預測IC!V17&gt;預測IC!V$26,1,0)</f>
        <v>1</v>
      </c>
      <c r="W17" s="5">
        <f>IF(預測IC!W17&gt;預測IC!W$26,1,0)</f>
        <v>1</v>
      </c>
      <c r="X17" s="5">
        <f>IF(預測IC!X17&gt;預測IC!X$26,1,0)</f>
        <v>1</v>
      </c>
      <c r="Y17" s="5">
        <f>IF(預測IC!Y17&gt;預測IC!Y$26,1,0)</f>
        <v>1</v>
      </c>
      <c r="Z17" s="5">
        <f>IF(預測IC!Z17&gt;預測IC!Z$26,1,0)</f>
        <v>1</v>
      </c>
      <c r="AA17" s="5">
        <f>IF(預測IC!AA17&gt;預測IC!AA$26,1,0)</f>
        <v>0</v>
      </c>
      <c r="AB17" s="5">
        <f>IF(預測IC!AB17&gt;預測IC!AB$26,1,0)</f>
        <v>0</v>
      </c>
      <c r="AC17" s="5">
        <f>IF(預測IC!AC17&gt;預測IC!AC$26,1,0)</f>
        <v>0</v>
      </c>
      <c r="AD17" s="5">
        <f>IF(預測IC!AD17&gt;預測IC!AD$26,1,0)</f>
        <v>0</v>
      </c>
      <c r="AE17" s="5">
        <f>IF(預測IC!AE17&gt;預測IC!AE$26,1,0)</f>
        <v>1</v>
      </c>
      <c r="AF17" s="5">
        <f>IF(預測IC!AF17&gt;預測IC!AF$26,1,0)</f>
        <v>0</v>
      </c>
      <c r="AG17" s="5">
        <f>IF(預測IC!AG17&gt;預測IC!AG$26,1,0)</f>
        <v>0</v>
      </c>
      <c r="AH17" s="5">
        <f>IF(預測IC!AH17&gt;預測IC!AH$26,1,0)</f>
        <v>1</v>
      </c>
      <c r="AI17" s="5">
        <f>IF(預測IC!AI17&gt;預測IC!AI$26,1,0)</f>
        <v>0</v>
      </c>
      <c r="AJ17" s="5">
        <f>IF(預測IC!AJ17&gt;預測IC!AJ$26,1,0)</f>
        <v>0</v>
      </c>
      <c r="AK17" s="5">
        <f>IF(預測IC!AK17&gt;預測IC!AK$26,1,0)</f>
        <v>0</v>
      </c>
      <c r="AL17" s="5">
        <f>IF(預測IC!AL17&gt;預測IC!AL$26,1,0)</f>
        <v>1</v>
      </c>
      <c r="AM17" s="5">
        <f>IF(預測IC!AM17&gt;預測IC!AM$26,1,0)</f>
        <v>1</v>
      </c>
      <c r="AN17" s="5">
        <f>IF(預測IC!AN17&gt;預測IC!AN$26,1,0)</f>
        <v>1</v>
      </c>
      <c r="AO17" s="5">
        <f>IF(預測IC!AO17&gt;預測IC!AO$26,1,0)</f>
        <v>0</v>
      </c>
      <c r="AP17" s="5">
        <f>IF(預測IC!AP17&gt;預測IC!AP$26,1,0)</f>
        <v>0</v>
      </c>
      <c r="AQ17" s="5">
        <f>IF(預測IC!AQ17&gt;預測IC!AQ$26,1,0)</f>
        <v>1</v>
      </c>
      <c r="AR17" s="5">
        <f>IF(預測IC!AR17&gt;預測IC!AR$26,1,0)</f>
        <v>0</v>
      </c>
      <c r="AS17" s="5">
        <f>IF(預測IC!AS17&gt;預測IC!AS$26,1,0)</f>
        <v>1</v>
      </c>
      <c r="AT17" s="5">
        <f>IF(預測IC!AT17&gt;預測IC!AT$26,1,0)</f>
        <v>1</v>
      </c>
      <c r="AU17" s="5">
        <f>IF(預測IC!AU17&gt;預測IC!AU$26,1,0)</f>
        <v>1</v>
      </c>
      <c r="AV17" s="5">
        <f>IF(預測IC!AV17&gt;預測IC!AV$26,1,0)</f>
        <v>0</v>
      </c>
      <c r="AW17" s="5">
        <f>IF(預測IC!AW17&gt;預測IC!AW$26,1,0)</f>
        <v>1</v>
      </c>
      <c r="AX17" s="5">
        <f>IF(預測IC!AX17&gt;預測IC!AX$26,1,0)</f>
        <v>0</v>
      </c>
      <c r="AY17" s="5">
        <f>IF(預測IC!AY17&gt;預測IC!AY$26,1,0)</f>
        <v>0</v>
      </c>
      <c r="AZ17" s="5">
        <f>IF(預測IC!AZ17&gt;預測IC!AZ$26,1,0)</f>
        <v>0</v>
      </c>
      <c r="BA17" s="5">
        <f>IF(預測IC!BA17&gt;預測IC!BA$26,1,0)</f>
        <v>1</v>
      </c>
      <c r="BB17" s="5">
        <f>IF(預測IC!BB17&gt;預測IC!BB$26,1,0)</f>
        <v>1</v>
      </c>
      <c r="BC17" s="5">
        <f>IF(預測IC!BC17&gt;預測IC!BC$26,1,0)</f>
        <v>1</v>
      </c>
      <c r="BD17" s="5">
        <f>IF(預測IC!BD17&gt;預測IC!BD$26,1,0)</f>
        <v>1</v>
      </c>
      <c r="BE17" s="5">
        <f>IF(預測IC!BE17&gt;預測IC!BE$26,1,0)</f>
        <v>0</v>
      </c>
      <c r="BF17" s="5">
        <f>IF(預測IC!BF17&gt;預測IC!BF$26,1,0)</f>
        <v>1</v>
      </c>
      <c r="BG17" s="5">
        <f>IF(預測IC!BG17&gt;預測IC!BG$26,1,0)</f>
        <v>0</v>
      </c>
      <c r="BH17" s="5">
        <f>IF(預測IC!BH17&gt;預測IC!BH$26,1,0)</f>
        <v>1</v>
      </c>
      <c r="BI17" s="5">
        <f>IF(預測IC!BI17&gt;預測IC!BI$26,1,0)</f>
        <v>1</v>
      </c>
      <c r="BJ17" s="5">
        <f>IF(預測IC!BJ17&gt;預測IC!BJ$26,1,0)</f>
        <v>1</v>
      </c>
      <c r="BK17" s="5">
        <f>IF(預測IC!BK17&gt;預測IC!BK$26,1,0)</f>
        <v>0</v>
      </c>
      <c r="BL17" s="5">
        <f>IF(預測IC!BL17&gt;預測IC!BL$26,1,0)</f>
        <v>0</v>
      </c>
      <c r="BM17" s="5">
        <f>IF(預測IC!BM17&gt;預測IC!BM$26,1,0)</f>
        <v>1</v>
      </c>
      <c r="BN17" s="5">
        <f>IF(預測IC!BN17&gt;預測IC!BN$26,1,0)</f>
        <v>1</v>
      </c>
      <c r="BO17" s="5">
        <f>IF(預測IC!BO17&gt;預測IC!BO$26,1,0)</f>
        <v>1</v>
      </c>
      <c r="BP17" s="5">
        <f>IF(預測IC!BP17&gt;預測IC!BP$26,1,0)</f>
        <v>0</v>
      </c>
      <c r="BQ17" s="5">
        <f>IF(預測IC!BQ17&gt;預測IC!BQ$26,1,0)</f>
        <v>0</v>
      </c>
      <c r="BR17" s="5">
        <f>IF(預測IC!BR17&gt;預測IC!BR$26,1,0)</f>
        <v>1</v>
      </c>
      <c r="BS17" s="5">
        <f>IF(預測IC!BS17&gt;預測IC!BS$26,1,0)</f>
        <v>0</v>
      </c>
      <c r="BT17" s="5">
        <f>IF(預測IC!BT17&gt;預測IC!BT$26,1,0)</f>
        <v>0</v>
      </c>
      <c r="BU17" s="5">
        <f>IF(預測IC!BU17&gt;預測IC!BU$26,1,0)</f>
        <v>1</v>
      </c>
      <c r="BV17" s="5">
        <f>IF(預測IC!BV17&gt;預測IC!BV$26,1,0)</f>
        <v>0</v>
      </c>
      <c r="BW17" s="5">
        <f>IF(預測IC!BW17&gt;預測IC!BW$26,1,0)</f>
        <v>1</v>
      </c>
      <c r="BX17" s="5">
        <f>IF(預測IC!BX17&gt;預測IC!BX$26,1,0)</f>
        <v>0</v>
      </c>
      <c r="BY17" s="5">
        <f>IF(預測IC!BY17&gt;預測IC!BY$26,1,0)</f>
        <v>1</v>
      </c>
      <c r="BZ17" s="5">
        <f>IF(預測IC!BZ17&gt;預測IC!BZ$26,1,0)</f>
        <v>0</v>
      </c>
      <c r="CA17" s="5">
        <f>IF(預測IC!CA17&gt;預測IC!CA$26,1,0)</f>
        <v>0</v>
      </c>
      <c r="CB17" s="5">
        <f>IF(預測IC!CB17&gt;預測IC!CB$26,1,0)</f>
        <v>0</v>
      </c>
      <c r="CC17" s="5">
        <f>IF(預測IC!CC17&gt;預測IC!CC$26,1,0)</f>
        <v>0</v>
      </c>
      <c r="CD17" s="5">
        <f>IF(預測IC!CD17&gt;預測IC!CD$26,1,0)</f>
        <v>0</v>
      </c>
      <c r="CE17" s="5">
        <f>IF(預測IC!CE17&gt;預測IC!CE$26,1,0)</f>
        <v>0</v>
      </c>
      <c r="CF17" s="5">
        <f>IF(預測IC!CF17&gt;預測IC!CF$26,1,0)</f>
        <v>1</v>
      </c>
      <c r="CG17" s="5">
        <f>IF(預測IC!CG17&gt;預測IC!CG$26,1,0)</f>
        <v>0</v>
      </c>
      <c r="CH17" s="5">
        <f>IF(預測IC!CH17&gt;預測IC!CH$26,1,0)</f>
        <v>0</v>
      </c>
      <c r="CI17" s="5">
        <f>IF(預測IC!CI17&gt;預測IC!CI$26,1,0)</f>
        <v>0</v>
      </c>
      <c r="CJ17" s="5">
        <f>IF(預測IC!CJ17&gt;預測IC!CJ$26,1,0)</f>
        <v>0</v>
      </c>
      <c r="CK17" s="5">
        <f>IF(預測IC!CK17&gt;預測IC!CK$26,1,0)</f>
        <v>1</v>
      </c>
      <c r="CL17" s="5">
        <f>IF(預測IC!CL17&gt;預測IC!CL$26,1,0)</f>
        <v>0</v>
      </c>
      <c r="CM17" s="5">
        <f>IF(預測IC!CM17&gt;預測IC!CM$26,1,0)</f>
        <v>1</v>
      </c>
      <c r="CN17" s="5">
        <f>IF(預測IC!CN17&gt;預測IC!CN$26,1,0)</f>
        <v>0</v>
      </c>
      <c r="CO17" s="5">
        <f>IF(預測IC!CO17&gt;預測IC!CO$26,1,0)</f>
        <v>0</v>
      </c>
      <c r="CP17" s="5">
        <f>IF(預測IC!CP17&gt;預測IC!CP$26,1,0)</f>
        <v>0</v>
      </c>
      <c r="CQ17" s="5">
        <f>IF(預測IC!CQ17&gt;預測IC!CQ$26,1,0)</f>
        <v>1</v>
      </c>
      <c r="CR17" s="5">
        <f>IF(預測IC!CR17&gt;預測IC!CR$26,1,0)</f>
        <v>0</v>
      </c>
      <c r="CS17" s="5">
        <f>IF(預測IC!CS17&gt;預測IC!CS$26,1,0)</f>
        <v>0</v>
      </c>
      <c r="CT17" s="5">
        <f>IF(預測IC!CT17&gt;預測IC!CT$26,1,0)</f>
        <v>0</v>
      </c>
      <c r="CU17" s="5">
        <f>IF(預測IC!CU17&gt;預測IC!CU$26,1,0)</f>
        <v>1</v>
      </c>
      <c r="CV17" s="5">
        <f>IF(預測IC!CV17&gt;預測IC!CV$26,1,0)</f>
        <v>0</v>
      </c>
      <c r="CW17" s="5">
        <f>IF(預測IC!CW17&gt;預測IC!CW$26,1,0)</f>
        <v>1</v>
      </c>
      <c r="CX17" s="5">
        <f>IF(預測IC!CX17&gt;預測IC!CX$26,1,0)</f>
        <v>0</v>
      </c>
      <c r="CY17" s="5">
        <f>IF(預測IC!CY17&gt;預測IC!CY$26,1,0)</f>
        <v>0</v>
      </c>
      <c r="CZ17" s="5">
        <f>IF(預測IC!CZ17&gt;預測IC!CZ$26,1,0)</f>
        <v>1</v>
      </c>
      <c r="DA17" s="5">
        <f>IF(預測IC!DA17&gt;預測IC!DA$26,1,0)</f>
        <v>0</v>
      </c>
      <c r="DB17" s="5">
        <f>IF(預測IC!DB17&gt;預測IC!DB$26,1,0)</f>
        <v>1</v>
      </c>
      <c r="DC17" s="5">
        <f>IF(預測IC!DC17&gt;預測IC!DC$26,1,0)</f>
        <v>1</v>
      </c>
      <c r="DD17" s="5">
        <f>IF(預測IC!DD17&gt;預測IC!DD$26,1,0)</f>
        <v>1</v>
      </c>
      <c r="DE17" s="5">
        <f>IF(預測IC!DE17&gt;預測IC!DE$26,1,0)</f>
        <v>0</v>
      </c>
      <c r="DF17" s="5">
        <f>IF(預測IC!DF17&gt;預測IC!DF$26,1,0)</f>
        <v>1</v>
      </c>
      <c r="DG17" s="5">
        <f>IF(預測IC!DG17&gt;預測IC!DG$26,1,0)</f>
        <v>1</v>
      </c>
      <c r="DH17" s="5">
        <f>IF(預測IC!DH17&gt;預測IC!DH$26,1,0)</f>
        <v>0</v>
      </c>
      <c r="DI17" s="5">
        <f>IF(預測IC!DI17&gt;預測IC!DI$26,1,0)</f>
        <v>1</v>
      </c>
      <c r="DJ17" s="5">
        <f>IF(預測IC!DJ17&gt;預測IC!DJ$26,1,0)</f>
        <v>0</v>
      </c>
      <c r="DK17" s="5">
        <f>IF(預測IC!DK17&gt;預測IC!DK$26,1,0)</f>
        <v>0</v>
      </c>
      <c r="DL17" s="5">
        <f>IF(預測IC!DL17&gt;預測IC!DL$26,1,0)</f>
        <v>0</v>
      </c>
      <c r="DM17" s="5">
        <f>IF(預測IC!DM17&gt;預測IC!DM$26,1,0)</f>
        <v>1</v>
      </c>
      <c r="DN17" s="5">
        <f>IF(預測IC!DN17&gt;預測IC!DN$26,1,0)</f>
        <v>1</v>
      </c>
      <c r="DO17" s="5">
        <f>IF(預測IC!DO17&gt;預測IC!DO$26,1,0)</f>
        <v>1</v>
      </c>
      <c r="DP17" s="5">
        <f>IF(預測IC!DP17&gt;預測IC!DP$26,1,0)</f>
        <v>1</v>
      </c>
      <c r="DQ17" s="5">
        <f>IF(預測IC!DQ17&gt;預測IC!DQ$26,1,0)</f>
        <v>0</v>
      </c>
      <c r="DR17" s="5">
        <f>IF(預測IC!DR17&gt;預測IC!DR$26,1,0)</f>
        <v>0</v>
      </c>
      <c r="DS17" s="5">
        <f>IF(預測IC!DS17&gt;預測IC!DS$26,1,0)</f>
        <v>1</v>
      </c>
      <c r="DT17" s="5">
        <f>IF(預測IC!DT17&gt;預測IC!DT$26,1,0)</f>
        <v>1</v>
      </c>
      <c r="DU17" s="5">
        <f>IF(預測IC!DU17&gt;預測IC!DU$26,1,0)</f>
        <v>0</v>
      </c>
      <c r="DV17" s="5">
        <f>IF(預測IC!DV17&gt;預測IC!DV$26,1,0)</f>
        <v>0</v>
      </c>
      <c r="DW17" s="5">
        <f>IF(預測IC!DW17&gt;預測IC!DW$26,1,0)</f>
        <v>1</v>
      </c>
      <c r="DX17" s="5">
        <f>IF(預測IC!DX17&gt;預測IC!DX$26,1,0)</f>
        <v>0</v>
      </c>
      <c r="DY17" s="5">
        <f>IF(預測IC!DY17&gt;預測IC!DY$26,1,0)</f>
        <v>0</v>
      </c>
      <c r="DZ17" s="5">
        <f>IF(預測IC!DZ17&gt;預測IC!DZ$26,1,0)</f>
        <v>0</v>
      </c>
      <c r="EA17" s="5">
        <f>IF(預測IC!EA17&gt;預測IC!EA$26,1,0)</f>
        <v>1</v>
      </c>
      <c r="EB17" s="5">
        <f>IF(預測IC!EB17&gt;預測IC!EB$26,1,0)</f>
        <v>1</v>
      </c>
      <c r="EC17" s="5">
        <f>IF(預測IC!EC17&gt;預測IC!EC$26,1,0)</f>
        <v>0</v>
      </c>
      <c r="ED17" s="5">
        <f>IF(預測IC!ED17&gt;預測IC!ED$26,1,0)</f>
        <v>0</v>
      </c>
      <c r="EE17" s="5">
        <f>IF(預測IC!EE17&gt;預測IC!EE$26,1,0)</f>
        <v>0</v>
      </c>
      <c r="EF17" s="5">
        <f>IF(預測IC!EH17&gt;預測IC!EF$26,1,0)</f>
        <v>1</v>
      </c>
      <c r="EG17" s="7">
        <f t="shared" si="10"/>
        <v>64</v>
      </c>
      <c r="EH17" s="7">
        <f t="shared" si="11"/>
        <v>0.47761194029850745</v>
      </c>
    </row>
    <row r="18" spans="1:138">
      <c r="A18" s="1">
        <v>137</v>
      </c>
      <c r="B18" s="1">
        <v>7</v>
      </c>
      <c r="C18" s="5">
        <f>IF(預測IC!C18&gt;預測IC!C$26,1,0)</f>
        <v>0</v>
      </c>
      <c r="D18" s="5">
        <f>IF(預測IC!D18&gt;預測IC!D$26,1,0)</f>
        <v>1</v>
      </c>
      <c r="E18" s="5">
        <f>IF(預測IC!E18&gt;預測IC!E$26,1,0)</f>
        <v>0</v>
      </c>
      <c r="F18" s="5">
        <f>IF(預測IC!F18&gt;預測IC!F$26,1,0)</f>
        <v>1</v>
      </c>
      <c r="G18" s="5">
        <f>IF(預測IC!G18&gt;預測IC!G$26,1,0)</f>
        <v>0</v>
      </c>
      <c r="H18" s="5">
        <f>IF(預測IC!H18&gt;預測IC!H$26,1,0)</f>
        <v>0</v>
      </c>
      <c r="I18" s="5">
        <f>IF(預測IC!I18&gt;預測IC!I$26,1,0)</f>
        <v>0</v>
      </c>
      <c r="J18" s="5">
        <f>IF(預測IC!J18&gt;預測IC!J$26,1,0)</f>
        <v>1</v>
      </c>
      <c r="K18" s="5">
        <f>IF(預測IC!K18&gt;預測IC!K$26,1,0)</f>
        <v>1</v>
      </c>
      <c r="L18" s="5">
        <f>IF(預測IC!L18&gt;預測IC!L$26,1,0)</f>
        <v>0</v>
      </c>
      <c r="M18" s="5">
        <f>IF(預測IC!M18&gt;預測IC!M$26,1,0)</f>
        <v>1</v>
      </c>
      <c r="N18" s="5">
        <f>IF(預測IC!N18&gt;預測IC!N$26,1,0)</f>
        <v>1</v>
      </c>
      <c r="O18" s="5">
        <f>IF(預測IC!O18&gt;預測IC!O$26,1,0)</f>
        <v>1</v>
      </c>
      <c r="P18" s="5">
        <f>IF(預測IC!P18&gt;預測IC!P$26,1,0)</f>
        <v>0</v>
      </c>
      <c r="Q18" s="5">
        <f>IF(預測IC!Q18&gt;預測IC!Q$26,1,0)</f>
        <v>1</v>
      </c>
      <c r="R18" s="5">
        <f>IF(預測IC!R18&gt;預測IC!R$26,1,0)</f>
        <v>1</v>
      </c>
      <c r="S18" s="5">
        <f>IF(預測IC!S18&gt;預測IC!S$26,1,0)</f>
        <v>1</v>
      </c>
      <c r="T18" s="5">
        <f>IF(預測IC!T18&gt;預測IC!T$26,1,0)</f>
        <v>1</v>
      </c>
      <c r="U18" s="5">
        <f>IF(預測IC!U18&gt;預測IC!U$26,1,0)</f>
        <v>1</v>
      </c>
      <c r="V18" s="5">
        <f>IF(預測IC!V18&gt;預測IC!V$26,1,0)</f>
        <v>1</v>
      </c>
      <c r="W18" s="5">
        <f>IF(預測IC!W18&gt;預測IC!W$26,1,0)</f>
        <v>1</v>
      </c>
      <c r="X18" s="5">
        <f>IF(預測IC!X18&gt;預測IC!X$26,1,0)</f>
        <v>1</v>
      </c>
      <c r="Y18" s="5">
        <f>IF(預測IC!Y18&gt;預測IC!Y$26,1,0)</f>
        <v>1</v>
      </c>
      <c r="Z18" s="5">
        <f>IF(預測IC!Z18&gt;預測IC!Z$26,1,0)</f>
        <v>1</v>
      </c>
      <c r="AA18" s="5">
        <f>IF(預測IC!AA18&gt;預測IC!AA$26,1,0)</f>
        <v>0</v>
      </c>
      <c r="AB18" s="5">
        <f>IF(預測IC!AB18&gt;預測IC!AB$26,1,0)</f>
        <v>0</v>
      </c>
      <c r="AC18" s="5">
        <f>IF(預測IC!AC18&gt;預測IC!AC$26,1,0)</f>
        <v>0</v>
      </c>
      <c r="AD18" s="5">
        <f>IF(預測IC!AD18&gt;預測IC!AD$26,1,0)</f>
        <v>0</v>
      </c>
      <c r="AE18" s="5">
        <f>IF(預測IC!AE18&gt;預測IC!AE$26,1,0)</f>
        <v>1</v>
      </c>
      <c r="AF18" s="5">
        <f>IF(預測IC!AF18&gt;預測IC!AF$26,1,0)</f>
        <v>0</v>
      </c>
      <c r="AG18" s="5">
        <f>IF(預測IC!AG18&gt;預測IC!AG$26,1,0)</f>
        <v>0</v>
      </c>
      <c r="AH18" s="5">
        <f>IF(預測IC!AH18&gt;預測IC!AH$26,1,0)</f>
        <v>1</v>
      </c>
      <c r="AI18" s="5">
        <f>IF(預測IC!AI18&gt;預測IC!AI$26,1,0)</f>
        <v>0</v>
      </c>
      <c r="AJ18" s="5">
        <f>IF(預測IC!AJ18&gt;預測IC!AJ$26,1,0)</f>
        <v>0</v>
      </c>
      <c r="AK18" s="5">
        <f>IF(預測IC!AK18&gt;預測IC!AK$26,1,0)</f>
        <v>0</v>
      </c>
      <c r="AL18" s="5">
        <f>IF(預測IC!AL18&gt;預測IC!AL$26,1,0)</f>
        <v>1</v>
      </c>
      <c r="AM18" s="5">
        <f>IF(預測IC!AM18&gt;預測IC!AM$26,1,0)</f>
        <v>1</v>
      </c>
      <c r="AN18" s="5">
        <f>IF(預測IC!AN18&gt;預測IC!AN$26,1,0)</f>
        <v>1</v>
      </c>
      <c r="AO18" s="5">
        <f>IF(預測IC!AO18&gt;預測IC!AO$26,1,0)</f>
        <v>1</v>
      </c>
      <c r="AP18" s="5">
        <f>IF(預測IC!AP18&gt;預測IC!AP$26,1,0)</f>
        <v>0</v>
      </c>
      <c r="AQ18" s="5">
        <f>IF(預測IC!AQ18&gt;預測IC!AQ$26,1,0)</f>
        <v>1</v>
      </c>
      <c r="AR18" s="5">
        <f>IF(預測IC!AR18&gt;預測IC!AR$26,1,0)</f>
        <v>0</v>
      </c>
      <c r="AS18" s="5">
        <f>IF(預測IC!AS18&gt;預測IC!AS$26,1,0)</f>
        <v>1</v>
      </c>
      <c r="AT18" s="5">
        <f>IF(預測IC!AT18&gt;預測IC!AT$26,1,0)</f>
        <v>1</v>
      </c>
      <c r="AU18" s="5">
        <f>IF(預測IC!AU18&gt;預測IC!AU$26,1,0)</f>
        <v>1</v>
      </c>
      <c r="AV18" s="5">
        <f>IF(預測IC!AV18&gt;預測IC!AV$26,1,0)</f>
        <v>0</v>
      </c>
      <c r="AW18" s="5">
        <f>IF(預測IC!AW18&gt;預測IC!AW$26,1,0)</f>
        <v>0</v>
      </c>
      <c r="AX18" s="5">
        <f>IF(預測IC!AX18&gt;預測IC!AX$26,1,0)</f>
        <v>0</v>
      </c>
      <c r="AY18" s="5">
        <f>IF(預測IC!AY18&gt;預測IC!AY$26,1,0)</f>
        <v>0</v>
      </c>
      <c r="AZ18" s="5">
        <f>IF(預測IC!AZ18&gt;預測IC!AZ$26,1,0)</f>
        <v>0</v>
      </c>
      <c r="BA18" s="5">
        <f>IF(預測IC!BA18&gt;預測IC!BA$26,1,0)</f>
        <v>0</v>
      </c>
      <c r="BB18" s="5">
        <f>IF(預測IC!BB18&gt;預測IC!BB$26,1,0)</f>
        <v>1</v>
      </c>
      <c r="BC18" s="5">
        <f>IF(預測IC!BC18&gt;預測IC!BC$26,1,0)</f>
        <v>1</v>
      </c>
      <c r="BD18" s="5">
        <f>IF(預測IC!BD18&gt;預測IC!BD$26,1,0)</f>
        <v>0</v>
      </c>
      <c r="BE18" s="5">
        <f>IF(預測IC!BE18&gt;預測IC!BE$26,1,0)</f>
        <v>0</v>
      </c>
      <c r="BF18" s="5">
        <f>IF(預測IC!BF18&gt;預測IC!BF$26,1,0)</f>
        <v>1</v>
      </c>
      <c r="BG18" s="5">
        <f>IF(預測IC!BG18&gt;預測IC!BG$26,1,0)</f>
        <v>0</v>
      </c>
      <c r="BH18" s="5">
        <f>IF(預測IC!BH18&gt;預測IC!BH$26,1,0)</f>
        <v>1</v>
      </c>
      <c r="BI18" s="5">
        <f>IF(預測IC!BI18&gt;預測IC!BI$26,1,0)</f>
        <v>1</v>
      </c>
      <c r="BJ18" s="5">
        <f>IF(預測IC!BJ18&gt;預測IC!BJ$26,1,0)</f>
        <v>1</v>
      </c>
      <c r="BK18" s="5">
        <f>IF(預測IC!BK18&gt;預測IC!BK$26,1,0)</f>
        <v>0</v>
      </c>
      <c r="BL18" s="5">
        <f>IF(預測IC!BL18&gt;預測IC!BL$26,1,0)</f>
        <v>1</v>
      </c>
      <c r="BM18" s="5">
        <f>IF(預測IC!BM18&gt;預測IC!BM$26,1,0)</f>
        <v>1</v>
      </c>
      <c r="BN18" s="5">
        <f>IF(預測IC!BN18&gt;預測IC!BN$26,1,0)</f>
        <v>1</v>
      </c>
      <c r="BO18" s="5">
        <f>IF(預測IC!BO18&gt;預測IC!BO$26,1,0)</f>
        <v>1</v>
      </c>
      <c r="BP18" s="5">
        <f>IF(預測IC!BP18&gt;預測IC!BP$26,1,0)</f>
        <v>0</v>
      </c>
      <c r="BQ18" s="5">
        <f>IF(預測IC!BQ18&gt;預測IC!BQ$26,1,0)</f>
        <v>0</v>
      </c>
      <c r="BR18" s="5">
        <f>IF(預測IC!BR18&gt;預測IC!BR$26,1,0)</f>
        <v>1</v>
      </c>
      <c r="BS18" s="5">
        <f>IF(預測IC!BS18&gt;預測IC!BS$26,1,0)</f>
        <v>0</v>
      </c>
      <c r="BT18" s="5">
        <f>IF(預測IC!BT18&gt;預測IC!BT$26,1,0)</f>
        <v>0</v>
      </c>
      <c r="BU18" s="5">
        <f>IF(預測IC!BU18&gt;預測IC!BU$26,1,0)</f>
        <v>1</v>
      </c>
      <c r="BV18" s="5">
        <f>IF(預測IC!BV18&gt;預測IC!BV$26,1,0)</f>
        <v>0</v>
      </c>
      <c r="BW18" s="5">
        <f>IF(預測IC!BW18&gt;預測IC!BW$26,1,0)</f>
        <v>1</v>
      </c>
      <c r="BX18" s="5">
        <f>IF(預測IC!BX18&gt;預測IC!BX$26,1,0)</f>
        <v>0</v>
      </c>
      <c r="BY18" s="5">
        <f>IF(預測IC!BY18&gt;預測IC!BY$26,1,0)</f>
        <v>1</v>
      </c>
      <c r="BZ18" s="5">
        <f>IF(預測IC!BZ18&gt;預測IC!BZ$26,1,0)</f>
        <v>0</v>
      </c>
      <c r="CA18" s="5">
        <f>IF(預測IC!CA18&gt;預測IC!CA$26,1,0)</f>
        <v>0</v>
      </c>
      <c r="CB18" s="5">
        <f>IF(預測IC!CB18&gt;預測IC!CB$26,1,0)</f>
        <v>0</v>
      </c>
      <c r="CC18" s="5">
        <f>IF(預測IC!CC18&gt;預測IC!CC$26,1,0)</f>
        <v>1</v>
      </c>
      <c r="CD18" s="5">
        <f>IF(預測IC!CD18&gt;預測IC!CD$26,1,0)</f>
        <v>0</v>
      </c>
      <c r="CE18" s="5">
        <f>IF(預測IC!CE18&gt;預測IC!CE$26,1,0)</f>
        <v>0</v>
      </c>
      <c r="CF18" s="5">
        <f>IF(預測IC!CF18&gt;預測IC!CF$26,1,0)</f>
        <v>0</v>
      </c>
      <c r="CG18" s="5">
        <f>IF(預測IC!CG18&gt;預測IC!CG$26,1,0)</f>
        <v>0</v>
      </c>
      <c r="CH18" s="5">
        <f>IF(預測IC!CH18&gt;預測IC!CH$26,1,0)</f>
        <v>0</v>
      </c>
      <c r="CI18" s="5">
        <f>IF(預測IC!CI18&gt;預測IC!CI$26,1,0)</f>
        <v>1</v>
      </c>
      <c r="CJ18" s="5">
        <f>IF(預測IC!CJ18&gt;預測IC!CJ$26,1,0)</f>
        <v>1</v>
      </c>
      <c r="CK18" s="5">
        <f>IF(預測IC!CK18&gt;預測IC!CK$26,1,0)</f>
        <v>1</v>
      </c>
      <c r="CL18" s="5">
        <f>IF(預測IC!CL18&gt;預測IC!CL$26,1,0)</f>
        <v>0</v>
      </c>
      <c r="CM18" s="5">
        <f>IF(預測IC!CM18&gt;預測IC!CM$26,1,0)</f>
        <v>1</v>
      </c>
      <c r="CN18" s="5">
        <f>IF(預測IC!CN18&gt;預測IC!CN$26,1,0)</f>
        <v>0</v>
      </c>
      <c r="CO18" s="5">
        <f>IF(預測IC!CO18&gt;預測IC!CO$26,1,0)</f>
        <v>0</v>
      </c>
      <c r="CP18" s="5">
        <f>IF(預測IC!CP18&gt;預測IC!CP$26,1,0)</f>
        <v>0</v>
      </c>
      <c r="CQ18" s="5">
        <f>IF(預測IC!CQ18&gt;預測IC!CQ$26,1,0)</f>
        <v>1</v>
      </c>
      <c r="CR18" s="5">
        <f>IF(預測IC!CR18&gt;預測IC!CR$26,1,0)</f>
        <v>0</v>
      </c>
      <c r="CS18" s="5">
        <f>IF(預測IC!CS18&gt;預測IC!CS$26,1,0)</f>
        <v>1</v>
      </c>
      <c r="CT18" s="5">
        <f>IF(預測IC!CT18&gt;預測IC!CT$26,1,0)</f>
        <v>0</v>
      </c>
      <c r="CU18" s="5">
        <f>IF(預測IC!CU18&gt;預測IC!CU$26,1,0)</f>
        <v>1</v>
      </c>
      <c r="CV18" s="5">
        <f>IF(預測IC!CV18&gt;預測IC!CV$26,1,0)</f>
        <v>0</v>
      </c>
      <c r="CW18" s="5">
        <f>IF(預測IC!CW18&gt;預測IC!CW$26,1,0)</f>
        <v>1</v>
      </c>
      <c r="CX18" s="5">
        <f>IF(預測IC!CX18&gt;預測IC!CX$26,1,0)</f>
        <v>0</v>
      </c>
      <c r="CY18" s="5">
        <f>IF(預測IC!CY18&gt;預測IC!CY$26,1,0)</f>
        <v>0</v>
      </c>
      <c r="CZ18" s="5">
        <f>IF(預測IC!CZ18&gt;預測IC!CZ$26,1,0)</f>
        <v>1</v>
      </c>
      <c r="DA18" s="5">
        <f>IF(預測IC!DA18&gt;預測IC!DA$26,1,0)</f>
        <v>0</v>
      </c>
      <c r="DB18" s="5">
        <f>IF(預測IC!DB18&gt;預測IC!DB$26,1,0)</f>
        <v>1</v>
      </c>
      <c r="DC18" s="5">
        <f>IF(預測IC!DC18&gt;預測IC!DC$26,1,0)</f>
        <v>1</v>
      </c>
      <c r="DD18" s="5">
        <f>IF(預測IC!DD18&gt;預測IC!DD$26,1,0)</f>
        <v>1</v>
      </c>
      <c r="DE18" s="5">
        <f>IF(預測IC!DE18&gt;預測IC!DE$26,1,0)</f>
        <v>0</v>
      </c>
      <c r="DF18" s="5">
        <f>IF(預測IC!DF18&gt;預測IC!DF$26,1,0)</f>
        <v>1</v>
      </c>
      <c r="DG18" s="5">
        <f>IF(預測IC!DG18&gt;預測IC!DG$26,1,0)</f>
        <v>1</v>
      </c>
      <c r="DH18" s="5">
        <f>IF(預測IC!DH18&gt;預測IC!DH$26,1,0)</f>
        <v>0</v>
      </c>
      <c r="DI18" s="5">
        <f>IF(預測IC!DI18&gt;預測IC!DI$26,1,0)</f>
        <v>0</v>
      </c>
      <c r="DJ18" s="5">
        <f>IF(預測IC!DJ18&gt;預測IC!DJ$26,1,0)</f>
        <v>0</v>
      </c>
      <c r="DK18" s="5">
        <f>IF(預測IC!DK18&gt;預測IC!DK$26,1,0)</f>
        <v>0</v>
      </c>
      <c r="DL18" s="5">
        <f>IF(預測IC!DL18&gt;預測IC!DL$26,1,0)</f>
        <v>0</v>
      </c>
      <c r="DM18" s="5">
        <f>IF(預測IC!DM18&gt;預測IC!DM$26,1,0)</f>
        <v>0</v>
      </c>
      <c r="DN18" s="5">
        <f>IF(預測IC!DN18&gt;預測IC!DN$26,1,0)</f>
        <v>1</v>
      </c>
      <c r="DO18" s="5">
        <f>IF(預測IC!DO18&gt;預測IC!DO$26,1,0)</f>
        <v>1</v>
      </c>
      <c r="DP18" s="5">
        <f>IF(預測IC!DP18&gt;預測IC!DP$26,1,0)</f>
        <v>1</v>
      </c>
      <c r="DQ18" s="5">
        <f>IF(預測IC!DQ18&gt;預測IC!DQ$26,1,0)</f>
        <v>0</v>
      </c>
      <c r="DR18" s="5">
        <f>IF(預測IC!DR18&gt;預測IC!DR$26,1,0)</f>
        <v>0</v>
      </c>
      <c r="DS18" s="5">
        <f>IF(預測IC!DS18&gt;預測IC!DS$26,1,0)</f>
        <v>1</v>
      </c>
      <c r="DT18" s="5">
        <f>IF(預測IC!DT18&gt;預測IC!DT$26,1,0)</f>
        <v>0</v>
      </c>
      <c r="DU18" s="5">
        <f>IF(預測IC!DU18&gt;預測IC!DU$26,1,0)</f>
        <v>0</v>
      </c>
      <c r="DV18" s="5">
        <f>IF(預測IC!DV18&gt;預測IC!DV$26,1,0)</f>
        <v>0</v>
      </c>
      <c r="DW18" s="5">
        <f>IF(預測IC!DW18&gt;預測IC!DW$26,1,0)</f>
        <v>1</v>
      </c>
      <c r="DX18" s="5">
        <f>IF(預測IC!DX18&gt;預測IC!DX$26,1,0)</f>
        <v>0</v>
      </c>
      <c r="DY18" s="5">
        <f>IF(預測IC!DY18&gt;預測IC!DY$26,1,0)</f>
        <v>0</v>
      </c>
      <c r="DZ18" s="5">
        <f>IF(預測IC!DZ18&gt;預測IC!DZ$26,1,0)</f>
        <v>0</v>
      </c>
      <c r="EA18" s="5">
        <f>IF(預測IC!EA18&gt;預測IC!EA$26,1,0)</f>
        <v>1</v>
      </c>
      <c r="EB18" s="5">
        <f>IF(預測IC!EB18&gt;預測IC!EB$26,1,0)</f>
        <v>1</v>
      </c>
      <c r="EC18" s="5">
        <f>IF(預測IC!EC18&gt;預測IC!EC$26,1,0)</f>
        <v>0</v>
      </c>
      <c r="ED18" s="5">
        <f>IF(預測IC!ED18&gt;預測IC!ED$26,1,0)</f>
        <v>0</v>
      </c>
      <c r="EE18" s="5">
        <f>IF(預測IC!EE18&gt;預測IC!EE$26,1,0)</f>
        <v>0</v>
      </c>
      <c r="EF18" s="5">
        <f>IF(預測IC!EH18&gt;預測IC!EF$26,1,0)</f>
        <v>1</v>
      </c>
      <c r="EG18" s="7">
        <f t="shared" si="10"/>
        <v>64</v>
      </c>
      <c r="EH18" s="7">
        <f t="shared" si="11"/>
        <v>0.47761194029850745</v>
      </c>
    </row>
    <row r="19" spans="1:138">
      <c r="A19" s="1">
        <v>160</v>
      </c>
      <c r="B19" s="1">
        <v>6</v>
      </c>
      <c r="C19" s="5">
        <f>IF(預測IC!C19&gt;預測IC!C$26,1,0)</f>
        <v>0</v>
      </c>
      <c r="D19" s="5">
        <f>IF(預測IC!D19&gt;預測IC!D$26,1,0)</f>
        <v>1</v>
      </c>
      <c r="E19" s="5">
        <f>IF(預測IC!E19&gt;預測IC!E$26,1,0)</f>
        <v>0</v>
      </c>
      <c r="F19" s="5">
        <f>IF(預測IC!F19&gt;預測IC!F$26,1,0)</f>
        <v>1</v>
      </c>
      <c r="G19" s="5">
        <f>IF(預測IC!G19&gt;預測IC!G$26,1,0)</f>
        <v>0</v>
      </c>
      <c r="H19" s="5">
        <f>IF(預測IC!H19&gt;預測IC!H$26,1,0)</f>
        <v>0</v>
      </c>
      <c r="I19" s="5">
        <f>IF(預測IC!I19&gt;預測IC!I$26,1,0)</f>
        <v>0</v>
      </c>
      <c r="J19" s="5">
        <f>IF(預測IC!J19&gt;預測IC!J$26,1,0)</f>
        <v>1</v>
      </c>
      <c r="K19" s="5">
        <f>IF(預測IC!K19&gt;預測IC!K$26,1,0)</f>
        <v>1</v>
      </c>
      <c r="L19" s="5">
        <f>IF(預測IC!L19&gt;預測IC!L$26,1,0)</f>
        <v>0</v>
      </c>
      <c r="M19" s="5">
        <f>IF(預測IC!M19&gt;預測IC!M$26,1,0)</f>
        <v>0</v>
      </c>
      <c r="N19" s="5">
        <f>IF(預測IC!N19&gt;預測IC!N$26,1,0)</f>
        <v>1</v>
      </c>
      <c r="O19" s="5">
        <f>IF(預測IC!O19&gt;預測IC!O$26,1,0)</f>
        <v>1</v>
      </c>
      <c r="P19" s="5">
        <f>IF(預測IC!P19&gt;預測IC!P$26,1,0)</f>
        <v>0</v>
      </c>
      <c r="Q19" s="5">
        <f>IF(預測IC!Q19&gt;預測IC!Q$26,1,0)</f>
        <v>1</v>
      </c>
      <c r="R19" s="5">
        <f>IF(預測IC!R19&gt;預測IC!R$26,1,0)</f>
        <v>1</v>
      </c>
      <c r="S19" s="5">
        <f>IF(預測IC!S19&gt;預測IC!S$26,1,0)</f>
        <v>1</v>
      </c>
      <c r="T19" s="5">
        <f>IF(預測IC!T19&gt;預測IC!T$26,1,0)</f>
        <v>1</v>
      </c>
      <c r="U19" s="5">
        <f>IF(預測IC!U19&gt;預測IC!U$26,1,0)</f>
        <v>1</v>
      </c>
      <c r="V19" s="5">
        <f>IF(預測IC!V19&gt;預測IC!V$26,1,0)</f>
        <v>1</v>
      </c>
      <c r="W19" s="5">
        <f>IF(預測IC!W19&gt;預測IC!W$26,1,0)</f>
        <v>1</v>
      </c>
      <c r="X19" s="5">
        <f>IF(預測IC!X19&gt;預測IC!X$26,1,0)</f>
        <v>1</v>
      </c>
      <c r="Y19" s="5">
        <f>IF(預測IC!Y19&gt;預測IC!Y$26,1,0)</f>
        <v>1</v>
      </c>
      <c r="Z19" s="5">
        <f>IF(預測IC!Z19&gt;預測IC!Z$26,1,0)</f>
        <v>1</v>
      </c>
      <c r="AA19" s="5">
        <f>IF(預測IC!AA19&gt;預測IC!AA$26,1,0)</f>
        <v>0</v>
      </c>
      <c r="AB19" s="5">
        <f>IF(預測IC!AB19&gt;預測IC!AB$26,1,0)</f>
        <v>0</v>
      </c>
      <c r="AC19" s="5">
        <f>IF(預測IC!AC19&gt;預測IC!AC$26,1,0)</f>
        <v>0</v>
      </c>
      <c r="AD19" s="5">
        <f>IF(預測IC!AD19&gt;預測IC!AD$26,1,0)</f>
        <v>1</v>
      </c>
      <c r="AE19" s="5">
        <f>IF(預測IC!AE19&gt;預測IC!AE$26,1,0)</f>
        <v>1</v>
      </c>
      <c r="AF19" s="5">
        <f>IF(預測IC!AF19&gt;預測IC!AF$26,1,0)</f>
        <v>0</v>
      </c>
      <c r="AG19" s="5">
        <f>IF(預測IC!AG19&gt;預測IC!AG$26,1,0)</f>
        <v>0</v>
      </c>
      <c r="AH19" s="5">
        <f>IF(預測IC!AH19&gt;預測IC!AH$26,1,0)</f>
        <v>1</v>
      </c>
      <c r="AI19" s="5">
        <f>IF(預測IC!AI19&gt;預測IC!AI$26,1,0)</f>
        <v>0</v>
      </c>
      <c r="AJ19" s="5">
        <f>IF(預測IC!AJ19&gt;預測IC!AJ$26,1,0)</f>
        <v>0</v>
      </c>
      <c r="AK19" s="5">
        <f>IF(預測IC!AK19&gt;預測IC!AK$26,1,0)</f>
        <v>0</v>
      </c>
      <c r="AL19" s="5">
        <f>IF(預測IC!AL19&gt;預測IC!AL$26,1,0)</f>
        <v>1</v>
      </c>
      <c r="AM19" s="5">
        <f>IF(預測IC!AM19&gt;預測IC!AM$26,1,0)</f>
        <v>1</v>
      </c>
      <c r="AN19" s="5">
        <f>IF(預測IC!AN19&gt;預測IC!AN$26,1,0)</f>
        <v>1</v>
      </c>
      <c r="AO19" s="5">
        <f>IF(預測IC!AO19&gt;預測IC!AO$26,1,0)</f>
        <v>1</v>
      </c>
      <c r="AP19" s="5">
        <f>IF(預測IC!AP19&gt;預測IC!AP$26,1,0)</f>
        <v>0</v>
      </c>
      <c r="AQ19" s="5">
        <f>IF(預測IC!AQ19&gt;預測IC!AQ$26,1,0)</f>
        <v>1</v>
      </c>
      <c r="AR19" s="5">
        <f>IF(預測IC!AR19&gt;預測IC!AR$26,1,0)</f>
        <v>0</v>
      </c>
      <c r="AS19" s="5">
        <f>IF(預測IC!AS19&gt;預測IC!AS$26,1,0)</f>
        <v>1</v>
      </c>
      <c r="AT19" s="5">
        <f>IF(預測IC!AT19&gt;預測IC!AT$26,1,0)</f>
        <v>1</v>
      </c>
      <c r="AU19" s="5">
        <f>IF(預測IC!AU19&gt;預測IC!AU$26,1,0)</f>
        <v>1</v>
      </c>
      <c r="AV19" s="5">
        <f>IF(預測IC!AV19&gt;預測IC!AV$26,1,0)</f>
        <v>1</v>
      </c>
      <c r="AW19" s="5">
        <f>IF(預測IC!AW19&gt;預測IC!AW$26,1,0)</f>
        <v>0</v>
      </c>
      <c r="AX19" s="5">
        <f>IF(預測IC!AX19&gt;預測IC!AX$26,1,0)</f>
        <v>0</v>
      </c>
      <c r="AY19" s="5">
        <f>IF(預測IC!AY19&gt;預測IC!AY$26,1,0)</f>
        <v>0</v>
      </c>
      <c r="AZ19" s="5">
        <f>IF(預測IC!AZ19&gt;預測IC!AZ$26,1,0)</f>
        <v>0</v>
      </c>
      <c r="BA19" s="5">
        <f>IF(預測IC!BA19&gt;預測IC!BA$26,1,0)</f>
        <v>0</v>
      </c>
      <c r="BB19" s="5">
        <f>IF(預測IC!BB19&gt;預測IC!BB$26,1,0)</f>
        <v>1</v>
      </c>
      <c r="BC19" s="5">
        <f>IF(預測IC!BC19&gt;預測IC!BC$26,1,0)</f>
        <v>1</v>
      </c>
      <c r="BD19" s="5">
        <f>IF(預測IC!BD19&gt;預測IC!BD$26,1,0)</f>
        <v>1</v>
      </c>
      <c r="BE19" s="5">
        <f>IF(預測IC!BE19&gt;預測IC!BE$26,1,0)</f>
        <v>0</v>
      </c>
      <c r="BF19" s="5">
        <f>IF(預測IC!BF19&gt;預測IC!BF$26,1,0)</f>
        <v>1</v>
      </c>
      <c r="BG19" s="5">
        <f>IF(預測IC!BG19&gt;預測IC!BG$26,1,0)</f>
        <v>0</v>
      </c>
      <c r="BH19" s="5">
        <f>IF(預測IC!BH19&gt;預測IC!BH$26,1,0)</f>
        <v>1</v>
      </c>
      <c r="BI19" s="5">
        <f>IF(預測IC!BI19&gt;預測IC!BI$26,1,0)</f>
        <v>1</v>
      </c>
      <c r="BJ19" s="5">
        <f>IF(預測IC!BJ19&gt;預測IC!BJ$26,1,0)</f>
        <v>1</v>
      </c>
      <c r="BK19" s="5">
        <f>IF(預測IC!BK19&gt;預測IC!BK$26,1,0)</f>
        <v>0</v>
      </c>
      <c r="BL19" s="5">
        <f>IF(預測IC!BL19&gt;預測IC!BL$26,1,0)</f>
        <v>1</v>
      </c>
      <c r="BM19" s="5">
        <f>IF(預測IC!BM19&gt;預測IC!BM$26,1,0)</f>
        <v>1</v>
      </c>
      <c r="BN19" s="5">
        <f>IF(預測IC!BN19&gt;預測IC!BN$26,1,0)</f>
        <v>1</v>
      </c>
      <c r="BO19" s="5">
        <f>IF(預測IC!BO19&gt;預測IC!BO$26,1,0)</f>
        <v>1</v>
      </c>
      <c r="BP19" s="5">
        <f>IF(預測IC!BP19&gt;預測IC!BP$26,1,0)</f>
        <v>0</v>
      </c>
      <c r="BQ19" s="5">
        <f>IF(預測IC!BQ19&gt;預測IC!BQ$26,1,0)</f>
        <v>0</v>
      </c>
      <c r="BR19" s="5">
        <f>IF(預測IC!BR19&gt;預測IC!BR$26,1,0)</f>
        <v>1</v>
      </c>
      <c r="BS19" s="5">
        <f>IF(預測IC!BS19&gt;預測IC!BS$26,1,0)</f>
        <v>0</v>
      </c>
      <c r="BT19" s="5">
        <f>IF(預測IC!BT19&gt;預測IC!BT$26,1,0)</f>
        <v>0</v>
      </c>
      <c r="BU19" s="5">
        <f>IF(預測IC!BU19&gt;預測IC!BU$26,1,0)</f>
        <v>1</v>
      </c>
      <c r="BV19" s="5">
        <f>IF(預測IC!BV19&gt;預測IC!BV$26,1,0)</f>
        <v>0</v>
      </c>
      <c r="BW19" s="5">
        <f>IF(預測IC!BW19&gt;預測IC!BW$26,1,0)</f>
        <v>1</v>
      </c>
      <c r="BX19" s="5">
        <f>IF(預測IC!BX19&gt;預測IC!BX$26,1,0)</f>
        <v>0</v>
      </c>
      <c r="BY19" s="5">
        <f>IF(預測IC!BY19&gt;預測IC!BY$26,1,0)</f>
        <v>1</v>
      </c>
      <c r="BZ19" s="5">
        <f>IF(預測IC!BZ19&gt;預測IC!BZ$26,1,0)</f>
        <v>0</v>
      </c>
      <c r="CA19" s="5">
        <f>IF(預測IC!CA19&gt;預測IC!CA$26,1,0)</f>
        <v>0</v>
      </c>
      <c r="CB19" s="5">
        <f>IF(預測IC!CB19&gt;預測IC!CB$26,1,0)</f>
        <v>0</v>
      </c>
      <c r="CC19" s="5">
        <f>IF(預測IC!CC19&gt;預測IC!CC$26,1,0)</f>
        <v>0</v>
      </c>
      <c r="CD19" s="5">
        <f>IF(預測IC!CD19&gt;預測IC!CD$26,1,0)</f>
        <v>0</v>
      </c>
      <c r="CE19" s="5">
        <f>IF(預測IC!CE19&gt;預測IC!CE$26,1,0)</f>
        <v>0</v>
      </c>
      <c r="CF19" s="5">
        <f>IF(預測IC!CF19&gt;預測IC!CF$26,1,0)</f>
        <v>0</v>
      </c>
      <c r="CG19" s="5">
        <f>IF(預測IC!CG19&gt;預測IC!CG$26,1,0)</f>
        <v>0</v>
      </c>
      <c r="CH19" s="5">
        <f>IF(預測IC!CH19&gt;預測IC!CH$26,1,0)</f>
        <v>0</v>
      </c>
      <c r="CI19" s="5">
        <f>IF(預測IC!CI19&gt;預測IC!CI$26,1,0)</f>
        <v>1</v>
      </c>
      <c r="CJ19" s="5">
        <f>IF(預測IC!CJ19&gt;預測IC!CJ$26,1,0)</f>
        <v>1</v>
      </c>
      <c r="CK19" s="5">
        <f>IF(預測IC!CK19&gt;預測IC!CK$26,1,0)</f>
        <v>1</v>
      </c>
      <c r="CL19" s="5">
        <f>IF(預測IC!CL19&gt;預測IC!CL$26,1,0)</f>
        <v>0</v>
      </c>
      <c r="CM19" s="5">
        <f>IF(預測IC!CM19&gt;預測IC!CM$26,1,0)</f>
        <v>1</v>
      </c>
      <c r="CN19" s="5">
        <f>IF(預測IC!CN19&gt;預測IC!CN$26,1,0)</f>
        <v>1</v>
      </c>
      <c r="CO19" s="5">
        <f>IF(預測IC!CO19&gt;預測IC!CO$26,1,0)</f>
        <v>0</v>
      </c>
      <c r="CP19" s="5">
        <f>IF(預測IC!CP19&gt;預測IC!CP$26,1,0)</f>
        <v>0</v>
      </c>
      <c r="CQ19" s="5">
        <f>IF(預測IC!CQ19&gt;預測IC!CQ$26,1,0)</f>
        <v>1</v>
      </c>
      <c r="CR19" s="5">
        <f>IF(預測IC!CR19&gt;預測IC!CR$26,1,0)</f>
        <v>0</v>
      </c>
      <c r="CS19" s="5">
        <f>IF(預測IC!CS19&gt;預測IC!CS$26,1,0)</f>
        <v>1</v>
      </c>
      <c r="CT19" s="5">
        <f>IF(預測IC!CT19&gt;預測IC!CT$26,1,0)</f>
        <v>0</v>
      </c>
      <c r="CU19" s="5">
        <f>IF(預測IC!CU19&gt;預測IC!CU$26,1,0)</f>
        <v>1</v>
      </c>
      <c r="CV19" s="5">
        <f>IF(預測IC!CV19&gt;預測IC!CV$26,1,0)</f>
        <v>0</v>
      </c>
      <c r="CW19" s="5">
        <f>IF(預測IC!CW19&gt;預測IC!CW$26,1,0)</f>
        <v>1</v>
      </c>
      <c r="CX19" s="5">
        <f>IF(預測IC!CX19&gt;預測IC!CX$26,1,0)</f>
        <v>0</v>
      </c>
      <c r="CY19" s="5">
        <f>IF(預測IC!CY19&gt;預測IC!CY$26,1,0)</f>
        <v>0</v>
      </c>
      <c r="CZ19" s="5">
        <f>IF(預測IC!CZ19&gt;預測IC!CZ$26,1,0)</f>
        <v>1</v>
      </c>
      <c r="DA19" s="5">
        <f>IF(預測IC!DA19&gt;預測IC!DA$26,1,0)</f>
        <v>0</v>
      </c>
      <c r="DB19" s="5">
        <f>IF(預測IC!DB19&gt;預測IC!DB$26,1,0)</f>
        <v>1</v>
      </c>
      <c r="DC19" s="5">
        <f>IF(預測IC!DC19&gt;預測IC!DC$26,1,0)</f>
        <v>1</v>
      </c>
      <c r="DD19" s="5">
        <f>IF(預測IC!DD19&gt;預測IC!DD$26,1,0)</f>
        <v>1</v>
      </c>
      <c r="DE19" s="5">
        <f>IF(預測IC!DE19&gt;預測IC!DE$26,1,0)</f>
        <v>0</v>
      </c>
      <c r="DF19" s="5">
        <f>IF(預測IC!DF19&gt;預測IC!DF$26,1,0)</f>
        <v>1</v>
      </c>
      <c r="DG19" s="5">
        <f>IF(預測IC!DG19&gt;預測IC!DG$26,1,0)</f>
        <v>1</v>
      </c>
      <c r="DH19" s="5">
        <f>IF(預測IC!DH19&gt;預測IC!DH$26,1,0)</f>
        <v>0</v>
      </c>
      <c r="DI19" s="5">
        <f>IF(預測IC!DI19&gt;預測IC!DI$26,1,0)</f>
        <v>1</v>
      </c>
      <c r="DJ19" s="5">
        <f>IF(預測IC!DJ19&gt;預測IC!DJ$26,1,0)</f>
        <v>0</v>
      </c>
      <c r="DK19" s="5">
        <f>IF(預測IC!DK19&gt;預測IC!DK$26,1,0)</f>
        <v>0</v>
      </c>
      <c r="DL19" s="5">
        <f>IF(預測IC!DL19&gt;預測IC!DL$26,1,0)</f>
        <v>0</v>
      </c>
      <c r="DM19" s="5">
        <f>IF(預測IC!DM19&gt;預測IC!DM$26,1,0)</f>
        <v>0</v>
      </c>
      <c r="DN19" s="5">
        <f>IF(預測IC!DN19&gt;預測IC!DN$26,1,0)</f>
        <v>1</v>
      </c>
      <c r="DO19" s="5">
        <f>IF(預測IC!DO19&gt;預測IC!DO$26,1,0)</f>
        <v>1</v>
      </c>
      <c r="DP19" s="5">
        <f>IF(預測IC!DP19&gt;預測IC!DP$26,1,0)</f>
        <v>1</v>
      </c>
      <c r="DQ19" s="5">
        <f>IF(預測IC!DQ19&gt;預測IC!DQ$26,1,0)</f>
        <v>0</v>
      </c>
      <c r="DR19" s="5">
        <f>IF(預測IC!DR19&gt;預測IC!DR$26,1,0)</f>
        <v>0</v>
      </c>
      <c r="DS19" s="5">
        <f>IF(預測IC!DS19&gt;預測IC!DS$26,1,0)</f>
        <v>1</v>
      </c>
      <c r="DT19" s="5">
        <f>IF(預測IC!DT19&gt;預測IC!DT$26,1,0)</f>
        <v>0</v>
      </c>
      <c r="DU19" s="5">
        <f>IF(預測IC!DU19&gt;預測IC!DU$26,1,0)</f>
        <v>0</v>
      </c>
      <c r="DV19" s="5">
        <f>IF(預測IC!DV19&gt;預測IC!DV$26,1,0)</f>
        <v>0</v>
      </c>
      <c r="DW19" s="5">
        <f>IF(預測IC!DW19&gt;預測IC!DW$26,1,0)</f>
        <v>1</v>
      </c>
      <c r="DX19" s="5">
        <f>IF(預測IC!DX19&gt;預測IC!DX$26,1,0)</f>
        <v>1</v>
      </c>
      <c r="DY19" s="5">
        <f>IF(預測IC!DY19&gt;預測IC!DY$26,1,0)</f>
        <v>0</v>
      </c>
      <c r="DZ19" s="5">
        <f>IF(預測IC!DZ19&gt;預測IC!DZ$26,1,0)</f>
        <v>0</v>
      </c>
      <c r="EA19" s="5">
        <f>IF(預測IC!EA19&gt;預測IC!EA$26,1,0)</f>
        <v>1</v>
      </c>
      <c r="EB19" s="5">
        <f>IF(預測IC!EB19&gt;預測IC!EB$26,1,0)</f>
        <v>1</v>
      </c>
      <c r="EC19" s="5">
        <f>IF(預測IC!EC19&gt;預測IC!EC$26,1,0)</f>
        <v>0</v>
      </c>
      <c r="ED19" s="5">
        <f>IF(預測IC!ED19&gt;預測IC!ED$26,1,0)</f>
        <v>0</v>
      </c>
      <c r="EE19" s="5">
        <f>IF(預測IC!EE19&gt;預測IC!EE$26,1,0)</f>
        <v>0</v>
      </c>
      <c r="EF19" s="5">
        <f>IF(預測IC!EH19&gt;預測IC!EF$26,1,0)</f>
        <v>1</v>
      </c>
      <c r="EG19" s="7">
        <f t="shared" si="10"/>
        <v>68</v>
      </c>
      <c r="EH19" s="10">
        <f t="shared" si="11"/>
        <v>0.5074626865671642</v>
      </c>
    </row>
    <row r="20" spans="1:138">
      <c r="A20" s="1">
        <v>192</v>
      </c>
      <c r="B20" s="1">
        <v>5</v>
      </c>
      <c r="C20" s="5">
        <f>IF(預測IC!C20&gt;預測IC!C$26,1,0)</f>
        <v>1</v>
      </c>
      <c r="D20" s="5">
        <f>IF(預測IC!D20&gt;預測IC!D$26,1,0)</f>
        <v>1</v>
      </c>
      <c r="E20" s="5">
        <f>IF(預測IC!E20&gt;預測IC!E$26,1,0)</f>
        <v>0</v>
      </c>
      <c r="F20" s="5">
        <f>IF(預測IC!F20&gt;預測IC!F$26,1,0)</f>
        <v>1</v>
      </c>
      <c r="G20" s="5">
        <f>IF(預測IC!G20&gt;預測IC!G$26,1,0)</f>
        <v>0</v>
      </c>
      <c r="H20" s="5">
        <f>IF(預測IC!H20&gt;預測IC!H$26,1,0)</f>
        <v>0</v>
      </c>
      <c r="I20" s="5">
        <f>IF(預測IC!I20&gt;預測IC!I$26,1,0)</f>
        <v>0</v>
      </c>
      <c r="J20" s="5">
        <f>IF(預測IC!J20&gt;預測IC!J$26,1,0)</f>
        <v>1</v>
      </c>
      <c r="K20" s="5">
        <f>IF(預測IC!K20&gt;預測IC!K$26,1,0)</f>
        <v>1</v>
      </c>
      <c r="L20" s="5">
        <f>IF(預測IC!L20&gt;預測IC!L$26,1,0)</f>
        <v>0</v>
      </c>
      <c r="M20" s="5">
        <f>IF(預測IC!M20&gt;預測IC!M$26,1,0)</f>
        <v>0</v>
      </c>
      <c r="N20" s="5">
        <f>IF(預測IC!N20&gt;預測IC!N$26,1,0)</f>
        <v>1</v>
      </c>
      <c r="O20" s="5">
        <f>IF(預測IC!O20&gt;預測IC!O$26,1,0)</f>
        <v>1</v>
      </c>
      <c r="P20" s="5">
        <f>IF(預測IC!P20&gt;預測IC!P$26,1,0)</f>
        <v>1</v>
      </c>
      <c r="Q20" s="5">
        <f>IF(預測IC!Q20&gt;預測IC!Q$26,1,0)</f>
        <v>1</v>
      </c>
      <c r="R20" s="5">
        <f>IF(預測IC!R20&gt;預測IC!R$26,1,0)</f>
        <v>1</v>
      </c>
      <c r="S20" s="5">
        <f>IF(預測IC!S20&gt;預測IC!S$26,1,0)</f>
        <v>1</v>
      </c>
      <c r="T20" s="5">
        <f>IF(預測IC!T20&gt;預測IC!T$26,1,0)</f>
        <v>1</v>
      </c>
      <c r="U20" s="5">
        <f>IF(預測IC!U20&gt;預測IC!U$26,1,0)</f>
        <v>1</v>
      </c>
      <c r="V20" s="5">
        <f>IF(預測IC!V20&gt;預測IC!V$26,1,0)</f>
        <v>1</v>
      </c>
      <c r="W20" s="5">
        <f>IF(預測IC!W20&gt;預測IC!W$26,1,0)</f>
        <v>1</v>
      </c>
      <c r="X20" s="5">
        <f>IF(預測IC!X20&gt;預測IC!X$26,1,0)</f>
        <v>1</v>
      </c>
      <c r="Y20" s="5">
        <f>IF(預測IC!Y20&gt;預測IC!Y$26,1,0)</f>
        <v>1</v>
      </c>
      <c r="Z20" s="5">
        <f>IF(預測IC!Z20&gt;預測IC!Z$26,1,0)</f>
        <v>1</v>
      </c>
      <c r="AA20" s="5">
        <f>IF(預測IC!AA20&gt;預測IC!AA$26,1,0)</f>
        <v>1</v>
      </c>
      <c r="AB20" s="5">
        <f>IF(預測IC!AB20&gt;預測IC!AB$26,1,0)</f>
        <v>0</v>
      </c>
      <c r="AC20" s="5">
        <f>IF(預測IC!AC20&gt;預測IC!AC$26,1,0)</f>
        <v>1</v>
      </c>
      <c r="AD20" s="5">
        <f>IF(預測IC!AD20&gt;預測IC!AD$26,1,0)</f>
        <v>1</v>
      </c>
      <c r="AE20" s="5">
        <f>IF(預測IC!AE20&gt;預測IC!AE$26,1,0)</f>
        <v>1</v>
      </c>
      <c r="AF20" s="5">
        <f>IF(預測IC!AF20&gt;預測IC!AF$26,1,0)</f>
        <v>0</v>
      </c>
      <c r="AG20" s="5">
        <f>IF(預測IC!AG20&gt;預測IC!AG$26,1,0)</f>
        <v>0</v>
      </c>
      <c r="AH20" s="5">
        <f>IF(預測IC!AH20&gt;預測IC!AH$26,1,0)</f>
        <v>1</v>
      </c>
      <c r="AI20" s="5">
        <f>IF(預測IC!AI20&gt;預測IC!AI$26,1,0)</f>
        <v>0</v>
      </c>
      <c r="AJ20" s="5">
        <f>IF(預測IC!AJ20&gt;預測IC!AJ$26,1,0)</f>
        <v>0</v>
      </c>
      <c r="AK20" s="5">
        <f>IF(預測IC!AK20&gt;預測IC!AK$26,1,0)</f>
        <v>0</v>
      </c>
      <c r="AL20" s="5">
        <f>IF(預測IC!AL20&gt;預測IC!AL$26,1,0)</f>
        <v>1</v>
      </c>
      <c r="AM20" s="5">
        <f>IF(預測IC!AM20&gt;預測IC!AM$26,1,0)</f>
        <v>1</v>
      </c>
      <c r="AN20" s="5">
        <f>IF(預測IC!AN20&gt;預測IC!AN$26,1,0)</f>
        <v>1</v>
      </c>
      <c r="AO20" s="5">
        <f>IF(預測IC!AO20&gt;預測IC!AO$26,1,0)</f>
        <v>1</v>
      </c>
      <c r="AP20" s="5">
        <f>IF(預測IC!AP20&gt;預測IC!AP$26,1,0)</f>
        <v>0</v>
      </c>
      <c r="AQ20" s="5">
        <f>IF(預測IC!AQ20&gt;預測IC!AQ$26,1,0)</f>
        <v>0</v>
      </c>
      <c r="AR20" s="5">
        <f>IF(預測IC!AR20&gt;預測IC!AR$26,1,0)</f>
        <v>0</v>
      </c>
      <c r="AS20" s="5">
        <f>IF(預測IC!AS20&gt;預測IC!AS$26,1,0)</f>
        <v>1</v>
      </c>
      <c r="AT20" s="5">
        <f>IF(預測IC!AT20&gt;預測IC!AT$26,1,0)</f>
        <v>1</v>
      </c>
      <c r="AU20" s="5">
        <f>IF(預測IC!AU20&gt;預測IC!AU$26,1,0)</f>
        <v>1</v>
      </c>
      <c r="AV20" s="5">
        <f>IF(預測IC!AV20&gt;預測IC!AV$26,1,0)</f>
        <v>1</v>
      </c>
      <c r="AW20" s="5">
        <f>IF(預測IC!AW20&gt;預測IC!AW$26,1,0)</f>
        <v>1</v>
      </c>
      <c r="AX20" s="5">
        <f>IF(預測IC!AX20&gt;預測IC!AX$26,1,0)</f>
        <v>0</v>
      </c>
      <c r="AY20" s="5">
        <f>IF(預測IC!AY20&gt;預測IC!AY$26,1,0)</f>
        <v>1</v>
      </c>
      <c r="AZ20" s="5">
        <f>IF(預測IC!AZ20&gt;預測IC!AZ$26,1,0)</f>
        <v>0</v>
      </c>
      <c r="BA20" s="5">
        <f>IF(預測IC!BA20&gt;預測IC!BA$26,1,0)</f>
        <v>0</v>
      </c>
      <c r="BB20" s="5">
        <f>IF(預測IC!BB20&gt;預測IC!BB$26,1,0)</f>
        <v>1</v>
      </c>
      <c r="BC20" s="5">
        <f>IF(預測IC!BC20&gt;預測IC!BC$26,1,0)</f>
        <v>1</v>
      </c>
      <c r="BD20" s="5">
        <f>IF(預測IC!BD20&gt;預測IC!BD$26,1,0)</f>
        <v>0</v>
      </c>
      <c r="BE20" s="5">
        <f>IF(預測IC!BE20&gt;預測IC!BE$26,1,0)</f>
        <v>0</v>
      </c>
      <c r="BF20" s="5">
        <f>IF(預測IC!BF20&gt;預測IC!BF$26,1,0)</f>
        <v>1</v>
      </c>
      <c r="BG20" s="5">
        <f>IF(預測IC!BG20&gt;預測IC!BG$26,1,0)</f>
        <v>0</v>
      </c>
      <c r="BH20" s="5">
        <f>IF(預測IC!BH20&gt;預測IC!BH$26,1,0)</f>
        <v>1</v>
      </c>
      <c r="BI20" s="5">
        <f>IF(預測IC!BI20&gt;預測IC!BI$26,1,0)</f>
        <v>1</v>
      </c>
      <c r="BJ20" s="5">
        <f>IF(預測IC!BJ20&gt;預測IC!BJ$26,1,0)</f>
        <v>1</v>
      </c>
      <c r="BK20" s="5">
        <f>IF(預測IC!BK20&gt;預測IC!BK$26,1,0)</f>
        <v>0</v>
      </c>
      <c r="BL20" s="5">
        <f>IF(預測IC!BL20&gt;預測IC!BL$26,1,0)</f>
        <v>1</v>
      </c>
      <c r="BM20" s="5">
        <f>IF(預測IC!BM20&gt;預測IC!BM$26,1,0)</f>
        <v>1</v>
      </c>
      <c r="BN20" s="5">
        <f>IF(預測IC!BN20&gt;預測IC!BN$26,1,0)</f>
        <v>1</v>
      </c>
      <c r="BO20" s="5">
        <f>IF(預測IC!BO20&gt;預測IC!BO$26,1,0)</f>
        <v>1</v>
      </c>
      <c r="BP20" s="5">
        <f>IF(預測IC!BP20&gt;預測IC!BP$26,1,0)</f>
        <v>0</v>
      </c>
      <c r="BQ20" s="5">
        <f>IF(預測IC!BQ20&gt;預測IC!BQ$26,1,0)</f>
        <v>0</v>
      </c>
      <c r="BR20" s="5">
        <f>IF(預測IC!BR20&gt;預測IC!BR$26,1,0)</f>
        <v>1</v>
      </c>
      <c r="BS20" s="5">
        <f>IF(預測IC!BS20&gt;預測IC!BS$26,1,0)</f>
        <v>1</v>
      </c>
      <c r="BT20" s="5">
        <f>IF(預測IC!BT20&gt;預測IC!BT$26,1,0)</f>
        <v>0</v>
      </c>
      <c r="BU20" s="5">
        <f>IF(預測IC!BU20&gt;預測IC!BU$26,1,0)</f>
        <v>1</v>
      </c>
      <c r="BV20" s="5">
        <f>IF(預測IC!BV20&gt;預測IC!BV$26,1,0)</f>
        <v>0</v>
      </c>
      <c r="BW20" s="5">
        <f>IF(預測IC!BW20&gt;預測IC!BW$26,1,0)</f>
        <v>1</v>
      </c>
      <c r="BX20" s="5">
        <f>IF(預測IC!BX20&gt;預測IC!BX$26,1,0)</f>
        <v>0</v>
      </c>
      <c r="BY20" s="5">
        <f>IF(預測IC!BY20&gt;預測IC!BY$26,1,0)</f>
        <v>1</v>
      </c>
      <c r="BZ20" s="5">
        <f>IF(預測IC!BZ20&gt;預測IC!BZ$26,1,0)</f>
        <v>0</v>
      </c>
      <c r="CA20" s="5">
        <f>IF(預測IC!CA20&gt;預測IC!CA$26,1,0)</f>
        <v>0</v>
      </c>
      <c r="CB20" s="5">
        <f>IF(預測IC!CB20&gt;預測IC!CB$26,1,0)</f>
        <v>0</v>
      </c>
      <c r="CC20" s="5">
        <f>IF(預測IC!CC20&gt;預測IC!CC$26,1,0)</f>
        <v>0</v>
      </c>
      <c r="CD20" s="5">
        <f>IF(預測IC!CD20&gt;預測IC!CD$26,1,0)</f>
        <v>0</v>
      </c>
      <c r="CE20" s="5">
        <f>IF(預測IC!CE20&gt;預測IC!CE$26,1,0)</f>
        <v>0</v>
      </c>
      <c r="CF20" s="5">
        <f>IF(預測IC!CF20&gt;預測IC!CF$26,1,0)</f>
        <v>0</v>
      </c>
      <c r="CG20" s="5">
        <f>IF(預測IC!CG20&gt;預測IC!CG$26,1,0)</f>
        <v>0</v>
      </c>
      <c r="CH20" s="5">
        <f>IF(預測IC!CH20&gt;預測IC!CH$26,1,0)</f>
        <v>0</v>
      </c>
      <c r="CI20" s="5">
        <f>IF(預測IC!CI20&gt;預測IC!CI$26,1,0)</f>
        <v>1</v>
      </c>
      <c r="CJ20" s="5">
        <f>IF(預測IC!CJ20&gt;預測IC!CJ$26,1,0)</f>
        <v>1</v>
      </c>
      <c r="CK20" s="5">
        <f>IF(預測IC!CK20&gt;預測IC!CK$26,1,0)</f>
        <v>1</v>
      </c>
      <c r="CL20" s="5">
        <f>IF(預測IC!CL20&gt;預測IC!CL$26,1,0)</f>
        <v>0</v>
      </c>
      <c r="CM20" s="5">
        <f>IF(預測IC!CM20&gt;預測IC!CM$26,1,0)</f>
        <v>1</v>
      </c>
      <c r="CN20" s="5">
        <f>IF(預測IC!CN20&gt;預測IC!CN$26,1,0)</f>
        <v>0</v>
      </c>
      <c r="CO20" s="5">
        <f>IF(預測IC!CO20&gt;預測IC!CO$26,1,0)</f>
        <v>0</v>
      </c>
      <c r="CP20" s="5">
        <f>IF(預測IC!CP20&gt;預測IC!CP$26,1,0)</f>
        <v>0</v>
      </c>
      <c r="CQ20" s="5">
        <f>IF(預測IC!CQ20&gt;預測IC!CQ$26,1,0)</f>
        <v>1</v>
      </c>
      <c r="CR20" s="5">
        <f>IF(預測IC!CR20&gt;預測IC!CR$26,1,0)</f>
        <v>0</v>
      </c>
      <c r="CS20" s="5">
        <f>IF(預測IC!CS20&gt;預測IC!CS$26,1,0)</f>
        <v>0</v>
      </c>
      <c r="CT20" s="5">
        <f>IF(預測IC!CT20&gt;預測IC!CT$26,1,0)</f>
        <v>0</v>
      </c>
      <c r="CU20" s="5">
        <f>IF(預測IC!CU20&gt;預測IC!CU$26,1,0)</f>
        <v>1</v>
      </c>
      <c r="CV20" s="5">
        <f>IF(預測IC!CV20&gt;預測IC!CV$26,1,0)</f>
        <v>0</v>
      </c>
      <c r="CW20" s="5">
        <f>IF(預測IC!CW20&gt;預測IC!CW$26,1,0)</f>
        <v>1</v>
      </c>
      <c r="CX20" s="5">
        <f>IF(預測IC!CX20&gt;預測IC!CX$26,1,0)</f>
        <v>0</v>
      </c>
      <c r="CY20" s="5">
        <f>IF(預測IC!CY20&gt;預測IC!CY$26,1,0)</f>
        <v>0</v>
      </c>
      <c r="CZ20" s="5">
        <f>IF(預測IC!CZ20&gt;預測IC!CZ$26,1,0)</f>
        <v>1</v>
      </c>
      <c r="DA20" s="5">
        <f>IF(預測IC!DA20&gt;預測IC!DA$26,1,0)</f>
        <v>0</v>
      </c>
      <c r="DB20" s="5">
        <f>IF(預測IC!DB20&gt;預測IC!DB$26,1,0)</f>
        <v>1</v>
      </c>
      <c r="DC20" s="5">
        <f>IF(預測IC!DC20&gt;預測IC!DC$26,1,0)</f>
        <v>1</v>
      </c>
      <c r="DD20" s="5">
        <f>IF(預測IC!DD20&gt;預測IC!DD$26,1,0)</f>
        <v>1</v>
      </c>
      <c r="DE20" s="5">
        <f>IF(預測IC!DE20&gt;預測IC!DE$26,1,0)</f>
        <v>0</v>
      </c>
      <c r="DF20" s="5">
        <f>IF(預測IC!DF20&gt;預測IC!DF$26,1,0)</f>
        <v>1</v>
      </c>
      <c r="DG20" s="5">
        <f>IF(預測IC!DG20&gt;預測IC!DG$26,1,0)</f>
        <v>1</v>
      </c>
      <c r="DH20" s="5">
        <f>IF(預測IC!DH20&gt;預測IC!DH$26,1,0)</f>
        <v>0</v>
      </c>
      <c r="DI20" s="5">
        <f>IF(預測IC!DI20&gt;預測IC!DI$26,1,0)</f>
        <v>1</v>
      </c>
      <c r="DJ20" s="5">
        <f>IF(預測IC!DJ20&gt;預測IC!DJ$26,1,0)</f>
        <v>0</v>
      </c>
      <c r="DK20" s="5">
        <f>IF(預測IC!DK20&gt;預測IC!DK$26,1,0)</f>
        <v>0</v>
      </c>
      <c r="DL20" s="5">
        <f>IF(預測IC!DL20&gt;預測IC!DL$26,1,0)</f>
        <v>0</v>
      </c>
      <c r="DM20" s="5">
        <f>IF(預測IC!DM20&gt;預測IC!DM$26,1,0)</f>
        <v>1</v>
      </c>
      <c r="DN20" s="5">
        <f>IF(預測IC!DN20&gt;預測IC!DN$26,1,0)</f>
        <v>1</v>
      </c>
      <c r="DO20" s="5">
        <f>IF(預測IC!DO20&gt;預測IC!DO$26,1,0)</f>
        <v>1</v>
      </c>
      <c r="DP20" s="5">
        <f>IF(預測IC!DP20&gt;預測IC!DP$26,1,0)</f>
        <v>1</v>
      </c>
      <c r="DQ20" s="5">
        <f>IF(預測IC!DQ20&gt;預測IC!DQ$26,1,0)</f>
        <v>0</v>
      </c>
      <c r="DR20" s="5">
        <f>IF(預測IC!DR20&gt;預測IC!DR$26,1,0)</f>
        <v>0</v>
      </c>
      <c r="DS20" s="5">
        <f>IF(預測IC!DS20&gt;預測IC!DS$26,1,0)</f>
        <v>0</v>
      </c>
      <c r="DT20" s="5">
        <f>IF(預測IC!DT20&gt;預測IC!DT$26,1,0)</f>
        <v>0</v>
      </c>
      <c r="DU20" s="5">
        <f>IF(預測IC!DU20&gt;預測IC!DU$26,1,0)</f>
        <v>0</v>
      </c>
      <c r="DV20" s="5">
        <f>IF(預測IC!DV20&gt;預測IC!DV$26,1,0)</f>
        <v>0</v>
      </c>
      <c r="DW20" s="5">
        <f>IF(預測IC!DW20&gt;預測IC!DW$26,1,0)</f>
        <v>1</v>
      </c>
      <c r="DX20" s="5">
        <f>IF(預測IC!DX20&gt;預測IC!DX$26,1,0)</f>
        <v>1</v>
      </c>
      <c r="DY20" s="5">
        <f>IF(預測IC!DY20&gt;預測IC!DY$26,1,0)</f>
        <v>0</v>
      </c>
      <c r="DZ20" s="5">
        <f>IF(預測IC!DZ20&gt;預測IC!DZ$26,1,0)</f>
        <v>1</v>
      </c>
      <c r="EA20" s="5">
        <f>IF(預測IC!EA20&gt;預測IC!EA$26,1,0)</f>
        <v>1</v>
      </c>
      <c r="EB20" s="5">
        <f>IF(預測IC!EB20&gt;預測IC!EB$26,1,0)</f>
        <v>1</v>
      </c>
      <c r="EC20" s="5">
        <f>IF(預測IC!EC20&gt;預測IC!EC$26,1,0)</f>
        <v>0</v>
      </c>
      <c r="ED20" s="5">
        <f>IF(預測IC!ED20&gt;預測IC!ED$26,1,0)</f>
        <v>0</v>
      </c>
      <c r="EE20" s="5">
        <f>IF(預測IC!EE20&gt;預測IC!EE$26,1,0)</f>
        <v>0</v>
      </c>
      <c r="EF20" s="5">
        <f>IF(預測IC!EH20&gt;預測IC!EF$26,1,0)</f>
        <v>1</v>
      </c>
      <c r="EG20" s="7">
        <f t="shared" si="10"/>
        <v>72</v>
      </c>
      <c r="EH20" s="10">
        <f t="shared" si="11"/>
        <v>0.53731343283582089</v>
      </c>
    </row>
    <row r="21" spans="1:138">
      <c r="A21" s="1">
        <v>241</v>
      </c>
      <c r="B21" s="1">
        <v>4</v>
      </c>
      <c r="C21" s="5">
        <f>IF(預測IC!C21&gt;預測IC!C$26,1,0)</f>
        <v>1</v>
      </c>
      <c r="D21" s="5">
        <f>IF(預測IC!D21&gt;預測IC!D$26,1,0)</f>
        <v>1</v>
      </c>
      <c r="E21" s="5">
        <f>IF(預測IC!E21&gt;預測IC!E$26,1,0)</f>
        <v>0</v>
      </c>
      <c r="F21" s="5">
        <f>IF(預測IC!F21&gt;預測IC!F$26,1,0)</f>
        <v>1</v>
      </c>
      <c r="G21" s="5">
        <f>IF(預測IC!G21&gt;預測IC!G$26,1,0)</f>
        <v>0</v>
      </c>
      <c r="H21" s="5">
        <f>IF(預測IC!H21&gt;預測IC!H$26,1,0)</f>
        <v>0</v>
      </c>
      <c r="I21" s="5">
        <f>IF(預測IC!I21&gt;預測IC!I$26,1,0)</f>
        <v>0</v>
      </c>
      <c r="J21" s="5">
        <f>IF(預測IC!J21&gt;預測IC!J$26,1,0)</f>
        <v>1</v>
      </c>
      <c r="K21" s="5">
        <f>IF(預測IC!K21&gt;預測IC!K$26,1,0)</f>
        <v>1</v>
      </c>
      <c r="L21" s="5">
        <f>IF(預測IC!L21&gt;預測IC!L$26,1,0)</f>
        <v>0</v>
      </c>
      <c r="M21" s="5">
        <f>IF(預測IC!M21&gt;預測IC!M$26,1,0)</f>
        <v>0</v>
      </c>
      <c r="N21" s="5">
        <f>IF(預測IC!N21&gt;預測IC!N$26,1,0)</f>
        <v>1</v>
      </c>
      <c r="O21" s="5">
        <f>IF(預測IC!O21&gt;預測IC!O$26,1,0)</f>
        <v>1</v>
      </c>
      <c r="P21" s="5">
        <f>IF(預測IC!P21&gt;預測IC!P$26,1,0)</f>
        <v>1</v>
      </c>
      <c r="Q21" s="5">
        <f>IF(預測IC!Q21&gt;預測IC!Q$26,1,0)</f>
        <v>1</v>
      </c>
      <c r="R21" s="5">
        <f>IF(預測IC!R21&gt;預測IC!R$26,1,0)</f>
        <v>1</v>
      </c>
      <c r="S21" s="5">
        <f>IF(預測IC!S21&gt;預測IC!S$26,1,0)</f>
        <v>1</v>
      </c>
      <c r="T21" s="5">
        <f>IF(預測IC!T21&gt;預測IC!T$26,1,0)</f>
        <v>1</v>
      </c>
      <c r="U21" s="5">
        <f>IF(預測IC!U21&gt;預測IC!U$26,1,0)</f>
        <v>1</v>
      </c>
      <c r="V21" s="5">
        <f>IF(預測IC!V21&gt;預測IC!V$26,1,0)</f>
        <v>1</v>
      </c>
      <c r="W21" s="5">
        <f>IF(預測IC!W21&gt;預測IC!W$26,1,0)</f>
        <v>1</v>
      </c>
      <c r="X21" s="5">
        <f>IF(預測IC!X21&gt;預測IC!X$26,1,0)</f>
        <v>1</v>
      </c>
      <c r="Y21" s="5">
        <f>IF(預測IC!Y21&gt;預測IC!Y$26,1,0)</f>
        <v>1</v>
      </c>
      <c r="Z21" s="5">
        <f>IF(預測IC!Z21&gt;預測IC!Z$26,1,0)</f>
        <v>1</v>
      </c>
      <c r="AA21" s="5">
        <f>IF(預測IC!AA21&gt;預測IC!AA$26,1,0)</f>
        <v>1</v>
      </c>
      <c r="AB21" s="5">
        <f>IF(預測IC!AB21&gt;預測IC!AB$26,1,0)</f>
        <v>0</v>
      </c>
      <c r="AC21" s="5">
        <f>IF(預測IC!AC21&gt;預測IC!AC$26,1,0)</f>
        <v>0</v>
      </c>
      <c r="AD21" s="5">
        <f>IF(預測IC!AD21&gt;預測IC!AD$26,1,0)</f>
        <v>1</v>
      </c>
      <c r="AE21" s="5">
        <f>IF(預測IC!AE21&gt;預測IC!AE$26,1,0)</f>
        <v>1</v>
      </c>
      <c r="AF21" s="5">
        <f>IF(預測IC!AF21&gt;預測IC!AF$26,1,0)</f>
        <v>0</v>
      </c>
      <c r="AG21" s="5">
        <f>IF(預測IC!AG21&gt;預測IC!AG$26,1,0)</f>
        <v>0</v>
      </c>
      <c r="AH21" s="5">
        <f>IF(預測IC!AH21&gt;預測IC!AH$26,1,0)</f>
        <v>1</v>
      </c>
      <c r="AI21" s="5">
        <f>IF(預測IC!AI21&gt;預測IC!AI$26,1,0)</f>
        <v>0</v>
      </c>
      <c r="AJ21" s="5">
        <f>IF(預測IC!AJ21&gt;預測IC!AJ$26,1,0)</f>
        <v>0</v>
      </c>
      <c r="AK21" s="5">
        <f>IF(預測IC!AK21&gt;預測IC!AK$26,1,0)</f>
        <v>1</v>
      </c>
      <c r="AL21" s="5">
        <f>IF(預測IC!AL21&gt;預測IC!AL$26,1,0)</f>
        <v>1</v>
      </c>
      <c r="AM21" s="5">
        <f>IF(預測IC!AM21&gt;預測IC!AM$26,1,0)</f>
        <v>1</v>
      </c>
      <c r="AN21" s="5">
        <f>IF(預測IC!AN21&gt;預測IC!AN$26,1,0)</f>
        <v>1</v>
      </c>
      <c r="AO21" s="5">
        <f>IF(預測IC!AO21&gt;預測IC!AO$26,1,0)</f>
        <v>1</v>
      </c>
      <c r="AP21" s="5">
        <f>IF(預測IC!AP21&gt;預測IC!AP$26,1,0)</f>
        <v>0</v>
      </c>
      <c r="AQ21" s="5">
        <f>IF(預測IC!AQ21&gt;預測IC!AQ$26,1,0)</f>
        <v>0</v>
      </c>
      <c r="AR21" s="5">
        <f>IF(預測IC!AR21&gt;預測IC!AR$26,1,0)</f>
        <v>1</v>
      </c>
      <c r="AS21" s="5">
        <f>IF(預測IC!AS21&gt;預測IC!AS$26,1,0)</f>
        <v>1</v>
      </c>
      <c r="AT21" s="5">
        <f>IF(預測IC!AT21&gt;預測IC!AT$26,1,0)</f>
        <v>1</v>
      </c>
      <c r="AU21" s="5">
        <f>IF(預測IC!AU21&gt;預測IC!AU$26,1,0)</f>
        <v>1</v>
      </c>
      <c r="AV21" s="5">
        <f>IF(預測IC!AV21&gt;預測IC!AV$26,1,0)</f>
        <v>1</v>
      </c>
      <c r="AW21" s="5">
        <f>IF(預測IC!AW21&gt;預測IC!AW$26,1,0)</f>
        <v>1</v>
      </c>
      <c r="AX21" s="5">
        <f>IF(預測IC!AX21&gt;預測IC!AX$26,1,0)</f>
        <v>0</v>
      </c>
      <c r="AY21" s="5">
        <f>IF(預測IC!AY21&gt;預測IC!AY$26,1,0)</f>
        <v>1</v>
      </c>
      <c r="AZ21" s="5">
        <f>IF(預測IC!AZ21&gt;預測IC!AZ$26,1,0)</f>
        <v>0</v>
      </c>
      <c r="BA21" s="5">
        <f>IF(預測IC!BA21&gt;預測IC!BA$26,1,0)</f>
        <v>0</v>
      </c>
      <c r="BB21" s="5">
        <f>IF(預測IC!BB21&gt;預測IC!BB$26,1,0)</f>
        <v>1</v>
      </c>
      <c r="BC21" s="5">
        <f>IF(預測IC!BC21&gt;預測IC!BC$26,1,0)</f>
        <v>1</v>
      </c>
      <c r="BD21" s="5">
        <f>IF(預測IC!BD21&gt;預測IC!BD$26,1,0)</f>
        <v>0</v>
      </c>
      <c r="BE21" s="5">
        <f>IF(預測IC!BE21&gt;預測IC!BE$26,1,0)</f>
        <v>0</v>
      </c>
      <c r="BF21" s="5">
        <f>IF(預測IC!BF21&gt;預測IC!BF$26,1,0)</f>
        <v>1</v>
      </c>
      <c r="BG21" s="5">
        <f>IF(預測IC!BG21&gt;預測IC!BG$26,1,0)</f>
        <v>1</v>
      </c>
      <c r="BH21" s="5">
        <f>IF(預測IC!BH21&gt;預測IC!BH$26,1,0)</f>
        <v>1</v>
      </c>
      <c r="BI21" s="5">
        <f>IF(預測IC!BI21&gt;預測IC!BI$26,1,0)</f>
        <v>1</v>
      </c>
      <c r="BJ21" s="5">
        <f>IF(預測IC!BJ21&gt;預測IC!BJ$26,1,0)</f>
        <v>1</v>
      </c>
      <c r="BK21" s="5">
        <f>IF(預測IC!BK21&gt;預測IC!BK$26,1,0)</f>
        <v>0</v>
      </c>
      <c r="BL21" s="5">
        <f>IF(預測IC!BL21&gt;預測IC!BL$26,1,0)</f>
        <v>1</v>
      </c>
      <c r="BM21" s="5">
        <f>IF(預測IC!BM21&gt;預測IC!BM$26,1,0)</f>
        <v>1</v>
      </c>
      <c r="BN21" s="5">
        <f>IF(預測IC!BN21&gt;預測IC!BN$26,1,0)</f>
        <v>1</v>
      </c>
      <c r="BO21" s="5">
        <f>IF(預測IC!BO21&gt;預測IC!BO$26,1,0)</f>
        <v>1</v>
      </c>
      <c r="BP21" s="5">
        <f>IF(預測IC!BP21&gt;預測IC!BP$26,1,0)</f>
        <v>0</v>
      </c>
      <c r="BQ21" s="5">
        <f>IF(預測IC!BQ21&gt;預測IC!BQ$26,1,0)</f>
        <v>0</v>
      </c>
      <c r="BR21" s="5">
        <f>IF(預測IC!BR21&gt;預測IC!BR$26,1,0)</f>
        <v>1</v>
      </c>
      <c r="BS21" s="5">
        <f>IF(預測IC!BS21&gt;預測IC!BS$26,1,0)</f>
        <v>1</v>
      </c>
      <c r="BT21" s="5">
        <f>IF(預測IC!BT21&gt;預測IC!BT$26,1,0)</f>
        <v>0</v>
      </c>
      <c r="BU21" s="5">
        <f>IF(預測IC!BU21&gt;預測IC!BU$26,1,0)</f>
        <v>1</v>
      </c>
      <c r="BV21" s="5">
        <f>IF(預測IC!BV21&gt;預測IC!BV$26,1,0)</f>
        <v>0</v>
      </c>
      <c r="BW21" s="5">
        <f>IF(預測IC!BW21&gt;預測IC!BW$26,1,0)</f>
        <v>1</v>
      </c>
      <c r="BX21" s="5">
        <f>IF(預測IC!BX21&gt;預測IC!BX$26,1,0)</f>
        <v>0</v>
      </c>
      <c r="BY21" s="5">
        <f>IF(預測IC!BY21&gt;預測IC!BY$26,1,0)</f>
        <v>1</v>
      </c>
      <c r="BZ21" s="5">
        <f>IF(預測IC!BZ21&gt;預測IC!BZ$26,1,0)</f>
        <v>0</v>
      </c>
      <c r="CA21" s="5">
        <f>IF(預測IC!CA21&gt;預測IC!CA$26,1,0)</f>
        <v>0</v>
      </c>
      <c r="CB21" s="5">
        <f>IF(預測IC!CB21&gt;預測IC!CB$26,1,0)</f>
        <v>0</v>
      </c>
      <c r="CC21" s="5">
        <f>IF(預測IC!CC21&gt;預測IC!CC$26,1,0)</f>
        <v>0</v>
      </c>
      <c r="CD21" s="5">
        <f>IF(預測IC!CD21&gt;預測IC!CD$26,1,0)</f>
        <v>0</v>
      </c>
      <c r="CE21" s="5">
        <f>IF(預測IC!CE21&gt;預測IC!CE$26,1,0)</f>
        <v>0</v>
      </c>
      <c r="CF21" s="5">
        <f>IF(預測IC!CF21&gt;預測IC!CF$26,1,0)</f>
        <v>0</v>
      </c>
      <c r="CG21" s="5">
        <f>IF(預測IC!CG21&gt;預測IC!CG$26,1,0)</f>
        <v>0</v>
      </c>
      <c r="CH21" s="5">
        <f>IF(預測IC!CH21&gt;預測IC!CH$26,1,0)</f>
        <v>1</v>
      </c>
      <c r="CI21" s="5">
        <f>IF(預測IC!CI21&gt;預測IC!CI$26,1,0)</f>
        <v>1</v>
      </c>
      <c r="CJ21" s="5">
        <f>IF(預測IC!CJ21&gt;預測IC!CJ$26,1,0)</f>
        <v>1</v>
      </c>
      <c r="CK21" s="5">
        <f>IF(預測IC!CK21&gt;預測IC!CK$26,1,0)</f>
        <v>1</v>
      </c>
      <c r="CL21" s="5">
        <f>IF(預測IC!CL21&gt;預測IC!CL$26,1,0)</f>
        <v>0</v>
      </c>
      <c r="CM21" s="5">
        <f>IF(預測IC!CM21&gt;預測IC!CM$26,1,0)</f>
        <v>1</v>
      </c>
      <c r="CN21" s="5">
        <f>IF(預測IC!CN21&gt;預測IC!CN$26,1,0)</f>
        <v>0</v>
      </c>
      <c r="CO21" s="5">
        <f>IF(預測IC!CO21&gt;預測IC!CO$26,1,0)</f>
        <v>0</v>
      </c>
      <c r="CP21" s="5">
        <f>IF(預測IC!CP21&gt;預測IC!CP$26,1,0)</f>
        <v>0</v>
      </c>
      <c r="CQ21" s="5">
        <f>IF(預測IC!CQ21&gt;預測IC!CQ$26,1,0)</f>
        <v>1</v>
      </c>
      <c r="CR21" s="5">
        <f>IF(預測IC!CR21&gt;預測IC!CR$26,1,0)</f>
        <v>0</v>
      </c>
      <c r="CS21" s="5">
        <f>IF(預測IC!CS21&gt;預測IC!CS$26,1,0)</f>
        <v>1</v>
      </c>
      <c r="CT21" s="5">
        <f>IF(預測IC!CT21&gt;預測IC!CT$26,1,0)</f>
        <v>0</v>
      </c>
      <c r="CU21" s="5">
        <f>IF(預測IC!CU21&gt;預測IC!CU$26,1,0)</f>
        <v>1</v>
      </c>
      <c r="CV21" s="5">
        <f>IF(預測IC!CV21&gt;預測IC!CV$26,1,0)</f>
        <v>0</v>
      </c>
      <c r="CW21" s="5">
        <f>IF(預測IC!CW21&gt;預測IC!CW$26,1,0)</f>
        <v>1</v>
      </c>
      <c r="CX21" s="5">
        <f>IF(預測IC!CX21&gt;預測IC!CX$26,1,0)</f>
        <v>0</v>
      </c>
      <c r="CY21" s="5">
        <f>IF(預測IC!CY21&gt;預測IC!CY$26,1,0)</f>
        <v>0</v>
      </c>
      <c r="CZ21" s="5">
        <f>IF(預測IC!CZ21&gt;預測IC!CZ$26,1,0)</f>
        <v>1</v>
      </c>
      <c r="DA21" s="5">
        <f>IF(預測IC!DA21&gt;預測IC!DA$26,1,0)</f>
        <v>0</v>
      </c>
      <c r="DB21" s="5">
        <f>IF(預測IC!DB21&gt;預測IC!DB$26,1,0)</f>
        <v>1</v>
      </c>
      <c r="DC21" s="5">
        <f>IF(預測IC!DC21&gt;預測IC!DC$26,1,0)</f>
        <v>1</v>
      </c>
      <c r="DD21" s="5">
        <f>IF(預測IC!DD21&gt;預測IC!DD$26,1,0)</f>
        <v>1</v>
      </c>
      <c r="DE21" s="5">
        <f>IF(預測IC!DE21&gt;預測IC!DE$26,1,0)</f>
        <v>0</v>
      </c>
      <c r="DF21" s="5">
        <f>IF(預測IC!DF21&gt;預測IC!DF$26,1,0)</f>
        <v>1</v>
      </c>
      <c r="DG21" s="5">
        <f>IF(預測IC!DG21&gt;預測IC!DG$26,1,0)</f>
        <v>1</v>
      </c>
      <c r="DH21" s="5">
        <f>IF(預測IC!DH21&gt;預測IC!DH$26,1,0)</f>
        <v>0</v>
      </c>
      <c r="DI21" s="5">
        <f>IF(預測IC!DI21&gt;預測IC!DI$26,1,0)</f>
        <v>1</v>
      </c>
      <c r="DJ21" s="5">
        <f>IF(預測IC!DJ21&gt;預測IC!DJ$26,1,0)</f>
        <v>0</v>
      </c>
      <c r="DK21" s="5">
        <f>IF(預測IC!DK21&gt;預測IC!DK$26,1,0)</f>
        <v>0</v>
      </c>
      <c r="DL21" s="5">
        <f>IF(預測IC!DL21&gt;預測IC!DL$26,1,0)</f>
        <v>0</v>
      </c>
      <c r="DM21" s="5">
        <f>IF(預測IC!DM21&gt;預測IC!DM$26,1,0)</f>
        <v>0</v>
      </c>
      <c r="DN21" s="5">
        <f>IF(預測IC!DN21&gt;預測IC!DN$26,1,0)</f>
        <v>1</v>
      </c>
      <c r="DO21" s="5">
        <f>IF(預測IC!DO21&gt;預測IC!DO$26,1,0)</f>
        <v>0</v>
      </c>
      <c r="DP21" s="5">
        <f>IF(預測IC!DP21&gt;預測IC!DP$26,1,0)</f>
        <v>1</v>
      </c>
      <c r="DQ21" s="5">
        <f>IF(預測IC!DQ21&gt;預測IC!DQ$26,1,0)</f>
        <v>0</v>
      </c>
      <c r="DR21" s="5">
        <f>IF(預測IC!DR21&gt;預測IC!DR$26,1,0)</f>
        <v>0</v>
      </c>
      <c r="DS21" s="5">
        <f>IF(預測IC!DS21&gt;預測IC!DS$26,1,0)</f>
        <v>0</v>
      </c>
      <c r="DT21" s="5">
        <f>IF(預測IC!DT21&gt;預測IC!DT$26,1,0)</f>
        <v>0</v>
      </c>
      <c r="DU21" s="5">
        <f>IF(預測IC!DU21&gt;預測IC!DU$26,1,0)</f>
        <v>0</v>
      </c>
      <c r="DV21" s="5">
        <f>IF(預測IC!DV21&gt;預測IC!DV$26,1,0)</f>
        <v>0</v>
      </c>
      <c r="DW21" s="5">
        <f>IF(預測IC!DW21&gt;預測IC!DW$26,1,0)</f>
        <v>1</v>
      </c>
      <c r="DX21" s="5">
        <f>IF(預測IC!DX21&gt;預測IC!DX$26,1,0)</f>
        <v>1</v>
      </c>
      <c r="DY21" s="5">
        <f>IF(預測IC!DY21&gt;預測IC!DY$26,1,0)</f>
        <v>0</v>
      </c>
      <c r="DZ21" s="5">
        <f>IF(預測IC!DZ21&gt;預測IC!DZ$26,1,0)</f>
        <v>1</v>
      </c>
      <c r="EA21" s="5">
        <f>IF(預測IC!EA21&gt;預測IC!EA$26,1,0)</f>
        <v>1</v>
      </c>
      <c r="EB21" s="5">
        <f>IF(預測IC!EB21&gt;預測IC!EB$26,1,0)</f>
        <v>0</v>
      </c>
      <c r="EC21" s="5">
        <f>IF(預測IC!EC21&gt;預測IC!EC$26,1,0)</f>
        <v>0</v>
      </c>
      <c r="ED21" s="5">
        <f>IF(預測IC!ED21&gt;預測IC!ED$26,1,0)</f>
        <v>1</v>
      </c>
      <c r="EE21" s="5">
        <f>IF(預測IC!EE21&gt;預測IC!EE$26,1,0)</f>
        <v>0</v>
      </c>
      <c r="EF21" s="5">
        <f>IF(預測IC!EH21&gt;預測IC!EF$26,1,0)</f>
        <v>1</v>
      </c>
      <c r="EG21" s="7">
        <f t="shared" si="10"/>
        <v>74</v>
      </c>
      <c r="EH21" s="10">
        <f t="shared" si="11"/>
        <v>0.55223880597014929</v>
      </c>
    </row>
    <row r="22" spans="1:138">
      <c r="A22" s="1">
        <v>321</v>
      </c>
      <c r="B22" s="1">
        <v>3</v>
      </c>
      <c r="C22" s="5">
        <f>IF(預測IC!C22&gt;預測IC!C$26,1,0)</f>
        <v>1</v>
      </c>
      <c r="D22" s="5">
        <f>IF(預測IC!D22&gt;預測IC!D$26,1,0)</f>
        <v>1</v>
      </c>
      <c r="E22" s="5">
        <f>IF(預測IC!E22&gt;預測IC!E$26,1,0)</f>
        <v>0</v>
      </c>
      <c r="F22" s="5">
        <f>IF(預測IC!F22&gt;預測IC!F$26,1,0)</f>
        <v>1</v>
      </c>
      <c r="G22" s="5">
        <f>IF(預測IC!G22&gt;預測IC!G$26,1,0)</f>
        <v>0</v>
      </c>
      <c r="H22" s="5">
        <f>IF(預測IC!H22&gt;預測IC!H$26,1,0)</f>
        <v>0</v>
      </c>
      <c r="I22" s="5">
        <f>IF(預測IC!I22&gt;預測IC!I$26,1,0)</f>
        <v>0</v>
      </c>
      <c r="J22" s="5">
        <f>IF(預測IC!J22&gt;預測IC!J$26,1,0)</f>
        <v>1</v>
      </c>
      <c r="K22" s="5">
        <f>IF(預測IC!K22&gt;預測IC!K$26,1,0)</f>
        <v>1</v>
      </c>
      <c r="L22" s="5">
        <f>IF(預測IC!L22&gt;預測IC!L$26,1,0)</f>
        <v>0</v>
      </c>
      <c r="M22" s="5">
        <f>IF(預測IC!M22&gt;預測IC!M$26,1,0)</f>
        <v>0</v>
      </c>
      <c r="N22" s="5">
        <f>IF(預測IC!N22&gt;預測IC!N$26,1,0)</f>
        <v>1</v>
      </c>
      <c r="O22" s="5">
        <f>IF(預測IC!O22&gt;預測IC!O$26,1,0)</f>
        <v>1</v>
      </c>
      <c r="P22" s="5">
        <f>IF(預測IC!P22&gt;預測IC!P$26,1,0)</f>
        <v>1</v>
      </c>
      <c r="Q22" s="5">
        <f>IF(預測IC!Q22&gt;預測IC!Q$26,1,0)</f>
        <v>1</v>
      </c>
      <c r="R22" s="5">
        <f>IF(預測IC!R22&gt;預測IC!R$26,1,0)</f>
        <v>1</v>
      </c>
      <c r="S22" s="5">
        <f>IF(預測IC!S22&gt;預測IC!S$26,1,0)</f>
        <v>1</v>
      </c>
      <c r="T22" s="5">
        <f>IF(預測IC!T22&gt;預測IC!T$26,1,0)</f>
        <v>1</v>
      </c>
      <c r="U22" s="5">
        <f>IF(預測IC!U22&gt;預測IC!U$26,1,0)</f>
        <v>1</v>
      </c>
      <c r="V22" s="5">
        <f>IF(預測IC!V22&gt;預測IC!V$26,1,0)</f>
        <v>1</v>
      </c>
      <c r="W22" s="5">
        <f>IF(預測IC!W22&gt;預測IC!W$26,1,0)</f>
        <v>1</v>
      </c>
      <c r="X22" s="5">
        <f>IF(預測IC!X22&gt;預測IC!X$26,1,0)</f>
        <v>1</v>
      </c>
      <c r="Y22" s="5">
        <f>IF(預測IC!Y22&gt;預測IC!Y$26,1,0)</f>
        <v>1</v>
      </c>
      <c r="Z22" s="5">
        <f>IF(預測IC!Z22&gt;預測IC!Z$26,1,0)</f>
        <v>1</v>
      </c>
      <c r="AA22" s="5">
        <f>IF(預測IC!AA22&gt;預測IC!AA$26,1,0)</f>
        <v>1</v>
      </c>
      <c r="AB22" s="5">
        <f>IF(預測IC!AB22&gt;預測IC!AB$26,1,0)</f>
        <v>0</v>
      </c>
      <c r="AC22" s="5">
        <f>IF(預測IC!AC22&gt;預測IC!AC$26,1,0)</f>
        <v>1</v>
      </c>
      <c r="AD22" s="5">
        <f>IF(預測IC!AD22&gt;預測IC!AD$26,1,0)</f>
        <v>1</v>
      </c>
      <c r="AE22" s="5">
        <f>IF(預測IC!AE22&gt;預測IC!AE$26,1,0)</f>
        <v>1</v>
      </c>
      <c r="AF22" s="5">
        <f>IF(預測IC!AF22&gt;預測IC!AF$26,1,0)</f>
        <v>0</v>
      </c>
      <c r="AG22" s="5">
        <f>IF(預測IC!AG22&gt;預測IC!AG$26,1,0)</f>
        <v>0</v>
      </c>
      <c r="AH22" s="5">
        <f>IF(預測IC!AH22&gt;預測IC!AH$26,1,0)</f>
        <v>1</v>
      </c>
      <c r="AI22" s="5">
        <f>IF(預測IC!AI22&gt;預測IC!AI$26,1,0)</f>
        <v>0</v>
      </c>
      <c r="AJ22" s="5">
        <f>IF(預測IC!AJ22&gt;預測IC!AJ$26,1,0)</f>
        <v>0</v>
      </c>
      <c r="AK22" s="5">
        <f>IF(預測IC!AK22&gt;預測IC!AK$26,1,0)</f>
        <v>1</v>
      </c>
      <c r="AL22" s="5">
        <f>IF(預測IC!AL22&gt;預測IC!AL$26,1,0)</f>
        <v>1</v>
      </c>
      <c r="AM22" s="5">
        <f>IF(預測IC!AM22&gt;預測IC!AM$26,1,0)</f>
        <v>1</v>
      </c>
      <c r="AN22" s="5">
        <f>IF(預測IC!AN22&gt;預測IC!AN$26,1,0)</f>
        <v>1</v>
      </c>
      <c r="AO22" s="5">
        <f>IF(預測IC!AO22&gt;預測IC!AO$26,1,0)</f>
        <v>1</v>
      </c>
      <c r="AP22" s="5">
        <f>IF(預測IC!AP22&gt;預測IC!AP$26,1,0)</f>
        <v>0</v>
      </c>
      <c r="AQ22" s="5">
        <f>IF(預測IC!AQ22&gt;預測IC!AQ$26,1,0)</f>
        <v>0</v>
      </c>
      <c r="AR22" s="5">
        <f>IF(預測IC!AR22&gt;預測IC!AR$26,1,0)</f>
        <v>1</v>
      </c>
      <c r="AS22" s="5">
        <f>IF(預測IC!AS22&gt;預測IC!AS$26,1,0)</f>
        <v>1</v>
      </c>
      <c r="AT22" s="5">
        <f>IF(預測IC!AT22&gt;預測IC!AT$26,1,0)</f>
        <v>1</v>
      </c>
      <c r="AU22" s="5">
        <f>IF(預測IC!AU22&gt;預測IC!AU$26,1,0)</f>
        <v>1</v>
      </c>
      <c r="AV22" s="5">
        <f>IF(預測IC!AV22&gt;預測IC!AV$26,1,0)</f>
        <v>1</v>
      </c>
      <c r="AW22" s="5">
        <f>IF(預測IC!AW22&gt;預測IC!AW$26,1,0)</f>
        <v>1</v>
      </c>
      <c r="AX22" s="5">
        <f>IF(預測IC!AX22&gt;預測IC!AX$26,1,0)</f>
        <v>1</v>
      </c>
      <c r="AY22" s="5">
        <f>IF(預測IC!AY22&gt;預測IC!AY$26,1,0)</f>
        <v>1</v>
      </c>
      <c r="AZ22" s="5">
        <f>IF(預測IC!AZ22&gt;預測IC!AZ$26,1,0)</f>
        <v>0</v>
      </c>
      <c r="BA22" s="5">
        <f>IF(預測IC!BA22&gt;預測IC!BA$26,1,0)</f>
        <v>0</v>
      </c>
      <c r="BB22" s="5">
        <f>IF(預測IC!BB22&gt;預測IC!BB$26,1,0)</f>
        <v>1</v>
      </c>
      <c r="BC22" s="5">
        <f>IF(預測IC!BC22&gt;預測IC!BC$26,1,0)</f>
        <v>0</v>
      </c>
      <c r="BD22" s="5">
        <f>IF(預測IC!BD22&gt;預測IC!BD$26,1,0)</f>
        <v>0</v>
      </c>
      <c r="BE22" s="5">
        <f>IF(預測IC!BE22&gt;預測IC!BE$26,1,0)</f>
        <v>0</v>
      </c>
      <c r="BF22" s="5">
        <f>IF(預測IC!BF22&gt;預測IC!BF$26,1,0)</f>
        <v>1</v>
      </c>
      <c r="BG22" s="5">
        <f>IF(預測IC!BG22&gt;預測IC!BG$26,1,0)</f>
        <v>1</v>
      </c>
      <c r="BH22" s="5">
        <f>IF(預測IC!BH22&gt;預測IC!BH$26,1,0)</f>
        <v>0</v>
      </c>
      <c r="BI22" s="5">
        <f>IF(預測IC!BI22&gt;預測IC!BI$26,1,0)</f>
        <v>1</v>
      </c>
      <c r="BJ22" s="5">
        <f>IF(預測IC!BJ22&gt;預測IC!BJ$26,1,0)</f>
        <v>1</v>
      </c>
      <c r="BK22" s="5">
        <f>IF(預測IC!BK22&gt;預測IC!BK$26,1,0)</f>
        <v>0</v>
      </c>
      <c r="BL22" s="5">
        <f>IF(預測IC!BL22&gt;預測IC!BL$26,1,0)</f>
        <v>1</v>
      </c>
      <c r="BM22" s="5">
        <f>IF(預測IC!BM22&gt;預測IC!BM$26,1,0)</f>
        <v>0</v>
      </c>
      <c r="BN22" s="5">
        <f>IF(預測IC!BN22&gt;預測IC!BN$26,1,0)</f>
        <v>0</v>
      </c>
      <c r="BO22" s="5">
        <f>IF(預測IC!BO22&gt;預測IC!BO$26,1,0)</f>
        <v>1</v>
      </c>
      <c r="BP22" s="5">
        <f>IF(預測IC!BP22&gt;預測IC!BP$26,1,0)</f>
        <v>0</v>
      </c>
      <c r="BQ22" s="5">
        <f>IF(預測IC!BQ22&gt;預測IC!BQ$26,1,0)</f>
        <v>0</v>
      </c>
      <c r="BR22" s="5">
        <f>IF(預測IC!BR22&gt;預測IC!BR$26,1,0)</f>
        <v>1</v>
      </c>
      <c r="BS22" s="5">
        <f>IF(預測IC!BS22&gt;預測IC!BS$26,1,0)</f>
        <v>1</v>
      </c>
      <c r="BT22" s="5">
        <f>IF(預測IC!BT22&gt;預測IC!BT$26,1,0)</f>
        <v>1</v>
      </c>
      <c r="BU22" s="5">
        <f>IF(預測IC!BU22&gt;預測IC!BU$26,1,0)</f>
        <v>1</v>
      </c>
      <c r="BV22" s="5">
        <f>IF(預測IC!BV22&gt;預測IC!BV$26,1,0)</f>
        <v>0</v>
      </c>
      <c r="BW22" s="5">
        <f>IF(預測IC!BW22&gt;預測IC!BW$26,1,0)</f>
        <v>1</v>
      </c>
      <c r="BX22" s="5">
        <f>IF(預測IC!BX22&gt;預測IC!BX$26,1,0)</f>
        <v>0</v>
      </c>
      <c r="BY22" s="5">
        <f>IF(預測IC!BY22&gt;預測IC!BY$26,1,0)</f>
        <v>1</v>
      </c>
      <c r="BZ22" s="5">
        <f>IF(預測IC!BZ22&gt;預測IC!BZ$26,1,0)</f>
        <v>0</v>
      </c>
      <c r="CA22" s="5">
        <f>IF(預測IC!CA22&gt;預測IC!CA$26,1,0)</f>
        <v>0</v>
      </c>
      <c r="CB22" s="5">
        <f>IF(預測IC!CB22&gt;預測IC!CB$26,1,0)</f>
        <v>0</v>
      </c>
      <c r="CC22" s="5">
        <f>IF(預測IC!CC22&gt;預測IC!CC$26,1,0)</f>
        <v>0</v>
      </c>
      <c r="CD22" s="5">
        <f>IF(預測IC!CD22&gt;預測IC!CD$26,1,0)</f>
        <v>0</v>
      </c>
      <c r="CE22" s="5">
        <f>IF(預測IC!CE22&gt;預測IC!CE$26,1,0)</f>
        <v>0</v>
      </c>
      <c r="CF22" s="5">
        <f>IF(預測IC!CF22&gt;預測IC!CF$26,1,0)</f>
        <v>0</v>
      </c>
      <c r="CG22" s="5">
        <f>IF(預測IC!CG22&gt;預測IC!CG$26,1,0)</f>
        <v>0</v>
      </c>
      <c r="CH22" s="5">
        <f>IF(預測IC!CH22&gt;預測IC!CH$26,1,0)</f>
        <v>1</v>
      </c>
      <c r="CI22" s="5">
        <f>IF(預測IC!CI22&gt;預測IC!CI$26,1,0)</f>
        <v>1</v>
      </c>
      <c r="CJ22" s="5">
        <f>IF(預測IC!CJ22&gt;預測IC!CJ$26,1,0)</f>
        <v>1</v>
      </c>
      <c r="CK22" s="5">
        <f>IF(預測IC!CK22&gt;預測IC!CK$26,1,0)</f>
        <v>1</v>
      </c>
      <c r="CL22" s="5">
        <f>IF(預測IC!CL22&gt;預測IC!CL$26,1,0)</f>
        <v>0</v>
      </c>
      <c r="CM22" s="5">
        <f>IF(預測IC!CM22&gt;預測IC!CM$26,1,0)</f>
        <v>1</v>
      </c>
      <c r="CN22" s="5">
        <f>IF(預測IC!CN22&gt;預測IC!CN$26,1,0)</f>
        <v>0</v>
      </c>
      <c r="CO22" s="5">
        <f>IF(預測IC!CO22&gt;預測IC!CO$26,1,0)</f>
        <v>0</v>
      </c>
      <c r="CP22" s="5">
        <f>IF(預測IC!CP22&gt;預測IC!CP$26,1,0)</f>
        <v>0</v>
      </c>
      <c r="CQ22" s="5">
        <f>IF(預測IC!CQ22&gt;預測IC!CQ$26,1,0)</f>
        <v>1</v>
      </c>
      <c r="CR22" s="5">
        <f>IF(預測IC!CR22&gt;預測IC!CR$26,1,0)</f>
        <v>0</v>
      </c>
      <c r="CS22" s="5">
        <f>IF(預測IC!CS22&gt;預測IC!CS$26,1,0)</f>
        <v>0</v>
      </c>
      <c r="CT22" s="5">
        <f>IF(預測IC!CT22&gt;預測IC!CT$26,1,0)</f>
        <v>0</v>
      </c>
      <c r="CU22" s="5">
        <f>IF(預測IC!CU22&gt;預測IC!CU$26,1,0)</f>
        <v>1</v>
      </c>
      <c r="CV22" s="5">
        <f>IF(預測IC!CV22&gt;預測IC!CV$26,1,0)</f>
        <v>0</v>
      </c>
      <c r="CW22" s="5">
        <f>IF(預測IC!CW22&gt;預測IC!CW$26,1,0)</f>
        <v>1</v>
      </c>
      <c r="CX22" s="5">
        <f>IF(預測IC!CX22&gt;預測IC!CX$26,1,0)</f>
        <v>1</v>
      </c>
      <c r="CY22" s="5">
        <f>IF(預測IC!CY22&gt;預測IC!CY$26,1,0)</f>
        <v>0</v>
      </c>
      <c r="CZ22" s="5">
        <f>IF(預測IC!CZ22&gt;預測IC!CZ$26,1,0)</f>
        <v>1</v>
      </c>
      <c r="DA22" s="5">
        <f>IF(預測IC!DA22&gt;預測IC!DA$26,1,0)</f>
        <v>0</v>
      </c>
      <c r="DB22" s="5">
        <f>IF(預測IC!DB22&gt;預測IC!DB$26,1,0)</f>
        <v>1</v>
      </c>
      <c r="DC22" s="5">
        <f>IF(預測IC!DC22&gt;預測IC!DC$26,1,0)</f>
        <v>1</v>
      </c>
      <c r="DD22" s="5">
        <f>IF(預測IC!DD22&gt;預測IC!DD$26,1,0)</f>
        <v>1</v>
      </c>
      <c r="DE22" s="5">
        <f>IF(預測IC!DE22&gt;預測IC!DE$26,1,0)</f>
        <v>0</v>
      </c>
      <c r="DF22" s="5">
        <f>IF(預測IC!DF22&gt;預測IC!DF$26,1,0)</f>
        <v>1</v>
      </c>
      <c r="DG22" s="5">
        <f>IF(預測IC!DG22&gt;預測IC!DG$26,1,0)</f>
        <v>1</v>
      </c>
      <c r="DH22" s="5">
        <f>IF(預測IC!DH22&gt;預測IC!DH$26,1,0)</f>
        <v>0</v>
      </c>
      <c r="DI22" s="5">
        <f>IF(預測IC!DI22&gt;預測IC!DI$26,1,0)</f>
        <v>1</v>
      </c>
      <c r="DJ22" s="5">
        <f>IF(預測IC!DJ22&gt;預測IC!DJ$26,1,0)</f>
        <v>0</v>
      </c>
      <c r="DK22" s="5">
        <f>IF(預測IC!DK22&gt;預測IC!DK$26,1,0)</f>
        <v>0</v>
      </c>
      <c r="DL22" s="5">
        <f>IF(預測IC!DL22&gt;預測IC!DL$26,1,0)</f>
        <v>0</v>
      </c>
      <c r="DM22" s="5">
        <f>IF(預測IC!DM22&gt;預測IC!DM$26,1,0)</f>
        <v>0</v>
      </c>
      <c r="DN22" s="5">
        <f>IF(預測IC!DN22&gt;預測IC!DN$26,1,0)</f>
        <v>1</v>
      </c>
      <c r="DO22" s="5">
        <f>IF(預測IC!DO22&gt;預測IC!DO$26,1,0)</f>
        <v>1</v>
      </c>
      <c r="DP22" s="5">
        <f>IF(預測IC!DP22&gt;預測IC!DP$26,1,0)</f>
        <v>1</v>
      </c>
      <c r="DQ22" s="5">
        <f>IF(預測IC!DQ22&gt;預測IC!DQ$26,1,0)</f>
        <v>0</v>
      </c>
      <c r="DR22" s="5">
        <f>IF(預測IC!DR22&gt;預測IC!DR$26,1,0)</f>
        <v>0</v>
      </c>
      <c r="DS22" s="5">
        <f>IF(預測IC!DS22&gt;預測IC!DS$26,1,0)</f>
        <v>0</v>
      </c>
      <c r="DT22" s="5">
        <f>IF(預測IC!DT22&gt;預測IC!DT$26,1,0)</f>
        <v>0</v>
      </c>
      <c r="DU22" s="5">
        <f>IF(預測IC!DU22&gt;預測IC!DU$26,1,0)</f>
        <v>0</v>
      </c>
      <c r="DV22" s="5">
        <f>IF(預測IC!DV22&gt;預測IC!DV$26,1,0)</f>
        <v>0</v>
      </c>
      <c r="DW22" s="5">
        <f>IF(預測IC!DW22&gt;預測IC!DW$26,1,0)</f>
        <v>1</v>
      </c>
      <c r="DX22" s="5">
        <f>IF(預測IC!DX22&gt;預測IC!DX$26,1,0)</f>
        <v>1</v>
      </c>
      <c r="DY22" s="5">
        <f>IF(預測IC!DY22&gt;預測IC!DY$26,1,0)</f>
        <v>0</v>
      </c>
      <c r="DZ22" s="5">
        <f>IF(預測IC!DZ22&gt;預測IC!DZ$26,1,0)</f>
        <v>1</v>
      </c>
      <c r="EA22" s="5">
        <f>IF(預測IC!EA22&gt;預測IC!EA$26,1,0)</f>
        <v>1</v>
      </c>
      <c r="EB22" s="5">
        <f>IF(預測IC!EB22&gt;預測IC!EB$26,1,0)</f>
        <v>1</v>
      </c>
      <c r="EC22" s="5">
        <f>IF(預測IC!EC22&gt;預測IC!EC$26,1,0)</f>
        <v>1</v>
      </c>
      <c r="ED22" s="5">
        <f>IF(預測IC!ED22&gt;預測IC!ED$26,1,0)</f>
        <v>1</v>
      </c>
      <c r="EE22" s="5">
        <f>IF(預測IC!EE22&gt;預測IC!EE$26,1,0)</f>
        <v>1</v>
      </c>
      <c r="EF22" s="5">
        <f>IF(預測IC!EH22&gt;預測IC!EF$26,1,0)</f>
        <v>1</v>
      </c>
      <c r="EG22" s="7">
        <f t="shared" si="10"/>
        <v>77</v>
      </c>
      <c r="EH22" s="10">
        <f t="shared" si="11"/>
        <v>0.57462686567164178</v>
      </c>
    </row>
    <row r="23" spans="1:138">
      <c r="A23" s="1">
        <v>482</v>
      </c>
      <c r="B23" s="1">
        <v>2</v>
      </c>
      <c r="C23" s="5">
        <f>IF(預測IC!C23&gt;預測IC!C$26,1,0)</f>
        <v>1</v>
      </c>
      <c r="D23" s="5">
        <f>IF(預測IC!D23&gt;預測IC!D$26,1,0)</f>
        <v>1</v>
      </c>
      <c r="E23" s="5">
        <f>IF(預測IC!E23&gt;預測IC!E$26,1,0)</f>
        <v>0</v>
      </c>
      <c r="F23" s="5">
        <f>IF(預測IC!F23&gt;預測IC!F$26,1,0)</f>
        <v>1</v>
      </c>
      <c r="G23" s="5">
        <f>IF(預測IC!G23&gt;預測IC!G$26,1,0)</f>
        <v>0</v>
      </c>
      <c r="H23" s="5">
        <f>IF(預測IC!H23&gt;預測IC!H$26,1,0)</f>
        <v>0</v>
      </c>
      <c r="I23" s="5">
        <f>IF(預測IC!I23&gt;預測IC!I$26,1,0)</f>
        <v>0</v>
      </c>
      <c r="J23" s="5">
        <f>IF(預測IC!J23&gt;預測IC!J$26,1,0)</f>
        <v>0</v>
      </c>
      <c r="K23" s="5">
        <f>IF(預測IC!K23&gt;預測IC!K$26,1,0)</f>
        <v>1</v>
      </c>
      <c r="L23" s="5">
        <f>IF(預測IC!L23&gt;預測IC!L$26,1,0)</f>
        <v>0</v>
      </c>
      <c r="M23" s="5">
        <f>IF(預測IC!M23&gt;預測IC!M$26,1,0)</f>
        <v>0</v>
      </c>
      <c r="N23" s="5">
        <f>IF(預測IC!N23&gt;預測IC!N$26,1,0)</f>
        <v>1</v>
      </c>
      <c r="O23" s="5">
        <f>IF(預測IC!O23&gt;預測IC!O$26,1,0)</f>
        <v>1</v>
      </c>
      <c r="P23" s="5">
        <f>IF(預測IC!P23&gt;預測IC!P$26,1,0)</f>
        <v>0</v>
      </c>
      <c r="Q23" s="5">
        <f>IF(預測IC!Q23&gt;預測IC!Q$26,1,0)</f>
        <v>0</v>
      </c>
      <c r="R23" s="5">
        <f>IF(預測IC!R23&gt;預測IC!R$26,1,0)</f>
        <v>1</v>
      </c>
      <c r="S23" s="5">
        <f>IF(預測IC!S23&gt;預測IC!S$26,1,0)</f>
        <v>1</v>
      </c>
      <c r="T23" s="5">
        <f>IF(預測IC!T23&gt;預測IC!T$26,1,0)</f>
        <v>1</v>
      </c>
      <c r="U23" s="5">
        <f>IF(預測IC!U23&gt;預測IC!U$26,1,0)</f>
        <v>1</v>
      </c>
      <c r="V23" s="5">
        <f>IF(預測IC!V23&gt;預測IC!V$26,1,0)</f>
        <v>0</v>
      </c>
      <c r="W23" s="5">
        <f>IF(預測IC!W23&gt;預測IC!W$26,1,0)</f>
        <v>1</v>
      </c>
      <c r="X23" s="5">
        <f>IF(預測IC!X23&gt;預測IC!X$26,1,0)</f>
        <v>1</v>
      </c>
      <c r="Y23" s="5">
        <f>IF(預測IC!Y23&gt;預測IC!Y$26,1,0)</f>
        <v>1</v>
      </c>
      <c r="Z23" s="5">
        <f>IF(預測IC!Z23&gt;預測IC!Z$26,1,0)</f>
        <v>1</v>
      </c>
      <c r="AA23" s="5">
        <f>IF(預測IC!AA23&gt;預測IC!AA$26,1,0)</f>
        <v>1</v>
      </c>
      <c r="AB23" s="5">
        <f>IF(預測IC!AB23&gt;預測IC!AB$26,1,0)</f>
        <v>0</v>
      </c>
      <c r="AC23" s="5">
        <f>IF(預測IC!AC23&gt;預測IC!AC$26,1,0)</f>
        <v>1</v>
      </c>
      <c r="AD23" s="5">
        <f>IF(預測IC!AD23&gt;預測IC!AD$26,1,0)</f>
        <v>1</v>
      </c>
      <c r="AE23" s="5">
        <f>IF(預測IC!AE23&gt;預測IC!AE$26,1,0)</f>
        <v>1</v>
      </c>
      <c r="AF23" s="5">
        <f>IF(預測IC!AF23&gt;預測IC!AF$26,1,0)</f>
        <v>0</v>
      </c>
      <c r="AG23" s="5">
        <f>IF(預測IC!AG23&gt;預測IC!AG$26,1,0)</f>
        <v>1</v>
      </c>
      <c r="AH23" s="5">
        <f>IF(預測IC!AH23&gt;預測IC!AH$26,1,0)</f>
        <v>0</v>
      </c>
      <c r="AI23" s="5">
        <f>IF(預測IC!AI23&gt;預測IC!AI$26,1,0)</f>
        <v>0</v>
      </c>
      <c r="AJ23" s="5">
        <f>IF(預測IC!AJ23&gt;預測IC!AJ$26,1,0)</f>
        <v>1</v>
      </c>
      <c r="AK23" s="5">
        <f>IF(預測IC!AK23&gt;預測IC!AK$26,1,0)</f>
        <v>1</v>
      </c>
      <c r="AL23" s="5">
        <f>IF(預測IC!AL23&gt;預測IC!AL$26,1,0)</f>
        <v>1</v>
      </c>
      <c r="AM23" s="5">
        <f>IF(預測IC!AM23&gt;預測IC!AM$26,1,0)</f>
        <v>0</v>
      </c>
      <c r="AN23" s="5">
        <f>IF(預測IC!AN23&gt;預測IC!AN$26,1,0)</f>
        <v>1</v>
      </c>
      <c r="AO23" s="5">
        <f>IF(預測IC!AO23&gt;預測IC!AO$26,1,0)</f>
        <v>1</v>
      </c>
      <c r="AP23" s="5">
        <f>IF(預測IC!AP23&gt;預測IC!AP$26,1,0)</f>
        <v>1</v>
      </c>
      <c r="AQ23" s="5">
        <f>IF(預測IC!AQ23&gt;預測IC!AQ$26,1,0)</f>
        <v>0</v>
      </c>
      <c r="AR23" s="5">
        <f>IF(預測IC!AR23&gt;預測IC!AR$26,1,0)</f>
        <v>1</v>
      </c>
      <c r="AS23" s="5">
        <f>IF(預測IC!AS23&gt;預測IC!AS$26,1,0)</f>
        <v>0</v>
      </c>
      <c r="AT23" s="5">
        <f>IF(預測IC!AT23&gt;預測IC!AT$26,1,0)</f>
        <v>1</v>
      </c>
      <c r="AU23" s="5">
        <f>IF(預測IC!AU23&gt;預測IC!AU$26,1,0)</f>
        <v>1</v>
      </c>
      <c r="AV23" s="5">
        <f>IF(預測IC!AV23&gt;預測IC!AV$26,1,0)</f>
        <v>0</v>
      </c>
      <c r="AW23" s="5">
        <f>IF(預測IC!AW23&gt;預測IC!AW$26,1,0)</f>
        <v>1</v>
      </c>
      <c r="AX23" s="5">
        <f>IF(預測IC!AX23&gt;預測IC!AX$26,1,0)</f>
        <v>1</v>
      </c>
      <c r="AY23" s="5">
        <f>IF(預測IC!AY23&gt;預測IC!AY$26,1,0)</f>
        <v>1</v>
      </c>
      <c r="AZ23" s="5">
        <f>IF(預測IC!AZ23&gt;預測IC!AZ$26,1,0)</f>
        <v>0</v>
      </c>
      <c r="BA23" s="5">
        <f>IF(預測IC!BA23&gt;預測IC!BA$26,1,0)</f>
        <v>1</v>
      </c>
      <c r="BB23" s="5">
        <f>IF(預測IC!BB23&gt;預測IC!BB$26,1,0)</f>
        <v>1</v>
      </c>
      <c r="BC23" s="5">
        <f>IF(預測IC!BC23&gt;預測IC!BC$26,1,0)</f>
        <v>0</v>
      </c>
      <c r="BD23" s="5">
        <f>IF(預測IC!BD23&gt;預測IC!BD$26,1,0)</f>
        <v>1</v>
      </c>
      <c r="BE23" s="5">
        <f>IF(預測IC!BE23&gt;預測IC!BE$26,1,0)</f>
        <v>1</v>
      </c>
      <c r="BF23" s="5">
        <f>IF(預測IC!BF23&gt;預測IC!BF$26,1,0)</f>
        <v>1</v>
      </c>
      <c r="BG23" s="5">
        <f>IF(預測IC!BG23&gt;預測IC!BG$26,1,0)</f>
        <v>1</v>
      </c>
      <c r="BH23" s="5">
        <f>IF(預測IC!BH23&gt;預測IC!BH$26,1,0)</f>
        <v>0</v>
      </c>
      <c r="BI23" s="5">
        <f>IF(預測IC!BI23&gt;預測IC!BI$26,1,0)</f>
        <v>1</v>
      </c>
      <c r="BJ23" s="5">
        <f>IF(預測IC!BJ23&gt;預測IC!BJ$26,1,0)</f>
        <v>1</v>
      </c>
      <c r="BK23" s="5">
        <f>IF(預測IC!BK23&gt;預測IC!BK$26,1,0)</f>
        <v>0</v>
      </c>
      <c r="BL23" s="5">
        <f>IF(預測IC!BL23&gt;預測IC!BL$26,1,0)</f>
        <v>1</v>
      </c>
      <c r="BM23" s="5">
        <f>IF(預測IC!BM23&gt;預測IC!BM$26,1,0)</f>
        <v>0</v>
      </c>
      <c r="BN23" s="5">
        <f>IF(預測IC!BN23&gt;預測IC!BN$26,1,0)</f>
        <v>0</v>
      </c>
      <c r="BO23" s="5">
        <f>IF(預測IC!BO23&gt;預測IC!BO$26,1,0)</f>
        <v>1</v>
      </c>
      <c r="BP23" s="5">
        <f>IF(預測IC!BP23&gt;預測IC!BP$26,1,0)</f>
        <v>0</v>
      </c>
      <c r="BQ23" s="5">
        <f>IF(預測IC!BQ23&gt;預測IC!BQ$26,1,0)</f>
        <v>0</v>
      </c>
      <c r="BR23" s="5">
        <f>IF(預測IC!BR23&gt;預測IC!BR$26,1,0)</f>
        <v>1</v>
      </c>
      <c r="BS23" s="5">
        <f>IF(預測IC!BS23&gt;預測IC!BS$26,1,0)</f>
        <v>1</v>
      </c>
      <c r="BT23" s="5">
        <f>IF(預測IC!BT23&gt;預測IC!BT$26,1,0)</f>
        <v>1</v>
      </c>
      <c r="BU23" s="5">
        <f>IF(預測IC!BU23&gt;預測IC!BU$26,1,0)</f>
        <v>1</v>
      </c>
      <c r="BV23" s="5">
        <f>IF(預測IC!BV23&gt;預測IC!BV$26,1,0)</f>
        <v>0</v>
      </c>
      <c r="BW23" s="5">
        <f>IF(預測IC!BW23&gt;預測IC!BW$26,1,0)</f>
        <v>1</v>
      </c>
      <c r="BX23" s="5">
        <f>IF(預測IC!BX23&gt;預測IC!BX$26,1,0)</f>
        <v>0</v>
      </c>
      <c r="BY23" s="5">
        <f>IF(預測IC!BY23&gt;預測IC!BY$26,1,0)</f>
        <v>1</v>
      </c>
      <c r="BZ23" s="5">
        <f>IF(預測IC!BZ23&gt;預測IC!BZ$26,1,0)</f>
        <v>0</v>
      </c>
      <c r="CA23" s="5">
        <f>IF(預測IC!CA23&gt;預測IC!CA$26,1,0)</f>
        <v>0</v>
      </c>
      <c r="CB23" s="5">
        <f>IF(預測IC!CB23&gt;預測IC!CB$26,1,0)</f>
        <v>0</v>
      </c>
      <c r="CC23" s="5">
        <f>IF(預測IC!CC23&gt;預測IC!CC$26,1,0)</f>
        <v>0</v>
      </c>
      <c r="CD23" s="5">
        <f>IF(預測IC!CD23&gt;預測IC!CD$26,1,0)</f>
        <v>0</v>
      </c>
      <c r="CE23" s="5">
        <f>IF(預測IC!CE23&gt;預測IC!CE$26,1,0)</f>
        <v>0</v>
      </c>
      <c r="CF23" s="5">
        <f>IF(預測IC!CF23&gt;預測IC!CF$26,1,0)</f>
        <v>0</v>
      </c>
      <c r="CG23" s="5">
        <f>IF(預測IC!CG23&gt;預測IC!CG$26,1,0)</f>
        <v>0</v>
      </c>
      <c r="CH23" s="5">
        <f>IF(預測IC!CH23&gt;預測IC!CH$26,1,0)</f>
        <v>1</v>
      </c>
      <c r="CI23" s="5">
        <f>IF(預測IC!CI23&gt;預測IC!CI$26,1,0)</f>
        <v>1</v>
      </c>
      <c r="CJ23" s="5">
        <f>IF(預測IC!CJ23&gt;預測IC!CJ$26,1,0)</f>
        <v>0</v>
      </c>
      <c r="CK23" s="5">
        <f>IF(預測IC!CK23&gt;預測IC!CK$26,1,0)</f>
        <v>1</v>
      </c>
      <c r="CL23" s="5">
        <f>IF(預測IC!CL23&gt;預測IC!CL$26,1,0)</f>
        <v>0</v>
      </c>
      <c r="CM23" s="5">
        <f>IF(預測IC!CM23&gt;預測IC!CM$26,1,0)</f>
        <v>1</v>
      </c>
      <c r="CN23" s="5">
        <f>IF(預測IC!CN23&gt;預測IC!CN$26,1,0)</f>
        <v>1</v>
      </c>
      <c r="CO23" s="5">
        <f>IF(預測IC!CO23&gt;預測IC!CO$26,1,0)</f>
        <v>0</v>
      </c>
      <c r="CP23" s="5">
        <f>IF(預測IC!CP23&gt;預測IC!CP$26,1,0)</f>
        <v>0</v>
      </c>
      <c r="CQ23" s="5">
        <f>IF(預測IC!CQ23&gt;預測IC!CQ$26,1,0)</f>
        <v>1</v>
      </c>
      <c r="CR23" s="5">
        <f>IF(預測IC!CR23&gt;預測IC!CR$26,1,0)</f>
        <v>0</v>
      </c>
      <c r="CS23" s="5">
        <f>IF(預測IC!CS23&gt;預測IC!CS$26,1,0)</f>
        <v>1</v>
      </c>
      <c r="CT23" s="5">
        <f>IF(預測IC!CT23&gt;預測IC!CT$26,1,0)</f>
        <v>0</v>
      </c>
      <c r="CU23" s="5">
        <f>IF(預測IC!CU23&gt;預測IC!CU$26,1,0)</f>
        <v>1</v>
      </c>
      <c r="CV23" s="5">
        <f>IF(預測IC!CV23&gt;預測IC!CV$26,1,0)</f>
        <v>0</v>
      </c>
      <c r="CW23" s="5">
        <f>IF(預測IC!CW23&gt;預測IC!CW$26,1,0)</f>
        <v>0</v>
      </c>
      <c r="CX23" s="5">
        <f>IF(預測IC!CX23&gt;預測IC!CX$26,1,0)</f>
        <v>1</v>
      </c>
      <c r="CY23" s="5">
        <f>IF(預測IC!CY23&gt;預測IC!CY$26,1,0)</f>
        <v>0</v>
      </c>
      <c r="CZ23" s="5">
        <f>IF(預測IC!CZ23&gt;預測IC!CZ$26,1,0)</f>
        <v>1</v>
      </c>
      <c r="DA23" s="5">
        <f>IF(預測IC!DA23&gt;預測IC!DA$26,1,0)</f>
        <v>0</v>
      </c>
      <c r="DB23" s="5">
        <f>IF(預測IC!DB23&gt;預測IC!DB$26,1,0)</f>
        <v>1</v>
      </c>
      <c r="DC23" s="5">
        <f>IF(預測IC!DC23&gt;預測IC!DC$26,1,0)</f>
        <v>0</v>
      </c>
      <c r="DD23" s="5">
        <f>IF(預測IC!DD23&gt;預測IC!DD$26,1,0)</f>
        <v>1</v>
      </c>
      <c r="DE23" s="5">
        <f>IF(預測IC!DE23&gt;預測IC!DE$26,1,0)</f>
        <v>0</v>
      </c>
      <c r="DF23" s="5">
        <f>IF(預測IC!DF23&gt;預測IC!DF$26,1,0)</f>
        <v>1</v>
      </c>
      <c r="DG23" s="5">
        <f>IF(預測IC!DG23&gt;預測IC!DG$26,1,0)</f>
        <v>1</v>
      </c>
      <c r="DH23" s="5">
        <f>IF(預測IC!DH23&gt;預測IC!DH$26,1,0)</f>
        <v>0</v>
      </c>
      <c r="DI23" s="5">
        <f>IF(預測IC!DI23&gt;預測IC!DI$26,1,0)</f>
        <v>1</v>
      </c>
      <c r="DJ23" s="5">
        <f>IF(預測IC!DJ23&gt;預測IC!DJ$26,1,0)</f>
        <v>0</v>
      </c>
      <c r="DK23" s="5">
        <f>IF(預測IC!DK23&gt;預測IC!DK$26,1,0)</f>
        <v>0</v>
      </c>
      <c r="DL23" s="5">
        <f>IF(預測IC!DL23&gt;預測IC!DL$26,1,0)</f>
        <v>0</v>
      </c>
      <c r="DM23" s="5">
        <f>IF(預測IC!DM23&gt;預測IC!DM$26,1,0)</f>
        <v>0</v>
      </c>
      <c r="DN23" s="5">
        <f>IF(預測IC!DN23&gt;預測IC!DN$26,1,0)</f>
        <v>1</v>
      </c>
      <c r="DO23" s="5">
        <f>IF(預測IC!DO23&gt;預測IC!DO$26,1,0)</f>
        <v>0</v>
      </c>
      <c r="DP23" s="5">
        <f>IF(預測IC!DP23&gt;預測IC!DP$26,1,0)</f>
        <v>1</v>
      </c>
      <c r="DQ23" s="5">
        <f>IF(預測IC!DQ23&gt;預測IC!DQ$26,1,0)</f>
        <v>0</v>
      </c>
      <c r="DR23" s="5">
        <f>IF(預測IC!DR23&gt;預測IC!DR$26,1,0)</f>
        <v>0</v>
      </c>
      <c r="DS23" s="5">
        <f>IF(預測IC!DS23&gt;預測IC!DS$26,1,0)</f>
        <v>0</v>
      </c>
      <c r="DT23" s="5">
        <f>IF(預測IC!DT23&gt;預測IC!DT$26,1,0)</f>
        <v>0</v>
      </c>
      <c r="DU23" s="5">
        <f>IF(預測IC!DU23&gt;預測IC!DU$26,1,0)</f>
        <v>0</v>
      </c>
      <c r="DV23" s="5">
        <f>IF(預測IC!DV23&gt;預測IC!DV$26,1,0)</f>
        <v>0</v>
      </c>
      <c r="DW23" s="5">
        <f>IF(預測IC!DW23&gt;預測IC!DW$26,1,0)</f>
        <v>1</v>
      </c>
      <c r="DX23" s="5">
        <f>IF(預測IC!DX23&gt;預測IC!DX$26,1,0)</f>
        <v>1</v>
      </c>
      <c r="DY23" s="5">
        <f>IF(預測IC!DY23&gt;預測IC!DY$26,1,0)</f>
        <v>0</v>
      </c>
      <c r="DZ23" s="5">
        <f>IF(預測IC!DZ23&gt;預測IC!DZ$26,1,0)</f>
        <v>1</v>
      </c>
      <c r="EA23" s="5">
        <f>IF(預測IC!EA23&gt;預測IC!EA$26,1,0)</f>
        <v>0</v>
      </c>
      <c r="EB23" s="5">
        <f>IF(預測IC!EB23&gt;預測IC!EB$26,1,0)</f>
        <v>1</v>
      </c>
      <c r="EC23" s="5">
        <f>IF(預測IC!EC23&gt;預測IC!EC$26,1,0)</f>
        <v>1</v>
      </c>
      <c r="ED23" s="5">
        <f>IF(預測IC!ED23&gt;預測IC!ED$26,1,0)</f>
        <v>1</v>
      </c>
      <c r="EE23" s="5">
        <f>IF(預測IC!EE23&gt;預測IC!EE$26,1,0)</f>
        <v>1</v>
      </c>
      <c r="EF23" s="5">
        <f>IF(預測IC!EH23&gt;預測IC!EF$26,1,0)</f>
        <v>1</v>
      </c>
      <c r="EG23" s="7">
        <f t="shared" si="10"/>
        <v>72</v>
      </c>
      <c r="EH23" s="10">
        <f t="shared" si="11"/>
        <v>0.53731343283582089</v>
      </c>
    </row>
    <row r="24" spans="1:138">
      <c r="A24" s="1">
        <v>964</v>
      </c>
      <c r="B24" s="1">
        <v>1</v>
      </c>
      <c r="C24" s="5">
        <f>IF(預測IC!C24&gt;預測IC!C$26,1,0)</f>
        <v>1</v>
      </c>
      <c r="D24" s="5">
        <f>IF(預測IC!D24&gt;預測IC!D$26,1,0)</f>
        <v>1</v>
      </c>
      <c r="E24" s="5">
        <f>IF(預測IC!E24&gt;預測IC!E$26,1,0)</f>
        <v>1</v>
      </c>
      <c r="F24" s="5">
        <f>IF(預測IC!F24&gt;預測IC!F$26,1,0)</f>
        <v>1</v>
      </c>
      <c r="G24" s="5">
        <f>IF(預測IC!G24&gt;預測IC!G$26,1,0)</f>
        <v>0</v>
      </c>
      <c r="H24" s="5">
        <f>IF(預測IC!H24&gt;預測IC!H$26,1,0)</f>
        <v>0</v>
      </c>
      <c r="I24" s="5">
        <f>IF(預測IC!I24&gt;預測IC!I$26,1,0)</f>
        <v>1</v>
      </c>
      <c r="J24" s="5">
        <f>IF(預測IC!J24&gt;預測IC!J$26,1,0)</f>
        <v>0</v>
      </c>
      <c r="K24" s="5">
        <f>IF(預測IC!K24&gt;預測IC!K$26,1,0)</f>
        <v>1</v>
      </c>
      <c r="L24" s="5">
        <f>IF(預測IC!L24&gt;預測IC!L$26,1,0)</f>
        <v>0</v>
      </c>
      <c r="M24" s="5">
        <f>IF(預測IC!M24&gt;預測IC!M$26,1,0)</f>
        <v>0</v>
      </c>
      <c r="N24" s="5">
        <f>IF(預測IC!N24&gt;預測IC!N$26,1,0)</f>
        <v>1</v>
      </c>
      <c r="O24" s="5">
        <f>IF(預測IC!O24&gt;預測IC!O$26,1,0)</f>
        <v>1</v>
      </c>
      <c r="P24" s="5">
        <f>IF(預測IC!P24&gt;預測IC!P$26,1,0)</f>
        <v>1</v>
      </c>
      <c r="Q24" s="5">
        <f>IF(預測IC!Q24&gt;預測IC!Q$26,1,0)</f>
        <v>0</v>
      </c>
      <c r="R24" s="5">
        <f>IF(預測IC!R24&gt;預測IC!R$26,1,0)</f>
        <v>1</v>
      </c>
      <c r="S24" s="5">
        <f>IF(預測IC!S24&gt;預測IC!S$26,1,0)</f>
        <v>1</v>
      </c>
      <c r="T24" s="5">
        <f>IF(預測IC!T24&gt;預測IC!T$26,1,0)</f>
        <v>0</v>
      </c>
      <c r="U24" s="5">
        <f>IF(預測IC!U24&gt;預測IC!U$26,1,0)</f>
        <v>1</v>
      </c>
      <c r="V24" s="5">
        <f>IF(預測IC!V24&gt;預測IC!V$26,1,0)</f>
        <v>0</v>
      </c>
      <c r="W24" s="5">
        <f>IF(預測IC!W24&gt;預測IC!W$26,1,0)</f>
        <v>1</v>
      </c>
      <c r="X24" s="5">
        <f>IF(預測IC!X24&gt;預測IC!X$26,1,0)</f>
        <v>0</v>
      </c>
      <c r="Y24" s="5">
        <f>IF(預測IC!Y24&gt;預測IC!Y$26,1,0)</f>
        <v>1</v>
      </c>
      <c r="Z24" s="5">
        <f>IF(預測IC!Z24&gt;預測IC!Z$26,1,0)</f>
        <v>1</v>
      </c>
      <c r="AA24" s="5">
        <f>IF(預測IC!AA24&gt;預測IC!AA$26,1,0)</f>
        <v>1</v>
      </c>
      <c r="AB24" s="5">
        <f>IF(預測IC!AB24&gt;預測IC!AB$26,1,0)</f>
        <v>0</v>
      </c>
      <c r="AC24" s="5">
        <f>IF(預測IC!AC24&gt;預測IC!AC$26,1,0)</f>
        <v>1</v>
      </c>
      <c r="AD24" s="5">
        <f>IF(預測IC!AD24&gt;預測IC!AD$26,1,0)</f>
        <v>1</v>
      </c>
      <c r="AE24" s="5">
        <f>IF(預測IC!AE24&gt;預測IC!AE$26,1,0)</f>
        <v>1</v>
      </c>
      <c r="AF24" s="5">
        <f>IF(預測IC!AF24&gt;預測IC!AF$26,1,0)</f>
        <v>0</v>
      </c>
      <c r="AG24" s="5">
        <f>IF(預測IC!AG24&gt;預測IC!AG$26,1,0)</f>
        <v>1</v>
      </c>
      <c r="AH24" s="5">
        <f>IF(預測IC!AH24&gt;預測IC!AH$26,1,0)</f>
        <v>0</v>
      </c>
      <c r="AI24" s="5">
        <f>IF(預測IC!AI24&gt;預測IC!AI$26,1,0)</f>
        <v>0</v>
      </c>
      <c r="AJ24" s="5">
        <f>IF(預測IC!AJ24&gt;預測IC!AJ$26,1,0)</f>
        <v>1</v>
      </c>
      <c r="AK24" s="5">
        <f>IF(預測IC!AK24&gt;預測IC!AK$26,1,0)</f>
        <v>1</v>
      </c>
      <c r="AL24" s="5">
        <f>IF(預測IC!AL24&gt;預測IC!AL$26,1,0)</f>
        <v>0</v>
      </c>
      <c r="AM24" s="5">
        <f>IF(預測IC!AM24&gt;預測IC!AM$26,1,0)</f>
        <v>0</v>
      </c>
      <c r="AN24" s="5">
        <f>IF(預測IC!AN24&gt;預測IC!AN$26,1,0)</f>
        <v>1</v>
      </c>
      <c r="AO24" s="5">
        <f>IF(預測IC!AO24&gt;預測IC!AO$26,1,0)</f>
        <v>1</v>
      </c>
      <c r="AP24" s="5">
        <f>IF(預測IC!AP24&gt;預測IC!AP$26,1,0)</f>
        <v>1</v>
      </c>
      <c r="AQ24" s="5">
        <f>IF(預測IC!AQ24&gt;預測IC!AQ$26,1,0)</f>
        <v>0</v>
      </c>
      <c r="AR24" s="5">
        <f>IF(預測IC!AR24&gt;預測IC!AR$26,1,0)</f>
        <v>1</v>
      </c>
      <c r="AS24" s="5">
        <f>IF(預測IC!AS24&gt;預測IC!AS$26,1,0)</f>
        <v>0</v>
      </c>
      <c r="AT24" s="5">
        <f>IF(預測IC!AT24&gt;預測IC!AT$26,1,0)</f>
        <v>1</v>
      </c>
      <c r="AU24" s="5">
        <f>IF(預測IC!AU24&gt;預測IC!AU$26,1,0)</f>
        <v>1</v>
      </c>
      <c r="AV24" s="5">
        <f>IF(預測IC!AV24&gt;預測IC!AV$26,1,0)</f>
        <v>0</v>
      </c>
      <c r="AW24" s="5">
        <f>IF(預測IC!AW24&gt;預測IC!AW$26,1,0)</f>
        <v>1</v>
      </c>
      <c r="AX24" s="5">
        <f>IF(預測IC!AX24&gt;預測IC!AX$26,1,0)</f>
        <v>0</v>
      </c>
      <c r="AY24" s="5">
        <f>IF(預測IC!AY24&gt;預測IC!AY$26,1,0)</f>
        <v>1</v>
      </c>
      <c r="AZ24" s="5">
        <f>IF(預測IC!AZ24&gt;預測IC!AZ$26,1,0)</f>
        <v>0</v>
      </c>
      <c r="BA24" s="5">
        <f>IF(預測IC!BA24&gt;預測IC!BA$26,1,0)</f>
        <v>0</v>
      </c>
      <c r="BB24" s="5">
        <f>IF(預測IC!BB24&gt;預測IC!BB$26,1,0)</f>
        <v>1</v>
      </c>
      <c r="BC24" s="5">
        <f>IF(預測IC!BC24&gt;預測IC!BC$26,1,0)</f>
        <v>0</v>
      </c>
      <c r="BD24" s="5">
        <f>IF(預測IC!BD24&gt;預測IC!BD$26,1,0)</f>
        <v>1</v>
      </c>
      <c r="BE24" s="5">
        <f>IF(預測IC!BE24&gt;預測IC!BE$26,1,0)</f>
        <v>1</v>
      </c>
      <c r="BF24" s="5">
        <f>IF(預測IC!BF24&gt;預測IC!BF$26,1,0)</f>
        <v>0</v>
      </c>
      <c r="BG24" s="5">
        <f>IF(預測IC!BG24&gt;預測IC!BG$26,1,0)</f>
        <v>1</v>
      </c>
      <c r="BH24" s="5">
        <f>IF(預測IC!BH24&gt;預測IC!BH$26,1,0)</f>
        <v>0</v>
      </c>
      <c r="BI24" s="5">
        <f>IF(預測IC!BI24&gt;預測IC!BI$26,1,0)</f>
        <v>0</v>
      </c>
      <c r="BJ24" s="5">
        <f>IF(預測IC!BJ24&gt;預測IC!BJ$26,1,0)</f>
        <v>0</v>
      </c>
      <c r="BK24" s="5">
        <f>IF(預測IC!BK24&gt;預測IC!BK$26,1,0)</f>
        <v>0</v>
      </c>
      <c r="BL24" s="5">
        <f>IF(預測IC!BL24&gt;預測IC!BL$26,1,0)</f>
        <v>1</v>
      </c>
      <c r="BM24" s="5">
        <f>IF(預測IC!BM24&gt;預測IC!BM$26,1,0)</f>
        <v>1</v>
      </c>
      <c r="BN24" s="5">
        <f>IF(預測IC!BN24&gt;預測IC!BN$26,1,0)</f>
        <v>0</v>
      </c>
      <c r="BO24" s="5">
        <f>IF(預測IC!BO24&gt;預測IC!BO$26,1,0)</f>
        <v>1</v>
      </c>
      <c r="BP24" s="5">
        <f>IF(預測IC!BP24&gt;預測IC!BP$26,1,0)</f>
        <v>1</v>
      </c>
      <c r="BQ24" s="5">
        <f>IF(預測IC!BQ24&gt;預測IC!BQ$26,1,0)</f>
        <v>1</v>
      </c>
      <c r="BR24" s="5">
        <f>IF(預測IC!BR24&gt;預測IC!BR$26,1,0)</f>
        <v>1</v>
      </c>
      <c r="BS24" s="5">
        <f>IF(預測IC!BS24&gt;預測IC!BS$26,1,0)</f>
        <v>1</v>
      </c>
      <c r="BT24" s="5">
        <f>IF(預測IC!BT24&gt;預測IC!BT$26,1,0)</f>
        <v>1</v>
      </c>
      <c r="BU24" s="5">
        <f>IF(預測IC!BU24&gt;預測IC!BU$26,1,0)</f>
        <v>1</v>
      </c>
      <c r="BV24" s="5">
        <f>IF(預測IC!BV24&gt;預測IC!BV$26,1,0)</f>
        <v>1</v>
      </c>
      <c r="BW24" s="5">
        <f>IF(預測IC!BW24&gt;預測IC!BW$26,1,0)</f>
        <v>1</v>
      </c>
      <c r="BX24" s="5">
        <f>IF(預測IC!BX24&gt;預測IC!BX$26,1,0)</f>
        <v>0</v>
      </c>
      <c r="BY24" s="5">
        <f>IF(預測IC!BY24&gt;預測IC!BY$26,1,0)</f>
        <v>0</v>
      </c>
      <c r="BZ24" s="5">
        <f>IF(預測IC!BZ24&gt;預測IC!BZ$26,1,0)</f>
        <v>0</v>
      </c>
      <c r="CA24" s="5">
        <f>IF(預測IC!CA24&gt;預測IC!CA$26,1,0)</f>
        <v>0</v>
      </c>
      <c r="CB24" s="5">
        <f>IF(預測IC!CB24&gt;預測IC!CB$26,1,0)</f>
        <v>0</v>
      </c>
      <c r="CC24" s="5">
        <f>IF(預測IC!CC24&gt;預測IC!CC$26,1,0)</f>
        <v>0</v>
      </c>
      <c r="CD24" s="5">
        <f>IF(預測IC!CD24&gt;預測IC!CD$26,1,0)</f>
        <v>0</v>
      </c>
      <c r="CE24" s="5">
        <f>IF(預測IC!CE24&gt;預測IC!CE$26,1,0)</f>
        <v>0</v>
      </c>
      <c r="CF24" s="5">
        <f>IF(預測IC!CF24&gt;預測IC!CF$26,1,0)</f>
        <v>1</v>
      </c>
      <c r="CG24" s="5">
        <f>IF(預測IC!CG24&gt;預測IC!CG$26,1,0)</f>
        <v>0</v>
      </c>
      <c r="CH24" s="5">
        <f>IF(預測IC!CH24&gt;預測IC!CH$26,1,0)</f>
        <v>1</v>
      </c>
      <c r="CI24" s="5">
        <f>IF(預測IC!CI24&gt;預測IC!CI$26,1,0)</f>
        <v>1</v>
      </c>
      <c r="CJ24" s="5">
        <f>IF(預測IC!CJ24&gt;預測IC!CJ$26,1,0)</f>
        <v>0</v>
      </c>
      <c r="CK24" s="5">
        <f>IF(預測IC!CK24&gt;預測IC!CK$26,1,0)</f>
        <v>1</v>
      </c>
      <c r="CL24" s="5">
        <f>IF(預測IC!CL24&gt;預測IC!CL$26,1,0)</f>
        <v>0</v>
      </c>
      <c r="CM24" s="5">
        <f>IF(預測IC!CM24&gt;預測IC!CM$26,1,0)</f>
        <v>1</v>
      </c>
      <c r="CN24" s="5">
        <f>IF(預測IC!CN24&gt;預測IC!CN$26,1,0)</f>
        <v>1</v>
      </c>
      <c r="CO24" s="5">
        <f>IF(預測IC!CO24&gt;預測IC!CO$26,1,0)</f>
        <v>0</v>
      </c>
      <c r="CP24" s="5">
        <f>IF(預測IC!CP24&gt;預測IC!CP$26,1,0)</f>
        <v>0</v>
      </c>
      <c r="CQ24" s="5">
        <f>IF(預測IC!CQ24&gt;預測IC!CQ$26,1,0)</f>
        <v>0</v>
      </c>
      <c r="CR24" s="5">
        <f>IF(預測IC!CR24&gt;預測IC!CR$26,1,0)</f>
        <v>0</v>
      </c>
      <c r="CS24" s="5">
        <f>IF(預測IC!CS24&gt;預測IC!CS$26,1,0)</f>
        <v>0</v>
      </c>
      <c r="CT24" s="5">
        <f>IF(預測IC!CT24&gt;預測IC!CT$26,1,0)</f>
        <v>1</v>
      </c>
      <c r="CU24" s="5">
        <f>IF(預測IC!CU24&gt;預測IC!CU$26,1,0)</f>
        <v>1</v>
      </c>
      <c r="CV24" s="5">
        <f>IF(預測IC!CV24&gt;預測IC!CV$26,1,0)</f>
        <v>0</v>
      </c>
      <c r="CW24" s="5">
        <f>IF(預測IC!CW24&gt;預測IC!CW$26,1,0)</f>
        <v>0</v>
      </c>
      <c r="CX24" s="5">
        <f>IF(預測IC!CX24&gt;預測IC!CX$26,1,0)</f>
        <v>0</v>
      </c>
      <c r="CY24" s="5">
        <f>IF(預測IC!CY24&gt;預測IC!CY$26,1,0)</f>
        <v>0</v>
      </c>
      <c r="CZ24" s="5">
        <f>IF(預測IC!CZ24&gt;預測IC!CZ$26,1,0)</f>
        <v>1</v>
      </c>
      <c r="DA24" s="5">
        <f>IF(預測IC!DA24&gt;預測IC!DA$26,1,0)</f>
        <v>1</v>
      </c>
      <c r="DB24" s="5">
        <f>IF(預測IC!DB24&gt;預測IC!DB$26,1,0)</f>
        <v>1</v>
      </c>
      <c r="DC24" s="5">
        <f>IF(預測IC!DC24&gt;預測IC!DC$26,1,0)</f>
        <v>0</v>
      </c>
      <c r="DD24" s="5">
        <f>IF(預測IC!DD24&gt;預測IC!DD$26,1,0)</f>
        <v>0</v>
      </c>
      <c r="DE24" s="5">
        <f>IF(預測IC!DE24&gt;預測IC!DE$26,1,0)</f>
        <v>0</v>
      </c>
      <c r="DF24" s="5">
        <f>IF(預測IC!DF24&gt;預測IC!DF$26,1,0)</f>
        <v>1</v>
      </c>
      <c r="DG24" s="5">
        <f>IF(預測IC!DG24&gt;預測IC!DG$26,1,0)</f>
        <v>1</v>
      </c>
      <c r="DH24" s="5">
        <f>IF(預測IC!DH24&gt;預測IC!DH$26,1,0)</f>
        <v>0</v>
      </c>
      <c r="DI24" s="5">
        <f>IF(預測IC!DI24&gt;預測IC!DI$26,1,0)</f>
        <v>1</v>
      </c>
      <c r="DJ24" s="5">
        <f>IF(預測IC!DJ24&gt;預測IC!DJ$26,1,0)</f>
        <v>0</v>
      </c>
      <c r="DK24" s="5">
        <f>IF(預測IC!DK24&gt;預測IC!DK$26,1,0)</f>
        <v>0</v>
      </c>
      <c r="DL24" s="5">
        <f>IF(預測IC!DL24&gt;預測IC!DL$26,1,0)</f>
        <v>0</v>
      </c>
      <c r="DM24" s="5">
        <f>IF(預測IC!DM24&gt;預測IC!DM$26,1,0)</f>
        <v>1</v>
      </c>
      <c r="DN24" s="5">
        <f>IF(預測IC!DN24&gt;預測IC!DN$26,1,0)</f>
        <v>1</v>
      </c>
      <c r="DO24" s="5">
        <f>IF(預測IC!DO24&gt;預測IC!DO$26,1,0)</f>
        <v>0</v>
      </c>
      <c r="DP24" s="5">
        <f>IF(預測IC!DP24&gt;預測IC!DP$26,1,0)</f>
        <v>1</v>
      </c>
      <c r="DQ24" s="5">
        <f>IF(預測IC!DQ24&gt;預測IC!DQ$26,1,0)</f>
        <v>0</v>
      </c>
      <c r="DR24" s="5">
        <f>IF(預測IC!DR24&gt;預測IC!DR$26,1,0)</f>
        <v>0</v>
      </c>
      <c r="DS24" s="5">
        <f>IF(預測IC!DS24&gt;預測IC!DS$26,1,0)</f>
        <v>0</v>
      </c>
      <c r="DT24" s="5">
        <f>IF(預測IC!DT24&gt;預測IC!DT$26,1,0)</f>
        <v>0</v>
      </c>
      <c r="DU24" s="5">
        <f>IF(預測IC!DU24&gt;預測IC!DU$26,1,0)</f>
        <v>0</v>
      </c>
      <c r="DV24" s="5">
        <f>IF(預測IC!DV24&gt;預測IC!DV$26,1,0)</f>
        <v>0</v>
      </c>
      <c r="DW24" s="5">
        <f>IF(預測IC!DW24&gt;預測IC!DW$26,1,0)</f>
        <v>1</v>
      </c>
      <c r="DX24" s="5">
        <f>IF(預測IC!DX24&gt;預測IC!DX$26,1,0)</f>
        <v>1</v>
      </c>
      <c r="DY24" s="5">
        <f>IF(預測IC!DY24&gt;預測IC!DY$26,1,0)</f>
        <v>1</v>
      </c>
      <c r="DZ24" s="5">
        <f>IF(預測IC!DZ24&gt;預測IC!DZ$26,1,0)</f>
        <v>0</v>
      </c>
      <c r="EA24" s="5">
        <f>IF(預測IC!EA24&gt;預測IC!EA$26,1,0)</f>
        <v>0</v>
      </c>
      <c r="EB24" s="5">
        <f>IF(預測IC!EB24&gt;預測IC!EB$26,1,0)</f>
        <v>1</v>
      </c>
      <c r="EC24" s="5">
        <f>IF(預測IC!EC24&gt;預測IC!EC$26,1,0)</f>
        <v>1</v>
      </c>
      <c r="ED24" s="5">
        <f>IF(預測IC!ED24&gt;預測IC!ED$26,1,0)</f>
        <v>1</v>
      </c>
      <c r="EE24" s="5">
        <f>IF(預測IC!EE24&gt;預測IC!EE$26,1,0)</f>
        <v>0</v>
      </c>
      <c r="EF24" s="5">
        <f>IF(預測IC!EH24&gt;預測IC!EF$26,1,0)</f>
        <v>1</v>
      </c>
      <c r="EG24" s="7">
        <f t="shared" si="10"/>
        <v>69</v>
      </c>
      <c r="EH24" s="10">
        <f t="shared" si="11"/>
        <v>0.5149253731343284</v>
      </c>
    </row>
    <row r="25" spans="1:138">
      <c r="A25" s="3" t="s">
        <v>144</v>
      </c>
      <c r="B25" s="3" t="s">
        <v>145</v>
      </c>
      <c r="C25" s="8">
        <v>-1.745E-2</v>
      </c>
      <c r="D25" s="8">
        <v>2.0701000000000001E-2</v>
      </c>
      <c r="E25" s="8">
        <v>2.3982E-2</v>
      </c>
      <c r="F25" s="8">
        <v>-6.5599999999999999E-3</v>
      </c>
      <c r="G25" s="8">
        <v>3.1844999999999998E-2</v>
      </c>
      <c r="H25" s="8">
        <v>3.4348999999999998E-2</v>
      </c>
      <c r="I25" s="8">
        <v>-8.2500000000000004E-3</v>
      </c>
      <c r="J25" s="8">
        <v>1.2844E-2</v>
      </c>
      <c r="K25" s="8">
        <v>-5.1020000000000003E-2</v>
      </c>
      <c r="L25" s="8">
        <v>8.7399999999999999E-4</v>
      </c>
      <c r="M25" s="8">
        <v>2.3390000000000001E-2</v>
      </c>
      <c r="N25" s="8">
        <v>1.2989000000000001E-2</v>
      </c>
      <c r="O25" s="8">
        <v>5.855E-3</v>
      </c>
      <c r="P25" s="8">
        <v>2.7413E-2</v>
      </c>
      <c r="Q25" s="8">
        <v>-3.7100000000000002E-3</v>
      </c>
      <c r="R25" s="8">
        <v>2.4077000000000001E-2</v>
      </c>
      <c r="S25" s="8">
        <v>-1.2189999999999999E-2</v>
      </c>
      <c r="T25" s="8">
        <v>-3.9750000000000001E-2</v>
      </c>
      <c r="U25" s="8">
        <v>-7.3160000000000003E-2</v>
      </c>
      <c r="V25" s="8">
        <v>-5.8259999999999999E-2</v>
      </c>
      <c r="W25" s="8">
        <v>7.7300000000000003E-4</v>
      </c>
      <c r="X25" s="8">
        <v>4.4592E-2</v>
      </c>
      <c r="Y25" s="8">
        <v>-2.7699999999999999E-2</v>
      </c>
      <c r="Z25" s="8">
        <v>2.0950000000000001E-3</v>
      </c>
      <c r="AA25" s="8">
        <v>-2.3400000000000001E-2</v>
      </c>
      <c r="AB25" s="8">
        <v>3.2128999999999998E-2</v>
      </c>
      <c r="AC25" s="8">
        <v>3.8903E-2</v>
      </c>
      <c r="AD25" s="8">
        <v>-4.2869999999999998E-2</v>
      </c>
      <c r="AE25" s="8">
        <v>1.8647E-2</v>
      </c>
      <c r="AF25" s="8">
        <v>1.523E-2</v>
      </c>
      <c r="AG25" s="8">
        <v>3.6017E-2</v>
      </c>
      <c r="AH25" s="8">
        <v>9.3550000000000005E-3</v>
      </c>
      <c r="AI25" s="8">
        <v>1.0748000000000001E-2</v>
      </c>
      <c r="AJ25" s="8">
        <v>1.3358E-2</v>
      </c>
      <c r="AK25" s="8">
        <v>-5.3299999999999997E-3</v>
      </c>
      <c r="AL25" s="8">
        <v>1.3829999999999999E-3</v>
      </c>
      <c r="AM25" s="8">
        <v>2.0795999999999999E-2</v>
      </c>
      <c r="AN25" s="8">
        <v>3.1517999999999997E-2</v>
      </c>
      <c r="AO25" s="8">
        <v>6.2420000000000002E-3</v>
      </c>
      <c r="AP25" s="8">
        <v>6.1450000000000003E-3</v>
      </c>
      <c r="AQ25" s="8">
        <v>1.6945999999999999E-2</v>
      </c>
      <c r="AR25" s="8">
        <v>3.4682999999999999E-2</v>
      </c>
      <c r="AS25" s="8">
        <v>3.0990000000000002E-3</v>
      </c>
      <c r="AT25" s="8">
        <v>1.5081000000000001E-2</v>
      </c>
      <c r="AU25" s="8">
        <v>-1.925E-2</v>
      </c>
      <c r="AV25" s="8">
        <v>3.8712000000000003E-2</v>
      </c>
      <c r="AW25" s="8">
        <v>-2.1860000000000001E-2</v>
      </c>
      <c r="AX25" s="8">
        <v>7.7739999999999997E-3</v>
      </c>
      <c r="AY25" s="8">
        <v>4.2396999999999997E-2</v>
      </c>
      <c r="AZ25" s="8">
        <v>-2.631E-2</v>
      </c>
      <c r="BA25" s="8">
        <v>9.5720000000000006E-3</v>
      </c>
      <c r="BB25" s="8">
        <v>-2.4250000000000001E-2</v>
      </c>
      <c r="BC25" s="8">
        <v>2.0163E-2</v>
      </c>
      <c r="BD25" s="8">
        <v>-3.5000000000000001E-3</v>
      </c>
      <c r="BE25" s="8">
        <v>2.0152E-2</v>
      </c>
      <c r="BF25" s="8">
        <v>5.8100000000000003E-4</v>
      </c>
      <c r="BG25" s="8">
        <v>-5.2199999999999998E-3</v>
      </c>
      <c r="BH25" s="8">
        <v>-0.11587</v>
      </c>
      <c r="BI25" s="8">
        <v>8.7250000000000001E-3</v>
      </c>
      <c r="BJ25" s="8">
        <v>-1.6379999999999999E-2</v>
      </c>
      <c r="BK25" s="8">
        <v>2.0840000000000001E-2</v>
      </c>
      <c r="BL25" s="8">
        <v>4.4976000000000002E-2</v>
      </c>
      <c r="BM25" s="8">
        <v>2.3954E-2</v>
      </c>
      <c r="BN25" s="8">
        <v>3.0238999999999999E-2</v>
      </c>
      <c r="BO25" s="8">
        <v>-4.3729999999999998E-2</v>
      </c>
      <c r="BP25" s="8">
        <v>2.1888999999999999E-2</v>
      </c>
      <c r="BQ25" s="8">
        <v>8.6269999999999993E-3</v>
      </c>
      <c r="BR25" s="8">
        <v>-1.9189999999999999E-2</v>
      </c>
      <c r="BS25" s="8">
        <v>1.9734999999999999E-2</v>
      </c>
      <c r="BT25" s="8">
        <v>4.7694E-2</v>
      </c>
      <c r="BU25" s="8">
        <v>1.1455E-2</v>
      </c>
      <c r="BV25" s="8">
        <v>4.3228999999999997E-2</v>
      </c>
      <c r="BW25" s="8">
        <v>-4.2750000000000003E-2</v>
      </c>
      <c r="BX25" s="8">
        <v>-1.7809999999999999E-2</v>
      </c>
      <c r="BY25" s="8">
        <v>-0.15115000000000001</v>
      </c>
      <c r="BZ25" s="8">
        <v>0.124224</v>
      </c>
      <c r="CA25" s="8">
        <v>-4.5599999999999998E-3</v>
      </c>
      <c r="CB25" s="8">
        <v>6.0211000000000001E-2</v>
      </c>
      <c r="CC25" s="8">
        <v>8.5991999999999999E-2</v>
      </c>
      <c r="CD25" s="8">
        <v>-5.8100000000000001E-3</v>
      </c>
      <c r="CE25" s="8">
        <v>-6.0400000000000002E-3</v>
      </c>
      <c r="CF25" s="8">
        <v>2.4520000000000002E-3</v>
      </c>
      <c r="CG25" s="8">
        <v>8.9635999999999993E-2</v>
      </c>
      <c r="CH25" s="8">
        <v>7.0993000000000001E-2</v>
      </c>
      <c r="CI25" s="8">
        <v>2.7171000000000001E-2</v>
      </c>
      <c r="CJ25" s="8">
        <v>5.2468000000000001E-2</v>
      </c>
      <c r="CK25" s="8">
        <v>2.9481E-2</v>
      </c>
      <c r="CL25" s="8">
        <v>6.6824999999999996E-2</v>
      </c>
      <c r="CM25" s="8">
        <v>-2.877E-2</v>
      </c>
      <c r="CN25" s="8">
        <v>3.9462999999999998E-2</v>
      </c>
      <c r="CO25" s="8">
        <v>-2.903E-2</v>
      </c>
      <c r="CP25" s="8">
        <v>1.3984E-2</v>
      </c>
      <c r="CQ25" s="8">
        <v>-3.2280000000000003E-2</v>
      </c>
      <c r="CR25" s="8">
        <v>3.104E-3</v>
      </c>
      <c r="CS25" s="8">
        <v>2.5592E-2</v>
      </c>
      <c r="CT25" s="8">
        <v>4.4392000000000001E-2</v>
      </c>
      <c r="CU25" s="8">
        <v>-3.0339999999999999E-2</v>
      </c>
      <c r="CV25" s="8">
        <v>-1.2600000000000001E-3</v>
      </c>
      <c r="CW25" s="8">
        <v>2.336E-3</v>
      </c>
      <c r="CX25" s="8">
        <v>-6.4259999999999998E-2</v>
      </c>
      <c r="CY25" s="8">
        <v>1.291E-2</v>
      </c>
      <c r="CZ25" s="8">
        <v>-0.12548000000000001</v>
      </c>
      <c r="DA25" s="8">
        <v>1.1691E-2</v>
      </c>
      <c r="DB25" s="8">
        <v>6.3379999999999999E-3</v>
      </c>
      <c r="DC25" s="8">
        <v>-0.11731</v>
      </c>
      <c r="DD25" s="8">
        <v>-3.601E-2</v>
      </c>
      <c r="DE25" s="8">
        <v>0.13891100000000001</v>
      </c>
      <c r="DF25" s="8">
        <v>-5.1139999999999998E-2</v>
      </c>
      <c r="DG25" s="8">
        <v>7.6730999999999994E-2</v>
      </c>
      <c r="DH25" s="8">
        <v>1.5509E-2</v>
      </c>
      <c r="DI25" s="8">
        <v>2.3224000000000002E-2</v>
      </c>
      <c r="DJ25" s="8">
        <v>-1.8370000000000001E-2</v>
      </c>
      <c r="DK25" s="8">
        <v>6.2198999999999997E-2</v>
      </c>
      <c r="DL25" s="8">
        <v>2.0098000000000001E-2</v>
      </c>
      <c r="DM25" s="8">
        <v>1.3499000000000001E-2</v>
      </c>
      <c r="DN25" s="8">
        <v>-3.0249999999999999E-2</v>
      </c>
      <c r="DO25" s="8">
        <v>-1.702E-2</v>
      </c>
      <c r="DP25" s="8">
        <v>-2.179E-2</v>
      </c>
      <c r="DQ25" s="8">
        <v>8.5746000000000003E-2</v>
      </c>
      <c r="DR25" s="8">
        <v>2.8107E-2</v>
      </c>
      <c r="DS25" s="8">
        <v>-2.3E-3</v>
      </c>
      <c r="DT25" s="8">
        <v>5.8471000000000002E-2</v>
      </c>
      <c r="DU25" s="8">
        <v>6.7658999999999997E-2</v>
      </c>
      <c r="DV25" s="8">
        <v>5.0210000000000003E-3</v>
      </c>
      <c r="DW25" s="8">
        <v>3.7415999999999998E-2</v>
      </c>
      <c r="DX25" s="8">
        <v>8.4111000000000005E-2</v>
      </c>
      <c r="DY25" s="8">
        <v>-3.6830000000000002E-2</v>
      </c>
      <c r="DZ25" s="8">
        <v>3.0920000000000001E-3</v>
      </c>
      <c r="EA25" s="8">
        <v>-1.9599999999999999E-3</v>
      </c>
      <c r="EB25" s="8">
        <v>2.6459E-2</v>
      </c>
      <c r="EC25" s="8">
        <v>-2.4750000000000001E-2</v>
      </c>
      <c r="ED25" s="8">
        <v>3.4114999999999999E-2</v>
      </c>
      <c r="EE25" s="8">
        <v>2.1062000000000001E-2</v>
      </c>
      <c r="EF25" s="8">
        <v>-2.0279999999999999E-2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F25"/>
  <sheetViews>
    <sheetView topLeftCell="H10" zoomScale="243" workbookViewId="0">
      <selection activeCell="C24" sqref="C24:EF24"/>
    </sheetView>
  </sheetViews>
  <sheetFormatPr baseColWidth="10" defaultColWidth="9" defaultRowHeight="14"/>
  <cols>
    <col min="3" max="3" width="9.3984375" bestFit="1" customWidth="1"/>
  </cols>
  <sheetData>
    <row r="1" spans="1:136">
      <c r="A1" t="s">
        <v>0</v>
      </c>
    </row>
    <row r="2" spans="1:136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6">
      <c r="B3" s="1" t="s">
        <v>136</v>
      </c>
      <c r="C3" s="5">
        <v>7.8798868708972569E-2</v>
      </c>
      <c r="D3" s="5">
        <v>0.1797330866000165</v>
      </c>
      <c r="E3" s="5">
        <v>1.5489078774060919E-2</v>
      </c>
      <c r="F3" s="5">
        <v>-2.2168251176828E-2</v>
      </c>
      <c r="G3" s="5">
        <v>-8.1037288150830888E-3</v>
      </c>
      <c r="H3" s="5">
        <v>-1.540126879534739E-2</v>
      </c>
      <c r="I3" s="5">
        <v>-0.19676558635554181</v>
      </c>
      <c r="J3" s="5">
        <v>0.27883034253820949</v>
      </c>
      <c r="K3" s="5">
        <v>-5.6931615083884446E-3</v>
      </c>
      <c r="L3" s="5">
        <v>-4.7889749224816418E-2</v>
      </c>
      <c r="M3" s="5">
        <v>-5.2700847804921791E-3</v>
      </c>
      <c r="N3" s="5">
        <v>-0.19106965066791309</v>
      </c>
      <c r="O3" s="5">
        <v>0.31084678168383029</v>
      </c>
      <c r="P3" s="5">
        <v>0.11377091314306841</v>
      </c>
      <c r="Q3" s="5">
        <v>-0.1230705033938234</v>
      </c>
      <c r="R3" s="5">
        <v>-0.1125584938483804</v>
      </c>
      <c r="S3" s="5">
        <v>0.10466589270197239</v>
      </c>
      <c r="T3" s="5">
        <v>-0.14458476697667069</v>
      </c>
      <c r="U3" s="5">
        <v>-0.26280780822848793</v>
      </c>
      <c r="V3" s="5">
        <v>3.018865545683036E-3</v>
      </c>
      <c r="W3" s="5">
        <v>0.13196040423464411</v>
      </c>
      <c r="X3" s="5">
        <v>-8.9415173838410772E-2</v>
      </c>
      <c r="Y3" s="5">
        <v>0.27906324575998892</v>
      </c>
      <c r="Z3" s="5">
        <v>0.10308974194226191</v>
      </c>
      <c r="AA3" s="5">
        <v>0.48637748963693189</v>
      </c>
      <c r="AB3" s="5">
        <v>-0.2348198317515614</v>
      </c>
      <c r="AC3" s="5">
        <v>1.209651139005591E-2</v>
      </c>
      <c r="AD3" s="5">
        <v>2.4631762383159391E-2</v>
      </c>
      <c r="AE3" s="5">
        <v>-5.6680955135353086E-3</v>
      </c>
      <c r="AF3" s="5">
        <v>-5.6269213313916128E-2</v>
      </c>
      <c r="AG3" s="5">
        <v>0.1224049331936696</v>
      </c>
      <c r="AH3" s="5">
        <v>4.3996774628331507E-2</v>
      </c>
      <c r="AI3" s="5">
        <v>0.16226838670026481</v>
      </c>
      <c r="AJ3" s="5">
        <v>6.8930166950289418E-2</v>
      </c>
      <c r="AK3" s="5">
        <v>8.7359955926433919E-2</v>
      </c>
      <c r="AL3" s="5">
        <v>0.18738072328871311</v>
      </c>
      <c r="AM3" s="5">
        <v>9.6837349683267515E-2</v>
      </c>
      <c r="AN3" s="5">
        <v>0.2075736584826241</v>
      </c>
      <c r="AO3" s="5">
        <v>0.1179758622033628</v>
      </c>
      <c r="AP3" s="5">
        <v>-2.8503518413619089E-2</v>
      </c>
      <c r="AQ3" s="5">
        <v>-0.2114396427417907</v>
      </c>
      <c r="AR3" s="5">
        <v>-3.2302566009502653E-2</v>
      </c>
      <c r="AS3" s="5">
        <v>0.14111009314114151</v>
      </c>
      <c r="AT3" s="5">
        <v>-3.4807512436285597E-2</v>
      </c>
      <c r="AU3" s="5">
        <v>4.4456114444752393E-2</v>
      </c>
      <c r="AV3" s="5">
        <v>2.116273888563475E-2</v>
      </c>
      <c r="AW3" s="5">
        <v>-0.17415500379798879</v>
      </c>
      <c r="AX3" s="5">
        <v>7.6317816973353048E-2</v>
      </c>
      <c r="AY3" s="5">
        <v>9.0306432388433389E-3</v>
      </c>
      <c r="AZ3" s="5">
        <v>1.663894988550357E-2</v>
      </c>
      <c r="BA3" s="5">
        <v>0.1604995491281753</v>
      </c>
      <c r="BB3" s="5">
        <v>-0.1237409532939386</v>
      </c>
      <c r="BC3" s="5">
        <v>0.1567368975950951</v>
      </c>
      <c r="BD3" s="5">
        <v>0.16688346547535959</v>
      </c>
      <c r="BE3" s="5">
        <v>-0.13147229447438161</v>
      </c>
      <c r="BF3" s="5">
        <v>9.9500132775895977E-3</v>
      </c>
      <c r="BG3" s="5">
        <v>0.31531123716865839</v>
      </c>
      <c r="BH3" s="5">
        <v>0.27010117711850451</v>
      </c>
      <c r="BI3" s="5">
        <v>5.6315448743319167E-2</v>
      </c>
      <c r="BJ3" s="5">
        <v>-2.4098168569960938E-3</v>
      </c>
      <c r="BK3" s="5">
        <v>7.980037571183507E-2</v>
      </c>
      <c r="BL3" s="5">
        <v>-2.3392393936943919E-2</v>
      </c>
      <c r="BM3" s="5">
        <v>9.4008939681691994E-2</v>
      </c>
      <c r="BN3" s="5">
        <v>1.7643905957802519E-2</v>
      </c>
      <c r="BO3" s="5">
        <v>-0.14928793997254061</v>
      </c>
      <c r="BP3" s="5">
        <v>4.1225940656231752E-2</v>
      </c>
      <c r="BQ3" s="5">
        <v>-8.2741207352384771E-2</v>
      </c>
      <c r="BR3" s="5">
        <v>0.21346470331308501</v>
      </c>
      <c r="BS3" s="5">
        <v>-6.7985397750361887E-2</v>
      </c>
      <c r="BT3" s="5">
        <v>0.14435039701784599</v>
      </c>
      <c r="BU3" s="5">
        <v>0.11377937808470839</v>
      </c>
      <c r="BV3" s="5">
        <v>5.6009583131783613E-3</v>
      </c>
      <c r="BW3" s="5">
        <v>0.11314663575547999</v>
      </c>
      <c r="BX3" s="5">
        <v>-9.0571156630970151E-2</v>
      </c>
      <c r="BY3" s="5">
        <v>0.1185697363729505</v>
      </c>
      <c r="BZ3" s="5">
        <v>-0.14071284467671219</v>
      </c>
      <c r="CA3" s="5">
        <v>7.3472777058868566E-2</v>
      </c>
      <c r="CB3" s="5">
        <v>-0.17102560649194909</v>
      </c>
      <c r="CC3" s="5">
        <v>8.6731635966007636E-2</v>
      </c>
      <c r="CD3" s="5">
        <v>3.1267715866914132E-2</v>
      </c>
      <c r="CE3" s="5">
        <v>0.2187970365966756</v>
      </c>
      <c r="CF3" s="5">
        <v>-0.1415947073656891</v>
      </c>
      <c r="CG3" s="5">
        <v>9.9731607421901902E-2</v>
      </c>
      <c r="CH3" s="5">
        <v>4.5308069873115593E-2</v>
      </c>
      <c r="CI3" s="5">
        <v>8.9441140161071353E-2</v>
      </c>
      <c r="CJ3" s="5">
        <v>-0.39111281147264948</v>
      </c>
      <c r="CK3" s="5">
        <v>-0.1097911700085549</v>
      </c>
      <c r="CL3" s="5">
        <v>-4.3456184080796822E-2</v>
      </c>
      <c r="CM3" s="5">
        <v>0.18311247425732069</v>
      </c>
      <c r="CN3" s="5">
        <v>-0.39746167912504587</v>
      </c>
      <c r="CO3" s="5">
        <v>-9.6930225730285202E-2</v>
      </c>
      <c r="CP3" s="5">
        <v>-9.5682049872747921E-2</v>
      </c>
      <c r="CQ3" s="5">
        <v>0.17197496741798041</v>
      </c>
      <c r="CR3" s="5">
        <v>6.1939484759435059E-2</v>
      </c>
      <c r="CS3" s="5">
        <v>-4.7664038974437717E-2</v>
      </c>
      <c r="CT3" s="5">
        <v>-1.0473980040771101E-2</v>
      </c>
      <c r="CU3" s="5">
        <v>-3.4400594909696942E-2</v>
      </c>
      <c r="CV3" s="5">
        <v>-2.258422919649478E-2</v>
      </c>
      <c r="CW3" s="5">
        <v>3.967601364242257E-2</v>
      </c>
      <c r="CX3" s="5">
        <v>-5.3904732790443062E-2</v>
      </c>
      <c r="CY3" s="5">
        <v>2.7221884648997219E-2</v>
      </c>
      <c r="CZ3" s="5">
        <v>9.8878435478775006E-2</v>
      </c>
      <c r="DA3" s="5">
        <v>0.31254073484349981</v>
      </c>
      <c r="DB3" s="5">
        <v>-0.15564612733519101</v>
      </c>
      <c r="DC3" s="5">
        <v>-0.186958527424675</v>
      </c>
      <c r="DD3" s="5">
        <v>-0.16852286341555181</v>
      </c>
      <c r="DE3" s="5">
        <v>0.1677976140486318</v>
      </c>
      <c r="DF3" s="5">
        <v>-9.1638386466206867E-2</v>
      </c>
      <c r="DG3" s="5">
        <v>-7.5708963031608456E-2</v>
      </c>
      <c r="DH3" s="5">
        <v>7.7960520930394628E-3</v>
      </c>
      <c r="DI3" s="5">
        <v>-2.5500379680462042E-3</v>
      </c>
      <c r="DJ3" s="5">
        <v>-6.8988362574606832E-2</v>
      </c>
      <c r="DK3" s="5">
        <v>4.6125318624910039E-2</v>
      </c>
      <c r="DL3" s="5">
        <v>-5.8337699674183729E-2</v>
      </c>
      <c r="DM3" s="5">
        <v>-7.0566061856035006E-2</v>
      </c>
      <c r="DN3" s="5">
        <v>2.809287103658753E-2</v>
      </c>
      <c r="DO3" s="5">
        <v>-7.0883392118804012E-2</v>
      </c>
      <c r="DP3" s="5">
        <v>0.16113140194021519</v>
      </c>
      <c r="DQ3" s="5">
        <v>0.1547440050249739</v>
      </c>
      <c r="DR3" s="5">
        <v>-0.1074253347743107</v>
      </c>
      <c r="DS3" s="5">
        <v>0.1128417239921658</v>
      </c>
      <c r="DT3" s="5">
        <v>-9.1401515312695802E-2</v>
      </c>
      <c r="DU3" s="5">
        <v>-6.5441570505781171E-2</v>
      </c>
      <c r="DV3" s="5">
        <v>-7.3758705524149371E-2</v>
      </c>
      <c r="DW3" s="5">
        <v>6.6155769939566539E-2</v>
      </c>
      <c r="DX3" s="5">
        <v>6.9417132083774952E-2</v>
      </c>
      <c r="DY3" s="5">
        <v>-0.10299216834685949</v>
      </c>
      <c r="DZ3" s="5">
        <v>0.26391340422439719</v>
      </c>
      <c r="EA3" s="5">
        <v>-8.9759100562534361E-2</v>
      </c>
      <c r="EB3" s="5">
        <v>0.19432476998554751</v>
      </c>
      <c r="EC3" s="5">
        <v>-3.0097119912414479E-2</v>
      </c>
      <c r="ED3" s="5">
        <v>2.8618294955548851E-2</v>
      </c>
      <c r="EE3" s="5">
        <v>-8.7371804917650953E-2</v>
      </c>
      <c r="EF3" s="5">
        <v>-2.097644515945252E-2</v>
      </c>
    </row>
    <row r="4" spans="1:136">
      <c r="B4" s="1" t="s">
        <v>137</v>
      </c>
      <c r="C4" s="5">
        <v>-0.2033298904066001</v>
      </c>
      <c r="D4" s="5">
        <v>-0.19670615347595799</v>
      </c>
      <c r="E4" s="5">
        <v>-0.25411088976615298</v>
      </c>
      <c r="F4" s="5">
        <v>4.6098132519260197E-2</v>
      </c>
      <c r="G4" s="5">
        <v>3.0705585377122091E-2</v>
      </c>
      <c r="H4" s="5">
        <v>-5.0794665387496003E-2</v>
      </c>
      <c r="I4" s="5">
        <v>7.7645993308728123E-4</v>
      </c>
      <c r="J4" s="5">
        <v>4.8875938188759349E-2</v>
      </c>
      <c r="K4" s="5">
        <v>-0.10205312675095971</v>
      </c>
      <c r="L4" s="5">
        <v>-1.86487966438591E-2</v>
      </c>
      <c r="M4" s="5">
        <v>-5.5059352573051612E-2</v>
      </c>
      <c r="N4" s="5">
        <v>-2.980539628833689E-2</v>
      </c>
      <c r="O4" s="5">
        <v>-0.18676845762429831</v>
      </c>
      <c r="P4" s="5">
        <v>3.0016143098960061E-2</v>
      </c>
      <c r="Q4" s="5">
        <v>9.7885090716637535E-2</v>
      </c>
      <c r="R4" s="5">
        <v>-9.3921517598078097E-2</v>
      </c>
      <c r="S4" s="5">
        <v>2.2808945852236921E-2</v>
      </c>
      <c r="T4" s="5">
        <v>7.3321485340407833E-2</v>
      </c>
      <c r="U4" s="5">
        <v>7.4453756001915394E-3</v>
      </c>
      <c r="V4" s="5">
        <v>-2.162307259445129E-2</v>
      </c>
      <c r="W4" s="5">
        <v>-5.7679730450974631E-3</v>
      </c>
      <c r="X4" s="5">
        <v>-0.1698621934781421</v>
      </c>
      <c r="Y4" s="5">
        <v>-0.23417865773462759</v>
      </c>
      <c r="Z4" s="5">
        <v>-1.0182398713556751E-2</v>
      </c>
      <c r="AA4" s="5">
        <v>-3.1047645711428369E-3</v>
      </c>
      <c r="AB4" s="5">
        <v>-0.16354736732336941</v>
      </c>
      <c r="AC4" s="5">
        <v>-6.5817326243049479E-2</v>
      </c>
      <c r="AD4" s="5">
        <v>-5.3291001780785052E-2</v>
      </c>
      <c r="AE4" s="5">
        <v>4.4148085053993917E-2</v>
      </c>
      <c r="AF4" s="5">
        <v>8.1272612622841578E-2</v>
      </c>
      <c r="AG4" s="5">
        <v>-0.1017872468284171</v>
      </c>
      <c r="AH4" s="5">
        <v>0.1188108231774461</v>
      </c>
      <c r="AI4" s="5">
        <v>-8.6264025106641995E-2</v>
      </c>
      <c r="AJ4" s="5">
        <v>-9.7080353915666606E-2</v>
      </c>
      <c r="AK4" s="5">
        <v>7.7483445716659105E-2</v>
      </c>
      <c r="AL4" s="5">
        <v>1.8676259356256612E-2</v>
      </c>
      <c r="AM4" s="5">
        <v>-7.3616058355145952E-3</v>
      </c>
      <c r="AN4" s="5">
        <v>1.1279678641054501E-2</v>
      </c>
      <c r="AO4" s="5">
        <v>-4.4653672927386978E-2</v>
      </c>
      <c r="AP4" s="5">
        <v>8.0316784439199651E-2</v>
      </c>
      <c r="AQ4" s="5">
        <v>-9.065489430089535E-2</v>
      </c>
      <c r="AR4" s="5">
        <v>0.11489008982476891</v>
      </c>
      <c r="AS4" s="5">
        <v>8.2303546348533985E-2</v>
      </c>
      <c r="AT4" s="5">
        <v>9.2421253692602789E-3</v>
      </c>
      <c r="AU4" s="5">
        <v>-3.3161859626785528E-2</v>
      </c>
      <c r="AV4" s="5">
        <v>-0.2173053184250211</v>
      </c>
      <c r="AW4" s="5">
        <v>5.2685655817201749E-2</v>
      </c>
      <c r="AX4" s="5">
        <v>1.3493885720954781E-2</v>
      </c>
      <c r="AY4" s="5">
        <v>0.1041661451594766</v>
      </c>
      <c r="AZ4" s="5">
        <v>1.7139753527592561E-2</v>
      </c>
      <c r="BA4" s="5">
        <v>-0.15393947590357021</v>
      </c>
      <c r="BB4" s="5">
        <v>-0.25209000741856791</v>
      </c>
      <c r="BC4" s="5">
        <v>-0.1509089515544382</v>
      </c>
      <c r="BD4" s="5">
        <v>-2.256906534059766E-2</v>
      </c>
      <c r="BE4" s="5">
        <v>-3.1980232980275858E-2</v>
      </c>
      <c r="BF4" s="5">
        <v>0.12360403054618981</v>
      </c>
      <c r="BG4" s="5">
        <v>-7.4229896004924356E-2</v>
      </c>
      <c r="BH4" s="5">
        <v>-6.4502472889254037E-2</v>
      </c>
      <c r="BI4" s="5">
        <v>1.824796293577791E-2</v>
      </c>
      <c r="BJ4" s="5">
        <v>-0.15119856136795379</v>
      </c>
      <c r="BK4" s="5">
        <v>-5.7995346273466808E-2</v>
      </c>
      <c r="BL4" s="5">
        <v>-4.6827851998019199E-2</v>
      </c>
      <c r="BM4" s="5">
        <v>2.007808697382707E-2</v>
      </c>
      <c r="BN4" s="5">
        <v>4.1159851064172408E-2</v>
      </c>
      <c r="BO4" s="5">
        <v>4.4821746513099107E-2</v>
      </c>
      <c r="BP4" s="5">
        <v>8.3537285837463671E-2</v>
      </c>
      <c r="BQ4" s="5">
        <v>3.0584215049547229E-2</v>
      </c>
      <c r="BR4" s="5">
        <v>-0.11513801838410841</v>
      </c>
      <c r="BS4" s="5">
        <v>-1.9945733381826258E-2</v>
      </c>
      <c r="BT4" s="5">
        <v>-3.340062489588469E-2</v>
      </c>
      <c r="BU4" s="5">
        <v>-4.5048156861273718E-2</v>
      </c>
      <c r="BV4" s="5">
        <v>0.17298229554948641</v>
      </c>
      <c r="BW4" s="5">
        <v>-9.9199124220314516E-2</v>
      </c>
      <c r="BX4" s="5">
        <v>-6.8360249990837119E-2</v>
      </c>
      <c r="BY4" s="5">
        <v>-0.18303206657081719</v>
      </c>
      <c r="BZ4" s="5">
        <v>8.5483425285028503E-2</v>
      </c>
      <c r="CA4" s="5">
        <v>9.7162092942060241E-3</v>
      </c>
      <c r="CB4" s="5">
        <v>0.19814488479862649</v>
      </c>
      <c r="CC4" s="5">
        <v>-0.29368551385020503</v>
      </c>
      <c r="CD4" s="5">
        <v>-0.13248019500703731</v>
      </c>
      <c r="CE4" s="5">
        <v>-5.8262282818763111E-2</v>
      </c>
      <c r="CF4" s="5">
        <v>-0.1140691280773574</v>
      </c>
      <c r="CG4" s="5">
        <v>5.6736524131114408E-2</v>
      </c>
      <c r="CH4" s="5">
        <v>-4.7296779651766494E-3</v>
      </c>
      <c r="CI4" s="5">
        <v>8.4443901855131287E-2</v>
      </c>
      <c r="CJ4" s="5">
        <v>2.7869588243326859E-2</v>
      </c>
      <c r="CK4" s="5">
        <v>-2.232469786150304E-2</v>
      </c>
      <c r="CL4" s="5">
        <v>-6.8175763142658496E-2</v>
      </c>
      <c r="CM4" s="5">
        <v>4.0425862777794919E-2</v>
      </c>
      <c r="CN4" s="5">
        <v>0.18770361883890979</v>
      </c>
      <c r="CO4" s="5">
        <v>1.3964512578574779E-3</v>
      </c>
      <c r="CP4" s="5">
        <v>2.0238036750885868E-2</v>
      </c>
      <c r="CQ4" s="5">
        <v>-3.0594997259303369E-2</v>
      </c>
      <c r="CR4" s="5">
        <v>-0.28726340823344998</v>
      </c>
      <c r="CS4" s="5">
        <v>-0.27841972942992038</v>
      </c>
      <c r="CT4" s="5">
        <v>8.2270680617856584E-2</v>
      </c>
      <c r="CU4" s="5">
        <v>-0.1048554960401091</v>
      </c>
      <c r="CV4" s="5">
        <v>0.11088351979357471</v>
      </c>
      <c r="CW4" s="5">
        <v>-5.0507103363436563E-2</v>
      </c>
      <c r="CX4" s="5">
        <v>5.9564972115538239E-2</v>
      </c>
      <c r="CY4" s="5">
        <v>-0.17485206724227001</v>
      </c>
      <c r="CZ4" s="5">
        <v>-0.12999288727490921</v>
      </c>
      <c r="DA4" s="5">
        <v>-0.22061040036900439</v>
      </c>
      <c r="DB4" s="5">
        <v>-4.9769885023174247E-2</v>
      </c>
      <c r="DC4" s="5">
        <v>-0.1428822193239476</v>
      </c>
      <c r="DD4" s="5">
        <v>0.1006356253829281</v>
      </c>
      <c r="DE4" s="5">
        <v>4.4473068308818142E-2</v>
      </c>
      <c r="DF4" s="5">
        <v>5.5744001155495937E-2</v>
      </c>
      <c r="DG4" s="5">
        <v>-0.1401895090203702</v>
      </c>
      <c r="DH4" s="5">
        <v>0.15742013530757151</v>
      </c>
      <c r="DI4" s="5">
        <v>-6.1975928482361553E-2</v>
      </c>
      <c r="DJ4" s="5">
        <v>-0.12007758793922819</v>
      </c>
      <c r="DK4" s="5">
        <v>-0.163860282805075</v>
      </c>
      <c r="DL4" s="5">
        <v>9.4497364979279297E-2</v>
      </c>
      <c r="DM4" s="5">
        <v>0.23347887989474711</v>
      </c>
      <c r="DN4" s="5">
        <v>7.41389367052534E-2</v>
      </c>
      <c r="DO4" s="5">
        <v>-4.4768182471788258E-2</v>
      </c>
      <c r="DP4" s="5">
        <v>-6.9268899611042656E-2</v>
      </c>
      <c r="DQ4" s="5">
        <v>-0.1694470405102351</v>
      </c>
      <c r="DR4" s="5">
        <v>-0.1292383591030131</v>
      </c>
      <c r="DS4" s="5">
        <v>-7.3029030634589986E-2</v>
      </c>
      <c r="DT4" s="5">
        <v>-0.2035882020359274</v>
      </c>
      <c r="DU4" s="5">
        <v>-5.4890571845771063E-2</v>
      </c>
      <c r="DV4" s="5">
        <v>1.1078381509349811E-2</v>
      </c>
      <c r="DW4" s="5">
        <v>-4.5384063983000536E-3</v>
      </c>
      <c r="DX4" s="5">
        <v>-8.4289001087523019E-2</v>
      </c>
      <c r="DY4" s="5">
        <v>0.10021881700383869</v>
      </c>
      <c r="DZ4" s="5">
        <v>-0.13097722178277141</v>
      </c>
      <c r="EA4" s="5">
        <v>-0.19315799713893969</v>
      </c>
      <c r="EB4" s="5">
        <v>-0.31868386846927171</v>
      </c>
      <c r="EC4" s="5">
        <v>4.9076536231201118E-2</v>
      </c>
      <c r="ED4" s="5">
        <v>5.2784729286493359E-2</v>
      </c>
      <c r="EE4" s="5">
        <v>0.1201448565603975</v>
      </c>
      <c r="EF4" s="5">
        <v>0.24405280405184021</v>
      </c>
    </row>
    <row r="5" spans="1:136">
      <c r="B5" s="1" t="s">
        <v>138</v>
      </c>
      <c r="C5" s="5">
        <v>-0.20935792122733929</v>
      </c>
      <c r="D5" s="5">
        <v>-0.1073627692333063</v>
      </c>
      <c r="E5" s="5">
        <v>0.52484760680152232</v>
      </c>
      <c r="F5" s="5">
        <v>4.6837059958046809E-2</v>
      </c>
      <c r="G5" s="5">
        <v>-0.2104714261735883</v>
      </c>
      <c r="H5" s="5">
        <v>0.4744149628629204</v>
      </c>
      <c r="I5" s="5">
        <v>0.14678498763585299</v>
      </c>
      <c r="J5" s="5">
        <v>-5.6231752728838222E-2</v>
      </c>
      <c r="K5" s="5">
        <v>0.27552845629080469</v>
      </c>
      <c r="L5" s="5">
        <v>-0.43004286310886081</v>
      </c>
      <c r="M5" s="5">
        <v>0.32376774959305898</v>
      </c>
      <c r="N5" s="5">
        <v>-0.34824165047033961</v>
      </c>
      <c r="O5" s="5">
        <v>-9.7528911512976074E-2</v>
      </c>
      <c r="P5" s="5">
        <v>0.39546612391174241</v>
      </c>
      <c r="Q5" s="5">
        <v>4.8467491330228173E-2</v>
      </c>
      <c r="R5" s="5">
        <v>-9.8851331549351315E-2</v>
      </c>
      <c r="S5" s="5">
        <v>0.3057921371194337</v>
      </c>
      <c r="T5" s="5">
        <v>7.2071946189346189E-2</v>
      </c>
      <c r="U5" s="5">
        <v>-4.7890408561752917E-4</v>
      </c>
      <c r="V5" s="5">
        <v>-0.13936695356286269</v>
      </c>
      <c r="W5" s="5">
        <v>-0.39469012652483237</v>
      </c>
      <c r="X5" s="5">
        <v>-0.12947787244850251</v>
      </c>
      <c r="Y5" s="5">
        <v>-0.68127295831176804</v>
      </c>
      <c r="Z5" s="5">
        <v>-4.1720386960932424E-3</v>
      </c>
      <c r="AA5" s="5">
        <v>1.8198047382592619E-2</v>
      </c>
      <c r="AB5" s="5">
        <v>0.20112165888415301</v>
      </c>
      <c r="AC5" s="5">
        <v>-8.9163225286403025E-2</v>
      </c>
      <c r="AD5" s="5">
        <v>0.14514145822358679</v>
      </c>
      <c r="AE5" s="5">
        <v>7.4669147590605167E-2</v>
      </c>
      <c r="AF5" s="5">
        <v>0.17577042279847119</v>
      </c>
      <c r="AG5" s="5">
        <v>-0.30336041259100399</v>
      </c>
      <c r="AH5" s="5">
        <v>-0.3482499081721625</v>
      </c>
      <c r="AI5" s="5">
        <v>0.25872371710226461</v>
      </c>
      <c r="AJ5" s="5">
        <v>-0.48889196953357</v>
      </c>
      <c r="AK5" s="5">
        <v>0.13254842946584691</v>
      </c>
      <c r="AL5" s="5">
        <v>-2.3789775596635129E-2</v>
      </c>
      <c r="AM5" s="5">
        <v>1.17524054827144E-2</v>
      </c>
      <c r="AN5" s="5">
        <v>-7.4933432869098024E-2</v>
      </c>
      <c r="AO5" s="5">
        <v>0.1844633194704077</v>
      </c>
      <c r="AP5" s="5">
        <v>3.2348031051998787E-2</v>
      </c>
      <c r="AQ5" s="5">
        <v>0.1511984265546954</v>
      </c>
      <c r="AR5" s="5">
        <v>-9.5283109587288514E-2</v>
      </c>
      <c r="AS5" s="5">
        <v>-0.1260043749729467</v>
      </c>
      <c r="AT5" s="5">
        <v>0.1516447920969482</v>
      </c>
      <c r="AU5" s="5">
        <v>-0.20083705233961571</v>
      </c>
      <c r="AV5" s="5">
        <v>7.890636801828628E-2</v>
      </c>
      <c r="AW5" s="5">
        <v>6.7935762483271878E-4</v>
      </c>
      <c r="AX5" s="5">
        <v>0.1122931240608864</v>
      </c>
      <c r="AY5" s="5">
        <v>-0.118056117907044</v>
      </c>
      <c r="AZ5" s="5">
        <v>0.20621977214253931</v>
      </c>
      <c r="BA5" s="5">
        <v>-3.9691918773370187E-2</v>
      </c>
      <c r="BB5" s="5">
        <v>8.2995939761629778E-2</v>
      </c>
      <c r="BC5" s="5">
        <v>-0.13000542995066139</v>
      </c>
      <c r="BD5" s="5">
        <v>-0.1063161628626854</v>
      </c>
      <c r="BE5" s="5">
        <v>0.1159333959862182</v>
      </c>
      <c r="BF5" s="5">
        <v>-0.28526227318364472</v>
      </c>
      <c r="BG5" s="5">
        <v>-0.15093334040887121</v>
      </c>
      <c r="BH5" s="5">
        <v>2.919940093087194E-3</v>
      </c>
      <c r="BI5" s="5">
        <v>5.812657406460206E-2</v>
      </c>
      <c r="BJ5" s="5">
        <v>-0.25986983403483388</v>
      </c>
      <c r="BK5" s="5">
        <v>0.18487944696901781</v>
      </c>
      <c r="BL5" s="5">
        <v>-0.26913172790454543</v>
      </c>
      <c r="BM5" s="5">
        <v>0.1717381908649544</v>
      </c>
      <c r="BN5" s="5">
        <v>-0.18092216130584951</v>
      </c>
      <c r="BO5" s="5">
        <v>-6.3203737577877367E-2</v>
      </c>
      <c r="BP5" s="5">
        <v>7.1867500126512024E-2</v>
      </c>
      <c r="BQ5" s="5">
        <v>-0.16861046240236999</v>
      </c>
      <c r="BR5" s="5">
        <v>-2.5447831594333319E-2</v>
      </c>
      <c r="BS5" s="5">
        <v>0.1244241075337672</v>
      </c>
      <c r="BT5" s="5">
        <v>0.20772231279415901</v>
      </c>
      <c r="BU5" s="5">
        <v>-6.0051294436158628E-2</v>
      </c>
      <c r="BV5" s="5">
        <v>-5.1700003009333508E-2</v>
      </c>
      <c r="BW5" s="5">
        <v>-0.1268015683060742</v>
      </c>
      <c r="BX5" s="5">
        <v>-0.10582029087279909</v>
      </c>
      <c r="BY5" s="5">
        <v>5.3607320437496067E-2</v>
      </c>
      <c r="BZ5" s="5">
        <v>-3.4479447424122608E-2</v>
      </c>
      <c r="CA5" s="5">
        <v>-2.0066210971329639E-2</v>
      </c>
      <c r="CB5" s="5">
        <v>8.4589606751002688E-2</v>
      </c>
      <c r="CC5" s="5">
        <v>-0.1103836570393476</v>
      </c>
      <c r="CD5" s="5">
        <v>0.32742328506094998</v>
      </c>
      <c r="CE5" s="5">
        <v>-1.486719718236725E-2</v>
      </c>
      <c r="CF5" s="5">
        <v>-0.14937324914413941</v>
      </c>
      <c r="CG5" s="5">
        <v>0.16320028060313421</v>
      </c>
      <c r="CH5" s="5">
        <v>-6.9038325074175663E-2</v>
      </c>
      <c r="CI5" s="5">
        <v>-0.11536214708505139</v>
      </c>
      <c r="CJ5" s="5">
        <v>-0.26301723908525793</v>
      </c>
      <c r="CK5" s="5">
        <v>0.37897350211797709</v>
      </c>
      <c r="CL5" s="5">
        <v>-7.6383453932209341E-2</v>
      </c>
      <c r="CM5" s="5">
        <v>4.2833444041791832E-2</v>
      </c>
      <c r="CN5" s="5">
        <v>-0.15161552738072651</v>
      </c>
      <c r="CO5" s="5">
        <v>0.43716796518582229</v>
      </c>
      <c r="CP5" s="5">
        <v>-4.1833927507883796E-3</v>
      </c>
      <c r="CQ5" s="5">
        <v>-0.49935244279872992</v>
      </c>
      <c r="CR5" s="5">
        <v>0.3398570382696095</v>
      </c>
      <c r="CS5" s="5">
        <v>-0.18988696947799641</v>
      </c>
      <c r="CT5" s="5">
        <v>0.2246197528310597</v>
      </c>
      <c r="CU5" s="5">
        <v>-0.25171771168640761</v>
      </c>
      <c r="CV5" s="5">
        <v>-6.0587944319075937E-2</v>
      </c>
      <c r="CW5" s="5">
        <v>0.2108770628752098</v>
      </c>
      <c r="CX5" s="5">
        <v>0.25016150139728283</v>
      </c>
      <c r="CY5" s="5">
        <v>-0.52413353929587791</v>
      </c>
      <c r="CZ5" s="5">
        <v>0.8216183061041753</v>
      </c>
      <c r="DA5" s="5">
        <v>-0.17652298417539669</v>
      </c>
      <c r="DB5" s="5">
        <v>0.13115957739194459</v>
      </c>
      <c r="DC5" s="5">
        <v>0.1757366545058428</v>
      </c>
      <c r="DD5" s="5">
        <v>-0.42083892435479142</v>
      </c>
      <c r="DE5" s="5">
        <v>-0.2279724207651195</v>
      </c>
      <c r="DF5" s="5">
        <v>-0.33715973842927388</v>
      </c>
      <c r="DG5" s="5">
        <v>-0.44400370439279008</v>
      </c>
      <c r="DH5" s="5">
        <v>-4.293279443633978E-2</v>
      </c>
      <c r="DI5" s="5">
        <v>0.30896916307249689</v>
      </c>
      <c r="DJ5" s="5">
        <v>-0.28669247758290828</v>
      </c>
      <c r="DK5" s="5">
        <v>0.84621248517861269</v>
      </c>
      <c r="DL5" s="5">
        <v>-0.16924034367306559</v>
      </c>
      <c r="DM5" s="5">
        <v>-0.43945016692248923</v>
      </c>
      <c r="DN5" s="5">
        <v>0.74751336560070059</v>
      </c>
      <c r="DO5" s="5">
        <v>-0.39996426308914668</v>
      </c>
      <c r="DP5" s="5">
        <v>-4.4863264481034962E-2</v>
      </c>
      <c r="DQ5" s="5">
        <v>-0.58863430244229409</v>
      </c>
      <c r="DR5" s="5">
        <v>-6.5627469319089037E-3</v>
      </c>
      <c r="DS5" s="5">
        <v>-0.19878519438361211</v>
      </c>
      <c r="DT5" s="5">
        <v>0.4132117833889476</v>
      </c>
      <c r="DU5" s="5">
        <v>-0.17065403209770361</v>
      </c>
      <c r="DV5" s="5">
        <v>0.68828031734213269</v>
      </c>
      <c r="DW5" s="5">
        <v>4.0806005098273937E-2</v>
      </c>
      <c r="DX5" s="5">
        <v>-0.1999347157162332</v>
      </c>
      <c r="DY5" s="5">
        <v>0.56631420698904078</v>
      </c>
      <c r="DZ5" s="5">
        <v>0.47362880432099852</v>
      </c>
      <c r="EA5" s="5">
        <v>9.5444977871898054E-2</v>
      </c>
      <c r="EB5" s="5">
        <v>-1.076360940060376</v>
      </c>
      <c r="EC5" s="5">
        <v>-0.13610628648279391</v>
      </c>
      <c r="ED5" s="5">
        <v>-0.27349656344743889</v>
      </c>
      <c r="EE5" s="5">
        <v>0.60134859370029736</v>
      </c>
      <c r="EF5" s="5">
        <v>6.7468790588863341E-3</v>
      </c>
    </row>
    <row r="6" spans="1:136">
      <c r="A6" s="29" t="s">
        <v>139</v>
      </c>
      <c r="B6" s="30"/>
      <c r="C6" s="5">
        <f t="array" ref="C6">MATCH(MAX(ABS(C3:C5)),ABS(C3:C5),0)</f>
        <v>3</v>
      </c>
      <c r="D6" s="5">
        <f t="array" ref="D6">MATCH(MAX(ABS(D3:D5)),ABS(D3:D5),0)</f>
        <v>2</v>
      </c>
      <c r="E6" s="5">
        <f t="array" ref="E6">MATCH(MAX(ABS(E3:E5)),ABS(E3:E5),0)</f>
        <v>3</v>
      </c>
      <c r="F6" s="5">
        <f t="array" ref="F6">MATCH(MAX(ABS(F3:F5)),ABS(F3:F5),0)</f>
        <v>3</v>
      </c>
      <c r="G6" s="5">
        <f t="array" ref="G6">MATCH(MAX(ABS(G3:G5)),ABS(G3:G5),0)</f>
        <v>3</v>
      </c>
      <c r="H6" s="5">
        <f t="array" ref="H6">MATCH(MAX(ABS(H3:H5)),ABS(H3:H5),0)</f>
        <v>3</v>
      </c>
      <c r="I6" s="5">
        <f t="array" ref="I6">MATCH(MAX(ABS(I3:I5)),ABS(I3:I5),0)</f>
        <v>1</v>
      </c>
      <c r="J6" s="5">
        <f t="array" ref="J6">MATCH(MAX(ABS(J3:J5)),ABS(J3:J5),0)</f>
        <v>1</v>
      </c>
      <c r="K6" s="5">
        <f t="array" ref="K6">MATCH(MAX(ABS(K3:K5)),ABS(K3:K5),0)</f>
        <v>3</v>
      </c>
      <c r="L6" s="5">
        <f t="array" ref="L6">MATCH(MAX(ABS(L3:L5)),ABS(L3:L5),0)</f>
        <v>3</v>
      </c>
      <c r="M6" s="5">
        <f t="array" ref="M6">MATCH(MAX(ABS(M3:M5)),ABS(M3:M5),0)</f>
        <v>3</v>
      </c>
      <c r="N6" s="5">
        <f t="array" ref="N6">MATCH(MAX(ABS(N3:N5)),ABS(N3:N5),0)</f>
        <v>3</v>
      </c>
      <c r="O6" s="5">
        <f t="array" ref="O6">MATCH(MAX(ABS(O3:O5)),ABS(O3:O5),0)</f>
        <v>1</v>
      </c>
      <c r="P6" s="5">
        <f t="array" ref="P6">MATCH(MAX(ABS(P3:P5)),ABS(P3:P5),0)</f>
        <v>3</v>
      </c>
      <c r="Q6" s="5">
        <f t="array" ref="Q6">MATCH(MAX(ABS(Q3:Q5)),ABS(Q3:Q5),0)</f>
        <v>1</v>
      </c>
      <c r="R6" s="5">
        <f t="array" ref="R6">MATCH(MAX(ABS(R3:R5)),ABS(R3:R5),0)</f>
        <v>1</v>
      </c>
      <c r="S6" s="5">
        <f t="array" ref="S6">MATCH(MAX(ABS(S3:S5)),ABS(S3:S5),0)</f>
        <v>3</v>
      </c>
      <c r="T6" s="5">
        <f t="array" ref="T6">MATCH(MAX(ABS(T3:T5)),ABS(T3:T5),0)</f>
        <v>1</v>
      </c>
      <c r="U6" s="5">
        <f t="array" ref="U6">MATCH(MAX(ABS(U3:U5)),ABS(U3:U5),0)</f>
        <v>1</v>
      </c>
      <c r="V6" s="5">
        <f t="array" ref="V6">MATCH(MAX(ABS(V3:V5)),ABS(V3:V5),0)</f>
        <v>3</v>
      </c>
      <c r="W6" s="5">
        <f t="array" ref="W6">MATCH(MAX(ABS(W3:W5)),ABS(W3:W5),0)</f>
        <v>3</v>
      </c>
      <c r="X6" s="5">
        <f t="array" ref="X6">MATCH(MAX(ABS(X3:X5)),ABS(X3:X5),0)</f>
        <v>2</v>
      </c>
      <c r="Y6" s="5">
        <f t="array" ref="Y6">MATCH(MAX(ABS(Y3:Y5)),ABS(Y3:Y5),0)</f>
        <v>3</v>
      </c>
      <c r="Z6" s="5">
        <f t="array" ref="Z6">MATCH(MAX(ABS(Z3:Z5)),ABS(Z3:Z5),0)</f>
        <v>1</v>
      </c>
      <c r="AA6" s="5">
        <f t="array" ref="AA6">MATCH(MAX(ABS(AA3:AA5)),ABS(AA3:AA5),0)</f>
        <v>1</v>
      </c>
      <c r="AB6" s="5">
        <f t="array" ref="AB6">MATCH(MAX(ABS(AB3:AB5)),ABS(AB3:AB5),0)</f>
        <v>1</v>
      </c>
      <c r="AC6" s="5">
        <f t="array" ref="AC6">MATCH(MAX(ABS(AC3:AC5)),ABS(AC3:AC5),0)</f>
        <v>3</v>
      </c>
      <c r="AD6" s="5">
        <f t="array" ref="AD6">MATCH(MAX(ABS(AD3:AD5)),ABS(AD3:AD5),0)</f>
        <v>3</v>
      </c>
      <c r="AE6" s="5">
        <f t="array" ref="AE6">MATCH(MAX(ABS(AE3:AE5)),ABS(AE3:AE5),0)</f>
        <v>3</v>
      </c>
      <c r="AF6" s="5">
        <f t="array" ref="AF6">MATCH(MAX(ABS(AF3:AF5)),ABS(AF3:AF5),0)</f>
        <v>3</v>
      </c>
      <c r="AG6" s="5">
        <f t="array" ref="AG6">MATCH(MAX(ABS(AG3:AG5)),ABS(AG3:AG5),0)</f>
        <v>3</v>
      </c>
      <c r="AH6" s="5">
        <f t="array" ref="AH6">MATCH(MAX(ABS(AH3:AH5)),ABS(AH3:AH5),0)</f>
        <v>3</v>
      </c>
      <c r="AI6" s="5">
        <f t="array" ref="AI6">MATCH(MAX(ABS(AI3:AI5)),ABS(AI3:AI5),0)</f>
        <v>3</v>
      </c>
      <c r="AJ6" s="5">
        <f t="array" ref="AJ6">MATCH(MAX(ABS(AJ3:AJ5)),ABS(AJ3:AJ5),0)</f>
        <v>3</v>
      </c>
      <c r="AK6" s="5">
        <f t="array" ref="AK6">MATCH(MAX(ABS(AK3:AK5)),ABS(AK3:AK5),0)</f>
        <v>3</v>
      </c>
      <c r="AL6" s="5">
        <f t="array" ref="AL6">MATCH(MAX(ABS(AL3:AL5)),ABS(AL3:AL5),0)</f>
        <v>1</v>
      </c>
      <c r="AM6" s="5">
        <f t="array" ref="AM6">MATCH(MAX(ABS(AM3:AM5)),ABS(AM3:AM5),0)</f>
        <v>1</v>
      </c>
      <c r="AN6" s="5">
        <f t="array" ref="AN6">MATCH(MAX(ABS(AN3:AN5)),ABS(AN3:AN5),0)</f>
        <v>1</v>
      </c>
      <c r="AO6" s="5">
        <f t="array" ref="AO6">MATCH(MAX(ABS(AO3:AO5)),ABS(AO3:AO5),0)</f>
        <v>3</v>
      </c>
      <c r="AP6" s="5">
        <f t="array" ref="AP6">MATCH(MAX(ABS(AP3:AP5)),ABS(AP3:AP5),0)</f>
        <v>2</v>
      </c>
      <c r="AQ6" s="5">
        <f t="array" ref="AQ6">MATCH(MAX(ABS(AQ3:AQ5)),ABS(AQ3:AQ5),0)</f>
        <v>1</v>
      </c>
      <c r="AR6" s="5">
        <f t="array" ref="AR6">MATCH(MAX(ABS(AR3:AR5)),ABS(AR3:AR5),0)</f>
        <v>2</v>
      </c>
      <c r="AS6" s="5">
        <f t="array" ref="AS6">MATCH(MAX(ABS(AS3:AS5)),ABS(AS3:AS5),0)</f>
        <v>1</v>
      </c>
      <c r="AT6" s="5">
        <f t="array" ref="AT6">MATCH(MAX(ABS(AT3:AT5)),ABS(AT3:AT5),0)</f>
        <v>3</v>
      </c>
      <c r="AU6" s="5">
        <f t="array" ref="AU6">MATCH(MAX(ABS(AU3:AU5)),ABS(AU3:AU5),0)</f>
        <v>3</v>
      </c>
      <c r="AV6" s="5">
        <f t="array" ref="AV6">MATCH(MAX(ABS(AV3:AV5)),ABS(AV3:AV5),0)</f>
        <v>2</v>
      </c>
      <c r="AW6" s="5">
        <f t="array" ref="AW6">MATCH(MAX(ABS(AW3:AW5)),ABS(AW3:AW5),0)</f>
        <v>1</v>
      </c>
      <c r="AX6" s="5">
        <f t="array" ref="AX6">MATCH(MAX(ABS(AX3:AX5)),ABS(AX3:AX5),0)</f>
        <v>3</v>
      </c>
      <c r="AY6" s="5">
        <f t="array" ref="AY6">MATCH(MAX(ABS(AY3:AY5)),ABS(AY3:AY5),0)</f>
        <v>3</v>
      </c>
      <c r="AZ6" s="5">
        <f t="array" ref="AZ6">MATCH(MAX(ABS(AZ3:AZ5)),ABS(AZ3:AZ5),0)</f>
        <v>3</v>
      </c>
      <c r="BA6" s="5">
        <f t="array" ref="BA6">MATCH(MAX(ABS(BA3:BA5)),ABS(BA3:BA5),0)</f>
        <v>1</v>
      </c>
      <c r="BB6" s="5">
        <f t="array" ref="BB6">MATCH(MAX(ABS(BB3:BB5)),ABS(BB3:BB5),0)</f>
        <v>2</v>
      </c>
      <c r="BC6" s="5">
        <f t="array" ref="BC6">MATCH(MAX(ABS(BC3:BC5)),ABS(BC3:BC5),0)</f>
        <v>1</v>
      </c>
      <c r="BD6" s="5">
        <f t="array" ref="BD6">MATCH(MAX(ABS(BD3:BD5)),ABS(BD3:BD5),0)</f>
        <v>1</v>
      </c>
      <c r="BE6" s="5">
        <f t="array" ref="BE6">MATCH(MAX(ABS(BE3:BE5)),ABS(BE3:BE5),0)</f>
        <v>1</v>
      </c>
      <c r="BF6" s="5">
        <f t="array" ref="BF6">MATCH(MAX(ABS(BF3:BF5)),ABS(BF3:BF5),0)</f>
        <v>3</v>
      </c>
      <c r="BG6" s="5">
        <f t="array" ref="BG6">MATCH(MAX(ABS(BG3:BG5)),ABS(BG3:BG5),0)</f>
        <v>1</v>
      </c>
      <c r="BH6" s="5">
        <f t="array" ref="BH6">MATCH(MAX(ABS(BH3:BH5)),ABS(BH3:BH5),0)</f>
        <v>1</v>
      </c>
      <c r="BI6" s="5">
        <f t="array" ref="BI6">MATCH(MAX(ABS(BI3:BI5)),ABS(BI3:BI5),0)</f>
        <v>3</v>
      </c>
      <c r="BJ6" s="5">
        <f t="array" ref="BJ6">MATCH(MAX(ABS(BJ3:BJ5)),ABS(BJ3:BJ5),0)</f>
        <v>3</v>
      </c>
      <c r="BK6" s="5">
        <f t="array" ref="BK6">MATCH(MAX(ABS(BK3:BK5)),ABS(BK3:BK5),0)</f>
        <v>3</v>
      </c>
      <c r="BL6" s="5">
        <f t="array" ref="BL6">MATCH(MAX(ABS(BL3:BL5)),ABS(BL3:BL5),0)</f>
        <v>3</v>
      </c>
      <c r="BM6" s="5">
        <f t="array" ref="BM6">MATCH(MAX(ABS(BM3:BM5)),ABS(BM3:BM5),0)</f>
        <v>3</v>
      </c>
      <c r="BN6" s="5">
        <f t="array" ref="BN6">MATCH(MAX(ABS(BN3:BN5)),ABS(BN3:BN5),0)</f>
        <v>3</v>
      </c>
      <c r="BO6" s="5">
        <f t="array" ref="BO6">MATCH(MAX(ABS(BO3:BO5)),ABS(BO3:BO5),0)</f>
        <v>1</v>
      </c>
      <c r="BP6" s="5">
        <f t="array" ref="BP6">MATCH(MAX(ABS(BP3:BP5)),ABS(BP3:BP5),0)</f>
        <v>2</v>
      </c>
      <c r="BQ6" s="5">
        <f t="array" ref="BQ6">MATCH(MAX(ABS(BQ3:BQ5)),ABS(BQ3:BQ5),0)</f>
        <v>3</v>
      </c>
      <c r="BR6" s="5">
        <f t="array" ref="BR6">MATCH(MAX(ABS(BR3:BR5)),ABS(BR3:BR5),0)</f>
        <v>1</v>
      </c>
      <c r="BS6" s="5">
        <f t="array" ref="BS6">MATCH(MAX(ABS(BS3:BS5)),ABS(BS3:BS5),0)</f>
        <v>3</v>
      </c>
      <c r="BT6" s="5">
        <f t="array" ref="BT6">MATCH(MAX(ABS(BT3:BT5)),ABS(BT3:BT5),0)</f>
        <v>3</v>
      </c>
      <c r="BU6" s="5">
        <f t="array" ref="BU6">MATCH(MAX(ABS(BU3:BU5)),ABS(BU3:BU5),0)</f>
        <v>1</v>
      </c>
      <c r="BV6" s="5">
        <f t="array" ref="BV6">MATCH(MAX(ABS(BV3:BV5)),ABS(BV3:BV5),0)</f>
        <v>2</v>
      </c>
      <c r="BW6" s="5">
        <f t="array" ref="BW6">MATCH(MAX(ABS(BW3:BW5)),ABS(BW3:BW5),0)</f>
        <v>3</v>
      </c>
      <c r="BX6" s="5">
        <f t="array" ref="BX6">MATCH(MAX(ABS(BX3:BX5)),ABS(BX3:BX5),0)</f>
        <v>3</v>
      </c>
      <c r="BY6" s="5">
        <f t="array" ref="BY6">MATCH(MAX(ABS(BY3:BY5)),ABS(BY3:BY5),0)</f>
        <v>2</v>
      </c>
      <c r="BZ6" s="5">
        <f t="array" ref="BZ6">MATCH(MAX(ABS(BZ3:BZ5)),ABS(BZ3:BZ5),0)</f>
        <v>1</v>
      </c>
      <c r="CA6" s="5">
        <f t="array" ref="CA6">MATCH(MAX(ABS(CA3:CA5)),ABS(CA3:CA5),0)</f>
        <v>1</v>
      </c>
      <c r="CB6" s="5">
        <f t="array" ref="CB6">MATCH(MAX(ABS(CB3:CB5)),ABS(CB3:CB5),0)</f>
        <v>2</v>
      </c>
      <c r="CC6" s="5">
        <f t="array" ref="CC6">MATCH(MAX(ABS(CC3:CC5)),ABS(CC3:CC5),0)</f>
        <v>2</v>
      </c>
      <c r="CD6" s="5">
        <f t="array" ref="CD6">MATCH(MAX(ABS(CD3:CD5)),ABS(CD3:CD5),0)</f>
        <v>3</v>
      </c>
      <c r="CE6" s="5">
        <f t="array" ref="CE6">MATCH(MAX(ABS(CE3:CE5)),ABS(CE3:CE5),0)</f>
        <v>1</v>
      </c>
      <c r="CF6" s="5">
        <f t="array" ref="CF6">MATCH(MAX(ABS(CF3:CF5)),ABS(CF3:CF5),0)</f>
        <v>3</v>
      </c>
      <c r="CG6" s="5">
        <f t="array" ref="CG6">MATCH(MAX(ABS(CG3:CG5)),ABS(CG3:CG5),0)</f>
        <v>3</v>
      </c>
      <c r="CH6" s="5">
        <f t="array" ref="CH6">MATCH(MAX(ABS(CH3:CH5)),ABS(CH3:CH5),0)</f>
        <v>3</v>
      </c>
      <c r="CI6" s="5">
        <f t="array" ref="CI6">MATCH(MAX(ABS(CI3:CI5)),ABS(CI3:CI5),0)</f>
        <v>3</v>
      </c>
      <c r="CJ6" s="5">
        <f t="array" ref="CJ6">MATCH(MAX(ABS(CJ3:CJ5)),ABS(CJ3:CJ5),0)</f>
        <v>1</v>
      </c>
      <c r="CK6" s="5">
        <f t="array" ref="CK6">MATCH(MAX(ABS(CK3:CK5)),ABS(CK3:CK5),0)</f>
        <v>3</v>
      </c>
      <c r="CL6" s="5">
        <f t="array" ref="CL6">MATCH(MAX(ABS(CL3:CL5)),ABS(CL3:CL5),0)</f>
        <v>3</v>
      </c>
      <c r="CM6" s="5">
        <f t="array" ref="CM6">MATCH(MAX(ABS(CM3:CM5)),ABS(CM3:CM5),0)</f>
        <v>1</v>
      </c>
      <c r="CN6" s="5">
        <f t="array" ref="CN6">MATCH(MAX(ABS(CN3:CN5)),ABS(CN3:CN5),0)</f>
        <v>1</v>
      </c>
      <c r="CO6" s="5">
        <f t="array" ref="CO6">MATCH(MAX(ABS(CO3:CO5)),ABS(CO3:CO5),0)</f>
        <v>3</v>
      </c>
      <c r="CP6" s="5">
        <f t="array" ref="CP6">MATCH(MAX(ABS(CP3:CP5)),ABS(CP3:CP5),0)</f>
        <v>1</v>
      </c>
      <c r="CQ6" s="5">
        <f t="array" ref="CQ6">MATCH(MAX(ABS(CQ3:CQ5)),ABS(CQ3:CQ5),0)</f>
        <v>3</v>
      </c>
      <c r="CR6" s="5">
        <f t="array" ref="CR6">MATCH(MAX(ABS(CR3:CR5)),ABS(CR3:CR5),0)</f>
        <v>3</v>
      </c>
      <c r="CS6" s="5">
        <f t="array" ref="CS6">MATCH(MAX(ABS(CS3:CS5)),ABS(CS3:CS5),0)</f>
        <v>2</v>
      </c>
      <c r="CT6" s="5">
        <f t="array" ref="CT6">MATCH(MAX(ABS(CT3:CT5)),ABS(CT3:CT5),0)</f>
        <v>3</v>
      </c>
      <c r="CU6" s="5">
        <f t="array" ref="CU6">MATCH(MAX(ABS(CU3:CU5)),ABS(CU3:CU5),0)</f>
        <v>3</v>
      </c>
      <c r="CV6" s="5">
        <f t="array" ref="CV6">MATCH(MAX(ABS(CV3:CV5)),ABS(CV3:CV5),0)</f>
        <v>2</v>
      </c>
      <c r="CW6" s="5">
        <f t="array" ref="CW6">MATCH(MAX(ABS(CW3:CW5)),ABS(CW3:CW5),0)</f>
        <v>3</v>
      </c>
      <c r="CX6" s="5">
        <f t="array" ref="CX6">MATCH(MAX(ABS(CX3:CX5)),ABS(CX3:CX5),0)</f>
        <v>3</v>
      </c>
      <c r="CY6" s="5">
        <f t="array" ref="CY6">MATCH(MAX(ABS(CY3:CY5)),ABS(CY3:CY5),0)</f>
        <v>3</v>
      </c>
      <c r="CZ6" s="5">
        <f t="array" ref="CZ6">MATCH(MAX(ABS(CZ3:CZ5)),ABS(CZ3:CZ5),0)</f>
        <v>3</v>
      </c>
      <c r="DA6" s="5">
        <f t="array" ref="DA6">MATCH(MAX(ABS(DA3:DA5)),ABS(DA3:DA5),0)</f>
        <v>1</v>
      </c>
      <c r="DB6" s="5">
        <f t="array" ref="DB6">MATCH(MAX(ABS(DB3:DB5)),ABS(DB3:DB5),0)</f>
        <v>1</v>
      </c>
      <c r="DC6" s="5">
        <f t="array" ref="DC6">MATCH(MAX(ABS(DC3:DC5)),ABS(DC3:DC5),0)</f>
        <v>1</v>
      </c>
      <c r="DD6" s="5">
        <f t="array" ref="DD6">MATCH(MAX(ABS(DD3:DD5)),ABS(DD3:DD5),0)</f>
        <v>3</v>
      </c>
      <c r="DE6" s="5">
        <f t="array" ref="DE6">MATCH(MAX(ABS(DE3:DE5)),ABS(DE3:DE5),0)</f>
        <v>3</v>
      </c>
      <c r="DF6" s="5">
        <f t="array" ref="DF6">MATCH(MAX(ABS(DF3:DF5)),ABS(DF3:DF5),0)</f>
        <v>3</v>
      </c>
      <c r="DG6" s="5">
        <f t="array" ref="DG6">MATCH(MAX(ABS(DG3:DG5)),ABS(DG3:DG5),0)</f>
        <v>3</v>
      </c>
      <c r="DH6" s="5">
        <f t="array" ref="DH6">MATCH(MAX(ABS(DH3:DH5)),ABS(DH3:DH5),0)</f>
        <v>2</v>
      </c>
      <c r="DI6" s="5">
        <f t="array" ref="DI6">MATCH(MAX(ABS(DI3:DI5)),ABS(DI3:DI5),0)</f>
        <v>3</v>
      </c>
      <c r="DJ6" s="5">
        <f t="array" ref="DJ6">MATCH(MAX(ABS(DJ3:DJ5)),ABS(DJ3:DJ5),0)</f>
        <v>3</v>
      </c>
      <c r="DK6" s="5">
        <f t="array" ref="DK6">MATCH(MAX(ABS(DK3:DK5)),ABS(DK3:DK5),0)</f>
        <v>3</v>
      </c>
      <c r="DL6" s="5">
        <f t="array" ref="DL6">MATCH(MAX(ABS(DL3:DL5)),ABS(DL3:DL5),0)</f>
        <v>3</v>
      </c>
      <c r="DM6" s="5">
        <f t="array" ref="DM6">MATCH(MAX(ABS(DM3:DM5)),ABS(DM3:DM5),0)</f>
        <v>3</v>
      </c>
      <c r="DN6" s="5">
        <f t="array" ref="DN6">MATCH(MAX(ABS(DN3:DN5)),ABS(DN3:DN5),0)</f>
        <v>3</v>
      </c>
      <c r="DO6" s="5">
        <f t="array" ref="DO6">MATCH(MAX(ABS(DO3:DO5)),ABS(DO3:DO5),0)</f>
        <v>3</v>
      </c>
      <c r="DP6" s="5">
        <f t="array" ref="DP6">MATCH(MAX(ABS(DP3:DP5)),ABS(DP3:DP5),0)</f>
        <v>1</v>
      </c>
      <c r="DQ6" s="5">
        <f t="array" ref="DQ6">MATCH(MAX(ABS(DQ3:DQ5)),ABS(DQ3:DQ5),0)</f>
        <v>3</v>
      </c>
      <c r="DR6" s="5">
        <f t="array" ref="DR6">MATCH(MAX(ABS(DR3:DR5)),ABS(DR3:DR5),0)</f>
        <v>2</v>
      </c>
      <c r="DS6" s="5">
        <f t="array" ref="DS6">MATCH(MAX(ABS(DS3:DS5)),ABS(DS3:DS5),0)</f>
        <v>3</v>
      </c>
      <c r="DT6" s="5">
        <f t="array" ref="DT6">MATCH(MAX(ABS(DT3:DT5)),ABS(DT3:DT5),0)</f>
        <v>3</v>
      </c>
      <c r="DU6" s="5">
        <f t="array" ref="DU6">MATCH(MAX(ABS(DU3:DU5)),ABS(DU3:DU5),0)</f>
        <v>3</v>
      </c>
      <c r="DV6" s="5">
        <f t="array" ref="DV6">MATCH(MAX(ABS(DV3:DV5)),ABS(DV3:DV5),0)</f>
        <v>3</v>
      </c>
      <c r="DW6" s="5">
        <f t="array" ref="DW6">MATCH(MAX(ABS(DW3:DW5)),ABS(DW3:DW5),0)</f>
        <v>1</v>
      </c>
      <c r="DX6" s="5">
        <f t="array" ref="DX6">MATCH(MAX(ABS(DX3:DX5)),ABS(DX3:DX5),0)</f>
        <v>3</v>
      </c>
      <c r="DY6" s="5">
        <f t="array" ref="DY6">MATCH(MAX(ABS(DY3:DY5)),ABS(DY3:DY5),0)</f>
        <v>3</v>
      </c>
      <c r="DZ6" s="5">
        <f t="array" ref="DZ6">MATCH(MAX(ABS(DZ3:DZ5)),ABS(DZ3:DZ5),0)</f>
        <v>3</v>
      </c>
      <c r="EA6" s="5">
        <f t="array" ref="EA6">MATCH(MAX(ABS(EA3:EA5)),ABS(EA3:EA5),0)</f>
        <v>2</v>
      </c>
      <c r="EB6" s="5">
        <f t="array" ref="EB6">MATCH(MAX(ABS(EB3:EB5)),ABS(EB3:EB5),0)</f>
        <v>3</v>
      </c>
      <c r="EC6" s="5">
        <f t="array" ref="EC6">MATCH(MAX(ABS(EC3:EC5)),ABS(EC3:EC5),0)</f>
        <v>3</v>
      </c>
      <c r="ED6" s="5">
        <f t="array" ref="ED6">MATCH(MAX(ABS(ED3:ED5)),ABS(ED3:ED5),0)</f>
        <v>3</v>
      </c>
      <c r="EE6" s="5">
        <f t="array" ref="EE6">MATCH(MAX(ABS(EE3:EE5)),ABS(EE3:EE5),0)</f>
        <v>3</v>
      </c>
      <c r="EF6" s="5">
        <f t="array" ref="EF6">MATCH(MAX(ABS(EF3:EF5)),ABS(EF3:EF5),0)</f>
        <v>2</v>
      </c>
    </row>
    <row r="7" spans="1:136">
      <c r="C7" s="5" t="str">
        <f t="shared" ref="C7:AH7" si="0">IF(C6=1,"bm",IF(C6=2,"size",IF(C6=3,"mom")))</f>
        <v>mom</v>
      </c>
      <c r="D7" s="5" t="str">
        <f t="shared" si="0"/>
        <v>size</v>
      </c>
      <c r="E7" s="5" t="str">
        <f t="shared" si="0"/>
        <v>mom</v>
      </c>
      <c r="F7" s="5" t="str">
        <f t="shared" si="0"/>
        <v>mom</v>
      </c>
      <c r="G7" s="5" t="str">
        <f t="shared" si="0"/>
        <v>mom</v>
      </c>
      <c r="H7" s="5" t="str">
        <f t="shared" si="0"/>
        <v>mom</v>
      </c>
      <c r="I7" s="5" t="str">
        <f t="shared" si="0"/>
        <v>bm</v>
      </c>
      <c r="J7" s="5" t="str">
        <f t="shared" si="0"/>
        <v>bm</v>
      </c>
      <c r="K7" s="5" t="str">
        <f t="shared" si="0"/>
        <v>mom</v>
      </c>
      <c r="L7" s="5" t="str">
        <f t="shared" si="0"/>
        <v>mom</v>
      </c>
      <c r="M7" s="5" t="str">
        <f t="shared" si="0"/>
        <v>mom</v>
      </c>
      <c r="N7" s="5" t="str">
        <f t="shared" si="0"/>
        <v>mom</v>
      </c>
      <c r="O7" s="5" t="str">
        <f t="shared" si="0"/>
        <v>bm</v>
      </c>
      <c r="P7" s="5" t="str">
        <f t="shared" si="0"/>
        <v>mom</v>
      </c>
      <c r="Q7" s="5" t="str">
        <f t="shared" si="0"/>
        <v>bm</v>
      </c>
      <c r="R7" s="5" t="str">
        <f t="shared" si="0"/>
        <v>bm</v>
      </c>
      <c r="S7" s="5" t="str">
        <f t="shared" si="0"/>
        <v>mom</v>
      </c>
      <c r="T7" s="5" t="str">
        <f t="shared" si="0"/>
        <v>bm</v>
      </c>
      <c r="U7" s="5" t="str">
        <f t="shared" si="0"/>
        <v>bm</v>
      </c>
      <c r="V7" s="5" t="str">
        <f t="shared" si="0"/>
        <v>mom</v>
      </c>
      <c r="W7" s="5" t="str">
        <f t="shared" si="0"/>
        <v>mom</v>
      </c>
      <c r="X7" s="5" t="str">
        <f t="shared" si="0"/>
        <v>size</v>
      </c>
      <c r="Y7" s="5" t="str">
        <f t="shared" si="0"/>
        <v>mom</v>
      </c>
      <c r="Z7" s="5" t="str">
        <f t="shared" si="0"/>
        <v>bm</v>
      </c>
      <c r="AA7" s="5" t="str">
        <f t="shared" si="0"/>
        <v>bm</v>
      </c>
      <c r="AB7" s="5" t="str">
        <f t="shared" si="0"/>
        <v>bm</v>
      </c>
      <c r="AC7" s="5" t="str">
        <f t="shared" si="0"/>
        <v>mom</v>
      </c>
      <c r="AD7" s="5" t="str">
        <f t="shared" si="0"/>
        <v>mom</v>
      </c>
      <c r="AE7" s="5" t="str">
        <f t="shared" si="0"/>
        <v>mom</v>
      </c>
      <c r="AF7" s="5" t="str">
        <f t="shared" si="0"/>
        <v>mom</v>
      </c>
      <c r="AG7" s="5" t="str">
        <f t="shared" si="0"/>
        <v>mom</v>
      </c>
      <c r="AH7" s="5" t="str">
        <f t="shared" si="0"/>
        <v>mom</v>
      </c>
      <c r="AI7" s="5" t="str">
        <f t="shared" ref="AI7:BN7" si="1">IF(AI6=1,"bm",IF(AI6=2,"size",IF(AI6=3,"mom")))</f>
        <v>mom</v>
      </c>
      <c r="AJ7" s="5" t="str">
        <f t="shared" si="1"/>
        <v>mom</v>
      </c>
      <c r="AK7" s="5" t="str">
        <f t="shared" si="1"/>
        <v>mom</v>
      </c>
      <c r="AL7" s="5" t="str">
        <f t="shared" si="1"/>
        <v>bm</v>
      </c>
      <c r="AM7" s="5" t="str">
        <f t="shared" si="1"/>
        <v>bm</v>
      </c>
      <c r="AN7" s="5" t="str">
        <f t="shared" si="1"/>
        <v>bm</v>
      </c>
      <c r="AO7" s="5" t="str">
        <f t="shared" si="1"/>
        <v>mom</v>
      </c>
      <c r="AP7" s="5" t="str">
        <f t="shared" si="1"/>
        <v>size</v>
      </c>
      <c r="AQ7" s="5" t="str">
        <f t="shared" si="1"/>
        <v>bm</v>
      </c>
      <c r="AR7" s="5" t="str">
        <f t="shared" si="1"/>
        <v>size</v>
      </c>
      <c r="AS7" s="5" t="str">
        <f t="shared" si="1"/>
        <v>bm</v>
      </c>
      <c r="AT7" s="5" t="str">
        <f t="shared" si="1"/>
        <v>mom</v>
      </c>
      <c r="AU7" s="5" t="str">
        <f t="shared" si="1"/>
        <v>mom</v>
      </c>
      <c r="AV7" s="5" t="str">
        <f t="shared" si="1"/>
        <v>size</v>
      </c>
      <c r="AW7" s="5" t="str">
        <f t="shared" si="1"/>
        <v>bm</v>
      </c>
      <c r="AX7" s="5" t="str">
        <f t="shared" si="1"/>
        <v>mom</v>
      </c>
      <c r="AY7" s="5" t="str">
        <f t="shared" si="1"/>
        <v>mom</v>
      </c>
      <c r="AZ7" s="5" t="str">
        <f t="shared" si="1"/>
        <v>mom</v>
      </c>
      <c r="BA7" s="5" t="str">
        <f t="shared" si="1"/>
        <v>bm</v>
      </c>
      <c r="BB7" s="5" t="str">
        <f t="shared" si="1"/>
        <v>size</v>
      </c>
      <c r="BC7" s="5" t="str">
        <f t="shared" si="1"/>
        <v>bm</v>
      </c>
      <c r="BD7" s="5" t="str">
        <f t="shared" si="1"/>
        <v>bm</v>
      </c>
      <c r="BE7" s="5" t="str">
        <f t="shared" si="1"/>
        <v>bm</v>
      </c>
      <c r="BF7" s="5" t="str">
        <f t="shared" si="1"/>
        <v>mom</v>
      </c>
      <c r="BG7" s="5" t="str">
        <f t="shared" si="1"/>
        <v>bm</v>
      </c>
      <c r="BH7" s="5" t="str">
        <f t="shared" si="1"/>
        <v>bm</v>
      </c>
      <c r="BI7" s="5" t="str">
        <f t="shared" si="1"/>
        <v>mom</v>
      </c>
      <c r="BJ7" s="5" t="str">
        <f t="shared" si="1"/>
        <v>mom</v>
      </c>
      <c r="BK7" s="5" t="str">
        <f t="shared" si="1"/>
        <v>mom</v>
      </c>
      <c r="BL7" s="5" t="str">
        <f t="shared" si="1"/>
        <v>mom</v>
      </c>
      <c r="BM7" s="5" t="str">
        <f t="shared" si="1"/>
        <v>mom</v>
      </c>
      <c r="BN7" s="5" t="str">
        <f t="shared" si="1"/>
        <v>mom</v>
      </c>
      <c r="BO7" s="5" t="str">
        <f t="shared" ref="BO7:CT7" si="2">IF(BO6=1,"bm",IF(BO6=2,"size",IF(BO6=3,"mom")))</f>
        <v>bm</v>
      </c>
      <c r="BP7" s="5" t="str">
        <f t="shared" si="2"/>
        <v>size</v>
      </c>
      <c r="BQ7" s="5" t="str">
        <f t="shared" si="2"/>
        <v>mom</v>
      </c>
      <c r="BR7" s="5" t="str">
        <f t="shared" si="2"/>
        <v>bm</v>
      </c>
      <c r="BS7" s="5" t="str">
        <f t="shared" si="2"/>
        <v>mom</v>
      </c>
      <c r="BT7" s="5" t="str">
        <f t="shared" si="2"/>
        <v>mom</v>
      </c>
      <c r="BU7" s="5" t="str">
        <f t="shared" si="2"/>
        <v>bm</v>
      </c>
      <c r="BV7" s="5" t="str">
        <f t="shared" si="2"/>
        <v>size</v>
      </c>
      <c r="BW7" s="5" t="str">
        <f t="shared" si="2"/>
        <v>mom</v>
      </c>
      <c r="BX7" s="5" t="str">
        <f t="shared" si="2"/>
        <v>mom</v>
      </c>
      <c r="BY7" s="5" t="str">
        <f t="shared" si="2"/>
        <v>size</v>
      </c>
      <c r="BZ7" s="5" t="str">
        <f t="shared" si="2"/>
        <v>bm</v>
      </c>
      <c r="CA7" s="5" t="str">
        <f t="shared" si="2"/>
        <v>bm</v>
      </c>
      <c r="CB7" s="5" t="str">
        <f t="shared" si="2"/>
        <v>size</v>
      </c>
      <c r="CC7" s="5" t="str">
        <f t="shared" si="2"/>
        <v>size</v>
      </c>
      <c r="CD7" s="5" t="str">
        <f t="shared" si="2"/>
        <v>mom</v>
      </c>
      <c r="CE7" s="5" t="str">
        <f t="shared" si="2"/>
        <v>bm</v>
      </c>
      <c r="CF7" s="5" t="str">
        <f t="shared" si="2"/>
        <v>mom</v>
      </c>
      <c r="CG7" s="5" t="str">
        <f t="shared" si="2"/>
        <v>mom</v>
      </c>
      <c r="CH7" s="5" t="str">
        <f t="shared" si="2"/>
        <v>mom</v>
      </c>
      <c r="CI7" s="5" t="str">
        <f t="shared" si="2"/>
        <v>mom</v>
      </c>
      <c r="CJ7" s="5" t="str">
        <f t="shared" si="2"/>
        <v>bm</v>
      </c>
      <c r="CK7" s="5" t="str">
        <f t="shared" si="2"/>
        <v>mom</v>
      </c>
      <c r="CL7" s="5" t="str">
        <f t="shared" si="2"/>
        <v>mom</v>
      </c>
      <c r="CM7" s="5" t="str">
        <f t="shared" si="2"/>
        <v>bm</v>
      </c>
      <c r="CN7" s="5" t="str">
        <f t="shared" si="2"/>
        <v>bm</v>
      </c>
      <c r="CO7" s="5" t="str">
        <f t="shared" si="2"/>
        <v>mom</v>
      </c>
      <c r="CP7" s="5" t="str">
        <f t="shared" si="2"/>
        <v>bm</v>
      </c>
      <c r="CQ7" s="5" t="str">
        <f t="shared" si="2"/>
        <v>mom</v>
      </c>
      <c r="CR7" s="5" t="str">
        <f t="shared" si="2"/>
        <v>mom</v>
      </c>
      <c r="CS7" s="5" t="str">
        <f t="shared" si="2"/>
        <v>size</v>
      </c>
      <c r="CT7" s="5" t="str">
        <f t="shared" si="2"/>
        <v>mom</v>
      </c>
      <c r="CU7" s="5" t="str">
        <f t="shared" ref="CU7:DZ7" si="3">IF(CU6=1,"bm",IF(CU6=2,"size",IF(CU6=3,"mom")))</f>
        <v>mom</v>
      </c>
      <c r="CV7" s="5" t="str">
        <f t="shared" si="3"/>
        <v>size</v>
      </c>
      <c r="CW7" s="5" t="str">
        <f t="shared" si="3"/>
        <v>mom</v>
      </c>
      <c r="CX7" s="5" t="str">
        <f t="shared" si="3"/>
        <v>mom</v>
      </c>
      <c r="CY7" s="5" t="str">
        <f t="shared" si="3"/>
        <v>mom</v>
      </c>
      <c r="CZ7" s="5" t="str">
        <f t="shared" si="3"/>
        <v>mom</v>
      </c>
      <c r="DA7" s="5" t="str">
        <f t="shared" si="3"/>
        <v>bm</v>
      </c>
      <c r="DB7" s="5" t="str">
        <f t="shared" si="3"/>
        <v>bm</v>
      </c>
      <c r="DC7" s="5" t="str">
        <f t="shared" si="3"/>
        <v>bm</v>
      </c>
      <c r="DD7" s="5" t="str">
        <f t="shared" si="3"/>
        <v>mom</v>
      </c>
      <c r="DE7" s="5" t="str">
        <f t="shared" si="3"/>
        <v>mom</v>
      </c>
      <c r="DF7" s="5" t="str">
        <f t="shared" si="3"/>
        <v>mom</v>
      </c>
      <c r="DG7" s="5" t="str">
        <f t="shared" si="3"/>
        <v>mom</v>
      </c>
      <c r="DH7" s="5" t="str">
        <f t="shared" si="3"/>
        <v>size</v>
      </c>
      <c r="DI7" s="5" t="str">
        <f t="shared" si="3"/>
        <v>mom</v>
      </c>
      <c r="DJ7" s="5" t="str">
        <f t="shared" si="3"/>
        <v>mom</v>
      </c>
      <c r="DK7" s="5" t="str">
        <f t="shared" si="3"/>
        <v>mom</v>
      </c>
      <c r="DL7" s="5" t="str">
        <f t="shared" si="3"/>
        <v>mom</v>
      </c>
      <c r="DM7" s="5" t="str">
        <f t="shared" si="3"/>
        <v>mom</v>
      </c>
      <c r="DN7" s="5" t="str">
        <f t="shared" si="3"/>
        <v>mom</v>
      </c>
      <c r="DO7" s="5" t="str">
        <f t="shared" si="3"/>
        <v>mom</v>
      </c>
      <c r="DP7" s="5" t="str">
        <f t="shared" si="3"/>
        <v>bm</v>
      </c>
      <c r="DQ7" s="5" t="str">
        <f t="shared" si="3"/>
        <v>mom</v>
      </c>
      <c r="DR7" s="5" t="str">
        <f t="shared" si="3"/>
        <v>size</v>
      </c>
      <c r="DS7" s="5" t="str">
        <f t="shared" si="3"/>
        <v>mom</v>
      </c>
      <c r="DT7" s="5" t="str">
        <f t="shared" si="3"/>
        <v>mom</v>
      </c>
      <c r="DU7" s="5" t="str">
        <f t="shared" si="3"/>
        <v>mom</v>
      </c>
      <c r="DV7" s="5" t="str">
        <f t="shared" si="3"/>
        <v>mom</v>
      </c>
      <c r="DW7" s="5" t="str">
        <f t="shared" si="3"/>
        <v>bm</v>
      </c>
      <c r="DX7" s="5" t="str">
        <f t="shared" si="3"/>
        <v>mom</v>
      </c>
      <c r="DY7" s="5" t="str">
        <f t="shared" si="3"/>
        <v>mom</v>
      </c>
      <c r="DZ7" s="5" t="str">
        <f t="shared" si="3"/>
        <v>mom</v>
      </c>
      <c r="EA7" s="5" t="str">
        <f t="shared" ref="EA7:EF7" si="4">IF(EA6=1,"bm",IF(EA6=2,"size",IF(EA6=3,"mom")))</f>
        <v>size</v>
      </c>
      <c r="EB7" s="5" t="str">
        <f t="shared" si="4"/>
        <v>mom</v>
      </c>
      <c r="EC7" s="5" t="str">
        <f t="shared" si="4"/>
        <v>mom</v>
      </c>
      <c r="ED7" s="5" t="str">
        <f t="shared" si="4"/>
        <v>mom</v>
      </c>
      <c r="EE7" s="5" t="str">
        <f t="shared" si="4"/>
        <v>mom</v>
      </c>
      <c r="EF7" s="5" t="str">
        <f t="shared" si="4"/>
        <v>size</v>
      </c>
    </row>
    <row r="8" spans="1:136">
      <c r="C8" s="5">
        <f t="shared" ref="C8:AH8" si="5">IF(C6=1,C3,IF(C6=2,C4,IF(C6=3,C5)))</f>
        <v>-0.20935792122733929</v>
      </c>
      <c r="D8" s="5">
        <f t="shared" si="5"/>
        <v>-0.19670615347595799</v>
      </c>
      <c r="E8" s="5">
        <f t="shared" si="5"/>
        <v>0.52484760680152232</v>
      </c>
      <c r="F8" s="5">
        <f t="shared" si="5"/>
        <v>4.6837059958046809E-2</v>
      </c>
      <c r="G8" s="5">
        <f t="shared" si="5"/>
        <v>-0.2104714261735883</v>
      </c>
      <c r="H8" s="5">
        <f t="shared" si="5"/>
        <v>0.4744149628629204</v>
      </c>
      <c r="I8" s="5">
        <f t="shared" si="5"/>
        <v>-0.19676558635554181</v>
      </c>
      <c r="J8" s="5">
        <f t="shared" si="5"/>
        <v>0.27883034253820949</v>
      </c>
      <c r="K8" s="5">
        <f t="shared" si="5"/>
        <v>0.27552845629080469</v>
      </c>
      <c r="L8" s="5">
        <f t="shared" si="5"/>
        <v>-0.43004286310886081</v>
      </c>
      <c r="M8" s="5">
        <f t="shared" si="5"/>
        <v>0.32376774959305898</v>
      </c>
      <c r="N8" s="5">
        <f t="shared" si="5"/>
        <v>-0.34824165047033961</v>
      </c>
      <c r="O8" s="5">
        <f t="shared" si="5"/>
        <v>0.31084678168383029</v>
      </c>
      <c r="P8" s="5">
        <f t="shared" si="5"/>
        <v>0.39546612391174241</v>
      </c>
      <c r="Q8" s="5">
        <f t="shared" si="5"/>
        <v>-0.1230705033938234</v>
      </c>
      <c r="R8" s="5">
        <f t="shared" si="5"/>
        <v>-0.1125584938483804</v>
      </c>
      <c r="S8" s="5">
        <f t="shared" si="5"/>
        <v>0.3057921371194337</v>
      </c>
      <c r="T8" s="5">
        <f t="shared" si="5"/>
        <v>-0.14458476697667069</v>
      </c>
      <c r="U8" s="5">
        <f t="shared" si="5"/>
        <v>-0.26280780822848793</v>
      </c>
      <c r="V8" s="5">
        <f t="shared" si="5"/>
        <v>-0.13936695356286269</v>
      </c>
      <c r="W8" s="5">
        <f t="shared" si="5"/>
        <v>-0.39469012652483237</v>
      </c>
      <c r="X8" s="5">
        <f t="shared" si="5"/>
        <v>-0.1698621934781421</v>
      </c>
      <c r="Y8" s="5">
        <f t="shared" si="5"/>
        <v>-0.68127295831176804</v>
      </c>
      <c r="Z8" s="5">
        <f t="shared" si="5"/>
        <v>0.10308974194226191</v>
      </c>
      <c r="AA8" s="5">
        <f t="shared" si="5"/>
        <v>0.48637748963693189</v>
      </c>
      <c r="AB8" s="5">
        <f t="shared" si="5"/>
        <v>-0.2348198317515614</v>
      </c>
      <c r="AC8" s="5">
        <f t="shared" si="5"/>
        <v>-8.9163225286403025E-2</v>
      </c>
      <c r="AD8" s="5">
        <f t="shared" si="5"/>
        <v>0.14514145822358679</v>
      </c>
      <c r="AE8" s="5">
        <f t="shared" si="5"/>
        <v>7.4669147590605167E-2</v>
      </c>
      <c r="AF8" s="5">
        <f t="shared" si="5"/>
        <v>0.17577042279847119</v>
      </c>
      <c r="AG8" s="5">
        <f t="shared" si="5"/>
        <v>-0.30336041259100399</v>
      </c>
      <c r="AH8" s="5">
        <f t="shared" si="5"/>
        <v>-0.3482499081721625</v>
      </c>
      <c r="AI8" s="5">
        <f t="shared" ref="AI8:BN8" si="6">IF(AI6=1,AI3,IF(AI6=2,AI4,IF(AI6=3,AI5)))</f>
        <v>0.25872371710226461</v>
      </c>
      <c r="AJ8" s="5">
        <f t="shared" si="6"/>
        <v>-0.48889196953357</v>
      </c>
      <c r="AK8" s="5">
        <f t="shared" si="6"/>
        <v>0.13254842946584691</v>
      </c>
      <c r="AL8" s="5">
        <f t="shared" si="6"/>
        <v>0.18738072328871311</v>
      </c>
      <c r="AM8" s="5">
        <f t="shared" si="6"/>
        <v>9.6837349683267515E-2</v>
      </c>
      <c r="AN8" s="5">
        <f t="shared" si="6"/>
        <v>0.2075736584826241</v>
      </c>
      <c r="AO8" s="5">
        <f t="shared" si="6"/>
        <v>0.1844633194704077</v>
      </c>
      <c r="AP8" s="5">
        <f t="shared" si="6"/>
        <v>8.0316784439199651E-2</v>
      </c>
      <c r="AQ8" s="5">
        <f t="shared" si="6"/>
        <v>-0.2114396427417907</v>
      </c>
      <c r="AR8" s="5">
        <f t="shared" si="6"/>
        <v>0.11489008982476891</v>
      </c>
      <c r="AS8" s="5">
        <f t="shared" si="6"/>
        <v>0.14111009314114151</v>
      </c>
      <c r="AT8" s="5">
        <f t="shared" si="6"/>
        <v>0.1516447920969482</v>
      </c>
      <c r="AU8" s="5">
        <f t="shared" si="6"/>
        <v>-0.20083705233961571</v>
      </c>
      <c r="AV8" s="5">
        <f t="shared" si="6"/>
        <v>-0.2173053184250211</v>
      </c>
      <c r="AW8" s="5">
        <f t="shared" si="6"/>
        <v>-0.17415500379798879</v>
      </c>
      <c r="AX8" s="5">
        <f t="shared" si="6"/>
        <v>0.1122931240608864</v>
      </c>
      <c r="AY8" s="5">
        <f t="shared" si="6"/>
        <v>-0.118056117907044</v>
      </c>
      <c r="AZ8" s="5">
        <f t="shared" si="6"/>
        <v>0.20621977214253931</v>
      </c>
      <c r="BA8" s="5">
        <f t="shared" si="6"/>
        <v>0.1604995491281753</v>
      </c>
      <c r="BB8" s="5">
        <f t="shared" si="6"/>
        <v>-0.25209000741856791</v>
      </c>
      <c r="BC8" s="5">
        <f t="shared" si="6"/>
        <v>0.1567368975950951</v>
      </c>
      <c r="BD8" s="5">
        <f t="shared" si="6"/>
        <v>0.16688346547535959</v>
      </c>
      <c r="BE8" s="5">
        <f t="shared" si="6"/>
        <v>-0.13147229447438161</v>
      </c>
      <c r="BF8" s="5">
        <f t="shared" si="6"/>
        <v>-0.28526227318364472</v>
      </c>
      <c r="BG8" s="5">
        <f t="shared" si="6"/>
        <v>0.31531123716865839</v>
      </c>
      <c r="BH8" s="5">
        <f t="shared" si="6"/>
        <v>0.27010117711850451</v>
      </c>
      <c r="BI8" s="5">
        <f t="shared" si="6"/>
        <v>5.812657406460206E-2</v>
      </c>
      <c r="BJ8" s="5">
        <f t="shared" si="6"/>
        <v>-0.25986983403483388</v>
      </c>
      <c r="BK8" s="5">
        <f t="shared" si="6"/>
        <v>0.18487944696901781</v>
      </c>
      <c r="BL8" s="5">
        <f t="shared" si="6"/>
        <v>-0.26913172790454543</v>
      </c>
      <c r="BM8" s="5">
        <f t="shared" si="6"/>
        <v>0.1717381908649544</v>
      </c>
      <c r="BN8" s="5">
        <f t="shared" si="6"/>
        <v>-0.18092216130584951</v>
      </c>
      <c r="BO8" s="5">
        <f t="shared" ref="BO8:CT8" si="7">IF(BO6=1,BO3,IF(BO6=2,BO4,IF(BO6=3,BO5)))</f>
        <v>-0.14928793997254061</v>
      </c>
      <c r="BP8" s="5">
        <f t="shared" si="7"/>
        <v>8.3537285837463671E-2</v>
      </c>
      <c r="BQ8" s="5">
        <f t="shared" si="7"/>
        <v>-0.16861046240236999</v>
      </c>
      <c r="BR8" s="5">
        <f t="shared" si="7"/>
        <v>0.21346470331308501</v>
      </c>
      <c r="BS8" s="5">
        <f t="shared" si="7"/>
        <v>0.1244241075337672</v>
      </c>
      <c r="BT8" s="5">
        <f t="shared" si="7"/>
        <v>0.20772231279415901</v>
      </c>
      <c r="BU8" s="5">
        <f t="shared" si="7"/>
        <v>0.11377937808470839</v>
      </c>
      <c r="BV8" s="5">
        <f t="shared" si="7"/>
        <v>0.17298229554948641</v>
      </c>
      <c r="BW8" s="5">
        <f t="shared" si="7"/>
        <v>-0.1268015683060742</v>
      </c>
      <c r="BX8" s="5">
        <f t="shared" si="7"/>
        <v>-0.10582029087279909</v>
      </c>
      <c r="BY8" s="5">
        <f t="shared" si="7"/>
        <v>-0.18303206657081719</v>
      </c>
      <c r="BZ8" s="5">
        <f t="shared" si="7"/>
        <v>-0.14071284467671219</v>
      </c>
      <c r="CA8" s="5">
        <f t="shared" si="7"/>
        <v>7.3472777058868566E-2</v>
      </c>
      <c r="CB8" s="5">
        <f t="shared" si="7"/>
        <v>0.19814488479862649</v>
      </c>
      <c r="CC8" s="5">
        <f t="shared" si="7"/>
        <v>-0.29368551385020503</v>
      </c>
      <c r="CD8" s="5">
        <f t="shared" si="7"/>
        <v>0.32742328506094998</v>
      </c>
      <c r="CE8" s="5">
        <f t="shared" si="7"/>
        <v>0.2187970365966756</v>
      </c>
      <c r="CF8" s="5">
        <f t="shared" si="7"/>
        <v>-0.14937324914413941</v>
      </c>
      <c r="CG8" s="5">
        <f t="shared" si="7"/>
        <v>0.16320028060313421</v>
      </c>
      <c r="CH8" s="5">
        <f t="shared" si="7"/>
        <v>-6.9038325074175663E-2</v>
      </c>
      <c r="CI8" s="5">
        <f t="shared" si="7"/>
        <v>-0.11536214708505139</v>
      </c>
      <c r="CJ8" s="5">
        <f t="shared" si="7"/>
        <v>-0.39111281147264948</v>
      </c>
      <c r="CK8" s="5">
        <f t="shared" si="7"/>
        <v>0.37897350211797709</v>
      </c>
      <c r="CL8" s="5">
        <f t="shared" si="7"/>
        <v>-7.6383453932209341E-2</v>
      </c>
      <c r="CM8" s="5">
        <f t="shared" si="7"/>
        <v>0.18311247425732069</v>
      </c>
      <c r="CN8" s="5">
        <f t="shared" si="7"/>
        <v>-0.39746167912504587</v>
      </c>
      <c r="CO8" s="5">
        <f t="shared" si="7"/>
        <v>0.43716796518582229</v>
      </c>
      <c r="CP8" s="5">
        <f t="shared" si="7"/>
        <v>-9.5682049872747921E-2</v>
      </c>
      <c r="CQ8" s="5">
        <f t="shared" si="7"/>
        <v>-0.49935244279872992</v>
      </c>
      <c r="CR8" s="5">
        <f t="shared" si="7"/>
        <v>0.3398570382696095</v>
      </c>
      <c r="CS8" s="5">
        <f t="shared" si="7"/>
        <v>-0.27841972942992038</v>
      </c>
      <c r="CT8" s="5">
        <f t="shared" si="7"/>
        <v>0.2246197528310597</v>
      </c>
      <c r="CU8" s="5">
        <f t="shared" ref="CU8:DZ8" si="8">IF(CU6=1,CU3,IF(CU6=2,CU4,IF(CU6=3,CU5)))</f>
        <v>-0.25171771168640761</v>
      </c>
      <c r="CV8" s="5">
        <f t="shared" si="8"/>
        <v>0.11088351979357471</v>
      </c>
      <c r="CW8" s="5">
        <f t="shared" si="8"/>
        <v>0.2108770628752098</v>
      </c>
      <c r="CX8" s="5">
        <f t="shared" si="8"/>
        <v>0.25016150139728283</v>
      </c>
      <c r="CY8" s="5">
        <f t="shared" si="8"/>
        <v>-0.52413353929587791</v>
      </c>
      <c r="CZ8" s="5">
        <f t="shared" si="8"/>
        <v>0.8216183061041753</v>
      </c>
      <c r="DA8" s="5">
        <f t="shared" si="8"/>
        <v>0.31254073484349981</v>
      </c>
      <c r="DB8" s="5">
        <f t="shared" si="8"/>
        <v>-0.15564612733519101</v>
      </c>
      <c r="DC8" s="5">
        <f t="shared" si="8"/>
        <v>-0.186958527424675</v>
      </c>
      <c r="DD8" s="5">
        <f t="shared" si="8"/>
        <v>-0.42083892435479142</v>
      </c>
      <c r="DE8" s="5">
        <f t="shared" si="8"/>
        <v>-0.2279724207651195</v>
      </c>
      <c r="DF8" s="5">
        <f t="shared" si="8"/>
        <v>-0.33715973842927388</v>
      </c>
      <c r="DG8" s="5">
        <f t="shared" si="8"/>
        <v>-0.44400370439279008</v>
      </c>
      <c r="DH8" s="5">
        <f t="shared" si="8"/>
        <v>0.15742013530757151</v>
      </c>
      <c r="DI8" s="5">
        <f t="shared" si="8"/>
        <v>0.30896916307249689</v>
      </c>
      <c r="DJ8" s="5">
        <f t="shared" si="8"/>
        <v>-0.28669247758290828</v>
      </c>
      <c r="DK8" s="5">
        <f t="shared" si="8"/>
        <v>0.84621248517861269</v>
      </c>
      <c r="DL8" s="5">
        <f t="shared" si="8"/>
        <v>-0.16924034367306559</v>
      </c>
      <c r="DM8" s="5">
        <f t="shared" si="8"/>
        <v>-0.43945016692248923</v>
      </c>
      <c r="DN8" s="5">
        <f t="shared" si="8"/>
        <v>0.74751336560070059</v>
      </c>
      <c r="DO8" s="5">
        <f t="shared" si="8"/>
        <v>-0.39996426308914668</v>
      </c>
      <c r="DP8" s="5">
        <f t="shared" si="8"/>
        <v>0.16113140194021519</v>
      </c>
      <c r="DQ8" s="5">
        <f t="shared" si="8"/>
        <v>-0.58863430244229409</v>
      </c>
      <c r="DR8" s="5">
        <f t="shared" si="8"/>
        <v>-0.1292383591030131</v>
      </c>
      <c r="DS8" s="5">
        <f t="shared" si="8"/>
        <v>-0.19878519438361211</v>
      </c>
      <c r="DT8" s="5">
        <f t="shared" si="8"/>
        <v>0.4132117833889476</v>
      </c>
      <c r="DU8" s="5">
        <f t="shared" si="8"/>
        <v>-0.17065403209770361</v>
      </c>
      <c r="DV8" s="5">
        <f t="shared" si="8"/>
        <v>0.68828031734213269</v>
      </c>
      <c r="DW8" s="5">
        <f t="shared" si="8"/>
        <v>6.6155769939566539E-2</v>
      </c>
      <c r="DX8" s="5">
        <f t="shared" si="8"/>
        <v>-0.1999347157162332</v>
      </c>
      <c r="DY8" s="5">
        <f t="shared" si="8"/>
        <v>0.56631420698904078</v>
      </c>
      <c r="DZ8" s="5">
        <f t="shared" si="8"/>
        <v>0.47362880432099852</v>
      </c>
      <c r="EA8" s="5">
        <f t="shared" ref="EA8:EF8" si="9">IF(EA6=1,EA3,IF(EA6=2,EA4,IF(EA6=3,EA5)))</f>
        <v>-0.19315799713893969</v>
      </c>
      <c r="EB8" s="5">
        <f t="shared" si="9"/>
        <v>-1.076360940060376</v>
      </c>
      <c r="EC8" s="5">
        <f t="shared" si="9"/>
        <v>-0.13610628648279391</v>
      </c>
      <c r="ED8" s="5">
        <f t="shared" si="9"/>
        <v>-0.27349656344743889</v>
      </c>
      <c r="EE8" s="5">
        <f t="shared" si="9"/>
        <v>0.60134859370029736</v>
      </c>
      <c r="EF8" s="5">
        <f t="shared" si="9"/>
        <v>0.24405280405184021</v>
      </c>
    </row>
    <row r="10" spans="1:136">
      <c r="A10" s="29" t="s">
        <v>140</v>
      </c>
      <c r="B10" s="30"/>
      <c r="C10" s="1" t="s">
        <v>141</v>
      </c>
      <c r="D10" s="2">
        <v>964</v>
      </c>
    </row>
    <row r="11" spans="1:136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226</v>
      </c>
    </row>
    <row r="12" spans="1:136">
      <c r="A12" s="1">
        <v>10</v>
      </c>
      <c r="B12" s="1">
        <v>96</v>
      </c>
      <c r="C12" s="5">
        <v>1.44992469840961E-2</v>
      </c>
      <c r="D12" s="5">
        <f>C12+預測IC!D12</f>
        <v>0.1291877574007628</v>
      </c>
      <c r="E12" s="5">
        <f>D12+預測IC!E12</f>
        <v>0.12779403285989635</v>
      </c>
      <c r="F12" s="5">
        <f>E12+預測IC!F12</f>
        <v>7.1834648075437629E-2</v>
      </c>
      <c r="G12" s="5">
        <f>F12+預測IC!G12</f>
        <v>3.9887199556807168E-2</v>
      </c>
      <c r="H12" s="5">
        <f>G12+預測IC!H12</f>
        <v>4.9486457913406751E-2</v>
      </c>
      <c r="I12" s="5">
        <f>H12+預測IC!I12</f>
        <v>1.3182521064354739E-2</v>
      </c>
      <c r="J12" s="5">
        <f>I12+預測IC!J12</f>
        <v>5.6967099809226263E-2</v>
      </c>
      <c r="K12" s="5">
        <f>J12+預測IC!K12</f>
        <v>8.6155097942925446E-2</v>
      </c>
      <c r="L12" s="5">
        <f>K12+預測IC!L12</f>
        <v>7.7396541978759212E-2</v>
      </c>
      <c r="M12" s="5">
        <f>L12+預測IC!M12</f>
        <v>0.10428571581196616</v>
      </c>
      <c r="N12" s="5">
        <f>M12+預測IC!N12</f>
        <v>0.13898907005542899</v>
      </c>
      <c r="O12" s="5">
        <f>N12+預測IC!O12</f>
        <v>0.15761895870140796</v>
      </c>
      <c r="P12" s="5">
        <f>O12+預測IC!P12</f>
        <v>0.15736463059325084</v>
      </c>
      <c r="Q12" s="5">
        <f>P12+預測IC!Q12</f>
        <v>0.19115741471415856</v>
      </c>
      <c r="R12" s="5">
        <f>Q12+預測IC!R12</f>
        <v>0.17775990847422282</v>
      </c>
      <c r="S12" s="5">
        <f>R12+預測IC!S12</f>
        <v>0.18881493824756204</v>
      </c>
      <c r="T12" s="5">
        <f>S12+預測IC!T12</f>
        <v>0.23205842706707522</v>
      </c>
      <c r="U12" s="5">
        <f>T12+預測IC!U12</f>
        <v>0.25242564762020619</v>
      </c>
      <c r="V12" s="5">
        <f>U12+預測IC!V12</f>
        <v>0.24291469396655796</v>
      </c>
      <c r="W12" s="5">
        <f>V12+預測IC!W12</f>
        <v>0.27133235682472107</v>
      </c>
      <c r="X12" s="5">
        <f>W12+預測IC!X12</f>
        <v>0.29840609640805443</v>
      </c>
      <c r="Y12" s="5">
        <f>X12+預測IC!Y12</f>
        <v>0.27780770288036316</v>
      </c>
      <c r="Z12" s="5">
        <f>Y12+預測IC!Z12</f>
        <v>0.34143138619593716</v>
      </c>
      <c r="AA12" s="5">
        <f>Z12+預測IC!AA12</f>
        <v>0.30202772479482537</v>
      </c>
      <c r="AB12" s="5">
        <f>AA12+預測IC!AB12</f>
        <v>0.26733861424334721</v>
      </c>
      <c r="AC12" s="5">
        <f>AB12+預測IC!AC12</f>
        <v>0.31411155986965844</v>
      </c>
      <c r="AD12" s="5">
        <f>AC12+預測IC!AD12</f>
        <v>0.31158113003843491</v>
      </c>
      <c r="AE12" s="5">
        <f>AD12+預測IC!AE12</f>
        <v>0.35801884670541895</v>
      </c>
      <c r="AF12" s="5">
        <f>AE12+預測IC!AF12</f>
        <v>0.30600674392865124</v>
      </c>
      <c r="AG12" s="5">
        <f>AF12+預測IC!AG12</f>
        <v>0.30982167434946106</v>
      </c>
      <c r="AH12" s="5">
        <f>AG12+預測IC!AH12</f>
        <v>0.32553470811874191</v>
      </c>
      <c r="AI12" s="5">
        <f>AH12+預測IC!AI12</f>
        <v>0.3343285006110035</v>
      </c>
      <c r="AJ12" s="5">
        <f>AI12+預測IC!AJ12</f>
        <v>0.35305179694393768</v>
      </c>
      <c r="AK12" s="5">
        <f>AJ12+預測IC!AK12</f>
        <v>0.33657642871980198</v>
      </c>
      <c r="AL12" s="5">
        <f>AK12+預測IC!AL12</f>
        <v>0.35443543174172404</v>
      </c>
      <c r="AM12" s="5">
        <f>AL12+預測IC!AM12</f>
        <v>0.38452154735432198</v>
      </c>
      <c r="AN12" s="5">
        <f>AM12+預測IC!AN12</f>
        <v>0.45375478166775052</v>
      </c>
      <c r="AO12" s="5">
        <f>AN12+預測IC!AO12</f>
        <v>0.46875025251087782</v>
      </c>
      <c r="AP12" s="5">
        <f>AO12+預測IC!AP12</f>
        <v>0.47338391917754447</v>
      </c>
      <c r="AQ12" s="5">
        <f>AP12+預測IC!AQ12</f>
        <v>0.48100585556612829</v>
      </c>
      <c r="AR12" s="5">
        <f>AQ12+預測IC!AR12</f>
        <v>0.4885102201494616</v>
      </c>
      <c r="AS12" s="5">
        <f>AR12+預測IC!AS12</f>
        <v>0.50760993860416226</v>
      </c>
      <c r="AT12" s="5">
        <f>AS12+預測IC!AT12</f>
        <v>0.57980532095659731</v>
      </c>
      <c r="AU12" s="5">
        <f>AT12+預測IC!AU12</f>
        <v>0.57609178451655274</v>
      </c>
      <c r="AV12" s="5">
        <f>AU12+預測IC!AV12</f>
        <v>0.55430188868321939</v>
      </c>
      <c r="AW12" s="5">
        <f>AV12+預測IC!AW12</f>
        <v>0.55368041166520332</v>
      </c>
      <c r="AX12" s="5">
        <f>AW12+預測IC!AX12</f>
        <v>0.50898439969230547</v>
      </c>
      <c r="AY12" s="5">
        <f>AX12+預測IC!AY12</f>
        <v>0.49149307803329795</v>
      </c>
      <c r="AZ12" s="5">
        <f>AY12+預測IC!AZ12</f>
        <v>0.4678785248679973</v>
      </c>
      <c r="BA12" s="5">
        <f>AZ12+預測IC!BA12</f>
        <v>0.47281641305123912</v>
      </c>
      <c r="BB12" s="5">
        <f>BA12+預測IC!BB12</f>
        <v>0.4786014859679058</v>
      </c>
      <c r="BC12" s="5">
        <f>BB12+預測IC!BC12</f>
        <v>0.49087427500638231</v>
      </c>
      <c r="BD12" s="5">
        <f>BC12+預測IC!BD12</f>
        <v>0.50450483194803497</v>
      </c>
      <c r="BE12" s="5">
        <f>BD12+預測IC!BE12</f>
        <v>0.48589602210864968</v>
      </c>
      <c r="BF12" s="5">
        <f>BE12+預測IC!BF12</f>
        <v>0.55351297135634503</v>
      </c>
      <c r="BG12" s="5">
        <f>BF12+預測IC!BG12</f>
        <v>0.58718383379760786</v>
      </c>
      <c r="BH12" s="5">
        <f>BG12+預測IC!BH12</f>
        <v>0.60140719380892982</v>
      </c>
      <c r="BI12" s="5">
        <f>BH12+預測IC!BI12</f>
        <v>0.55765112942908523</v>
      </c>
      <c r="BJ12" s="5">
        <f>BI12+預測IC!BJ12</f>
        <v>0.58231425560420458</v>
      </c>
      <c r="BK12" s="5">
        <f>BJ12+預測IC!BK12</f>
        <v>0.58165687210917005</v>
      </c>
      <c r="BL12" s="5">
        <f>BK12+預測IC!BL12</f>
        <v>0.61378597040966421</v>
      </c>
      <c r="BM12" s="5">
        <f>BL12+預測IC!BM12</f>
        <v>0.66409165493298872</v>
      </c>
      <c r="BN12" s="5">
        <f>BM12+預測IC!BN12</f>
        <v>0.67566762210592934</v>
      </c>
      <c r="BO12" s="5">
        <f>BN12+預測IC!BO12</f>
        <v>0.65142131184969243</v>
      </c>
      <c r="BP12" s="5">
        <f>BO12+預測IC!BP12</f>
        <v>0.67784381184969245</v>
      </c>
      <c r="BQ12" s="5">
        <f>BP12+預測IC!BQ12</f>
        <v>0.69655932075444671</v>
      </c>
      <c r="BR12" s="5">
        <f>BQ12+預測IC!BR12</f>
        <v>0.69429831230104788</v>
      </c>
      <c r="BS12" s="5">
        <f>BR12+預測IC!BS12</f>
        <v>0.66165545741265519</v>
      </c>
      <c r="BT12" s="5">
        <f>BS12+預測IC!BT12</f>
        <v>0.67802024072708056</v>
      </c>
      <c r="BU12" s="5">
        <f>BT12+預測IC!BU12</f>
        <v>0.68680175786717701</v>
      </c>
      <c r="BV12" s="5">
        <f>BU12+預測IC!BV12</f>
        <v>0.65474844536717702</v>
      </c>
      <c r="BW12" s="5">
        <f>BV12+預測IC!BW12</f>
        <v>0.69922544925882724</v>
      </c>
      <c r="BX12" s="5">
        <f>BW12+預測IC!BX12</f>
        <v>0.70621060311696648</v>
      </c>
      <c r="BY12" s="5">
        <f>BX12+預測IC!BY12</f>
        <v>0.66039364478363316</v>
      </c>
      <c r="BZ12" s="5">
        <f>BY12+預測IC!BZ12</f>
        <v>0.61503669909236014</v>
      </c>
      <c r="CA12" s="5">
        <f>BZ12+預測IC!CA12</f>
        <v>0.58063641165201763</v>
      </c>
      <c r="CB12" s="5">
        <f>CA12+預測IC!CB12</f>
        <v>0.5081606929020176</v>
      </c>
      <c r="CC12" s="5">
        <f>CB12+預測IC!CC12</f>
        <v>0.57372673456868428</v>
      </c>
      <c r="CD12" s="5">
        <f>CC12+預測IC!CD12</f>
        <v>0.52937147121199968</v>
      </c>
      <c r="CE12" s="5">
        <f>CD12+預測IC!CE12</f>
        <v>0.54099087965422887</v>
      </c>
      <c r="CF12" s="5">
        <f>CE12+預測IC!CF12</f>
        <v>0.5329696051402989</v>
      </c>
      <c r="CG12" s="5">
        <f>CF12+預測IC!CG12</f>
        <v>0.4836916451772183</v>
      </c>
      <c r="CH12" s="5">
        <f>CG12+預測IC!CH12</f>
        <v>0.50015475755600414</v>
      </c>
      <c r="CI12" s="5">
        <f>CH12+預測IC!CI12</f>
        <v>0.53575278845710994</v>
      </c>
      <c r="CJ12" s="5">
        <f>CI12+預測IC!CJ12</f>
        <v>0.52030760797842113</v>
      </c>
      <c r="CK12" s="5">
        <f>CJ12+預測IC!CK12</f>
        <v>0.57640904862621123</v>
      </c>
      <c r="CL12" s="5">
        <f>CK12+預測IC!CL12</f>
        <v>0.49796876834019033</v>
      </c>
      <c r="CM12" s="5">
        <f>CL12+預測IC!CM12</f>
        <v>0.48274904217284953</v>
      </c>
      <c r="CN12" s="5">
        <f>CM12+預測IC!CN12</f>
        <v>0.50983274338740892</v>
      </c>
      <c r="CO12" s="5">
        <f>CN12+預測IC!CO12</f>
        <v>0.4850129581321963</v>
      </c>
      <c r="CP12" s="5">
        <f>CO12+預測IC!CP12</f>
        <v>0.43971393666470254</v>
      </c>
      <c r="CQ12" s="5">
        <f>CP12+預測IC!CQ12</f>
        <v>0.50239828366827732</v>
      </c>
      <c r="CR12" s="5">
        <f>CQ12+預測IC!CR12</f>
        <v>0.44523829714676377</v>
      </c>
      <c r="CS12" s="5">
        <f>CR12+預測IC!CS12</f>
        <v>0.43072898464676379</v>
      </c>
      <c r="CT12" s="5">
        <f>CS12+預測IC!CT12</f>
        <v>0.42139992141678689</v>
      </c>
      <c r="CU12" s="5">
        <f>CT12+預測IC!CU12</f>
        <v>0.49617945069814362</v>
      </c>
      <c r="CV12" s="5">
        <f>CU12+預測IC!CV12</f>
        <v>0.49177602361481032</v>
      </c>
      <c r="CW12" s="5">
        <f>CV12+預測IC!CW12</f>
        <v>0.50481269299338793</v>
      </c>
      <c r="CX12" s="5">
        <f>CW12+預測IC!CX12</f>
        <v>0.47406005472592494</v>
      </c>
      <c r="CY12" s="5">
        <f>CX12+預測IC!CY12</f>
        <v>0.45763945847811932</v>
      </c>
      <c r="CZ12" s="5">
        <f>CY12+預測IC!CZ12</f>
        <v>0.44531519641820272</v>
      </c>
      <c r="DA12" s="5">
        <f>CZ12+預測IC!DA12</f>
        <v>0.45091898048856327</v>
      </c>
      <c r="DB12" s="5">
        <f>DA12+預測IC!DB12</f>
        <v>0.47390085644269031</v>
      </c>
      <c r="DC12" s="5">
        <f>DB12+預測IC!DC12</f>
        <v>0.43992765356791563</v>
      </c>
      <c r="DD12" s="5">
        <f>DC12+預測IC!DD12</f>
        <v>0.50988819930225893</v>
      </c>
      <c r="DE12" s="5">
        <f>DD12+預測IC!DE12</f>
        <v>0.534625843717354</v>
      </c>
      <c r="DF12" s="5">
        <f>DE12+預測IC!DF12</f>
        <v>0.52300152402948497</v>
      </c>
      <c r="DG12" s="5">
        <f>DF12+預測IC!DG12</f>
        <v>0.57039594565930929</v>
      </c>
      <c r="DH12" s="5">
        <f>DG12+預測IC!DH12</f>
        <v>0.50920051857597604</v>
      </c>
      <c r="DI12" s="5">
        <f>DH12+預測IC!DI12</f>
        <v>0.53917977313347576</v>
      </c>
      <c r="DJ12" s="5">
        <f>DI12+預測IC!DJ12</f>
        <v>0.49780173019780422</v>
      </c>
      <c r="DK12" s="5">
        <f>DJ12+預測IC!DK12</f>
        <v>0.4988729288263849</v>
      </c>
      <c r="DL12" s="5">
        <f>DK12+預測IC!DL12</f>
        <v>0.48020309549258183</v>
      </c>
      <c r="DM12" s="5">
        <f>DL12+預測IC!DM12</f>
        <v>0.47105960215905268</v>
      </c>
      <c r="DN12" s="5">
        <f>DM12+預測IC!DN12</f>
        <v>0.45251815870044027</v>
      </c>
      <c r="DO12" s="5">
        <f>DN12+預測IC!DO12</f>
        <v>0.47154888696833808</v>
      </c>
      <c r="DP12" s="5">
        <f>DO12+預測IC!DP12</f>
        <v>0.50413333656863524</v>
      </c>
      <c r="DQ12" s="5">
        <f>DP12+預測IC!DQ12</f>
        <v>0.4295926890881625</v>
      </c>
      <c r="DR12" s="5">
        <f>DQ12+預測IC!DR12</f>
        <v>0.4466576890881625</v>
      </c>
      <c r="DS12" s="5">
        <f>DR12+預測IC!DS12</f>
        <v>0.40063341008303777</v>
      </c>
      <c r="DT12" s="5">
        <f>DS12+預測IC!DT12</f>
        <v>0.42544725164562447</v>
      </c>
      <c r="DU12" s="5">
        <f>DT12+預測IC!DU12</f>
        <v>0.37966010967115749</v>
      </c>
      <c r="DV12" s="5">
        <f>DU12+預測IC!DV12</f>
        <v>0.36290866815733691</v>
      </c>
      <c r="DW12" s="5">
        <f>DV12+預測IC!DW12</f>
        <v>0.40663423237737434</v>
      </c>
      <c r="DX12" s="5">
        <f>DW12+預測IC!DX12</f>
        <v>0.38853509559904092</v>
      </c>
      <c r="DY12" s="5">
        <f>DX12+預測IC!DY12</f>
        <v>0.45126331769381084</v>
      </c>
      <c r="DZ12" s="5">
        <f>DY12+預測IC!DZ12</f>
        <v>0.47130220781739995</v>
      </c>
      <c r="EA12" s="5">
        <f>DZ12+預測IC!EA12</f>
        <v>0.52239990573406658</v>
      </c>
      <c r="EB12" s="5">
        <f>EA12+預測IC!EB12</f>
        <v>0.55292568255190822</v>
      </c>
      <c r="EC12" s="5">
        <f>EB12+預測IC!EC12</f>
        <v>0.53804176442238905</v>
      </c>
      <c r="ED12" s="5">
        <f>EC12+預測IC!ED12</f>
        <v>0.51459718917944786</v>
      </c>
      <c r="EE12" s="5">
        <f>ED12+預測IC!EE12</f>
        <v>0.48638090891164448</v>
      </c>
      <c r="EF12" s="5">
        <f>EE12+預測IC!EH12</f>
        <v>0.48638090891164448</v>
      </c>
    </row>
    <row r="13" spans="1:136">
      <c r="A13" s="1">
        <v>20</v>
      </c>
      <c r="B13" s="1">
        <v>48</v>
      </c>
      <c r="C13" s="5">
        <v>-7.4773642018864783E-3</v>
      </c>
      <c r="D13" s="5">
        <f>C13+預測IC!D13</f>
        <v>0.11626773996478013</v>
      </c>
      <c r="E13" s="5">
        <f>D13+預測IC!E13</f>
        <v>0.11074411326149379</v>
      </c>
      <c r="F13" s="5">
        <f>E13+預測IC!F13</f>
        <v>5.0757586568570823E-2</v>
      </c>
      <c r="G13" s="5">
        <f>F13+預測IC!G13</f>
        <v>3.8710182268464892E-2</v>
      </c>
      <c r="H13" s="5">
        <f>G13+預測IC!H13</f>
        <v>5.6098569295963879E-2</v>
      </c>
      <c r="I13" s="5">
        <f>H13+預測IC!I13</f>
        <v>2.3415706311241541E-2</v>
      </c>
      <c r="J13" s="5">
        <f>I13+預測IC!J13</f>
        <v>5.7965598280886238E-2</v>
      </c>
      <c r="K13" s="5">
        <f>J13+預測IC!K13</f>
        <v>0.11829173750845637</v>
      </c>
      <c r="L13" s="5">
        <f>K13+預測IC!L13</f>
        <v>9.6311267129733591E-2</v>
      </c>
      <c r="M13" s="5">
        <f>L13+預測IC!M13</f>
        <v>9.9591025355738313E-2</v>
      </c>
      <c r="N13" s="5">
        <f>M13+預測IC!N13</f>
        <v>0.1429834428214351</v>
      </c>
      <c r="O13" s="5">
        <f>N13+預測IC!O13</f>
        <v>0.17925671854135758</v>
      </c>
      <c r="P13" s="5">
        <f>O13+預測IC!P13</f>
        <v>0.17297907088062464</v>
      </c>
      <c r="Q13" s="5">
        <f>P13+預測IC!Q13</f>
        <v>0.21719733510859468</v>
      </c>
      <c r="R13" s="5">
        <f>Q13+預測IC!R13</f>
        <v>0.21070742493252029</v>
      </c>
      <c r="S13" s="5">
        <f>R13+預測IC!S13</f>
        <v>0.20469362192547802</v>
      </c>
      <c r="T13" s="5">
        <f>S13+預測IC!T13</f>
        <v>0.25759342483417136</v>
      </c>
      <c r="U13" s="5">
        <f>T13+預測IC!U13</f>
        <v>0.31175449987586556</v>
      </c>
      <c r="V13" s="5">
        <f>U13+預測IC!V13</f>
        <v>0.30953785997281164</v>
      </c>
      <c r="W13" s="5">
        <f>V13+預測IC!W13</f>
        <v>0.34050676404429453</v>
      </c>
      <c r="X13" s="5">
        <f>W13+預測IC!X13</f>
        <v>0.39378322237762786</v>
      </c>
      <c r="Y13" s="5">
        <f>X13+預測IC!Y13</f>
        <v>0.40046658110417332</v>
      </c>
      <c r="Z13" s="5">
        <f>Y13+預測IC!Z13</f>
        <v>0.4788910159093569</v>
      </c>
      <c r="AA13" s="5">
        <f>Z13+預測IC!AA13</f>
        <v>0.44677150557088563</v>
      </c>
      <c r="AB13" s="5">
        <f>AA13+預測IC!AB13</f>
        <v>0.40009328544950834</v>
      </c>
      <c r="AC13" s="5">
        <f>AB13+預測IC!AC13</f>
        <v>0.46686498583143821</v>
      </c>
      <c r="AD13" s="5">
        <f>AC13+預測IC!AD13</f>
        <v>0.44642475745764576</v>
      </c>
      <c r="AE13" s="5">
        <f>AD13+預測IC!AE13</f>
        <v>0.52349617418444638</v>
      </c>
      <c r="AF13" s="5">
        <f>AE13+預測IC!AF13</f>
        <v>0.45021501335613523</v>
      </c>
      <c r="AG13" s="5">
        <f>AF13+預測IC!AG13</f>
        <v>0.44030980562906114</v>
      </c>
      <c r="AH13" s="5">
        <f>AG13+預測IC!AH13</f>
        <v>0.46526501217892802</v>
      </c>
      <c r="AI13" s="5">
        <f>AH13+預測IC!AI13</f>
        <v>0.48391105855889405</v>
      </c>
      <c r="AJ13" s="5">
        <f>AI13+預測IC!AJ13</f>
        <v>0.485618509397513</v>
      </c>
      <c r="AK13" s="5">
        <f>AJ13+預測IC!AK13</f>
        <v>0.44725911911464089</v>
      </c>
      <c r="AL13" s="5">
        <f>AK13+預測IC!AL13</f>
        <v>0.47041054770981194</v>
      </c>
      <c r="AM13" s="5">
        <f>AL13+預測IC!AM13</f>
        <v>0.51669299124664092</v>
      </c>
      <c r="AN13" s="5">
        <f>AM13+預測IC!AN13</f>
        <v>0.62202322938267507</v>
      </c>
      <c r="AO13" s="5">
        <f>AN13+預測IC!AO13</f>
        <v>0.62031438269403971</v>
      </c>
      <c r="AP13" s="5">
        <f>AO13+預測IC!AP13</f>
        <v>0.62690219519403967</v>
      </c>
      <c r="AQ13" s="5">
        <f>AP13+預測IC!AQ13</f>
        <v>0.63295148396293932</v>
      </c>
      <c r="AR13" s="5">
        <f>AQ13+預測IC!AR13</f>
        <v>0.62370106729627262</v>
      </c>
      <c r="AS13" s="5">
        <f>AR13+預測IC!AS13</f>
        <v>0.66501418578050675</v>
      </c>
      <c r="AT13" s="5">
        <f>AS13+預測IC!AT13</f>
        <v>0.75143710050810619</v>
      </c>
      <c r="AU13" s="5">
        <f>AT13+預測IC!AU13</f>
        <v>0.76713251893457868</v>
      </c>
      <c r="AV13" s="5">
        <f>AU13+預測IC!AV13</f>
        <v>0.75617370643457871</v>
      </c>
      <c r="AW13" s="5">
        <f>AV13+預測IC!AW13</f>
        <v>0.75209369285151528</v>
      </c>
      <c r="AX13" s="5">
        <f>AW13+預測IC!AX13</f>
        <v>0.71929386071565948</v>
      </c>
      <c r="AY13" s="5">
        <f>AX13+預測IC!AY13</f>
        <v>0.70503165680852076</v>
      </c>
      <c r="AZ13" s="5">
        <f>AY13+預測IC!AZ13</f>
        <v>0.67381112071475069</v>
      </c>
      <c r="BA13" s="5">
        <f>AZ13+預測IC!BA13</f>
        <v>0.68035205832181167</v>
      </c>
      <c r="BB13" s="5">
        <f>BA13+預測IC!BB13</f>
        <v>0.70639803748847829</v>
      </c>
      <c r="BC13" s="5">
        <f>BB13+預測IC!BC13</f>
        <v>0.71768180460013598</v>
      </c>
      <c r="BD13" s="5">
        <f>BC13+預測IC!BD13</f>
        <v>0.72102623298381729</v>
      </c>
      <c r="BE13" s="5">
        <f>BD13+預測IC!BE13</f>
        <v>0.69363442667817576</v>
      </c>
      <c r="BF13" s="5">
        <f>BE13+預測IC!BF13</f>
        <v>0.81529156994413143</v>
      </c>
      <c r="BG13" s="5">
        <f>BF13+預測IC!BG13</f>
        <v>0.86185803228284308</v>
      </c>
      <c r="BH13" s="5">
        <f>BG13+預測IC!BH13</f>
        <v>0.87033376209446212</v>
      </c>
      <c r="BI13" s="5">
        <f>BH13+預測IC!BI13</f>
        <v>0.84873220299152918</v>
      </c>
      <c r="BJ13" s="5">
        <f>BI13+預測IC!BJ13</f>
        <v>0.87299829060463807</v>
      </c>
      <c r="BK13" s="5">
        <f>BJ13+預測IC!BK13</f>
        <v>0.86411989468854666</v>
      </c>
      <c r="BL13" s="5">
        <f>BK13+預測IC!BL13</f>
        <v>0.89857993513699752</v>
      </c>
      <c r="BM13" s="5">
        <f>BL13+預測IC!BM13</f>
        <v>0.95195170383218819</v>
      </c>
      <c r="BN13" s="5">
        <f>BM13+預測IC!BN13</f>
        <v>0.98750441724459548</v>
      </c>
      <c r="BO13" s="5">
        <f>BN13+預測IC!BO13</f>
        <v>0.95662570101112132</v>
      </c>
      <c r="BP13" s="5">
        <f>BO13+預測IC!BP13</f>
        <v>0.96457774267778795</v>
      </c>
      <c r="BQ13" s="5">
        <f>BP13+預測IC!BQ13</f>
        <v>0.9634269234523859</v>
      </c>
      <c r="BR13" s="5">
        <f>BQ13+預測IC!BR13</f>
        <v>0.95674550596882846</v>
      </c>
      <c r="BS13" s="5">
        <f>BR13+預測IC!BS13</f>
        <v>0.91656499160741156</v>
      </c>
      <c r="BT13" s="5">
        <f>BS13+預測IC!BT13</f>
        <v>0.91708606328321451</v>
      </c>
      <c r="BU13" s="5">
        <f>BT13+預測IC!BU13</f>
        <v>0.93479261831976823</v>
      </c>
      <c r="BV13" s="5">
        <f>BU13+預測IC!BV13</f>
        <v>0.90335238915310156</v>
      </c>
      <c r="BW13" s="5">
        <f>BV13+預測IC!BW13</f>
        <v>0.97906639478978108</v>
      </c>
      <c r="BX13" s="5">
        <f>BW13+預測IC!BX13</f>
        <v>0.97981203359579117</v>
      </c>
      <c r="BY13" s="5">
        <f>BX13+預測IC!BY13</f>
        <v>0.94898345026245778</v>
      </c>
      <c r="BZ13" s="5">
        <f>BY13+預測IC!BZ13</f>
        <v>0.87284532720340757</v>
      </c>
      <c r="CA13" s="5">
        <f>BZ13+預測IC!CA13</f>
        <v>0.83931376160301074</v>
      </c>
      <c r="CB13" s="5">
        <f>CA13+預測IC!CB13</f>
        <v>0.71888684493634403</v>
      </c>
      <c r="CC13" s="5">
        <f>CB13+預測IC!CC13</f>
        <v>0.83900476160301074</v>
      </c>
      <c r="CD13" s="5">
        <f>CC13+預測IC!CD13</f>
        <v>0.8178006177224042</v>
      </c>
      <c r="CE13" s="5">
        <f>CD13+預測IC!CE13</f>
        <v>0.82702160204781794</v>
      </c>
      <c r="CF13" s="5">
        <f>CE13+預測IC!CF13</f>
        <v>0.83906526906287726</v>
      </c>
      <c r="CG13" s="5">
        <f>CF13+預測IC!CG13</f>
        <v>0.7810503012556379</v>
      </c>
      <c r="CH13" s="5">
        <f>CG13+預測IC!CH13</f>
        <v>0.78507980731384819</v>
      </c>
      <c r="CI13" s="5">
        <f>CH13+預測IC!CI13</f>
        <v>0.79961311054712803</v>
      </c>
      <c r="CJ13" s="5">
        <f>CI13+預測IC!CJ13</f>
        <v>0.80271919851907925</v>
      </c>
      <c r="CK13" s="5">
        <f>CJ13+預測IC!CK13</f>
        <v>0.86840632478587665</v>
      </c>
      <c r="CL13" s="5">
        <f>CK13+預測IC!CL13</f>
        <v>0.79568214963265804</v>
      </c>
      <c r="CM13" s="5">
        <f>CL13+預測IC!CM13</f>
        <v>0.78538534587626307</v>
      </c>
      <c r="CN13" s="5">
        <f>CM13+預測IC!CN13</f>
        <v>0.81227291187511541</v>
      </c>
      <c r="CO13" s="5">
        <f>CN13+預測IC!CO13</f>
        <v>0.77693856779445802</v>
      </c>
      <c r="CP13" s="5">
        <f>CO13+預測IC!CP13</f>
        <v>0.70721202751672374</v>
      </c>
      <c r="CQ13" s="5">
        <f>CP13+預測IC!CQ13</f>
        <v>0.77839089248512761</v>
      </c>
      <c r="CR13" s="5">
        <f>CQ13+預測IC!CR13</f>
        <v>0.66674600610465284</v>
      </c>
      <c r="CS13" s="5">
        <f>CR13+預測IC!CS13</f>
        <v>0.67069396443798612</v>
      </c>
      <c r="CT13" s="5">
        <f>CS13+預測IC!CT13</f>
        <v>0.67110250455360243</v>
      </c>
      <c r="CU13" s="5">
        <f>CT13+預測IC!CU13</f>
        <v>0.77819346626723973</v>
      </c>
      <c r="CV13" s="5">
        <f>CU13+預測IC!CV13</f>
        <v>0.75387427876723978</v>
      </c>
      <c r="CW13" s="5">
        <f>CV13+預測IC!CW13</f>
        <v>0.79018339852367314</v>
      </c>
      <c r="CX13" s="5">
        <f>CW13+預測IC!CX13</f>
        <v>0.75960055704398322</v>
      </c>
      <c r="CY13" s="5">
        <f>CX13+預測IC!CY13</f>
        <v>0.71839880515988641</v>
      </c>
      <c r="CZ13" s="5">
        <f>CY13+預測IC!CZ13</f>
        <v>0.71350058899982116</v>
      </c>
      <c r="DA13" s="5">
        <f>CZ13+預測IC!DA13</f>
        <v>0.70791691207399976</v>
      </c>
      <c r="DB13" s="5">
        <f>DA13+預測IC!DB13</f>
        <v>0.74967848179078433</v>
      </c>
      <c r="DC13" s="5">
        <f>DB13+預測IC!DC13</f>
        <v>0.71990291591249145</v>
      </c>
      <c r="DD13" s="5">
        <f>DC13+預測IC!DD13</f>
        <v>0.78887997483687489</v>
      </c>
      <c r="DE13" s="5">
        <f>DD13+預測IC!DE13</f>
        <v>0.81132197126611094</v>
      </c>
      <c r="DF13" s="5">
        <f>DE13+預測IC!DF13</f>
        <v>0.79405033923792856</v>
      </c>
      <c r="DG13" s="5">
        <f>DF13+預測IC!DG13</f>
        <v>0.86538609945284817</v>
      </c>
      <c r="DH13" s="5">
        <f>DG13+預測IC!DH13</f>
        <v>0.77666539111951483</v>
      </c>
      <c r="DI13" s="5">
        <f>DH13+預測IC!DI13</f>
        <v>0.80623581075394302</v>
      </c>
      <c r="DJ13" s="5">
        <f>DI13+預測IC!DJ13</f>
        <v>0.79921468713838506</v>
      </c>
      <c r="DK13" s="5">
        <f>DJ13+預測IC!DK13</f>
        <v>0.77581379524279481</v>
      </c>
      <c r="DL13" s="5">
        <f>DK13+預測IC!DL13</f>
        <v>0.75376310456470663</v>
      </c>
      <c r="DM13" s="5">
        <f>DL13+預測IC!DM13</f>
        <v>0.76541899898022681</v>
      </c>
      <c r="DN13" s="5">
        <f>DM13+預測IC!DN13</f>
        <v>0.75264310949402358</v>
      </c>
      <c r="DO13" s="5">
        <f>DN13+預測IC!DO13</f>
        <v>0.79696824891622642</v>
      </c>
      <c r="DP13" s="5">
        <f>DO13+預測IC!DP13</f>
        <v>0.84575488477249583</v>
      </c>
      <c r="DQ13" s="5">
        <f>DP13+預測IC!DQ13</f>
        <v>0.75862587337992538</v>
      </c>
      <c r="DR13" s="5">
        <f>DQ13+預測IC!DR13</f>
        <v>0.77379468587992539</v>
      </c>
      <c r="DS13" s="5">
        <f>DR13+預測IC!DS13</f>
        <v>0.74387949198859826</v>
      </c>
      <c r="DT13" s="5">
        <f>DS13+預測IC!DT13</f>
        <v>0.77372530114960159</v>
      </c>
      <c r="DU13" s="5">
        <f>DT13+預測IC!DU13</f>
        <v>0.75002644736840007</v>
      </c>
      <c r="DV13" s="5">
        <f>DU13+預測IC!DV13</f>
        <v>0.74017364260615204</v>
      </c>
      <c r="DW13" s="5">
        <f>DV13+預測IC!DW13</f>
        <v>0.78459143223050232</v>
      </c>
      <c r="DX13" s="5">
        <f>DW13+預測IC!DX13</f>
        <v>0.76136182268153618</v>
      </c>
      <c r="DY13" s="5">
        <f>DX13+預測IC!DY13</f>
        <v>0.77086644748541366</v>
      </c>
      <c r="DZ13" s="5">
        <f>DY13+預測IC!DZ13</f>
        <v>0.80115169896035499</v>
      </c>
      <c r="EA13" s="5">
        <f>DZ13+預測IC!EA13</f>
        <v>0.86327011562702161</v>
      </c>
      <c r="EB13" s="5">
        <f>EA13+預測IC!EB13</f>
        <v>0.92047540837541064</v>
      </c>
      <c r="EC13" s="5">
        <f>EB13+預測IC!EC13</f>
        <v>0.89849055584388626</v>
      </c>
      <c r="ED13" s="5">
        <f>EC13+預測IC!ED13</f>
        <v>0.84451253621463096</v>
      </c>
      <c r="EE13" s="5">
        <f>ED13+預測IC!EE13</f>
        <v>0.80864505631381089</v>
      </c>
      <c r="EF13" s="5">
        <f>EE13+預測IC!EH13</f>
        <v>0.80864505631381089</v>
      </c>
    </row>
    <row r="14" spans="1:136">
      <c r="A14" s="1">
        <v>50</v>
      </c>
      <c r="B14" s="1">
        <v>19</v>
      </c>
      <c r="C14" s="5">
        <v>-3.3228977675766179E-2</v>
      </c>
      <c r="D14" s="5">
        <f>C14+預測IC!D14</f>
        <v>0.18907981179791802</v>
      </c>
      <c r="E14" s="5">
        <f>D14+預測IC!E14</f>
        <v>0.14115906578464879</v>
      </c>
      <c r="F14" s="5">
        <f>E14+預測IC!F14</f>
        <v>8.0817160878616234E-2</v>
      </c>
      <c r="G14" s="5">
        <f>F14+預測IC!G14</f>
        <v>2.7160530435835557E-2</v>
      </c>
      <c r="H14" s="5">
        <f>G14+預測IC!H14</f>
        <v>1.5652269573711967E-2</v>
      </c>
      <c r="I14" s="5">
        <f>H14+預測IC!I14</f>
        <v>-2.8135090249430336E-2</v>
      </c>
      <c r="J14" s="5">
        <f>I14+預測IC!J14</f>
        <v>-4.825118284519446E-3</v>
      </c>
      <c r="K14" s="5">
        <f>J14+預測IC!K14</f>
        <v>4.6002347976328517E-2</v>
      </c>
      <c r="L14" s="5">
        <f>K14+預測IC!L14</f>
        <v>-1.0268736999907005E-2</v>
      </c>
      <c r="M14" s="5">
        <f>L14+預測IC!M14</f>
        <v>-2.9290451464890985E-2</v>
      </c>
      <c r="N14" s="5">
        <f>M14+預測IC!N14</f>
        <v>2.8078975192131064E-2</v>
      </c>
      <c r="O14" s="5">
        <f>N14+預測IC!O14</f>
        <v>6.5554762205137562E-2</v>
      </c>
      <c r="P14" s="5">
        <f>O14+預測IC!P14</f>
        <v>7.2096183163287961E-2</v>
      </c>
      <c r="Q14" s="5">
        <f>P14+預測IC!Q14</f>
        <v>0.19620005433473664</v>
      </c>
      <c r="R14" s="5">
        <f>Q14+預測IC!R14</f>
        <v>0.21214124163183845</v>
      </c>
      <c r="S14" s="5">
        <f>R14+預測IC!S14</f>
        <v>0.18733449553907067</v>
      </c>
      <c r="T14" s="5">
        <f>S14+預測IC!T14</f>
        <v>0.25717597505996653</v>
      </c>
      <c r="U14" s="5">
        <f>T14+預測IC!U14</f>
        <v>0.36144263969561413</v>
      </c>
      <c r="V14" s="5">
        <f>U14+預測IC!V14</f>
        <v>0.41386393985449921</v>
      </c>
      <c r="W14" s="5">
        <f>V14+預測IC!W14</f>
        <v>0.46165894258801926</v>
      </c>
      <c r="X14" s="5">
        <f>W14+預測IC!X14</f>
        <v>0.51524073206170351</v>
      </c>
      <c r="Y14" s="5">
        <f>X14+預測IC!Y14</f>
        <v>0.57043172347392523</v>
      </c>
      <c r="Z14" s="5">
        <f>Y14+預測IC!Z14</f>
        <v>0.60894364975423287</v>
      </c>
      <c r="AA14" s="5">
        <f>Z14+預測IC!AA14</f>
        <v>0.56949346945215074</v>
      </c>
      <c r="AB14" s="5">
        <f>AA14+預測IC!AB14</f>
        <v>0.49872409210492052</v>
      </c>
      <c r="AC14" s="5">
        <f>AB14+預測IC!AC14</f>
        <v>0.49563752976613124</v>
      </c>
      <c r="AD14" s="5">
        <f>AC14+預測IC!AD14</f>
        <v>0.42576293803098914</v>
      </c>
      <c r="AE14" s="5">
        <f>AD14+預測IC!AE14</f>
        <v>0.5425998578705552</v>
      </c>
      <c r="AF14" s="5">
        <f>AE14+預測IC!AF14</f>
        <v>0.44651976241392155</v>
      </c>
      <c r="AG14" s="5">
        <f>AF14+預測IC!AG14</f>
        <v>0.4211904674029685</v>
      </c>
      <c r="AH14" s="5">
        <f>AG14+預測IC!AH14</f>
        <v>0.5021426518267702</v>
      </c>
      <c r="AI14" s="5">
        <f>AH14+預測IC!AI14</f>
        <v>0.46668000792815828</v>
      </c>
      <c r="AJ14" s="5">
        <f>AI14+預測IC!AJ14</f>
        <v>0.44217443282707336</v>
      </c>
      <c r="AK14" s="5">
        <f>AJ14+預測IC!AK14</f>
        <v>0.36469909380461935</v>
      </c>
      <c r="AL14" s="5">
        <f>AK14+預測IC!AL14</f>
        <v>0.40266828352708006</v>
      </c>
      <c r="AM14" s="5">
        <f>AL14+預測IC!AM14</f>
        <v>0.46391044990570529</v>
      </c>
      <c r="AN14" s="5">
        <f>AM14+預測IC!AN14</f>
        <v>0.56250511667524905</v>
      </c>
      <c r="AO14" s="5">
        <f>AN14+預測IC!AO14</f>
        <v>0.52446076413318776</v>
      </c>
      <c r="AP14" s="5">
        <f>AO14+預測IC!AP14</f>
        <v>0.51740560623845089</v>
      </c>
      <c r="AQ14" s="5">
        <f>AP14+預測IC!AQ14</f>
        <v>0.51777357397621082</v>
      </c>
      <c r="AR14" s="5">
        <f>AQ14+預測IC!AR14</f>
        <v>0.49960310029200028</v>
      </c>
      <c r="AS14" s="5">
        <f>AR14+預測IC!AS14</f>
        <v>0.58498008624504705</v>
      </c>
      <c r="AT14" s="5">
        <f>AS14+預測IC!AT14</f>
        <v>0.66438356595568515</v>
      </c>
      <c r="AU14" s="5">
        <f>AT14+預測IC!AU14</f>
        <v>0.721805179069819</v>
      </c>
      <c r="AV14" s="5">
        <f>AU14+預測IC!AV14</f>
        <v>0.73023202117508212</v>
      </c>
      <c r="AW14" s="5">
        <f>AV14+預測IC!AW14</f>
        <v>0.74859495268103959</v>
      </c>
      <c r="AX14" s="5">
        <f>AW14+預測IC!AX14</f>
        <v>0.72922473930554899</v>
      </c>
      <c r="AY14" s="5">
        <f>AX14+預測IC!AY14</f>
        <v>0.72753416748054189</v>
      </c>
      <c r="AZ14" s="5">
        <f>AY14+預測IC!AZ14</f>
        <v>0.66646358699930264</v>
      </c>
      <c r="BA14" s="5">
        <f>AZ14+預測IC!BA14</f>
        <v>0.68408523254354581</v>
      </c>
      <c r="BB14" s="5">
        <f>BA14+預測IC!BB14</f>
        <v>0.78598323254354585</v>
      </c>
      <c r="BC14" s="5">
        <f>BB14+預測IC!BC14</f>
        <v>0.77616223358826841</v>
      </c>
      <c r="BD14" s="5">
        <f>BC14+預測IC!BD14</f>
        <v>0.81949001525567389</v>
      </c>
      <c r="BE14" s="5">
        <f>BD14+預測IC!BE14</f>
        <v>0.77570295272018686</v>
      </c>
      <c r="BF14" s="5">
        <f>BE14+預測IC!BF14</f>
        <v>0.92953221429419519</v>
      </c>
      <c r="BG14" s="5">
        <f>BF14+預測IC!BG14</f>
        <v>0.97090647836812793</v>
      </c>
      <c r="BH14" s="5">
        <f>BG14+預測IC!BH14</f>
        <v>0.97624923393672858</v>
      </c>
      <c r="BI14" s="5">
        <f>BH14+預測IC!BI14</f>
        <v>1.0172803018699605</v>
      </c>
      <c r="BJ14" s="5">
        <f>BI14+預測IC!BJ14</f>
        <v>1.0858844974722632</v>
      </c>
      <c r="BK14" s="5">
        <f>BJ14+預測IC!BK14</f>
        <v>1.0521930776014947</v>
      </c>
      <c r="BL14" s="5">
        <f>BK14+預測IC!BL14</f>
        <v>1.1121899731289351</v>
      </c>
      <c r="BM14" s="5">
        <f>BL14+預測IC!BM14</f>
        <v>1.1584682981319354</v>
      </c>
      <c r="BN14" s="5">
        <f>BM14+預測IC!BN14</f>
        <v>1.1845562584075151</v>
      </c>
      <c r="BO14" s="5">
        <f>BN14+預測IC!BO14</f>
        <v>1.1509472127302507</v>
      </c>
      <c r="BP14" s="5">
        <f>BO14+預測IC!BP14</f>
        <v>1.1006155285197243</v>
      </c>
      <c r="BQ14" s="5">
        <f>BP14+預測IC!BQ14</f>
        <v>1.0497310463256437</v>
      </c>
      <c r="BR14" s="5">
        <f>BQ14+預測IC!BR14</f>
        <v>1.0218016167930257</v>
      </c>
      <c r="BS14" s="5">
        <f>BR14+預測IC!BS14</f>
        <v>0.99146889280625505</v>
      </c>
      <c r="BT14" s="5">
        <f>BS14+預測IC!BT14</f>
        <v>0.96074241668049065</v>
      </c>
      <c r="BU14" s="5">
        <f>BT14+預測IC!BU14</f>
        <v>0.95188758132245976</v>
      </c>
      <c r="BV14" s="5">
        <f>BU14+預測IC!BV14</f>
        <v>0.91060537079614401</v>
      </c>
      <c r="BW14" s="5">
        <f>BV14+預測IC!BW14</f>
        <v>1.0415028793533292</v>
      </c>
      <c r="BX14" s="5">
        <f>BW14+預測IC!BX14</f>
        <v>1.0271675840760286</v>
      </c>
      <c r="BY14" s="5">
        <f>BX14+預測IC!BY14</f>
        <v>0.94676658407602854</v>
      </c>
      <c r="BZ14" s="5">
        <f>BY14+預測IC!BZ14</f>
        <v>0.88673252724724627</v>
      </c>
      <c r="CA14" s="5">
        <f>BZ14+預測IC!CA14</f>
        <v>0.86226726113230923</v>
      </c>
      <c r="CB14" s="5">
        <f>CA14+預測IC!CB14</f>
        <v>0.69780147165862516</v>
      </c>
      <c r="CC14" s="5">
        <f>CB14+預測IC!CC14</f>
        <v>0.81839668218494099</v>
      </c>
      <c r="CD14" s="5">
        <f>CC14+預測IC!CD14</f>
        <v>0.85132306953772463</v>
      </c>
      <c r="CE14" s="5">
        <f>CD14+預測IC!CE14</f>
        <v>0.77916635032602666</v>
      </c>
      <c r="CF14" s="5">
        <f>CE14+預測IC!CF14</f>
        <v>0.82204376040134353</v>
      </c>
      <c r="CG14" s="5">
        <f>CF14+預測IC!CG14</f>
        <v>0.7647230967335229</v>
      </c>
      <c r="CH14" s="5">
        <f>CG14+預測IC!CH14</f>
        <v>0.81360276718958868</v>
      </c>
      <c r="CI14" s="5">
        <f>CH14+預測IC!CI14</f>
        <v>0.82830437920103139</v>
      </c>
      <c r="CJ14" s="5">
        <f>CI14+預測IC!CJ14</f>
        <v>0.85697223414520596</v>
      </c>
      <c r="CK14" s="5">
        <f>CJ14+預測IC!CK14</f>
        <v>0.91076432065919888</v>
      </c>
      <c r="CL14" s="5">
        <f>CK14+預測IC!CL14</f>
        <v>0.77342075020572443</v>
      </c>
      <c r="CM14" s="5">
        <f>CL14+預測IC!CM14</f>
        <v>0.80546076057404159</v>
      </c>
      <c r="CN14" s="5">
        <f>CM14+預測IC!CN14</f>
        <v>0.82848744924496764</v>
      </c>
      <c r="CO14" s="5">
        <f>CN14+預測IC!CO14</f>
        <v>0.74972369052664356</v>
      </c>
      <c r="CP14" s="5">
        <f>CO14+預測IC!CP14</f>
        <v>0.6499143590448907</v>
      </c>
      <c r="CQ14" s="5">
        <f>CP14+預測IC!CQ14</f>
        <v>0.68214225893227842</v>
      </c>
      <c r="CR14" s="5">
        <f>CQ14+預測IC!CR14</f>
        <v>0.47442254634163039</v>
      </c>
      <c r="CS14" s="5">
        <f>CR14+預測IC!CS14</f>
        <v>0.47060744107847252</v>
      </c>
      <c r="CT14" s="5">
        <f>CS14+預測IC!CT14</f>
        <v>0.4609455547964173</v>
      </c>
      <c r="CU14" s="5">
        <f>CT14+預測IC!CU14</f>
        <v>0.56249055475313181</v>
      </c>
      <c r="CV14" s="5">
        <f>CU14+預測IC!CV14</f>
        <v>0.5230908705426055</v>
      </c>
      <c r="CW14" s="5">
        <f>CV14+預測IC!CW14</f>
        <v>0.56785475498586557</v>
      </c>
      <c r="CX14" s="5">
        <f>CW14+預測IC!CX14</f>
        <v>0.47721552763594188</v>
      </c>
      <c r="CY14" s="5">
        <f>CX14+預測IC!CY14</f>
        <v>0.38085439750865796</v>
      </c>
      <c r="CZ14" s="5">
        <f>CY14+預測IC!CZ14</f>
        <v>0.3705529978502346</v>
      </c>
      <c r="DA14" s="5">
        <f>CZ14+預測IC!DA14</f>
        <v>0.34624870867965013</v>
      </c>
      <c r="DB14" s="5">
        <f>DA14+預測IC!DB14</f>
        <v>0.36980978186784097</v>
      </c>
      <c r="DC14" s="5">
        <f>DB14+預測IC!DC14</f>
        <v>0.34617717266299347</v>
      </c>
      <c r="DD14" s="5">
        <f>DC14+預測IC!DD14</f>
        <v>0.42538252451117797</v>
      </c>
      <c r="DE14" s="5">
        <f>DD14+預測IC!DE14</f>
        <v>0.48790944851763696</v>
      </c>
      <c r="DF14" s="5">
        <f>DE14+預測IC!DF14</f>
        <v>0.4237290406465824</v>
      </c>
      <c r="DG14" s="5">
        <f>DF14+預測IC!DG14</f>
        <v>0.51105384640511542</v>
      </c>
      <c r="DH14" s="5">
        <f>DG14+預測IC!DH14</f>
        <v>0.45231126745774702</v>
      </c>
      <c r="DI14" s="5">
        <f>DH14+預測IC!DI14</f>
        <v>0.49297040209331866</v>
      </c>
      <c r="DJ14" s="5">
        <f>DI14+預測IC!DJ14</f>
        <v>0.48417637270599789</v>
      </c>
      <c r="DK14" s="5">
        <f>DJ14+預測IC!DK14</f>
        <v>0.40676308841586167</v>
      </c>
      <c r="DL14" s="5">
        <f>DK14+預測IC!DL14</f>
        <v>0.36600821658396265</v>
      </c>
      <c r="DM14" s="5">
        <f>DL14+預測IC!DM14</f>
        <v>0.39843013332574162</v>
      </c>
      <c r="DN14" s="5">
        <f>DM14+預測IC!DN14</f>
        <v>0.44336587393423726</v>
      </c>
      <c r="DO14" s="5">
        <f>DN14+預測IC!DO14</f>
        <v>0.51365442287876883</v>
      </c>
      <c r="DP14" s="5">
        <f>DO14+預測IC!DP14</f>
        <v>0.5571941392364208</v>
      </c>
      <c r="DQ14" s="5">
        <f>DP14+預測IC!DQ14</f>
        <v>0.48602157465528784</v>
      </c>
      <c r="DR14" s="5">
        <f>DQ14+預測IC!DR14</f>
        <v>0.49381620623423522</v>
      </c>
      <c r="DS14" s="5">
        <f>DR14+預測IC!DS14</f>
        <v>0.40437845184526805</v>
      </c>
      <c r="DT14" s="5">
        <f>DS14+預測IC!DT14</f>
        <v>0.41213274218435092</v>
      </c>
      <c r="DU14" s="5">
        <f>DT14+預測IC!DU14</f>
        <v>0.2932151556167778</v>
      </c>
      <c r="DV14" s="5">
        <f>DU14+預測IC!DV14</f>
        <v>0.24806193171229479</v>
      </c>
      <c r="DW14" s="5">
        <f>DV14+預測IC!DW14</f>
        <v>0.3464062987300725</v>
      </c>
      <c r="DX14" s="5">
        <f>DW14+預測IC!DX14</f>
        <v>0.31871660136967384</v>
      </c>
      <c r="DY14" s="5">
        <f>DX14+預測IC!DY14</f>
        <v>0.36637758797201503</v>
      </c>
      <c r="DZ14" s="5">
        <f>DY14+預測IC!DZ14</f>
        <v>0.38807517722813184</v>
      </c>
      <c r="EA14" s="5">
        <f>DZ14+預測IC!EA14</f>
        <v>0.49560070354392133</v>
      </c>
      <c r="EB14" s="5">
        <f>EA14+預測IC!EB14</f>
        <v>0.57378053424418451</v>
      </c>
      <c r="EC14" s="5">
        <f>EB14+預測IC!EC14</f>
        <v>0.53052051671487688</v>
      </c>
      <c r="ED14" s="5">
        <f>EC14+預測IC!ED14</f>
        <v>0.45212125256981339</v>
      </c>
      <c r="EE14" s="5">
        <f>ED14+預測IC!EE14</f>
        <v>0.40961551326845513</v>
      </c>
      <c r="EF14" s="5">
        <f>EE14+預測IC!EH14</f>
        <v>0.40961551326845513</v>
      </c>
    </row>
    <row r="15" spans="1:136">
      <c r="A15" s="1">
        <v>100</v>
      </c>
      <c r="B15" s="1">
        <v>10</v>
      </c>
      <c r="C15" s="5">
        <v>-3.6350225217569622E-2</v>
      </c>
      <c r="D15" s="5">
        <f>C15+預測IC!D15</f>
        <v>0.33635947478243045</v>
      </c>
      <c r="E15" s="5">
        <f>D15+預測IC!E15</f>
        <v>0.24101486931145999</v>
      </c>
      <c r="F15" s="5">
        <f>E15+預測IC!F15</f>
        <v>0.27593630586815737</v>
      </c>
      <c r="G15" s="5">
        <f>F15+預測IC!G15</f>
        <v>0.24153238490112086</v>
      </c>
      <c r="H15" s="5">
        <f>G15+預測IC!H15</f>
        <v>0.24028865884301576</v>
      </c>
      <c r="I15" s="5">
        <f>H15+預測IC!I15</f>
        <v>0.18185721456315021</v>
      </c>
      <c r="J15" s="5">
        <f>I15+預測IC!J15</f>
        <v>0.23181867981053986</v>
      </c>
      <c r="K15" s="5">
        <f>J15+預測IC!K15</f>
        <v>0.32633347740247076</v>
      </c>
      <c r="L15" s="5">
        <f>K15+預測IC!L15</f>
        <v>0.2451624168338245</v>
      </c>
      <c r="M15" s="5">
        <f>L15+預測IC!M15</f>
        <v>0.24302940039753682</v>
      </c>
      <c r="N15" s="5">
        <f>M15+預測IC!N15</f>
        <v>0.35282559482267051</v>
      </c>
      <c r="O15" s="5">
        <f>N15+預測IC!O15</f>
        <v>0.42658293906898515</v>
      </c>
      <c r="P15" s="5">
        <f>O15+預測IC!P15</f>
        <v>0.44847950891420918</v>
      </c>
      <c r="Q15" s="5">
        <f>P15+預測IC!Q15</f>
        <v>0.60401635102202167</v>
      </c>
      <c r="R15" s="5">
        <f>Q15+預測IC!R15</f>
        <v>0.65614604112713915</v>
      </c>
      <c r="S15" s="5">
        <f>R15+預測IC!S15</f>
        <v>0.74163393133307998</v>
      </c>
      <c r="T15" s="5">
        <f>S15+預測IC!T15</f>
        <v>0.80843405627619203</v>
      </c>
      <c r="U15" s="5">
        <f>T15+預測IC!U15</f>
        <v>0.94540211794346085</v>
      </c>
      <c r="V15" s="5">
        <f>U15+預測IC!V15</f>
        <v>1.0555291242742968</v>
      </c>
      <c r="W15" s="5">
        <f>V15+預測IC!W15</f>
        <v>1.1062005485192874</v>
      </c>
      <c r="X15" s="5">
        <f>W15+預測IC!X15</f>
        <v>1.1846370485192874</v>
      </c>
      <c r="Y15" s="5">
        <f>X15+預測IC!Y15</f>
        <v>1.2366658465764295</v>
      </c>
      <c r="Z15" s="5">
        <f>Y15+預測IC!Z15</f>
        <v>1.2833858186297882</v>
      </c>
      <c r="AA15" s="5">
        <f>Z15+預測IC!AA15</f>
        <v>1.2293046716017546</v>
      </c>
      <c r="AB15" s="5">
        <f>AA15+預測IC!AB15</f>
        <v>1.145604499085924</v>
      </c>
      <c r="AC15" s="5">
        <f>AB15+預測IC!AC15</f>
        <v>1.1499221679339791</v>
      </c>
      <c r="AD15" s="5">
        <f>AC15+預測IC!AD15</f>
        <v>1.0682087930457966</v>
      </c>
      <c r="AE15" s="5">
        <f>AD15+預測IC!AE15</f>
        <v>1.2800014360930687</v>
      </c>
      <c r="AF15" s="5">
        <f>AE15+預測IC!AF15</f>
        <v>1.1422751489154144</v>
      </c>
      <c r="AG15" s="5">
        <f>AF15+預測IC!AG15</f>
        <v>1.0979506047003385</v>
      </c>
      <c r="AH15" s="5">
        <f>AG15+預測IC!AH15</f>
        <v>1.2309179697100612</v>
      </c>
      <c r="AI15" s="5">
        <f>AH15+預測IC!AI15</f>
        <v>1.2060687125775302</v>
      </c>
      <c r="AJ15" s="5">
        <f>AI15+預測IC!AJ15</f>
        <v>1.172350790458357</v>
      </c>
      <c r="AK15" s="5">
        <f>AJ15+預測IC!AK15</f>
        <v>1.1029893392664405</v>
      </c>
      <c r="AL15" s="5">
        <f>AK15+預測IC!AL15</f>
        <v>1.147421001762255</v>
      </c>
      <c r="AM15" s="5">
        <f>AL15+預測IC!AM15</f>
        <v>1.2025436238968821</v>
      </c>
      <c r="AN15" s="5">
        <f>AM15+預測IC!AN15</f>
        <v>1.3042323298092655</v>
      </c>
      <c r="AO15" s="5">
        <f>AN15+預測IC!AO15</f>
        <v>1.2528478095692981</v>
      </c>
      <c r="AP15" s="5">
        <f>AO15+預測IC!AP15</f>
        <v>1.2402656095692981</v>
      </c>
      <c r="AQ15" s="5">
        <f>AP15+預測IC!AQ15</f>
        <v>1.2776327363654199</v>
      </c>
      <c r="AR15" s="5">
        <f>AQ15+預測IC!AR15</f>
        <v>1.2530824363654198</v>
      </c>
      <c r="AS15" s="5">
        <f>AR15+預測IC!AS15</f>
        <v>1.3069036154025337</v>
      </c>
      <c r="AT15" s="5">
        <f>AS15+預測IC!AT15</f>
        <v>1.3778934280062387</v>
      </c>
      <c r="AU15" s="5">
        <f>AT15+預測IC!AU15</f>
        <v>1.4550675052562005</v>
      </c>
      <c r="AV15" s="5">
        <f>AU15+預測IC!AV15</f>
        <v>1.4882925052562006</v>
      </c>
      <c r="AW15" s="5">
        <f>AV15+預測IC!AW15</f>
        <v>1.4726325660016197</v>
      </c>
      <c r="AX15" s="5">
        <f>AW15+預測IC!AX15</f>
        <v>1.3912720000468517</v>
      </c>
      <c r="AY15" s="5">
        <f>AX15+預測IC!AY15</f>
        <v>1.36226634074636</v>
      </c>
      <c r="AZ15" s="5">
        <f>AY15+預測IC!AZ15</f>
        <v>1.2944200116277096</v>
      </c>
      <c r="BA15" s="5">
        <f>AZ15+預測IC!BA15</f>
        <v>1.3050335264353625</v>
      </c>
      <c r="BB15" s="5">
        <f>BA15+預測IC!BB15</f>
        <v>1.4138220264353625</v>
      </c>
      <c r="BC15" s="5">
        <f>BB15+預測IC!BC15</f>
        <v>1.4759771701031927</v>
      </c>
      <c r="BD15" s="5">
        <f>BC15+預測IC!BD15</f>
        <v>1.5290204440079889</v>
      </c>
      <c r="BE15" s="5">
        <f>BD15+預測IC!BE15</f>
        <v>1.4805777229903256</v>
      </c>
      <c r="BF15" s="5">
        <f>BE15+預測IC!BF15</f>
        <v>1.6914498104803131</v>
      </c>
      <c r="BG15" s="5">
        <f>BF15+預測IC!BG15</f>
        <v>1.6939393492148782</v>
      </c>
      <c r="BH15" s="5">
        <f>BG15+預測IC!BH15</f>
        <v>1.7283811946965677</v>
      </c>
      <c r="BI15" s="5">
        <f>BH15+預測IC!BI15</f>
        <v>1.7495403091033073</v>
      </c>
      <c r="BJ15" s="5">
        <f>BI15+預測IC!BJ15</f>
        <v>1.8796505641394767</v>
      </c>
      <c r="BK15" s="5">
        <f>BJ15+預測IC!BK15</f>
        <v>1.9252554964398902</v>
      </c>
      <c r="BL15" s="5">
        <f>BK15+預測IC!BL15</f>
        <v>1.9850109174142112</v>
      </c>
      <c r="BM15" s="5">
        <f>BL15+預測IC!BM15</f>
        <v>2.0332299219019552</v>
      </c>
      <c r="BN15" s="5">
        <f>BM15+預測IC!BN15</f>
        <v>2.096950649312967</v>
      </c>
      <c r="BO15" s="5">
        <f>BN15+預測IC!BO15</f>
        <v>2.0692161733580359</v>
      </c>
      <c r="BP15" s="5">
        <f>BO15+預測IC!BP15</f>
        <v>2.0176003733580359</v>
      </c>
      <c r="BQ15" s="5">
        <f>BP15+預測IC!BQ15</f>
        <v>1.9741691198651401</v>
      </c>
      <c r="BR15" s="5">
        <f>BQ15+預測IC!BR15</f>
        <v>1.9240116907430804</v>
      </c>
      <c r="BS15" s="5">
        <f>BR15+預測IC!BS15</f>
        <v>1.9121457798344688</v>
      </c>
      <c r="BT15" s="5">
        <f>BS15+預測IC!BT15</f>
        <v>1.8522948437426181</v>
      </c>
      <c r="BU15" s="5">
        <f>BT15+預測IC!BU15</f>
        <v>1.8717712635384116</v>
      </c>
      <c r="BV15" s="5">
        <f>BU15+預測IC!BV15</f>
        <v>1.7855911635384116</v>
      </c>
      <c r="BW15" s="5">
        <f>BV15+預測IC!BW15</f>
        <v>2.0844701531143395</v>
      </c>
      <c r="BX15" s="5">
        <f>BW15+預測IC!BX15</f>
        <v>2.0306185841698756</v>
      </c>
      <c r="BY15" s="5">
        <f>BX15+預測IC!BY15</f>
        <v>1.9372796841698756</v>
      </c>
      <c r="BZ15" s="5">
        <f>BY15+預測IC!BZ15</f>
        <v>1.8343732151925283</v>
      </c>
      <c r="CA15" s="5">
        <f>BZ15+預測IC!CA15</f>
        <v>1.815781194396086</v>
      </c>
      <c r="CB15" s="5">
        <f>CA15+預測IC!CB15</f>
        <v>1.684689594396086</v>
      </c>
      <c r="CC15" s="5">
        <f>CB15+預測IC!CC15</f>
        <v>1.8583391943960861</v>
      </c>
      <c r="CD15" s="5">
        <f>CC15+預測IC!CD15</f>
        <v>1.8112247262674124</v>
      </c>
      <c r="CE15" s="5">
        <f>CD15+預測IC!CE15</f>
        <v>1.6947081571972917</v>
      </c>
      <c r="CF15" s="5">
        <f>CE15+預測IC!CF15</f>
        <v>1.7360575870652593</v>
      </c>
      <c r="CG15" s="5">
        <f>CF15+預測IC!CG15</f>
        <v>1.6501715655350955</v>
      </c>
      <c r="CH15" s="5">
        <f>CG15+預測IC!CH15</f>
        <v>1.7315141735184236</v>
      </c>
      <c r="CI15" s="5">
        <f>CH15+預測IC!CI15</f>
        <v>1.7290032347380913</v>
      </c>
      <c r="CJ15" s="5">
        <f>CI15+預測IC!CJ15</f>
        <v>1.8160475908108094</v>
      </c>
      <c r="CK15" s="5">
        <f>CJ15+預測IC!CK15</f>
        <v>1.9116883389835146</v>
      </c>
      <c r="CL15" s="5">
        <f>CK15+預測IC!CL15</f>
        <v>1.7500338659403381</v>
      </c>
      <c r="CM15" s="5">
        <f>CL15+預測IC!CM15</f>
        <v>1.8246649820687919</v>
      </c>
      <c r="CN15" s="5">
        <f>CM15+預測IC!CN15</f>
        <v>1.8672990978679522</v>
      </c>
      <c r="CO15" s="5">
        <f>CN15+預測IC!CO15</f>
        <v>1.7603198536683842</v>
      </c>
      <c r="CP15" s="5">
        <f>CO15+預測IC!CP15</f>
        <v>1.6327840182354345</v>
      </c>
      <c r="CQ15" s="5">
        <f>CP15+預測IC!CQ15</f>
        <v>1.6078206577789957</v>
      </c>
      <c r="CR15" s="5">
        <f>CQ15+預測IC!CR15</f>
        <v>1.4263317255432606</v>
      </c>
      <c r="CS15" s="5">
        <f>CR15+預測IC!CS15</f>
        <v>1.4432441255432606</v>
      </c>
      <c r="CT15" s="5">
        <f>CS15+預測IC!CT15</f>
        <v>1.4481857959088726</v>
      </c>
      <c r="CU15" s="5">
        <f>CT15+預測IC!CU15</f>
        <v>1.5722357273227408</v>
      </c>
      <c r="CV15" s="5">
        <f>CU15+預測IC!CV15</f>
        <v>1.5117917273227408</v>
      </c>
      <c r="CW15" s="5">
        <f>CV15+預測IC!CW15</f>
        <v>1.5378638182258675</v>
      </c>
      <c r="CX15" s="5">
        <f>CW15+預測IC!CX15</f>
        <v>1.3854760393342995</v>
      </c>
      <c r="CY15" s="5">
        <f>CX15+預測IC!CY15</f>
        <v>1.2925281349989415</v>
      </c>
      <c r="CZ15" s="5">
        <f>CY15+預測IC!CZ15</f>
        <v>1.2687647998584595</v>
      </c>
      <c r="DA15" s="5">
        <f>CZ15+預測IC!DA15</f>
        <v>1.2423889644165829</v>
      </c>
      <c r="DB15" s="5">
        <f>DA15+預測IC!DB15</f>
        <v>1.2726155826307066</v>
      </c>
      <c r="DC15" s="5">
        <f>DB15+預測IC!DC15</f>
        <v>1.2375404326561246</v>
      </c>
      <c r="DD15" s="5">
        <f>DC15+預測IC!DD15</f>
        <v>1.2520471587875708</v>
      </c>
      <c r="DE15" s="5">
        <f>DD15+預測IC!DE15</f>
        <v>1.3092107935188233</v>
      </c>
      <c r="DF15" s="5">
        <f>DE15+預測IC!DF15</f>
        <v>1.3152653197914275</v>
      </c>
      <c r="DG15" s="5">
        <f>DF15+預測IC!DG15</f>
        <v>1.4283568826317872</v>
      </c>
      <c r="DH15" s="5">
        <f>DG15+預測IC!DH15</f>
        <v>1.2987333826317871</v>
      </c>
      <c r="DI15" s="5">
        <f>DH15+預測IC!DI15</f>
        <v>1.3528417012889173</v>
      </c>
      <c r="DJ15" s="5">
        <f>DI15+預測IC!DJ15</f>
        <v>1.2928179245978602</v>
      </c>
      <c r="DK15" s="5">
        <f>DJ15+預測IC!DK15</f>
        <v>1.2206293267920627</v>
      </c>
      <c r="DL15" s="5">
        <f>DK15+預測IC!DL15</f>
        <v>1.2209333199948906</v>
      </c>
      <c r="DM15" s="5">
        <f>DL15+預測IC!DM15</f>
        <v>1.2599854366885563</v>
      </c>
      <c r="DN15" s="5">
        <f>DM15+預測IC!DN15</f>
        <v>1.3417161489396854</v>
      </c>
      <c r="DO15" s="5">
        <f>DN15+預測IC!DO15</f>
        <v>1.3758205646887824</v>
      </c>
      <c r="DP15" s="5">
        <f>DO15+預測IC!DP15</f>
        <v>1.3995561666956751</v>
      </c>
      <c r="DQ15" s="5">
        <f>DP15+預測IC!DQ15</f>
        <v>1.3625174777434776</v>
      </c>
      <c r="DR15" s="5">
        <f>DQ15+預測IC!DR15</f>
        <v>1.3404820777434776</v>
      </c>
      <c r="DS15" s="5">
        <f>DR15+預測IC!DS15</f>
        <v>1.330910535284713</v>
      </c>
      <c r="DT15" s="5">
        <f>DS15+預測IC!DT15</f>
        <v>1.3836293252737826</v>
      </c>
      <c r="DU15" s="5">
        <f>DT15+預測IC!DU15</f>
        <v>1.1949886803713947</v>
      </c>
      <c r="DV15" s="5">
        <f>DU15+預測IC!DV15</f>
        <v>1.148260951018155</v>
      </c>
      <c r="DW15" s="5">
        <f>DV15+預測IC!DW15</f>
        <v>1.1737995781649875</v>
      </c>
      <c r="DX15" s="5">
        <f>DW15+預測IC!DX15</f>
        <v>1.1522539078445075</v>
      </c>
      <c r="DY15" s="5">
        <f>DX15+預測IC!DY15</f>
        <v>1.0685802731519687</v>
      </c>
      <c r="DZ15" s="5">
        <f>DY15+預測IC!DZ15</f>
        <v>1.1051767709157727</v>
      </c>
      <c r="EA15" s="5">
        <f>DZ15+預測IC!EA15</f>
        <v>1.2143544709157728</v>
      </c>
      <c r="EB15" s="5">
        <f>EA15+預測IC!EB15</f>
        <v>1.3024419204430275</v>
      </c>
      <c r="EC15" s="5">
        <f>EB15+預測IC!EC15</f>
        <v>1.2262848436464078</v>
      </c>
      <c r="ED15" s="5">
        <f>EC15+預測IC!ED15</f>
        <v>1.1156248091581875</v>
      </c>
      <c r="EE15" s="5">
        <f>ED15+預測IC!EE15</f>
        <v>1.066280629218028</v>
      </c>
      <c r="EF15" s="5">
        <f>EE15+預測IC!EH15</f>
        <v>1.066280629218028</v>
      </c>
    </row>
    <row r="16" spans="1:136">
      <c r="A16" s="1">
        <v>107</v>
      </c>
      <c r="B16" s="1">
        <v>9</v>
      </c>
      <c r="C16" s="5">
        <v>-3.9435389831589431E-2</v>
      </c>
      <c r="D16" s="5">
        <f>C16+預測IC!D16</f>
        <v>0.36876005461285494</v>
      </c>
      <c r="E16" s="5">
        <f>D16+預測IC!E16</f>
        <v>0.28205588318430164</v>
      </c>
      <c r="F16" s="5">
        <f>E16+預測IC!F16</f>
        <v>0.36077135508863262</v>
      </c>
      <c r="G16" s="5">
        <f>F16+預測IC!G16</f>
        <v>0.35262480442968336</v>
      </c>
      <c r="H16" s="5">
        <f>G16+預測IC!H16</f>
        <v>0.35197545497286031</v>
      </c>
      <c r="I16" s="5">
        <f>H16+預測IC!I16</f>
        <v>0.29444483630723889</v>
      </c>
      <c r="J16" s="5">
        <f>I16+預測IC!J16</f>
        <v>0.34115476234990505</v>
      </c>
      <c r="K16" s="5">
        <f>J16+預測IC!K16</f>
        <v>0.42757565393229563</v>
      </c>
      <c r="L16" s="5">
        <f>K16+預測IC!L16</f>
        <v>0.34241404981808421</v>
      </c>
      <c r="M16" s="5">
        <f>L16+預測IC!M16</f>
        <v>0.32842661395616712</v>
      </c>
      <c r="N16" s="5">
        <f>M16+預測IC!N16</f>
        <v>0.44866911223536382</v>
      </c>
      <c r="O16" s="5">
        <f>N16+預測IC!O16</f>
        <v>0.52849597280648086</v>
      </c>
      <c r="P16" s="5">
        <f>O16+預測IC!P16</f>
        <v>0.53668415232081279</v>
      </c>
      <c r="Q16" s="5">
        <f>P16+預測IC!Q16</f>
        <v>0.69458722274515083</v>
      </c>
      <c r="R16" s="5">
        <f>Q16+預測IC!R16</f>
        <v>0.74357820102807737</v>
      </c>
      <c r="S16" s="5">
        <f>R16+預測IC!S16</f>
        <v>0.85343724536288401</v>
      </c>
      <c r="T16" s="5">
        <f>S16+預測IC!T16</f>
        <v>0.92065630552048527</v>
      </c>
      <c r="U16" s="5">
        <f>T16+預測IC!U16</f>
        <v>1.0507187769502297</v>
      </c>
      <c r="V16" s="5">
        <f>U16+預測IC!V16</f>
        <v>1.1262902630591367</v>
      </c>
      <c r="W16" s="5">
        <f>V16+預測IC!W16</f>
        <v>1.227921620190312</v>
      </c>
      <c r="X16" s="5">
        <f>W16+預測IC!X16</f>
        <v>1.3015999535236453</v>
      </c>
      <c r="Y16" s="5">
        <f>X16+預測IC!Y16</f>
        <v>1.3518787879847078</v>
      </c>
      <c r="Z16" s="5">
        <f>Y16+預測IC!Z16</f>
        <v>1.3949367188689195</v>
      </c>
      <c r="AA16" s="5">
        <f>Z16+預測IC!AA16</f>
        <v>1.3514490830329273</v>
      </c>
      <c r="AB16" s="5">
        <f>AA16+預測IC!AB16</f>
        <v>1.2764640413949468</v>
      </c>
      <c r="AC16" s="5">
        <f>AB16+預測IC!AC16</f>
        <v>1.2636985933595302</v>
      </c>
      <c r="AD16" s="5">
        <f>AC16+預測IC!AD16</f>
        <v>1.2105625378116733</v>
      </c>
      <c r="AE16" s="5">
        <f>AD16+預測IC!AE16</f>
        <v>1.4201907789885839</v>
      </c>
      <c r="AF16" s="5">
        <f>AE16+預測IC!AF16</f>
        <v>1.2722751687241574</v>
      </c>
      <c r="AG16" s="5">
        <f>AF16+預測IC!AG16</f>
        <v>1.2284990089883849</v>
      </c>
      <c r="AH16" s="5">
        <f>AG16+預測IC!AH16</f>
        <v>1.3769006341555374</v>
      </c>
      <c r="AI16" s="5">
        <f>AH16+預測IC!AI16</f>
        <v>1.3435173784838901</v>
      </c>
      <c r="AJ16" s="5">
        <f>AI16+預測IC!AJ16</f>
        <v>1.2953968999475598</v>
      </c>
      <c r="AK16" s="5">
        <f>AJ16+預測IC!AK16</f>
        <v>1.2579634469660719</v>
      </c>
      <c r="AL16" s="5">
        <f>AK16+預測IC!AL16</f>
        <v>1.3066523800705951</v>
      </c>
      <c r="AM16" s="5">
        <f>AL16+預測IC!AM16</f>
        <v>1.3727291106723931</v>
      </c>
      <c r="AN16" s="5">
        <f>AM16+預測IC!AN16</f>
        <v>1.4791853107620687</v>
      </c>
      <c r="AO16" s="5">
        <f>AN16+預測IC!AO16</f>
        <v>1.4380951574003276</v>
      </c>
      <c r="AP16" s="5">
        <f>AO16+預測IC!AP16</f>
        <v>1.4328547129558831</v>
      </c>
      <c r="AQ16" s="5">
        <f>AP16+預測IC!AQ16</f>
        <v>1.4713209131019518</v>
      </c>
      <c r="AR16" s="5">
        <f>AQ16+預測IC!AR16</f>
        <v>1.4388286908797296</v>
      </c>
      <c r="AS16" s="5">
        <f>AR16+預測IC!AS16</f>
        <v>1.503896916353699</v>
      </c>
      <c r="AT16" s="5">
        <f>AS16+預測IC!AT16</f>
        <v>1.6264609597039839</v>
      </c>
      <c r="AU16" s="5">
        <f>AT16+預測IC!AU16</f>
        <v>1.7085512315469857</v>
      </c>
      <c r="AV16" s="5">
        <f>AU16+預測IC!AV16</f>
        <v>1.7321597871025414</v>
      </c>
      <c r="AW16" s="5">
        <f>AV16+預測IC!AW16</f>
        <v>1.6929068570278907</v>
      </c>
      <c r="AX16" s="5">
        <f>AW16+預測IC!AX16</f>
        <v>1.5922855279264878</v>
      </c>
      <c r="AY16" s="5">
        <f>AX16+預測IC!AY16</f>
        <v>1.5726836743273487</v>
      </c>
      <c r="AZ16" s="5">
        <f>AY16+預測IC!AZ16</f>
        <v>1.4845334928067759</v>
      </c>
      <c r="BA16" s="5">
        <f>AZ16+預測IC!BA16</f>
        <v>1.4994565978643619</v>
      </c>
      <c r="BB16" s="5">
        <f>BA16+預測IC!BB16</f>
        <v>1.6319305978643619</v>
      </c>
      <c r="BC16" s="5">
        <f>BB16+預測IC!BC16</f>
        <v>1.6990520639720537</v>
      </c>
      <c r="BD16" s="5">
        <f>BC16+預測IC!BD16</f>
        <v>1.7349887755179576</v>
      </c>
      <c r="BE16" s="5">
        <f>BD16+預測IC!BE16</f>
        <v>1.6835777811234827</v>
      </c>
      <c r="BF16" s="5">
        <f>BE16+預測IC!BF16</f>
        <v>1.9313646402239428</v>
      </c>
      <c r="BG16" s="5">
        <f>BF16+預測IC!BG16</f>
        <v>1.9448379222718994</v>
      </c>
      <c r="BH16" s="5">
        <f>BG16+預測IC!BH16</f>
        <v>1.9310623077879376</v>
      </c>
      <c r="BI16" s="5">
        <f>BH16+預測IC!BI16</f>
        <v>1.9800522482208487</v>
      </c>
      <c r="BJ16" s="5">
        <f>BI16+預測IC!BJ16</f>
        <v>2.0766190517463867</v>
      </c>
      <c r="BK16" s="5">
        <f>BJ16+預測IC!BK16</f>
        <v>2.1279906762723981</v>
      </c>
      <c r="BL16" s="5">
        <f>BK16+預測IC!BL16</f>
        <v>2.1891642757568683</v>
      </c>
      <c r="BM16" s="5">
        <f>BL16+預測IC!BM16</f>
        <v>2.2286622612479743</v>
      </c>
      <c r="BN16" s="5">
        <f>BM16+預測IC!BN16</f>
        <v>2.2899670111578589</v>
      </c>
      <c r="BO16" s="5">
        <f>BN16+預測IC!BO16</f>
        <v>2.2680766512042014</v>
      </c>
      <c r="BP16" s="5">
        <f>BO16+預測IC!BP16</f>
        <v>2.2103277623153126</v>
      </c>
      <c r="BQ16" s="5">
        <f>BP16+預測IC!BQ16</f>
        <v>2.1866370436480653</v>
      </c>
      <c r="BR16" s="5">
        <f>BQ16+預測IC!BR16</f>
        <v>2.1603401956266208</v>
      </c>
      <c r="BS16" s="5">
        <f>BR16+預測IC!BS16</f>
        <v>2.1283332084337379</v>
      </c>
      <c r="BT16" s="5">
        <f>BS16+預測IC!BT16</f>
        <v>2.0816723259402194</v>
      </c>
      <c r="BU16" s="5">
        <f>BT16+預測IC!BU16</f>
        <v>2.1394374361250197</v>
      </c>
      <c r="BV16" s="5">
        <f>BU16+預測IC!BV16</f>
        <v>2.0449269916805752</v>
      </c>
      <c r="BW16" s="5">
        <f>BV16+預測IC!BW16</f>
        <v>2.3628978262189424</v>
      </c>
      <c r="BX16" s="5">
        <f>BW16+預測IC!BX16</f>
        <v>2.2963383071008594</v>
      </c>
      <c r="BY16" s="5">
        <f>BX16+預測IC!BY16</f>
        <v>2.1773428626564151</v>
      </c>
      <c r="BZ16" s="5">
        <f>BY16+預測IC!BZ16</f>
        <v>2.0658170141547658</v>
      </c>
      <c r="CA16" s="5">
        <f>BZ16+預測IC!CA16</f>
        <v>2.0361026243992026</v>
      </c>
      <c r="CB16" s="5">
        <f>CA16+預測IC!CB16</f>
        <v>1.8967936243992027</v>
      </c>
      <c r="CC16" s="5">
        <f>CB16+預測IC!CC16</f>
        <v>1.9411799577325362</v>
      </c>
      <c r="CD16" s="5">
        <f>CC16+預測IC!CD16</f>
        <v>1.8801914318588062</v>
      </c>
      <c r="CE16" s="5">
        <f>CD16+預測IC!CE16</f>
        <v>1.7475963710652949</v>
      </c>
      <c r="CF16" s="5">
        <f>CE16+預測IC!CF16</f>
        <v>1.8003964554005758</v>
      </c>
      <c r="CG16" s="5">
        <f>CF16+預測IC!CG16</f>
        <v>1.7386685772539092</v>
      </c>
      <c r="CH16" s="5">
        <f>CG16+預測IC!CH16</f>
        <v>1.7891173019579054</v>
      </c>
      <c r="CI16" s="5">
        <f>CH16+預測IC!CI16</f>
        <v>1.7848766338457547</v>
      </c>
      <c r="CJ16" s="5">
        <f>CI16+預測IC!CJ16</f>
        <v>1.8304001846334212</v>
      </c>
      <c r="CK16" s="5">
        <f>CJ16+預測IC!CK16</f>
        <v>1.9188228744150289</v>
      </c>
      <c r="CL16" s="5">
        <f>CK16+預測IC!CL16</f>
        <v>1.7220824362558151</v>
      </c>
      <c r="CM16" s="5">
        <f>CL16+預測IC!CM16</f>
        <v>1.8110710644053267</v>
      </c>
      <c r="CN16" s="5">
        <f>CM16+預測IC!CN16</f>
        <v>1.8441285795462767</v>
      </c>
      <c r="CO16" s="5">
        <f>CN16+預測IC!CO16</f>
        <v>1.7094883707523714</v>
      </c>
      <c r="CP16" s="5">
        <f>CO16+預測IC!CP16</f>
        <v>1.57285668127028</v>
      </c>
      <c r="CQ16" s="5">
        <f>CP16+預測IC!CQ16</f>
        <v>1.5525229014499191</v>
      </c>
      <c r="CR16" s="5">
        <f>CQ16+預測IC!CR16</f>
        <v>1.3632363679825208</v>
      </c>
      <c r="CS16" s="5">
        <f>CR16+預測IC!CS16</f>
        <v>1.385044590204743</v>
      </c>
      <c r="CT16" s="5">
        <f>CS16+預測IC!CT16</f>
        <v>1.4106019681655777</v>
      </c>
      <c r="CU16" s="5">
        <f>CT16+預測IC!CU16</f>
        <v>1.5460736690297838</v>
      </c>
      <c r="CV16" s="5">
        <f>CU16+預測IC!CV16</f>
        <v>1.4866202245853395</v>
      </c>
      <c r="CW16" s="5">
        <f>CV16+預測IC!CW16</f>
        <v>1.5339618837596194</v>
      </c>
      <c r="CX16" s="5">
        <f>CW16+預測IC!CX16</f>
        <v>1.3716959084570033</v>
      </c>
      <c r="CY16" s="5">
        <f>CX16+預測IC!CY16</f>
        <v>1.2904152705827889</v>
      </c>
      <c r="CZ16" s="5">
        <f>CY16+預測IC!CZ16</f>
        <v>1.2576904483406448</v>
      </c>
      <c r="DA16" s="5">
        <f>CZ16+預測IC!DA16</f>
        <v>1.2278856543734094</v>
      </c>
      <c r="DB16" s="5">
        <f>DA16+預測IC!DB16</f>
        <v>1.2705978241536353</v>
      </c>
      <c r="DC16" s="5">
        <f>DB16+預測IC!DC16</f>
        <v>1.227655461833135</v>
      </c>
      <c r="DD16" s="5">
        <f>DC16+預測IC!DD16</f>
        <v>1.259399172320415</v>
      </c>
      <c r="DE16" s="5">
        <f>DD16+預測IC!DE16</f>
        <v>1.293951572679205</v>
      </c>
      <c r="DF16" s="5">
        <f>DE16+預測IC!DF16</f>
        <v>1.296649586231531</v>
      </c>
      <c r="DG16" s="5">
        <f>DF16+預測IC!DG16</f>
        <v>1.4230215060820037</v>
      </c>
      <c r="DH16" s="5">
        <f>DG16+預測IC!DH16</f>
        <v>1.2858720616375592</v>
      </c>
      <c r="DI16" s="5">
        <f>DH16+預測IC!DI16</f>
        <v>1.3312715595388205</v>
      </c>
      <c r="DJ16" s="5">
        <f>DI16+預測IC!DJ16</f>
        <v>1.2603165071019349</v>
      </c>
      <c r="DK16" s="5">
        <f>DJ16+預測IC!DK16</f>
        <v>1.2026307377546754</v>
      </c>
      <c r="DL16" s="5">
        <f>DK16+預測IC!DL16</f>
        <v>1.2245036120044497</v>
      </c>
      <c r="DM16" s="5">
        <f>DL16+預測IC!DM16</f>
        <v>1.2434139861729929</v>
      </c>
      <c r="DN16" s="5">
        <f>DM16+預測IC!DN16</f>
        <v>1.3593007179179846</v>
      </c>
      <c r="DO16" s="5">
        <f>DN16+預測IC!DO16</f>
        <v>1.4058645843977626</v>
      </c>
      <c r="DP16" s="5">
        <f>DO16+預測IC!DP16</f>
        <v>1.4257065329769887</v>
      </c>
      <c r="DQ16" s="5">
        <f>DP16+預測IC!DQ16</f>
        <v>1.378636376972457</v>
      </c>
      <c r="DR16" s="5">
        <f>DQ16+預測IC!DR16</f>
        <v>1.3674580436391237</v>
      </c>
      <c r="DS16" s="5">
        <f>DR16+預測IC!DS16</f>
        <v>1.3778810680156386</v>
      </c>
      <c r="DT16" s="5">
        <f>DS16+預測IC!DT16</f>
        <v>1.4369940430938246</v>
      </c>
      <c r="DU16" s="5">
        <f>DT16+預測IC!DU16</f>
        <v>1.2468858006479062</v>
      </c>
      <c r="DV16" s="5">
        <f>DU16+預測IC!DV16</f>
        <v>1.2011574834754193</v>
      </c>
      <c r="DW16" s="5">
        <f>DV16+預測IC!DW16</f>
        <v>1.24207521317511</v>
      </c>
      <c r="DX16" s="5">
        <f>DW16+預測IC!DX16</f>
        <v>1.2201274853990691</v>
      </c>
      <c r="DY16" s="5">
        <f>DX16+預測IC!DY16</f>
        <v>1.1251426211778321</v>
      </c>
      <c r="DZ16" s="5">
        <f>DY16+預測IC!DZ16</f>
        <v>1.1377917927636214</v>
      </c>
      <c r="EA16" s="5">
        <f>DZ16+預測IC!EA16</f>
        <v>1.2775916816525104</v>
      </c>
      <c r="EB16" s="5">
        <f>EA16+預測IC!EB16</f>
        <v>1.378270782329712</v>
      </c>
      <c r="EC16" s="5">
        <f>EB16+預測IC!EC16</f>
        <v>1.309769301761873</v>
      </c>
      <c r="ED16" s="5">
        <f>EC16+預測IC!ED16</f>
        <v>1.1950700741209561</v>
      </c>
      <c r="EE16" s="5">
        <f>ED16+預測IC!EE16</f>
        <v>1.1358290774657702</v>
      </c>
      <c r="EF16" s="5">
        <f>EE16+預測IC!EH16</f>
        <v>1.1358290774657702</v>
      </c>
    </row>
    <row r="17" spans="1:136">
      <c r="A17" s="1">
        <v>120</v>
      </c>
      <c r="B17" s="1">
        <v>8</v>
      </c>
      <c r="C17" s="5">
        <v>-3.8913468982799751E-2</v>
      </c>
      <c r="D17" s="5">
        <f>C17+預測IC!D17</f>
        <v>0.40067490601720024</v>
      </c>
      <c r="E17" s="5">
        <f>D17+預測IC!E17</f>
        <v>0.30400379682458945</v>
      </c>
      <c r="F17" s="5">
        <f>E17+預測IC!F17</f>
        <v>0.38475596097690856</v>
      </c>
      <c r="G17" s="5">
        <f>F17+預測IC!G17</f>
        <v>0.27936888631317786</v>
      </c>
      <c r="H17" s="5">
        <f>G17+預測IC!H17</f>
        <v>0.28731174316117952</v>
      </c>
      <c r="I17" s="5">
        <f>H17+預測IC!I17</f>
        <v>0.17358671535899201</v>
      </c>
      <c r="J17" s="5">
        <f>I17+預測IC!J17</f>
        <v>0.2154451104772212</v>
      </c>
      <c r="K17" s="5">
        <f>J17+預測IC!K17</f>
        <v>0.31700519019953111</v>
      </c>
      <c r="L17" s="5">
        <f>K17+預測IC!L17</f>
        <v>0.27477039905418899</v>
      </c>
      <c r="M17" s="5">
        <f>L17+預測IC!M17</f>
        <v>0.28942954114447739</v>
      </c>
      <c r="N17" s="5">
        <f>M17+預測IC!N17</f>
        <v>0.39870736797428319</v>
      </c>
      <c r="O17" s="5">
        <f>N17+預測IC!O17</f>
        <v>0.49993413724661889</v>
      </c>
      <c r="P17" s="5">
        <f>O17+預測IC!P17</f>
        <v>0.51331708398998721</v>
      </c>
      <c r="Q17" s="5">
        <f>P17+預測IC!Q17</f>
        <v>0.67511837860511414</v>
      </c>
      <c r="R17" s="5">
        <f>Q17+預測IC!R17</f>
        <v>0.7271759875096413</v>
      </c>
      <c r="S17" s="5">
        <f>R17+預測IC!S17</f>
        <v>0.84623037683497204</v>
      </c>
      <c r="T17" s="5">
        <f>S17+預測IC!T17</f>
        <v>0.9174323913677791</v>
      </c>
      <c r="U17" s="5">
        <f>T17+預測IC!U17</f>
        <v>1.058703533906336</v>
      </c>
      <c r="V17" s="5">
        <f>U17+預測IC!V17</f>
        <v>1.1559631897589391</v>
      </c>
      <c r="W17" s="5">
        <f>V17+預測IC!W17</f>
        <v>1.2846304441166077</v>
      </c>
      <c r="X17" s="5">
        <f>W17+預測IC!X17</f>
        <v>1.3848168191166077</v>
      </c>
      <c r="Y17" s="5">
        <f>X17+預測IC!Y17</f>
        <v>1.4584399506070154</v>
      </c>
      <c r="Z17" s="5">
        <f>Y17+預測IC!Z17</f>
        <v>1.5123084398978812</v>
      </c>
      <c r="AA17" s="5">
        <f>Z17+預測IC!AA17</f>
        <v>1.4770986503156822</v>
      </c>
      <c r="AB17" s="5">
        <f>AA17+預測IC!AB17</f>
        <v>1.3922465874375098</v>
      </c>
      <c r="AC17" s="5">
        <f>AB17+預測IC!AC17</f>
        <v>1.3721603326994882</v>
      </c>
      <c r="AD17" s="5">
        <f>AC17+預測IC!AD17</f>
        <v>1.3223829572387342</v>
      </c>
      <c r="AE17" s="5">
        <f>AD17+預測IC!AE17</f>
        <v>1.5445056616671851</v>
      </c>
      <c r="AF17" s="5">
        <f>AE17+預測IC!AF17</f>
        <v>1.4242193370113385</v>
      </c>
      <c r="AG17" s="5">
        <f>AF17+預測IC!AG17</f>
        <v>1.3615791954401999</v>
      </c>
      <c r="AH17" s="5">
        <f>AG17+預測IC!AH17</f>
        <v>1.5086040846960045</v>
      </c>
      <c r="AI17" s="5">
        <f>AH17+預測IC!AI17</f>
        <v>1.4515661090405179</v>
      </c>
      <c r="AJ17" s="5">
        <f>AI17+預測IC!AJ17</f>
        <v>1.3899534904317756</v>
      </c>
      <c r="AK17" s="5">
        <f>AJ17+預測IC!AK17</f>
        <v>1.3605776008222004</v>
      </c>
      <c r="AL17" s="5">
        <f>AK17+預測IC!AL17</f>
        <v>1.4113020065707569</v>
      </c>
      <c r="AM17" s="5">
        <f>AL17+預測IC!AM17</f>
        <v>1.4866713741584139</v>
      </c>
      <c r="AN17" s="5">
        <f>AM17+預測IC!AN17</f>
        <v>1.5999584945043317</v>
      </c>
      <c r="AO17" s="5">
        <f>AN17+預測IC!AO17</f>
        <v>1.5232639668817087</v>
      </c>
      <c r="AP17" s="5">
        <f>AO17+預測IC!AP17</f>
        <v>1.5195047168817086</v>
      </c>
      <c r="AQ17" s="5">
        <f>AP17+預測IC!AQ17</f>
        <v>1.5800318542832077</v>
      </c>
      <c r="AR17" s="5">
        <f>AQ17+預測IC!AR17</f>
        <v>1.5450352292832077</v>
      </c>
      <c r="AS17" s="5">
        <f>AR17+預測IC!AS17</f>
        <v>1.6013587913176834</v>
      </c>
      <c r="AT17" s="5">
        <f>AS17+預測IC!AT17</f>
        <v>1.728430584424935</v>
      </c>
      <c r="AU17" s="5">
        <f>AT17+預測IC!AU17</f>
        <v>1.84413019395904</v>
      </c>
      <c r="AV17" s="5">
        <f>AU17+預測IC!AV17</f>
        <v>1.8716935689590399</v>
      </c>
      <c r="AW17" s="5">
        <f>AV17+預測IC!AW17</f>
        <v>1.8632716809172032</v>
      </c>
      <c r="AX17" s="5">
        <f>AW17+預測IC!AX17</f>
        <v>1.7656525757995953</v>
      </c>
      <c r="AY17" s="5">
        <f>AX17+預測IC!AY17</f>
        <v>1.750174530094349</v>
      </c>
      <c r="AZ17" s="5">
        <f>AY17+預測IC!AZ17</f>
        <v>1.6796802991779143</v>
      </c>
      <c r="BA17" s="5">
        <f>AZ17+預測IC!BA17</f>
        <v>1.6895054782850272</v>
      </c>
      <c r="BB17" s="5">
        <f>BA17+預測IC!BB17</f>
        <v>1.8427762282850271</v>
      </c>
      <c r="BC17" s="5">
        <f>BB17+預測IC!BC17</f>
        <v>1.9266394234628408</v>
      </c>
      <c r="BD17" s="5">
        <f>BC17+預測IC!BD17</f>
        <v>1.9489959057090456</v>
      </c>
      <c r="BE17" s="5">
        <f>BD17+預測IC!BE17</f>
        <v>1.8716456634709853</v>
      </c>
      <c r="BF17" s="5">
        <f>BE17+預測IC!BF17</f>
        <v>2.0194224937511436</v>
      </c>
      <c r="BG17" s="5">
        <f>BF17+預測IC!BG17</f>
        <v>1.9840282576631063</v>
      </c>
      <c r="BH17" s="5">
        <f>BG17+預測IC!BH17</f>
        <v>1.9975477185148593</v>
      </c>
      <c r="BI17" s="5">
        <f>BH17+預測IC!BI17</f>
        <v>2.0782861180732111</v>
      </c>
      <c r="BJ17" s="5">
        <f>BI17+預測IC!BJ17</f>
        <v>2.1761543624416348</v>
      </c>
      <c r="BK17" s="5">
        <f>BJ17+預測IC!BK17</f>
        <v>2.1929056891920156</v>
      </c>
      <c r="BL17" s="5">
        <f>BK17+預測IC!BL17</f>
        <v>2.2270581365163098</v>
      </c>
      <c r="BM17" s="5">
        <f>BL17+預測IC!BM17</f>
        <v>2.2561171476686641</v>
      </c>
      <c r="BN17" s="5">
        <f>BM17+預測IC!BN17</f>
        <v>2.3095873286158164</v>
      </c>
      <c r="BO17" s="5">
        <f>BN17+預測IC!BO17</f>
        <v>2.2744077131990927</v>
      </c>
      <c r="BP17" s="5">
        <f>BO17+預測IC!BP17</f>
        <v>2.2137708381990926</v>
      </c>
      <c r="BQ17" s="5">
        <f>BP17+預測IC!BQ17</f>
        <v>2.1881691226836444</v>
      </c>
      <c r="BR17" s="5">
        <f>BQ17+預測IC!BR17</f>
        <v>2.1785227475588944</v>
      </c>
      <c r="BS17" s="5">
        <f>BR17+預測IC!BS17</f>
        <v>2.1576167293451989</v>
      </c>
      <c r="BT17" s="5">
        <f>BS17+預測IC!BT17</f>
        <v>2.1049665690832211</v>
      </c>
      <c r="BU17" s="5">
        <f>BT17+預測IC!BU17</f>
        <v>2.1760943878339734</v>
      </c>
      <c r="BV17" s="5">
        <f>BU17+預測IC!BV17</f>
        <v>2.0694505128339733</v>
      </c>
      <c r="BW17" s="5">
        <f>BV17+預測IC!BW17</f>
        <v>2.2777873383513616</v>
      </c>
      <c r="BX17" s="5">
        <f>BW17+預測IC!BX17</f>
        <v>2.1951463488137133</v>
      </c>
      <c r="BY17" s="5">
        <f>BX17+預測IC!BY17</f>
        <v>2.0992839738137135</v>
      </c>
      <c r="BZ17" s="5">
        <f>BY17+預測IC!BZ17</f>
        <v>1.9787058179326282</v>
      </c>
      <c r="CA17" s="5">
        <f>BZ17+預測IC!CA17</f>
        <v>1.9507709855741386</v>
      </c>
      <c r="CB17" s="5">
        <f>CA17+預測IC!CB17</f>
        <v>1.8011376105741386</v>
      </c>
      <c r="CC17" s="5">
        <f>CB17+預測IC!CC17</f>
        <v>1.8428961105741386</v>
      </c>
      <c r="CD17" s="5">
        <f>CC17+預測IC!CD17</f>
        <v>1.7665109952946645</v>
      </c>
      <c r="CE17" s="5">
        <f>CD17+預測IC!CE17</f>
        <v>1.591394749788613</v>
      </c>
      <c r="CF17" s="5">
        <f>CE17+預測IC!CF17</f>
        <v>1.6496335463833094</v>
      </c>
      <c r="CG17" s="5">
        <f>CF17+預測IC!CG17</f>
        <v>1.5749185577545783</v>
      </c>
      <c r="CH17" s="5">
        <f>CG17+預測IC!CH17</f>
        <v>1.6078876299250313</v>
      </c>
      <c r="CI17" s="5">
        <f>CH17+預測IC!CI17</f>
        <v>1.6041858465501468</v>
      </c>
      <c r="CJ17" s="5">
        <f>CI17+預測IC!CJ17</f>
        <v>1.6549281680345889</v>
      </c>
      <c r="CK17" s="5">
        <f>CJ17+預測IC!CK17</f>
        <v>1.7388840162942196</v>
      </c>
      <c r="CL17" s="5">
        <f>CK17+預測IC!CL17</f>
        <v>1.6020449173294828</v>
      </c>
      <c r="CM17" s="5">
        <f>CL17+預測IC!CM17</f>
        <v>1.7366142617610572</v>
      </c>
      <c r="CN17" s="5">
        <f>CM17+預測IC!CN17</f>
        <v>1.7633323229120441</v>
      </c>
      <c r="CO17" s="5">
        <f>CN17+預測IC!CO17</f>
        <v>1.6259194475825189</v>
      </c>
      <c r="CP17" s="5">
        <f>CO17+預測IC!CP17</f>
        <v>1.4777601783851753</v>
      </c>
      <c r="CQ17" s="5">
        <f>CP17+預測IC!CQ17</f>
        <v>1.5296672817269017</v>
      </c>
      <c r="CR17" s="5">
        <f>CQ17+預測IC!CR17</f>
        <v>1.3332646499646124</v>
      </c>
      <c r="CS17" s="5">
        <f>CR17+預測IC!CS17</f>
        <v>1.3448112749646124</v>
      </c>
      <c r="CT17" s="5">
        <f>CS17+預測IC!CT17</f>
        <v>1.3621505553697031</v>
      </c>
      <c r="CU17" s="5">
        <f>CT17+預測IC!CU17</f>
        <v>1.5175024481694626</v>
      </c>
      <c r="CV17" s="5">
        <f>CU17+預測IC!CV17</f>
        <v>1.4496110731694625</v>
      </c>
      <c r="CW17" s="5">
        <f>CV17+預測IC!CW17</f>
        <v>1.5130042919739504</v>
      </c>
      <c r="CX17" s="5">
        <f>CW17+預測IC!CX17</f>
        <v>1.3879944365742329</v>
      </c>
      <c r="CY17" s="5">
        <f>CX17+預測IC!CY17</f>
        <v>1.3123855231644272</v>
      </c>
      <c r="CZ17" s="5">
        <f>CY17+預測IC!CZ17</f>
        <v>1.2807928387840866</v>
      </c>
      <c r="DA17" s="5">
        <f>CZ17+預測IC!DA17</f>
        <v>1.2368969796389524</v>
      </c>
      <c r="DB17" s="5">
        <f>DA17+預測IC!DB17</f>
        <v>1.2717799904314204</v>
      </c>
      <c r="DC17" s="5">
        <f>DB17+預測IC!DC17</f>
        <v>1.2284165214539211</v>
      </c>
      <c r="DD17" s="5">
        <f>DC17+預測IC!DD17</f>
        <v>1.2575719423368019</v>
      </c>
      <c r="DE17" s="5">
        <f>DD17+預測IC!DE17</f>
        <v>1.2816968056835238</v>
      </c>
      <c r="DF17" s="5">
        <f>DE17+預測IC!DF17</f>
        <v>1.2973712506200537</v>
      </c>
      <c r="DG17" s="5">
        <f>DF17+預測IC!DG17</f>
        <v>1.4205837167506929</v>
      </c>
      <c r="DH17" s="5">
        <f>DG17+預測IC!DH17</f>
        <v>1.2571503417506928</v>
      </c>
      <c r="DI17" s="5">
        <f>DH17+預測IC!DI17</f>
        <v>1.2921948778166379</v>
      </c>
      <c r="DJ17" s="5">
        <f>DI17+預測IC!DJ17</f>
        <v>1.1632698180306285</v>
      </c>
      <c r="DK17" s="5">
        <f>DJ17+預測IC!DK17</f>
        <v>1.0951517065417433</v>
      </c>
      <c r="DL17" s="5">
        <f>DK17+預測IC!DL17</f>
        <v>1.099081438232872</v>
      </c>
      <c r="DM17" s="5">
        <f>DL17+預測IC!DM17</f>
        <v>1.1363089137488642</v>
      </c>
      <c r="DN17" s="5">
        <f>DM17+預測IC!DN17</f>
        <v>1.2427888763561505</v>
      </c>
      <c r="DO17" s="5">
        <f>DN17+預測IC!DO17</f>
        <v>1.3080394207076043</v>
      </c>
      <c r="DP17" s="5">
        <f>DO17+預測IC!DP17</f>
        <v>1.2915209124509808</v>
      </c>
      <c r="DQ17" s="5">
        <f>DP17+預測IC!DQ17</f>
        <v>1.2188669073449558</v>
      </c>
      <c r="DR17" s="5">
        <f>DQ17+預測IC!DR17</f>
        <v>1.1931404073449559</v>
      </c>
      <c r="DS17" s="5">
        <f>DR17+預測IC!DS17</f>
        <v>1.1996459435764282</v>
      </c>
      <c r="DT17" s="5">
        <f>DS17+預測IC!DT17</f>
        <v>1.2594578788114044</v>
      </c>
      <c r="DU17" s="5">
        <f>DT17+預測IC!DU17</f>
        <v>1.0999027793329605</v>
      </c>
      <c r="DV17" s="5">
        <f>DU17+預測IC!DV17</f>
        <v>1.0547539431839017</v>
      </c>
      <c r="DW17" s="5">
        <f>DV17+預測IC!DW17</f>
        <v>1.1034354265980519</v>
      </c>
      <c r="DX17" s="5">
        <f>DW17+預測IC!DX17</f>
        <v>1.1264706067672405</v>
      </c>
      <c r="DY17" s="5">
        <f>DX17+預測IC!DY17</f>
        <v>1.0004600688661858</v>
      </c>
      <c r="DZ17" s="5">
        <f>DY17+預測IC!DZ17</f>
        <v>0.99566901562019716</v>
      </c>
      <c r="EA17" s="5">
        <f>DZ17+預測IC!EA17</f>
        <v>1.1602413906201972</v>
      </c>
      <c r="EB17" s="5">
        <f>EA17+預測IC!EB17</f>
        <v>1.2675267173739546</v>
      </c>
      <c r="EC17" s="5">
        <f>EB17+預測IC!EC17</f>
        <v>1.1460147001059315</v>
      </c>
      <c r="ED17" s="5">
        <f>EC17+預測IC!ED17</f>
        <v>1.0427240261689024</v>
      </c>
      <c r="EE17" s="5">
        <f>ED17+預測IC!EE17</f>
        <v>0.97844532620001334</v>
      </c>
      <c r="EF17" s="5">
        <f>EE17+預測IC!EH17</f>
        <v>0.97844532620001334</v>
      </c>
    </row>
    <row r="18" spans="1:136">
      <c r="A18" s="1">
        <v>137</v>
      </c>
      <c r="B18" s="1">
        <v>7</v>
      </c>
      <c r="C18" s="5">
        <v>-5.9146797802220617E-2</v>
      </c>
      <c r="D18" s="5">
        <f>C18+預測IC!D18</f>
        <v>0.34273720219777948</v>
      </c>
      <c r="E18" s="5">
        <f>D18+預測IC!E18</f>
        <v>0.24226157919468727</v>
      </c>
      <c r="F18" s="5">
        <f>E18+預測IC!F18</f>
        <v>0.36164453929687707</v>
      </c>
      <c r="G18" s="5">
        <f>F18+預測IC!G18</f>
        <v>0.25332816601179708</v>
      </c>
      <c r="H18" s="5">
        <f>G18+預測IC!H18</f>
        <v>0.26195039376624141</v>
      </c>
      <c r="I18" s="5">
        <f>H18+預測IC!I18</f>
        <v>0.12645021354300032</v>
      </c>
      <c r="J18" s="5">
        <f>I18+預測IC!J18</f>
        <v>0.16986172929464194</v>
      </c>
      <c r="K18" s="5">
        <f>J18+預測IC!K18</f>
        <v>0.30550961807227422</v>
      </c>
      <c r="L18" s="5">
        <f>K18+預測IC!L18</f>
        <v>0.2547514109655552</v>
      </c>
      <c r="M18" s="5">
        <f>L18+預測IC!M18</f>
        <v>0.28380287534201254</v>
      </c>
      <c r="N18" s="5">
        <f>M18+預測IC!N18</f>
        <v>0.42501036383830865</v>
      </c>
      <c r="O18" s="5">
        <f>N18+預測IC!O18</f>
        <v>0.52868085346792781</v>
      </c>
      <c r="P18" s="5">
        <f>O18+預測IC!P18</f>
        <v>0.5370089393218368</v>
      </c>
      <c r="Q18" s="5">
        <f>P18+預測IC!Q18</f>
        <v>0.72598435801132666</v>
      </c>
      <c r="R18" s="5">
        <f>Q18+預測IC!R18</f>
        <v>0.78747659588330166</v>
      </c>
      <c r="S18" s="5">
        <f>R18+預測IC!S18</f>
        <v>0.93128182318220087</v>
      </c>
      <c r="T18" s="5">
        <f>S18+預測IC!T18</f>
        <v>0.98552626321380954</v>
      </c>
      <c r="U18" s="5">
        <f>T18+預測IC!U18</f>
        <v>1.1180212876436286</v>
      </c>
      <c r="V18" s="5">
        <f>U18+預測IC!V18</f>
        <v>1.2394127490695543</v>
      </c>
      <c r="W18" s="5">
        <f>V18+預測IC!W18</f>
        <v>1.4055475783388534</v>
      </c>
      <c r="X18" s="5">
        <f>W18+預測IC!X18</f>
        <v>1.532670864053139</v>
      </c>
      <c r="Y18" s="5">
        <f>X18+預測IC!Y18</f>
        <v>1.6365501079619502</v>
      </c>
      <c r="Z18" s="5">
        <f>Y18+預測IC!Z18</f>
        <v>1.725784471402473</v>
      </c>
      <c r="AA18" s="5">
        <f>Z18+預測IC!AA18</f>
        <v>1.684079226219749</v>
      </c>
      <c r="AB18" s="5">
        <f>AA18+預測IC!AB18</f>
        <v>1.5993809264892649</v>
      </c>
      <c r="AC18" s="5">
        <f>AB18+預測IC!AC18</f>
        <v>1.6007463469660972</v>
      </c>
      <c r="AD18" s="5">
        <f>AC18+預測IC!AD18</f>
        <v>1.5283025578775657</v>
      </c>
      <c r="AE18" s="5">
        <f>AD18+預測IC!AE18</f>
        <v>1.7866939067927743</v>
      </c>
      <c r="AF18" s="5">
        <f>AE18+預測IC!AF18</f>
        <v>1.6361502669687009</v>
      </c>
      <c r="AG18" s="5">
        <f>AF18+預測IC!AG18</f>
        <v>1.5544302870759472</v>
      </c>
      <c r="AH18" s="5">
        <f>AG18+預測IC!AH18</f>
        <v>1.7174987919007969</v>
      </c>
      <c r="AI18" s="5">
        <f>AH18+預測IC!AI18</f>
        <v>1.6360750418496273</v>
      </c>
      <c r="AJ18" s="5">
        <f>AI18+預測IC!AJ18</f>
        <v>1.5652078241880247</v>
      </c>
      <c r="AK18" s="5">
        <f>AJ18+預測IC!AK18</f>
        <v>1.5423749388260284</v>
      </c>
      <c r="AL18" s="5">
        <f>AK18+預測IC!AL18</f>
        <v>1.5899027024582861</v>
      </c>
      <c r="AM18" s="5">
        <f>AL18+預測IC!AM18</f>
        <v>1.6565461078830572</v>
      </c>
      <c r="AN18" s="5">
        <f>AM18+預測IC!AN18</f>
        <v>1.7358407478382589</v>
      </c>
      <c r="AO18" s="5">
        <f>AN18+預測IC!AO18</f>
        <v>1.7604250282830658</v>
      </c>
      <c r="AP18" s="5">
        <f>AO18+預測IC!AP18</f>
        <v>1.7584093139973516</v>
      </c>
      <c r="AQ18" s="5">
        <f>AP18+預測IC!AQ18</f>
        <v>1.8346401593238015</v>
      </c>
      <c r="AR18" s="5">
        <f>AQ18+預測IC!AR18</f>
        <v>1.7729457307523731</v>
      </c>
      <c r="AS18" s="5">
        <f>AR18+預測IC!AS18</f>
        <v>1.8587722823063422</v>
      </c>
      <c r="AT18" s="5">
        <f>AS18+預測IC!AT18</f>
        <v>2.0251580917304013</v>
      </c>
      <c r="AU18" s="5">
        <f>AT18+預測IC!AU18</f>
        <v>2.1640563063766209</v>
      </c>
      <c r="AV18" s="5">
        <f>AU18+預測IC!AV18</f>
        <v>2.1991143063766208</v>
      </c>
      <c r="AW18" s="5">
        <f>AV18+預測IC!AW18</f>
        <v>2.1745762721355133</v>
      </c>
      <c r="AX18" s="5">
        <f>AW18+預測IC!AX18</f>
        <v>2.0485119347093859</v>
      </c>
      <c r="AY18" s="5">
        <f>AX18+預測IC!AY18</f>
        <v>2.0183225759808958</v>
      </c>
      <c r="AZ18" s="5">
        <f>AY18+預測IC!AZ18</f>
        <v>1.9666762485873874</v>
      </c>
      <c r="BA18" s="5">
        <f>AZ18+預測IC!BA18</f>
        <v>1.967308559512073</v>
      </c>
      <c r="BB18" s="5">
        <f>BA18+預測IC!BB18</f>
        <v>2.1345658452263585</v>
      </c>
      <c r="BC18" s="5">
        <f>BB18+預測IC!BC18</f>
        <v>2.2177674178196791</v>
      </c>
      <c r="BD18" s="5">
        <f>BC18+預測IC!BD18</f>
        <v>2.1937511461323789</v>
      </c>
      <c r="BE18" s="5">
        <f>BD18+預測IC!BE18</f>
        <v>2.1253899328942158</v>
      </c>
      <c r="BF18" s="5">
        <f>BE18+預測IC!BF18</f>
        <v>2.2903764275902234</v>
      </c>
      <c r="BG18" s="5">
        <f>BF18+預測IC!BG18</f>
        <v>2.2735701863640192</v>
      </c>
      <c r="BH18" s="5">
        <f>BG18+預測IC!BH18</f>
        <v>2.2940740394278247</v>
      </c>
      <c r="BI18" s="5">
        <f>BH18+預測IC!BI18</f>
        <v>2.3700651331682834</v>
      </c>
      <c r="BJ18" s="5">
        <f>BI18+預測IC!BJ18</f>
        <v>2.4685989898537053</v>
      </c>
      <c r="BK18" s="5">
        <f>BJ18+預測IC!BK18</f>
        <v>2.4695800737568221</v>
      </c>
      <c r="BL18" s="5">
        <f>BK18+預測IC!BL18</f>
        <v>2.5253679546186021</v>
      </c>
      <c r="BM18" s="5">
        <f>BL18+預測IC!BM18</f>
        <v>2.5534493109916974</v>
      </c>
      <c r="BN18" s="5">
        <f>BM18+預測IC!BN18</f>
        <v>2.5956408997965008</v>
      </c>
      <c r="BO18" s="5">
        <f>BN18+預測IC!BO18</f>
        <v>2.5754134036901264</v>
      </c>
      <c r="BP18" s="5">
        <f>BO18+預測IC!BP18</f>
        <v>2.5129514036901264</v>
      </c>
      <c r="BQ18" s="5">
        <f>BP18+預測IC!BQ18</f>
        <v>2.4264917127778971</v>
      </c>
      <c r="BR18" s="5">
        <f>BQ18+預測IC!BR18</f>
        <v>2.4207435191939424</v>
      </c>
      <c r="BS18" s="5">
        <f>BR18+預測IC!BS18</f>
        <v>2.3878702626179105</v>
      </c>
      <c r="BT18" s="5">
        <f>BS18+預測IC!BT18</f>
        <v>2.3263249397252057</v>
      </c>
      <c r="BU18" s="5">
        <f>BT18+預測IC!BU18</f>
        <v>2.4070023837652466</v>
      </c>
      <c r="BV18" s="5">
        <f>BU18+預測IC!BV18</f>
        <v>2.2914968123366752</v>
      </c>
      <c r="BW18" s="5">
        <f>BV18+預測IC!BW18</f>
        <v>2.5098723114676638</v>
      </c>
      <c r="BX18" s="5">
        <f>BW18+預測IC!BX18</f>
        <v>2.4352914480530656</v>
      </c>
      <c r="BY18" s="5">
        <f>BX18+預測IC!BY18</f>
        <v>2.372603019481637</v>
      </c>
      <c r="BZ18" s="5">
        <f>BY18+預測IC!BZ18</f>
        <v>2.2192830316790388</v>
      </c>
      <c r="CA18" s="5">
        <f>BZ18+預測IC!CA18</f>
        <v>2.2032064877861779</v>
      </c>
      <c r="CB18" s="5">
        <f>CA18+預測IC!CB18</f>
        <v>2.0963602020718923</v>
      </c>
      <c r="CC18" s="5">
        <f>CB18+預測IC!CC18</f>
        <v>2.2010199163576067</v>
      </c>
      <c r="CD18" s="5">
        <f>CC18+預測IC!CD18</f>
        <v>2.0794246931888427</v>
      </c>
      <c r="CE18" s="5">
        <f>CD18+預測IC!CE18</f>
        <v>1.9014983368799654</v>
      </c>
      <c r="CF18" s="5">
        <f>CE18+預測IC!CF18</f>
        <v>1.8575405934933567</v>
      </c>
      <c r="CG18" s="5">
        <f>CF18+預測IC!CG18</f>
        <v>1.7659313379294372</v>
      </c>
      <c r="CH18" s="5">
        <f>CG18+預測IC!CH18</f>
        <v>1.811296986888596</v>
      </c>
      <c r="CI18" s="5">
        <f>CH18+預測IC!CI18</f>
        <v>1.9263562976977744</v>
      </c>
      <c r="CJ18" s="5">
        <f>CI18+預測IC!CJ18</f>
        <v>1.988669975522684</v>
      </c>
      <c r="CK18" s="5">
        <f>CJ18+預測IC!CK18</f>
        <v>2.0847280071882071</v>
      </c>
      <c r="CL18" s="5">
        <f>CK18+預測IC!CL18</f>
        <v>1.931814063378722</v>
      </c>
      <c r="CM18" s="5">
        <f>CL18+預測IC!CM18</f>
        <v>2.0754626065431157</v>
      </c>
      <c r="CN18" s="5">
        <f>CM18+預測IC!CN18</f>
        <v>2.1105488605212921</v>
      </c>
      <c r="CO18" s="5">
        <f>CN18+預測IC!CO18</f>
        <v>1.9599513508990447</v>
      </c>
      <c r="CP18" s="5">
        <f>CO18+預測IC!CP18</f>
        <v>1.7971122419510339</v>
      </c>
      <c r="CQ18" s="5">
        <f>CP18+預測IC!CQ18</f>
        <v>1.8353549175459767</v>
      </c>
      <c r="CR18" s="5">
        <f>CQ18+預測IC!CR18</f>
        <v>1.6416325098937674</v>
      </c>
      <c r="CS18" s="5">
        <f>CR18+預測IC!CS18</f>
        <v>1.669761795608053</v>
      </c>
      <c r="CT18" s="5">
        <f>CS18+預測IC!CT18</f>
        <v>1.6534893014080443</v>
      </c>
      <c r="CU18" s="5">
        <f>CT18+預測IC!CU18</f>
        <v>1.7980541225841793</v>
      </c>
      <c r="CV18" s="5">
        <f>CU18+預測IC!CV18</f>
        <v>1.7351096940127508</v>
      </c>
      <c r="CW18" s="5">
        <f>CV18+預測IC!CW18</f>
        <v>1.801668268511067</v>
      </c>
      <c r="CX18" s="5">
        <f>CW18+預測IC!CX18</f>
        <v>1.6485925789019138</v>
      </c>
      <c r="CY18" s="5">
        <f>CX18+預測IC!CY18</f>
        <v>1.5554141949940063</v>
      </c>
      <c r="CZ18" s="5">
        <f>CY18+預測IC!CZ18</f>
        <v>1.4639549815813038</v>
      </c>
      <c r="DA18" s="5">
        <f>CZ18+預測IC!DA18</f>
        <v>1.4165740420626103</v>
      </c>
      <c r="DB18" s="5">
        <f>DA18+預測IC!DB18</f>
        <v>1.4623092507413697</v>
      </c>
      <c r="DC18" s="5">
        <f>DB18+預測IC!DC18</f>
        <v>1.4259004692458634</v>
      </c>
      <c r="DD18" s="5">
        <f>DC18+預測IC!DD18</f>
        <v>1.4669146565651974</v>
      </c>
      <c r="DE18" s="5">
        <f>DD18+預測IC!DE18</f>
        <v>1.5053352440516483</v>
      </c>
      <c r="DF18" s="5">
        <f>DE18+預測IC!DF18</f>
        <v>1.5334072191296098</v>
      </c>
      <c r="DG18" s="5">
        <f>DF18+預測IC!DG18</f>
        <v>1.6516243124032051</v>
      </c>
      <c r="DH18" s="5">
        <f>DG18+預測IC!DH18</f>
        <v>1.4592217409746338</v>
      </c>
      <c r="DI18" s="5">
        <f>DH18+預測IC!DI18</f>
        <v>1.4778349890050519</v>
      </c>
      <c r="DJ18" s="5">
        <f>DI18+預測IC!DJ18</f>
        <v>1.3316389129056396</v>
      </c>
      <c r="DK18" s="5">
        <f>DJ18+預測IC!DK18</f>
        <v>1.2743883229190136</v>
      </c>
      <c r="DL18" s="5">
        <f>DK18+預測IC!DL18</f>
        <v>1.2782185969866058</v>
      </c>
      <c r="DM18" s="5">
        <f>DL18+預測IC!DM18</f>
        <v>1.2834692757288697</v>
      </c>
      <c r="DN18" s="5">
        <f>DM18+預測IC!DN18</f>
        <v>1.4085779589984004</v>
      </c>
      <c r="DO18" s="5">
        <f>DN18+預測IC!DO18</f>
        <v>1.4387769764599903</v>
      </c>
      <c r="DP18" s="5">
        <f>DO18+預測IC!DP18</f>
        <v>1.4181722899931246</v>
      </c>
      <c r="DQ18" s="5">
        <f>DP18+預測IC!DQ18</f>
        <v>1.3524228318092257</v>
      </c>
      <c r="DR18" s="5">
        <f>DQ18+預測IC!DR18</f>
        <v>1.3419711175235114</v>
      </c>
      <c r="DS18" s="5">
        <f>DR18+預測IC!DS18</f>
        <v>1.3673567687806496</v>
      </c>
      <c r="DT18" s="5">
        <f>DS18+預測IC!DT18</f>
        <v>1.389957803621757</v>
      </c>
      <c r="DU18" s="5">
        <f>DT18+預測IC!DU18</f>
        <v>1.2273690191975068</v>
      </c>
      <c r="DV18" s="5">
        <f>DU18+預測IC!DV18</f>
        <v>1.1568413266914293</v>
      </c>
      <c r="DW18" s="5">
        <f>DV18+預測IC!DW18</f>
        <v>1.2387500189758025</v>
      </c>
      <c r="DX18" s="5">
        <f>DW18+預測IC!DX18</f>
        <v>1.3069273124975378</v>
      </c>
      <c r="DY18" s="5">
        <f>DX18+預測IC!DY18</f>
        <v>1.1411642078355346</v>
      </c>
      <c r="DZ18" s="5">
        <f>DY18+預測IC!DZ18</f>
        <v>1.0979363529660928</v>
      </c>
      <c r="EA18" s="5">
        <f>DZ18+預測IC!EA18</f>
        <v>1.2968836386803786</v>
      </c>
      <c r="EB18" s="5">
        <f>EA18+預測IC!EB18</f>
        <v>1.406847993130574</v>
      </c>
      <c r="EC18" s="5">
        <f>EB18+預測IC!EC18</f>
        <v>1.2638077625377884</v>
      </c>
      <c r="ED18" s="5">
        <f>EC18+預測IC!ED18</f>
        <v>1.1810486611492217</v>
      </c>
      <c r="EE18" s="5">
        <f>ED18+預測IC!EE18</f>
        <v>1.1280336208338575</v>
      </c>
      <c r="EF18" s="5">
        <f>EE18+預測IC!EH18</f>
        <v>1.1280336208338575</v>
      </c>
    </row>
    <row r="19" spans="1:136">
      <c r="A19" s="1">
        <v>160</v>
      </c>
      <c r="B19" s="1">
        <v>6</v>
      </c>
      <c r="C19" s="5">
        <v>-7.386192988077088E-2</v>
      </c>
      <c r="D19" s="5">
        <f>C19+預測IC!D19</f>
        <v>0.33365940345256251</v>
      </c>
      <c r="E19" s="5">
        <f>D19+預測IC!E19</f>
        <v>0.19307572686123131</v>
      </c>
      <c r="F19" s="5">
        <f>E19+預測IC!F19</f>
        <v>0.37076438866679184</v>
      </c>
      <c r="G19" s="5">
        <f>F19+預測IC!G19</f>
        <v>0.27469841680961443</v>
      </c>
      <c r="H19" s="5">
        <f>G19+預測IC!H19</f>
        <v>0.2626296283471295</v>
      </c>
      <c r="I19" s="5">
        <f>H19+預測IC!I19</f>
        <v>0.127975295455663</v>
      </c>
      <c r="J19" s="5">
        <f>I19+預測IC!J19</f>
        <v>0.16340487997585401</v>
      </c>
      <c r="K19" s="5">
        <f>J19+預測IC!K19</f>
        <v>0.40219429469977075</v>
      </c>
      <c r="L19" s="5">
        <f>K19+預測IC!L19</f>
        <v>0.38186764505942566</v>
      </c>
      <c r="M19" s="5">
        <f>L19+預測IC!M19</f>
        <v>0.33817740890311837</v>
      </c>
      <c r="N19" s="5">
        <f>M19+預測IC!N19</f>
        <v>0.49002099005109845</v>
      </c>
      <c r="O19" s="5">
        <f>N19+預測IC!O19</f>
        <v>0.58224237307055571</v>
      </c>
      <c r="P19" s="5">
        <f>O19+預測IC!P19</f>
        <v>0.60575553389507575</v>
      </c>
      <c r="Q19" s="5">
        <f>P19+預測IC!Q19</f>
        <v>0.80291862215959564</v>
      </c>
      <c r="R19" s="5">
        <f>Q19+預測IC!R19</f>
        <v>0.89321771279045192</v>
      </c>
      <c r="S19" s="5">
        <f>R19+預測IC!S19</f>
        <v>1.0159095891261933</v>
      </c>
      <c r="T19" s="5">
        <f>S19+預測IC!T19</f>
        <v>1.0430638671124925</v>
      </c>
      <c r="U19" s="5">
        <f>T19+預測IC!U19</f>
        <v>1.1787622057444158</v>
      </c>
      <c r="V19" s="5">
        <f>U19+預測IC!V19</f>
        <v>1.271450525469729</v>
      </c>
      <c r="W19" s="5">
        <f>V19+預測IC!W19</f>
        <v>1.4461852887719606</v>
      </c>
      <c r="X19" s="5">
        <f>W19+預測IC!X19</f>
        <v>1.5691089554386273</v>
      </c>
      <c r="Y19" s="5">
        <f>X19+預測IC!Y19</f>
        <v>1.6722391943690655</v>
      </c>
      <c r="Z19" s="5">
        <f>Y19+預測IC!Z19</f>
        <v>1.7638583049450891</v>
      </c>
      <c r="AA19" s="5">
        <f>Z19+預測IC!AA19</f>
        <v>1.7222881204069334</v>
      </c>
      <c r="AB19" s="5">
        <f>AA19+預測IC!AB19</f>
        <v>1.6200345145229906</v>
      </c>
      <c r="AC19" s="5">
        <f>AB19+預測IC!AC19</f>
        <v>1.6341760572316004</v>
      </c>
      <c r="AD19" s="5">
        <f>AC19+預測IC!AD19</f>
        <v>1.6101785999705398</v>
      </c>
      <c r="AE19" s="5">
        <f>AD19+預測IC!AE19</f>
        <v>1.9186714578959085</v>
      </c>
      <c r="AF19" s="5">
        <f>AE19+預測IC!AF19</f>
        <v>1.7498408771878655</v>
      </c>
      <c r="AG19" s="5">
        <f>AF19+預測IC!AG19</f>
        <v>1.7083537737435539</v>
      </c>
      <c r="AH19" s="5">
        <f>AG19+預測IC!AH19</f>
        <v>1.9125100609087635</v>
      </c>
      <c r="AI19" s="5">
        <f>AH19+預測IC!AI19</f>
        <v>1.8647437081489671</v>
      </c>
      <c r="AJ19" s="5">
        <f>AI19+預測IC!AJ19</f>
        <v>1.7875409985043955</v>
      </c>
      <c r="AK19" s="5">
        <f>AJ19+預測IC!AK19</f>
        <v>1.7469594753912325</v>
      </c>
      <c r="AL19" s="5">
        <f>AK19+預測IC!AL19</f>
        <v>1.817230421062038</v>
      </c>
      <c r="AM19" s="5">
        <f>AL19+預測IC!AM19</f>
        <v>1.8603364328734431</v>
      </c>
      <c r="AN19" s="5">
        <f>AM19+預測IC!AN19</f>
        <v>1.9439047272391252</v>
      </c>
      <c r="AO19" s="5">
        <f>AN19+預測IC!AO19</f>
        <v>1.9997948533682399</v>
      </c>
      <c r="AP19" s="5">
        <f>AO19+預測IC!AP19</f>
        <v>1.9900818533682398</v>
      </c>
      <c r="AQ19" s="5">
        <f>AP19+預測IC!AQ19</f>
        <v>2.0783346104288904</v>
      </c>
      <c r="AR19" s="5">
        <f>AQ19+預測IC!AR19</f>
        <v>2.0037177770955572</v>
      </c>
      <c r="AS19" s="5">
        <f>AR19+預測IC!AS19</f>
        <v>2.1015147323638717</v>
      </c>
      <c r="AT19" s="5">
        <f>AS19+預測IC!AT19</f>
        <v>2.2861083961739297</v>
      </c>
      <c r="AU19" s="5">
        <f>AT19+預測IC!AU19</f>
        <v>2.4391230226481904</v>
      </c>
      <c r="AV19" s="5">
        <f>AU19+預測IC!AV19</f>
        <v>2.481800689314857</v>
      </c>
      <c r="AW19" s="5">
        <f>AV19+預測IC!AW19</f>
        <v>2.4594445211607203</v>
      </c>
      <c r="AX19" s="5">
        <f>AW19+預測IC!AX19</f>
        <v>2.2353207258598644</v>
      </c>
      <c r="AY19" s="5">
        <f>AX19+預測IC!AY19</f>
        <v>2.1690474831473923</v>
      </c>
      <c r="AZ19" s="5">
        <f>AY19+預測IC!AZ19</f>
        <v>2.0534359547779686</v>
      </c>
      <c r="BA19" s="5">
        <f>AZ19+預測IC!BA19</f>
        <v>2.0190720708238956</v>
      </c>
      <c r="BB19" s="5">
        <f>BA19+預測IC!BB19</f>
        <v>2.2208739041572287</v>
      </c>
      <c r="BC19" s="5">
        <f>BB19+預測IC!BC19</f>
        <v>2.2849293905034145</v>
      </c>
      <c r="BD19" s="5">
        <f>BC19+預測IC!BD19</f>
        <v>2.2816949978733465</v>
      </c>
      <c r="BE19" s="5">
        <f>BD19+預測IC!BE19</f>
        <v>2.2305631239096799</v>
      </c>
      <c r="BF19" s="5">
        <f>BE19+預測IC!BF19</f>
        <v>2.3723725588734217</v>
      </c>
      <c r="BG19" s="5">
        <f>BF19+預測IC!BG19</f>
        <v>2.3560289005405797</v>
      </c>
      <c r="BH19" s="5">
        <f>BG19+預測IC!BH19</f>
        <v>2.3580471022420109</v>
      </c>
      <c r="BI19" s="5">
        <f>BH19+預測IC!BI19</f>
        <v>2.4593313322012271</v>
      </c>
      <c r="BJ19" s="5">
        <f>BI19+預測IC!BJ19</f>
        <v>2.518243549373683</v>
      </c>
      <c r="BK19" s="5">
        <f>BJ19+預測IC!BK19</f>
        <v>2.4487245127442412</v>
      </c>
      <c r="BL19" s="5">
        <f>BK19+預測IC!BL19</f>
        <v>2.5118890464912607</v>
      </c>
      <c r="BM19" s="5">
        <f>BL19+預測IC!BM19</f>
        <v>2.5436753113604058</v>
      </c>
      <c r="BN19" s="5">
        <f>BM19+預測IC!BN19</f>
        <v>2.6158604110829069</v>
      </c>
      <c r="BO19" s="5">
        <f>BN19+預測IC!BO19</f>
        <v>2.5901314498177914</v>
      </c>
      <c r="BP19" s="5">
        <f>BO19+預測IC!BP19</f>
        <v>2.5777227831511249</v>
      </c>
      <c r="BQ19" s="5">
        <f>BP19+預測IC!BQ19</f>
        <v>2.468069648218068</v>
      </c>
      <c r="BR19" s="5">
        <f>BQ19+預測IC!BR19</f>
        <v>2.4747448942415882</v>
      </c>
      <c r="BS19" s="5">
        <f>BR19+預測IC!BS19</f>
        <v>2.4782448261812271</v>
      </c>
      <c r="BT19" s="5">
        <f>BS19+預測IC!BT19</f>
        <v>2.3959214225039158</v>
      </c>
      <c r="BU19" s="5">
        <f>BT19+預測IC!BU19</f>
        <v>2.4718576737381537</v>
      </c>
      <c r="BV19" s="5">
        <f>BU19+預測IC!BV19</f>
        <v>2.3717723404048203</v>
      </c>
      <c r="BW19" s="5">
        <f>BV19+預測IC!BW19</f>
        <v>2.6792253472145537</v>
      </c>
      <c r="BX19" s="5">
        <f>BW19+預測IC!BX19</f>
        <v>2.624395065654237</v>
      </c>
      <c r="BY19" s="5">
        <f>BX19+預測IC!BY19</f>
        <v>2.5967168989875704</v>
      </c>
      <c r="BZ19" s="5">
        <f>BY19+預測IC!BZ19</f>
        <v>2.5280147741655163</v>
      </c>
      <c r="CA19" s="5">
        <f>BZ19+預測IC!CA19</f>
        <v>2.4986860189417417</v>
      </c>
      <c r="CB19" s="5">
        <f>CA19+預測IC!CB19</f>
        <v>2.3708475189417415</v>
      </c>
      <c r="CC19" s="5">
        <f>CB19+預測IC!CC19</f>
        <v>2.393353185608408</v>
      </c>
      <c r="CD19" s="5">
        <f>CC19+預測IC!CD19</f>
        <v>2.2446212723200007</v>
      </c>
      <c r="CE19" s="5">
        <f>CD19+預測IC!CE19</f>
        <v>2.0463554431430415</v>
      </c>
      <c r="CF19" s="5">
        <f>CE19+預測IC!CF19</f>
        <v>1.9673039181722272</v>
      </c>
      <c r="CG19" s="5">
        <f>CF19+預測IC!CG19</f>
        <v>1.91018629330527</v>
      </c>
      <c r="CH19" s="5">
        <f>CG19+預測IC!CH19</f>
        <v>1.9529013370480042</v>
      </c>
      <c r="CI19" s="5">
        <f>CH19+預測IC!CI19</f>
        <v>2.0636355448017087</v>
      </c>
      <c r="CJ19" s="5">
        <f>CI19+預測IC!CJ19</f>
        <v>2.1255760447677448</v>
      </c>
      <c r="CK19" s="5">
        <f>CJ19+預測IC!CK19</f>
        <v>2.2443733077250791</v>
      </c>
      <c r="CL19" s="5">
        <f>CK19+預測IC!CL19</f>
        <v>2.1290255260863415</v>
      </c>
      <c r="CM19" s="5">
        <f>CL19+預測IC!CM19</f>
        <v>2.3043731676680563</v>
      </c>
      <c r="CN19" s="5">
        <f>CM19+預測IC!CN19</f>
        <v>2.3813058223353596</v>
      </c>
      <c r="CO19" s="5">
        <f>CN19+預測IC!CO19</f>
        <v>2.2151592645600791</v>
      </c>
      <c r="CP19" s="5">
        <f>CO19+預測IC!CP19</f>
        <v>2.0561266655777461</v>
      </c>
      <c r="CQ19" s="5">
        <f>CP19+預測IC!CQ19</f>
        <v>2.0885212730941647</v>
      </c>
      <c r="CR19" s="5">
        <f>CQ19+預測IC!CR19</f>
        <v>1.9122145488479727</v>
      </c>
      <c r="CS19" s="5">
        <f>CR19+預測IC!CS19</f>
        <v>1.9559902155146394</v>
      </c>
      <c r="CT19" s="5">
        <f>CS19+預測IC!CT19</f>
        <v>1.9280495783296425</v>
      </c>
      <c r="CU19" s="5">
        <f>CT19+預測IC!CU19</f>
        <v>2.0746571215905814</v>
      </c>
      <c r="CV19" s="5">
        <f>CU19+預測IC!CV19</f>
        <v>1.9985136215905814</v>
      </c>
      <c r="CW19" s="5">
        <f>CV19+預測IC!CW19</f>
        <v>2.0590295001636187</v>
      </c>
      <c r="CX19" s="5">
        <f>CW19+預測IC!CX19</f>
        <v>1.9108792093591138</v>
      </c>
      <c r="CY19" s="5">
        <f>CX19+預測IC!CY19</f>
        <v>1.8029870899019229</v>
      </c>
      <c r="CZ19" s="5">
        <f>CY19+預測IC!CZ19</f>
        <v>1.7454878268134109</v>
      </c>
      <c r="DA19" s="5">
        <f>CZ19+預測IC!DA19</f>
        <v>1.687263950110174</v>
      </c>
      <c r="DB19" s="5">
        <f>DA19+預測IC!DB19</f>
        <v>1.7229848491353896</v>
      </c>
      <c r="DC19" s="5">
        <f>DB19+預測IC!DC19</f>
        <v>1.7581642490374838</v>
      </c>
      <c r="DD19" s="5">
        <f>DC19+預測IC!DD19</f>
        <v>1.7643653742923127</v>
      </c>
      <c r="DE19" s="5">
        <f>DD19+預測IC!DE19</f>
        <v>1.7973837889481046</v>
      </c>
      <c r="DF19" s="5">
        <f>DE19+預測IC!DF19</f>
        <v>1.8186801313752716</v>
      </c>
      <c r="DG19" s="5">
        <f>DF19+預測IC!DG19</f>
        <v>1.945170929212793</v>
      </c>
      <c r="DH19" s="5">
        <f>DG19+預測IC!DH19</f>
        <v>1.7205795958794596</v>
      </c>
      <c r="DI19" s="5">
        <f>DH19+預測IC!DI19</f>
        <v>1.7792266288907281</v>
      </c>
      <c r="DJ19" s="5">
        <f>DI19+預測IC!DJ19</f>
        <v>1.6139761599316562</v>
      </c>
      <c r="DK19" s="5">
        <f>DJ19+預測IC!DK19</f>
        <v>1.5979918703569922</v>
      </c>
      <c r="DL19" s="5">
        <f>DK19+預測IC!DL19</f>
        <v>1.609974656265966</v>
      </c>
      <c r="DM19" s="5">
        <f>DL19+預測IC!DM19</f>
        <v>1.5638767537803384</v>
      </c>
      <c r="DN19" s="5">
        <f>DM19+預測IC!DN19</f>
        <v>1.7378050555088866</v>
      </c>
      <c r="DO19" s="5">
        <f>DN19+預測IC!DO19</f>
        <v>1.7865105753694805</v>
      </c>
      <c r="DP19" s="5">
        <f>DO19+預測IC!DP19</f>
        <v>1.8143485898524743</v>
      </c>
      <c r="DQ19" s="5">
        <f>DP19+預測IC!DQ19</f>
        <v>1.7339744180143992</v>
      </c>
      <c r="DR19" s="5">
        <f>DQ19+預測IC!DR19</f>
        <v>1.7164290846810659</v>
      </c>
      <c r="DS19" s="5">
        <f>DR19+預測IC!DS19</f>
        <v>1.761348047832946</v>
      </c>
      <c r="DT19" s="5">
        <f>DS19+預測IC!DT19</f>
        <v>1.766381294353051</v>
      </c>
      <c r="DU19" s="5">
        <f>DT19+預測IC!DU19</f>
        <v>1.5718618548900718</v>
      </c>
      <c r="DV19" s="5">
        <f>DU19+預測IC!DV19</f>
        <v>1.5002684682926697</v>
      </c>
      <c r="DW19" s="5">
        <f>DV19+預測IC!DW19</f>
        <v>1.5608776076333539</v>
      </c>
      <c r="DX19" s="5">
        <f>DW19+預測IC!DX19</f>
        <v>1.6554918009908917</v>
      </c>
      <c r="DY19" s="5">
        <f>DX19+預測IC!DY19</f>
        <v>1.5033723913864048</v>
      </c>
      <c r="DZ19" s="5">
        <f>DY19+預測IC!DZ19</f>
        <v>1.4237288232479697</v>
      </c>
      <c r="EA19" s="5">
        <f>DZ19+預測IC!EA19</f>
        <v>1.6567764899146364</v>
      </c>
      <c r="EB19" s="5">
        <f>EA19+預測IC!EB19</f>
        <v>1.765529999552889</v>
      </c>
      <c r="EC19" s="5">
        <f>EB19+預測IC!EC19</f>
        <v>1.62175579672788</v>
      </c>
      <c r="ED19" s="5">
        <f>EC19+預測IC!ED19</f>
        <v>1.5414705384515048</v>
      </c>
      <c r="EE19" s="5">
        <f>ED19+預測IC!EE19</f>
        <v>1.5186546526075919</v>
      </c>
      <c r="EF19" s="5">
        <f>EE19+預測IC!EH19</f>
        <v>1.5186546526075919</v>
      </c>
    </row>
    <row r="20" spans="1:136">
      <c r="A20" s="1">
        <v>192</v>
      </c>
      <c r="B20" s="1">
        <v>5</v>
      </c>
      <c r="C20" s="5">
        <v>1.1241331728202891E-2</v>
      </c>
      <c r="D20" s="5">
        <f>C20+預測IC!D20</f>
        <v>0.39326713172820293</v>
      </c>
      <c r="E20" s="5">
        <f>D20+預測IC!E20</f>
        <v>0.24714222646395703</v>
      </c>
      <c r="F20" s="5">
        <f>E20+預測IC!F20</f>
        <v>0.45267349079713126</v>
      </c>
      <c r="G20" s="5">
        <f>F20+預測IC!G20</f>
        <v>0.33549034950819218</v>
      </c>
      <c r="H20" s="5">
        <f>G20+預測IC!H20</f>
        <v>0.34707337558676987</v>
      </c>
      <c r="I20" s="5">
        <f>H20+預測IC!I20</f>
        <v>0.18892381298566818</v>
      </c>
      <c r="J20" s="5">
        <f>I20+預測IC!J20</f>
        <v>0.22339507171252443</v>
      </c>
      <c r="K20" s="5">
        <f>J20+預測IC!K20</f>
        <v>0.43811957547360625</v>
      </c>
      <c r="L20" s="5">
        <f>K20+預測IC!L20</f>
        <v>0.4291198041324179</v>
      </c>
      <c r="M20" s="5">
        <f>L20+預測IC!M20</f>
        <v>0.3514015758411444</v>
      </c>
      <c r="N20" s="5">
        <f>M20+預測IC!N20</f>
        <v>0.51954516403068829</v>
      </c>
      <c r="O20" s="5">
        <f>N20+預測IC!O20</f>
        <v>0.61864664817516202</v>
      </c>
      <c r="P20" s="5">
        <f>O20+預測IC!P20</f>
        <v>0.66178532706368953</v>
      </c>
      <c r="Q20" s="5">
        <f>P20+預測IC!Q20</f>
        <v>0.87851106606666807</v>
      </c>
      <c r="R20" s="5">
        <f>Q20+預測IC!R20</f>
        <v>0.98776412170413685</v>
      </c>
      <c r="S20" s="5">
        <f>R20+預測IC!S20</f>
        <v>1.0703267324114247</v>
      </c>
      <c r="T20" s="5">
        <f>S20+預測IC!T20</f>
        <v>1.0546638218921653</v>
      </c>
      <c r="U20" s="5">
        <f>T20+預測IC!U20</f>
        <v>1.2033135020099404</v>
      </c>
      <c r="V20" s="5">
        <f>U20+預測IC!V20</f>
        <v>1.3068311052145578</v>
      </c>
      <c r="W20" s="5">
        <f>V20+預測IC!W20</f>
        <v>1.5332747672976592</v>
      </c>
      <c r="X20" s="5">
        <f>W20+預測IC!X20</f>
        <v>1.6833177672976591</v>
      </c>
      <c r="Y20" s="5">
        <f>X20+預測IC!Y20</f>
        <v>1.8122828061800329</v>
      </c>
      <c r="Z20" s="5">
        <f>Y20+預測IC!Z20</f>
        <v>1.9178997666636921</v>
      </c>
      <c r="AA20" s="5">
        <f>Z20+預測IC!AA20</f>
        <v>1.8963052132763949</v>
      </c>
      <c r="AB20" s="5">
        <f>AA20+預測IC!AB20</f>
        <v>1.8115453725502217</v>
      </c>
      <c r="AC20" s="5">
        <f>AB20+預測IC!AC20</f>
        <v>1.8587936352781893</v>
      </c>
      <c r="AD20" s="5">
        <f>AC20+預測IC!AD20</f>
        <v>1.8318063317075113</v>
      </c>
      <c r="AE20" s="5">
        <f>AD20+預測IC!AE20</f>
        <v>1.9930275388626222</v>
      </c>
      <c r="AF20" s="5">
        <f>AE20+預測IC!AF20</f>
        <v>1.7695297192262496</v>
      </c>
      <c r="AG20" s="5">
        <f>AF20+預測IC!AG20</f>
        <v>1.737366470344573</v>
      </c>
      <c r="AH20" s="5">
        <f>AG20+預測IC!AH20</f>
        <v>1.9540089229929338</v>
      </c>
      <c r="AI20" s="5">
        <f>AH20+預測IC!AI20</f>
        <v>1.8707295692422103</v>
      </c>
      <c r="AJ20" s="5">
        <f>AI20+預測IC!AJ20</f>
        <v>1.8100038845814261</v>
      </c>
      <c r="AK20" s="5">
        <f>AJ20+預測IC!AK20</f>
        <v>1.8017553695188131</v>
      </c>
      <c r="AL20" s="5">
        <f>AK20+預測IC!AL20</f>
        <v>1.8746488215557902</v>
      </c>
      <c r="AM20" s="5">
        <f>AL20+預測IC!AM20</f>
        <v>1.9077448023045929</v>
      </c>
      <c r="AN20" s="5">
        <f>AM20+預測IC!AN20</f>
        <v>1.9832149958235912</v>
      </c>
      <c r="AO20" s="5">
        <f>AN20+預測IC!AO20</f>
        <v>2.0323232904629909</v>
      </c>
      <c r="AP20" s="5">
        <f>AO20+預測IC!AP20</f>
        <v>2.0197176904629908</v>
      </c>
      <c r="AQ20" s="5">
        <f>AP20+預測IC!AQ20</f>
        <v>1.9922652051300398</v>
      </c>
      <c r="AR20" s="5">
        <f>AQ20+預測IC!AR20</f>
        <v>1.9789760051300398</v>
      </c>
      <c r="AS20" s="5">
        <f>AR20+預測IC!AS20</f>
        <v>2.0910718148128566</v>
      </c>
      <c r="AT20" s="5">
        <f>AS20+預測IC!AT20</f>
        <v>2.3301955622579271</v>
      </c>
      <c r="AU20" s="5">
        <f>AT20+預測IC!AU20</f>
        <v>2.4732682031850928</v>
      </c>
      <c r="AV20" s="5">
        <f>AU20+預測IC!AV20</f>
        <v>2.5447426031850928</v>
      </c>
      <c r="AW20" s="5">
        <f>AV20+預測IC!AW20</f>
        <v>2.537877335005942</v>
      </c>
      <c r="AX20" s="5">
        <f>AW20+預測IC!AX20</f>
        <v>2.3335381150453953</v>
      </c>
      <c r="AY20" s="5">
        <f>AX20+預測IC!AY20</f>
        <v>2.4155957510629618</v>
      </c>
      <c r="AZ20" s="5">
        <f>AY20+預測IC!AZ20</f>
        <v>2.2593217433562978</v>
      </c>
      <c r="BA20" s="5">
        <f>AZ20+預測IC!BA20</f>
        <v>2.2225228784957571</v>
      </c>
      <c r="BB20" s="5">
        <f>BA20+預測IC!BB20</f>
        <v>2.4537362784957573</v>
      </c>
      <c r="BC20" s="5">
        <f>BB20+預測IC!BC20</f>
        <v>2.5243418461734977</v>
      </c>
      <c r="BD20" s="5">
        <f>BC20+預測IC!BD20</f>
        <v>2.4709120329519005</v>
      </c>
      <c r="BE20" s="5">
        <f>BD20+預測IC!BE20</f>
        <v>2.4768588300911607</v>
      </c>
      <c r="BF20" s="5">
        <f>BE20+預測IC!BF20</f>
        <v>2.614830093160136</v>
      </c>
      <c r="BG20" s="5">
        <f>BF20+預測IC!BG20</f>
        <v>2.6079039504514427</v>
      </c>
      <c r="BH20" s="5">
        <f>BG20+預測IC!BH20</f>
        <v>2.5362975033373316</v>
      </c>
      <c r="BI20" s="5">
        <f>BH20+預測IC!BI20</f>
        <v>2.6505531690718551</v>
      </c>
      <c r="BJ20" s="5">
        <f>BI20+預測IC!BJ20</f>
        <v>2.699692952883129</v>
      </c>
      <c r="BK20" s="5">
        <f>BJ20+預測IC!BK20</f>
        <v>2.5970946687286838</v>
      </c>
      <c r="BL20" s="5">
        <f>BK20+預測IC!BL20</f>
        <v>2.6669541106659045</v>
      </c>
      <c r="BM20" s="5">
        <f>BL20+預測IC!BM20</f>
        <v>2.7144226621300933</v>
      </c>
      <c r="BN20" s="5">
        <f>BM20+預測IC!BN20</f>
        <v>2.8000872935712735</v>
      </c>
      <c r="BO20" s="5">
        <f>BN20+預測IC!BO20</f>
        <v>2.8385490110872529</v>
      </c>
      <c r="BP20" s="5">
        <f>BO20+預測IC!BP20</f>
        <v>2.8458328110872531</v>
      </c>
      <c r="BQ20" s="5">
        <f>BP20+預測IC!BQ20</f>
        <v>2.7372325435280009</v>
      </c>
      <c r="BR20" s="5">
        <f>BQ20+預測IC!BR20</f>
        <v>2.7493061752584733</v>
      </c>
      <c r="BS20" s="5">
        <f>BR20+預測IC!BS20</f>
        <v>2.7818423729833293</v>
      </c>
      <c r="BT20" s="5">
        <f>BS20+預測IC!BT20</f>
        <v>2.6853118717688735</v>
      </c>
      <c r="BU20" s="5">
        <f>BT20+預測IC!BU20</f>
        <v>2.7840668211365802</v>
      </c>
      <c r="BV20" s="5">
        <f>BU20+預測IC!BV20</f>
        <v>2.6503570211365801</v>
      </c>
      <c r="BW20" s="5">
        <f>BV20+預測IC!BW20</f>
        <v>3.0021865711849847</v>
      </c>
      <c r="BX20" s="5">
        <f>BW20+預測IC!BX20</f>
        <v>2.9441985529089538</v>
      </c>
      <c r="BY20" s="5">
        <f>BX20+預測IC!BY20</f>
        <v>2.9010107529089537</v>
      </c>
      <c r="BZ20" s="5">
        <f>BY20+預測IC!BZ20</f>
        <v>2.8107393486486703</v>
      </c>
      <c r="CA20" s="5">
        <f>BZ20+預測IC!CA20</f>
        <v>2.7706366205969175</v>
      </c>
      <c r="CB20" s="5">
        <f>CA20+預測IC!CB20</f>
        <v>2.6441412205969175</v>
      </c>
      <c r="CC20" s="5">
        <f>CB20+預測IC!CC20</f>
        <v>2.6570560205969174</v>
      </c>
      <c r="CD20" s="5">
        <f>CC20+預測IC!CD20</f>
        <v>2.4681965080535218</v>
      </c>
      <c r="CE20" s="5">
        <f>CD20+預測IC!CE20</f>
        <v>2.2242327125837886</v>
      </c>
      <c r="CF20" s="5">
        <f>CE20+預測IC!CF20</f>
        <v>2.1184478233076969</v>
      </c>
      <c r="CG20" s="5">
        <f>CF20+預測IC!CG20</f>
        <v>2.0424775825645889</v>
      </c>
      <c r="CH20" s="5">
        <f>CG20+預測IC!CH20</f>
        <v>2.0646728115887218</v>
      </c>
      <c r="CI20" s="5">
        <f>CH20+預測IC!CI20</f>
        <v>2.1498810140237974</v>
      </c>
      <c r="CJ20" s="5">
        <f>CI20+預測IC!CJ20</f>
        <v>2.2733213339111482</v>
      </c>
      <c r="CK20" s="5">
        <f>CJ20+預測IC!CK20</f>
        <v>2.3539109578517698</v>
      </c>
      <c r="CL20" s="5">
        <f>CK20+預測IC!CL20</f>
        <v>2.2045978072215182</v>
      </c>
      <c r="CM20" s="5">
        <f>CL20+預測IC!CM20</f>
        <v>2.393648972392139</v>
      </c>
      <c r="CN20" s="5">
        <f>CM20+預測IC!CN20</f>
        <v>2.3714895610216544</v>
      </c>
      <c r="CO20" s="5">
        <f>CN20+預測IC!CO20</f>
        <v>2.1429713578401133</v>
      </c>
      <c r="CP20" s="5">
        <f>CO20+預測IC!CP20</f>
        <v>1.9509401527310859</v>
      </c>
      <c r="CQ20" s="5">
        <f>CP20+預測IC!CQ20</f>
        <v>1.9740581980313689</v>
      </c>
      <c r="CR20" s="5">
        <f>CQ20+預測IC!CR20</f>
        <v>1.7785720875464268</v>
      </c>
      <c r="CS20" s="5">
        <f>CR20+預測IC!CS20</f>
        <v>1.8008658875464267</v>
      </c>
      <c r="CT20" s="5">
        <f>CS20+預測IC!CT20</f>
        <v>1.7827891767665918</v>
      </c>
      <c r="CU20" s="5">
        <f>CT20+預測IC!CU20</f>
        <v>1.9295171858382185</v>
      </c>
      <c r="CV20" s="5">
        <f>CU20+預測IC!CV20</f>
        <v>1.8325129858382185</v>
      </c>
      <c r="CW20" s="5">
        <f>CV20+預測IC!CW20</f>
        <v>1.900416694013064</v>
      </c>
      <c r="CX20" s="5">
        <f>CW20+預測IC!CX20</f>
        <v>1.7552625060131972</v>
      </c>
      <c r="CY20" s="5">
        <f>CX20+預測IC!CY20</f>
        <v>1.6542958489013737</v>
      </c>
      <c r="CZ20" s="5">
        <f>CY20+預測IC!CZ20</f>
        <v>1.6412332150390432</v>
      </c>
      <c r="DA20" s="5">
        <f>CZ20+預測IC!DA20</f>
        <v>1.5937613218838655</v>
      </c>
      <c r="DB20" s="5">
        <f>DA20+預測IC!DB20</f>
        <v>1.6506640316409997</v>
      </c>
      <c r="DC20" s="5">
        <f>DB20+預測IC!DC20</f>
        <v>1.7002771008765556</v>
      </c>
      <c r="DD20" s="5">
        <f>DC20+預測IC!DD20</f>
        <v>1.7038742856335058</v>
      </c>
      <c r="DE20" s="5">
        <f>DD20+預測IC!DE20</f>
        <v>1.7142930072403586</v>
      </c>
      <c r="DF20" s="5">
        <f>DE20+預測IC!DF20</f>
        <v>1.7597929657311571</v>
      </c>
      <c r="DG20" s="5">
        <f>DF20+預測IC!DG20</f>
        <v>1.8838662737152783</v>
      </c>
      <c r="DH20" s="5">
        <f>DG20+預測IC!DH20</f>
        <v>1.6055666737152783</v>
      </c>
      <c r="DI20" s="5">
        <f>DH20+預測IC!DI20</f>
        <v>1.6798150093073716</v>
      </c>
      <c r="DJ20" s="5">
        <f>DI20+預測IC!DJ20</f>
        <v>1.5432569168746741</v>
      </c>
      <c r="DK20" s="5">
        <f>DJ20+預測IC!DK20</f>
        <v>1.5224912583866794</v>
      </c>
      <c r="DL20" s="5">
        <f>DK20+預測IC!DL20</f>
        <v>1.5419566317202993</v>
      </c>
      <c r="DM20" s="5">
        <f>DL20+預測IC!DM20</f>
        <v>1.5848214058286452</v>
      </c>
      <c r="DN20" s="5">
        <f>DM20+預測IC!DN20</f>
        <v>1.768056139449814</v>
      </c>
      <c r="DO20" s="5">
        <f>DN20+預測IC!DO20</f>
        <v>1.8178769941267099</v>
      </c>
      <c r="DP20" s="5">
        <f>DO20+預測IC!DP20</f>
        <v>1.8277075255175972</v>
      </c>
      <c r="DQ20" s="5">
        <f>DP20+預測IC!DQ20</f>
        <v>1.7702473438928972</v>
      </c>
      <c r="DR20" s="5">
        <f>DQ20+預測IC!DR20</f>
        <v>1.7146895438928971</v>
      </c>
      <c r="DS20" s="5">
        <f>DR20+預測IC!DS20</f>
        <v>1.6448967859946146</v>
      </c>
      <c r="DT20" s="5">
        <f>DS20+預測IC!DT20</f>
        <v>1.6152114471957721</v>
      </c>
      <c r="DU20" s="5">
        <f>DT20+預測IC!DU20</f>
        <v>1.3425671193538267</v>
      </c>
      <c r="DV20" s="5">
        <f>DU20+預測IC!DV20</f>
        <v>1.2405249381713515</v>
      </c>
      <c r="DW20" s="5">
        <f>DV20+預測IC!DW20</f>
        <v>1.3095851421293911</v>
      </c>
      <c r="DX20" s="5">
        <f>DW20+預測IC!DX20</f>
        <v>1.4074363603341165</v>
      </c>
      <c r="DY20" s="5">
        <f>DX20+預測IC!DY20</f>
        <v>1.2200345302949231</v>
      </c>
      <c r="DZ20" s="5">
        <f>DY20+預測IC!DZ20</f>
        <v>1.2381496568073058</v>
      </c>
      <c r="EA20" s="5">
        <f>DZ20+預測IC!EA20</f>
        <v>1.5318408568073059</v>
      </c>
      <c r="EB20" s="5">
        <f>EA20+預測IC!EB20</f>
        <v>1.6142479992517256</v>
      </c>
      <c r="EC20" s="5">
        <f>EB20+預測IC!EC20</f>
        <v>1.4832418534896581</v>
      </c>
      <c r="ED20" s="5">
        <f>EC20+預測IC!ED20</f>
        <v>1.4254142892894595</v>
      </c>
      <c r="EE20" s="5">
        <f>ED20+預測IC!EE20</f>
        <v>1.4053967019924407</v>
      </c>
      <c r="EF20" s="5">
        <f>EE20+預測IC!EH20</f>
        <v>1.4053967019924407</v>
      </c>
    </row>
    <row r="21" spans="1:136">
      <c r="A21" s="1">
        <v>241</v>
      </c>
      <c r="B21" s="1">
        <v>4</v>
      </c>
      <c r="C21" s="5">
        <v>1.038483447742689E-2</v>
      </c>
      <c r="D21" s="5">
        <f>C21+預測IC!D21</f>
        <v>0.13677383447742689</v>
      </c>
      <c r="E21" s="5">
        <f>D21+預測IC!E21</f>
        <v>9.3056279597705877E-2</v>
      </c>
      <c r="F21" s="5">
        <f>E21+預測IC!F21</f>
        <v>0.27709486120383586</v>
      </c>
      <c r="G21" s="5">
        <f>F21+預測IC!G21</f>
        <v>0.13325271009127138</v>
      </c>
      <c r="H21" s="5">
        <f>G21+預測IC!H21</f>
        <v>9.5408633062978976E-2</v>
      </c>
      <c r="I21" s="5">
        <f>H21+預測IC!I21</f>
        <v>-5.1846975064494011E-2</v>
      </c>
      <c r="J21" s="5">
        <f>I21+預測IC!J21</f>
        <v>8.588350627148307E-3</v>
      </c>
      <c r="K21" s="5">
        <f>J21+預測IC!K21</f>
        <v>0.2154683766305438</v>
      </c>
      <c r="L21" s="5">
        <f>K21+預測IC!L21</f>
        <v>0.15824220976559938</v>
      </c>
      <c r="M21" s="5">
        <f>L21+預測IC!M21</f>
        <v>5.8557616357388126E-2</v>
      </c>
      <c r="N21" s="5">
        <f>M21+預測IC!N21</f>
        <v>0.19760829221818793</v>
      </c>
      <c r="O21" s="5">
        <f>N21+預測IC!O21</f>
        <v>0.3273907507485414</v>
      </c>
      <c r="P21" s="5">
        <f>O21+預測IC!P21</f>
        <v>0.36728247360864413</v>
      </c>
      <c r="Q21" s="5">
        <f>P21+預測IC!Q21</f>
        <v>0.62459254770289641</v>
      </c>
      <c r="R21" s="5">
        <f>Q21+預測IC!R21</f>
        <v>0.72016785880952661</v>
      </c>
      <c r="S21" s="5">
        <f>R21+預測IC!S21</f>
        <v>0.9293273342844911</v>
      </c>
      <c r="T21" s="5">
        <f>S21+預測IC!T21</f>
        <v>0.94336769862469605</v>
      </c>
      <c r="U21" s="5">
        <f>T21+預測IC!U21</f>
        <v>1.0296461162364541</v>
      </c>
      <c r="V21" s="5">
        <f>U21+預測IC!V21</f>
        <v>1.1350168866258086</v>
      </c>
      <c r="W21" s="5">
        <f>V21+預測IC!W21</f>
        <v>1.4579374353139956</v>
      </c>
      <c r="X21" s="5">
        <f>W21+預測IC!X21</f>
        <v>1.6657384353139957</v>
      </c>
      <c r="Y21" s="5">
        <f>X21+預測IC!Y21</f>
        <v>1.7584676592602002</v>
      </c>
      <c r="Z21" s="5">
        <f>Y21+預測IC!Z21</f>
        <v>1.8726716464829247</v>
      </c>
      <c r="AA21" s="5">
        <f>Z21+預測IC!AA21</f>
        <v>1.8921626900230186</v>
      </c>
      <c r="AB21" s="5">
        <f>AA21+預測IC!AB21</f>
        <v>1.7623231076259489</v>
      </c>
      <c r="AC21" s="5">
        <f>AB21+預測IC!AC21</f>
        <v>1.7811508443327491</v>
      </c>
      <c r="AD21" s="5">
        <f>AC21+預測IC!AD21</f>
        <v>1.807084120330184</v>
      </c>
      <c r="AE21" s="5">
        <f>AD21+預測IC!AE21</f>
        <v>1.9351890991264298</v>
      </c>
      <c r="AF21" s="5">
        <f>AE21+預測IC!AF21</f>
        <v>1.6400448410430664</v>
      </c>
      <c r="AG21" s="5">
        <f>AF21+預測IC!AG21</f>
        <v>1.6289982689366225</v>
      </c>
      <c r="AH21" s="5">
        <f>AG21+預測IC!AH21</f>
        <v>1.8693495245953893</v>
      </c>
      <c r="AI21" s="5">
        <f>AH21+預測IC!AI21</f>
        <v>1.8016198440002382</v>
      </c>
      <c r="AJ21" s="5">
        <f>AI21+預測IC!AJ21</f>
        <v>1.722678679988539</v>
      </c>
      <c r="AK21" s="5">
        <f>AJ21+預測IC!AK21</f>
        <v>1.7409970488978517</v>
      </c>
      <c r="AL21" s="5">
        <f>AK21+預測IC!AL21</f>
        <v>1.8063768716309623</v>
      </c>
      <c r="AM21" s="5">
        <f>AL21+預測IC!AM21</f>
        <v>1.8749126790785928</v>
      </c>
      <c r="AN21" s="5">
        <f>AM21+預測IC!AN21</f>
        <v>1.9868687351416872</v>
      </c>
      <c r="AO21" s="5">
        <f>AN21+預測IC!AO21</f>
        <v>2.0724365100555744</v>
      </c>
      <c r="AP21" s="5">
        <f>AO21+預測IC!AP21</f>
        <v>2.0534927600555744</v>
      </c>
      <c r="AQ21" s="5">
        <f>AP21+預測IC!AQ21</f>
        <v>1.9766272530450266</v>
      </c>
      <c r="AR21" s="5">
        <f>AQ21+預測IC!AR21</f>
        <v>2.0246155030450268</v>
      </c>
      <c r="AS21" s="5">
        <f>AR21+預測IC!AS21</f>
        <v>2.0890713716916562</v>
      </c>
      <c r="AT21" s="5">
        <f>AS21+預測IC!AT21</f>
        <v>2.3539096292396535</v>
      </c>
      <c r="AU21" s="5">
        <f>AT21+預測IC!AU21</f>
        <v>2.4173649588529336</v>
      </c>
      <c r="AV21" s="5">
        <f>AU21+預測IC!AV21</f>
        <v>2.4682642088529336</v>
      </c>
      <c r="AW21" s="5">
        <f>AV21+預測IC!AW21</f>
        <v>2.4584731788988363</v>
      </c>
      <c r="AX21" s="5">
        <f>AW21+預測IC!AX21</f>
        <v>2.240754876381799</v>
      </c>
      <c r="AY21" s="5">
        <f>AX21+預測IC!AY21</f>
        <v>2.3064771711143059</v>
      </c>
      <c r="AZ21" s="5">
        <f>AY21+預測IC!AZ21</f>
        <v>2.2134177769857128</v>
      </c>
      <c r="BA21" s="5">
        <f>AZ21+預測IC!BA21</f>
        <v>2.1423855953376272</v>
      </c>
      <c r="BB21" s="5">
        <f>BA21+預測IC!BB21</f>
        <v>2.4368988453376272</v>
      </c>
      <c r="BC21" s="5">
        <f>BB21+預測IC!BC21</f>
        <v>2.4752199930628209</v>
      </c>
      <c r="BD21" s="5">
        <f>BC21+預測IC!BD21</f>
        <v>2.4534691296921931</v>
      </c>
      <c r="BE21" s="5">
        <f>BD21+預測IC!BE21</f>
        <v>2.4471185962947914</v>
      </c>
      <c r="BF21" s="5">
        <f>BE21+預測IC!BF21</f>
        <v>2.6462358127253944</v>
      </c>
      <c r="BG21" s="5">
        <f>BF21+預測IC!BG21</f>
        <v>2.6828710019422068</v>
      </c>
      <c r="BH21" s="5">
        <f>BG21+預測IC!BH21</f>
        <v>2.6065496388034517</v>
      </c>
      <c r="BI21" s="5">
        <f>BH21+預測IC!BI21</f>
        <v>2.7604242848957083</v>
      </c>
      <c r="BJ21" s="5">
        <f>BI21+預測IC!BJ21</f>
        <v>2.7924067993067005</v>
      </c>
      <c r="BK21" s="5">
        <f>BJ21+預測IC!BK21</f>
        <v>2.7094336374166348</v>
      </c>
      <c r="BL21" s="5">
        <f>BK21+預測IC!BL21</f>
        <v>2.7967744278843329</v>
      </c>
      <c r="BM21" s="5">
        <f>BL21+預測IC!BM21</f>
        <v>2.8375697139130538</v>
      </c>
      <c r="BN21" s="5">
        <f>BM21+預測IC!BN21</f>
        <v>3.025817216505442</v>
      </c>
      <c r="BO21" s="5">
        <f>BN21+預測IC!BO21</f>
        <v>3.0896744529191222</v>
      </c>
      <c r="BP21" s="5">
        <f>BO21+預測IC!BP21</f>
        <v>3.0854944529191224</v>
      </c>
      <c r="BQ21" s="5">
        <f>BP21+預測IC!BQ21</f>
        <v>3.0126037098847793</v>
      </c>
      <c r="BR21" s="5">
        <f>BQ21+預測IC!BR21</f>
        <v>3.0249275720686439</v>
      </c>
      <c r="BS21" s="5">
        <f>BR21+預測IC!BS21</f>
        <v>3.0906693930289912</v>
      </c>
      <c r="BT21" s="5">
        <f>BS21+預測IC!BT21</f>
        <v>2.997717189680734</v>
      </c>
      <c r="BU21" s="5">
        <f>BT21+預測IC!BU21</f>
        <v>3.133213651879303</v>
      </c>
      <c r="BV21" s="5">
        <f>BU21+預測IC!BV21</f>
        <v>3.1139734018793028</v>
      </c>
      <c r="BW21" s="5">
        <f>BV21+預測IC!BW21</f>
        <v>3.2984340725997119</v>
      </c>
      <c r="BX21" s="5">
        <f>BW21+預測IC!BX21</f>
        <v>3.2100547378120732</v>
      </c>
      <c r="BY21" s="5">
        <f>BX21+預測IC!BY21</f>
        <v>3.1951349878120734</v>
      </c>
      <c r="BZ21" s="5">
        <f>BY21+預測IC!BZ21</f>
        <v>3.1474720590913576</v>
      </c>
      <c r="CA21" s="5">
        <f>BZ21+預測IC!CA21</f>
        <v>3.086954455788959</v>
      </c>
      <c r="CB21" s="5">
        <f>CA21+預測IC!CB21</f>
        <v>2.879084205788959</v>
      </c>
      <c r="CC21" s="5">
        <f>CB21+預測IC!CC21</f>
        <v>2.8710647057889589</v>
      </c>
      <c r="CD21" s="5">
        <f>CC21+預測IC!CD21</f>
        <v>2.7202763155866783</v>
      </c>
      <c r="CE21" s="5">
        <f>CD21+預測IC!CE21</f>
        <v>2.3252003731216329</v>
      </c>
      <c r="CF21" s="5">
        <f>CE21+預測IC!CF21</f>
        <v>2.2106742155104646</v>
      </c>
      <c r="CG21" s="5">
        <f>CF21+預測IC!CG21</f>
        <v>2.1255888800363336</v>
      </c>
      <c r="CH21" s="5">
        <f>CG21+預測IC!CH21</f>
        <v>2.282215320663302</v>
      </c>
      <c r="CI21" s="5">
        <f>CH21+預測IC!CI21</f>
        <v>2.355398047738301</v>
      </c>
      <c r="CJ21" s="5">
        <f>CI21+預測IC!CJ21</f>
        <v>2.4410258047548035</v>
      </c>
      <c r="CK21" s="5">
        <f>CJ21+預測IC!CK21</f>
        <v>2.5081854350516593</v>
      </c>
      <c r="CL21" s="5">
        <f>CK21+預測IC!CL21</f>
        <v>2.3207523135109325</v>
      </c>
      <c r="CM21" s="5">
        <f>CL21+預測IC!CM21</f>
        <v>2.5462553019143037</v>
      </c>
      <c r="CN21" s="5">
        <f>CM21+預測IC!CN21</f>
        <v>2.5157164117105282</v>
      </c>
      <c r="CO21" s="5">
        <f>CN21+預測IC!CO21</f>
        <v>2.2779244305711357</v>
      </c>
      <c r="CP21" s="5">
        <f>CO21+預測IC!CP21</f>
        <v>2.0552243696932231</v>
      </c>
      <c r="CQ21" s="5">
        <f>CP21+預測IC!CQ21</f>
        <v>2.0781365638627194</v>
      </c>
      <c r="CR21" s="5">
        <f>CQ21+預測IC!CR21</f>
        <v>1.8390765975014516</v>
      </c>
      <c r="CS21" s="5">
        <f>CR21+預測IC!CS21</f>
        <v>1.8699838475014516</v>
      </c>
      <c r="CT21" s="5">
        <f>CS21+預測IC!CT21</f>
        <v>1.7839112906300556</v>
      </c>
      <c r="CU21" s="5">
        <f>CT21+預測IC!CU21</f>
        <v>1.9428279129475057</v>
      </c>
      <c r="CV21" s="5">
        <f>CU21+預測IC!CV21</f>
        <v>1.8112001629475056</v>
      </c>
      <c r="CW21" s="5">
        <f>CV21+預測IC!CW21</f>
        <v>1.8495456798191883</v>
      </c>
      <c r="CX21" s="5">
        <f>CW21+預測IC!CX21</f>
        <v>1.6925768329075768</v>
      </c>
      <c r="CY21" s="5">
        <f>CX21+預測IC!CY21</f>
        <v>1.5401245266622576</v>
      </c>
      <c r="CZ21" s="5">
        <f>CY21+預測IC!CZ21</f>
        <v>1.5262773202505571</v>
      </c>
      <c r="DA21" s="5">
        <f>CZ21+預測IC!DA21</f>
        <v>1.5274695767072888</v>
      </c>
      <c r="DB21" s="5">
        <f>DA21+預測IC!DB21</f>
        <v>1.5790940103834434</v>
      </c>
      <c r="DC21" s="5">
        <f>DB21+預測IC!DC21</f>
        <v>1.6241415696067341</v>
      </c>
      <c r="DD21" s="5">
        <f>DC21+預測IC!DD21</f>
        <v>1.6269603639978047</v>
      </c>
      <c r="DE21" s="5">
        <f>DD21+預測IC!DE21</f>
        <v>1.6559381010581313</v>
      </c>
      <c r="DF21" s="5">
        <f>DE21+預測IC!DF21</f>
        <v>1.8047470035478743</v>
      </c>
      <c r="DG21" s="5">
        <f>DF21+預測IC!DG21</f>
        <v>1.9529319346796039</v>
      </c>
      <c r="DH21" s="5">
        <f>DG21+預測IC!DH21</f>
        <v>1.8714949346796039</v>
      </c>
      <c r="DI21" s="5">
        <f>DH21+預測IC!DI21</f>
        <v>1.9616441373974245</v>
      </c>
      <c r="DJ21" s="5">
        <f>DI21+預測IC!DJ21</f>
        <v>1.8050384189337829</v>
      </c>
      <c r="DK21" s="5">
        <f>DJ21+預測IC!DK21</f>
        <v>1.7840723567817645</v>
      </c>
      <c r="DL21" s="5">
        <f>DK21+預測IC!DL21</f>
        <v>1.7968093482827776</v>
      </c>
      <c r="DM21" s="5">
        <f>DL21+預測IC!DM21</f>
        <v>1.7925547842618921</v>
      </c>
      <c r="DN21" s="5">
        <f>DM21+預測IC!DN21</f>
        <v>2.0128504251264197</v>
      </c>
      <c r="DO21" s="5">
        <f>DN21+預測IC!DO21</f>
        <v>1.9942916160686321</v>
      </c>
      <c r="DP21" s="5">
        <f>DO21+預測IC!DP21</f>
        <v>2.018557771162198</v>
      </c>
      <c r="DQ21" s="5">
        <f>DP21+預測IC!DQ21</f>
        <v>1.9481350723540147</v>
      </c>
      <c r="DR21" s="5">
        <f>DQ21+預測IC!DR21</f>
        <v>1.8945783223540147</v>
      </c>
      <c r="DS21" s="5">
        <f>DR21+預測IC!DS21</f>
        <v>1.8099728887484787</v>
      </c>
      <c r="DT21" s="5">
        <f>DS21+預測IC!DT21</f>
        <v>1.8047576984017994</v>
      </c>
      <c r="DU21" s="5">
        <f>DT21+預測IC!DU21</f>
        <v>1.4649510595442314</v>
      </c>
      <c r="DV21" s="5">
        <f>DU21+預測IC!DV21</f>
        <v>1.3100528084143268</v>
      </c>
      <c r="DW21" s="5">
        <f>DV21+預測IC!DW21</f>
        <v>1.4383006770784479</v>
      </c>
      <c r="DX21" s="5">
        <f>DW21+預測IC!DX21</f>
        <v>1.5551295669532303</v>
      </c>
      <c r="DY21" s="5">
        <f>DX21+預測IC!DY21</f>
        <v>1.3294676857652412</v>
      </c>
      <c r="DZ21" s="5">
        <f>DY21+預測IC!DZ21</f>
        <v>1.5093587074901416</v>
      </c>
      <c r="EA21" s="5">
        <f>DZ21+預測IC!EA21</f>
        <v>1.7754164574901417</v>
      </c>
      <c r="EB21" s="5">
        <f>EA21+預測IC!EB21</f>
        <v>1.8017186514886756</v>
      </c>
      <c r="EC21" s="5">
        <f>EB21+預測IC!EC21</f>
        <v>1.6616246335364497</v>
      </c>
      <c r="ED21" s="5">
        <f>EC21+預測IC!ED21</f>
        <v>1.7907798368736361</v>
      </c>
      <c r="EE21" s="5">
        <f>ED21+預測IC!EE21</f>
        <v>1.8017357822805105</v>
      </c>
      <c r="EF21" s="5">
        <f>EE21+預測IC!EH21</f>
        <v>1.8017357822805105</v>
      </c>
    </row>
    <row r="22" spans="1:136">
      <c r="A22" s="1">
        <v>321</v>
      </c>
      <c r="B22" s="1">
        <v>3</v>
      </c>
      <c r="C22" s="5">
        <v>2.5922326608526759E-2</v>
      </c>
      <c r="D22" s="5">
        <f>C22+預測IC!D22</f>
        <v>0.16835165994186005</v>
      </c>
      <c r="E22" s="5">
        <f>D22+預測IC!E22</f>
        <v>0.14612124768262191</v>
      </c>
      <c r="F22" s="5">
        <f>E22+預測IC!F22</f>
        <v>0.21395230860389947</v>
      </c>
      <c r="G22" s="5">
        <f>F22+預測IC!G22</f>
        <v>0.11006794531356537</v>
      </c>
      <c r="H22" s="5">
        <f>G22+預測IC!H22</f>
        <v>-0.11973759917783522</v>
      </c>
      <c r="I22" s="5">
        <f>H22+預測IC!I22</f>
        <v>-0.24323076851590503</v>
      </c>
      <c r="J22" s="5">
        <f>I22+預測IC!J22</f>
        <v>-0.19063217925056211</v>
      </c>
      <c r="K22" s="5">
        <f>J22+預測IC!K22</f>
        <v>5.4733733432193593E-2</v>
      </c>
      <c r="L22" s="5">
        <f>K22+預測IC!L22</f>
        <v>-5.2753435219048211E-2</v>
      </c>
      <c r="M22" s="5">
        <f>L22+預測IC!M22</f>
        <v>-0.12685349398962076</v>
      </c>
      <c r="N22" s="5">
        <f>M22+預測IC!N22</f>
        <v>-2.8822633181987994E-2</v>
      </c>
      <c r="O22" s="5">
        <f>N22+預測IC!O22</f>
        <v>0.1146577128222844</v>
      </c>
      <c r="P22" s="5">
        <f>O22+預測IC!P22</f>
        <v>0.15751620134127431</v>
      </c>
      <c r="Q22" s="5">
        <f>P22+預測IC!Q22</f>
        <v>0.43429309517432613</v>
      </c>
      <c r="R22" s="5">
        <f>Q22+預測IC!R22</f>
        <v>0.4709215294459142</v>
      </c>
      <c r="S22" s="5">
        <f>R22+預測IC!S22</f>
        <v>0.71797815897564377</v>
      </c>
      <c r="T22" s="5">
        <f>S22+預測IC!T22</f>
        <v>0.73821677145247777</v>
      </c>
      <c r="U22" s="5">
        <f>T22+預測IC!U22</f>
        <v>0.84880679485498201</v>
      </c>
      <c r="V22" s="5">
        <f>U22+預測IC!V22</f>
        <v>0.90583092948927169</v>
      </c>
      <c r="W22" s="5">
        <f>V22+預測IC!W22</f>
        <v>1.2520244147885202</v>
      </c>
      <c r="X22" s="5">
        <f>W22+預測IC!X22</f>
        <v>1.5092264147885202</v>
      </c>
      <c r="Y22" s="5">
        <f>X22+預測IC!Y22</f>
        <v>1.5571647469682885</v>
      </c>
      <c r="Z22" s="5">
        <f>Y22+預測IC!Z22</f>
        <v>1.6327130161141346</v>
      </c>
      <c r="AA22" s="5">
        <f>Z22+預測IC!AA22</f>
        <v>1.6397610330009913</v>
      </c>
      <c r="AB22" s="5">
        <f>AA22+預測IC!AB22</f>
        <v>1.5053248202876657</v>
      </c>
      <c r="AC22" s="5">
        <f>AB22+預測IC!AC22</f>
        <v>1.5911012810030982</v>
      </c>
      <c r="AD22" s="5">
        <f>AC22+預測IC!AD22</f>
        <v>1.6096950302177595</v>
      </c>
      <c r="AE22" s="5">
        <f>AD22+預測IC!AE22</f>
        <v>1.7405188730340937</v>
      </c>
      <c r="AF22" s="5">
        <f>AE22+預測IC!AF22</f>
        <v>1.3106021049854817</v>
      </c>
      <c r="AG22" s="5">
        <f>AF22+預測IC!AG22</f>
        <v>1.2997900044186395</v>
      </c>
      <c r="AH22" s="5">
        <f>AG22+預測IC!AH22</f>
        <v>1.5474122505820407</v>
      </c>
      <c r="AI22" s="5">
        <f>AH22+預測IC!AI22</f>
        <v>1.4800193495708547</v>
      </c>
      <c r="AJ22" s="5">
        <f>AI22+預測IC!AJ22</f>
        <v>1.4341532200727001</v>
      </c>
      <c r="AK22" s="5">
        <f>AJ22+預測IC!AK22</f>
        <v>1.5127289887776143</v>
      </c>
      <c r="AL22" s="5">
        <f>AK22+預測IC!AL22</f>
        <v>1.5530699555845147</v>
      </c>
      <c r="AM22" s="5">
        <f>AL22+預測IC!AM22</f>
        <v>1.6371588590522181</v>
      </c>
      <c r="AN22" s="5">
        <f>AM22+預測IC!AN22</f>
        <v>1.7482916687157775</v>
      </c>
      <c r="AO22" s="5">
        <f>AN22+預測IC!AO22</f>
        <v>1.9064445440095044</v>
      </c>
      <c r="AP22" s="5">
        <f>AO22+預測IC!AP22</f>
        <v>1.8859512106761711</v>
      </c>
      <c r="AQ22" s="5">
        <f>AP22+預測IC!AQ22</f>
        <v>1.806525093197578</v>
      </c>
      <c r="AR22" s="5">
        <f>AQ22+預測IC!AR22</f>
        <v>1.8744497598642447</v>
      </c>
      <c r="AS22" s="5">
        <f>AR22+預測IC!AS22</f>
        <v>1.9572601987627947</v>
      </c>
      <c r="AT22" s="5">
        <f>AS22+預測IC!AT22</f>
        <v>1.9749885697572314</v>
      </c>
      <c r="AU22" s="5">
        <f>AT22+預測IC!AU22</f>
        <v>2.0849031670754159</v>
      </c>
      <c r="AV22" s="5">
        <f>AU22+預測IC!AV22</f>
        <v>2.1445508337420827</v>
      </c>
      <c r="AW22" s="5">
        <f>AV22+預測IC!AW22</f>
        <v>2.1747002229490917</v>
      </c>
      <c r="AX22" s="5">
        <f>AW22+預測IC!AX22</f>
        <v>2.1845754089547857</v>
      </c>
      <c r="AY22" s="5">
        <f>AX22+預測IC!AY22</f>
        <v>2.2830316850841492</v>
      </c>
      <c r="AZ22" s="5">
        <f>AY22+預測IC!AZ22</f>
        <v>2.0555461888506956</v>
      </c>
      <c r="BA22" s="5">
        <f>AZ22+預測IC!BA22</f>
        <v>2.0099477636832335</v>
      </c>
      <c r="BB22" s="5">
        <f>BA22+預測IC!BB22</f>
        <v>2.3794990970165668</v>
      </c>
      <c r="BC22" s="5">
        <f>BB22+預測IC!BC22</f>
        <v>2.2486621588936115</v>
      </c>
      <c r="BD22" s="5">
        <f>BC22+預測IC!BD22</f>
        <v>2.2264879774277833</v>
      </c>
      <c r="BE22" s="5">
        <f>BD22+預測IC!BE22</f>
        <v>2.204271794033303</v>
      </c>
      <c r="BF22" s="5">
        <f>BE22+預測IC!BF22</f>
        <v>2.4033742425817417</v>
      </c>
      <c r="BG22" s="5">
        <f>BF22+預測IC!BG22</f>
        <v>2.4496537547501278</v>
      </c>
      <c r="BH22" s="5">
        <f>BG22+預測IC!BH22</f>
        <v>2.3216932124119958</v>
      </c>
      <c r="BI22" s="5">
        <f>BH22+預測IC!BI22</f>
        <v>2.4090112715891716</v>
      </c>
      <c r="BJ22" s="5">
        <f>BI22+預測IC!BJ22</f>
        <v>2.398777296140068</v>
      </c>
      <c r="BK22" s="5">
        <f>BJ22+預測IC!BK22</f>
        <v>2.3779225408103013</v>
      </c>
      <c r="BL22" s="5">
        <f>BK22+預測IC!BL22</f>
        <v>2.5173939312111648</v>
      </c>
      <c r="BM22" s="5">
        <f>BL22+預測IC!BM22</f>
        <v>2.5198244144566981</v>
      </c>
      <c r="BN22" s="5">
        <f>BM22+預測IC!BN22</f>
        <v>2.4913056079927229</v>
      </c>
      <c r="BO22" s="5">
        <f>BN22+預測IC!BO22</f>
        <v>2.5417900371054731</v>
      </c>
      <c r="BP22" s="5">
        <f>BO22+預測IC!BP22</f>
        <v>2.5412500371054731</v>
      </c>
      <c r="BQ22" s="5">
        <f>BP22+預測IC!BQ22</f>
        <v>2.4500218459110639</v>
      </c>
      <c r="BR22" s="5">
        <f>BQ22+預測IC!BR22</f>
        <v>2.4708354553775167</v>
      </c>
      <c r="BS22" s="5">
        <f>BR22+預測IC!BS22</f>
        <v>2.5678830450820618</v>
      </c>
      <c r="BT22" s="5">
        <f>BS22+預測IC!BT22</f>
        <v>2.6350262604997869</v>
      </c>
      <c r="BU22" s="5">
        <f>BT22+預測IC!BU22</f>
        <v>2.8479750266377972</v>
      </c>
      <c r="BV22" s="5">
        <f>BU22+預測IC!BV22</f>
        <v>2.8472943599711305</v>
      </c>
      <c r="BW22" s="5">
        <f>BV22+預測IC!BW22</f>
        <v>2.9794661515069119</v>
      </c>
      <c r="BX22" s="5">
        <f>BW22+預測IC!BX22</f>
        <v>2.8265287812569198</v>
      </c>
      <c r="BY22" s="5">
        <f>BX22+預測IC!BY22</f>
        <v>2.8588791145902532</v>
      </c>
      <c r="BZ22" s="5">
        <f>BY22+預測IC!BZ22</f>
        <v>2.8116213787273612</v>
      </c>
      <c r="CA22" s="5">
        <f>BZ22+預測IC!CA22</f>
        <v>2.7841313002470378</v>
      </c>
      <c r="CB22" s="5">
        <f>CA22+預測IC!CB22</f>
        <v>2.5293913002470378</v>
      </c>
      <c r="CC22" s="5">
        <f>CB22+預測IC!CC22</f>
        <v>2.4042863002470378</v>
      </c>
      <c r="CD22" s="5">
        <f>CC22+預測IC!CD22</f>
        <v>2.0885146400441887</v>
      </c>
      <c r="CE22" s="5">
        <f>CD22+預測IC!CE22</f>
        <v>1.6951273009399106</v>
      </c>
      <c r="CF22" s="5">
        <f>CE22+預測IC!CF22</f>
        <v>1.5943569439058458</v>
      </c>
      <c r="CG22" s="5">
        <f>CF22+預測IC!CG22</f>
        <v>1.3872716112723329</v>
      </c>
      <c r="CH22" s="5">
        <f>CG22+預測IC!CH22</f>
        <v>1.5408778960818763</v>
      </c>
      <c r="CI22" s="5">
        <f>CH22+預測IC!CI22</f>
        <v>1.6054952188922504</v>
      </c>
      <c r="CJ22" s="5">
        <f>CI22+預測IC!CJ22</f>
        <v>1.7088747239818132</v>
      </c>
      <c r="CK22" s="5">
        <f>CJ22+預測IC!CK22</f>
        <v>1.8197982642685955</v>
      </c>
      <c r="CL22" s="5">
        <f>CK22+預測IC!CL22</f>
        <v>1.72480125224505</v>
      </c>
      <c r="CM22" s="5">
        <f>CL22+預測IC!CM22</f>
        <v>2.0452332559028754</v>
      </c>
      <c r="CN22" s="5">
        <f>CM22+預測IC!CN22</f>
        <v>2.053780027723783</v>
      </c>
      <c r="CO22" s="5">
        <f>CN22+預測IC!CO22</f>
        <v>1.8684942698185563</v>
      </c>
      <c r="CP22" s="5">
        <f>CO22+預測IC!CP22</f>
        <v>1.6090857128491538</v>
      </c>
      <c r="CQ22" s="5">
        <f>CP22+預測IC!CQ22</f>
        <v>1.6262453283682776</v>
      </c>
      <c r="CR22" s="5">
        <f>CQ22+預測IC!CR22</f>
        <v>1.3794725583763909</v>
      </c>
      <c r="CS22" s="5">
        <f>CR22+預測IC!CS22</f>
        <v>1.4039118917097242</v>
      </c>
      <c r="CT22" s="5">
        <f>CS22+預測IC!CT22</f>
        <v>1.2778205135209526</v>
      </c>
      <c r="CU22" s="5">
        <f>CT22+預測IC!CU22</f>
        <v>1.4451744247073208</v>
      </c>
      <c r="CV22" s="5">
        <f>CU22+預測IC!CV22</f>
        <v>1.2621290913739873</v>
      </c>
      <c r="CW22" s="5">
        <f>CV22+預測IC!CW22</f>
        <v>1.285013133705972</v>
      </c>
      <c r="CX22" s="5">
        <f>CW22+預測IC!CX22</f>
        <v>1.2307198382321682</v>
      </c>
      <c r="CY22" s="5">
        <f>CX22+預測IC!CY22</f>
        <v>1.0682799695187215</v>
      </c>
      <c r="CZ22" s="5">
        <f>CY22+預測IC!CZ22</f>
        <v>1.0606927230775824</v>
      </c>
      <c r="DA22" s="5">
        <f>CZ22+預測IC!DA22</f>
        <v>1.0567009691956584</v>
      </c>
      <c r="DB22" s="5">
        <f>DA22+預測IC!DB22</f>
        <v>1.1150844760241505</v>
      </c>
      <c r="DC22" s="5">
        <f>DB22+預測IC!DC22</f>
        <v>1.1358092604683081</v>
      </c>
      <c r="DD22" s="5">
        <f>DC22+預測IC!DD22</f>
        <v>1.1675194295941336</v>
      </c>
      <c r="DE22" s="5">
        <f>DD22+預測IC!DE22</f>
        <v>1.1497629260922007</v>
      </c>
      <c r="DF22" s="5">
        <f>DE22+預測IC!DF22</f>
        <v>1.2468346317284276</v>
      </c>
      <c r="DG22" s="5">
        <f>DF22+預測IC!DG22</f>
        <v>1.3349560422314912</v>
      </c>
      <c r="DH22" s="5">
        <f>DG22+預測IC!DH22</f>
        <v>1.2535007088981578</v>
      </c>
      <c r="DI22" s="5">
        <f>DH22+預測IC!DI22</f>
        <v>1.3346062527384279</v>
      </c>
      <c r="DJ22" s="5">
        <f>DI22+預測IC!DJ22</f>
        <v>1.1809064899080983</v>
      </c>
      <c r="DK22" s="5">
        <f>DJ22+預測IC!DK22</f>
        <v>1.1575603132751369</v>
      </c>
      <c r="DL22" s="5">
        <f>DK22+預測IC!DL22</f>
        <v>1.1607736440182757</v>
      </c>
      <c r="DM22" s="5">
        <f>DL22+預測IC!DM22</f>
        <v>1.1180970949022349</v>
      </c>
      <c r="DN22" s="5">
        <f>DM22+預測IC!DN22</f>
        <v>1.4234721231744381</v>
      </c>
      <c r="DO22" s="5">
        <f>DN22+預測IC!DO22</f>
        <v>1.447240791461887</v>
      </c>
      <c r="DP22" s="5">
        <f>DO22+預測IC!DP22</f>
        <v>1.4574680493147909</v>
      </c>
      <c r="DQ22" s="5">
        <f>DP22+預測IC!DQ22</f>
        <v>1.2920638827701509</v>
      </c>
      <c r="DR22" s="5">
        <f>DQ22+預測IC!DR22</f>
        <v>1.2208278827701509</v>
      </c>
      <c r="DS22" s="5">
        <f>DR22+預測IC!DS22</f>
        <v>1.0913040434009458</v>
      </c>
      <c r="DT22" s="5">
        <f>DS22+預測IC!DT22</f>
        <v>1.1184327973791159</v>
      </c>
      <c r="DU22" s="5">
        <f>DT22+預測IC!DU22</f>
        <v>0.74316392503714379</v>
      </c>
      <c r="DV22" s="5">
        <f>DU22+預測IC!DV22</f>
        <v>0.58610155548739296</v>
      </c>
      <c r="DW22" s="5">
        <f>DV22+預測IC!DW22</f>
        <v>0.66449127919439011</v>
      </c>
      <c r="DX22" s="5">
        <f>DW22+預測IC!DX22</f>
        <v>0.82884340323592931</v>
      </c>
      <c r="DY22" s="5">
        <f>DX22+預測IC!DY22</f>
        <v>0.51108903087144686</v>
      </c>
      <c r="DZ22" s="5">
        <f>DY22+預測IC!DZ22</f>
        <v>0.67671527709720247</v>
      </c>
      <c r="EA22" s="5">
        <f>DZ22+預測IC!EA22</f>
        <v>0.81707161043053578</v>
      </c>
      <c r="EB22" s="5">
        <f>EA22+預測IC!EB22</f>
        <v>0.94683756073660486</v>
      </c>
      <c r="EC22" s="5">
        <f>EB22+預測IC!EC22</f>
        <v>0.97526637251465575</v>
      </c>
      <c r="ED22" s="5">
        <f>EC22+預測IC!ED22</f>
        <v>1.1589483590188117</v>
      </c>
      <c r="EE22" s="5">
        <f>ED22+預測IC!EE22</f>
        <v>1.1948477162148805</v>
      </c>
      <c r="EF22" s="5">
        <f>EE22+預測IC!EH22</f>
        <v>1.1948477162148805</v>
      </c>
    </row>
    <row r="23" spans="1:136">
      <c r="A23" s="1">
        <v>482</v>
      </c>
      <c r="B23" s="1">
        <v>2</v>
      </c>
      <c r="C23" s="5">
        <v>3.1325684581971477E-2</v>
      </c>
      <c r="D23" s="5">
        <f>C23+預測IC!D23</f>
        <v>0.28541968458197148</v>
      </c>
      <c r="E23" s="5">
        <f>D23+預測IC!E23</f>
        <v>0.27035809689500606</v>
      </c>
      <c r="F23" s="5">
        <f>E23+預測IC!F23</f>
        <v>0.45275417221588476</v>
      </c>
      <c r="G23" s="5">
        <f>F23+預測IC!G23</f>
        <v>0.47972574074025276</v>
      </c>
      <c r="H23" s="5">
        <f>G23+預測IC!H23</f>
        <v>0.21691549953879996</v>
      </c>
      <c r="I23" s="5">
        <f>H23+預測IC!I23</f>
        <v>6.8763470938505961E-2</v>
      </c>
      <c r="J23" s="5">
        <f>I23+預測IC!J23</f>
        <v>-2.9398820207946416E-2</v>
      </c>
      <c r="K23" s="5">
        <f>J23+預測IC!K23</f>
        <v>0.1132087549167085</v>
      </c>
      <c r="L23" s="5">
        <f>K23+預測IC!L23</f>
        <v>-0.11923560612575369</v>
      </c>
      <c r="M23" s="5">
        <f>L23+預測IC!M23</f>
        <v>-0.37768552248439607</v>
      </c>
      <c r="N23" s="5">
        <f>M23+預測IC!N23</f>
        <v>-0.25088550879206761</v>
      </c>
      <c r="O23" s="5">
        <f>N23+預測IC!O23</f>
        <v>-4.6321130819065526E-2</v>
      </c>
      <c r="P23" s="5">
        <f>O23+預測IC!P23</f>
        <v>-3.5637626059318778E-2</v>
      </c>
      <c r="Q23" s="5">
        <f>P23+預測IC!Q23</f>
        <v>-9.5205642959839271E-2</v>
      </c>
      <c r="R23" s="5">
        <f>Q23+預測IC!R23</f>
        <v>-3.8994499646584219E-2</v>
      </c>
      <c r="S23" s="5">
        <f>R23+預測IC!S23</f>
        <v>0.13030050026665979</v>
      </c>
      <c r="T23" s="5">
        <f>S23+預測IC!T23</f>
        <v>0.13067386947513854</v>
      </c>
      <c r="U23" s="5">
        <f>T23+預測IC!U23</f>
        <v>0.22443129191593292</v>
      </c>
      <c r="V23" s="5">
        <f>U23+預測IC!V23</f>
        <v>0.16107428093686688</v>
      </c>
      <c r="W23" s="5">
        <f>V23+預測IC!W23</f>
        <v>0.66499361212217756</v>
      </c>
      <c r="X23" s="5">
        <f>W23+預測IC!X23</f>
        <v>0.85954961212217751</v>
      </c>
      <c r="Y23" s="5">
        <f>X23+預測IC!Y23</f>
        <v>0.86713837555085571</v>
      </c>
      <c r="Z23" s="5">
        <f>Y23+預測IC!Z23</f>
        <v>0.90017089099473102</v>
      </c>
      <c r="AA23" s="5">
        <f>Z23+預測IC!AA23</f>
        <v>0.90677718296420129</v>
      </c>
      <c r="AB23" s="5">
        <f>AA23+預測IC!AB23</f>
        <v>0.84273740308741774</v>
      </c>
      <c r="AC23" s="5">
        <f>AB23+預測IC!AC23</f>
        <v>1.0114922027243305</v>
      </c>
      <c r="AD23" s="5">
        <f>AC23+預測IC!AD23</f>
        <v>1.0144874942948148</v>
      </c>
      <c r="AE23" s="5">
        <f>AD23+預測IC!AE23</f>
        <v>1.1516994830524747</v>
      </c>
      <c r="AF23" s="5">
        <f>AE23+預測IC!AF23</f>
        <v>0.82704015741226344</v>
      </c>
      <c r="AG23" s="5">
        <f>AF23+預測IC!AG23</f>
        <v>0.97293405035193548</v>
      </c>
      <c r="AH23" s="5">
        <f>AG23+預測IC!AH23</f>
        <v>0.83728513000126825</v>
      </c>
      <c r="AI23" s="5">
        <f>AH23+預測IC!AI23</f>
        <v>0.76183496026180597</v>
      </c>
      <c r="AJ23" s="5">
        <f>AI23+預測IC!AJ23</f>
        <v>0.77879741564695548</v>
      </c>
      <c r="AK23" s="5">
        <f>AJ23+預測IC!AK23</f>
        <v>0.86999663992221521</v>
      </c>
      <c r="AL23" s="5">
        <f>AK23+預測IC!AL23</f>
        <v>1.0014283531147508</v>
      </c>
      <c r="AM23" s="5">
        <f>AL23+預測IC!AM23</f>
        <v>1.0091978421196159</v>
      </c>
      <c r="AN23" s="5">
        <f>AM23+預測IC!AN23</f>
        <v>1.2515125414769166</v>
      </c>
      <c r="AO23" s="5">
        <f>AN23+預測IC!AO23</f>
        <v>1.3422950210065341</v>
      </c>
      <c r="AP23" s="5">
        <f>AO23+預測IC!AP23</f>
        <v>1.5075615210065341</v>
      </c>
      <c r="AQ23" s="5">
        <f>AP23+預測IC!AQ23</f>
        <v>1.4181365287469234</v>
      </c>
      <c r="AR23" s="5">
        <f>AQ23+預測IC!AR23</f>
        <v>1.5642725287469235</v>
      </c>
      <c r="AS23" s="5">
        <f>AR23+預測IC!AS23</f>
        <v>1.5495656407495459</v>
      </c>
      <c r="AT23" s="5">
        <f>AS23+預測IC!AT23</f>
        <v>1.6590715437144461</v>
      </c>
      <c r="AU23" s="5">
        <f>AT23+預測IC!AU23</f>
        <v>1.8626674348960319</v>
      </c>
      <c r="AV23" s="5">
        <f>AU23+預測IC!AV23</f>
        <v>1.7659114348960319</v>
      </c>
      <c r="AW23" s="5">
        <f>AV23+預測IC!AW23</f>
        <v>1.8179383447344346</v>
      </c>
      <c r="AX23" s="5">
        <f>AW23+預測IC!AX23</f>
        <v>1.8327511237429754</v>
      </c>
      <c r="AY23" s="5">
        <f>AX23+預測IC!AY23</f>
        <v>1.8908907238497654</v>
      </c>
      <c r="AZ23" s="5">
        <f>AY23+預測IC!AZ23</f>
        <v>1.5749062025939642</v>
      </c>
      <c r="BA23" s="5">
        <f>AZ23+預測IC!BA23</f>
        <v>1.584552982674065</v>
      </c>
      <c r="BB23" s="5">
        <f>BA23+預測IC!BB23</f>
        <v>2.1513804826740648</v>
      </c>
      <c r="BC23" s="5">
        <f>BB23+預測IC!BC23</f>
        <v>1.850552233500999</v>
      </c>
      <c r="BD23" s="5">
        <f>BC23+預測IC!BD23</f>
        <v>1.9453831148474492</v>
      </c>
      <c r="BE23" s="5">
        <f>BD23+預測IC!BE23</f>
        <v>2.0168138772447457</v>
      </c>
      <c r="BF23" s="5">
        <f>BE23+預測IC!BF23</f>
        <v>2.2268229901051968</v>
      </c>
      <c r="BG23" s="5">
        <f>BF23+預測IC!BG23</f>
        <v>2.3015844613019492</v>
      </c>
      <c r="BH23" s="5">
        <f>BG23+預測IC!BH23</f>
        <v>2.098100479946662</v>
      </c>
      <c r="BI23" s="5">
        <f>BH23+預測IC!BI23</f>
        <v>2.236320035173109</v>
      </c>
      <c r="BJ23" s="5">
        <f>BI23+預測IC!BJ23</f>
        <v>2.2943402487177513</v>
      </c>
      <c r="BK23" s="5">
        <f>BJ23+預測IC!BK23</f>
        <v>2.2893303852432161</v>
      </c>
      <c r="BL23" s="5">
        <f>BK23+預測IC!BL23</f>
        <v>2.403696675384885</v>
      </c>
      <c r="BM23" s="5">
        <f>BL23+預測IC!BM23</f>
        <v>2.3342012133604344</v>
      </c>
      <c r="BN23" s="5">
        <f>BM23+預測IC!BN23</f>
        <v>2.3075977433384569</v>
      </c>
      <c r="BO23" s="5">
        <f>BN23+預測IC!BO23</f>
        <v>2.2710728015924579</v>
      </c>
      <c r="BP23" s="5">
        <f>BO23+預測IC!BP23</f>
        <v>2.2485988015924581</v>
      </c>
      <c r="BQ23" s="5">
        <f>BP23+預測IC!BQ23</f>
        <v>2.1892423767320404</v>
      </c>
      <c r="BR23" s="5">
        <f>BQ23+預測IC!BR23</f>
        <v>2.2070866981960031</v>
      </c>
      <c r="BS23" s="5">
        <f>BR23+預測IC!BS23</f>
        <v>2.4276537925983939</v>
      </c>
      <c r="BT23" s="5">
        <f>BS23+預測IC!BT23</f>
        <v>2.4978430567630308</v>
      </c>
      <c r="BU23" s="5">
        <f>BT23+預測IC!BU23</f>
        <v>2.7035307926089764</v>
      </c>
      <c r="BV23" s="5">
        <f>BU23+預測IC!BV23</f>
        <v>2.7205512926089765</v>
      </c>
      <c r="BW23" s="5">
        <f>BV23+預測IC!BW23</f>
        <v>2.735913807652067</v>
      </c>
      <c r="BX23" s="5">
        <f>BW23+預測IC!BX23</f>
        <v>2.6116942841074318</v>
      </c>
      <c r="BY23" s="5">
        <f>BX23+預測IC!BY23</f>
        <v>2.6516302841074317</v>
      </c>
      <c r="BZ23" s="5">
        <f>BY23+預測IC!BZ23</f>
        <v>2.643960521675587</v>
      </c>
      <c r="CA23" s="5">
        <f>BZ23+預測IC!CA23</f>
        <v>2.5683073219289581</v>
      </c>
      <c r="CB23" s="5">
        <f>CA23+預測IC!CB23</f>
        <v>2.2521398219289579</v>
      </c>
      <c r="CC23" s="5">
        <f>CB23+預測IC!CC23</f>
        <v>2.167594821928958</v>
      </c>
      <c r="CD23" s="5">
        <f>CC23+預測IC!CD23</f>
        <v>1.5268482444124054</v>
      </c>
      <c r="CE23" s="5">
        <f>CD23+預測IC!CE23</f>
        <v>1.410223637615944</v>
      </c>
      <c r="CF23" s="5">
        <f>CE23+預測IC!CF23</f>
        <v>1.3940628021858623</v>
      </c>
      <c r="CG23" s="5">
        <f>CF23+預測IC!CG23</f>
        <v>1.1774255605586594</v>
      </c>
      <c r="CH23" s="5">
        <f>CG23+預測IC!CH23</f>
        <v>1.3395481348757301</v>
      </c>
      <c r="CI23" s="5">
        <f>CH23+預測IC!CI23</f>
        <v>1.4747703315272094</v>
      </c>
      <c r="CJ23" s="5">
        <f>CI23+預測IC!CJ23</f>
        <v>1.49464569907762</v>
      </c>
      <c r="CK23" s="5">
        <f>CJ23+預測IC!CK23</f>
        <v>1.5665020896141646</v>
      </c>
      <c r="CL23" s="5">
        <f>CK23+預測IC!CL23</f>
        <v>1.4024526304352505</v>
      </c>
      <c r="CM23" s="5">
        <f>CL23+預測IC!CM23</f>
        <v>1.7891855769581599</v>
      </c>
      <c r="CN23" s="5">
        <f>CM23+預測IC!CN23</f>
        <v>1.8421907553279633</v>
      </c>
      <c r="CO23" s="5">
        <f>CN23+預測IC!CO23</f>
        <v>1.5737397784248142</v>
      </c>
      <c r="CP23" s="5">
        <f>CO23+預測IC!CP23</f>
        <v>1.2623790352620574</v>
      </c>
      <c r="CQ23" s="5">
        <f>CP23+預測IC!CQ23</f>
        <v>1.2376767651826766</v>
      </c>
      <c r="CR23" s="5">
        <f>CQ23+預測IC!CR23</f>
        <v>1.086678594708729</v>
      </c>
      <c r="CS23" s="5">
        <f>CR23+預測IC!CS23</f>
        <v>1.155693594708729</v>
      </c>
      <c r="CT23" s="5">
        <f>CS23+預測IC!CT23</f>
        <v>1.1228433707025842</v>
      </c>
      <c r="CU23" s="5">
        <f>CT23+預測IC!CU23</f>
        <v>1.324947255689741</v>
      </c>
      <c r="CV23" s="5">
        <f>CU23+預測IC!CV23</f>
        <v>1.123097755689741</v>
      </c>
      <c r="CW23" s="5">
        <f>CV23+預測IC!CW23</f>
        <v>1.0989114679007397</v>
      </c>
      <c r="CX23" s="5">
        <f>CW23+預測IC!CX23</f>
        <v>1.0370514747534589</v>
      </c>
      <c r="CY23" s="5">
        <f>CX23+預測IC!CY23</f>
        <v>0.75534064727943906</v>
      </c>
      <c r="CZ23" s="5">
        <f>CY23+預測IC!CZ23</f>
        <v>0.81662174779407992</v>
      </c>
      <c r="DA23" s="5">
        <f>CZ23+預測IC!DA23</f>
        <v>0.78563961156816953</v>
      </c>
      <c r="DB23" s="5">
        <f>DA23+預測IC!DB23</f>
        <v>0.80159476843516597</v>
      </c>
      <c r="DC23" s="5">
        <f>DB23+預測IC!DC23</f>
        <v>0.68240428236475181</v>
      </c>
      <c r="DD23" s="5">
        <f>DC23+預測IC!DD23</f>
        <v>0.77520295704190489</v>
      </c>
      <c r="DE23" s="5">
        <f>DD23+預測IC!DE23</f>
        <v>0.71511700953173329</v>
      </c>
      <c r="DF23" s="5">
        <f>DE23+預測IC!DF23</f>
        <v>0.90649088334418459</v>
      </c>
      <c r="DG23" s="5">
        <f>DF23+預測IC!DG23</f>
        <v>1.0594675376392373</v>
      </c>
      <c r="DH23" s="5">
        <f>DG23+預測IC!DH23</f>
        <v>0.92023953763923727</v>
      </c>
      <c r="DI23" s="5">
        <f>DH23+預測IC!DI23</f>
        <v>1.1051522511873424</v>
      </c>
      <c r="DJ23" s="5">
        <f>DI23+預測IC!DJ23</f>
        <v>0.98511966936342366</v>
      </c>
      <c r="DK23" s="5">
        <f>DJ23+預測IC!DK23</f>
        <v>0.9373698723148447</v>
      </c>
      <c r="DL23" s="5">
        <f>DK23+預測IC!DL23</f>
        <v>0.91112722021022019</v>
      </c>
      <c r="DM23" s="5">
        <f>DL23+預測IC!DM23</f>
        <v>0.92183755451704519</v>
      </c>
      <c r="DN23" s="5">
        <f>DM23+預測IC!DN23</f>
        <v>1.1868124110010365</v>
      </c>
      <c r="DO23" s="5">
        <f>DN23+預測IC!DO23</f>
        <v>1.1021415831938544</v>
      </c>
      <c r="DP23" s="5">
        <f>DO23+預測IC!DP23</f>
        <v>1.1492298158495773</v>
      </c>
      <c r="DQ23" s="5">
        <f>DP23+預測IC!DQ23</f>
        <v>0.90328370829079097</v>
      </c>
      <c r="DR23" s="5">
        <f>DQ23+預測IC!DR23</f>
        <v>0.80085820829079091</v>
      </c>
      <c r="DS23" s="5">
        <f>DR23+預測IC!DS23</f>
        <v>0.55366365684832242</v>
      </c>
      <c r="DT23" s="5">
        <f>DS23+預測IC!DT23</f>
        <v>0.53136719977856517</v>
      </c>
      <c r="DU23" s="5">
        <f>DT23+預測IC!DU23</f>
        <v>6.1254931254652867E-3</v>
      </c>
      <c r="DV23" s="5">
        <f>DU23+預測IC!DV23</f>
        <v>-0.18661590809243173</v>
      </c>
      <c r="DW23" s="5">
        <f>DV23+預測IC!DW23</f>
        <v>-4.5387675509593134E-2</v>
      </c>
      <c r="DX23" s="5">
        <f>DW23+預測IC!DX23</f>
        <v>0.12561511145886137</v>
      </c>
      <c r="DY23" s="5">
        <f>DX23+預測IC!DY23</f>
        <v>-0.14260681791326255</v>
      </c>
      <c r="DZ23" s="5">
        <f>DY23+預測IC!DZ23</f>
        <v>-1.3273802361543741E-2</v>
      </c>
      <c r="EA23" s="5">
        <f>DZ23+預測IC!EA23</f>
        <v>-4.2030802361543745E-2</v>
      </c>
      <c r="EB23" s="5">
        <f>EA23+預測IC!EB23</f>
        <v>0.20225385576237845</v>
      </c>
      <c r="EC23" s="5">
        <f>EB23+預測IC!EC23</f>
        <v>0.32545879871804317</v>
      </c>
      <c r="ED23" s="5">
        <f>EC23+預測IC!ED23</f>
        <v>0.51978207723996217</v>
      </c>
      <c r="EE23" s="5">
        <f>ED23+預測IC!EE23</f>
        <v>0.5893276353349487</v>
      </c>
      <c r="EF23" s="5">
        <f>EE23+預測IC!EH23</f>
        <v>0.5893276353349487</v>
      </c>
    </row>
    <row r="24" spans="1:136">
      <c r="A24" s="1">
        <v>964</v>
      </c>
      <c r="B24" s="1">
        <v>1</v>
      </c>
      <c r="C24" s="5">
        <v>2.776696731044102E-2</v>
      </c>
      <c r="D24" s="5">
        <f>C24+預測IC!D24</f>
        <v>0.12837696731044101</v>
      </c>
      <c r="E24" s="5">
        <f>D24+預測IC!E24</f>
        <v>0.21025730192083852</v>
      </c>
      <c r="F24" s="5">
        <f>E24+預測IC!F24</f>
        <v>0.41180302079248476</v>
      </c>
      <c r="G24" s="5">
        <f>F24+預測IC!G24</f>
        <v>0.43442540935510243</v>
      </c>
      <c r="H24" s="5">
        <f>G24+預測IC!H24</f>
        <v>8.3603218024063619E-2</v>
      </c>
      <c r="I24" s="5">
        <f>H24+預測IC!I24</f>
        <v>8.5715151227207118E-2</v>
      </c>
      <c r="J24" s="5">
        <f>I24+預測IC!J24</f>
        <v>-1.4257041682929017E-2</v>
      </c>
      <c r="K24" s="5">
        <f>J24+預測IC!K24</f>
        <v>3.6187294310559691E-2</v>
      </c>
      <c r="L24" s="5">
        <f>K24+預測IC!L24</f>
        <v>-0.29757215016508692</v>
      </c>
      <c r="M24" s="5">
        <f>L24+預測IC!M24</f>
        <v>-0.44439148906459541</v>
      </c>
      <c r="N24" s="5">
        <f>M24+預測IC!N24</f>
        <v>-0.33919977826875003</v>
      </c>
      <c r="O24" s="5">
        <f>N24+預測IC!O24</f>
        <v>-0.10389058486332703</v>
      </c>
      <c r="P24" s="5">
        <f>O24+預測IC!P24</f>
        <v>-2.6154099009269793E-2</v>
      </c>
      <c r="Q24" s="5">
        <f>P24+預測IC!Q24</f>
        <v>-8.7119060655976063E-2</v>
      </c>
      <c r="R24" s="5">
        <f>Q24+預測IC!R24</f>
        <v>0.15857831012328366</v>
      </c>
      <c r="S24" s="5">
        <f>R24+預測IC!S24</f>
        <v>0.29846210969028425</v>
      </c>
      <c r="T24" s="5">
        <f>S24+預測IC!T24</f>
        <v>0.17477106559849503</v>
      </c>
      <c r="U24" s="5">
        <f>T24+預測IC!U24</f>
        <v>0.32328973982241305</v>
      </c>
      <c r="V24" s="5">
        <f>U24+預測IC!V24</f>
        <v>0.20674942310556224</v>
      </c>
      <c r="W24" s="5">
        <f>V24+預測IC!W24</f>
        <v>0.84968295171122166</v>
      </c>
      <c r="X24" s="5">
        <f>W24+預測IC!X24</f>
        <v>0.84878395171122167</v>
      </c>
      <c r="Y24" s="5">
        <f>X24+預測IC!Y24</f>
        <v>0.87818279129165433</v>
      </c>
      <c r="Z24" s="5">
        <f>Y24+預測IC!Z24</f>
        <v>0.98402511857046138</v>
      </c>
      <c r="AA24" s="5">
        <f>Z24+預測IC!AA24</f>
        <v>0.99757288680803868</v>
      </c>
      <c r="AB24" s="5">
        <f>AA24+預測IC!AB24</f>
        <v>0.80223326413279494</v>
      </c>
      <c r="AC24" s="5">
        <f>AB24+預測IC!AC24</f>
        <v>1.2039805979797495</v>
      </c>
      <c r="AD24" s="5">
        <f>AC24+預測IC!AD24</f>
        <v>1.2639027447905686</v>
      </c>
      <c r="AE24" s="5">
        <f>AD24+預測IC!AE24</f>
        <v>1.4570445345023266</v>
      </c>
      <c r="AF24" s="5">
        <f>AE24+預測IC!AF24</f>
        <v>0.96165512169816481</v>
      </c>
      <c r="AG24" s="5">
        <f>AF24+預測IC!AG24</f>
        <v>1.3417105142809609</v>
      </c>
      <c r="AH24" s="5">
        <f>AG24+預測IC!AH24</f>
        <v>1.0395877576743855</v>
      </c>
      <c r="AI24" s="5">
        <f>AH24+預測IC!AI24</f>
        <v>0.88767608289098821</v>
      </c>
      <c r="AJ24" s="5">
        <f>AI24+預測IC!AJ24</f>
        <v>0.90778844826418714</v>
      </c>
      <c r="AK24" s="5">
        <f>AJ24+預測IC!AK24</f>
        <v>1.0209676120398112</v>
      </c>
      <c r="AL24" s="5">
        <f>AK24+預測IC!AL24</f>
        <v>0.96629067654917589</v>
      </c>
      <c r="AM24" s="5">
        <f>AL24+預測IC!AM24</f>
        <v>0.94737139512864921</v>
      </c>
      <c r="AN24" s="5">
        <f>AM24+預測IC!AN24</f>
        <v>1.1685608602740805</v>
      </c>
      <c r="AO24" s="5">
        <f>AN24+預測IC!AO24</f>
        <v>1.27146656285187</v>
      </c>
      <c r="AP24" s="5">
        <f>AO24+預測IC!AP24</f>
        <v>1.43595156285187</v>
      </c>
      <c r="AQ24" s="5">
        <f>AP24+預測IC!AQ24</f>
        <v>1.3888745900176243</v>
      </c>
      <c r="AR24" s="5">
        <f>AQ24+預測IC!AR24</f>
        <v>1.5597075900176243</v>
      </c>
      <c r="AS24" s="5">
        <f>AR24+預測IC!AS24</f>
        <v>1.5317515127510342</v>
      </c>
      <c r="AT24" s="5">
        <f>AS24+預測IC!AT24</f>
        <v>1.682520492676715</v>
      </c>
      <c r="AU24" s="5">
        <f>AT24+預測IC!AU24</f>
        <v>1.9123615083561349</v>
      </c>
      <c r="AV24" s="5">
        <f>AU24+預測IC!AV24</f>
        <v>1.8928395083561349</v>
      </c>
      <c r="AW24" s="5">
        <f>AV24+預測IC!AW24</f>
        <v>1.8878519668450957</v>
      </c>
      <c r="AX24" s="5">
        <f>AW24+預測IC!AX24</f>
        <v>1.7763606299288801</v>
      </c>
      <c r="AY24" s="5">
        <f>AX24+預測IC!AY24</f>
        <v>2.0437963746153502</v>
      </c>
      <c r="AZ24" s="5">
        <f>AY24+預測IC!AZ24</f>
        <v>1.4338968144305735</v>
      </c>
      <c r="BA24" s="5">
        <f>AZ24+預測IC!BA24</f>
        <v>1.3801020823459402</v>
      </c>
      <c r="BB24" s="5">
        <f>BA24+預測IC!BB24</f>
        <v>2.0708780823459403</v>
      </c>
      <c r="BC24" s="5">
        <f>BB24+預測IC!BC24</f>
        <v>1.2676620693015628</v>
      </c>
      <c r="BD24" s="5">
        <f>BC24+預測IC!BD24</f>
        <v>1.453257288547998</v>
      </c>
      <c r="BE24" s="5">
        <f>BD24+預測IC!BE24</f>
        <v>1.4993216425796849</v>
      </c>
      <c r="BF24" s="5">
        <f>BE24+預測IC!BF24</f>
        <v>1.4349512216302214</v>
      </c>
      <c r="BG24" s="5">
        <f>BF24+預測IC!BG24</f>
        <v>1.4617871874965322</v>
      </c>
      <c r="BH24" s="5">
        <f>BG24+預測IC!BH24</f>
        <v>1.0755318505829972</v>
      </c>
      <c r="BI24" s="5">
        <f>BH24+預測IC!BI24</f>
        <v>1.0473802184348189</v>
      </c>
      <c r="BJ24" s="5">
        <f>BI24+預測IC!BJ24</f>
        <v>0.98681296411235953</v>
      </c>
      <c r="BK24" s="5">
        <f>BJ24+預測IC!BK24</f>
        <v>0.97679323716328947</v>
      </c>
      <c r="BL24" s="5">
        <f>BK24+預測IC!BL24</f>
        <v>1.0829001573144561</v>
      </c>
      <c r="BM24" s="5">
        <f>BL24+預測IC!BM24</f>
        <v>1.1676830971534444</v>
      </c>
      <c r="BN24" s="5">
        <f>BM24+預測IC!BN24</f>
        <v>1.1477929386742247</v>
      </c>
      <c r="BO24" s="5">
        <f>BN24+預測IC!BO24</f>
        <v>1.3089026297698667</v>
      </c>
      <c r="BP24" s="5">
        <f>BO24+預測IC!BP24</f>
        <v>1.3406956297698667</v>
      </c>
      <c r="BQ24" s="5">
        <f>BP24+預測IC!BQ24</f>
        <v>1.3545530961940029</v>
      </c>
      <c r="BR24" s="5">
        <f>BQ24+預測IC!BR24</f>
        <v>1.3969093194974207</v>
      </c>
      <c r="BS24" s="5">
        <f>BR24+預測IC!BS24</f>
        <v>1.5185303560270274</v>
      </c>
      <c r="BT24" s="5">
        <f>BS24+預測IC!BT24</f>
        <v>1.5743296123352839</v>
      </c>
      <c r="BU24" s="5">
        <f>BT24+預測IC!BU24</f>
        <v>1.8026562438952247</v>
      </c>
      <c r="BV24" s="5">
        <f>BU24+預測IC!BV24</f>
        <v>2.0059632438952248</v>
      </c>
      <c r="BW24" s="5">
        <f>BV24+預測IC!BW24</f>
        <v>2.1569906893176443</v>
      </c>
      <c r="BX24" s="5">
        <f>BW24+預測IC!BX24</f>
        <v>2.0989473196677291</v>
      </c>
      <c r="BY24" s="5">
        <f>BX24+預測IC!BY24</f>
        <v>1.808607319667729</v>
      </c>
      <c r="BZ24" s="5">
        <f>BY24+預測IC!BZ24</f>
        <v>1.549714420817732</v>
      </c>
      <c r="CA24" s="5">
        <f>BZ24+預測IC!CA24</f>
        <v>1.4344927400443173</v>
      </c>
      <c r="CB24" s="5">
        <f>CA24+預測IC!CB24</f>
        <v>0.79479374004431724</v>
      </c>
      <c r="CC24" s="5">
        <f>CB24+預測IC!CC24</f>
        <v>0.61232374004431722</v>
      </c>
      <c r="CD24" s="5">
        <f>CC24+預測IC!CD24</f>
        <v>-7.9008228545065728E-2</v>
      </c>
      <c r="CE24" s="5">
        <f>CD24+預測IC!CE24</f>
        <v>-0.28912966378115412</v>
      </c>
      <c r="CF24" s="5">
        <f>CE24+預測IC!CF24</f>
        <v>-0.24516502978442256</v>
      </c>
      <c r="CG24" s="5">
        <f>CF24+預測IC!CG24</f>
        <v>-0.76513399585834463</v>
      </c>
      <c r="CH24" s="5">
        <f>CG24+預測IC!CH24</f>
        <v>-0.55216111182902639</v>
      </c>
      <c r="CI24" s="5">
        <f>CH24+預測IC!CI24</f>
        <v>-0.2585614681793425</v>
      </c>
      <c r="CJ24" s="5">
        <f>CI24+預測IC!CJ24</f>
        <v>-0.27167095359876209</v>
      </c>
      <c r="CK24" s="5">
        <f>CJ24+預測IC!CK24</f>
        <v>5.1388311729621994E-2</v>
      </c>
      <c r="CL24" s="5">
        <f>CK24+預測IC!CL24</f>
        <v>3.5704563840255471E-2</v>
      </c>
      <c r="CM24" s="5">
        <f>CL24+預測IC!CM24</f>
        <v>0.58529167379935565</v>
      </c>
      <c r="CN24" s="5">
        <f>CM24+預測IC!CN24</f>
        <v>0.69303044025656879</v>
      </c>
      <c r="CO24" s="5">
        <f>CN24+預測IC!CO24</f>
        <v>0.12062083052189376</v>
      </c>
      <c r="CP24" s="5">
        <f>CO24+預測IC!CP24</f>
        <v>-3.9723374292948338E-2</v>
      </c>
      <c r="CQ24" s="5">
        <f>CP24+預測IC!CQ24</f>
        <v>-0.19991302092044894</v>
      </c>
      <c r="CR24" s="5">
        <f>CQ24+預測IC!CR24</f>
        <v>-0.33770047696915206</v>
      </c>
      <c r="CS24" s="5">
        <f>CR24+預測IC!CS24</f>
        <v>-0.36455847696915206</v>
      </c>
      <c r="CT24" s="5">
        <f>CS24+預測IC!CT24</f>
        <v>-0.18166188967703556</v>
      </c>
      <c r="CU24" s="5">
        <f>CT24+預測IC!CU24</f>
        <v>-0.12893284486338075</v>
      </c>
      <c r="CV24" s="5">
        <f>CU24+預測IC!CV24</f>
        <v>-0.49040884486338077</v>
      </c>
      <c r="CW24" s="5">
        <f>CV24+預測IC!CW24</f>
        <v>-0.72540206013622677</v>
      </c>
      <c r="CX24" s="5">
        <f>CW24+預測IC!CX24</f>
        <v>-0.87209668580651423</v>
      </c>
      <c r="CY24" s="5">
        <f>CX24+預測IC!CY24</f>
        <v>-1.232324732575252</v>
      </c>
      <c r="CZ24" s="5">
        <f>CY24+預測IC!CZ24</f>
        <v>-1.0702178226970918</v>
      </c>
      <c r="DA24" s="5">
        <f>CZ24+預測IC!DA24</f>
        <v>-1.0457066185343369</v>
      </c>
      <c r="DB24" s="5">
        <f>DA24+預測IC!DB24</f>
        <v>-0.85024594602168257</v>
      </c>
      <c r="DC24" s="5">
        <f>DB24+預測IC!DC24</f>
        <v>-1.0414217041922174</v>
      </c>
      <c r="DD24" s="5">
        <f>DC24+預測IC!DD24</f>
        <v>-1.2372664263746587</v>
      </c>
      <c r="DE24" s="5">
        <f>DD24+預測IC!DE24</f>
        <v>-1.1056808350791258</v>
      </c>
      <c r="DF24" s="5">
        <f>DE24+預測IC!DF24</f>
        <v>-0.91104277132319533</v>
      </c>
      <c r="DG24" s="5">
        <f>DF24+預測IC!DG24</f>
        <v>-0.66245378858996529</v>
      </c>
      <c r="DH24" s="5">
        <f>DG24+預測IC!DH24</f>
        <v>-0.92825878858996536</v>
      </c>
      <c r="DI24" s="5">
        <f>DH24+預測IC!DI24</f>
        <v>-0.50515998886162627</v>
      </c>
      <c r="DJ24" s="5">
        <f>DI24+預測IC!DJ24</f>
        <v>-0.73452986339271564</v>
      </c>
      <c r="DK24" s="5">
        <f>DJ24+預測IC!DK24</f>
        <v>-0.90055159174696564</v>
      </c>
      <c r="DL24" s="5">
        <f>DK24+預測IC!DL24</f>
        <v>-0.96191210496238255</v>
      </c>
      <c r="DM24" s="5">
        <f>DL24+預測IC!DM24</f>
        <v>-0.85359600983619754</v>
      </c>
      <c r="DN24" s="5">
        <f>DM24+預測IC!DN24</f>
        <v>-0.33674807083866531</v>
      </c>
      <c r="DO24" s="5">
        <f>DN24+預測IC!DO24</f>
        <v>-0.41986236042867103</v>
      </c>
      <c r="DP24" s="5">
        <f>DO24+預測IC!DP24</f>
        <v>-0.30548893494265716</v>
      </c>
      <c r="DQ24" s="5">
        <f>DP24+預測IC!DQ24</f>
        <v>-0.66456023703930556</v>
      </c>
      <c r="DR24" s="5">
        <f>DQ24+預測IC!DR24</f>
        <v>-0.68795223703930553</v>
      </c>
      <c r="DS24" s="5">
        <f>DR24+預測IC!DS24</f>
        <v>-0.83195921187811983</v>
      </c>
      <c r="DT24" s="5">
        <f>DS24+預測IC!DT24</f>
        <v>-0.86139493826698321</v>
      </c>
      <c r="DU24" s="5">
        <f>DT24+預測IC!DU24</f>
        <v>-1.6319382460229419</v>
      </c>
      <c r="DV24" s="5">
        <f>DU24+預測IC!DV24</f>
        <v>-2.3823947952121634</v>
      </c>
      <c r="DW24" s="5">
        <f>DV24+預測IC!DW24</f>
        <v>-2.273537705320833</v>
      </c>
      <c r="DX24" s="5">
        <f>DW24+預測IC!DX24</f>
        <v>-2.0998003748727538</v>
      </c>
      <c r="DY24" s="5">
        <f>DX24+預測IC!DY24</f>
        <v>-2.1318669106027053</v>
      </c>
      <c r="DZ24" s="5">
        <f>DY24+預測IC!DZ24</f>
        <v>-2.1807715748615051</v>
      </c>
      <c r="EA24" s="5">
        <f>DZ24+預測IC!EA24</f>
        <v>-2.2356885748615052</v>
      </c>
      <c r="EB24" s="5">
        <f>EA24+預測IC!EB24</f>
        <v>-1.6459906578624146</v>
      </c>
      <c r="EC24" s="5">
        <f>EB24+預測IC!EC24</f>
        <v>-1.3893392778988882</v>
      </c>
      <c r="ED24" s="5">
        <f>EC24+預測IC!ED24</f>
        <v>-1.3047991853316234</v>
      </c>
      <c r="EE24" s="5">
        <f>ED24+預測IC!EE24</f>
        <v>-1.3404631682025883</v>
      </c>
      <c r="EF24" s="5">
        <f>EE24+預測IC!EH24</f>
        <v>-1.3404631682025883</v>
      </c>
    </row>
    <row r="25" spans="1:136">
      <c r="A25" t="s">
        <v>144</v>
      </c>
      <c r="B25" t="s">
        <v>145</v>
      </c>
      <c r="C25" s="6">
        <v>-1.74467705393903E-2</v>
      </c>
      <c r="D25" s="6">
        <f>C25+預測IC!D26</f>
        <v>3.2542899924253299E-3</v>
      </c>
      <c r="E25" s="6">
        <f>D25+預測IC!E26</f>
        <v>2.7236419247192039E-2</v>
      </c>
      <c r="F25" s="6">
        <f>E25+預測IC!F26</f>
        <v>2.0678840274368962E-2</v>
      </c>
      <c r="G25" s="6">
        <f>F25+預測IC!G26</f>
        <v>5.2523970074888654E-2</v>
      </c>
      <c r="H25" s="6">
        <f>G25+預測IC!H26</f>
        <v>8.6872502811879165E-2</v>
      </c>
      <c r="I25" s="6">
        <f>H25+預測IC!I26</f>
        <v>7.8617570030553932E-2</v>
      </c>
      <c r="J25" s="6">
        <f>I25+預測IC!J26</f>
        <v>9.146109442460669E-2</v>
      </c>
      <c r="K25" s="6">
        <f>J25+預測IC!K26</f>
        <v>4.0442569797815867E-2</v>
      </c>
      <c r="L25" s="6">
        <f>K25+預測IC!L26</f>
        <v>4.1316512538852455E-2</v>
      </c>
      <c r="M25" s="6">
        <f>L25+預測IC!M26</f>
        <v>6.4706088044348381E-2</v>
      </c>
      <c r="N25" s="6">
        <f>M25+預測IC!N26</f>
        <v>7.769506024468123E-2</v>
      </c>
      <c r="O25" s="6">
        <f>N25+預測IC!O26</f>
        <v>8.3549648970316109E-2</v>
      </c>
      <c r="P25" s="6">
        <f>O25+預測IC!P26</f>
        <v>0.11096285554210666</v>
      </c>
      <c r="Q25" s="6">
        <f>P25+預測IC!Q26</f>
        <v>0.10724991942441381</v>
      </c>
      <c r="R25" s="6">
        <f>Q25+預測IC!R26</f>
        <v>0.13132653347223713</v>
      </c>
      <c r="S25" s="6">
        <f>R25+預測IC!S26</f>
        <v>0.11913650817319718</v>
      </c>
      <c r="T25" s="6">
        <f>S25+預測IC!T26</f>
        <v>7.9386930013607582E-2</v>
      </c>
      <c r="U25" s="6">
        <f>T25+預測IC!U26</f>
        <v>6.2314801819580296E-3</v>
      </c>
      <c r="V25" s="6">
        <f>U25+預測IC!V26</f>
        <v>-5.2028749728156631E-2</v>
      </c>
      <c r="W25" s="6">
        <f>V25+預測IC!W26</f>
        <v>-5.1255952162648256E-2</v>
      </c>
      <c r="X25" s="6">
        <f>W25+預測IC!X26</f>
        <v>-6.6644310274292864E-3</v>
      </c>
      <c r="Y25" s="6">
        <f>X25+預測IC!Y26</f>
        <v>-3.4364111077642381E-2</v>
      </c>
      <c r="Z25" s="6">
        <f>Y25+預測IC!Z26</f>
        <v>-3.2269105127898733E-2</v>
      </c>
      <c r="AA25" s="6">
        <f>Z25+預測IC!AA26</f>
        <v>-5.5669656120462846E-2</v>
      </c>
      <c r="AB25" s="6">
        <f>AA25+預測IC!AB26</f>
        <v>-2.3540285023140657E-2</v>
      </c>
      <c r="AC25" s="6">
        <f>AB25+預測IC!AC26</f>
        <v>1.5362988070925773E-2</v>
      </c>
      <c r="AD25" s="6">
        <f>AC25+預測IC!AD26</f>
        <v>-2.7502394100178497E-2</v>
      </c>
      <c r="AE25" s="6">
        <f>AD25+預測IC!AE26</f>
        <v>-8.8551995500263381E-3</v>
      </c>
      <c r="AF25" s="6">
        <f>AE25+預測IC!AF26</f>
        <v>6.3745687725026111E-3</v>
      </c>
      <c r="AG25" s="6">
        <f>AF25+預測IC!AG26</f>
        <v>4.2391172551395032E-2</v>
      </c>
      <c r="AH25" s="6">
        <f>AG25+預測IC!AH26</f>
        <v>5.1745783936711198E-2</v>
      </c>
      <c r="AI25" s="6">
        <f>AH25+預測IC!AI26</f>
        <v>6.2494035273549339E-2</v>
      </c>
      <c r="AJ25" s="6">
        <f>AI25+預測IC!AJ26</f>
        <v>7.5851789326630309E-2</v>
      </c>
      <c r="AK25" s="6">
        <f>AJ25+預測IC!AK26</f>
        <v>7.051904199753492E-2</v>
      </c>
      <c r="AL25" s="6">
        <f>AK25+預測IC!AL26</f>
        <v>7.1902177804796602E-2</v>
      </c>
      <c r="AM25" s="6">
        <f>AL25+預測IC!AM26</f>
        <v>9.2698106224871069E-2</v>
      </c>
      <c r="AN25" s="6">
        <f>AM25+預測IC!AN26</f>
        <v>0.1242158084452617</v>
      </c>
      <c r="AO25" s="6">
        <f>AN25+預測IC!AO26</f>
        <v>0.13045752497859114</v>
      </c>
      <c r="AP25" s="6">
        <f>AO25+預測IC!AP26</f>
        <v>0.13660278663216252</v>
      </c>
      <c r="AQ25" s="6">
        <f>AP25+預測IC!AQ26</f>
        <v>0.15354914430885902</v>
      </c>
      <c r="AR25" s="6">
        <f>AQ25+預測IC!AR26</f>
        <v>0.18823197476316725</v>
      </c>
      <c r="AS25" s="6">
        <f>AR25+預測IC!AS26</f>
        <v>0.19133056338036422</v>
      </c>
      <c r="AT25" s="6">
        <f>AS25+預測IC!AT26</f>
        <v>0.20641191052385033</v>
      </c>
      <c r="AU25" s="6">
        <f>AT25+預測IC!AU26</f>
        <v>0.18716070129398635</v>
      </c>
      <c r="AV25" s="6">
        <f>AU25+預測IC!AV26</f>
        <v>0.22587221468161778</v>
      </c>
      <c r="AW25" s="6">
        <f>AV25+預測IC!AW26</f>
        <v>0.20401526354588118</v>
      </c>
      <c r="AX25" s="6">
        <f>AW25+預測IC!AX26</f>
        <v>0.21178956425567086</v>
      </c>
      <c r="AY25" s="6">
        <f>AX25+預測IC!AY26</f>
        <v>0.25418681095099682</v>
      </c>
      <c r="AZ25" s="6">
        <f>AY25+預測IC!AZ26</f>
        <v>0.22787783608983708</v>
      </c>
      <c r="BA25" s="6">
        <f>AZ25+預測IC!BA26</f>
        <v>0.23744958539855332</v>
      </c>
      <c r="BB25" s="6">
        <f>BA25+預測IC!BB26</f>
        <v>0.21319984413227849</v>
      </c>
      <c r="BC25" s="6">
        <f>BB25+預測IC!BC26</f>
        <v>0.23336321827619433</v>
      </c>
      <c r="BD25" s="6">
        <f>BC25+預測IC!BD26</f>
        <v>0.22985821949407831</v>
      </c>
      <c r="BE25" s="6">
        <f>BD25+預測IC!BE26</f>
        <v>0.2500101545926206</v>
      </c>
      <c r="BF25" s="6">
        <f>BE25+預測IC!BF26</f>
        <v>0.25059149082339088</v>
      </c>
      <c r="BG25" s="6">
        <f>BF25+預測IC!BG26</f>
        <v>0.24537178987013827</v>
      </c>
      <c r="BH25" s="6">
        <f>BG25+預測IC!BH26</f>
        <v>0.12950002846800829</v>
      </c>
      <c r="BI25" s="6">
        <f>BH25+預測IC!BI26</f>
        <v>0.13822525416044565</v>
      </c>
      <c r="BJ25" s="6">
        <f>BI25+預測IC!BJ26</f>
        <v>0.1218479931826235</v>
      </c>
      <c r="BK25" s="6">
        <f>BJ25+預測IC!BK26</f>
        <v>0.14268836478288394</v>
      </c>
      <c r="BL25" s="6">
        <f>BK25+預測IC!BL26</f>
        <v>0.18766423688499864</v>
      </c>
      <c r="BM25" s="6">
        <f>BL25+預測IC!BM26</f>
        <v>0.2116185429668625</v>
      </c>
      <c r="BN25" s="6">
        <f>BM25+預測IC!BN26</f>
        <v>0.24185764435830509</v>
      </c>
      <c r="BO25" s="6">
        <f>BN25+預測IC!BO26</f>
        <v>0.19813175676721759</v>
      </c>
      <c r="BP25" s="6">
        <f>BO25+預測IC!BP26</f>
        <v>0.22002122633541621</v>
      </c>
      <c r="BQ25" s="6">
        <f>BP25+預測IC!BQ26</f>
        <v>0.22864865659892461</v>
      </c>
      <c r="BR25" s="6">
        <f>BQ25+預測IC!BR26</f>
        <v>0.20945570260426583</v>
      </c>
      <c r="BS25" s="6">
        <f>BR25+預測IC!BS26</f>
        <v>0.22919083249239888</v>
      </c>
      <c r="BT25" s="6">
        <f>BS25+預測IC!BT26</f>
        <v>0.2768851699760983</v>
      </c>
      <c r="BU25" s="6">
        <f>BT25+預測IC!BU26</f>
        <v>0.28833998678268169</v>
      </c>
      <c r="BV25" s="6">
        <f>BU25+預測IC!BV26</f>
        <v>0.33156860751789485</v>
      </c>
      <c r="BW25" s="6">
        <f>BV25+預測IC!BW26</f>
        <v>0.28882117708097205</v>
      </c>
      <c r="BX25" s="6">
        <f>BW25+預測IC!BX26</f>
        <v>0.27100988465317749</v>
      </c>
      <c r="BY25" s="6">
        <f>BX25+預測IC!BY26</f>
        <v>0.11985678778410189</v>
      </c>
      <c r="BZ25" s="6">
        <f>BY25+預測IC!BZ26</f>
        <v>0.24408079140367717</v>
      </c>
      <c r="CA25" s="6">
        <f>BZ25+預測IC!CA26</f>
        <v>0.23952353755914751</v>
      </c>
      <c r="CB25" s="6">
        <f>CA25+預測IC!CB26</f>
        <v>0.29973477776405871</v>
      </c>
      <c r="CC25" s="6">
        <f>CB25+預測IC!CC26</f>
        <v>0.385726811246561</v>
      </c>
      <c r="CD25" s="6">
        <f>CC25+預測IC!CD26</f>
        <v>0.37991833166419492</v>
      </c>
      <c r="CE25" s="6">
        <f>CD25+預測IC!CE26</f>
        <v>0.37387698467522684</v>
      </c>
      <c r="CF25" s="6">
        <f>CE25+預測IC!CF26</f>
        <v>0.37632930904747891</v>
      </c>
      <c r="CG25" s="6">
        <f>CF25+預測IC!CG26</f>
        <v>0.46596556098450181</v>
      </c>
      <c r="CH25" s="6">
        <f>CG25+預測IC!CH26</f>
        <v>0.53695829351125968</v>
      </c>
      <c r="CI25" s="6">
        <f>CH25+預測IC!CI26</f>
        <v>0.56412893641304307</v>
      </c>
      <c r="CJ25" s="6">
        <f>CI25+預測IC!CJ26</f>
        <v>0.61659736483837313</v>
      </c>
      <c r="CK25" s="6">
        <f>CJ25+預測IC!CK26</f>
        <v>0.64607802578142259</v>
      </c>
      <c r="CL25" s="6">
        <f>CK25+預測IC!CL26</f>
        <v>0.71290310684162383</v>
      </c>
      <c r="CM25" s="6">
        <f>CL25+預測IC!CM26</f>
        <v>0.68413087782180682</v>
      </c>
      <c r="CN25" s="6">
        <f>CM25+預測IC!CN26</f>
        <v>0.72359339372344467</v>
      </c>
      <c r="CO25" s="6">
        <f>CN25+預測IC!CO26</f>
        <v>0.69456230674608477</v>
      </c>
      <c r="CP25" s="6">
        <f>CO25+預測IC!CP26</f>
        <v>0.70854618926555268</v>
      </c>
      <c r="CQ25" s="6">
        <f>CP25+預測IC!CQ26</f>
        <v>0.67626922430621883</v>
      </c>
      <c r="CR25" s="6">
        <f>CQ25+預測IC!CR26</f>
        <v>0.6793728009191129</v>
      </c>
      <c r="CS25" s="6">
        <f>CR25+預測IC!CS26</f>
        <v>0.70496465668619601</v>
      </c>
      <c r="CT25" s="6">
        <f>CS25+預測IC!CT26</f>
        <v>0.74935654297338927</v>
      </c>
      <c r="CU25" s="6">
        <f>CT25+預測IC!CU26</f>
        <v>0.71901758442381181</v>
      </c>
      <c r="CV25" s="6">
        <f>CU25+預測IC!CV26</f>
        <v>0.7177596079692401</v>
      </c>
      <c r="CW25" s="6">
        <f>CV25+預測IC!CW26</f>
        <v>0.72009596442509805</v>
      </c>
      <c r="CX25" s="6">
        <f>CW25+預測IC!CX26</f>
        <v>0.655831819499192</v>
      </c>
      <c r="CY25" s="6">
        <f>CX25+預測IC!CY26</f>
        <v>0.66874159895818441</v>
      </c>
      <c r="CZ25" s="6">
        <f>CY25+預測IC!CZ26</f>
        <v>0.54326450428732564</v>
      </c>
      <c r="DA25" s="6">
        <f>CZ25+預測IC!DA26</f>
        <v>0.55495518722711823</v>
      </c>
      <c r="DB25" s="6">
        <f>DA25+預測IC!DB26</f>
        <v>0.56129303092785998</v>
      </c>
      <c r="DC25" s="6">
        <f>DB25+預測IC!DC26</f>
        <v>0.44398767445847448</v>
      </c>
      <c r="DD25" s="6">
        <f>DC25+預測IC!DD26</f>
        <v>0.40797680240902789</v>
      </c>
      <c r="DE25" s="6">
        <f>DD25+預測IC!DE26</f>
        <v>0.54688810648129582</v>
      </c>
      <c r="DF25" s="6">
        <f>DE25+預測IC!DF26</f>
        <v>0.49574460025519007</v>
      </c>
      <c r="DG25" s="6">
        <f>DF25+預測IC!DG26</f>
        <v>0.57247604743715907</v>
      </c>
      <c r="DH25" s="6">
        <f>DG25+預測IC!DH26</f>
        <v>0.58798482963416721</v>
      </c>
      <c r="DI25" s="6">
        <f>DH25+預測IC!DI26</f>
        <v>0.61120860330892302</v>
      </c>
      <c r="DJ25" s="6">
        <f>DI25+預測IC!DJ26</f>
        <v>0.59283572694769515</v>
      </c>
      <c r="DK25" s="6">
        <f>DJ25+預測IC!DK26</f>
        <v>0.65503474103279458</v>
      </c>
      <c r="DL25" s="6">
        <f>DK25+預測IC!DL26</f>
        <v>0.67513304551975173</v>
      </c>
      <c r="DM25" s="6">
        <f>DL25+預測IC!DM26</f>
        <v>0.68863198526781977</v>
      </c>
      <c r="DN25" s="6">
        <f>DM25+預測IC!DN26</f>
        <v>0.65837977253939894</v>
      </c>
      <c r="DO25" s="6">
        <f>DN25+預測IC!DO26</f>
        <v>0.64135693683134509</v>
      </c>
      <c r="DP25" s="6">
        <f>DO25+預測IC!DP26</f>
        <v>0.61956841355888315</v>
      </c>
      <c r="DQ25" s="6">
        <f>DP25+預測IC!DQ26</f>
        <v>0.70531403814402038</v>
      </c>
      <c r="DR25" s="6">
        <f>DQ25+預測IC!DR26</f>
        <v>0.73342078174899417</v>
      </c>
      <c r="DS25" s="6">
        <f>DR25+預測IC!DS26</f>
        <v>0.73111762194163477</v>
      </c>
      <c r="DT25" s="6">
        <f>DS25+預測IC!DT26</f>
        <v>0.78958882007312226</v>
      </c>
      <c r="DU25" s="6">
        <f>DT25+預測IC!DU26</f>
        <v>0.85724776912176992</v>
      </c>
      <c r="DV25" s="6">
        <f>DU25+預測IC!DV26</f>
        <v>0.86226853976220219</v>
      </c>
      <c r="DW25" s="6">
        <f>DV25+預測IC!DW26</f>
        <v>0.89968472343740924</v>
      </c>
      <c r="DX25" s="6">
        <f>DW25+預測IC!DX26</f>
        <v>0.98379572718345132</v>
      </c>
      <c r="DY25" s="6">
        <f>DX25+預測IC!DY26</f>
        <v>0.94696332863943844</v>
      </c>
      <c r="DZ25" s="6">
        <f>DY25+預測IC!DZ26</f>
        <v>0.95005503145637549</v>
      </c>
      <c r="EA25" s="6">
        <f>DZ25+預測IC!EA26</f>
        <v>0.94809740324208092</v>
      </c>
      <c r="EB25" s="6">
        <f>EA25+預測IC!EB26</f>
        <v>0.97455650684560069</v>
      </c>
      <c r="EC25" s="6">
        <f>EB25+預測IC!EC26</f>
        <v>0.94980396808491041</v>
      </c>
      <c r="ED25" s="6">
        <f>EC25+預測IC!ED26</f>
        <v>0.98391945906747036</v>
      </c>
      <c r="EE25" s="6">
        <f>ED25+預測IC!EE26</f>
        <v>1.0049814330565034</v>
      </c>
      <c r="EF25" s="6">
        <f>EE25+預測IC!EF26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19"/>
  <sheetViews>
    <sheetView tabSelected="1" topLeftCell="DN19" zoomScale="194" workbookViewId="0">
      <selection activeCell="DL37" sqref="DL37"/>
    </sheetView>
  </sheetViews>
  <sheetFormatPr baseColWidth="10" defaultColWidth="9" defaultRowHeight="14"/>
  <cols>
    <col min="3" max="3" width="9.3984375" bestFit="1" customWidth="1"/>
  </cols>
  <sheetData>
    <row r="1" spans="1:136">
      <c r="A1" t="s">
        <v>0</v>
      </c>
    </row>
    <row r="2" spans="1:136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6">
      <c r="B3" s="1" t="s">
        <v>136</v>
      </c>
      <c r="C3" s="5">
        <v>7.8798868708972569E-2</v>
      </c>
      <c r="D3" s="5">
        <v>0.1797330866000165</v>
      </c>
      <c r="E3" s="5">
        <v>1.5489078774060919E-2</v>
      </c>
      <c r="F3" s="5">
        <v>-2.2168251176828E-2</v>
      </c>
      <c r="G3" s="5">
        <v>-8.1037288150830888E-3</v>
      </c>
      <c r="H3" s="5">
        <v>-1.540126879534739E-2</v>
      </c>
      <c r="I3" s="5">
        <v>-0.19676558635554181</v>
      </c>
      <c r="J3" s="5">
        <v>0.27883034253820949</v>
      </c>
      <c r="K3" s="5">
        <v>-5.6931615083884446E-3</v>
      </c>
      <c r="L3" s="5">
        <v>-4.7889749224816418E-2</v>
      </c>
      <c r="M3" s="5">
        <v>-5.2700847804921791E-3</v>
      </c>
      <c r="N3" s="5">
        <v>-0.19106965066791309</v>
      </c>
      <c r="O3" s="5">
        <v>0.31084678168383029</v>
      </c>
      <c r="P3" s="5">
        <v>0.11377091314306841</v>
      </c>
      <c r="Q3" s="5">
        <v>-0.1230705033938234</v>
      </c>
      <c r="R3" s="5">
        <v>-0.1125584938483804</v>
      </c>
      <c r="S3" s="5">
        <v>0.10466589270197239</v>
      </c>
      <c r="T3" s="5">
        <v>-0.14458476697667069</v>
      </c>
      <c r="U3" s="5">
        <v>-0.26280780822848793</v>
      </c>
      <c r="V3" s="5">
        <v>3.018865545683036E-3</v>
      </c>
      <c r="W3" s="5">
        <v>0.13196040423464411</v>
      </c>
      <c r="X3" s="5">
        <v>-8.9415173838410772E-2</v>
      </c>
      <c r="Y3" s="5">
        <v>0.27906324575998892</v>
      </c>
      <c r="Z3" s="5">
        <v>0.10308974194226191</v>
      </c>
      <c r="AA3" s="5">
        <v>0.48637748963693189</v>
      </c>
      <c r="AB3" s="5">
        <v>-0.2348198317515614</v>
      </c>
      <c r="AC3" s="5">
        <v>1.209651139005591E-2</v>
      </c>
      <c r="AD3" s="5">
        <v>2.4631762383159391E-2</v>
      </c>
      <c r="AE3" s="5">
        <v>-5.6680955135353086E-3</v>
      </c>
      <c r="AF3" s="5">
        <v>-5.6269213313916128E-2</v>
      </c>
      <c r="AG3" s="5">
        <v>0.1224049331936696</v>
      </c>
      <c r="AH3" s="5">
        <v>4.3996774628331507E-2</v>
      </c>
      <c r="AI3" s="5">
        <v>0.16226838670026481</v>
      </c>
      <c r="AJ3" s="5">
        <v>6.8930166950289418E-2</v>
      </c>
      <c r="AK3" s="5">
        <v>8.7359955926433919E-2</v>
      </c>
      <c r="AL3" s="5">
        <v>0.18738072328871311</v>
      </c>
      <c r="AM3" s="5">
        <v>9.6837349683267515E-2</v>
      </c>
      <c r="AN3" s="5">
        <v>0.2075736584826241</v>
      </c>
      <c r="AO3" s="5">
        <v>0.1179758622033628</v>
      </c>
      <c r="AP3" s="5">
        <v>-2.8503518413619089E-2</v>
      </c>
      <c r="AQ3" s="5">
        <v>-0.2114396427417907</v>
      </c>
      <c r="AR3" s="5">
        <v>-3.2302566009502653E-2</v>
      </c>
      <c r="AS3" s="5">
        <v>0.14111009314114151</v>
      </c>
      <c r="AT3" s="5">
        <v>-3.4807512436285597E-2</v>
      </c>
      <c r="AU3" s="5">
        <v>4.4456114444752393E-2</v>
      </c>
      <c r="AV3" s="5">
        <v>2.116273888563475E-2</v>
      </c>
      <c r="AW3" s="5">
        <v>-0.17415500379798879</v>
      </c>
      <c r="AX3" s="5">
        <v>7.6317816973353048E-2</v>
      </c>
      <c r="AY3" s="5">
        <v>9.0306432388433389E-3</v>
      </c>
      <c r="AZ3" s="5">
        <v>1.663894988550357E-2</v>
      </c>
      <c r="BA3" s="5">
        <v>0.1604995491281753</v>
      </c>
      <c r="BB3" s="5">
        <v>-0.1237409532939386</v>
      </c>
      <c r="BC3" s="5">
        <v>0.1567368975950951</v>
      </c>
      <c r="BD3" s="5">
        <v>0.16688346547535959</v>
      </c>
      <c r="BE3" s="5">
        <v>-0.13147229447438161</v>
      </c>
      <c r="BF3" s="5">
        <v>9.9500132775895977E-3</v>
      </c>
      <c r="BG3" s="5">
        <v>0.31531123716865839</v>
      </c>
      <c r="BH3" s="5">
        <v>0.27010117711850451</v>
      </c>
      <c r="BI3" s="5">
        <v>5.6315448743319167E-2</v>
      </c>
      <c r="BJ3" s="5">
        <v>-2.4098168569960938E-3</v>
      </c>
      <c r="BK3" s="5">
        <v>7.980037571183507E-2</v>
      </c>
      <c r="BL3" s="5">
        <v>-2.3392393936943919E-2</v>
      </c>
      <c r="BM3" s="5">
        <v>9.4008939681691994E-2</v>
      </c>
      <c r="BN3" s="5">
        <v>1.7643905957802519E-2</v>
      </c>
      <c r="BO3" s="5">
        <v>-0.14928793997254061</v>
      </c>
      <c r="BP3" s="5">
        <v>4.1225940656231752E-2</v>
      </c>
      <c r="BQ3" s="5">
        <v>-8.2741207352384771E-2</v>
      </c>
      <c r="BR3" s="5">
        <v>0.21346470331308501</v>
      </c>
      <c r="BS3" s="5">
        <v>-6.7985397750361887E-2</v>
      </c>
      <c r="BT3" s="5">
        <v>0.14435039701784599</v>
      </c>
      <c r="BU3" s="5">
        <v>0.11377937808470839</v>
      </c>
      <c r="BV3" s="5">
        <v>5.6009583131783613E-3</v>
      </c>
      <c r="BW3" s="5">
        <v>0.11314663575547999</v>
      </c>
      <c r="BX3" s="5">
        <v>-9.0571156630970151E-2</v>
      </c>
      <c r="BY3" s="5">
        <v>0.1185697363729505</v>
      </c>
      <c r="BZ3" s="5">
        <v>-0.14071284467671219</v>
      </c>
      <c r="CA3" s="5">
        <v>7.3472777058868566E-2</v>
      </c>
      <c r="CB3" s="5">
        <v>-0.17102560649194909</v>
      </c>
      <c r="CC3" s="5">
        <v>8.6731635966007636E-2</v>
      </c>
      <c r="CD3" s="5">
        <v>3.1267715866914132E-2</v>
      </c>
      <c r="CE3" s="5">
        <v>0.2187970365966756</v>
      </c>
      <c r="CF3" s="5">
        <v>-0.1415947073656891</v>
      </c>
      <c r="CG3" s="5">
        <v>9.9731607421901902E-2</v>
      </c>
      <c r="CH3" s="5">
        <v>4.5308069873115593E-2</v>
      </c>
      <c r="CI3" s="5">
        <v>8.9441140161071353E-2</v>
      </c>
      <c r="CJ3" s="5">
        <v>-0.39111281147264948</v>
      </c>
      <c r="CK3" s="5">
        <v>-0.1097911700085549</v>
      </c>
      <c r="CL3" s="5">
        <v>-4.3456184080796822E-2</v>
      </c>
      <c r="CM3" s="5">
        <v>0.18311247425732069</v>
      </c>
      <c r="CN3" s="5">
        <v>-0.39746167912504587</v>
      </c>
      <c r="CO3" s="5">
        <v>-9.6930225730285202E-2</v>
      </c>
      <c r="CP3" s="5">
        <v>-9.5682049872747921E-2</v>
      </c>
      <c r="CQ3" s="5">
        <v>0.17197496741798041</v>
      </c>
      <c r="CR3" s="5">
        <v>6.1939484759435059E-2</v>
      </c>
      <c r="CS3" s="5">
        <v>-4.7664038974437717E-2</v>
      </c>
      <c r="CT3" s="5">
        <v>-1.0473980040771101E-2</v>
      </c>
      <c r="CU3" s="5">
        <v>-3.4400594909696942E-2</v>
      </c>
      <c r="CV3" s="5">
        <v>-2.258422919649478E-2</v>
      </c>
      <c r="CW3" s="5">
        <v>3.967601364242257E-2</v>
      </c>
      <c r="CX3" s="5">
        <v>-5.3904732790443062E-2</v>
      </c>
      <c r="CY3" s="5">
        <v>2.7221884648997219E-2</v>
      </c>
      <c r="CZ3" s="5">
        <v>9.8878435478775006E-2</v>
      </c>
      <c r="DA3" s="5">
        <v>0.31254073484349981</v>
      </c>
      <c r="DB3" s="5">
        <v>-0.15564612733519101</v>
      </c>
      <c r="DC3" s="5">
        <v>-0.186958527424675</v>
      </c>
      <c r="DD3" s="5">
        <v>-0.16852286341555181</v>
      </c>
      <c r="DE3" s="5">
        <v>0.1677976140486318</v>
      </c>
      <c r="DF3" s="5">
        <v>-9.1638386466206867E-2</v>
      </c>
      <c r="DG3" s="5">
        <v>-7.5708963031608456E-2</v>
      </c>
      <c r="DH3" s="5">
        <v>7.7960520930394628E-3</v>
      </c>
      <c r="DI3" s="5">
        <v>-2.5500379680462042E-3</v>
      </c>
      <c r="DJ3" s="5">
        <v>-6.8988362574606832E-2</v>
      </c>
      <c r="DK3" s="5">
        <v>4.6125318624910039E-2</v>
      </c>
      <c r="DL3" s="5">
        <v>-5.8337699674183729E-2</v>
      </c>
      <c r="DM3" s="5">
        <v>-7.0566061856035006E-2</v>
      </c>
      <c r="DN3" s="5">
        <v>2.809287103658753E-2</v>
      </c>
      <c r="DO3" s="5">
        <v>-7.0883392118804012E-2</v>
      </c>
      <c r="DP3" s="5">
        <v>0.16113140194021519</v>
      </c>
      <c r="DQ3" s="5">
        <v>0.1547440050249739</v>
      </c>
      <c r="DR3" s="5">
        <v>-0.1074253347743107</v>
      </c>
      <c r="DS3" s="5">
        <v>0.1128417239921658</v>
      </c>
      <c r="DT3" s="5">
        <v>-9.1401515312695802E-2</v>
      </c>
      <c r="DU3" s="5">
        <v>-6.5441570505781171E-2</v>
      </c>
      <c r="DV3" s="5">
        <v>-7.3758705524149371E-2</v>
      </c>
      <c r="DW3" s="5">
        <v>6.6155769939566539E-2</v>
      </c>
      <c r="DX3" s="5">
        <v>6.9417132083774952E-2</v>
      </c>
      <c r="DY3" s="5">
        <v>-0.10299216834685949</v>
      </c>
      <c r="DZ3" s="5">
        <v>0.26391340422439719</v>
      </c>
      <c r="EA3" s="5">
        <v>-8.9759100562534361E-2</v>
      </c>
      <c r="EB3" s="5">
        <v>0.19432476998554751</v>
      </c>
      <c r="EC3" s="5">
        <v>-3.0097119912414479E-2</v>
      </c>
      <c r="ED3" s="5">
        <v>2.8618294955548851E-2</v>
      </c>
      <c r="EE3" s="5">
        <v>-8.7371804917650953E-2</v>
      </c>
      <c r="EF3" s="5">
        <v>-2.097644515945252E-2</v>
      </c>
    </row>
    <row r="4" spans="1:136">
      <c r="B4" s="1" t="s">
        <v>137</v>
      </c>
      <c r="C4" s="5">
        <v>-0.2033298904066001</v>
      </c>
      <c r="D4" s="5">
        <v>-0.19670615347595799</v>
      </c>
      <c r="E4" s="5">
        <v>-0.25411088976615298</v>
      </c>
      <c r="F4" s="5">
        <v>4.6098132519260197E-2</v>
      </c>
      <c r="G4" s="5">
        <v>3.0705585377122091E-2</v>
      </c>
      <c r="H4" s="5">
        <v>-5.0794665387496003E-2</v>
      </c>
      <c r="I4" s="5">
        <v>7.7645993308728123E-4</v>
      </c>
      <c r="J4" s="5">
        <v>4.8875938188759349E-2</v>
      </c>
      <c r="K4" s="5">
        <v>-0.10205312675095971</v>
      </c>
      <c r="L4" s="5">
        <v>-1.86487966438591E-2</v>
      </c>
      <c r="M4" s="5">
        <v>-5.5059352573051612E-2</v>
      </c>
      <c r="N4" s="5">
        <v>-2.980539628833689E-2</v>
      </c>
      <c r="O4" s="5">
        <v>-0.18676845762429831</v>
      </c>
      <c r="P4" s="5">
        <v>3.0016143098960061E-2</v>
      </c>
      <c r="Q4" s="5">
        <v>9.7885090716637535E-2</v>
      </c>
      <c r="R4" s="5">
        <v>-9.3921517598078097E-2</v>
      </c>
      <c r="S4" s="5">
        <v>2.2808945852236921E-2</v>
      </c>
      <c r="T4" s="5">
        <v>7.3321485340407833E-2</v>
      </c>
      <c r="U4" s="5">
        <v>7.4453756001915394E-3</v>
      </c>
      <c r="V4" s="5">
        <v>-2.162307259445129E-2</v>
      </c>
      <c r="W4" s="5">
        <v>-5.7679730450974631E-3</v>
      </c>
      <c r="X4" s="5">
        <v>-0.1698621934781421</v>
      </c>
      <c r="Y4" s="5">
        <v>-0.23417865773462759</v>
      </c>
      <c r="Z4" s="5">
        <v>-1.0182398713556751E-2</v>
      </c>
      <c r="AA4" s="5">
        <v>-3.1047645711428369E-3</v>
      </c>
      <c r="AB4" s="5">
        <v>-0.16354736732336941</v>
      </c>
      <c r="AC4" s="5">
        <v>-6.5817326243049479E-2</v>
      </c>
      <c r="AD4" s="5">
        <v>-5.3291001780785052E-2</v>
      </c>
      <c r="AE4" s="5">
        <v>4.4148085053993917E-2</v>
      </c>
      <c r="AF4" s="5">
        <v>8.1272612622841578E-2</v>
      </c>
      <c r="AG4" s="5">
        <v>-0.1017872468284171</v>
      </c>
      <c r="AH4" s="5">
        <v>0.1188108231774461</v>
      </c>
      <c r="AI4" s="5">
        <v>-8.6264025106641995E-2</v>
      </c>
      <c r="AJ4" s="5">
        <v>-9.7080353915666606E-2</v>
      </c>
      <c r="AK4" s="5">
        <v>7.7483445716659105E-2</v>
      </c>
      <c r="AL4" s="5">
        <v>1.8676259356256612E-2</v>
      </c>
      <c r="AM4" s="5">
        <v>-7.3616058355145952E-3</v>
      </c>
      <c r="AN4" s="5">
        <v>1.1279678641054501E-2</v>
      </c>
      <c r="AO4" s="5">
        <v>-4.4653672927386978E-2</v>
      </c>
      <c r="AP4" s="5">
        <v>8.0316784439199651E-2</v>
      </c>
      <c r="AQ4" s="5">
        <v>-9.065489430089535E-2</v>
      </c>
      <c r="AR4" s="5">
        <v>0.11489008982476891</v>
      </c>
      <c r="AS4" s="5">
        <v>8.2303546348533985E-2</v>
      </c>
      <c r="AT4" s="5">
        <v>9.2421253692602789E-3</v>
      </c>
      <c r="AU4" s="5">
        <v>-3.3161859626785528E-2</v>
      </c>
      <c r="AV4" s="5">
        <v>-0.2173053184250211</v>
      </c>
      <c r="AW4" s="5">
        <v>5.2685655817201749E-2</v>
      </c>
      <c r="AX4" s="5">
        <v>1.3493885720954781E-2</v>
      </c>
      <c r="AY4" s="5">
        <v>0.1041661451594766</v>
      </c>
      <c r="AZ4" s="5">
        <v>1.7139753527592561E-2</v>
      </c>
      <c r="BA4" s="5">
        <v>-0.15393947590357021</v>
      </c>
      <c r="BB4" s="5">
        <v>-0.25209000741856791</v>
      </c>
      <c r="BC4" s="5">
        <v>-0.1509089515544382</v>
      </c>
      <c r="BD4" s="5">
        <v>-2.256906534059766E-2</v>
      </c>
      <c r="BE4" s="5">
        <v>-3.1980232980275858E-2</v>
      </c>
      <c r="BF4" s="5">
        <v>0.12360403054618981</v>
      </c>
      <c r="BG4" s="5">
        <v>-7.4229896004924356E-2</v>
      </c>
      <c r="BH4" s="5">
        <v>-6.4502472889254037E-2</v>
      </c>
      <c r="BI4" s="5">
        <v>1.824796293577791E-2</v>
      </c>
      <c r="BJ4" s="5">
        <v>-0.15119856136795379</v>
      </c>
      <c r="BK4" s="5">
        <v>-5.7995346273466808E-2</v>
      </c>
      <c r="BL4" s="5">
        <v>-4.6827851998019199E-2</v>
      </c>
      <c r="BM4" s="5">
        <v>2.007808697382707E-2</v>
      </c>
      <c r="BN4" s="5">
        <v>4.1159851064172408E-2</v>
      </c>
      <c r="BO4" s="5">
        <v>4.4821746513099107E-2</v>
      </c>
      <c r="BP4" s="5">
        <v>8.3537285837463671E-2</v>
      </c>
      <c r="BQ4" s="5">
        <v>3.0584215049547229E-2</v>
      </c>
      <c r="BR4" s="5">
        <v>-0.11513801838410841</v>
      </c>
      <c r="BS4" s="5">
        <v>-1.9945733381826258E-2</v>
      </c>
      <c r="BT4" s="5">
        <v>-3.340062489588469E-2</v>
      </c>
      <c r="BU4" s="5">
        <v>-4.5048156861273718E-2</v>
      </c>
      <c r="BV4" s="5">
        <v>0.17298229554948641</v>
      </c>
      <c r="BW4" s="5">
        <v>-9.9199124220314516E-2</v>
      </c>
      <c r="BX4" s="5">
        <v>-6.8360249990837119E-2</v>
      </c>
      <c r="BY4" s="5">
        <v>-0.18303206657081719</v>
      </c>
      <c r="BZ4" s="5">
        <v>8.5483425285028503E-2</v>
      </c>
      <c r="CA4" s="5">
        <v>9.7162092942060241E-3</v>
      </c>
      <c r="CB4" s="5">
        <v>0.19814488479862649</v>
      </c>
      <c r="CC4" s="5">
        <v>-0.29368551385020503</v>
      </c>
      <c r="CD4" s="5">
        <v>-0.13248019500703731</v>
      </c>
      <c r="CE4" s="5">
        <v>-5.8262282818763111E-2</v>
      </c>
      <c r="CF4" s="5">
        <v>-0.1140691280773574</v>
      </c>
      <c r="CG4" s="5">
        <v>5.6736524131114408E-2</v>
      </c>
      <c r="CH4" s="5">
        <v>-4.7296779651766494E-3</v>
      </c>
      <c r="CI4" s="5">
        <v>8.4443901855131287E-2</v>
      </c>
      <c r="CJ4" s="5">
        <v>2.7869588243326859E-2</v>
      </c>
      <c r="CK4" s="5">
        <v>-2.232469786150304E-2</v>
      </c>
      <c r="CL4" s="5">
        <v>-6.8175763142658496E-2</v>
      </c>
      <c r="CM4" s="5">
        <v>4.0425862777794919E-2</v>
      </c>
      <c r="CN4" s="5">
        <v>0.18770361883890979</v>
      </c>
      <c r="CO4" s="5">
        <v>1.3964512578574779E-3</v>
      </c>
      <c r="CP4" s="5">
        <v>2.0238036750885868E-2</v>
      </c>
      <c r="CQ4" s="5">
        <v>-3.0594997259303369E-2</v>
      </c>
      <c r="CR4" s="5">
        <v>-0.28726340823344998</v>
      </c>
      <c r="CS4" s="5">
        <v>-0.27841972942992038</v>
      </c>
      <c r="CT4" s="5">
        <v>8.2270680617856584E-2</v>
      </c>
      <c r="CU4" s="5">
        <v>-0.1048554960401091</v>
      </c>
      <c r="CV4" s="5">
        <v>0.11088351979357471</v>
      </c>
      <c r="CW4" s="5">
        <v>-5.0507103363436563E-2</v>
      </c>
      <c r="CX4" s="5">
        <v>5.9564972115538239E-2</v>
      </c>
      <c r="CY4" s="5">
        <v>-0.17485206724227001</v>
      </c>
      <c r="CZ4" s="5">
        <v>-0.12999288727490921</v>
      </c>
      <c r="DA4" s="5">
        <v>-0.22061040036900439</v>
      </c>
      <c r="DB4" s="5">
        <v>-4.9769885023174247E-2</v>
      </c>
      <c r="DC4" s="5">
        <v>-0.1428822193239476</v>
      </c>
      <c r="DD4" s="5">
        <v>0.1006356253829281</v>
      </c>
      <c r="DE4" s="5">
        <v>4.4473068308818142E-2</v>
      </c>
      <c r="DF4" s="5">
        <v>5.5744001155495937E-2</v>
      </c>
      <c r="DG4" s="5">
        <v>-0.1401895090203702</v>
      </c>
      <c r="DH4" s="5">
        <v>0.15742013530757151</v>
      </c>
      <c r="DI4" s="5">
        <v>-6.1975928482361553E-2</v>
      </c>
      <c r="DJ4" s="5">
        <v>-0.12007758793922819</v>
      </c>
      <c r="DK4" s="5">
        <v>-0.163860282805075</v>
      </c>
      <c r="DL4" s="5">
        <v>9.4497364979279297E-2</v>
      </c>
      <c r="DM4" s="5">
        <v>0.23347887989474711</v>
      </c>
      <c r="DN4" s="5">
        <v>7.41389367052534E-2</v>
      </c>
      <c r="DO4" s="5">
        <v>-4.4768182471788258E-2</v>
      </c>
      <c r="DP4" s="5">
        <v>-6.9268899611042656E-2</v>
      </c>
      <c r="DQ4" s="5">
        <v>-0.1694470405102351</v>
      </c>
      <c r="DR4" s="5">
        <v>-0.1292383591030131</v>
      </c>
      <c r="DS4" s="5">
        <v>-7.3029030634589986E-2</v>
      </c>
      <c r="DT4" s="5">
        <v>-0.2035882020359274</v>
      </c>
      <c r="DU4" s="5">
        <v>-5.4890571845771063E-2</v>
      </c>
      <c r="DV4" s="5">
        <v>1.1078381509349811E-2</v>
      </c>
      <c r="DW4" s="5">
        <v>-4.5384063983000536E-3</v>
      </c>
      <c r="DX4" s="5">
        <v>-8.4289001087523019E-2</v>
      </c>
      <c r="DY4" s="5">
        <v>0.10021881700383869</v>
      </c>
      <c r="DZ4" s="5">
        <v>-0.13097722178277141</v>
      </c>
      <c r="EA4" s="5">
        <v>-0.19315799713893969</v>
      </c>
      <c r="EB4" s="5">
        <v>-0.31868386846927171</v>
      </c>
      <c r="EC4" s="5">
        <v>4.9076536231201118E-2</v>
      </c>
      <c r="ED4" s="5">
        <v>5.2784729286493359E-2</v>
      </c>
      <c r="EE4" s="5">
        <v>0.1201448565603975</v>
      </c>
      <c r="EF4" s="5">
        <v>0.24405280405184021</v>
      </c>
    </row>
    <row r="5" spans="1:136">
      <c r="B5" s="1" t="s">
        <v>138</v>
      </c>
      <c r="C5" s="5">
        <v>-0.20935792122733929</v>
      </c>
      <c r="D5" s="5">
        <v>-0.1073627692333063</v>
      </c>
      <c r="E5" s="5">
        <v>0.52484760680152232</v>
      </c>
      <c r="F5" s="5">
        <v>4.6837059958046809E-2</v>
      </c>
      <c r="G5" s="5">
        <v>-0.2104714261735883</v>
      </c>
      <c r="H5" s="5">
        <v>0.4744149628629204</v>
      </c>
      <c r="I5" s="5">
        <v>0.14678498763585299</v>
      </c>
      <c r="J5" s="5">
        <v>-5.6231752728838222E-2</v>
      </c>
      <c r="K5" s="5">
        <v>0.27552845629080469</v>
      </c>
      <c r="L5" s="5">
        <v>-0.43004286310886081</v>
      </c>
      <c r="M5" s="5">
        <v>0.32376774959305898</v>
      </c>
      <c r="N5" s="5">
        <v>-0.34824165047033961</v>
      </c>
      <c r="O5" s="5">
        <v>-9.7528911512976074E-2</v>
      </c>
      <c r="P5" s="5">
        <v>0.39546612391174241</v>
      </c>
      <c r="Q5" s="5">
        <v>4.8467491330228173E-2</v>
      </c>
      <c r="R5" s="5">
        <v>-9.8851331549351315E-2</v>
      </c>
      <c r="S5" s="5">
        <v>0.3057921371194337</v>
      </c>
      <c r="T5" s="5">
        <v>7.2071946189346189E-2</v>
      </c>
      <c r="U5" s="5">
        <v>-4.7890408561752917E-4</v>
      </c>
      <c r="V5" s="5">
        <v>-0.13936695356286269</v>
      </c>
      <c r="W5" s="5">
        <v>-0.39469012652483237</v>
      </c>
      <c r="X5" s="5">
        <v>-0.12947787244850251</v>
      </c>
      <c r="Y5" s="5">
        <v>-0.68127295831176804</v>
      </c>
      <c r="Z5" s="5">
        <v>-4.1720386960932424E-3</v>
      </c>
      <c r="AA5" s="5">
        <v>1.8198047382592619E-2</v>
      </c>
      <c r="AB5" s="5">
        <v>0.20112165888415301</v>
      </c>
      <c r="AC5" s="5">
        <v>-8.9163225286403025E-2</v>
      </c>
      <c r="AD5" s="5">
        <v>0.14514145822358679</v>
      </c>
      <c r="AE5" s="5">
        <v>7.4669147590605167E-2</v>
      </c>
      <c r="AF5" s="5">
        <v>0.17577042279847119</v>
      </c>
      <c r="AG5" s="5">
        <v>-0.30336041259100399</v>
      </c>
      <c r="AH5" s="5">
        <v>-0.3482499081721625</v>
      </c>
      <c r="AI5" s="5">
        <v>0.25872371710226461</v>
      </c>
      <c r="AJ5" s="5">
        <v>-0.48889196953357</v>
      </c>
      <c r="AK5" s="5">
        <v>0.13254842946584691</v>
      </c>
      <c r="AL5" s="5">
        <v>-2.3789775596635129E-2</v>
      </c>
      <c r="AM5" s="5">
        <v>1.17524054827144E-2</v>
      </c>
      <c r="AN5" s="5">
        <v>-7.4933432869098024E-2</v>
      </c>
      <c r="AO5" s="5">
        <v>0.1844633194704077</v>
      </c>
      <c r="AP5" s="5">
        <v>3.2348031051998787E-2</v>
      </c>
      <c r="AQ5" s="5">
        <v>0.1511984265546954</v>
      </c>
      <c r="AR5" s="5">
        <v>-9.5283109587288514E-2</v>
      </c>
      <c r="AS5" s="5">
        <v>-0.1260043749729467</v>
      </c>
      <c r="AT5" s="5">
        <v>0.1516447920969482</v>
      </c>
      <c r="AU5" s="5">
        <v>-0.20083705233961571</v>
      </c>
      <c r="AV5" s="5">
        <v>7.890636801828628E-2</v>
      </c>
      <c r="AW5" s="5">
        <v>6.7935762483271878E-4</v>
      </c>
      <c r="AX5" s="5">
        <v>0.1122931240608864</v>
      </c>
      <c r="AY5" s="5">
        <v>-0.118056117907044</v>
      </c>
      <c r="AZ5" s="5">
        <v>0.20621977214253931</v>
      </c>
      <c r="BA5" s="5">
        <v>-3.9691918773370187E-2</v>
      </c>
      <c r="BB5" s="5">
        <v>8.2995939761629778E-2</v>
      </c>
      <c r="BC5" s="5">
        <v>-0.13000542995066139</v>
      </c>
      <c r="BD5" s="5">
        <v>-0.1063161628626854</v>
      </c>
      <c r="BE5" s="5">
        <v>0.1159333959862182</v>
      </c>
      <c r="BF5" s="5">
        <v>-0.28526227318364472</v>
      </c>
      <c r="BG5" s="5">
        <v>-0.15093334040887121</v>
      </c>
      <c r="BH5" s="5">
        <v>2.919940093087194E-3</v>
      </c>
      <c r="BI5" s="5">
        <v>5.812657406460206E-2</v>
      </c>
      <c r="BJ5" s="5">
        <v>-0.25986983403483388</v>
      </c>
      <c r="BK5" s="5">
        <v>0.18487944696901781</v>
      </c>
      <c r="BL5" s="5">
        <v>-0.26913172790454543</v>
      </c>
      <c r="BM5" s="5">
        <v>0.1717381908649544</v>
      </c>
      <c r="BN5" s="5">
        <v>-0.18092216130584951</v>
      </c>
      <c r="BO5" s="5">
        <v>-6.3203737577877367E-2</v>
      </c>
      <c r="BP5" s="5">
        <v>7.1867500126512024E-2</v>
      </c>
      <c r="BQ5" s="5">
        <v>-0.16861046240236999</v>
      </c>
      <c r="BR5" s="5">
        <v>-2.5447831594333319E-2</v>
      </c>
      <c r="BS5" s="5">
        <v>0.1244241075337672</v>
      </c>
      <c r="BT5" s="5">
        <v>0.20772231279415901</v>
      </c>
      <c r="BU5" s="5">
        <v>-6.0051294436158628E-2</v>
      </c>
      <c r="BV5" s="5">
        <v>-5.1700003009333508E-2</v>
      </c>
      <c r="BW5" s="5">
        <v>-0.1268015683060742</v>
      </c>
      <c r="BX5" s="5">
        <v>-0.10582029087279909</v>
      </c>
      <c r="BY5" s="5">
        <v>5.3607320437496067E-2</v>
      </c>
      <c r="BZ5" s="5">
        <v>-3.4479447424122608E-2</v>
      </c>
      <c r="CA5" s="5">
        <v>-2.0066210971329639E-2</v>
      </c>
      <c r="CB5" s="5">
        <v>8.4589606751002688E-2</v>
      </c>
      <c r="CC5" s="5">
        <v>-0.1103836570393476</v>
      </c>
      <c r="CD5" s="5">
        <v>0.32742328506094998</v>
      </c>
      <c r="CE5" s="5">
        <v>-1.486719718236725E-2</v>
      </c>
      <c r="CF5" s="5">
        <v>-0.14937324914413941</v>
      </c>
      <c r="CG5" s="5">
        <v>0.16320028060313421</v>
      </c>
      <c r="CH5" s="5">
        <v>-6.9038325074175663E-2</v>
      </c>
      <c r="CI5" s="5">
        <v>-0.11536214708505139</v>
      </c>
      <c r="CJ5" s="5">
        <v>-0.26301723908525793</v>
      </c>
      <c r="CK5" s="5">
        <v>0.37897350211797709</v>
      </c>
      <c r="CL5" s="5">
        <v>-7.6383453932209341E-2</v>
      </c>
      <c r="CM5" s="5">
        <v>4.2833444041791832E-2</v>
      </c>
      <c r="CN5" s="5">
        <v>-0.15161552738072651</v>
      </c>
      <c r="CO5" s="5">
        <v>0.43716796518582229</v>
      </c>
      <c r="CP5" s="5">
        <v>-4.1833927507883796E-3</v>
      </c>
      <c r="CQ5" s="5">
        <v>-0.49935244279872992</v>
      </c>
      <c r="CR5" s="5">
        <v>0.3398570382696095</v>
      </c>
      <c r="CS5" s="5">
        <v>-0.18988696947799641</v>
      </c>
      <c r="CT5" s="5">
        <v>0.2246197528310597</v>
      </c>
      <c r="CU5" s="5">
        <v>-0.25171771168640761</v>
      </c>
      <c r="CV5" s="5">
        <v>-6.0587944319075937E-2</v>
      </c>
      <c r="CW5" s="5">
        <v>0.2108770628752098</v>
      </c>
      <c r="CX5" s="5">
        <v>0.25016150139728283</v>
      </c>
      <c r="CY5" s="5">
        <v>-0.52413353929587791</v>
      </c>
      <c r="CZ5" s="5">
        <v>0.8216183061041753</v>
      </c>
      <c r="DA5" s="5">
        <v>-0.17652298417539669</v>
      </c>
      <c r="DB5" s="5">
        <v>0.13115957739194459</v>
      </c>
      <c r="DC5" s="5">
        <v>0.1757366545058428</v>
      </c>
      <c r="DD5" s="5">
        <v>-0.42083892435479142</v>
      </c>
      <c r="DE5" s="5">
        <v>-0.2279724207651195</v>
      </c>
      <c r="DF5" s="5">
        <v>-0.33715973842927388</v>
      </c>
      <c r="DG5" s="5">
        <v>-0.44400370439279008</v>
      </c>
      <c r="DH5" s="5">
        <v>-4.293279443633978E-2</v>
      </c>
      <c r="DI5" s="5">
        <v>0.30896916307249689</v>
      </c>
      <c r="DJ5" s="5">
        <v>-0.28669247758290828</v>
      </c>
      <c r="DK5" s="5">
        <v>0.84621248517861269</v>
      </c>
      <c r="DL5" s="5">
        <v>-0.16924034367306559</v>
      </c>
      <c r="DM5" s="5">
        <v>-0.43945016692248923</v>
      </c>
      <c r="DN5" s="5">
        <v>0.74751336560070059</v>
      </c>
      <c r="DO5" s="5">
        <v>-0.39996426308914668</v>
      </c>
      <c r="DP5" s="5">
        <v>-4.4863264481034962E-2</v>
      </c>
      <c r="DQ5" s="5">
        <v>-0.58863430244229409</v>
      </c>
      <c r="DR5" s="5">
        <v>-6.5627469319089037E-3</v>
      </c>
      <c r="DS5" s="5">
        <v>-0.19878519438361211</v>
      </c>
      <c r="DT5" s="5">
        <v>0.4132117833889476</v>
      </c>
      <c r="DU5" s="5">
        <v>-0.17065403209770361</v>
      </c>
      <c r="DV5" s="5">
        <v>0.68828031734213269</v>
      </c>
      <c r="DW5" s="5">
        <v>4.0806005098273937E-2</v>
      </c>
      <c r="DX5" s="5">
        <v>-0.1999347157162332</v>
      </c>
      <c r="DY5" s="5">
        <v>0.56631420698904078</v>
      </c>
      <c r="DZ5" s="5">
        <v>0.47362880432099852</v>
      </c>
      <c r="EA5" s="5">
        <v>9.5444977871898054E-2</v>
      </c>
      <c r="EB5" s="5">
        <v>-1.076360940060376</v>
      </c>
      <c r="EC5" s="5">
        <v>-0.13610628648279391</v>
      </c>
      <c r="ED5" s="5">
        <v>-0.27349656344743889</v>
      </c>
      <c r="EE5" s="5">
        <v>0.60134859370029736</v>
      </c>
      <c r="EF5" s="5">
        <v>6.7468790588863341E-3</v>
      </c>
    </row>
    <row r="6" spans="1:136">
      <c r="A6" s="29" t="s">
        <v>139</v>
      </c>
      <c r="B6" s="30"/>
      <c r="C6" s="5">
        <f t="array" ref="C6">MATCH(MAX(ABS(C3:C5)),ABS(C3:C5),0)</f>
        <v>3</v>
      </c>
      <c r="D6" s="5">
        <f t="array" ref="D6">MATCH(MAX(ABS(D3:D5)),ABS(D3:D5),0)</f>
        <v>2</v>
      </c>
      <c r="E6" s="5">
        <f t="array" ref="E6">MATCH(MAX(ABS(E3:E5)),ABS(E3:E5),0)</f>
        <v>3</v>
      </c>
      <c r="F6" s="5">
        <f t="array" ref="F6">MATCH(MAX(ABS(F3:F5)),ABS(F3:F5),0)</f>
        <v>3</v>
      </c>
      <c r="G6" s="5">
        <f t="array" ref="G6">MATCH(MAX(ABS(G3:G5)),ABS(G3:G5),0)</f>
        <v>3</v>
      </c>
      <c r="H6" s="5">
        <f t="array" ref="H6">MATCH(MAX(ABS(H3:H5)),ABS(H3:H5),0)</f>
        <v>3</v>
      </c>
      <c r="I6" s="5">
        <f t="array" ref="I6">MATCH(MAX(ABS(I3:I5)),ABS(I3:I5),0)</f>
        <v>1</v>
      </c>
      <c r="J6" s="5">
        <f t="array" ref="J6">MATCH(MAX(ABS(J3:J5)),ABS(J3:J5),0)</f>
        <v>1</v>
      </c>
      <c r="K6" s="5">
        <f t="array" ref="K6">MATCH(MAX(ABS(K3:K5)),ABS(K3:K5),0)</f>
        <v>3</v>
      </c>
      <c r="L6" s="5">
        <f t="array" ref="L6">MATCH(MAX(ABS(L3:L5)),ABS(L3:L5),0)</f>
        <v>3</v>
      </c>
      <c r="M6" s="5">
        <f t="array" ref="M6">MATCH(MAX(ABS(M3:M5)),ABS(M3:M5),0)</f>
        <v>3</v>
      </c>
      <c r="N6" s="5">
        <f t="array" ref="N6">MATCH(MAX(ABS(N3:N5)),ABS(N3:N5),0)</f>
        <v>3</v>
      </c>
      <c r="O6" s="5">
        <f t="array" ref="O6">MATCH(MAX(ABS(O3:O5)),ABS(O3:O5),0)</f>
        <v>1</v>
      </c>
      <c r="P6" s="5">
        <f t="array" ref="P6">MATCH(MAX(ABS(P3:P5)),ABS(P3:P5),0)</f>
        <v>3</v>
      </c>
      <c r="Q6" s="5">
        <f t="array" ref="Q6">MATCH(MAX(ABS(Q3:Q5)),ABS(Q3:Q5),0)</f>
        <v>1</v>
      </c>
      <c r="R6" s="5">
        <f t="array" ref="R6">MATCH(MAX(ABS(R3:R5)),ABS(R3:R5),0)</f>
        <v>1</v>
      </c>
      <c r="S6" s="5">
        <f t="array" ref="S6">MATCH(MAX(ABS(S3:S5)),ABS(S3:S5),0)</f>
        <v>3</v>
      </c>
      <c r="T6" s="5">
        <f t="array" ref="T6">MATCH(MAX(ABS(T3:T5)),ABS(T3:T5),0)</f>
        <v>1</v>
      </c>
      <c r="U6" s="5">
        <f t="array" ref="U6">MATCH(MAX(ABS(U3:U5)),ABS(U3:U5),0)</f>
        <v>1</v>
      </c>
      <c r="V6" s="5">
        <f t="array" ref="V6">MATCH(MAX(ABS(V3:V5)),ABS(V3:V5),0)</f>
        <v>3</v>
      </c>
      <c r="W6" s="5">
        <f t="array" ref="W6">MATCH(MAX(ABS(W3:W5)),ABS(W3:W5),0)</f>
        <v>3</v>
      </c>
      <c r="X6" s="5">
        <f t="array" ref="X6">MATCH(MAX(ABS(X3:X5)),ABS(X3:X5),0)</f>
        <v>2</v>
      </c>
      <c r="Y6" s="5">
        <f t="array" ref="Y6">MATCH(MAX(ABS(Y3:Y5)),ABS(Y3:Y5),0)</f>
        <v>3</v>
      </c>
      <c r="Z6" s="5">
        <f t="array" ref="Z6">MATCH(MAX(ABS(Z3:Z5)),ABS(Z3:Z5),0)</f>
        <v>1</v>
      </c>
      <c r="AA6" s="5">
        <f t="array" ref="AA6">MATCH(MAX(ABS(AA3:AA5)),ABS(AA3:AA5),0)</f>
        <v>1</v>
      </c>
      <c r="AB6" s="5">
        <f t="array" ref="AB6">MATCH(MAX(ABS(AB3:AB5)),ABS(AB3:AB5),0)</f>
        <v>1</v>
      </c>
      <c r="AC6" s="5">
        <f t="array" ref="AC6">MATCH(MAX(ABS(AC3:AC5)),ABS(AC3:AC5),0)</f>
        <v>3</v>
      </c>
      <c r="AD6" s="5">
        <f t="array" ref="AD6">MATCH(MAX(ABS(AD3:AD5)),ABS(AD3:AD5),0)</f>
        <v>3</v>
      </c>
      <c r="AE6" s="5">
        <f t="array" ref="AE6">MATCH(MAX(ABS(AE3:AE5)),ABS(AE3:AE5),0)</f>
        <v>3</v>
      </c>
      <c r="AF6" s="5">
        <f t="array" ref="AF6">MATCH(MAX(ABS(AF3:AF5)),ABS(AF3:AF5),0)</f>
        <v>3</v>
      </c>
      <c r="AG6" s="5">
        <f t="array" ref="AG6">MATCH(MAX(ABS(AG3:AG5)),ABS(AG3:AG5),0)</f>
        <v>3</v>
      </c>
      <c r="AH6" s="5">
        <f t="array" ref="AH6">MATCH(MAX(ABS(AH3:AH5)),ABS(AH3:AH5),0)</f>
        <v>3</v>
      </c>
      <c r="AI6" s="5">
        <f t="array" ref="AI6">MATCH(MAX(ABS(AI3:AI5)),ABS(AI3:AI5),0)</f>
        <v>3</v>
      </c>
      <c r="AJ6" s="5">
        <f t="array" ref="AJ6">MATCH(MAX(ABS(AJ3:AJ5)),ABS(AJ3:AJ5),0)</f>
        <v>3</v>
      </c>
      <c r="AK6" s="5">
        <f t="array" ref="AK6">MATCH(MAX(ABS(AK3:AK5)),ABS(AK3:AK5),0)</f>
        <v>3</v>
      </c>
      <c r="AL6" s="5">
        <f t="array" ref="AL6">MATCH(MAX(ABS(AL3:AL5)),ABS(AL3:AL5),0)</f>
        <v>1</v>
      </c>
      <c r="AM6" s="5">
        <f t="array" ref="AM6">MATCH(MAX(ABS(AM3:AM5)),ABS(AM3:AM5),0)</f>
        <v>1</v>
      </c>
      <c r="AN6" s="5">
        <f t="array" ref="AN6">MATCH(MAX(ABS(AN3:AN5)),ABS(AN3:AN5),0)</f>
        <v>1</v>
      </c>
      <c r="AO6" s="5">
        <f t="array" ref="AO6">MATCH(MAX(ABS(AO3:AO5)),ABS(AO3:AO5),0)</f>
        <v>3</v>
      </c>
      <c r="AP6" s="5">
        <f t="array" ref="AP6">MATCH(MAX(ABS(AP3:AP5)),ABS(AP3:AP5),0)</f>
        <v>2</v>
      </c>
      <c r="AQ6" s="5">
        <f t="array" ref="AQ6">MATCH(MAX(ABS(AQ3:AQ5)),ABS(AQ3:AQ5),0)</f>
        <v>1</v>
      </c>
      <c r="AR6" s="5">
        <f t="array" ref="AR6">MATCH(MAX(ABS(AR3:AR5)),ABS(AR3:AR5),0)</f>
        <v>2</v>
      </c>
      <c r="AS6" s="5">
        <f t="array" ref="AS6">MATCH(MAX(ABS(AS3:AS5)),ABS(AS3:AS5),0)</f>
        <v>1</v>
      </c>
      <c r="AT6" s="5">
        <f t="array" ref="AT6">MATCH(MAX(ABS(AT3:AT5)),ABS(AT3:AT5),0)</f>
        <v>3</v>
      </c>
      <c r="AU6" s="5">
        <f t="array" ref="AU6">MATCH(MAX(ABS(AU3:AU5)),ABS(AU3:AU5),0)</f>
        <v>3</v>
      </c>
      <c r="AV6" s="5">
        <f t="array" ref="AV6">MATCH(MAX(ABS(AV3:AV5)),ABS(AV3:AV5),0)</f>
        <v>2</v>
      </c>
      <c r="AW6" s="5">
        <f t="array" ref="AW6">MATCH(MAX(ABS(AW3:AW5)),ABS(AW3:AW5),0)</f>
        <v>1</v>
      </c>
      <c r="AX6" s="5">
        <f t="array" ref="AX6">MATCH(MAX(ABS(AX3:AX5)),ABS(AX3:AX5),0)</f>
        <v>3</v>
      </c>
      <c r="AY6" s="5">
        <f t="array" ref="AY6">MATCH(MAX(ABS(AY3:AY5)),ABS(AY3:AY5),0)</f>
        <v>3</v>
      </c>
      <c r="AZ6" s="5">
        <f t="array" ref="AZ6">MATCH(MAX(ABS(AZ3:AZ5)),ABS(AZ3:AZ5),0)</f>
        <v>3</v>
      </c>
      <c r="BA6" s="5">
        <f t="array" ref="BA6">MATCH(MAX(ABS(BA3:BA5)),ABS(BA3:BA5),0)</f>
        <v>1</v>
      </c>
      <c r="BB6" s="5">
        <f t="array" ref="BB6">MATCH(MAX(ABS(BB3:BB5)),ABS(BB3:BB5),0)</f>
        <v>2</v>
      </c>
      <c r="BC6" s="5">
        <f t="array" ref="BC6">MATCH(MAX(ABS(BC3:BC5)),ABS(BC3:BC5),0)</f>
        <v>1</v>
      </c>
      <c r="BD6" s="5">
        <f t="array" ref="BD6">MATCH(MAX(ABS(BD3:BD5)),ABS(BD3:BD5),0)</f>
        <v>1</v>
      </c>
      <c r="BE6" s="5">
        <f t="array" ref="BE6">MATCH(MAX(ABS(BE3:BE5)),ABS(BE3:BE5),0)</f>
        <v>1</v>
      </c>
      <c r="BF6" s="5">
        <f t="array" ref="BF6">MATCH(MAX(ABS(BF3:BF5)),ABS(BF3:BF5),0)</f>
        <v>3</v>
      </c>
      <c r="BG6" s="5">
        <f t="array" ref="BG6">MATCH(MAX(ABS(BG3:BG5)),ABS(BG3:BG5),0)</f>
        <v>1</v>
      </c>
      <c r="BH6" s="5">
        <f t="array" ref="BH6">MATCH(MAX(ABS(BH3:BH5)),ABS(BH3:BH5),0)</f>
        <v>1</v>
      </c>
      <c r="BI6" s="5">
        <f t="array" ref="BI6">MATCH(MAX(ABS(BI3:BI5)),ABS(BI3:BI5),0)</f>
        <v>3</v>
      </c>
      <c r="BJ6" s="5">
        <f t="array" ref="BJ6">MATCH(MAX(ABS(BJ3:BJ5)),ABS(BJ3:BJ5),0)</f>
        <v>3</v>
      </c>
      <c r="BK6" s="5">
        <f t="array" ref="BK6">MATCH(MAX(ABS(BK3:BK5)),ABS(BK3:BK5),0)</f>
        <v>3</v>
      </c>
      <c r="BL6" s="5">
        <f t="array" ref="BL6">MATCH(MAX(ABS(BL3:BL5)),ABS(BL3:BL5),0)</f>
        <v>3</v>
      </c>
      <c r="BM6" s="5">
        <f t="array" ref="BM6">MATCH(MAX(ABS(BM3:BM5)),ABS(BM3:BM5),0)</f>
        <v>3</v>
      </c>
      <c r="BN6" s="5">
        <f t="array" ref="BN6">MATCH(MAX(ABS(BN3:BN5)),ABS(BN3:BN5),0)</f>
        <v>3</v>
      </c>
      <c r="BO6" s="5">
        <f t="array" ref="BO6">MATCH(MAX(ABS(BO3:BO5)),ABS(BO3:BO5),0)</f>
        <v>1</v>
      </c>
      <c r="BP6" s="5">
        <f t="array" ref="BP6">MATCH(MAX(ABS(BP3:BP5)),ABS(BP3:BP5),0)</f>
        <v>2</v>
      </c>
      <c r="BQ6" s="5">
        <f t="array" ref="BQ6">MATCH(MAX(ABS(BQ3:BQ5)),ABS(BQ3:BQ5),0)</f>
        <v>3</v>
      </c>
      <c r="BR6" s="5">
        <f t="array" ref="BR6">MATCH(MAX(ABS(BR3:BR5)),ABS(BR3:BR5),0)</f>
        <v>1</v>
      </c>
      <c r="BS6" s="5">
        <f t="array" ref="BS6">MATCH(MAX(ABS(BS3:BS5)),ABS(BS3:BS5),0)</f>
        <v>3</v>
      </c>
      <c r="BT6" s="5">
        <f t="array" ref="BT6">MATCH(MAX(ABS(BT3:BT5)),ABS(BT3:BT5),0)</f>
        <v>3</v>
      </c>
      <c r="BU6" s="5">
        <f t="array" ref="BU6">MATCH(MAX(ABS(BU3:BU5)),ABS(BU3:BU5),0)</f>
        <v>1</v>
      </c>
      <c r="BV6" s="5">
        <f t="array" ref="BV6">MATCH(MAX(ABS(BV3:BV5)),ABS(BV3:BV5),0)</f>
        <v>2</v>
      </c>
      <c r="BW6" s="5">
        <f t="array" ref="BW6">MATCH(MAX(ABS(BW3:BW5)),ABS(BW3:BW5),0)</f>
        <v>3</v>
      </c>
      <c r="BX6" s="5">
        <f t="array" ref="BX6">MATCH(MAX(ABS(BX3:BX5)),ABS(BX3:BX5),0)</f>
        <v>3</v>
      </c>
      <c r="BY6" s="5">
        <f t="array" ref="BY6">MATCH(MAX(ABS(BY3:BY5)),ABS(BY3:BY5),0)</f>
        <v>2</v>
      </c>
      <c r="BZ6" s="5">
        <f t="array" ref="BZ6">MATCH(MAX(ABS(BZ3:BZ5)),ABS(BZ3:BZ5),0)</f>
        <v>1</v>
      </c>
      <c r="CA6" s="5">
        <f t="array" ref="CA6">MATCH(MAX(ABS(CA3:CA5)),ABS(CA3:CA5),0)</f>
        <v>1</v>
      </c>
      <c r="CB6" s="5">
        <f t="array" ref="CB6">MATCH(MAX(ABS(CB3:CB5)),ABS(CB3:CB5),0)</f>
        <v>2</v>
      </c>
      <c r="CC6" s="5">
        <f t="array" ref="CC6">MATCH(MAX(ABS(CC3:CC5)),ABS(CC3:CC5),0)</f>
        <v>2</v>
      </c>
      <c r="CD6" s="5">
        <f t="array" ref="CD6">MATCH(MAX(ABS(CD3:CD5)),ABS(CD3:CD5),0)</f>
        <v>3</v>
      </c>
      <c r="CE6" s="5">
        <f t="array" ref="CE6">MATCH(MAX(ABS(CE3:CE5)),ABS(CE3:CE5),0)</f>
        <v>1</v>
      </c>
      <c r="CF6" s="5">
        <f t="array" ref="CF6">MATCH(MAX(ABS(CF3:CF5)),ABS(CF3:CF5),0)</f>
        <v>3</v>
      </c>
      <c r="CG6" s="5">
        <f t="array" ref="CG6">MATCH(MAX(ABS(CG3:CG5)),ABS(CG3:CG5),0)</f>
        <v>3</v>
      </c>
      <c r="CH6" s="5">
        <f t="array" ref="CH6">MATCH(MAX(ABS(CH3:CH5)),ABS(CH3:CH5),0)</f>
        <v>3</v>
      </c>
      <c r="CI6" s="5">
        <f t="array" ref="CI6">MATCH(MAX(ABS(CI3:CI5)),ABS(CI3:CI5),0)</f>
        <v>3</v>
      </c>
      <c r="CJ6" s="5">
        <f t="array" ref="CJ6">MATCH(MAX(ABS(CJ3:CJ5)),ABS(CJ3:CJ5),0)</f>
        <v>1</v>
      </c>
      <c r="CK6" s="5">
        <f t="array" ref="CK6">MATCH(MAX(ABS(CK3:CK5)),ABS(CK3:CK5),0)</f>
        <v>3</v>
      </c>
      <c r="CL6" s="5">
        <f t="array" ref="CL6">MATCH(MAX(ABS(CL3:CL5)),ABS(CL3:CL5),0)</f>
        <v>3</v>
      </c>
      <c r="CM6" s="5">
        <f t="array" ref="CM6">MATCH(MAX(ABS(CM3:CM5)),ABS(CM3:CM5),0)</f>
        <v>1</v>
      </c>
      <c r="CN6" s="5">
        <f t="array" ref="CN6">MATCH(MAX(ABS(CN3:CN5)),ABS(CN3:CN5),0)</f>
        <v>1</v>
      </c>
      <c r="CO6" s="5">
        <f t="array" ref="CO6">MATCH(MAX(ABS(CO3:CO5)),ABS(CO3:CO5),0)</f>
        <v>3</v>
      </c>
      <c r="CP6" s="5">
        <f t="array" ref="CP6">MATCH(MAX(ABS(CP3:CP5)),ABS(CP3:CP5),0)</f>
        <v>1</v>
      </c>
      <c r="CQ6" s="5">
        <f t="array" ref="CQ6">MATCH(MAX(ABS(CQ3:CQ5)),ABS(CQ3:CQ5),0)</f>
        <v>3</v>
      </c>
      <c r="CR6" s="5">
        <f t="array" ref="CR6">MATCH(MAX(ABS(CR3:CR5)),ABS(CR3:CR5),0)</f>
        <v>3</v>
      </c>
      <c r="CS6" s="5">
        <f t="array" ref="CS6">MATCH(MAX(ABS(CS3:CS5)),ABS(CS3:CS5),0)</f>
        <v>2</v>
      </c>
      <c r="CT6" s="5">
        <f t="array" ref="CT6">MATCH(MAX(ABS(CT3:CT5)),ABS(CT3:CT5),0)</f>
        <v>3</v>
      </c>
      <c r="CU6" s="5">
        <f t="array" ref="CU6">MATCH(MAX(ABS(CU3:CU5)),ABS(CU3:CU5),0)</f>
        <v>3</v>
      </c>
      <c r="CV6" s="5">
        <f t="array" ref="CV6">MATCH(MAX(ABS(CV3:CV5)),ABS(CV3:CV5),0)</f>
        <v>2</v>
      </c>
      <c r="CW6" s="5">
        <f t="array" ref="CW6">MATCH(MAX(ABS(CW3:CW5)),ABS(CW3:CW5),0)</f>
        <v>3</v>
      </c>
      <c r="CX6" s="5">
        <f t="array" ref="CX6">MATCH(MAX(ABS(CX3:CX5)),ABS(CX3:CX5),0)</f>
        <v>3</v>
      </c>
      <c r="CY6" s="5">
        <f t="array" ref="CY6">MATCH(MAX(ABS(CY3:CY5)),ABS(CY3:CY5),0)</f>
        <v>3</v>
      </c>
      <c r="CZ6" s="5">
        <f t="array" ref="CZ6">MATCH(MAX(ABS(CZ3:CZ5)),ABS(CZ3:CZ5),0)</f>
        <v>3</v>
      </c>
      <c r="DA6" s="5">
        <f t="array" ref="DA6">MATCH(MAX(ABS(DA3:DA5)),ABS(DA3:DA5),0)</f>
        <v>1</v>
      </c>
      <c r="DB6" s="5">
        <f t="array" ref="DB6">MATCH(MAX(ABS(DB3:DB5)),ABS(DB3:DB5),0)</f>
        <v>1</v>
      </c>
      <c r="DC6" s="5">
        <f t="array" ref="DC6">MATCH(MAX(ABS(DC3:DC5)),ABS(DC3:DC5),0)</f>
        <v>1</v>
      </c>
      <c r="DD6" s="5">
        <f t="array" ref="DD6">MATCH(MAX(ABS(DD3:DD5)),ABS(DD3:DD5),0)</f>
        <v>3</v>
      </c>
      <c r="DE6" s="5">
        <f t="array" ref="DE6">MATCH(MAX(ABS(DE3:DE5)),ABS(DE3:DE5),0)</f>
        <v>3</v>
      </c>
      <c r="DF6" s="5">
        <f t="array" ref="DF6">MATCH(MAX(ABS(DF3:DF5)),ABS(DF3:DF5),0)</f>
        <v>3</v>
      </c>
      <c r="DG6" s="5">
        <f t="array" ref="DG6">MATCH(MAX(ABS(DG3:DG5)),ABS(DG3:DG5),0)</f>
        <v>3</v>
      </c>
      <c r="DH6" s="5">
        <f t="array" ref="DH6">MATCH(MAX(ABS(DH3:DH5)),ABS(DH3:DH5),0)</f>
        <v>2</v>
      </c>
      <c r="DI6" s="5">
        <f t="array" ref="DI6">MATCH(MAX(ABS(DI3:DI5)),ABS(DI3:DI5),0)</f>
        <v>3</v>
      </c>
      <c r="DJ6" s="5">
        <f t="array" ref="DJ6">MATCH(MAX(ABS(DJ3:DJ5)),ABS(DJ3:DJ5),0)</f>
        <v>3</v>
      </c>
      <c r="DK6" s="5">
        <f t="array" ref="DK6">MATCH(MAX(ABS(DK3:DK5)),ABS(DK3:DK5),0)</f>
        <v>3</v>
      </c>
      <c r="DL6" s="5">
        <f t="array" ref="DL6">MATCH(MAX(ABS(DL3:DL5)),ABS(DL3:DL5),0)</f>
        <v>3</v>
      </c>
      <c r="DM6" s="5">
        <f t="array" ref="DM6">MATCH(MAX(ABS(DM3:DM5)),ABS(DM3:DM5),0)</f>
        <v>3</v>
      </c>
      <c r="DN6" s="5">
        <f t="array" ref="DN6">MATCH(MAX(ABS(DN3:DN5)),ABS(DN3:DN5),0)</f>
        <v>3</v>
      </c>
      <c r="DO6" s="5">
        <f t="array" ref="DO6">MATCH(MAX(ABS(DO3:DO5)),ABS(DO3:DO5),0)</f>
        <v>3</v>
      </c>
      <c r="DP6" s="5">
        <f t="array" ref="DP6">MATCH(MAX(ABS(DP3:DP5)),ABS(DP3:DP5),0)</f>
        <v>1</v>
      </c>
      <c r="DQ6" s="5">
        <f t="array" ref="DQ6">MATCH(MAX(ABS(DQ3:DQ5)),ABS(DQ3:DQ5),0)</f>
        <v>3</v>
      </c>
      <c r="DR6" s="5">
        <f t="array" ref="DR6">MATCH(MAX(ABS(DR3:DR5)),ABS(DR3:DR5),0)</f>
        <v>2</v>
      </c>
      <c r="DS6" s="5">
        <f t="array" ref="DS6">MATCH(MAX(ABS(DS3:DS5)),ABS(DS3:DS5),0)</f>
        <v>3</v>
      </c>
      <c r="DT6" s="5">
        <f t="array" ref="DT6">MATCH(MAX(ABS(DT3:DT5)),ABS(DT3:DT5),0)</f>
        <v>3</v>
      </c>
      <c r="DU6" s="5">
        <f t="array" ref="DU6">MATCH(MAX(ABS(DU3:DU5)),ABS(DU3:DU5),0)</f>
        <v>3</v>
      </c>
      <c r="DV6" s="5">
        <f t="array" ref="DV6">MATCH(MAX(ABS(DV3:DV5)),ABS(DV3:DV5),0)</f>
        <v>3</v>
      </c>
      <c r="DW6" s="5">
        <f t="array" ref="DW6">MATCH(MAX(ABS(DW3:DW5)),ABS(DW3:DW5),0)</f>
        <v>1</v>
      </c>
      <c r="DX6" s="5">
        <f t="array" ref="DX6">MATCH(MAX(ABS(DX3:DX5)),ABS(DX3:DX5),0)</f>
        <v>3</v>
      </c>
      <c r="DY6" s="5">
        <f t="array" ref="DY6">MATCH(MAX(ABS(DY3:DY5)),ABS(DY3:DY5),0)</f>
        <v>3</v>
      </c>
      <c r="DZ6" s="5">
        <f t="array" ref="DZ6">MATCH(MAX(ABS(DZ3:DZ5)),ABS(DZ3:DZ5),0)</f>
        <v>3</v>
      </c>
      <c r="EA6" s="5">
        <f t="array" ref="EA6">MATCH(MAX(ABS(EA3:EA5)),ABS(EA3:EA5),0)</f>
        <v>2</v>
      </c>
      <c r="EB6" s="5">
        <f t="array" ref="EB6">MATCH(MAX(ABS(EB3:EB5)),ABS(EB3:EB5),0)</f>
        <v>3</v>
      </c>
      <c r="EC6" s="5">
        <f t="array" ref="EC6">MATCH(MAX(ABS(EC3:EC5)),ABS(EC3:EC5),0)</f>
        <v>3</v>
      </c>
      <c r="ED6" s="5">
        <f t="array" ref="ED6">MATCH(MAX(ABS(ED3:ED5)),ABS(ED3:ED5),0)</f>
        <v>3</v>
      </c>
      <c r="EE6" s="5">
        <f t="array" ref="EE6">MATCH(MAX(ABS(EE3:EE5)),ABS(EE3:EE5),0)</f>
        <v>3</v>
      </c>
      <c r="EF6" s="5">
        <f t="array" ref="EF6">MATCH(MAX(ABS(EF3:EF5)),ABS(EF3:EF5),0)</f>
        <v>2</v>
      </c>
    </row>
    <row r="7" spans="1:136">
      <c r="C7" s="5" t="str">
        <f t="shared" ref="C7:AH7" si="0">IF(C6=1,"bm",IF(C6=2,"size",IF(C6=3,"mom")))</f>
        <v>mom</v>
      </c>
      <c r="D7" s="5" t="str">
        <f t="shared" si="0"/>
        <v>size</v>
      </c>
      <c r="E7" s="5" t="str">
        <f t="shared" si="0"/>
        <v>mom</v>
      </c>
      <c r="F7" s="5" t="str">
        <f t="shared" si="0"/>
        <v>mom</v>
      </c>
      <c r="G7" s="5" t="str">
        <f t="shared" si="0"/>
        <v>mom</v>
      </c>
      <c r="H7" s="5" t="str">
        <f t="shared" si="0"/>
        <v>mom</v>
      </c>
      <c r="I7" s="5" t="str">
        <f t="shared" si="0"/>
        <v>bm</v>
      </c>
      <c r="J7" s="5" t="str">
        <f t="shared" si="0"/>
        <v>bm</v>
      </c>
      <c r="K7" s="5" t="str">
        <f t="shared" si="0"/>
        <v>mom</v>
      </c>
      <c r="L7" s="5" t="str">
        <f t="shared" si="0"/>
        <v>mom</v>
      </c>
      <c r="M7" s="5" t="str">
        <f t="shared" si="0"/>
        <v>mom</v>
      </c>
      <c r="N7" s="5" t="str">
        <f t="shared" si="0"/>
        <v>mom</v>
      </c>
      <c r="O7" s="5" t="str">
        <f t="shared" si="0"/>
        <v>bm</v>
      </c>
      <c r="P7" s="5" t="str">
        <f t="shared" si="0"/>
        <v>mom</v>
      </c>
      <c r="Q7" s="5" t="str">
        <f t="shared" si="0"/>
        <v>bm</v>
      </c>
      <c r="R7" s="5" t="str">
        <f t="shared" si="0"/>
        <v>bm</v>
      </c>
      <c r="S7" s="5" t="str">
        <f t="shared" si="0"/>
        <v>mom</v>
      </c>
      <c r="T7" s="5" t="str">
        <f t="shared" si="0"/>
        <v>bm</v>
      </c>
      <c r="U7" s="5" t="str">
        <f t="shared" si="0"/>
        <v>bm</v>
      </c>
      <c r="V7" s="5" t="str">
        <f t="shared" si="0"/>
        <v>mom</v>
      </c>
      <c r="W7" s="5" t="str">
        <f t="shared" si="0"/>
        <v>mom</v>
      </c>
      <c r="X7" s="5" t="str">
        <f t="shared" si="0"/>
        <v>size</v>
      </c>
      <c r="Y7" s="5" t="str">
        <f t="shared" si="0"/>
        <v>mom</v>
      </c>
      <c r="Z7" s="5" t="str">
        <f t="shared" si="0"/>
        <v>bm</v>
      </c>
      <c r="AA7" s="5" t="str">
        <f t="shared" si="0"/>
        <v>bm</v>
      </c>
      <c r="AB7" s="5" t="str">
        <f t="shared" si="0"/>
        <v>bm</v>
      </c>
      <c r="AC7" s="5" t="str">
        <f t="shared" si="0"/>
        <v>mom</v>
      </c>
      <c r="AD7" s="5" t="str">
        <f t="shared" si="0"/>
        <v>mom</v>
      </c>
      <c r="AE7" s="5" t="str">
        <f t="shared" si="0"/>
        <v>mom</v>
      </c>
      <c r="AF7" s="5" t="str">
        <f t="shared" si="0"/>
        <v>mom</v>
      </c>
      <c r="AG7" s="5" t="str">
        <f t="shared" si="0"/>
        <v>mom</v>
      </c>
      <c r="AH7" s="5" t="str">
        <f t="shared" si="0"/>
        <v>mom</v>
      </c>
      <c r="AI7" s="5" t="str">
        <f t="shared" ref="AI7:BN7" si="1">IF(AI6=1,"bm",IF(AI6=2,"size",IF(AI6=3,"mom")))</f>
        <v>mom</v>
      </c>
      <c r="AJ7" s="5" t="str">
        <f t="shared" si="1"/>
        <v>mom</v>
      </c>
      <c r="AK7" s="5" t="str">
        <f t="shared" si="1"/>
        <v>mom</v>
      </c>
      <c r="AL7" s="5" t="str">
        <f t="shared" si="1"/>
        <v>bm</v>
      </c>
      <c r="AM7" s="5" t="str">
        <f t="shared" si="1"/>
        <v>bm</v>
      </c>
      <c r="AN7" s="5" t="str">
        <f t="shared" si="1"/>
        <v>bm</v>
      </c>
      <c r="AO7" s="5" t="str">
        <f t="shared" si="1"/>
        <v>mom</v>
      </c>
      <c r="AP7" s="5" t="str">
        <f t="shared" si="1"/>
        <v>size</v>
      </c>
      <c r="AQ7" s="5" t="str">
        <f t="shared" si="1"/>
        <v>bm</v>
      </c>
      <c r="AR7" s="5" t="str">
        <f t="shared" si="1"/>
        <v>size</v>
      </c>
      <c r="AS7" s="5" t="str">
        <f t="shared" si="1"/>
        <v>bm</v>
      </c>
      <c r="AT7" s="5" t="str">
        <f t="shared" si="1"/>
        <v>mom</v>
      </c>
      <c r="AU7" s="5" t="str">
        <f t="shared" si="1"/>
        <v>mom</v>
      </c>
      <c r="AV7" s="5" t="str">
        <f t="shared" si="1"/>
        <v>size</v>
      </c>
      <c r="AW7" s="5" t="str">
        <f t="shared" si="1"/>
        <v>bm</v>
      </c>
      <c r="AX7" s="5" t="str">
        <f t="shared" si="1"/>
        <v>mom</v>
      </c>
      <c r="AY7" s="5" t="str">
        <f t="shared" si="1"/>
        <v>mom</v>
      </c>
      <c r="AZ7" s="5" t="str">
        <f t="shared" si="1"/>
        <v>mom</v>
      </c>
      <c r="BA7" s="5" t="str">
        <f t="shared" si="1"/>
        <v>bm</v>
      </c>
      <c r="BB7" s="5" t="str">
        <f t="shared" si="1"/>
        <v>size</v>
      </c>
      <c r="BC7" s="5" t="str">
        <f t="shared" si="1"/>
        <v>bm</v>
      </c>
      <c r="BD7" s="5" t="str">
        <f t="shared" si="1"/>
        <v>bm</v>
      </c>
      <c r="BE7" s="5" t="str">
        <f t="shared" si="1"/>
        <v>bm</v>
      </c>
      <c r="BF7" s="5" t="str">
        <f t="shared" si="1"/>
        <v>mom</v>
      </c>
      <c r="BG7" s="5" t="str">
        <f t="shared" si="1"/>
        <v>bm</v>
      </c>
      <c r="BH7" s="5" t="str">
        <f t="shared" si="1"/>
        <v>bm</v>
      </c>
      <c r="BI7" s="5" t="str">
        <f t="shared" si="1"/>
        <v>mom</v>
      </c>
      <c r="BJ7" s="5" t="str">
        <f t="shared" si="1"/>
        <v>mom</v>
      </c>
      <c r="BK7" s="5" t="str">
        <f t="shared" si="1"/>
        <v>mom</v>
      </c>
      <c r="BL7" s="5" t="str">
        <f t="shared" si="1"/>
        <v>mom</v>
      </c>
      <c r="BM7" s="5" t="str">
        <f t="shared" si="1"/>
        <v>mom</v>
      </c>
      <c r="BN7" s="5" t="str">
        <f t="shared" si="1"/>
        <v>mom</v>
      </c>
      <c r="BO7" s="5" t="str">
        <f t="shared" ref="BO7:CT7" si="2">IF(BO6=1,"bm",IF(BO6=2,"size",IF(BO6=3,"mom")))</f>
        <v>bm</v>
      </c>
      <c r="BP7" s="5" t="str">
        <f t="shared" si="2"/>
        <v>size</v>
      </c>
      <c r="BQ7" s="5" t="str">
        <f t="shared" si="2"/>
        <v>mom</v>
      </c>
      <c r="BR7" s="5" t="str">
        <f t="shared" si="2"/>
        <v>bm</v>
      </c>
      <c r="BS7" s="5" t="str">
        <f t="shared" si="2"/>
        <v>mom</v>
      </c>
      <c r="BT7" s="5" t="str">
        <f t="shared" si="2"/>
        <v>mom</v>
      </c>
      <c r="BU7" s="5" t="str">
        <f t="shared" si="2"/>
        <v>bm</v>
      </c>
      <c r="BV7" s="5" t="str">
        <f t="shared" si="2"/>
        <v>size</v>
      </c>
      <c r="BW7" s="5" t="str">
        <f t="shared" si="2"/>
        <v>mom</v>
      </c>
      <c r="BX7" s="5" t="str">
        <f t="shared" si="2"/>
        <v>mom</v>
      </c>
      <c r="BY7" s="5" t="str">
        <f t="shared" si="2"/>
        <v>size</v>
      </c>
      <c r="BZ7" s="5" t="str">
        <f t="shared" si="2"/>
        <v>bm</v>
      </c>
      <c r="CA7" s="5" t="str">
        <f t="shared" si="2"/>
        <v>bm</v>
      </c>
      <c r="CB7" s="5" t="str">
        <f t="shared" si="2"/>
        <v>size</v>
      </c>
      <c r="CC7" s="5" t="str">
        <f t="shared" si="2"/>
        <v>size</v>
      </c>
      <c r="CD7" s="5" t="str">
        <f t="shared" si="2"/>
        <v>mom</v>
      </c>
      <c r="CE7" s="5" t="str">
        <f t="shared" si="2"/>
        <v>bm</v>
      </c>
      <c r="CF7" s="5" t="str">
        <f t="shared" si="2"/>
        <v>mom</v>
      </c>
      <c r="CG7" s="5" t="str">
        <f t="shared" si="2"/>
        <v>mom</v>
      </c>
      <c r="CH7" s="5" t="str">
        <f t="shared" si="2"/>
        <v>mom</v>
      </c>
      <c r="CI7" s="5" t="str">
        <f t="shared" si="2"/>
        <v>mom</v>
      </c>
      <c r="CJ7" s="5" t="str">
        <f t="shared" si="2"/>
        <v>bm</v>
      </c>
      <c r="CK7" s="5" t="str">
        <f t="shared" si="2"/>
        <v>mom</v>
      </c>
      <c r="CL7" s="5" t="str">
        <f t="shared" si="2"/>
        <v>mom</v>
      </c>
      <c r="CM7" s="5" t="str">
        <f t="shared" si="2"/>
        <v>bm</v>
      </c>
      <c r="CN7" s="5" t="str">
        <f t="shared" si="2"/>
        <v>bm</v>
      </c>
      <c r="CO7" s="5" t="str">
        <f t="shared" si="2"/>
        <v>mom</v>
      </c>
      <c r="CP7" s="5" t="str">
        <f t="shared" si="2"/>
        <v>bm</v>
      </c>
      <c r="CQ7" s="5" t="str">
        <f t="shared" si="2"/>
        <v>mom</v>
      </c>
      <c r="CR7" s="5" t="str">
        <f t="shared" si="2"/>
        <v>mom</v>
      </c>
      <c r="CS7" s="5" t="str">
        <f t="shared" si="2"/>
        <v>size</v>
      </c>
      <c r="CT7" s="5" t="str">
        <f t="shared" si="2"/>
        <v>mom</v>
      </c>
      <c r="CU7" s="5" t="str">
        <f t="shared" ref="CU7:DZ7" si="3">IF(CU6=1,"bm",IF(CU6=2,"size",IF(CU6=3,"mom")))</f>
        <v>mom</v>
      </c>
      <c r="CV7" s="5" t="str">
        <f t="shared" si="3"/>
        <v>size</v>
      </c>
      <c r="CW7" s="5" t="str">
        <f t="shared" si="3"/>
        <v>mom</v>
      </c>
      <c r="CX7" s="5" t="str">
        <f t="shared" si="3"/>
        <v>mom</v>
      </c>
      <c r="CY7" s="5" t="str">
        <f t="shared" si="3"/>
        <v>mom</v>
      </c>
      <c r="CZ7" s="5" t="str">
        <f t="shared" si="3"/>
        <v>mom</v>
      </c>
      <c r="DA7" s="5" t="str">
        <f t="shared" si="3"/>
        <v>bm</v>
      </c>
      <c r="DB7" s="5" t="str">
        <f t="shared" si="3"/>
        <v>bm</v>
      </c>
      <c r="DC7" s="5" t="str">
        <f t="shared" si="3"/>
        <v>bm</v>
      </c>
      <c r="DD7" s="5" t="str">
        <f t="shared" si="3"/>
        <v>mom</v>
      </c>
      <c r="DE7" s="5" t="str">
        <f t="shared" si="3"/>
        <v>mom</v>
      </c>
      <c r="DF7" s="5" t="str">
        <f t="shared" si="3"/>
        <v>mom</v>
      </c>
      <c r="DG7" s="5" t="str">
        <f t="shared" si="3"/>
        <v>mom</v>
      </c>
      <c r="DH7" s="5" t="str">
        <f t="shared" si="3"/>
        <v>size</v>
      </c>
      <c r="DI7" s="5" t="str">
        <f t="shared" si="3"/>
        <v>mom</v>
      </c>
      <c r="DJ7" s="5" t="str">
        <f t="shared" si="3"/>
        <v>mom</v>
      </c>
      <c r="DK7" s="5" t="str">
        <f t="shared" si="3"/>
        <v>mom</v>
      </c>
      <c r="DL7" s="5" t="str">
        <f t="shared" si="3"/>
        <v>mom</v>
      </c>
      <c r="DM7" s="5" t="str">
        <f t="shared" si="3"/>
        <v>mom</v>
      </c>
      <c r="DN7" s="5" t="str">
        <f t="shared" si="3"/>
        <v>mom</v>
      </c>
      <c r="DO7" s="5" t="str">
        <f t="shared" si="3"/>
        <v>mom</v>
      </c>
      <c r="DP7" s="5" t="str">
        <f t="shared" si="3"/>
        <v>bm</v>
      </c>
      <c r="DQ7" s="5" t="str">
        <f t="shared" si="3"/>
        <v>mom</v>
      </c>
      <c r="DR7" s="5" t="str">
        <f t="shared" si="3"/>
        <v>size</v>
      </c>
      <c r="DS7" s="5" t="str">
        <f t="shared" si="3"/>
        <v>mom</v>
      </c>
      <c r="DT7" s="5" t="str">
        <f t="shared" si="3"/>
        <v>mom</v>
      </c>
      <c r="DU7" s="5" t="str">
        <f t="shared" si="3"/>
        <v>mom</v>
      </c>
      <c r="DV7" s="5" t="str">
        <f t="shared" si="3"/>
        <v>mom</v>
      </c>
      <c r="DW7" s="5" t="str">
        <f t="shared" si="3"/>
        <v>bm</v>
      </c>
      <c r="DX7" s="5" t="str">
        <f t="shared" si="3"/>
        <v>mom</v>
      </c>
      <c r="DY7" s="5" t="str">
        <f t="shared" si="3"/>
        <v>mom</v>
      </c>
      <c r="DZ7" s="5" t="str">
        <f t="shared" si="3"/>
        <v>mom</v>
      </c>
      <c r="EA7" s="5" t="str">
        <f t="shared" ref="EA7:EF7" si="4">IF(EA6=1,"bm",IF(EA6=2,"size",IF(EA6=3,"mom")))</f>
        <v>size</v>
      </c>
      <c r="EB7" s="5" t="str">
        <f t="shared" si="4"/>
        <v>mom</v>
      </c>
      <c r="EC7" s="5" t="str">
        <f t="shared" si="4"/>
        <v>mom</v>
      </c>
      <c r="ED7" s="5" t="str">
        <f t="shared" si="4"/>
        <v>mom</v>
      </c>
      <c r="EE7" s="5" t="str">
        <f t="shared" si="4"/>
        <v>mom</v>
      </c>
      <c r="EF7" s="5" t="str">
        <f t="shared" si="4"/>
        <v>size</v>
      </c>
    </row>
    <row r="8" spans="1:136">
      <c r="C8" s="5">
        <f t="shared" ref="C8:AH8" si="5">IF(C6=1,C3,IF(C6=2,C4,IF(C6=3,C5)))</f>
        <v>-0.20935792122733929</v>
      </c>
      <c r="D8" s="5">
        <f t="shared" si="5"/>
        <v>-0.19670615347595799</v>
      </c>
      <c r="E8" s="5">
        <f t="shared" si="5"/>
        <v>0.52484760680152232</v>
      </c>
      <c r="F8" s="5">
        <f t="shared" si="5"/>
        <v>4.6837059958046809E-2</v>
      </c>
      <c r="G8" s="5">
        <f t="shared" si="5"/>
        <v>-0.2104714261735883</v>
      </c>
      <c r="H8" s="5">
        <f t="shared" si="5"/>
        <v>0.4744149628629204</v>
      </c>
      <c r="I8" s="5">
        <f t="shared" si="5"/>
        <v>-0.19676558635554181</v>
      </c>
      <c r="J8" s="5">
        <f t="shared" si="5"/>
        <v>0.27883034253820949</v>
      </c>
      <c r="K8" s="5">
        <f t="shared" si="5"/>
        <v>0.27552845629080469</v>
      </c>
      <c r="L8" s="5">
        <f t="shared" si="5"/>
        <v>-0.43004286310886081</v>
      </c>
      <c r="M8" s="5">
        <f t="shared" si="5"/>
        <v>0.32376774959305898</v>
      </c>
      <c r="N8" s="5">
        <f t="shared" si="5"/>
        <v>-0.34824165047033961</v>
      </c>
      <c r="O8" s="5">
        <f t="shared" si="5"/>
        <v>0.31084678168383029</v>
      </c>
      <c r="P8" s="5">
        <f t="shared" si="5"/>
        <v>0.39546612391174241</v>
      </c>
      <c r="Q8" s="5">
        <f t="shared" si="5"/>
        <v>-0.1230705033938234</v>
      </c>
      <c r="R8" s="5">
        <f t="shared" si="5"/>
        <v>-0.1125584938483804</v>
      </c>
      <c r="S8" s="5">
        <f t="shared" si="5"/>
        <v>0.3057921371194337</v>
      </c>
      <c r="T8" s="5">
        <f t="shared" si="5"/>
        <v>-0.14458476697667069</v>
      </c>
      <c r="U8" s="5">
        <f t="shared" si="5"/>
        <v>-0.26280780822848793</v>
      </c>
      <c r="V8" s="5">
        <f t="shared" si="5"/>
        <v>-0.13936695356286269</v>
      </c>
      <c r="W8" s="5">
        <f t="shared" si="5"/>
        <v>-0.39469012652483237</v>
      </c>
      <c r="X8" s="5">
        <f t="shared" si="5"/>
        <v>-0.1698621934781421</v>
      </c>
      <c r="Y8" s="5">
        <f t="shared" si="5"/>
        <v>-0.68127295831176804</v>
      </c>
      <c r="Z8" s="5">
        <f t="shared" si="5"/>
        <v>0.10308974194226191</v>
      </c>
      <c r="AA8" s="5">
        <f t="shared" si="5"/>
        <v>0.48637748963693189</v>
      </c>
      <c r="AB8" s="5">
        <f t="shared" si="5"/>
        <v>-0.2348198317515614</v>
      </c>
      <c r="AC8" s="5">
        <f t="shared" si="5"/>
        <v>-8.9163225286403025E-2</v>
      </c>
      <c r="AD8" s="5">
        <f t="shared" si="5"/>
        <v>0.14514145822358679</v>
      </c>
      <c r="AE8" s="5">
        <f t="shared" si="5"/>
        <v>7.4669147590605167E-2</v>
      </c>
      <c r="AF8" s="5">
        <f t="shared" si="5"/>
        <v>0.17577042279847119</v>
      </c>
      <c r="AG8" s="5">
        <f t="shared" si="5"/>
        <v>-0.30336041259100399</v>
      </c>
      <c r="AH8" s="5">
        <f t="shared" si="5"/>
        <v>-0.3482499081721625</v>
      </c>
      <c r="AI8" s="5">
        <f t="shared" ref="AI8:BN8" si="6">IF(AI6=1,AI3,IF(AI6=2,AI4,IF(AI6=3,AI5)))</f>
        <v>0.25872371710226461</v>
      </c>
      <c r="AJ8" s="5">
        <f t="shared" si="6"/>
        <v>-0.48889196953357</v>
      </c>
      <c r="AK8" s="5">
        <f t="shared" si="6"/>
        <v>0.13254842946584691</v>
      </c>
      <c r="AL8" s="5">
        <f t="shared" si="6"/>
        <v>0.18738072328871311</v>
      </c>
      <c r="AM8" s="5">
        <f t="shared" si="6"/>
        <v>9.6837349683267515E-2</v>
      </c>
      <c r="AN8" s="5">
        <f t="shared" si="6"/>
        <v>0.2075736584826241</v>
      </c>
      <c r="AO8" s="5">
        <f t="shared" si="6"/>
        <v>0.1844633194704077</v>
      </c>
      <c r="AP8" s="5">
        <f t="shared" si="6"/>
        <v>8.0316784439199651E-2</v>
      </c>
      <c r="AQ8" s="5">
        <f t="shared" si="6"/>
        <v>-0.2114396427417907</v>
      </c>
      <c r="AR8" s="5">
        <f t="shared" si="6"/>
        <v>0.11489008982476891</v>
      </c>
      <c r="AS8" s="5">
        <f t="shared" si="6"/>
        <v>0.14111009314114151</v>
      </c>
      <c r="AT8" s="5">
        <f t="shared" si="6"/>
        <v>0.1516447920969482</v>
      </c>
      <c r="AU8" s="5">
        <f t="shared" si="6"/>
        <v>-0.20083705233961571</v>
      </c>
      <c r="AV8" s="5">
        <f t="shared" si="6"/>
        <v>-0.2173053184250211</v>
      </c>
      <c r="AW8" s="5">
        <f t="shared" si="6"/>
        <v>-0.17415500379798879</v>
      </c>
      <c r="AX8" s="5">
        <f t="shared" si="6"/>
        <v>0.1122931240608864</v>
      </c>
      <c r="AY8" s="5">
        <f t="shared" si="6"/>
        <v>-0.118056117907044</v>
      </c>
      <c r="AZ8" s="5">
        <f t="shared" si="6"/>
        <v>0.20621977214253931</v>
      </c>
      <c r="BA8" s="5">
        <f t="shared" si="6"/>
        <v>0.1604995491281753</v>
      </c>
      <c r="BB8" s="5">
        <f t="shared" si="6"/>
        <v>-0.25209000741856791</v>
      </c>
      <c r="BC8" s="5">
        <f t="shared" si="6"/>
        <v>0.1567368975950951</v>
      </c>
      <c r="BD8" s="5">
        <f t="shared" si="6"/>
        <v>0.16688346547535959</v>
      </c>
      <c r="BE8" s="5">
        <f t="shared" si="6"/>
        <v>-0.13147229447438161</v>
      </c>
      <c r="BF8" s="5">
        <f t="shared" si="6"/>
        <v>-0.28526227318364472</v>
      </c>
      <c r="BG8" s="5">
        <f t="shared" si="6"/>
        <v>0.31531123716865839</v>
      </c>
      <c r="BH8" s="5">
        <f t="shared" si="6"/>
        <v>0.27010117711850451</v>
      </c>
      <c r="BI8" s="5">
        <f t="shared" si="6"/>
        <v>5.812657406460206E-2</v>
      </c>
      <c r="BJ8" s="5">
        <f t="shared" si="6"/>
        <v>-0.25986983403483388</v>
      </c>
      <c r="BK8" s="5">
        <f t="shared" si="6"/>
        <v>0.18487944696901781</v>
      </c>
      <c r="BL8" s="5">
        <f t="shared" si="6"/>
        <v>-0.26913172790454543</v>
      </c>
      <c r="BM8" s="5">
        <f t="shared" si="6"/>
        <v>0.1717381908649544</v>
      </c>
      <c r="BN8" s="5">
        <f t="shared" si="6"/>
        <v>-0.18092216130584951</v>
      </c>
      <c r="BO8" s="5">
        <f t="shared" ref="BO8:CT8" si="7">IF(BO6=1,BO3,IF(BO6=2,BO4,IF(BO6=3,BO5)))</f>
        <v>-0.14928793997254061</v>
      </c>
      <c r="BP8" s="5">
        <f t="shared" si="7"/>
        <v>8.3537285837463671E-2</v>
      </c>
      <c r="BQ8" s="5">
        <f t="shared" si="7"/>
        <v>-0.16861046240236999</v>
      </c>
      <c r="BR8" s="5">
        <f t="shared" si="7"/>
        <v>0.21346470331308501</v>
      </c>
      <c r="BS8" s="5">
        <f t="shared" si="7"/>
        <v>0.1244241075337672</v>
      </c>
      <c r="BT8" s="5">
        <f t="shared" si="7"/>
        <v>0.20772231279415901</v>
      </c>
      <c r="BU8" s="5">
        <f t="shared" si="7"/>
        <v>0.11377937808470839</v>
      </c>
      <c r="BV8" s="5">
        <f t="shared" si="7"/>
        <v>0.17298229554948641</v>
      </c>
      <c r="BW8" s="5">
        <f t="shared" si="7"/>
        <v>-0.1268015683060742</v>
      </c>
      <c r="BX8" s="5">
        <f t="shared" si="7"/>
        <v>-0.10582029087279909</v>
      </c>
      <c r="BY8" s="5">
        <f t="shared" si="7"/>
        <v>-0.18303206657081719</v>
      </c>
      <c r="BZ8" s="5">
        <f t="shared" si="7"/>
        <v>-0.14071284467671219</v>
      </c>
      <c r="CA8" s="5">
        <f t="shared" si="7"/>
        <v>7.3472777058868566E-2</v>
      </c>
      <c r="CB8" s="5">
        <f t="shared" si="7"/>
        <v>0.19814488479862649</v>
      </c>
      <c r="CC8" s="5">
        <f t="shared" si="7"/>
        <v>-0.29368551385020503</v>
      </c>
      <c r="CD8" s="5">
        <f t="shared" si="7"/>
        <v>0.32742328506094998</v>
      </c>
      <c r="CE8" s="5">
        <f t="shared" si="7"/>
        <v>0.2187970365966756</v>
      </c>
      <c r="CF8" s="5">
        <f t="shared" si="7"/>
        <v>-0.14937324914413941</v>
      </c>
      <c r="CG8" s="5">
        <f t="shared" si="7"/>
        <v>0.16320028060313421</v>
      </c>
      <c r="CH8" s="5">
        <f t="shared" si="7"/>
        <v>-6.9038325074175663E-2</v>
      </c>
      <c r="CI8" s="5">
        <f t="shared" si="7"/>
        <v>-0.11536214708505139</v>
      </c>
      <c r="CJ8" s="5">
        <f t="shared" si="7"/>
        <v>-0.39111281147264948</v>
      </c>
      <c r="CK8" s="5">
        <f t="shared" si="7"/>
        <v>0.37897350211797709</v>
      </c>
      <c r="CL8" s="5">
        <f t="shared" si="7"/>
        <v>-7.6383453932209341E-2</v>
      </c>
      <c r="CM8" s="5">
        <f t="shared" si="7"/>
        <v>0.18311247425732069</v>
      </c>
      <c r="CN8" s="5">
        <f t="shared" si="7"/>
        <v>-0.39746167912504587</v>
      </c>
      <c r="CO8" s="5">
        <f t="shared" si="7"/>
        <v>0.43716796518582229</v>
      </c>
      <c r="CP8" s="5">
        <f t="shared" si="7"/>
        <v>-9.5682049872747921E-2</v>
      </c>
      <c r="CQ8" s="5">
        <f t="shared" si="7"/>
        <v>-0.49935244279872992</v>
      </c>
      <c r="CR8" s="5">
        <f t="shared" si="7"/>
        <v>0.3398570382696095</v>
      </c>
      <c r="CS8" s="5">
        <f t="shared" si="7"/>
        <v>-0.27841972942992038</v>
      </c>
      <c r="CT8" s="5">
        <f t="shared" si="7"/>
        <v>0.2246197528310597</v>
      </c>
      <c r="CU8" s="5">
        <f t="shared" ref="CU8:DZ8" si="8">IF(CU6=1,CU3,IF(CU6=2,CU4,IF(CU6=3,CU5)))</f>
        <v>-0.25171771168640761</v>
      </c>
      <c r="CV8" s="5">
        <f t="shared" si="8"/>
        <v>0.11088351979357471</v>
      </c>
      <c r="CW8" s="5">
        <f t="shared" si="8"/>
        <v>0.2108770628752098</v>
      </c>
      <c r="CX8" s="5">
        <f t="shared" si="8"/>
        <v>0.25016150139728283</v>
      </c>
      <c r="CY8" s="5">
        <f t="shared" si="8"/>
        <v>-0.52413353929587791</v>
      </c>
      <c r="CZ8" s="5">
        <f t="shared" si="8"/>
        <v>0.8216183061041753</v>
      </c>
      <c r="DA8" s="5">
        <f t="shared" si="8"/>
        <v>0.31254073484349981</v>
      </c>
      <c r="DB8" s="5">
        <f t="shared" si="8"/>
        <v>-0.15564612733519101</v>
      </c>
      <c r="DC8" s="5">
        <f t="shared" si="8"/>
        <v>-0.186958527424675</v>
      </c>
      <c r="DD8" s="5">
        <f t="shared" si="8"/>
        <v>-0.42083892435479142</v>
      </c>
      <c r="DE8" s="5">
        <f t="shared" si="8"/>
        <v>-0.2279724207651195</v>
      </c>
      <c r="DF8" s="5">
        <f t="shared" si="8"/>
        <v>-0.33715973842927388</v>
      </c>
      <c r="DG8" s="5">
        <f t="shared" si="8"/>
        <v>-0.44400370439279008</v>
      </c>
      <c r="DH8" s="5">
        <f t="shared" si="8"/>
        <v>0.15742013530757151</v>
      </c>
      <c r="DI8" s="5">
        <f t="shared" si="8"/>
        <v>0.30896916307249689</v>
      </c>
      <c r="DJ8" s="5">
        <f t="shared" si="8"/>
        <v>-0.28669247758290828</v>
      </c>
      <c r="DK8" s="5">
        <f t="shared" si="8"/>
        <v>0.84621248517861269</v>
      </c>
      <c r="DL8" s="5">
        <f t="shared" si="8"/>
        <v>-0.16924034367306559</v>
      </c>
      <c r="DM8" s="5">
        <f t="shared" si="8"/>
        <v>-0.43945016692248923</v>
      </c>
      <c r="DN8" s="5">
        <f t="shared" si="8"/>
        <v>0.74751336560070059</v>
      </c>
      <c r="DO8" s="5">
        <f t="shared" si="8"/>
        <v>-0.39996426308914668</v>
      </c>
      <c r="DP8" s="5">
        <f t="shared" si="8"/>
        <v>0.16113140194021519</v>
      </c>
      <c r="DQ8" s="5">
        <f t="shared" si="8"/>
        <v>-0.58863430244229409</v>
      </c>
      <c r="DR8" s="5">
        <f t="shared" si="8"/>
        <v>-0.1292383591030131</v>
      </c>
      <c r="DS8" s="5">
        <f t="shared" si="8"/>
        <v>-0.19878519438361211</v>
      </c>
      <c r="DT8" s="5">
        <f t="shared" si="8"/>
        <v>0.4132117833889476</v>
      </c>
      <c r="DU8" s="5">
        <f t="shared" si="8"/>
        <v>-0.17065403209770361</v>
      </c>
      <c r="DV8" s="5">
        <f t="shared" si="8"/>
        <v>0.68828031734213269</v>
      </c>
      <c r="DW8" s="5">
        <f t="shared" si="8"/>
        <v>6.6155769939566539E-2</v>
      </c>
      <c r="DX8" s="5">
        <f t="shared" si="8"/>
        <v>-0.1999347157162332</v>
      </c>
      <c r="DY8" s="5">
        <f t="shared" si="8"/>
        <v>0.56631420698904078</v>
      </c>
      <c r="DZ8" s="5">
        <f t="shared" si="8"/>
        <v>0.47362880432099852</v>
      </c>
      <c r="EA8" s="5">
        <f t="shared" ref="EA8:EF8" si="9">IF(EA6=1,EA3,IF(EA6=2,EA4,IF(EA6=3,EA5)))</f>
        <v>-0.19315799713893969</v>
      </c>
      <c r="EB8" s="5">
        <f t="shared" si="9"/>
        <v>-1.076360940060376</v>
      </c>
      <c r="EC8" s="5">
        <f t="shared" si="9"/>
        <v>-0.13610628648279391</v>
      </c>
      <c r="ED8" s="5">
        <f t="shared" si="9"/>
        <v>-0.27349656344743889</v>
      </c>
      <c r="EE8" s="5">
        <f t="shared" si="9"/>
        <v>0.60134859370029736</v>
      </c>
      <c r="EF8" s="5">
        <f t="shared" si="9"/>
        <v>0.24405280405184021</v>
      </c>
    </row>
    <row r="10" spans="1:136">
      <c r="A10" s="29" t="s">
        <v>140</v>
      </c>
      <c r="B10" s="30"/>
      <c r="C10" s="1" t="s">
        <v>141</v>
      </c>
      <c r="D10" s="2">
        <v>964</v>
      </c>
    </row>
    <row r="11" spans="1:136">
      <c r="A11" s="1"/>
      <c r="B11" s="12" t="s">
        <v>229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226</v>
      </c>
    </row>
    <row r="12" spans="1:136">
      <c r="A12" s="1"/>
      <c r="B12" s="11" t="s">
        <v>230</v>
      </c>
      <c r="C12" s="5">
        <v>-3.6350225217569622E-2</v>
      </c>
      <c r="D12" s="5">
        <f>C12+預測IC!D15</f>
        <v>0.33635947478243045</v>
      </c>
      <c r="E12" s="5">
        <f>D12+預測IC!E15</f>
        <v>0.24101486931145999</v>
      </c>
      <c r="F12" s="5">
        <f>E12+預測IC!F15</f>
        <v>0.27593630586815737</v>
      </c>
      <c r="G12" s="5">
        <f>F12+預測IC!G15</f>
        <v>0.24153238490112086</v>
      </c>
      <c r="H12" s="5">
        <f>G12+預測IC!H15</f>
        <v>0.24028865884301576</v>
      </c>
      <c r="I12" s="5">
        <f>H12+預測IC!I15</f>
        <v>0.18185721456315021</v>
      </c>
      <c r="J12" s="5">
        <f>I12+預測IC!J15</f>
        <v>0.23181867981053986</v>
      </c>
      <c r="K12" s="5">
        <f>J12+預測IC!K15</f>
        <v>0.32633347740247076</v>
      </c>
      <c r="L12" s="5">
        <f>K12+預測IC!L15</f>
        <v>0.2451624168338245</v>
      </c>
      <c r="M12" s="5">
        <f>L12+預測IC!M15</f>
        <v>0.24302940039753682</v>
      </c>
      <c r="N12" s="5">
        <f>M12+預測IC!N15</f>
        <v>0.35282559482267051</v>
      </c>
      <c r="O12" s="5">
        <f>N12+預測IC!O15</f>
        <v>0.42658293906898515</v>
      </c>
      <c r="P12" s="5">
        <f>O12+預測IC!P15</f>
        <v>0.44847950891420918</v>
      </c>
      <c r="Q12" s="5">
        <f>P12+預測IC!Q15</f>
        <v>0.60401635102202167</v>
      </c>
      <c r="R12" s="5">
        <f>Q12+預測IC!R15</f>
        <v>0.65614604112713915</v>
      </c>
      <c r="S12" s="5">
        <f>R12+預測IC!S15</f>
        <v>0.74163393133307998</v>
      </c>
      <c r="T12" s="5">
        <f>S12+預測IC!T15</f>
        <v>0.80843405627619203</v>
      </c>
      <c r="U12" s="5">
        <f>T12+預測IC!U15</f>
        <v>0.94540211794346085</v>
      </c>
      <c r="V12" s="5">
        <f>U12+預測IC!V15</f>
        <v>1.0555291242742968</v>
      </c>
      <c r="W12" s="5">
        <f>V12+預測IC!W15</f>
        <v>1.1062005485192874</v>
      </c>
      <c r="X12" s="5">
        <f>W12+預測IC!X15</f>
        <v>1.1846370485192874</v>
      </c>
      <c r="Y12" s="5">
        <f>X12+預測IC!Y15</f>
        <v>1.2366658465764295</v>
      </c>
      <c r="Z12" s="5">
        <f>Y12+預測IC!Z15</f>
        <v>1.2833858186297882</v>
      </c>
      <c r="AA12" s="5">
        <f>Z12+預測IC!AA15</f>
        <v>1.2293046716017546</v>
      </c>
      <c r="AB12" s="5">
        <f>AA12+預測IC!AB15</f>
        <v>1.145604499085924</v>
      </c>
      <c r="AC12" s="5">
        <f>AB12+預測IC!AC15</f>
        <v>1.1499221679339791</v>
      </c>
      <c r="AD12" s="5">
        <f>AC12+預測IC!AD15</f>
        <v>1.0682087930457966</v>
      </c>
      <c r="AE12" s="5">
        <f>AD12+預測IC!AE15</f>
        <v>1.2800014360930687</v>
      </c>
      <c r="AF12" s="5">
        <f>AE12+預測IC!AF15</f>
        <v>1.1422751489154144</v>
      </c>
      <c r="AG12" s="5">
        <f>AF12+預測IC!AG15</f>
        <v>1.0979506047003385</v>
      </c>
      <c r="AH12" s="5">
        <f>AG12+預測IC!AH15</f>
        <v>1.2309179697100612</v>
      </c>
      <c r="AI12" s="5">
        <f>AH12+預測IC!AI15</f>
        <v>1.2060687125775302</v>
      </c>
      <c r="AJ12" s="5">
        <f>AI12+預測IC!AJ15</f>
        <v>1.172350790458357</v>
      </c>
      <c r="AK12" s="5">
        <f>AJ12+預測IC!AK15</f>
        <v>1.1029893392664405</v>
      </c>
      <c r="AL12" s="5">
        <f>AK12+預測IC!AL15</f>
        <v>1.147421001762255</v>
      </c>
      <c r="AM12" s="5">
        <f>AL12+預測IC!AM15</f>
        <v>1.2025436238968821</v>
      </c>
      <c r="AN12" s="5">
        <f>AM12+預測IC!AN15</f>
        <v>1.3042323298092655</v>
      </c>
      <c r="AO12" s="5">
        <f>AN12+預測IC!AO15</f>
        <v>1.2528478095692981</v>
      </c>
      <c r="AP12" s="5">
        <f>AO12+預測IC!AP15</f>
        <v>1.2402656095692981</v>
      </c>
      <c r="AQ12" s="5">
        <f>AP12+預測IC!AQ15</f>
        <v>1.2776327363654199</v>
      </c>
      <c r="AR12" s="5">
        <f>AQ12+預測IC!AR15</f>
        <v>1.2530824363654198</v>
      </c>
      <c r="AS12" s="5">
        <f>AR12+預測IC!AS15</f>
        <v>1.3069036154025337</v>
      </c>
      <c r="AT12" s="5">
        <f>AS12+預測IC!AT15</f>
        <v>1.3778934280062387</v>
      </c>
      <c r="AU12" s="5">
        <f>AT12+預測IC!AU15</f>
        <v>1.4550675052562005</v>
      </c>
      <c r="AV12" s="5">
        <f>AU12+預測IC!AV15</f>
        <v>1.4882925052562006</v>
      </c>
      <c r="AW12" s="5">
        <f>AV12+預測IC!AW15</f>
        <v>1.4726325660016197</v>
      </c>
      <c r="AX12" s="5">
        <f>AW12+預測IC!AX15</f>
        <v>1.3912720000468517</v>
      </c>
      <c r="AY12" s="5">
        <f>AX12+預測IC!AY15</f>
        <v>1.36226634074636</v>
      </c>
      <c r="AZ12" s="5">
        <f>AY12+預測IC!AZ15</f>
        <v>1.2944200116277096</v>
      </c>
      <c r="BA12" s="5">
        <f>AZ12+預測IC!BA15</f>
        <v>1.3050335264353625</v>
      </c>
      <c r="BB12" s="5">
        <f>BA12+預測IC!BB15</f>
        <v>1.4138220264353625</v>
      </c>
      <c r="BC12" s="5">
        <f>BB12+預測IC!BC15</f>
        <v>1.4759771701031927</v>
      </c>
      <c r="BD12" s="5">
        <f>BC12+預測IC!BD15</f>
        <v>1.5290204440079889</v>
      </c>
      <c r="BE12" s="5">
        <f>BD12+預測IC!BE15</f>
        <v>1.4805777229903256</v>
      </c>
      <c r="BF12" s="5">
        <f>BE12+預測IC!BF15</f>
        <v>1.6914498104803131</v>
      </c>
      <c r="BG12" s="5">
        <f>BF12+預測IC!BG15</f>
        <v>1.6939393492148782</v>
      </c>
      <c r="BH12" s="5">
        <f>BG12+預測IC!BH15</f>
        <v>1.7283811946965677</v>
      </c>
      <c r="BI12" s="5">
        <f>BH12+預測IC!BI15</f>
        <v>1.7495403091033073</v>
      </c>
      <c r="BJ12" s="5">
        <f>BI12+預測IC!BJ15</f>
        <v>1.8796505641394767</v>
      </c>
      <c r="BK12" s="5">
        <f>BJ12+預測IC!BK15</f>
        <v>1.9252554964398902</v>
      </c>
      <c r="BL12" s="5">
        <f>BK12+預測IC!BL15</f>
        <v>1.9850109174142112</v>
      </c>
      <c r="BM12" s="5">
        <f>BL12+預測IC!BM15</f>
        <v>2.0332299219019552</v>
      </c>
      <c r="BN12" s="5">
        <f>BM12+預測IC!BN15</f>
        <v>2.096950649312967</v>
      </c>
      <c r="BO12" s="5">
        <f>BN12+預測IC!BO15</f>
        <v>2.0692161733580359</v>
      </c>
      <c r="BP12" s="5">
        <f>BO12+預測IC!BP15</f>
        <v>2.0176003733580359</v>
      </c>
      <c r="BQ12" s="5">
        <f>BP12+預測IC!BQ15</f>
        <v>1.9741691198651401</v>
      </c>
      <c r="BR12" s="5">
        <f>BQ12+預測IC!BR15</f>
        <v>1.9240116907430804</v>
      </c>
      <c r="BS12" s="5">
        <f>BR12+預測IC!BS15</f>
        <v>1.9121457798344688</v>
      </c>
      <c r="BT12" s="5">
        <f>BS12+預測IC!BT15</f>
        <v>1.8522948437426181</v>
      </c>
      <c r="BU12" s="5">
        <f>BT12+預測IC!BU15</f>
        <v>1.8717712635384116</v>
      </c>
      <c r="BV12" s="5">
        <f>BU12+預測IC!BV15</f>
        <v>1.7855911635384116</v>
      </c>
      <c r="BW12" s="5">
        <f>BV12+預測IC!BW15</f>
        <v>2.0844701531143395</v>
      </c>
      <c r="BX12" s="5">
        <f>BW12+預測IC!BX15</f>
        <v>2.0306185841698756</v>
      </c>
      <c r="BY12" s="5">
        <f>BX12+預測IC!BY15</f>
        <v>1.9372796841698756</v>
      </c>
      <c r="BZ12" s="5">
        <f>BY12+預測IC!BZ15</f>
        <v>1.8343732151925283</v>
      </c>
      <c r="CA12" s="5">
        <f>BZ12+預測IC!CA15</f>
        <v>1.815781194396086</v>
      </c>
      <c r="CB12" s="5">
        <f>CA12+預測IC!CB15</f>
        <v>1.684689594396086</v>
      </c>
      <c r="CC12" s="5">
        <f>CB12+預測IC!CC15</f>
        <v>1.8583391943960861</v>
      </c>
      <c r="CD12" s="5">
        <f>CC12+預測IC!CD15</f>
        <v>1.8112247262674124</v>
      </c>
      <c r="CE12" s="5">
        <f>CD12+預測IC!CE15</f>
        <v>1.6947081571972917</v>
      </c>
      <c r="CF12" s="5">
        <f>CE12+預測IC!CF15</f>
        <v>1.7360575870652593</v>
      </c>
      <c r="CG12" s="5">
        <f>CF12+預測IC!CG15</f>
        <v>1.6501715655350955</v>
      </c>
      <c r="CH12" s="5">
        <f>CG12+預測IC!CH15</f>
        <v>1.7315141735184236</v>
      </c>
      <c r="CI12" s="5">
        <f>CH12+預測IC!CI15</f>
        <v>1.7290032347380913</v>
      </c>
      <c r="CJ12" s="5">
        <f>CI12+預測IC!CJ15</f>
        <v>1.8160475908108094</v>
      </c>
      <c r="CK12" s="5">
        <f>CJ12+預測IC!CK15</f>
        <v>1.9116883389835146</v>
      </c>
      <c r="CL12" s="5">
        <f>CK12+預測IC!CL15</f>
        <v>1.7500338659403381</v>
      </c>
      <c r="CM12" s="5">
        <f>CL12+預測IC!CM15</f>
        <v>1.8246649820687919</v>
      </c>
      <c r="CN12" s="5">
        <f>CM12+預測IC!CN15</f>
        <v>1.8672990978679522</v>
      </c>
      <c r="CO12" s="5">
        <f>CN12+預測IC!CO15</f>
        <v>1.7603198536683842</v>
      </c>
      <c r="CP12" s="5">
        <f>CO12+預測IC!CP15</f>
        <v>1.6327840182354345</v>
      </c>
      <c r="CQ12" s="5">
        <f>CP12+預測IC!CQ15</f>
        <v>1.6078206577789957</v>
      </c>
      <c r="CR12" s="5">
        <f>CQ12+預測IC!CR15</f>
        <v>1.4263317255432606</v>
      </c>
      <c r="CS12" s="5">
        <f>CR12+預測IC!CS15</f>
        <v>1.4432441255432606</v>
      </c>
      <c r="CT12" s="5">
        <f>CS12+預測IC!CT15</f>
        <v>1.4481857959088726</v>
      </c>
      <c r="CU12" s="5">
        <f>CT12+預測IC!CU15</f>
        <v>1.5722357273227408</v>
      </c>
      <c r="CV12" s="5">
        <f>CU12+預測IC!CV15</f>
        <v>1.5117917273227408</v>
      </c>
      <c r="CW12" s="5">
        <f>CV12+預測IC!CW15</f>
        <v>1.5378638182258675</v>
      </c>
      <c r="CX12" s="5">
        <f>CW12+預測IC!CX15</f>
        <v>1.3854760393342995</v>
      </c>
      <c r="CY12" s="5">
        <f>CX12+預測IC!CY15</f>
        <v>1.2925281349989415</v>
      </c>
      <c r="CZ12" s="5">
        <f>CY12+預測IC!CZ15</f>
        <v>1.2687647998584595</v>
      </c>
      <c r="DA12" s="5">
        <f>CZ12+預測IC!DA15</f>
        <v>1.2423889644165829</v>
      </c>
      <c r="DB12" s="5">
        <f>DA12+預測IC!DB15</f>
        <v>1.2726155826307066</v>
      </c>
      <c r="DC12" s="5">
        <f>DB12+預測IC!DC15</f>
        <v>1.2375404326561246</v>
      </c>
      <c r="DD12" s="5">
        <f>DC12+預測IC!DD15</f>
        <v>1.2520471587875708</v>
      </c>
      <c r="DE12" s="5">
        <f>DD12+預測IC!DE15</f>
        <v>1.3092107935188233</v>
      </c>
      <c r="DF12" s="5">
        <f>DE12+預測IC!DF15</f>
        <v>1.3152653197914275</v>
      </c>
      <c r="DG12" s="5">
        <f>DF12+預測IC!DG15</f>
        <v>1.4283568826317872</v>
      </c>
      <c r="DH12" s="5">
        <f>DG12+預測IC!DH15</f>
        <v>1.2987333826317871</v>
      </c>
      <c r="DI12" s="5">
        <f>DH12+預測IC!DI15</f>
        <v>1.3528417012889173</v>
      </c>
      <c r="DJ12" s="5">
        <f>DI12+預測IC!DJ15</f>
        <v>1.2928179245978602</v>
      </c>
      <c r="DK12" s="5">
        <f>DJ12+預測IC!DK15</f>
        <v>1.2206293267920627</v>
      </c>
      <c r="DL12" s="5">
        <f>DK12+預測IC!DL15</f>
        <v>1.2209333199948906</v>
      </c>
      <c r="DM12" s="5">
        <f>DL12+預測IC!DM15</f>
        <v>1.2599854366885563</v>
      </c>
      <c r="DN12" s="5">
        <f>DM12+預測IC!DN15</f>
        <v>1.3417161489396854</v>
      </c>
      <c r="DO12" s="5">
        <f>DN12+預測IC!DO15</f>
        <v>1.3758205646887824</v>
      </c>
      <c r="DP12" s="5">
        <f>DO12+預測IC!DP15</f>
        <v>1.3995561666956751</v>
      </c>
      <c r="DQ12" s="5">
        <f>DP12+預測IC!DQ15</f>
        <v>1.3625174777434776</v>
      </c>
      <c r="DR12" s="5">
        <f>DQ12+預測IC!DR15</f>
        <v>1.3404820777434776</v>
      </c>
      <c r="DS12" s="5">
        <f>DR12+預測IC!DS15</f>
        <v>1.330910535284713</v>
      </c>
      <c r="DT12" s="5">
        <f>DS12+預測IC!DT15</f>
        <v>1.3836293252737826</v>
      </c>
      <c r="DU12" s="5">
        <f>DT12+預測IC!DU15</f>
        <v>1.1949886803713947</v>
      </c>
      <c r="DV12" s="5">
        <f>DU12+預測IC!DV15</f>
        <v>1.148260951018155</v>
      </c>
      <c r="DW12" s="5">
        <f>DV12+預測IC!DW15</f>
        <v>1.1737995781649875</v>
      </c>
      <c r="DX12" s="5">
        <f>DW12+預測IC!DX15</f>
        <v>1.1522539078445075</v>
      </c>
      <c r="DY12" s="5">
        <f>DX12+預測IC!DY15</f>
        <v>1.0685802731519687</v>
      </c>
      <c r="DZ12" s="5">
        <f>DY12+預測IC!DZ15</f>
        <v>1.1051767709157727</v>
      </c>
      <c r="EA12" s="5">
        <f>DZ12+預測IC!EA15</f>
        <v>1.2143544709157728</v>
      </c>
      <c r="EB12" s="5">
        <f>EA12+預測IC!EB15</f>
        <v>1.3024419204430275</v>
      </c>
      <c r="EC12" s="5">
        <f>EB12+預測IC!EC15</f>
        <v>1.2262848436464078</v>
      </c>
      <c r="ED12" s="5">
        <f>EC12+預測IC!ED15</f>
        <v>1.1156248091581875</v>
      </c>
      <c r="EE12" s="5">
        <f>ED12+預測IC!EE15</f>
        <v>1.066280629218028</v>
      </c>
      <c r="EF12" s="5">
        <f>EE12+預測IC!EH15</f>
        <v>1.066280629218028</v>
      </c>
    </row>
    <row r="13" spans="1:136">
      <c r="A13" s="1"/>
      <c r="B13" s="11" t="s">
        <v>231</v>
      </c>
      <c r="C13" s="5">
        <v>-3.9435389831589431E-2</v>
      </c>
      <c r="D13" s="5">
        <f>C13+預測IC!D16</f>
        <v>0.36876005461285494</v>
      </c>
      <c r="E13" s="5">
        <f>D13+預測IC!E16</f>
        <v>0.28205588318430164</v>
      </c>
      <c r="F13" s="5">
        <f>E13+預測IC!F16</f>
        <v>0.36077135508863262</v>
      </c>
      <c r="G13" s="5">
        <f>F13+預測IC!G16</f>
        <v>0.35262480442968336</v>
      </c>
      <c r="H13" s="5">
        <f>G13+預測IC!H16</f>
        <v>0.35197545497286031</v>
      </c>
      <c r="I13" s="5">
        <f>H13+預測IC!I16</f>
        <v>0.29444483630723889</v>
      </c>
      <c r="J13" s="5">
        <f>I13+預測IC!J16</f>
        <v>0.34115476234990505</v>
      </c>
      <c r="K13" s="5">
        <f>J13+預測IC!K16</f>
        <v>0.42757565393229563</v>
      </c>
      <c r="L13" s="5">
        <f>K13+預測IC!L16</f>
        <v>0.34241404981808421</v>
      </c>
      <c r="M13" s="5">
        <f>L13+預測IC!M16</f>
        <v>0.32842661395616712</v>
      </c>
      <c r="N13" s="5">
        <f>M13+預測IC!N16</f>
        <v>0.44866911223536382</v>
      </c>
      <c r="O13" s="5">
        <f>N13+預測IC!O16</f>
        <v>0.52849597280648086</v>
      </c>
      <c r="P13" s="5">
        <f>O13+預測IC!P16</f>
        <v>0.53668415232081279</v>
      </c>
      <c r="Q13" s="5">
        <f>P13+預測IC!Q16</f>
        <v>0.69458722274515083</v>
      </c>
      <c r="R13" s="5">
        <f>Q13+預測IC!R16</f>
        <v>0.74357820102807737</v>
      </c>
      <c r="S13" s="5">
        <f>R13+預測IC!S16</f>
        <v>0.85343724536288401</v>
      </c>
      <c r="T13" s="5">
        <f>S13+預測IC!T16</f>
        <v>0.92065630552048527</v>
      </c>
      <c r="U13" s="5">
        <f>T13+預測IC!U16</f>
        <v>1.0507187769502297</v>
      </c>
      <c r="V13" s="5">
        <f>U13+預測IC!V16</f>
        <v>1.1262902630591367</v>
      </c>
      <c r="W13" s="5">
        <f>V13+預測IC!W16</f>
        <v>1.227921620190312</v>
      </c>
      <c r="X13" s="5">
        <f>W13+預測IC!X16</f>
        <v>1.3015999535236453</v>
      </c>
      <c r="Y13" s="5">
        <f>X13+預測IC!Y16</f>
        <v>1.3518787879847078</v>
      </c>
      <c r="Z13" s="5">
        <f>Y13+預測IC!Z16</f>
        <v>1.3949367188689195</v>
      </c>
      <c r="AA13" s="5">
        <f>Z13+預測IC!AA16</f>
        <v>1.3514490830329273</v>
      </c>
      <c r="AB13" s="5">
        <f>AA13+預測IC!AB16</f>
        <v>1.2764640413949468</v>
      </c>
      <c r="AC13" s="5">
        <f>AB13+預測IC!AC16</f>
        <v>1.2636985933595302</v>
      </c>
      <c r="AD13" s="5">
        <f>AC13+預測IC!AD16</f>
        <v>1.2105625378116733</v>
      </c>
      <c r="AE13" s="5">
        <f>AD13+預測IC!AE16</f>
        <v>1.4201907789885839</v>
      </c>
      <c r="AF13" s="5">
        <f>AE13+預測IC!AF16</f>
        <v>1.2722751687241574</v>
      </c>
      <c r="AG13" s="5">
        <f>AF13+預測IC!AG16</f>
        <v>1.2284990089883849</v>
      </c>
      <c r="AH13" s="5">
        <f>AG13+預測IC!AH16</f>
        <v>1.3769006341555374</v>
      </c>
      <c r="AI13" s="5">
        <f>AH13+預測IC!AI16</f>
        <v>1.3435173784838901</v>
      </c>
      <c r="AJ13" s="5">
        <f>AI13+預測IC!AJ16</f>
        <v>1.2953968999475598</v>
      </c>
      <c r="AK13" s="5">
        <f>AJ13+預測IC!AK16</f>
        <v>1.2579634469660719</v>
      </c>
      <c r="AL13" s="5">
        <f>AK13+預測IC!AL16</f>
        <v>1.3066523800705951</v>
      </c>
      <c r="AM13" s="5">
        <f>AL13+預測IC!AM16</f>
        <v>1.3727291106723931</v>
      </c>
      <c r="AN13" s="5">
        <f>AM13+預測IC!AN16</f>
        <v>1.4791853107620687</v>
      </c>
      <c r="AO13" s="5">
        <f>AN13+預測IC!AO16</f>
        <v>1.4380951574003276</v>
      </c>
      <c r="AP13" s="5">
        <f>AO13+預測IC!AP16</f>
        <v>1.4328547129558831</v>
      </c>
      <c r="AQ13" s="5">
        <f>AP13+預測IC!AQ16</f>
        <v>1.4713209131019518</v>
      </c>
      <c r="AR13" s="5">
        <f>AQ13+預測IC!AR16</f>
        <v>1.4388286908797296</v>
      </c>
      <c r="AS13" s="5">
        <f>AR13+預測IC!AS16</f>
        <v>1.503896916353699</v>
      </c>
      <c r="AT13" s="5">
        <f>AS13+預測IC!AT16</f>
        <v>1.6264609597039839</v>
      </c>
      <c r="AU13" s="5">
        <f>AT13+預測IC!AU16</f>
        <v>1.7085512315469857</v>
      </c>
      <c r="AV13" s="5">
        <f>AU13+預測IC!AV16</f>
        <v>1.7321597871025414</v>
      </c>
      <c r="AW13" s="5">
        <f>AV13+預測IC!AW16</f>
        <v>1.6929068570278907</v>
      </c>
      <c r="AX13" s="5">
        <f>AW13+預測IC!AX16</f>
        <v>1.5922855279264878</v>
      </c>
      <c r="AY13" s="5">
        <f>AX13+預測IC!AY16</f>
        <v>1.5726836743273487</v>
      </c>
      <c r="AZ13" s="5">
        <f>AY13+預測IC!AZ16</f>
        <v>1.4845334928067759</v>
      </c>
      <c r="BA13" s="5">
        <f>AZ13+預測IC!BA16</f>
        <v>1.4994565978643619</v>
      </c>
      <c r="BB13" s="5">
        <f>BA13+預測IC!BB16</f>
        <v>1.6319305978643619</v>
      </c>
      <c r="BC13" s="5">
        <f>BB13+預測IC!BC16</f>
        <v>1.6990520639720537</v>
      </c>
      <c r="BD13" s="5">
        <f>BC13+預測IC!BD16</f>
        <v>1.7349887755179576</v>
      </c>
      <c r="BE13" s="5">
        <f>BD13+預測IC!BE16</f>
        <v>1.6835777811234827</v>
      </c>
      <c r="BF13" s="5">
        <f>BE13+預測IC!BF16</f>
        <v>1.9313646402239428</v>
      </c>
      <c r="BG13" s="5">
        <f>BF13+預測IC!BG16</f>
        <v>1.9448379222718994</v>
      </c>
      <c r="BH13" s="5">
        <f>BG13+預測IC!BH16</f>
        <v>1.9310623077879376</v>
      </c>
      <c r="BI13" s="5">
        <f>BH13+預測IC!BI16</f>
        <v>1.9800522482208487</v>
      </c>
      <c r="BJ13" s="5">
        <f>BI13+預測IC!BJ16</f>
        <v>2.0766190517463867</v>
      </c>
      <c r="BK13" s="5">
        <f>BJ13+預測IC!BK16</f>
        <v>2.1279906762723981</v>
      </c>
      <c r="BL13" s="5">
        <f>BK13+預測IC!BL16</f>
        <v>2.1891642757568683</v>
      </c>
      <c r="BM13" s="5">
        <f>BL13+預測IC!BM16</f>
        <v>2.2286622612479743</v>
      </c>
      <c r="BN13" s="5">
        <f>BM13+預測IC!BN16</f>
        <v>2.2899670111578589</v>
      </c>
      <c r="BO13" s="5">
        <f>BN13+預測IC!BO16</f>
        <v>2.2680766512042014</v>
      </c>
      <c r="BP13" s="5">
        <f>BO13+預測IC!BP16</f>
        <v>2.2103277623153126</v>
      </c>
      <c r="BQ13" s="5">
        <f>BP13+預測IC!BQ16</f>
        <v>2.1866370436480653</v>
      </c>
      <c r="BR13" s="5">
        <f>BQ13+預測IC!BR16</f>
        <v>2.1603401956266208</v>
      </c>
      <c r="BS13" s="5">
        <f>BR13+預測IC!BS16</f>
        <v>2.1283332084337379</v>
      </c>
      <c r="BT13" s="5">
        <f>BS13+預測IC!BT16</f>
        <v>2.0816723259402194</v>
      </c>
      <c r="BU13" s="5">
        <f>BT13+預測IC!BU16</f>
        <v>2.1394374361250197</v>
      </c>
      <c r="BV13" s="5">
        <f>BU13+預測IC!BV16</f>
        <v>2.0449269916805752</v>
      </c>
      <c r="BW13" s="5">
        <f>BV13+預測IC!BW16</f>
        <v>2.3628978262189424</v>
      </c>
      <c r="BX13" s="5">
        <f>BW13+預測IC!BX16</f>
        <v>2.2963383071008594</v>
      </c>
      <c r="BY13" s="5">
        <f>BX13+預測IC!BY16</f>
        <v>2.1773428626564151</v>
      </c>
      <c r="BZ13" s="5">
        <f>BY13+預測IC!BZ16</f>
        <v>2.0658170141547658</v>
      </c>
      <c r="CA13" s="5">
        <f>BZ13+預測IC!CA16</f>
        <v>2.0361026243992026</v>
      </c>
      <c r="CB13" s="5">
        <f>CA13+預測IC!CB16</f>
        <v>1.8967936243992027</v>
      </c>
      <c r="CC13" s="5">
        <f>CB13+預測IC!CC16</f>
        <v>1.9411799577325362</v>
      </c>
      <c r="CD13" s="5">
        <f>CC13+預測IC!CD16</f>
        <v>1.8801914318588062</v>
      </c>
      <c r="CE13" s="5">
        <f>CD13+預測IC!CE16</f>
        <v>1.7475963710652949</v>
      </c>
      <c r="CF13" s="5">
        <f>CE13+預測IC!CF16</f>
        <v>1.8003964554005758</v>
      </c>
      <c r="CG13" s="5">
        <f>CF13+預測IC!CG16</f>
        <v>1.7386685772539092</v>
      </c>
      <c r="CH13" s="5">
        <f>CG13+預測IC!CH16</f>
        <v>1.7891173019579054</v>
      </c>
      <c r="CI13" s="5">
        <f>CH13+預測IC!CI16</f>
        <v>1.7848766338457547</v>
      </c>
      <c r="CJ13" s="5">
        <f>CI13+預測IC!CJ16</f>
        <v>1.8304001846334212</v>
      </c>
      <c r="CK13" s="5">
        <f>CJ13+預測IC!CK16</f>
        <v>1.9188228744150289</v>
      </c>
      <c r="CL13" s="5">
        <f>CK13+預測IC!CL16</f>
        <v>1.7220824362558151</v>
      </c>
      <c r="CM13" s="5">
        <f>CL13+預測IC!CM16</f>
        <v>1.8110710644053267</v>
      </c>
      <c r="CN13" s="5">
        <f>CM13+預測IC!CN16</f>
        <v>1.8441285795462767</v>
      </c>
      <c r="CO13" s="5">
        <f>CN13+預測IC!CO16</f>
        <v>1.7094883707523714</v>
      </c>
      <c r="CP13" s="5">
        <f>CO13+預測IC!CP16</f>
        <v>1.57285668127028</v>
      </c>
      <c r="CQ13" s="5">
        <f>CP13+預測IC!CQ16</f>
        <v>1.5525229014499191</v>
      </c>
      <c r="CR13" s="5">
        <f>CQ13+預測IC!CR16</f>
        <v>1.3632363679825208</v>
      </c>
      <c r="CS13" s="5">
        <f>CR13+預測IC!CS16</f>
        <v>1.385044590204743</v>
      </c>
      <c r="CT13" s="5">
        <f>CS13+預測IC!CT16</f>
        <v>1.4106019681655777</v>
      </c>
      <c r="CU13" s="5">
        <f>CT13+預測IC!CU16</f>
        <v>1.5460736690297838</v>
      </c>
      <c r="CV13" s="5">
        <f>CU13+預測IC!CV16</f>
        <v>1.4866202245853395</v>
      </c>
      <c r="CW13" s="5">
        <f>CV13+預測IC!CW16</f>
        <v>1.5339618837596194</v>
      </c>
      <c r="CX13" s="5">
        <f>CW13+預測IC!CX16</f>
        <v>1.3716959084570033</v>
      </c>
      <c r="CY13" s="5">
        <f>CX13+預測IC!CY16</f>
        <v>1.2904152705827889</v>
      </c>
      <c r="CZ13" s="5">
        <f>CY13+預測IC!CZ16</f>
        <v>1.2576904483406448</v>
      </c>
      <c r="DA13" s="5">
        <f>CZ13+預測IC!DA16</f>
        <v>1.2278856543734094</v>
      </c>
      <c r="DB13" s="5">
        <f>DA13+預測IC!DB16</f>
        <v>1.2705978241536353</v>
      </c>
      <c r="DC13" s="5">
        <f>DB13+預測IC!DC16</f>
        <v>1.227655461833135</v>
      </c>
      <c r="DD13" s="5">
        <f>DC13+預測IC!DD16</f>
        <v>1.259399172320415</v>
      </c>
      <c r="DE13" s="5">
        <f>DD13+預測IC!DE16</f>
        <v>1.293951572679205</v>
      </c>
      <c r="DF13" s="5">
        <f>DE13+預測IC!DF16</f>
        <v>1.296649586231531</v>
      </c>
      <c r="DG13" s="5">
        <f>DF13+預測IC!DG16</f>
        <v>1.4230215060820037</v>
      </c>
      <c r="DH13" s="5">
        <f>DG13+預測IC!DH16</f>
        <v>1.2858720616375592</v>
      </c>
      <c r="DI13" s="5">
        <f>DH13+預測IC!DI16</f>
        <v>1.3312715595388205</v>
      </c>
      <c r="DJ13" s="5">
        <f>DI13+預測IC!DJ16</f>
        <v>1.2603165071019349</v>
      </c>
      <c r="DK13" s="5">
        <f>DJ13+預測IC!DK16</f>
        <v>1.2026307377546754</v>
      </c>
      <c r="DL13" s="5">
        <f>DK13+預測IC!DL16</f>
        <v>1.2245036120044497</v>
      </c>
      <c r="DM13" s="5">
        <f>DL13+預測IC!DM16</f>
        <v>1.2434139861729929</v>
      </c>
      <c r="DN13" s="5">
        <f>DM13+預測IC!DN16</f>
        <v>1.3593007179179846</v>
      </c>
      <c r="DO13" s="5">
        <f>DN13+預測IC!DO16</f>
        <v>1.4058645843977626</v>
      </c>
      <c r="DP13" s="5">
        <f>DO13+預測IC!DP16</f>
        <v>1.4257065329769887</v>
      </c>
      <c r="DQ13" s="5">
        <f>DP13+預測IC!DQ16</f>
        <v>1.378636376972457</v>
      </c>
      <c r="DR13" s="5">
        <f>DQ13+預測IC!DR16</f>
        <v>1.3674580436391237</v>
      </c>
      <c r="DS13" s="5">
        <f>DR13+預測IC!DS16</f>
        <v>1.3778810680156386</v>
      </c>
      <c r="DT13" s="5">
        <f>DS13+預測IC!DT16</f>
        <v>1.4369940430938246</v>
      </c>
      <c r="DU13" s="5">
        <f>DT13+預測IC!DU16</f>
        <v>1.2468858006479062</v>
      </c>
      <c r="DV13" s="5">
        <f>DU13+預測IC!DV16</f>
        <v>1.2011574834754193</v>
      </c>
      <c r="DW13" s="5">
        <f>DV13+預測IC!DW16</f>
        <v>1.24207521317511</v>
      </c>
      <c r="DX13" s="5">
        <f>DW13+預測IC!DX16</f>
        <v>1.2201274853990691</v>
      </c>
      <c r="DY13" s="5">
        <f>DX13+預測IC!DY16</f>
        <v>1.1251426211778321</v>
      </c>
      <c r="DZ13" s="5">
        <f>DY13+預測IC!DZ16</f>
        <v>1.1377917927636214</v>
      </c>
      <c r="EA13" s="5">
        <f>DZ13+預測IC!EA16</f>
        <v>1.2775916816525104</v>
      </c>
      <c r="EB13" s="5">
        <f>EA13+預測IC!EB16</f>
        <v>1.378270782329712</v>
      </c>
      <c r="EC13" s="5">
        <f>EB13+預測IC!EC16</f>
        <v>1.309769301761873</v>
      </c>
      <c r="ED13" s="5">
        <f>EC13+預測IC!ED16</f>
        <v>1.1950700741209561</v>
      </c>
      <c r="EE13" s="5">
        <f>ED13+預測IC!EE16</f>
        <v>1.1358290774657702</v>
      </c>
      <c r="EF13" s="5">
        <f>EE13+預測IC!EH16</f>
        <v>1.1358290774657702</v>
      </c>
    </row>
    <row r="14" spans="1:136">
      <c r="A14" s="1"/>
      <c r="B14" s="11" t="s">
        <v>232</v>
      </c>
      <c r="C14" s="5">
        <v>-5.9146797802220617E-2</v>
      </c>
      <c r="D14" s="5">
        <f>C14+預測IC!D18</f>
        <v>0.34273720219777948</v>
      </c>
      <c r="E14" s="5">
        <f>D14+預測IC!E18</f>
        <v>0.24226157919468727</v>
      </c>
      <c r="F14" s="5">
        <f>E14+預測IC!F18</f>
        <v>0.36164453929687707</v>
      </c>
      <c r="G14" s="5">
        <f>F14+預測IC!G18</f>
        <v>0.25332816601179708</v>
      </c>
      <c r="H14" s="5">
        <f>G14+預測IC!H18</f>
        <v>0.26195039376624141</v>
      </c>
      <c r="I14" s="5">
        <f>H14+預測IC!I18</f>
        <v>0.12645021354300032</v>
      </c>
      <c r="J14" s="5">
        <f>I14+預測IC!J18</f>
        <v>0.16986172929464194</v>
      </c>
      <c r="K14" s="5">
        <f>J14+預測IC!K18</f>
        <v>0.30550961807227422</v>
      </c>
      <c r="L14" s="5">
        <f>K14+預測IC!L18</f>
        <v>0.2547514109655552</v>
      </c>
      <c r="M14" s="5">
        <f>L14+預測IC!M18</f>
        <v>0.28380287534201254</v>
      </c>
      <c r="N14" s="5">
        <f>M14+預測IC!N18</f>
        <v>0.42501036383830865</v>
      </c>
      <c r="O14" s="5">
        <f>N14+預測IC!O18</f>
        <v>0.52868085346792781</v>
      </c>
      <c r="P14" s="5">
        <f>O14+預測IC!P18</f>
        <v>0.5370089393218368</v>
      </c>
      <c r="Q14" s="5">
        <f>P14+預測IC!Q18</f>
        <v>0.72598435801132666</v>
      </c>
      <c r="R14" s="5">
        <f>Q14+預測IC!R18</f>
        <v>0.78747659588330166</v>
      </c>
      <c r="S14" s="5">
        <f>R14+預測IC!S18</f>
        <v>0.93128182318220087</v>
      </c>
      <c r="T14" s="5">
        <f>S14+預測IC!T18</f>
        <v>0.98552626321380954</v>
      </c>
      <c r="U14" s="5">
        <f>T14+預測IC!U18</f>
        <v>1.1180212876436286</v>
      </c>
      <c r="V14" s="5">
        <f>U14+預測IC!V18</f>
        <v>1.2394127490695543</v>
      </c>
      <c r="W14" s="5">
        <f>V14+預測IC!W18</f>
        <v>1.4055475783388534</v>
      </c>
      <c r="X14" s="5">
        <f>W14+預測IC!X18</f>
        <v>1.532670864053139</v>
      </c>
      <c r="Y14" s="5">
        <f>X14+預測IC!Y18</f>
        <v>1.6365501079619502</v>
      </c>
      <c r="Z14" s="5">
        <f>Y14+預測IC!Z18</f>
        <v>1.725784471402473</v>
      </c>
      <c r="AA14" s="5">
        <f>Z14+預測IC!AA18</f>
        <v>1.684079226219749</v>
      </c>
      <c r="AB14" s="5">
        <f>AA14+預測IC!AB18</f>
        <v>1.5993809264892649</v>
      </c>
      <c r="AC14" s="5">
        <f>AB14+預測IC!AC18</f>
        <v>1.6007463469660972</v>
      </c>
      <c r="AD14" s="5">
        <f>AC14+預測IC!AD18</f>
        <v>1.5283025578775657</v>
      </c>
      <c r="AE14" s="5">
        <f>AD14+預測IC!AE18</f>
        <v>1.7866939067927743</v>
      </c>
      <c r="AF14" s="5">
        <f>AE14+預測IC!AF18</f>
        <v>1.6361502669687009</v>
      </c>
      <c r="AG14" s="5">
        <f>AF14+預測IC!AG18</f>
        <v>1.5544302870759472</v>
      </c>
      <c r="AH14" s="5">
        <f>AG14+預測IC!AH18</f>
        <v>1.7174987919007969</v>
      </c>
      <c r="AI14" s="5">
        <f>AH14+預測IC!AI18</f>
        <v>1.6360750418496273</v>
      </c>
      <c r="AJ14" s="5">
        <f>AI14+預測IC!AJ18</f>
        <v>1.5652078241880247</v>
      </c>
      <c r="AK14" s="5">
        <f>AJ14+預測IC!AK18</f>
        <v>1.5423749388260284</v>
      </c>
      <c r="AL14" s="5">
        <f>AK14+預測IC!AL18</f>
        <v>1.5899027024582861</v>
      </c>
      <c r="AM14" s="5">
        <f>AL14+預測IC!AM18</f>
        <v>1.6565461078830572</v>
      </c>
      <c r="AN14" s="5">
        <f>AM14+預測IC!AN18</f>
        <v>1.7358407478382589</v>
      </c>
      <c r="AO14" s="5">
        <f>AN14+預測IC!AO18</f>
        <v>1.7604250282830658</v>
      </c>
      <c r="AP14" s="5">
        <f>AO14+預測IC!AP18</f>
        <v>1.7584093139973516</v>
      </c>
      <c r="AQ14" s="5">
        <f>AP14+預測IC!AQ18</f>
        <v>1.8346401593238015</v>
      </c>
      <c r="AR14" s="5">
        <f>AQ14+預測IC!AR18</f>
        <v>1.7729457307523731</v>
      </c>
      <c r="AS14" s="5">
        <f>AR14+預測IC!AS18</f>
        <v>1.8587722823063422</v>
      </c>
      <c r="AT14" s="5">
        <f>AS14+預測IC!AT18</f>
        <v>2.0251580917304013</v>
      </c>
      <c r="AU14" s="5">
        <f>AT14+預測IC!AU18</f>
        <v>2.1640563063766209</v>
      </c>
      <c r="AV14" s="5">
        <f>AU14+預測IC!AV18</f>
        <v>2.1991143063766208</v>
      </c>
      <c r="AW14" s="5">
        <f>AV14+預測IC!AW18</f>
        <v>2.1745762721355133</v>
      </c>
      <c r="AX14" s="5">
        <f>AW14+預測IC!AX18</f>
        <v>2.0485119347093859</v>
      </c>
      <c r="AY14" s="5">
        <f>AX14+預測IC!AY18</f>
        <v>2.0183225759808958</v>
      </c>
      <c r="AZ14" s="5">
        <f>AY14+預測IC!AZ18</f>
        <v>1.9666762485873874</v>
      </c>
      <c r="BA14" s="5">
        <f>AZ14+預測IC!BA18</f>
        <v>1.967308559512073</v>
      </c>
      <c r="BB14" s="5">
        <f>BA14+預測IC!BB18</f>
        <v>2.1345658452263585</v>
      </c>
      <c r="BC14" s="5">
        <f>BB14+預測IC!BC18</f>
        <v>2.2177674178196791</v>
      </c>
      <c r="BD14" s="5">
        <f>BC14+預測IC!BD18</f>
        <v>2.1937511461323789</v>
      </c>
      <c r="BE14" s="5">
        <f>BD14+預測IC!BE18</f>
        <v>2.1253899328942158</v>
      </c>
      <c r="BF14" s="5">
        <f>BE14+預測IC!BF18</f>
        <v>2.2903764275902234</v>
      </c>
      <c r="BG14" s="5">
        <f>BF14+預測IC!BG18</f>
        <v>2.2735701863640192</v>
      </c>
      <c r="BH14" s="5">
        <f>BG14+預測IC!BH18</f>
        <v>2.2940740394278247</v>
      </c>
      <c r="BI14" s="5">
        <f>BH14+預測IC!BI18</f>
        <v>2.3700651331682834</v>
      </c>
      <c r="BJ14" s="5">
        <f>BI14+預測IC!BJ18</f>
        <v>2.4685989898537053</v>
      </c>
      <c r="BK14" s="5">
        <f>BJ14+預測IC!BK18</f>
        <v>2.4695800737568221</v>
      </c>
      <c r="BL14" s="5">
        <f>BK14+預測IC!BL18</f>
        <v>2.5253679546186021</v>
      </c>
      <c r="BM14" s="5">
        <f>BL14+預測IC!BM18</f>
        <v>2.5534493109916974</v>
      </c>
      <c r="BN14" s="5">
        <f>BM14+預測IC!BN18</f>
        <v>2.5956408997965008</v>
      </c>
      <c r="BO14" s="5">
        <f>BN14+預測IC!BO18</f>
        <v>2.5754134036901264</v>
      </c>
      <c r="BP14" s="5">
        <f>BO14+預測IC!BP18</f>
        <v>2.5129514036901264</v>
      </c>
      <c r="BQ14" s="5">
        <f>BP14+預測IC!BQ18</f>
        <v>2.4264917127778971</v>
      </c>
      <c r="BR14" s="5">
        <f>BQ14+預測IC!BR18</f>
        <v>2.4207435191939424</v>
      </c>
      <c r="BS14" s="5">
        <f>BR14+預測IC!BS18</f>
        <v>2.3878702626179105</v>
      </c>
      <c r="BT14" s="5">
        <f>BS14+預測IC!BT18</f>
        <v>2.3263249397252057</v>
      </c>
      <c r="BU14" s="5">
        <f>BT14+預測IC!BU18</f>
        <v>2.4070023837652466</v>
      </c>
      <c r="BV14" s="5">
        <f>BU14+預測IC!BV18</f>
        <v>2.2914968123366752</v>
      </c>
      <c r="BW14" s="5">
        <f>BV14+預測IC!BW18</f>
        <v>2.5098723114676638</v>
      </c>
      <c r="BX14" s="5">
        <f>BW14+預測IC!BX18</f>
        <v>2.4352914480530656</v>
      </c>
      <c r="BY14" s="5">
        <f>BX14+預測IC!BY18</f>
        <v>2.372603019481637</v>
      </c>
      <c r="BZ14" s="5">
        <f>BY14+預測IC!BZ18</f>
        <v>2.2192830316790388</v>
      </c>
      <c r="CA14" s="5">
        <f>BZ14+預測IC!CA18</f>
        <v>2.2032064877861779</v>
      </c>
      <c r="CB14" s="5">
        <f>CA14+預測IC!CB18</f>
        <v>2.0963602020718923</v>
      </c>
      <c r="CC14" s="5">
        <f>CB14+預測IC!CC18</f>
        <v>2.2010199163576067</v>
      </c>
      <c r="CD14" s="5">
        <f>CC14+預測IC!CD18</f>
        <v>2.0794246931888427</v>
      </c>
      <c r="CE14" s="5">
        <f>CD14+預測IC!CE18</f>
        <v>1.9014983368799654</v>
      </c>
      <c r="CF14" s="5">
        <f>CE14+預測IC!CF18</f>
        <v>1.8575405934933567</v>
      </c>
      <c r="CG14" s="5">
        <f>CF14+預測IC!CG18</f>
        <v>1.7659313379294372</v>
      </c>
      <c r="CH14" s="5">
        <f>CG14+預測IC!CH18</f>
        <v>1.811296986888596</v>
      </c>
      <c r="CI14" s="5">
        <f>CH14+預測IC!CI18</f>
        <v>1.9263562976977744</v>
      </c>
      <c r="CJ14" s="5">
        <f>CI14+預測IC!CJ18</f>
        <v>1.988669975522684</v>
      </c>
      <c r="CK14" s="5">
        <f>CJ14+預測IC!CK18</f>
        <v>2.0847280071882071</v>
      </c>
      <c r="CL14" s="5">
        <f>CK14+預測IC!CL18</f>
        <v>1.931814063378722</v>
      </c>
      <c r="CM14" s="5">
        <f>CL14+預測IC!CM18</f>
        <v>2.0754626065431157</v>
      </c>
      <c r="CN14" s="5">
        <f>CM14+預測IC!CN18</f>
        <v>2.1105488605212921</v>
      </c>
      <c r="CO14" s="5">
        <f>CN14+預測IC!CO18</f>
        <v>1.9599513508990447</v>
      </c>
      <c r="CP14" s="5">
        <f>CO14+預測IC!CP18</f>
        <v>1.7971122419510339</v>
      </c>
      <c r="CQ14" s="5">
        <f>CP14+預測IC!CQ18</f>
        <v>1.8353549175459767</v>
      </c>
      <c r="CR14" s="5">
        <f>CQ14+預測IC!CR18</f>
        <v>1.6416325098937674</v>
      </c>
      <c r="CS14" s="5">
        <f>CR14+預測IC!CS18</f>
        <v>1.669761795608053</v>
      </c>
      <c r="CT14" s="5">
        <f>CS14+預測IC!CT18</f>
        <v>1.6534893014080443</v>
      </c>
      <c r="CU14" s="5">
        <f>CT14+預測IC!CU18</f>
        <v>1.7980541225841793</v>
      </c>
      <c r="CV14" s="5">
        <f>CU14+預測IC!CV18</f>
        <v>1.7351096940127508</v>
      </c>
      <c r="CW14" s="5">
        <f>CV14+預測IC!CW18</f>
        <v>1.801668268511067</v>
      </c>
      <c r="CX14" s="5">
        <f>CW14+預測IC!CX18</f>
        <v>1.6485925789019138</v>
      </c>
      <c r="CY14" s="5">
        <f>CX14+預測IC!CY18</f>
        <v>1.5554141949940063</v>
      </c>
      <c r="CZ14" s="5">
        <f>CY14+預測IC!CZ18</f>
        <v>1.4639549815813038</v>
      </c>
      <c r="DA14" s="5">
        <f>CZ14+預測IC!DA18</f>
        <v>1.4165740420626103</v>
      </c>
      <c r="DB14" s="5">
        <f>DA14+預測IC!DB18</f>
        <v>1.4623092507413697</v>
      </c>
      <c r="DC14" s="5">
        <f>DB14+預測IC!DC18</f>
        <v>1.4259004692458634</v>
      </c>
      <c r="DD14" s="5">
        <f>DC14+預測IC!DD18</f>
        <v>1.4669146565651974</v>
      </c>
      <c r="DE14" s="5">
        <f>DD14+預測IC!DE18</f>
        <v>1.5053352440516483</v>
      </c>
      <c r="DF14" s="5">
        <f>DE14+預測IC!DF18</f>
        <v>1.5334072191296098</v>
      </c>
      <c r="DG14" s="5">
        <f>DF14+預測IC!DG18</f>
        <v>1.6516243124032051</v>
      </c>
      <c r="DH14" s="5">
        <f>DG14+預測IC!DH18</f>
        <v>1.4592217409746338</v>
      </c>
      <c r="DI14" s="5">
        <f>DH14+預測IC!DI18</f>
        <v>1.4778349890050519</v>
      </c>
      <c r="DJ14" s="5">
        <f>DI14+預測IC!DJ18</f>
        <v>1.3316389129056396</v>
      </c>
      <c r="DK14" s="5">
        <f>DJ14+預測IC!DK18</f>
        <v>1.2743883229190136</v>
      </c>
      <c r="DL14" s="5">
        <f>DK14+預測IC!DL18</f>
        <v>1.2782185969866058</v>
      </c>
      <c r="DM14" s="5">
        <f>DL14+預測IC!DM18</f>
        <v>1.2834692757288697</v>
      </c>
      <c r="DN14" s="5">
        <f>DM14+預測IC!DN18</f>
        <v>1.4085779589984004</v>
      </c>
      <c r="DO14" s="5">
        <f>DN14+預測IC!DO18</f>
        <v>1.4387769764599903</v>
      </c>
      <c r="DP14" s="5">
        <f>DO14+預測IC!DP18</f>
        <v>1.4181722899931246</v>
      </c>
      <c r="DQ14" s="5">
        <f>DP14+預測IC!DQ18</f>
        <v>1.3524228318092257</v>
      </c>
      <c r="DR14" s="5">
        <f>DQ14+預測IC!DR18</f>
        <v>1.3419711175235114</v>
      </c>
      <c r="DS14" s="5">
        <f>DR14+預測IC!DS18</f>
        <v>1.3673567687806496</v>
      </c>
      <c r="DT14" s="5">
        <f>DS14+預測IC!DT18</f>
        <v>1.389957803621757</v>
      </c>
      <c r="DU14" s="5">
        <f>DT14+預測IC!DU18</f>
        <v>1.2273690191975068</v>
      </c>
      <c r="DV14" s="5">
        <f>DU14+預測IC!DV18</f>
        <v>1.1568413266914293</v>
      </c>
      <c r="DW14" s="5">
        <f>DV14+預測IC!DW18</f>
        <v>1.2387500189758025</v>
      </c>
      <c r="DX14" s="5">
        <f>DW14+預測IC!DX18</f>
        <v>1.3069273124975378</v>
      </c>
      <c r="DY14" s="5">
        <f>DX14+預測IC!DY18</f>
        <v>1.1411642078355346</v>
      </c>
      <c r="DZ14" s="5">
        <f>DY14+預測IC!DZ18</f>
        <v>1.0979363529660928</v>
      </c>
      <c r="EA14" s="5">
        <f>DZ14+預測IC!EA18</f>
        <v>1.2968836386803786</v>
      </c>
      <c r="EB14" s="5">
        <f>EA14+預測IC!EB18</f>
        <v>1.406847993130574</v>
      </c>
      <c r="EC14" s="5">
        <f>EB14+預測IC!EC18</f>
        <v>1.2638077625377884</v>
      </c>
      <c r="ED14" s="5">
        <f>EC14+預測IC!ED18</f>
        <v>1.1810486611492217</v>
      </c>
      <c r="EE14" s="5">
        <f>ED14+預測IC!EE18</f>
        <v>1.1280336208338575</v>
      </c>
      <c r="EF14" s="5">
        <f>EE14+預測IC!EH18</f>
        <v>1.1280336208338575</v>
      </c>
    </row>
    <row r="15" spans="1:136">
      <c r="A15" s="1"/>
      <c r="B15" s="11" t="s">
        <v>233</v>
      </c>
      <c r="C15" s="5">
        <v>-7.386192988077088E-2</v>
      </c>
      <c r="D15" s="5">
        <f>C15+預測IC!D19</f>
        <v>0.33365940345256251</v>
      </c>
      <c r="E15" s="5">
        <f>D15+預測IC!E19</f>
        <v>0.19307572686123131</v>
      </c>
      <c r="F15" s="5">
        <f>E15+預測IC!F19</f>
        <v>0.37076438866679184</v>
      </c>
      <c r="G15" s="5">
        <f>F15+預測IC!G19</f>
        <v>0.27469841680961443</v>
      </c>
      <c r="H15" s="5">
        <f>G15+預測IC!H19</f>
        <v>0.2626296283471295</v>
      </c>
      <c r="I15" s="5">
        <f>H15+預測IC!I19</f>
        <v>0.127975295455663</v>
      </c>
      <c r="J15" s="5">
        <f>I15+預測IC!J19</f>
        <v>0.16340487997585401</v>
      </c>
      <c r="K15" s="5">
        <f>J15+預測IC!K19</f>
        <v>0.40219429469977075</v>
      </c>
      <c r="L15" s="5">
        <f>K15+預測IC!L19</f>
        <v>0.38186764505942566</v>
      </c>
      <c r="M15" s="5">
        <f>L15+預測IC!M19</f>
        <v>0.33817740890311837</v>
      </c>
      <c r="N15" s="5">
        <f>M15+預測IC!N19</f>
        <v>0.49002099005109845</v>
      </c>
      <c r="O15" s="5">
        <f>N15+預測IC!O19</f>
        <v>0.58224237307055571</v>
      </c>
      <c r="P15" s="5">
        <f>O15+預測IC!P19</f>
        <v>0.60575553389507575</v>
      </c>
      <c r="Q15" s="5">
        <f>P15+預測IC!Q19</f>
        <v>0.80291862215959564</v>
      </c>
      <c r="R15" s="5">
        <f>Q15+預測IC!R19</f>
        <v>0.89321771279045192</v>
      </c>
      <c r="S15" s="5">
        <f>R15+預測IC!S19</f>
        <v>1.0159095891261933</v>
      </c>
      <c r="T15" s="5">
        <f>S15+預測IC!T19</f>
        <v>1.0430638671124925</v>
      </c>
      <c r="U15" s="5">
        <f>T15+預測IC!U19</f>
        <v>1.1787622057444158</v>
      </c>
      <c r="V15" s="5">
        <f>U15+預測IC!V19</f>
        <v>1.271450525469729</v>
      </c>
      <c r="W15" s="5">
        <f>V15+預測IC!W19</f>
        <v>1.4461852887719606</v>
      </c>
      <c r="X15" s="5">
        <f>W15+預測IC!X19</f>
        <v>1.5691089554386273</v>
      </c>
      <c r="Y15" s="5">
        <f>X15+預測IC!Y19</f>
        <v>1.6722391943690655</v>
      </c>
      <c r="Z15" s="5">
        <f>Y15+預測IC!Z19</f>
        <v>1.7638583049450891</v>
      </c>
      <c r="AA15" s="5">
        <f>Z15+預測IC!AA19</f>
        <v>1.7222881204069334</v>
      </c>
      <c r="AB15" s="5">
        <f>AA15+預測IC!AB19</f>
        <v>1.6200345145229906</v>
      </c>
      <c r="AC15" s="5">
        <f>AB15+預測IC!AC19</f>
        <v>1.6341760572316004</v>
      </c>
      <c r="AD15" s="5">
        <f>AC15+預測IC!AD19</f>
        <v>1.6101785999705398</v>
      </c>
      <c r="AE15" s="5">
        <f>AD15+預測IC!AE19</f>
        <v>1.9186714578959085</v>
      </c>
      <c r="AF15" s="5">
        <f>AE15+預測IC!AF19</f>
        <v>1.7498408771878655</v>
      </c>
      <c r="AG15" s="5">
        <f>AF15+預測IC!AG19</f>
        <v>1.7083537737435539</v>
      </c>
      <c r="AH15" s="5">
        <f>AG15+預測IC!AH19</f>
        <v>1.9125100609087635</v>
      </c>
      <c r="AI15" s="5">
        <f>AH15+預測IC!AI19</f>
        <v>1.8647437081489671</v>
      </c>
      <c r="AJ15" s="5">
        <f>AI15+預測IC!AJ19</f>
        <v>1.7875409985043955</v>
      </c>
      <c r="AK15" s="5">
        <f>AJ15+預測IC!AK19</f>
        <v>1.7469594753912325</v>
      </c>
      <c r="AL15" s="5">
        <f>AK15+預測IC!AL19</f>
        <v>1.817230421062038</v>
      </c>
      <c r="AM15" s="5">
        <f>AL15+預測IC!AM19</f>
        <v>1.8603364328734431</v>
      </c>
      <c r="AN15" s="5">
        <f>AM15+預測IC!AN19</f>
        <v>1.9439047272391252</v>
      </c>
      <c r="AO15" s="5">
        <f>AN15+預測IC!AO19</f>
        <v>1.9997948533682399</v>
      </c>
      <c r="AP15" s="5">
        <f>AO15+預測IC!AP19</f>
        <v>1.9900818533682398</v>
      </c>
      <c r="AQ15" s="5">
        <f>AP15+預測IC!AQ19</f>
        <v>2.0783346104288904</v>
      </c>
      <c r="AR15" s="5">
        <f>AQ15+預測IC!AR19</f>
        <v>2.0037177770955572</v>
      </c>
      <c r="AS15" s="5">
        <f>AR15+預測IC!AS19</f>
        <v>2.1015147323638717</v>
      </c>
      <c r="AT15" s="5">
        <f>AS15+預測IC!AT19</f>
        <v>2.2861083961739297</v>
      </c>
      <c r="AU15" s="5">
        <f>AT15+預測IC!AU19</f>
        <v>2.4391230226481904</v>
      </c>
      <c r="AV15" s="5">
        <f>AU15+預測IC!AV19</f>
        <v>2.481800689314857</v>
      </c>
      <c r="AW15" s="5">
        <f>AV15+預測IC!AW19</f>
        <v>2.4594445211607203</v>
      </c>
      <c r="AX15" s="5">
        <f>AW15+預測IC!AX19</f>
        <v>2.2353207258598644</v>
      </c>
      <c r="AY15" s="5">
        <f>AX15+預測IC!AY19</f>
        <v>2.1690474831473923</v>
      </c>
      <c r="AZ15" s="5">
        <f>AY15+預測IC!AZ19</f>
        <v>2.0534359547779686</v>
      </c>
      <c r="BA15" s="5">
        <f>AZ15+預測IC!BA19</f>
        <v>2.0190720708238956</v>
      </c>
      <c r="BB15" s="5">
        <f>BA15+預測IC!BB19</f>
        <v>2.2208739041572287</v>
      </c>
      <c r="BC15" s="5">
        <f>BB15+預測IC!BC19</f>
        <v>2.2849293905034145</v>
      </c>
      <c r="BD15" s="5">
        <f>BC15+預測IC!BD19</f>
        <v>2.2816949978733465</v>
      </c>
      <c r="BE15" s="5">
        <f>BD15+預測IC!BE19</f>
        <v>2.2305631239096799</v>
      </c>
      <c r="BF15" s="5">
        <f>BE15+預測IC!BF19</f>
        <v>2.3723725588734217</v>
      </c>
      <c r="BG15" s="5">
        <f>BF15+預測IC!BG19</f>
        <v>2.3560289005405797</v>
      </c>
      <c r="BH15" s="5">
        <f>BG15+預測IC!BH19</f>
        <v>2.3580471022420109</v>
      </c>
      <c r="BI15" s="5">
        <f>BH15+預測IC!BI19</f>
        <v>2.4593313322012271</v>
      </c>
      <c r="BJ15" s="5">
        <f>BI15+預測IC!BJ19</f>
        <v>2.518243549373683</v>
      </c>
      <c r="BK15" s="5">
        <f>BJ15+預測IC!BK19</f>
        <v>2.4487245127442412</v>
      </c>
      <c r="BL15" s="5">
        <f>BK15+預測IC!BL19</f>
        <v>2.5118890464912607</v>
      </c>
      <c r="BM15" s="5">
        <f>BL15+預測IC!BM19</f>
        <v>2.5436753113604058</v>
      </c>
      <c r="BN15" s="5">
        <f>BM15+預測IC!BN19</f>
        <v>2.6158604110829069</v>
      </c>
      <c r="BO15" s="5">
        <f>BN15+預測IC!BO19</f>
        <v>2.5901314498177914</v>
      </c>
      <c r="BP15" s="5">
        <f>BO15+預測IC!BP19</f>
        <v>2.5777227831511249</v>
      </c>
      <c r="BQ15" s="5">
        <f>BP15+預測IC!BQ19</f>
        <v>2.468069648218068</v>
      </c>
      <c r="BR15" s="5">
        <f>BQ15+預測IC!BR19</f>
        <v>2.4747448942415882</v>
      </c>
      <c r="BS15" s="5">
        <f>BR15+預測IC!BS19</f>
        <v>2.4782448261812271</v>
      </c>
      <c r="BT15" s="5">
        <f>BS15+預測IC!BT19</f>
        <v>2.3959214225039158</v>
      </c>
      <c r="BU15" s="5">
        <f>BT15+預測IC!BU19</f>
        <v>2.4718576737381537</v>
      </c>
      <c r="BV15" s="5">
        <f>BU15+預測IC!BV19</f>
        <v>2.3717723404048203</v>
      </c>
      <c r="BW15" s="5">
        <f>BV15+預測IC!BW19</f>
        <v>2.6792253472145537</v>
      </c>
      <c r="BX15" s="5">
        <f>BW15+預測IC!BX19</f>
        <v>2.624395065654237</v>
      </c>
      <c r="BY15" s="5">
        <f>BX15+預測IC!BY19</f>
        <v>2.5967168989875704</v>
      </c>
      <c r="BZ15" s="5">
        <f>BY15+預測IC!BZ19</f>
        <v>2.5280147741655163</v>
      </c>
      <c r="CA15" s="5">
        <f>BZ15+預測IC!CA19</f>
        <v>2.4986860189417417</v>
      </c>
      <c r="CB15" s="5">
        <f>CA15+預測IC!CB19</f>
        <v>2.3708475189417415</v>
      </c>
      <c r="CC15" s="5">
        <f>CB15+預測IC!CC19</f>
        <v>2.393353185608408</v>
      </c>
      <c r="CD15" s="5">
        <f>CC15+預測IC!CD19</f>
        <v>2.2446212723200007</v>
      </c>
      <c r="CE15" s="5">
        <f>CD15+預測IC!CE19</f>
        <v>2.0463554431430415</v>
      </c>
      <c r="CF15" s="5">
        <f>CE15+預測IC!CF19</f>
        <v>1.9673039181722272</v>
      </c>
      <c r="CG15" s="5">
        <f>CF15+預測IC!CG19</f>
        <v>1.91018629330527</v>
      </c>
      <c r="CH15" s="5">
        <f>CG15+預測IC!CH19</f>
        <v>1.9529013370480042</v>
      </c>
      <c r="CI15" s="5">
        <f>CH15+預測IC!CI19</f>
        <v>2.0636355448017087</v>
      </c>
      <c r="CJ15" s="5">
        <f>CI15+預測IC!CJ19</f>
        <v>2.1255760447677448</v>
      </c>
      <c r="CK15" s="5">
        <f>CJ15+預測IC!CK19</f>
        <v>2.2443733077250791</v>
      </c>
      <c r="CL15" s="5">
        <f>CK15+預測IC!CL19</f>
        <v>2.1290255260863415</v>
      </c>
      <c r="CM15" s="5">
        <f>CL15+預測IC!CM19</f>
        <v>2.3043731676680563</v>
      </c>
      <c r="CN15" s="5">
        <f>CM15+預測IC!CN19</f>
        <v>2.3813058223353596</v>
      </c>
      <c r="CO15" s="5">
        <f>CN15+預測IC!CO19</f>
        <v>2.2151592645600791</v>
      </c>
      <c r="CP15" s="5">
        <f>CO15+預測IC!CP19</f>
        <v>2.0561266655777461</v>
      </c>
      <c r="CQ15" s="5">
        <f>CP15+預測IC!CQ19</f>
        <v>2.0885212730941647</v>
      </c>
      <c r="CR15" s="5">
        <f>CQ15+預測IC!CR19</f>
        <v>1.9122145488479727</v>
      </c>
      <c r="CS15" s="5">
        <f>CR15+預測IC!CS19</f>
        <v>1.9559902155146394</v>
      </c>
      <c r="CT15" s="5">
        <f>CS15+預測IC!CT19</f>
        <v>1.9280495783296425</v>
      </c>
      <c r="CU15" s="5">
        <f>CT15+預測IC!CU19</f>
        <v>2.0746571215905814</v>
      </c>
      <c r="CV15" s="5">
        <f>CU15+預測IC!CV19</f>
        <v>1.9985136215905814</v>
      </c>
      <c r="CW15" s="5">
        <f>CV15+預測IC!CW19</f>
        <v>2.0590295001636187</v>
      </c>
      <c r="CX15" s="5">
        <f>CW15+預測IC!CX19</f>
        <v>1.9108792093591138</v>
      </c>
      <c r="CY15" s="5">
        <f>CX15+預測IC!CY19</f>
        <v>1.8029870899019229</v>
      </c>
      <c r="CZ15" s="5">
        <f>CY15+預測IC!CZ19</f>
        <v>1.7454878268134109</v>
      </c>
      <c r="DA15" s="5">
        <f>CZ15+預測IC!DA19</f>
        <v>1.687263950110174</v>
      </c>
      <c r="DB15" s="5">
        <f>DA15+預測IC!DB19</f>
        <v>1.7229848491353896</v>
      </c>
      <c r="DC15" s="5">
        <f>DB15+預測IC!DC19</f>
        <v>1.7581642490374838</v>
      </c>
      <c r="DD15" s="5">
        <f>DC15+預測IC!DD19</f>
        <v>1.7643653742923127</v>
      </c>
      <c r="DE15" s="5">
        <f>DD15+預測IC!DE19</f>
        <v>1.7973837889481046</v>
      </c>
      <c r="DF15" s="5">
        <f>DE15+預測IC!DF19</f>
        <v>1.8186801313752716</v>
      </c>
      <c r="DG15" s="5">
        <f>DF15+預測IC!DG19</f>
        <v>1.945170929212793</v>
      </c>
      <c r="DH15" s="5">
        <f>DG15+預測IC!DH19</f>
        <v>1.7205795958794596</v>
      </c>
      <c r="DI15" s="5">
        <f>DH15+預測IC!DI19</f>
        <v>1.7792266288907281</v>
      </c>
      <c r="DJ15" s="5">
        <f>DI15+預測IC!DJ19</f>
        <v>1.6139761599316562</v>
      </c>
      <c r="DK15" s="5">
        <f>DJ15+預測IC!DK19</f>
        <v>1.5979918703569922</v>
      </c>
      <c r="DL15" s="5">
        <f>DK15+預測IC!DL19</f>
        <v>1.609974656265966</v>
      </c>
      <c r="DM15" s="5">
        <f>DL15+預測IC!DM19</f>
        <v>1.5638767537803384</v>
      </c>
      <c r="DN15" s="5">
        <f>DM15+預測IC!DN19</f>
        <v>1.7378050555088866</v>
      </c>
      <c r="DO15" s="5">
        <f>DN15+預測IC!DO19</f>
        <v>1.7865105753694805</v>
      </c>
      <c r="DP15" s="5">
        <f>DO15+預測IC!DP19</f>
        <v>1.8143485898524743</v>
      </c>
      <c r="DQ15" s="5">
        <f>DP15+預測IC!DQ19</f>
        <v>1.7339744180143992</v>
      </c>
      <c r="DR15" s="5">
        <f>DQ15+預測IC!DR19</f>
        <v>1.7164290846810659</v>
      </c>
      <c r="DS15" s="5">
        <f>DR15+預測IC!DS19</f>
        <v>1.761348047832946</v>
      </c>
      <c r="DT15" s="5">
        <f>DS15+預測IC!DT19</f>
        <v>1.766381294353051</v>
      </c>
      <c r="DU15" s="5">
        <f>DT15+預測IC!DU19</f>
        <v>1.5718618548900718</v>
      </c>
      <c r="DV15" s="5">
        <f>DU15+預測IC!DV19</f>
        <v>1.5002684682926697</v>
      </c>
      <c r="DW15" s="5">
        <f>DV15+預測IC!DW19</f>
        <v>1.5608776076333539</v>
      </c>
      <c r="DX15" s="5">
        <f>DW15+預測IC!DX19</f>
        <v>1.6554918009908917</v>
      </c>
      <c r="DY15" s="5">
        <f>DX15+預測IC!DY19</f>
        <v>1.5033723913864048</v>
      </c>
      <c r="DZ15" s="5">
        <f>DY15+預測IC!DZ19</f>
        <v>1.4237288232479697</v>
      </c>
      <c r="EA15" s="5">
        <f>DZ15+預測IC!EA19</f>
        <v>1.6567764899146364</v>
      </c>
      <c r="EB15" s="5">
        <f>EA15+預測IC!EB19</f>
        <v>1.765529999552889</v>
      </c>
      <c r="EC15" s="5">
        <f>EB15+預測IC!EC19</f>
        <v>1.62175579672788</v>
      </c>
      <c r="ED15" s="5">
        <f>EC15+預測IC!ED19</f>
        <v>1.5414705384515048</v>
      </c>
      <c r="EE15" s="5">
        <f>ED15+預測IC!EE19</f>
        <v>1.5186546526075919</v>
      </c>
      <c r="EF15" s="5">
        <f>EE15+預測IC!EH19</f>
        <v>1.5186546526075919</v>
      </c>
    </row>
    <row r="16" spans="1:136">
      <c r="A16" s="1"/>
      <c r="B16" s="11" t="s">
        <v>234</v>
      </c>
      <c r="C16" s="5">
        <v>1.1241331728202891E-2</v>
      </c>
      <c r="D16" s="5">
        <f>C16+預測IC!D20</f>
        <v>0.39326713172820293</v>
      </c>
      <c r="E16" s="5">
        <f>D16+預測IC!E20</f>
        <v>0.24714222646395703</v>
      </c>
      <c r="F16" s="5">
        <f>E16+預測IC!F20</f>
        <v>0.45267349079713126</v>
      </c>
      <c r="G16" s="5">
        <f>F16+預測IC!G20</f>
        <v>0.33549034950819218</v>
      </c>
      <c r="H16" s="5">
        <f>G16+預測IC!H20</f>
        <v>0.34707337558676987</v>
      </c>
      <c r="I16" s="5">
        <f>H16+預測IC!I20</f>
        <v>0.18892381298566818</v>
      </c>
      <c r="J16" s="5">
        <f>I16+預測IC!J20</f>
        <v>0.22339507171252443</v>
      </c>
      <c r="K16" s="5">
        <f>J16+預測IC!K20</f>
        <v>0.43811957547360625</v>
      </c>
      <c r="L16" s="5">
        <f>K16+預測IC!L20</f>
        <v>0.4291198041324179</v>
      </c>
      <c r="M16" s="5">
        <f>L16+預測IC!M20</f>
        <v>0.3514015758411444</v>
      </c>
      <c r="N16" s="5">
        <f>M16+預測IC!N20</f>
        <v>0.51954516403068829</v>
      </c>
      <c r="O16" s="5">
        <f>N16+預測IC!O20</f>
        <v>0.61864664817516202</v>
      </c>
      <c r="P16" s="5">
        <f>O16+預測IC!P20</f>
        <v>0.66178532706368953</v>
      </c>
      <c r="Q16" s="5">
        <f>P16+預測IC!Q20</f>
        <v>0.87851106606666807</v>
      </c>
      <c r="R16" s="5">
        <f>Q16+預測IC!R20</f>
        <v>0.98776412170413685</v>
      </c>
      <c r="S16" s="5">
        <f>R16+預測IC!S20</f>
        <v>1.0703267324114247</v>
      </c>
      <c r="T16" s="5">
        <f>S16+預測IC!T20</f>
        <v>1.0546638218921653</v>
      </c>
      <c r="U16" s="5">
        <f>T16+預測IC!U20</f>
        <v>1.2033135020099404</v>
      </c>
      <c r="V16" s="5">
        <f>U16+預測IC!V20</f>
        <v>1.3068311052145578</v>
      </c>
      <c r="W16" s="5">
        <f>V16+預測IC!W20</f>
        <v>1.5332747672976592</v>
      </c>
      <c r="X16" s="5">
        <f>W16+預測IC!X20</f>
        <v>1.6833177672976591</v>
      </c>
      <c r="Y16" s="5">
        <f>X16+預測IC!Y20</f>
        <v>1.8122828061800329</v>
      </c>
      <c r="Z16" s="5">
        <f>Y16+預測IC!Z20</f>
        <v>1.9178997666636921</v>
      </c>
      <c r="AA16" s="5">
        <f>Z16+預測IC!AA20</f>
        <v>1.8963052132763949</v>
      </c>
      <c r="AB16" s="5">
        <f>AA16+預測IC!AB20</f>
        <v>1.8115453725502217</v>
      </c>
      <c r="AC16" s="5">
        <f>AB16+預測IC!AC20</f>
        <v>1.8587936352781893</v>
      </c>
      <c r="AD16" s="5">
        <f>AC16+預測IC!AD20</f>
        <v>1.8318063317075113</v>
      </c>
      <c r="AE16" s="5">
        <f>AD16+預測IC!AE20</f>
        <v>1.9930275388626222</v>
      </c>
      <c r="AF16" s="5">
        <f>AE16+預測IC!AF20</f>
        <v>1.7695297192262496</v>
      </c>
      <c r="AG16" s="5">
        <f>AF16+預測IC!AG20</f>
        <v>1.737366470344573</v>
      </c>
      <c r="AH16" s="5">
        <f>AG16+預測IC!AH20</f>
        <v>1.9540089229929338</v>
      </c>
      <c r="AI16" s="5">
        <f>AH16+預測IC!AI20</f>
        <v>1.8707295692422103</v>
      </c>
      <c r="AJ16" s="5">
        <f>AI16+預測IC!AJ20</f>
        <v>1.8100038845814261</v>
      </c>
      <c r="AK16" s="5">
        <f>AJ16+預測IC!AK20</f>
        <v>1.8017553695188131</v>
      </c>
      <c r="AL16" s="5">
        <f>AK16+預測IC!AL20</f>
        <v>1.8746488215557902</v>
      </c>
      <c r="AM16" s="5">
        <f>AL16+預測IC!AM20</f>
        <v>1.9077448023045929</v>
      </c>
      <c r="AN16" s="5">
        <f>AM16+預測IC!AN20</f>
        <v>1.9832149958235912</v>
      </c>
      <c r="AO16" s="5">
        <f>AN16+預測IC!AO20</f>
        <v>2.0323232904629909</v>
      </c>
      <c r="AP16" s="5">
        <f>AO16+預測IC!AP20</f>
        <v>2.0197176904629908</v>
      </c>
      <c r="AQ16" s="5">
        <f>AP16+預測IC!AQ20</f>
        <v>1.9922652051300398</v>
      </c>
      <c r="AR16" s="5">
        <f>AQ16+預測IC!AR20</f>
        <v>1.9789760051300398</v>
      </c>
      <c r="AS16" s="5">
        <f>AR16+預測IC!AS20</f>
        <v>2.0910718148128566</v>
      </c>
      <c r="AT16" s="5">
        <f>AS16+預測IC!AT20</f>
        <v>2.3301955622579271</v>
      </c>
      <c r="AU16" s="5">
        <f>AT16+預測IC!AU20</f>
        <v>2.4732682031850928</v>
      </c>
      <c r="AV16" s="5">
        <f>AU16+預測IC!AV20</f>
        <v>2.5447426031850928</v>
      </c>
      <c r="AW16" s="5">
        <f>AV16+預測IC!AW20</f>
        <v>2.537877335005942</v>
      </c>
      <c r="AX16" s="5">
        <f>AW16+預測IC!AX20</f>
        <v>2.3335381150453953</v>
      </c>
      <c r="AY16" s="5">
        <f>AX16+預測IC!AY20</f>
        <v>2.4155957510629618</v>
      </c>
      <c r="AZ16" s="5">
        <f>AY16+預測IC!AZ20</f>
        <v>2.2593217433562978</v>
      </c>
      <c r="BA16" s="5">
        <f>AZ16+預測IC!BA20</f>
        <v>2.2225228784957571</v>
      </c>
      <c r="BB16" s="5">
        <f>BA16+預測IC!BB20</f>
        <v>2.4537362784957573</v>
      </c>
      <c r="BC16" s="5">
        <f>BB16+預測IC!BC20</f>
        <v>2.5243418461734977</v>
      </c>
      <c r="BD16" s="5">
        <f>BC16+預測IC!BD20</f>
        <v>2.4709120329519005</v>
      </c>
      <c r="BE16" s="5">
        <f>BD16+預測IC!BE20</f>
        <v>2.4768588300911607</v>
      </c>
      <c r="BF16" s="5">
        <f>BE16+預測IC!BF20</f>
        <v>2.614830093160136</v>
      </c>
      <c r="BG16" s="5">
        <f>BF16+預測IC!BG20</f>
        <v>2.6079039504514427</v>
      </c>
      <c r="BH16" s="5">
        <f>BG16+預測IC!BH20</f>
        <v>2.5362975033373316</v>
      </c>
      <c r="BI16" s="5">
        <f>BH16+預測IC!BI20</f>
        <v>2.6505531690718551</v>
      </c>
      <c r="BJ16" s="5">
        <f>BI16+預測IC!BJ20</f>
        <v>2.699692952883129</v>
      </c>
      <c r="BK16" s="5">
        <f>BJ16+預測IC!BK20</f>
        <v>2.5970946687286838</v>
      </c>
      <c r="BL16" s="5">
        <f>BK16+預測IC!BL20</f>
        <v>2.6669541106659045</v>
      </c>
      <c r="BM16" s="5">
        <f>BL16+預測IC!BM20</f>
        <v>2.7144226621300933</v>
      </c>
      <c r="BN16" s="5">
        <f>BM16+預測IC!BN20</f>
        <v>2.8000872935712735</v>
      </c>
      <c r="BO16" s="5">
        <f>BN16+預測IC!BO20</f>
        <v>2.8385490110872529</v>
      </c>
      <c r="BP16" s="5">
        <f>BO16+預測IC!BP20</f>
        <v>2.8458328110872531</v>
      </c>
      <c r="BQ16" s="5">
        <f>BP16+預測IC!BQ20</f>
        <v>2.7372325435280009</v>
      </c>
      <c r="BR16" s="5">
        <f>BQ16+預測IC!BR20</f>
        <v>2.7493061752584733</v>
      </c>
      <c r="BS16" s="5">
        <f>BR16+預測IC!BS20</f>
        <v>2.7818423729833293</v>
      </c>
      <c r="BT16" s="5">
        <f>BS16+預測IC!BT20</f>
        <v>2.6853118717688735</v>
      </c>
      <c r="BU16" s="5">
        <f>BT16+預測IC!BU20</f>
        <v>2.7840668211365802</v>
      </c>
      <c r="BV16" s="5">
        <f>BU16+預測IC!BV20</f>
        <v>2.6503570211365801</v>
      </c>
      <c r="BW16" s="5">
        <f>BV16+預測IC!BW20</f>
        <v>3.0021865711849847</v>
      </c>
      <c r="BX16" s="5">
        <f>BW16+預測IC!BX20</f>
        <v>2.9441985529089538</v>
      </c>
      <c r="BY16" s="5">
        <f>BX16+預測IC!BY20</f>
        <v>2.9010107529089537</v>
      </c>
      <c r="BZ16" s="5">
        <f>BY16+預測IC!BZ20</f>
        <v>2.8107393486486703</v>
      </c>
      <c r="CA16" s="5">
        <f>BZ16+預測IC!CA20</f>
        <v>2.7706366205969175</v>
      </c>
      <c r="CB16" s="5">
        <f>CA16+預測IC!CB20</f>
        <v>2.6441412205969175</v>
      </c>
      <c r="CC16" s="5">
        <f>CB16+預測IC!CC20</f>
        <v>2.6570560205969174</v>
      </c>
      <c r="CD16" s="5">
        <f>CC16+預測IC!CD20</f>
        <v>2.4681965080535218</v>
      </c>
      <c r="CE16" s="5">
        <f>CD16+預測IC!CE20</f>
        <v>2.2242327125837886</v>
      </c>
      <c r="CF16" s="5">
        <f>CE16+預測IC!CF20</f>
        <v>2.1184478233076969</v>
      </c>
      <c r="CG16" s="5">
        <f>CF16+預測IC!CG20</f>
        <v>2.0424775825645889</v>
      </c>
      <c r="CH16" s="5">
        <f>CG16+預測IC!CH20</f>
        <v>2.0646728115887218</v>
      </c>
      <c r="CI16" s="5">
        <f>CH16+預測IC!CI20</f>
        <v>2.1498810140237974</v>
      </c>
      <c r="CJ16" s="5">
        <f>CI16+預測IC!CJ20</f>
        <v>2.2733213339111482</v>
      </c>
      <c r="CK16" s="5">
        <f>CJ16+預測IC!CK20</f>
        <v>2.3539109578517698</v>
      </c>
      <c r="CL16" s="5">
        <f>CK16+預測IC!CL20</f>
        <v>2.2045978072215182</v>
      </c>
      <c r="CM16" s="5">
        <f>CL16+預測IC!CM20</f>
        <v>2.393648972392139</v>
      </c>
      <c r="CN16" s="5">
        <f>CM16+預測IC!CN20</f>
        <v>2.3714895610216544</v>
      </c>
      <c r="CO16" s="5">
        <f>CN16+預測IC!CO20</f>
        <v>2.1429713578401133</v>
      </c>
      <c r="CP16" s="5">
        <f>CO16+預測IC!CP20</f>
        <v>1.9509401527310859</v>
      </c>
      <c r="CQ16" s="5">
        <f>CP16+預測IC!CQ20</f>
        <v>1.9740581980313689</v>
      </c>
      <c r="CR16" s="5">
        <f>CQ16+預測IC!CR20</f>
        <v>1.7785720875464268</v>
      </c>
      <c r="CS16" s="5">
        <f>CR16+預測IC!CS20</f>
        <v>1.8008658875464267</v>
      </c>
      <c r="CT16" s="5">
        <f>CS16+預測IC!CT20</f>
        <v>1.7827891767665918</v>
      </c>
      <c r="CU16" s="5">
        <f>CT16+預測IC!CU20</f>
        <v>1.9295171858382185</v>
      </c>
      <c r="CV16" s="5">
        <f>CU16+預測IC!CV20</f>
        <v>1.8325129858382185</v>
      </c>
      <c r="CW16" s="5">
        <f>CV16+預測IC!CW20</f>
        <v>1.900416694013064</v>
      </c>
      <c r="CX16" s="5">
        <f>CW16+預測IC!CX20</f>
        <v>1.7552625060131972</v>
      </c>
      <c r="CY16" s="5">
        <f>CX16+預測IC!CY20</f>
        <v>1.6542958489013737</v>
      </c>
      <c r="CZ16" s="5">
        <f>CY16+預測IC!CZ20</f>
        <v>1.6412332150390432</v>
      </c>
      <c r="DA16" s="5">
        <f>CZ16+預測IC!DA20</f>
        <v>1.5937613218838655</v>
      </c>
      <c r="DB16" s="5">
        <f>DA16+預測IC!DB20</f>
        <v>1.6506640316409997</v>
      </c>
      <c r="DC16" s="5">
        <f>DB16+預測IC!DC20</f>
        <v>1.7002771008765556</v>
      </c>
      <c r="DD16" s="5">
        <f>DC16+預測IC!DD20</f>
        <v>1.7038742856335058</v>
      </c>
      <c r="DE16" s="5">
        <f>DD16+預測IC!DE20</f>
        <v>1.7142930072403586</v>
      </c>
      <c r="DF16" s="5">
        <f>DE16+預測IC!DF20</f>
        <v>1.7597929657311571</v>
      </c>
      <c r="DG16" s="5">
        <f>DF16+預測IC!DG20</f>
        <v>1.8838662737152783</v>
      </c>
      <c r="DH16" s="5">
        <f>DG16+預測IC!DH20</f>
        <v>1.6055666737152783</v>
      </c>
      <c r="DI16" s="5">
        <f>DH16+預測IC!DI20</f>
        <v>1.6798150093073716</v>
      </c>
      <c r="DJ16" s="5">
        <f>DI16+預測IC!DJ20</f>
        <v>1.5432569168746741</v>
      </c>
      <c r="DK16" s="5">
        <f>DJ16+預測IC!DK20</f>
        <v>1.5224912583866794</v>
      </c>
      <c r="DL16" s="5">
        <f>DK16+預測IC!DL20</f>
        <v>1.5419566317202993</v>
      </c>
      <c r="DM16" s="5">
        <f>DL16+預測IC!DM20</f>
        <v>1.5848214058286452</v>
      </c>
      <c r="DN16" s="5">
        <f>DM16+預測IC!DN20</f>
        <v>1.768056139449814</v>
      </c>
      <c r="DO16" s="5">
        <f>DN16+預測IC!DO20</f>
        <v>1.8178769941267099</v>
      </c>
      <c r="DP16" s="5">
        <f>DO16+預測IC!DP20</f>
        <v>1.8277075255175972</v>
      </c>
      <c r="DQ16" s="5">
        <f>DP16+預測IC!DQ20</f>
        <v>1.7702473438928972</v>
      </c>
      <c r="DR16" s="5">
        <f>DQ16+預測IC!DR20</f>
        <v>1.7146895438928971</v>
      </c>
      <c r="DS16" s="5">
        <f>DR16+預測IC!DS20</f>
        <v>1.6448967859946146</v>
      </c>
      <c r="DT16" s="5">
        <f>DS16+預測IC!DT20</f>
        <v>1.6152114471957721</v>
      </c>
      <c r="DU16" s="5">
        <f>DT16+預測IC!DU20</f>
        <v>1.3425671193538267</v>
      </c>
      <c r="DV16" s="5">
        <f>DU16+預測IC!DV20</f>
        <v>1.2405249381713515</v>
      </c>
      <c r="DW16" s="5">
        <f>DV16+預測IC!DW20</f>
        <v>1.3095851421293911</v>
      </c>
      <c r="DX16" s="5">
        <f>DW16+預測IC!DX20</f>
        <v>1.4074363603341165</v>
      </c>
      <c r="DY16" s="5">
        <f>DX16+預測IC!DY20</f>
        <v>1.2200345302949231</v>
      </c>
      <c r="DZ16" s="5">
        <f>DY16+預測IC!DZ20</f>
        <v>1.2381496568073058</v>
      </c>
      <c r="EA16" s="5">
        <f>DZ16+預測IC!EA20</f>
        <v>1.5318408568073059</v>
      </c>
      <c r="EB16" s="5">
        <f>EA16+預測IC!EB20</f>
        <v>1.6142479992517256</v>
      </c>
      <c r="EC16" s="5">
        <f>EB16+預測IC!EC20</f>
        <v>1.4832418534896581</v>
      </c>
      <c r="ED16" s="5">
        <f>EC16+預測IC!ED20</f>
        <v>1.4254142892894595</v>
      </c>
      <c r="EE16" s="5">
        <f>ED16+預測IC!EE20</f>
        <v>1.4053967019924407</v>
      </c>
      <c r="EF16" s="5">
        <f>EE16+預測IC!EH20</f>
        <v>1.4053967019924407</v>
      </c>
    </row>
    <row r="17" spans="1:136">
      <c r="A17" s="1"/>
      <c r="B17" s="11" t="s">
        <v>235</v>
      </c>
      <c r="C17" s="5">
        <v>1.038483447742689E-2</v>
      </c>
      <c r="D17" s="5">
        <f>C17+預測IC!D21</f>
        <v>0.13677383447742689</v>
      </c>
      <c r="E17" s="5">
        <f>D17+預測IC!E21</f>
        <v>9.3056279597705877E-2</v>
      </c>
      <c r="F17" s="5">
        <f>E17+預測IC!F21</f>
        <v>0.27709486120383586</v>
      </c>
      <c r="G17" s="5">
        <f>F17+預測IC!G21</f>
        <v>0.13325271009127138</v>
      </c>
      <c r="H17" s="5">
        <f>G17+預測IC!H21</f>
        <v>9.5408633062978976E-2</v>
      </c>
      <c r="I17" s="5">
        <f>H17+預測IC!I21</f>
        <v>-5.1846975064494011E-2</v>
      </c>
      <c r="J17" s="5">
        <f>I17+預測IC!J21</f>
        <v>8.588350627148307E-3</v>
      </c>
      <c r="K17" s="5">
        <f>J17+預測IC!K21</f>
        <v>0.2154683766305438</v>
      </c>
      <c r="L17" s="5">
        <f>K17+預測IC!L21</f>
        <v>0.15824220976559938</v>
      </c>
      <c r="M17" s="5">
        <f>L17+預測IC!M21</f>
        <v>5.8557616357388126E-2</v>
      </c>
      <c r="N17" s="5">
        <f>M17+預測IC!N21</f>
        <v>0.19760829221818793</v>
      </c>
      <c r="O17" s="5">
        <f>N17+預測IC!O21</f>
        <v>0.3273907507485414</v>
      </c>
      <c r="P17" s="5">
        <f>O17+預測IC!P21</f>
        <v>0.36728247360864413</v>
      </c>
      <c r="Q17" s="5">
        <f>P17+預測IC!Q21</f>
        <v>0.62459254770289641</v>
      </c>
      <c r="R17" s="5">
        <f>Q17+預測IC!R21</f>
        <v>0.72016785880952661</v>
      </c>
      <c r="S17" s="5">
        <f>R17+預測IC!S21</f>
        <v>0.9293273342844911</v>
      </c>
      <c r="T17" s="5">
        <f>S17+預測IC!T21</f>
        <v>0.94336769862469605</v>
      </c>
      <c r="U17" s="5">
        <f>T17+預測IC!U21</f>
        <v>1.0296461162364541</v>
      </c>
      <c r="V17" s="5">
        <f>U17+預測IC!V21</f>
        <v>1.1350168866258086</v>
      </c>
      <c r="W17" s="5">
        <f>V17+預測IC!W21</f>
        <v>1.4579374353139956</v>
      </c>
      <c r="X17" s="5">
        <f>W17+預測IC!X21</f>
        <v>1.6657384353139957</v>
      </c>
      <c r="Y17" s="5">
        <f>X17+預測IC!Y21</f>
        <v>1.7584676592602002</v>
      </c>
      <c r="Z17" s="5">
        <f>Y17+預測IC!Z21</f>
        <v>1.8726716464829247</v>
      </c>
      <c r="AA17" s="5">
        <f>Z17+預測IC!AA21</f>
        <v>1.8921626900230186</v>
      </c>
      <c r="AB17" s="5">
        <f>AA17+預測IC!AB21</f>
        <v>1.7623231076259489</v>
      </c>
      <c r="AC17" s="5">
        <f>AB17+預測IC!AC21</f>
        <v>1.7811508443327491</v>
      </c>
      <c r="AD17" s="5">
        <f>AC17+預測IC!AD21</f>
        <v>1.807084120330184</v>
      </c>
      <c r="AE17" s="5">
        <f>AD17+預測IC!AE21</f>
        <v>1.9351890991264298</v>
      </c>
      <c r="AF17" s="5">
        <f>AE17+預測IC!AF21</f>
        <v>1.6400448410430664</v>
      </c>
      <c r="AG17" s="5">
        <f>AF17+預測IC!AG21</f>
        <v>1.6289982689366225</v>
      </c>
      <c r="AH17" s="5">
        <f>AG17+預測IC!AH21</f>
        <v>1.8693495245953893</v>
      </c>
      <c r="AI17" s="5">
        <f>AH17+預測IC!AI21</f>
        <v>1.8016198440002382</v>
      </c>
      <c r="AJ17" s="5">
        <f>AI17+預測IC!AJ21</f>
        <v>1.722678679988539</v>
      </c>
      <c r="AK17" s="5">
        <f>AJ17+預測IC!AK21</f>
        <v>1.7409970488978517</v>
      </c>
      <c r="AL17" s="5">
        <f>AK17+預測IC!AL21</f>
        <v>1.8063768716309623</v>
      </c>
      <c r="AM17" s="5">
        <f>AL17+預測IC!AM21</f>
        <v>1.8749126790785928</v>
      </c>
      <c r="AN17" s="5">
        <f>AM17+預測IC!AN21</f>
        <v>1.9868687351416872</v>
      </c>
      <c r="AO17" s="5">
        <f>AN17+預測IC!AO21</f>
        <v>2.0724365100555744</v>
      </c>
      <c r="AP17" s="5">
        <f>AO17+預測IC!AP21</f>
        <v>2.0534927600555744</v>
      </c>
      <c r="AQ17" s="5">
        <f>AP17+預測IC!AQ21</f>
        <v>1.9766272530450266</v>
      </c>
      <c r="AR17" s="5">
        <f>AQ17+預測IC!AR21</f>
        <v>2.0246155030450268</v>
      </c>
      <c r="AS17" s="5">
        <f>AR17+預測IC!AS21</f>
        <v>2.0890713716916562</v>
      </c>
      <c r="AT17" s="5">
        <f>AS17+預測IC!AT21</f>
        <v>2.3539096292396535</v>
      </c>
      <c r="AU17" s="5">
        <f>AT17+預測IC!AU21</f>
        <v>2.4173649588529336</v>
      </c>
      <c r="AV17" s="5">
        <f>AU17+預測IC!AV21</f>
        <v>2.4682642088529336</v>
      </c>
      <c r="AW17" s="5">
        <f>AV17+預測IC!AW21</f>
        <v>2.4584731788988363</v>
      </c>
      <c r="AX17" s="5">
        <f>AW17+預測IC!AX21</f>
        <v>2.240754876381799</v>
      </c>
      <c r="AY17" s="5">
        <f>AX17+預測IC!AY21</f>
        <v>2.3064771711143059</v>
      </c>
      <c r="AZ17" s="5">
        <f>AY17+預測IC!AZ21</f>
        <v>2.2134177769857128</v>
      </c>
      <c r="BA17" s="5">
        <f>AZ17+預測IC!BA21</f>
        <v>2.1423855953376272</v>
      </c>
      <c r="BB17" s="5">
        <f>BA17+預測IC!BB21</f>
        <v>2.4368988453376272</v>
      </c>
      <c r="BC17" s="5">
        <f>BB17+預測IC!BC21</f>
        <v>2.4752199930628209</v>
      </c>
      <c r="BD17" s="5">
        <f>BC17+預測IC!BD21</f>
        <v>2.4534691296921931</v>
      </c>
      <c r="BE17" s="5">
        <f>BD17+預測IC!BE21</f>
        <v>2.4471185962947914</v>
      </c>
      <c r="BF17" s="5">
        <f>BE17+預測IC!BF21</f>
        <v>2.6462358127253944</v>
      </c>
      <c r="BG17" s="5">
        <f>BF17+預測IC!BG21</f>
        <v>2.6828710019422068</v>
      </c>
      <c r="BH17" s="5">
        <f>BG17+預測IC!BH21</f>
        <v>2.6065496388034517</v>
      </c>
      <c r="BI17" s="5">
        <f>BH17+預測IC!BI21</f>
        <v>2.7604242848957083</v>
      </c>
      <c r="BJ17" s="5">
        <f>BI17+預測IC!BJ21</f>
        <v>2.7924067993067005</v>
      </c>
      <c r="BK17" s="5">
        <f>BJ17+預測IC!BK21</f>
        <v>2.7094336374166348</v>
      </c>
      <c r="BL17" s="5">
        <f>BK17+預測IC!BL21</f>
        <v>2.7967744278843329</v>
      </c>
      <c r="BM17" s="5">
        <f>BL17+預測IC!BM21</f>
        <v>2.8375697139130538</v>
      </c>
      <c r="BN17" s="5">
        <f>BM17+預測IC!BN21</f>
        <v>3.025817216505442</v>
      </c>
      <c r="BO17" s="5">
        <f>BN17+預測IC!BO21</f>
        <v>3.0896744529191222</v>
      </c>
      <c r="BP17" s="5">
        <f>BO17+預測IC!BP21</f>
        <v>3.0854944529191224</v>
      </c>
      <c r="BQ17" s="5">
        <f>BP17+預測IC!BQ21</f>
        <v>3.0126037098847793</v>
      </c>
      <c r="BR17" s="5">
        <f>BQ17+預測IC!BR21</f>
        <v>3.0249275720686439</v>
      </c>
      <c r="BS17" s="5">
        <f>BR17+預測IC!BS21</f>
        <v>3.0906693930289912</v>
      </c>
      <c r="BT17" s="5">
        <f>BS17+預測IC!BT21</f>
        <v>2.997717189680734</v>
      </c>
      <c r="BU17" s="5">
        <f>BT17+預測IC!BU21</f>
        <v>3.133213651879303</v>
      </c>
      <c r="BV17" s="5">
        <f>BU17+預測IC!BV21</f>
        <v>3.1139734018793028</v>
      </c>
      <c r="BW17" s="5">
        <f>BV17+預測IC!BW21</f>
        <v>3.2984340725997119</v>
      </c>
      <c r="BX17" s="5">
        <f>BW17+預測IC!BX21</f>
        <v>3.2100547378120732</v>
      </c>
      <c r="BY17" s="5">
        <f>BX17+預測IC!BY21</f>
        <v>3.1951349878120734</v>
      </c>
      <c r="BZ17" s="5">
        <f>BY17+預測IC!BZ21</f>
        <v>3.1474720590913576</v>
      </c>
      <c r="CA17" s="5">
        <f>BZ17+預測IC!CA21</f>
        <v>3.086954455788959</v>
      </c>
      <c r="CB17" s="5">
        <f>CA17+預測IC!CB21</f>
        <v>2.879084205788959</v>
      </c>
      <c r="CC17" s="5">
        <f>CB17+預測IC!CC21</f>
        <v>2.8710647057889589</v>
      </c>
      <c r="CD17" s="5">
        <f>CC17+預測IC!CD21</f>
        <v>2.7202763155866783</v>
      </c>
      <c r="CE17" s="5">
        <f>CD17+預測IC!CE21</f>
        <v>2.3252003731216329</v>
      </c>
      <c r="CF17" s="5">
        <f>CE17+預測IC!CF21</f>
        <v>2.2106742155104646</v>
      </c>
      <c r="CG17" s="5">
        <f>CF17+預測IC!CG21</f>
        <v>2.1255888800363336</v>
      </c>
      <c r="CH17" s="5">
        <f>CG17+預測IC!CH21</f>
        <v>2.282215320663302</v>
      </c>
      <c r="CI17" s="5">
        <f>CH17+預測IC!CI21</f>
        <v>2.355398047738301</v>
      </c>
      <c r="CJ17" s="5">
        <f>CI17+預測IC!CJ21</f>
        <v>2.4410258047548035</v>
      </c>
      <c r="CK17" s="5">
        <f>CJ17+預測IC!CK21</f>
        <v>2.5081854350516593</v>
      </c>
      <c r="CL17" s="5">
        <f>CK17+預測IC!CL21</f>
        <v>2.3207523135109325</v>
      </c>
      <c r="CM17" s="5">
        <f>CL17+預測IC!CM21</f>
        <v>2.5462553019143037</v>
      </c>
      <c r="CN17" s="5">
        <f>CM17+預測IC!CN21</f>
        <v>2.5157164117105282</v>
      </c>
      <c r="CO17" s="5">
        <f>CN17+預測IC!CO21</f>
        <v>2.2779244305711357</v>
      </c>
      <c r="CP17" s="5">
        <f>CO17+預測IC!CP21</f>
        <v>2.0552243696932231</v>
      </c>
      <c r="CQ17" s="5">
        <f>CP17+預測IC!CQ21</f>
        <v>2.0781365638627194</v>
      </c>
      <c r="CR17" s="5">
        <f>CQ17+預測IC!CR21</f>
        <v>1.8390765975014516</v>
      </c>
      <c r="CS17" s="5">
        <f>CR17+預測IC!CS21</f>
        <v>1.8699838475014516</v>
      </c>
      <c r="CT17" s="5">
        <f>CS17+預測IC!CT21</f>
        <v>1.7839112906300556</v>
      </c>
      <c r="CU17" s="5">
        <f>CT17+預測IC!CU21</f>
        <v>1.9428279129475057</v>
      </c>
      <c r="CV17" s="5">
        <f>CU17+預測IC!CV21</f>
        <v>1.8112001629475056</v>
      </c>
      <c r="CW17" s="5">
        <f>CV17+預測IC!CW21</f>
        <v>1.8495456798191883</v>
      </c>
      <c r="CX17" s="5">
        <f>CW17+預測IC!CX21</f>
        <v>1.6925768329075768</v>
      </c>
      <c r="CY17" s="5">
        <f>CX17+預測IC!CY21</f>
        <v>1.5401245266622576</v>
      </c>
      <c r="CZ17" s="5">
        <f>CY17+預測IC!CZ21</f>
        <v>1.5262773202505571</v>
      </c>
      <c r="DA17" s="5">
        <f>CZ17+預測IC!DA21</f>
        <v>1.5274695767072888</v>
      </c>
      <c r="DB17" s="5">
        <f>DA17+預測IC!DB21</f>
        <v>1.5790940103834434</v>
      </c>
      <c r="DC17" s="5">
        <f>DB17+預測IC!DC21</f>
        <v>1.6241415696067341</v>
      </c>
      <c r="DD17" s="5">
        <f>DC17+預測IC!DD21</f>
        <v>1.6269603639978047</v>
      </c>
      <c r="DE17" s="5">
        <f>DD17+預測IC!DE21</f>
        <v>1.6559381010581313</v>
      </c>
      <c r="DF17" s="5">
        <f>DE17+預測IC!DF21</f>
        <v>1.8047470035478743</v>
      </c>
      <c r="DG17" s="5">
        <f>DF17+預測IC!DG21</f>
        <v>1.9529319346796039</v>
      </c>
      <c r="DH17" s="5">
        <f>DG17+預測IC!DH21</f>
        <v>1.8714949346796039</v>
      </c>
      <c r="DI17" s="5">
        <f>DH17+預測IC!DI21</f>
        <v>1.9616441373974245</v>
      </c>
      <c r="DJ17" s="5">
        <f>DI17+預測IC!DJ21</f>
        <v>1.8050384189337829</v>
      </c>
      <c r="DK17" s="5">
        <f>DJ17+預測IC!DK21</f>
        <v>1.7840723567817645</v>
      </c>
      <c r="DL17" s="5">
        <f>DK17+預測IC!DL21</f>
        <v>1.7968093482827776</v>
      </c>
      <c r="DM17" s="5">
        <f>DL17+預測IC!DM21</f>
        <v>1.7925547842618921</v>
      </c>
      <c r="DN17" s="5">
        <f>DM17+預測IC!DN21</f>
        <v>2.0128504251264197</v>
      </c>
      <c r="DO17" s="5">
        <f>DN17+預測IC!DO21</f>
        <v>1.9942916160686321</v>
      </c>
      <c r="DP17" s="5">
        <f>DO17+預測IC!DP21</f>
        <v>2.018557771162198</v>
      </c>
      <c r="DQ17" s="5">
        <f>DP17+預測IC!DQ21</f>
        <v>1.9481350723540147</v>
      </c>
      <c r="DR17" s="5">
        <f>DQ17+預測IC!DR21</f>
        <v>1.8945783223540147</v>
      </c>
      <c r="DS17" s="5">
        <f>DR17+預測IC!DS21</f>
        <v>1.8099728887484787</v>
      </c>
      <c r="DT17" s="5">
        <f>DS17+預測IC!DT21</f>
        <v>1.8047576984017994</v>
      </c>
      <c r="DU17" s="5">
        <f>DT17+預測IC!DU21</f>
        <v>1.4649510595442314</v>
      </c>
      <c r="DV17" s="5">
        <f>DU17+預測IC!DV21</f>
        <v>1.3100528084143268</v>
      </c>
      <c r="DW17" s="5">
        <f>DV17+預測IC!DW21</f>
        <v>1.4383006770784479</v>
      </c>
      <c r="DX17" s="5">
        <f>DW17+預測IC!DX21</f>
        <v>1.5551295669532303</v>
      </c>
      <c r="DY17" s="5">
        <f>DX17+預測IC!DY21</f>
        <v>1.3294676857652412</v>
      </c>
      <c r="DZ17" s="5">
        <f>DY17+預測IC!DZ21</f>
        <v>1.5093587074901416</v>
      </c>
      <c r="EA17" s="5">
        <f>DZ17+預測IC!EA21</f>
        <v>1.7754164574901417</v>
      </c>
      <c r="EB17" s="5">
        <f>EA17+預測IC!EB21</f>
        <v>1.8017186514886756</v>
      </c>
      <c r="EC17" s="5">
        <f>EB17+預測IC!EC21</f>
        <v>1.6616246335364497</v>
      </c>
      <c r="ED17" s="5">
        <f>EC17+預測IC!ED21</f>
        <v>1.7907798368736361</v>
      </c>
      <c r="EE17" s="5">
        <f>ED17+預測IC!EE21</f>
        <v>1.8017357822805105</v>
      </c>
      <c r="EF17" s="5">
        <f>EE17+預測IC!EH21</f>
        <v>1.8017357822805105</v>
      </c>
    </row>
    <row r="18" spans="1:136">
      <c r="A18" s="1"/>
      <c r="B18" s="11" t="s">
        <v>236</v>
      </c>
      <c r="C18" s="5">
        <v>2.5922326608526759E-2</v>
      </c>
      <c r="D18" s="5">
        <f>C18+預測IC!D22</f>
        <v>0.16835165994186005</v>
      </c>
      <c r="E18" s="5">
        <f>D18+預測IC!E22</f>
        <v>0.14612124768262191</v>
      </c>
      <c r="F18" s="5">
        <f>E18+預測IC!F22</f>
        <v>0.21395230860389947</v>
      </c>
      <c r="G18" s="5">
        <f>F18+預測IC!G22</f>
        <v>0.11006794531356537</v>
      </c>
      <c r="H18" s="5">
        <f>G18+預測IC!H22</f>
        <v>-0.11973759917783522</v>
      </c>
      <c r="I18" s="5">
        <f>H18+預測IC!I22</f>
        <v>-0.24323076851590503</v>
      </c>
      <c r="J18" s="5">
        <f>I18+預測IC!J22</f>
        <v>-0.19063217925056211</v>
      </c>
      <c r="K18" s="5">
        <f>J18+預測IC!K22</f>
        <v>5.4733733432193593E-2</v>
      </c>
      <c r="L18" s="5">
        <f>K18+預測IC!L22</f>
        <v>-5.2753435219048211E-2</v>
      </c>
      <c r="M18" s="5">
        <f>L18+預測IC!M22</f>
        <v>-0.12685349398962076</v>
      </c>
      <c r="N18" s="5">
        <f>M18+預測IC!N22</f>
        <v>-2.8822633181987994E-2</v>
      </c>
      <c r="O18" s="5">
        <f>N18+預測IC!O22</f>
        <v>0.1146577128222844</v>
      </c>
      <c r="P18" s="5">
        <f>O18+預測IC!P22</f>
        <v>0.15751620134127431</v>
      </c>
      <c r="Q18" s="5">
        <f>P18+預測IC!Q22</f>
        <v>0.43429309517432613</v>
      </c>
      <c r="R18" s="5">
        <f>Q18+預測IC!R22</f>
        <v>0.4709215294459142</v>
      </c>
      <c r="S18" s="5">
        <f>R18+預測IC!S22</f>
        <v>0.71797815897564377</v>
      </c>
      <c r="T18" s="5">
        <f>S18+預測IC!T22</f>
        <v>0.73821677145247777</v>
      </c>
      <c r="U18" s="5">
        <f>T18+預測IC!U22</f>
        <v>0.84880679485498201</v>
      </c>
      <c r="V18" s="5">
        <f>U18+預測IC!V22</f>
        <v>0.90583092948927169</v>
      </c>
      <c r="W18" s="5">
        <f>V18+預測IC!W22</f>
        <v>1.2520244147885202</v>
      </c>
      <c r="X18" s="5">
        <f>W18+預測IC!X22</f>
        <v>1.5092264147885202</v>
      </c>
      <c r="Y18" s="5">
        <f>X18+預測IC!Y22</f>
        <v>1.5571647469682885</v>
      </c>
      <c r="Z18" s="5">
        <f>Y18+預測IC!Z22</f>
        <v>1.6327130161141346</v>
      </c>
      <c r="AA18" s="5">
        <f>Z18+預測IC!AA22</f>
        <v>1.6397610330009913</v>
      </c>
      <c r="AB18" s="5">
        <f>AA18+預測IC!AB22</f>
        <v>1.5053248202876657</v>
      </c>
      <c r="AC18" s="5">
        <f>AB18+預測IC!AC22</f>
        <v>1.5911012810030982</v>
      </c>
      <c r="AD18" s="5">
        <f>AC18+預測IC!AD22</f>
        <v>1.6096950302177595</v>
      </c>
      <c r="AE18" s="5">
        <f>AD18+預測IC!AE22</f>
        <v>1.7405188730340937</v>
      </c>
      <c r="AF18" s="5">
        <f>AE18+預測IC!AF22</f>
        <v>1.3106021049854817</v>
      </c>
      <c r="AG18" s="5">
        <f>AF18+預測IC!AG22</f>
        <v>1.2997900044186395</v>
      </c>
      <c r="AH18" s="5">
        <f>AG18+預測IC!AH22</f>
        <v>1.5474122505820407</v>
      </c>
      <c r="AI18" s="5">
        <f>AH18+預測IC!AI22</f>
        <v>1.4800193495708547</v>
      </c>
      <c r="AJ18" s="5">
        <f>AI18+預測IC!AJ22</f>
        <v>1.4341532200727001</v>
      </c>
      <c r="AK18" s="5">
        <f>AJ18+預測IC!AK22</f>
        <v>1.5127289887776143</v>
      </c>
      <c r="AL18" s="5">
        <f>AK18+預測IC!AL22</f>
        <v>1.5530699555845147</v>
      </c>
      <c r="AM18" s="5">
        <f>AL18+預測IC!AM22</f>
        <v>1.6371588590522181</v>
      </c>
      <c r="AN18" s="5">
        <f>AM18+預測IC!AN22</f>
        <v>1.7482916687157775</v>
      </c>
      <c r="AO18" s="5">
        <f>AN18+預測IC!AO22</f>
        <v>1.9064445440095044</v>
      </c>
      <c r="AP18" s="5">
        <f>AO18+預測IC!AP22</f>
        <v>1.8859512106761711</v>
      </c>
      <c r="AQ18" s="5">
        <f>AP18+預測IC!AQ22</f>
        <v>1.806525093197578</v>
      </c>
      <c r="AR18" s="5">
        <f>AQ18+預測IC!AR22</f>
        <v>1.8744497598642447</v>
      </c>
      <c r="AS18" s="5">
        <f>AR18+預測IC!AS22</f>
        <v>1.9572601987627947</v>
      </c>
      <c r="AT18" s="5">
        <f>AS18+預測IC!AT22</f>
        <v>1.9749885697572314</v>
      </c>
      <c r="AU18" s="5">
        <f>AT18+預測IC!AU22</f>
        <v>2.0849031670754159</v>
      </c>
      <c r="AV18" s="5">
        <f>AU18+預測IC!AV22</f>
        <v>2.1445508337420827</v>
      </c>
      <c r="AW18" s="5">
        <f>AV18+預測IC!AW22</f>
        <v>2.1747002229490917</v>
      </c>
      <c r="AX18" s="5">
        <f>AW18+預測IC!AX22</f>
        <v>2.1845754089547857</v>
      </c>
      <c r="AY18" s="5">
        <f>AX18+預測IC!AY22</f>
        <v>2.2830316850841492</v>
      </c>
      <c r="AZ18" s="5">
        <f>AY18+預測IC!AZ22</f>
        <v>2.0555461888506956</v>
      </c>
      <c r="BA18" s="5">
        <f>AZ18+預測IC!BA22</f>
        <v>2.0099477636832335</v>
      </c>
      <c r="BB18" s="5">
        <f>BA18+預測IC!BB22</f>
        <v>2.3794990970165668</v>
      </c>
      <c r="BC18" s="5">
        <f>BB18+預測IC!BC22</f>
        <v>2.2486621588936115</v>
      </c>
      <c r="BD18" s="5">
        <f>BC18+預測IC!BD22</f>
        <v>2.2264879774277833</v>
      </c>
      <c r="BE18" s="5">
        <f>BD18+預測IC!BE22</f>
        <v>2.204271794033303</v>
      </c>
      <c r="BF18" s="5">
        <f>BE18+預測IC!BF22</f>
        <v>2.4033742425817417</v>
      </c>
      <c r="BG18" s="5">
        <f>BF18+預測IC!BG22</f>
        <v>2.4496537547501278</v>
      </c>
      <c r="BH18" s="5">
        <f>BG18+預測IC!BH22</f>
        <v>2.3216932124119958</v>
      </c>
      <c r="BI18" s="5">
        <f>BH18+預測IC!BI22</f>
        <v>2.4090112715891716</v>
      </c>
      <c r="BJ18" s="5">
        <f>BI18+預測IC!BJ22</f>
        <v>2.398777296140068</v>
      </c>
      <c r="BK18" s="5">
        <f>BJ18+預測IC!BK22</f>
        <v>2.3779225408103013</v>
      </c>
      <c r="BL18" s="5">
        <f>BK18+預測IC!BL22</f>
        <v>2.5173939312111648</v>
      </c>
      <c r="BM18" s="5">
        <f>BL18+預測IC!BM22</f>
        <v>2.5198244144566981</v>
      </c>
      <c r="BN18" s="5">
        <f>BM18+預測IC!BN22</f>
        <v>2.4913056079927229</v>
      </c>
      <c r="BO18" s="5">
        <f>BN18+預測IC!BO22</f>
        <v>2.5417900371054731</v>
      </c>
      <c r="BP18" s="5">
        <f>BO18+預測IC!BP22</f>
        <v>2.5412500371054731</v>
      </c>
      <c r="BQ18" s="5">
        <f>BP18+預測IC!BQ22</f>
        <v>2.4500218459110639</v>
      </c>
      <c r="BR18" s="5">
        <f>BQ18+預測IC!BR22</f>
        <v>2.4708354553775167</v>
      </c>
      <c r="BS18" s="5">
        <f>BR18+預測IC!BS22</f>
        <v>2.5678830450820618</v>
      </c>
      <c r="BT18" s="5">
        <f>BS18+預測IC!BT22</f>
        <v>2.6350262604997869</v>
      </c>
      <c r="BU18" s="5">
        <f>BT18+預測IC!BU22</f>
        <v>2.8479750266377972</v>
      </c>
      <c r="BV18" s="5">
        <f>BU18+預測IC!BV22</f>
        <v>2.8472943599711305</v>
      </c>
      <c r="BW18" s="5">
        <f>BV18+預測IC!BW22</f>
        <v>2.9794661515069119</v>
      </c>
      <c r="BX18" s="5">
        <f>BW18+預測IC!BX22</f>
        <v>2.8265287812569198</v>
      </c>
      <c r="BY18" s="5">
        <f>BX18+預測IC!BY22</f>
        <v>2.8588791145902532</v>
      </c>
      <c r="BZ18" s="5">
        <f>BY18+預測IC!BZ22</f>
        <v>2.8116213787273612</v>
      </c>
      <c r="CA18" s="5">
        <f>BZ18+預測IC!CA22</f>
        <v>2.7841313002470378</v>
      </c>
      <c r="CB18" s="5">
        <f>CA18+預測IC!CB22</f>
        <v>2.5293913002470378</v>
      </c>
      <c r="CC18" s="5">
        <f>CB18+預測IC!CC22</f>
        <v>2.4042863002470378</v>
      </c>
      <c r="CD18" s="5">
        <f>CC18+預測IC!CD22</f>
        <v>2.0885146400441887</v>
      </c>
      <c r="CE18" s="5">
        <f>CD18+預測IC!CE22</f>
        <v>1.6951273009399106</v>
      </c>
      <c r="CF18" s="5">
        <f>CE18+預測IC!CF22</f>
        <v>1.5943569439058458</v>
      </c>
      <c r="CG18" s="5">
        <f>CF18+預測IC!CG22</f>
        <v>1.3872716112723329</v>
      </c>
      <c r="CH18" s="5">
        <f>CG18+預測IC!CH22</f>
        <v>1.5408778960818763</v>
      </c>
      <c r="CI18" s="5">
        <f>CH18+預測IC!CI22</f>
        <v>1.6054952188922504</v>
      </c>
      <c r="CJ18" s="5">
        <f>CI18+預測IC!CJ22</f>
        <v>1.7088747239818132</v>
      </c>
      <c r="CK18" s="5">
        <f>CJ18+預測IC!CK22</f>
        <v>1.8197982642685955</v>
      </c>
      <c r="CL18" s="5">
        <f>CK18+預測IC!CL22</f>
        <v>1.72480125224505</v>
      </c>
      <c r="CM18" s="5">
        <f>CL18+預測IC!CM22</f>
        <v>2.0452332559028754</v>
      </c>
      <c r="CN18" s="5">
        <f>CM18+預測IC!CN22</f>
        <v>2.053780027723783</v>
      </c>
      <c r="CO18" s="5">
        <f>CN18+預測IC!CO22</f>
        <v>1.8684942698185563</v>
      </c>
      <c r="CP18" s="5">
        <f>CO18+預測IC!CP22</f>
        <v>1.6090857128491538</v>
      </c>
      <c r="CQ18" s="5">
        <f>CP18+預測IC!CQ22</f>
        <v>1.6262453283682776</v>
      </c>
      <c r="CR18" s="5">
        <f>CQ18+預測IC!CR22</f>
        <v>1.3794725583763909</v>
      </c>
      <c r="CS18" s="5">
        <f>CR18+預測IC!CS22</f>
        <v>1.4039118917097242</v>
      </c>
      <c r="CT18" s="5">
        <f>CS18+預測IC!CT22</f>
        <v>1.2778205135209526</v>
      </c>
      <c r="CU18" s="5">
        <f>CT18+預測IC!CU22</f>
        <v>1.4451744247073208</v>
      </c>
      <c r="CV18" s="5">
        <f>CU18+預測IC!CV22</f>
        <v>1.2621290913739873</v>
      </c>
      <c r="CW18" s="5">
        <f>CV18+預測IC!CW22</f>
        <v>1.285013133705972</v>
      </c>
      <c r="CX18" s="5">
        <f>CW18+預測IC!CX22</f>
        <v>1.2307198382321682</v>
      </c>
      <c r="CY18" s="5">
        <f>CX18+預測IC!CY22</f>
        <v>1.0682799695187215</v>
      </c>
      <c r="CZ18" s="5">
        <f>CY18+預測IC!CZ22</f>
        <v>1.0606927230775824</v>
      </c>
      <c r="DA18" s="5">
        <f>CZ18+預測IC!DA22</f>
        <v>1.0567009691956584</v>
      </c>
      <c r="DB18" s="5">
        <f>DA18+預測IC!DB22</f>
        <v>1.1150844760241505</v>
      </c>
      <c r="DC18" s="5">
        <f>DB18+預測IC!DC22</f>
        <v>1.1358092604683081</v>
      </c>
      <c r="DD18" s="5">
        <f>DC18+預測IC!DD22</f>
        <v>1.1675194295941336</v>
      </c>
      <c r="DE18" s="5">
        <f>DD18+預測IC!DE22</f>
        <v>1.1497629260922007</v>
      </c>
      <c r="DF18" s="5">
        <f>DE18+預測IC!DF22</f>
        <v>1.2468346317284276</v>
      </c>
      <c r="DG18" s="5">
        <f>DF18+預測IC!DG22</f>
        <v>1.3349560422314912</v>
      </c>
      <c r="DH18" s="5">
        <f>DG18+預測IC!DH22</f>
        <v>1.2535007088981578</v>
      </c>
      <c r="DI18" s="5">
        <f>DH18+預測IC!DI22</f>
        <v>1.3346062527384279</v>
      </c>
      <c r="DJ18" s="5">
        <f>DI18+預測IC!DJ22</f>
        <v>1.1809064899080983</v>
      </c>
      <c r="DK18" s="5">
        <f>DJ18+預測IC!DK22</f>
        <v>1.1575603132751369</v>
      </c>
      <c r="DL18" s="5">
        <f>DK18+預測IC!DL22</f>
        <v>1.1607736440182757</v>
      </c>
      <c r="DM18" s="5">
        <f>DL18+預測IC!DM22</f>
        <v>1.1180970949022349</v>
      </c>
      <c r="DN18" s="5">
        <f>DM18+預測IC!DN22</f>
        <v>1.4234721231744381</v>
      </c>
      <c r="DO18" s="5">
        <f>DN18+預測IC!DO22</f>
        <v>1.447240791461887</v>
      </c>
      <c r="DP18" s="5">
        <f>DO18+預測IC!DP22</f>
        <v>1.4574680493147909</v>
      </c>
      <c r="DQ18" s="5">
        <f>DP18+預測IC!DQ22</f>
        <v>1.2920638827701509</v>
      </c>
      <c r="DR18" s="5">
        <f>DQ18+預測IC!DR22</f>
        <v>1.2208278827701509</v>
      </c>
      <c r="DS18" s="5">
        <f>DR18+預測IC!DS22</f>
        <v>1.0913040434009458</v>
      </c>
      <c r="DT18" s="5">
        <f>DS18+預測IC!DT22</f>
        <v>1.1184327973791159</v>
      </c>
      <c r="DU18" s="5">
        <f>DT18+預測IC!DU22</f>
        <v>0.74316392503714379</v>
      </c>
      <c r="DV18" s="5">
        <f>DU18+預測IC!DV22</f>
        <v>0.58610155548739296</v>
      </c>
      <c r="DW18" s="5">
        <f>DV18+預測IC!DW22</f>
        <v>0.66449127919439011</v>
      </c>
      <c r="DX18" s="5">
        <f>DW18+預測IC!DX22</f>
        <v>0.82884340323592931</v>
      </c>
      <c r="DY18" s="5">
        <f>DX18+預測IC!DY22</f>
        <v>0.51108903087144686</v>
      </c>
      <c r="DZ18" s="5">
        <f>DY18+預測IC!DZ22</f>
        <v>0.67671527709720247</v>
      </c>
      <c r="EA18" s="5">
        <f>DZ18+預測IC!EA22</f>
        <v>0.81707161043053578</v>
      </c>
      <c r="EB18" s="5">
        <f>EA18+預測IC!EB22</f>
        <v>0.94683756073660486</v>
      </c>
      <c r="EC18" s="5">
        <f>EB18+預測IC!EC22</f>
        <v>0.97526637251465575</v>
      </c>
      <c r="ED18" s="5">
        <f>EC18+預測IC!ED22</f>
        <v>1.1589483590188117</v>
      </c>
      <c r="EE18" s="5">
        <f>ED18+預測IC!EE22</f>
        <v>1.1948477162148805</v>
      </c>
      <c r="EF18" s="5">
        <f>EE18+預測IC!EH22</f>
        <v>1.1948477162148805</v>
      </c>
    </row>
    <row r="19" spans="1:136">
      <c r="A19" s="1"/>
      <c r="B19" s="11" t="s">
        <v>144</v>
      </c>
      <c r="C19" s="6">
        <v>-1.74467705393903E-2</v>
      </c>
      <c r="D19" s="6">
        <f>C19+預測IC!D26</f>
        <v>3.2542899924253299E-3</v>
      </c>
      <c r="E19" s="6">
        <f>D19+預測IC!E26</f>
        <v>2.7236419247192039E-2</v>
      </c>
      <c r="F19" s="6">
        <f>E19+預測IC!F26</f>
        <v>2.0678840274368962E-2</v>
      </c>
      <c r="G19" s="6">
        <f>F19+預測IC!G26</f>
        <v>5.2523970074888654E-2</v>
      </c>
      <c r="H19" s="6">
        <f>G19+預測IC!H26</f>
        <v>8.6872502811879165E-2</v>
      </c>
      <c r="I19" s="6">
        <f>H19+預測IC!I26</f>
        <v>7.8617570030553932E-2</v>
      </c>
      <c r="J19" s="6">
        <f>I19+預測IC!J26</f>
        <v>9.146109442460669E-2</v>
      </c>
      <c r="K19" s="6">
        <f>J19+預測IC!K26</f>
        <v>4.0442569797815867E-2</v>
      </c>
      <c r="L19" s="6">
        <f>K19+預測IC!L26</f>
        <v>4.1316512538852455E-2</v>
      </c>
      <c r="M19" s="6">
        <f>L19+預測IC!M26</f>
        <v>6.4706088044348381E-2</v>
      </c>
      <c r="N19" s="6">
        <f>M19+預測IC!N26</f>
        <v>7.769506024468123E-2</v>
      </c>
      <c r="O19" s="6">
        <f>N19+預測IC!O26</f>
        <v>8.3549648970316109E-2</v>
      </c>
      <c r="P19" s="6">
        <f>O19+預測IC!P26</f>
        <v>0.11096285554210666</v>
      </c>
      <c r="Q19" s="6">
        <f>P19+預測IC!Q26</f>
        <v>0.10724991942441381</v>
      </c>
      <c r="R19" s="6">
        <f>Q19+預測IC!R26</f>
        <v>0.13132653347223713</v>
      </c>
      <c r="S19" s="6">
        <f>R19+預測IC!S26</f>
        <v>0.11913650817319718</v>
      </c>
      <c r="T19" s="6">
        <f>S19+預測IC!T26</f>
        <v>7.9386930013607582E-2</v>
      </c>
      <c r="U19" s="6">
        <f>T19+預測IC!U26</f>
        <v>6.2314801819580296E-3</v>
      </c>
      <c r="V19" s="6">
        <f>U19+預測IC!V26</f>
        <v>-5.2028749728156631E-2</v>
      </c>
      <c r="W19" s="6">
        <f>V19+預測IC!W26</f>
        <v>-5.1255952162648256E-2</v>
      </c>
      <c r="X19" s="6">
        <f>W19+預測IC!X26</f>
        <v>-6.6644310274292864E-3</v>
      </c>
      <c r="Y19" s="6">
        <f>X19+預測IC!Y26</f>
        <v>-3.4364111077642381E-2</v>
      </c>
      <c r="Z19" s="6">
        <f>Y19+預測IC!Z26</f>
        <v>-3.2269105127898733E-2</v>
      </c>
      <c r="AA19" s="6">
        <f>Z19+預測IC!AA26</f>
        <v>-5.5669656120462846E-2</v>
      </c>
      <c r="AB19" s="6">
        <f>AA19+預測IC!AB26</f>
        <v>-2.3540285023140657E-2</v>
      </c>
      <c r="AC19" s="6">
        <f>AB19+預測IC!AC26</f>
        <v>1.5362988070925773E-2</v>
      </c>
      <c r="AD19" s="6">
        <f>AC19+預測IC!AD26</f>
        <v>-2.7502394100178497E-2</v>
      </c>
      <c r="AE19" s="6">
        <f>AD19+預測IC!AE26</f>
        <v>-8.8551995500263381E-3</v>
      </c>
      <c r="AF19" s="6">
        <f>AE19+預測IC!AF26</f>
        <v>6.3745687725026111E-3</v>
      </c>
      <c r="AG19" s="6">
        <f>AF19+預測IC!AG26</f>
        <v>4.2391172551395032E-2</v>
      </c>
      <c r="AH19" s="6">
        <f>AG19+預測IC!AH26</f>
        <v>5.1745783936711198E-2</v>
      </c>
      <c r="AI19" s="6">
        <f>AH19+預測IC!AI26</f>
        <v>6.2494035273549339E-2</v>
      </c>
      <c r="AJ19" s="6">
        <f>AI19+預測IC!AJ26</f>
        <v>7.5851789326630309E-2</v>
      </c>
      <c r="AK19" s="6">
        <f>AJ19+預測IC!AK26</f>
        <v>7.051904199753492E-2</v>
      </c>
      <c r="AL19" s="6">
        <f>AK19+預測IC!AL26</f>
        <v>7.1902177804796602E-2</v>
      </c>
      <c r="AM19" s="6">
        <f>AL19+預測IC!AM26</f>
        <v>9.2698106224871069E-2</v>
      </c>
      <c r="AN19" s="6">
        <f>AM19+預測IC!AN26</f>
        <v>0.1242158084452617</v>
      </c>
      <c r="AO19" s="6">
        <f>AN19+預測IC!AO26</f>
        <v>0.13045752497859114</v>
      </c>
      <c r="AP19" s="6">
        <f>AO19+預測IC!AP26</f>
        <v>0.13660278663216252</v>
      </c>
      <c r="AQ19" s="6">
        <f>AP19+預測IC!AQ26</f>
        <v>0.15354914430885902</v>
      </c>
      <c r="AR19" s="6">
        <f>AQ19+預測IC!AR26</f>
        <v>0.18823197476316725</v>
      </c>
      <c r="AS19" s="6">
        <f>AR19+預測IC!AS26</f>
        <v>0.19133056338036422</v>
      </c>
      <c r="AT19" s="6">
        <f>AS19+預測IC!AT26</f>
        <v>0.20641191052385033</v>
      </c>
      <c r="AU19" s="6">
        <f>AT19+預測IC!AU26</f>
        <v>0.18716070129398635</v>
      </c>
      <c r="AV19" s="6">
        <f>AU19+預測IC!AV26</f>
        <v>0.22587221468161778</v>
      </c>
      <c r="AW19" s="6">
        <f>AV19+預測IC!AW26</f>
        <v>0.20401526354588118</v>
      </c>
      <c r="AX19" s="6">
        <f>AW19+預測IC!AX26</f>
        <v>0.21178956425567086</v>
      </c>
      <c r="AY19" s="6">
        <f>AX19+預測IC!AY26</f>
        <v>0.25418681095099682</v>
      </c>
      <c r="AZ19" s="6">
        <f>AY19+預測IC!AZ26</f>
        <v>0.22787783608983708</v>
      </c>
      <c r="BA19" s="6">
        <f>AZ19+預測IC!BA26</f>
        <v>0.23744958539855332</v>
      </c>
      <c r="BB19" s="6">
        <f>BA19+預測IC!BB26</f>
        <v>0.21319984413227849</v>
      </c>
      <c r="BC19" s="6">
        <f>BB19+預測IC!BC26</f>
        <v>0.23336321827619433</v>
      </c>
      <c r="BD19" s="6">
        <f>BC19+預測IC!BD26</f>
        <v>0.22985821949407831</v>
      </c>
      <c r="BE19" s="6">
        <f>BD19+預測IC!BE26</f>
        <v>0.2500101545926206</v>
      </c>
      <c r="BF19" s="6">
        <f>BE19+預測IC!BF26</f>
        <v>0.25059149082339088</v>
      </c>
      <c r="BG19" s="6">
        <f>BF19+預測IC!BG26</f>
        <v>0.24537178987013827</v>
      </c>
      <c r="BH19" s="6">
        <f>BG19+預測IC!BH26</f>
        <v>0.12950002846800829</v>
      </c>
      <c r="BI19" s="6">
        <f>BH19+預測IC!BI26</f>
        <v>0.13822525416044565</v>
      </c>
      <c r="BJ19" s="6">
        <f>BI19+預測IC!BJ26</f>
        <v>0.1218479931826235</v>
      </c>
      <c r="BK19" s="6">
        <f>BJ19+預測IC!BK26</f>
        <v>0.14268836478288394</v>
      </c>
      <c r="BL19" s="6">
        <f>BK19+預測IC!BL26</f>
        <v>0.18766423688499864</v>
      </c>
      <c r="BM19" s="6">
        <f>BL19+預測IC!BM26</f>
        <v>0.2116185429668625</v>
      </c>
      <c r="BN19" s="6">
        <f>BM19+預測IC!BN26</f>
        <v>0.24185764435830509</v>
      </c>
      <c r="BO19" s="6">
        <f>BN19+預測IC!BO26</f>
        <v>0.19813175676721759</v>
      </c>
      <c r="BP19" s="6">
        <f>BO19+預測IC!BP26</f>
        <v>0.22002122633541621</v>
      </c>
      <c r="BQ19" s="6">
        <f>BP19+預測IC!BQ26</f>
        <v>0.22864865659892461</v>
      </c>
      <c r="BR19" s="6">
        <f>BQ19+預測IC!BR26</f>
        <v>0.20945570260426583</v>
      </c>
      <c r="BS19" s="6">
        <f>BR19+預測IC!BS26</f>
        <v>0.22919083249239888</v>
      </c>
      <c r="BT19" s="6">
        <f>BS19+預測IC!BT26</f>
        <v>0.2768851699760983</v>
      </c>
      <c r="BU19" s="6">
        <f>BT19+預測IC!BU26</f>
        <v>0.28833998678268169</v>
      </c>
      <c r="BV19" s="6">
        <f>BU19+預測IC!BV26</f>
        <v>0.33156860751789485</v>
      </c>
      <c r="BW19" s="6">
        <f>BV19+預測IC!BW26</f>
        <v>0.28882117708097205</v>
      </c>
      <c r="BX19" s="6">
        <f>BW19+預測IC!BX26</f>
        <v>0.27100988465317749</v>
      </c>
      <c r="BY19" s="6">
        <f>BX19+預測IC!BY26</f>
        <v>0.11985678778410189</v>
      </c>
      <c r="BZ19" s="6">
        <f>BY19+預測IC!BZ26</f>
        <v>0.24408079140367717</v>
      </c>
      <c r="CA19" s="6">
        <f>BZ19+預測IC!CA26</f>
        <v>0.23952353755914751</v>
      </c>
      <c r="CB19" s="6">
        <f>CA19+預測IC!CB26</f>
        <v>0.29973477776405871</v>
      </c>
      <c r="CC19" s="6">
        <f>CB19+預測IC!CC26</f>
        <v>0.385726811246561</v>
      </c>
      <c r="CD19" s="6">
        <f>CC19+預測IC!CD26</f>
        <v>0.37991833166419492</v>
      </c>
      <c r="CE19" s="6">
        <f>CD19+預測IC!CE26</f>
        <v>0.37387698467522684</v>
      </c>
      <c r="CF19" s="6">
        <f>CE19+預測IC!CF26</f>
        <v>0.37632930904747891</v>
      </c>
      <c r="CG19" s="6">
        <f>CF19+預測IC!CG26</f>
        <v>0.46596556098450181</v>
      </c>
      <c r="CH19" s="6">
        <f>CG19+預測IC!CH26</f>
        <v>0.53695829351125968</v>
      </c>
      <c r="CI19" s="6">
        <f>CH19+預測IC!CI26</f>
        <v>0.56412893641304307</v>
      </c>
      <c r="CJ19" s="6">
        <f>CI19+預測IC!CJ26</f>
        <v>0.61659736483837313</v>
      </c>
      <c r="CK19" s="6">
        <f>CJ19+預測IC!CK26</f>
        <v>0.64607802578142259</v>
      </c>
      <c r="CL19" s="6">
        <f>CK19+預測IC!CL26</f>
        <v>0.71290310684162383</v>
      </c>
      <c r="CM19" s="6">
        <f>CL19+預測IC!CM26</f>
        <v>0.68413087782180682</v>
      </c>
      <c r="CN19" s="6">
        <f>CM19+預測IC!CN26</f>
        <v>0.72359339372344467</v>
      </c>
      <c r="CO19" s="6">
        <f>CN19+預測IC!CO26</f>
        <v>0.69456230674608477</v>
      </c>
      <c r="CP19" s="6">
        <f>CO19+預測IC!CP26</f>
        <v>0.70854618926555268</v>
      </c>
      <c r="CQ19" s="6">
        <f>CP19+預測IC!CQ26</f>
        <v>0.67626922430621883</v>
      </c>
      <c r="CR19" s="6">
        <f>CQ19+預測IC!CR26</f>
        <v>0.6793728009191129</v>
      </c>
      <c r="CS19" s="6">
        <f>CR19+預測IC!CS26</f>
        <v>0.70496465668619601</v>
      </c>
      <c r="CT19" s="6">
        <f>CS19+預測IC!CT26</f>
        <v>0.74935654297338927</v>
      </c>
      <c r="CU19" s="6">
        <f>CT19+預測IC!CU26</f>
        <v>0.71901758442381181</v>
      </c>
      <c r="CV19" s="6">
        <f>CU19+預測IC!CV26</f>
        <v>0.7177596079692401</v>
      </c>
      <c r="CW19" s="6">
        <f>CV19+預測IC!CW26</f>
        <v>0.72009596442509805</v>
      </c>
      <c r="CX19" s="6">
        <f>CW19+預測IC!CX26</f>
        <v>0.655831819499192</v>
      </c>
      <c r="CY19" s="6">
        <f>CX19+預測IC!CY26</f>
        <v>0.66874159895818441</v>
      </c>
      <c r="CZ19" s="6">
        <f>CY19+預測IC!CZ26</f>
        <v>0.54326450428732564</v>
      </c>
      <c r="DA19" s="6">
        <f>CZ19+預測IC!DA26</f>
        <v>0.55495518722711823</v>
      </c>
      <c r="DB19" s="6">
        <f>DA19+預測IC!DB26</f>
        <v>0.56129303092785998</v>
      </c>
      <c r="DC19" s="6">
        <f>DB19+預測IC!DC26</f>
        <v>0.44398767445847448</v>
      </c>
      <c r="DD19" s="6">
        <f>DC19+預測IC!DD26</f>
        <v>0.40797680240902789</v>
      </c>
      <c r="DE19" s="6">
        <f>DD19+預測IC!DE26</f>
        <v>0.54688810648129582</v>
      </c>
      <c r="DF19" s="6">
        <f>DE19+預測IC!DF26</f>
        <v>0.49574460025519007</v>
      </c>
      <c r="DG19" s="6">
        <f>DF19+預測IC!DG26</f>
        <v>0.57247604743715907</v>
      </c>
      <c r="DH19" s="6">
        <f>DG19+預測IC!DH26</f>
        <v>0.58798482963416721</v>
      </c>
      <c r="DI19" s="6">
        <f>DH19+預測IC!DI26</f>
        <v>0.61120860330892302</v>
      </c>
      <c r="DJ19" s="6">
        <f>DI19+預測IC!DJ26</f>
        <v>0.59283572694769515</v>
      </c>
      <c r="DK19" s="6">
        <f>DJ19+預測IC!DK26</f>
        <v>0.65503474103279458</v>
      </c>
      <c r="DL19" s="6">
        <f>DK19+預測IC!DL26</f>
        <v>0.67513304551975173</v>
      </c>
      <c r="DM19" s="6">
        <f>DL19+預測IC!DM26</f>
        <v>0.68863198526781977</v>
      </c>
      <c r="DN19" s="6">
        <f>DM19+預測IC!DN26</f>
        <v>0.65837977253939894</v>
      </c>
      <c r="DO19" s="6">
        <f>DN19+預測IC!DO26</f>
        <v>0.64135693683134509</v>
      </c>
      <c r="DP19" s="6">
        <f>DO19+預測IC!DP26</f>
        <v>0.61956841355888315</v>
      </c>
      <c r="DQ19" s="6">
        <f>DP19+預測IC!DQ26</f>
        <v>0.70531403814402038</v>
      </c>
      <c r="DR19" s="6">
        <f>DQ19+預測IC!DR26</f>
        <v>0.73342078174899417</v>
      </c>
      <c r="DS19" s="6">
        <f>DR19+預測IC!DS26</f>
        <v>0.73111762194163477</v>
      </c>
      <c r="DT19" s="6">
        <f>DS19+預測IC!DT26</f>
        <v>0.78958882007312226</v>
      </c>
      <c r="DU19" s="6">
        <f>DT19+預測IC!DU26</f>
        <v>0.85724776912176992</v>
      </c>
      <c r="DV19" s="6">
        <f>DU19+預測IC!DV26</f>
        <v>0.86226853976220219</v>
      </c>
      <c r="DW19" s="6">
        <f>DV19+預測IC!DW26</f>
        <v>0.89968472343740924</v>
      </c>
      <c r="DX19" s="6">
        <f>DW19+預測IC!DX26</f>
        <v>0.98379572718345132</v>
      </c>
      <c r="DY19" s="6">
        <f>DX19+預測IC!DY26</f>
        <v>0.94696332863943844</v>
      </c>
      <c r="DZ19" s="6">
        <f>DY19+預測IC!DZ26</f>
        <v>0.95005503145637549</v>
      </c>
      <c r="EA19" s="6">
        <f>DZ19+預測IC!EA26</f>
        <v>0.94809740324208092</v>
      </c>
      <c r="EB19" s="6">
        <f>EA19+預測IC!EB26</f>
        <v>0.97455650684560069</v>
      </c>
      <c r="EC19" s="6">
        <f>EB19+預測IC!EC26</f>
        <v>0.94980396808491041</v>
      </c>
      <c r="ED19" s="6">
        <f>EC19+預測IC!ED26</f>
        <v>0.98391945906747036</v>
      </c>
      <c r="EE19" s="6">
        <f>ED19+預測IC!EE26</f>
        <v>1.0049814330565034</v>
      </c>
      <c r="EF19" s="6">
        <f>EE19+預測IC!EF26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25"/>
  <sheetViews>
    <sheetView topLeftCell="A10" zoomScale="137" workbookViewId="0">
      <selection activeCell="A11" sqref="A11:B25"/>
    </sheetView>
  </sheetViews>
  <sheetFormatPr baseColWidth="10" defaultRowHeight="14"/>
  <sheetData>
    <row r="1" spans="1:136">
      <c r="A1" t="s">
        <v>0</v>
      </c>
    </row>
    <row r="2" spans="1:136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6">
      <c r="B3" s="1" t="s">
        <v>136</v>
      </c>
      <c r="C3" s="5">
        <v>7.8798868708972569E-2</v>
      </c>
      <c r="D3" s="5">
        <v>0.1797330866000165</v>
      </c>
      <c r="E3" s="5">
        <v>1.5489078774060919E-2</v>
      </c>
      <c r="F3" s="5">
        <v>-2.2168251176828E-2</v>
      </c>
      <c r="G3" s="5">
        <v>-8.1037288150830888E-3</v>
      </c>
      <c r="H3" s="5">
        <v>-1.540126879534739E-2</v>
      </c>
      <c r="I3" s="5">
        <v>-0.19676558635554181</v>
      </c>
      <c r="J3" s="5">
        <v>0.27883034253820949</v>
      </c>
      <c r="K3" s="5">
        <v>-5.6931615083884446E-3</v>
      </c>
      <c r="L3" s="5">
        <v>-4.7889749224816418E-2</v>
      </c>
      <c r="M3" s="5">
        <v>-5.2700847804921791E-3</v>
      </c>
      <c r="N3" s="5">
        <v>-0.19106965066791309</v>
      </c>
      <c r="O3" s="5">
        <v>0.31084678168383029</v>
      </c>
      <c r="P3" s="5">
        <v>0.11377091314306841</v>
      </c>
      <c r="Q3" s="5">
        <v>-0.1230705033938234</v>
      </c>
      <c r="R3" s="5">
        <v>-0.1125584938483804</v>
      </c>
      <c r="S3" s="5">
        <v>0.10466589270197239</v>
      </c>
      <c r="T3" s="5">
        <v>-0.14458476697667069</v>
      </c>
      <c r="U3" s="5">
        <v>-0.26280780822848793</v>
      </c>
      <c r="V3" s="5">
        <v>3.018865545683036E-3</v>
      </c>
      <c r="W3" s="5">
        <v>0.13196040423464411</v>
      </c>
      <c r="X3" s="5">
        <v>-8.9415173838410772E-2</v>
      </c>
      <c r="Y3" s="5">
        <v>0.27906324575998892</v>
      </c>
      <c r="Z3" s="5">
        <v>0.10308974194226191</v>
      </c>
      <c r="AA3" s="5">
        <v>0.48637748963693189</v>
      </c>
      <c r="AB3" s="5">
        <v>-0.2348198317515614</v>
      </c>
      <c r="AC3" s="5">
        <v>1.209651139005591E-2</v>
      </c>
      <c r="AD3" s="5">
        <v>2.4631762383159391E-2</v>
      </c>
      <c r="AE3" s="5">
        <v>-5.6680955135353086E-3</v>
      </c>
      <c r="AF3" s="5">
        <v>-5.6269213313916128E-2</v>
      </c>
      <c r="AG3" s="5">
        <v>0.1224049331936696</v>
      </c>
      <c r="AH3" s="5">
        <v>4.3996774628331507E-2</v>
      </c>
      <c r="AI3" s="5">
        <v>0.16226838670026481</v>
      </c>
      <c r="AJ3" s="5">
        <v>6.8930166950289418E-2</v>
      </c>
      <c r="AK3" s="5">
        <v>8.7359955926433919E-2</v>
      </c>
      <c r="AL3" s="5">
        <v>0.18738072328871311</v>
      </c>
      <c r="AM3" s="5">
        <v>9.6837349683267515E-2</v>
      </c>
      <c r="AN3" s="5">
        <v>0.2075736584826241</v>
      </c>
      <c r="AO3" s="5">
        <v>0.1179758622033628</v>
      </c>
      <c r="AP3" s="5">
        <v>-2.8503518413619089E-2</v>
      </c>
      <c r="AQ3" s="5">
        <v>-0.2114396427417907</v>
      </c>
      <c r="AR3" s="5">
        <v>-3.2302566009502653E-2</v>
      </c>
      <c r="AS3" s="5">
        <v>0.14111009314114151</v>
      </c>
      <c r="AT3" s="5">
        <v>-3.4807512436285597E-2</v>
      </c>
      <c r="AU3" s="5">
        <v>4.4456114444752393E-2</v>
      </c>
      <c r="AV3" s="5">
        <v>2.116273888563475E-2</v>
      </c>
      <c r="AW3" s="5">
        <v>-0.17415500379798879</v>
      </c>
      <c r="AX3" s="5">
        <v>7.6317816973353048E-2</v>
      </c>
      <c r="AY3" s="5">
        <v>9.0306432388433389E-3</v>
      </c>
      <c r="AZ3" s="5">
        <v>1.663894988550357E-2</v>
      </c>
      <c r="BA3" s="5">
        <v>0.1604995491281753</v>
      </c>
      <c r="BB3" s="5">
        <v>-0.1237409532939386</v>
      </c>
      <c r="BC3" s="5">
        <v>0.1567368975950951</v>
      </c>
      <c r="BD3" s="5">
        <v>0.16688346547535959</v>
      </c>
      <c r="BE3" s="5">
        <v>-0.13147229447438161</v>
      </c>
      <c r="BF3" s="5">
        <v>9.9500132775895977E-3</v>
      </c>
      <c r="BG3" s="5">
        <v>0.31531123716865839</v>
      </c>
      <c r="BH3" s="5">
        <v>0.27010117711850451</v>
      </c>
      <c r="BI3" s="5">
        <v>5.6315448743319167E-2</v>
      </c>
      <c r="BJ3" s="5">
        <v>-2.4098168569960938E-3</v>
      </c>
      <c r="BK3" s="5">
        <v>7.980037571183507E-2</v>
      </c>
      <c r="BL3" s="5">
        <v>-2.3392393936943919E-2</v>
      </c>
      <c r="BM3" s="5">
        <v>9.4008939681691994E-2</v>
      </c>
      <c r="BN3" s="5">
        <v>1.7643905957802519E-2</v>
      </c>
      <c r="BO3" s="5">
        <v>-0.14928793997254061</v>
      </c>
      <c r="BP3" s="5">
        <v>4.1225940656231752E-2</v>
      </c>
      <c r="BQ3" s="5">
        <v>-8.2741207352384771E-2</v>
      </c>
      <c r="BR3" s="5">
        <v>0.21346470331308501</v>
      </c>
      <c r="BS3" s="5">
        <v>-6.7985397750361887E-2</v>
      </c>
      <c r="BT3" s="5">
        <v>0.14435039701784599</v>
      </c>
      <c r="BU3" s="5">
        <v>0.11377937808470839</v>
      </c>
      <c r="BV3" s="5">
        <v>5.6009583131783613E-3</v>
      </c>
      <c r="BW3" s="5">
        <v>0.11314663575547999</v>
      </c>
      <c r="BX3" s="5">
        <v>-9.0571156630970151E-2</v>
      </c>
      <c r="BY3" s="5">
        <v>0.1185697363729505</v>
      </c>
      <c r="BZ3" s="5">
        <v>-0.14071284467671219</v>
      </c>
      <c r="CA3" s="5">
        <v>7.3472777058868566E-2</v>
      </c>
      <c r="CB3" s="5">
        <v>-0.17102560649194909</v>
      </c>
      <c r="CC3" s="5">
        <v>8.6731635966007636E-2</v>
      </c>
      <c r="CD3" s="5">
        <v>3.1267715866914132E-2</v>
      </c>
      <c r="CE3" s="5">
        <v>0.2187970365966756</v>
      </c>
      <c r="CF3" s="5">
        <v>-0.1415947073656891</v>
      </c>
      <c r="CG3" s="5">
        <v>9.9731607421901902E-2</v>
      </c>
      <c r="CH3" s="5">
        <v>4.5308069873115593E-2</v>
      </c>
      <c r="CI3" s="5">
        <v>8.9441140161071353E-2</v>
      </c>
      <c r="CJ3" s="5">
        <v>-0.39111281147264948</v>
      </c>
      <c r="CK3" s="5">
        <v>-0.1097911700085549</v>
      </c>
      <c r="CL3" s="5">
        <v>-4.3456184080796822E-2</v>
      </c>
      <c r="CM3" s="5">
        <v>0.18311247425732069</v>
      </c>
      <c r="CN3" s="5">
        <v>-0.39746167912504587</v>
      </c>
      <c r="CO3" s="5">
        <v>-9.6930225730285202E-2</v>
      </c>
      <c r="CP3" s="5">
        <v>-9.5682049872747921E-2</v>
      </c>
      <c r="CQ3" s="5">
        <v>0.17197496741798041</v>
      </c>
      <c r="CR3" s="5">
        <v>6.1939484759435059E-2</v>
      </c>
      <c r="CS3" s="5">
        <v>-4.7664038974437717E-2</v>
      </c>
      <c r="CT3" s="5">
        <v>-1.0473980040771101E-2</v>
      </c>
      <c r="CU3" s="5">
        <v>-3.4400594909696942E-2</v>
      </c>
      <c r="CV3" s="5">
        <v>-2.258422919649478E-2</v>
      </c>
      <c r="CW3" s="5">
        <v>3.967601364242257E-2</v>
      </c>
      <c r="CX3" s="5">
        <v>-5.3904732790443062E-2</v>
      </c>
      <c r="CY3" s="5">
        <v>2.7221884648997219E-2</v>
      </c>
      <c r="CZ3" s="5">
        <v>9.8878435478775006E-2</v>
      </c>
      <c r="DA3" s="5">
        <v>0.31254073484349981</v>
      </c>
      <c r="DB3" s="5">
        <v>-0.15564612733519101</v>
      </c>
      <c r="DC3" s="5">
        <v>-0.186958527424675</v>
      </c>
      <c r="DD3" s="5">
        <v>-0.16852286341555181</v>
      </c>
      <c r="DE3" s="5">
        <v>0.1677976140486318</v>
      </c>
      <c r="DF3" s="5">
        <v>-9.1638386466206867E-2</v>
      </c>
      <c r="DG3" s="5">
        <v>-7.5708963031608456E-2</v>
      </c>
      <c r="DH3" s="5">
        <v>7.7960520930394628E-3</v>
      </c>
      <c r="DI3" s="5">
        <v>-2.5500379680462042E-3</v>
      </c>
      <c r="DJ3" s="5">
        <v>-6.8988362574606832E-2</v>
      </c>
      <c r="DK3" s="5">
        <v>4.6125318624910039E-2</v>
      </c>
      <c r="DL3" s="5">
        <v>-5.8337699674183729E-2</v>
      </c>
      <c r="DM3" s="5">
        <v>-7.0566061856035006E-2</v>
      </c>
      <c r="DN3" s="5">
        <v>2.809287103658753E-2</v>
      </c>
      <c r="DO3" s="5">
        <v>-7.0883392118804012E-2</v>
      </c>
      <c r="DP3" s="5">
        <v>0.16113140194021519</v>
      </c>
      <c r="DQ3" s="5">
        <v>0.1547440050249739</v>
      </c>
      <c r="DR3" s="5">
        <v>-0.1074253347743107</v>
      </c>
      <c r="DS3" s="5">
        <v>0.1128417239921658</v>
      </c>
      <c r="DT3" s="5">
        <v>-9.1401515312695802E-2</v>
      </c>
      <c r="DU3" s="5">
        <v>-6.5441570505781171E-2</v>
      </c>
      <c r="DV3" s="5">
        <v>-7.3758705524149371E-2</v>
      </c>
      <c r="DW3" s="5">
        <v>6.6155769939566539E-2</v>
      </c>
      <c r="DX3" s="5">
        <v>6.9417132083774952E-2</v>
      </c>
      <c r="DY3" s="5">
        <v>-0.10299216834685949</v>
      </c>
      <c r="DZ3" s="5">
        <v>0.26391340422439719</v>
      </c>
      <c r="EA3" s="5">
        <v>-8.9759100562534361E-2</v>
      </c>
      <c r="EB3" s="5">
        <v>0.19432476998554751</v>
      </c>
      <c r="EC3" s="5">
        <v>-3.0097119912414479E-2</v>
      </c>
      <c r="ED3" s="5">
        <v>2.8618294955548851E-2</v>
      </c>
      <c r="EE3" s="5">
        <v>-8.7371804917650953E-2</v>
      </c>
      <c r="EF3" s="5">
        <v>-2.097644515945252E-2</v>
      </c>
    </row>
    <row r="4" spans="1:136">
      <c r="B4" s="1" t="s">
        <v>137</v>
      </c>
      <c r="C4" s="5">
        <v>-0.2033298904066001</v>
      </c>
      <c r="D4" s="5">
        <v>-0.19670615347595799</v>
      </c>
      <c r="E4" s="5">
        <v>-0.25411088976615298</v>
      </c>
      <c r="F4" s="5">
        <v>4.6098132519260197E-2</v>
      </c>
      <c r="G4" s="5">
        <v>3.0705585377122091E-2</v>
      </c>
      <c r="H4" s="5">
        <v>-5.0794665387496003E-2</v>
      </c>
      <c r="I4" s="5">
        <v>7.7645993308728123E-4</v>
      </c>
      <c r="J4" s="5">
        <v>4.8875938188759349E-2</v>
      </c>
      <c r="K4" s="5">
        <v>-0.10205312675095971</v>
      </c>
      <c r="L4" s="5">
        <v>-1.86487966438591E-2</v>
      </c>
      <c r="M4" s="5">
        <v>-5.5059352573051612E-2</v>
      </c>
      <c r="N4" s="5">
        <v>-2.980539628833689E-2</v>
      </c>
      <c r="O4" s="5">
        <v>-0.18676845762429831</v>
      </c>
      <c r="P4" s="5">
        <v>3.0016143098960061E-2</v>
      </c>
      <c r="Q4" s="5">
        <v>9.7885090716637535E-2</v>
      </c>
      <c r="R4" s="5">
        <v>-9.3921517598078097E-2</v>
      </c>
      <c r="S4" s="5">
        <v>2.2808945852236921E-2</v>
      </c>
      <c r="T4" s="5">
        <v>7.3321485340407833E-2</v>
      </c>
      <c r="U4" s="5">
        <v>7.4453756001915394E-3</v>
      </c>
      <c r="V4" s="5">
        <v>-2.162307259445129E-2</v>
      </c>
      <c r="W4" s="5">
        <v>-5.7679730450974631E-3</v>
      </c>
      <c r="X4" s="5">
        <v>-0.1698621934781421</v>
      </c>
      <c r="Y4" s="5">
        <v>-0.23417865773462759</v>
      </c>
      <c r="Z4" s="5">
        <v>-1.0182398713556751E-2</v>
      </c>
      <c r="AA4" s="5">
        <v>-3.1047645711428369E-3</v>
      </c>
      <c r="AB4" s="5">
        <v>-0.16354736732336941</v>
      </c>
      <c r="AC4" s="5">
        <v>-6.5817326243049479E-2</v>
      </c>
      <c r="AD4" s="5">
        <v>-5.3291001780785052E-2</v>
      </c>
      <c r="AE4" s="5">
        <v>4.4148085053993917E-2</v>
      </c>
      <c r="AF4" s="5">
        <v>8.1272612622841578E-2</v>
      </c>
      <c r="AG4" s="5">
        <v>-0.1017872468284171</v>
      </c>
      <c r="AH4" s="5">
        <v>0.1188108231774461</v>
      </c>
      <c r="AI4" s="5">
        <v>-8.6264025106641995E-2</v>
      </c>
      <c r="AJ4" s="5">
        <v>-9.7080353915666606E-2</v>
      </c>
      <c r="AK4" s="5">
        <v>7.7483445716659105E-2</v>
      </c>
      <c r="AL4" s="5">
        <v>1.8676259356256612E-2</v>
      </c>
      <c r="AM4" s="5">
        <v>-7.3616058355145952E-3</v>
      </c>
      <c r="AN4" s="5">
        <v>1.1279678641054501E-2</v>
      </c>
      <c r="AO4" s="5">
        <v>-4.4653672927386978E-2</v>
      </c>
      <c r="AP4" s="5">
        <v>8.0316784439199651E-2</v>
      </c>
      <c r="AQ4" s="5">
        <v>-9.065489430089535E-2</v>
      </c>
      <c r="AR4" s="5">
        <v>0.11489008982476891</v>
      </c>
      <c r="AS4" s="5">
        <v>8.2303546348533985E-2</v>
      </c>
      <c r="AT4" s="5">
        <v>9.2421253692602789E-3</v>
      </c>
      <c r="AU4" s="5">
        <v>-3.3161859626785528E-2</v>
      </c>
      <c r="AV4" s="5">
        <v>-0.2173053184250211</v>
      </c>
      <c r="AW4" s="5">
        <v>5.2685655817201749E-2</v>
      </c>
      <c r="AX4" s="5">
        <v>1.3493885720954781E-2</v>
      </c>
      <c r="AY4" s="5">
        <v>0.1041661451594766</v>
      </c>
      <c r="AZ4" s="5">
        <v>1.7139753527592561E-2</v>
      </c>
      <c r="BA4" s="5">
        <v>-0.15393947590357021</v>
      </c>
      <c r="BB4" s="5">
        <v>-0.25209000741856791</v>
      </c>
      <c r="BC4" s="5">
        <v>-0.1509089515544382</v>
      </c>
      <c r="BD4" s="5">
        <v>-2.256906534059766E-2</v>
      </c>
      <c r="BE4" s="5">
        <v>-3.1980232980275858E-2</v>
      </c>
      <c r="BF4" s="5">
        <v>0.12360403054618981</v>
      </c>
      <c r="BG4" s="5">
        <v>-7.4229896004924356E-2</v>
      </c>
      <c r="BH4" s="5">
        <v>-6.4502472889254037E-2</v>
      </c>
      <c r="BI4" s="5">
        <v>1.824796293577791E-2</v>
      </c>
      <c r="BJ4" s="5">
        <v>-0.15119856136795379</v>
      </c>
      <c r="BK4" s="5">
        <v>-5.7995346273466808E-2</v>
      </c>
      <c r="BL4" s="5">
        <v>-4.6827851998019199E-2</v>
      </c>
      <c r="BM4" s="5">
        <v>2.007808697382707E-2</v>
      </c>
      <c r="BN4" s="5">
        <v>4.1159851064172408E-2</v>
      </c>
      <c r="BO4" s="5">
        <v>4.4821746513099107E-2</v>
      </c>
      <c r="BP4" s="5">
        <v>8.3537285837463671E-2</v>
      </c>
      <c r="BQ4" s="5">
        <v>3.0584215049547229E-2</v>
      </c>
      <c r="BR4" s="5">
        <v>-0.11513801838410841</v>
      </c>
      <c r="BS4" s="5">
        <v>-1.9945733381826258E-2</v>
      </c>
      <c r="BT4" s="5">
        <v>-3.340062489588469E-2</v>
      </c>
      <c r="BU4" s="5">
        <v>-4.5048156861273718E-2</v>
      </c>
      <c r="BV4" s="5">
        <v>0.17298229554948641</v>
      </c>
      <c r="BW4" s="5">
        <v>-9.9199124220314516E-2</v>
      </c>
      <c r="BX4" s="5">
        <v>-6.8360249990837119E-2</v>
      </c>
      <c r="BY4" s="5">
        <v>-0.18303206657081719</v>
      </c>
      <c r="BZ4" s="5">
        <v>8.5483425285028503E-2</v>
      </c>
      <c r="CA4" s="5">
        <v>9.7162092942060241E-3</v>
      </c>
      <c r="CB4" s="5">
        <v>0.19814488479862649</v>
      </c>
      <c r="CC4" s="5">
        <v>-0.29368551385020503</v>
      </c>
      <c r="CD4" s="5">
        <v>-0.13248019500703731</v>
      </c>
      <c r="CE4" s="5">
        <v>-5.8262282818763111E-2</v>
      </c>
      <c r="CF4" s="5">
        <v>-0.1140691280773574</v>
      </c>
      <c r="CG4" s="5">
        <v>5.6736524131114408E-2</v>
      </c>
      <c r="CH4" s="5">
        <v>-4.7296779651766494E-3</v>
      </c>
      <c r="CI4" s="5">
        <v>8.4443901855131287E-2</v>
      </c>
      <c r="CJ4" s="5">
        <v>2.7869588243326859E-2</v>
      </c>
      <c r="CK4" s="5">
        <v>-2.232469786150304E-2</v>
      </c>
      <c r="CL4" s="5">
        <v>-6.8175763142658496E-2</v>
      </c>
      <c r="CM4" s="5">
        <v>4.0425862777794919E-2</v>
      </c>
      <c r="CN4" s="5">
        <v>0.18770361883890979</v>
      </c>
      <c r="CO4" s="5">
        <v>1.3964512578574779E-3</v>
      </c>
      <c r="CP4" s="5">
        <v>2.0238036750885868E-2</v>
      </c>
      <c r="CQ4" s="5">
        <v>-3.0594997259303369E-2</v>
      </c>
      <c r="CR4" s="5">
        <v>-0.28726340823344998</v>
      </c>
      <c r="CS4" s="5">
        <v>-0.27841972942992038</v>
      </c>
      <c r="CT4" s="5">
        <v>8.2270680617856584E-2</v>
      </c>
      <c r="CU4" s="5">
        <v>-0.1048554960401091</v>
      </c>
      <c r="CV4" s="5">
        <v>0.11088351979357471</v>
      </c>
      <c r="CW4" s="5">
        <v>-5.0507103363436563E-2</v>
      </c>
      <c r="CX4" s="5">
        <v>5.9564972115538239E-2</v>
      </c>
      <c r="CY4" s="5">
        <v>-0.17485206724227001</v>
      </c>
      <c r="CZ4" s="5">
        <v>-0.12999288727490921</v>
      </c>
      <c r="DA4" s="5">
        <v>-0.22061040036900439</v>
      </c>
      <c r="DB4" s="5">
        <v>-4.9769885023174247E-2</v>
      </c>
      <c r="DC4" s="5">
        <v>-0.1428822193239476</v>
      </c>
      <c r="DD4" s="5">
        <v>0.1006356253829281</v>
      </c>
      <c r="DE4" s="5">
        <v>4.4473068308818142E-2</v>
      </c>
      <c r="DF4" s="5">
        <v>5.5744001155495937E-2</v>
      </c>
      <c r="DG4" s="5">
        <v>-0.1401895090203702</v>
      </c>
      <c r="DH4" s="5">
        <v>0.15742013530757151</v>
      </c>
      <c r="DI4" s="5">
        <v>-6.1975928482361553E-2</v>
      </c>
      <c r="DJ4" s="5">
        <v>-0.12007758793922819</v>
      </c>
      <c r="DK4" s="5">
        <v>-0.163860282805075</v>
      </c>
      <c r="DL4" s="5">
        <v>9.4497364979279297E-2</v>
      </c>
      <c r="DM4" s="5">
        <v>0.23347887989474711</v>
      </c>
      <c r="DN4" s="5">
        <v>7.41389367052534E-2</v>
      </c>
      <c r="DO4" s="5">
        <v>-4.4768182471788258E-2</v>
      </c>
      <c r="DP4" s="5">
        <v>-6.9268899611042656E-2</v>
      </c>
      <c r="DQ4" s="5">
        <v>-0.1694470405102351</v>
      </c>
      <c r="DR4" s="5">
        <v>-0.1292383591030131</v>
      </c>
      <c r="DS4" s="5">
        <v>-7.3029030634589986E-2</v>
      </c>
      <c r="DT4" s="5">
        <v>-0.2035882020359274</v>
      </c>
      <c r="DU4" s="5">
        <v>-5.4890571845771063E-2</v>
      </c>
      <c r="DV4" s="5">
        <v>1.1078381509349811E-2</v>
      </c>
      <c r="DW4" s="5">
        <v>-4.5384063983000536E-3</v>
      </c>
      <c r="DX4" s="5">
        <v>-8.4289001087523019E-2</v>
      </c>
      <c r="DY4" s="5">
        <v>0.10021881700383869</v>
      </c>
      <c r="DZ4" s="5">
        <v>-0.13097722178277141</v>
      </c>
      <c r="EA4" s="5">
        <v>-0.19315799713893969</v>
      </c>
      <c r="EB4" s="5">
        <v>-0.31868386846927171</v>
      </c>
      <c r="EC4" s="5">
        <v>4.9076536231201118E-2</v>
      </c>
      <c r="ED4" s="5">
        <v>5.2784729286493359E-2</v>
      </c>
      <c r="EE4" s="5">
        <v>0.1201448565603975</v>
      </c>
      <c r="EF4" s="5">
        <v>0.24405280405184021</v>
      </c>
    </row>
    <row r="5" spans="1:136">
      <c r="B5" s="1" t="s">
        <v>138</v>
      </c>
      <c r="C5" s="5">
        <v>-0.20935792122733929</v>
      </c>
      <c r="D5" s="5">
        <v>-0.1073627692333063</v>
      </c>
      <c r="E5" s="5">
        <v>0.52484760680152232</v>
      </c>
      <c r="F5" s="5">
        <v>4.6837059958046809E-2</v>
      </c>
      <c r="G5" s="5">
        <v>-0.2104714261735883</v>
      </c>
      <c r="H5" s="5">
        <v>0.4744149628629204</v>
      </c>
      <c r="I5" s="5">
        <v>0.14678498763585299</v>
      </c>
      <c r="J5" s="5">
        <v>-5.6231752728838222E-2</v>
      </c>
      <c r="K5" s="5">
        <v>0.27552845629080469</v>
      </c>
      <c r="L5" s="5">
        <v>-0.43004286310886081</v>
      </c>
      <c r="M5" s="5">
        <v>0.32376774959305898</v>
      </c>
      <c r="N5" s="5">
        <v>-0.34824165047033961</v>
      </c>
      <c r="O5" s="5">
        <v>-9.7528911512976074E-2</v>
      </c>
      <c r="P5" s="5">
        <v>0.39546612391174241</v>
      </c>
      <c r="Q5" s="5">
        <v>4.8467491330228173E-2</v>
      </c>
      <c r="R5" s="5">
        <v>-9.8851331549351315E-2</v>
      </c>
      <c r="S5" s="5">
        <v>0.3057921371194337</v>
      </c>
      <c r="T5" s="5">
        <v>7.2071946189346189E-2</v>
      </c>
      <c r="U5" s="5">
        <v>-4.7890408561752917E-4</v>
      </c>
      <c r="V5" s="5">
        <v>-0.13936695356286269</v>
      </c>
      <c r="W5" s="5">
        <v>-0.39469012652483237</v>
      </c>
      <c r="X5" s="5">
        <v>-0.12947787244850251</v>
      </c>
      <c r="Y5" s="5">
        <v>-0.68127295831176804</v>
      </c>
      <c r="Z5" s="5">
        <v>-4.1720386960932424E-3</v>
      </c>
      <c r="AA5" s="5">
        <v>1.8198047382592619E-2</v>
      </c>
      <c r="AB5" s="5">
        <v>0.20112165888415301</v>
      </c>
      <c r="AC5" s="5">
        <v>-8.9163225286403025E-2</v>
      </c>
      <c r="AD5" s="5">
        <v>0.14514145822358679</v>
      </c>
      <c r="AE5" s="5">
        <v>7.4669147590605167E-2</v>
      </c>
      <c r="AF5" s="5">
        <v>0.17577042279847119</v>
      </c>
      <c r="AG5" s="5">
        <v>-0.30336041259100399</v>
      </c>
      <c r="AH5" s="5">
        <v>-0.3482499081721625</v>
      </c>
      <c r="AI5" s="5">
        <v>0.25872371710226461</v>
      </c>
      <c r="AJ5" s="5">
        <v>-0.48889196953357</v>
      </c>
      <c r="AK5" s="5">
        <v>0.13254842946584691</v>
      </c>
      <c r="AL5" s="5">
        <v>-2.3789775596635129E-2</v>
      </c>
      <c r="AM5" s="5">
        <v>1.17524054827144E-2</v>
      </c>
      <c r="AN5" s="5">
        <v>-7.4933432869098024E-2</v>
      </c>
      <c r="AO5" s="5">
        <v>0.1844633194704077</v>
      </c>
      <c r="AP5" s="5">
        <v>3.2348031051998787E-2</v>
      </c>
      <c r="AQ5" s="5">
        <v>0.1511984265546954</v>
      </c>
      <c r="AR5" s="5">
        <v>-9.5283109587288514E-2</v>
      </c>
      <c r="AS5" s="5">
        <v>-0.1260043749729467</v>
      </c>
      <c r="AT5" s="5">
        <v>0.1516447920969482</v>
      </c>
      <c r="AU5" s="5">
        <v>-0.20083705233961571</v>
      </c>
      <c r="AV5" s="5">
        <v>7.890636801828628E-2</v>
      </c>
      <c r="AW5" s="5">
        <v>6.7935762483271878E-4</v>
      </c>
      <c r="AX5" s="5">
        <v>0.1122931240608864</v>
      </c>
      <c r="AY5" s="5">
        <v>-0.118056117907044</v>
      </c>
      <c r="AZ5" s="5">
        <v>0.20621977214253931</v>
      </c>
      <c r="BA5" s="5">
        <v>-3.9691918773370187E-2</v>
      </c>
      <c r="BB5" s="5">
        <v>8.2995939761629778E-2</v>
      </c>
      <c r="BC5" s="5">
        <v>-0.13000542995066139</v>
      </c>
      <c r="BD5" s="5">
        <v>-0.1063161628626854</v>
      </c>
      <c r="BE5" s="5">
        <v>0.1159333959862182</v>
      </c>
      <c r="BF5" s="5">
        <v>-0.28526227318364472</v>
      </c>
      <c r="BG5" s="5">
        <v>-0.15093334040887121</v>
      </c>
      <c r="BH5" s="5">
        <v>2.919940093087194E-3</v>
      </c>
      <c r="BI5" s="5">
        <v>5.812657406460206E-2</v>
      </c>
      <c r="BJ5" s="5">
        <v>-0.25986983403483388</v>
      </c>
      <c r="BK5" s="5">
        <v>0.18487944696901781</v>
      </c>
      <c r="BL5" s="5">
        <v>-0.26913172790454543</v>
      </c>
      <c r="BM5" s="5">
        <v>0.1717381908649544</v>
      </c>
      <c r="BN5" s="5">
        <v>-0.18092216130584951</v>
      </c>
      <c r="BO5" s="5">
        <v>-6.3203737577877367E-2</v>
      </c>
      <c r="BP5" s="5">
        <v>7.1867500126512024E-2</v>
      </c>
      <c r="BQ5" s="5">
        <v>-0.16861046240236999</v>
      </c>
      <c r="BR5" s="5">
        <v>-2.5447831594333319E-2</v>
      </c>
      <c r="BS5" s="5">
        <v>0.1244241075337672</v>
      </c>
      <c r="BT5" s="5">
        <v>0.20772231279415901</v>
      </c>
      <c r="BU5" s="5">
        <v>-6.0051294436158628E-2</v>
      </c>
      <c r="BV5" s="5">
        <v>-5.1700003009333508E-2</v>
      </c>
      <c r="BW5" s="5">
        <v>-0.1268015683060742</v>
      </c>
      <c r="BX5" s="5">
        <v>-0.10582029087279909</v>
      </c>
      <c r="BY5" s="5">
        <v>5.3607320437496067E-2</v>
      </c>
      <c r="BZ5" s="5">
        <v>-3.4479447424122608E-2</v>
      </c>
      <c r="CA5" s="5">
        <v>-2.0066210971329639E-2</v>
      </c>
      <c r="CB5" s="5">
        <v>8.4589606751002688E-2</v>
      </c>
      <c r="CC5" s="5">
        <v>-0.1103836570393476</v>
      </c>
      <c r="CD5" s="5">
        <v>0.32742328506094998</v>
      </c>
      <c r="CE5" s="5">
        <v>-1.486719718236725E-2</v>
      </c>
      <c r="CF5" s="5">
        <v>-0.14937324914413941</v>
      </c>
      <c r="CG5" s="5">
        <v>0.16320028060313421</v>
      </c>
      <c r="CH5" s="5">
        <v>-6.9038325074175663E-2</v>
      </c>
      <c r="CI5" s="5">
        <v>-0.11536214708505139</v>
      </c>
      <c r="CJ5" s="5">
        <v>-0.26301723908525793</v>
      </c>
      <c r="CK5" s="5">
        <v>0.37897350211797709</v>
      </c>
      <c r="CL5" s="5">
        <v>-7.6383453932209341E-2</v>
      </c>
      <c r="CM5" s="5">
        <v>4.2833444041791832E-2</v>
      </c>
      <c r="CN5" s="5">
        <v>-0.15161552738072651</v>
      </c>
      <c r="CO5" s="5">
        <v>0.43716796518582229</v>
      </c>
      <c r="CP5" s="5">
        <v>-4.1833927507883796E-3</v>
      </c>
      <c r="CQ5" s="5">
        <v>-0.49935244279872992</v>
      </c>
      <c r="CR5" s="5">
        <v>0.3398570382696095</v>
      </c>
      <c r="CS5" s="5">
        <v>-0.18988696947799641</v>
      </c>
      <c r="CT5" s="5">
        <v>0.2246197528310597</v>
      </c>
      <c r="CU5" s="5">
        <v>-0.25171771168640761</v>
      </c>
      <c r="CV5" s="5">
        <v>-6.0587944319075937E-2</v>
      </c>
      <c r="CW5" s="5">
        <v>0.2108770628752098</v>
      </c>
      <c r="CX5" s="5">
        <v>0.25016150139728283</v>
      </c>
      <c r="CY5" s="5">
        <v>-0.52413353929587791</v>
      </c>
      <c r="CZ5" s="5">
        <v>0.8216183061041753</v>
      </c>
      <c r="DA5" s="5">
        <v>-0.17652298417539669</v>
      </c>
      <c r="DB5" s="5">
        <v>0.13115957739194459</v>
      </c>
      <c r="DC5" s="5">
        <v>0.1757366545058428</v>
      </c>
      <c r="DD5" s="5">
        <v>-0.42083892435479142</v>
      </c>
      <c r="DE5" s="5">
        <v>-0.2279724207651195</v>
      </c>
      <c r="DF5" s="5">
        <v>-0.33715973842927388</v>
      </c>
      <c r="DG5" s="5">
        <v>-0.44400370439279008</v>
      </c>
      <c r="DH5" s="5">
        <v>-4.293279443633978E-2</v>
      </c>
      <c r="DI5" s="5">
        <v>0.30896916307249689</v>
      </c>
      <c r="DJ5" s="5">
        <v>-0.28669247758290828</v>
      </c>
      <c r="DK5" s="5">
        <v>0.84621248517861269</v>
      </c>
      <c r="DL5" s="5">
        <v>-0.16924034367306559</v>
      </c>
      <c r="DM5" s="5">
        <v>-0.43945016692248923</v>
      </c>
      <c r="DN5" s="5">
        <v>0.74751336560070059</v>
      </c>
      <c r="DO5" s="5">
        <v>-0.39996426308914668</v>
      </c>
      <c r="DP5" s="5">
        <v>-4.4863264481034962E-2</v>
      </c>
      <c r="DQ5" s="5">
        <v>-0.58863430244229409</v>
      </c>
      <c r="DR5" s="5">
        <v>-6.5627469319089037E-3</v>
      </c>
      <c r="DS5" s="5">
        <v>-0.19878519438361211</v>
      </c>
      <c r="DT5" s="5">
        <v>0.4132117833889476</v>
      </c>
      <c r="DU5" s="5">
        <v>-0.17065403209770361</v>
      </c>
      <c r="DV5" s="5">
        <v>0.68828031734213269</v>
      </c>
      <c r="DW5" s="5">
        <v>4.0806005098273937E-2</v>
      </c>
      <c r="DX5" s="5">
        <v>-0.1999347157162332</v>
      </c>
      <c r="DY5" s="5">
        <v>0.56631420698904078</v>
      </c>
      <c r="DZ5" s="5">
        <v>0.47362880432099852</v>
      </c>
      <c r="EA5" s="5">
        <v>9.5444977871898054E-2</v>
      </c>
      <c r="EB5" s="5">
        <v>-1.076360940060376</v>
      </c>
      <c r="EC5" s="5">
        <v>-0.13610628648279391</v>
      </c>
      <c r="ED5" s="5">
        <v>-0.27349656344743889</v>
      </c>
      <c r="EE5" s="5">
        <v>0.60134859370029736</v>
      </c>
      <c r="EF5" s="5">
        <v>6.7468790588863341E-3</v>
      </c>
    </row>
    <row r="6" spans="1:136">
      <c r="A6" s="29" t="s">
        <v>139</v>
      </c>
      <c r="B6" s="30"/>
      <c r="C6" s="5">
        <f t="array" ref="C6">MATCH(MAX(ABS(C3:C5)),ABS(C3:C5),0)</f>
        <v>3</v>
      </c>
      <c r="D6" s="5">
        <f t="array" ref="D6">MATCH(MAX(ABS(D3:D5)),ABS(D3:D5),0)</f>
        <v>2</v>
      </c>
      <c r="E6" s="5">
        <f t="array" ref="E6">MATCH(MAX(ABS(E3:E5)),ABS(E3:E5),0)</f>
        <v>3</v>
      </c>
      <c r="F6" s="5">
        <f t="array" ref="F6">MATCH(MAX(ABS(F3:F5)),ABS(F3:F5),0)</f>
        <v>3</v>
      </c>
      <c r="G6" s="5">
        <f t="array" ref="G6">MATCH(MAX(ABS(G3:G5)),ABS(G3:G5),0)</f>
        <v>3</v>
      </c>
      <c r="H6" s="5">
        <f t="array" ref="H6">MATCH(MAX(ABS(H3:H5)),ABS(H3:H5),0)</f>
        <v>3</v>
      </c>
      <c r="I6" s="5">
        <f t="array" ref="I6">MATCH(MAX(ABS(I3:I5)),ABS(I3:I5),0)</f>
        <v>1</v>
      </c>
      <c r="J6" s="5">
        <f t="array" ref="J6">MATCH(MAX(ABS(J3:J5)),ABS(J3:J5),0)</f>
        <v>1</v>
      </c>
      <c r="K6" s="5">
        <f t="array" ref="K6">MATCH(MAX(ABS(K3:K5)),ABS(K3:K5),0)</f>
        <v>3</v>
      </c>
      <c r="L6" s="5">
        <f t="array" ref="L6">MATCH(MAX(ABS(L3:L5)),ABS(L3:L5),0)</f>
        <v>3</v>
      </c>
      <c r="M6" s="5">
        <f t="array" ref="M6">MATCH(MAX(ABS(M3:M5)),ABS(M3:M5),0)</f>
        <v>3</v>
      </c>
      <c r="N6" s="5">
        <f t="array" ref="N6">MATCH(MAX(ABS(N3:N5)),ABS(N3:N5),0)</f>
        <v>3</v>
      </c>
      <c r="O6" s="5">
        <f t="array" ref="O6">MATCH(MAX(ABS(O3:O5)),ABS(O3:O5),0)</f>
        <v>1</v>
      </c>
      <c r="P6" s="5">
        <f t="array" ref="P6">MATCH(MAX(ABS(P3:P5)),ABS(P3:P5),0)</f>
        <v>3</v>
      </c>
      <c r="Q6" s="5">
        <f t="array" ref="Q6">MATCH(MAX(ABS(Q3:Q5)),ABS(Q3:Q5),0)</f>
        <v>1</v>
      </c>
      <c r="R6" s="5">
        <f t="array" ref="R6">MATCH(MAX(ABS(R3:R5)),ABS(R3:R5),0)</f>
        <v>1</v>
      </c>
      <c r="S6" s="5">
        <f t="array" ref="S6">MATCH(MAX(ABS(S3:S5)),ABS(S3:S5),0)</f>
        <v>3</v>
      </c>
      <c r="T6" s="5">
        <f t="array" ref="T6">MATCH(MAX(ABS(T3:T5)),ABS(T3:T5),0)</f>
        <v>1</v>
      </c>
      <c r="U6" s="5">
        <f t="array" ref="U6">MATCH(MAX(ABS(U3:U5)),ABS(U3:U5),0)</f>
        <v>1</v>
      </c>
      <c r="V6" s="5">
        <f t="array" ref="V6">MATCH(MAX(ABS(V3:V5)),ABS(V3:V5),0)</f>
        <v>3</v>
      </c>
      <c r="W6" s="5">
        <f t="array" ref="W6">MATCH(MAX(ABS(W3:W5)),ABS(W3:W5),0)</f>
        <v>3</v>
      </c>
      <c r="X6" s="5">
        <f t="array" ref="X6">MATCH(MAX(ABS(X3:X5)),ABS(X3:X5),0)</f>
        <v>2</v>
      </c>
      <c r="Y6" s="5">
        <f t="array" ref="Y6">MATCH(MAX(ABS(Y3:Y5)),ABS(Y3:Y5),0)</f>
        <v>3</v>
      </c>
      <c r="Z6" s="5">
        <f t="array" ref="Z6">MATCH(MAX(ABS(Z3:Z5)),ABS(Z3:Z5),0)</f>
        <v>1</v>
      </c>
      <c r="AA6" s="5">
        <f t="array" ref="AA6">MATCH(MAX(ABS(AA3:AA5)),ABS(AA3:AA5),0)</f>
        <v>1</v>
      </c>
      <c r="AB6" s="5">
        <f t="array" ref="AB6">MATCH(MAX(ABS(AB3:AB5)),ABS(AB3:AB5),0)</f>
        <v>1</v>
      </c>
      <c r="AC6" s="5">
        <f t="array" ref="AC6">MATCH(MAX(ABS(AC3:AC5)),ABS(AC3:AC5),0)</f>
        <v>3</v>
      </c>
      <c r="AD6" s="5">
        <f t="array" ref="AD6">MATCH(MAX(ABS(AD3:AD5)),ABS(AD3:AD5),0)</f>
        <v>3</v>
      </c>
      <c r="AE6" s="5">
        <f t="array" ref="AE6">MATCH(MAX(ABS(AE3:AE5)),ABS(AE3:AE5),0)</f>
        <v>3</v>
      </c>
      <c r="AF6" s="5">
        <f t="array" ref="AF6">MATCH(MAX(ABS(AF3:AF5)),ABS(AF3:AF5),0)</f>
        <v>3</v>
      </c>
      <c r="AG6" s="5">
        <f t="array" ref="AG6">MATCH(MAX(ABS(AG3:AG5)),ABS(AG3:AG5),0)</f>
        <v>3</v>
      </c>
      <c r="AH6" s="5">
        <f t="array" ref="AH6">MATCH(MAX(ABS(AH3:AH5)),ABS(AH3:AH5),0)</f>
        <v>3</v>
      </c>
      <c r="AI6" s="5">
        <f t="array" ref="AI6">MATCH(MAX(ABS(AI3:AI5)),ABS(AI3:AI5),0)</f>
        <v>3</v>
      </c>
      <c r="AJ6" s="5">
        <f t="array" ref="AJ6">MATCH(MAX(ABS(AJ3:AJ5)),ABS(AJ3:AJ5),0)</f>
        <v>3</v>
      </c>
      <c r="AK6" s="5">
        <f t="array" ref="AK6">MATCH(MAX(ABS(AK3:AK5)),ABS(AK3:AK5),0)</f>
        <v>3</v>
      </c>
      <c r="AL6" s="5">
        <f t="array" ref="AL6">MATCH(MAX(ABS(AL3:AL5)),ABS(AL3:AL5),0)</f>
        <v>1</v>
      </c>
      <c r="AM6" s="5">
        <f t="array" ref="AM6">MATCH(MAX(ABS(AM3:AM5)),ABS(AM3:AM5),0)</f>
        <v>1</v>
      </c>
      <c r="AN6" s="5">
        <f t="array" ref="AN6">MATCH(MAX(ABS(AN3:AN5)),ABS(AN3:AN5),0)</f>
        <v>1</v>
      </c>
      <c r="AO6" s="5">
        <f t="array" ref="AO6">MATCH(MAX(ABS(AO3:AO5)),ABS(AO3:AO5),0)</f>
        <v>3</v>
      </c>
      <c r="AP6" s="5">
        <f t="array" ref="AP6">MATCH(MAX(ABS(AP3:AP5)),ABS(AP3:AP5),0)</f>
        <v>2</v>
      </c>
      <c r="AQ6" s="5">
        <f t="array" ref="AQ6">MATCH(MAX(ABS(AQ3:AQ5)),ABS(AQ3:AQ5),0)</f>
        <v>1</v>
      </c>
      <c r="AR6" s="5">
        <f t="array" ref="AR6">MATCH(MAX(ABS(AR3:AR5)),ABS(AR3:AR5),0)</f>
        <v>2</v>
      </c>
      <c r="AS6" s="5">
        <f t="array" ref="AS6">MATCH(MAX(ABS(AS3:AS5)),ABS(AS3:AS5),0)</f>
        <v>1</v>
      </c>
      <c r="AT6" s="5">
        <f t="array" ref="AT6">MATCH(MAX(ABS(AT3:AT5)),ABS(AT3:AT5),0)</f>
        <v>3</v>
      </c>
      <c r="AU6" s="5">
        <f t="array" ref="AU6">MATCH(MAX(ABS(AU3:AU5)),ABS(AU3:AU5),0)</f>
        <v>3</v>
      </c>
      <c r="AV6" s="5">
        <f t="array" ref="AV6">MATCH(MAX(ABS(AV3:AV5)),ABS(AV3:AV5),0)</f>
        <v>2</v>
      </c>
      <c r="AW6" s="5">
        <f t="array" ref="AW6">MATCH(MAX(ABS(AW3:AW5)),ABS(AW3:AW5),0)</f>
        <v>1</v>
      </c>
      <c r="AX6" s="5">
        <f t="array" ref="AX6">MATCH(MAX(ABS(AX3:AX5)),ABS(AX3:AX5),0)</f>
        <v>3</v>
      </c>
      <c r="AY6" s="5">
        <f t="array" ref="AY6">MATCH(MAX(ABS(AY3:AY5)),ABS(AY3:AY5),0)</f>
        <v>3</v>
      </c>
      <c r="AZ6" s="5">
        <f t="array" ref="AZ6">MATCH(MAX(ABS(AZ3:AZ5)),ABS(AZ3:AZ5),0)</f>
        <v>3</v>
      </c>
      <c r="BA6" s="5">
        <f t="array" ref="BA6">MATCH(MAX(ABS(BA3:BA5)),ABS(BA3:BA5),0)</f>
        <v>1</v>
      </c>
      <c r="BB6" s="5">
        <f t="array" ref="BB6">MATCH(MAX(ABS(BB3:BB5)),ABS(BB3:BB5),0)</f>
        <v>2</v>
      </c>
      <c r="BC6" s="5">
        <f t="array" ref="BC6">MATCH(MAX(ABS(BC3:BC5)),ABS(BC3:BC5),0)</f>
        <v>1</v>
      </c>
      <c r="BD6" s="5">
        <f t="array" ref="BD6">MATCH(MAX(ABS(BD3:BD5)),ABS(BD3:BD5),0)</f>
        <v>1</v>
      </c>
      <c r="BE6" s="5">
        <f t="array" ref="BE6">MATCH(MAX(ABS(BE3:BE5)),ABS(BE3:BE5),0)</f>
        <v>1</v>
      </c>
      <c r="BF6" s="5">
        <f t="array" ref="BF6">MATCH(MAX(ABS(BF3:BF5)),ABS(BF3:BF5),0)</f>
        <v>3</v>
      </c>
      <c r="BG6" s="5">
        <f t="array" ref="BG6">MATCH(MAX(ABS(BG3:BG5)),ABS(BG3:BG5),0)</f>
        <v>1</v>
      </c>
      <c r="BH6" s="5">
        <f t="array" ref="BH6">MATCH(MAX(ABS(BH3:BH5)),ABS(BH3:BH5),0)</f>
        <v>1</v>
      </c>
      <c r="BI6" s="5">
        <f t="array" ref="BI6">MATCH(MAX(ABS(BI3:BI5)),ABS(BI3:BI5),0)</f>
        <v>3</v>
      </c>
      <c r="BJ6" s="5">
        <f t="array" ref="BJ6">MATCH(MAX(ABS(BJ3:BJ5)),ABS(BJ3:BJ5),0)</f>
        <v>3</v>
      </c>
      <c r="BK6" s="5">
        <f t="array" ref="BK6">MATCH(MAX(ABS(BK3:BK5)),ABS(BK3:BK5),0)</f>
        <v>3</v>
      </c>
      <c r="BL6" s="5">
        <f t="array" ref="BL6">MATCH(MAX(ABS(BL3:BL5)),ABS(BL3:BL5),0)</f>
        <v>3</v>
      </c>
      <c r="BM6" s="5">
        <f t="array" ref="BM6">MATCH(MAX(ABS(BM3:BM5)),ABS(BM3:BM5),0)</f>
        <v>3</v>
      </c>
      <c r="BN6" s="5">
        <f t="array" ref="BN6">MATCH(MAX(ABS(BN3:BN5)),ABS(BN3:BN5),0)</f>
        <v>3</v>
      </c>
      <c r="BO6" s="5">
        <f t="array" ref="BO6">MATCH(MAX(ABS(BO3:BO5)),ABS(BO3:BO5),0)</f>
        <v>1</v>
      </c>
      <c r="BP6" s="5">
        <f t="array" ref="BP6">MATCH(MAX(ABS(BP3:BP5)),ABS(BP3:BP5),0)</f>
        <v>2</v>
      </c>
      <c r="BQ6" s="5">
        <f t="array" ref="BQ6">MATCH(MAX(ABS(BQ3:BQ5)),ABS(BQ3:BQ5),0)</f>
        <v>3</v>
      </c>
      <c r="BR6" s="5">
        <f t="array" ref="BR6">MATCH(MAX(ABS(BR3:BR5)),ABS(BR3:BR5),0)</f>
        <v>1</v>
      </c>
      <c r="BS6" s="5">
        <f t="array" ref="BS6">MATCH(MAX(ABS(BS3:BS5)),ABS(BS3:BS5),0)</f>
        <v>3</v>
      </c>
      <c r="BT6" s="5">
        <f t="array" ref="BT6">MATCH(MAX(ABS(BT3:BT5)),ABS(BT3:BT5),0)</f>
        <v>3</v>
      </c>
      <c r="BU6" s="5">
        <f t="array" ref="BU6">MATCH(MAX(ABS(BU3:BU5)),ABS(BU3:BU5),0)</f>
        <v>1</v>
      </c>
      <c r="BV6" s="5">
        <f t="array" ref="BV6">MATCH(MAX(ABS(BV3:BV5)),ABS(BV3:BV5),0)</f>
        <v>2</v>
      </c>
      <c r="BW6" s="5">
        <f t="array" ref="BW6">MATCH(MAX(ABS(BW3:BW5)),ABS(BW3:BW5),0)</f>
        <v>3</v>
      </c>
      <c r="BX6" s="5">
        <f t="array" ref="BX6">MATCH(MAX(ABS(BX3:BX5)),ABS(BX3:BX5),0)</f>
        <v>3</v>
      </c>
      <c r="BY6" s="5">
        <f t="array" ref="BY6">MATCH(MAX(ABS(BY3:BY5)),ABS(BY3:BY5),0)</f>
        <v>2</v>
      </c>
      <c r="BZ6" s="5">
        <f t="array" ref="BZ6">MATCH(MAX(ABS(BZ3:BZ5)),ABS(BZ3:BZ5),0)</f>
        <v>1</v>
      </c>
      <c r="CA6" s="5">
        <f t="array" ref="CA6">MATCH(MAX(ABS(CA3:CA5)),ABS(CA3:CA5),0)</f>
        <v>1</v>
      </c>
      <c r="CB6" s="5">
        <f t="array" ref="CB6">MATCH(MAX(ABS(CB3:CB5)),ABS(CB3:CB5),0)</f>
        <v>2</v>
      </c>
      <c r="CC6" s="5">
        <f t="array" ref="CC6">MATCH(MAX(ABS(CC3:CC5)),ABS(CC3:CC5),0)</f>
        <v>2</v>
      </c>
      <c r="CD6" s="5">
        <f t="array" ref="CD6">MATCH(MAX(ABS(CD3:CD5)),ABS(CD3:CD5),0)</f>
        <v>3</v>
      </c>
      <c r="CE6" s="5">
        <f t="array" ref="CE6">MATCH(MAX(ABS(CE3:CE5)),ABS(CE3:CE5),0)</f>
        <v>1</v>
      </c>
      <c r="CF6" s="5">
        <f t="array" ref="CF6">MATCH(MAX(ABS(CF3:CF5)),ABS(CF3:CF5),0)</f>
        <v>3</v>
      </c>
      <c r="CG6" s="5">
        <f t="array" ref="CG6">MATCH(MAX(ABS(CG3:CG5)),ABS(CG3:CG5),0)</f>
        <v>3</v>
      </c>
      <c r="CH6" s="5">
        <f t="array" ref="CH6">MATCH(MAX(ABS(CH3:CH5)),ABS(CH3:CH5),0)</f>
        <v>3</v>
      </c>
      <c r="CI6" s="5">
        <f t="array" ref="CI6">MATCH(MAX(ABS(CI3:CI5)),ABS(CI3:CI5),0)</f>
        <v>3</v>
      </c>
      <c r="CJ6" s="5">
        <f t="array" ref="CJ6">MATCH(MAX(ABS(CJ3:CJ5)),ABS(CJ3:CJ5),0)</f>
        <v>1</v>
      </c>
      <c r="CK6" s="5">
        <f t="array" ref="CK6">MATCH(MAX(ABS(CK3:CK5)),ABS(CK3:CK5),0)</f>
        <v>3</v>
      </c>
      <c r="CL6" s="5">
        <f t="array" ref="CL6">MATCH(MAX(ABS(CL3:CL5)),ABS(CL3:CL5),0)</f>
        <v>3</v>
      </c>
      <c r="CM6" s="5">
        <f t="array" ref="CM6">MATCH(MAX(ABS(CM3:CM5)),ABS(CM3:CM5),0)</f>
        <v>1</v>
      </c>
      <c r="CN6" s="5">
        <f t="array" ref="CN6">MATCH(MAX(ABS(CN3:CN5)),ABS(CN3:CN5),0)</f>
        <v>1</v>
      </c>
      <c r="CO6" s="5">
        <f t="array" ref="CO6">MATCH(MAX(ABS(CO3:CO5)),ABS(CO3:CO5),0)</f>
        <v>3</v>
      </c>
      <c r="CP6" s="5">
        <f t="array" ref="CP6">MATCH(MAX(ABS(CP3:CP5)),ABS(CP3:CP5),0)</f>
        <v>1</v>
      </c>
      <c r="CQ6" s="5">
        <f t="array" ref="CQ6">MATCH(MAX(ABS(CQ3:CQ5)),ABS(CQ3:CQ5),0)</f>
        <v>3</v>
      </c>
      <c r="CR6" s="5">
        <f t="array" ref="CR6">MATCH(MAX(ABS(CR3:CR5)),ABS(CR3:CR5),0)</f>
        <v>3</v>
      </c>
      <c r="CS6" s="5">
        <f t="array" ref="CS6">MATCH(MAX(ABS(CS3:CS5)),ABS(CS3:CS5),0)</f>
        <v>2</v>
      </c>
      <c r="CT6" s="5">
        <f t="array" ref="CT6">MATCH(MAX(ABS(CT3:CT5)),ABS(CT3:CT5),0)</f>
        <v>3</v>
      </c>
      <c r="CU6" s="5">
        <f t="array" ref="CU6">MATCH(MAX(ABS(CU3:CU5)),ABS(CU3:CU5),0)</f>
        <v>3</v>
      </c>
      <c r="CV6" s="5">
        <f t="array" ref="CV6">MATCH(MAX(ABS(CV3:CV5)),ABS(CV3:CV5),0)</f>
        <v>2</v>
      </c>
      <c r="CW6" s="5">
        <f t="array" ref="CW6">MATCH(MAX(ABS(CW3:CW5)),ABS(CW3:CW5),0)</f>
        <v>3</v>
      </c>
      <c r="CX6" s="5">
        <f t="array" ref="CX6">MATCH(MAX(ABS(CX3:CX5)),ABS(CX3:CX5),0)</f>
        <v>3</v>
      </c>
      <c r="CY6" s="5">
        <f t="array" ref="CY6">MATCH(MAX(ABS(CY3:CY5)),ABS(CY3:CY5),0)</f>
        <v>3</v>
      </c>
      <c r="CZ6" s="5">
        <f t="array" ref="CZ6">MATCH(MAX(ABS(CZ3:CZ5)),ABS(CZ3:CZ5),0)</f>
        <v>3</v>
      </c>
      <c r="DA6" s="5">
        <f t="array" ref="DA6">MATCH(MAX(ABS(DA3:DA5)),ABS(DA3:DA5),0)</f>
        <v>1</v>
      </c>
      <c r="DB6" s="5">
        <f t="array" ref="DB6">MATCH(MAX(ABS(DB3:DB5)),ABS(DB3:DB5),0)</f>
        <v>1</v>
      </c>
      <c r="DC6" s="5">
        <f t="array" ref="DC6">MATCH(MAX(ABS(DC3:DC5)),ABS(DC3:DC5),0)</f>
        <v>1</v>
      </c>
      <c r="DD6" s="5">
        <f t="array" ref="DD6">MATCH(MAX(ABS(DD3:DD5)),ABS(DD3:DD5),0)</f>
        <v>3</v>
      </c>
      <c r="DE6" s="5">
        <f t="array" ref="DE6">MATCH(MAX(ABS(DE3:DE5)),ABS(DE3:DE5),0)</f>
        <v>3</v>
      </c>
      <c r="DF6" s="5">
        <f t="array" ref="DF6">MATCH(MAX(ABS(DF3:DF5)),ABS(DF3:DF5),0)</f>
        <v>3</v>
      </c>
      <c r="DG6" s="5">
        <f t="array" ref="DG6">MATCH(MAX(ABS(DG3:DG5)),ABS(DG3:DG5),0)</f>
        <v>3</v>
      </c>
      <c r="DH6" s="5">
        <f t="array" ref="DH6">MATCH(MAX(ABS(DH3:DH5)),ABS(DH3:DH5),0)</f>
        <v>2</v>
      </c>
      <c r="DI6" s="5">
        <f t="array" ref="DI6">MATCH(MAX(ABS(DI3:DI5)),ABS(DI3:DI5),0)</f>
        <v>3</v>
      </c>
      <c r="DJ6" s="5">
        <f t="array" ref="DJ6">MATCH(MAX(ABS(DJ3:DJ5)),ABS(DJ3:DJ5),0)</f>
        <v>3</v>
      </c>
      <c r="DK6" s="5">
        <f t="array" ref="DK6">MATCH(MAX(ABS(DK3:DK5)),ABS(DK3:DK5),0)</f>
        <v>3</v>
      </c>
      <c r="DL6" s="5">
        <f t="array" ref="DL6">MATCH(MAX(ABS(DL3:DL5)),ABS(DL3:DL5),0)</f>
        <v>3</v>
      </c>
      <c r="DM6" s="5">
        <f t="array" ref="DM6">MATCH(MAX(ABS(DM3:DM5)),ABS(DM3:DM5),0)</f>
        <v>3</v>
      </c>
      <c r="DN6" s="5">
        <f t="array" ref="DN6">MATCH(MAX(ABS(DN3:DN5)),ABS(DN3:DN5),0)</f>
        <v>3</v>
      </c>
      <c r="DO6" s="5">
        <f t="array" ref="DO6">MATCH(MAX(ABS(DO3:DO5)),ABS(DO3:DO5),0)</f>
        <v>3</v>
      </c>
      <c r="DP6" s="5">
        <f t="array" ref="DP6">MATCH(MAX(ABS(DP3:DP5)),ABS(DP3:DP5),0)</f>
        <v>1</v>
      </c>
      <c r="DQ6" s="5">
        <f t="array" ref="DQ6">MATCH(MAX(ABS(DQ3:DQ5)),ABS(DQ3:DQ5),0)</f>
        <v>3</v>
      </c>
      <c r="DR6" s="5">
        <f t="array" ref="DR6">MATCH(MAX(ABS(DR3:DR5)),ABS(DR3:DR5),0)</f>
        <v>2</v>
      </c>
      <c r="DS6" s="5">
        <f t="array" ref="DS6">MATCH(MAX(ABS(DS3:DS5)),ABS(DS3:DS5),0)</f>
        <v>3</v>
      </c>
      <c r="DT6" s="5">
        <f t="array" ref="DT6">MATCH(MAX(ABS(DT3:DT5)),ABS(DT3:DT5),0)</f>
        <v>3</v>
      </c>
      <c r="DU6" s="5">
        <f t="array" ref="DU6">MATCH(MAX(ABS(DU3:DU5)),ABS(DU3:DU5),0)</f>
        <v>3</v>
      </c>
      <c r="DV6" s="5">
        <f t="array" ref="DV6">MATCH(MAX(ABS(DV3:DV5)),ABS(DV3:DV5),0)</f>
        <v>3</v>
      </c>
      <c r="DW6" s="5">
        <f t="array" ref="DW6">MATCH(MAX(ABS(DW3:DW5)),ABS(DW3:DW5),0)</f>
        <v>1</v>
      </c>
      <c r="DX6" s="5">
        <f t="array" ref="DX6">MATCH(MAX(ABS(DX3:DX5)),ABS(DX3:DX5),0)</f>
        <v>3</v>
      </c>
      <c r="DY6" s="5">
        <f t="array" ref="DY6">MATCH(MAX(ABS(DY3:DY5)),ABS(DY3:DY5),0)</f>
        <v>3</v>
      </c>
      <c r="DZ6" s="5">
        <f t="array" ref="DZ6">MATCH(MAX(ABS(DZ3:DZ5)),ABS(DZ3:DZ5),0)</f>
        <v>3</v>
      </c>
      <c r="EA6" s="5">
        <f t="array" ref="EA6">MATCH(MAX(ABS(EA3:EA5)),ABS(EA3:EA5),0)</f>
        <v>2</v>
      </c>
      <c r="EB6" s="5">
        <f t="array" ref="EB6">MATCH(MAX(ABS(EB3:EB5)),ABS(EB3:EB5),0)</f>
        <v>3</v>
      </c>
      <c r="EC6" s="5">
        <f t="array" ref="EC6">MATCH(MAX(ABS(EC3:EC5)),ABS(EC3:EC5),0)</f>
        <v>3</v>
      </c>
      <c r="ED6" s="5">
        <f t="array" ref="ED6">MATCH(MAX(ABS(ED3:ED5)),ABS(ED3:ED5),0)</f>
        <v>3</v>
      </c>
      <c r="EE6" s="5">
        <f t="array" ref="EE6">MATCH(MAX(ABS(EE3:EE5)),ABS(EE3:EE5),0)</f>
        <v>3</v>
      </c>
      <c r="EF6" s="5">
        <f t="array" ref="EF6">MATCH(MAX(ABS(EF3:EF5)),ABS(EF3:EF5),0)</f>
        <v>2</v>
      </c>
    </row>
    <row r="7" spans="1:136">
      <c r="C7" s="5" t="str">
        <f t="shared" ref="C7:AH7" si="0">IF(C6=1,"bm",IF(C6=2,"size",IF(C6=3,"mom")))</f>
        <v>mom</v>
      </c>
      <c r="D7" s="5" t="str">
        <f t="shared" si="0"/>
        <v>size</v>
      </c>
      <c r="E7" s="5" t="str">
        <f t="shared" si="0"/>
        <v>mom</v>
      </c>
      <c r="F7" s="5" t="str">
        <f t="shared" si="0"/>
        <v>mom</v>
      </c>
      <c r="G7" s="5" t="str">
        <f t="shared" si="0"/>
        <v>mom</v>
      </c>
      <c r="H7" s="5" t="str">
        <f t="shared" si="0"/>
        <v>mom</v>
      </c>
      <c r="I7" s="5" t="str">
        <f t="shared" si="0"/>
        <v>bm</v>
      </c>
      <c r="J7" s="5" t="str">
        <f t="shared" si="0"/>
        <v>bm</v>
      </c>
      <c r="K7" s="5" t="str">
        <f t="shared" si="0"/>
        <v>mom</v>
      </c>
      <c r="L7" s="5" t="str">
        <f t="shared" si="0"/>
        <v>mom</v>
      </c>
      <c r="M7" s="5" t="str">
        <f t="shared" si="0"/>
        <v>mom</v>
      </c>
      <c r="N7" s="5" t="str">
        <f t="shared" si="0"/>
        <v>mom</v>
      </c>
      <c r="O7" s="5" t="str">
        <f t="shared" si="0"/>
        <v>bm</v>
      </c>
      <c r="P7" s="5" t="str">
        <f t="shared" si="0"/>
        <v>mom</v>
      </c>
      <c r="Q7" s="5" t="str">
        <f t="shared" si="0"/>
        <v>bm</v>
      </c>
      <c r="R7" s="5" t="str">
        <f t="shared" si="0"/>
        <v>bm</v>
      </c>
      <c r="S7" s="5" t="str">
        <f t="shared" si="0"/>
        <v>mom</v>
      </c>
      <c r="T7" s="5" t="str">
        <f t="shared" si="0"/>
        <v>bm</v>
      </c>
      <c r="U7" s="5" t="str">
        <f t="shared" si="0"/>
        <v>bm</v>
      </c>
      <c r="V7" s="5" t="str">
        <f t="shared" si="0"/>
        <v>mom</v>
      </c>
      <c r="W7" s="5" t="str">
        <f t="shared" si="0"/>
        <v>mom</v>
      </c>
      <c r="X7" s="5" t="str">
        <f t="shared" si="0"/>
        <v>size</v>
      </c>
      <c r="Y7" s="5" t="str">
        <f t="shared" si="0"/>
        <v>mom</v>
      </c>
      <c r="Z7" s="5" t="str">
        <f t="shared" si="0"/>
        <v>bm</v>
      </c>
      <c r="AA7" s="5" t="str">
        <f t="shared" si="0"/>
        <v>bm</v>
      </c>
      <c r="AB7" s="5" t="str">
        <f t="shared" si="0"/>
        <v>bm</v>
      </c>
      <c r="AC7" s="5" t="str">
        <f t="shared" si="0"/>
        <v>mom</v>
      </c>
      <c r="AD7" s="5" t="str">
        <f t="shared" si="0"/>
        <v>mom</v>
      </c>
      <c r="AE7" s="5" t="str">
        <f t="shared" si="0"/>
        <v>mom</v>
      </c>
      <c r="AF7" s="5" t="str">
        <f t="shared" si="0"/>
        <v>mom</v>
      </c>
      <c r="AG7" s="5" t="str">
        <f t="shared" si="0"/>
        <v>mom</v>
      </c>
      <c r="AH7" s="5" t="str">
        <f t="shared" si="0"/>
        <v>mom</v>
      </c>
      <c r="AI7" s="5" t="str">
        <f t="shared" ref="AI7:BN7" si="1">IF(AI6=1,"bm",IF(AI6=2,"size",IF(AI6=3,"mom")))</f>
        <v>mom</v>
      </c>
      <c r="AJ7" s="5" t="str">
        <f t="shared" si="1"/>
        <v>mom</v>
      </c>
      <c r="AK7" s="5" t="str">
        <f t="shared" si="1"/>
        <v>mom</v>
      </c>
      <c r="AL7" s="5" t="str">
        <f t="shared" si="1"/>
        <v>bm</v>
      </c>
      <c r="AM7" s="5" t="str">
        <f t="shared" si="1"/>
        <v>bm</v>
      </c>
      <c r="AN7" s="5" t="str">
        <f t="shared" si="1"/>
        <v>bm</v>
      </c>
      <c r="AO7" s="5" t="str">
        <f t="shared" si="1"/>
        <v>mom</v>
      </c>
      <c r="AP7" s="5" t="str">
        <f t="shared" si="1"/>
        <v>size</v>
      </c>
      <c r="AQ7" s="5" t="str">
        <f t="shared" si="1"/>
        <v>bm</v>
      </c>
      <c r="AR7" s="5" t="str">
        <f t="shared" si="1"/>
        <v>size</v>
      </c>
      <c r="AS7" s="5" t="str">
        <f t="shared" si="1"/>
        <v>bm</v>
      </c>
      <c r="AT7" s="5" t="str">
        <f t="shared" si="1"/>
        <v>mom</v>
      </c>
      <c r="AU7" s="5" t="str">
        <f t="shared" si="1"/>
        <v>mom</v>
      </c>
      <c r="AV7" s="5" t="str">
        <f t="shared" si="1"/>
        <v>size</v>
      </c>
      <c r="AW7" s="5" t="str">
        <f t="shared" si="1"/>
        <v>bm</v>
      </c>
      <c r="AX7" s="5" t="str">
        <f t="shared" si="1"/>
        <v>mom</v>
      </c>
      <c r="AY7" s="5" t="str">
        <f t="shared" si="1"/>
        <v>mom</v>
      </c>
      <c r="AZ7" s="5" t="str">
        <f t="shared" si="1"/>
        <v>mom</v>
      </c>
      <c r="BA7" s="5" t="str">
        <f t="shared" si="1"/>
        <v>bm</v>
      </c>
      <c r="BB7" s="5" t="str">
        <f t="shared" si="1"/>
        <v>size</v>
      </c>
      <c r="BC7" s="5" t="str">
        <f t="shared" si="1"/>
        <v>bm</v>
      </c>
      <c r="BD7" s="5" t="str">
        <f t="shared" si="1"/>
        <v>bm</v>
      </c>
      <c r="BE7" s="5" t="str">
        <f t="shared" si="1"/>
        <v>bm</v>
      </c>
      <c r="BF7" s="5" t="str">
        <f t="shared" si="1"/>
        <v>mom</v>
      </c>
      <c r="BG7" s="5" t="str">
        <f t="shared" si="1"/>
        <v>bm</v>
      </c>
      <c r="BH7" s="5" t="str">
        <f t="shared" si="1"/>
        <v>bm</v>
      </c>
      <c r="BI7" s="5" t="str">
        <f t="shared" si="1"/>
        <v>mom</v>
      </c>
      <c r="BJ7" s="5" t="str">
        <f t="shared" si="1"/>
        <v>mom</v>
      </c>
      <c r="BK7" s="5" t="str">
        <f t="shared" si="1"/>
        <v>mom</v>
      </c>
      <c r="BL7" s="5" t="str">
        <f t="shared" si="1"/>
        <v>mom</v>
      </c>
      <c r="BM7" s="5" t="str">
        <f t="shared" si="1"/>
        <v>mom</v>
      </c>
      <c r="BN7" s="5" t="str">
        <f t="shared" si="1"/>
        <v>mom</v>
      </c>
      <c r="BO7" s="5" t="str">
        <f t="shared" ref="BO7:CT7" si="2">IF(BO6=1,"bm",IF(BO6=2,"size",IF(BO6=3,"mom")))</f>
        <v>bm</v>
      </c>
      <c r="BP7" s="5" t="str">
        <f t="shared" si="2"/>
        <v>size</v>
      </c>
      <c r="BQ7" s="5" t="str">
        <f t="shared" si="2"/>
        <v>mom</v>
      </c>
      <c r="BR7" s="5" t="str">
        <f t="shared" si="2"/>
        <v>bm</v>
      </c>
      <c r="BS7" s="5" t="str">
        <f t="shared" si="2"/>
        <v>mom</v>
      </c>
      <c r="BT7" s="5" t="str">
        <f t="shared" si="2"/>
        <v>mom</v>
      </c>
      <c r="BU7" s="5" t="str">
        <f t="shared" si="2"/>
        <v>bm</v>
      </c>
      <c r="BV7" s="5" t="str">
        <f t="shared" si="2"/>
        <v>size</v>
      </c>
      <c r="BW7" s="5" t="str">
        <f t="shared" si="2"/>
        <v>mom</v>
      </c>
      <c r="BX7" s="5" t="str">
        <f t="shared" si="2"/>
        <v>mom</v>
      </c>
      <c r="BY7" s="5" t="str">
        <f t="shared" si="2"/>
        <v>size</v>
      </c>
      <c r="BZ7" s="5" t="str">
        <f t="shared" si="2"/>
        <v>bm</v>
      </c>
      <c r="CA7" s="5" t="str">
        <f t="shared" si="2"/>
        <v>bm</v>
      </c>
      <c r="CB7" s="5" t="str">
        <f t="shared" si="2"/>
        <v>size</v>
      </c>
      <c r="CC7" s="5" t="str">
        <f t="shared" si="2"/>
        <v>size</v>
      </c>
      <c r="CD7" s="5" t="str">
        <f t="shared" si="2"/>
        <v>mom</v>
      </c>
      <c r="CE7" s="5" t="str">
        <f t="shared" si="2"/>
        <v>bm</v>
      </c>
      <c r="CF7" s="5" t="str">
        <f t="shared" si="2"/>
        <v>mom</v>
      </c>
      <c r="CG7" s="5" t="str">
        <f t="shared" si="2"/>
        <v>mom</v>
      </c>
      <c r="CH7" s="5" t="str">
        <f t="shared" si="2"/>
        <v>mom</v>
      </c>
      <c r="CI7" s="5" t="str">
        <f t="shared" si="2"/>
        <v>mom</v>
      </c>
      <c r="CJ7" s="5" t="str">
        <f t="shared" si="2"/>
        <v>bm</v>
      </c>
      <c r="CK7" s="5" t="str">
        <f t="shared" si="2"/>
        <v>mom</v>
      </c>
      <c r="CL7" s="5" t="str">
        <f t="shared" si="2"/>
        <v>mom</v>
      </c>
      <c r="CM7" s="5" t="str">
        <f t="shared" si="2"/>
        <v>bm</v>
      </c>
      <c r="CN7" s="5" t="str">
        <f t="shared" si="2"/>
        <v>bm</v>
      </c>
      <c r="CO7" s="5" t="str">
        <f t="shared" si="2"/>
        <v>mom</v>
      </c>
      <c r="CP7" s="5" t="str">
        <f t="shared" si="2"/>
        <v>bm</v>
      </c>
      <c r="CQ7" s="5" t="str">
        <f t="shared" si="2"/>
        <v>mom</v>
      </c>
      <c r="CR7" s="5" t="str">
        <f t="shared" si="2"/>
        <v>mom</v>
      </c>
      <c r="CS7" s="5" t="str">
        <f t="shared" si="2"/>
        <v>size</v>
      </c>
      <c r="CT7" s="5" t="str">
        <f t="shared" si="2"/>
        <v>mom</v>
      </c>
      <c r="CU7" s="5" t="str">
        <f t="shared" ref="CU7:DZ7" si="3">IF(CU6=1,"bm",IF(CU6=2,"size",IF(CU6=3,"mom")))</f>
        <v>mom</v>
      </c>
      <c r="CV7" s="5" t="str">
        <f t="shared" si="3"/>
        <v>size</v>
      </c>
      <c r="CW7" s="5" t="str">
        <f t="shared" si="3"/>
        <v>mom</v>
      </c>
      <c r="CX7" s="5" t="str">
        <f t="shared" si="3"/>
        <v>mom</v>
      </c>
      <c r="CY7" s="5" t="str">
        <f t="shared" si="3"/>
        <v>mom</v>
      </c>
      <c r="CZ7" s="5" t="str">
        <f t="shared" si="3"/>
        <v>mom</v>
      </c>
      <c r="DA7" s="5" t="str">
        <f t="shared" si="3"/>
        <v>bm</v>
      </c>
      <c r="DB7" s="5" t="str">
        <f t="shared" si="3"/>
        <v>bm</v>
      </c>
      <c r="DC7" s="5" t="str">
        <f t="shared" si="3"/>
        <v>bm</v>
      </c>
      <c r="DD7" s="5" t="str">
        <f t="shared" si="3"/>
        <v>mom</v>
      </c>
      <c r="DE7" s="5" t="str">
        <f t="shared" si="3"/>
        <v>mom</v>
      </c>
      <c r="DF7" s="5" t="str">
        <f t="shared" si="3"/>
        <v>mom</v>
      </c>
      <c r="DG7" s="5" t="str">
        <f t="shared" si="3"/>
        <v>mom</v>
      </c>
      <c r="DH7" s="5" t="str">
        <f t="shared" si="3"/>
        <v>size</v>
      </c>
      <c r="DI7" s="5" t="str">
        <f t="shared" si="3"/>
        <v>mom</v>
      </c>
      <c r="DJ7" s="5" t="str">
        <f t="shared" si="3"/>
        <v>mom</v>
      </c>
      <c r="DK7" s="5" t="str">
        <f t="shared" si="3"/>
        <v>mom</v>
      </c>
      <c r="DL7" s="5" t="str">
        <f t="shared" si="3"/>
        <v>mom</v>
      </c>
      <c r="DM7" s="5" t="str">
        <f t="shared" si="3"/>
        <v>mom</v>
      </c>
      <c r="DN7" s="5" t="str">
        <f t="shared" si="3"/>
        <v>mom</v>
      </c>
      <c r="DO7" s="5" t="str">
        <f t="shared" si="3"/>
        <v>mom</v>
      </c>
      <c r="DP7" s="5" t="str">
        <f t="shared" si="3"/>
        <v>bm</v>
      </c>
      <c r="DQ7" s="5" t="str">
        <f t="shared" si="3"/>
        <v>mom</v>
      </c>
      <c r="DR7" s="5" t="str">
        <f t="shared" si="3"/>
        <v>size</v>
      </c>
      <c r="DS7" s="5" t="str">
        <f t="shared" si="3"/>
        <v>mom</v>
      </c>
      <c r="DT7" s="5" t="str">
        <f t="shared" si="3"/>
        <v>mom</v>
      </c>
      <c r="DU7" s="5" t="str">
        <f t="shared" si="3"/>
        <v>mom</v>
      </c>
      <c r="DV7" s="5" t="str">
        <f t="shared" si="3"/>
        <v>mom</v>
      </c>
      <c r="DW7" s="5" t="str">
        <f t="shared" si="3"/>
        <v>bm</v>
      </c>
      <c r="DX7" s="5" t="str">
        <f t="shared" si="3"/>
        <v>mom</v>
      </c>
      <c r="DY7" s="5" t="str">
        <f t="shared" si="3"/>
        <v>mom</v>
      </c>
      <c r="DZ7" s="5" t="str">
        <f t="shared" si="3"/>
        <v>mom</v>
      </c>
      <c r="EA7" s="5" t="str">
        <f t="shared" ref="EA7:EF7" si="4">IF(EA6=1,"bm",IF(EA6=2,"size",IF(EA6=3,"mom")))</f>
        <v>size</v>
      </c>
      <c r="EB7" s="5" t="str">
        <f t="shared" si="4"/>
        <v>mom</v>
      </c>
      <c r="EC7" s="5" t="str">
        <f t="shared" si="4"/>
        <v>mom</v>
      </c>
      <c r="ED7" s="5" t="str">
        <f t="shared" si="4"/>
        <v>mom</v>
      </c>
      <c r="EE7" s="5" t="str">
        <f t="shared" si="4"/>
        <v>mom</v>
      </c>
      <c r="EF7" s="5" t="str">
        <f t="shared" si="4"/>
        <v>size</v>
      </c>
    </row>
    <row r="8" spans="1:136">
      <c r="C8" s="5">
        <f t="shared" ref="C8:AH8" si="5">IF(C6=1,C3,IF(C6=2,C4,IF(C6=3,C5)))</f>
        <v>-0.20935792122733929</v>
      </c>
      <c r="D8" s="5">
        <f t="shared" si="5"/>
        <v>-0.19670615347595799</v>
      </c>
      <c r="E8" s="5">
        <f t="shared" si="5"/>
        <v>0.52484760680152232</v>
      </c>
      <c r="F8" s="5">
        <f t="shared" si="5"/>
        <v>4.6837059958046809E-2</v>
      </c>
      <c r="G8" s="5">
        <f t="shared" si="5"/>
        <v>-0.2104714261735883</v>
      </c>
      <c r="H8" s="5">
        <f t="shared" si="5"/>
        <v>0.4744149628629204</v>
      </c>
      <c r="I8" s="5">
        <f t="shared" si="5"/>
        <v>-0.19676558635554181</v>
      </c>
      <c r="J8" s="5">
        <f t="shared" si="5"/>
        <v>0.27883034253820949</v>
      </c>
      <c r="K8" s="5">
        <f t="shared" si="5"/>
        <v>0.27552845629080469</v>
      </c>
      <c r="L8" s="5">
        <f t="shared" si="5"/>
        <v>-0.43004286310886081</v>
      </c>
      <c r="M8" s="5">
        <f t="shared" si="5"/>
        <v>0.32376774959305898</v>
      </c>
      <c r="N8" s="5">
        <f t="shared" si="5"/>
        <v>-0.34824165047033961</v>
      </c>
      <c r="O8" s="5">
        <f t="shared" si="5"/>
        <v>0.31084678168383029</v>
      </c>
      <c r="P8" s="5">
        <f t="shared" si="5"/>
        <v>0.39546612391174241</v>
      </c>
      <c r="Q8" s="5">
        <f t="shared" si="5"/>
        <v>-0.1230705033938234</v>
      </c>
      <c r="R8" s="5">
        <f t="shared" si="5"/>
        <v>-0.1125584938483804</v>
      </c>
      <c r="S8" s="5">
        <f t="shared" si="5"/>
        <v>0.3057921371194337</v>
      </c>
      <c r="T8" s="5">
        <f t="shared" si="5"/>
        <v>-0.14458476697667069</v>
      </c>
      <c r="U8" s="5">
        <f t="shared" si="5"/>
        <v>-0.26280780822848793</v>
      </c>
      <c r="V8" s="5">
        <f t="shared" si="5"/>
        <v>-0.13936695356286269</v>
      </c>
      <c r="W8" s="5">
        <f t="shared" si="5"/>
        <v>-0.39469012652483237</v>
      </c>
      <c r="X8" s="5">
        <f t="shared" si="5"/>
        <v>-0.1698621934781421</v>
      </c>
      <c r="Y8" s="5">
        <f t="shared" si="5"/>
        <v>-0.68127295831176804</v>
      </c>
      <c r="Z8" s="5">
        <f t="shared" si="5"/>
        <v>0.10308974194226191</v>
      </c>
      <c r="AA8" s="5">
        <f t="shared" si="5"/>
        <v>0.48637748963693189</v>
      </c>
      <c r="AB8" s="5">
        <f t="shared" si="5"/>
        <v>-0.2348198317515614</v>
      </c>
      <c r="AC8" s="5">
        <f t="shared" si="5"/>
        <v>-8.9163225286403025E-2</v>
      </c>
      <c r="AD8" s="5">
        <f t="shared" si="5"/>
        <v>0.14514145822358679</v>
      </c>
      <c r="AE8" s="5">
        <f t="shared" si="5"/>
        <v>7.4669147590605167E-2</v>
      </c>
      <c r="AF8" s="5">
        <f t="shared" si="5"/>
        <v>0.17577042279847119</v>
      </c>
      <c r="AG8" s="5">
        <f t="shared" si="5"/>
        <v>-0.30336041259100399</v>
      </c>
      <c r="AH8" s="5">
        <f t="shared" si="5"/>
        <v>-0.3482499081721625</v>
      </c>
      <c r="AI8" s="5">
        <f t="shared" ref="AI8:BN8" si="6">IF(AI6=1,AI3,IF(AI6=2,AI4,IF(AI6=3,AI5)))</f>
        <v>0.25872371710226461</v>
      </c>
      <c r="AJ8" s="5">
        <f t="shared" si="6"/>
        <v>-0.48889196953357</v>
      </c>
      <c r="AK8" s="5">
        <f t="shared" si="6"/>
        <v>0.13254842946584691</v>
      </c>
      <c r="AL8" s="5">
        <f t="shared" si="6"/>
        <v>0.18738072328871311</v>
      </c>
      <c r="AM8" s="5">
        <f t="shared" si="6"/>
        <v>9.6837349683267515E-2</v>
      </c>
      <c r="AN8" s="5">
        <f t="shared" si="6"/>
        <v>0.2075736584826241</v>
      </c>
      <c r="AO8" s="5">
        <f t="shared" si="6"/>
        <v>0.1844633194704077</v>
      </c>
      <c r="AP8" s="5">
        <f t="shared" si="6"/>
        <v>8.0316784439199651E-2</v>
      </c>
      <c r="AQ8" s="5">
        <f t="shared" si="6"/>
        <v>-0.2114396427417907</v>
      </c>
      <c r="AR8" s="5">
        <f t="shared" si="6"/>
        <v>0.11489008982476891</v>
      </c>
      <c r="AS8" s="5">
        <f t="shared" si="6"/>
        <v>0.14111009314114151</v>
      </c>
      <c r="AT8" s="5">
        <f t="shared" si="6"/>
        <v>0.1516447920969482</v>
      </c>
      <c r="AU8" s="5">
        <f t="shared" si="6"/>
        <v>-0.20083705233961571</v>
      </c>
      <c r="AV8" s="5">
        <f t="shared" si="6"/>
        <v>-0.2173053184250211</v>
      </c>
      <c r="AW8" s="5">
        <f t="shared" si="6"/>
        <v>-0.17415500379798879</v>
      </c>
      <c r="AX8" s="5">
        <f t="shared" si="6"/>
        <v>0.1122931240608864</v>
      </c>
      <c r="AY8" s="5">
        <f t="shared" si="6"/>
        <v>-0.118056117907044</v>
      </c>
      <c r="AZ8" s="5">
        <f t="shared" si="6"/>
        <v>0.20621977214253931</v>
      </c>
      <c r="BA8" s="5">
        <f t="shared" si="6"/>
        <v>0.1604995491281753</v>
      </c>
      <c r="BB8" s="5">
        <f t="shared" si="6"/>
        <v>-0.25209000741856791</v>
      </c>
      <c r="BC8" s="5">
        <f t="shared" si="6"/>
        <v>0.1567368975950951</v>
      </c>
      <c r="BD8" s="5">
        <f t="shared" si="6"/>
        <v>0.16688346547535959</v>
      </c>
      <c r="BE8" s="5">
        <f t="shared" si="6"/>
        <v>-0.13147229447438161</v>
      </c>
      <c r="BF8" s="5">
        <f t="shared" si="6"/>
        <v>-0.28526227318364472</v>
      </c>
      <c r="BG8" s="5">
        <f t="shared" si="6"/>
        <v>0.31531123716865839</v>
      </c>
      <c r="BH8" s="5">
        <f t="shared" si="6"/>
        <v>0.27010117711850451</v>
      </c>
      <c r="BI8" s="5">
        <f t="shared" si="6"/>
        <v>5.812657406460206E-2</v>
      </c>
      <c r="BJ8" s="5">
        <f t="shared" si="6"/>
        <v>-0.25986983403483388</v>
      </c>
      <c r="BK8" s="5">
        <f t="shared" si="6"/>
        <v>0.18487944696901781</v>
      </c>
      <c r="BL8" s="5">
        <f t="shared" si="6"/>
        <v>-0.26913172790454543</v>
      </c>
      <c r="BM8" s="5">
        <f t="shared" si="6"/>
        <v>0.1717381908649544</v>
      </c>
      <c r="BN8" s="5">
        <f t="shared" si="6"/>
        <v>-0.18092216130584951</v>
      </c>
      <c r="BO8" s="5">
        <f t="shared" ref="BO8:CT8" si="7">IF(BO6=1,BO3,IF(BO6=2,BO4,IF(BO6=3,BO5)))</f>
        <v>-0.14928793997254061</v>
      </c>
      <c r="BP8" s="5">
        <f t="shared" si="7"/>
        <v>8.3537285837463671E-2</v>
      </c>
      <c r="BQ8" s="5">
        <f t="shared" si="7"/>
        <v>-0.16861046240236999</v>
      </c>
      <c r="BR8" s="5">
        <f t="shared" si="7"/>
        <v>0.21346470331308501</v>
      </c>
      <c r="BS8" s="5">
        <f t="shared" si="7"/>
        <v>0.1244241075337672</v>
      </c>
      <c r="BT8" s="5">
        <f t="shared" si="7"/>
        <v>0.20772231279415901</v>
      </c>
      <c r="BU8" s="5">
        <f t="shared" si="7"/>
        <v>0.11377937808470839</v>
      </c>
      <c r="BV8" s="5">
        <f t="shared" si="7"/>
        <v>0.17298229554948641</v>
      </c>
      <c r="BW8" s="5">
        <f t="shared" si="7"/>
        <v>-0.1268015683060742</v>
      </c>
      <c r="BX8" s="5">
        <f t="shared" si="7"/>
        <v>-0.10582029087279909</v>
      </c>
      <c r="BY8" s="5">
        <f t="shared" si="7"/>
        <v>-0.18303206657081719</v>
      </c>
      <c r="BZ8" s="5">
        <f t="shared" si="7"/>
        <v>-0.14071284467671219</v>
      </c>
      <c r="CA8" s="5">
        <f t="shared" si="7"/>
        <v>7.3472777058868566E-2</v>
      </c>
      <c r="CB8" s="5">
        <f t="shared" si="7"/>
        <v>0.19814488479862649</v>
      </c>
      <c r="CC8" s="5">
        <f t="shared" si="7"/>
        <v>-0.29368551385020503</v>
      </c>
      <c r="CD8" s="5">
        <f t="shared" si="7"/>
        <v>0.32742328506094998</v>
      </c>
      <c r="CE8" s="5">
        <f t="shared" si="7"/>
        <v>0.2187970365966756</v>
      </c>
      <c r="CF8" s="5">
        <f t="shared" si="7"/>
        <v>-0.14937324914413941</v>
      </c>
      <c r="CG8" s="5">
        <f t="shared" si="7"/>
        <v>0.16320028060313421</v>
      </c>
      <c r="CH8" s="5">
        <f t="shared" si="7"/>
        <v>-6.9038325074175663E-2</v>
      </c>
      <c r="CI8" s="5">
        <f t="shared" si="7"/>
        <v>-0.11536214708505139</v>
      </c>
      <c r="CJ8" s="5">
        <f t="shared" si="7"/>
        <v>-0.39111281147264948</v>
      </c>
      <c r="CK8" s="5">
        <f t="shared" si="7"/>
        <v>0.37897350211797709</v>
      </c>
      <c r="CL8" s="5">
        <f t="shared" si="7"/>
        <v>-7.6383453932209341E-2</v>
      </c>
      <c r="CM8" s="5">
        <f t="shared" si="7"/>
        <v>0.18311247425732069</v>
      </c>
      <c r="CN8" s="5">
        <f t="shared" si="7"/>
        <v>-0.39746167912504587</v>
      </c>
      <c r="CO8" s="5">
        <f t="shared" si="7"/>
        <v>0.43716796518582229</v>
      </c>
      <c r="CP8" s="5">
        <f t="shared" si="7"/>
        <v>-9.5682049872747921E-2</v>
      </c>
      <c r="CQ8" s="5">
        <f t="shared" si="7"/>
        <v>-0.49935244279872992</v>
      </c>
      <c r="CR8" s="5">
        <f t="shared" si="7"/>
        <v>0.3398570382696095</v>
      </c>
      <c r="CS8" s="5">
        <f t="shared" si="7"/>
        <v>-0.27841972942992038</v>
      </c>
      <c r="CT8" s="5">
        <f t="shared" si="7"/>
        <v>0.2246197528310597</v>
      </c>
      <c r="CU8" s="5">
        <f t="shared" ref="CU8:DZ8" si="8">IF(CU6=1,CU3,IF(CU6=2,CU4,IF(CU6=3,CU5)))</f>
        <v>-0.25171771168640761</v>
      </c>
      <c r="CV8" s="5">
        <f t="shared" si="8"/>
        <v>0.11088351979357471</v>
      </c>
      <c r="CW8" s="5">
        <f t="shared" si="8"/>
        <v>0.2108770628752098</v>
      </c>
      <c r="CX8" s="5">
        <f t="shared" si="8"/>
        <v>0.25016150139728283</v>
      </c>
      <c r="CY8" s="5">
        <f t="shared" si="8"/>
        <v>-0.52413353929587791</v>
      </c>
      <c r="CZ8" s="5">
        <f t="shared" si="8"/>
        <v>0.8216183061041753</v>
      </c>
      <c r="DA8" s="5">
        <f t="shared" si="8"/>
        <v>0.31254073484349981</v>
      </c>
      <c r="DB8" s="5">
        <f t="shared" si="8"/>
        <v>-0.15564612733519101</v>
      </c>
      <c r="DC8" s="5">
        <f t="shared" si="8"/>
        <v>-0.186958527424675</v>
      </c>
      <c r="DD8" s="5">
        <f t="shared" si="8"/>
        <v>-0.42083892435479142</v>
      </c>
      <c r="DE8" s="5">
        <f t="shared" si="8"/>
        <v>-0.2279724207651195</v>
      </c>
      <c r="DF8" s="5">
        <f t="shared" si="8"/>
        <v>-0.33715973842927388</v>
      </c>
      <c r="DG8" s="5">
        <f t="shared" si="8"/>
        <v>-0.44400370439279008</v>
      </c>
      <c r="DH8" s="5">
        <f t="shared" si="8"/>
        <v>0.15742013530757151</v>
      </c>
      <c r="DI8" s="5">
        <f t="shared" si="8"/>
        <v>0.30896916307249689</v>
      </c>
      <c r="DJ8" s="5">
        <f t="shared" si="8"/>
        <v>-0.28669247758290828</v>
      </c>
      <c r="DK8" s="5">
        <f t="shared" si="8"/>
        <v>0.84621248517861269</v>
      </c>
      <c r="DL8" s="5">
        <f t="shared" si="8"/>
        <v>-0.16924034367306559</v>
      </c>
      <c r="DM8" s="5">
        <f t="shared" si="8"/>
        <v>-0.43945016692248923</v>
      </c>
      <c r="DN8" s="5">
        <f t="shared" si="8"/>
        <v>0.74751336560070059</v>
      </c>
      <c r="DO8" s="5">
        <f t="shared" si="8"/>
        <v>-0.39996426308914668</v>
      </c>
      <c r="DP8" s="5">
        <f t="shared" si="8"/>
        <v>0.16113140194021519</v>
      </c>
      <c r="DQ8" s="5">
        <f t="shared" si="8"/>
        <v>-0.58863430244229409</v>
      </c>
      <c r="DR8" s="5">
        <f t="shared" si="8"/>
        <v>-0.1292383591030131</v>
      </c>
      <c r="DS8" s="5">
        <f t="shared" si="8"/>
        <v>-0.19878519438361211</v>
      </c>
      <c r="DT8" s="5">
        <f t="shared" si="8"/>
        <v>0.4132117833889476</v>
      </c>
      <c r="DU8" s="5">
        <f t="shared" si="8"/>
        <v>-0.17065403209770361</v>
      </c>
      <c r="DV8" s="5">
        <f t="shared" si="8"/>
        <v>0.68828031734213269</v>
      </c>
      <c r="DW8" s="5">
        <f t="shared" si="8"/>
        <v>6.6155769939566539E-2</v>
      </c>
      <c r="DX8" s="5">
        <f t="shared" si="8"/>
        <v>-0.1999347157162332</v>
      </c>
      <c r="DY8" s="5">
        <f t="shared" si="8"/>
        <v>0.56631420698904078</v>
      </c>
      <c r="DZ8" s="5">
        <f t="shared" si="8"/>
        <v>0.47362880432099852</v>
      </c>
      <c r="EA8" s="5">
        <f t="shared" ref="EA8:EF8" si="9">IF(EA6=1,EA3,IF(EA6=2,EA4,IF(EA6=3,EA5)))</f>
        <v>-0.19315799713893969</v>
      </c>
      <c r="EB8" s="5">
        <f t="shared" si="9"/>
        <v>-1.076360940060376</v>
      </c>
      <c r="EC8" s="5">
        <f t="shared" si="9"/>
        <v>-0.13610628648279391</v>
      </c>
      <c r="ED8" s="5">
        <f t="shared" si="9"/>
        <v>-0.27349656344743889</v>
      </c>
      <c r="EE8" s="5">
        <f t="shared" si="9"/>
        <v>0.60134859370029736</v>
      </c>
      <c r="EF8" s="5">
        <f t="shared" si="9"/>
        <v>0.24405280405184021</v>
      </c>
    </row>
    <row r="10" spans="1:136">
      <c r="A10" s="29" t="s">
        <v>140</v>
      </c>
      <c r="B10" s="30"/>
      <c r="C10" s="1" t="s">
        <v>141</v>
      </c>
      <c r="D10" s="2">
        <v>964</v>
      </c>
    </row>
    <row r="11" spans="1:136" ht="15" customHeight="1">
      <c r="A11" s="13" t="s">
        <v>237</v>
      </c>
      <c r="B11" s="13" t="s">
        <v>238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226</v>
      </c>
    </row>
    <row r="12" spans="1:136" ht="15" customHeight="1">
      <c r="A12" s="13">
        <v>96</v>
      </c>
      <c r="B12" s="25" t="s">
        <v>239</v>
      </c>
      <c r="C12" s="26">
        <f t="array" ref="C12">PRODUCT(1+預測IC!$C12:C12)-1</f>
        <v>1.4499246984096104E-2</v>
      </c>
      <c r="D12" s="26">
        <f t="array" ref="D12">PRODUCT(1+預測IC!$C12:D12)-1</f>
        <v>0.13085065443953203</v>
      </c>
      <c r="E12" s="26">
        <f t="array" ref="E12">PRODUCT(1+預測IC!$C12:E12)-1</f>
        <v>0.12927456013038485</v>
      </c>
      <c r="F12" s="26">
        <f t="array" ref="F12">PRODUCT(1+預測IC!$C12:F12)-1</f>
        <v>6.6081050492748261E-2</v>
      </c>
      <c r="G12" s="26">
        <f t="array" ref="G12">PRODUCT(1+預測IC!$C12:G12)-1</f>
        <v>3.2022481015443693E-2</v>
      </c>
      <c r="H12" s="26">
        <f t="array" ref="H12">PRODUCT(1+預測IC!$C12:H12)-1</f>
        <v>4.1929131440529899E-2</v>
      </c>
      <c r="I12" s="26">
        <f t="array" ref="I12">PRODUCT(1+預測IC!$C12:I12)-1</f>
        <v>4.1030020515253618E-3</v>
      </c>
      <c r="J12" s="26">
        <f t="array" ref="J12">PRODUCT(1+預測IC!$C12:J12)-1</f>
        <v>4.8067229012812351E-2</v>
      </c>
      <c r="K12" s="26">
        <f t="array" ref="K12">PRODUCT(1+預測IC!$C12:K12)-1</f>
        <v>7.8658213337229554E-2</v>
      </c>
      <c r="L12" s="26">
        <f t="array" ref="L12">PRODUCT(1+預測IC!$C12:L12)-1</f>
        <v>6.9210725009507978E-2</v>
      </c>
      <c r="M12" s="26">
        <f t="array" ref="M12">PRODUCT(1+預測IC!$C12:M12)-1</f>
        <v>9.7960918058617841E-2</v>
      </c>
      <c r="N12" s="26">
        <f t="array" ref="N12">PRODUCT(1+預測IC!$C12:N12)-1</f>
        <v>0.13606384474348365</v>
      </c>
      <c r="O12" s="26">
        <f t="array" ref="O12">PRODUCT(1+預測IC!$C12:O12)-1</f>
        <v>0.15722858766577752</v>
      </c>
      <c r="P12" s="26">
        <f t="array" ref="P12">PRODUCT(1+預測IC!$C12:P12)-1</f>
        <v>0.15693427190837128</v>
      </c>
      <c r="Q12" s="26">
        <f t="array" ref="Q12">PRODUCT(1+預測IC!$C12:Q12)-1</f>
        <v>0.19603030200105054</v>
      </c>
      <c r="R12" s="26">
        <f t="array" ref="R12">PRODUCT(1+預測IC!$C12:R12)-1</f>
        <v>0.18000647856683916</v>
      </c>
      <c r="S12" s="26">
        <f t="array" ref="S12">PRODUCT(1+預測IC!$C12:S12)-1</f>
        <v>0.19305148532012861</v>
      </c>
      <c r="T12" s="26">
        <f t="array" ref="T12">PRODUCT(1+預測IC!$C12:T12)-1</f>
        <v>0.24464319388667333</v>
      </c>
      <c r="U12" s="26">
        <f t="array" ref="U12">PRODUCT(1+預測IC!$C12:U12)-1</f>
        <v>0.26999311632651657</v>
      </c>
      <c r="V12" s="26">
        <f t="array" ref="V12">PRODUCT(1+預測IC!$C12:V12)-1</f>
        <v>0.25791427065668282</v>
      </c>
      <c r="W12" s="26">
        <f t="array" ref="W12">PRODUCT(1+預測IC!$C12:W12)-1</f>
        <v>0.2936612543046766</v>
      </c>
      <c r="X12" s="26">
        <f t="array" ref="X12">PRODUCT(1+預測IC!$C12:X12)-1</f>
        <v>0.32868550221276971</v>
      </c>
      <c r="Y12" s="26">
        <f t="array" ref="Y12">PRODUCT(1+預測IC!$C12:Y12)-1</f>
        <v>0.30131671536365312</v>
      </c>
      <c r="Z12" s="26">
        <f t="array" ref="Z12">PRODUCT(1+預測IC!$C12:Z12)-1</f>
        <v>0.38411127795521294</v>
      </c>
      <c r="AA12" s="26">
        <f t="array" ref="AA12">PRODUCT(1+預測IC!$C12:AA12)-1</f>
        <v>0.32957222581720558</v>
      </c>
      <c r="AB12" s="26">
        <f t="array" ref="AB12">PRODUCT(1+預測IC!$C12:AB12)-1</f>
        <v>0.28345054788965762</v>
      </c>
      <c r="AC12" s="26">
        <f t="array" ref="AC12">PRODUCT(1+預測IC!$C12:AC12)-1</f>
        <v>0.34348131058015996</v>
      </c>
      <c r="AD12" s="26">
        <f t="array" ref="AD12">PRODUCT(1+預測IC!$C12:AD12)-1</f>
        <v>0.34008172539417658</v>
      </c>
      <c r="AE12" s="26">
        <f t="array" ref="AE12">PRODUCT(1+預測IC!$C12:AE12)-1</f>
        <v>0.40231206086863436</v>
      </c>
      <c r="AF12" s="26">
        <f t="array" ref="AF12">PRODUCT(1+預測IC!$C12:AF12)-1</f>
        <v>0.32937486183363407</v>
      </c>
      <c r="AG12" s="26">
        <f t="array" ref="AG12">PRODUCT(1+預測IC!$C12:AG12)-1</f>
        <v>0.33444633443470329</v>
      </c>
      <c r="AH12" s="26">
        <f t="array" ref="AH12">PRODUCT(1+預測IC!$C12:AH12)-1</f>
        <v>0.35541453475096874</v>
      </c>
      <c r="AI12" s="26">
        <f t="array" ref="AI12">PRODUCT(1+預測IC!$C12:AI12)-1</f>
        <v>0.36733376891056402</v>
      </c>
      <c r="AJ12" s="26">
        <f t="array" ref="AJ12">PRODUCT(1+預測IC!$C12:AJ12)-1</f>
        <v>0.39293476425190432</v>
      </c>
      <c r="AK12" s="26">
        <f t="array" ref="AK12">PRODUCT(1+預測IC!$C12:AK12)-1</f>
        <v>0.36998565109865456</v>
      </c>
      <c r="AL12" s="26">
        <f t="array" ref="AL12">PRODUCT(1+預測IC!$C12:AL12)-1</f>
        <v>0.39445222898161547</v>
      </c>
      <c r="AM12" s="26">
        <f t="array" ref="AM12">PRODUCT(1+預測IC!$C12:AM12)-1</f>
        <v>0.43640587995900137</v>
      </c>
      <c r="AN12" s="26">
        <f t="array" ref="AN12">PRODUCT(1+預測IC!$C12:AN12)-1</f>
        <v>0.5358529048153895</v>
      </c>
      <c r="AO12" s="26">
        <f t="array" ref="AO12">PRODUCT(1+預測IC!$C12:AO12)-1</f>
        <v>0.55888374226888105</v>
      </c>
      <c r="AP12" s="26">
        <f t="array" ref="AP12">PRODUCT(1+預測IC!$C12:AP12)-1</f>
        <v>0.56610708990264103</v>
      </c>
      <c r="AQ12" s="26">
        <f t="array" ref="AQ12">PRODUCT(1+預測IC!$C12:AQ12)-1</f>
        <v>0.57804385851958928</v>
      </c>
      <c r="AR12" s="26">
        <f t="array" ref="AR12">PRODUCT(1+預測IC!$C12:AR12)-1</f>
        <v>0.58988607496241019</v>
      </c>
      <c r="AS12" s="26">
        <f t="array" ref="AS12">PRODUCT(1+預測IC!$C12:AS12)-1</f>
        <v>0.62025245136924134</v>
      </c>
      <c r="AT12" s="26">
        <f t="array" ref="AT12">PRODUCT(1+預測IC!$C12:AT12)-1</f>
        <v>0.73722719660331393</v>
      </c>
      <c r="AU12" s="26">
        <f t="array" ref="AU12">PRODUCT(1+預測IC!$C12:AU12)-1</f>
        <v>0.73077594010409097</v>
      </c>
      <c r="AV12" s="26">
        <f t="array" ref="AV12">PRODUCT(1+預測IC!$C12:AV12)-1</f>
        <v>0.69306251265838315</v>
      </c>
      <c r="AW12" s="26">
        <f t="array" ref="AW12">PRODUCT(1+預測IC!$C12:AW12)-1</f>
        <v>0.69201031321670148</v>
      </c>
      <c r="AX12" s="26">
        <f t="array" ref="AX12">PRODUCT(1+預測IC!$C12:AX12)-1</f>
        <v>0.61638419999890104</v>
      </c>
      <c r="AY12" s="26">
        <f t="array" ref="AY12">PRODUCT(1+預測IC!$C12:AY12)-1</f>
        <v>0.58811150403218271</v>
      </c>
      <c r="AZ12" s="26">
        <f t="array" ref="AZ12">PRODUCT(1+預測IC!$C12:AZ12)-1</f>
        <v>0.55060896048778929</v>
      </c>
      <c r="BA12" s="26">
        <f t="array" ref="BA12">PRODUCT(1+預測IC!$C12:BA12)-1</f>
        <v>0.55826569415061078</v>
      </c>
      <c r="BB12" s="26">
        <f t="array" ref="BB12">PRODUCT(1+預測IC!$C12:BB12)-1</f>
        <v>0.5672803748148123</v>
      </c>
      <c r="BC12" s="26">
        <f t="array" ref="BC12">PRODUCT(1+預測IC!$C12:BC12)-1</f>
        <v>0.58651527621905863</v>
      </c>
      <c r="BD12" s="26">
        <f t="array" ref="BD12">PRODUCT(1+預測IC!$C12:BD12)-1</f>
        <v>0.60814036303036412</v>
      </c>
      <c r="BE12" s="26">
        <f t="array" ref="BE12">PRODUCT(1+預測IC!$C12:BE12)-1</f>
        <v>0.57821478481969213</v>
      </c>
      <c r="BF12" s="26">
        <f t="array" ref="BF12">PRODUCT(1+預測IC!$C12:BF12)-1</f>
        <v>0.68492885382680746</v>
      </c>
      <c r="BG12" s="26">
        <f t="array" ref="BG12">PRODUCT(1+預測IC!$C12:BG12)-1</f>
        <v>0.74166186148732427</v>
      </c>
      <c r="BH12" s="26">
        <f t="array" ref="BH12">PRODUCT(1+預測IC!$C12:BH12)-1</f>
        <v>0.76643414516124775</v>
      </c>
      <c r="BI12" s="26">
        <f t="array" ref="BI12">PRODUCT(1+預測IC!$C12:BI12)-1</f>
        <v>0.68914193898281639</v>
      </c>
      <c r="BJ12" s="26">
        <f t="array" ref="BJ12">PRODUCT(1+預測IC!$C12:BJ12)-1</f>
        <v>0.73080145975163524</v>
      </c>
      <c r="BK12" s="26">
        <f t="array" ref="BK12">PRODUCT(1+預測IC!$C12:BK12)-1</f>
        <v>0.72966365943881284</v>
      </c>
      <c r="BL12" s="26">
        <f t="array" ref="BL12">PRODUCT(1+預測IC!$C12:BL12)-1</f>
        <v>0.78523619317971471</v>
      </c>
      <c r="BM12" s="26">
        <f t="array" ref="BM12">PRODUCT(1+預測IC!$C12:BM12)-1</f>
        <v>0.87504372191343416</v>
      </c>
      <c r="BN12" s="26">
        <f t="array" ref="BN12">PRODUCT(1+預測IC!$C12:BN12)-1</f>
        <v>0.89674916648613268</v>
      </c>
      <c r="BO12" s="26">
        <f t="array" ref="BO12">PRODUCT(1+預測IC!$C12:BO12)-1</f>
        <v>0.85075999771725108</v>
      </c>
      <c r="BP12" s="26">
        <f t="array" ref="BP12">PRODUCT(1+預測IC!$C12:BP12)-1</f>
        <v>0.89966170375693522</v>
      </c>
      <c r="BQ12" s="26">
        <f t="array" ref="BQ12">PRODUCT(1+預測IC!$C12:BQ12)-1</f>
        <v>0.9352148392896189</v>
      </c>
      <c r="BR12" s="26">
        <f t="array" ref="BR12">PRODUCT(1+預測IC!$C12:BR12)-1</f>
        <v>0.93083930217884214</v>
      </c>
      <c r="BS12" s="26">
        <f t="array" ref="BS12">PRODUCT(1+預測IC!$C12:BS12)-1</f>
        <v>0.86781119502501269</v>
      </c>
      <c r="BT12" s="26">
        <f t="array" ref="BT12">PRODUCT(1+預測IC!$C12:BT12)-1</f>
        <v>0.89837752050385489</v>
      </c>
      <c r="BU12" s="26">
        <f t="array" ref="BU12">PRODUCT(1+預測IC!$C12:BU12)-1</f>
        <v>0.91504815523853322</v>
      </c>
      <c r="BV12" s="26">
        <f t="array" ref="BV12">PRODUCT(1+預測IC!$C12:BV12)-1</f>
        <v>0.853664518266124</v>
      </c>
      <c r="BW12" s="26">
        <f t="array" ref="BW12">PRODUCT(1+預測IC!$C12:BW12)-1</f>
        <v>0.93610996225886023</v>
      </c>
      <c r="BX12" s="26">
        <f t="array" ref="BX12">PRODUCT(1+預測IC!$C12:BX12)-1</f>
        <v>0.94963398823151479</v>
      </c>
      <c r="BY12" s="26">
        <f t="array" ref="BY12">PRODUCT(1+預測IC!$C12:BY12)-1</f>
        <v>0.86030768902746124</v>
      </c>
      <c r="BZ12" s="26">
        <f t="array" ref="BZ12">PRODUCT(1+預測IC!$C12:BZ12)-1</f>
        <v>0.7759298142071851</v>
      </c>
      <c r="CA12" s="26">
        <f t="array" ref="CA12">PRODUCT(1+預測IC!$C12:CA12)-1</f>
        <v>0.71483731812458395</v>
      </c>
      <c r="CB12" s="26">
        <f t="array" ref="CB12">PRODUCT(1+預測IC!$C12:CB12)-1</f>
        <v>0.59055325095418221</v>
      </c>
      <c r="CC12" s="26">
        <f t="array" ref="CC12">PRODUCT(1+預測IC!$C12:CC12)-1</f>
        <v>0.69483953167929613</v>
      </c>
      <c r="CD12" s="26">
        <f t="array" ref="CD12">PRODUCT(1+預測IC!$C12:CD12)-1</f>
        <v>0.61966447790434098</v>
      </c>
      <c r="CE12" s="26">
        <f t="array" ref="CE12">PRODUCT(1+預測IC!$C12:CE12)-1</f>
        <v>0.63848402101248136</v>
      </c>
      <c r="CF12" s="26">
        <f t="array" ref="CF12">PRODUCT(1+預測IC!$C12:CF12)-1</f>
        <v>0.62534129089325252</v>
      </c>
      <c r="CG12" s="26">
        <f t="array" ref="CG12">PRODUCT(1+預測IC!$C12:CG12)-1</f>
        <v>0.54524778783427319</v>
      </c>
      <c r="CH12" s="26">
        <f t="array" ref="CH12">PRODUCT(1+預測IC!$C12:CH12)-1</f>
        <v>0.57068737581845896</v>
      </c>
      <c r="CI12" s="26">
        <f t="array" ref="CI12">PRODUCT(1+預測IC!$C12:CI12)-1</f>
        <v>0.62660075355882139</v>
      </c>
      <c r="CJ12" s="26">
        <f t="array" ref="CJ12">PRODUCT(1+預測IC!$C12:CJ12)-1</f>
        <v>0.60147761135333422</v>
      </c>
      <c r="CK12" s="26">
        <f t="array" ref="CK12">PRODUCT(1+預測IC!$C12:CK12)-1</f>
        <v>0.69132281251543803</v>
      </c>
      <c r="CL12" s="26">
        <f t="array" ref="CL12">PRODUCT(1+預測IC!$C12:CL12)-1</f>
        <v>0.55865497704758593</v>
      </c>
      <c r="CM12" s="26">
        <f t="array" ref="CM12">PRODUCT(1+預測IC!$C12:CM12)-1</f>
        <v>0.53493267510755893</v>
      </c>
      <c r="CN12" s="26">
        <f t="array" ref="CN12">PRODUCT(1+預測IC!$C12:CN12)-1</f>
        <v>0.57650433306463622</v>
      </c>
      <c r="CO12" s="26">
        <f t="array" ref="CO12">PRODUCT(1+預測IC!$C12:CO12)-1</f>
        <v>0.53737583406405975</v>
      </c>
      <c r="CP12" s="26">
        <f t="array" ref="CP12">PRODUCT(1+預測IC!$C12:CP12)-1</f>
        <v>0.46773421315318586</v>
      </c>
      <c r="CQ12" s="26">
        <f t="array" ref="CQ12">PRODUCT(1+預測IC!$C12:CQ12)-1</f>
        <v>0.55973817387949887</v>
      </c>
      <c r="CR12" s="26">
        <f t="array" ref="CR12">PRODUCT(1+預測IC!$C12:CR12)-1</f>
        <v>0.47058356088345654</v>
      </c>
      <c r="CS12" s="26">
        <f t="array" ref="CS12">PRODUCT(1+預測IC!$C12:CS12)-1</f>
        <v>0.44924640444123565</v>
      </c>
      <c r="CT12" s="26">
        <f t="array" ref="CT12">PRODUCT(1+預測IC!$C12:CT12)-1</f>
        <v>0.43572629309838673</v>
      </c>
      <c r="CU12" s="26">
        <f t="array" ref="CU12">PRODUCT(1+預測IC!$C12:CU12)-1</f>
        <v>0.5430892294731513</v>
      </c>
      <c r="CV12" s="26">
        <f t="array" ref="CV12">PRODUCT(1+預測IC!$C12:CV12)-1</f>
        <v>0.53629434856808933</v>
      </c>
      <c r="CW12" s="26">
        <f t="array" ref="CW12">PRODUCT(1+預測IC!$C12:CW12)-1</f>
        <v>0.55632251005854894</v>
      </c>
      <c r="CX12" s="26">
        <f t="array" ref="CX12">PRODUCT(1+預測IC!$C12:CX12)-1</f>
        <v>0.50846148687920834</v>
      </c>
      <c r="CY12" s="26">
        <f t="array" ref="CY12">PRODUCT(1+預測IC!$C12:CY12)-1</f>
        <v>0.48369164984780033</v>
      </c>
      <c r="CZ12" s="26">
        <f t="array" ref="CZ12">PRODUCT(1+預測IC!$C12:CZ12)-1</f>
        <v>0.465406245138966</v>
      </c>
      <c r="DA12" s="26">
        <f t="array" ref="DA12">PRODUCT(1+預測IC!$C12:DA12)-1</f>
        <v>0.4736180653120825</v>
      </c>
      <c r="DB12" s="26">
        <f t="array" ref="DB12">PRODUCT(1+預測IC!$C12:DB12)-1</f>
        <v>0.50748457289284565</v>
      </c>
      <c r="DC12" s="26">
        <f t="array" ref="DC12">PRODUCT(1+預測IC!$C12:DC12)-1</f>
        <v>0.45627049366736405</v>
      </c>
      <c r="DD12" s="26">
        <f t="array" ref="DD12">PRODUCT(1+預測IC!$C12:DD12)-1</f>
        <v>0.55815197214115431</v>
      </c>
      <c r="DE12" s="26">
        <f t="array" ref="DE12">PRODUCT(1+預測IC!$C12:DE12)-1</f>
        <v>0.59669698157266127</v>
      </c>
      <c r="DF12" s="26">
        <f t="array" ref="DF12">PRODUCT(1+預測IC!$C12:DF12)-1</f>
        <v>0.57813646541420516</v>
      </c>
      <c r="DG12" s="26">
        <f t="array" ref="DG12">PRODUCT(1+預測IC!$C12:DG12)-1</f>
        <v>0.65293133044544671</v>
      </c>
      <c r="DH12" s="26">
        <f t="array" ref="DH12">PRODUCT(1+預測IC!$C12:DH12)-1</f>
        <v>0.55177949173941543</v>
      </c>
      <c r="DI12" s="26">
        <f t="array" ref="DI12">PRODUCT(1+預測IC!$C12:DI12)-1</f>
        <v>0.59830068413937898</v>
      </c>
      <c r="DJ12" s="26">
        <f t="array" ref="DJ12">PRODUCT(1+預測IC!$C12:DJ12)-1</f>
        <v>0.53216612980694644</v>
      </c>
      <c r="DK12" s="26">
        <f t="array" ref="DK12">PRODUCT(1+預測IC!$C12:DK12)-1</f>
        <v>0.53380738406395345</v>
      </c>
      <c r="DL12" s="26">
        <f t="array" ref="DL12">PRODUCT(1+預測IC!$C12:DL12)-1</f>
        <v>0.50517145583732304</v>
      </c>
      <c r="DM12" s="26">
        <f t="array" ref="DM12">PRODUCT(1+預測IC!$C12:DM12)-1</f>
        <v>0.4914089306650562</v>
      </c>
      <c r="DN12" s="26">
        <f t="array" ref="DN12">PRODUCT(1+預測IC!$C12:DN12)-1</f>
        <v>0.4637560563034604</v>
      </c>
      <c r="DO12" s="26">
        <f t="array" ref="DO12">PRODUCT(1+預測IC!$C12:DO12)-1</f>
        <v>0.49161240006146145</v>
      </c>
      <c r="DP12" s="26">
        <f t="array" ref="DP12">PRODUCT(1+預測IC!$C12:DP12)-1</f>
        <v>0.54021576913444247</v>
      </c>
      <c r="DQ12" s="26">
        <f t="array" ref="DQ12">PRODUCT(1+預測IC!$C12:DQ12)-1</f>
        <v>0.42540708844352682</v>
      </c>
      <c r="DR12" s="26">
        <f t="array" ref="DR12">PRODUCT(1+預測IC!$C12:DR12)-1</f>
        <v>0.44973166040781565</v>
      </c>
      <c r="DS12" s="26">
        <f t="array" ref="DS12">PRODUCT(1+預測IC!$C12:DS12)-1</f>
        <v>0.38300880598664366</v>
      </c>
      <c r="DT12" s="26">
        <f t="array" ref="DT12">PRODUCT(1+預測IC!$C12:DT12)-1</f>
        <v>0.4173265673780584</v>
      </c>
      <c r="DU12" s="26">
        <f t="array" ref="DU12">PRODUCT(1+預測IC!$C12:DU12)-1</f>
        <v>0.35243123461333536</v>
      </c>
      <c r="DV12" s="26">
        <f t="array" ref="DV12">PRODUCT(1+預測IC!$C12:DV12)-1</f>
        <v>0.32977606188524589</v>
      </c>
      <c r="DW12" s="26">
        <f t="array" ref="DW12">PRODUCT(1+預測IC!$C12:DW12)-1</f>
        <v>0.38792127047747749</v>
      </c>
      <c r="DX12" s="26">
        <f t="array" ref="DX12">PRODUCT(1+預測IC!$C12:DX12)-1</f>
        <v>0.36280109356554724</v>
      </c>
      <c r="DY12" s="26">
        <f t="array" ref="DY12">PRODUCT(1+預測IC!$C12:DY12)-1</f>
        <v>0.4482871832337223</v>
      </c>
      <c r="DZ12" s="26">
        <f t="array" ref="DZ12">PRODUCT(1+預測IC!$C12:DZ12)-1</f>
        <v>0.47730925096594512</v>
      </c>
      <c r="EA12" s="26">
        <f t="array" ref="EA12">PRODUCT(1+預測IC!$C12:EA12)-1</f>
        <v>0.55279635280130002</v>
      </c>
      <c r="EB12" s="26">
        <f t="array" ref="EB12">PRODUCT(1+預測IC!$C12:EB12)-1</f>
        <v>0.60019666771047109</v>
      </c>
      <c r="EC12" s="26">
        <f t="array" ref="EC12">PRODUCT(1+預測IC!$C12:EC12)-1</f>
        <v>0.57637947151713909</v>
      </c>
      <c r="ED12" s="26">
        <f t="array" ref="ED12">PRODUCT(1+預測IC!$C12:ED12)-1</f>
        <v>0.53942192438572767</v>
      </c>
      <c r="EE12" s="26">
        <f t="array" ref="EE12">PRODUCT(1+預測IC!$C12:EE12)-1</f>
        <v>0.49598516391685865</v>
      </c>
      <c r="EF12" s="26">
        <f t="array" ref="EF12">PRODUCT(1+預測IC!$C12:EF12)-1</f>
        <v>0.45225243745928312</v>
      </c>
    </row>
    <row r="13" spans="1:136" ht="15" customHeight="1">
      <c r="A13" s="13">
        <v>48</v>
      </c>
      <c r="B13" s="25" t="s">
        <v>240</v>
      </c>
      <c r="C13" s="26">
        <f t="array" ref="C13">PRODUCT(1+預測IC!$C13:C13)-1</f>
        <v>-7.4773642018864939E-3</v>
      </c>
      <c r="D13" s="26">
        <f t="array" ref="D13">PRODUCT(1+預測IC!$C13:D13)-1</f>
        <v>0.11534245275272559</v>
      </c>
      <c r="E13" s="26">
        <f t="array" ref="E13">PRODUCT(1+預測IC!$C13:E13)-1</f>
        <v>0.10918171739739169</v>
      </c>
      <c r="F13" s="26">
        <f t="array" ref="F13">PRODUCT(1+預測IC!$C13:F13)-1</f>
        <v>4.264575869943088E-2</v>
      </c>
      <c r="G13" s="26">
        <f t="array" ref="G13">PRODUCT(1+預測IC!$C13:G13)-1</f>
        <v>3.0084583702588041E-2</v>
      </c>
      <c r="H13" s="26">
        <f t="array" ref="H13">PRODUCT(1+預測IC!$C13:H13)-1</f>
        <v>4.7996093115068694E-2</v>
      </c>
      <c r="I13" s="26">
        <f t="array" ref="I13">PRODUCT(1+預測IC!$C13:I13)-1</f>
        <v>1.3744580395264494E-2</v>
      </c>
      <c r="J13" s="26">
        <f t="array" ref="J13">PRODUCT(1+預測IC!$C13:J13)-1</f>
        <v>4.8769346132733649E-2</v>
      </c>
      <c r="K13" s="26">
        <f t="array" ref="K13">PRODUCT(1+預測IC!$C13:K13)-1</f>
        <v>0.11203755172514485</v>
      </c>
      <c r="L13" s="26">
        <f t="array" ref="L13">PRODUCT(1+預測IC!$C13:L13)-1</f>
        <v>8.7594443259422894E-2</v>
      </c>
      <c r="M13" s="26">
        <f t="array" ref="M13">PRODUCT(1+預測IC!$C13:M13)-1</f>
        <v>9.1161490081260066E-2</v>
      </c>
      <c r="N13" s="26">
        <f t="array" ref="N13">PRODUCT(1+預測IC!$C13:N13)-1</f>
        <v>0.13850962498135777</v>
      </c>
      <c r="O13" s="26">
        <f t="array" ref="O13">PRODUCT(1+預測IC!$C13:O13)-1</f>
        <v>0.17980709851809218</v>
      </c>
      <c r="P13" s="26">
        <f t="array" ref="P13">PRODUCT(1+預測IC!$C13:P13)-1</f>
        <v>0.17240068524596408</v>
      </c>
      <c r="Q13" s="26">
        <f t="array" ref="Q13">PRODUCT(1+預測IC!$C13:Q13)-1</f>
        <v>0.22424220852722332</v>
      </c>
      <c r="R13" s="26">
        <f t="array" ref="R13">PRODUCT(1+預測IC!$C13:R13)-1</f>
        <v>0.21629698656012275</v>
      </c>
      <c r="S13" s="26">
        <f t="array" ref="S13">PRODUCT(1+預測IC!$C13:S13)-1</f>
        <v>0.20898241608489099</v>
      </c>
      <c r="T13" s="26">
        <f t="array" ref="T13">PRODUCT(1+預測IC!$C13:T13)-1</f>
        <v>0.27293734761585764</v>
      </c>
      <c r="U13" s="26">
        <f t="array" ref="U13">PRODUCT(1+預測IC!$C13:U13)-1</f>
        <v>0.34188100282345513</v>
      </c>
      <c r="V13" s="26">
        <f t="array" ref="V13">PRODUCT(1+預測IC!$C13:V13)-1</f>
        <v>0.33890653584744657</v>
      </c>
      <c r="W13" s="26">
        <f t="array" ref="W13">PRODUCT(1+預測IC!$C13:W13)-1</f>
        <v>0.38037100391678758</v>
      </c>
      <c r="X13" s="26">
        <f t="array" ref="X13">PRODUCT(1+預測IC!$C13:X13)-1</f>
        <v>0.45391228219150181</v>
      </c>
      <c r="Y13" s="26">
        <f t="array" ref="Y13">PRODUCT(1+預測IC!$C13:Y13)-1</f>
        <v>0.46362929953031795</v>
      </c>
      <c r="Z13" s="26">
        <f t="array" ref="Z13">PRODUCT(1+預測IC!$C13:Z13)-1</f>
        <v>0.57841360011028975</v>
      </c>
      <c r="AA13" s="26">
        <f t="array" ref="AA13">PRODUCT(1+預測IC!$C13:AA13)-1</f>
        <v>0.5277157281631637</v>
      </c>
      <c r="AB13" s="26">
        <f t="array" ref="AB13">PRODUCT(1+預測IC!$C13:AB13)-1</f>
        <v>0.45640467712107347</v>
      </c>
      <c r="AC13" s="26">
        <f t="array" ref="AC13">PRODUCT(1+預測IC!$C13:AC13)-1</f>
        <v>0.55365129385664313</v>
      </c>
      <c r="AD13" s="26">
        <f t="array" ref="AD13">PRODUCT(1+預測IC!$C13:AD13)-1</f>
        <v>0.52189430659697522</v>
      </c>
      <c r="AE13" s="26">
        <f t="array" ref="AE13">PRODUCT(1+預測IC!$C13:AE13)-1</f>
        <v>0.63918885691485605</v>
      </c>
      <c r="AF13" s="26">
        <f t="array" ref="AF13">PRODUCT(1+預測IC!$C13:AF13)-1</f>
        <v>0.51906719466330298</v>
      </c>
      <c r="AG13" s="26">
        <f t="array" ref="AG13">PRODUCT(1+預測IC!$C13:AG13)-1</f>
        <v>0.50402051854877938</v>
      </c>
      <c r="AH13" s="26">
        <f t="array" ref="AH13">PRODUCT(1+預測IC!$C13:AH13)-1</f>
        <v>0.54155366124440207</v>
      </c>
      <c r="AI13" s="26">
        <f t="array" ref="AI13">PRODUCT(1+預測IC!$C13:AI13)-1</f>
        <v>0.57029754230917162</v>
      </c>
      <c r="AJ13" s="26">
        <f t="array" ref="AJ13">PRODUCT(1+預測IC!$C13:AJ13)-1</f>
        <v>0.57297874816466887</v>
      </c>
      <c r="AK13" s="26">
        <f t="array" ref="AK13">PRODUCT(1+預測IC!$C13:AK13)-1</f>
        <v>0.51264024245715678</v>
      </c>
      <c r="AL13" s="26">
        <f t="array" ref="AL13">PRODUCT(1+預測IC!$C13:AL13)-1</f>
        <v>0.54766002502058586</v>
      </c>
      <c r="AM13" s="26">
        <f t="array" ref="AM13">PRODUCT(1+預測IC!$C13:AM13)-1</f>
        <v>0.61928951274280841</v>
      </c>
      <c r="AN13" s="26">
        <f t="array" ref="AN13">PRODUCT(1+預測IC!$C13:AN13)-1</f>
        <v>0.78984966273119106</v>
      </c>
      <c r="AO13" s="26">
        <f t="array" ref="AO13">PRODUCT(1+預測IC!$C13:AO13)-1</f>
        <v>0.7867910840618777</v>
      </c>
      <c r="AP13" s="26">
        <f t="array" ref="AP13">PRODUCT(1+預測IC!$C13:AP13)-1</f>
        <v>0.79856212870034926</v>
      </c>
      <c r="AQ13" s="26">
        <f t="array" ref="AQ13">PRODUCT(1+預測IC!$C13:AQ13)-1</f>
        <v>0.80944215038566458</v>
      </c>
      <c r="AR13" s="26">
        <f t="array" ref="AR13">PRODUCT(1+預測IC!$C13:AR13)-1</f>
        <v>0.7927040565603678</v>
      </c>
      <c r="AS13" s="26">
        <f t="array" ref="AS13">PRODUCT(1+預測IC!$C13:AS13)-1</f>
        <v>0.86676625165621335</v>
      </c>
      <c r="AT13" s="26">
        <f t="array" ref="AT13">PRODUCT(1+預測IC!$C13:AT13)-1</f>
        <v>1.0280976322394588</v>
      </c>
      <c r="AU13" s="26">
        <f t="array" ref="AU13">PRODUCT(1+預測IC!$C13:AU13)-1</f>
        <v>1.0599294731871955</v>
      </c>
      <c r="AV13" s="26">
        <f t="array" ref="AV13">PRODUCT(1+預測IC!$C13:AV13)-1</f>
        <v>1.0373550923273132</v>
      </c>
      <c r="AW13" s="26">
        <f t="array" ref="AW13">PRODUCT(1+預測IC!$C13:AW13)-1</f>
        <v>1.0290426558770944</v>
      </c>
      <c r="AX13" s="26">
        <f t="array" ref="AX13">PRODUCT(1+預測IC!$C13:AX13)-1</f>
        <v>0.9624903973678347</v>
      </c>
      <c r="AY13" s="26">
        <f t="array" ref="AY13">PRODUCT(1+預測IC!$C13:AY13)-1</f>
        <v>0.93450095915477305</v>
      </c>
      <c r="AZ13" s="26">
        <f t="array" ref="AZ13">PRODUCT(1+預測IC!$C13:AZ13)-1</f>
        <v>0.87410480213604869</v>
      </c>
      <c r="BA13" s="26">
        <f t="array" ref="BA13">PRODUCT(1+預測IC!$C13:BA13)-1</f>
        <v>0.88636320471591423</v>
      </c>
      <c r="BB13" s="26">
        <f t="array" ref="BB13">PRODUCT(1+預測IC!$C13:BB13)-1</f>
        <v>0.93549538144671174</v>
      </c>
      <c r="BC13" s="26">
        <f t="array" ref="BC13">PRODUCT(1+預測IC!$C13:BC13)-1</f>
        <v>0.95733506057664552</v>
      </c>
      <c r="BD13" s="26">
        <f t="array" ref="BD13">PRODUCT(1+預測IC!$C13:BD13)-1</f>
        <v>0.96388122750961291</v>
      </c>
      <c r="BE13" s="26">
        <f t="array" ref="BE13">PRODUCT(1+預測IC!$C13:BE13)-1</f>
        <v>0.91008697331838406</v>
      </c>
      <c r="BF13" s="26">
        <f t="array" ref="BF13">PRODUCT(1+預測IC!$C13:BF13)-1</f>
        <v>1.1424626978818142</v>
      </c>
      <c r="BG13" s="26">
        <f t="array" ref="BG13">PRODUCT(1+預測IC!$C13:BG13)-1</f>
        <v>1.2422296064148224</v>
      </c>
      <c r="BH13" s="26">
        <f t="array" ref="BH13">PRODUCT(1+預測IC!$C13:BH13)-1</f>
        <v>1.261234138734407</v>
      </c>
      <c r="BI13" s="26">
        <f t="array" ref="BI13">PRODUCT(1+預測IC!$C13:BI13)-1</f>
        <v>1.212387955840966</v>
      </c>
      <c r="BJ13" s="26">
        <f t="array" ref="BJ13">PRODUCT(1+預測IC!$C13:BJ13)-1</f>
        <v>1.2660739558115899</v>
      </c>
      <c r="BK13" s="26">
        <f t="array" ref="BK13">PRODUCT(1+預測IC!$C13:BK13)-1</f>
        <v>1.2459548540567513</v>
      </c>
      <c r="BL13" s="26">
        <f t="array" ref="BL13">PRODUCT(1+預測IC!$C13:BL13)-1</f>
        <v>1.3233505491729414</v>
      </c>
      <c r="BM13" s="26">
        <f t="array" ref="BM13">PRODUCT(1+預測IC!$C13:BM13)-1</f>
        <v>1.4473518772812439</v>
      </c>
      <c r="BN13" s="26">
        <f t="array" ref="BN13">PRODUCT(1+預測IC!$C13:BN13)-1</f>
        <v>1.5343618771935406</v>
      </c>
      <c r="BO13" s="26">
        <f t="array" ref="BO13">PRODUCT(1+預測IC!$C13:BO13)-1</f>
        <v>1.4561040359547461</v>
      </c>
      <c r="BP13" s="26">
        <f t="array" ref="BP13">PRODUCT(1+預測IC!$C13:BP13)-1</f>
        <v>1.4756350775863267</v>
      </c>
      <c r="BQ13" s="26">
        <f t="array" ref="BQ13">PRODUCT(1+預測IC!$C13:BQ13)-1</f>
        <v>1.4727860691439605</v>
      </c>
      <c r="BR13" s="26">
        <f t="array" ref="BR13">PRODUCT(1+預測IC!$C13:BR13)-1</f>
        <v>1.4562643530684847</v>
      </c>
      <c r="BS13" s="26">
        <f t="array" ref="BS13">PRODUCT(1+預測IC!$C13:BS13)-1</f>
        <v>1.35757038795458</v>
      </c>
      <c r="BT13" s="26">
        <f t="array" ref="BT13">PRODUCT(1+預測IC!$C13:BT13)-1</f>
        <v>1.3587988511074554</v>
      </c>
      <c r="BU13" s="26">
        <f t="array" ref="BU13">PRODUCT(1+預測IC!$C13:BU13)-1</f>
        <v>1.4005650527847493</v>
      </c>
      <c r="BV13" s="26">
        <f t="array" ref="BV13">PRODUCT(1+預測IC!$C13:BV13)-1</f>
        <v>1.3250907373957057</v>
      </c>
      <c r="BW13" s="26">
        <f t="array" ref="BW13">PRODUCT(1+預測IC!$C13:BW13)-1</f>
        <v>1.5011326705926757</v>
      </c>
      <c r="BX13" s="26">
        <f t="array" ref="BX13">PRODUCT(1+預測IC!$C13:BX13)-1</f>
        <v>1.5029976121708493</v>
      </c>
      <c r="BY13" s="26">
        <f t="array" ref="BY13">PRODUCT(1+預測IC!$C13:BY13)-1</f>
        <v>1.4258337417009059</v>
      </c>
      <c r="BZ13" s="26">
        <f t="array" ref="BZ13">PRODUCT(1+預測IC!$C13:BZ13)-1</f>
        <v>1.2411353137544863</v>
      </c>
      <c r="CA13" s="26">
        <f t="array" ref="CA13">PRODUCT(1+預測IC!$C13:CA13)-1</f>
        <v>1.1659865379619618</v>
      </c>
      <c r="CB13" s="26">
        <f t="array" ref="CB13">PRODUCT(1+預測IC!$C13:CB13)-1</f>
        <v>0.90514345765369475</v>
      </c>
      <c r="CC13" s="26">
        <f t="array" ref="CC13">PRODUCT(1+預測IC!$C13:CC13)-1</f>
        <v>1.1339853207381863</v>
      </c>
      <c r="CD13" s="26">
        <f t="array" ref="CD13">PRODUCT(1+預測IC!$C13:CD13)-1</f>
        <v>1.0887359889581516</v>
      </c>
      <c r="CE13" s="26">
        <f t="array" ref="CE13">PRODUCT(1+預測IC!$C13:CE13)-1</f>
        <v>1.1079961907722624</v>
      </c>
      <c r="CF13" s="26">
        <f t="array" ref="CF13">PRODUCT(1+預測IC!$C13:CF13)-1</f>
        <v>1.1333841949629369</v>
      </c>
      <c r="CG13" s="26">
        <f t="array" ref="CG13">PRODUCT(1+預測IC!$C13:CG13)-1</f>
        <v>1.0096159795716888</v>
      </c>
      <c r="CH13" s="26">
        <f t="array" ref="CH13">PRODUCT(1+預測IC!$C13:CH13)-1</f>
        <v>1.0177137393360489</v>
      </c>
      <c r="CI13" s="26">
        <f t="array" ref="CI13">PRODUCT(1+預測IC!$C13:CI13)-1</f>
        <v>1.0470377849477743</v>
      </c>
      <c r="CJ13" s="26">
        <f t="array" ref="CJ13">PRODUCT(1+預測IC!$C13:CJ13)-1</f>
        <v>1.0533960643897302</v>
      </c>
      <c r="CK13" s="26">
        <f t="array" ref="CK13">PRODUCT(1+預測IC!$C13:CK13)-1</f>
        <v>1.188277750947043</v>
      </c>
      <c r="CL13" s="26">
        <f t="array" ref="CL13">PRODUCT(1+預測IC!$C13:CL13)-1</f>
        <v>1.0291370565032789</v>
      </c>
      <c r="CM13" s="26">
        <f t="array" ref="CM13">PRODUCT(1+預測IC!$C13:CM13)-1</f>
        <v>1.0082434304376355</v>
      </c>
      <c r="CN13" s="26">
        <f t="array" ref="CN13">PRODUCT(1+預測IC!$C13:CN13)-1</f>
        <v>1.0622402082152891</v>
      </c>
      <c r="CO13" s="26">
        <f t="array" ref="CO13">PRODUCT(1+預測IC!$C13:CO13)-1</f>
        <v>0.98937230312124358</v>
      </c>
      <c r="CP13" s="26">
        <f t="array" ref="CP13">PRODUCT(1+預測IC!$C13:CP13)-1</f>
        <v>0.85066025510025112</v>
      </c>
      <c r="CQ13" s="26">
        <f t="array" ref="CQ13">PRODUCT(1+預測IC!$C13:CQ13)-1</f>
        <v>0.98238815150042402</v>
      </c>
      <c r="CR13" s="26">
        <f t="array" ref="CR13">PRODUCT(1+預測IC!$C13:CR13)-1</f>
        <v>0.76106465156415992</v>
      </c>
      <c r="CS13" s="26">
        <f t="array" ref="CS13">PRODUCT(1+預測IC!$C13:CS13)-1</f>
        <v>0.76801726143084137</v>
      </c>
      <c r="CT13" s="26">
        <f t="array" ref="CT13">PRODUCT(1+預測IC!$C13:CT13)-1</f>
        <v>0.7687395674072377</v>
      </c>
      <c r="CU13" s="26">
        <f t="array" ref="CU13">PRODUCT(1+預測IC!$C13:CU13)-1</f>
        <v>0.95815558870184159</v>
      </c>
      <c r="CV13" s="26">
        <f t="array" ref="CV13">PRODUCT(1+預測IC!$C13:CV13)-1</f>
        <v>0.91053483578602878</v>
      </c>
      <c r="CW13" s="26">
        <f t="array" ref="CW13">PRODUCT(1+預測IC!$C13:CW13)-1</f>
        <v>0.97990467393742153</v>
      </c>
      <c r="CX13" s="26">
        <f t="array" ref="CX13">PRODUCT(1+預測IC!$C13:CX13)-1</f>
        <v>0.91935356314949646</v>
      </c>
      <c r="CY13" s="26">
        <f t="array" ref="CY13">PRODUCT(1+預測IC!$C13:CY13)-1</f>
        <v>0.84027283386275387</v>
      </c>
      <c r="CZ13" s="26">
        <f t="array" ref="CZ13">PRODUCT(1+預測IC!$C13:CZ13)-1</f>
        <v>0.83125877972899831</v>
      </c>
      <c r="DA13" s="26">
        <f t="array" ref="DA13">PRODUCT(1+預測IC!$C13:DA13)-1</f>
        <v>0.82103362233541755</v>
      </c>
      <c r="DB13" s="26">
        <f t="array" ref="DB13">PRODUCT(1+預測IC!$C13:DB13)-1</f>
        <v>0.89708284491118673</v>
      </c>
      <c r="DC13" s="26">
        <f t="array" ref="DC13">PRODUCT(1+預測IC!$C13:DC13)-1</f>
        <v>0.84059612968595432</v>
      </c>
      <c r="DD13" s="26">
        <f t="array" ref="DD13">PRODUCT(1+預測IC!$C13:DD13)-1</f>
        <v>0.96755503737929449</v>
      </c>
      <c r="DE13" s="26">
        <f t="array" ref="DE13">PRODUCT(1+預測IC!$C13:DE13)-1</f>
        <v>1.0117109005024862</v>
      </c>
      <c r="DF13" s="26">
        <f t="array" ref="DF13">PRODUCT(1+預測IC!$C13:DF13)-1</f>
        <v>0.97696537008192386</v>
      </c>
      <c r="DG13" s="26">
        <f t="array" ref="DG13">PRODUCT(1+預測IC!$C13:DG13)-1</f>
        <v>1.117993697675288</v>
      </c>
      <c r="DH13" s="26">
        <f t="array" ref="DH13">PRODUCT(1+預測IC!$C13:DH13)-1</f>
        <v>0.93008379657200058</v>
      </c>
      <c r="DI13" s="26">
        <f t="array" ref="DI13">PRODUCT(1+預測IC!$C13:DI13)-1</f>
        <v>0.987157184366245</v>
      </c>
      <c r="DJ13" s="26">
        <f t="array" ref="DJ13">PRODUCT(1+預測IC!$C13:DJ13)-1</f>
        <v>0.97320510813126559</v>
      </c>
      <c r="DK13" s="26">
        <f t="array" ref="DK13">PRODUCT(1+預測IC!$C13:DK13)-1</f>
        <v>0.92703034870805934</v>
      </c>
      <c r="DL13" s="26">
        <f t="array" ref="DL13">PRODUCT(1+預測IC!$C13:DL13)-1</f>
        <v>0.88453799856140947</v>
      </c>
      <c r="DM13" s="26">
        <f t="array" ref="DM13">PRODUCT(1+預測IC!$C13:DM13)-1</f>
        <v>0.90650397449467723</v>
      </c>
      <c r="DN13" s="26">
        <f t="array" ref="DN13">PRODUCT(1+預測IC!$C13:DN13)-1</f>
        <v>0.88214669041152605</v>
      </c>
      <c r="DO13" s="26">
        <f t="array" ref="DO13">PRODUCT(1+預測IC!$C13:DO13)-1</f>
        <v>0.96557310487705461</v>
      </c>
      <c r="DP13" s="26">
        <f t="array" ref="DP13">PRODUCT(1+預測IC!$C13:DP13)-1</f>
        <v>1.0614668041935684</v>
      </c>
      <c r="DQ13" s="26">
        <f t="array" ref="DQ13">PRODUCT(1+預測IC!$C13:DQ13)-1</f>
        <v>0.88185323952558115</v>
      </c>
      <c r="DR13" s="26">
        <f t="array" ref="DR13">PRODUCT(1+預測IC!$C13:DR13)-1</f>
        <v>0.91039871846846232</v>
      </c>
      <c r="DS13" s="26">
        <f t="array" ref="DS13">PRODUCT(1+預測IC!$C13:DS13)-1</f>
        <v>0.85324877039573543</v>
      </c>
      <c r="DT13" s="26">
        <f t="array" ref="DT13">PRODUCT(1+預測IC!$C13:DT13)-1</f>
        <v>0.90856047952483032</v>
      </c>
      <c r="DU13" s="26">
        <f t="array" ref="DU13">PRODUCT(1+預測IC!$C13:DU13)-1</f>
        <v>0.86332978378799163</v>
      </c>
      <c r="DV13" s="26">
        <f t="array" ref="DV13">PRODUCT(1+預測IC!$C13:DV13)-1</f>
        <v>0.84497075922064679</v>
      </c>
      <c r="DW13" s="26">
        <f t="array" ref="DW13">PRODUCT(1+預測IC!$C13:DW13)-1</f>
        <v>0.92692028226678724</v>
      </c>
      <c r="DX13" s="26">
        <f t="array" ref="DX13">PRODUCT(1+預測IC!$C13:DX13)-1</f>
        <v>0.88215867647774626</v>
      </c>
      <c r="DY13" s="26">
        <f t="array" ref="DY13">PRODUCT(1+預測IC!$C13:DY13)-1</f>
        <v>0.90004788851902995</v>
      </c>
      <c r="DZ13" s="26">
        <f t="array" ref="DZ13">PRODUCT(1+預測IC!$C13:DZ13)-1</f>
        <v>0.95759131663725983</v>
      </c>
      <c r="EA13" s="26">
        <f t="array" ref="EA13">PRODUCT(1+預測IC!$C13:EA13)-1</f>
        <v>1.0791937897071815</v>
      </c>
      <c r="EB13" s="26">
        <f t="array" ref="EB13">PRODUCT(1+預測IC!$C13:EB13)-1</f>
        <v>1.1981346791280134</v>
      </c>
      <c r="EC13" s="26">
        <f t="array" ref="EC13">PRODUCT(1+預測IC!$C13:EC13)-1</f>
        <v>1.1498090123629545</v>
      </c>
      <c r="ED13" s="26">
        <f t="array" ref="ED13">PRODUCT(1+預測IC!$C13:ED13)-1</f>
        <v>1.0337665792944768</v>
      </c>
      <c r="EE13" s="26">
        <f t="array" ref="EE13">PRODUCT(1+預測IC!$C13:EE13)-1</f>
        <v>0.96082049738867248</v>
      </c>
      <c r="EF13" s="26">
        <f t="array" ref="EF13">PRODUCT(1+預測IC!$C13:EF13)-1</f>
        <v>0.87353841288755629</v>
      </c>
    </row>
    <row r="14" spans="1:136" ht="15" customHeight="1">
      <c r="A14" s="13">
        <v>19</v>
      </c>
      <c r="B14" s="25" t="s">
        <v>241</v>
      </c>
      <c r="C14" s="26">
        <f t="array" ref="C14">PRODUCT(1+預測IC!$C14:C14)-1</f>
        <v>-3.3228977675766158E-2</v>
      </c>
      <c r="D14" s="26">
        <f t="array" ref="D14">PRODUCT(1+預測IC!$C14:D14)-1</f>
        <v>0.18169271799537046</v>
      </c>
      <c r="E14" s="26">
        <f t="array" ref="E14">PRODUCT(1+預測IC!$C14:E14)-1</f>
        <v>0.12506512139058445</v>
      </c>
      <c r="F14" s="26">
        <f t="array" ref="F14">PRODUCT(1+預測IC!$C14:F14)-1</f>
        <v>5.7176548822539974E-2</v>
      </c>
      <c r="G14" s="26">
        <f t="array" ref="G14">PRODUCT(1+預測IC!$C14:G14)-1</f>
        <v>4.5201742959455338E-4</v>
      </c>
      <c r="H14" s="26">
        <f t="array" ref="H14">PRODUCT(1+預測IC!$C14:H14)-1</f>
        <v>-1.1061445367023137E-2</v>
      </c>
      <c r="I14" s="26">
        <f t="array" ref="I14">PRODUCT(1+預測IC!$C14:I14)-1</f>
        <v>-5.4364453701715609E-2</v>
      </c>
      <c r="J14" s="26">
        <f t="array" ref="J14">PRODUCT(1+預測IC!$C14:J14)-1</f>
        <v>-3.2321715628479519E-2</v>
      </c>
      <c r="K14" s="26">
        <f t="array" ref="K14">PRODUCT(1+預測IC!$C14:K14)-1</f>
        <v>1.6862919721769121E-2</v>
      </c>
      <c r="L14" s="26">
        <f t="array" ref="L14">PRODUCT(1+預測IC!$C14:L14)-1</f>
        <v>-4.0357060043077597E-2</v>
      </c>
      <c r="M14" s="26">
        <f t="array" ref="M14">PRODUCT(1+預測IC!$C14:M14)-1</f>
        <v>-5.8611114035275969E-2</v>
      </c>
      <c r="N14" s="26">
        <f t="array" ref="N14">PRODUCT(1+預測IC!$C14:N14)-1</f>
        <v>-4.604173386186905E-3</v>
      </c>
      <c r="O14" s="26">
        <f t="array" ref="O14">PRODUCT(1+預測IC!$C14:O14)-1</f>
        <v>3.2699068605627879E-2</v>
      </c>
      <c r="P14" s="26">
        <f t="array" ref="P14">PRODUCT(1+預測IC!$C14:P14)-1</f>
        <v>3.9454387936467272E-2</v>
      </c>
      <c r="Q14" s="26">
        <f t="array" ref="Q14">PRODUCT(1+預測IC!$C14:Q14)-1</f>
        <v>0.16845470138553154</v>
      </c>
      <c r="R14" s="26">
        <f t="array" ref="R14">PRODUCT(1+預測IC!$C14:R14)-1</f>
        <v>0.18708125662849739</v>
      </c>
      <c r="S14" s="26">
        <f t="array" ref="S14">PRODUCT(1+預測IC!$C14:S14)-1</f>
        <v>0.15763363330383062</v>
      </c>
      <c r="T14" s="26">
        <f t="array" ref="T14">PRODUCT(1+預測IC!$C14:T14)-1</f>
        <v>0.23848447899692049</v>
      </c>
      <c r="U14" s="26">
        <f t="array" ref="U14">PRODUCT(1+預測IC!$C14:U14)-1</f>
        <v>0.36761712482494713</v>
      </c>
      <c r="V14" s="26">
        <f t="array" ref="V14">PRODUCT(1+預測IC!$C14:V14)-1</f>
        <v>0.43930939262782709</v>
      </c>
      <c r="W14" s="26">
        <f t="array" ref="W14">PRODUCT(1+預測IC!$C14:W14)-1</f>
        <v>0.50810118898285528</v>
      </c>
      <c r="X14" s="26">
        <f t="array" ref="X14">PRODUCT(1+預測IC!$C14:X14)-1</f>
        <v>0.58890794939594771</v>
      </c>
      <c r="Y14" s="26">
        <f t="array" ref="Y14">PRODUCT(1+預測IC!$C14:Y14)-1</f>
        <v>0.67660135438587021</v>
      </c>
      <c r="Z14" s="26">
        <f t="array" ref="Z14">PRODUCT(1+預測IC!$C14:Z14)-1</f>
        <v>0.74117050214744307</v>
      </c>
      <c r="AA14" s="26">
        <f t="array" ref="AA14">PRODUCT(1+預測IC!$C14:AA14)-1</f>
        <v>0.67248101190105958</v>
      </c>
      <c r="AB14" s="26">
        <f t="array" ref="AB14">PRODUCT(1+預測IC!$C14:AB14)-1</f>
        <v>0.55412057206375609</v>
      </c>
      <c r="AC14" s="26">
        <f t="array" ref="AC14">PRODUCT(1+預測IC!$C14:AC14)-1</f>
        <v>0.5493236820360865</v>
      </c>
      <c r="AD14" s="26">
        <f t="array" ref="AD14">PRODUCT(1+預測IC!$C14:AD14)-1</f>
        <v>0.44106532228822792</v>
      </c>
      <c r="AE14" s="26">
        <f t="array" ref="AE14">PRODUCT(1+預測IC!$C14:AE14)-1</f>
        <v>0.60943495583199603</v>
      </c>
      <c r="AF14" s="26">
        <f t="array" ref="AF14">PRODUCT(1+預測IC!$C14:AF14)-1</f>
        <v>0.45480029164441493</v>
      </c>
      <c r="AG14" s="26">
        <f t="array" ref="AG14">PRODUCT(1+預測IC!$C14:AG14)-1</f>
        <v>0.41795122587533307</v>
      </c>
      <c r="AH14" s="26">
        <f t="array" ref="AH14">PRODUCT(1+預測IC!$C14:AH14)-1</f>
        <v>0.53273747501634872</v>
      </c>
      <c r="AI14" s="26">
        <f t="array" ref="AI14">PRODUCT(1+預測IC!$C14:AI14)-1</f>
        <v>0.47838255174978639</v>
      </c>
      <c r="AJ14" s="26">
        <f t="array" ref="AJ14">PRODUCT(1+預測IC!$C14:AJ14)-1</f>
        <v>0.44215393709974848</v>
      </c>
      <c r="AK14" s="26">
        <f t="array" ref="AK14">PRODUCT(1+預測IC!$C14:AK14)-1</f>
        <v>0.3304225719003786</v>
      </c>
      <c r="AL14" s="26">
        <f t="array" ref="AL14">PRODUCT(1+預測IC!$C14:AL14)-1</f>
        <v>0.38093763894390831</v>
      </c>
      <c r="AM14" s="26">
        <f t="array" ref="AM14">PRODUCT(1+預測IC!$C14:AM14)-1</f>
        <v>0.46550925158661727</v>
      </c>
      <c r="AN14" s="26">
        <f t="array" ref="AN14">PRODUCT(1+預測IC!$C14:AN14)-1</f>
        <v>0.61000064789448305</v>
      </c>
      <c r="AO14" s="26">
        <f t="array" ref="AO14">PRODUCT(1+預測IC!$C14:AO14)-1</f>
        <v>0.54874921565303825</v>
      </c>
      <c r="AP14" s="26">
        <f t="array" ref="AP14">PRODUCT(1+預測IC!$C14:AP14)-1</f>
        <v>0.53782254539725627</v>
      </c>
      <c r="AQ14" s="26">
        <f t="array" ref="AQ14">PRODUCT(1+預測IC!$C14:AQ14)-1</f>
        <v>0.53838841448036234</v>
      </c>
      <c r="AR14" s="26">
        <f t="array" ref="AR14">PRODUCT(1+預測IC!$C14:AR14)-1</f>
        <v>0.51043516827895252</v>
      </c>
      <c r="AS14" s="26">
        <f t="array" ref="AS14">PRODUCT(1+預測IC!$C14:AS14)-1</f>
        <v>0.63939157042409267</v>
      </c>
      <c r="AT14" s="26">
        <f t="array" ref="AT14">PRODUCT(1+預測IC!$C14:AT14)-1</f>
        <v>0.76956496572405308</v>
      </c>
      <c r="AU14" s="26">
        <f t="array" ref="AU14">PRODUCT(1+預測IC!$C14:AU14)-1</f>
        <v>0.87117624056618514</v>
      </c>
      <c r="AV14" s="26">
        <f t="array" ref="AV14">PRODUCT(1+預測IC!$C14:AV14)-1</f>
        <v>0.88694434729655613</v>
      </c>
      <c r="AW14" s="26">
        <f t="array" ref="AW14">PRODUCT(1+預測IC!$C14:AW14)-1</f>
        <v>0.92159417710151637</v>
      </c>
      <c r="AX14" s="26">
        <f t="array" ref="AX14">PRODUCT(1+預測IC!$C14:AX14)-1</f>
        <v>0.8843724878699597</v>
      </c>
      <c r="AY14" s="26">
        <f t="array" ref="AY14">PRODUCT(1+預測IC!$C14:AY14)-1</f>
        <v>0.88118682083414823</v>
      </c>
      <c r="AZ14" s="26">
        <f t="array" ref="AZ14">PRODUCT(1+預測IC!$C14:AZ14)-1</f>
        <v>0.76630164969214976</v>
      </c>
      <c r="BA14" s="26">
        <f t="array" ref="BA14">PRODUCT(1+預測IC!$C14:BA14)-1</f>
        <v>0.79742679128723659</v>
      </c>
      <c r="BB14" s="26">
        <f t="array" ref="BB14">PRODUCT(1+預測IC!$C14:BB14)-1</f>
        <v>0.98058098646582348</v>
      </c>
      <c r="BC14" s="26">
        <f t="array" ref="BC14">PRODUCT(1+預測IC!$C14:BC14)-1</f>
        <v>0.96112970266690034</v>
      </c>
      <c r="BD14" s="26">
        <f t="array" ref="BD14">PRODUCT(1+預測IC!$C14:BD14)-1</f>
        <v>1.0461011022455153</v>
      </c>
      <c r="BE14" s="26">
        <f t="array" ref="BE14">PRODUCT(1+預測IC!$C14:BE14)-1</f>
        <v>0.95650834532756202</v>
      </c>
      <c r="BF14" s="26">
        <f t="array" ref="BF14">PRODUCT(1+預測IC!$C14:BF14)-1</f>
        <v>1.2574765793526854</v>
      </c>
      <c r="BG14" s="26">
        <f t="array" ref="BG14">PRODUCT(1+預測IC!$C14:BG14)-1</f>
        <v>1.3508780114875418</v>
      </c>
      <c r="BH14" s="26">
        <f t="array" ref="BH14">PRODUCT(1+預測IC!$C14:BH14)-1</f>
        <v>1.3634381780745182</v>
      </c>
      <c r="BI14" s="26">
        <f t="array" ref="BI14">PRODUCT(1+預測IC!$C14:BI14)-1</f>
        <v>1.4604125705150879</v>
      </c>
      <c r="BJ14" s="26">
        <f t="array" ref="BJ14">PRODUCT(1+預測IC!$C14:BJ14)-1</f>
        <v>1.6292071957650691</v>
      </c>
      <c r="BK14" s="26">
        <f t="array" ref="BK14">PRODUCT(1+預測IC!$C14:BK14)-1</f>
        <v>1.5406254722053023</v>
      </c>
      <c r="BL14" s="26">
        <f t="array" ref="BL14">PRODUCT(1+預測IC!$C14:BL14)-1</f>
        <v>1.6930551132355576</v>
      </c>
      <c r="BM14" s="26">
        <f t="array" ref="BM14">PRODUCT(1+預測IC!$C14:BM14)-1</f>
        <v>1.8176851930168647</v>
      </c>
      <c r="BN14" s="26">
        <f t="array" ref="BN14">PRODUCT(1+預測IC!$C14:BN14)-1</f>
        <v>1.8911928524013777</v>
      </c>
      <c r="BO14" s="26">
        <f t="array" ref="BO14">PRODUCT(1+預測IC!$C14:BO14)-1</f>
        <v>1.794022619763239</v>
      </c>
      <c r="BP14" s="26">
        <f t="array" ref="BP14">PRODUCT(1+預測IC!$C14:BP14)-1</f>
        <v>1.653394755588248</v>
      </c>
      <c r="BQ14" s="26">
        <f t="array" ref="BQ14">PRODUCT(1+預測IC!$C14:BQ14)-1</f>
        <v>1.5183781373936509</v>
      </c>
      <c r="BR14" s="26">
        <f t="array" ref="BR14">PRODUCT(1+預測IC!$C14:BR14)-1</f>
        <v>1.4480412726688292</v>
      </c>
      <c r="BS14" s="26">
        <f t="array" ref="BS14">PRODUCT(1+預測IC!$C14:BS14)-1</f>
        <v>1.3737855124367426</v>
      </c>
      <c r="BT14" s="26">
        <f t="array" ref="BT14">PRODUCT(1+預測IC!$C14:BT14)-1</f>
        <v>1.3008474485611696</v>
      </c>
      <c r="BU14" s="26">
        <f t="array" ref="BU14">PRODUCT(1+預測IC!$C14:BU14)-1</f>
        <v>1.2804738232202149</v>
      </c>
      <c r="BV14" s="26">
        <f t="array" ref="BV14">PRODUCT(1+預測IC!$C14:BV14)-1</f>
        <v>1.1863308227502856</v>
      </c>
      <c r="BW14" s="26">
        <f t="array" ref="BW14">PRODUCT(1+預測IC!$C14:BW14)-1</f>
        <v>1.4725160803300792</v>
      </c>
      <c r="BX14" s="26">
        <f t="array" ref="BX14">PRODUCT(1+預測IC!$C14:BX14)-1</f>
        <v>1.4370718322406733</v>
      </c>
      <c r="BY14" s="26">
        <f t="array" ref="BY14">PRODUCT(1+預測IC!$C14:BY14)-1</f>
        <v>1.2411288198566908</v>
      </c>
      <c r="BZ14" s="26">
        <f t="array" ref="BZ14">PRODUCT(1+預測IC!$C14:BZ14)-1</f>
        <v>1.1065847649247926</v>
      </c>
      <c r="CA14" s="26">
        <f t="array" ref="CA14">PRODUCT(1+預測IC!$C14:CA14)-1</f>
        <v>1.0550466080572356</v>
      </c>
      <c r="CB14" s="26">
        <f t="array" ref="CB14">PRODUCT(1+預測IC!$C14:CB14)-1</f>
        <v>0.7170617452578858</v>
      </c>
      <c r="CC14" s="26">
        <f t="array" ref="CC14">PRODUCT(1+預測IC!$C14:CC14)-1</f>
        <v>0.92413116791394367</v>
      </c>
      <c r="CD14" s="26">
        <f t="array" ref="CD14">PRODUCT(1+預測IC!$C14:CD14)-1</f>
        <v>0.98748585606624206</v>
      </c>
      <c r="CE14" s="26">
        <f t="array" ref="CE14">PRODUCT(1+預測IC!$C14:CE14)-1</f>
        <v>0.84407539721284897</v>
      </c>
      <c r="CF14" s="26">
        <f t="array" ref="CF14">PRODUCT(1+預測IC!$C14:CF14)-1</f>
        <v>0.92314457422894702</v>
      </c>
      <c r="CG14" s="26">
        <f t="array" ref="CG14">PRODUCT(1+預測IC!$C14:CG14)-1</f>
        <v>0.81290865090497544</v>
      </c>
      <c r="CH14" s="26">
        <f t="array" ref="CH14">PRODUCT(1+預測IC!$C14:CH14)-1</f>
        <v>0.90152302832816122</v>
      </c>
      <c r="CI14" s="26">
        <f t="array" ref="CI14">PRODUCT(1+預測IC!$C14:CI14)-1</f>
        <v>0.92947848212146544</v>
      </c>
      <c r="CJ14" s="26">
        <f t="array" ref="CJ14">PRODUCT(1+預測IC!$C14:CJ14)-1</f>
        <v>0.98479249136482983</v>
      </c>
      <c r="CK14" s="26">
        <f t="array" ref="CK14">PRODUCT(1+預測IC!$C14:CK14)-1</f>
        <v>1.0915586207726502</v>
      </c>
      <c r="CL14" s="26">
        <f t="array" ref="CL14">PRODUCT(1+預測IC!$C14:CL14)-1</f>
        <v>0.8042964919829898</v>
      </c>
      <c r="CM14" s="26">
        <f t="array" ref="CM14">PRODUCT(1+預測IC!$C14:CM14)-1</f>
        <v>0.862106170293643</v>
      </c>
      <c r="CN14" s="26">
        <f t="array" ref="CN14">PRODUCT(1+預測IC!$C14:CN14)-1</f>
        <v>0.90498430934920515</v>
      </c>
      <c r="CO14" s="26">
        <f t="array" ref="CO14">PRODUCT(1+預測IC!$C14:CO14)-1</f>
        <v>0.75494058484543114</v>
      </c>
      <c r="CP14" s="26">
        <f t="array" ref="CP14">PRODUCT(1+預測IC!$C14:CP14)-1</f>
        <v>0.57978113828181232</v>
      </c>
      <c r="CQ14" s="26">
        <f t="array" ref="CQ14">PRODUCT(1+預測IC!$C14:CQ14)-1</f>
        <v>0.63069416665034206</v>
      </c>
      <c r="CR14" s="26">
        <f t="array" ref="CR14">PRODUCT(1+預測IC!$C14:CR14)-1</f>
        <v>0.2919668430304867</v>
      </c>
      <c r="CS14" s="26">
        <f t="array" ref="CS14">PRODUCT(1+預測IC!$C14:CS14)-1</f>
        <v>0.28703785352781552</v>
      </c>
      <c r="CT14" s="26">
        <f t="array" ref="CT14">PRODUCT(1+預測IC!$C14:CT14)-1</f>
        <v>0.27460264014632929</v>
      </c>
      <c r="CU14" s="26">
        <f t="array" ref="CU14">PRODUCT(1+預測IC!$C14:CU14)-1</f>
        <v>0.40403216518481644</v>
      </c>
      <c r="CV14" s="26">
        <f t="array" ref="CV14">PRODUCT(1+預測IC!$C14:CV14)-1</f>
        <v>0.34871374125511312</v>
      </c>
      <c r="CW14" s="26">
        <f t="array" ref="CW14">PRODUCT(1+預測IC!$C14:CW14)-1</f>
        <v>0.40908740731569404</v>
      </c>
      <c r="CX14" s="26">
        <f t="array" ref="CX14">PRODUCT(1+預測IC!$C14:CX14)-1</f>
        <v>0.28136881344809228</v>
      </c>
      <c r="CY14" s="26">
        <f t="array" ref="CY14">PRODUCT(1+預測IC!$C14:CY14)-1</f>
        <v>0.15789466647437744</v>
      </c>
      <c r="CZ14" s="26">
        <f t="array" ref="CZ14">PRODUCT(1+預測IC!$C14:CZ14)-1</f>
        <v>0.14596673075266797</v>
      </c>
      <c r="DA14" s="26">
        <f t="array" ref="DA14">PRODUCT(1+預測IC!$C14:DA14)-1</f>
        <v>0.11811482394858586</v>
      </c>
      <c r="DB14" s="26">
        <f t="array" ref="DB14">PRODUCT(1+預測IC!$C14:DB14)-1</f>
        <v>0.14445880914843956</v>
      </c>
      <c r="DC14" s="26">
        <f t="array" ref="DC14">PRODUCT(1+預測IC!$C14:DC14)-1</f>
        <v>0.11741226136078931</v>
      </c>
      <c r="DD14" s="26">
        <f t="array" ref="DD14">PRODUCT(1+預測IC!$C14:DD14)-1</f>
        <v>0.20591729268134618</v>
      </c>
      <c r="DE14" s="26">
        <f t="array" ref="DE14">PRODUCT(1+預測IC!$C14:DE14)-1</f>
        <v>0.28131959159890751</v>
      </c>
      <c r="DF14" s="26">
        <f t="array" ref="DF14">PRODUCT(1+預測IC!$C14:DF14)-1</f>
        <v>0.19908397759691643</v>
      </c>
      <c r="DG14" s="26">
        <f t="array" ref="DG14">PRODUCT(1+預測IC!$C14:DG14)-1</f>
        <v>0.30379375302873624</v>
      </c>
      <c r="DH14" s="26">
        <f t="array" ref="DH14">PRODUCT(1+預測IC!$C14:DH14)-1</f>
        <v>0.22720554556035988</v>
      </c>
      <c r="DI14" s="26">
        <f t="array" ref="DI14">PRODUCT(1+預測IC!$C14:DI14)-1</f>
        <v>0.27710266106281867</v>
      </c>
      <c r="DJ14" s="26">
        <f t="array" ref="DJ14">PRODUCT(1+預測IC!$C14:DJ14)-1</f>
        <v>0.26587178273080658</v>
      </c>
      <c r="DK14" s="26">
        <f t="array" ref="DK14">PRODUCT(1+預測IC!$C14:DK14)-1</f>
        <v>0.16787649053940501</v>
      </c>
      <c r="DL14" s="26">
        <f t="array" ref="DL14">PRODUCT(1+預測IC!$C14:DL14)-1</f>
        <v>0.12027983385198349</v>
      </c>
      <c r="DM14" s="26">
        <f t="array" ref="DM14">PRODUCT(1+預測IC!$C14:DM14)-1</f>
        <v>0.15660145335262654</v>
      </c>
      <c r="DN14" s="26">
        <f t="array" ref="DN14">PRODUCT(1+預測IC!$C14:DN14)-1</f>
        <v>0.20857419624788909</v>
      </c>
      <c r="DO14" s="26">
        <f t="array" ref="DO14">PRODUCT(1+預測IC!$C14:DO14)-1</f>
        <v>0.29352312279395676</v>
      </c>
      <c r="DP14" s="26">
        <f t="array" ref="DP14">PRODUCT(1+預測IC!$C14:DP14)-1</f>
        <v>0.34984275266246989</v>
      </c>
      <c r="DQ14" s="26">
        <f t="array" ref="DQ14">PRODUCT(1+預測IC!$C14:DQ14)-1</f>
        <v>0.253770982174226</v>
      </c>
      <c r="DR14" s="26">
        <f t="array" ref="DR14">PRODUCT(1+預測IC!$C14:DR14)-1</f>
        <v>0.26354366506464921</v>
      </c>
      <c r="DS14" s="26">
        <f t="array" ref="DS14">PRODUCT(1+預測IC!$C14:DS14)-1</f>
        <v>0.15053515708886178</v>
      </c>
      <c r="DT14" s="26">
        <f t="array" ref="DT14">PRODUCT(1+預測IC!$C14:DT14)-1</f>
        <v>0.15945674074225114</v>
      </c>
      <c r="DU14" s="26">
        <f t="array" ref="DU14">PRODUCT(1+預測IC!$C14:DU14)-1</f>
        <v>2.1576943403678328E-2</v>
      </c>
      <c r="DV14" s="26">
        <f t="array" ref="DV14">PRODUCT(1+預測IC!$C14:DV14)-1</f>
        <v>-2.4550549057485438E-2</v>
      </c>
      <c r="DW14" s="26">
        <f t="array" ref="DW14">PRODUCT(1+預測IC!$C14:DW14)-1</f>
        <v>7.1379409753294931E-2</v>
      </c>
      <c r="DX14" s="26">
        <f t="array" ref="DX14">PRODUCT(1+預測IC!$C14:DX14)-1</f>
        <v>4.1713238139063691E-2</v>
      </c>
      <c r="DY14" s="26">
        <f t="array" ref="DY14">PRODUCT(1+預測IC!$C14:DY14)-1</f>
        <v>9.1362318825491062E-2</v>
      </c>
      <c r="DZ14" s="26">
        <f t="array" ref="DZ14">PRODUCT(1+預測IC!$C14:DZ14)-1</f>
        <v>0.11504225014896985</v>
      </c>
      <c r="EA14" s="26">
        <f t="array" ref="EA14">PRODUCT(1+預測IC!$C14:EA14)-1</f>
        <v>0.23493775496058</v>
      </c>
      <c r="EB14" s="26">
        <f t="array" ref="EB14">PRODUCT(1+預測IC!$C14:EB14)-1</f>
        <v>0.33148497956876133</v>
      </c>
      <c r="EC14" s="26">
        <f t="array" ref="EC14">PRODUCT(1+預測IC!$C14:EC14)-1</f>
        <v>0.27388491601260689</v>
      </c>
      <c r="ED14" s="26">
        <f t="array" ref="ED14">PRODUCT(1+預測IC!$C14:ED14)-1</f>
        <v>0.17401327599172256</v>
      </c>
      <c r="EE14" s="26">
        <f t="array" ref="EE14">PRODUCT(1+預測IC!$C14:EE14)-1</f>
        <v>0.12411097374608482</v>
      </c>
      <c r="EF14" s="26">
        <f t="array" ref="EF14">PRODUCT(1+預測IC!$C14:EF14)-1</f>
        <v>9.5418928597247987E-2</v>
      </c>
    </row>
    <row r="15" spans="1:136" ht="15" customHeight="1">
      <c r="A15" s="13">
        <v>10</v>
      </c>
      <c r="B15" s="25" t="s">
        <v>230</v>
      </c>
      <c r="C15" s="26">
        <f t="array" ref="C15">PRODUCT(1+預測IC!$C15:C15)-1</f>
        <v>-3.6350225217569587E-2</v>
      </c>
      <c r="D15" s="26">
        <f t="array" ref="D15">PRODUCT(1+預測IC!$C15:D15)-1</f>
        <v>0.32281139324665786</v>
      </c>
      <c r="E15" s="26">
        <f t="array" ref="E15">PRODUCT(1+預測IC!$C15:E15)-1</f>
        <v>0.19668846284505048</v>
      </c>
      <c r="F15" s="26">
        <f t="array" ref="F15">PRODUCT(1+預測IC!$C15:F15)-1</f>
        <v>0.23847854307842575</v>
      </c>
      <c r="G15" s="26">
        <f t="array" ref="G15">PRODUCT(1+預測IC!$C15:G15)-1</f>
        <v>0.19587002516298502</v>
      </c>
      <c r="H15" s="26">
        <f t="array" ref="H15">PRODUCT(1+預測IC!$C15:H15)-1</f>
        <v>0.19438269045058298</v>
      </c>
      <c r="I15" s="26">
        <f t="array" ref="I15">PRODUCT(1+預測IC!$C15:I15)-1</f>
        <v>0.12459318482468373</v>
      </c>
      <c r="J15" s="26">
        <f t="array" ref="J15">PRODUCT(1+預測IC!$C15:J15)-1</f>
        <v>0.1807795081457535</v>
      </c>
      <c r="K15" s="26">
        <f t="array" ref="K15">PRODUCT(1+預測IC!$C15:K15)-1</f>
        <v>0.29238064435884925</v>
      </c>
      <c r="L15" s="26">
        <f t="array" ref="L15">PRODUCT(1+預測IC!$C15:L15)-1</f>
        <v>0.18747673679785093</v>
      </c>
      <c r="M15" s="26">
        <f t="array" ref="M15">PRODUCT(1+預測IC!$C15:M15)-1</f>
        <v>0.18494382940055187</v>
      </c>
      <c r="N15" s="26">
        <f t="array" ref="N15">PRODUCT(1+預測IC!$C15:N15)-1</f>
        <v>0.31504615247627732</v>
      </c>
      <c r="O15" s="26">
        <f t="array" ref="O15">PRODUCT(1+預測IC!$C15:O15)-1</f>
        <v>0.41204046424426166</v>
      </c>
      <c r="P15" s="26">
        <f t="array" ref="P15">PRODUCT(1+預測IC!$C15:P15)-1</f>
        <v>0.44295930689386864</v>
      </c>
      <c r="Q15" s="26">
        <f t="array" ref="Q15">PRODUCT(1+預測IC!$C15:Q15)-1</f>
        <v>0.66739264077821892</v>
      </c>
      <c r="R15" s="26">
        <f t="array" ref="R15">PRODUCT(1+預測IC!$C15:R15)-1</f>
        <v>0.75431330242554084</v>
      </c>
      <c r="S15" s="26">
        <f t="array" ref="S15">PRODUCT(1+預測IC!$C15:S15)-1</f>
        <v>0.90428584541011703</v>
      </c>
      <c r="T15" s="26">
        <f t="array" ref="T15">PRODUCT(1+預測IC!$C15:T15)-1</f>
        <v>1.0314923778109124</v>
      </c>
      <c r="U15" s="26">
        <f t="array" ref="U15">PRODUCT(1+預測IC!$C15:U15)-1</f>
        <v>1.309741951091504</v>
      </c>
      <c r="V15" s="26">
        <f t="array" ref="V15">PRODUCT(1+預測IC!$C15:V15)-1</f>
        <v>1.5641069175619555</v>
      </c>
      <c r="W15" s="26">
        <f t="array" ref="W15">PRODUCT(1+預測IC!$C15:W15)-1</f>
        <v>1.6940338669912527</v>
      </c>
      <c r="X15" s="26">
        <f t="array" ref="X15">PRODUCT(1+預測IC!$C15:X15)-1</f>
        <v>1.9053444543995122</v>
      </c>
      <c r="Y15" s="26">
        <f t="array" ref="Y15">PRODUCT(1+預測IC!$C15:Y15)-1</f>
        <v>2.0565060343039021</v>
      </c>
      <c r="Z15" s="26">
        <f t="array" ref="Z15">PRODUCT(1+預測IC!$C15:Z15)-1</f>
        <v>2.1993059108075026</v>
      </c>
      <c r="AA15" s="26">
        <f t="array" ref="AA15">PRODUCT(1+預測IC!$C15:AA15)-1</f>
        <v>2.0262837774574649</v>
      </c>
      <c r="AB15" s="26">
        <f t="array" ref="AB15">PRODUCT(1+預測IC!$C15:AB15)-1</f>
        <v>1.772983303202416</v>
      </c>
      <c r="AC15" s="26">
        <f t="array" ref="AC15">PRODUCT(1+預測IC!$C15:AC15)-1</f>
        <v>1.7849561268268301</v>
      </c>
      <c r="AD15" s="26">
        <f t="array" ref="AD15">PRODUCT(1+預測IC!$C15:AD15)-1</f>
        <v>1.5573879627882889</v>
      </c>
      <c r="AE15" s="26">
        <f t="array" ref="AE15">PRODUCT(1+預測IC!$C15:AE15)-1</f>
        <v>2.0990239187244994</v>
      </c>
      <c r="AF15" s="26">
        <f t="array" ref="AF15">PRODUCT(1+預測IC!$C15:AF15)-1</f>
        <v>1.6722068605238292</v>
      </c>
      <c r="AG15" s="26">
        <f t="array" ref="AG15">PRODUCT(1+預測IC!$C15:AG15)-1</f>
        <v>1.5537625093827119</v>
      </c>
      <c r="AH15" s="26">
        <f t="array" ref="AH15">PRODUCT(1+預測IC!$C15:AH15)-1</f>
        <v>1.8933295811159483</v>
      </c>
      <c r="AI15" s="26">
        <f t="array" ref="AI15">PRODUCT(1+預測IC!$C15:AI15)-1</f>
        <v>1.8214324903856403</v>
      </c>
      <c r="AJ15" s="26">
        <f t="array" ref="AJ15">PRODUCT(1+預測IC!$C15:AJ15)-1</f>
        <v>1.7262996494103127</v>
      </c>
      <c r="AK15" s="26">
        <f t="array" ref="AK15">PRODUCT(1+預測IC!$C15:AK15)-1</f>
        <v>1.5371995493432005</v>
      </c>
      <c r="AL15" s="26">
        <f t="array" ref="AL15">PRODUCT(1+預測IC!$C15:AL15)-1</f>
        <v>1.6499315434041502</v>
      </c>
      <c r="AM15" s="26">
        <f t="array" ref="AM15">PRODUCT(1+預測IC!$C15:AM15)-1</f>
        <v>1.7960027185538463</v>
      </c>
      <c r="AN15" s="26">
        <f t="array" ref="AN15">PRODUCT(1+預測IC!$C15:AN15)-1</f>
        <v>2.0803246167310929</v>
      </c>
      <c r="AO15" s="26">
        <f t="array" ref="AO15">PRODUCT(1+預測IC!$C15:AO15)-1</f>
        <v>1.9220436141170043</v>
      </c>
      <c r="AP15" s="26">
        <f t="array" ref="AP15">PRODUCT(1+預測IC!$C15:AP15)-1</f>
        <v>1.8852778769554615</v>
      </c>
      <c r="AQ15" s="26">
        <f t="array" ref="AQ15">PRODUCT(1+預測IC!$C15:AQ15)-1</f>
        <v>1.9930924212257013</v>
      </c>
      <c r="AR15" s="26">
        <f t="array" ref="AR15">PRODUCT(1+預測IC!$C15:AR15)-1</f>
        <v>1.9196111043568838</v>
      </c>
      <c r="AS15" s="26">
        <f t="array" ref="AS15">PRODUCT(1+預測IC!$C15:AS15)-1</f>
        <v>2.0767480163232217</v>
      </c>
      <c r="AT15" s="26">
        <f t="array" ref="AT15">PRODUCT(1+預測IC!$C15:AT15)-1</f>
        <v>2.2951657814308284</v>
      </c>
      <c r="AU15" s="26">
        <f t="array" ref="AU15">PRODUCT(1+預測IC!$C15:AU15)-1</f>
        <v>2.549467159998402</v>
      </c>
      <c r="AV15" s="26">
        <f t="array" ref="AV15">PRODUCT(1+預測IC!$C15:AV15)-1</f>
        <v>2.6673982063893491</v>
      </c>
      <c r="AW15" s="26">
        <f t="array" ref="AW15">PRODUCT(1+預測IC!$C15:AW15)-1</f>
        <v>2.6099669732549327</v>
      </c>
      <c r="AX15" s="26">
        <f t="array" ref="AX15">PRODUCT(1+預測IC!$C15:AX15)-1</f>
        <v>2.3162580172328902</v>
      </c>
      <c r="AY15" s="26">
        <f t="array" ref="AY15">PRODUCT(1+預測IC!$C15:AY15)-1</f>
        <v>2.2200677670325084</v>
      </c>
      <c r="AZ15" s="26">
        <f t="array" ref="AZ15">PRODUCT(1+預測IC!$C15:AZ15)-1</f>
        <v>2.0015979895260632</v>
      </c>
      <c r="BA15" s="26">
        <f t="array" ref="BA15">PRODUCT(1+預測IC!$C15:BA15)-1</f>
        <v>2.0334554942345191</v>
      </c>
      <c r="BB15" s="26">
        <f t="array" ref="BB15">PRODUCT(1+預測IC!$C15:BB15)-1</f>
        <v>2.3634605672690507</v>
      </c>
      <c r="BC15" s="26">
        <f t="array" ref="BC15">PRODUCT(1+預測IC!$C15:BC15)-1</f>
        <v>2.5725169420487406</v>
      </c>
      <c r="BD15" s="26">
        <f t="array" ref="BD15">PRODUCT(1+預測IC!$C15:BD15)-1</f>
        <v>2.7620149367353566</v>
      </c>
      <c r="BE15" s="26">
        <f t="array" ref="BE15">PRODUCT(1+預測IC!$C15:BE15)-1</f>
        <v>2.5797726966908043</v>
      </c>
      <c r="BF15" s="26">
        <f t="array" ref="BF15">PRODUCT(1+預測IC!$C15:BF15)-1</f>
        <v>3.3346468379816558</v>
      </c>
      <c r="BG15" s="26">
        <f t="array" ref="BG15">PRODUCT(1+預測IC!$C15:BG15)-1</f>
        <v>3.3454381091854719</v>
      </c>
      <c r="BH15" s="26">
        <f t="array" ref="BH15">PRODUCT(1+預測IC!$C15:BH15)-1</f>
        <v>3.4951030170922825</v>
      </c>
      <c r="BI15" s="26">
        <f t="array" ref="BI15">PRODUCT(1+預測IC!$C15:BI15)-1</f>
        <v>3.5902154161010182</v>
      </c>
      <c r="BJ15" s="26">
        <f t="array" ref="BJ15">PRODUCT(1+預測IC!$C15:BJ15)-1</f>
        <v>4.1874495145608783</v>
      </c>
      <c r="BK15" s="26">
        <f t="array" ref="BK15">PRODUCT(1+預測IC!$C15:BK15)-1</f>
        <v>4.4240227984842404</v>
      </c>
      <c r="BL15" s="26">
        <f t="array" ref="BL15">PRODUCT(1+預測IC!$C15:BL15)-1</f>
        <v>4.748137564181981</v>
      </c>
      <c r="BM15" s="26">
        <f t="array" ref="BM15">PRODUCT(1+預測IC!$C15:BM15)-1</f>
        <v>5.0253070351854427</v>
      </c>
      <c r="BN15" s="26">
        <f t="array" ref="BN15">PRODUCT(1+預測IC!$C15:BN15)-1</f>
        <v>5.4092439823421454</v>
      </c>
      <c r="BO15" s="26">
        <f t="array" ref="BO15">PRODUCT(1+預測IC!$C15:BO15)-1</f>
        <v>5.2314869592245916</v>
      </c>
      <c r="BP15" s="26">
        <f t="array" ref="BP15">PRODUCT(1+預測IC!$C15:BP15)-1</f>
        <v>4.9098437746346466</v>
      </c>
      <c r="BQ15" s="26">
        <f t="array" ref="BQ15">PRODUCT(1+預測IC!$C15:BQ15)-1</f>
        <v>4.6531718515550775</v>
      </c>
      <c r="BR15" s="26">
        <f t="array" ref="BR15">PRODUCT(1+預測IC!$C15:BR15)-1</f>
        <v>4.3696232850958809</v>
      </c>
      <c r="BS15" s="26">
        <f t="array" ref="BS15">PRODUCT(1+預測IC!$C15:BS15)-1</f>
        <v>4.3059078135821265</v>
      </c>
      <c r="BT15" s="26">
        <f t="array" ref="BT15">PRODUCT(1+預測IC!$C15:BT15)-1</f>
        <v>3.9883442641221709</v>
      </c>
      <c r="BU15" s="26">
        <f t="array" ref="BU15">PRODUCT(1+預測IC!$C15:BU15)-1</f>
        <v>4.0854993510961526</v>
      </c>
      <c r="BV15" s="26">
        <f t="array" ref="BV15">PRODUCT(1+預測IC!$C15:BV15)-1</f>
        <v>3.6472305084687511</v>
      </c>
      <c r="BW15" s="26">
        <f t="array" ref="BW15">PRODUCT(1+預測IC!$C15:BW15)-1</f>
        <v>5.0361900671663165</v>
      </c>
      <c r="BX15" s="26">
        <f t="array" ref="BX15">PRODUCT(1+預測IC!$C15:BX15)-1</f>
        <v>4.711131761602422</v>
      </c>
      <c r="BY15" s="26">
        <f t="array" ref="BY15">PRODUCT(1+預測IC!$C15:BY15)-1</f>
        <v>4.1780610052193898</v>
      </c>
      <c r="BZ15" s="26">
        <f t="array" ref="BZ15">PRODUCT(1+預測IC!$C15:BZ15)-1</f>
        <v>3.6452050310229689</v>
      </c>
      <c r="CA15" s="26">
        <f t="array" ref="CA15">PRODUCT(1+預測IC!$C15:CA15)-1</f>
        <v>3.5588412824824518</v>
      </c>
      <c r="CB15" s="26">
        <f t="array" ref="CB15">PRODUCT(1+預測IC!$C15:CB15)-1</f>
        <v>2.9612154846157752</v>
      </c>
      <c r="CC15" s="26">
        <f t="array" ref="CC15">PRODUCT(1+預測IC!$C15:CC15)-1</f>
        <v>3.6490789690331109</v>
      </c>
      <c r="CD15" s="26">
        <f t="array" ref="CD15">PRODUCT(1+預測IC!$C15:CD15)-1</f>
        <v>3.4300400861189129</v>
      </c>
      <c r="CE15" s="26">
        <f t="array" ref="CE15">PRODUCT(1+預測IC!$C15:CE15)-1</f>
        <v>2.9138670144412355</v>
      </c>
      <c r="CF15" s="26">
        <f t="array" ref="CF15">PRODUCT(1+預測IC!$C15:CF15)-1</f>
        <v>3.0757031840674252</v>
      </c>
      <c r="CG15" s="26">
        <f t="array" ref="CG15">PRODUCT(1+預測IC!$C15:CG15)-1</f>
        <v>2.7256572526500533</v>
      </c>
      <c r="CH15" s="26">
        <f t="array" ref="CH15">PRODUCT(1+預測IC!$C15:CH15)-1</f>
        <v>3.0287119300326104</v>
      </c>
      <c r="CI15" s="26">
        <f t="array" ref="CI15">PRODUCT(1+預測IC!$C15:CI15)-1</f>
        <v>3.0185960810127037</v>
      </c>
      <c r="CJ15" s="26">
        <f t="array" ref="CJ15">PRODUCT(1+預測IC!$C15:CJ15)-1</f>
        <v>3.3683921892008026</v>
      </c>
      <c r="CK15" s="26">
        <f t="array" ref="CK15">PRODUCT(1+預測IC!$C15:CK15)-1</f>
        <v>3.7861884864877693</v>
      </c>
      <c r="CL15" s="26">
        <f t="array" ref="CL15">PRODUCT(1+預測IC!$C15:CL15)-1</f>
        <v>3.0124797088192699</v>
      </c>
      <c r="CM15" s="26">
        <f t="array" ref="CM15">PRODUCT(1+預測IC!$C15:CM15)-1</f>
        <v>3.3119355479312258</v>
      </c>
      <c r="CN15" s="26">
        <f t="array" ref="CN15">PRODUCT(1+預測IC!$C15:CN15)-1</f>
        <v>3.4957711074002411</v>
      </c>
      <c r="CO15" s="26">
        <f t="array" ref="CO15">PRODUCT(1+預測IC!$C15:CO15)-1</f>
        <v>3.0148169122363084</v>
      </c>
      <c r="CP15" s="26">
        <f t="array" ref="CP15">PRODUCT(1+預測IC!$C15:CP15)-1</f>
        <v>2.5027838832239153</v>
      </c>
      <c r="CQ15" s="26">
        <f t="array" ref="CQ15">PRODUCT(1+預測IC!$C15:CQ15)-1</f>
        <v>2.4153426265459923</v>
      </c>
      <c r="CR15" s="26">
        <f t="array" ref="CR15">PRODUCT(1+預測IC!$C15:CR15)-1</f>
        <v>1.7954957400349691</v>
      </c>
      <c r="CS15" s="26">
        <f t="array" ref="CS15">PRODUCT(1+預測IC!$C15:CS15)-1</f>
        <v>1.8427742821887367</v>
      </c>
      <c r="CT15" s="26">
        <f t="array" ref="CT15">PRODUCT(1+預測IC!$C15:CT15)-1</f>
        <v>1.8568223356151528</v>
      </c>
      <c r="CU15" s="26">
        <f t="array" ref="CU15">PRODUCT(1+預測IC!$C15:CU15)-1</f>
        <v>2.2112109504098187</v>
      </c>
      <c r="CV15" s="26">
        <f t="array" ref="CV15">PRODUCT(1+預測IC!$C15:CV15)-1</f>
        <v>2.0171125157232477</v>
      </c>
      <c r="CW15" s="26">
        <f t="array" ref="CW15">PRODUCT(1+預測IC!$C15:CW15)-1</f>
        <v>2.0957749474981453</v>
      </c>
      <c r="CX15" s="26">
        <f t="array" ref="CX15">PRODUCT(1+預測IC!$C15:CX15)-1</f>
        <v>1.6240166793007424</v>
      </c>
      <c r="CY15" s="26">
        <f t="array" ref="CY15">PRODUCT(1+預測IC!$C15:CY15)-1</f>
        <v>1.3801198280187132</v>
      </c>
      <c r="CZ15" s="26">
        <f t="array" ref="CZ15">PRODUCT(1+預測IC!$C15:CZ15)-1</f>
        <v>1.323560242870998</v>
      </c>
      <c r="DA15" s="26">
        <f t="array" ref="DA15">PRODUCT(1+預測IC!$C15:DA15)-1</f>
        <v>1.262274400265746</v>
      </c>
      <c r="DB15" s="26">
        <f t="array" ref="DB15">PRODUCT(1+預測IC!$C15:DB15)-1</f>
        <v>1.3306553048581646</v>
      </c>
      <c r="DC15" s="26">
        <f t="array" ref="DC15">PRODUCT(1+預測IC!$C15:DC15)-1</f>
        <v>1.2489072205012088</v>
      </c>
      <c r="DD15" s="26">
        <f t="array" ref="DD15">PRODUCT(1+預測IC!$C15:DD15)-1</f>
        <v>1.2815315016440518</v>
      </c>
      <c r="DE15" s="26">
        <f t="array" ref="DE15">PRODUCT(1+預測IC!$C15:DE15)-1</f>
        <v>1.4119521350318784</v>
      </c>
      <c r="DF15" s="26">
        <f t="array" ref="DF15">PRODUCT(1+預測IC!$C15:DF15)-1</f>
        <v>1.4265553626016927</v>
      </c>
      <c r="DG15" s="26">
        <f t="array" ref="DG15">PRODUCT(1+預測IC!$C15:DG15)-1</f>
        <v>1.7009783008769737</v>
      </c>
      <c r="DH15" s="26">
        <f t="array" ref="DH15">PRODUCT(1+預測IC!$C15:DH15)-1</f>
        <v>1.3508680400932471</v>
      </c>
      <c r="DI15" s="26">
        <f t="array" ref="DI15">PRODUCT(1+預測IC!$C15:DI15)-1</f>
        <v>1.4780695571274758</v>
      </c>
      <c r="DJ15" s="26">
        <f t="array" ref="DJ15">PRODUCT(1+預測IC!$C15:DJ15)-1</f>
        <v>1.3293264634055491</v>
      </c>
      <c r="DK15" s="26">
        <f t="array" ref="DK15">PRODUCT(1+預測IC!$C15:DK15)-1</f>
        <v>1.1611756521803649</v>
      </c>
      <c r="DL15" s="26">
        <f t="array" ref="DL15">PRODUCT(1+預測IC!$C15:DL15)-1</f>
        <v>1.1618326348887451</v>
      </c>
      <c r="DM15" s="26">
        <f t="array" ref="DM15">PRODUCT(1+預測IC!$C15:DM15)-1</f>
        <v>1.2462567752185953</v>
      </c>
      <c r="DN15" s="26">
        <f t="array" ref="DN15">PRODUCT(1+預測IC!$C15:DN15)-1</f>
        <v>1.4298449413561354</v>
      </c>
      <c r="DO15" s="26">
        <f t="array" ref="DO15">PRODUCT(1+預測IC!$C15:DO15)-1</f>
        <v>1.5127133834419855</v>
      </c>
      <c r="DP15" s="26">
        <f t="array" ref="DP15">PRODUCT(1+預測IC!$C15:DP15)-1</f>
        <v>1.5723541482687571</v>
      </c>
      <c r="DQ15" s="26">
        <f t="array" ref="DQ15">PRODUCT(1+預測IC!$C15:DQ15)-1</f>
        <v>1.4770775230961357</v>
      </c>
      <c r="DR15" s="26">
        <f t="array" ref="DR15">PRODUCT(1+預測IC!$C15:DR15)-1</f>
        <v>1.4224941290437032</v>
      </c>
      <c r="DS15" s="26">
        <f t="array" ref="DS15">PRODUCT(1+預測IC!$C15:DS15)-1</f>
        <v>1.3993071236314534</v>
      </c>
      <c r="DT15" s="26">
        <f t="array" ref="DT15">PRODUCT(1+預測IC!$C15:DT15)-1</f>
        <v>1.5257956920014584</v>
      </c>
      <c r="DU15" s="26">
        <f t="array" ref="DU15">PRODUCT(1+預測IC!$C15:DU15)-1</f>
        <v>1.0493279637706303</v>
      </c>
      <c r="DV15" s="26">
        <f t="array" ref="DV15">PRODUCT(1+預測IC!$C15:DV15)-1</f>
        <v>0.95356752132353062</v>
      </c>
      <c r="DW15" s="26">
        <f t="array" ref="DW15">PRODUCT(1+預測IC!$C15:DW15)-1</f>
        <v>1.0034589538567742</v>
      </c>
      <c r="DX15" s="26">
        <f t="array" ref="DX15">PRODUCT(1+預測IC!$C15:DX15)-1</f>
        <v>0.96029308773636224</v>
      </c>
      <c r="DY15" s="26">
        <f t="array" ref="DY15">PRODUCT(1+預測IC!$C15:DY15)-1</f>
        <v>0.79626824002280117</v>
      </c>
      <c r="DZ15" s="26">
        <f t="array" ref="DZ15">PRODUCT(1+預測IC!$C15:DZ15)-1</f>
        <v>0.86200536665198779</v>
      </c>
      <c r="EA15" s="26">
        <f t="array" ref="EA15">PRODUCT(1+預測IC!$C15:EA15)-1</f>
        <v>1.0652948299707088</v>
      </c>
      <c r="EB15" s="26">
        <f t="array" ref="EB15">PRODUCT(1+預測IC!$C15:EB15)-1</f>
        <v>1.247221384064654</v>
      </c>
      <c r="EC15" s="26">
        <f t="array" ref="EC15">PRODUCT(1+預測IC!$C15:EC15)-1</f>
        <v>1.0760795725394359</v>
      </c>
      <c r="ED15" s="26">
        <f t="array" ref="ED15">PRODUCT(1+預測IC!$C15:ED15)-1</f>
        <v>0.84634053544193222</v>
      </c>
      <c r="EE15" s="26">
        <f t="array" ref="EE15">PRODUCT(1+預測IC!$C15:EE15)-1</f>
        <v>0.75523437583027486</v>
      </c>
      <c r="EF15" s="26">
        <f t="array" ref="EF15">PRODUCT(1+預測IC!$C15:EF15)-1</f>
        <v>0.70320203246972479</v>
      </c>
    </row>
    <row r="16" spans="1:136" ht="15" customHeight="1">
      <c r="A16" s="13">
        <v>9</v>
      </c>
      <c r="B16" s="25" t="s">
        <v>231</v>
      </c>
      <c r="C16" s="26">
        <f t="array" ref="C16">PRODUCT(1+預測IC!$C16:C16)-1</f>
        <v>-3.9435389831589451E-2</v>
      </c>
      <c r="D16" s="26">
        <f t="array" ref="D16">PRODUCT(1+預測IC!$C16:D16)-1</f>
        <v>0.35266270813370948</v>
      </c>
      <c r="E16" s="26">
        <f t="array" ref="E16">PRODUCT(1+預測IC!$C16:E16)-1</f>
        <v>0.23538120880267299</v>
      </c>
      <c r="F16" s="26">
        <f t="array" ref="F16">PRODUCT(1+預測IC!$C16:F16)-1</f>
        <v>0.3326248236353182</v>
      </c>
      <c r="G16" s="26">
        <f t="array" ref="G16">PRODUCT(1+預測IC!$C16:G16)-1</f>
        <v>0.32176852800019962</v>
      </c>
      <c r="H16" s="26">
        <f t="array" ref="H16">PRODUCT(1+預測IC!$C16:H16)-1</f>
        <v>0.32091023832449683</v>
      </c>
      <c r="I16" s="26">
        <f t="array" ref="I16">PRODUCT(1+預測IC!$C16:I16)-1</f>
        <v>0.24491745511193508</v>
      </c>
      <c r="J16" s="26">
        <f t="array" ref="J16">PRODUCT(1+預測IC!$C16:J16)-1</f>
        <v>0.30306745736943785</v>
      </c>
      <c r="K16" s="26">
        <f t="array" ref="K16">PRODUCT(1+預測IC!$C16:K16)-1</f>
        <v>0.41567970882730343</v>
      </c>
      <c r="L16" s="26">
        <f t="array" ref="L16">PRODUCT(1+預測IC!$C16:L16)-1</f>
        <v>0.29511815391163054</v>
      </c>
      <c r="M16" s="26">
        <f t="array" ref="M16">PRODUCT(1+預測IC!$C16:M16)-1</f>
        <v>0.27700277180018706</v>
      </c>
      <c r="N16" s="26">
        <f t="array" ref="N16">PRODUCT(1+預測IC!$C16:N16)-1</f>
        <v>0.43055277539090064</v>
      </c>
      <c r="O16" s="26">
        <f t="array" ref="O16">PRODUCT(1+預測IC!$C16:O16)-1</f>
        <v>0.54474931233165447</v>
      </c>
      <c r="P16" s="26">
        <f t="array" ref="P16">PRODUCT(1+預測IC!$C16:P16)-1</f>
        <v>0.55739799700566683</v>
      </c>
      <c r="Q16" s="26">
        <f t="array" ref="Q16">PRODUCT(1+預測IC!$C16:Q16)-1</f>
        <v>0.80331592260557572</v>
      </c>
      <c r="R16" s="26">
        <f t="array" ref="R16">PRODUCT(1+預測IC!$C16:R16)-1</f>
        <v>0.89166213380720105</v>
      </c>
      <c r="S16" s="26">
        <f t="array" ref="S16">PRODUCT(1+預測IC!$C16:S16)-1</f>
        <v>1.0994783280316014</v>
      </c>
      <c r="T16" s="26">
        <f t="array" ref="T16">PRODUCT(1+預測IC!$C16:T16)-1</f>
        <v>1.2406032880631379</v>
      </c>
      <c r="U16" s="26">
        <f t="array" ref="U16">PRODUCT(1+預測IC!$C16:U16)-1</f>
        <v>1.5320216892022414</v>
      </c>
      <c r="V16" s="26">
        <f t="array" ref="V16">PRODUCT(1+預測IC!$C16:V16)-1</f>
        <v>1.7233703311152397</v>
      </c>
      <c r="W16" s="26">
        <f t="array" ref="W16">PRODUCT(1+預測IC!$C16:W16)-1</f>
        <v>2.0001501538372599</v>
      </c>
      <c r="X16" s="26">
        <f t="array" ref="X16">PRODUCT(1+預測IC!$C16:X16)-1</f>
        <v>2.2211962169217325</v>
      </c>
      <c r="Y16" s="26">
        <f t="array" ref="Y16">PRODUCT(1+預測IC!$C16:Y16)-1</f>
        <v>2.383154208278941</v>
      </c>
      <c r="Z16" s="26">
        <f t="array" ref="Z16">PRODUCT(1+預測IC!$C16:Z16)-1</f>
        <v>2.5288258283496452</v>
      </c>
      <c r="AA16" s="26">
        <f t="array" ref="AA16">PRODUCT(1+預測IC!$C16:AA16)-1</f>
        <v>2.3753655357977324</v>
      </c>
      <c r="AB16" s="26">
        <f t="array" ref="AB16">PRODUCT(1+預測IC!$C16:AB16)-1</f>
        <v>2.1222636105525354</v>
      </c>
      <c r="AC16" s="26">
        <f t="array" ref="AC16">PRODUCT(1+預測IC!$C16:AC16)-1</f>
        <v>2.0824065166791548</v>
      </c>
      <c r="AD16" s="26">
        <f t="array" ref="AD16">PRODUCT(1+預測IC!$C16:AD16)-1</f>
        <v>1.9186195927878154</v>
      </c>
      <c r="AE16" s="26">
        <f t="array" ref="AE16">PRODUCT(1+預測IC!$C16:AE16)-1</f>
        <v>2.5304446846883959</v>
      </c>
      <c r="AF16" s="26">
        <f t="array" ref="AF16">PRODUCT(1+預測IC!$C16:AF16)-1</f>
        <v>2.0082368046479107</v>
      </c>
      <c r="AG16" s="26">
        <f t="array" ref="AG16">PRODUCT(1+預測IC!$C16:AG16)-1</f>
        <v>1.8765477497646139</v>
      </c>
      <c r="AH16" s="26">
        <f t="array" ref="AH16">PRODUCT(1+預測IC!$C16:AH16)-1</f>
        <v>2.3034321107005979</v>
      </c>
      <c r="AI16" s="26">
        <f t="array" ref="AI16">PRODUCT(1+預測IC!$C16:AI16)-1</f>
        <v>2.1931527919551503</v>
      </c>
      <c r="AJ16" s="26">
        <f t="array" ref="AJ16">PRODUCT(1+預測IC!$C16:AJ16)-1</f>
        <v>2.0394967515666496</v>
      </c>
      <c r="AK16" s="26">
        <f t="array" ref="AK16">PRODUCT(1+預測IC!$C16:AK16)-1</f>
        <v>1.925717892829494</v>
      </c>
      <c r="AL16" s="26">
        <f t="array" ref="AL16">PRODUCT(1+預測IC!$C16:AL16)-1</f>
        <v>2.0681679755961762</v>
      </c>
      <c r="AM16" s="26">
        <f t="array" ref="AM16">PRODUCT(1+預測IC!$C16:AM16)-1</f>
        <v>2.2709024843607084</v>
      </c>
      <c r="AN16" s="26">
        <f t="array" ref="AN16">PRODUCT(1+預測IC!$C16:AN16)-1</f>
        <v>2.6191103337096289</v>
      </c>
      <c r="AO16" s="26">
        <f t="array" ref="AO16">PRODUCT(1+預測IC!$C16:AO16)-1</f>
        <v>2.4704005350644378</v>
      </c>
      <c r="AP16" s="26">
        <f t="array" ref="AP16">PRODUCT(1+預測IC!$C16:AP16)-1</f>
        <v>2.4522140938604622</v>
      </c>
      <c r="AQ16" s="26">
        <f t="array" ref="AQ16">PRODUCT(1+預測IC!$C16:AQ16)-1</f>
        <v>2.5850076521419778</v>
      </c>
      <c r="AR16" s="26">
        <f t="array" ref="AR16">PRODUCT(1+預測IC!$C16:AR16)-1</f>
        <v>2.4685227868402135</v>
      </c>
      <c r="AS16" s="26">
        <f t="array" ref="AS16">PRODUCT(1+預測IC!$C16:AS16)-1</f>
        <v>2.6942134095959331</v>
      </c>
      <c r="AT16" s="26">
        <f t="array" ref="AT16">PRODUCT(1+預測IC!$C16:AT16)-1</f>
        <v>3.1469911420748522</v>
      </c>
      <c r="AU16" s="26">
        <f t="array" ref="AU16">PRODUCT(1+預測IC!$C16:AU16)-1</f>
        <v>3.4874187722582972</v>
      </c>
      <c r="AV16" s="26">
        <f t="array" ref="AV16">PRODUCT(1+預測IC!$C16:AV16)-1</f>
        <v>3.5933602476442008</v>
      </c>
      <c r="AW16" s="26">
        <f t="array" ref="AW16">PRODUCT(1+預測IC!$C16:AW16)-1</f>
        <v>3.4130573990357425</v>
      </c>
      <c r="AX16" s="26">
        <f t="array" ref="AX16">PRODUCT(1+預測IC!$C16:AX16)-1</f>
        <v>2.9690096981439864</v>
      </c>
      <c r="AY16" s="26">
        <f t="array" ref="AY16">PRODUCT(1+預測IC!$C16:AY16)-1</f>
        <v>2.8912097511074042</v>
      </c>
      <c r="AZ16" s="26">
        <f t="array" ref="AZ16">PRODUCT(1+預測IC!$C16:AZ16)-1</f>
        <v>2.5481989052126641</v>
      </c>
      <c r="BA16" s="26">
        <f t="array" ref="BA16">PRODUCT(1+預測IC!$C16:BA16)-1</f>
        <v>2.6011490502403642</v>
      </c>
      <c r="BB16" s="26">
        <f t="array" ref="BB16">PRODUCT(1+預測IC!$C16:BB16)-1</f>
        <v>3.0782076695219063</v>
      </c>
      <c r="BC16" s="26">
        <f t="array" ref="BC16">PRODUCT(1+預測IC!$C16:BC16)-1</f>
        <v>3.3519429473918496</v>
      </c>
      <c r="BD16" s="26">
        <f t="array" ref="BD16">PRODUCT(1+預測IC!$C16:BD16)-1</f>
        <v>3.5083374657565018</v>
      </c>
      <c r="BE16" s="26">
        <f t="array" ref="BE16">PRODUCT(1+預測IC!$C16:BE16)-1</f>
        <v>3.2765593535760926</v>
      </c>
      <c r="BF16" s="26">
        <f t="array" ref="BF16">PRODUCT(1+預測IC!$C16:BF16)-1</f>
        <v>4.3362345635554069</v>
      </c>
      <c r="BG16" s="26">
        <f t="array" ref="BG16">PRODUCT(1+預測IC!$C16:BG16)-1</f>
        <v>4.4081311569042434</v>
      </c>
      <c r="BH16" s="26">
        <f t="array" ref="BH16">PRODUCT(1+預測IC!$C16:BH16)-1</f>
        <v>4.3336308270080286</v>
      </c>
      <c r="BI16" s="26">
        <f t="array" ref="BI16">PRODUCT(1+預測IC!$C16:BI16)-1</f>
        <v>4.5949250835142896</v>
      </c>
      <c r="BJ16" s="26">
        <f t="array" ref="BJ16">PRODUCT(1+預測IC!$C16:BJ16)-1</f>
        <v>5.1352091147941188</v>
      </c>
      <c r="BK16" s="26">
        <f t="array" ref="BK16">PRODUCT(1+預測IC!$C16:BK16)-1</f>
        <v>5.450384773827885</v>
      </c>
      <c r="BL16" s="26">
        <f t="array" ref="BL16">PRODUCT(1+預測IC!$C16:BL16)-1</f>
        <v>5.8449780285027568</v>
      </c>
      <c r="BM16" s="26">
        <f t="array" ref="BM16">PRODUCT(1+預測IC!$C16:BM16)-1</f>
        <v>6.115340871359499</v>
      </c>
      <c r="BN16" s="26">
        <f t="array" ref="BN16">PRODUCT(1+預測IC!$C16:BN16)-1</f>
        <v>6.5515450640017736</v>
      </c>
      <c r="BO16" s="26">
        <f t="array" ref="BO16">PRODUCT(1+預測IC!$C16:BO16)-1</f>
        <v>6.3862390243445075</v>
      </c>
      <c r="BP16" s="26">
        <f t="array" ref="BP16">PRODUCT(1+預測IC!$C16:BP16)-1</f>
        <v>5.9596919276208622</v>
      </c>
      <c r="BQ16" s="26">
        <f t="array" ref="BQ16">PRODUCT(1+預測IC!$C16:BQ16)-1</f>
        <v>5.7948118241528839</v>
      </c>
      <c r="BR16" s="26">
        <f t="array" ref="BR16">PRODUCT(1+預測IC!$C16:BR16)-1</f>
        <v>5.6161296902788225</v>
      </c>
      <c r="BS16" s="26">
        <f t="array" ref="BS16">PRODUCT(1+預測IC!$C16:BS16)-1</f>
        <v>5.4043673120156139</v>
      </c>
      <c r="BT16" s="26">
        <f t="array" ref="BT16">PRODUCT(1+預測IC!$C16:BT16)-1</f>
        <v>5.1055338814243241</v>
      </c>
      <c r="BU16" s="26">
        <f t="array" ref="BU16">PRODUCT(1+預測IC!$C16:BU16)-1</f>
        <v>5.458220718821833</v>
      </c>
      <c r="BV16" s="26">
        <f t="array" ref="BV16">PRODUCT(1+預測IC!$C16:BV16)-1</f>
        <v>4.8478514083656616</v>
      </c>
      <c r="BW16" s="26">
        <f t="array" ref="BW16">PRODUCT(1+預測IC!$C16:BW16)-1</f>
        <v>6.7072976009400564</v>
      </c>
      <c r="BX16" s="26">
        <f t="array" ref="BX16">PRODUCT(1+預測IC!$C16:BX16)-1</f>
        <v>6.1943035789215326</v>
      </c>
      <c r="BY16" s="26">
        <f t="array" ref="BY16">PRODUCT(1+預測IC!$C16:BY16)-1</f>
        <v>5.338214227079507</v>
      </c>
      <c r="BZ16" s="26">
        <f t="array" ref="BZ16">PRODUCT(1+預測IC!$C16:BZ16)-1</f>
        <v>4.6313395074192396</v>
      </c>
      <c r="CA16" s="26">
        <f t="array" ref="CA16">PRODUCT(1+預測IC!$C16:CA16)-1</f>
        <v>4.4640076904498835</v>
      </c>
      <c r="CB16" s="26">
        <f t="array" ref="CB16">PRODUCT(1+預測IC!$C16:CB16)-1</f>
        <v>3.7028222431010009</v>
      </c>
      <c r="CC16" s="26">
        <f t="array" ref="CC16">PRODUCT(1+預測IC!$C16:CC16)-1</f>
        <v>3.9115632787906964</v>
      </c>
      <c r="CD16" s="26">
        <f t="array" ref="CD16">PRODUCT(1+預測IC!$C16:CD16)-1</f>
        <v>3.6120142746817079</v>
      </c>
      <c r="CE16" s="26">
        <f t="array" ref="CE16">PRODUCT(1+預測IC!$C16:CE16)-1</f>
        <v>3.0004839615497447</v>
      </c>
      <c r="CF16" s="26">
        <f t="array" ref="CF16">PRODUCT(1+預測IC!$C16:CF16)-1</f>
        <v>3.2117098521015102</v>
      </c>
      <c r="CG16" s="26">
        <f t="array" ref="CG16">PRODUCT(1+預測IC!$C16:CG16)-1</f>
        <v>2.951729939561873</v>
      </c>
      <c r="CH16" s="26">
        <f t="array" ref="CH16">PRODUCT(1+預測IC!$C16:CH16)-1</f>
        <v>3.1510896753873698</v>
      </c>
      <c r="CI16" s="26">
        <f t="array" ref="CI16">PRODUCT(1+預測IC!$C16:CI16)-1</f>
        <v>3.1334862817702769</v>
      </c>
      <c r="CJ16" s="26">
        <f t="array" ref="CJ16">PRODUCT(1+預測IC!$C16:CJ16)-1</f>
        <v>3.321657254448569</v>
      </c>
      <c r="CK16" s="26">
        <f t="array" ref="CK16">PRODUCT(1+預測IC!$C16:CK16)-1</f>
        <v>3.7037898132011087</v>
      </c>
      <c r="CL16" s="26">
        <f t="array" ref="CL16">PRODUCT(1+預測IC!$C16:CL16)-1</f>
        <v>2.7783641443430764</v>
      </c>
      <c r="CM16" s="26">
        <f t="array" ref="CM16">PRODUCT(1+預測IC!$C16:CM16)-1</f>
        <v>3.1145955861974697</v>
      </c>
      <c r="CN16" s="26">
        <f t="array" ref="CN16">PRODUCT(1+預測IC!$C16:CN16)-1</f>
        <v>3.2506138920870784</v>
      </c>
      <c r="CO16" s="26">
        <f t="array" ref="CO16">PRODUCT(1+預測IC!$C16:CO16)-1</f>
        <v>2.6783103501541996</v>
      </c>
      <c r="CP16" s="26">
        <f t="array" ref="CP16">PRODUCT(1+預測IC!$C16:CP16)-1</f>
        <v>2.1757365925731684</v>
      </c>
      <c r="CQ16" s="26">
        <f t="array" ref="CQ16">PRODUCT(1+預測IC!$C16:CQ16)-1</f>
        <v>2.1111618639323226</v>
      </c>
      <c r="CR16" s="26">
        <f t="array" ref="CR16">PRODUCT(1+預測IC!$C16:CR16)-1</f>
        <v>1.5222608196526033</v>
      </c>
      <c r="CS16" s="26">
        <f t="array" ref="CS16">PRODUCT(1+預測IC!$C16:CS16)-1</f>
        <v>1.5772668441099915</v>
      </c>
      <c r="CT16" s="26">
        <f t="array" ref="CT16">PRODUCT(1+預測IC!$C16:CT16)-1</f>
        <v>1.643135026950838</v>
      </c>
      <c r="CU16" s="26">
        <f t="array" ref="CU16">PRODUCT(1+預測IC!$C16:CU16)-1</f>
        <v>2.0012050246656274</v>
      </c>
      <c r="CV16" s="26">
        <f t="array" ref="CV16">PRODUCT(1+預測IC!$C16:CV16)-1</f>
        <v>1.8227730484652822</v>
      </c>
      <c r="CW16" s="26">
        <f t="array" ref="CW16">PRODUCT(1+預測IC!$C16:CW16)-1</f>
        <v>1.9564078080520688</v>
      </c>
      <c r="CX16" s="26">
        <f t="array" ref="CX16">PRODUCT(1+預測IC!$C16:CX16)-1</f>
        <v>1.47668341168623</v>
      </c>
      <c r="CY16" s="26">
        <f t="array" ref="CY16">PRODUCT(1+預測IC!$C16:CY16)-1</f>
        <v>1.2753770041718879</v>
      </c>
      <c r="CZ16" s="26">
        <f t="array" ref="CZ16">PRODUCT(1+預測IC!$C16:CZ16)-1</f>
        <v>1.2009156961765002</v>
      </c>
      <c r="DA16" s="26">
        <f t="array" ref="DA16">PRODUCT(1+預測IC!$C16:DA16)-1</f>
        <v>1.135317857312705</v>
      </c>
      <c r="DB16" s="26">
        <f t="array" ref="DB16">PRODUCT(1+預測IC!$C16:DB16)-1</f>
        <v>1.2265219161689935</v>
      </c>
      <c r="DC16" s="26">
        <f t="array" ref="DC16">PRODUCT(1+預測IC!$C16:DC16)-1</f>
        <v>1.1309098053303299</v>
      </c>
      <c r="DD16" s="26">
        <f t="array" ref="DD16">PRODUCT(1+預測IC!$C16:DD16)-1</f>
        <v>1.1985527892652419</v>
      </c>
      <c r="DE16" s="26">
        <f t="array" ref="DE16">PRODUCT(1+預測IC!$C16:DE16)-1</f>
        <v>1.2745180654498691</v>
      </c>
      <c r="DF16" s="26">
        <f t="array" ref="DF16">PRODUCT(1+預測IC!$C16:DF16)-1</f>
        <v>1.2806547460154634</v>
      </c>
      <c r="DG16" s="26">
        <f t="array" ref="DG16">PRODUCT(1+預測IC!$C16:DG16)-1</f>
        <v>1.5688654647855298</v>
      </c>
      <c r="DH16" s="26">
        <f t="array" ref="DH16">PRODUCT(1+預測IC!$C16:DH16)-1</f>
        <v>1.2165469934376745</v>
      </c>
      <c r="DI16" s="26">
        <f t="array" ref="DI16">PRODUCT(1+預測IC!$C16:DI16)-1</f>
        <v>1.3171771140142954</v>
      </c>
      <c r="DJ16" s="26">
        <f t="array" ref="DJ16">PRODUCT(1+預測IC!$C16:DJ16)-1</f>
        <v>1.1527616903838598</v>
      </c>
      <c r="DK16" s="26">
        <f t="array" ref="DK16">PRODUCT(1+預測IC!$C16:DK16)-1</f>
        <v>1.0285779760527602</v>
      </c>
      <c r="DL16" s="26">
        <f t="array" ref="DL16">PRODUCT(1+預測IC!$C16:DL16)-1</f>
        <v>1.072948807028824</v>
      </c>
      <c r="DM16" s="26">
        <f t="array" ref="DM16">PRODUCT(1+預測IC!$C16:DM16)-1</f>
        <v>1.1121490446019746</v>
      </c>
      <c r="DN16" s="26">
        <f t="array" ref="DN16">PRODUCT(1+預測IC!$C16:DN16)-1</f>
        <v>1.356919094339204</v>
      </c>
      <c r="DO16" s="26">
        <f t="array" ref="DO16">PRODUCT(1+預測IC!$C16:DO16)-1</f>
        <v>1.4666663603516543</v>
      </c>
      <c r="DP16" s="26">
        <f t="array" ref="DP16">PRODUCT(1+預測IC!$C16:DP16)-1</f>
        <v>1.5156098274358585</v>
      </c>
      <c r="DQ16" s="26">
        <f t="array" ref="DQ16">PRODUCT(1+預測IC!$C16:DQ16)-1</f>
        <v>1.3971996804119193</v>
      </c>
      <c r="DR16" s="26">
        <f t="array" ref="DR16">PRODUCT(1+預測IC!$C16:DR16)-1</f>
        <v>1.3704029833177147</v>
      </c>
      <c r="DS16" s="26">
        <f t="array" ref="DS16">PRODUCT(1+預測IC!$C16:DS16)-1</f>
        <v>1.3951097513949988</v>
      </c>
      <c r="DT16" s="26">
        <f t="array" ref="DT16">PRODUCT(1+預測IC!$C16:DT16)-1</f>
        <v>1.5366918144387318</v>
      </c>
      <c r="DU16" s="26">
        <f t="array" ref="DU16">PRODUCT(1+預測IC!$C16:DU16)-1</f>
        <v>1.0544457919688366</v>
      </c>
      <c r="DV16" s="26">
        <f t="array" ref="DV16">PRODUCT(1+預測IC!$C16:DV16)-1</f>
        <v>0.96049944318000424</v>
      </c>
      <c r="DW16" s="26">
        <f t="array" ref="DW16">PRODUCT(1+預測IC!$C16:DW16)-1</f>
        <v>1.0407186294724378</v>
      </c>
      <c r="DX16" s="26">
        <f t="array" ref="DX16">PRODUCT(1+預測IC!$C16:DX16)-1</f>
        <v>0.99592949252528129</v>
      </c>
      <c r="DY16" s="26">
        <f t="array" ref="DY16">PRODUCT(1+預測IC!$C16:DY16)-1</f>
        <v>0.8063464006826051</v>
      </c>
      <c r="DZ16" s="26">
        <f t="array" ref="DZ16">PRODUCT(1+預測IC!$C16:DZ16)-1</f>
        <v>0.82919518624821231</v>
      </c>
      <c r="EA16" s="26">
        <f t="array" ref="EA16">PRODUCT(1+預測IC!$C16:EA16)-1</f>
        <v>1.084916470041803</v>
      </c>
      <c r="EB16" s="26">
        <f t="array" ref="EB16">PRODUCT(1+預測IC!$C16:EB16)-1</f>
        <v>1.2948239852326977</v>
      </c>
      <c r="EC16" s="26">
        <f t="array" ref="EC16">PRODUCT(1+預測IC!$C16:EC16)-1</f>
        <v>1.1376251446016692</v>
      </c>
      <c r="ED16" s="26">
        <f t="array" ref="ED16">PRODUCT(1+預測IC!$C16:ED16)-1</f>
        <v>0.89244119153005474</v>
      </c>
      <c r="EE16" s="26">
        <f t="array" ref="EE16">PRODUCT(1+預測IC!$C16:EE16)-1</f>
        <v>0.78033108923248684</v>
      </c>
      <c r="EF16" s="26">
        <f t="array" ref="EF16">PRODUCT(1+預測IC!$C16:EF16)-1</f>
        <v>0.7188234195034211</v>
      </c>
    </row>
    <row r="17" spans="1:136" ht="15" customHeight="1">
      <c r="A17" s="13">
        <v>8</v>
      </c>
      <c r="B17" s="25" t="s">
        <v>242</v>
      </c>
      <c r="C17" s="26">
        <f t="array" ref="C17">PRODUCT(1+預測IC!$C17:C17)-1</f>
        <v>-3.8913468982799793E-2</v>
      </c>
      <c r="D17" s="26">
        <f t="array" ref="D17">PRODUCT(1+預測IC!$C17:D17)-1</f>
        <v>0.38356899742143846</v>
      </c>
      <c r="E17" s="26">
        <f t="array" ref="E17">PRODUCT(1+預測IC!$C17:E17)-1</f>
        <v>0.24981784779619964</v>
      </c>
      <c r="F17" s="26">
        <f t="array" ref="F17">PRODUCT(1+預測IC!$C17:F17)-1</f>
        <v>0.3507433438019365</v>
      </c>
      <c r="G17" s="26">
        <f t="array" ref="G17">PRODUCT(1+預測IC!$C17:G17)-1</f>
        <v>0.20839245417714469</v>
      </c>
      <c r="H17" s="26">
        <f t="array" ref="H17">PRODUCT(1+預測IC!$C17:H17)-1</f>
        <v>0.21799054245687932</v>
      </c>
      <c r="I17" s="26">
        <f t="array" ref="I17">PRODUCT(1+預測IC!$C17:I17)-1</f>
        <v>7.9474534153169296E-2</v>
      </c>
      <c r="J17" s="26">
        <f t="array" ref="J17">PRODUCT(1+預測IC!$C17:J17)-1</f>
        <v>0.12465960572381896</v>
      </c>
      <c r="K17" s="26">
        <f t="array" ref="K17">PRODUCT(1+預測IC!$C17:K17)-1</f>
        <v>0.23888012494159172</v>
      </c>
      <c r="L17" s="26">
        <f t="array" ref="L17">PRODUCT(1+預測IC!$C17:L17)-1</f>
        <v>0.18655628161056814</v>
      </c>
      <c r="M17" s="26">
        <f t="array" ref="M17">PRODUCT(1+預測IC!$C17:M17)-1</f>
        <v>0.20395017874082177</v>
      </c>
      <c r="N17" s="26">
        <f t="array" ref="N17">PRODUCT(1+預測IC!$C17:N17)-1</f>
        <v>0.33551523788497506</v>
      </c>
      <c r="O17" s="26">
        <f t="array" ref="O17">PRODUCT(1+預測IC!$C17:O17)-1</f>
        <v>0.47070513073004583</v>
      </c>
      <c r="P17" s="26">
        <f t="array" ref="P17">PRODUCT(1+預測IC!$C17:P17)-1</f>
        <v>0.49038749916980473</v>
      </c>
      <c r="Q17" s="26">
        <f t="array" ref="Q17">PRODUCT(1+預測IC!$C17:Q17)-1</f>
        <v>0.73153412601368029</v>
      </c>
      <c r="R17" s="26">
        <f t="array" ref="R17">PRODUCT(1+預測IC!$C17:R17)-1</f>
        <v>0.82167365235054279</v>
      </c>
      <c r="S17" s="26">
        <f t="array" ref="S17">PRODUCT(1+預測IC!$C17:S17)-1</f>
        <v>1.0385518965811813</v>
      </c>
      <c r="T17" s="26">
        <f t="array" ref="T17">PRODUCT(1+預測IC!$C17:T17)-1</f>
        <v>1.183700898347436</v>
      </c>
      <c r="U17" s="26">
        <f t="array" ref="U17">PRODUCT(1+預測IC!$C17:U17)-1</f>
        <v>1.4921948192194514</v>
      </c>
      <c r="V17" s="26">
        <f t="array" ref="V17">PRODUCT(1+預測IC!$C17:V17)-1</f>
        <v>1.7345848296543758</v>
      </c>
      <c r="W17" s="26">
        <f t="array" ref="W17">PRODUCT(1+預測IC!$C17:W17)-1</f>
        <v>2.0864363514941373</v>
      </c>
      <c r="X17" s="26">
        <f t="array" ref="X17">PRODUCT(1+預測IC!$C17:X17)-1</f>
        <v>2.3956552212185609</v>
      </c>
      <c r="Y17" s="26">
        <f t="array" ref="Y17">PRODUCT(1+預測IC!$C17:Y17)-1</f>
        <v>2.6456539920664244</v>
      </c>
      <c r="Z17" s="26">
        <f t="array" ref="Z17">PRODUCT(1+預測IC!$C17:Z17)-1</f>
        <v>2.8420398650962571</v>
      </c>
      <c r="AA17" s="26">
        <f t="array" ref="AA17">PRODUCT(1+預測IC!$C17:AA17)-1</f>
        <v>2.7067624498797973</v>
      </c>
      <c r="AB17" s="26">
        <f t="array" ref="AB17">PRODUCT(1+預測IC!$C17:AB17)-1</f>
        <v>2.3922360094081485</v>
      </c>
      <c r="AC17" s="26">
        <f t="array" ref="AC17">PRODUCT(1+預測IC!$C17:AC17)-1</f>
        <v>2.3240986927916869</v>
      </c>
      <c r="AD17" s="26">
        <f t="array" ref="AD17">PRODUCT(1+預測IC!$C17:AD17)-1</f>
        <v>2.1586337840919931</v>
      </c>
      <c r="AE17" s="26">
        <f t="array" ref="AE17">PRODUCT(1+預測IC!$C17:AE17)-1</f>
        <v>2.8602380625135782</v>
      </c>
      <c r="AF17" s="26">
        <f t="array" ref="AF17">PRODUCT(1+預測IC!$C17:AF17)-1</f>
        <v>2.395904213677214</v>
      </c>
      <c r="AG17" s="26">
        <f t="array" ref="AG17">PRODUCT(1+預測IC!$C17:AG17)-1</f>
        <v>2.1831842929704468</v>
      </c>
      <c r="AH17" s="26">
        <f t="array" ref="AH17">PRODUCT(1+預測IC!$C17:AH17)-1</f>
        <v>2.6511916111252436</v>
      </c>
      <c r="AI17" s="26">
        <f t="array" ref="AI17">PRODUCT(1+預測IC!$C17:AI17)-1</f>
        <v>2.4429350328963655</v>
      </c>
      <c r="AJ17" s="26">
        <f t="array" ref="AJ17">PRODUCT(1+預測IC!$C17:AJ17)-1</f>
        <v>2.230806789819844</v>
      </c>
      <c r="AK17" s="26">
        <f t="array" ref="AK17">PRODUCT(1+預測IC!$C17:AK17)-1</f>
        <v>2.1358989662122299</v>
      </c>
      <c r="AL17" s="26">
        <f t="array" ref="AL17">PRODUCT(1+預測IC!$C17:AL17)-1</f>
        <v>2.2949655777608577</v>
      </c>
      <c r="AM17" s="26">
        <f t="array" ref="AM17">PRODUCT(1+預測IC!$C17:AM17)-1</f>
        <v>2.5433050495797924</v>
      </c>
      <c r="AN17" s="26">
        <f t="array" ref="AN17">PRODUCT(1+預測IC!$C17:AN17)-1</f>
        <v>2.9447158751538365</v>
      </c>
      <c r="AO17" s="26">
        <f t="array" ref="AO17">PRODUCT(1+預測IC!$C17:AO17)-1</f>
        <v>2.642177754503451</v>
      </c>
      <c r="AP17" s="26">
        <f t="array" ref="AP17">PRODUCT(1+預測IC!$C17:AP17)-1</f>
        <v>2.628485897779834</v>
      </c>
      <c r="AQ17" s="26">
        <f t="array" ref="AQ17">PRODUCT(1+預測IC!$C17:AQ17)-1</f>
        <v>2.8481077622741555</v>
      </c>
      <c r="AR17" s="26">
        <f t="array" ref="AR17">PRODUCT(1+預測IC!$C17:AR17)-1</f>
        <v>2.7134369779582577</v>
      </c>
      <c r="AS17" s="26">
        <f t="array" ref="AS17">PRODUCT(1+預測IC!$C17:AS17)-1</f>
        <v>2.9225909759474056</v>
      </c>
      <c r="AT17" s="26">
        <f t="array" ref="AT17">PRODUCT(1+預測IC!$C17:AT17)-1</f>
        <v>3.4210416448873673</v>
      </c>
      <c r="AU17" s="26">
        <f t="array" ref="AU17">PRODUCT(1+預測IC!$C17:AU17)-1</f>
        <v>3.9325544369348524</v>
      </c>
      <c r="AV17" s="26">
        <f t="array" ref="AV17">PRODUCT(1+預測IC!$C17:AV17)-1</f>
        <v>4.0685122845880013</v>
      </c>
      <c r="AW17" s="26">
        <f t="array" ref="AW17">PRODUCT(1+預測IC!$C17:AW17)-1</f>
        <v>4.0258258415885271</v>
      </c>
      <c r="AX17" s="26">
        <f t="array" ref="AX17">PRODUCT(1+預測IC!$C17:AX17)-1</f>
        <v>3.5352092204557062</v>
      </c>
      <c r="AY17" s="26">
        <f t="array" ref="AY17">PRODUCT(1+預測IC!$C17:AY17)-1</f>
        <v>3.4650130448586376</v>
      </c>
      <c r="AZ17" s="26">
        <f t="array" ref="AZ17">PRODUCT(1+預測IC!$C17:AZ17)-1</f>
        <v>3.1502553842294798</v>
      </c>
      <c r="BA17" s="26">
        <f t="array" ref="BA17">PRODUCT(1+預測IC!$C17:BA17)-1</f>
        <v>3.1910323867197938</v>
      </c>
      <c r="BB17" s="26">
        <f t="array" ref="BB17">PRODUCT(1+預測IC!$C17:BB17)-1</f>
        <v>3.8333950639066261</v>
      </c>
      <c r="BC17" s="26">
        <f t="array" ref="BC17">PRODUCT(1+預測IC!$C17:BC17)-1</f>
        <v>4.2387390175225086</v>
      </c>
      <c r="BD17" s="26">
        <f t="array" ref="BD17">PRODUCT(1+預測IC!$C17:BD17)-1</f>
        <v>4.3558587933602508</v>
      </c>
      <c r="BE17" s="26">
        <f t="array" ref="BE17">PRODUCT(1+預測IC!$C17:BE17)-1</f>
        <v>3.9415818183009899</v>
      </c>
      <c r="BF17" s="26">
        <f t="array" ref="BF17">PRODUCT(1+預測IC!$C17:BF17)-1</f>
        <v>4.6718331159795712</v>
      </c>
      <c r="BG17" s="26">
        <f t="array" ref="BG17">PRODUCT(1+預測IC!$C17:BG17)-1</f>
        <v>4.4710829156206424</v>
      </c>
      <c r="BH17" s="26">
        <f t="array" ref="BH17">PRODUCT(1+預測IC!$C17:BH17)-1</f>
        <v>4.5450490069150709</v>
      </c>
      <c r="BI17" s="26">
        <f t="array" ref="BI17">PRODUCT(1+預測IC!$C17:BI17)-1</f>
        <v>4.9927473892060199</v>
      </c>
      <c r="BJ17" s="26">
        <f t="array" ref="BJ17">PRODUCT(1+預測IC!$C17:BJ17)-1</f>
        <v>5.57924705513107</v>
      </c>
      <c r="BK17" s="26">
        <f t="array" ref="BK17">PRODUCT(1+預測IC!$C17:BK17)-1</f>
        <v>5.6894581723230502</v>
      </c>
      <c r="BL17" s="26">
        <f t="array" ref="BL17">PRODUCT(1+預測IC!$C17:BL17)-1</f>
        <v>5.9179195401813844</v>
      </c>
      <c r="BM17" s="26">
        <f t="array" ref="BM17">PRODUCT(1+預測IC!$C17:BM17)-1</f>
        <v>6.1189474412506053</v>
      </c>
      <c r="BN17" s="26">
        <f t="array" ref="BN17">PRODUCT(1+預測IC!$C17:BN17)-1</f>
        <v>6.4995988490875405</v>
      </c>
      <c r="BO17" s="26">
        <f t="array" ref="BO17">PRODUCT(1+預測IC!$C17:BO17)-1</f>
        <v>6.2357658457969372</v>
      </c>
      <c r="BP17" s="26">
        <f t="array" ref="BP17">PRODUCT(1+預測IC!$C17:BP17)-1</f>
        <v>5.7970116166760786</v>
      </c>
      <c r="BQ17" s="26">
        <f t="array" ref="BQ17">PRODUCT(1+預測IC!$C17:BQ17)-1</f>
        <v>5.6229964589107411</v>
      </c>
      <c r="BR17" s="26">
        <f t="array" ref="BR17">PRODUCT(1+預測IC!$C17:BR17)-1</f>
        <v>5.5591085506181983</v>
      </c>
      <c r="BS17" s="26">
        <f t="array" ref="BS17">PRODUCT(1+預測IC!$C17:BS17)-1</f>
        <v>5.4219837077933679</v>
      </c>
      <c r="BT17" s="26">
        <f t="array" ref="BT17">PRODUCT(1+預測IC!$C17:BT17)-1</f>
        <v>5.0838652363782373</v>
      </c>
      <c r="BU17" s="26">
        <f t="array" ref="BU17">PRODUCT(1+預測IC!$C17:BU17)-1</f>
        <v>5.5165973002153521</v>
      </c>
      <c r="BV17" s="26">
        <f t="array" ref="BV17">PRODUCT(1+預測IC!$C17:BV17)-1</f>
        <v>4.8216421123058479</v>
      </c>
      <c r="BW17" s="26">
        <f t="array" ref="BW17">PRODUCT(1+預測IC!$C17:BW17)-1</f>
        <v>6.0345045492819924</v>
      </c>
      <c r="BX17" s="26">
        <f t="array" ref="BX17">PRODUCT(1+預測IC!$C17:BX17)-1</f>
        <v>5.4531661324222389</v>
      </c>
      <c r="BY17" s="26">
        <f t="array" ref="BY17">PRODUCT(1+預測IC!$C17:BY17)-1</f>
        <v>4.8345503006986785</v>
      </c>
      <c r="BZ17" s="26">
        <f t="array" ref="BZ17">PRODUCT(1+預測IC!$C17:BZ17)-1</f>
        <v>4.1310309850450002</v>
      </c>
      <c r="CA17" s="26">
        <f t="array" ref="CA17">PRODUCT(1+預測IC!$C17:CA17)-1</f>
        <v>3.9876964946515523</v>
      </c>
      <c r="CB17" s="26">
        <f t="array" ref="CB17">PRODUCT(1+預測IC!$C17:CB17)-1</f>
        <v>3.2413706346811706</v>
      </c>
      <c r="CC17" s="26">
        <f t="array" ref="CC17">PRODUCT(1+預測IC!$C17:CC17)-1</f>
        <v>3.4184839103295044</v>
      </c>
      <c r="CD17" s="26">
        <f t="array" ref="CD17">PRODUCT(1+預測IC!$C17:CD17)-1</f>
        <v>3.080977507478484</v>
      </c>
      <c r="CE17" s="26">
        <f t="array" ref="CE17">PRODUCT(1+預測IC!$C17:CE17)-1</f>
        <v>2.3663320483742076</v>
      </c>
      <c r="CF17" s="26">
        <f t="array" ref="CF17">PRODUCT(1+預測IC!$C17:CF17)-1</f>
        <v>2.5623831758096811</v>
      </c>
      <c r="CG17" s="26">
        <f t="array" ref="CG17">PRODUCT(1+預測IC!$C17:CG17)-1</f>
        <v>2.296219757337878</v>
      </c>
      <c r="CH17" s="26">
        <f t="array" ref="CH17">PRODUCT(1+預測IC!$C17:CH17)-1</f>
        <v>2.4048930644072235</v>
      </c>
      <c r="CI17" s="26">
        <f t="array" ref="CI17">PRODUCT(1+預測IC!$C17:CI17)-1</f>
        <v>2.392288887868141</v>
      </c>
      <c r="CJ17" s="26">
        <f t="array" ref="CJ17">PRODUCT(1+預測IC!$C17:CJ17)-1</f>
        <v>2.5644215011844467</v>
      </c>
      <c r="CK17" s="26">
        <f t="array" ref="CK17">PRODUCT(1+預測IC!$C17:CK17)-1</f>
        <v>2.8636755318712535</v>
      </c>
      <c r="CL17" s="26">
        <f t="array" ref="CL17">PRODUCT(1+預測IC!$C17:CL17)-1</f>
        <v>2.3349736533978911</v>
      </c>
      <c r="CM17" s="26">
        <f t="array" ref="CM17">PRODUCT(1+預測IC!$C17:CM17)-1</f>
        <v>2.7837588716322177</v>
      </c>
      <c r="CN17" s="26">
        <f t="array" ref="CN17">PRODUCT(1+預測IC!$C17:CN17)-1</f>
        <v>2.8848535725450768</v>
      </c>
      <c r="CO17" s="26">
        <f t="array" ref="CO17">PRODUCT(1+預測IC!$C17:CO17)-1</f>
        <v>2.3510246729074802</v>
      </c>
      <c r="CP17" s="26">
        <f t="array" ref="CP17">PRODUCT(1+預測IC!$C17:CP17)-1</f>
        <v>1.8545393063072408</v>
      </c>
      <c r="CQ17" s="26">
        <f t="array" ref="CQ17">PRODUCT(1+預測IC!$C17:CQ17)-1</f>
        <v>2.0027101730727508</v>
      </c>
      <c r="CR17" s="26">
        <f t="array" ref="CR17">PRODUCT(1+預測IC!$C17:CR17)-1</f>
        <v>1.4129699926618633</v>
      </c>
      <c r="CS17" s="26">
        <f t="array" ref="CS17">PRODUCT(1+預測IC!$C17:CS17)-1</f>
        <v>1.4408316523033826</v>
      </c>
      <c r="CT17" s="26">
        <f t="array" ref="CT17">PRODUCT(1+預測IC!$C17:CT17)-1</f>
        <v>1.4831539167442918</v>
      </c>
      <c r="CU17" s="26">
        <f t="array" ref="CU17">PRODUCT(1+預測IC!$C17:CU17)-1</f>
        <v>1.8689165778236538</v>
      </c>
      <c r="CV17" s="26">
        <f t="array" ref="CV17">PRODUCT(1+預測IC!$C17:CV17)-1</f>
        <v>1.6741418865949114</v>
      </c>
      <c r="CW17" s="26">
        <f t="array" ref="CW17">PRODUCT(1+預測IC!$C17:CW17)-1</f>
        <v>1.8436643483260688</v>
      </c>
      <c r="CX17" s="26">
        <f t="array" ref="CX17">PRODUCT(1+預測IC!$C17:CX17)-1</f>
        <v>1.4881782793364953</v>
      </c>
      <c r="CY17" s="26">
        <f t="array" ref="CY17">PRODUCT(1+預測IC!$C17:CY17)-1</f>
        <v>1.300049823265983</v>
      </c>
      <c r="CZ17" s="26">
        <f t="array" ref="CZ17">PRODUCT(1+預測IC!$C17:CZ17)-1</f>
        <v>1.2273850751404822</v>
      </c>
      <c r="DA17" s="26">
        <f t="array" ref="DA17">PRODUCT(1+預測IC!$C17:DA17)-1</f>
        <v>1.1296120936201417</v>
      </c>
      <c r="DB17" s="26">
        <f t="array" ref="DB17">PRODUCT(1+預測IC!$C17:DB17)-1</f>
        <v>1.2038993752656637</v>
      </c>
      <c r="DC17" s="26">
        <f t="array" ref="DC17">PRODUCT(1+預測IC!$C17:DC17)-1</f>
        <v>1.1083306530768011</v>
      </c>
      <c r="DD17" s="26">
        <f t="array" ref="DD17">PRODUCT(1+預測IC!$C17:DD17)-1</f>
        <v>1.169799920627534</v>
      </c>
      <c r="DE17" s="26">
        <f t="array" ref="DE17">PRODUCT(1+預測IC!$C17:DE17)-1</f>
        <v>1.2221460472024015</v>
      </c>
      <c r="DF17" s="26">
        <f t="array" ref="DF17">PRODUCT(1+預測IC!$C17:DF17)-1</f>
        <v>1.2569769530602031</v>
      </c>
      <c r="DG17" s="26">
        <f t="array" ref="DG17">PRODUCT(1+預測IC!$C17:DG17)-1</f>
        <v>1.5350646494467668</v>
      </c>
      <c r="DH17" s="26">
        <f t="array" ref="DH17">PRODUCT(1+預測IC!$C17:DH17)-1</f>
        <v>1.1207504779444899</v>
      </c>
      <c r="DI17" s="26">
        <f t="array" ref="DI17">PRODUCT(1+預測IC!$C17:DI17)-1</f>
        <v>1.1950711945556858</v>
      </c>
      <c r="DJ17" s="26">
        <f t="array" ref="DJ17">PRODUCT(1+預測IC!$C17:DJ17)-1</f>
        <v>0.91207150956304694</v>
      </c>
      <c r="DK17" s="26">
        <f t="array" ref="DK17">PRODUCT(1+預測IC!$C17:DK17)-1</f>
        <v>0.78182480929991049</v>
      </c>
      <c r="DL17" s="26">
        <f t="array" ref="DL17">PRODUCT(1+預測IC!$C17:DL17)-1</f>
        <v>0.78882690272105571</v>
      </c>
      <c r="DM17" s="26">
        <f t="array" ref="DM17">PRODUCT(1+預測IC!$C17:DM17)-1</f>
        <v>0.85542041244445199</v>
      </c>
      <c r="DN17" s="26">
        <f t="array" ref="DN17">PRODUCT(1+預測IC!$C17:DN17)-1</f>
        <v>1.0529855085823332</v>
      </c>
      <c r="DO17" s="26">
        <f t="array" ref="DO17">PRODUCT(1+預測IC!$C17:DO17)-1</f>
        <v>1.1869439305629763</v>
      </c>
      <c r="DP17" s="26">
        <f t="array" ref="DP17">PRODUCT(1+預測IC!$C17:DP17)-1</f>
        <v>1.1508188791891993</v>
      </c>
      <c r="DQ17" s="26">
        <f t="array" ref="DQ17">PRODUCT(1+預測IC!$C17:DQ17)-1</f>
        <v>0.99455327335845256</v>
      </c>
      <c r="DR17" s="26">
        <f t="array" ref="DR17">PRODUCT(1+預測IC!$C17:DR17)-1</f>
        <v>0.94324039857139641</v>
      </c>
      <c r="DS17" s="26">
        <f t="array" ref="DS17">PRODUCT(1+預測IC!$C17:DS17)-1</f>
        <v>0.95588221939076323</v>
      </c>
      <c r="DT17" s="26">
        <f t="array" ref="DT17">PRODUCT(1+預測IC!$C17:DT17)-1</f>
        <v>1.0728673200242049</v>
      </c>
      <c r="DU17" s="26">
        <f t="array" ref="DU17">PRODUCT(1+預測IC!$C17:DU17)-1</f>
        <v>0.74213076857212767</v>
      </c>
      <c r="DV17" s="26">
        <f t="array" ref="DV17">PRODUCT(1+預測IC!$C17:DV17)-1</f>
        <v>0.66347559195163086</v>
      </c>
      <c r="DW17" s="26">
        <f t="array" ref="DW17">PRODUCT(1+預測IC!$C17:DW17)-1</f>
        <v>0.74445605139106785</v>
      </c>
      <c r="DX17" s="26">
        <f t="array" ref="DX17">PRODUCT(1+預測IC!$C17:DX17)-1</f>
        <v>0.7846399108320925</v>
      </c>
      <c r="DY17" s="26">
        <f t="array" ref="DY17">PRODUCT(1+預測IC!$C17:DY17)-1</f>
        <v>0.55975647570845011</v>
      </c>
      <c r="DZ17" s="26">
        <f t="array" ref="DZ17">PRODUCT(1+預測IC!$C17:DZ17)-1</f>
        <v>0.55228359938255545</v>
      </c>
      <c r="EA17" s="26">
        <f t="array" ref="EA17">PRODUCT(1+預測IC!$C17:EA17)-1</f>
        <v>0.80774659800649129</v>
      </c>
      <c r="EB17" s="26">
        <f t="array" ref="EB17">PRODUCT(1+預測IC!$C17:EB17)-1</f>
        <v>1.0016912824616111</v>
      </c>
      <c r="EC17" s="26">
        <f t="array" ref="EC17">PRODUCT(1+預測IC!$C17:EC17)-1</f>
        <v>0.75846173678188467</v>
      </c>
      <c r="ED17" s="26">
        <f t="array" ref="ED17">PRODUCT(1+預測IC!$C17:ED17)-1</f>
        <v>0.57682903889720527</v>
      </c>
      <c r="EE17" s="26">
        <f t="array" ref="EE17">PRODUCT(1+預測IC!$C17:EE17)-1</f>
        <v>0.47547251820370029</v>
      </c>
      <c r="EF17" s="26">
        <f t="array" ref="EF17">PRODUCT(1+預測IC!$C17:EF17)-1</f>
        <v>0.41500064591325114</v>
      </c>
    </row>
    <row r="18" spans="1:136" ht="15" customHeight="1">
      <c r="A18" s="13">
        <v>7</v>
      </c>
      <c r="B18" s="25" t="s">
        <v>232</v>
      </c>
      <c r="C18" s="26">
        <f t="array" ref="C18">PRODUCT(1+預測IC!$C18:C18)-1</f>
        <v>-5.9146797802220652E-2</v>
      </c>
      <c r="D18" s="26">
        <f t="array" ref="D18">PRODUCT(1+預測IC!$C18:D18)-1</f>
        <v>0.31896705050983187</v>
      </c>
      <c r="E18" s="26">
        <f t="array" ref="E18">PRODUCT(1+預測IC!$C18:E18)-1</f>
        <v>0.18644301438930544</v>
      </c>
      <c r="F18" s="26">
        <f t="array" ref="F18">PRODUCT(1+預測IC!$C18:F18)-1</f>
        <v>0.32808409343966582</v>
      </c>
      <c r="G18" s="26">
        <f t="array" ref="G18">PRODUCT(1+預測IC!$C18:G18)-1</f>
        <v>0.18423084102067788</v>
      </c>
      <c r="H18" s="26">
        <f t="array" ref="H18">PRODUCT(1+預測IC!$C18:H18)-1</f>
        <v>0.19444154904579536</v>
      </c>
      <c r="I18" s="26">
        <f t="array" ref="I18">PRODUCT(1+預測IC!$C18:I18)-1</f>
        <v>3.2594503883962789E-2</v>
      </c>
      <c r="J18" s="26">
        <f t="array" ref="J18">PRODUCT(1+預測IC!$C18:J18)-1</f>
        <v>7.7420996454380164E-2</v>
      </c>
      <c r="K18" s="26">
        <f t="array" ref="K18">PRODUCT(1+預測IC!$C18:K18)-1</f>
        <v>0.22357087994810954</v>
      </c>
      <c r="L18" s="26">
        <f t="array" ref="L18">PRODUCT(1+預測IC!$C18:L18)-1</f>
        <v>0.16146461581395299</v>
      </c>
      <c r="M18" s="26">
        <f t="array" ref="M18">PRODUCT(1+預測IC!$C18:M18)-1</f>
        <v>0.19520686372478768</v>
      </c>
      <c r="N18" s="26">
        <f t="array" ref="N18">PRODUCT(1+預測IC!$C18:N18)-1</f>
        <v>0.36397902318489983</v>
      </c>
      <c r="O18" s="26">
        <f t="array" ref="O18">PRODUCT(1+預測IC!$C18:O18)-1</f>
        <v>0.50538339636300811</v>
      </c>
      <c r="P18" s="26">
        <f t="array" ref="P18">PRODUCT(1+預測IC!$C18:P18)-1</f>
        <v>0.51792035853096841</v>
      </c>
      <c r="Q18" s="26">
        <f t="array" ref="Q18">PRODUCT(1+預測IC!$C18:Q18)-1</f>
        <v>0.80476999382165881</v>
      </c>
      <c r="R18" s="26">
        <f t="array" ref="R18">PRODUCT(1+預測IC!$C18:R18)-1</f>
        <v>0.91574933958594285</v>
      </c>
      <c r="S18" s="26">
        <f t="array" ref="S18">PRODUCT(1+預測IC!$C18:S18)-1</f>
        <v>1.1912441088128154</v>
      </c>
      <c r="T18" s="26">
        <f t="array" ref="T18">PRODUCT(1+預測IC!$C18:T18)-1</f>
        <v>1.3101069184679281</v>
      </c>
      <c r="U18" s="26">
        <f t="array" ref="U18">PRODUCT(1+預測IC!$C18:U18)-1</f>
        <v>1.6161845910658306</v>
      </c>
      <c r="V18" s="26">
        <f t="array" ref="V18">PRODUCT(1+預測IC!$C18:V18)-1</f>
        <v>1.9337670619352996</v>
      </c>
      <c r="W18" s="26">
        <f t="array" ref="W18">PRODUCT(1+預測IC!$C18:W18)-1</f>
        <v>2.4211679518858134</v>
      </c>
      <c r="X18" s="26">
        <f t="array" ref="X18">PRODUCT(1+預測IC!$C18:X18)-1</f>
        <v>2.8560780629099511</v>
      </c>
      <c r="Y18" s="26">
        <f t="array" ref="Y18">PRODUCT(1+預測IC!$C18:Y18)-1</f>
        <v>3.2566445365383903</v>
      </c>
      <c r="Z18" s="26">
        <f t="array" ref="Z18">PRODUCT(1+預測IC!$C18:Z18)-1</f>
        <v>3.6364835021489732</v>
      </c>
      <c r="AA18" s="26">
        <f t="array" ref="AA18">PRODUCT(1+預測IC!$C18:AA18)-1</f>
        <v>3.4431178209061946</v>
      </c>
      <c r="AB18" s="26">
        <f t="array" ref="AB18">PRODUCT(1+預測IC!$C18:AB18)-1</f>
        <v>3.066793295973226</v>
      </c>
      <c r="AC18" s="26">
        <f t="array" ref="AC18">PRODUCT(1+預測IC!$C18:AC18)-1</f>
        <v>3.072346178814592</v>
      </c>
      <c r="AD18" s="26">
        <f t="array" ref="AD18">PRODUCT(1+預測IC!$C18:AD18)-1</f>
        <v>2.7773299911410607</v>
      </c>
      <c r="AE18" s="26">
        <f t="array" ref="AE18">PRODUCT(1+預測IC!$C18:AE18)-1</f>
        <v>3.7533593828498724</v>
      </c>
      <c r="AF18" s="26">
        <f t="array" ref="AF18">PRODUCT(1+預測IC!$C18:AF18)-1</f>
        <v>3.0377713599637417</v>
      </c>
      <c r="AG18" s="26">
        <f t="array" ref="AG18">PRODUCT(1+預測IC!$C18:AG18)-1</f>
        <v>2.7078047656159683</v>
      </c>
      <c r="AH18" s="26">
        <f t="array" ref="AH18">PRODUCT(1+預測IC!$C18:AH18)-1</f>
        <v>3.3124309449274163</v>
      </c>
      <c r="AI18" s="26">
        <f t="array" ref="AI18">PRODUCT(1+預測IC!$C18:AI18)-1</f>
        <v>2.9612966455547172</v>
      </c>
      <c r="AJ18" s="26">
        <f t="array" ref="AJ18">PRODUCT(1+預測IC!$C18:AJ18)-1</f>
        <v>2.6805705739520151</v>
      </c>
      <c r="AK18" s="26">
        <f t="array" ref="AK18">PRODUCT(1+預測IC!$C18:AK18)-1</f>
        <v>2.5965325279702314</v>
      </c>
      <c r="AL18" s="26">
        <f t="array" ref="AL18">PRODUCT(1+預測IC!$C18:AL18)-1</f>
        <v>2.7674676758553272</v>
      </c>
      <c r="AM18" s="26">
        <f t="array" ref="AM18">PRODUCT(1+預測IC!$C18:AM18)-1</f>
        <v>3.0185445516020737</v>
      </c>
      <c r="AN18" s="26">
        <f t="array" ref="AN18">PRODUCT(1+預測IC!$C18:AN18)-1</f>
        <v>3.3371935949652975</v>
      </c>
      <c r="AO18" s="26">
        <f t="array" ref="AO18">PRODUCT(1+預測IC!$C18:AO18)-1</f>
        <v>3.4438203786473442</v>
      </c>
      <c r="AP18" s="26">
        <f t="array" ref="AP18">PRODUCT(1+預測IC!$C18:AP18)-1</f>
        <v>3.4348629064269565</v>
      </c>
      <c r="AQ18" s="26">
        <f t="array" ref="AQ18">PRODUCT(1+預測IC!$C18:AQ18)-1</f>
        <v>3.7729362546908005</v>
      </c>
      <c r="AR18" s="26">
        <f t="array" ref="AR18">PRODUCT(1+預測IC!$C18:AR18)-1</f>
        <v>3.4784726798497969</v>
      </c>
      <c r="AS18" s="26">
        <f t="array" ref="AS18">PRODUCT(1+預測IC!$C18:AS18)-1</f>
        <v>3.8628445461899679</v>
      </c>
      <c r="AT18" s="26">
        <f t="array" ref="AT18">PRODUCT(1+預測IC!$C18:AT18)-1</f>
        <v>4.6719528721111558</v>
      </c>
      <c r="AU18" s="26">
        <f t="array" ref="AU18">PRODUCT(1+預測IC!$C18:AU18)-1</f>
        <v>5.4597769996048928</v>
      </c>
      <c r="AV18" s="26">
        <f t="array" ref="AV18">PRODUCT(1+預測IC!$C18:AV18)-1</f>
        <v>5.686243861657041</v>
      </c>
      <c r="AW18" s="26">
        <f t="array" ref="AW18">PRODUCT(1+預測IC!$C18:AW18)-1</f>
        <v>5.522176580835306</v>
      </c>
      <c r="AX18" s="26">
        <f t="array" ref="AX18">PRODUCT(1+預測IC!$C18:AX18)-1</f>
        <v>4.6999627115960978</v>
      </c>
      <c r="AY18" s="26">
        <f t="array" ref="AY18">PRODUCT(1+預測IC!$C18:AY18)-1</f>
        <v>4.5278844925567059</v>
      </c>
      <c r="AZ18" s="26">
        <f t="array" ref="AZ18">PRODUCT(1+預測IC!$C18:AZ18)-1</f>
        <v>4.2423895602606239</v>
      </c>
      <c r="BA18" s="26">
        <f t="array" ref="BA18">PRODUCT(1+預測IC!$C18:BA18)-1</f>
        <v>4.2457043804510342</v>
      </c>
      <c r="BB18" s="26">
        <f t="array" ref="BB18">PRODUCT(1+預測IC!$C18:BB18)-1</f>
        <v>5.123086656784813</v>
      </c>
      <c r="BC18" s="26">
        <f t="array" ref="BC18">PRODUCT(1+預測IC!$C18:BC18)-1</f>
        <v>5.6325370957544871</v>
      </c>
      <c r="BD18" s="26">
        <f t="array" ref="BD18">PRODUCT(1+預測IC!$C18:BD18)-1</f>
        <v>5.4732482828867486</v>
      </c>
      <c r="BE18" s="26">
        <f t="array" ref="BE18">PRODUCT(1+預測IC!$C18:BE18)-1</f>
        <v>5.0307291766767568</v>
      </c>
      <c r="BF18" s="26">
        <f t="array" ref="BF18">PRODUCT(1+預測IC!$C18:BF18)-1</f>
        <v>6.0257180439975935</v>
      </c>
      <c r="BG18" s="26">
        <f t="array" ref="BG18">PRODUCT(1+預測IC!$C18:BG18)-1</f>
        <v>5.9076421317628744</v>
      </c>
      <c r="BH18" s="26">
        <f t="array" ref="BH18">PRODUCT(1+預測IC!$C18:BH18)-1</f>
        <v>6.0492754110498925</v>
      </c>
      <c r="BI18" s="26">
        <f t="array" ref="BI18">PRODUCT(1+預測IC!$C18:BI18)-1</f>
        <v>6.5849575596132954</v>
      </c>
      <c r="BJ18" s="26">
        <f t="array" ref="BJ18">PRODUCT(1+預測IC!$C18:BJ18)-1</f>
        <v>7.3323326807572382</v>
      </c>
      <c r="BK18" s="26">
        <f t="array" ref="BK18">PRODUCT(1+預測IC!$C18:BK18)-1</f>
        <v>7.3405073982257445</v>
      </c>
      <c r="BL18" s="26">
        <f t="array" ref="BL18">PRODUCT(1+預測IC!$C18:BL18)-1</f>
        <v>7.8058066312847565</v>
      </c>
      <c r="BM18" s="26">
        <f t="array" ref="BM18">PRODUCT(1+預測IC!$C18:BM18)-1</f>
        <v>8.0530856254504286</v>
      </c>
      <c r="BN18" s="26">
        <f t="array" ref="BN18">PRODUCT(1+預測IC!$C18:BN18)-1</f>
        <v>8.4350496915741093</v>
      </c>
      <c r="BO18" s="26">
        <f t="array" ref="BO18">PRODUCT(1+預測IC!$C18:BO18)-1</f>
        <v>8.2442022606743421</v>
      </c>
      <c r="BP18" s="26">
        <f t="array" ref="BP18">PRODUCT(1+預測IC!$C18:BP18)-1</f>
        <v>7.6667908990681006</v>
      </c>
      <c r="BQ18" s="26">
        <f t="array" ref="BQ18">PRODUCT(1+預測IC!$C18:BQ18)-1</f>
        <v>6.9174628367337512</v>
      </c>
      <c r="BR18" s="26">
        <f t="array" ref="BR18">PRODUCT(1+預測IC!$C18:BR18)-1</f>
        <v>6.8719517276544382</v>
      </c>
      <c r="BS18" s="26">
        <f t="array" ref="BS18">PRODUCT(1+預測IC!$C18:BS18)-1</f>
        <v>6.6131750387571167</v>
      </c>
      <c r="BT18" s="26">
        <f t="array" ref="BT18">PRODUCT(1+預測IC!$C18:BT18)-1</f>
        <v>6.1446197227581303</v>
      </c>
      <c r="BU18" s="26">
        <f t="array" ref="BU18">PRODUCT(1+預測IC!$C18:BU18)-1</f>
        <v>6.7210293806283214</v>
      </c>
      <c r="BV18" s="26">
        <f t="array" ref="BV18">PRODUCT(1+預測IC!$C18:BV18)-1</f>
        <v>5.829207470002058</v>
      </c>
      <c r="BW18" s="26">
        <f t="array" ref="BW18">PRODUCT(1+預測IC!$C18:BW18)-1</f>
        <v>7.3205390599328339</v>
      </c>
      <c r="BX18" s="26">
        <f t="array" ref="BX18">PRODUCT(1+預測IC!$C18:BX18)-1</f>
        <v>6.6999860727681542</v>
      </c>
      <c r="BY18" s="26">
        <f t="array" ref="BY18">PRODUCT(1+預測IC!$C18:BY18)-1</f>
        <v>6.2172860458444328</v>
      </c>
      <c r="BZ18" s="26">
        <f t="array" ref="BZ18">PRODUCT(1+預測IC!$C18:BZ18)-1</f>
        <v>5.1107318373277026</v>
      </c>
      <c r="CA18" s="26">
        <f t="array" ref="CA18">PRODUCT(1+預測IC!$C18:CA18)-1</f>
        <v>5.0124923887274013</v>
      </c>
      <c r="CB18" s="26">
        <f t="array" ref="CB18">PRODUCT(1+預測IC!$C18:CB18)-1</f>
        <v>4.3700799091064653</v>
      </c>
      <c r="CC18" s="26">
        <f t="array" ref="CC18">PRODUCT(1+預測IC!$C18:CC18)-1</f>
        <v>4.9321109380850032</v>
      </c>
      <c r="CD18" s="26">
        <f t="array" ref="CD18">PRODUCT(1+預測IC!$C18:CD18)-1</f>
        <v>4.2107945847066901</v>
      </c>
      <c r="CE18" s="26">
        <f t="array" ref="CE18">PRODUCT(1+預測IC!$C18:CE18)-1</f>
        <v>3.2836568907757986</v>
      </c>
      <c r="CF18" s="26">
        <f t="array" ref="CF18">PRODUCT(1+預測IC!$C18:CF18)-1</f>
        <v>3.0953570004147979</v>
      </c>
      <c r="CG18" s="26">
        <f t="array" ref="CG18">PRODUCT(1+預測IC!$C18:CG18)-1</f>
        <v>2.7201843943383128</v>
      </c>
      <c r="CH18" s="26">
        <f t="array" ref="CH18">PRODUCT(1+預測IC!$C18:CH18)-1</f>
        <v>2.8889529736352051</v>
      </c>
      <c r="CI18" s="26">
        <f t="array" ref="CI18">PRODUCT(1+預測IC!$C18:CI18)-1</f>
        <v>3.3364132225509771</v>
      </c>
      <c r="CJ18" s="26">
        <f t="array" ref="CJ18">PRODUCT(1+預測IC!$C18:CJ18)-1</f>
        <v>3.6066310790166964</v>
      </c>
      <c r="CK18" s="26">
        <f t="array" ref="CK18">PRODUCT(1+預測IC!$C18:CK18)-1</f>
        <v>4.0491349930762652</v>
      </c>
      <c r="CL18" s="26">
        <f t="array" ref="CL18">PRODUCT(1+預測IC!$C18:CL18)-1</f>
        <v>3.2770518484584965</v>
      </c>
      <c r="CM18" s="26">
        <f t="array" ref="CM18">PRODUCT(1+預測IC!$C18:CM18)-1</f>
        <v>3.8914441155281363</v>
      </c>
      <c r="CN18" s="26">
        <f t="array" ref="CN18">PRODUCT(1+預測IC!$C18:CN18)-1</f>
        <v>4.063066566085614</v>
      </c>
      <c r="CO18" s="26">
        <f t="array" ref="CO18">PRODUCT(1+預測IC!$C18:CO18)-1</f>
        <v>3.3005813501814574</v>
      </c>
      <c r="CP18" s="26">
        <f t="array" ref="CP18">PRODUCT(1+預測IC!$C18:CP18)-1</f>
        <v>2.6002785151594763</v>
      </c>
      <c r="CQ18" s="26">
        <f t="array" ref="CQ18">PRODUCT(1+預測IC!$C18:CQ18)-1</f>
        <v>2.7379627984661625</v>
      </c>
      <c r="CR18" s="26">
        <f t="array" ref="CR18">PRODUCT(1+預測IC!$C18:CR18)-1</f>
        <v>2.0138356454329078</v>
      </c>
      <c r="CS18" s="26">
        <f t="array" ref="CS18">PRODUCT(1+預測IC!$C18:CS18)-1</f>
        <v>2.0986126893991885</v>
      </c>
      <c r="CT18" s="26">
        <f t="array" ref="CT18">PRODUCT(1+預測IC!$C18:CT18)-1</f>
        <v>2.0481905323828662</v>
      </c>
      <c r="CU18" s="26">
        <f t="array" ref="CU18">PRODUCT(1+預測IC!$C18:CU18)-1</f>
        <v>2.4888516516075829</v>
      </c>
      <c r="CV18" s="26">
        <f t="array" ref="CV18">PRODUCT(1+預測IC!$C18:CV18)-1</f>
        <v>2.2692478780266589</v>
      </c>
      <c r="CW18" s="26">
        <f t="array" ref="CW18">PRODUCT(1+預測IC!$C18:CW18)-1</f>
        <v>2.4868443564697582</v>
      </c>
      <c r="CX18" s="26">
        <f t="array" ref="CX18">PRODUCT(1+預測IC!$C18:CX18)-1</f>
        <v>1.9530932520433657</v>
      </c>
      <c r="CY18" s="26">
        <f t="array" ref="CY18">PRODUCT(1+預測IC!$C18:CY18)-1</f>
        <v>1.6779287952886177</v>
      </c>
      <c r="CZ18" s="26">
        <f t="array" ref="CZ18">PRODUCT(1+預測IC!$C18:CZ18)-1</f>
        <v>1.4330075340962947</v>
      </c>
      <c r="DA18" s="26">
        <f t="array" ref="DA18">PRODUCT(1+預測IC!$C18:DA18)-1</f>
        <v>1.3177293512747523</v>
      </c>
      <c r="DB18" s="26">
        <f t="array" ref="DB18">PRODUCT(1+預測IC!$C18:DB18)-1</f>
        <v>1.4237311868161888</v>
      </c>
      <c r="DC18" s="26">
        <f t="array" ref="DC18">PRODUCT(1+預測IC!$C18:DC18)-1</f>
        <v>1.3354860876315544</v>
      </c>
      <c r="DD18" s="26">
        <f t="array" ref="DD18">PRODUCT(1+預測IC!$C18:DD18)-1</f>
        <v>1.4312741515113734</v>
      </c>
      <c r="DE18" s="26">
        <f t="array" ref="DE18">PRODUCT(1+預測IC!$C18:DE18)-1</f>
        <v>1.5246851327530631</v>
      </c>
      <c r="DF18" s="26">
        <f t="array" ref="DF18">PRODUCT(1+預測IC!$C18:DF18)-1</f>
        <v>1.5955580308794066</v>
      </c>
      <c r="DG18" s="26">
        <f t="array" ref="DG18">PRODUCT(1+預測IC!$C18:DG18)-1</f>
        <v>1.9023973567129069</v>
      </c>
      <c r="DH18" s="26">
        <f t="array" ref="DH18">PRODUCT(1+預測IC!$C18:DH18)-1</f>
        <v>1.3439686419738548</v>
      </c>
      <c r="DI18" s="26">
        <f t="array" ref="DI18">PRODUCT(1+預測IC!$C18:DI18)-1</f>
        <v>1.3875975116824368</v>
      </c>
      <c r="DJ18" s="26">
        <f t="array" ref="DJ18">PRODUCT(1+預測IC!$C18:DJ18)-1</f>
        <v>1.0385401241697436</v>
      </c>
      <c r="DK18" s="26">
        <f t="array" ref="DK18">PRODUCT(1+預測IC!$C18:DK18)-1</f>
        <v>0.92183249934961586</v>
      </c>
      <c r="DL18" s="26">
        <f t="array" ref="DL18">PRODUCT(1+預測IC!$C18:DL18)-1</f>
        <v>0.92919364453413045</v>
      </c>
      <c r="DM18" s="26">
        <f t="array" ref="DM18">PRODUCT(1+預測IC!$C18:DM18)-1</f>
        <v>0.93932322059319651</v>
      </c>
      <c r="DN18" s="26">
        <f t="array" ref="DN18">PRODUCT(1+預測IC!$C18:DN18)-1</f>
        <v>1.181949395155637</v>
      </c>
      <c r="DO18" s="26">
        <f t="array" ref="DO18">PRODUCT(1+預測IC!$C18:DO18)-1</f>
        <v>1.2478421230402472</v>
      </c>
      <c r="DP18" s="26">
        <f t="array" ref="DP18">PRODUCT(1+預測IC!$C18:DP18)-1</f>
        <v>1.2015260408679889</v>
      </c>
      <c r="DQ18" s="26">
        <f t="array" ref="DQ18">PRODUCT(1+預測IC!$C18:DQ18)-1</f>
        <v>1.0567768965031745</v>
      </c>
      <c r="DR18" s="26">
        <f t="array" ref="DR18">PRODUCT(1+預測IC!$C18:DR18)-1</f>
        <v>1.0352800520314651</v>
      </c>
      <c r="DS18" s="26">
        <f t="array" ref="DS18">PRODUCT(1+預測IC!$C18:DS18)-1</f>
        <v>1.0869469616429459</v>
      </c>
      <c r="DT18" s="26">
        <f t="array" ref="DT18">PRODUCT(1+預測IC!$C18:DT18)-1</f>
        <v>1.1341141226345814</v>
      </c>
      <c r="DU18" s="26">
        <f t="array" ref="DU18">PRODUCT(1+預測IC!$C18:DU18)-1</f>
        <v>0.78713110161279998</v>
      </c>
      <c r="DV18" s="26">
        <f t="array" ref="DV18">PRODUCT(1+預測IC!$C18:DV18)-1</f>
        <v>0.66108886881020479</v>
      </c>
      <c r="DW18" s="26">
        <f t="array" ref="DW18">PRODUCT(1+預測IC!$C18:DW18)-1</f>
        <v>0.79714648582257741</v>
      </c>
      <c r="DX18" s="26">
        <f t="array" ref="DX18">PRODUCT(1+預測IC!$C18:DX18)-1</f>
        <v>0.91967106928805831</v>
      </c>
      <c r="DY18" s="26">
        <f t="array" ref="DY18">PRODUCT(1+預測IC!$C18:DY18)-1</f>
        <v>0.60146043291304241</v>
      </c>
      <c r="DZ18" s="26">
        <f t="array" ref="DZ18">PRODUCT(1+預測IC!$C18:DZ18)-1</f>
        <v>0.53223273373992375</v>
      </c>
      <c r="EA18" s="26">
        <f t="array" ref="EA18">PRODUCT(1+預測IC!$C18:EA18)-1</f>
        <v>0.83706627720006144</v>
      </c>
      <c r="EB18" s="26">
        <f t="array" ref="EB18">PRODUCT(1+預測IC!$C18:EB18)-1</f>
        <v>1.0390780844545899</v>
      </c>
      <c r="EC18" s="26">
        <f t="array" ref="EC18">PRODUCT(1+預測IC!$C18:EC18)-1</f>
        <v>0.7474078850575101</v>
      </c>
      <c r="ED18" s="26">
        <f t="array" ref="ED18">PRODUCT(1+預測IC!$C18:ED18)-1</f>
        <v>0.60279397873085494</v>
      </c>
      <c r="EE18" s="26">
        <f t="array" ref="EE18">PRODUCT(1+預測IC!$C18:EE18)-1</f>
        <v>0.51782179133121575</v>
      </c>
      <c r="EF18" s="26">
        <f t="array" ref="EF18">PRODUCT(1+預測IC!$C18:EF18)-1</f>
        <v>0.42075426896368628</v>
      </c>
    </row>
    <row r="19" spans="1:136" ht="15" customHeight="1">
      <c r="A19" s="13">
        <v>6</v>
      </c>
      <c r="B19" s="25" t="s">
        <v>233</v>
      </c>
      <c r="C19" s="26">
        <f t="array" ref="C19">PRODUCT(1+預測IC!$C19:C19)-1</f>
        <v>-7.3861929880770893E-2</v>
      </c>
      <c r="D19" s="26">
        <f t="array" ref="D19">PRODUCT(1+預測IC!$C19:D19)-1</f>
        <v>0.30355909130497749</v>
      </c>
      <c r="E19" s="26">
        <f t="array" ref="E19">PRODUCT(1+預測IC!$C19:E19)-1</f>
        <v>0.1202999615952689</v>
      </c>
      <c r="F19" s="26">
        <f t="array" ref="F19">PRODUCT(1+預測IC!$C19:F19)-1</f>
        <v>0.31936456259195301</v>
      </c>
      <c r="G19" s="26">
        <f t="array" ref="G19">PRODUCT(1+預測IC!$C19:G19)-1</f>
        <v>0.19261852365263721</v>
      </c>
      <c r="H19" s="26">
        <f t="array" ref="H19">PRODUCT(1+預測IC!$C19:H19)-1</f>
        <v>0.17822506297423235</v>
      </c>
      <c r="I19" s="26">
        <f t="array" ref="I19">PRODUCT(1+預測IC!$C19:I19)-1</f>
        <v>1.9571953123431074E-2</v>
      </c>
      <c r="J19" s="26">
        <f t="array" ref="J19">PRODUCT(1+預測IC!$C19:J19)-1</f>
        <v>5.5694963811034004E-2</v>
      </c>
      <c r="K19" s="26">
        <f t="array" ref="K19">PRODUCT(1+預測IC!$C19:K19)-1</f>
        <v>0.30778374634645722</v>
      </c>
      <c r="L19" s="26">
        <f t="array" ref="L19">PRODUCT(1+預測IC!$C19:L19)-1</f>
        <v>0.28120088432913493</v>
      </c>
      <c r="M19" s="26">
        <f t="array" ref="M19">PRODUCT(1+預測IC!$C19:M19)-1</f>
        <v>0.22522491512912524</v>
      </c>
      <c r="N19" s="26">
        <f t="array" ref="N19">PRODUCT(1+預測IC!$C19:N19)-1</f>
        <v>0.41126745395406172</v>
      </c>
      <c r="O19" s="26">
        <f t="array" ref="O19">PRODUCT(1+預測IC!$C19:O19)-1</f>
        <v>0.54141649036805339</v>
      </c>
      <c r="P19" s="26">
        <f t="array" ref="P19">PRODUCT(1+預測IC!$C19:P19)-1</f>
        <v>0.57766006420364469</v>
      </c>
      <c r="Q19" s="26">
        <f t="array" ref="Q19">PRODUCT(1+預測IC!$C19:Q19)-1</f>
        <v>0.88871639469363606</v>
      </c>
      <c r="R19" s="26">
        <f t="array" ref="R19">PRODUCT(1+預測IC!$C19:R19)-1</f>
        <v>1.0592657675940607</v>
      </c>
      <c r="S19" s="26">
        <f t="array" ref="S19">PRODUCT(1+預測IC!$C19:S19)-1</f>
        <v>1.3119209484941368</v>
      </c>
      <c r="T19" s="26">
        <f t="array" ref="T19">PRODUCT(1+預測IC!$C19:T19)-1</f>
        <v>1.3746994926118949</v>
      </c>
      <c r="U19" s="26">
        <f t="array" ref="U19">PRODUCT(1+預測IC!$C19:U19)-1</f>
        <v>1.6969422685094004</v>
      </c>
      <c r="V19" s="26">
        <f t="array" ref="V19">PRODUCT(1+預測IC!$C19:V19)-1</f>
        <v>1.9469173157737112</v>
      </c>
      <c r="W19" s="26">
        <f t="array" ref="W19">PRODUCT(1+預測IC!$C19:W19)-1</f>
        <v>2.4618462154166783</v>
      </c>
      <c r="X19" s="26">
        <f t="array" ref="X19">PRODUCT(1+預測IC!$C19:X19)-1</f>
        <v>2.8873890456518194</v>
      </c>
      <c r="Y19" s="26">
        <f t="array" ref="Y19">PRODUCT(1+預測IC!$C19:Y19)-1</f>
        <v>3.2882964067454603</v>
      </c>
      <c r="Z19" s="26">
        <f t="array" ref="Z19">PRODUCT(1+預測IC!$C19:Z19)-1</f>
        <v>3.6811863094178374</v>
      </c>
      <c r="AA19" s="26">
        <f t="array" ref="AA19">PRODUCT(1+預測IC!$C19:AA19)-1</f>
        <v>3.4865885306778495</v>
      </c>
      <c r="AB19" s="26">
        <f t="array" ref="AB19">PRODUCT(1+預測IC!$C19:AB19)-1</f>
        <v>3.0278186752984988</v>
      </c>
      <c r="AC19" s="26">
        <f t="array" ref="AC19">PRODUCT(1+預測IC!$C19:AC19)-1</f>
        <v>3.0847782451177688</v>
      </c>
      <c r="AD19" s="26">
        <f t="array" ref="AD19">PRODUCT(1+預測IC!$C19:AD19)-1</f>
        <v>2.9867539537596448</v>
      </c>
      <c r="AE19" s="26">
        <f t="array" ref="AE19">PRODUCT(1+預測IC!$C19:AE19)-1</f>
        <v>4.2166390748002209</v>
      </c>
      <c r="AF19" s="26">
        <f t="array" ref="AF19">PRODUCT(1+預測IC!$C19:AF19)-1</f>
        <v>3.3359108704574307</v>
      </c>
      <c r="AG19" s="26">
        <f t="array" ref="AG19">PRODUCT(1+預測IC!$C19:AG19)-1</f>
        <v>3.1560264876494477</v>
      </c>
      <c r="AH19" s="26">
        <f t="array" ref="AH19">PRODUCT(1+預測IC!$C19:AH19)-1</f>
        <v>4.0045054247282259</v>
      </c>
      <c r="AI19" s="26">
        <f t="array" ref="AI19">PRODUCT(1+預測IC!$C19:AI19)-1</f>
        <v>3.765458453222343</v>
      </c>
      <c r="AJ19" s="26">
        <f t="array" ref="AJ19">PRODUCT(1+預測IC!$C19:AJ19)-1</f>
        <v>3.3975521479349498</v>
      </c>
      <c r="AK19" s="26">
        <f t="array" ref="AK19">PRODUCT(1+預測IC!$C19:AK19)-1</f>
        <v>3.2190927838021883</v>
      </c>
      <c r="AL19" s="26">
        <f t="array" ref="AL19">PRODUCT(1+預測IC!$C19:AL19)-1</f>
        <v>3.5155724235928396</v>
      </c>
      <c r="AM19" s="26">
        <f t="array" ref="AM19">PRODUCT(1+預測IC!$C19:AM19)-1</f>
        <v>3.7102207418194872</v>
      </c>
      <c r="AN19" s="26">
        <f t="array" ref="AN19">PRODUCT(1+預測IC!$C19:AN19)-1</f>
        <v>4.1038458552992001</v>
      </c>
      <c r="AO19" s="26">
        <f t="array" ref="AO19">PRODUCT(1+預測IC!$C19:AO19)-1</f>
        <v>4.3891004438954315</v>
      </c>
      <c r="AP19" s="26">
        <f t="array" ref="AP19">PRODUCT(1+預測IC!$C19:AP19)-1</f>
        <v>4.3367561112838757</v>
      </c>
      <c r="AQ19" s="26">
        <f t="array" ref="AQ19">PRODUCT(1+預測IC!$C19:AQ19)-1</f>
        <v>4.8077395518649544</v>
      </c>
      <c r="AR19" s="26">
        <f t="array" ref="AR19">PRODUCT(1+預測IC!$C19:AR19)-1</f>
        <v>4.374384417680039</v>
      </c>
      <c r="AS19" s="26">
        <f t="array" ref="AS19">PRODUCT(1+預測IC!$C19:AS19)-1</f>
        <v>4.8999828501706197</v>
      </c>
      <c r="AT19" s="26">
        <f t="array" ref="AT19">PRODUCT(1+預測IC!$C19:AT19)-1</f>
        <v>5.9890823009001233</v>
      </c>
      <c r="AU19" s="26">
        <f t="array" ref="AU19">PRODUCT(1+預測IC!$C19:AU19)-1</f>
        <v>7.0585141185702227</v>
      </c>
      <c r="AV19" s="26">
        <f t="array" ref="AV19">PRODUCT(1+預測IC!$C19:AV19)-1</f>
        <v>7.4024326979511894</v>
      </c>
      <c r="AW19" s="26">
        <f t="array" ref="AW19">PRODUCT(1+預測IC!$C19:AW19)-1</f>
        <v>7.2145864996519791</v>
      </c>
      <c r="AX19" s="26">
        <f t="array" ref="AX19">PRODUCT(1+預測IC!$C19:AX19)-1</f>
        <v>5.3735021965228027</v>
      </c>
      <c r="AY19" s="26">
        <f t="array" ref="AY19">PRODUCT(1+預測IC!$C19:AY19)-1</f>
        <v>4.9511095385241717</v>
      </c>
      <c r="AZ19" s="26">
        <f t="array" ref="AZ19">PRODUCT(1+預測IC!$C19:AZ19)-1</f>
        <v>4.2630926692815363</v>
      </c>
      <c r="BA19" s="26">
        <f t="array" ref="BA19">PRODUCT(1+預測IC!$C19:BA19)-1</f>
        <v>4.0822323635548132</v>
      </c>
      <c r="BB19" s="26">
        <f t="array" ref="BB19">PRODUCT(1+預測IC!$C19:BB19)-1</f>
        <v>5.1078361719461745</v>
      </c>
      <c r="BC19" s="26">
        <f t="array" ref="BC19">PRODUCT(1+預測IC!$C19:BC19)-1</f>
        <v>5.4990765884630122</v>
      </c>
      <c r="BD19" s="26">
        <f t="array" ref="BD19">PRODUCT(1+預測IC!$C19:BD19)-1</f>
        <v>5.4780560230430391</v>
      </c>
      <c r="BE19" s="26">
        <f t="array" ref="BE19">PRODUCT(1+預測IC!$C19:BE19)-1</f>
        <v>5.146820878943231</v>
      </c>
      <c r="BF19" s="26">
        <f t="array" ref="BF19">PRODUCT(1+預測IC!$C19:BF19)-1</f>
        <v>6.0184980746095009</v>
      </c>
      <c r="BG19" s="26">
        <f t="array" ref="BG19">PRODUCT(1+預測IC!$C19:BG19)-1</f>
        <v>5.9037901400683728</v>
      </c>
      <c r="BH19" s="26">
        <f t="array" ref="BH19">PRODUCT(1+預測IC!$C19:BH19)-1</f>
        <v>5.9177233810753807</v>
      </c>
      <c r="BI19" s="26">
        <f t="array" ref="BI19">PRODUCT(1+預測IC!$C19:BI19)-1</f>
        <v>6.6183796667984662</v>
      </c>
      <c r="BJ19" s="26">
        <f t="array" ref="BJ19">PRODUCT(1+預測IC!$C19:BJ19)-1</f>
        <v>7.0671953042311184</v>
      </c>
      <c r="BK19" s="26">
        <f t="array" ref="BK19">PRODUCT(1+預測IC!$C19:BK19)-1</f>
        <v>6.5063716583794156</v>
      </c>
      <c r="BL19" s="26">
        <f t="array" ref="BL19">PRODUCT(1+預測IC!$C19:BL19)-1</f>
        <v>6.9805081243127907</v>
      </c>
      <c r="BM19" s="26">
        <f t="array" ref="BM19">PRODUCT(1+預測IC!$C19:BM19)-1</f>
        <v>7.2341786693425636</v>
      </c>
      <c r="BN19" s="26">
        <f t="array" ref="BN19">PRODUCT(1+預測IC!$C19:BN19)-1</f>
        <v>7.8285636777219487</v>
      </c>
      <c r="BO19" s="26">
        <f t="array" ref="BO19">PRODUCT(1+預測IC!$C19:BO19)-1</f>
        <v>7.6014139048312366</v>
      </c>
      <c r="BP19" s="26">
        <f t="array" ref="BP19">PRODUCT(1+預測IC!$C19:BP19)-1</f>
        <v>7.494681826824154</v>
      </c>
      <c r="BQ19" s="26">
        <f t="array" ref="BQ19">PRODUCT(1+預測IC!$C19:BQ19)-1</f>
        <v>6.5632133342540184</v>
      </c>
      <c r="BR19" s="26">
        <f t="array" ref="BR19">PRODUCT(1+預測IC!$C19:BR19)-1</f>
        <v>6.6136996439885305</v>
      </c>
      <c r="BS19" s="26">
        <f t="array" ref="BS19">PRODUCT(1+預測IC!$C19:BS19)-1</f>
        <v>6.6403470745513431</v>
      </c>
      <c r="BT19" s="26">
        <f t="array" ref="BT19">PRODUCT(1+預測IC!$C19:BT19)-1</f>
        <v>6.0113676980982884</v>
      </c>
      <c r="BU19" s="26">
        <f t="array" ref="BU19">PRODUCT(1+預測IC!$C19:BU19)-1</f>
        <v>6.5437846771167019</v>
      </c>
      <c r="BV19" s="26">
        <f t="array" ref="BV19">PRODUCT(1+預測IC!$C19:BV19)-1</f>
        <v>5.788762473112584</v>
      </c>
      <c r="BW19" s="26">
        <f t="array" ref="BW19">PRODUCT(1+預測IC!$C19:BW19)-1</f>
        <v>7.8759879079881294</v>
      </c>
      <c r="BX19" s="26">
        <f t="array" ref="BX19">PRODUCT(1+預測IC!$C19:BX19)-1</f>
        <v>7.3893149918671721</v>
      </c>
      <c r="BY19" s="26">
        <f t="array" ref="BY19">PRODUCT(1+預測IC!$C19:BY19)-1</f>
        <v>7.1571141333031072</v>
      </c>
      <c r="BZ19" s="26">
        <f t="array" ref="BZ19">PRODUCT(1+預測IC!$C19:BZ19)-1</f>
        <v>6.5967030599291778</v>
      </c>
      <c r="CA19" s="26">
        <f t="array" ref="CA19">PRODUCT(1+預測IC!$C19:CA19)-1</f>
        <v>6.373901215376816</v>
      </c>
      <c r="CB19" s="26">
        <f t="array" ref="CB19">PRODUCT(1+預測IC!$C19:CB19)-1</f>
        <v>5.4312327448548672</v>
      </c>
      <c r="CC19" s="26">
        <f t="array" ref="CC19">PRODUCT(1+預測IC!$C19:CC19)-1</f>
        <v>5.5759719252663231</v>
      </c>
      <c r="CD19" s="26">
        <f t="array" ref="CD19">PRODUCT(1+預測IC!$C19:CD19)-1</f>
        <v>4.5979150390906121</v>
      </c>
      <c r="CE19" s="26">
        <f t="array" ref="CE19">PRODUCT(1+預測IC!$C19:CE19)-1</f>
        <v>3.488039772203142</v>
      </c>
      <c r="CF19" s="26">
        <f t="array" ref="CF19">PRODUCT(1+預測IC!$C19:CF19)-1</f>
        <v>3.1332533840808177</v>
      </c>
      <c r="CG19" s="26">
        <f t="array" ref="CG19">PRODUCT(1+預測IC!$C19:CG19)-1</f>
        <v>2.8971717678088083</v>
      </c>
      <c r="CH19" s="26">
        <f t="array" ref="CH19">PRODUCT(1+預測IC!$C19:CH19)-1</f>
        <v>3.0636396303437099</v>
      </c>
      <c r="CI19" s="26">
        <f t="array" ref="CI19">PRODUCT(1+預測IC!$C19:CI19)-1</f>
        <v>3.5136235454063769</v>
      </c>
      <c r="CJ19" s="26">
        <f t="array" ref="CJ19">PRODUCT(1+預測IC!$C19:CJ19)-1</f>
        <v>3.7931996444673208</v>
      </c>
      <c r="CK19" s="26">
        <f t="array" ref="CK19">PRODUCT(1+預測IC!$C19:CK19)-1</f>
        <v>4.3626186430381066</v>
      </c>
      <c r="CL19" s="26">
        <f t="array" ref="CL19">PRODUCT(1+預測IC!$C19:CL19)-1</f>
        <v>3.7440524787891247</v>
      </c>
      <c r="CM19" s="26">
        <f t="array" ref="CM19">PRODUCT(1+預測IC!$C19:CM19)-1</f>
        <v>4.5759108924846865</v>
      </c>
      <c r="CN19" s="26">
        <f t="array" ref="CN19">PRODUCT(1+預測IC!$C19:CN19)-1</f>
        <v>5.0048805196318664</v>
      </c>
      <c r="CO19" s="26">
        <f t="array" ref="CO19">PRODUCT(1+預測IC!$C19:CO19)-1</f>
        <v>4.0071902914431936</v>
      </c>
      <c r="CP19" s="26">
        <f t="array" ref="CP19">PRODUCT(1+預測IC!$C19:CP19)-1</f>
        <v>3.2108838057958788</v>
      </c>
      <c r="CQ19" s="26">
        <f t="array" ref="CQ19">PRODUCT(1+預測IC!$C19:CQ19)-1</f>
        <v>3.3472937339818793</v>
      </c>
      <c r="CR19" s="26">
        <f t="array" ref="CR19">PRODUCT(1+預測IC!$C19:CR19)-1</f>
        <v>2.580836616407538</v>
      </c>
      <c r="CS19" s="26">
        <f t="array" ref="CS19">PRODUCT(1+預測IC!$C19:CS19)-1</f>
        <v>2.737590126515189</v>
      </c>
      <c r="CT19" s="26">
        <f t="array" ref="CT19">PRODUCT(1+預測IC!$C19:CT19)-1</f>
        <v>2.6331594768440016</v>
      </c>
      <c r="CU19" s="26">
        <f t="array" ref="CU19">PRODUCT(1+預測IC!$C19:CU19)-1</f>
        <v>3.1658080620192992</v>
      </c>
      <c r="CV19" s="26">
        <f t="array" ref="CV19">PRODUCT(1+預測IC!$C19:CV19)-1</f>
        <v>2.8486088558489326</v>
      </c>
      <c r="CW19" s="26">
        <f t="array" ref="CW19">PRODUCT(1+預測IC!$C19:CW19)-1</f>
        <v>3.0815108020446029</v>
      </c>
      <c r="CX19" s="26">
        <f t="array" ref="CX19">PRODUCT(1+預測IC!$C19:CX19)-1</f>
        <v>2.4768337897999668</v>
      </c>
      <c r="CY19" s="26">
        <f t="array" ref="CY19">PRODUCT(1+預測IC!$C19:CY19)-1</f>
        <v>2.1017108232180708</v>
      </c>
      <c r="CZ19" s="26">
        <f t="array" ref="CZ19">PRODUCT(1+預測IC!$C19:CZ19)-1</f>
        <v>1.9233647365693698</v>
      </c>
      <c r="DA19" s="26">
        <f t="array" ref="DA19">PRODUCT(1+預測IC!$C19:DA19)-1</f>
        <v>1.7531551085887647</v>
      </c>
      <c r="DB19" s="26">
        <f t="array" ref="DB19">PRODUCT(1+預測IC!$C19:DB19)-1</f>
        <v>1.8515002842234205</v>
      </c>
      <c r="DC19" s="26">
        <f t="array" ref="DC19">PRODUCT(1+預測IC!$C19:DC19)-1</f>
        <v>1.9518143530430514</v>
      </c>
      <c r="DD19" s="26">
        <f t="array" ref="DD19">PRODUCT(1+預測IC!$C19:DD19)-1</f>
        <v>1.970118923575273</v>
      </c>
      <c r="DE19" s="26">
        <f t="array" ref="DE19">PRODUCT(1+預測IC!$C19:DE19)-1</f>
        <v>2.0681875417708957</v>
      </c>
      <c r="DF19" s="26">
        <f t="array" ref="DF19">PRODUCT(1+預測IC!$C19:DF19)-1</f>
        <v>2.1335287142912165</v>
      </c>
      <c r="DG19" s="26">
        <f t="array" ref="DG19">PRODUCT(1+預測IC!$C19:DG19)-1</f>
        <v>2.5298912614086952</v>
      </c>
      <c r="DH19" s="26">
        <f t="array" ref="DH19">PRODUCT(1+預測IC!$C19:DH19)-1</f>
        <v>1.7371082764872345</v>
      </c>
      <c r="DI19" s="26">
        <f t="array" ref="DI19">PRODUCT(1+預測IC!$C19:DI19)-1</f>
        <v>1.8976315559337977</v>
      </c>
      <c r="DJ19" s="26">
        <f t="array" ref="DJ19">PRODUCT(1+預測IC!$C19:DJ19)-1</f>
        <v>1.4187965824451325</v>
      </c>
      <c r="DK19" s="26">
        <f t="array" ref="DK19">PRODUCT(1+預測IC!$C19:DK19)-1</f>
        <v>1.3801338374491219</v>
      </c>
      <c r="DL19" s="26">
        <f t="array" ref="DL19">PRODUCT(1+預測IC!$C19:DL19)-1</f>
        <v>1.4086544716579792</v>
      </c>
      <c r="DM19" s="26">
        <f t="array" ref="DM19">PRODUCT(1+預測IC!$C19:DM19)-1</f>
        <v>1.2976205527019187</v>
      </c>
      <c r="DN19" s="26">
        <f t="array" ref="DN19">PRODUCT(1+預測IC!$C19:DN19)-1</f>
        <v>1.6972417934499719</v>
      </c>
      <c r="DO19" s="26">
        <f t="array" ref="DO19">PRODUCT(1+預測IC!$C19:DO19)-1</f>
        <v>1.8286123571896735</v>
      </c>
      <c r="DP19" s="26">
        <f t="array" ref="DP19">PRODUCT(1+預測IC!$C19:DP19)-1</f>
        <v>1.9073553089558946</v>
      </c>
      <c r="DQ19" s="26">
        <f t="array" ref="DQ19">PRODUCT(1+預測IC!$C19:DQ19)-1</f>
        <v>1.6736790337595338</v>
      </c>
      <c r="DR19" s="26">
        <f t="array" ref="DR19">PRODUCT(1+預測IC!$C19:DR19)-1</f>
        <v>1.626768443885878</v>
      </c>
      <c r="DS19" s="26">
        <f t="array" ref="DS19">PRODUCT(1+預測IC!$C19:DS19)-1</f>
        <v>1.7447601588253092</v>
      </c>
      <c r="DT19" s="26">
        <f t="array" ref="DT19">PRODUCT(1+預測IC!$C19:DT19)-1</f>
        <v>1.7585752133432395</v>
      </c>
      <c r="DU19" s="26">
        <f t="array" ref="DU19">PRODUCT(1+預測IC!$C19:DU19)-1</f>
        <v>1.221978709127244</v>
      </c>
      <c r="DV19" s="26">
        <f t="array" ref="DV19">PRODUCT(1+預測IC!$C19:DV19)-1</f>
        <v>1.0628997283935009</v>
      </c>
      <c r="DW19" s="26">
        <f t="array" ref="DW19">PRODUCT(1+預測IC!$C19:DW19)-1</f>
        <v>1.1879303054775621</v>
      </c>
      <c r="DX19" s="26">
        <f t="array" ref="DX19">PRODUCT(1+預測IC!$C19:DX19)-1</f>
        <v>1.3949395664528326</v>
      </c>
      <c r="DY19" s="26">
        <f t="array" ref="DY19">PRODUCT(1+預測IC!$C19:DY19)-1</f>
        <v>1.0306227735656019</v>
      </c>
      <c r="DZ19" s="26">
        <f t="array" ref="DZ19">PRODUCT(1+預測IC!$C19:DZ19)-1</f>
        <v>0.86889673033567205</v>
      </c>
      <c r="EA19" s="26">
        <f t="array" ref="EA19">PRODUCT(1+預測IC!$C19:EA19)-1</f>
        <v>1.3044387525813632</v>
      </c>
      <c r="EB19" s="26">
        <f t="array" ref="EB19">PRODUCT(1+預測IC!$C19:EB19)-1</f>
        <v>1.5550545546709831</v>
      </c>
      <c r="EC19" s="26">
        <f t="array" ref="EC19">PRODUCT(1+預測IC!$C19:EC19)-1</f>
        <v>1.1877036228987539</v>
      </c>
      <c r="ED19" s="26">
        <f t="array" ref="ED19">PRODUCT(1+預測IC!$C19:ED19)-1</f>
        <v>1.0120632725021657</v>
      </c>
      <c r="EE19" s="26">
        <f t="array" ref="EE19">PRODUCT(1+預測IC!$C19:EE19)-1</f>
        <v>0.9661562665660266</v>
      </c>
      <c r="EF19" s="26">
        <f t="array" ref="EF19">PRODUCT(1+預測IC!$C19:EF19)-1</f>
        <v>0.82062137971480942</v>
      </c>
    </row>
    <row r="20" spans="1:136" ht="15" customHeight="1">
      <c r="A20" s="13">
        <v>5</v>
      </c>
      <c r="B20" s="25" t="s">
        <v>234</v>
      </c>
      <c r="C20" s="26">
        <f t="array" ref="C20">PRODUCT(1+預測IC!$C20:C20)-1</f>
        <v>1.1241331728202963E-2</v>
      </c>
      <c r="D20" s="26">
        <f t="array" ref="D20">PRODUCT(1+預測IC!$C20:D20)-1</f>
        <v>0.39756161047473526</v>
      </c>
      <c r="E20" s="26">
        <f t="array" ref="E20">PRODUCT(1+預測IC!$C20:E20)-1</f>
        <v>0.19334305254316764</v>
      </c>
      <c r="F20" s="26">
        <f t="array" ref="F20">PRODUCT(1+預測IC!$C20:F20)-1</f>
        <v>0.43861235891557437</v>
      </c>
      <c r="G20" s="26">
        <f t="array" ref="G20">PRODUCT(1+預測IC!$C20:G20)-1</f>
        <v>0.27003124360075659</v>
      </c>
      <c r="H20" s="26">
        <f t="array" ref="H20">PRODUCT(1+預測IC!$C20:H20)-1</f>
        <v>0.28474204861599262</v>
      </c>
      <c r="I20" s="26">
        <f t="array" ref="I20">PRODUCT(1+預測IC!$C20:I20)-1</f>
        <v>8.1560655572129992E-2</v>
      </c>
      <c r="J20" s="26">
        <f t="array" ref="J20">PRODUCT(1+預測IC!$C20:J20)-1</f>
        <v>0.11884341275914512</v>
      </c>
      <c r="K20" s="26">
        <f t="array" ref="K20">PRODUCT(1+預測IC!$C20:K20)-1</f>
        <v>0.35908650935020781</v>
      </c>
      <c r="L20" s="26">
        <f t="array" ref="L20">PRODUCT(1+預測IC!$C20:L20)-1</f>
        <v>0.34685504153316216</v>
      </c>
      <c r="M20" s="26">
        <f t="array" ref="M20">PRODUCT(1+預測IC!$C20:M20)-1</f>
        <v>0.24217985394003527</v>
      </c>
      <c r="N20" s="26">
        <f t="array" ref="N20">PRODUCT(1+預測IC!$C20:N20)-1</f>
        <v>0.45104443175827624</v>
      </c>
      <c r="O20" s="26">
        <f t="array" ref="O20">PRODUCT(1+預測IC!$C20:O20)-1</f>
        <v>0.59484508850509599</v>
      </c>
      <c r="P20" s="26">
        <f t="array" ref="P20">PRODUCT(1+預測IC!$C20:P20)-1</f>
        <v>0.66364459865506253</v>
      </c>
      <c r="Q20" s="26">
        <f t="array" ref="Q20">PRODUCT(1+預測IC!$C20:Q20)-1</f>
        <v>1.0241992037368943</v>
      </c>
      <c r="R20" s="26">
        <f t="array" ref="R20">PRODUCT(1+預測IC!$C20:R20)-1</f>
        <v>1.2453491519640814</v>
      </c>
      <c r="S20" s="26">
        <f t="array" ref="S20">PRODUCT(1+預測IC!$C20:S20)-1</f>
        <v>1.4307310398996309</v>
      </c>
      <c r="T20" s="26">
        <f t="array" ref="T20">PRODUCT(1+預測IC!$C20:T20)-1</f>
        <v>1.3926587171252969</v>
      </c>
      <c r="U20" s="26">
        <f t="array" ref="U20">PRODUCT(1+預測IC!$C20:U20)-1</f>
        <v>1.7483266700569775</v>
      </c>
      <c r="V20" s="26">
        <f t="array" ref="V20">PRODUCT(1+預測IC!$C20:V20)-1</f>
        <v>2.0328268597646031</v>
      </c>
      <c r="W20" s="26">
        <f t="array" ref="W20">PRODUCT(1+預測IC!$C20:W20)-1</f>
        <v>2.7195912803536926</v>
      </c>
      <c r="X20" s="26">
        <f t="array" ref="X20">PRODUCT(1+預測IC!$C20:X20)-1</f>
        <v>3.2776899148318011</v>
      </c>
      <c r="Y20" s="26">
        <f t="array" ref="Y20">PRODUCT(1+預測IC!$C20:Y20)-1</f>
        <v>3.8293623610248222</v>
      </c>
      <c r="Z20" s="26">
        <f t="array" ref="Z20">PRODUCT(1+預測IC!$C20:Z20)-1</f>
        <v>4.3394249346704523</v>
      </c>
      <c r="AA20" s="26">
        <f t="array" ref="AA20">PRODUCT(1+預測IC!$C20:AA20)-1</f>
        <v>4.2241224378612463</v>
      </c>
      <c r="AB20" s="26">
        <f t="array" ref="AB20">PRODUCT(1+預測IC!$C20:AB20)-1</f>
        <v>3.7813266520940996</v>
      </c>
      <c r="AC20" s="26">
        <f t="array" ref="AC20">PRODUCT(1+預測IC!$C20:AC20)-1</f>
        <v>4.0072360299404748</v>
      </c>
      <c r="AD20" s="26">
        <f t="array" ref="AD20">PRODUCT(1+預測IC!$C20:AD20)-1</f>
        <v>3.872104231150435</v>
      </c>
      <c r="AE20" s="26">
        <f t="array" ref="AE20">PRODUCT(1+預測IC!$C20:AE20)-1</f>
        <v>4.6575907566820325</v>
      </c>
      <c r="AF20" s="26">
        <f t="array" ref="AF20">PRODUCT(1+預測IC!$C20:AF20)-1</f>
        <v>3.3931315581687018</v>
      </c>
      <c r="AG20" s="26">
        <f t="array" ref="AG20">PRODUCT(1+預測IC!$C20:AG20)-1</f>
        <v>3.251834174493375</v>
      </c>
      <c r="AH20" s="26">
        <f t="array" ref="AH20">PRODUCT(1+預測IC!$C20:AH20)-1</f>
        <v>4.1729619583097382</v>
      </c>
      <c r="AI20" s="26">
        <f t="array" ref="AI20">PRODUCT(1+預測IC!$C20:AI20)-1</f>
        <v>3.7421610294446266</v>
      </c>
      <c r="AJ20" s="26">
        <f t="array" ref="AJ20">PRODUCT(1+預測IC!$C20:AJ20)-1</f>
        <v>3.4541900541599126</v>
      </c>
      <c r="AK20" s="26">
        <f t="array" ref="AK20">PRODUCT(1+預測IC!$C20:AK20)-1</f>
        <v>3.4174496004064343</v>
      </c>
      <c r="AL20" s="26">
        <f t="array" ref="AL20">PRODUCT(1+預測IC!$C20:AL20)-1</f>
        <v>3.7394527509794235</v>
      </c>
      <c r="AM20" s="26">
        <f t="array" ref="AM20">PRODUCT(1+預測IC!$C20:AM20)-1</f>
        <v>3.8963095879856988</v>
      </c>
      <c r="AN20" s="26">
        <f t="array" ref="AN20">PRODUCT(1+預測IC!$C20:AN20)-1</f>
        <v>4.2658350201199067</v>
      </c>
      <c r="AO20" s="26">
        <f t="array" ref="AO20">PRODUCT(1+預測IC!$C20:AO20)-1</f>
        <v>4.5244311978104239</v>
      </c>
      <c r="AP20" s="26">
        <f t="array" ref="AP20">PRODUCT(1+預測IC!$C20:AP20)-1</f>
        <v>4.4547924279033051</v>
      </c>
      <c r="AQ20" s="26">
        <f t="array" ref="AQ20">PRODUCT(1+預測IC!$C20:AQ20)-1</f>
        <v>4.3050448187819974</v>
      </c>
      <c r="AR20" s="26">
        <f t="array" ref="AR20">PRODUCT(1+預測IC!$C20:AR20)-1</f>
        <v>4.2345450171762398</v>
      </c>
      <c r="AS20" s="26">
        <f t="array" ref="AS20">PRODUCT(1+預測IC!$C20:AS20)-1</f>
        <v>4.8213155791977655</v>
      </c>
      <c r="AT20" s="26">
        <f t="array" ref="AT20">PRODUCT(1+預測IC!$C20:AT20)-1</f>
        <v>6.2133303755559064</v>
      </c>
      <c r="AU20" s="26">
        <f t="array" ref="AU20">PRODUCT(1+預測IC!$C20:AU20)-1</f>
        <v>7.2453606022668318</v>
      </c>
      <c r="AV20" s="26">
        <f t="array" ref="AV20">PRODUCT(1+預測IC!$C20:AV20)-1</f>
        <v>7.834692804097493</v>
      </c>
      <c r="AW20" s="26">
        <f t="array" ref="AW20">PRODUCT(1+預測IC!$C20:AW20)-1</f>
        <v>7.7740402687169485</v>
      </c>
      <c r="AX20" s="26">
        <f t="array" ref="AX20">PRODUCT(1+預測IC!$C20:AX20)-1</f>
        <v>5.9811597243049013</v>
      </c>
      <c r="AY20" s="26">
        <f t="array" ref="AY20">PRODUCT(1+預測IC!$C20:AY20)-1</f>
        <v>6.5540171879424074</v>
      </c>
      <c r="AZ20" s="26">
        <f t="array" ref="AZ20">PRODUCT(1+預測IC!$C20:AZ20)-1</f>
        <v>5.3735206476976245</v>
      </c>
      <c r="BA20" s="26">
        <f t="array" ref="BA20">PRODUCT(1+預測IC!$C20:BA20)-1</f>
        <v>5.1389823226971352</v>
      </c>
      <c r="BB20" s="26">
        <f t="array" ref="BB20">PRODUCT(1+預測IC!$C20:BB20)-1</f>
        <v>6.5583972980678373</v>
      </c>
      <c r="BC20" s="26">
        <f t="array" ref="BC20">PRODUCT(1+預測IC!$C20:BC20)-1</f>
        <v>7.0920622300318144</v>
      </c>
      <c r="BD20" s="26">
        <f t="array" ref="BD20">PRODUCT(1+預測IC!$C20:BD20)-1</f>
        <v>6.6597048565036721</v>
      </c>
      <c r="BE20" s="26">
        <f t="array" ref="BE20">PRODUCT(1+預測IC!$C20:BE20)-1</f>
        <v>6.705255567431907</v>
      </c>
      <c r="BF20" s="26">
        <f t="array" ref="BF20">PRODUCT(1+預測IC!$C20:BF20)-1</f>
        <v>7.7683594103397411</v>
      </c>
      <c r="BG20" s="26">
        <f t="array" ref="BG20">PRODUCT(1+預測IC!$C20:BG20)-1</f>
        <v>7.7076285017426134</v>
      </c>
      <c r="BH20" s="26">
        <f t="array" ref="BH20">PRODUCT(1+預測IC!$C20:BH20)-1</f>
        <v>7.0841061619432555</v>
      </c>
      <c r="BI20" s="26">
        <f t="array" ref="BI20">PRODUCT(1+預測IC!$C20:BI20)-1</f>
        <v>8.0077610933446461</v>
      </c>
      <c r="BJ20" s="26">
        <f t="array" ref="BJ20">PRODUCT(1+預測IC!$C20:BJ20)-1</f>
        <v>8.4504005260952066</v>
      </c>
      <c r="BK20" s="26">
        <f t="array" ref="BK20">PRODUCT(1+預測IC!$C20:BK20)-1</f>
        <v>7.4808056475455711</v>
      </c>
      <c r="BL20" s="26">
        <f t="array" ref="BL20">PRODUCT(1+預測IC!$C20:BL20)-1</f>
        <v>8.0732699972611339</v>
      </c>
      <c r="BM20" s="26">
        <f t="array" ref="BM20">PRODUCT(1+預測IC!$C20:BM20)-1</f>
        <v>8.5039649810746045</v>
      </c>
      <c r="BN20" s="26">
        <f t="array" ref="BN20">PRODUCT(1+預測IC!$C20:BN20)-1</f>
        <v>9.3181186384082455</v>
      </c>
      <c r="BO20" s="26">
        <f t="array" ref="BO20">PRODUCT(1+預測IC!$C20:BO20)-1</f>
        <v>9.7149712027750628</v>
      </c>
      <c r="BP20" s="26">
        <f t="array" ref="BP20">PRODUCT(1+預測IC!$C20:BP20)-1</f>
        <v>9.7930169100218354</v>
      </c>
      <c r="BQ20" s="26">
        <f t="array" ref="BQ20">PRODUCT(1+預測IC!$C20:BQ20)-1</f>
        <v>8.6208923858219304</v>
      </c>
      <c r="BR20" s="26">
        <f t="array" ref="BR20">PRODUCT(1+預測IC!$C20:BR20)-1</f>
        <v>8.7370514974068527</v>
      </c>
      <c r="BS20" s="26">
        <f t="array" ref="BS20">PRODUCT(1+預測IC!$C20:BS20)-1</f>
        <v>9.0538581301835883</v>
      </c>
      <c r="BT20" s="26">
        <f t="array" ref="BT20">PRODUCT(1+預測IC!$C20:BT20)-1</f>
        <v>8.0833541657379335</v>
      </c>
      <c r="BU20" s="26">
        <f t="array" ref="BU20">PRODUCT(1+預測IC!$C20:BU20)-1</f>
        <v>8.9803803464643313</v>
      </c>
      <c r="BV20" s="26">
        <f t="array" ref="BV20">PRODUCT(1+預測IC!$C20:BV20)-1</f>
        <v>7.6459056864146557</v>
      </c>
      <c r="BW20" s="26">
        <f t="array" ref="BW20">PRODUCT(1+預測IC!$C20:BW20)-1</f>
        <v>10.687790793826869</v>
      </c>
      <c r="BX20" s="26">
        <f t="array" ref="BX20">PRODUCT(1+預測IC!$C20:BX20)-1</f>
        <v>10.010038967668013</v>
      </c>
      <c r="BY20" s="26">
        <f t="array" ref="BY20">PRODUCT(1+預測IC!$C20:BY20)-1</f>
        <v>9.5345396067401609</v>
      </c>
      <c r="BZ20" s="26">
        <f t="array" ref="BZ20">PRODUCT(1+預測IC!$C20:BZ20)-1</f>
        <v>8.5835719232041505</v>
      </c>
      <c r="CA20" s="26">
        <f t="array" ref="CA20">PRODUCT(1+預測IC!$C20:CA20)-1</f>
        <v>8.199244544603479</v>
      </c>
      <c r="CB20" s="26">
        <f t="array" ref="CB20">PRODUCT(1+預測IC!$C20:CB20)-1</f>
        <v>7.0355824262360436</v>
      </c>
      <c r="CC20" s="26">
        <f t="array" ref="CC20">PRODUCT(1+預測IC!$C20:CC20)-1</f>
        <v>7.1393603661543956</v>
      </c>
      <c r="CD20" s="26">
        <f t="array" ref="CD20">PRODUCT(1+預測IC!$C20:CD20)-1</f>
        <v>5.6021647349874417</v>
      </c>
      <c r="CE20" s="26">
        <f t="array" ref="CE20">PRODUCT(1+預測IC!$C20:CE20)-1</f>
        <v>3.991475567923481</v>
      </c>
      <c r="CF20" s="26">
        <f t="array" ref="CF20">PRODUCT(1+預測IC!$C20:CF20)-1</f>
        <v>3.463452877646378</v>
      </c>
      <c r="CG20" s="26">
        <f t="array" ref="CG20">PRODUCT(1+預測IC!$C20:CG20)-1</f>
        <v>3.1243632879860641</v>
      </c>
      <c r="CH20" s="26">
        <f t="array" ref="CH20">PRODUCT(1+預測IC!$C20:CH20)-1</f>
        <v>3.2159044757416408</v>
      </c>
      <c r="CI20" s="26">
        <f t="array" ref="CI20">PRODUCT(1+預測IC!$C20:CI20)-1</f>
        <v>3.5751341177575746</v>
      </c>
      <c r="CJ20" s="26">
        <f t="array" ref="CJ20">PRODUCT(1+預測IC!$C20:CJ20)-1</f>
        <v>4.1398901367811032</v>
      </c>
      <c r="CK20" s="26">
        <f t="array" ref="CK20">PRODUCT(1+預測IC!$C20:CK20)-1</f>
        <v>4.5541119500004026</v>
      </c>
      <c r="CL20" s="26">
        <f t="array" ref="CL20">PRODUCT(1+預測IC!$C20:CL20)-1</f>
        <v>3.7248099957927119</v>
      </c>
      <c r="CM20" s="26">
        <f t="array" ref="CM20">PRODUCT(1+預測IC!$C20:CM20)-1</f>
        <v>4.6180408307071197</v>
      </c>
      <c r="CN20" s="26">
        <f t="array" ref="CN20">PRODUCT(1+預測IC!$C20:CN20)-1</f>
        <v>4.4935483528433018</v>
      </c>
      <c r="CO20" s="26">
        <f t="array" ref="CO20">PRODUCT(1+預測IC!$C20:CO20)-1</f>
        <v>3.2381725541606361</v>
      </c>
      <c r="CP20" s="26">
        <f t="array" ref="CP20">PRODUCT(1+預測IC!$C20:CP20)-1</f>
        <v>2.424311171125165</v>
      </c>
      <c r="CQ20" s="26">
        <f t="array" ref="CQ20">PRODUCT(1+預測IC!$C20:CQ20)-1</f>
        <v>2.503474551901502</v>
      </c>
      <c r="CR20" s="26">
        <f t="array" ref="CR20">PRODUCT(1+預測IC!$C20:CR20)-1</f>
        <v>1.818593938567302</v>
      </c>
      <c r="CS20" s="26">
        <f t="array" ref="CS20">PRODUCT(1+預測IC!$C20:CS20)-1</f>
        <v>1.8814311081149335</v>
      </c>
      <c r="CT20" s="26">
        <f t="array" ref="CT20">PRODUCT(1+預測IC!$C20:CT20)-1</f>
        <v>1.8293443113415204</v>
      </c>
      <c r="CU20" s="26">
        <f t="array" ref="CU20">PRODUCT(1+預測IC!$C20:CU20)-1</f>
        <v>2.2444883691227946</v>
      </c>
      <c r="CV20" s="26">
        <f t="array" ref="CV20">PRODUCT(1+預測IC!$C20:CV20)-1</f>
        <v>1.9297593704667331</v>
      </c>
      <c r="CW20" s="26">
        <f t="array" ref="CW20">PRODUCT(1+預測IC!$C20:CW20)-1</f>
        <v>2.1287008957814253</v>
      </c>
      <c r="CX20" s="26">
        <f t="array" ref="CX20">PRODUCT(1+預測IC!$C20:CX20)-1</f>
        <v>1.6745568577598169</v>
      </c>
      <c r="CY20" s="26">
        <f t="array" ref="CY20">PRODUCT(1+預測IC!$C20:CY20)-1</f>
        <v>1.4045157925763054</v>
      </c>
      <c r="CZ20" s="26">
        <f t="array" ref="CZ20">PRODUCT(1+預測IC!$C20:CZ20)-1</f>
        <v>1.3731064831616897</v>
      </c>
      <c r="DA20" s="26">
        <f t="array" ref="DA20">PRODUCT(1+預測IC!$C20:DA20)-1</f>
        <v>1.260450625747179</v>
      </c>
      <c r="DB20" s="26">
        <f t="array" ref="DB20">PRODUCT(1+預測IC!$C20:DB20)-1</f>
        <v>1.3890763916244033</v>
      </c>
      <c r="DC20" s="26">
        <f t="array" ref="DC20">PRODUCT(1+預測IC!$C20:DC20)-1</f>
        <v>1.5076058040510967</v>
      </c>
      <c r="DD20" s="26">
        <f t="array" ref="DD20">PRODUCT(1+預測IC!$C20:DD20)-1</f>
        <v>1.5166261254258693</v>
      </c>
      <c r="DE20" s="26">
        <f t="array" ref="DE20">PRODUCT(1+預測IC!$C20:DE20)-1</f>
        <v>1.5428461524152137</v>
      </c>
      <c r="DF20" s="26">
        <f t="array" ref="DF20">PRODUCT(1+預測IC!$C20:DF20)-1</f>
        <v>1.6585455467985923</v>
      </c>
      <c r="DG20" s="26">
        <f t="array" ref="DG20">PRODUCT(1+預測IC!$C20:DG20)-1</f>
        <v>1.9884000872163479</v>
      </c>
      <c r="DH20" s="26">
        <f t="array" ref="DH20">PRODUCT(1+預測IC!$C20:DH20)-1</f>
        <v>1.1567295383040732</v>
      </c>
      <c r="DI20" s="26">
        <f t="array" ref="DI20">PRODUCT(1+預測IC!$C20:DI20)-1</f>
        <v>1.3168631168454543</v>
      </c>
      <c r="DJ20" s="26">
        <f t="array" ref="DJ20">PRODUCT(1+預測IC!$C20:DJ20)-1</f>
        <v>1.0004767091813651</v>
      </c>
      <c r="DK20" s="26">
        <f t="array" ref="DK20">PRODUCT(1+預測IC!$C20:DK20)-1</f>
        <v>0.95893549302531711</v>
      </c>
      <c r="DL20" s="26">
        <f t="array" ref="DL20">PRODUCT(1+預測IC!$C20:DL20)-1</f>
        <v>0.99706690373353357</v>
      </c>
      <c r="DM20" s="26">
        <f t="array" ref="DM20">PRODUCT(1+預測IC!$C20:DM20)-1</f>
        <v>1.082670725441325</v>
      </c>
      <c r="DN20" s="26">
        <f t="array" ref="DN20">PRODUCT(1+預測IC!$C20:DN20)-1</f>
        <v>1.4642883410381726</v>
      </c>
      <c r="DO20" s="26">
        <f t="array" ref="DO20">PRODUCT(1+預測IC!$C20:DO20)-1</f>
        <v>1.5870612923590044</v>
      </c>
      <c r="DP20" s="26">
        <f t="array" ref="DP20">PRODUCT(1+預測IC!$C20:DP20)-1</f>
        <v>1.6124934796036889</v>
      </c>
      <c r="DQ20" s="26">
        <f t="array" ref="DQ20">PRODUCT(1+預測IC!$C20:DQ20)-1</f>
        <v>1.4623791297723163</v>
      </c>
      <c r="DR20" s="26">
        <f t="array" ref="DR20">PRODUCT(1+預測IC!$C20:DR20)-1</f>
        <v>1.325574762556252</v>
      </c>
      <c r="DS20" s="26">
        <f t="array" ref="DS20">PRODUCT(1+預測IC!$C20:DS20)-1</f>
        <v>1.1632664861788076</v>
      </c>
      <c r="DT20" s="26">
        <f t="array" ref="DT20">PRODUCT(1+預測IC!$C20:DT20)-1</f>
        <v>1.099049187624408</v>
      </c>
      <c r="DU20" s="26">
        <f t="array" ref="DU20">PRODUCT(1+預測IC!$C20:DU20)-1</f>
        <v>0.5267553327573693</v>
      </c>
      <c r="DV20" s="26">
        <f t="array" ref="DV20">PRODUCT(1+預測IC!$C20:DV20)-1</f>
        <v>0.37096188847083145</v>
      </c>
      <c r="DW20" s="26">
        <f t="array" ref="DW20">PRODUCT(1+預測IC!$C20:DW20)-1</f>
        <v>0.46564079610732634</v>
      </c>
      <c r="DX20" s="26">
        <f t="array" ref="DX20">PRODUCT(1+預測IC!$C20:DX20)-1</f>
        <v>0.60905553345697161</v>
      </c>
      <c r="DY20" s="26">
        <f t="array" ref="DY20">PRODUCT(1+預測IC!$C20:DY20)-1</f>
        <v>0.30751558185244487</v>
      </c>
      <c r="DZ20" s="26">
        <f t="array" ref="DZ20">PRODUCT(1+預測IC!$C20:DZ20)-1</f>
        <v>0.33120139203461352</v>
      </c>
      <c r="EA20" s="26">
        <f t="array" ref="EA20">PRODUCT(1+預測IC!$C20:EA20)-1</f>
        <v>0.72216352630292957</v>
      </c>
      <c r="EB20" s="26">
        <f t="array" ref="EB20">PRODUCT(1+預測IC!$C20:EB20)-1</f>
        <v>0.86408210132755925</v>
      </c>
      <c r="EC20" s="26">
        <f t="array" ref="EC20">PRODUCT(1+預測IC!$C20:EC20)-1</f>
        <v>0.61987588984857989</v>
      </c>
      <c r="ED20" s="26">
        <f t="array" ref="ED20">PRODUCT(1+預測IC!$C20:ED20)-1</f>
        <v>0.52620241283200708</v>
      </c>
      <c r="EE20" s="26">
        <f t="array" ref="EE20">PRODUCT(1+預測IC!$C20:EE20)-1</f>
        <v>0.49565152280022162</v>
      </c>
      <c r="EF20" s="26">
        <f t="array" ref="EF20">PRODUCT(1+預測IC!$C20:EF20)-1</f>
        <v>0.36732462214396255</v>
      </c>
    </row>
    <row r="21" spans="1:136" ht="15" customHeight="1">
      <c r="A21" s="13">
        <v>4</v>
      </c>
      <c r="B21" s="25" t="s">
        <v>235</v>
      </c>
      <c r="C21" s="26">
        <f t="array" ref="C21">PRODUCT(1+預測IC!$C21:C21)-1</f>
        <v>1.0384834477426885E-2</v>
      </c>
      <c r="D21" s="26">
        <f t="array" ref="D21">PRODUCT(1+預測IC!$C21:D21)-1</f>
        <v>0.13808636332219448</v>
      </c>
      <c r="E21" s="26">
        <f t="array" ref="E21">PRODUCT(1+預測IC!$C21:E21)-1</f>
        <v>8.8332010275794293E-2</v>
      </c>
      <c r="F21" s="26">
        <f t="array" ref="F21">PRODUCT(1+預測IC!$C21:F21)-1</f>
        <v>0.28862708976349971</v>
      </c>
      <c r="G21" s="26">
        <f t="array" ref="G21">PRODUCT(1+預測IC!$C21:G21)-1</f>
        <v>0.10326819718999425</v>
      </c>
      <c r="H21" s="26">
        <f t="array" ref="H21">PRODUCT(1+預測IC!$C21:H21)-1</f>
        <v>6.1516030552670742E-2</v>
      </c>
      <c r="I21" s="26">
        <f t="array" ref="I21">PRODUCT(1+預測IC!$C21:I21)-1</f>
        <v>-9.4798158063423954E-2</v>
      </c>
      <c r="J21" s="26">
        <f t="array" ref="J21">PRODUCT(1+預測IC!$C21:J21)-1</f>
        <v>-4.0091989929312399E-2</v>
      </c>
      <c r="K21" s="26">
        <f t="array" ref="K21">PRODUCT(1+預測IC!$C21:K21)-1</f>
        <v>0.15849380415497905</v>
      </c>
      <c r="L21" s="26">
        <f t="array" ref="L21">PRODUCT(1+預測IC!$C21:L21)-1</f>
        <v>9.219764440640188E-2</v>
      </c>
      <c r="M21" s="26">
        <f t="array" ref="M21">PRODUCT(1+預測IC!$C21:M21)-1</f>
        <v>-1.6677633697656402E-2</v>
      </c>
      <c r="N21" s="26">
        <f t="array" ref="N21">PRODUCT(1+預測IC!$C21:N21)-1</f>
        <v>0.12005400592572557</v>
      </c>
      <c r="O21" s="26">
        <f t="array" ref="O21">PRODUCT(1+預測IC!$C21:O21)-1</f>
        <v>0.2654173685015373</v>
      </c>
      <c r="P21" s="26">
        <f t="array" ref="P21">PRODUCT(1+預測IC!$C21:P21)-1</f>
        <v>0.31589704746816127</v>
      </c>
      <c r="Q21" s="26">
        <f t="array" ref="Q21">PRODUCT(1+預測IC!$C21:Q21)-1</f>
        <v>0.65449061425260169</v>
      </c>
      <c r="R21" s="26">
        <f t="array" ref="R21">PRODUCT(1+預測IC!$C21:R21)-1</f>
        <v>0.81261906943279372</v>
      </c>
      <c r="S21" s="26">
        <f t="array" ref="S21">PRODUCT(1+預測IC!$C21:S21)-1</f>
        <v>1.1917455232312748</v>
      </c>
      <c r="T21" s="26">
        <f t="array" ref="T21">PRODUCT(1+預測IC!$C21:T21)-1</f>
        <v>1.222518428918455</v>
      </c>
      <c r="U21" s="26">
        <f t="array" ref="U21">PRODUCT(1+預測IC!$C21:U21)-1</f>
        <v>1.4142738020785095</v>
      </c>
      <c r="V21" s="26">
        <f t="array" ref="V21">PRODUCT(1+預測IC!$C21:V21)-1</f>
        <v>1.6686676925343584</v>
      </c>
      <c r="W21" s="26">
        <f t="array" ref="W21">PRODUCT(1+預測IC!$C21:W21)-1</f>
        <v>2.5304353280739913</v>
      </c>
      <c r="X21" s="26">
        <f t="array" ref="X21">PRODUCT(1+預測IC!$C21:X21)-1</f>
        <v>3.2640633196830944</v>
      </c>
      <c r="Y21" s="26">
        <f t="array" ref="Y21">PRODUCT(1+預測IC!$C21:Y21)-1</f>
        <v>3.6594666021747839</v>
      </c>
      <c r="Z21" s="26">
        <f t="array" ref="Z21">PRODUCT(1+預測IC!$C21:Z21)-1</f>
        <v>4.1915962664742645</v>
      </c>
      <c r="AA21" s="26">
        <f t="array" ref="AA21">PRODUCT(1+預測IC!$C21:AA21)-1</f>
        <v>4.2927858953467037</v>
      </c>
      <c r="AB21" s="26">
        <f t="array" ref="AB21">PRODUCT(1+預測IC!$C21:AB21)-1</f>
        <v>3.6055727849777863</v>
      </c>
      <c r="AC21" s="26">
        <f t="array" ref="AC21">PRODUCT(1+預測IC!$C21:AC21)-1</f>
        <v>3.6922852967573521</v>
      </c>
      <c r="AD21" s="26">
        <f t="array" ref="AD21">PRODUCT(1+預測IC!$C21:AD21)-1</f>
        <v>3.8139716264168664</v>
      </c>
      <c r="AE21" s="26">
        <f t="array" ref="AE21">PRODUCT(1+預測IC!$C21:AE21)-1</f>
        <v>4.4306653595447285</v>
      </c>
      <c r="AF21" s="26">
        <f t="array" ref="AF21">PRODUCT(1+預測IC!$C21:AF21)-1</f>
        <v>2.8278356611028777</v>
      </c>
      <c r="AG21" s="26">
        <f t="array" ref="AG21">PRODUCT(1+預測IC!$C21:AG21)-1</f>
        <v>2.7855511984608876</v>
      </c>
      <c r="AH21" s="26">
        <f t="array" ref="AH21">PRODUCT(1+預測IC!$C21:AH21)-1</f>
        <v>3.6954131823715111</v>
      </c>
      <c r="AI21" s="26">
        <f t="array" ref="AI21">PRODUCT(1+預測IC!$C21:AI21)-1</f>
        <v>3.3773943472672272</v>
      </c>
      <c r="AJ21" s="26">
        <f t="array" ref="AJ21">PRODUCT(1+預測IC!$C21:AJ21)-1</f>
        <v>3.0318377421557203</v>
      </c>
      <c r="AK21" s="26">
        <f t="array" ref="AK21">PRODUCT(1+預測IC!$C21:AK21)-1</f>
        <v>3.1056944332990195</v>
      </c>
      <c r="AL21" s="26">
        <f t="array" ref="AL21">PRODUCT(1+預測IC!$C21:AL21)-1</f>
        <v>3.3741240075444283</v>
      </c>
      <c r="AM21" s="26">
        <f t="array" ref="AM21">PRODUCT(1+預測IC!$C21:AM21)-1</f>
        <v>3.6739081282775512</v>
      </c>
      <c r="AN21" s="26">
        <f t="array" ref="AN21">PRODUCT(1+預測IC!$C21:AN21)-1</f>
        <v>4.1971804487207454</v>
      </c>
      <c r="AO21" s="26">
        <f t="array" ref="AO21">PRODUCT(1+預測IC!$C21:AO21)-1</f>
        <v>4.641891615543738</v>
      </c>
      <c r="AP21" s="26">
        <f t="array" ref="AP21">PRODUCT(1+預測IC!$C21:AP21)-1</f>
        <v>4.5350130312517809</v>
      </c>
      <c r="AQ21" s="26">
        <f t="array" ref="AQ21">PRODUCT(1+預測IC!$C21:AQ21)-1</f>
        <v>4.1095614482946248</v>
      </c>
      <c r="AR21" s="26">
        <f t="array" ref="AR21">PRODUCT(1+預測IC!$C21:AR21)-1</f>
        <v>4.3547603604657494</v>
      </c>
      <c r="AS21" s="26">
        <f t="array" ref="AS21">PRODUCT(1+預測IC!$C21:AS21)-1</f>
        <v>4.6999060908941077</v>
      </c>
      <c r="AT21" s="26">
        <f t="array" ref="AT21">PRODUCT(1+預測IC!$C21:AT21)-1</f>
        <v>6.2094592881937194</v>
      </c>
      <c r="AU21" s="26">
        <f t="array" ref="AU21">PRODUCT(1+預測IC!$C21:AU21)-1</f>
        <v>6.6669379036595755</v>
      </c>
      <c r="AV21" s="26">
        <f t="array" ref="AV21">PRODUCT(1+預測IC!$C21:AV21)-1</f>
        <v>7.0571792927524211</v>
      </c>
      <c r="AW21" s="26">
        <f t="array" ref="AW21">PRODUCT(1+預測IC!$C21:AW21)-1</f>
        <v>6.978291208951549</v>
      </c>
      <c r="AX21" s="26">
        <f t="array" ref="AX21">PRODUCT(1+預測IC!$C21:AX21)-1</f>
        <v>5.2412711899520161</v>
      </c>
      <c r="AY21" s="26">
        <f t="array" ref="AY21">PRODUCT(1+預測IC!$C21:AY21)-1</f>
        <v>5.6514618546035464</v>
      </c>
      <c r="AZ21" s="26">
        <f t="array" ref="AZ21">PRODUCT(1+預測IC!$C21:AZ21)-1</f>
        <v>5.0324808443446916</v>
      </c>
      <c r="BA21" s="26">
        <f t="array" ref="BA21">PRODUCT(1+預測IC!$C21:BA21)-1</f>
        <v>4.6039805692206013</v>
      </c>
      <c r="BB21" s="26">
        <f t="array" ref="BB21">PRODUCT(1+預測IC!$C21:BB21)-1</f>
        <v>6.2544270995986109</v>
      </c>
      <c r="BC21" s="26">
        <f t="array" ref="BC21">PRODUCT(1+預測IC!$C21:BC21)-1</f>
        <v>6.5324250721439796</v>
      </c>
      <c r="BD21" s="26">
        <f t="array" ref="BD21">PRODUCT(1+預測IC!$C21:BD21)-1</f>
        <v>6.3685883235502834</v>
      </c>
      <c r="BE21" s="26">
        <f t="array" ref="BE21">PRODUCT(1+預測IC!$C21:BE21)-1</f>
        <v>6.3217938573098751</v>
      </c>
      <c r="BF21" s="26">
        <f t="array" ref="BF21">PRODUCT(1+預測IC!$C21:BF21)-1</f>
        <v>7.7796890694561061</v>
      </c>
      <c r="BG21" s="26">
        <f t="array" ref="BG21">PRODUCT(1+預測IC!$C21:BG21)-1</f>
        <v>8.1013346397804114</v>
      </c>
      <c r="BH21" s="26">
        <f t="array" ref="BH21">PRODUCT(1+預測IC!$C21:BH21)-1</f>
        <v>7.4067083736903978</v>
      </c>
      <c r="BI21" s="26">
        <f t="array" ref="BI21">PRODUCT(1+預測IC!$C21:BI21)-1</f>
        <v>8.7002876494928181</v>
      </c>
      <c r="BJ21" s="26">
        <f t="array" ref="BJ21">PRODUCT(1+預測IC!$C21:BJ21)-1</f>
        <v>9.0105272390334896</v>
      </c>
      <c r="BK21" s="26">
        <f t="array" ref="BK21">PRODUCT(1+預測IC!$C21:BK21)-1</f>
        <v>8.1799221418242496</v>
      </c>
      <c r="BL21" s="26">
        <f t="array" ref="BL21">PRODUCT(1+預測IC!$C21:BL21)-1</f>
        <v>8.9817037981231049</v>
      </c>
      <c r="BM21" s="26">
        <f t="array" ref="BM21">PRODUCT(1+預測IC!$C21:BM21)-1</f>
        <v>9.3889102596215039</v>
      </c>
      <c r="BN21" s="26">
        <f t="array" ref="BN21">PRODUCT(1+預測IC!$C21:BN21)-1</f>
        <v>11.34459667065169</v>
      </c>
      <c r="BO21" s="26">
        <f t="array" ref="BO21">PRODUCT(1+預測IC!$C21:BO21)-1</f>
        <v>12.132888498681025</v>
      </c>
      <c r="BP21" s="26">
        <f t="array" ref="BP21">PRODUCT(1+預測IC!$C21:BP21)-1</f>
        <v>12.077993024756539</v>
      </c>
      <c r="BQ21" s="26">
        <f t="array" ref="BQ21">PRODUCT(1+預測IC!$C21:BQ21)-1</f>
        <v>11.124728395784079</v>
      </c>
      <c r="BR21" s="26">
        <f t="array" ref="BR21">PRODUCT(1+預測IC!$C21:BR21)-1</f>
        <v>11.274151877550509</v>
      </c>
      <c r="BS21" s="26">
        <f t="array" ref="BS21">PRODUCT(1+預測IC!$C21:BS21)-1</f>
        <v>12.081076972724544</v>
      </c>
      <c r="BT21" s="26">
        <f t="array" ref="BT21">PRODUCT(1+預測IC!$C21:BT21)-1</f>
        <v>10.865162045941647</v>
      </c>
      <c r="BU21" s="26">
        <f t="array" ref="BU21">PRODUCT(1+預測IC!$C21:BU21)-1</f>
        <v>12.472849526579477</v>
      </c>
      <c r="BV21" s="26">
        <f t="array" ref="BV21">PRODUCT(1+預測IC!$C21:BV21)-1</f>
        <v>12.213628533475706</v>
      </c>
      <c r="BW21" s="26">
        <f t="array" ref="BW21">PRODUCT(1+預測IC!$C21:BW21)-1</f>
        <v>14.651023315410971</v>
      </c>
      <c r="BX21" s="26">
        <f t="array" ref="BX21">PRODUCT(1+預測IC!$C21:BX21)-1</f>
        <v>13.267796286049128</v>
      </c>
      <c r="BY21" s="26">
        <f t="array" ref="BY21">PRODUCT(1+預測IC!$C21:BY21)-1</f>
        <v>13.054924332410346</v>
      </c>
      <c r="BZ21" s="26">
        <f t="array" ref="BZ21">PRODUCT(1+預測IC!$C21:BZ21)-1</f>
        <v>12.385025475779619</v>
      </c>
      <c r="CA21" s="26">
        <f t="array" ref="CA21">PRODUCT(1+預測IC!$C21:CA21)-1</f>
        <v>11.574995813843891</v>
      </c>
      <c r="CB21" s="26">
        <f t="array" ref="CB21">PRODUCT(1+預測IC!$C21:CB21)-1</f>
        <v>8.9610282902712086</v>
      </c>
      <c r="CC21" s="26">
        <f t="array" ref="CC21">PRODUCT(1+預測IC!$C21:CC21)-1</f>
        <v>8.8811458238973788</v>
      </c>
      <c r="CD21" s="26">
        <f t="array" ref="CD21">PRODUCT(1+預測IC!$C21:CD21)-1</f>
        <v>7.3911837517579055</v>
      </c>
      <c r="CE21" s="26">
        <f t="array" ref="CE21">PRODUCT(1+預測IC!$C21:CE21)-1</f>
        <v>4.0760289226347748</v>
      </c>
      <c r="CF21" s="26">
        <f t="array" ref="CF21">PRODUCT(1+預測IC!$C21:CF21)-1</f>
        <v>3.4946908342022551</v>
      </c>
      <c r="CG21" s="26">
        <f t="array" ref="CG21">PRODUCT(1+預測IC!$C21:CG21)-1</f>
        <v>3.1122585567216543</v>
      </c>
      <c r="CH21" s="26">
        <f t="array" ref="CH21">PRODUCT(1+預測IC!$C21:CH21)-1</f>
        <v>3.7563469773987626</v>
      </c>
      <c r="CI21" s="26">
        <f t="array" ref="CI21">PRODUCT(1+預測IC!$C21:CI21)-1</f>
        <v>4.1044294201197316</v>
      </c>
      <c r="CJ21" s="26">
        <f t="array" ref="CJ21">PRODUCT(1+預測IC!$C21:CJ21)-1</f>
        <v>4.5415102622136292</v>
      </c>
      <c r="CK21" s="26">
        <f t="array" ref="CK21">PRODUCT(1+預測IC!$C21:CK21)-1</f>
        <v>4.9136760427101285</v>
      </c>
      <c r="CL21" s="26">
        <f t="array" ref="CL21">PRODUCT(1+預測IC!$C21:CL21)-1</f>
        <v>3.805257282244356</v>
      </c>
      <c r="CM21" s="26">
        <f t="array" ref="CM21">PRODUCT(1+預測IC!$C21:CM21)-1</f>
        <v>4.8888571594375199</v>
      </c>
      <c r="CN21" s="26">
        <f t="array" ref="CN21">PRODUCT(1+預測IC!$C21:CN21)-1</f>
        <v>4.709017997219739</v>
      </c>
      <c r="CO21" s="26">
        <f t="array" ref="CO21">PRODUCT(1+預測IC!$C21:CO21)-1</f>
        <v>3.3514592973004103</v>
      </c>
      <c r="CP21" s="26">
        <f t="array" ref="CP21">PRODUCT(1+預測IC!$C21:CP21)-1</f>
        <v>2.3823890468838496</v>
      </c>
      <c r="CQ21" s="26">
        <f t="array" ref="CQ21">PRODUCT(1+預測IC!$C21:CQ21)-1</f>
        <v>2.45988700148283</v>
      </c>
      <c r="CR21" s="26">
        <f t="array" ref="CR21">PRODUCT(1+預測IC!$C21:CR21)-1</f>
        <v>1.6327665312945565</v>
      </c>
      <c r="CS21" s="26">
        <f t="array" ref="CS21">PRODUCT(1+預測IC!$C21:CS21)-1</f>
        <v>1.7141381046689101</v>
      </c>
      <c r="CT21" s="26">
        <f t="array" ref="CT21">PRODUCT(1+預測IC!$C21:CT21)-1</f>
        <v>1.4805252982979722</v>
      </c>
      <c r="CU21" s="26">
        <f t="array" ref="CU21">PRODUCT(1+預測IC!$C21:CU21)-1</f>
        <v>1.8747220002764711</v>
      </c>
      <c r="CV21" s="26">
        <f t="array" ref="CV21">PRODUCT(1+預測IC!$C21:CV21)-1</f>
        <v>1.4963288115045796</v>
      </c>
      <c r="CW21" s="26">
        <f t="array" ref="CW21">PRODUCT(1+預測IC!$C21:CW21)-1</f>
        <v>1.5920518300633959</v>
      </c>
      <c r="CX21" s="26">
        <f t="array" ref="CX21">PRODUCT(1+預測IC!$C21:CX21)-1</f>
        <v>1.1851804431632118</v>
      </c>
      <c r="CY21" s="26">
        <f t="array" ref="CY21">PRODUCT(1+預測IC!$C21:CY21)-1</f>
        <v>0.85204464504081168</v>
      </c>
      <c r="CZ21" s="26">
        <f t="array" ref="CZ21">PRODUCT(1+預測IC!$C21:CZ21)-1</f>
        <v>0.82639900055724658</v>
      </c>
      <c r="DA21" s="26">
        <f t="array" ref="DA21">PRODUCT(1+預測IC!$C21:DA21)-1</f>
        <v>0.82857653655822938</v>
      </c>
      <c r="DB21" s="26">
        <f t="array" ref="DB21">PRODUCT(1+預測IC!$C21:DB21)-1</f>
        <v>0.92297576469155218</v>
      </c>
      <c r="DC21" s="26">
        <f t="array" ref="DC21">PRODUCT(1+預測IC!$C21:DC21)-1</f>
        <v>1.0096011293364473</v>
      </c>
      <c r="DD21" s="26">
        <f t="array" ref="DD21">PRODUCT(1+預測IC!$C21:DD21)-1</f>
        <v>1.0152657817281101</v>
      </c>
      <c r="DE21" s="26">
        <f t="array" ref="DE21">PRODUCT(1+預測IC!$C21:DE21)-1</f>
        <v>1.0736636236577008</v>
      </c>
      <c r="DF21" s="26">
        <f t="array" ref="DF21">PRODUCT(1+預測IC!$C21:DF21)-1</f>
        <v>1.3822432316271072</v>
      </c>
      <c r="DG21" s="26">
        <f t="array" ref="DG21">PRODUCT(1+預測IC!$C21:DG21)-1</f>
        <v>1.735255780844799</v>
      </c>
      <c r="DH21" s="26">
        <f t="array" ref="DH21">PRODUCT(1+預測IC!$C21:DH21)-1</f>
        <v>1.512504755820141</v>
      </c>
      <c r="DI21" s="26">
        <f t="array" ref="DI21">PRODUCT(1+預測IC!$C21:DI21)-1</f>
        <v>1.7390050563820592</v>
      </c>
      <c r="DJ21" s="26">
        <f t="array" ref="DJ21">PRODUCT(1+預測IC!$C21:DJ21)-1</f>
        <v>1.3100612016517998</v>
      </c>
      <c r="DK21" s="26">
        <f t="array" ref="DK21">PRODUCT(1+預測IC!$C21:DK21)-1</f>
        <v>1.2616283149230014</v>
      </c>
      <c r="DL21" s="26">
        <f t="array" ref="DL21">PRODUCT(1+預測IC!$C21:DL21)-1</f>
        <v>1.2904346555486264</v>
      </c>
      <c r="DM21" s="26">
        <f t="array" ref="DM21">PRODUCT(1+預測IC!$C21:DM21)-1</f>
        <v>1.28068985467094</v>
      </c>
      <c r="DN21" s="26">
        <f t="array" ref="DN21">PRODUCT(1+預測IC!$C21:DN21)-1</f>
        <v>1.7831158878189006</v>
      </c>
      <c r="DO21" s="26">
        <f t="array" ref="DO21">PRODUCT(1+預測IC!$C21:DO21)-1</f>
        <v>1.7314645714711747</v>
      </c>
      <c r="DP21" s="26">
        <f t="array" ref="DP21">PRODUCT(1+預測IC!$C21:DP21)-1</f>
        <v>1.7977467143950752</v>
      </c>
      <c r="DQ21" s="26">
        <f t="array" ref="DQ21">PRODUCT(1+預測IC!$C21:DQ21)-1</f>
        <v>1.600721840185646</v>
      </c>
      <c r="DR21" s="26">
        <f t="array" ref="DR21">PRODUCT(1+預測IC!$C21:DR21)-1</f>
        <v>1.4614356307712835</v>
      </c>
      <c r="DS21" s="26">
        <f t="array" ref="DS21">PRODUCT(1+預測IC!$C21:DS21)-1</f>
        <v>1.2531848019377629</v>
      </c>
      <c r="DT21" s="26">
        <f t="array" ref="DT21">PRODUCT(1+預測IC!$C21:DT21)-1</f>
        <v>1.2414340143094127</v>
      </c>
      <c r="DU21" s="26">
        <f t="array" ref="DU21">PRODUCT(1+預測IC!$C21:DU21)-1</f>
        <v>0.47977985568590542</v>
      </c>
      <c r="DV21" s="26">
        <f t="array" ref="DV21">PRODUCT(1+預測IC!$C21:DV21)-1</f>
        <v>0.25056454398289585</v>
      </c>
      <c r="DW21" s="26">
        <f t="array" ref="DW21">PRODUCT(1+預測IC!$C21:DW21)-1</f>
        <v>0.41094678137562068</v>
      </c>
      <c r="DX21" s="26">
        <f t="array" ref="DX21">PRODUCT(1+預測IC!$C21:DX21)-1</f>
        <v>0.57578612751613178</v>
      </c>
      <c r="DY21" s="26">
        <f t="array" ref="DY21">PRODUCT(1+預測IC!$C21:DY21)-1</f>
        <v>0.22019126563090485</v>
      </c>
      <c r="DZ21" s="26">
        <f t="array" ref="DZ21">PRODUCT(1+預測IC!$C21:DZ21)-1</f>
        <v>0.4396927191050477</v>
      </c>
      <c r="EA21" s="26">
        <f t="array" ref="EA21">PRODUCT(1+預測IC!$C21:EA21)-1</f>
        <v>0.82273412464151852</v>
      </c>
      <c r="EB21" s="26">
        <f t="array" ref="EB21">PRODUCT(1+預測IC!$C21:EB21)-1</f>
        <v>0.87067603119558767</v>
      </c>
      <c r="EC21" s="26">
        <f t="array" ref="EC21">PRODUCT(1+預測IC!$C21:EC21)-1</f>
        <v>0.60860550969847438</v>
      </c>
      <c r="ED21" s="26">
        <f t="array" ref="ED21">PRODUCT(1+預測IC!$C21:ED21)-1</f>
        <v>0.81636528139289899</v>
      </c>
      <c r="EE21" s="26">
        <f t="array" ref="EE21">PRODUCT(1+預測IC!$C21:EE21)-1</f>
        <v>0.83626528025478164</v>
      </c>
      <c r="EF21" s="26">
        <f t="array" ref="EF21">PRODUCT(1+預測IC!$C21:EF21)-1</f>
        <v>0.78339093964248518</v>
      </c>
    </row>
    <row r="22" spans="1:136" ht="15" customHeight="1">
      <c r="A22" s="13">
        <v>3</v>
      </c>
      <c r="B22" s="25" t="s">
        <v>236</v>
      </c>
      <c r="C22" s="26">
        <f t="array" ref="C22">PRODUCT(1+預測IC!$C22:C22)-1</f>
        <v>2.5922326608526669E-2</v>
      </c>
      <c r="D22" s="26">
        <f t="array" ref="D22">PRODUCT(1+預測IC!$C22:D22)-1</f>
        <v>0.1720437596391613</v>
      </c>
      <c r="E22" s="26">
        <f t="array" ref="E22">PRODUCT(1+預測IC!$C22:E22)-1</f>
        <v>0.14598874367651526</v>
      </c>
      <c r="F22" s="26">
        <f t="array" ref="F22">PRODUCT(1+預測IC!$C22:F22)-1</f>
        <v>0.22372237596393529</v>
      </c>
      <c r="G22" s="26">
        <f t="array" ref="G22">PRODUCT(1+預測IC!$C22:G22)-1</f>
        <v>9.6596756092786951E-2</v>
      </c>
      <c r="H22" s="26">
        <f t="array" ref="H22">PRODUCT(1+預測IC!$C22:H22)-1</f>
        <v>-0.15540725852861947</v>
      </c>
      <c r="I22" s="26">
        <f t="array" ref="I22">PRODUCT(1+預測IC!$C22:I22)-1</f>
        <v>-0.25970869297284926</v>
      </c>
      <c r="J22" s="26">
        <f t="array" ref="J22">PRODUCT(1+預測IC!$C22:J22)-1</f>
        <v>-0.22077041457782431</v>
      </c>
      <c r="K22" s="26">
        <f t="array" ref="K22">PRODUCT(1+預測IC!$C22:K22)-1</f>
        <v>-2.9574036161306827E-2</v>
      </c>
      <c r="L22" s="26">
        <f t="array" ref="L22">PRODUCT(1+預測IC!$C22:L22)-1</f>
        <v>-0.13388237539998027</v>
      </c>
      <c r="M22" s="26">
        <f t="array" ref="M22">PRODUCT(1+預測IC!$C22:M22)-1</f>
        <v>-0.19806174228507045</v>
      </c>
      <c r="N22" s="26">
        <f t="array" ref="N22">PRODUCT(1+預測IC!$C22:N22)-1</f>
        <v>-0.11944704456670263</v>
      </c>
      <c r="O22" s="26">
        <f t="array" ref="O22">PRODUCT(1+預測IC!$C22:O22)-1</f>
        <v>6.8949981539514482E-3</v>
      </c>
      <c r="P22" s="26">
        <f t="array" ref="P22">PRODUCT(1+預測IC!$C22:P22)-1</f>
        <v>5.0048995872161051E-2</v>
      </c>
      <c r="Q22" s="26">
        <f t="array" ref="Q22">PRODUCT(1+預測IC!$C22:Q22)-1</f>
        <v>0.34067829532217297</v>
      </c>
      <c r="R22" s="26">
        <f t="array" ref="R22">PRODUCT(1+預測IC!$C22:R22)-1</f>
        <v>0.38978524214172605</v>
      </c>
      <c r="S22" s="26">
        <f t="array" ref="S22">PRODUCT(1+預測IC!$C22:S22)-1</f>
        <v>0.73314089983542008</v>
      </c>
      <c r="T22" s="26">
        <f t="array" ref="T22">PRODUCT(1+預測IC!$C22:T22)-1</f>
        <v>0.76821726687494074</v>
      </c>
      <c r="U22" s="26">
        <f t="array" ref="U22">PRODUCT(1+預測IC!$C22:U22)-1</f>
        <v>0.96376445579935233</v>
      </c>
      <c r="V22" s="26">
        <f t="array" ref="V22">PRODUCT(1+預測IC!$C22:V22)-1</f>
        <v>1.0757464245168871</v>
      </c>
      <c r="W22" s="26">
        <f t="array" ref="W22">PRODUCT(1+預測IC!$C22:W22)-1</f>
        <v>1.7943563138178416</v>
      </c>
      <c r="X22" s="26">
        <f t="array" ref="X22">PRODUCT(1+預測IC!$C22:X22)-1</f>
        <v>2.513070346444418</v>
      </c>
      <c r="Y22" s="26">
        <f t="array" ref="Y22">PRODUCT(1+預測IC!$C22:Y22)-1</f>
        <v>2.6814810796831643</v>
      </c>
      <c r="Z22" s="26">
        <f t="array" ref="Z22">PRODUCT(1+預測IC!$C22:Z22)-1</f>
        <v>2.9596106031464076</v>
      </c>
      <c r="AA22" s="26">
        <f t="array" ref="AA22">PRODUCT(1+預測IC!$C22:AA22)-1</f>
        <v>2.9875180055427606</v>
      </c>
      <c r="AB22" s="26">
        <f t="array" ref="AB22">PRODUCT(1+預測IC!$C22:AB22)-1</f>
        <v>2.4514511867513984</v>
      </c>
      <c r="AC22" s="26">
        <f t="array" ref="AC22">PRODUCT(1+預測IC!$C22:AC22)-1</f>
        <v>2.7475044538830127</v>
      </c>
      <c r="AD22" s="26">
        <f t="array" ref="AD22">PRODUCT(1+預測IC!$C22:AD22)-1</f>
        <v>2.8171846118793398</v>
      </c>
      <c r="AE22" s="26">
        <f t="array" ref="AE22">PRODUCT(1+預測IC!$C22:AE22)-1</f>
        <v>3.3165633715447722</v>
      </c>
      <c r="AF22" s="26">
        <f t="array" ref="AF22">PRODUCT(1+預測IC!$C22:AF22)-1</f>
        <v>1.4608003977732236</v>
      </c>
      <c r="AG22" s="26">
        <f t="array" ref="AG22">PRODUCT(1+預測IC!$C22:AG22)-1</f>
        <v>1.434193976397574</v>
      </c>
      <c r="AH22" s="26">
        <f t="array" ref="AH22">PRODUCT(1+預測IC!$C22:AH22)-1</f>
        <v>2.0369545564305627</v>
      </c>
      <c r="AI22" s="26">
        <f t="array" ref="AI22">PRODUCT(1+預測IC!$C22:AI22)-1</f>
        <v>1.8322853786335673</v>
      </c>
      <c r="AJ22" s="26">
        <f t="array" ref="AJ22">PRODUCT(1+預測IC!$C22:AJ22)-1</f>
        <v>1.7023794106814298</v>
      </c>
      <c r="AK22" s="26">
        <f t="array" ref="AK22">PRODUCT(1+預測IC!$C22:AK22)-1</f>
        <v>1.9147209502080562</v>
      </c>
      <c r="AL22" s="26">
        <f t="array" ref="AL22">PRODUCT(1+預測IC!$C22:AL22)-1</f>
        <v>2.0323036113117765</v>
      </c>
      <c r="AM22" s="26">
        <f t="array" ref="AM22">PRODUCT(1+預測IC!$C22:AM22)-1</f>
        <v>2.2872866969681414</v>
      </c>
      <c r="AN22" s="26">
        <f t="array" ref="AN22">PRODUCT(1+預測IC!$C22:AN22)-1</f>
        <v>2.6526121037718524</v>
      </c>
      <c r="AO22" s="26">
        <f t="array" ref="AO22">PRODUCT(1+預測IC!$C22:AO22)-1</f>
        <v>3.2302832103160393</v>
      </c>
      <c r="AP22" s="26">
        <f t="array" ref="AP22">PRODUCT(1+預測IC!$C22:AP22)-1</f>
        <v>3.1435906063926291</v>
      </c>
      <c r="AQ22" s="26">
        <f t="array" ref="AQ22">PRODUCT(1+預測IC!$C22:AQ22)-1</f>
        <v>2.8144812921060929</v>
      </c>
      <c r="AR22" s="26">
        <f t="array" ref="AR22">PRODUCT(1+預測IC!$C22:AR22)-1</f>
        <v>3.073578662378635</v>
      </c>
      <c r="AS22" s="26">
        <f t="array" ref="AS22">PRODUCT(1+預測IC!$C22:AS22)-1</f>
        <v>3.4109134992979779</v>
      </c>
      <c r="AT22" s="26">
        <f t="array" ref="AT22">PRODUCT(1+預測IC!$C22:AT22)-1</f>
        <v>3.4891118102379011</v>
      </c>
      <c r="AU22" s="26">
        <f t="array" ref="AU22">PRODUCT(1+預測IC!$C22:AU22)-1</f>
        <v>3.9825307271765054</v>
      </c>
      <c r="AV22" s="26">
        <f t="array" ref="AV22">PRODUCT(1+預測IC!$C22:AV22)-1</f>
        <v>4.2797270591475547</v>
      </c>
      <c r="AW22" s="26">
        <f t="array" ref="AW22">PRODUCT(1+預測IC!$C22:AW22)-1</f>
        <v>4.4389076051605718</v>
      </c>
      <c r="AX22" s="26">
        <f t="array" ref="AX22">PRODUCT(1+預測IC!$C22:AX22)-1</f>
        <v>4.4926178294293155</v>
      </c>
      <c r="AY22" s="26">
        <f t="array" ref="AY22">PRODUCT(1+預測IC!$C22:AY22)-1</f>
        <v>5.0334005271166733</v>
      </c>
      <c r="AZ22" s="26">
        <f t="array" ref="AZ22">PRODUCT(1+預測IC!$C22:AZ22)-1</f>
        <v>3.6608894142303567</v>
      </c>
      <c r="BA22" s="26">
        <f t="array" ref="BA22">PRODUCT(1+預測IC!$C22:BA22)-1</f>
        <v>3.4483601970617581</v>
      </c>
      <c r="BB22" s="26">
        <f t="array" ref="BB22">PRODUCT(1+預測IC!$C22:BB22)-1</f>
        <v>5.0922576390328604</v>
      </c>
      <c r="BC22" s="26">
        <f t="array" ref="BC22">PRODUCT(1+預測IC!$C22:BC22)-1</f>
        <v>4.295165303285617</v>
      </c>
      <c r="BD22" s="26">
        <f t="array" ref="BD22">PRODUCT(1+預測IC!$C22:BD22)-1</f>
        <v>4.177749346959005</v>
      </c>
      <c r="BE22" s="26">
        <f t="array" ref="BE22">PRODUCT(1+預測IC!$C22:BE22)-1</f>
        <v>4.062719517896312</v>
      </c>
      <c r="BF22" s="26">
        <f t="array" ref="BF22">PRODUCT(1+預測IC!$C22:BF22)-1</f>
        <v>5.0707193702234381</v>
      </c>
      <c r="BG22" s="26">
        <f t="array" ref="BG22">PRODUCT(1+預測IC!$C22:BG22)-1</f>
        <v>5.3516693011885508</v>
      </c>
      <c r="BH22" s="26">
        <f t="array" ref="BH22">PRODUCT(1+預測IC!$C22:BH22)-1</f>
        <v>4.538906252656</v>
      </c>
      <c r="BI22" s="26">
        <f t="array" ref="BI22">PRODUCT(1+預測IC!$C22:BI22)-1</f>
        <v>5.0225527966022447</v>
      </c>
      <c r="BJ22" s="26">
        <f t="array" ref="BJ22">PRODUCT(1+預測IC!$C22:BJ22)-1</f>
        <v>4.9609181391408876</v>
      </c>
      <c r="BK22" s="26">
        <f t="array" ref="BK22">PRODUCT(1+預測IC!$C22:BK22)-1</f>
        <v>4.8366046498083373</v>
      </c>
      <c r="BL22" s="26">
        <f t="array" ref="BL22">PRODUCT(1+預測IC!$C22:BL22)-1</f>
        <v>5.6506440155372513</v>
      </c>
      <c r="BM22" s="26">
        <f t="array" ref="BM22">PRODUCT(1+預測IC!$C22:BM22)-1</f>
        <v>5.6668082943890212</v>
      </c>
      <c r="BN22" s="26">
        <f t="array" ref="BN22">PRODUCT(1+預測IC!$C22:BN22)-1</f>
        <v>5.476678878908916</v>
      </c>
      <c r="BO22" s="26">
        <f t="array" ref="BO22">PRODUCT(1+預測IC!$C22:BO22)-1</f>
        <v>5.8036503146572409</v>
      </c>
      <c r="BP22" s="26">
        <f t="array" ref="BP22">PRODUCT(1+預測IC!$C22:BP22)-1</f>
        <v>5.7999763434873257</v>
      </c>
      <c r="BQ22" s="26">
        <f t="array" ref="BQ22">PRODUCT(1+預測IC!$C22:BQ22)-1</f>
        <v>5.1796268015062044</v>
      </c>
      <c r="BR22" s="26">
        <f t="array" ref="BR22">PRODUCT(1+預測IC!$C22:BR22)-1</f>
        <v>5.3082471404011793</v>
      </c>
      <c r="BS22" s="26">
        <f t="array" ref="BS22">PRODUCT(1+預測IC!$C22:BS22)-1</f>
        <v>5.9204473206377024</v>
      </c>
      <c r="BT22" s="26">
        <f t="array" ref="BT22">PRODUCT(1+預測IC!$C22:BT22)-1</f>
        <v>6.3851084058743002</v>
      </c>
      <c r="BU22" s="26">
        <f t="array" ref="BU22">PRODUCT(1+預測IC!$C22:BU22)-1</f>
        <v>7.9577581287006804</v>
      </c>
      <c r="BV22" s="26">
        <f t="array" ref="BV22">PRODUCT(1+預測IC!$C22:BV22)-1</f>
        <v>7.9516608813344121</v>
      </c>
      <c r="BW22" s="26">
        <f t="array" ref="BW22">PRODUCT(1+預測IC!$C22:BW22)-1</f>
        <v>9.134817937241154</v>
      </c>
      <c r="BX22" s="26">
        <f t="array" ref="BX22">PRODUCT(1+預測IC!$C22:BX22)-1</f>
        <v>7.5848255339570443</v>
      </c>
      <c r="BY22" s="26">
        <f t="array" ref="BY22">PRODUCT(1+預測IC!$C22:BY22)-1</f>
        <v>7.8625475015890647</v>
      </c>
      <c r="BZ22" s="26">
        <f t="array" ref="BZ22">PRODUCT(1+預測IC!$C22:BZ22)-1</f>
        <v>7.4437235726866344</v>
      </c>
      <c r="CA22" s="26">
        <f t="array" ref="CA22">PRODUCT(1+預測IC!$C22:CA22)-1</f>
        <v>7.211604949007322</v>
      </c>
      <c r="CB22" s="26">
        <f t="array" ref="CB22">PRODUCT(1+預測IC!$C22:CB22)-1</f>
        <v>5.119780704297197</v>
      </c>
      <c r="CC22" s="26">
        <f t="array" ref="CC22">PRODUCT(1+預測IC!$C22:CC22)-1</f>
        <v>4.3541655392860958</v>
      </c>
      <c r="CD22" s="26">
        <f t="array" ref="CD22">PRODUCT(1+預測IC!$C22:CD22)-1</f>
        <v>2.6634717979448426</v>
      </c>
      <c r="CE22" s="26">
        <f t="array" ref="CE22">PRODUCT(1+預測IC!$C22:CE22)-1</f>
        <v>1.2223083754677551</v>
      </c>
      <c r="CF22" s="26">
        <f t="array" ref="CF22">PRODUCT(1+預測IC!$C22:CF22)-1</f>
        <v>0.99836556703207679</v>
      </c>
      <c r="CG22" s="26">
        <f t="array" ref="CG22">PRODUCT(1+預測IC!$C22:CG22)-1</f>
        <v>0.58453336885988039</v>
      </c>
      <c r="CH22" s="26">
        <f t="array" ref="CH22">PRODUCT(1+預測IC!$C22:CH22)-1</f>
        <v>0.82792765280719638</v>
      </c>
      <c r="CI22" s="26">
        <f t="array" ref="CI22">PRODUCT(1+預測IC!$C22:CI22)-1</f>
        <v>0.94604344402264839</v>
      </c>
      <c r="CJ22" s="26">
        <f t="array" ref="CJ22">PRODUCT(1+預測IC!$C22:CJ22)-1</f>
        <v>1.1472244521484978</v>
      </c>
      <c r="CK22" s="26">
        <f t="array" ref="CK22">PRODUCT(1+預測IC!$C22:CK22)-1</f>
        <v>1.3854021901711553</v>
      </c>
      <c r="CL22" s="26">
        <f t="array" ref="CL22">PRODUCT(1+預測IC!$C22:CL22)-1</f>
        <v>1.1587961096304746</v>
      </c>
      <c r="CM22" s="26">
        <f t="array" ref="CM22">PRODUCT(1+預測IC!$C22:CM22)-1</f>
        <v>1.850543472528086</v>
      </c>
      <c r="CN22" s="26">
        <f t="array" ref="CN22">PRODUCT(1+預測IC!$C22:CN22)-1</f>
        <v>1.8749064171533605</v>
      </c>
      <c r="CO22" s="26">
        <f t="array" ref="CO22">PRODUCT(1+預測IC!$C22:CO22)-1</f>
        <v>1.3422272027444997</v>
      </c>
      <c r="CP22" s="26">
        <f t="array" ref="CP22">PRODUCT(1+預測IC!$C22:CP22)-1</f>
        <v>0.73463342398606901</v>
      </c>
      <c r="CQ22" s="26">
        <f t="array" ref="CQ22">PRODUCT(1+預測IC!$C22:CQ22)-1</f>
        <v>0.76439906660829116</v>
      </c>
      <c r="CR22" s="26">
        <f t="array" ref="CR22">PRODUCT(1+預測IC!$C22:CR22)-1</f>
        <v>0.32899342157026368</v>
      </c>
      <c r="CS22" s="26">
        <f t="array" ref="CS22">PRODUCT(1+預測IC!$C22:CS22)-1</f>
        <v>0.36147313479782639</v>
      </c>
      <c r="CT22" s="26">
        <f t="array" ref="CT22">PRODUCT(1+預測IC!$C22:CT22)-1</f>
        <v>0.18980311086418111</v>
      </c>
      <c r="CU22" s="26">
        <f t="array" ref="CU22">PRODUCT(1+預測IC!$C22:CU22)-1</f>
        <v>0.38892131500900984</v>
      </c>
      <c r="CV22" s="26">
        <f t="array" ref="CV22">PRODUCT(1+預測IC!$C22:CV22)-1</f>
        <v>0.13468574992941384</v>
      </c>
      <c r="CW22" s="26">
        <f t="array" ref="CW22">PRODUCT(1+預測IC!$C22:CW22)-1</f>
        <v>0.16065194666429838</v>
      </c>
      <c r="CX22" s="26">
        <f t="array" ref="CX22">PRODUCT(1+預測IC!$C22:CX22)-1</f>
        <v>9.763632758180818E-2</v>
      </c>
      <c r="CY22" s="26">
        <f t="array" ref="CY22">PRODUCT(1+預測IC!$C22:CY22)-1</f>
        <v>-8.0663573365690522E-2</v>
      </c>
      <c r="CZ22" s="26">
        <f t="array" ref="CZ22">PRODUCT(1+預測IC!$C22:CZ22)-1</f>
        <v>-8.7638805396881181E-2</v>
      </c>
      <c r="DA22" s="26">
        <f t="array" ref="DA22">PRODUCT(1+預測IC!$C22:DA22)-1</f>
        <v>-9.1280726737155038E-2</v>
      </c>
      <c r="DB22" s="26">
        <f t="array" ref="DB22">PRODUCT(1+預測IC!$C22:DB22)-1</f>
        <v>-3.8226508841431306E-2</v>
      </c>
      <c r="DC22" s="26">
        <f t="array" ref="DC22">PRODUCT(1+預測IC!$C22:DC22)-1</f>
        <v>-1.8293960553065092E-2</v>
      </c>
      <c r="DD22" s="26">
        <f t="array" ref="DD22">PRODUCT(1+預測IC!$C22:DD22)-1</f>
        <v>1.2836103989641412E-2</v>
      </c>
      <c r="DE22" s="26">
        <f t="array" ref="DE22">PRODUCT(1+預測IC!$C22:DE22)-1</f>
        <v>-5.1483238377346696E-3</v>
      </c>
      <c r="DF22" s="26">
        <f t="array" ref="DF22">PRODUCT(1+預測IC!$C22:DF22)-1</f>
        <v>9.1423625222395666E-2</v>
      </c>
      <c r="DG22" s="26">
        <f t="array" ref="DG22">PRODUCT(1+預測IC!$C22:DG22)-1</f>
        <v>0.18760141453336021</v>
      </c>
      <c r="DH22" s="26">
        <f t="array" ref="DH22">PRODUCT(1+預測IC!$C22:DH22)-1</f>
        <v>9.086494544540713E-2</v>
      </c>
      <c r="DI22" s="26">
        <f t="array" ref="DI22">PRODUCT(1+預測IC!$C22:DI22)-1</f>
        <v>0.17934014010204358</v>
      </c>
      <c r="DJ22" s="26">
        <f t="array" ref="DJ22">PRODUCT(1+預測IC!$C22:DJ22)-1</f>
        <v>-1.9241597279283651E-3</v>
      </c>
      <c r="DK22" s="26">
        <f t="array" ref="DK22">PRODUCT(1+預測IC!$C22:DK22)-1</f>
        <v>-2.5225414588011641E-2</v>
      </c>
      <c r="DL22" s="26">
        <f t="array" ref="DL22">PRODUCT(1+預測IC!$C22:DL22)-1</f>
        <v>-2.2093141445076903E-2</v>
      </c>
      <c r="DM22" s="26">
        <f t="array" ref="DM22">PRODUCT(1+預測IC!$C22:DM22)-1</f>
        <v>-6.3826831525109262E-2</v>
      </c>
      <c r="DN22" s="26">
        <f t="array" ref="DN22">PRODUCT(1+預測IC!$C22:DN22)-1</f>
        <v>0.22205707626558824</v>
      </c>
      <c r="DO22" s="26">
        <f t="array" ref="DO22">PRODUCT(1+預測IC!$C22:DO22)-1</f>
        <v>0.25110374553967474</v>
      </c>
      <c r="DP22" s="26">
        <f t="array" ref="DP22">PRODUCT(1+預測IC!$C22:DP22)-1</f>
        <v>0.26389910614604295</v>
      </c>
      <c r="DQ22" s="26">
        <f t="array" ref="DQ22">PRODUCT(1+預測IC!$C22:DQ22)-1</f>
        <v>5.484492789744122E-2</v>
      </c>
      <c r="DR22" s="26">
        <f t="array" ref="DR22">PRODUCT(1+預測IC!$C22:DR22)-1</f>
        <v>-2.029800538626092E-2</v>
      </c>
      <c r="DS22" s="26">
        <f t="array" ref="DS22">PRODUCT(1+預測IC!$C22:DS22)-1</f>
        <v>-0.14719276916630064</v>
      </c>
      <c r="DT22" s="26">
        <f t="array" ref="DT22">PRODUCT(1+預測IC!$C22:DT22)-1</f>
        <v>-0.12405717161020879</v>
      </c>
      <c r="DU22" s="26">
        <f t="array" ref="DU22">PRODUCT(1+預測IC!$C22:DU22)-1</f>
        <v>-0.45277124905608335</v>
      </c>
      <c r="DV22" s="26">
        <f t="array" ref="DV22">PRODUCT(1+預測IC!$C22:DV22)-1</f>
        <v>-0.53872029336508542</v>
      </c>
      <c r="DW22" s="26">
        <f t="array" ref="DW22">PRODUCT(1+預測IC!$C22:DW22)-1</f>
        <v>-0.50256070461032976</v>
      </c>
      <c r="DX22" s="26">
        <f t="array" ref="DX22">PRODUCT(1+預測IC!$C22:DX22)-1</f>
        <v>-0.42080549983131077</v>
      </c>
      <c r="DY22" s="26">
        <f t="array" ref="DY22">PRODUCT(1+預測IC!$C22:DY22)-1</f>
        <v>-0.60484708470937276</v>
      </c>
      <c r="DZ22" s="26">
        <f t="array" ref="DZ22">PRODUCT(1+預測IC!$C22:DZ22)-1</f>
        <v>-0.53939939066462217</v>
      </c>
      <c r="EA22" s="26">
        <f t="array" ref="EA22">PRODUCT(1+預測IC!$C22:EA22)-1</f>
        <v>-0.47475117800720945</v>
      </c>
      <c r="EB22" s="26">
        <f t="array" ref="EB22">PRODUCT(1+預測IC!$C22:EB22)-1</f>
        <v>-0.40659176547417164</v>
      </c>
      <c r="EC22" s="26">
        <f t="array" ref="EC22">PRODUCT(1+預測IC!$C22:EC22)-1</f>
        <v>-0.38972187446729134</v>
      </c>
      <c r="ED22" s="26">
        <f t="array" ref="ED22">PRODUCT(1+預測IC!$C22:ED22)-1</f>
        <v>-0.27762477604941094</v>
      </c>
      <c r="EE22" s="26">
        <f t="array" ref="EE22">PRODUCT(1+預測IC!$C22:EE22)-1</f>
        <v>-0.25169196985521847</v>
      </c>
      <c r="EF22" s="26">
        <f t="array" ref="EF22">PRODUCT(1+預測IC!$C22:EF22)-1</f>
        <v>-0.27907455616629639</v>
      </c>
    </row>
    <row r="23" spans="1:136" ht="15" customHeight="1">
      <c r="A23" s="13">
        <v>2</v>
      </c>
      <c r="B23" s="25" t="s">
        <v>243</v>
      </c>
      <c r="C23" s="26">
        <f t="array" ref="C23">PRODUCT(1+預測IC!$C23:C23)-1</f>
        <v>3.132568458197138E-2</v>
      </c>
      <c r="D23" s="26">
        <f t="array" ref="D23">PRODUCT(1+預測IC!$C23:D23)-1</f>
        <v>0.29337935308014296</v>
      </c>
      <c r="E23" s="26">
        <f t="array" ref="E23">PRODUCT(1+預測IC!$C23:E23)-1</f>
        <v>0.27389900654121568</v>
      </c>
      <c r="F23" s="26">
        <f t="array" ref="F23">PRODUCT(1+預測IC!$C23:F23)-1</f>
        <v>0.50625318568949984</v>
      </c>
      <c r="G23" s="26">
        <f t="array" ref="G23">PRODUCT(1+預測IC!$C23:G23)-1</f>
        <v>0.54687919670237184</v>
      </c>
      <c r="H23" s="26">
        <f t="array" ref="H23">PRODUCT(1+預測IC!$C23:H23)-1</f>
        <v>0.14034350190751188</v>
      </c>
      <c r="I23" s="26">
        <f t="array" ref="I23">PRODUCT(1+預測IC!$C23:I23)-1</f>
        <v>-2.8600701201249246E-2</v>
      </c>
      <c r="J23" s="26">
        <f t="array" ref="J23">PRODUCT(1+預測IC!$C23:J23)-1</f>
        <v>-0.12395548198939188</v>
      </c>
      <c r="K23" s="26">
        <f t="array" ref="K23">PRODUCT(1+預測IC!$C23:K23)-1</f>
        <v>9.7510242534815106E-4</v>
      </c>
      <c r="L23" s="26">
        <f t="array" ref="L23">PRODUCT(1+預測IC!$C23:L23)-1</f>
        <v>-0.23169591567732506</v>
      </c>
      <c r="M23" s="26">
        <f t="array" ref="M23">PRODUCT(1+預測IC!$C23:M23)-1</f>
        <v>-0.43026404200852375</v>
      </c>
      <c r="N23" s="26">
        <f t="array" ref="N23">PRODUCT(1+預測IC!$C23:N23)-1</f>
        <v>-0.35802151473419275</v>
      </c>
      <c r="O23" s="26">
        <f t="array" ref="O23">PRODUCT(1+預測IC!$C23:O23)-1</f>
        <v>-0.22669558522374278</v>
      </c>
      <c r="P23" s="26">
        <f t="array" ref="P23">PRODUCT(1+預測IC!$C23:P23)-1</f>
        <v>-0.21843398382774748</v>
      </c>
      <c r="Q23" s="26">
        <f t="array" ref="Q23">PRODUCT(1+預測IC!$C23:Q23)-1</f>
        <v>-0.26499032148796864</v>
      </c>
      <c r="R23" s="26">
        <f t="array" ref="R23">PRODUCT(1+預測IC!$C23:R23)-1</f>
        <v>-0.22367458711249932</v>
      </c>
      <c r="S23" s="26">
        <f t="array" ref="S23">PRODUCT(1+預測IC!$C23:S23)-1</f>
        <v>-9.2246576405060732E-2</v>
      </c>
      <c r="T23" s="26">
        <f t="array" ref="T23">PRODUCT(1+預測IC!$C23:T23)-1</f>
        <v>-9.1907649227799149E-2</v>
      </c>
      <c r="U23" s="26">
        <f t="array" ref="U23">PRODUCT(1+預測IC!$C23:U23)-1</f>
        <v>-6.767251081195802E-3</v>
      </c>
      <c r="V23" s="26">
        <f t="array" ref="V23">PRODUCT(1+預測IC!$C23:V23)-1</f>
        <v>-6.9695509259212418E-2</v>
      </c>
      <c r="W23" s="26">
        <f t="array" ref="W23">PRODUCT(1+預測IC!$C23:W23)-1</f>
        <v>0.39910290751357635</v>
      </c>
      <c r="X23" s="26">
        <f t="array" ref="X23">PRODUCT(1+預測IC!$C23:X23)-1</f>
        <v>0.67130677278778772</v>
      </c>
      <c r="Y23" s="26">
        <f t="array" ref="Y23">PRODUCT(1+預測IC!$C23:Y23)-1</f>
        <v>0.68398992450322194</v>
      </c>
      <c r="Z23" s="26">
        <f t="array" ref="Z23">PRODUCT(1+預測IC!$C23:Z23)-1</f>
        <v>0.73961634769170503</v>
      </c>
      <c r="AA23" s="26">
        <f t="array" ref="AA23">PRODUCT(1+預測IC!$C23:AA23)-1</f>
        <v>0.75110876119942005</v>
      </c>
      <c r="AB23" s="26">
        <f t="array" ref="AB23">PRODUCT(1+預測IC!$C23:AB23)-1</f>
        <v>0.63896814159190196</v>
      </c>
      <c r="AC23" s="26">
        <f t="array" ref="AC23">PRODUCT(1+預測IC!$C23:AC23)-1</f>
        <v>0.91555188193752657</v>
      </c>
      <c r="AD23" s="26">
        <f t="array" ref="AD23">PRODUCT(1+預測IC!$C23:AD23)-1</f>
        <v>0.92128951834231931</v>
      </c>
      <c r="AE23" s="26">
        <f t="array" ref="AE23">PRODUCT(1+預測IC!$C23:AE23)-1</f>
        <v>1.1849134741333156</v>
      </c>
      <c r="AF23" s="26">
        <f t="array" ref="AF23">PRODUCT(1+預測IC!$C23:AF23)-1</f>
        <v>0.47556093903898211</v>
      </c>
      <c r="AG23" s="26">
        <f t="array" ref="AG23">PRODUCT(1+預測IC!$C23:AG23)-1</f>
        <v>0.69083626870509729</v>
      </c>
      <c r="AH23" s="26">
        <f t="array" ref="AH23">PRODUCT(1+預測IC!$C23:AH23)-1</f>
        <v>0.46147615436550016</v>
      </c>
      <c r="AI23" s="26">
        <f t="array" ref="AI23">PRODUCT(1+預測IC!$C23:AI23)-1</f>
        <v>0.35120753044844655</v>
      </c>
      <c r="AJ23" s="26">
        <f t="array" ref="AJ23">PRODUCT(1+預測IC!$C23:AJ23)-1</f>
        <v>0.37412732789975633</v>
      </c>
      <c r="AK23" s="26">
        <f t="array" ref="AK23">PRODUCT(1+預測IC!$C23:AK23)-1</f>
        <v>0.4994466742596495</v>
      </c>
      <c r="AL23" s="26">
        <f t="array" ref="AL23">PRODUCT(1+預測IC!$C23:AL23)-1</f>
        <v>0.6965215194984451</v>
      </c>
      <c r="AM23" s="26">
        <f t="array" ref="AM23">PRODUCT(1+預測IC!$C23:AM23)-1</f>
        <v>0.70970262479070545</v>
      </c>
      <c r="AN23" s="26">
        <f t="array" ref="AN23">PRODUCT(1+預測IC!$C23:AN23)-1</f>
        <v>1.123988702307253</v>
      </c>
      <c r="AO23" s="26">
        <f t="array" ref="AO23">PRODUCT(1+預測IC!$C23:AO23)-1</f>
        <v>1.3168096631955999</v>
      </c>
      <c r="AP23" s="26">
        <f t="array" ref="AP23">PRODUCT(1+預測IC!$C23:AP23)-1</f>
        <v>1.6997006873981153</v>
      </c>
      <c r="AQ23" s="26">
        <f t="array" ref="AQ23">PRODUCT(1+預測IC!$C23:AQ23)-1</f>
        <v>1.4582799743242734</v>
      </c>
      <c r="AR23" s="26">
        <f t="array" ref="AR23">PRODUCT(1+預測IC!$C23:AR23)-1</f>
        <v>1.8175231766521254</v>
      </c>
      <c r="AS23" s="26">
        <f t="array" ref="AS23">PRODUCT(1+預測IC!$C23:AS23)-1</f>
        <v>1.7760861788630868</v>
      </c>
      <c r="AT23" s="26">
        <f t="array" ref="AT23">PRODUCT(1+預測IC!$C23:AT23)-1</f>
        <v>2.0800840025878684</v>
      </c>
      <c r="AU23" s="26">
        <f t="array" ref="AU23">PRODUCT(1+預測IC!$C23:AU23)-1</f>
        <v>2.7071764500088915</v>
      </c>
      <c r="AV23" s="26">
        <f t="array" ref="AV23">PRODUCT(1+預測IC!$C23:AV23)-1</f>
        <v>2.3484848854118314</v>
      </c>
      <c r="AW23" s="26">
        <f t="array" ref="AW23">PRODUCT(1+預測IC!$C23:AW23)-1</f>
        <v>2.5226962066404073</v>
      </c>
      <c r="AX23" s="26">
        <f t="array" ref="AX23">PRODUCT(1+預測IC!$C23:AX23)-1</f>
        <v>2.5748771270635968</v>
      </c>
      <c r="AY23" s="26">
        <f t="array" ref="AY23">PRODUCT(1+預測IC!$C23:AY23)-1</f>
        <v>2.7827190536619848</v>
      </c>
      <c r="AZ23" s="26">
        <f t="array" ref="AZ23">PRODUCT(1+預測IC!$C23:AZ23)-1</f>
        <v>1.587438384445405</v>
      </c>
      <c r="BA23" s="26">
        <f t="array" ref="BA23">PRODUCT(1+預測IC!$C23:BA23)-1</f>
        <v>1.6123988335109609</v>
      </c>
      <c r="BB23" s="26">
        <f t="array" ref="BB23">PRODUCT(1+預測IC!$C23:BB23)-1</f>
        <v>3.0931783333128955</v>
      </c>
      <c r="BC23" s="26">
        <f t="array" ref="BC23">PRODUCT(1+預測IC!$C23:BC23)-1</f>
        <v>1.8618346617492496</v>
      </c>
      <c r="BD23" s="26">
        <f t="array" ref="BD23">PRODUCT(1+預測IC!$C23:BD23)-1</f>
        <v>2.1332249649907511</v>
      </c>
      <c r="BE23" s="26">
        <f t="array" ref="BE23">PRODUCT(1+預測IC!$C23:BE23)-1</f>
        <v>2.3570336130022831</v>
      </c>
      <c r="BF23" s="26">
        <f t="array" ref="BF23">PRODUCT(1+預測IC!$C23:BF23)-1</f>
        <v>3.0620412639116079</v>
      </c>
      <c r="BG23" s="26">
        <f t="array" ref="BG23">PRODUCT(1+預測IC!$C23:BG23)-1</f>
        <v>3.3657254448635561</v>
      </c>
      <c r="BH23" s="26">
        <f t="array" ref="BH23">PRODUCT(1+預測IC!$C23:BH23)-1</f>
        <v>2.4773702498386374</v>
      </c>
      <c r="BI23" s="26">
        <f t="array" ref="BI23">PRODUCT(1+預測IC!$C23:BI23)-1</f>
        <v>2.9580108191290133</v>
      </c>
      <c r="BJ23" s="26">
        <f t="array" ref="BJ23">PRODUCT(1+預測IC!$C23:BJ23)-1</f>
        <v>3.1876554520668838</v>
      </c>
      <c r="BK23" s="26">
        <f t="array" ref="BK23">PRODUCT(1+預測IC!$C23:BK23)-1</f>
        <v>3.1666758699736368</v>
      </c>
      <c r="BL23" s="26">
        <f t="array" ref="BL23">PRODUCT(1+預測IC!$C23:BL23)-1</f>
        <v>3.6432031314453335</v>
      </c>
      <c r="BM23" s="26">
        <f t="array" ref="BM23">PRODUCT(1+預測IC!$C23:BM23)-1</f>
        <v>3.3205215845521643</v>
      </c>
      <c r="BN23" s="26">
        <f t="array" ref="BN23">PRODUCT(1+預測IC!$C23:BN23)-1</f>
        <v>3.2055807180982239</v>
      </c>
      <c r="BO23" s="26">
        <f t="array" ref="BO23">PRODUCT(1+預測IC!$C23:BO23)-1</f>
        <v>3.051972127361589</v>
      </c>
      <c r="BP23" s="26">
        <f t="array" ref="BP23">PRODUCT(1+預測IC!$C23:BP23)-1</f>
        <v>2.9609081057712645</v>
      </c>
      <c r="BQ23" s="26">
        <f t="array" ref="BQ23">PRODUCT(1+預測IC!$C23:BQ23)-1</f>
        <v>2.7258027614120328</v>
      </c>
      <c r="BR23" s="26">
        <f t="array" ref="BR23">PRODUCT(1+預測IC!$C23:BR23)-1</f>
        <v>2.7922871835979892</v>
      </c>
      <c r="BS23" s="26">
        <f t="array" ref="BS23">PRODUCT(1+預測IC!$C23:BS23)-1</f>
        <v>3.6287409488236237</v>
      </c>
      <c r="BT23" s="26">
        <f t="array" ref="BT23">PRODUCT(1+預測IC!$C23:BT23)-1</f>
        <v>3.9536288700302773</v>
      </c>
      <c r="BU23" s="26">
        <f t="array" ref="BU23">PRODUCT(1+預測IC!$C23:BU23)-1</f>
        <v>4.9725295765279167</v>
      </c>
      <c r="BV23" s="26">
        <f t="array" ref="BV23">PRODUCT(1+預測IC!$C23:BV23)-1</f>
        <v>5.0741850161852096</v>
      </c>
      <c r="BW23" s="26">
        <f t="array" ref="BW23">PRODUCT(1+預測IC!$C23:BW23)-1</f>
        <v>5.1674997748708682</v>
      </c>
      <c r="BX23" s="26">
        <f t="array" ref="BX23">PRODUCT(1+預測IC!$C23:BX23)-1</f>
        <v>4.4013758913747649</v>
      </c>
      <c r="BY23" s="26">
        <f t="array" ref="BY23">PRODUCT(1+預測IC!$C23:BY23)-1</f>
        <v>4.6170852389727077</v>
      </c>
      <c r="BZ23" s="26">
        <f t="array" ref="BZ23">PRODUCT(1+預測IC!$C23:BZ23)-1</f>
        <v>4.5740035296303638</v>
      </c>
      <c r="CA23" s="26">
        <f t="array" ref="CA23">PRODUCT(1+預測IC!$C23:CA23)-1</f>
        <v>4.1523123272148226</v>
      </c>
      <c r="CB23" s="26">
        <f t="array" ref="CB23">PRODUCT(1+預測IC!$C23:CB23)-1</f>
        <v>2.5233186195001305</v>
      </c>
      <c r="CC23" s="26">
        <f t="array" ref="CC23">PRODUCT(1+預測IC!$C23:CC23)-1</f>
        <v>2.2254396468144919</v>
      </c>
      <c r="CD23" s="26">
        <f t="array" ref="CD23">PRODUCT(1+預測IC!$C23:CD23)-1</f>
        <v>0.15875023213190786</v>
      </c>
      <c r="CE23" s="26">
        <f t="array" ref="CE23">PRODUCT(1+預測IC!$C23:CE23)-1</f>
        <v>2.3611441934215716E-2</v>
      </c>
      <c r="CF23" s="26">
        <f t="array" ref="CF23">PRODUCT(1+預測IC!$C23:CF23)-1</f>
        <v>7.0690258767682757E-3</v>
      </c>
      <c r="CG23" s="26">
        <f t="array" ref="CG23">PRODUCT(1+預測IC!$C23:CG23)-1</f>
        <v>-0.21109963001736909</v>
      </c>
      <c r="CH23" s="26">
        <f t="array" ref="CH23">PRODUCT(1+預測IC!$C23:CH23)-1</f>
        <v>-8.320107115609543E-2</v>
      </c>
      <c r="CI23" s="26">
        <f t="array" ref="CI23">PRODUCT(1+預測IC!$C23:CI23)-1</f>
        <v>4.0770493889900505E-2</v>
      </c>
      <c r="CJ23" s="26">
        <f t="array" ref="CJ23">PRODUCT(1+預測IC!$C23:CJ23)-1</f>
        <v>6.1456189991584642E-2</v>
      </c>
      <c r="CK23" s="26">
        <f t="array" ref="CK23">PRODUCT(1+預測IC!$C23:CK23)-1</f>
        <v>0.1377286005170526</v>
      </c>
      <c r="CL23" s="26">
        <f t="array" ref="CL23">PRODUCT(1+預測IC!$C23:CL23)-1</f>
        <v>-4.8915161090152814E-2</v>
      </c>
      <c r="CM23" s="26">
        <f t="array" ref="CM23">PRODUCT(1+預測IC!$C23:CM23)-1</f>
        <v>0.31890068105471903</v>
      </c>
      <c r="CN23" s="26">
        <f t="array" ref="CN23">PRODUCT(1+預測IC!$C23:CN23)-1</f>
        <v>0.38880924690607954</v>
      </c>
      <c r="CO23" s="26">
        <f t="array" ref="CO23">PRODUCT(1+預測IC!$C23:CO23)-1</f>
        <v>1.5982047842015623E-2</v>
      </c>
      <c r="CP23" s="26">
        <f t="array" ref="CP23">PRODUCT(1+預測IC!$C23:CP23)-1</f>
        <v>-0.30035487761409385</v>
      </c>
      <c r="CQ23" s="26">
        <f t="array" ref="CQ23">PRODUCT(1+預測IC!$C23:CQ23)-1</f>
        <v>-0.31763770038699202</v>
      </c>
      <c r="CR23" s="26">
        <f t="array" ref="CR23">PRODUCT(1+預測IC!$C23:CR23)-1</f>
        <v>-0.42067315922895188</v>
      </c>
      <c r="CS23" s="26">
        <f t="array" ref="CS23">PRODUCT(1+預測IC!$C23:CS23)-1</f>
        <v>-0.38069091731313798</v>
      </c>
      <c r="CT23" s="26">
        <f t="array" ref="CT23">PRODUCT(1+預測IC!$C23:CT23)-1</f>
        <v>-0.40103535940844148</v>
      </c>
      <c r="CU23" s="26">
        <f t="array" ref="CU23">PRODUCT(1+預測IC!$C23:CU23)-1</f>
        <v>-0.27998227857495139</v>
      </c>
      <c r="CV23" s="26">
        <f t="array" ref="CV23">PRODUCT(1+預測IC!$C23:CV23)-1</f>
        <v>-0.42531749563573673</v>
      </c>
      <c r="CW23" s="26">
        <f t="array" ref="CW23">PRODUCT(1+預測IC!$C23:CW23)-1</f>
        <v>-0.4392169320735948</v>
      </c>
      <c r="CX23" s="26">
        <f t="array" ref="CX23">PRODUCT(1+預測IC!$C23:CX23)-1</f>
        <v>-0.47390696881263328</v>
      </c>
      <c r="CY23" s="26">
        <f t="array" ref="CY23">PRODUCT(1+預測IC!$C23:CY23)-1</f>
        <v>-0.6221130719567417</v>
      </c>
      <c r="CZ23" s="26">
        <f t="array" ref="CZ23">PRODUCT(1+預測IC!$C23:CZ23)-1</f>
        <v>-0.59895574513615391</v>
      </c>
      <c r="DA23" s="26">
        <f t="array" ref="DA23">PRODUCT(1+預測IC!$C23:DA23)-1</f>
        <v>-0.61138095287296434</v>
      </c>
      <c r="DB23" s="26">
        <f t="array" ref="DB23">PRODUCT(1+預測IC!$C23:DB23)-1</f>
        <v>-0.60518047501454975</v>
      </c>
      <c r="DC23" s="26">
        <f t="array" ref="DC23">PRODUCT(1+預測IC!$C23:DC23)-1</f>
        <v>-0.65223920610765562</v>
      </c>
      <c r="DD23" s="26">
        <f t="array" ref="DD23">PRODUCT(1+預測IC!$C23:DD23)-1</f>
        <v>-0.61996746532977143</v>
      </c>
      <c r="DE23" s="26">
        <f t="array" ref="DE23">PRODUCT(1+預測IC!$C23:DE23)-1</f>
        <v>-0.6428020802601242</v>
      </c>
      <c r="DF23" s="26">
        <f t="array" ref="DF23">PRODUCT(1+預測IC!$C23:DF23)-1</f>
        <v>-0.57444373064175513</v>
      </c>
      <c r="DG23" s="26">
        <f t="array" ref="DG23">PRODUCT(1+預測IC!$C23:DG23)-1</f>
        <v>-0.50934355634104667</v>
      </c>
      <c r="DH23" s="26">
        <f t="array" ref="DH23">PRODUCT(1+預測IC!$C23:DH23)-1</f>
        <v>-0.57765667167879542</v>
      </c>
      <c r="DI23" s="26">
        <f t="array" ref="DI23">PRODUCT(1+預測IC!$C23:DI23)-1</f>
        <v>-0.49956002078998307</v>
      </c>
      <c r="DJ23" s="26">
        <f t="array" ref="DJ23">PRODUCT(1+預測IC!$C23:DJ23)-1</f>
        <v>-0.55962912354246963</v>
      </c>
      <c r="DK23" s="26">
        <f t="array" ref="DK23">PRODUCT(1+預測IC!$C23:DK23)-1</f>
        <v>-0.58065674351942154</v>
      </c>
      <c r="DL23" s="26">
        <f t="array" ref="DL23">PRODUCT(1+預測IC!$C23:DL23)-1</f>
        <v>-0.59166142271166167</v>
      </c>
      <c r="DM23" s="26">
        <f t="array" ref="DM23">PRODUCT(1+預測IC!$C23:DM23)-1</f>
        <v>-0.58728798003853033</v>
      </c>
      <c r="DN23" s="26">
        <f t="array" ref="DN23">PRODUCT(1+預測IC!$C23:DN23)-1</f>
        <v>-0.47792967178002177</v>
      </c>
      <c r="DO23" s="26">
        <f t="array" ref="DO23">PRODUCT(1+預測IC!$C23:DO23)-1</f>
        <v>-0.52213379864397469</v>
      </c>
      <c r="DP23" s="26">
        <f t="array" ref="DP23">PRODUCT(1+預測IC!$C23:DP23)-1</f>
        <v>-0.49963192377621557</v>
      </c>
      <c r="DQ23" s="26">
        <f t="array" ref="DQ23">PRODUCT(1+預測IC!$C23:DQ23)-1</f>
        <v>-0.62269550447013344</v>
      </c>
      <c r="DR23" s="26">
        <f t="array" ref="DR23">PRODUCT(1+預測IC!$C23:DR23)-1</f>
        <v>-0.66134110607702778</v>
      </c>
      <c r="DS23" s="26">
        <f t="array" ref="DS23">PRODUCT(1+預測IC!$C23:DS23)-1</f>
        <v>-0.7450557394523194</v>
      </c>
      <c r="DT23" s="26">
        <f t="array" ref="DT23">PRODUCT(1+預測IC!$C23:DT23)-1</f>
        <v>-0.75074009321280177</v>
      </c>
      <c r="DU23" s="26">
        <f t="array" ref="DU23">PRODUCT(1+預測IC!$C23:DU23)-1</f>
        <v>-0.88166179205390238</v>
      </c>
      <c r="DV23" s="26">
        <f t="array" ref="DV23">PRODUCT(1+預測IC!$C23:DV23)-1</f>
        <v>-0.90447046407104814</v>
      </c>
      <c r="DW23" s="26">
        <f t="array" ref="DW23">PRODUCT(1+預測IC!$C23:DW23)-1</f>
        <v>-0.89097899655234347</v>
      </c>
      <c r="DX23" s="26">
        <f t="array" ref="DX23">PRODUCT(1+預測IC!$C23:DX23)-1</f>
        <v>-0.87233610112469662</v>
      </c>
      <c r="DY23" s="26">
        <f t="array" ref="DY23">PRODUCT(1+預測IC!$C23:DY23)-1</f>
        <v>-0.90657835839219825</v>
      </c>
      <c r="DZ23" s="26">
        <f t="array" ref="DZ23">PRODUCT(1+預測IC!$C23:DZ23)-1</f>
        <v>-0.89449585576526935</v>
      </c>
      <c r="EA23" s="26">
        <f t="array" ref="EA23">PRODUCT(1+預測IC!$C23:EA23)-1</f>
        <v>-0.89752983844102752</v>
      </c>
      <c r="EB23" s="26">
        <f t="array" ref="EB23">PRODUCT(1+預測IC!$C23:EB23)-1</f>
        <v>-0.87249795005669084</v>
      </c>
      <c r="EC23" s="26">
        <f t="array" ref="EC23">PRODUCT(1+預測IC!$C23:EC23)-1</f>
        <v>-0.85678906726669513</v>
      </c>
      <c r="ED23" s="26">
        <f t="array" ref="ED23">PRODUCT(1+預測IC!$C23:ED23)-1</f>
        <v>-0.82895984929777722</v>
      </c>
      <c r="EE23" s="26">
        <f t="array" ref="EE23">PRODUCT(1+預測IC!$C23:EE23)-1</f>
        <v>-0.81706476656054061</v>
      </c>
      <c r="EF23" s="26">
        <f t="array" ref="EF23">PRODUCT(1+預測IC!$C23:EF23)-1</f>
        <v>-0.83415347845705423</v>
      </c>
    </row>
    <row r="24" spans="1:136" ht="15" customHeight="1">
      <c r="A24" s="13">
        <v>1</v>
      </c>
      <c r="B24" s="25" t="s">
        <v>244</v>
      </c>
      <c r="C24" s="26">
        <f t="array" ref="C24">PRODUCT(1+預測IC!$C24:C24)-1</f>
        <v>2.7766967310441037E-2</v>
      </c>
      <c r="D24" s="26">
        <f t="array" ref="D24">PRODUCT(1+預測IC!$C24:D24)-1</f>
        <v>0.13117060189154461</v>
      </c>
      <c r="E24" s="26">
        <f t="array" ref="E24">PRODUCT(1+預測IC!$C24:E24)-1</f>
        <v>0.22379122927586903</v>
      </c>
      <c r="F24" s="26">
        <f t="array" ref="F24">PRODUCT(1+預測IC!$C24:F24)-1</f>
        <v>0.47044111232908969</v>
      </c>
      <c r="G24" s="26">
        <f t="array" ref="G24">PRODUCT(1+預測IC!$C24:G24)-1</f>
        <v>0.5037060025306459</v>
      </c>
      <c r="H24" s="26">
        <f t="array" ref="H24">PRODUCT(1+預測IC!$C24:H24)-1</f>
        <v>-2.3827432394791792E-2</v>
      </c>
      <c r="I24" s="26">
        <f t="array" ref="I24">PRODUCT(1+預測IC!$C24:I24)-1</f>
        <v>-2.1765821137268659E-2</v>
      </c>
      <c r="J24" s="26">
        <f t="array" ref="J24">PRODUCT(1+預測IC!$C24:J24)-1</f>
        <v>-0.11956203717782221</v>
      </c>
      <c r="K24" s="26">
        <f t="array" ref="K24">PRODUCT(1+預測IC!$C24:K24)-1</f>
        <v>-7.5148928759797506E-2</v>
      </c>
      <c r="L24" s="26">
        <f t="array" ref="L24">PRODUCT(1+預測IC!$C24:L24)-1</f>
        <v>-0.38382670851963419</v>
      </c>
      <c r="M24" s="26">
        <f t="array" ref="M24">PRODUCT(1+預測IC!$C24:M24)-1</f>
        <v>-0.47429286382231561</v>
      </c>
      <c r="N24" s="26">
        <f t="array" ref="N24">PRODUCT(1+預測IC!$C24:N24)-1</f>
        <v>-0.41899283079020055</v>
      </c>
      <c r="O24" s="26">
        <f t="array" ref="O24">PRODUCT(1+預測IC!$C24:O24)-1</f>
        <v>-0.28227650244067448</v>
      </c>
      <c r="P24" s="26">
        <f t="array" ref="P24">PRODUCT(1+預測IC!$C24:P24)-1</f>
        <v>-0.22648319992552945</v>
      </c>
      <c r="Q24" s="26">
        <f t="array" ref="Q24">PRODUCT(1+預測IC!$C24:Q24)-1</f>
        <v>-0.27364062197515249</v>
      </c>
      <c r="R24" s="26">
        <f t="array" ref="R24">PRODUCT(1+預測IC!$C24:R24)-1</f>
        <v>-9.5176032553588974E-2</v>
      </c>
      <c r="S24" s="26">
        <f t="array" ref="S24">PRODUCT(1+預測IC!$C24:S24)-1</f>
        <v>3.1394181952103084E-2</v>
      </c>
      <c r="T24" s="26">
        <f t="array" ref="T24">PRODUCT(1+預測IC!$C24:T24)-1</f>
        <v>-9.6180041283749351E-2</v>
      </c>
      <c r="U24" s="26">
        <f t="array" ref="U24">PRODUCT(1+預測IC!$C24:U24)-1</f>
        <v>3.8054100721904405E-2</v>
      </c>
      <c r="V24" s="26">
        <f t="array" ref="V24">PRODUCT(1+預測IC!$C24:V24)-1</f>
        <v>-8.2921052945452156E-2</v>
      </c>
      <c r="W24" s="26">
        <f t="array" ref="W24">PRODUCT(1+預測IC!$C24:W24)-1</f>
        <v>0.50669975049429095</v>
      </c>
      <c r="X24" s="26">
        <f t="array" ref="X24">PRODUCT(1+預測IC!$C24:X24)-1</f>
        <v>0.50534522741859655</v>
      </c>
      <c r="Y24" s="26">
        <f t="array" ref="Y24">PRODUCT(1+預測IC!$C24:Y24)-1</f>
        <v>0.54960063027264572</v>
      </c>
      <c r="Z24" s="26">
        <f t="array" ref="Z24">PRODUCT(1+預測IC!$C24:Z24)-1</f>
        <v>0.71361396733340854</v>
      </c>
      <c r="AA24" s="26">
        <f t="array" ref="AA24">PRODUCT(1+預測IC!$C24:AA24)-1</f>
        <v>0.73682961221151699</v>
      </c>
      <c r="AB24" s="26">
        <f t="array" ref="AB24">PRODUCT(1+預測IC!$C24:AB24)-1</f>
        <v>0.39755797111092939</v>
      </c>
      <c r="AC24" s="26">
        <f t="array" ref="AC24">PRODUCT(1+預測IC!$C24:AC24)-1</f>
        <v>0.95902315990130438</v>
      </c>
      <c r="AD24" s="26">
        <f t="array" ref="AD24">PRODUCT(1+預測IC!$C24:AD24)-1</f>
        <v>1.0764120332947051</v>
      </c>
      <c r="AE24" s="26">
        <f t="array" ref="AE24">PRODUCT(1+預測IC!$C24:AE24)-1</f>
        <v>1.4774539695842748</v>
      </c>
      <c r="AF24" s="26">
        <f t="array" ref="AF24">PRODUCT(1+預測IC!$C24:AF24)-1</f>
        <v>0.25014950234258104</v>
      </c>
      <c r="AG24" s="26">
        <f t="array" ref="AG24">PRODUCT(1+預測IC!$C24:AG24)-1</f>
        <v>0.72527556224257772</v>
      </c>
      <c r="AH24" s="26">
        <f t="array" ref="AH24">PRODUCT(1+預測IC!$C24:AH24)-1</f>
        <v>0.20403055347189114</v>
      </c>
      <c r="AI24" s="26">
        <f t="array" ref="AI24">PRODUCT(1+預測IC!$C24:AI24)-1</f>
        <v>2.1124255603595321E-2</v>
      </c>
      <c r="AJ24" s="26">
        <f t="array" ref="AJ24">PRODUCT(1+預測IC!$C24:AJ24)-1</f>
        <v>4.1661479723730688E-2</v>
      </c>
      <c r="AK24" s="26">
        <f t="array" ref="AK24">PRODUCT(1+預測IC!$C24:AK24)-1</f>
        <v>0.15955585493614177</v>
      </c>
      <c r="AL24" s="26">
        <f t="array" ref="AL24">PRODUCT(1+預測IC!$C24:AL24)-1</f>
        <v>9.6154894258009938E-2</v>
      </c>
      <c r="AM24" s="26">
        <f t="array" ref="AM24">PRODUCT(1+預測IC!$C24:AM24)-1</f>
        <v>7.5416431333054978E-2</v>
      </c>
      <c r="AN24" s="26">
        <f t="array" ref="AN24">PRODUCT(1+預測IC!$C24:AN24)-1</f>
        <v>0.3132872165882219</v>
      </c>
      <c r="AO24" s="26">
        <f t="array" ref="AO24">PRODUCT(1+預測IC!$C24:AO24)-1</f>
        <v>0.44843196029766252</v>
      </c>
      <c r="AP24" s="26">
        <f t="array" ref="AP24">PRODUCT(1+預測IC!$C24:AP24)-1</f>
        <v>0.68667729128722343</v>
      </c>
      <c r="AQ24" s="26">
        <f t="array" ref="AQ24">PRODUCT(1+預測IC!$C24:AQ24)-1</f>
        <v>0.60727363026515557</v>
      </c>
      <c r="AR24" s="26">
        <f t="array" ref="AR24">PRODUCT(1+預測IC!$C24:AR24)-1</f>
        <v>0.88184900634424301</v>
      </c>
      <c r="AS24" s="26">
        <f t="array" ref="AS24">PRODUCT(1+預測IC!$C24:AS24)-1</f>
        <v>0.82923989011882759</v>
      </c>
      <c r="AT24" s="26">
        <f t="array" ref="AT24">PRODUCT(1+預測IC!$C24:AT24)-1</f>
        <v>1.1050325223914079</v>
      </c>
      <c r="AU24" s="26">
        <f t="array" ref="AU24">PRODUCT(1+預測IC!$C24:AU24)-1</f>
        <v>1.5888553353760604</v>
      </c>
      <c r="AV24" s="26">
        <f t="array" ref="AV24">PRODUCT(1+預測IC!$C24:AV24)-1</f>
        <v>1.5383157015188487</v>
      </c>
      <c r="AW24" s="26">
        <f t="array" ref="AW24">PRODUCT(1+預測IC!$C24:AW24)-1</f>
        <v>1.525655746589401</v>
      </c>
      <c r="AX24" s="26">
        <f t="array" ref="AX24">PRODUCT(1+預測IC!$C24:AX24)-1</f>
        <v>1.2440670108120262</v>
      </c>
      <c r="AY24" s="26">
        <f t="array" ref="AY24">PRODUCT(1+預測IC!$C24:AY24)-1</f>
        <v>1.8442107429748815</v>
      </c>
      <c r="AZ24" s="26">
        <f t="array" ref="AZ24">PRODUCT(1+預測IC!$C24:AZ24)-1</f>
        <v>0.10952786176168394</v>
      </c>
      <c r="BA24" s="26">
        <f t="array" ref="BA24">PRODUCT(1+預測IC!$C24:BA24)-1</f>
        <v>4.9841107697778275E-2</v>
      </c>
      <c r="BB24" s="26">
        <f t="array" ref="BB24">PRODUCT(1+預測IC!$C24:BB24)-1</f>
        <v>0.77504614870881872</v>
      </c>
      <c r="BC24" s="26">
        <f t="array" ref="BC24">PRODUCT(1+預測IC!$C24:BC24)-1</f>
        <v>-0.65069934182685563</v>
      </c>
      <c r="BD24" s="26">
        <f t="array" ref="BD24">PRODUCT(1+預測IC!$C24:BD24)-1</f>
        <v>-0.58587080959028692</v>
      </c>
      <c r="BE24" s="26">
        <f t="array" ref="BE24">PRODUCT(1+預測IC!$C24:BE24)-1</f>
        <v>-0.56679421594839796</v>
      </c>
      <c r="BF24" s="26">
        <f t="array" ref="BF24">PRODUCT(1+預測IC!$C24:BF24)-1</f>
        <v>-0.59467985462554196</v>
      </c>
      <c r="BG24" s="26">
        <f t="array" ref="BG24">PRODUCT(1+預測IC!$C24:BG24)-1</f>
        <v>-0.58380269703934484</v>
      </c>
      <c r="BH24" s="26">
        <f t="array" ref="BH24">PRODUCT(1+預測IC!$C24:BH24)-1</f>
        <v>-0.7445611265169173</v>
      </c>
      <c r="BI24" s="26">
        <f t="array" ref="BI24">PRODUCT(1+預測IC!$C24:BI24)-1</f>
        <v>-0.75175214771955812</v>
      </c>
      <c r="BJ24" s="26">
        <f t="array" ref="BJ24">PRODUCT(1+預測IC!$C24:BJ24)-1</f>
        <v>-0.76678783852363197</v>
      </c>
      <c r="BK24" s="26">
        <f t="array" ref="BK24">PRODUCT(1+預測IC!$C24:BK24)-1</f>
        <v>-0.76912456070282753</v>
      </c>
      <c r="BL24" s="26">
        <f t="array" ref="BL24">PRODUCT(1+預測IC!$C24:BL24)-1</f>
        <v>-0.74462707890045698</v>
      </c>
      <c r="BM24" s="26">
        <f t="array" ref="BM24">PRODUCT(1+預測IC!$C24:BM24)-1</f>
        <v>-0.72297581189436766</v>
      </c>
      <c r="BN24" s="26">
        <f t="array" ref="BN24">PRODUCT(1+預測IC!$C24:BN24)-1</f>
        <v>-0.72848586689836592</v>
      </c>
      <c r="BO24" s="26">
        <f t="array" ref="BO24">PRODUCT(1+預測IC!$C24:BO24)-1</f>
        <v>-0.68474230878626063</v>
      </c>
      <c r="BP24" s="26">
        <f t="array" ref="BP24">PRODUCT(1+預測IC!$C24:BP24)-1</f>
        <v>-0.67471932100950216</v>
      </c>
      <c r="BQ24" s="26">
        <f t="array" ref="BQ24">PRODUCT(1+預測IC!$C24:BQ24)-1</f>
        <v>-0.67021175492197116</v>
      </c>
      <c r="BR24" s="26">
        <f t="array" ref="BR24">PRODUCT(1+預測IC!$C24:BR24)-1</f>
        <v>-0.65624317037060387</v>
      </c>
      <c r="BS24" s="26">
        <f t="array" ref="BS24">PRODUCT(1+預測IC!$C24:BS24)-1</f>
        <v>-0.61443510843694527</v>
      </c>
      <c r="BT24" s="26">
        <f t="array" ref="BT24">PRODUCT(1+預測IC!$C24:BT24)-1</f>
        <v>-0.59292087422915329</v>
      </c>
      <c r="BU24" s="26">
        <f t="array" ref="BU24">PRODUCT(1+預測IC!$C24:BU24)-1</f>
        <v>-0.49997386866353033</v>
      </c>
      <c r="BV24" s="26">
        <f t="array" ref="BV24">PRODUCT(1+預測IC!$C24:BV24)-1</f>
        <v>-0.39831505597990668</v>
      </c>
      <c r="BW24" s="26">
        <f t="array" ref="BW24">PRODUCT(1+預測IC!$C24:BW24)-1</f>
        <v>-0.30744411593542054</v>
      </c>
      <c r="BX24" s="26">
        <f t="array" ref="BX24">PRODUCT(1+預測IC!$C24:BX24)-1</f>
        <v>-0.34764239311740464</v>
      </c>
      <c r="BY24" s="26">
        <f t="array" ref="BY24">PRODUCT(1+預測IC!$C24:BY24)-1</f>
        <v>-0.53704790069969732</v>
      </c>
      <c r="BZ24" s="26">
        <f t="array" ref="BZ24">PRODUCT(1+預測IC!$C24:BZ24)-1</f>
        <v>-0.65690291171624438</v>
      </c>
      <c r="CA24" s="26">
        <f t="array" ref="CA24">PRODUCT(1+預測IC!$C24:CA24)-1</f>
        <v>-0.69643513489676323</v>
      </c>
      <c r="CB24" s="26">
        <f t="array" ref="CB24">PRODUCT(1+預測IC!$C24:CB24)-1</f>
        <v>-0.89062527553843873</v>
      </c>
      <c r="CC24" s="26">
        <f t="array" ref="CC24">PRODUCT(1+預測IC!$C24:CC24)-1</f>
        <v>-0.9105828815109398</v>
      </c>
      <c r="CD24" s="26">
        <f t="array" ref="CD24">PRODUCT(1+預測IC!$C24:CD24)-1</f>
        <v>-0.97239979406157195</v>
      </c>
      <c r="CE24" s="26">
        <f t="array" ref="CE24">PRODUCT(1+預測IC!$C24:CE24)-1</f>
        <v>-0.97819918894616598</v>
      </c>
      <c r="CF24" s="26">
        <f t="array" ref="CF24">PRODUCT(1+預測IC!$C24:CF24)-1</f>
        <v>-0.97724072426735231</v>
      </c>
      <c r="CG24" s="26">
        <f t="array" ref="CG24">PRODUCT(1+預測IC!$C24:CG24)-1</f>
        <v>-0.98907484133864843</v>
      </c>
      <c r="CH24" s="26">
        <f t="array" ref="CH24">PRODUCT(1+預測IC!$C24:CH24)-1</f>
        <v>-0.98674807879006254</v>
      </c>
      <c r="CI24" s="26">
        <f t="array" ref="CI24">PRODUCT(1+預測IC!$C24:CI24)-1</f>
        <v>-0.9828573194451512</v>
      </c>
      <c r="CJ24" s="26">
        <f t="array" ref="CJ24">PRODUCT(1+預測IC!$C24:CJ24)-1</f>
        <v>-0.98308205116593472</v>
      </c>
      <c r="CK24" s="26">
        <f t="array" ref="CK24">PRODUCT(1+預測IC!$C24:CK24)-1</f>
        <v>-0.97761655104473844</v>
      </c>
      <c r="CL24" s="26">
        <f t="array" ref="CL24">PRODUCT(1+預測IC!$C24:CL24)-1</f>
        <v>-0.97796760741504718</v>
      </c>
      <c r="CM24" s="26">
        <f t="array" ref="CM24">PRODUCT(1+預測IC!$C24:CM24)-1</f>
        <v>-0.96585888844879875</v>
      </c>
      <c r="CN24" s="26">
        <f t="array" ref="CN24">PRODUCT(1+預測IC!$C24:CN24)-1</f>
        <v>-0.96218056720479417</v>
      </c>
      <c r="CO24" s="26">
        <f t="array" ref="CO24">PRODUCT(1+預測IC!$C24:CO24)-1</f>
        <v>-0.98382877397148472</v>
      </c>
      <c r="CP24" s="26">
        <f t="array" ref="CP24">PRODUCT(1+預測IC!$C24:CP24)-1</f>
        <v>-0.98642173634990804</v>
      </c>
      <c r="CQ24" s="26">
        <f t="array" ref="CQ24">PRODUCT(1+預測IC!$C24:CQ24)-1</f>
        <v>-0.98859683360583128</v>
      </c>
      <c r="CR24" s="26">
        <f t="array" ref="CR24">PRODUCT(1+預測IC!$C24:CR24)-1</f>
        <v>-0.99016804689418392</v>
      </c>
      <c r="CS24" s="26">
        <f t="array" ref="CS24">PRODUCT(1+預測IC!$C24:CS24)-1</f>
        <v>-0.99043211349069993</v>
      </c>
      <c r="CT24" s="26">
        <f t="array" ref="CT24">PRODUCT(1+預測IC!$C24:CT24)-1</f>
        <v>-0.98868217970055061</v>
      </c>
      <c r="CU24" s="26">
        <f t="array" ref="CU24">PRODUCT(1+預測IC!$C24:CU24)-1</f>
        <v>-0.98808540184678806</v>
      </c>
      <c r="CV24" s="26">
        <f t="array" ref="CV24">PRODUCT(1+預測IC!$C24:CV24)-1</f>
        <v>-0.99239224312881846</v>
      </c>
      <c r="CW24" s="26">
        <f t="array" ref="CW24">PRODUCT(1+預測IC!$C24:CW24)-1</f>
        <v>-0.99418001437699155</v>
      </c>
      <c r="CX24" s="26">
        <f t="array" ref="CX24">PRODUCT(1+預測IC!$C24:CX24)-1</f>
        <v>-0.99503377498936518</v>
      </c>
      <c r="CY24" s="26">
        <f t="array" ref="CY24">PRODUCT(1+預測IC!$C24:CY24)-1</f>
        <v>-0.99682274852476027</v>
      </c>
      <c r="CZ24" s="26">
        <f t="array" ref="CZ24">PRODUCT(1+預測IC!$C24:CZ24)-1</f>
        <v>-0.99630769410620335</v>
      </c>
      <c r="DA24" s="26">
        <f t="array" ref="DA24">PRODUCT(1+預測IC!$C24:DA24)-1</f>
        <v>-0.9962171912426091</v>
      </c>
      <c r="DB24" s="26">
        <f t="array" ref="DB24">PRODUCT(1+預測IC!$C24:DB24)-1</f>
        <v>-0.9954778008989027</v>
      </c>
      <c r="DC24" s="26">
        <f t="array" ref="DC24">PRODUCT(1+預測IC!$C24:DC24)-1</f>
        <v>-0.99634233574065312</v>
      </c>
      <c r="DD24" s="26">
        <f t="array" ref="DD24">PRODUCT(1+預測IC!$C24:DD24)-1</f>
        <v>-0.9970586699813615</v>
      </c>
      <c r="DE24" s="26">
        <f t="array" ref="DE24">PRODUCT(1+預測IC!$C24:DE24)-1</f>
        <v>-0.99667163333166375</v>
      </c>
      <c r="DF24" s="26">
        <f t="array" ref="DF24">PRODUCT(1+預測IC!$C24:DF24)-1</f>
        <v>-0.99602380648786892</v>
      </c>
      <c r="DG24" s="26">
        <f t="array" ref="DG24">PRODUCT(1+預測IC!$C24:DG24)-1</f>
        <v>-0.99503536858753783</v>
      </c>
      <c r="DH24" s="26">
        <f t="array" ref="DH24">PRODUCT(1+預測IC!$C24:DH24)-1</f>
        <v>-0.99635499244012737</v>
      </c>
      <c r="DI24" s="26">
        <f t="array" ref="DI24">PRODUCT(1+預測IC!$C24:DI24)-1</f>
        <v>-0.99481279411654444</v>
      </c>
      <c r="DJ24" s="26">
        <f t="array" ref="DJ24">PRODUCT(1+預測IC!$C24:DJ24)-1</f>
        <v>-0.99600258287919963</v>
      </c>
      <c r="DK24" s="26">
        <f t="array" ref="DK24">PRODUCT(1+預測IC!$C24:DK24)-1</f>
        <v>-0.99666624097854772</v>
      </c>
      <c r="DL24" s="26">
        <f t="array" ref="DL24">PRODUCT(1+預測IC!$C24:DL24)-1</f>
        <v>-0.99687080214304058</v>
      </c>
      <c r="DM24" s="26">
        <f t="array" ref="DM24">PRODUCT(1+預測IC!$C24:DM24)-1</f>
        <v>-0.99653185965029756</v>
      </c>
      <c r="DN24" s="26">
        <f t="array" ref="DN24">PRODUCT(1+預測IC!$C24:DN24)-1</f>
        <v>-0.99473935845839956</v>
      </c>
      <c r="DO24" s="26">
        <f t="array" ref="DO24">PRODUCT(1+預測IC!$C24:DO24)-1</f>
        <v>-0.99517659294291738</v>
      </c>
      <c r="DP24" s="26">
        <f t="array" ref="DP24">PRODUCT(1+預測IC!$C24:DP24)-1</f>
        <v>-0.99462492335528541</v>
      </c>
      <c r="DQ24" s="26">
        <f t="array" ref="DQ24">PRODUCT(1+預測IC!$C24:DQ24)-1</f>
        <v>-0.99655495912497238</v>
      </c>
      <c r="DR24" s="26">
        <f t="array" ref="DR24">PRODUCT(1+預測IC!$C24:DR24)-1</f>
        <v>-0.99663554552112099</v>
      </c>
      <c r="DS24" s="26">
        <f t="array" ref="DS24">PRODUCT(1+預測IC!$C24:DS24)-1</f>
        <v>-0.99712005043260732</v>
      </c>
      <c r="DT24" s="26">
        <f t="array" ref="DT24">PRODUCT(1+預測IC!$C24:DT24)-1</f>
        <v>-0.9972048238400868</v>
      </c>
      <c r="DU24" s="26">
        <f t="array" ref="DU24">PRODUCT(1+預測IC!$C24:DU24)-1</f>
        <v>-0.99935862812410692</v>
      </c>
      <c r="DV24" s="26">
        <f t="array" ref="DV24">PRODUCT(1+預測IC!$C24:DV24)-1</f>
        <v>-0.99983994984883662</v>
      </c>
      <c r="DW24" s="26">
        <f t="array" ref="DW24">PRODUCT(1+預測IC!$C24:DW24)-1</f>
        <v>-0.99982252725514431</v>
      </c>
      <c r="DX24" s="26">
        <f t="array" ref="DX24">PRODUCT(1+預測IC!$C24:DX24)-1</f>
        <v>-0.99979169361422582</v>
      </c>
      <c r="DY24" s="26">
        <f t="array" ref="DY24">PRODUCT(1+預測IC!$C24:DY24)-1</f>
        <v>-0.99979837327838805</v>
      </c>
      <c r="DZ24" s="26">
        <f t="array" ref="DZ24">PRODUCT(1+預測IC!$C24:DZ24)-1</f>
        <v>-0.99980823376551409</v>
      </c>
      <c r="EA24" s="26">
        <f t="array" ref="EA24">PRODUCT(1+預測IC!$C24:EA24)-1</f>
        <v>-0.99981876499181332</v>
      </c>
      <c r="EB24" s="26">
        <f t="array" ref="EB24">PRODUCT(1+預測IC!$C24:EB24)-1</f>
        <v>-0.99971189108499836</v>
      </c>
      <c r="EC24" s="26">
        <f t="array" ref="EC24">PRODUCT(1+預測IC!$C24:EC24)-1</f>
        <v>-0.9996379475343834</v>
      </c>
      <c r="ED24" s="26">
        <f t="array" ref="ED24">PRODUCT(1+預測IC!$C24:ED24)-1</f>
        <v>-0.99960733958542591</v>
      </c>
      <c r="EE24" s="26">
        <f t="array" ref="EE24">PRODUCT(1+預測IC!$C24:EE24)-1</f>
        <v>-0.99962134341972542</v>
      </c>
      <c r="EF24" s="26">
        <f t="array" ref="EF24">PRODUCT(1+預測IC!$C24:EF24)-1</f>
        <v>-0.99967211558729152</v>
      </c>
    </row>
    <row r="25" spans="1:136">
      <c r="A25" s="1" t="s">
        <v>144</v>
      </c>
      <c r="B25" s="1" t="s">
        <v>145</v>
      </c>
      <c r="C25" s="26">
        <f t="array" ref="C25">PRODUCT(1+預測IC!$C26:C26)-1</f>
        <v>-1.7446770539390255E-2</v>
      </c>
      <c r="D25" s="26">
        <f t="array" ref="D25">PRODUCT(1+預測IC!$C26:D26)-1</f>
        <v>2.893123339404724E-3</v>
      </c>
      <c r="E25" s="26">
        <f t="array" ref="E25">PRODUCT(1+預測IC!$C26:E26)-1</f>
        <v>2.6944635852046872E-2</v>
      </c>
      <c r="F25" s="26">
        <f t="array" ref="F25">PRODUCT(1+預測IC!$C26:F26)-1</f>
        <v>2.0210365301730038E-2</v>
      </c>
      <c r="G25" s="26">
        <f t="array" ref="G25">PRODUCT(1+預測IC!$C26:G26)-1</f>
        <v>5.269909680859941E-2</v>
      </c>
      <c r="H25" s="26">
        <f t="array" ref="H25">PRODUCT(1+預測IC!$C26:H26)-1</f>
        <v>8.8857766197530053E-2</v>
      </c>
      <c r="I25" s="26">
        <f t="array" ref="I25">PRODUCT(1+預測IC!$C26:I26)-1</f>
        <v>7.9869318529145472E-2</v>
      </c>
      <c r="J25" s="26">
        <f t="array" ref="J25">PRODUCT(1+預測IC!$C26:J26)-1</f>
        <v>9.3738646464063713E-2</v>
      </c>
      <c r="K25" s="26">
        <f t="array" ref="K25">PRODUCT(1+預測IC!$C26:K26)-1</f>
        <v>3.7937714394164157E-2</v>
      </c>
      <c r="L25" s="26">
        <f t="array" ref="L25">PRODUCT(1+預測IC!$C26:L26)-1</f>
        <v>3.8844812525307137E-2</v>
      </c>
      <c r="M25" s="26">
        <f t="array" ref="M25">PRODUCT(1+預測IC!$C26:M26)-1</f>
        <v>6.3142951706360639E-2</v>
      </c>
      <c r="N25" s="26">
        <f t="array" ref="N25">PRODUCT(1+預測IC!$C26:N26)-1</f>
        <v>7.6952085951054405E-2</v>
      </c>
      <c r="O25" s="26">
        <f t="array" ref="O25">PRODUCT(1+預測IC!$C26:O26)-1</f>
        <v>8.3257197491512391E-2</v>
      </c>
      <c r="P25" s="26">
        <f t="array" ref="P25">PRODUCT(1+預測IC!$C26:P26)-1</f>
        <v>0.11295275081672607</v>
      </c>
      <c r="Q25" s="26">
        <f t="array" ref="Q25">PRODUCT(1+預測IC!$C26:Q26)-1</f>
        <v>0.10882042835093308</v>
      </c>
      <c r="R25" s="26">
        <f t="array" ref="R25">PRODUCT(1+預測IC!$C26:R26)-1</f>
        <v>0.13551706985268064</v>
      </c>
      <c r="S25" s="26">
        <f t="array" ref="S25">PRODUCT(1+預測IC!$C26:S26)-1</f>
        <v>0.12167508804368476</v>
      </c>
      <c r="T25" s="26">
        <f t="array" ref="T25">PRODUCT(1+預測IC!$C26:T26)-1</f>
        <v>7.7088976461827885E-2</v>
      </c>
      <c r="U25" s="26">
        <f t="array" ref="U25">PRODUCT(1+預測IC!$C26:U26)-1</f>
        <v>-1.7059521199481731E-3</v>
      </c>
      <c r="V25" s="26">
        <f t="array" ref="V25">PRODUCT(1+預測IC!$C26:V26)-1</f>
        <v>-5.9866792867339091E-2</v>
      </c>
      <c r="W25" s="26">
        <f t="array" ref="W25">PRODUCT(1+預測IC!$C26:W26)-1</f>
        <v>-5.9140260213613516E-2</v>
      </c>
      <c r="X25" s="26">
        <f t="array" ref="X25">PRODUCT(1+預測IC!$C26:X26)-1</f>
        <v>-1.7185893241652206E-2</v>
      </c>
      <c r="Y25" s="26">
        <f t="array" ref="Y25">PRODUCT(1+預測IC!$C26:Y26)-1</f>
        <v>-4.4409529547694393E-2</v>
      </c>
      <c r="Z25" s="26">
        <f t="array" ref="Z25">PRODUCT(1+預測IC!$C26:Z26)-1</f>
        <v>-4.2407561826578566E-2</v>
      </c>
      <c r="AA25" s="26">
        <f t="array" ref="AA25">PRODUCT(1+預測IC!$C26:AA26)-1</f>
        <v>-6.481575250614946E-2</v>
      </c>
      <c r="AB25" s="26">
        <f t="array" ref="AB25">PRODUCT(1+預測IC!$C26:AB26)-1</f>
        <v>-3.4768870774049443E-2</v>
      </c>
      <c r="AC25" s="26">
        <f t="array" ref="AC25">PRODUCT(1+預測IC!$C26:AC26)-1</f>
        <v>2.7817794451217015E-3</v>
      </c>
      <c r="AD25" s="26">
        <f t="array" ref="AD25">PRODUCT(1+預測IC!$C26:AD26)-1</f>
        <v>-4.0202844765013457E-2</v>
      </c>
      <c r="AE25" s="26">
        <f t="array" ref="AE25">PRODUCT(1+預測IC!$C26:AE26)-1</f>
        <v>-2.2305320482664204E-2</v>
      </c>
      <c r="AF25" s="26">
        <f t="array" ref="AF25">PRODUCT(1+預測IC!$C26:AF26)-1</f>
        <v>-7.4152570234460313E-3</v>
      </c>
      <c r="AG25" s="26">
        <f t="array" ref="AG25">PRODUCT(1+預測IC!$C26:AG26)-1</f>
        <v>2.8334274381314417E-2</v>
      </c>
      <c r="AH25" s="26">
        <f t="array" ref="AH25">PRODUCT(1+預測IC!$C26:AH26)-1</f>
        <v>3.7953941892352683E-2</v>
      </c>
      <c r="AI25" s="26">
        <f t="array" ref="AI25">PRODUCT(1+預測IC!$C26:AI26)-1</f>
        <v>4.9110131735873752E-2</v>
      </c>
      <c r="AJ25" s="26">
        <f t="array" ref="AJ25">PRODUCT(1+預測IC!$C26:AJ26)-1</f>
        <v>6.3123886850196875E-2</v>
      </c>
      <c r="AK25" s="26">
        <f t="array" ref="AK25">PRODUCT(1+預測IC!$C26:AK26)-1</f>
        <v>5.7454515782098925E-2</v>
      </c>
      <c r="AL25" s="26">
        <f t="array" ref="AL25">PRODUCT(1+預測IC!$C26:AL26)-1</f>
        <v>5.8917118987427575E-2</v>
      </c>
      <c r="AM25" s="26">
        <f t="array" ref="AM25">PRODUCT(1+預測IC!$C26:AM26)-1</f>
        <v>8.0938283596681648E-2</v>
      </c>
      <c r="AN25" s="26">
        <f t="array" ref="AN25">PRODUCT(1+預測IC!$C26:AN26)-1</f>
        <v>0.11500697453770203</v>
      </c>
      <c r="AO25" s="26">
        <f t="array" ref="AO25">PRODUCT(1+預測IC!$C26:AO26)-1</f>
        <v>0.12196653200545171</v>
      </c>
      <c r="AP25" s="26">
        <f t="array" ref="AP25">PRODUCT(1+預測IC!$C26:AP26)-1</f>
        <v>0.12886130991117528</v>
      </c>
      <c r="AQ25" s="26">
        <f t="array" ref="AQ25">PRODUCT(1+預測IC!$C26:AQ26)-1</f>
        <v>0.14799139743631429</v>
      </c>
      <c r="AR25" s="26">
        <f t="array" ref="AR25">PRODUCT(1+預測IC!$C26:AR26)-1</f>
        <v>0.18780698843660248</v>
      </c>
      <c r="AS25" s="26">
        <f t="array" ref="AS25">PRODUCT(1+預測IC!$C26:AS26)-1</f>
        <v>0.19148751365039929</v>
      </c>
      <c r="AT25" s="26">
        <f t="array" ref="AT25">PRODUCT(1+預測IC!$C26:AT26)-1</f>
        <v>0.20945675046088996</v>
      </c>
      <c r="AU25" s="26">
        <f t="array" ref="AU25">PRODUCT(1+預測IC!$C26:AU26)-1</f>
        <v>0.18617324550329584</v>
      </c>
      <c r="AV25" s="26">
        <f t="array" ref="AV25">PRODUCT(1+預測IC!$C26:AV26)-1</f>
        <v>0.23209180697664689</v>
      </c>
      <c r="AW25" s="26">
        <f t="array" ref="AW25">PRODUCT(1+預測IC!$C26:AW26)-1</f>
        <v>0.20516203655681697</v>
      </c>
      <c r="AX25" s="26">
        <f t="array" ref="AX25">PRODUCT(1+預測IC!$C26:AX26)-1</f>
        <v>0.21453132863303215</v>
      </c>
      <c r="AY25" s="26">
        <f t="array" ref="AY25">PRODUCT(1+預測IC!$C26:AY26)-1</f>
        <v>0.2660241129922889</v>
      </c>
      <c r="AZ25" s="26">
        <f t="array" ref="AZ25">PRODUCT(1+預測IC!$C26:AZ26)-1</f>
        <v>0.23271631642995261</v>
      </c>
      <c r="BA25" s="26">
        <f t="array" ref="BA25">PRODUCT(1+預測IC!$C26:BA26)-1</f>
        <v>0.24451556797958407</v>
      </c>
      <c r="BB25" s="26">
        <f t="array" ref="BB25">PRODUCT(1+預測IC!$C26:BB26)-1</f>
        <v>0.21433638745422812</v>
      </c>
      <c r="BC25" s="26">
        <f t="array" ref="BC25">PRODUCT(1+預測IC!$C26:BC26)-1</f>
        <v>0.23882150637103883</v>
      </c>
      <c r="BD25" s="26">
        <f t="array" ref="BD25">PRODUCT(1+預測IC!$C26:BD26)-1</f>
        <v>0.23447943849994912</v>
      </c>
      <c r="BE25" s="26">
        <f t="array" ref="BE25">PRODUCT(1+預測IC!$C26:BE26)-1</f>
        <v>0.25935658802508499</v>
      </c>
      <c r="BF25" s="26">
        <f t="array" ref="BF25">PRODUCT(1+預測IC!$C26:BF26)-1</f>
        <v>0.26008869763716325</v>
      </c>
      <c r="BG25" s="26">
        <f t="array" ref="BG25">PRODUCT(1+預測IC!$C26:BG26)-1</f>
        <v>0.2535114114609236</v>
      </c>
      <c r="BH25" s="26">
        <f t="array" ref="BH25">PRODUCT(1+預測IC!$C26:BH26)-1</f>
        <v>0.10826483627727623</v>
      </c>
      <c r="BI25" s="26">
        <f t="array" ref="BI25">PRODUCT(1+預測IC!$C26:BI26)-1</f>
        <v>0.11793469710078752</v>
      </c>
      <c r="BJ25" s="26">
        <f t="array" ref="BJ25">PRODUCT(1+預測IC!$C26:BJ26)-1</f>
        <v>9.9625988810205346E-2</v>
      </c>
      <c r="BK25" s="26">
        <f t="array" ref="BK25">PRODUCT(1+預測IC!$C26:BK26)-1</f>
        <v>0.12254260303831388</v>
      </c>
      <c r="BL25" s="26">
        <f t="array" ref="BL25">PRODUCT(1+預測IC!$C26:BL26)-1</f>
        <v>0.17302993558173996</v>
      </c>
      <c r="BM25" s="26">
        <f t="array" ref="BM25">PRODUCT(1+預測IC!$C26:BM26)-1</f>
        <v>0.20112905370185397</v>
      </c>
      <c r="BN25" s="26">
        <f t="array" ref="BN25">PRODUCT(1+預測IC!$C26:BN26)-1</f>
        <v>0.23745011694095197</v>
      </c>
      <c r="BO25" s="26">
        <f t="array" ref="BO25">PRODUCT(1+預測IC!$C26:BO26)-1</f>
        <v>0.18334151222801376</v>
      </c>
      <c r="BP25" s="26">
        <f t="array" ref="BP25">PRODUCT(1+預測IC!$C26:BP26)-1</f>
        <v>0.20924423024871497</v>
      </c>
      <c r="BQ25" s="26">
        <f t="array" ref="BQ25">PRODUCT(1+預測IC!$C26:BQ26)-1</f>
        <v>0.21967690051673561</v>
      </c>
      <c r="BR25" s="26">
        <f t="array" ref="BR25">PRODUCT(1+預測IC!$C26:BR26)-1</f>
        <v>0.1962676978767699</v>
      </c>
      <c r="BS25" s="26">
        <f t="array" ref="BS25">PRODUCT(1+預測IC!$C26:BS26)-1</f>
        <v>0.21987619627534571</v>
      </c>
      <c r="BT25" s="26">
        <f t="array" ref="BT25">PRODUCT(1+預測IC!$C26:BT26)-1</f>
        <v>0.27805738326883356</v>
      </c>
      <c r="BU25" s="26">
        <f t="array" ref="BU25">PRODUCT(1+預測IC!$C26:BU26)-1</f>
        <v>0.29269729646247922</v>
      </c>
      <c r="BV25" s="26">
        <f t="array" ref="BV25">PRODUCT(1+預測IC!$C26:BV26)-1</f>
        <v>0.34857881761669129</v>
      </c>
      <c r="BW25" s="26">
        <f t="array" ref="BW25">PRODUCT(1+預測IC!$C26:BW26)-1</f>
        <v>0.2909305384219143</v>
      </c>
      <c r="BX25" s="26">
        <f t="array" ref="BX25">PRODUCT(1+預測IC!$C26:BX26)-1</f>
        <v>0.26793739709811137</v>
      </c>
      <c r="BY25" s="26">
        <f t="array" ref="BY25">PRODUCT(1+預測IC!$C26:BY26)-1</f>
        <v>7.628473289061688E-2</v>
      </c>
      <c r="BZ25" s="26">
        <f t="array" ref="BZ25">PRODUCT(1+預測IC!$C26:BZ26)-1</f>
        <v>0.20998513144491437</v>
      </c>
      <c r="CA25" s="26">
        <f t="array" ref="CA25">PRODUCT(1+預測IC!$C26:CA26)-1</f>
        <v>0.20447092205281336</v>
      </c>
      <c r="CB25" s="26">
        <f t="array" ref="CB25">PRODUCT(1+預測IC!$C26:CB26)-1</f>
        <v>0.27699361006036605</v>
      </c>
      <c r="CC25" s="26">
        <f t="array" ref="CC25">PRODUCT(1+預測IC!$C26:CC26)-1</f>
        <v>0.38680488733361829</v>
      </c>
      <c r="CD25" s="26">
        <f t="array" ref="CD25">PRODUCT(1+預測IC!$C26:CD26)-1</f>
        <v>0.37874965946081551</v>
      </c>
      <c r="CE25" s="26">
        <f t="array" ref="CE25">PRODUCT(1+預測IC!$C26:CE26)-1</f>
        <v>0.37042015435709108</v>
      </c>
      <c r="CF25" s="26">
        <f t="array" ref="CF25">PRODUCT(1+預測IC!$C26:CF26)-1</f>
        <v>0.37378086910184649</v>
      </c>
      <c r="CG25" s="26">
        <f t="array" ref="CG25">PRODUCT(1+預測IC!$C26:CG26)-1</f>
        <v>0.49692143719092186</v>
      </c>
      <c r="CH25" s="26">
        <f t="array" ref="CH25">PRODUCT(1+預測IC!$C26:CH26)-1</f>
        <v>0.603191980394987</v>
      </c>
      <c r="CI25" s="26">
        <f t="array" ref="CI25">PRODUCT(1+預測IC!$C26:CI26)-1</f>
        <v>0.64675173719730239</v>
      </c>
      <c r="CJ25" s="26">
        <f t="array" ref="CJ25">PRODUCT(1+預測IC!$C26:CJ26)-1</f>
        <v>0.73315421285472704</v>
      </c>
      <c r="CK25" s="26">
        <f t="array" ref="CK25">PRODUCT(1+預測IC!$C26:CK26)-1</f>
        <v>0.7842487445659152</v>
      </c>
      <c r="CL25" s="26">
        <f t="array" ref="CL25">PRODUCT(1+預測IC!$C26:CL26)-1</f>
        <v>0.90348131155309508</v>
      </c>
      <c r="CM25" s="26">
        <f t="array" ref="CM25">PRODUCT(1+預測IC!$C26:CM26)-1</f>
        <v>0.8487139113221478</v>
      </c>
      <c r="CN25" s="26">
        <f t="array" ref="CN25">PRODUCT(1+預測IC!$C26:CN26)-1</f>
        <v>0.92166881344527685</v>
      </c>
      <c r="CO25" s="26">
        <f t="array" ref="CO25">PRODUCT(1+預測IC!$C26:CO26)-1</f>
        <v>0.86588067898046694</v>
      </c>
      <c r="CP25" s="26">
        <f t="array" ref="CP25">PRODUCT(1+預測IC!$C26:CP26)-1</f>
        <v>0.89197293519067467</v>
      </c>
      <c r="CQ25" s="26">
        <f t="array" ref="CQ25">PRODUCT(1+預測IC!$C26:CQ26)-1</f>
        <v>0.83090579105751727</v>
      </c>
      <c r="CR25" s="26">
        <f t="array" ref="CR25">PRODUCT(1+預測IC!$C26:CR26)-1</f>
        <v>0.83658814745105547</v>
      </c>
      <c r="CS25" s="26">
        <f t="array" ref="CS25">PRODUCT(1+預測IC!$C26:CS26)-1</f>
        <v>0.88358984642415717</v>
      </c>
      <c r="CT25" s="26">
        <f t="array" ref="CT25">PRODUCT(1+預測IC!$C26:CT26)-1</f>
        <v>0.9672059526983301</v>
      </c>
      <c r="CU25" s="26">
        <f t="array" ref="CU25">PRODUCT(1+預測IC!$C26:CU26)-1</f>
        <v>0.90752297284093331</v>
      </c>
      <c r="CV25" s="26">
        <f t="array" ref="CV25">PRODUCT(1+預測IC!$C26:CV26)-1</f>
        <v>0.90512335385454468</v>
      </c>
      <c r="CW25" s="26">
        <f t="array" ref="CW25">PRODUCT(1+預測IC!$C26:CW26)-1</f>
        <v>0.90957440110152876</v>
      </c>
      <c r="CX25" s="26">
        <f t="array" ref="CX25">PRODUCT(1+預測IC!$C26:CX26)-1</f>
        <v>0.78685723504233995</v>
      </c>
      <c r="CY25" s="26">
        <f t="array" ref="CY25">PRODUCT(1+預測IC!$C26:CY26)-1</f>
        <v>0.80992516787144164</v>
      </c>
      <c r="CZ25" s="26">
        <f t="array" ref="CZ25">PRODUCT(1+預測IC!$C26:CZ26)-1</f>
        <v>0.58282101623526672</v>
      </c>
      <c r="DA25" s="26">
        <f t="array" ref="DA25">PRODUCT(1+預測IC!$C26:DA26)-1</f>
        <v>0.60132527488651344</v>
      </c>
      <c r="DB25" s="26">
        <f t="array" ref="DB25">PRODUCT(1+預測IC!$C26:DB26)-1</f>
        <v>0.61147422419279152</v>
      </c>
      <c r="DC25" s="26">
        <f t="array" ref="DC25">PRODUCT(1+預測IC!$C26:DC26)-1</f>
        <v>0.42243966588262949</v>
      </c>
      <c r="DD25" s="26">
        <f t="array" ref="DD25">PRODUCT(1+預測IC!$C26:DD26)-1</f>
        <v>0.37121637307647259</v>
      </c>
      <c r="DE25" s="26">
        <f t="array" ref="DE25">PRODUCT(1+預測IC!$C26:DE26)-1</f>
        <v>0.5616938276257708</v>
      </c>
      <c r="DF25" s="26">
        <f t="array" ref="DF25">PRODUCT(1+預測IC!$C26:DF26)-1</f>
        <v>0.48182332962932128</v>
      </c>
      <c r="DG25" s="26">
        <f t="array" ref="DG25">PRODUCT(1+預測IC!$C26:DG26)-1</f>
        <v>0.59552577817978314</v>
      </c>
      <c r="DH25" s="26">
        <f t="array" ref="DH25">PRODUCT(1+預測IC!$C26:DH26)-1</f>
        <v>0.62027043996328524</v>
      </c>
      <c r="DI25" s="26">
        <f t="array" ref="DI25">PRODUCT(1+預測IC!$C26:DI26)-1</f>
        <v>0.65789923395288952</v>
      </c>
      <c r="DJ25" s="26">
        <f t="array" ref="DJ25">PRODUCT(1+預測IC!$C26:DJ26)-1</f>
        <v>0.62743885630809859</v>
      </c>
      <c r="DK25" s="26">
        <f t="array" ref="DK25">PRODUCT(1+預測IC!$C26:DK26)-1</f>
        <v>0.72866394865424411</v>
      </c>
      <c r="DL25" s="26">
        <f t="array" ref="DL25">PRODUCT(1+預測IC!$C26:DL26)-1</f>
        <v>0.76340716304992284</v>
      </c>
      <c r="DM25" s="26">
        <f t="array" ref="DM25">PRODUCT(1+預測IC!$C26:DM26)-1</f>
        <v>0.78721129009524526</v>
      </c>
      <c r="DN25" s="26">
        <f t="array" ref="DN25">PRODUCT(1+預測IC!$C26:DN26)-1</f>
        <v>0.73314419395664854</v>
      </c>
      <c r="DO25" s="26">
        <f t="array" ref="DO25">PRODUCT(1+預測IC!$C26:DO26)-1</f>
        <v>0.7036411650845571</v>
      </c>
      <c r="DP25" s="26">
        <f t="array" ref="DP25">PRODUCT(1+預測IC!$C26:DP26)-1</f>
        <v>0.666521339911188</v>
      </c>
      <c r="DQ25" s="26">
        <f t="array" ref="DQ25">PRODUCT(1+預測IC!$C26:DQ26)-1</f>
        <v>0.80941825308633253</v>
      </c>
      <c r="DR25" s="26">
        <f t="array" ref="DR25">PRODUCT(1+預測IC!$C26:DR26)-1</f>
        <v>0.86027510799998974</v>
      </c>
      <c r="DS25" s="26">
        <f t="array" ref="DS25">PRODUCT(1+預測IC!$C26:DS26)-1</f>
        <v>0.85599059714061299</v>
      </c>
      <c r="DT25" s="26">
        <f t="array" ref="DT25">PRODUCT(1+預測IC!$C26:DT26)-1</f>
        <v>0.9645125910761998</v>
      </c>
      <c r="DU25" s="26">
        <f t="array" ref="DU25">PRODUCT(1+預測IC!$C26:DU26)-1</f>
        <v>1.0974294483812512</v>
      </c>
      <c r="DV25" s="26">
        <f t="array" ref="DV25">PRODUCT(1+預測IC!$C26:DV26)-1</f>
        <v>1.1079601605760616</v>
      </c>
      <c r="DW25" s="26">
        <f t="array" ref="DW25">PRODUCT(1+預測IC!$C26:DW26)-1</f>
        <v>1.1868319851241949</v>
      </c>
      <c r="DX25" s="26">
        <f t="array" ref="DX25">PRODUCT(1+預測IC!$C26:DX26)-1</f>
        <v>1.3707686184169408</v>
      </c>
      <c r="DY25" s="26">
        <f t="array" ref="DY25">PRODUCT(1+預測IC!$C26:DY26)-1</f>
        <v>1.2834475238077694</v>
      </c>
      <c r="DZ25" s="26">
        <f t="array" ref="DZ25">PRODUCT(1+預測IC!$C26:DZ26)-1</f>
        <v>1.2905072649494538</v>
      </c>
      <c r="EA25" s="26">
        <f t="array" ref="EA25">PRODUCT(1+預測IC!$C26:EA26)-1</f>
        <v>1.2860233033025419</v>
      </c>
      <c r="EB25" s="26">
        <f t="array" ref="EB25">PRODUCT(1+預測IC!$C26:EB26)-1</f>
        <v>1.3465094307246845</v>
      </c>
      <c r="EC25" s="26">
        <f t="array" ref="EC25">PRODUCT(1+預測IC!$C26:EC26)-1</f>
        <v>1.2884273650883467</v>
      </c>
      <c r="ED25" s="26">
        <f t="array" ref="ED25">PRODUCT(1+預測IC!$C26:ED26)-1</f>
        <v>1.3664981882262612</v>
      </c>
      <c r="EE25" s="26">
        <f t="array" ref="EE25">PRODUCT(1+預測IC!$C26:EE26)-1</f>
        <v>1.4163413115117764</v>
      </c>
      <c r="EF25" s="26">
        <f t="array" ref="EF25">PRODUCT(1+預測IC!$C26:EF26)-1</f>
        <v>1.367344209826507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預測IC</vt:lpstr>
      <vt:lpstr>夏普比率</vt:lpstr>
      <vt:lpstr>夏普比率畫圖</vt:lpstr>
      <vt:lpstr>OLS勝率(預測)</vt:lpstr>
      <vt:lpstr>預測累積報酬</vt:lpstr>
      <vt:lpstr>預測畫圖</vt:lpstr>
      <vt:lpstr>ＯＬＳ再投資累積報酬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陳祥瑋</cp:lastModifiedBy>
  <dcterms:created xsi:type="dcterms:W3CDTF">2015-06-05T18:17:20Z</dcterms:created>
  <dcterms:modified xsi:type="dcterms:W3CDTF">2025-06-02T11:40:59Z</dcterms:modified>
</cp:coreProperties>
</file>