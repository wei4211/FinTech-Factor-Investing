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A387F7CE-FE5E-1040-9E40-20E99E1FA3B2}" xr6:coauthVersionLast="47" xr6:coauthVersionMax="47" xr10:uidLastSave="{00000000-0000-0000-0000-000000000000}"/>
  <bookViews>
    <workbookView xWindow="0" yWindow="760" windowWidth="30240" windowHeight="17900" activeTab="6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5樣本外R2" sheetId="7" r:id="rId7"/>
    <sheet name="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5" l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E24" i="5"/>
  <c r="D24" i="5"/>
  <c r="G23" i="5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F23" i="5"/>
  <c r="E23" i="5"/>
  <c r="D23" i="5"/>
  <c r="D22" i="5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L21" i="5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E21" i="5"/>
  <c r="F21" i="5" s="1"/>
  <c r="G21" i="5" s="1"/>
  <c r="H21" i="5" s="1"/>
  <c r="I21" i="5" s="1"/>
  <c r="J21" i="5" s="1"/>
  <c r="K21" i="5" s="1"/>
  <c r="D21" i="5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19" i="5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D16" i="5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5" i="5"/>
  <c r="E14" i="5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D14" i="5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DW8" i="8"/>
  <c r="DV8" i="8"/>
  <c r="DL8" i="8"/>
  <c r="DK8" i="8"/>
  <c r="DA8" i="8"/>
  <c r="CZ8" i="8"/>
  <c r="CP8" i="8"/>
  <c r="CO8" i="8"/>
  <c r="CE8" i="8"/>
  <c r="BS8" i="8"/>
  <c r="E8" i="8"/>
  <c r="DB7" i="8"/>
  <c r="S7" i="8"/>
  <c r="H7" i="8"/>
  <c r="EF6" i="8" a="1"/>
  <c r="EF6" i="8" s="1"/>
  <c r="EE6" i="8"/>
  <c r="EE8" i="8" s="1"/>
  <c r="EE6" i="8" a="1"/>
  <c r="ED6" i="8" a="1"/>
  <c r="ED6" i="8" s="1"/>
  <c r="EC6" i="8"/>
  <c r="EC6" i="8" a="1"/>
  <c r="EB6" i="8" a="1"/>
  <c r="EB6" i="8" s="1"/>
  <c r="EA6" i="8" a="1"/>
  <c r="EA6" i="8" s="1"/>
  <c r="DZ6" i="8" a="1"/>
  <c r="DZ6" i="8" s="1"/>
  <c r="DY6" i="8" a="1"/>
  <c r="DY6" i="8" s="1"/>
  <c r="DX6" i="8" a="1"/>
  <c r="DX6" i="8" s="1"/>
  <c r="DW6" i="8"/>
  <c r="DW7" i="8" s="1"/>
  <c r="DW6" i="8" a="1"/>
  <c r="DV6" i="8"/>
  <c r="DV7" i="8" s="1"/>
  <c r="DV6" i="8" a="1"/>
  <c r="DU6" i="8" a="1"/>
  <c r="DU6" i="8" s="1"/>
  <c r="DT6" i="8"/>
  <c r="DT8" i="8" s="1"/>
  <c r="DT6" i="8" a="1"/>
  <c r="DS6" i="8" a="1"/>
  <c r="DS6" i="8" s="1"/>
  <c r="DR6" i="8"/>
  <c r="DR6" i="8" a="1"/>
  <c r="DQ6" i="8" a="1"/>
  <c r="DQ6" i="8" s="1"/>
  <c r="DP6" i="8" a="1"/>
  <c r="DP6" i="8" s="1"/>
  <c r="DO6" i="8" a="1"/>
  <c r="DO6" i="8" s="1"/>
  <c r="DN6" i="8" a="1"/>
  <c r="DN6" i="8" s="1"/>
  <c r="DM6" i="8" a="1"/>
  <c r="DM6" i="8" s="1"/>
  <c r="DL6" i="8"/>
  <c r="DL7" i="8" s="1"/>
  <c r="DL6" i="8" a="1"/>
  <c r="DK6" i="8"/>
  <c r="DK7" i="8" s="1"/>
  <c r="DK6" i="8" a="1"/>
  <c r="DJ6" i="8" a="1"/>
  <c r="DJ6" i="8" s="1"/>
  <c r="DI6" i="8"/>
  <c r="DI8" i="8" s="1"/>
  <c r="DI6" i="8" a="1"/>
  <c r="DH6" i="8" a="1"/>
  <c r="DH6" i="8" s="1"/>
  <c r="DG6" i="8"/>
  <c r="DG6" i="8" a="1"/>
  <c r="DF6" i="8" a="1"/>
  <c r="DF6" i="8" s="1"/>
  <c r="DE6" i="8" a="1"/>
  <c r="DE6" i="8" s="1"/>
  <c r="DD6" i="8" a="1"/>
  <c r="DD6" i="8" s="1"/>
  <c r="DC6" i="8" a="1"/>
  <c r="DC6" i="8" s="1"/>
  <c r="DB6" i="8"/>
  <c r="DB8" i="8" s="1"/>
  <c r="DB6" i="8" a="1"/>
  <c r="DA6" i="8" a="1"/>
  <c r="DA6" i="8" s="1"/>
  <c r="DA7" i="8" s="1"/>
  <c r="CZ6" i="8" a="1"/>
  <c r="CZ6" i="8" s="1"/>
  <c r="CZ7" i="8" s="1"/>
  <c r="CY6" i="8" a="1"/>
  <c r="CY6" i="8" s="1"/>
  <c r="CX6" i="8"/>
  <c r="CX8" i="8" s="1"/>
  <c r="CX6" i="8" a="1"/>
  <c r="CW6" i="8" a="1"/>
  <c r="CW6" i="8" s="1"/>
  <c r="CV6" i="8"/>
  <c r="CV6" i="8" a="1"/>
  <c r="CU6" i="8" a="1"/>
  <c r="CU6" i="8" s="1"/>
  <c r="CT6" i="8" a="1"/>
  <c r="CT6" i="8" s="1"/>
  <c r="CS6" i="8" a="1"/>
  <c r="CS6" i="8" s="1"/>
  <c r="CR6" i="8" a="1"/>
  <c r="CR6" i="8" s="1"/>
  <c r="CQ6" i="8"/>
  <c r="CQ8" i="8" s="1"/>
  <c r="CQ6" i="8" a="1"/>
  <c r="CP6" i="8" a="1"/>
  <c r="CP6" i="8" s="1"/>
  <c r="CP7" i="8" s="1"/>
  <c r="CO6" i="8" a="1"/>
  <c r="CO6" i="8" s="1"/>
  <c r="CO7" i="8" s="1"/>
  <c r="CN6" i="8" a="1"/>
  <c r="CN6" i="8" s="1"/>
  <c r="CM6" i="8"/>
  <c r="CM8" i="8" s="1"/>
  <c r="CM6" i="8" a="1"/>
  <c r="CL6" i="8" a="1"/>
  <c r="CL6" i="8" s="1"/>
  <c r="CK6" i="8"/>
  <c r="CK6" i="8" a="1"/>
  <c r="CJ6" i="8" a="1"/>
  <c r="CJ6" i="8" s="1"/>
  <c r="CI6" i="8" a="1"/>
  <c r="CI6" i="8" s="1"/>
  <c r="CH6" i="8" a="1"/>
  <c r="CH6" i="8" s="1"/>
  <c r="CG6" i="8" a="1"/>
  <c r="CG6" i="8" s="1"/>
  <c r="CF6" i="8" a="1"/>
  <c r="CF6" i="8" s="1"/>
  <c r="CE6" i="8" a="1"/>
  <c r="CE6" i="8" s="1"/>
  <c r="CE7" i="8" s="1"/>
  <c r="CD6" i="8" a="1"/>
  <c r="CD6" i="8" s="1"/>
  <c r="CD7" i="8" s="1"/>
  <c r="CC6" i="8" a="1"/>
  <c r="CC6" i="8" s="1"/>
  <c r="CB6" i="8"/>
  <c r="CB8" i="8" s="1"/>
  <c r="CB6" i="8" a="1"/>
  <c r="CA6" i="8" a="1"/>
  <c r="CA6" i="8" s="1"/>
  <c r="BZ6" i="8"/>
  <c r="BZ6" i="8" a="1"/>
  <c r="BY6" i="8" a="1"/>
  <c r="BY6" i="8" s="1"/>
  <c r="BX6" i="8" a="1"/>
  <c r="BX6" i="8" s="1"/>
  <c r="BW6" i="8" a="1"/>
  <c r="BW6" i="8" s="1"/>
  <c r="BV6" i="8" a="1"/>
  <c r="BV6" i="8" s="1"/>
  <c r="BU6" i="8"/>
  <c r="BU8" i="8" s="1"/>
  <c r="BU6" i="8" a="1"/>
  <c r="BT6" i="8" a="1"/>
  <c r="BT6" i="8" s="1"/>
  <c r="BS6" i="8" a="1"/>
  <c r="BS6" i="8" s="1"/>
  <c r="BS7" i="8" s="1"/>
  <c r="BR6" i="8" a="1"/>
  <c r="BR6" i="8" s="1"/>
  <c r="BQ6" i="8"/>
  <c r="BQ8" i="8" s="1"/>
  <c r="BQ6" i="8" a="1"/>
  <c r="BP6" i="8" a="1"/>
  <c r="BP6" i="8" s="1"/>
  <c r="BO6" i="8"/>
  <c r="BO6" i="8" a="1"/>
  <c r="BN6" i="8" a="1"/>
  <c r="BN6" i="8" s="1"/>
  <c r="BM6" i="8" a="1"/>
  <c r="BM6" i="8" s="1"/>
  <c r="BL6" i="8" a="1"/>
  <c r="BL6" i="8" s="1"/>
  <c r="BK6" i="8" a="1"/>
  <c r="BK6" i="8" s="1"/>
  <c r="BJ6" i="8" a="1"/>
  <c r="BJ6" i="8" s="1"/>
  <c r="BI6" i="8" a="1"/>
  <c r="BI6" i="8" s="1"/>
  <c r="BH6" i="8" a="1"/>
  <c r="BH6" i="8" s="1"/>
  <c r="BH7" i="8" s="1"/>
  <c r="BG6" i="8" a="1"/>
  <c r="BG6" i="8" s="1"/>
  <c r="BF6" i="8"/>
  <c r="BF8" i="8" s="1"/>
  <c r="BF6" i="8" a="1"/>
  <c r="BE6" i="8" a="1"/>
  <c r="BE6" i="8" s="1"/>
  <c r="BD6" i="8"/>
  <c r="BD6" i="8" a="1"/>
  <c r="BC6" i="8" a="1"/>
  <c r="BC6" i="8" s="1"/>
  <c r="BB6" i="8" a="1"/>
  <c r="BB6" i="8" s="1"/>
  <c r="BA6" i="8" a="1"/>
  <c r="BA6" i="8" s="1"/>
  <c r="AZ6" i="8" a="1"/>
  <c r="AZ6" i="8" s="1"/>
  <c r="AZ8" i="8" s="1"/>
  <c r="AY6" i="8" a="1"/>
  <c r="AY6" i="8" s="1"/>
  <c r="AX6" i="8" a="1"/>
  <c r="AX6" i="8" s="1"/>
  <c r="AW6" i="8" a="1"/>
  <c r="AW6" i="8" s="1"/>
  <c r="AW7" i="8" s="1"/>
  <c r="AV6" i="8" a="1"/>
  <c r="AV6" i="8" s="1"/>
  <c r="AU6" i="8"/>
  <c r="AU8" i="8" s="1"/>
  <c r="AU6" i="8" a="1"/>
  <c r="AT6" i="8" a="1"/>
  <c r="AT6" i="8" s="1"/>
  <c r="AS6" i="8"/>
  <c r="AS6" i="8" a="1"/>
  <c r="AR6" i="8" a="1"/>
  <c r="AR6" i="8" s="1"/>
  <c r="AQ6" i="8" a="1"/>
  <c r="AQ6" i="8" s="1"/>
  <c r="AP6" i="8" a="1"/>
  <c r="AP6" i="8" s="1"/>
  <c r="AO6" i="8" a="1"/>
  <c r="AO6" i="8" s="1"/>
  <c r="AO8" i="8" s="1"/>
  <c r="AN6" i="8" a="1"/>
  <c r="AN6" i="8" s="1"/>
  <c r="AM6" i="8" a="1"/>
  <c r="AM6" i="8" s="1"/>
  <c r="AL6" i="8" a="1"/>
  <c r="AL6" i="8" s="1"/>
  <c r="AL7" i="8" s="1"/>
  <c r="AK6" i="8" a="1"/>
  <c r="AK6" i="8" s="1"/>
  <c r="AJ6" i="8"/>
  <c r="AJ8" i="8" s="1"/>
  <c r="AJ6" i="8" a="1"/>
  <c r="AI6" i="8" a="1"/>
  <c r="AI6" i="8" s="1"/>
  <c r="AH6" i="8"/>
  <c r="AH6" i="8" a="1"/>
  <c r="AG6" i="8" a="1"/>
  <c r="AG6" i="8" s="1"/>
  <c r="AF6" i="8" a="1"/>
  <c r="AF6" i="8" s="1"/>
  <c r="AE6" i="8" a="1"/>
  <c r="AE6" i="8" s="1"/>
  <c r="AD6" i="8" a="1"/>
  <c r="AD6" i="8" s="1"/>
  <c r="AD8" i="8" s="1"/>
  <c r="AC6" i="8" a="1"/>
  <c r="AC6" i="8" s="1"/>
  <c r="AB6" i="8" a="1"/>
  <c r="AB6" i="8" s="1"/>
  <c r="AA6" i="8" a="1"/>
  <c r="AA6" i="8" s="1"/>
  <c r="AA7" i="8" s="1"/>
  <c r="Z6" i="8" a="1"/>
  <c r="Z6" i="8" s="1"/>
  <c r="Y6" i="8"/>
  <c r="Y8" i="8" s="1"/>
  <c r="Y6" i="8" a="1"/>
  <c r="X6" i="8" a="1"/>
  <c r="X6" i="8" s="1"/>
  <c r="W6" i="8"/>
  <c r="W6" i="8" a="1"/>
  <c r="V6" i="8" a="1"/>
  <c r="V6" i="8" s="1"/>
  <c r="U6" i="8" a="1"/>
  <c r="U6" i="8" s="1"/>
  <c r="T6" i="8" a="1"/>
  <c r="T6" i="8" s="1"/>
  <c r="S6" i="8" a="1"/>
  <c r="S6" i="8" s="1"/>
  <c r="S8" i="8" s="1"/>
  <c r="R6" i="8" a="1"/>
  <c r="R6" i="8" s="1"/>
  <c r="Q6" i="8" a="1"/>
  <c r="Q6" i="8" s="1"/>
  <c r="P6" i="8" a="1"/>
  <c r="P6" i="8" s="1"/>
  <c r="P7" i="8" s="1"/>
  <c r="O6" i="8" a="1"/>
  <c r="O6" i="8" s="1"/>
  <c r="N6" i="8"/>
  <c r="N8" i="8" s="1"/>
  <c r="N6" i="8" a="1"/>
  <c r="M6" i="8" a="1"/>
  <c r="M6" i="8" s="1"/>
  <c r="L6" i="8"/>
  <c r="L6" i="8" a="1"/>
  <c r="K6" i="8" a="1"/>
  <c r="K6" i="8" s="1"/>
  <c r="J6" i="8" a="1"/>
  <c r="J6" i="8" s="1"/>
  <c r="I6" i="8" a="1"/>
  <c r="I6" i="8" s="1"/>
  <c r="H6" i="8" a="1"/>
  <c r="H6" i="8" s="1"/>
  <c r="H8" i="8" s="1"/>
  <c r="G6" i="8" a="1"/>
  <c r="G6" i="8" s="1"/>
  <c r="F6" i="8" a="1"/>
  <c r="F6" i="8" s="1"/>
  <c r="E6" i="8"/>
  <c r="E7" i="8" s="1"/>
  <c r="E6" i="8" a="1"/>
  <c r="D6" i="8" a="1"/>
  <c r="D6" i="8" s="1"/>
  <c r="C6" i="8"/>
  <c r="C8" i="8" s="1"/>
  <c r="C6" i="8" a="1"/>
  <c r="DW8" i="5"/>
  <c r="DV8" i="5"/>
  <c r="DL8" i="5"/>
  <c r="DK8" i="5"/>
  <c r="DA8" i="5"/>
  <c r="CZ8" i="5"/>
  <c r="CP8" i="5"/>
  <c r="CE8" i="5"/>
  <c r="BT8" i="5"/>
  <c r="BI8" i="5"/>
  <c r="AX8" i="5"/>
  <c r="AM8" i="5"/>
  <c r="AB8" i="5"/>
  <c r="Q8" i="5"/>
  <c r="F8" i="5"/>
  <c r="EF6" i="5" a="1"/>
  <c r="EF6" i="5" s="1"/>
  <c r="EE6" i="5"/>
  <c r="EE8" i="5" s="1"/>
  <c r="EE6" i="5" a="1"/>
  <c r="ED6" i="5" a="1"/>
  <c r="ED6" i="5" s="1"/>
  <c r="EC6" i="5"/>
  <c r="EC8" i="5" s="1"/>
  <c r="EC6" i="5" a="1"/>
  <c r="EB6" i="5" a="1"/>
  <c r="EB6" i="5" s="1"/>
  <c r="EA6" i="5" a="1"/>
  <c r="EA6" i="5" s="1"/>
  <c r="DZ6" i="5" a="1"/>
  <c r="DZ6" i="5" s="1"/>
  <c r="DY6" i="5" a="1"/>
  <c r="DY6" i="5" s="1"/>
  <c r="DX6" i="5" a="1"/>
  <c r="DX6" i="5" s="1"/>
  <c r="DW6" i="5"/>
  <c r="DW7" i="5" s="1"/>
  <c r="DW6" i="5" a="1"/>
  <c r="DV6" i="5"/>
  <c r="DV7" i="5" s="1"/>
  <c r="DV6" i="5" a="1"/>
  <c r="DU6" i="5" a="1"/>
  <c r="DU6" i="5" s="1"/>
  <c r="DT6" i="5"/>
  <c r="DT8" i="5" s="1"/>
  <c r="DT6" i="5" a="1"/>
  <c r="DS6" i="5" a="1"/>
  <c r="DS6" i="5" s="1"/>
  <c r="DR6" i="5"/>
  <c r="DR8" i="5" s="1"/>
  <c r="DR6" i="5" a="1"/>
  <c r="DQ6" i="5" a="1"/>
  <c r="DQ6" i="5" s="1"/>
  <c r="DP6" i="5" a="1"/>
  <c r="DP6" i="5" s="1"/>
  <c r="DO6" i="5" a="1"/>
  <c r="DO6" i="5" s="1"/>
  <c r="DN6" i="5" a="1"/>
  <c r="DN6" i="5" s="1"/>
  <c r="DM6" i="5" a="1"/>
  <c r="DM6" i="5" s="1"/>
  <c r="DL6" i="5"/>
  <c r="DL7" i="5" s="1"/>
  <c r="DL6" i="5" a="1"/>
  <c r="DK6" i="5"/>
  <c r="DK7" i="5" s="1"/>
  <c r="DK6" i="5" a="1"/>
  <c r="DJ6" i="5" a="1"/>
  <c r="DJ6" i="5" s="1"/>
  <c r="DI6" i="5"/>
  <c r="DI8" i="5" s="1"/>
  <c r="DI6" i="5" a="1"/>
  <c r="DH6" i="5" a="1"/>
  <c r="DH6" i="5" s="1"/>
  <c r="DG6" i="5"/>
  <c r="DG8" i="5" s="1"/>
  <c r="DG6" i="5" a="1"/>
  <c r="DF6" i="5" a="1"/>
  <c r="DF6" i="5" s="1"/>
  <c r="DE6" i="5" a="1"/>
  <c r="DE6" i="5" s="1"/>
  <c r="DD6" i="5" a="1"/>
  <c r="DD6" i="5" s="1"/>
  <c r="DC6" i="5" a="1"/>
  <c r="DC6" i="5" s="1"/>
  <c r="DB6" i="5" a="1"/>
  <c r="DB6" i="5" s="1"/>
  <c r="DA6" i="5"/>
  <c r="DA7" i="5" s="1"/>
  <c r="DA6" i="5" a="1"/>
  <c r="CZ6" i="5"/>
  <c r="CZ7" i="5" s="1"/>
  <c r="CZ6" i="5" a="1"/>
  <c r="CY6" i="5" a="1"/>
  <c r="CY6" i="5" s="1"/>
  <c r="CX6" i="5"/>
  <c r="CX8" i="5" s="1"/>
  <c r="CX6" i="5" a="1"/>
  <c r="CW6" i="5" a="1"/>
  <c r="CW6" i="5" s="1"/>
  <c r="CV6" i="5"/>
  <c r="CV8" i="5" s="1"/>
  <c r="CV6" i="5" a="1"/>
  <c r="CU6" i="5" a="1"/>
  <c r="CU6" i="5" s="1"/>
  <c r="CT6" i="5" a="1"/>
  <c r="CT6" i="5" s="1"/>
  <c r="CS6" i="5" a="1"/>
  <c r="CS6" i="5" s="1"/>
  <c r="CR6" i="5" a="1"/>
  <c r="CR6" i="5" s="1"/>
  <c r="CQ6" i="5" a="1"/>
  <c r="CQ6" i="5" s="1"/>
  <c r="CP6" i="5"/>
  <c r="CP7" i="5" s="1"/>
  <c r="CP6" i="5" a="1"/>
  <c r="CO6" i="5" a="1"/>
  <c r="CO6" i="5" s="1"/>
  <c r="CN6" i="5" a="1"/>
  <c r="CN6" i="5" s="1"/>
  <c r="CM6" i="5"/>
  <c r="CM8" i="5" s="1"/>
  <c r="CM6" i="5" a="1"/>
  <c r="CL6" i="5" a="1"/>
  <c r="CL6" i="5" s="1"/>
  <c r="CK6" i="5"/>
  <c r="CK8" i="5" s="1"/>
  <c r="CK6" i="5" a="1"/>
  <c r="CJ6" i="5" a="1"/>
  <c r="CJ6" i="5" s="1"/>
  <c r="CI6" i="5" a="1"/>
  <c r="CI6" i="5" s="1"/>
  <c r="CH6" i="5" a="1"/>
  <c r="CH6" i="5" s="1"/>
  <c r="CG6" i="5" a="1"/>
  <c r="CG6" i="5" s="1"/>
  <c r="CF6" i="5" a="1"/>
  <c r="CF6" i="5" s="1"/>
  <c r="CE6" i="5"/>
  <c r="CE7" i="5" s="1"/>
  <c r="CE6" i="5" a="1"/>
  <c r="CD6" i="5" a="1"/>
  <c r="CD6" i="5" s="1"/>
  <c r="CC6" i="5" a="1"/>
  <c r="CC6" i="5" s="1"/>
  <c r="CB6" i="5"/>
  <c r="CB8" i="5" s="1"/>
  <c r="CB6" i="5" a="1"/>
  <c r="CA6" i="5" a="1"/>
  <c r="CA6" i="5" s="1"/>
  <c r="BZ6" i="5"/>
  <c r="BZ8" i="5" s="1"/>
  <c r="BZ6" i="5" a="1"/>
  <c r="BY6" i="5" a="1"/>
  <c r="BY6" i="5" s="1"/>
  <c r="BX6" i="5" a="1"/>
  <c r="BX6" i="5" s="1"/>
  <c r="BW6" i="5" a="1"/>
  <c r="BW6" i="5" s="1"/>
  <c r="BV6" i="5" a="1"/>
  <c r="BV6" i="5" s="1"/>
  <c r="BU6" i="5" a="1"/>
  <c r="BU6" i="5" s="1"/>
  <c r="BT6" i="5"/>
  <c r="BT7" i="5" s="1"/>
  <c r="BT6" i="5" a="1"/>
  <c r="BS6" i="5" a="1"/>
  <c r="BS6" i="5" s="1"/>
  <c r="BR6" i="5" a="1"/>
  <c r="BR6" i="5" s="1"/>
  <c r="BQ6" i="5"/>
  <c r="BQ8" i="5" s="1"/>
  <c r="BQ6" i="5" a="1"/>
  <c r="BP6" i="5" a="1"/>
  <c r="BP6" i="5" s="1"/>
  <c r="BO6" i="5"/>
  <c r="BO8" i="5" s="1"/>
  <c r="BO6" i="5" a="1"/>
  <c r="BN6" i="5" a="1"/>
  <c r="BN6" i="5" s="1"/>
  <c r="BM6" i="5" a="1"/>
  <c r="BM6" i="5" s="1"/>
  <c r="BL6" i="5" a="1"/>
  <c r="BL6" i="5" s="1"/>
  <c r="BK6" i="5" a="1"/>
  <c r="BK6" i="5" s="1"/>
  <c r="BJ6" i="5" a="1"/>
  <c r="BJ6" i="5" s="1"/>
  <c r="BI6" i="5"/>
  <c r="BI7" i="5" s="1"/>
  <c r="BI6" i="5" a="1"/>
  <c r="BH6" i="5" a="1"/>
  <c r="BH6" i="5" s="1"/>
  <c r="BG6" i="5" a="1"/>
  <c r="BG6" i="5" s="1"/>
  <c r="BF6" i="5"/>
  <c r="BF8" i="5" s="1"/>
  <c r="BF6" i="5" a="1"/>
  <c r="BE6" i="5" a="1"/>
  <c r="BE6" i="5" s="1"/>
  <c r="BD6" i="5"/>
  <c r="BD8" i="5" s="1"/>
  <c r="BD6" i="5" a="1"/>
  <c r="BC6" i="5" a="1"/>
  <c r="BC6" i="5" s="1"/>
  <c r="BB6" i="5" a="1"/>
  <c r="BB6" i="5" s="1"/>
  <c r="BA6" i="5" a="1"/>
  <c r="BA6" i="5" s="1"/>
  <c r="AZ6" i="5" a="1"/>
  <c r="AZ6" i="5" s="1"/>
  <c r="AY6" i="5" a="1"/>
  <c r="AY6" i="5" s="1"/>
  <c r="AX6" i="5"/>
  <c r="AX7" i="5" s="1"/>
  <c r="AX6" i="5" a="1"/>
  <c r="AW6" i="5" a="1"/>
  <c r="AW6" i="5" s="1"/>
  <c r="AV6" i="5" a="1"/>
  <c r="AV6" i="5" s="1"/>
  <c r="AU6" i="5"/>
  <c r="AU8" i="5" s="1"/>
  <c r="AU6" i="5" a="1"/>
  <c r="AT6" i="5" a="1"/>
  <c r="AT6" i="5" s="1"/>
  <c r="AS6" i="5"/>
  <c r="AS8" i="5" s="1"/>
  <c r="AS6" i="5" a="1"/>
  <c r="AR6" i="5" a="1"/>
  <c r="AR6" i="5" s="1"/>
  <c r="AQ6" i="5" a="1"/>
  <c r="AQ6" i="5" s="1"/>
  <c r="AP6" i="5" a="1"/>
  <c r="AP6" i="5" s="1"/>
  <c r="AO6" i="5" a="1"/>
  <c r="AO6" i="5" s="1"/>
  <c r="AN6" i="5" a="1"/>
  <c r="AN6" i="5" s="1"/>
  <c r="AM6" i="5"/>
  <c r="AM7" i="5" s="1"/>
  <c r="AM6" i="5" a="1"/>
  <c r="AL6" i="5" a="1"/>
  <c r="AL6" i="5" s="1"/>
  <c r="AK6" i="5" a="1"/>
  <c r="AK6" i="5" s="1"/>
  <c r="AJ6" i="5"/>
  <c r="AJ8" i="5" s="1"/>
  <c r="AJ6" i="5" a="1"/>
  <c r="AI6" i="5" a="1"/>
  <c r="AI6" i="5" s="1"/>
  <c r="AH6" i="5"/>
  <c r="AH8" i="5" s="1"/>
  <c r="AH6" i="5" a="1"/>
  <c r="AG6" i="5" a="1"/>
  <c r="AG6" i="5" s="1"/>
  <c r="AF6" i="5" a="1"/>
  <c r="AF6" i="5" s="1"/>
  <c r="AE6" i="5" a="1"/>
  <c r="AE6" i="5" s="1"/>
  <c r="AD6" i="5" a="1"/>
  <c r="AD6" i="5" s="1"/>
  <c r="AC6" i="5" a="1"/>
  <c r="AC6" i="5" s="1"/>
  <c r="AB6" i="5"/>
  <c r="AB7" i="5" s="1"/>
  <c r="AB6" i="5" a="1"/>
  <c r="AA6" i="5" a="1"/>
  <c r="AA6" i="5" s="1"/>
  <c r="Z6" i="5" a="1"/>
  <c r="Z6" i="5" s="1"/>
  <c r="Y6" i="5"/>
  <c r="Y8" i="5" s="1"/>
  <c r="Y6" i="5" a="1"/>
  <c r="X6" i="5" a="1"/>
  <c r="X6" i="5" s="1"/>
  <c r="W6" i="5"/>
  <c r="W8" i="5" s="1"/>
  <c r="W6" i="5" a="1"/>
  <c r="V6" i="5" a="1"/>
  <c r="V6" i="5" s="1"/>
  <c r="U6" i="5" a="1"/>
  <c r="U6" i="5" s="1"/>
  <c r="T6" i="5" a="1"/>
  <c r="T6" i="5" s="1"/>
  <c r="S6" i="5" a="1"/>
  <c r="S6" i="5" s="1"/>
  <c r="R6" i="5" a="1"/>
  <c r="R6" i="5" s="1"/>
  <c r="Q6" i="5"/>
  <c r="Q7" i="5" s="1"/>
  <c r="Q6" i="5" a="1"/>
  <c r="P6" i="5" a="1"/>
  <c r="P6" i="5" s="1"/>
  <c r="O6" i="5" a="1"/>
  <c r="O6" i="5" s="1"/>
  <c r="N6" i="5"/>
  <c r="N8" i="5" s="1"/>
  <c r="N6" i="5" a="1"/>
  <c r="M6" i="5" a="1"/>
  <c r="M6" i="5" s="1"/>
  <c r="L6" i="5"/>
  <c r="L8" i="5" s="1"/>
  <c r="L6" i="5" a="1"/>
  <c r="K6" i="5" a="1"/>
  <c r="K6" i="5" s="1"/>
  <c r="J6" i="5" a="1"/>
  <c r="J6" i="5" s="1"/>
  <c r="I6" i="5" a="1"/>
  <c r="I6" i="5" s="1"/>
  <c r="H6" i="5" a="1"/>
  <c r="H6" i="5" s="1"/>
  <c r="G6" i="5" a="1"/>
  <c r="G6" i="5" s="1"/>
  <c r="F6" i="5"/>
  <c r="F7" i="5" s="1"/>
  <c r="F6" i="5" a="1"/>
  <c r="E6" i="5" a="1"/>
  <c r="E6" i="5" s="1"/>
  <c r="D6" i="5" a="1"/>
  <c r="D6" i="5" s="1"/>
  <c r="C6" i="5"/>
  <c r="C8" i="5" s="1"/>
  <c r="C6" i="5" a="1"/>
  <c r="DW8" i="4"/>
  <c r="DL8" i="4"/>
  <c r="DA8" i="4"/>
  <c r="CP8" i="4"/>
  <c r="CE8" i="4"/>
  <c r="EF6" i="4" a="1"/>
  <c r="EF6" i="4" s="1"/>
  <c r="EE6" i="4"/>
  <c r="EE8" i="4" s="1"/>
  <c r="EE6" i="4" a="1"/>
  <c r="ED6" i="4" a="1"/>
  <c r="ED6" i="4" s="1"/>
  <c r="EC6" i="4"/>
  <c r="EC8" i="4" s="1"/>
  <c r="EC6" i="4" a="1"/>
  <c r="EB6" i="4" a="1"/>
  <c r="EB6" i="4" s="1"/>
  <c r="EA6" i="4" a="1"/>
  <c r="EA6" i="4" s="1"/>
  <c r="DZ6" i="4" a="1"/>
  <c r="DZ6" i="4" s="1"/>
  <c r="DY6" i="4" a="1"/>
  <c r="DY6" i="4" s="1"/>
  <c r="DX6" i="4" a="1"/>
  <c r="DX6" i="4" s="1"/>
  <c r="DW6" i="4"/>
  <c r="DW7" i="4" s="1"/>
  <c r="DW6" i="4" a="1"/>
  <c r="DV6" i="4" a="1"/>
  <c r="DV6" i="4" s="1"/>
  <c r="DU6" i="4"/>
  <c r="DU8" i="4" s="1"/>
  <c r="DU6" i="4" a="1"/>
  <c r="DT6" i="4"/>
  <c r="DT8" i="4" s="1"/>
  <c r="DT6" i="4" a="1"/>
  <c r="DS6" i="4" a="1"/>
  <c r="DS6" i="4" s="1"/>
  <c r="DR6" i="4"/>
  <c r="DR8" i="4" s="1"/>
  <c r="DR6" i="4" a="1"/>
  <c r="DQ6" i="4" a="1"/>
  <c r="DQ6" i="4" s="1"/>
  <c r="DP6" i="4" a="1"/>
  <c r="DP6" i="4" s="1"/>
  <c r="DO6" i="4" a="1"/>
  <c r="DO6" i="4" s="1"/>
  <c r="DN6" i="4" a="1"/>
  <c r="DN6" i="4" s="1"/>
  <c r="DM6" i="4" a="1"/>
  <c r="DM6" i="4" s="1"/>
  <c r="DL6" i="4"/>
  <c r="DL7" i="4" s="1"/>
  <c r="DL6" i="4" a="1"/>
  <c r="DK6" i="4" a="1"/>
  <c r="DK6" i="4" s="1"/>
  <c r="DJ6" i="4"/>
  <c r="DJ8" i="4" s="1"/>
  <c r="DJ6" i="4" a="1"/>
  <c r="DI6" i="4"/>
  <c r="DI8" i="4" s="1"/>
  <c r="DI6" i="4" a="1"/>
  <c r="DH6" i="4" a="1"/>
  <c r="DH6" i="4" s="1"/>
  <c r="DG6" i="4"/>
  <c r="DG8" i="4" s="1"/>
  <c r="DG6" i="4" a="1"/>
  <c r="DF6" i="4" a="1"/>
  <c r="DF6" i="4" s="1"/>
  <c r="DE6" i="4" a="1"/>
  <c r="DE6" i="4" s="1"/>
  <c r="DD6" i="4" a="1"/>
  <c r="DD6" i="4" s="1"/>
  <c r="DC6" i="4" a="1"/>
  <c r="DC6" i="4" s="1"/>
  <c r="DB6" i="4" a="1"/>
  <c r="DB6" i="4" s="1"/>
  <c r="DA6" i="4"/>
  <c r="DA7" i="4" s="1"/>
  <c r="DA6" i="4" a="1"/>
  <c r="CZ6" i="4" a="1"/>
  <c r="CZ6" i="4" s="1"/>
  <c r="CY6" i="4"/>
  <c r="CY8" i="4" s="1"/>
  <c r="CY6" i="4" a="1"/>
  <c r="CX6" i="4"/>
  <c r="CX8" i="4" s="1"/>
  <c r="CX6" i="4" a="1"/>
  <c r="CW6" i="4" a="1"/>
  <c r="CW6" i="4" s="1"/>
  <c r="CV6" i="4"/>
  <c r="CV8" i="4" s="1"/>
  <c r="CV6" i="4" a="1"/>
  <c r="CU6" i="4" a="1"/>
  <c r="CU6" i="4" s="1"/>
  <c r="CT6" i="4" a="1"/>
  <c r="CT6" i="4" s="1"/>
  <c r="CS6" i="4" a="1"/>
  <c r="CS6" i="4" s="1"/>
  <c r="CR6" i="4" a="1"/>
  <c r="CR6" i="4" s="1"/>
  <c r="CQ6" i="4" a="1"/>
  <c r="CQ6" i="4" s="1"/>
  <c r="CP6" i="4"/>
  <c r="CP7" i="4" s="1"/>
  <c r="CP6" i="4" a="1"/>
  <c r="CO6" i="4" a="1"/>
  <c r="CO6" i="4" s="1"/>
  <c r="CN6" i="4"/>
  <c r="CN8" i="4" s="1"/>
  <c r="CN6" i="4" a="1"/>
  <c r="CM6" i="4"/>
  <c r="CM8" i="4" s="1"/>
  <c r="CM6" i="4" a="1"/>
  <c r="CL6" i="4" a="1"/>
  <c r="CL6" i="4" s="1"/>
  <c r="CK6" i="4"/>
  <c r="CK8" i="4" s="1"/>
  <c r="CK6" i="4" a="1"/>
  <c r="CJ6" i="4" a="1"/>
  <c r="CJ6" i="4" s="1"/>
  <c r="CI6" i="4" a="1"/>
  <c r="CI6" i="4" s="1"/>
  <c r="CH6" i="4" a="1"/>
  <c r="CH6" i="4" s="1"/>
  <c r="CG6" i="4" a="1"/>
  <c r="CG6" i="4" s="1"/>
  <c r="CF6" i="4" a="1"/>
  <c r="CF6" i="4" s="1"/>
  <c r="CE6" i="4"/>
  <c r="CE7" i="4" s="1"/>
  <c r="CE6" i="4" a="1"/>
  <c r="CD6" i="4" a="1"/>
  <c r="CD6" i="4" s="1"/>
  <c r="CC6" i="4"/>
  <c r="CC8" i="4" s="1"/>
  <c r="CC6" i="4" a="1"/>
  <c r="CB6" i="4"/>
  <c r="CB8" i="4" s="1"/>
  <c r="CB6" i="4" a="1"/>
  <c r="CA6" i="4" a="1"/>
  <c r="CA6" i="4" s="1"/>
  <c r="BZ6" i="4"/>
  <c r="BZ8" i="4" s="1"/>
  <c r="BZ6" i="4" a="1"/>
  <c r="BY6" i="4" a="1"/>
  <c r="BY6" i="4" s="1"/>
  <c r="BX6" i="4" a="1"/>
  <c r="BX6" i="4" s="1"/>
  <c r="BW6" i="4" a="1"/>
  <c r="BW6" i="4" s="1"/>
  <c r="BV6" i="4" a="1"/>
  <c r="BV6" i="4" s="1"/>
  <c r="BU6" i="4" a="1"/>
  <c r="BU6" i="4" s="1"/>
  <c r="BT6" i="4" a="1"/>
  <c r="BT6" i="4" s="1"/>
  <c r="BS6" i="4" a="1"/>
  <c r="BS6" i="4" s="1"/>
  <c r="BR6" i="4"/>
  <c r="BR8" i="4" s="1"/>
  <c r="BR6" i="4" a="1"/>
  <c r="BQ6" i="4"/>
  <c r="BQ8" i="4" s="1"/>
  <c r="BQ6" i="4" a="1"/>
  <c r="BP6" i="4" a="1"/>
  <c r="BP6" i="4" s="1"/>
  <c r="BO6" i="4"/>
  <c r="BO8" i="4" s="1"/>
  <c r="BO6" i="4" a="1"/>
  <c r="BN6" i="4" a="1"/>
  <c r="BN6" i="4" s="1"/>
  <c r="BM6" i="4" a="1"/>
  <c r="BM6" i="4" s="1"/>
  <c r="BL6" i="4" a="1"/>
  <c r="BL6" i="4" s="1"/>
  <c r="BK6" i="4" a="1"/>
  <c r="BK6" i="4" s="1"/>
  <c r="BJ6" i="4" a="1"/>
  <c r="BJ6" i="4" s="1"/>
  <c r="BI6" i="4" a="1"/>
  <c r="BI6" i="4" s="1"/>
  <c r="BH6" i="4" a="1"/>
  <c r="BH6" i="4" s="1"/>
  <c r="BG6" i="4"/>
  <c r="BG8" i="4" s="1"/>
  <c r="BG6" i="4" a="1"/>
  <c r="BF6" i="4"/>
  <c r="BF8" i="4" s="1"/>
  <c r="BF6" i="4" a="1"/>
  <c r="BE6" i="4" a="1"/>
  <c r="BE6" i="4" s="1"/>
  <c r="BD6" i="4"/>
  <c r="BD8" i="4" s="1"/>
  <c r="BD6" i="4" a="1"/>
  <c r="BC6" i="4" a="1"/>
  <c r="BC6" i="4" s="1"/>
  <c r="BB6" i="4" a="1"/>
  <c r="BB6" i="4" s="1"/>
  <c r="BA6" i="4" a="1"/>
  <c r="BA6" i="4" s="1"/>
  <c r="AZ6" i="4" a="1"/>
  <c r="AZ6" i="4" s="1"/>
  <c r="AY6" i="4" a="1"/>
  <c r="AY6" i="4" s="1"/>
  <c r="AX6" i="4" a="1"/>
  <c r="AX6" i="4" s="1"/>
  <c r="AW6" i="4" a="1"/>
  <c r="AW6" i="4" s="1"/>
  <c r="AV6" i="4"/>
  <c r="AV8" i="4" s="1"/>
  <c r="AV6" i="4" a="1"/>
  <c r="AU6" i="4"/>
  <c r="AU8" i="4" s="1"/>
  <c r="AU6" i="4" a="1"/>
  <c r="AT6" i="4" a="1"/>
  <c r="AT6" i="4" s="1"/>
  <c r="AS6" i="4"/>
  <c r="AS8" i="4" s="1"/>
  <c r="AS6" i="4" a="1"/>
  <c r="AR6" i="4" a="1"/>
  <c r="AR6" i="4" s="1"/>
  <c r="AQ6" i="4" a="1"/>
  <c r="AQ6" i="4" s="1"/>
  <c r="AP6" i="4" a="1"/>
  <c r="AP6" i="4" s="1"/>
  <c r="AO6" i="4" a="1"/>
  <c r="AO6" i="4" s="1"/>
  <c r="AN6" i="4" a="1"/>
  <c r="AN6" i="4" s="1"/>
  <c r="AM6" i="4" a="1"/>
  <c r="AM6" i="4" s="1"/>
  <c r="AL6" i="4" a="1"/>
  <c r="AL6" i="4" s="1"/>
  <c r="AK6" i="4"/>
  <c r="AK8" i="4" s="1"/>
  <c r="AK6" i="4" a="1"/>
  <c r="AJ6" i="4"/>
  <c r="AJ8" i="4" s="1"/>
  <c r="AJ6" i="4" a="1"/>
  <c r="AI6" i="4" a="1"/>
  <c r="AI6" i="4" s="1"/>
  <c r="AH6" i="4"/>
  <c r="AH8" i="4" s="1"/>
  <c r="AH6" i="4" a="1"/>
  <c r="AG6" i="4" a="1"/>
  <c r="AG6" i="4" s="1"/>
  <c r="AF6" i="4" a="1"/>
  <c r="AF6" i="4" s="1"/>
  <c r="AE6" i="4" a="1"/>
  <c r="AE6" i="4" s="1"/>
  <c r="AD6" i="4" a="1"/>
  <c r="AD6" i="4" s="1"/>
  <c r="AC6" i="4" a="1"/>
  <c r="AC6" i="4" s="1"/>
  <c r="AB6" i="4" a="1"/>
  <c r="AB6" i="4" s="1"/>
  <c r="AA6" i="4" a="1"/>
  <c r="AA6" i="4" s="1"/>
  <c r="Z6" i="4" a="1"/>
  <c r="Z6" i="4" s="1"/>
  <c r="Y6" i="4"/>
  <c r="Y8" i="4" s="1"/>
  <c r="Y6" i="4" a="1"/>
  <c r="X6" i="4" a="1"/>
  <c r="X6" i="4" s="1"/>
  <c r="W6" i="4"/>
  <c r="W8" i="4" s="1"/>
  <c r="W6" i="4" a="1"/>
  <c r="V6" i="4" a="1"/>
  <c r="V6" i="4" s="1"/>
  <c r="U6" i="4" a="1"/>
  <c r="U6" i="4" s="1"/>
  <c r="T6" i="4" a="1"/>
  <c r="T6" i="4" s="1"/>
  <c r="S6" i="4" a="1"/>
  <c r="S6" i="4" s="1"/>
  <c r="R6" i="4" a="1"/>
  <c r="R6" i="4" s="1"/>
  <c r="Q6" i="4" a="1"/>
  <c r="Q6" i="4" s="1"/>
  <c r="P6" i="4" a="1"/>
  <c r="P6" i="4" s="1"/>
  <c r="O6" i="4" a="1"/>
  <c r="O6" i="4" s="1"/>
  <c r="N6" i="4"/>
  <c r="N8" i="4" s="1"/>
  <c r="N6" i="4" a="1"/>
  <c r="M6" i="4" a="1"/>
  <c r="M6" i="4" s="1"/>
  <c r="L6" i="4"/>
  <c r="L8" i="4" s="1"/>
  <c r="L6" i="4" a="1"/>
  <c r="K6" i="4" a="1"/>
  <c r="K6" i="4" s="1"/>
  <c r="J6" i="4" a="1"/>
  <c r="J6" i="4" s="1"/>
  <c r="I6" i="4" a="1"/>
  <c r="I6" i="4" s="1"/>
  <c r="H6" i="4" a="1"/>
  <c r="H6" i="4" s="1"/>
  <c r="G6" i="4" a="1"/>
  <c r="G6" i="4" s="1"/>
  <c r="F6" i="4" a="1"/>
  <c r="F6" i="4" s="1"/>
  <c r="E6" i="4" a="1"/>
  <c r="E6" i="4" s="1"/>
  <c r="D6" i="4" a="1"/>
  <c r="D6" i="4" s="1"/>
  <c r="C6" i="4"/>
  <c r="C8" i="4" s="1"/>
  <c r="C6" i="4" a="1"/>
  <c r="DW8" i="3"/>
  <c r="DV8" i="3"/>
  <c r="DL8" i="3"/>
  <c r="DK8" i="3"/>
  <c r="DC8" i="3"/>
  <c r="CZ8" i="3"/>
  <c r="CP8" i="3"/>
  <c r="CG8" i="3"/>
  <c r="CE8" i="3"/>
  <c r="BT8" i="3"/>
  <c r="AO8" i="3"/>
  <c r="AD8" i="3"/>
  <c r="AB8" i="3"/>
  <c r="S8" i="3"/>
  <c r="H8" i="3"/>
  <c r="EA7" i="3"/>
  <c r="BX7" i="3"/>
  <c r="AF7" i="3"/>
  <c r="U7" i="3"/>
  <c r="R7" i="3"/>
  <c r="EF6" i="3" a="1"/>
  <c r="EF6" i="3" s="1"/>
  <c r="EE6" i="3" a="1"/>
  <c r="EE6" i="3" s="1"/>
  <c r="ED6" i="3" a="1"/>
  <c r="ED6" i="3" s="1"/>
  <c r="EC6" i="3"/>
  <c r="EC6" i="3" a="1"/>
  <c r="EB6" i="3" a="1"/>
  <c r="EB6" i="3" s="1"/>
  <c r="EA6" i="3" a="1"/>
  <c r="EA6" i="3" s="1"/>
  <c r="EA8" i="3" s="1"/>
  <c r="DZ6" i="3" a="1"/>
  <c r="DZ6" i="3" s="1"/>
  <c r="DY6" i="3"/>
  <c r="DY7" i="3" s="1"/>
  <c r="DY6" i="3" a="1"/>
  <c r="DX6" i="3" a="1"/>
  <c r="DX6" i="3" s="1"/>
  <c r="DW6" i="3"/>
  <c r="DW7" i="3" s="1"/>
  <c r="DW6" i="3" a="1"/>
  <c r="DV6" i="3"/>
  <c r="DV7" i="3" s="1"/>
  <c r="DV6" i="3" a="1"/>
  <c r="DU6" i="3" a="1"/>
  <c r="DU6" i="3" s="1"/>
  <c r="DT6" i="3" a="1"/>
  <c r="DT6" i="3" s="1"/>
  <c r="DS6" i="3" a="1"/>
  <c r="DS6" i="3" s="1"/>
  <c r="DR6" i="3"/>
  <c r="DR6" i="3" a="1"/>
  <c r="DQ6" i="3" a="1"/>
  <c r="DQ6" i="3" s="1"/>
  <c r="DP6" i="3" a="1"/>
  <c r="DP6" i="3" s="1"/>
  <c r="DP8" i="3" s="1"/>
  <c r="DO6" i="3" a="1"/>
  <c r="DO6" i="3" s="1"/>
  <c r="DN6" i="3"/>
  <c r="DN7" i="3" s="1"/>
  <c r="DN6" i="3" a="1"/>
  <c r="DM6" i="3" a="1"/>
  <c r="DM6" i="3" s="1"/>
  <c r="DL6" i="3"/>
  <c r="DL7" i="3" s="1"/>
  <c r="DL6" i="3" a="1"/>
  <c r="DK6" i="3"/>
  <c r="DK7" i="3" s="1"/>
  <c r="DK6" i="3" a="1"/>
  <c r="DJ6" i="3" a="1"/>
  <c r="DJ6" i="3" s="1"/>
  <c r="DI6" i="3" a="1"/>
  <c r="DI6" i="3" s="1"/>
  <c r="DH6" i="3" a="1"/>
  <c r="DH6" i="3" s="1"/>
  <c r="DG6" i="3"/>
  <c r="DG6" i="3" a="1"/>
  <c r="DF6" i="3" a="1"/>
  <c r="DF6" i="3" s="1"/>
  <c r="DE6" i="3" a="1"/>
  <c r="DE6" i="3" s="1"/>
  <c r="DE8" i="3" s="1"/>
  <c r="DD6" i="3" a="1"/>
  <c r="DD6" i="3" s="1"/>
  <c r="DC6" i="3"/>
  <c r="DC7" i="3" s="1"/>
  <c r="DC6" i="3" a="1"/>
  <c r="DB6" i="3" a="1"/>
  <c r="DB6" i="3" s="1"/>
  <c r="DA6" i="3" a="1"/>
  <c r="DA6" i="3" s="1"/>
  <c r="CZ6" i="3"/>
  <c r="CZ7" i="3" s="1"/>
  <c r="CZ6" i="3" a="1"/>
  <c r="CY6" i="3" a="1"/>
  <c r="CY6" i="3" s="1"/>
  <c r="CX6" i="3" a="1"/>
  <c r="CX6" i="3" s="1"/>
  <c r="CW6" i="3" a="1"/>
  <c r="CW6" i="3" s="1"/>
  <c r="CV6" i="3"/>
  <c r="CV6" i="3" a="1"/>
  <c r="CU6" i="3" a="1"/>
  <c r="CU6" i="3" s="1"/>
  <c r="CT6" i="3" a="1"/>
  <c r="CT6" i="3" s="1"/>
  <c r="CT8" i="3" s="1"/>
  <c r="CS6" i="3" a="1"/>
  <c r="CS6" i="3" s="1"/>
  <c r="CR6" i="3"/>
  <c r="CR7" i="3" s="1"/>
  <c r="CR6" i="3" a="1"/>
  <c r="CQ6" i="3" a="1"/>
  <c r="CQ6" i="3" s="1"/>
  <c r="CP6" i="3"/>
  <c r="CP7" i="3" s="1"/>
  <c r="CP6" i="3" a="1"/>
  <c r="CO6" i="3" a="1"/>
  <c r="CO6" i="3" s="1"/>
  <c r="CN6" i="3" a="1"/>
  <c r="CN6" i="3" s="1"/>
  <c r="CM6" i="3" a="1"/>
  <c r="CM6" i="3" s="1"/>
  <c r="CL6" i="3" a="1"/>
  <c r="CL6" i="3" s="1"/>
  <c r="CK6" i="3"/>
  <c r="CK6" i="3" a="1"/>
  <c r="CJ6" i="3" a="1"/>
  <c r="CJ6" i="3" s="1"/>
  <c r="CI6" i="3" a="1"/>
  <c r="CI6" i="3" s="1"/>
  <c r="CI8" i="3" s="1"/>
  <c r="CH6" i="3" a="1"/>
  <c r="CH6" i="3" s="1"/>
  <c r="CG6" i="3"/>
  <c r="CG7" i="3" s="1"/>
  <c r="CG6" i="3" a="1"/>
  <c r="CF6" i="3" a="1"/>
  <c r="CF6" i="3" s="1"/>
  <c r="CE6" i="3"/>
  <c r="CE7" i="3" s="1"/>
  <c r="CE6" i="3" a="1"/>
  <c r="CD6" i="3" a="1"/>
  <c r="CD6" i="3" s="1"/>
  <c r="CC6" i="3" a="1"/>
  <c r="CC6" i="3" s="1"/>
  <c r="CB6" i="3" a="1"/>
  <c r="CB6" i="3" s="1"/>
  <c r="CA6" i="3" a="1"/>
  <c r="CA6" i="3" s="1"/>
  <c r="BZ6" i="3"/>
  <c r="BZ6" i="3" a="1"/>
  <c r="BY6" i="3" a="1"/>
  <c r="BY6" i="3" s="1"/>
  <c r="BX6" i="3" a="1"/>
  <c r="BX6" i="3" s="1"/>
  <c r="BX8" i="3" s="1"/>
  <c r="BW6" i="3" a="1"/>
  <c r="BW6" i="3" s="1"/>
  <c r="BV6" i="3"/>
  <c r="BV7" i="3" s="1"/>
  <c r="BV6" i="3" a="1"/>
  <c r="BU6" i="3" a="1"/>
  <c r="BU6" i="3" s="1"/>
  <c r="BT6" i="3"/>
  <c r="BT7" i="3" s="1"/>
  <c r="BT6" i="3" a="1"/>
  <c r="BS6" i="3" a="1"/>
  <c r="BS6" i="3" s="1"/>
  <c r="BR6" i="3" a="1"/>
  <c r="BR6" i="3" s="1"/>
  <c r="BQ6" i="3" a="1"/>
  <c r="BQ6" i="3" s="1"/>
  <c r="BP6" i="3" a="1"/>
  <c r="BP6" i="3" s="1"/>
  <c r="BO6" i="3"/>
  <c r="BO6" i="3" a="1"/>
  <c r="BN6" i="3" a="1"/>
  <c r="BN6" i="3" s="1"/>
  <c r="BM6" i="3" a="1"/>
  <c r="BM6" i="3" s="1"/>
  <c r="BM8" i="3" s="1"/>
  <c r="BL6" i="3" a="1"/>
  <c r="BL6" i="3" s="1"/>
  <c r="BK6" i="3"/>
  <c r="BK7" i="3" s="1"/>
  <c r="BK6" i="3" a="1"/>
  <c r="BJ6" i="3" a="1"/>
  <c r="BJ6" i="3" s="1"/>
  <c r="BI6" i="3" a="1"/>
  <c r="BI6" i="3" s="1"/>
  <c r="BH6" i="3" a="1"/>
  <c r="BH6" i="3" s="1"/>
  <c r="BG6" i="3" a="1"/>
  <c r="BG6" i="3" s="1"/>
  <c r="BF6" i="3" a="1"/>
  <c r="BF6" i="3" s="1"/>
  <c r="BE6" i="3" a="1"/>
  <c r="BE6" i="3" s="1"/>
  <c r="BD6" i="3"/>
  <c r="BD6" i="3" a="1"/>
  <c r="BC6" i="3" a="1"/>
  <c r="BC6" i="3" s="1"/>
  <c r="BB6" i="3" a="1"/>
  <c r="BB6" i="3" s="1"/>
  <c r="BB8" i="3" s="1"/>
  <c r="BA6" i="3" a="1"/>
  <c r="BA6" i="3" s="1"/>
  <c r="AZ6" i="3"/>
  <c r="AZ7" i="3" s="1"/>
  <c r="AZ6" i="3" a="1"/>
  <c r="AY6" i="3" a="1"/>
  <c r="AY6" i="3" s="1"/>
  <c r="AX6" i="3" a="1"/>
  <c r="AX6" i="3" s="1"/>
  <c r="AW6" i="3" a="1"/>
  <c r="AW6" i="3" s="1"/>
  <c r="AV6" i="3" a="1"/>
  <c r="AV6" i="3" s="1"/>
  <c r="AU6" i="3" a="1"/>
  <c r="AU6" i="3" s="1"/>
  <c r="AT6" i="3" a="1"/>
  <c r="AT6" i="3" s="1"/>
  <c r="AS6" i="3"/>
  <c r="AS6" i="3" a="1"/>
  <c r="AR6" i="3" a="1"/>
  <c r="AR6" i="3" s="1"/>
  <c r="AQ6" i="3" a="1"/>
  <c r="AQ6" i="3" s="1"/>
  <c r="AQ8" i="3" s="1"/>
  <c r="AP6" i="3" a="1"/>
  <c r="AP6" i="3" s="1"/>
  <c r="AO6" i="3"/>
  <c r="AO7" i="3" s="1"/>
  <c r="AO6" i="3" a="1"/>
  <c r="AN6" i="3" a="1"/>
  <c r="AN6" i="3" s="1"/>
  <c r="AM6" i="3" a="1"/>
  <c r="AM6" i="3" s="1"/>
  <c r="AL6" i="3" a="1"/>
  <c r="AL6" i="3" s="1"/>
  <c r="AK6" i="3" a="1"/>
  <c r="AK6" i="3" s="1"/>
  <c r="AJ6" i="3" a="1"/>
  <c r="AJ6" i="3" s="1"/>
  <c r="AI6" i="3" a="1"/>
  <c r="AI6" i="3" s="1"/>
  <c r="AH6" i="3"/>
  <c r="AH6" i="3" a="1"/>
  <c r="AG6" i="3" a="1"/>
  <c r="AG6" i="3" s="1"/>
  <c r="AF6" i="3" a="1"/>
  <c r="AF6" i="3" s="1"/>
  <c r="AF8" i="3" s="1"/>
  <c r="AE6" i="3" a="1"/>
  <c r="AE6" i="3" s="1"/>
  <c r="AD6" i="3"/>
  <c r="AD7" i="3" s="1"/>
  <c r="AD6" i="3" a="1"/>
  <c r="AC6" i="3" a="1"/>
  <c r="AC6" i="3" s="1"/>
  <c r="AB6" i="3"/>
  <c r="AB7" i="3" s="1"/>
  <c r="AB6" i="3" a="1"/>
  <c r="AA6" i="3" a="1"/>
  <c r="AA6" i="3" s="1"/>
  <c r="Z6" i="3" a="1"/>
  <c r="Z6" i="3" s="1"/>
  <c r="Y6" i="3" a="1"/>
  <c r="Y6" i="3" s="1"/>
  <c r="X6" i="3" a="1"/>
  <c r="X6" i="3" s="1"/>
  <c r="W6" i="3"/>
  <c r="W6" i="3" a="1"/>
  <c r="V6" i="3" a="1"/>
  <c r="V6" i="3" s="1"/>
  <c r="U6" i="3" a="1"/>
  <c r="U6" i="3" s="1"/>
  <c r="U8" i="3" s="1"/>
  <c r="T6" i="3" a="1"/>
  <c r="T6" i="3" s="1"/>
  <c r="S6" i="3"/>
  <c r="S7" i="3" s="1"/>
  <c r="S6" i="3" a="1"/>
  <c r="R6" i="3" a="1"/>
  <c r="R6" i="3" s="1"/>
  <c r="R8" i="3" s="1"/>
  <c r="Q6" i="3" a="1"/>
  <c r="Q6" i="3" s="1"/>
  <c r="P6" i="3" a="1"/>
  <c r="P6" i="3" s="1"/>
  <c r="O6" i="3" a="1"/>
  <c r="O6" i="3" s="1"/>
  <c r="N6" i="3" a="1"/>
  <c r="N6" i="3" s="1"/>
  <c r="M6" i="3" a="1"/>
  <c r="M6" i="3" s="1"/>
  <c r="L6" i="3"/>
  <c r="L6" i="3" a="1"/>
  <c r="K6" i="3" a="1"/>
  <c r="K6" i="3" s="1"/>
  <c r="J6" i="3" a="1"/>
  <c r="J6" i="3" s="1"/>
  <c r="J8" i="3" s="1"/>
  <c r="I6" i="3" a="1"/>
  <c r="I6" i="3" s="1"/>
  <c r="H6" i="3"/>
  <c r="H7" i="3" s="1"/>
  <c r="H6" i="3" a="1"/>
  <c r="G6" i="3" a="1"/>
  <c r="G6" i="3" s="1"/>
  <c r="G8" i="3" s="1"/>
  <c r="F6" i="3" a="1"/>
  <c r="F6" i="3" s="1"/>
  <c r="E6" i="3" a="1"/>
  <c r="E6" i="3" s="1"/>
  <c r="D6" i="3" a="1"/>
  <c r="D6" i="3" s="1"/>
  <c r="C6" i="3" a="1"/>
  <c r="C6" i="3" s="1"/>
  <c r="EC7" i="2"/>
  <c r="EF6" i="2" a="1"/>
  <c r="EF6" i="2" s="1"/>
  <c r="EE6" i="2" a="1"/>
  <c r="EE6" i="2" s="1"/>
  <c r="ED6" i="2" a="1"/>
  <c r="ED6" i="2" s="1"/>
  <c r="EC6" i="2"/>
  <c r="EC8" i="2" s="1"/>
  <c r="EC6" i="2" a="1"/>
  <c r="EB6" i="2" a="1"/>
  <c r="EB6" i="2" s="1"/>
  <c r="EA6" i="2" a="1"/>
  <c r="EA6" i="2" s="1"/>
  <c r="DZ6" i="2"/>
  <c r="DZ8" i="2" s="1"/>
  <c r="DZ6" i="2" a="1"/>
  <c r="DY6" i="2" a="1"/>
  <c r="DY6" i="2" s="1"/>
  <c r="DX6" i="2"/>
  <c r="DX8" i="2" s="1"/>
  <c r="DX6" i="2" a="1"/>
  <c r="DW6" i="2"/>
  <c r="DW7" i="2" s="1"/>
  <c r="DW6" i="2" a="1"/>
  <c r="DV6" i="2" a="1"/>
  <c r="DV6" i="2" s="1"/>
  <c r="DU6" i="2" a="1"/>
  <c r="DU6" i="2" s="1"/>
  <c r="DT6" i="2" a="1"/>
  <c r="DT6" i="2" s="1"/>
  <c r="DS6" i="2" a="1"/>
  <c r="DS6" i="2" s="1"/>
  <c r="DR6" i="2"/>
  <c r="DR8" i="2" s="1"/>
  <c r="DR6" i="2" a="1"/>
  <c r="DQ6" i="2" a="1"/>
  <c r="DQ6" i="2" s="1"/>
  <c r="DP6" i="2" a="1"/>
  <c r="DP6" i="2" s="1"/>
  <c r="DO6" i="2"/>
  <c r="DO8" i="2" s="1"/>
  <c r="DO6" i="2" a="1"/>
  <c r="DN6" i="2" a="1"/>
  <c r="DN6" i="2" s="1"/>
  <c r="DM6" i="2"/>
  <c r="DM8" i="2" s="1"/>
  <c r="DM6" i="2" a="1"/>
  <c r="DL6" i="2"/>
  <c r="DL7" i="2" s="1"/>
  <c r="DL6" i="2" a="1"/>
  <c r="DK6" i="2" a="1"/>
  <c r="DK6" i="2" s="1"/>
  <c r="DJ6" i="2" a="1"/>
  <c r="DJ6" i="2" s="1"/>
  <c r="DI6" i="2" a="1"/>
  <c r="DI6" i="2" s="1"/>
  <c r="DH6" i="2" a="1"/>
  <c r="DH6" i="2" s="1"/>
  <c r="DG6" i="2"/>
  <c r="DG8" i="2" s="1"/>
  <c r="DG6" i="2" a="1"/>
  <c r="DF6" i="2" a="1"/>
  <c r="DF6" i="2" s="1"/>
  <c r="DE6" i="2" a="1"/>
  <c r="DE6" i="2" s="1"/>
  <c r="DD6" i="2"/>
  <c r="DD8" i="2" s="1"/>
  <c r="DD6" i="2" a="1"/>
  <c r="DC6" i="2" a="1"/>
  <c r="DC6" i="2" s="1"/>
  <c r="DB6" i="2"/>
  <c r="DB8" i="2" s="1"/>
  <c r="DB6" i="2" a="1"/>
  <c r="DA6" i="2" a="1"/>
  <c r="DA6" i="2" s="1"/>
  <c r="CZ6" i="2" a="1"/>
  <c r="CZ6" i="2" s="1"/>
  <c r="CY6" i="2" a="1"/>
  <c r="CY6" i="2" s="1"/>
  <c r="CX6" i="2" a="1"/>
  <c r="CX6" i="2" s="1"/>
  <c r="CW6" i="2" a="1"/>
  <c r="CW6" i="2" s="1"/>
  <c r="CV6" i="2"/>
  <c r="CV8" i="2" s="1"/>
  <c r="CV6" i="2" a="1"/>
  <c r="CU6" i="2" a="1"/>
  <c r="CU6" i="2" s="1"/>
  <c r="CT6" i="2" a="1"/>
  <c r="CT6" i="2" s="1"/>
  <c r="CS6" i="2"/>
  <c r="CS8" i="2" s="1"/>
  <c r="CS6" i="2" a="1"/>
  <c r="CR6" i="2" a="1"/>
  <c r="CR6" i="2" s="1"/>
  <c r="CQ6" i="2"/>
  <c r="CQ8" i="2" s="1"/>
  <c r="CQ6" i="2" a="1"/>
  <c r="CP6" i="2" a="1"/>
  <c r="CP6" i="2" s="1"/>
  <c r="CO6" i="2" a="1"/>
  <c r="CO6" i="2" s="1"/>
  <c r="CN6" i="2" a="1"/>
  <c r="CN6" i="2" s="1"/>
  <c r="CM6" i="2" a="1"/>
  <c r="CM6" i="2" s="1"/>
  <c r="CL6" i="2" a="1"/>
  <c r="CL6" i="2" s="1"/>
  <c r="CK6" i="2"/>
  <c r="CK8" i="2" s="1"/>
  <c r="CK6" i="2" a="1"/>
  <c r="CJ6" i="2" a="1"/>
  <c r="CJ6" i="2" s="1"/>
  <c r="CI6" i="2" a="1"/>
  <c r="CI6" i="2" s="1"/>
  <c r="CH6" i="2"/>
  <c r="CH8" i="2" s="1"/>
  <c r="CH6" i="2" a="1"/>
  <c r="CG6" i="2" a="1"/>
  <c r="CG6" i="2" s="1"/>
  <c r="CF6" i="2"/>
  <c r="CF8" i="2" s="1"/>
  <c r="CF6" i="2" a="1"/>
  <c r="CE6" i="2"/>
  <c r="CE7" i="2" s="1"/>
  <c r="CE6" i="2" a="1"/>
  <c r="CD6" i="2" a="1"/>
  <c r="CD6" i="2" s="1"/>
  <c r="CC6" i="2" a="1"/>
  <c r="CC6" i="2" s="1"/>
  <c r="CB6" i="2" a="1"/>
  <c r="CB6" i="2" s="1"/>
  <c r="CA6" i="2" a="1"/>
  <c r="CA6" i="2" s="1"/>
  <c r="BZ6" i="2"/>
  <c r="BZ8" i="2" s="1"/>
  <c r="BZ6" i="2" a="1"/>
  <c r="BY6" i="2" a="1"/>
  <c r="BY6" i="2" s="1"/>
  <c r="BX6" i="2" a="1"/>
  <c r="BX6" i="2" s="1"/>
  <c r="BW6" i="2"/>
  <c r="BW8" i="2" s="1"/>
  <c r="BW6" i="2" a="1"/>
  <c r="BV6" i="2" a="1"/>
  <c r="BV6" i="2" s="1"/>
  <c r="BU6" i="2"/>
  <c r="BU8" i="2" s="1"/>
  <c r="BU6" i="2" a="1"/>
  <c r="BT6" i="2"/>
  <c r="BT7" i="2" s="1"/>
  <c r="BT6" i="2" a="1"/>
  <c r="BS6" i="2" a="1"/>
  <c r="BS6" i="2" s="1"/>
  <c r="BR6" i="2" a="1"/>
  <c r="BR6" i="2" s="1"/>
  <c r="BQ6" i="2" a="1"/>
  <c r="BQ6" i="2" s="1"/>
  <c r="BP6" i="2" a="1"/>
  <c r="BP6" i="2" s="1"/>
  <c r="BO6" i="2"/>
  <c r="BO8" i="2" s="1"/>
  <c r="BO6" i="2" a="1"/>
  <c r="BN6" i="2" a="1"/>
  <c r="BN6" i="2" s="1"/>
  <c r="BM6" i="2" a="1"/>
  <c r="BM6" i="2" s="1"/>
  <c r="BL6" i="2"/>
  <c r="BL8" i="2" s="1"/>
  <c r="BL6" i="2" a="1"/>
  <c r="BK6" i="2" a="1"/>
  <c r="BK6" i="2" s="1"/>
  <c r="BJ6" i="2"/>
  <c r="BJ8" i="2" s="1"/>
  <c r="BJ6" i="2" a="1"/>
  <c r="BI6" i="2"/>
  <c r="BI7" i="2" s="1"/>
  <c r="BI6" i="2" a="1"/>
  <c r="BH6" i="2" a="1"/>
  <c r="BH6" i="2" s="1"/>
  <c r="BG6" i="2" a="1"/>
  <c r="BG6" i="2" s="1"/>
  <c r="BF6" i="2" a="1"/>
  <c r="BF6" i="2" s="1"/>
  <c r="BE6" i="2" a="1"/>
  <c r="BE6" i="2" s="1"/>
  <c r="BD6" i="2"/>
  <c r="BD8" i="2" s="1"/>
  <c r="BD6" i="2" a="1"/>
  <c r="BC6" i="2" a="1"/>
  <c r="BC6" i="2" s="1"/>
  <c r="BB6" i="2" a="1"/>
  <c r="BB6" i="2" s="1"/>
  <c r="BA6" i="2"/>
  <c r="BA8" i="2" s="1"/>
  <c r="BA6" i="2" a="1"/>
  <c r="AZ6" i="2" a="1"/>
  <c r="AZ6" i="2" s="1"/>
  <c r="AY6" i="2"/>
  <c r="AY8" i="2" s="1"/>
  <c r="AY6" i="2" a="1"/>
  <c r="AX6" i="2"/>
  <c r="AX7" i="2" s="1"/>
  <c r="AX6" i="2" a="1"/>
  <c r="AW6" i="2" a="1"/>
  <c r="AW6" i="2" s="1"/>
  <c r="AV6" i="2" a="1"/>
  <c r="AV6" i="2" s="1"/>
  <c r="AU6" i="2" a="1"/>
  <c r="AU6" i="2" s="1"/>
  <c r="AT6" i="2" a="1"/>
  <c r="AT6" i="2" s="1"/>
  <c r="AS6" i="2"/>
  <c r="AS8" i="2" s="1"/>
  <c r="AS6" i="2" a="1"/>
  <c r="AR6" i="2" a="1"/>
  <c r="AR6" i="2" s="1"/>
  <c r="AQ6" i="2" a="1"/>
  <c r="AQ6" i="2" s="1"/>
  <c r="AP6" i="2"/>
  <c r="AP8" i="2" s="1"/>
  <c r="AP6" i="2" a="1"/>
  <c r="AO6" i="2" a="1"/>
  <c r="AO6" i="2" s="1"/>
  <c r="AN6" i="2"/>
  <c r="AN8" i="2" s="1"/>
  <c r="AN6" i="2" a="1"/>
  <c r="AM6" i="2" a="1"/>
  <c r="AM6" i="2" s="1"/>
  <c r="AL6" i="2" a="1"/>
  <c r="AL6" i="2" s="1"/>
  <c r="AK6" i="2" a="1"/>
  <c r="AK6" i="2" s="1"/>
  <c r="AJ6" i="2" a="1"/>
  <c r="AJ6" i="2" s="1"/>
  <c r="AI6" i="2" a="1"/>
  <c r="AI6" i="2" s="1"/>
  <c r="AH6" i="2"/>
  <c r="AH8" i="2" s="1"/>
  <c r="AH6" i="2" a="1"/>
  <c r="AG6" i="2" a="1"/>
  <c r="AG6" i="2" s="1"/>
  <c r="AF6" i="2" a="1"/>
  <c r="AF6" i="2" s="1"/>
  <c r="AE6" i="2"/>
  <c r="AE8" i="2" s="1"/>
  <c r="AE6" i="2" a="1"/>
  <c r="AD6" i="2" a="1"/>
  <c r="AD6" i="2" s="1"/>
  <c r="AC6" i="2" a="1"/>
  <c r="AC6" i="2" s="1"/>
  <c r="AB6" i="2"/>
  <c r="AB7" i="2" s="1"/>
  <c r="AB6" i="2" a="1"/>
  <c r="AA6" i="2" a="1"/>
  <c r="AA6" i="2" s="1"/>
  <c r="Z6" i="2" a="1"/>
  <c r="Z6" i="2" s="1"/>
  <c r="Y6" i="2" a="1"/>
  <c r="Y6" i="2" s="1"/>
  <c r="X6" i="2" a="1"/>
  <c r="X6" i="2" s="1"/>
  <c r="W6" i="2"/>
  <c r="W6" i="2" a="1"/>
  <c r="V6" i="2" a="1"/>
  <c r="V6" i="2" s="1"/>
  <c r="U6" i="2" a="1"/>
  <c r="U6" i="2" s="1"/>
  <c r="T6" i="2"/>
  <c r="T8" i="2" s="1"/>
  <c r="T6" i="2" a="1"/>
  <c r="S6" i="2" a="1"/>
  <c r="S6" i="2" s="1"/>
  <c r="R6" i="2" a="1"/>
  <c r="R6" i="2" s="1"/>
  <c r="Q6" i="2" a="1"/>
  <c r="Q6" i="2" s="1"/>
  <c r="P6" i="2" a="1"/>
  <c r="P6" i="2" s="1"/>
  <c r="O6" i="2" a="1"/>
  <c r="O6" i="2" s="1"/>
  <c r="N6" i="2" a="1"/>
  <c r="N6" i="2" s="1"/>
  <c r="M6" i="2" a="1"/>
  <c r="M6" i="2" s="1"/>
  <c r="L6" i="2"/>
  <c r="L6" i="2" a="1"/>
  <c r="K6" i="2" a="1"/>
  <c r="K6" i="2" s="1"/>
  <c r="J6" i="2" a="1"/>
  <c r="J6" i="2" s="1"/>
  <c r="I6" i="2"/>
  <c r="I8" i="2" s="1"/>
  <c r="I6" i="2" a="1"/>
  <c r="H6" i="2" a="1"/>
  <c r="H6" i="2" s="1"/>
  <c r="G6" i="2" a="1"/>
  <c r="G6" i="2" s="1"/>
  <c r="F6" i="2"/>
  <c r="F7" i="2" s="1"/>
  <c r="F6" i="2" a="1"/>
  <c r="E6" i="2" a="1"/>
  <c r="E6" i="2" s="1"/>
  <c r="D6" i="2" a="1"/>
  <c r="D6" i="2" s="1"/>
  <c r="C6" i="2" a="1"/>
  <c r="C6" i="2" s="1"/>
  <c r="DM8" i="8" l="1"/>
  <c r="DM7" i="8"/>
  <c r="BJ8" i="8"/>
  <c r="BJ7" i="8"/>
  <c r="CF8" i="8"/>
  <c r="CF7" i="8"/>
  <c r="G8" i="8"/>
  <c r="G7" i="8"/>
  <c r="R8" i="8"/>
  <c r="R7" i="8"/>
  <c r="AN8" i="8"/>
  <c r="AN7" i="8"/>
  <c r="DX8" i="8"/>
  <c r="DX7" i="8"/>
  <c r="AY8" i="8"/>
  <c r="AY7" i="8"/>
  <c r="AC8" i="8"/>
  <c r="AC7" i="8"/>
  <c r="AV8" i="8"/>
  <c r="AV7" i="8"/>
  <c r="CW8" i="8"/>
  <c r="CW7" i="8"/>
  <c r="T8" i="8"/>
  <c r="T7" i="8"/>
  <c r="AK8" i="8"/>
  <c r="AK7" i="8"/>
  <c r="AT8" i="8"/>
  <c r="AT7" i="8"/>
  <c r="BC8" i="8"/>
  <c r="BC7" i="8"/>
  <c r="BK8" i="8"/>
  <c r="BK7" i="8"/>
  <c r="BT7" i="8"/>
  <c r="BT8" i="8"/>
  <c r="CK8" i="8"/>
  <c r="CK7" i="8"/>
  <c r="CT8" i="8"/>
  <c r="CT7" i="8"/>
  <c r="DR8" i="8"/>
  <c r="DR7" i="8"/>
  <c r="DY8" i="8"/>
  <c r="DY7" i="8"/>
  <c r="D8" i="8"/>
  <c r="D7" i="8"/>
  <c r="L8" i="8"/>
  <c r="L7" i="8"/>
  <c r="U8" i="8"/>
  <c r="U7" i="8"/>
  <c r="BL8" i="8"/>
  <c r="BL7" i="8"/>
  <c r="CC8" i="8"/>
  <c r="CC7" i="8"/>
  <c r="CL8" i="8"/>
  <c r="CL7" i="8"/>
  <c r="CU8" i="8"/>
  <c r="CU7" i="8"/>
  <c r="DC8" i="8"/>
  <c r="DC7" i="8"/>
  <c r="DS8" i="8"/>
  <c r="DS7" i="8"/>
  <c r="DZ8" i="8"/>
  <c r="DZ7" i="8"/>
  <c r="CQ7" i="8"/>
  <c r="CD8" i="8"/>
  <c r="DD8" i="8"/>
  <c r="DD7" i="8"/>
  <c r="AP8" i="8"/>
  <c r="AP7" i="8"/>
  <c r="BY8" i="8"/>
  <c r="BY7" i="8"/>
  <c r="DG8" i="8"/>
  <c r="DG7" i="8"/>
  <c r="DN8" i="8"/>
  <c r="DN7" i="8"/>
  <c r="ED7" i="8"/>
  <c r="ED8" i="8"/>
  <c r="AO7" i="8"/>
  <c r="P8" i="8"/>
  <c r="BE8" i="8"/>
  <c r="BE7" i="8"/>
  <c r="BN8" i="8"/>
  <c r="BN7" i="8"/>
  <c r="CV8" i="8"/>
  <c r="CV7" i="8"/>
  <c r="CN8" i="8"/>
  <c r="CN7" i="8"/>
  <c r="O8" i="8"/>
  <c r="O7" i="8"/>
  <c r="AG8" i="8"/>
  <c r="AG7" i="8"/>
  <c r="AX7" i="8"/>
  <c r="AX8" i="8"/>
  <c r="BO8" i="8"/>
  <c r="BO7" i="8"/>
  <c r="EC8" i="8"/>
  <c r="EC7" i="8"/>
  <c r="BP7" i="8"/>
  <c r="BP8" i="8"/>
  <c r="Q7" i="8"/>
  <c r="Q8" i="8"/>
  <c r="AH8" i="8"/>
  <c r="AH7" i="8"/>
  <c r="AQ8" i="8"/>
  <c r="AQ7" i="8"/>
  <c r="CH8" i="8"/>
  <c r="CH7" i="8"/>
  <c r="CY8" i="8"/>
  <c r="CY7" i="8"/>
  <c r="DH7" i="8"/>
  <c r="DH8" i="8"/>
  <c r="DO8" i="8"/>
  <c r="DO7" i="8"/>
  <c r="AA8" i="8"/>
  <c r="DE8" i="8"/>
  <c r="DE7" i="8"/>
  <c r="EB8" i="8"/>
  <c r="EB7" i="8"/>
  <c r="F7" i="8"/>
  <c r="F8" i="8"/>
  <c r="AD7" i="8"/>
  <c r="BX8" i="8"/>
  <c r="BX7" i="8"/>
  <c r="I8" i="8"/>
  <c r="I7" i="8"/>
  <c r="Z8" i="8"/>
  <c r="Z7" i="8"/>
  <c r="AI7" i="8"/>
  <c r="AI8" i="8"/>
  <c r="AR8" i="8"/>
  <c r="AR7" i="8"/>
  <c r="BI7" i="8"/>
  <c r="BI8" i="8"/>
  <c r="BZ8" i="8"/>
  <c r="BZ7" i="8"/>
  <c r="CI8" i="8"/>
  <c r="CI7" i="8"/>
  <c r="DP8" i="8"/>
  <c r="DP7" i="8"/>
  <c r="AZ7" i="8"/>
  <c r="AL8" i="8"/>
  <c r="V8" i="8"/>
  <c r="V7" i="8"/>
  <c r="BD8" i="8"/>
  <c r="BD7" i="8"/>
  <c r="EA8" i="8"/>
  <c r="EA7" i="8"/>
  <c r="BV8" i="8"/>
  <c r="BV7" i="8"/>
  <c r="DF8" i="8"/>
  <c r="DF7" i="8"/>
  <c r="BG8" i="8"/>
  <c r="BG7" i="8"/>
  <c r="J8" i="8"/>
  <c r="J7" i="8"/>
  <c r="BA8" i="8"/>
  <c r="BA7" i="8"/>
  <c r="BR8" i="8"/>
  <c r="BR7" i="8"/>
  <c r="CA7" i="8"/>
  <c r="CA8" i="8"/>
  <c r="CJ8" i="8"/>
  <c r="CJ7" i="8"/>
  <c r="CR8" i="8"/>
  <c r="CR7" i="8"/>
  <c r="DQ8" i="8"/>
  <c r="DQ7" i="8"/>
  <c r="EF8" i="8"/>
  <c r="EF7" i="8"/>
  <c r="AW8" i="8"/>
  <c r="M7" i="8"/>
  <c r="M8" i="8"/>
  <c r="AM7" i="8"/>
  <c r="AM8" i="8"/>
  <c r="BM8" i="8"/>
  <c r="BM7" i="8"/>
  <c r="AE8" i="8"/>
  <c r="AE7" i="8"/>
  <c r="W8" i="8"/>
  <c r="W7" i="8"/>
  <c r="AF8" i="8"/>
  <c r="AF7" i="8"/>
  <c r="BW8" i="8"/>
  <c r="BW7" i="8"/>
  <c r="DU8" i="8"/>
  <c r="DU7" i="8"/>
  <c r="X8" i="8"/>
  <c r="X7" i="8"/>
  <c r="CG8" i="8"/>
  <c r="CG7" i="8"/>
  <c r="K8" i="8"/>
  <c r="K7" i="8"/>
  <c r="AB7" i="8"/>
  <c r="AB8" i="8"/>
  <c r="AS8" i="8"/>
  <c r="AS7" i="8"/>
  <c r="BB8" i="8"/>
  <c r="BB7" i="8"/>
  <c r="CS8" i="8"/>
  <c r="CS7" i="8"/>
  <c r="DJ8" i="8"/>
  <c r="DJ7" i="8"/>
  <c r="BU7" i="8"/>
  <c r="BH8" i="8"/>
  <c r="C7" i="8"/>
  <c r="N7" i="8"/>
  <c r="Y7" i="8"/>
  <c r="AJ7" i="8"/>
  <c r="AU7" i="8"/>
  <c r="BF7" i="8"/>
  <c r="BQ7" i="8"/>
  <c r="CB7" i="8"/>
  <c r="CM7" i="8"/>
  <c r="CX7" i="8"/>
  <c r="DI7" i="8"/>
  <c r="DT7" i="8"/>
  <c r="EE7" i="8"/>
  <c r="V8" i="5"/>
  <c r="V7" i="5"/>
  <c r="BM8" i="5"/>
  <c r="BM7" i="5"/>
  <c r="EB8" i="5"/>
  <c r="EB7" i="5"/>
  <c r="BE8" i="5"/>
  <c r="BE7" i="5"/>
  <c r="AF8" i="5"/>
  <c r="AF7" i="5"/>
  <c r="BW8" i="5"/>
  <c r="BW7" i="5"/>
  <c r="CN8" i="5"/>
  <c r="CN7" i="5"/>
  <c r="DE8" i="5"/>
  <c r="DE7" i="5"/>
  <c r="O8" i="5"/>
  <c r="O7" i="5"/>
  <c r="X8" i="5"/>
  <c r="X7" i="5"/>
  <c r="AG8" i="5"/>
  <c r="AG7" i="5"/>
  <c r="AO7" i="5"/>
  <c r="AO8" i="5"/>
  <c r="BX8" i="5"/>
  <c r="BX7" i="5"/>
  <c r="CF7" i="5"/>
  <c r="CF8" i="5"/>
  <c r="CO8" i="5"/>
  <c r="CO7" i="5"/>
  <c r="DF8" i="5"/>
  <c r="DF7" i="5"/>
  <c r="DM7" i="5"/>
  <c r="DM8" i="5"/>
  <c r="ED8" i="5"/>
  <c r="ED7" i="5"/>
  <c r="G7" i="5"/>
  <c r="G8" i="5"/>
  <c r="P7" i="5"/>
  <c r="P8" i="5"/>
  <c r="AP8" i="5"/>
  <c r="AP7" i="5"/>
  <c r="BG8" i="5"/>
  <c r="BG7" i="5"/>
  <c r="BP8" i="5"/>
  <c r="BP7" i="5"/>
  <c r="BY8" i="5"/>
  <c r="BY7" i="5"/>
  <c r="CG7" i="5"/>
  <c r="CG8" i="5"/>
  <c r="DN8" i="5"/>
  <c r="DN7" i="5"/>
  <c r="CH8" i="5"/>
  <c r="CH7" i="5"/>
  <c r="CY8" i="5"/>
  <c r="CY7" i="5"/>
  <c r="DO8" i="5"/>
  <c r="DO7" i="5"/>
  <c r="CD7" i="5"/>
  <c r="CD8" i="5"/>
  <c r="AW8" i="5"/>
  <c r="AW7" i="5"/>
  <c r="CW8" i="5"/>
  <c r="CW7" i="5"/>
  <c r="H7" i="5"/>
  <c r="H8" i="5"/>
  <c r="AQ8" i="5"/>
  <c r="AQ7" i="5"/>
  <c r="DP8" i="5"/>
  <c r="DP7" i="5"/>
  <c r="J8" i="5"/>
  <c r="J7" i="5"/>
  <c r="R7" i="5"/>
  <c r="R8" i="5"/>
  <c r="AA7" i="5"/>
  <c r="AA8" i="5"/>
  <c r="BA8" i="5"/>
  <c r="BA7" i="5"/>
  <c r="BR8" i="5"/>
  <c r="BR7" i="5"/>
  <c r="CA8" i="5"/>
  <c r="CA7" i="5"/>
  <c r="CJ8" i="5"/>
  <c r="CJ7" i="5"/>
  <c r="CR7" i="5"/>
  <c r="CR8" i="5"/>
  <c r="DQ8" i="5"/>
  <c r="DQ7" i="5"/>
  <c r="DX7" i="5"/>
  <c r="DX8" i="5"/>
  <c r="M8" i="5"/>
  <c r="M7" i="5"/>
  <c r="DD8" i="5"/>
  <c r="DD7" i="5"/>
  <c r="DU8" i="5"/>
  <c r="DU7" i="5"/>
  <c r="AY7" i="5"/>
  <c r="AY8" i="5"/>
  <c r="Z8" i="5"/>
  <c r="Z7" i="5"/>
  <c r="CQ7" i="5"/>
  <c r="CQ8" i="5"/>
  <c r="EF8" i="5"/>
  <c r="EF7" i="5"/>
  <c r="K8" i="5"/>
  <c r="K7" i="5"/>
  <c r="S7" i="5"/>
  <c r="S8" i="5"/>
  <c r="BB8" i="5"/>
  <c r="BB7" i="5"/>
  <c r="BJ7" i="5"/>
  <c r="BJ8" i="5"/>
  <c r="BS8" i="5"/>
  <c r="BS7" i="5"/>
  <c r="CS8" i="5"/>
  <c r="CS7" i="5"/>
  <c r="DY7" i="5"/>
  <c r="DY8" i="5"/>
  <c r="DC7" i="5"/>
  <c r="DC8" i="5"/>
  <c r="AN8" i="5"/>
  <c r="AN7" i="5"/>
  <c r="T8" i="5"/>
  <c r="T7" i="5"/>
  <c r="AK8" i="5"/>
  <c r="AK7" i="5"/>
  <c r="AT8" i="5"/>
  <c r="AT7" i="5"/>
  <c r="BC8" i="5"/>
  <c r="BC7" i="5"/>
  <c r="BK7" i="5"/>
  <c r="BK8" i="5"/>
  <c r="CT8" i="5"/>
  <c r="CT7" i="5"/>
  <c r="DJ8" i="5"/>
  <c r="DJ7" i="5"/>
  <c r="DZ8" i="5"/>
  <c r="DZ7" i="5"/>
  <c r="D8" i="5"/>
  <c r="D7" i="5"/>
  <c r="AD8" i="5"/>
  <c r="AD7" i="5"/>
  <c r="BU7" i="5"/>
  <c r="BU8" i="5"/>
  <c r="E7" i="5"/>
  <c r="E8" i="5"/>
  <c r="AE8" i="5"/>
  <c r="AE7" i="5"/>
  <c r="AV8" i="5"/>
  <c r="AV7" i="5"/>
  <c r="BN8" i="5"/>
  <c r="BN7" i="5"/>
  <c r="BV8" i="5"/>
  <c r="BV7" i="5"/>
  <c r="BH7" i="5"/>
  <c r="BH8" i="5"/>
  <c r="I8" i="5"/>
  <c r="I7" i="5"/>
  <c r="AI8" i="5"/>
  <c r="AI7" i="5"/>
  <c r="AR8" i="5"/>
  <c r="AR7" i="5"/>
  <c r="AZ7" i="5"/>
  <c r="AZ8" i="5"/>
  <c r="CI8" i="5"/>
  <c r="CI7" i="5"/>
  <c r="DH8" i="5"/>
  <c r="DH7" i="5"/>
  <c r="U8" i="5"/>
  <c r="U7" i="5"/>
  <c r="AC7" i="5"/>
  <c r="AC8" i="5"/>
  <c r="AL7" i="5"/>
  <c r="AL8" i="5"/>
  <c r="BL8" i="5"/>
  <c r="BL7" i="5"/>
  <c r="CC8" i="5"/>
  <c r="CC7" i="5"/>
  <c r="CL8" i="5"/>
  <c r="CL7" i="5"/>
  <c r="CU8" i="5"/>
  <c r="CU7" i="5"/>
  <c r="DB8" i="5"/>
  <c r="DB7" i="5"/>
  <c r="DS8" i="5"/>
  <c r="DS7" i="5"/>
  <c r="EA8" i="5"/>
  <c r="EA7" i="5"/>
  <c r="L7" i="5"/>
  <c r="W7" i="5"/>
  <c r="AH7" i="5"/>
  <c r="AS7" i="5"/>
  <c r="BD7" i="5"/>
  <c r="BO7" i="5"/>
  <c r="BZ7" i="5"/>
  <c r="CK7" i="5"/>
  <c r="CV7" i="5"/>
  <c r="DG7" i="5"/>
  <c r="DR7" i="5"/>
  <c r="EC7" i="5"/>
  <c r="C7" i="5"/>
  <c r="N7" i="5"/>
  <c r="Y7" i="5"/>
  <c r="AJ7" i="5"/>
  <c r="AU7" i="5"/>
  <c r="BF7" i="5"/>
  <c r="BQ7" i="5"/>
  <c r="CB7" i="5"/>
  <c r="CM7" i="5"/>
  <c r="CX7" i="5"/>
  <c r="DI7" i="5"/>
  <c r="DT7" i="5"/>
  <c r="EE7" i="5"/>
  <c r="BY8" i="4"/>
  <c r="BY7" i="4"/>
  <c r="CW8" i="4"/>
  <c r="CW7" i="4"/>
  <c r="DE8" i="4"/>
  <c r="DE7" i="4"/>
  <c r="E7" i="4"/>
  <c r="E8" i="4"/>
  <c r="O8" i="4"/>
  <c r="O7" i="4"/>
  <c r="AQ8" i="4"/>
  <c r="AQ7" i="4"/>
  <c r="AY8" i="4"/>
  <c r="AY7" i="4"/>
  <c r="CG7" i="4"/>
  <c r="CG8" i="4"/>
  <c r="CO7" i="4"/>
  <c r="CO8" i="4"/>
  <c r="DF8" i="4"/>
  <c r="DF7" i="4"/>
  <c r="DM8" i="4"/>
  <c r="DM7" i="4"/>
  <c r="ED8" i="4"/>
  <c r="ED7" i="4"/>
  <c r="BP8" i="4"/>
  <c r="BP7" i="4"/>
  <c r="AI8" i="4"/>
  <c r="AI7" i="4"/>
  <c r="BH8" i="4"/>
  <c r="BH7" i="4"/>
  <c r="CH7" i="4"/>
  <c r="CH8" i="4"/>
  <c r="DD7" i="4"/>
  <c r="DD8" i="4"/>
  <c r="CF7" i="4"/>
  <c r="CF8" i="4"/>
  <c r="P8" i="4"/>
  <c r="P7" i="4"/>
  <c r="BA7" i="4"/>
  <c r="BA8" i="4"/>
  <c r="DO7" i="4"/>
  <c r="DO8" i="4"/>
  <c r="CQ8" i="4"/>
  <c r="CQ7" i="4"/>
  <c r="EF8" i="4"/>
  <c r="EF7" i="4"/>
  <c r="BK7" i="4"/>
  <c r="BK8" i="4"/>
  <c r="BS7" i="4"/>
  <c r="BS8" i="4"/>
  <c r="CR7" i="4"/>
  <c r="CR8" i="4"/>
  <c r="CZ7" i="4"/>
  <c r="CZ8" i="4"/>
  <c r="DQ8" i="4"/>
  <c r="DQ7" i="4"/>
  <c r="DX8" i="4"/>
  <c r="DX7" i="4"/>
  <c r="AW7" i="4"/>
  <c r="AW8" i="4"/>
  <c r="BX8" i="4"/>
  <c r="BX7" i="4"/>
  <c r="AX7" i="4"/>
  <c r="AX8" i="4"/>
  <c r="F7" i="4"/>
  <c r="F8" i="4"/>
  <c r="AR8" i="4"/>
  <c r="AR7" i="4"/>
  <c r="BI7" i="4"/>
  <c r="BI8" i="4"/>
  <c r="DY7" i="4"/>
  <c r="DY8" i="4"/>
  <c r="D8" i="4"/>
  <c r="D7" i="4"/>
  <c r="AO7" i="4"/>
  <c r="AO8" i="4"/>
  <c r="X8" i="4"/>
  <c r="X7" i="4"/>
  <c r="G7" i="4"/>
  <c r="G8" i="4"/>
  <c r="AZ7" i="4"/>
  <c r="AZ8" i="4"/>
  <c r="DV7" i="4"/>
  <c r="DV8" i="4"/>
  <c r="Z8" i="4"/>
  <c r="Z7" i="4"/>
  <c r="CI8" i="4"/>
  <c r="CI7" i="4"/>
  <c r="I7" i="4"/>
  <c r="I8" i="4"/>
  <c r="AA7" i="4"/>
  <c r="AA8" i="4"/>
  <c r="BB8" i="4"/>
  <c r="BB7" i="4"/>
  <c r="DP8" i="4"/>
  <c r="DP7" i="4"/>
  <c r="AT8" i="4"/>
  <c r="AT7" i="4"/>
  <c r="T7" i="4"/>
  <c r="T8" i="4"/>
  <c r="U8" i="4"/>
  <c r="U7" i="4"/>
  <c r="AD7" i="4"/>
  <c r="AD8" i="4"/>
  <c r="AL7" i="4"/>
  <c r="AL8" i="4"/>
  <c r="BM8" i="4"/>
  <c r="BM7" i="4"/>
  <c r="BU7" i="4"/>
  <c r="BU8" i="4"/>
  <c r="CL8" i="4"/>
  <c r="CL7" i="4"/>
  <c r="CT8" i="4"/>
  <c r="CT7" i="4"/>
  <c r="DZ7" i="4"/>
  <c r="DZ8" i="4"/>
  <c r="AP7" i="4"/>
  <c r="AP8" i="4"/>
  <c r="Q7" i="4"/>
  <c r="Q8" i="4"/>
  <c r="R8" i="4"/>
  <c r="R7" i="4"/>
  <c r="J8" i="4"/>
  <c r="J7" i="4"/>
  <c r="AB7" i="4"/>
  <c r="AB8" i="4"/>
  <c r="BL7" i="4"/>
  <c r="BL8" i="4"/>
  <c r="V8" i="4"/>
  <c r="V7" i="4"/>
  <c r="AE7" i="4"/>
  <c r="AE8" i="4"/>
  <c r="AM7" i="4"/>
  <c r="AM8" i="4"/>
  <c r="BE8" i="4"/>
  <c r="BE7" i="4"/>
  <c r="BN8" i="4"/>
  <c r="BN7" i="4"/>
  <c r="BV7" i="4"/>
  <c r="BV8" i="4"/>
  <c r="CD7" i="4"/>
  <c r="CD8" i="4"/>
  <c r="CU8" i="4"/>
  <c r="CU7" i="4"/>
  <c r="DB7" i="4"/>
  <c r="DB8" i="4"/>
  <c r="DS8" i="4"/>
  <c r="DS7" i="4"/>
  <c r="EA8" i="4"/>
  <c r="EA7" i="4"/>
  <c r="AG8" i="4"/>
  <c r="AG7" i="4"/>
  <c r="DN7" i="4"/>
  <c r="DN8" i="4"/>
  <c r="H7" i="4"/>
  <c r="H8" i="4"/>
  <c r="CA8" i="4"/>
  <c r="CA7" i="4"/>
  <c r="BJ7" i="4"/>
  <c r="BJ8" i="4"/>
  <c r="CJ8" i="4"/>
  <c r="CJ7" i="4"/>
  <c r="DH8" i="4"/>
  <c r="DH7" i="4"/>
  <c r="S7" i="4"/>
  <c r="S8" i="4"/>
  <c r="BC8" i="4"/>
  <c r="BC7" i="4"/>
  <c r="K8" i="4"/>
  <c r="K7" i="4"/>
  <c r="AC8" i="4"/>
  <c r="AC7" i="4"/>
  <c r="BT7" i="4"/>
  <c r="BT8" i="4"/>
  <c r="CS7" i="4"/>
  <c r="CS8" i="4"/>
  <c r="M8" i="4"/>
  <c r="M7" i="4"/>
  <c r="AF8" i="4"/>
  <c r="AF7" i="4"/>
  <c r="AN8" i="4"/>
  <c r="AN7" i="4"/>
  <c r="BW7" i="4"/>
  <c r="BW8" i="4"/>
  <c r="DC7" i="4"/>
  <c r="DC8" i="4"/>
  <c r="DK8" i="4"/>
  <c r="DK7" i="4"/>
  <c r="EB8" i="4"/>
  <c r="EB7" i="4"/>
  <c r="L7" i="4"/>
  <c r="W7" i="4"/>
  <c r="AH7" i="4"/>
  <c r="AS7" i="4"/>
  <c r="BD7" i="4"/>
  <c r="BO7" i="4"/>
  <c r="BZ7" i="4"/>
  <c r="CK7" i="4"/>
  <c r="CV7" i="4"/>
  <c r="DG7" i="4"/>
  <c r="DR7" i="4"/>
  <c r="EC7" i="4"/>
  <c r="C7" i="4"/>
  <c r="N7" i="4"/>
  <c r="Y7" i="4"/>
  <c r="AJ7" i="4"/>
  <c r="AU7" i="4"/>
  <c r="BF7" i="4"/>
  <c r="BQ7" i="4"/>
  <c r="CB7" i="4"/>
  <c r="CM7" i="4"/>
  <c r="CX7" i="4"/>
  <c r="DI7" i="4"/>
  <c r="DT7" i="4"/>
  <c r="EE7" i="4"/>
  <c r="AK7" i="4"/>
  <c r="AV7" i="4"/>
  <c r="BG7" i="4"/>
  <c r="BR7" i="4"/>
  <c r="CC7" i="4"/>
  <c r="CN7" i="4"/>
  <c r="CY7" i="4"/>
  <c r="DJ7" i="4"/>
  <c r="DU7" i="4"/>
  <c r="BJ8" i="3"/>
  <c r="BJ7" i="3"/>
  <c r="AJ8" i="3"/>
  <c r="AJ7" i="3"/>
  <c r="AS7" i="3"/>
  <c r="AS8" i="3"/>
  <c r="BC8" i="3"/>
  <c r="BC7" i="3"/>
  <c r="BL8" i="3"/>
  <c r="BL7" i="3"/>
  <c r="BU8" i="3"/>
  <c r="BU7" i="3"/>
  <c r="CD7" i="3"/>
  <c r="CD8" i="3"/>
  <c r="CL8" i="3"/>
  <c r="CL7" i="3"/>
  <c r="CU8" i="3"/>
  <c r="CU7" i="3"/>
  <c r="DT8" i="3"/>
  <c r="DT7" i="3"/>
  <c r="EB7" i="3"/>
  <c r="EB8" i="3"/>
  <c r="AQ7" i="3"/>
  <c r="DB8" i="3"/>
  <c r="DB7" i="3"/>
  <c r="DR7" i="3"/>
  <c r="DR8" i="3"/>
  <c r="AI7" i="3"/>
  <c r="AI8" i="3"/>
  <c r="DS7" i="3"/>
  <c r="DS8" i="3"/>
  <c r="CR8" i="3"/>
  <c r="I8" i="3"/>
  <c r="I7" i="3"/>
  <c r="AT8" i="3"/>
  <c r="AT7" i="3"/>
  <c r="AC8" i="3"/>
  <c r="AC7" i="3"/>
  <c r="CV7" i="3"/>
  <c r="CV8" i="3"/>
  <c r="EC7" i="3"/>
  <c r="EC8" i="3"/>
  <c r="V7" i="3"/>
  <c r="V8" i="3"/>
  <c r="AN8" i="3"/>
  <c r="AN7" i="3"/>
  <c r="AW7" i="3"/>
  <c r="AW8" i="3"/>
  <c r="BF8" i="3"/>
  <c r="BF7" i="3"/>
  <c r="BO8" i="3"/>
  <c r="BO7" i="3"/>
  <c r="CX8" i="3"/>
  <c r="CX7" i="3"/>
  <c r="EE8" i="3"/>
  <c r="EE7" i="3"/>
  <c r="CI7" i="3"/>
  <c r="BK8" i="3"/>
  <c r="DN8" i="3"/>
  <c r="BS7" i="3"/>
  <c r="BS8" i="3"/>
  <c r="CJ8" i="3"/>
  <c r="CJ7" i="3"/>
  <c r="CB8" i="3"/>
  <c r="CB7" i="3"/>
  <c r="AA7" i="3"/>
  <c r="AA8" i="3"/>
  <c r="CC8" i="3"/>
  <c r="CC7" i="3"/>
  <c r="AK8" i="3"/>
  <c r="AK7" i="3"/>
  <c r="DU8" i="3"/>
  <c r="DU7" i="3"/>
  <c r="T8" i="3"/>
  <c r="T7" i="3"/>
  <c r="CN8" i="3"/>
  <c r="CN7" i="3"/>
  <c r="BM7" i="3"/>
  <c r="AV8" i="3"/>
  <c r="AV7" i="3"/>
  <c r="BE7" i="3"/>
  <c r="BE8" i="3"/>
  <c r="BW8" i="3"/>
  <c r="BW7" i="3"/>
  <c r="ED8" i="3"/>
  <c r="ED7" i="3"/>
  <c r="C8" i="3"/>
  <c r="C7" i="3"/>
  <c r="L8" i="3"/>
  <c r="L7" i="3"/>
  <c r="D8" i="3"/>
  <c r="D7" i="3"/>
  <c r="M8" i="3"/>
  <c r="M7" i="3"/>
  <c r="AE8" i="3"/>
  <c r="AE7" i="3"/>
  <c r="AX7" i="3"/>
  <c r="AX8" i="3"/>
  <c r="BG8" i="3"/>
  <c r="BG7" i="3"/>
  <c r="BP8" i="3"/>
  <c r="BP7" i="3"/>
  <c r="BY7" i="3"/>
  <c r="BY8" i="3"/>
  <c r="CY8" i="3"/>
  <c r="CY7" i="3"/>
  <c r="DG8" i="3"/>
  <c r="DG7" i="3"/>
  <c r="DO8" i="3"/>
  <c r="DO7" i="3"/>
  <c r="EF8" i="3"/>
  <c r="EF7" i="3"/>
  <c r="CT7" i="3"/>
  <c r="Y8" i="3"/>
  <c r="Y7" i="3"/>
  <c r="DJ8" i="3"/>
  <c r="DJ7" i="3"/>
  <c r="Z8" i="3"/>
  <c r="Z7" i="3"/>
  <c r="AH7" i="3"/>
  <c r="AH8" i="3"/>
  <c r="AR8" i="3"/>
  <c r="AR7" i="3"/>
  <c r="BA8" i="3"/>
  <c r="BA7" i="3"/>
  <c r="CS8" i="3"/>
  <c r="CS7" i="3"/>
  <c r="DZ8" i="3"/>
  <c r="DZ7" i="3"/>
  <c r="CK7" i="3"/>
  <c r="CK8" i="3"/>
  <c r="K8" i="3"/>
  <c r="K7" i="3"/>
  <c r="AL7" i="3"/>
  <c r="AL8" i="3"/>
  <c r="DM8" i="3"/>
  <c r="DM7" i="3"/>
  <c r="AM7" i="3"/>
  <c r="AM8" i="3"/>
  <c r="AZ8" i="3"/>
  <c r="E7" i="3"/>
  <c r="E8" i="3"/>
  <c r="N8" i="3"/>
  <c r="N7" i="3"/>
  <c r="W7" i="3"/>
  <c r="W8" i="3"/>
  <c r="AY8" i="3"/>
  <c r="AY7" i="3"/>
  <c r="BH7" i="3"/>
  <c r="BH8" i="3"/>
  <c r="BQ8" i="3"/>
  <c r="BQ7" i="3"/>
  <c r="CH8" i="3"/>
  <c r="CH7" i="3"/>
  <c r="CQ8" i="3"/>
  <c r="CQ7" i="3"/>
  <c r="DH8" i="3"/>
  <c r="DH7" i="3"/>
  <c r="DX8" i="3"/>
  <c r="DX7" i="3"/>
  <c r="G7" i="3"/>
  <c r="DE7" i="3"/>
  <c r="BV8" i="3"/>
  <c r="P7" i="3"/>
  <c r="P8" i="3"/>
  <c r="CA7" i="3"/>
  <c r="CA8" i="3"/>
  <c r="DA7" i="3"/>
  <c r="DA8" i="3"/>
  <c r="Q7" i="3"/>
  <c r="Q8" i="3"/>
  <c r="CM8" i="3"/>
  <c r="CM7" i="3"/>
  <c r="DD8" i="3"/>
  <c r="DD7" i="3"/>
  <c r="BB7" i="3"/>
  <c r="AU8" i="3"/>
  <c r="AU7" i="3"/>
  <c r="BD7" i="3"/>
  <c r="BD8" i="3"/>
  <c r="BN8" i="3"/>
  <c r="BN7" i="3"/>
  <c r="CF8" i="3"/>
  <c r="CF7" i="3"/>
  <c r="CO7" i="3"/>
  <c r="CO8" i="3"/>
  <c r="CW7" i="3"/>
  <c r="CW8" i="3"/>
  <c r="DF8" i="3"/>
  <c r="DF7" i="3"/>
  <c r="F7" i="3"/>
  <c r="F8" i="3"/>
  <c r="O8" i="3"/>
  <c r="O7" i="3"/>
  <c r="X7" i="3"/>
  <c r="X8" i="3"/>
  <c r="AG8" i="3"/>
  <c r="AG7" i="3"/>
  <c r="AP8" i="3"/>
  <c r="AP7" i="3"/>
  <c r="BI7" i="3"/>
  <c r="BI8" i="3"/>
  <c r="BR8" i="3"/>
  <c r="BR7" i="3"/>
  <c r="BZ7" i="3"/>
  <c r="BZ8" i="3"/>
  <c r="DI8" i="3"/>
  <c r="DI7" i="3"/>
  <c r="DQ7" i="3"/>
  <c r="DQ8" i="3"/>
  <c r="J7" i="3"/>
  <c r="DP7" i="3"/>
  <c r="DY8" i="3"/>
  <c r="G8" i="2"/>
  <c r="G7" i="2"/>
  <c r="R8" i="2"/>
  <c r="R7" i="2"/>
  <c r="E7" i="2"/>
  <c r="E8" i="2"/>
  <c r="U8" i="2"/>
  <c r="U7" i="2"/>
  <c r="AM7" i="2"/>
  <c r="AM8" i="2"/>
  <c r="BC8" i="2"/>
  <c r="BC7" i="2"/>
  <c r="BK8" i="2"/>
  <c r="BK7" i="2"/>
  <c r="CA7" i="2"/>
  <c r="CA8" i="2"/>
  <c r="CI8" i="2"/>
  <c r="CI7" i="2"/>
  <c r="CR8" i="2"/>
  <c r="CR7" i="2"/>
  <c r="DI8" i="2"/>
  <c r="DI7" i="2"/>
  <c r="DQ8" i="2"/>
  <c r="DQ7" i="2"/>
  <c r="DY8" i="2"/>
  <c r="DY7" i="2"/>
  <c r="N8" i="2"/>
  <c r="N7" i="2"/>
  <c r="AW7" i="2"/>
  <c r="AW8" i="2"/>
  <c r="CC8" i="2"/>
  <c r="CC7" i="2"/>
  <c r="DK7" i="2"/>
  <c r="DK8" i="2"/>
  <c r="O8" i="2"/>
  <c r="O7" i="2"/>
  <c r="AF8" i="2"/>
  <c r="AF7" i="2"/>
  <c r="AO8" i="2"/>
  <c r="AO7" i="2"/>
  <c r="BE7" i="2"/>
  <c r="BE8" i="2"/>
  <c r="BM8" i="2"/>
  <c r="BM7" i="2"/>
  <c r="CD7" i="2"/>
  <c r="CD8" i="2"/>
  <c r="CT8" i="2"/>
  <c r="CT7" i="2"/>
  <c r="DS7" i="2"/>
  <c r="DS8" i="2"/>
  <c r="BF8" i="2"/>
  <c r="BF7" i="2"/>
  <c r="BN8" i="2"/>
  <c r="BN7" i="2"/>
  <c r="BV8" i="2"/>
  <c r="BV7" i="2"/>
  <c r="CL7" i="2"/>
  <c r="CL8" i="2"/>
  <c r="CU8" i="2"/>
  <c r="CU7" i="2"/>
  <c r="DT8" i="2"/>
  <c r="DT7" i="2"/>
  <c r="H8" i="2"/>
  <c r="H7" i="2"/>
  <c r="Q7" i="2"/>
  <c r="Q8" i="2"/>
  <c r="Y8" i="2"/>
  <c r="Y7" i="2"/>
  <c r="BG8" i="2"/>
  <c r="BG7" i="2"/>
  <c r="CM8" i="2"/>
  <c r="CM7" i="2"/>
  <c r="DU8" i="2"/>
  <c r="DU7" i="2"/>
  <c r="BH7" i="2"/>
  <c r="BH8" i="2"/>
  <c r="CN8" i="2"/>
  <c r="CN7" i="2"/>
  <c r="AA7" i="2"/>
  <c r="AA8" i="2"/>
  <c r="AR8" i="2"/>
  <c r="AR7" i="2"/>
  <c r="AZ8" i="2"/>
  <c r="AZ7" i="2"/>
  <c r="BP7" i="2"/>
  <c r="BP8" i="2"/>
  <c r="BX8" i="2"/>
  <c r="BX7" i="2"/>
  <c r="CW7" i="2"/>
  <c r="CW8" i="2"/>
  <c r="DN8" i="2"/>
  <c r="DN7" i="2"/>
  <c r="ED7" i="2"/>
  <c r="ED8" i="2"/>
  <c r="J8" i="2"/>
  <c r="J7" i="2"/>
  <c r="S8" i="2"/>
  <c r="S7" i="2"/>
  <c r="AJ8" i="2"/>
  <c r="AJ7" i="2"/>
  <c r="AK8" i="2"/>
  <c r="AK7" i="2"/>
  <c r="BR8" i="2"/>
  <c r="BR7" i="2"/>
  <c r="CY8" i="2"/>
  <c r="CY7" i="2"/>
  <c r="EF8" i="2"/>
  <c r="EF7" i="2"/>
  <c r="L8" i="2"/>
  <c r="L7" i="2"/>
  <c r="AD8" i="2"/>
  <c r="AD7" i="2"/>
  <c r="AU8" i="2"/>
  <c r="AU7" i="2"/>
  <c r="DA7" i="2"/>
  <c r="DA8" i="2"/>
  <c r="M7" i="2"/>
  <c r="M8" i="2"/>
  <c r="V8" i="2"/>
  <c r="V7" i="2"/>
  <c r="AV8" i="2"/>
  <c r="AV7" i="2"/>
  <c r="CB8" i="2"/>
  <c r="CB7" i="2"/>
  <c r="CJ8" i="2"/>
  <c r="CJ7" i="2"/>
  <c r="DJ8" i="2"/>
  <c r="DJ7" i="2"/>
  <c r="W8" i="2"/>
  <c r="W7" i="2"/>
  <c r="DC8" i="2"/>
  <c r="DC7" i="2"/>
  <c r="EA8" i="2"/>
  <c r="EA7" i="2"/>
  <c r="P7" i="2"/>
  <c r="P8" i="2"/>
  <c r="X7" i="2"/>
  <c r="X8" i="2"/>
  <c r="AG8" i="2"/>
  <c r="AG7" i="2"/>
  <c r="EB8" i="2"/>
  <c r="EB7" i="2"/>
  <c r="Z8" i="2"/>
  <c r="Z7" i="2"/>
  <c r="AQ8" i="2"/>
  <c r="AQ7" i="2"/>
  <c r="DE8" i="2"/>
  <c r="DE7" i="2"/>
  <c r="DV7" i="2"/>
  <c r="DV8" i="2"/>
  <c r="AI7" i="2"/>
  <c r="AI8" i="2"/>
  <c r="CO7" i="2"/>
  <c r="CO8" i="2"/>
  <c r="DF8" i="2"/>
  <c r="DF7" i="2"/>
  <c r="BQ8" i="2"/>
  <c r="BQ7" i="2"/>
  <c r="BY8" i="2"/>
  <c r="BY7" i="2"/>
  <c r="CG8" i="2"/>
  <c r="CG7" i="2"/>
  <c r="CP7" i="2"/>
  <c r="CP8" i="2"/>
  <c r="CX8" i="2"/>
  <c r="CX7" i="2"/>
  <c r="EE8" i="2"/>
  <c r="EE7" i="2"/>
  <c r="C8" i="2"/>
  <c r="C7" i="2"/>
  <c r="K8" i="2"/>
  <c r="K7" i="2"/>
  <c r="D8" i="2"/>
  <c r="D7" i="2"/>
  <c r="AC8" i="2"/>
  <c r="AC7" i="2"/>
  <c r="AL7" i="2"/>
  <c r="AL8" i="2"/>
  <c r="AT7" i="2"/>
  <c r="AT8" i="2"/>
  <c r="BB8" i="2"/>
  <c r="BB7" i="2"/>
  <c r="BS7" i="2"/>
  <c r="BS8" i="2"/>
  <c r="CZ7" i="2"/>
  <c r="CZ8" i="2"/>
  <c r="DH7" i="2"/>
  <c r="DH8" i="2"/>
  <c r="DP8" i="2"/>
  <c r="DP7" i="2"/>
  <c r="AN7" i="2"/>
  <c r="AY7" i="2"/>
  <c r="BJ7" i="2"/>
  <c r="BU7" i="2"/>
  <c r="CF7" i="2"/>
  <c r="CQ7" i="2"/>
  <c r="DB7" i="2"/>
  <c r="DM7" i="2"/>
  <c r="DX7" i="2"/>
  <c r="F8" i="2"/>
  <c r="AB8" i="2"/>
  <c r="AX8" i="2"/>
  <c r="BI8" i="2"/>
  <c r="BT8" i="2"/>
  <c r="CE8" i="2"/>
  <c r="DL8" i="2"/>
  <c r="DW8" i="2"/>
  <c r="T7" i="2"/>
  <c r="AE7" i="2"/>
  <c r="AP7" i="2"/>
  <c r="BA7" i="2"/>
  <c r="BL7" i="2"/>
  <c r="BW7" i="2"/>
  <c r="CH7" i="2"/>
  <c r="CS7" i="2"/>
  <c r="DD7" i="2"/>
  <c r="DO7" i="2"/>
  <c r="DZ7" i="2"/>
  <c r="I7" i="2"/>
  <c r="AH7" i="2"/>
  <c r="AS7" i="2"/>
  <c r="BD7" i="2"/>
  <c r="BO7" i="2"/>
  <c r="BZ7" i="2"/>
  <c r="CK7" i="2"/>
  <c r="CV7" i="2"/>
  <c r="DG7" i="2"/>
  <c r="DR7" i="2"/>
  <c r="EF25" i="8" a="1"/>
  <c r="EF25" i="8" s="1"/>
  <c r="EE25" i="8" a="1"/>
  <c r="EE25" i="8" s="1"/>
  <c r="ED25" i="8" a="1"/>
  <c r="ED25" i="8" s="1"/>
  <c r="EC25" i="8" a="1"/>
  <c r="EC25" i="8" s="1"/>
  <c r="EB25" i="8" a="1"/>
  <c r="EB25" i="8"/>
  <c r="EA25" i="8" a="1"/>
  <c r="EA25" i="8" s="1"/>
  <c r="DZ25" i="8" a="1"/>
  <c r="DZ25" i="8"/>
  <c r="DY25" i="8" a="1"/>
  <c r="DY25" i="8"/>
  <c r="DX25" i="8" a="1"/>
  <c r="DX25" i="8" s="1"/>
  <c r="DW25" i="8" a="1"/>
  <c r="DW25" i="8" s="1"/>
  <c r="DV25" i="8" a="1"/>
  <c r="DV25" i="8" s="1"/>
  <c r="DU25" i="8" a="1"/>
  <c r="DU25" i="8" s="1"/>
  <c r="DT25" i="8" a="1"/>
  <c r="DT25" i="8" s="1"/>
  <c r="DS25" i="8" a="1"/>
  <c r="DS25" i="8" s="1"/>
  <c r="DR25" i="8" a="1"/>
  <c r="DR25" i="8" s="1"/>
  <c r="DQ25" i="8" a="1"/>
  <c r="DQ25" i="8"/>
  <c r="DP25" i="8" a="1"/>
  <c r="DP25" i="8" s="1"/>
  <c r="DO25" i="8" a="1"/>
  <c r="DO25" i="8"/>
  <c r="DN25" i="8" a="1"/>
  <c r="DN25" i="8"/>
  <c r="DM25" i="8" a="1"/>
  <c r="DM25" i="8" s="1"/>
  <c r="DL25" i="8" a="1"/>
  <c r="DL25" i="8"/>
  <c r="DK25" i="8" a="1"/>
  <c r="DK25" i="8"/>
  <c r="DJ25" i="8" a="1"/>
  <c r="DJ25" i="8" s="1"/>
  <c r="DI25" i="8" a="1"/>
  <c r="DI25" i="8" s="1"/>
  <c r="DH25" i="8" a="1"/>
  <c r="DH25" i="8" s="1"/>
  <c r="DG25" i="8" a="1"/>
  <c r="DG25" i="8" s="1"/>
  <c r="DF25" i="8" a="1"/>
  <c r="DF25" i="8"/>
  <c r="DE25" i="8" a="1"/>
  <c r="DE25" i="8"/>
  <c r="DD25" i="8" a="1"/>
  <c r="DD25" i="8"/>
  <c r="DC25" i="8" a="1"/>
  <c r="DC25" i="8"/>
  <c r="DB25" i="8" a="1"/>
  <c r="DB25" i="8" s="1"/>
  <c r="DA25" i="8" a="1"/>
  <c r="DA25" i="8"/>
  <c r="CZ25" i="8" a="1"/>
  <c r="CZ25" i="8"/>
  <c r="CY25" i="8" a="1"/>
  <c r="CY25" i="8" s="1"/>
  <c r="CX25" i="8" a="1"/>
  <c r="CX25" i="8" s="1"/>
  <c r="CW25" i="8" a="1"/>
  <c r="CW25" i="8" s="1"/>
  <c r="CV25" i="8" a="1"/>
  <c r="CV25" i="8" s="1"/>
  <c r="CU25" i="8" a="1"/>
  <c r="CU25" i="8"/>
  <c r="CT25" i="8" a="1"/>
  <c r="CT25" i="8"/>
  <c r="CS25" i="8" a="1"/>
  <c r="CS25" i="8"/>
  <c r="CR25" i="8" a="1"/>
  <c r="CR25" i="8"/>
  <c r="CQ25" i="8" a="1"/>
  <c r="CQ25" i="8" s="1"/>
  <c r="CP25" i="8" a="1"/>
  <c r="CP25" i="8"/>
  <c r="CO25" i="8" a="1"/>
  <c r="CO25" i="8"/>
  <c r="CN25" i="8" a="1"/>
  <c r="CN25" i="8" s="1"/>
  <c r="CM25" i="8" a="1"/>
  <c r="CM25" i="8" s="1"/>
  <c r="CL25" i="8" a="1"/>
  <c r="CL25" i="8" s="1"/>
  <c r="CK25" i="8" a="1"/>
  <c r="CK25" i="8" s="1"/>
  <c r="CJ25" i="8" a="1"/>
  <c r="CJ25" i="8"/>
  <c r="CI25" i="8" a="1"/>
  <c r="CI25" i="8"/>
  <c r="CH25" i="8" a="1"/>
  <c r="CH25" i="8"/>
  <c r="CG25" i="8" a="1"/>
  <c r="CG25" i="8"/>
  <c r="CF25" i="8" a="1"/>
  <c r="CF25" i="8" s="1"/>
  <c r="CE25" i="8" a="1"/>
  <c r="CE25" i="8"/>
  <c r="CD25" i="8" a="1"/>
  <c r="CD25" i="8"/>
  <c r="CC25" i="8" a="1"/>
  <c r="CC25" i="8" s="1"/>
  <c r="CB25" i="8" a="1"/>
  <c r="CB25" i="8" s="1"/>
  <c r="CA25" i="8" a="1"/>
  <c r="CA25" i="8" s="1"/>
  <c r="BZ25" i="8" a="1"/>
  <c r="BZ25" i="8" s="1"/>
  <c r="BY25" i="8" a="1"/>
  <c r="BY25" i="8"/>
  <c r="BX25" i="8" a="1"/>
  <c r="BX25" i="8"/>
  <c r="BW25" i="8" a="1"/>
  <c r="BW25" i="8"/>
  <c r="BV25" i="8" a="1"/>
  <c r="BV25" i="8"/>
  <c r="BU25" i="8" a="1"/>
  <c r="BU25" i="8" s="1"/>
  <c r="BT25" i="8" a="1"/>
  <c r="BT25" i="8"/>
  <c r="BS25" i="8" a="1"/>
  <c r="BS25" i="8"/>
  <c r="BR25" i="8" a="1"/>
  <c r="BR25" i="8" s="1"/>
  <c r="BQ25" i="8" a="1"/>
  <c r="BQ25" i="8" s="1"/>
  <c r="BP25" i="8" a="1"/>
  <c r="BP25" i="8" s="1"/>
  <c r="BO25" i="8" a="1"/>
  <c r="BO25" i="8" s="1"/>
  <c r="BN25" i="8" a="1"/>
  <c r="BN25" i="8"/>
  <c r="BM25" i="8" a="1"/>
  <c r="BM25" i="8"/>
  <c r="BL25" i="8" a="1"/>
  <c r="BL25" i="8"/>
  <c r="BK25" i="8" a="1"/>
  <c r="BK25" i="8"/>
  <c r="BJ25" i="8" a="1"/>
  <c r="BJ25" i="8" s="1"/>
  <c r="BI25" i="8" a="1"/>
  <c r="BI25" i="8"/>
  <c r="BH25" i="8" a="1"/>
  <c r="BH25" i="8"/>
  <c r="BG25" i="8" a="1"/>
  <c r="BG25" i="8" s="1"/>
  <c r="BF25" i="8" a="1"/>
  <c r="BF25" i="8" s="1"/>
  <c r="BE25" i="8" a="1"/>
  <c r="BE25" i="8" s="1"/>
  <c r="BD25" i="8" a="1"/>
  <c r="BD25" i="8" s="1"/>
  <c r="BC25" i="8" a="1"/>
  <c r="BC25" i="8"/>
  <c r="BB25" i="8" a="1"/>
  <c r="BB25" i="8"/>
  <c r="BA25" i="8" a="1"/>
  <c r="BA25" i="8"/>
  <c r="AZ25" i="8" a="1"/>
  <c r="AZ25" i="8"/>
  <c r="AY25" i="8" a="1"/>
  <c r="AY25" i="8" s="1"/>
  <c r="AX25" i="8" a="1"/>
  <c r="AX25" i="8"/>
  <c r="AW25" i="8" a="1"/>
  <c r="AW25" i="8"/>
  <c r="AV25" i="8" a="1"/>
  <c r="AV25" i="8" s="1"/>
  <c r="AU25" i="8" a="1"/>
  <c r="AU25" i="8" s="1"/>
  <c r="AT25" i="8" a="1"/>
  <c r="AT25" i="8" s="1"/>
  <c r="AS25" i="8" a="1"/>
  <c r="AS25" i="8" s="1"/>
  <c r="AR25" i="8" a="1"/>
  <c r="AR25" i="8"/>
  <c r="AQ25" i="8" a="1"/>
  <c r="AQ25" i="8"/>
  <c r="AP25" i="8" a="1"/>
  <c r="AP25" i="8"/>
  <c r="AO25" i="8" a="1"/>
  <c r="AO25" i="8"/>
  <c r="AN25" i="8" a="1"/>
  <c r="AN25" i="8" s="1"/>
  <c r="AM25" i="8" a="1"/>
  <c r="AM25" i="8"/>
  <c r="AL25" i="8" a="1"/>
  <c r="AL25" i="8"/>
  <c r="AK25" i="8" a="1"/>
  <c r="AK25" i="8" s="1"/>
  <c r="AJ25" i="8" a="1"/>
  <c r="AJ25" i="8" s="1"/>
  <c r="AI25" i="8" a="1"/>
  <c r="AI25" i="8" s="1"/>
  <c r="AH25" i="8" a="1"/>
  <c r="AH25" i="8" s="1"/>
  <c r="AG25" i="8" a="1"/>
  <c r="AG25" i="8"/>
  <c r="AF25" i="8" a="1"/>
  <c r="AF25" i="8"/>
  <c r="AE25" i="8" a="1"/>
  <c r="AE25" i="8"/>
  <c r="AD25" i="8" a="1"/>
  <c r="AD25" i="8"/>
  <c r="AC25" i="8" a="1"/>
  <c r="AC25" i="8" s="1"/>
  <c r="AB25" i="8" a="1"/>
  <c r="AB25" i="8"/>
  <c r="AA25" i="8" a="1"/>
  <c r="AA25" i="8"/>
  <c r="Z25" i="8" a="1"/>
  <c r="Z25" i="8" s="1"/>
  <c r="Y25" i="8" a="1"/>
  <c r="Y25" i="8" s="1"/>
  <c r="X25" i="8" a="1"/>
  <c r="X25" i="8" s="1"/>
  <c r="W25" i="8" a="1"/>
  <c r="W25" i="8" s="1"/>
  <c r="V25" i="8" a="1"/>
  <c r="V25" i="8"/>
  <c r="U25" i="8" a="1"/>
  <c r="U25" i="8"/>
  <c r="T25" i="8" a="1"/>
  <c r="T25" i="8"/>
  <c r="S25" i="8" a="1"/>
  <c r="S25" i="8"/>
  <c r="R25" i="8" a="1"/>
  <c r="R25" i="8" s="1"/>
  <c r="Q25" i="8" a="1"/>
  <c r="Q25" i="8"/>
  <c r="P25" i="8" a="1"/>
  <c r="P25" i="8"/>
  <c r="O25" i="8" a="1"/>
  <c r="O25" i="8" s="1"/>
  <c r="N25" i="8" a="1"/>
  <c r="N25" i="8" s="1"/>
  <c r="M25" i="8" a="1"/>
  <c r="M25" i="8" s="1"/>
  <c r="L25" i="8" a="1"/>
  <c r="L25" i="8" s="1"/>
  <c r="K25" i="8" a="1"/>
  <c r="K25" i="8"/>
  <c r="J25" i="8" a="1"/>
  <c r="J25" i="8"/>
  <c r="I25" i="8" a="1"/>
  <c r="I25" i="8"/>
  <c r="H25" i="8" a="1"/>
  <c r="H25" i="8"/>
  <c r="G25" i="8" a="1"/>
  <c r="G25" i="8" s="1"/>
  <c r="F25" i="8" a="1"/>
  <c r="F25" i="8"/>
  <c r="E25" i="8" a="1"/>
  <c r="E25" i="8"/>
  <c r="D25" i="8" a="1"/>
  <c r="D25" i="8" s="1"/>
  <c r="C25" i="8" a="1"/>
  <c r="C25" i="8" s="1"/>
  <c r="EF24" i="8" a="1"/>
  <c r="EF24" i="8" s="1"/>
  <c r="EE24" i="8" a="1"/>
  <c r="EE24" i="8" s="1"/>
  <c r="ED24" i="8" a="1"/>
  <c r="ED24" i="8"/>
  <c r="EC24" i="8" a="1"/>
  <c r="EC24" i="8"/>
  <c r="EB24" i="8" a="1"/>
  <c r="EB24" i="8"/>
  <c r="EA24" i="8" a="1"/>
  <c r="EA24" i="8"/>
  <c r="DZ24" i="8" a="1"/>
  <c r="DZ24" i="8" s="1"/>
  <c r="DY24" i="8" a="1"/>
  <c r="DY24" i="8"/>
  <c r="DX24" i="8" a="1"/>
  <c r="DX24" i="8"/>
  <c r="DW24" i="8" a="1"/>
  <c r="DW24" i="8" s="1"/>
  <c r="DV24" i="8" a="1"/>
  <c r="DV24" i="8" s="1"/>
  <c r="DU24" i="8" a="1"/>
  <c r="DU24" i="8" s="1"/>
  <c r="DT24" i="8" a="1"/>
  <c r="DT24" i="8" s="1"/>
  <c r="DS24" i="8" a="1"/>
  <c r="DS24" i="8"/>
  <c r="DR24" i="8" a="1"/>
  <c r="DR24" i="8"/>
  <c r="DQ24" i="8" a="1"/>
  <c r="DQ24" i="8"/>
  <c r="DP24" i="8" a="1"/>
  <c r="DP24" i="8"/>
  <c r="DO24" i="8" a="1"/>
  <c r="DO24" i="8" s="1"/>
  <c r="DN24" i="8" a="1"/>
  <c r="DN24" i="8" s="1"/>
  <c r="DM24" i="8" a="1"/>
  <c r="DM24" i="8"/>
  <c r="DL24" i="8" a="1"/>
  <c r="DL24" i="8" s="1"/>
  <c r="DK24" i="8" a="1"/>
  <c r="DK24" i="8" s="1"/>
  <c r="DJ24" i="8" a="1"/>
  <c r="DJ24" i="8" s="1"/>
  <c r="DI24" i="8" a="1"/>
  <c r="DI24" i="8" s="1"/>
  <c r="DH24" i="8" a="1"/>
  <c r="DH24" i="8"/>
  <c r="DG24" i="8" a="1"/>
  <c r="DG24" i="8"/>
  <c r="DF24" i="8" a="1"/>
  <c r="DF24" i="8"/>
  <c r="DE24" i="8" a="1"/>
  <c r="DE24" i="8"/>
  <c r="DD24" i="8" a="1"/>
  <c r="DD24" i="8" s="1"/>
  <c r="DC24" i="8" a="1"/>
  <c r="DC24" i="8" s="1"/>
  <c r="DB24" i="8" a="1"/>
  <c r="DB24" i="8"/>
  <c r="DA24" i="8" a="1"/>
  <c r="DA24" i="8" s="1"/>
  <c r="CZ24" i="8" a="1"/>
  <c r="CZ24" i="8" s="1"/>
  <c r="CY24" i="8" a="1"/>
  <c r="CY24" i="8" s="1"/>
  <c r="CX24" i="8" a="1"/>
  <c r="CX24" i="8" s="1"/>
  <c r="CW24" i="8" a="1"/>
  <c r="CW24" i="8"/>
  <c r="CV24" i="8" a="1"/>
  <c r="CV24" i="8"/>
  <c r="CU24" i="8" a="1"/>
  <c r="CU24" i="8"/>
  <c r="CT24" i="8" a="1"/>
  <c r="CT24" i="8"/>
  <c r="CS24" i="8" a="1"/>
  <c r="CS24" i="8" s="1"/>
  <c r="CR24" i="8" a="1"/>
  <c r="CR24" i="8" s="1"/>
  <c r="CQ24" i="8" a="1"/>
  <c r="CQ24" i="8"/>
  <c r="CP24" i="8" a="1"/>
  <c r="CP24" i="8" s="1"/>
  <c r="CO24" i="8" a="1"/>
  <c r="CO24" i="8" s="1"/>
  <c r="CN24" i="8" a="1"/>
  <c r="CN24" i="8" s="1"/>
  <c r="CM24" i="8" a="1"/>
  <c r="CM24" i="8" s="1"/>
  <c r="CL24" i="8" a="1"/>
  <c r="CL24" i="8"/>
  <c r="CK24" i="8" a="1"/>
  <c r="CK24" i="8"/>
  <c r="CJ24" i="8" a="1"/>
  <c r="CJ24" i="8"/>
  <c r="CI24" i="8" a="1"/>
  <c r="CI24" i="8"/>
  <c r="CH24" i="8" a="1"/>
  <c r="CH24" i="8" s="1"/>
  <c r="CG24" i="8" a="1"/>
  <c r="CG24" i="8" s="1"/>
  <c r="CF24" i="8" a="1"/>
  <c r="CF24" i="8"/>
  <c r="CE24" i="8" a="1"/>
  <c r="CE24" i="8" s="1"/>
  <c r="CD24" i="8" a="1"/>
  <c r="CD24" i="8" s="1"/>
  <c r="CC24" i="8" a="1"/>
  <c r="CC24" i="8" s="1"/>
  <c r="CB24" i="8" a="1"/>
  <c r="CB24" i="8" s="1"/>
  <c r="CA24" i="8" a="1"/>
  <c r="CA24" i="8"/>
  <c r="BZ24" i="8" a="1"/>
  <c r="BZ24" i="8"/>
  <c r="BY24" i="8" a="1"/>
  <c r="BY24" i="8"/>
  <c r="BX24" i="8" a="1"/>
  <c r="BX24" i="8"/>
  <c r="BW24" i="8" a="1"/>
  <c r="BW24" i="8" s="1"/>
  <c r="BV24" i="8" a="1"/>
  <c r="BV24" i="8" s="1"/>
  <c r="BU24" i="8" a="1"/>
  <c r="BU24" i="8"/>
  <c r="BT24" i="8" a="1"/>
  <c r="BT24" i="8" s="1"/>
  <c r="BS24" i="8" a="1"/>
  <c r="BS24" i="8" s="1"/>
  <c r="BR24" i="8" a="1"/>
  <c r="BR24" i="8" s="1"/>
  <c r="BQ24" i="8" a="1"/>
  <c r="BQ24" i="8" s="1"/>
  <c r="BP24" i="8" a="1"/>
  <c r="BP24" i="8"/>
  <c r="BO24" i="8" a="1"/>
  <c r="BO24" i="8"/>
  <c r="BN24" i="8" a="1"/>
  <c r="BN24" i="8"/>
  <c r="BM24" i="8" a="1"/>
  <c r="BM24" i="8"/>
  <c r="BL24" i="8" a="1"/>
  <c r="BL24" i="8" s="1"/>
  <c r="BK24" i="8" a="1"/>
  <c r="BK24" i="8" s="1"/>
  <c r="BJ24" i="8" a="1"/>
  <c r="BJ24" i="8"/>
  <c r="BI24" i="8" a="1"/>
  <c r="BI24" i="8" s="1"/>
  <c r="BH24" i="8" a="1"/>
  <c r="BH24" i="8" s="1"/>
  <c r="BG24" i="8" a="1"/>
  <c r="BG24" i="8" s="1"/>
  <c r="BF24" i="8" a="1"/>
  <c r="BF24" i="8" s="1"/>
  <c r="BE24" i="8" a="1"/>
  <c r="BE24" i="8"/>
  <c r="BD24" i="8" a="1"/>
  <c r="BD24" i="8"/>
  <c r="BC24" i="8" a="1"/>
  <c r="BC24" i="8"/>
  <c r="BB24" i="8" a="1"/>
  <c r="BB24" i="8"/>
  <c r="BA24" i="8" a="1"/>
  <c r="BA24" i="8" s="1"/>
  <c r="AZ24" i="8" a="1"/>
  <c r="AZ24" i="8" s="1"/>
  <c r="AY24" i="8" a="1"/>
  <c r="AY24" i="8"/>
  <c r="AX24" i="8" a="1"/>
  <c r="AX24" i="8" s="1"/>
  <c r="AW24" i="8" a="1"/>
  <c r="AW24" i="8" s="1"/>
  <c r="AV24" i="8" a="1"/>
  <c r="AV24" i="8" s="1"/>
  <c r="AU24" i="8" a="1"/>
  <c r="AU24" i="8" s="1"/>
  <c r="AT24" i="8" a="1"/>
  <c r="AT24" i="8"/>
  <c r="AS24" i="8" a="1"/>
  <c r="AS24" i="8"/>
  <c r="AR24" i="8" a="1"/>
  <c r="AR24" i="8"/>
  <c r="AQ24" i="8" a="1"/>
  <c r="AQ24" i="8"/>
  <c r="AP24" i="8" a="1"/>
  <c r="AP24" i="8" s="1"/>
  <c r="AO24" i="8" a="1"/>
  <c r="AO24" i="8" s="1"/>
  <c r="AN24" i="8" a="1"/>
  <c r="AN24" i="8"/>
  <c r="AM24" i="8" a="1"/>
  <c r="AM24" i="8" s="1"/>
  <c r="AL24" i="8" a="1"/>
  <c r="AL24" i="8" s="1"/>
  <c r="AK24" i="8" a="1"/>
  <c r="AK24" i="8" s="1"/>
  <c r="AJ24" i="8" a="1"/>
  <c r="AJ24" i="8" s="1"/>
  <c r="AI24" i="8" a="1"/>
  <c r="AI24" i="8"/>
  <c r="AH24" i="8" a="1"/>
  <c r="AH24" i="8"/>
  <c r="AG24" i="8" a="1"/>
  <c r="AG24" i="8"/>
  <c r="AF24" i="8" a="1"/>
  <c r="AF24" i="8"/>
  <c r="AE24" i="8" a="1"/>
  <c r="AE24" i="8" s="1"/>
  <c r="AD24" i="8" a="1"/>
  <c r="AD24" i="8" s="1"/>
  <c r="AC24" i="8" a="1"/>
  <c r="AC24" i="8"/>
  <c r="AB24" i="8" a="1"/>
  <c r="AB24" i="8" s="1"/>
  <c r="AA24" i="8" a="1"/>
  <c r="AA24" i="8" s="1"/>
  <c r="Z24" i="8" a="1"/>
  <c r="Z24" i="8" s="1"/>
  <c r="Y24" i="8" a="1"/>
  <c r="Y24" i="8" s="1"/>
  <c r="X24" i="8" a="1"/>
  <c r="X24" i="8"/>
  <c r="W24" i="8" a="1"/>
  <c r="W24" i="8"/>
  <c r="V24" i="8" a="1"/>
  <c r="V24" i="8"/>
  <c r="U24" i="8" a="1"/>
  <c r="U24" i="8"/>
  <c r="T24" i="8" a="1"/>
  <c r="T24" i="8" s="1"/>
  <c r="S24" i="8" a="1"/>
  <c r="S24" i="8"/>
  <c r="R24" i="8" a="1"/>
  <c r="R24" i="8"/>
  <c r="Q24" i="8" a="1"/>
  <c r="Q24" i="8" s="1"/>
  <c r="P24" i="8" a="1"/>
  <c r="P24" i="8" s="1"/>
  <c r="O24" i="8" a="1"/>
  <c r="O24" i="8" s="1"/>
  <c r="N24" i="8" a="1"/>
  <c r="N24" i="8" s="1"/>
  <c r="M24" i="8" a="1"/>
  <c r="M24" i="8"/>
  <c r="L24" i="8" a="1"/>
  <c r="L24" i="8"/>
  <c r="K24" i="8" a="1"/>
  <c r="K24" i="8"/>
  <c r="J24" i="8" a="1"/>
  <c r="J24" i="8"/>
  <c r="I24" i="8" a="1"/>
  <c r="I24" i="8" s="1"/>
  <c r="H24" i="8" a="1"/>
  <c r="H24" i="8"/>
  <c r="G24" i="8" a="1"/>
  <c r="G24" i="8"/>
  <c r="F24" i="8" a="1"/>
  <c r="F24" i="8" s="1"/>
  <c r="E24" i="8" a="1"/>
  <c r="E24" i="8" s="1"/>
  <c r="D24" i="8" a="1"/>
  <c r="D24" i="8" s="1"/>
  <c r="C24" i="8" a="1"/>
  <c r="C24" i="8" s="1"/>
  <c r="EF23" i="8" a="1"/>
  <c r="EF23" i="8"/>
  <c r="EE23" i="8" a="1"/>
  <c r="EE23" i="8"/>
  <c r="ED23" i="8" a="1"/>
  <c r="ED23" i="8"/>
  <c r="EC23" i="8" a="1"/>
  <c r="EC23" i="8"/>
  <c r="EB23" i="8" a="1"/>
  <c r="EB23" i="8" s="1"/>
  <c r="EA23" i="8" a="1"/>
  <c r="EA23" i="8"/>
  <c r="DZ23" i="8" a="1"/>
  <c r="DZ23" i="8"/>
  <c r="DY23" i="8" a="1"/>
  <c r="DY23" i="8" s="1"/>
  <c r="DX23" i="8" a="1"/>
  <c r="DX23" i="8" s="1"/>
  <c r="DW23" i="8" a="1"/>
  <c r="DW23" i="8" s="1"/>
  <c r="DV23" i="8" a="1"/>
  <c r="DV23" i="8" s="1"/>
  <c r="DU23" i="8" a="1"/>
  <c r="DU23" i="8"/>
  <c r="DT23" i="8" a="1"/>
  <c r="DT23" i="8"/>
  <c r="DS23" i="8" a="1"/>
  <c r="DS23" i="8"/>
  <c r="DR23" i="8" a="1"/>
  <c r="DR23" i="8"/>
  <c r="DQ23" i="8" a="1"/>
  <c r="DQ23" i="8" s="1"/>
  <c r="DP23" i="8" a="1"/>
  <c r="DP23" i="8"/>
  <c r="DO23" i="8" a="1"/>
  <c r="DO23" i="8"/>
  <c r="DN23" i="8" a="1"/>
  <c r="DN23" i="8" s="1"/>
  <c r="DM23" i="8" a="1"/>
  <c r="DM23" i="8" s="1"/>
  <c r="DL23" i="8" a="1"/>
  <c r="DL23" i="8" s="1"/>
  <c r="DK23" i="8" a="1"/>
  <c r="DK23" i="8" s="1"/>
  <c r="DJ23" i="8" a="1"/>
  <c r="DJ23" i="8"/>
  <c r="DI23" i="8" a="1"/>
  <c r="DI23" i="8"/>
  <c r="DH23" i="8" a="1"/>
  <c r="DH23" i="8"/>
  <c r="DG23" i="8" a="1"/>
  <c r="DG23" i="8"/>
  <c r="DF23" i="8" a="1"/>
  <c r="DF23" i="8" s="1"/>
  <c r="DE23" i="8" a="1"/>
  <c r="DE23" i="8"/>
  <c r="DD23" i="8" a="1"/>
  <c r="DD23" i="8"/>
  <c r="DC23" i="8" a="1"/>
  <c r="DC23" i="8" s="1"/>
  <c r="DB23" i="8" a="1"/>
  <c r="DB23" i="8" s="1"/>
  <c r="DA23" i="8" a="1"/>
  <c r="DA23" i="8" s="1"/>
  <c r="CZ23" i="8" a="1"/>
  <c r="CZ23" i="8" s="1"/>
  <c r="CY23" i="8" a="1"/>
  <c r="CY23" i="8"/>
  <c r="CX23" i="8" a="1"/>
  <c r="CX23" i="8"/>
  <c r="CW23" i="8" a="1"/>
  <c r="CW23" i="8"/>
  <c r="CV23" i="8" a="1"/>
  <c r="CV23" i="8"/>
  <c r="CU23" i="8" a="1"/>
  <c r="CU23" i="8" s="1"/>
  <c r="CT23" i="8" a="1"/>
  <c r="CT23" i="8"/>
  <c r="CS23" i="8" a="1"/>
  <c r="CS23" i="8"/>
  <c r="CR23" i="8" a="1"/>
  <c r="CR23" i="8" s="1"/>
  <c r="CQ23" i="8" a="1"/>
  <c r="CQ23" i="8" s="1"/>
  <c r="CP23" i="8" a="1"/>
  <c r="CP23" i="8" s="1"/>
  <c r="CO23" i="8" a="1"/>
  <c r="CO23" i="8" s="1"/>
  <c r="CN23" i="8" a="1"/>
  <c r="CN23" i="8"/>
  <c r="CM23" i="8" a="1"/>
  <c r="CM23" i="8" s="1"/>
  <c r="CL23" i="8" a="1"/>
  <c r="CL23" i="8"/>
  <c r="CK23" i="8" a="1"/>
  <c r="CK23" i="8"/>
  <c r="CJ23" i="8" a="1"/>
  <c r="CJ23" i="8" s="1"/>
  <c r="CI23" i="8" a="1"/>
  <c r="CI23" i="8"/>
  <c r="CH23" i="8" a="1"/>
  <c r="CH23" i="8"/>
  <c r="CG23" i="8" a="1"/>
  <c r="CG23" i="8" s="1"/>
  <c r="CF23" i="8" a="1"/>
  <c r="CF23" i="8" s="1"/>
  <c r="CE23" i="8" a="1"/>
  <c r="CE23" i="8" s="1"/>
  <c r="CD23" i="8" a="1"/>
  <c r="CD23" i="8" s="1"/>
  <c r="CC23" i="8" a="1"/>
  <c r="CC23" i="8"/>
  <c r="CB23" i="8" a="1"/>
  <c r="CB23" i="8" s="1"/>
  <c r="CA23" i="8" a="1"/>
  <c r="CA23" i="8"/>
  <c r="BZ23" i="8" a="1"/>
  <c r="BZ23" i="8"/>
  <c r="BY23" i="8" a="1"/>
  <c r="BY23" i="8" s="1"/>
  <c r="BX23" i="8" a="1"/>
  <c r="BX23" i="8" s="1"/>
  <c r="BW23" i="8" a="1"/>
  <c r="BW23" i="8"/>
  <c r="BV23" i="8" a="1"/>
  <c r="BV23" i="8" s="1"/>
  <c r="BU23" i="8" a="1"/>
  <c r="BU23" i="8" s="1"/>
  <c r="BT23" i="8" a="1"/>
  <c r="BT23" i="8" s="1"/>
  <c r="BS23" i="8" a="1"/>
  <c r="BS23" i="8" s="1"/>
  <c r="BR23" i="8" a="1"/>
  <c r="BR23" i="8"/>
  <c r="BQ23" i="8" a="1"/>
  <c r="BQ23" i="8" s="1"/>
  <c r="BP23" i="8" a="1"/>
  <c r="BP23" i="8"/>
  <c r="BO23" i="8" a="1"/>
  <c r="BO23" i="8"/>
  <c r="BN23" i="8" a="1"/>
  <c r="BN23" i="8" s="1"/>
  <c r="BM23" i="8" a="1"/>
  <c r="BM23" i="8"/>
  <c r="BL23" i="8" a="1"/>
  <c r="BL23" i="8"/>
  <c r="BK23" i="8" a="1"/>
  <c r="BK23" i="8" s="1"/>
  <c r="BJ23" i="8" a="1"/>
  <c r="BJ23" i="8" s="1"/>
  <c r="BI23" i="8" a="1"/>
  <c r="BI23" i="8" s="1"/>
  <c r="BH23" i="8" a="1"/>
  <c r="BH23" i="8"/>
  <c r="BG23" i="8" a="1"/>
  <c r="BG23" i="8"/>
  <c r="BF23" i="8" a="1"/>
  <c r="BF23" i="8"/>
  <c r="BE23" i="8" a="1"/>
  <c r="BE23" i="8"/>
  <c r="BD23" i="8" a="1"/>
  <c r="BD23" i="8"/>
  <c r="BC23" i="8" a="1"/>
  <c r="BC23" i="8" s="1"/>
  <c r="BB23" i="8" a="1"/>
  <c r="BB23" i="8"/>
  <c r="BA23" i="8" a="1"/>
  <c r="BA23" i="8"/>
  <c r="AZ23" i="8" a="1"/>
  <c r="AZ23" i="8" s="1"/>
  <c r="AY23" i="8" a="1"/>
  <c r="AY23" i="8" s="1"/>
  <c r="AX23" i="8" a="1"/>
  <c r="AX23" i="8" s="1"/>
  <c r="AW23" i="8" a="1"/>
  <c r="AW23" i="8" s="1"/>
  <c r="AV23" i="8" a="1"/>
  <c r="AV23" i="8"/>
  <c r="AU23" i="8" a="1"/>
  <c r="AU23" i="8" s="1"/>
  <c r="AT23" i="8" a="1"/>
  <c r="AT23" i="8"/>
  <c r="AS23" i="8" a="1"/>
  <c r="AS23" i="8"/>
  <c r="AR23" i="8" a="1"/>
  <c r="AR23" i="8" s="1"/>
  <c r="AQ23" i="8" a="1"/>
  <c r="AQ23" i="8"/>
  <c r="AP23" i="8" a="1"/>
  <c r="AP23" i="8" s="1"/>
  <c r="AO23" i="8" a="1"/>
  <c r="AO23" i="8" s="1"/>
  <c r="AN23" i="8" a="1"/>
  <c r="AN23" i="8" s="1"/>
  <c r="AM23" i="8" a="1"/>
  <c r="AM23" i="8" s="1"/>
  <c r="AL23" i="8" a="1"/>
  <c r="AL23" i="8" s="1"/>
  <c r="AK23" i="8" a="1"/>
  <c r="AK23" i="8"/>
  <c r="AJ23" i="8" a="1"/>
  <c r="AJ23" i="8"/>
  <c r="AI23" i="8" a="1"/>
  <c r="AI23" i="8"/>
  <c r="AH23" i="8" a="1"/>
  <c r="AH23" i="8"/>
  <c r="AG23" i="8" a="1"/>
  <c r="AG23" i="8" s="1"/>
  <c r="AF23" i="8" a="1"/>
  <c r="AF23" i="8"/>
  <c r="AE23" i="8" a="1"/>
  <c r="AE23" i="8" s="1"/>
  <c r="AD23" i="8" a="1"/>
  <c r="AD23" i="8" s="1"/>
  <c r="AC23" i="8" a="1"/>
  <c r="AC23" i="8" s="1"/>
  <c r="AB23" i="8" a="1"/>
  <c r="AB23" i="8"/>
  <c r="AA23" i="8" a="1"/>
  <c r="AA23" i="8" s="1"/>
  <c r="Z23" i="8" a="1"/>
  <c r="Z23" i="8"/>
  <c r="Y23" i="8" a="1"/>
  <c r="Y23" i="8"/>
  <c r="X23" i="8" a="1"/>
  <c r="X23" i="8"/>
  <c r="W23" i="8" a="1"/>
  <c r="W23" i="8"/>
  <c r="V23" i="8" a="1"/>
  <c r="V23" i="8" s="1"/>
  <c r="U23" i="8" a="1"/>
  <c r="U23" i="8"/>
  <c r="T23" i="8" a="1"/>
  <c r="T23" i="8" s="1"/>
  <c r="S23" i="8" a="1"/>
  <c r="S23" i="8" s="1"/>
  <c r="R23" i="8" a="1"/>
  <c r="R23" i="8" s="1"/>
  <c r="Q23" i="8" a="1"/>
  <c r="Q23" i="8" s="1"/>
  <c r="P23" i="8" a="1"/>
  <c r="P23" i="8" s="1"/>
  <c r="O23" i="8" a="1"/>
  <c r="O23" i="8"/>
  <c r="N23" i="8" a="1"/>
  <c r="N23" i="8" s="1"/>
  <c r="M23" i="8" a="1"/>
  <c r="M23" i="8"/>
  <c r="L23" i="8" a="1"/>
  <c r="L23" i="8"/>
  <c r="K23" i="8" a="1"/>
  <c r="K23" i="8" s="1"/>
  <c r="J23" i="8" a="1"/>
  <c r="J23" i="8"/>
  <c r="I23" i="8" a="1"/>
  <c r="I23" i="8"/>
  <c r="H23" i="8" a="1"/>
  <c r="H23" i="8" s="1"/>
  <c r="G23" i="8" a="1"/>
  <c r="G23" i="8" s="1"/>
  <c r="F23" i="8" a="1"/>
  <c r="F23" i="8" s="1"/>
  <c r="E23" i="8" a="1"/>
  <c r="E23" i="8" s="1"/>
  <c r="D23" i="8" a="1"/>
  <c r="D23" i="8"/>
  <c r="C23" i="8" a="1"/>
  <c r="C23" i="8"/>
  <c r="EF22" i="8" a="1"/>
  <c r="EF22" i="8"/>
  <c r="EE22" i="8" a="1"/>
  <c r="EE22" i="8"/>
  <c r="ED22" i="8" a="1"/>
  <c r="ED22" i="8" s="1"/>
  <c r="EC22" i="8" a="1"/>
  <c r="EC22" i="8" s="1"/>
  <c r="EB22" i="8" a="1"/>
  <c r="EB22" i="8" s="1"/>
  <c r="EA22" i="8" a="1"/>
  <c r="EA22" i="8" s="1"/>
  <c r="DZ22" i="8" a="1"/>
  <c r="DZ22" i="8" s="1"/>
  <c r="DY22" i="8" a="1"/>
  <c r="DY22" i="8"/>
  <c r="DX22" i="8" a="1"/>
  <c r="DX22" i="8" s="1"/>
  <c r="DW22" i="8" a="1"/>
  <c r="DW22" i="8"/>
  <c r="DV22" i="8" a="1"/>
  <c r="DV22" i="8" s="1"/>
  <c r="DU22" i="8" a="1"/>
  <c r="DU22" i="8"/>
  <c r="DT22" i="8" a="1"/>
  <c r="DT22" i="8"/>
  <c r="DS22" i="8" a="1"/>
  <c r="DS22" i="8" s="1"/>
  <c r="DR22" i="8" a="1"/>
  <c r="DR22" i="8" s="1"/>
  <c r="DQ22" i="8" a="1"/>
  <c r="DQ22" i="8"/>
  <c r="DP22" i="8" a="1"/>
  <c r="DP22" i="8" s="1"/>
  <c r="DO22" i="8" a="1"/>
  <c r="DO22" i="8" s="1"/>
  <c r="DN22" i="8" a="1"/>
  <c r="DN22" i="8" s="1"/>
  <c r="DM22" i="8" a="1"/>
  <c r="DM22" i="8" s="1"/>
  <c r="DL22" i="8" a="1"/>
  <c r="DL22" i="8"/>
  <c r="DK22" i="8" a="1"/>
  <c r="DK22" i="8" s="1"/>
  <c r="DJ22" i="8" a="1"/>
  <c r="DJ22" i="8"/>
  <c r="DI22" i="8" a="1"/>
  <c r="DI22" i="8"/>
  <c r="DH22" i="8" a="1"/>
  <c r="DH22" i="8" s="1"/>
  <c r="DG22" i="8" a="1"/>
  <c r="DG22" i="8" s="1"/>
  <c r="DF22" i="8" a="1"/>
  <c r="DF22" i="8"/>
  <c r="DE22" i="8" a="1"/>
  <c r="DE22" i="8" s="1"/>
  <c r="DD22" i="8" a="1"/>
  <c r="DD22" i="8" s="1"/>
  <c r="DC22" i="8" a="1"/>
  <c r="DC22" i="8"/>
  <c r="DB22" i="8" a="1"/>
  <c r="DB22" i="8" s="1"/>
  <c r="DA22" i="8" a="1"/>
  <c r="DA22" i="8"/>
  <c r="CZ22" i="8" a="1"/>
  <c r="CZ22" i="8" s="1"/>
  <c r="CY22" i="8" a="1"/>
  <c r="CY22" i="8"/>
  <c r="CX22" i="8" a="1"/>
  <c r="CX22" i="8"/>
  <c r="CW22" i="8" a="1"/>
  <c r="CW22" i="8" s="1"/>
  <c r="CV22" i="8" a="1"/>
  <c r="CV22" i="8" s="1"/>
  <c r="CU22" i="8" a="1"/>
  <c r="CU22" i="8" s="1"/>
  <c r="CT22" i="8" a="1"/>
  <c r="CT22" i="8" s="1"/>
  <c r="CS22" i="8" a="1"/>
  <c r="CS22" i="8" s="1"/>
  <c r="CR22" i="8" a="1"/>
  <c r="CR22" i="8"/>
  <c r="CQ22" i="8" a="1"/>
  <c r="CQ22" i="8" s="1"/>
  <c r="CP22" i="8" a="1"/>
  <c r="CP22" i="8"/>
  <c r="CO22" i="8" a="1"/>
  <c r="CO22" i="8" s="1"/>
  <c r="CN22" i="8" a="1"/>
  <c r="CN22" i="8"/>
  <c r="CM22" i="8" a="1"/>
  <c r="CM22" i="8"/>
  <c r="CL22" i="8" a="1"/>
  <c r="CL22" i="8" s="1"/>
  <c r="CK22" i="8" a="1"/>
  <c r="CK22" i="8" s="1"/>
  <c r="CJ22" i="8" a="1"/>
  <c r="CJ22" i="8" s="1"/>
  <c r="CI22" i="8" a="1"/>
  <c r="CI22" i="8" s="1"/>
  <c r="CH22" i="8" a="1"/>
  <c r="CH22" i="8" s="1"/>
  <c r="CG22" i="8" a="1"/>
  <c r="CG22" i="8"/>
  <c r="CF22" i="8" a="1"/>
  <c r="CF22" i="8" s="1"/>
  <c r="CE22" i="8" a="1"/>
  <c r="CE22" i="8"/>
  <c r="CD22" i="8" a="1"/>
  <c r="CD22" i="8" s="1"/>
  <c r="CC22" i="8" a="1"/>
  <c r="CC22" i="8"/>
  <c r="CB22" i="8" a="1"/>
  <c r="CB22" i="8"/>
  <c r="CA22" i="8" a="1"/>
  <c r="CA22" i="8" s="1"/>
  <c r="BZ22" i="8" a="1"/>
  <c r="BZ22" i="8" s="1"/>
  <c r="BY22" i="8" a="1"/>
  <c r="BY22" i="8"/>
  <c r="BX22" i="8" a="1"/>
  <c r="BX22" i="8" s="1"/>
  <c r="BW22" i="8" a="1"/>
  <c r="BW22" i="8" s="1"/>
  <c r="BV22" i="8" a="1"/>
  <c r="BV22" i="8"/>
  <c r="BU22" i="8" a="1"/>
  <c r="BU22" i="8" s="1"/>
  <c r="BT22" i="8" a="1"/>
  <c r="BT22" i="8"/>
  <c r="BS22" i="8" a="1"/>
  <c r="BS22" i="8"/>
  <c r="BR22" i="8" a="1"/>
  <c r="BR22" i="8"/>
  <c r="BQ22" i="8" a="1"/>
  <c r="BQ22" i="8"/>
  <c r="BP22" i="8" a="1"/>
  <c r="BP22" i="8" s="1"/>
  <c r="BO22" i="8" a="1"/>
  <c r="BO22" i="8" s="1"/>
  <c r="BN22" i="8" a="1"/>
  <c r="BN22" i="8"/>
  <c r="BM22" i="8" a="1"/>
  <c r="BM22" i="8" s="1"/>
  <c r="BL22" i="8" a="1"/>
  <c r="BL22" i="8" s="1"/>
  <c r="BK22" i="8" a="1"/>
  <c r="BK22" i="8" s="1"/>
  <c r="BJ22" i="8" a="1"/>
  <c r="BJ22" i="8" s="1"/>
  <c r="BI22" i="8" a="1"/>
  <c r="BI22" i="8"/>
  <c r="BH22" i="8" a="1"/>
  <c r="BH22" i="8" s="1"/>
  <c r="BG22" i="8" a="1"/>
  <c r="BG22" i="8"/>
  <c r="BF22" i="8" a="1"/>
  <c r="BF22" i="8"/>
  <c r="BE22" i="8" a="1"/>
  <c r="BE22" i="8" s="1"/>
  <c r="BD22" i="8" a="1"/>
  <c r="BD22" i="8" s="1"/>
  <c r="BC22" i="8" a="1"/>
  <c r="BC22" i="8" s="1"/>
  <c r="BB22" i="8" a="1"/>
  <c r="BB22" i="8" s="1"/>
  <c r="BA22" i="8" a="1"/>
  <c r="BA22" i="8" s="1"/>
  <c r="AZ22" i="8" a="1"/>
  <c r="AZ22" i="8" s="1"/>
  <c r="AY22" i="8" a="1"/>
  <c r="AY22" i="8" s="1"/>
  <c r="AX22" i="8" a="1"/>
  <c r="AX22" i="8"/>
  <c r="AW22" i="8" a="1"/>
  <c r="AW22" i="8" s="1"/>
  <c r="AV22" i="8" a="1"/>
  <c r="AV22" i="8"/>
  <c r="AU22" i="8" a="1"/>
  <c r="AU22" i="8"/>
  <c r="AT22" i="8" a="1"/>
  <c r="AT22" i="8" s="1"/>
  <c r="AS22" i="8" a="1"/>
  <c r="AS22" i="8" s="1"/>
  <c r="AR22" i="8" a="1"/>
  <c r="AR22" i="8" s="1"/>
  <c r="AQ22" i="8" a="1"/>
  <c r="AQ22" i="8" s="1"/>
  <c r="AP22" i="8" a="1"/>
  <c r="AP22" i="8" s="1"/>
  <c r="AO22" i="8" a="1"/>
  <c r="AO22" i="8"/>
  <c r="AN22" i="8" a="1"/>
  <c r="AN22" i="8" s="1"/>
  <c r="AM22" i="8" a="1"/>
  <c r="AM22" i="8"/>
  <c r="AL22" i="8" a="1"/>
  <c r="AL22" i="8" s="1"/>
  <c r="AK22" i="8" a="1"/>
  <c r="AK22" i="8"/>
  <c r="AJ22" i="8" a="1"/>
  <c r="AJ22" i="8"/>
  <c r="AI22" i="8" a="1"/>
  <c r="AI22" i="8" s="1"/>
  <c r="AH22" i="8" a="1"/>
  <c r="AH22" i="8"/>
  <c r="AG22" i="8" a="1"/>
  <c r="AG22" i="8"/>
  <c r="AF22" i="8" a="1"/>
  <c r="AF22" i="8" s="1"/>
  <c r="AE22" i="8" a="1"/>
  <c r="AE22" i="8" s="1"/>
  <c r="AD22" i="8" a="1"/>
  <c r="AD22" i="8" s="1"/>
  <c r="AC22" i="8" a="1"/>
  <c r="AC22" i="8" s="1"/>
  <c r="AB22" i="8" a="1"/>
  <c r="AB22" i="8"/>
  <c r="AA22" i="8" a="1"/>
  <c r="AA22" i="8" s="1"/>
  <c r="Z22" i="8" a="1"/>
  <c r="Z22" i="8"/>
  <c r="Y22" i="8" a="1"/>
  <c r="Y22" i="8"/>
  <c r="X22" i="8" a="1"/>
  <c r="X22" i="8" s="1"/>
  <c r="W22" i="8" a="1"/>
  <c r="W22" i="8"/>
  <c r="V22" i="8" a="1"/>
  <c r="V22" i="8" s="1"/>
  <c r="U22" i="8" a="1"/>
  <c r="U22" i="8" s="1"/>
  <c r="T22" i="8" a="1"/>
  <c r="T22" i="8" s="1"/>
  <c r="S22" i="8" a="1"/>
  <c r="S22" i="8" s="1"/>
  <c r="R22" i="8" a="1"/>
  <c r="R22" i="8" s="1"/>
  <c r="Q22" i="8" a="1"/>
  <c r="Q22" i="8"/>
  <c r="P22" i="8" a="1"/>
  <c r="P22" i="8"/>
  <c r="O22" i="8" a="1"/>
  <c r="O22" i="8"/>
  <c r="N22" i="8" a="1"/>
  <c r="N22" i="8"/>
  <c r="M22" i="8" a="1"/>
  <c r="M22" i="8" s="1"/>
  <c r="L22" i="8" a="1"/>
  <c r="L22" i="8"/>
  <c r="K22" i="8" a="1"/>
  <c r="K22" i="8"/>
  <c r="J22" i="8" a="1"/>
  <c r="J22" i="8" s="1"/>
  <c r="I22" i="8" a="1"/>
  <c r="I22" i="8" s="1"/>
  <c r="H22" i="8" a="1"/>
  <c r="H22" i="8" s="1"/>
  <c r="G22" i="8" a="1"/>
  <c r="G22" i="8" s="1"/>
  <c r="F22" i="8" a="1"/>
  <c r="F22" i="8"/>
  <c r="E22" i="8" a="1"/>
  <c r="E22" i="8"/>
  <c r="D22" i="8" a="1"/>
  <c r="D22" i="8"/>
  <c r="C22" i="8" a="1"/>
  <c r="C22" i="8"/>
  <c r="EF21" i="8" a="1"/>
  <c r="EF21" i="8" s="1"/>
  <c r="EE21" i="8" a="1"/>
  <c r="EE21" i="8"/>
  <c r="ED21" i="8" a="1"/>
  <c r="ED21" i="8" s="1"/>
  <c r="EC21" i="8" a="1"/>
  <c r="EC21" i="8" s="1"/>
  <c r="EB21" i="8" a="1"/>
  <c r="EB21" i="8" s="1"/>
  <c r="EA21" i="8" a="1"/>
  <c r="EA21" i="8"/>
  <c r="DZ21" i="8" a="1"/>
  <c r="DZ21" i="8" s="1"/>
  <c r="DY21" i="8" a="1"/>
  <c r="DY21" i="8"/>
  <c r="DX21" i="8" a="1"/>
  <c r="DX21" i="8"/>
  <c r="DW21" i="8" a="1"/>
  <c r="DW21" i="8"/>
  <c r="DV21" i="8" a="1"/>
  <c r="DV21" i="8"/>
  <c r="DU21" i="8" a="1"/>
  <c r="DU21" i="8" s="1"/>
  <c r="DT21" i="8" a="1"/>
  <c r="DT21" i="8"/>
  <c r="DS21" i="8" a="1"/>
  <c r="DS21" i="8"/>
  <c r="DR21" i="8" a="1"/>
  <c r="DR21" i="8" s="1"/>
  <c r="DQ21" i="8" a="1"/>
  <c r="DQ21" i="8" s="1"/>
  <c r="DP21" i="8" a="1"/>
  <c r="DP21" i="8" s="1"/>
  <c r="DO21" i="8" a="1"/>
  <c r="DO21" i="8" s="1"/>
  <c r="DN21" i="8" a="1"/>
  <c r="DN21" i="8"/>
  <c r="DM21" i="8" a="1"/>
  <c r="DM21" i="8" s="1"/>
  <c r="DL21" i="8" a="1"/>
  <c r="DL21" i="8"/>
  <c r="DK21" i="8" a="1"/>
  <c r="DK21" i="8"/>
  <c r="DJ21" i="8" a="1"/>
  <c r="DJ21" i="8" s="1"/>
  <c r="DI21" i="8" a="1"/>
  <c r="DI21" i="8"/>
  <c r="DH21" i="8" a="1"/>
  <c r="DH21" i="8" s="1"/>
  <c r="DG21" i="8" a="1"/>
  <c r="DG21" i="8" s="1"/>
  <c r="DF21" i="8" a="1"/>
  <c r="DF21" i="8" s="1"/>
  <c r="DE21" i="8" a="1"/>
  <c r="DE21" i="8"/>
  <c r="DD21" i="8" a="1"/>
  <c r="DD21" i="8" s="1"/>
  <c r="DC21" i="8" a="1"/>
  <c r="DC21" i="8"/>
  <c r="DB21" i="8" a="1"/>
  <c r="DB21" i="8" s="1"/>
  <c r="DA21" i="8" a="1"/>
  <c r="DA21" i="8"/>
  <c r="CZ21" i="8" a="1"/>
  <c r="CZ21" i="8"/>
  <c r="CY21" i="8" a="1"/>
  <c r="CY21" i="8" s="1"/>
  <c r="CX21" i="8" a="1"/>
  <c r="CX21" i="8"/>
  <c r="CW21" i="8" a="1"/>
  <c r="CW21" i="8" s="1"/>
  <c r="CV21" i="8" a="1"/>
  <c r="CV21" i="8" s="1"/>
  <c r="CU21" i="8" a="1"/>
  <c r="CU21" i="8" s="1"/>
  <c r="CT21" i="8" a="1"/>
  <c r="CT21" i="8" s="1"/>
  <c r="CS21" i="8" a="1"/>
  <c r="CS21" i="8" s="1"/>
  <c r="CR21" i="8" a="1"/>
  <c r="CR21" i="8"/>
  <c r="CQ21" i="8" a="1"/>
  <c r="CQ21" i="8" s="1"/>
  <c r="CP21" i="8" a="1"/>
  <c r="CP21" i="8"/>
  <c r="CO21" i="8" a="1"/>
  <c r="CO21" i="8"/>
  <c r="CN21" i="8" a="1"/>
  <c r="CN21" i="8" s="1"/>
  <c r="CM21" i="8" a="1"/>
  <c r="CM21" i="8"/>
  <c r="CL21" i="8" a="1"/>
  <c r="CL21" i="8"/>
  <c r="CK21" i="8" a="1"/>
  <c r="CK21" i="8" s="1"/>
  <c r="CJ21" i="8" a="1"/>
  <c r="CJ21" i="8" s="1"/>
  <c r="CI21" i="8" a="1"/>
  <c r="CI21" i="8" s="1"/>
  <c r="CH21" i="8" a="1"/>
  <c r="CH21" i="8" s="1"/>
  <c r="CG21" i="8" a="1"/>
  <c r="CG21" i="8"/>
  <c r="CF21" i="8" a="1"/>
  <c r="CF21" i="8"/>
  <c r="CE21" i="8" a="1"/>
  <c r="CE21" i="8"/>
  <c r="CD21" i="8" a="1"/>
  <c r="CD21" i="8"/>
  <c r="CC21" i="8" a="1"/>
  <c r="CC21" i="8" s="1"/>
  <c r="CB21" i="8" a="1"/>
  <c r="CB21" i="8"/>
  <c r="CA21" i="8" a="1"/>
  <c r="CA21" i="8"/>
  <c r="BZ21" i="8" a="1"/>
  <c r="BZ21" i="8" s="1"/>
  <c r="BY21" i="8" a="1"/>
  <c r="BY21" i="8" s="1"/>
  <c r="BX21" i="8" a="1"/>
  <c r="BX21" i="8"/>
  <c r="BW21" i="8" a="1"/>
  <c r="BW21" i="8" s="1"/>
  <c r="BV21" i="8" a="1"/>
  <c r="BV21" i="8"/>
  <c r="BU21" i="8" a="1"/>
  <c r="BU21" i="8" s="1"/>
  <c r="BT21" i="8" a="1"/>
  <c r="BT21" i="8"/>
  <c r="BS21" i="8" a="1"/>
  <c r="BS21" i="8"/>
  <c r="BR21" i="8" a="1"/>
  <c r="BR21" i="8" s="1"/>
  <c r="BQ21" i="8" a="1"/>
  <c r="BQ21" i="8"/>
  <c r="BP21" i="8" a="1"/>
  <c r="BP21" i="8"/>
  <c r="BO21" i="8" a="1"/>
  <c r="BO21" i="8" s="1"/>
  <c r="BN21" i="8" a="1"/>
  <c r="BN21" i="8" s="1"/>
  <c r="BM21" i="8" a="1"/>
  <c r="BM21" i="8"/>
  <c r="BL21" i="8" a="1"/>
  <c r="BL21" i="8" s="1"/>
  <c r="BK21" i="8" a="1"/>
  <c r="BK21" i="8"/>
  <c r="BJ21" i="8" a="1"/>
  <c r="BJ21" i="8"/>
  <c r="BI21" i="8" a="1"/>
  <c r="BI21" i="8"/>
  <c r="BH21" i="8" a="1"/>
  <c r="BH21" i="8"/>
  <c r="BG21" i="8" a="1"/>
  <c r="BG21" i="8"/>
  <c r="BF21" i="8" a="1"/>
  <c r="BF21" i="8"/>
  <c r="BE21" i="8" a="1"/>
  <c r="BE21" i="8"/>
  <c r="BD21" i="8" a="1"/>
  <c r="BD21" i="8" s="1"/>
  <c r="BC21" i="8" a="1"/>
  <c r="BC21" i="8" s="1"/>
  <c r="BB21" i="8" a="1"/>
  <c r="BB21" i="8" s="1"/>
  <c r="BA21" i="8" a="1"/>
  <c r="BA21" i="8" s="1"/>
  <c r="AZ21" i="8" a="1"/>
  <c r="AZ21" i="8"/>
  <c r="AY21" i="8" a="1"/>
  <c r="AY21" i="8"/>
  <c r="AX21" i="8" a="1"/>
  <c r="AX21" i="8"/>
  <c r="AW21" i="8" a="1"/>
  <c r="AW21" i="8"/>
  <c r="AV21" i="8" a="1"/>
  <c r="AV21" i="8" s="1"/>
  <c r="AU21" i="8" a="1"/>
  <c r="AU21" i="8"/>
  <c r="AT21" i="8" a="1"/>
  <c r="AT21" i="8" s="1"/>
  <c r="AS21" i="8" a="1"/>
  <c r="AS21" i="8" s="1"/>
  <c r="AR21" i="8" a="1"/>
  <c r="AR21" i="8" s="1"/>
  <c r="AQ21" i="8" a="1"/>
  <c r="AQ21" i="8"/>
  <c r="AP21" i="8" a="1"/>
  <c r="AP21" i="8" s="1"/>
  <c r="AO21" i="8" a="1"/>
  <c r="AO21" i="8"/>
  <c r="AN21" i="8" a="1"/>
  <c r="AN21" i="8" s="1"/>
  <c r="AM21" i="8" a="1"/>
  <c r="AM21" i="8"/>
  <c r="AL21" i="8" a="1"/>
  <c r="AL21" i="8"/>
  <c r="AK21" i="8" a="1"/>
  <c r="AK21" i="8"/>
  <c r="AJ21" i="8" a="1"/>
  <c r="AJ21" i="8"/>
  <c r="AI21" i="8" a="1"/>
  <c r="AI21" i="8" s="1"/>
  <c r="AH21" i="8" a="1"/>
  <c r="AH21" i="8" s="1"/>
  <c r="AG21" i="8" a="1"/>
  <c r="AG21" i="8" s="1"/>
  <c r="AF21" i="8" a="1"/>
  <c r="AF21" i="8"/>
  <c r="AE21" i="8" a="1"/>
  <c r="AE21" i="8" s="1"/>
  <c r="AD21" i="8" a="1"/>
  <c r="AD21" i="8"/>
  <c r="AC21" i="8" a="1"/>
  <c r="AC21" i="8"/>
  <c r="AB21" i="8" a="1"/>
  <c r="AB21" i="8"/>
  <c r="AA21" i="8" a="1"/>
  <c r="AA21" i="8"/>
  <c r="Z21" i="8" a="1"/>
  <c r="Z21" i="8"/>
  <c r="Y21" i="8" a="1"/>
  <c r="Y21" i="8"/>
  <c r="X21" i="8" a="1"/>
  <c r="X21" i="8" s="1"/>
  <c r="W21" i="8" a="1"/>
  <c r="W21" i="8" s="1"/>
  <c r="V21" i="8" a="1"/>
  <c r="V21" i="8" s="1"/>
  <c r="U21" i="8" a="1"/>
  <c r="U21" i="8" s="1"/>
  <c r="T21" i="8" a="1"/>
  <c r="T21" i="8" s="1"/>
  <c r="S21" i="8" a="1"/>
  <c r="S21" i="8"/>
  <c r="R21" i="8" a="1"/>
  <c r="R21" i="8" s="1"/>
  <c r="Q21" i="8" a="1"/>
  <c r="Q21" i="8"/>
  <c r="P21" i="8" a="1"/>
  <c r="P21" i="8"/>
  <c r="O21" i="8" a="1"/>
  <c r="O21" i="8" s="1"/>
  <c r="N21" i="8" a="1"/>
  <c r="N21" i="8"/>
  <c r="M21" i="8" a="1"/>
  <c r="M21" i="8"/>
  <c r="L21" i="8" a="1"/>
  <c r="L21" i="8" s="1"/>
  <c r="K21" i="8" a="1"/>
  <c r="K21" i="8" s="1"/>
  <c r="J21" i="8" a="1"/>
  <c r="J21" i="8"/>
  <c r="I21" i="8" a="1"/>
  <c r="I21" i="8" s="1"/>
  <c r="H21" i="8" a="1"/>
  <c r="H21" i="8"/>
  <c r="G21" i="8" a="1"/>
  <c r="G21" i="8" s="1"/>
  <c r="F21" i="8" a="1"/>
  <c r="F21" i="8"/>
  <c r="E21" i="8" a="1"/>
  <c r="E21" i="8"/>
  <c r="D21" i="8" a="1"/>
  <c r="D21" i="8"/>
  <c r="C21" i="8" a="1"/>
  <c r="C21" i="8"/>
  <c r="EF20" i="8" a="1"/>
  <c r="EF20" i="8" s="1"/>
  <c r="EE20" i="8" a="1"/>
  <c r="EE20" i="8" s="1"/>
  <c r="ED20" i="8" a="1"/>
  <c r="ED20" i="8" s="1"/>
  <c r="EC20" i="8" a="1"/>
  <c r="EC20" i="8" s="1"/>
  <c r="EB20" i="8" a="1"/>
  <c r="EB20" i="8" s="1"/>
  <c r="EA20" i="8" a="1"/>
  <c r="EA20" i="8"/>
  <c r="DZ20" i="8" a="1"/>
  <c r="DZ20" i="8" s="1"/>
  <c r="DY20" i="8" a="1"/>
  <c r="DY20" i="8"/>
  <c r="DX20" i="8" a="1"/>
  <c r="DX20" i="8"/>
  <c r="DW20" i="8" a="1"/>
  <c r="DW20" i="8" s="1"/>
  <c r="DV20" i="8" a="1"/>
  <c r="DV20" i="8"/>
  <c r="DU20" i="8" a="1"/>
  <c r="DU20" i="8" s="1"/>
  <c r="DT20" i="8" a="1"/>
  <c r="DT20" i="8" s="1"/>
  <c r="DS20" i="8" a="1"/>
  <c r="DS20" i="8" s="1"/>
  <c r="DR20" i="8" a="1"/>
  <c r="DR20" i="8" s="1"/>
  <c r="DQ20" i="8" a="1"/>
  <c r="DQ20" i="8" s="1"/>
  <c r="DP20" i="8" a="1"/>
  <c r="DP20" i="8"/>
  <c r="DO20" i="8" a="1"/>
  <c r="DO20" i="8" s="1"/>
  <c r="DN20" i="8" a="1"/>
  <c r="DN20" i="8"/>
  <c r="DM20" i="8" a="1"/>
  <c r="DM20" i="8"/>
  <c r="DL20" i="8" a="1"/>
  <c r="DL20" i="8" s="1"/>
  <c r="DK20" i="8" a="1"/>
  <c r="DK20" i="8"/>
  <c r="DJ20" i="8" a="1"/>
  <c r="DJ20" i="8"/>
  <c r="DI20" i="8" a="1"/>
  <c r="DI20" i="8" s="1"/>
  <c r="DH20" i="8" a="1"/>
  <c r="DH20" i="8" s="1"/>
  <c r="DG20" i="8" a="1"/>
  <c r="DG20" i="8" s="1"/>
  <c r="DF20" i="8" a="1"/>
  <c r="DF20" i="8" s="1"/>
  <c r="DE20" i="8" a="1"/>
  <c r="DE20" i="8"/>
  <c r="DD20" i="8" a="1"/>
  <c r="DD20" i="8" s="1"/>
  <c r="DC20" i="8" a="1"/>
  <c r="DC20" i="8"/>
  <c r="DB20" i="8" a="1"/>
  <c r="DB20" i="8" s="1"/>
  <c r="DA20" i="8" a="1"/>
  <c r="DA20" i="8" s="1"/>
  <c r="CZ20" i="8" a="1"/>
  <c r="CZ20" i="8"/>
  <c r="CY20" i="8" a="1"/>
  <c r="CY20" i="8"/>
  <c r="CX20" i="8" a="1"/>
  <c r="CX20" i="8" s="1"/>
  <c r="CW20" i="8" a="1"/>
  <c r="CW20" i="8" s="1"/>
  <c r="CV20" i="8" a="1"/>
  <c r="CV20" i="8" s="1"/>
  <c r="CU20" i="8" a="1"/>
  <c r="CU20" i="8" s="1"/>
  <c r="CT20" i="8" a="1"/>
  <c r="CT20" i="8"/>
  <c r="CS20" i="8" a="1"/>
  <c r="CS20" i="8"/>
  <c r="CR20" i="8" a="1"/>
  <c r="CR20" i="8"/>
  <c r="CQ20" i="8" a="1"/>
  <c r="CQ20" i="8" s="1"/>
  <c r="CP20" i="8" a="1"/>
  <c r="CP20" i="8" s="1"/>
  <c r="CO20" i="8" a="1"/>
  <c r="CO20" i="8"/>
  <c r="CN20" i="8" a="1"/>
  <c r="CN20" i="8" s="1"/>
  <c r="CM20" i="8" a="1"/>
  <c r="CM20" i="8" s="1"/>
  <c r="CL20" i="8" a="1"/>
  <c r="CL20" i="8" s="1"/>
  <c r="CK20" i="8" a="1"/>
  <c r="CK20" i="8" s="1"/>
  <c r="CJ20" i="8" a="1"/>
  <c r="CJ20" i="8" s="1"/>
  <c r="CI20" i="8" a="1"/>
  <c r="CI20" i="8"/>
  <c r="CH20" i="8" a="1"/>
  <c r="CH20" i="8"/>
  <c r="CG20" i="8" a="1"/>
  <c r="CG20" i="8"/>
  <c r="CF20" i="8" a="1"/>
  <c r="CF20" i="8" s="1"/>
  <c r="CE20" i="8" a="1"/>
  <c r="CE20" i="8" s="1"/>
  <c r="CD20" i="8" a="1"/>
  <c r="CD20" i="8"/>
  <c r="CC20" i="8" a="1"/>
  <c r="CC20" i="8" s="1"/>
  <c r="CB20" i="8" a="1"/>
  <c r="CB20" i="8" s="1"/>
  <c r="CA20" i="8" a="1"/>
  <c r="CA20" i="8"/>
  <c r="BZ20" i="8" a="1"/>
  <c r="BZ20" i="8" s="1"/>
  <c r="BY20" i="8" a="1"/>
  <c r="BY20" i="8" s="1"/>
  <c r="BX20" i="8" a="1"/>
  <c r="BX20" i="8"/>
  <c r="BW20" i="8" a="1"/>
  <c r="BW20" i="8"/>
  <c r="BV20" i="8" a="1"/>
  <c r="BV20" i="8"/>
  <c r="BU20" i="8" a="1"/>
  <c r="BU20" i="8"/>
  <c r="BT20" i="8" a="1"/>
  <c r="BT20" i="8" s="1"/>
  <c r="BS20" i="8" a="1"/>
  <c r="BS20" i="8"/>
  <c r="BR20" i="8" a="1"/>
  <c r="BR20" i="8" s="1"/>
  <c r="BQ20" i="8" a="1"/>
  <c r="BQ20" i="8" s="1"/>
  <c r="BP20" i="8" a="1"/>
  <c r="BP20" i="8"/>
  <c r="BO20" i="8" a="1"/>
  <c r="BO20" i="8"/>
  <c r="BN20" i="8" a="1"/>
  <c r="BN20" i="8" s="1"/>
  <c r="BM20" i="8" a="1"/>
  <c r="BM20" i="8"/>
  <c r="BL20" i="8" a="1"/>
  <c r="BL20" i="8"/>
  <c r="BK20" i="8" a="1"/>
  <c r="BK20" i="8"/>
  <c r="BJ20" i="8" a="1"/>
  <c r="BJ20" i="8"/>
  <c r="BI20" i="8" a="1"/>
  <c r="BI20" i="8"/>
  <c r="BH20" i="8" a="1"/>
  <c r="BH20" i="8"/>
  <c r="BG20" i="8" a="1"/>
  <c r="BG20" i="8" s="1"/>
  <c r="BF20" i="8" a="1"/>
  <c r="BF20" i="8" s="1"/>
  <c r="BE20" i="8" a="1"/>
  <c r="BE20" i="8"/>
  <c r="BD20" i="8" a="1"/>
  <c r="BD20" i="8" s="1"/>
  <c r="BC20" i="8" a="1"/>
  <c r="BC20" i="8" s="1"/>
  <c r="BB20" i="8" a="1"/>
  <c r="BB20" i="8"/>
  <c r="BA20" i="8" a="1"/>
  <c r="BA20" i="8"/>
  <c r="AZ20" i="8" a="1"/>
  <c r="AZ20" i="8"/>
  <c r="AY20" i="8" a="1"/>
  <c r="AY20" i="8"/>
  <c r="AX20" i="8" a="1"/>
  <c r="AX20" i="8" s="1"/>
  <c r="AW20" i="8" a="1"/>
  <c r="AW20" i="8"/>
  <c r="AV20" i="8" a="1"/>
  <c r="AV20" i="8" s="1"/>
  <c r="AU20" i="8" a="1"/>
  <c r="AU20" i="8" s="1"/>
  <c r="AT20" i="8" a="1"/>
  <c r="AT20" i="8"/>
  <c r="AS20" i="8" a="1"/>
  <c r="AS20" i="8" s="1"/>
  <c r="AR20" i="8" a="1"/>
  <c r="AR20" i="8" s="1"/>
  <c r="AQ20" i="8" a="1"/>
  <c r="AQ20" i="8" s="1"/>
  <c r="AP20" i="8" a="1"/>
  <c r="AP20" i="8"/>
  <c r="AO20" i="8" a="1"/>
  <c r="AO20" i="8"/>
  <c r="AN20" i="8" a="1"/>
  <c r="AN20" i="8"/>
  <c r="AM20" i="8" a="1"/>
  <c r="AM20" i="8" s="1"/>
  <c r="AL20" i="8" a="1"/>
  <c r="AL20" i="8"/>
  <c r="AK20" i="8" a="1"/>
  <c r="AK20" i="8"/>
  <c r="AJ20" i="8" a="1"/>
  <c r="AJ20" i="8" s="1"/>
  <c r="AI20" i="8" a="1"/>
  <c r="AI20" i="8"/>
  <c r="AH20" i="8" a="1"/>
  <c r="AH20" i="8"/>
  <c r="AG20" i="8" a="1"/>
  <c r="AG20" i="8" s="1"/>
  <c r="AF20" i="8" a="1"/>
  <c r="AF20" i="8"/>
  <c r="AE20" i="8" a="1"/>
  <c r="AE20" i="8" s="1"/>
  <c r="AD20" i="8" a="1"/>
  <c r="AD20" i="8"/>
  <c r="AC20" i="8" a="1"/>
  <c r="AC20" i="8"/>
  <c r="AB20" i="8" a="1"/>
  <c r="AB20" i="8"/>
  <c r="AA20" i="8" a="1"/>
  <c r="AA20" i="8"/>
  <c r="Z20" i="8" a="1"/>
  <c r="Z20" i="8" s="1"/>
  <c r="Y20" i="8" a="1"/>
  <c r="Y20" i="8" s="1"/>
  <c r="X20" i="8" a="1"/>
  <c r="X20" i="8"/>
  <c r="W20" i="8" a="1"/>
  <c r="W20" i="8"/>
  <c r="V20" i="8" a="1"/>
  <c r="V20" i="8" s="1"/>
  <c r="U20" i="8" a="1"/>
  <c r="U20" i="8" s="1"/>
  <c r="T20" i="8" a="1"/>
  <c r="T20" i="8"/>
  <c r="S20" i="8" a="1"/>
  <c r="S20" i="8"/>
  <c r="R20" i="8" a="1"/>
  <c r="R20" i="8"/>
  <c r="Q20" i="8" a="1"/>
  <c r="Q20" i="8"/>
  <c r="P20" i="8" a="1"/>
  <c r="P20" i="8"/>
  <c r="O20" i="8" a="1"/>
  <c r="O20" i="8" s="1"/>
  <c r="N20" i="8" a="1"/>
  <c r="N20" i="8" s="1"/>
  <c r="M20" i="8" a="1"/>
  <c r="M20" i="8" s="1"/>
  <c r="L20" i="8" a="1"/>
  <c r="L20" i="8"/>
  <c r="K20" i="8" a="1"/>
  <c r="K20" i="8" s="1"/>
  <c r="J20" i="8" a="1"/>
  <c r="J20" i="8" s="1"/>
  <c r="I20" i="8" a="1"/>
  <c r="I20" i="8" s="1"/>
  <c r="H20" i="8" a="1"/>
  <c r="H20" i="8"/>
  <c r="G20" i="8" a="1"/>
  <c r="G20" i="8" s="1"/>
  <c r="F20" i="8" a="1"/>
  <c r="F20" i="8"/>
  <c r="E20" i="8" a="1"/>
  <c r="E20" i="8"/>
  <c r="D20" i="8" a="1"/>
  <c r="D20" i="8"/>
  <c r="C20" i="8" a="1"/>
  <c r="C20" i="8" s="1"/>
  <c r="EF19" i="8" a="1"/>
  <c r="EF19" i="8" s="1"/>
  <c r="EE19" i="8" a="1"/>
  <c r="EE19" i="8" s="1"/>
  <c r="ED19" i="8" a="1"/>
  <c r="ED19" i="8" s="1"/>
  <c r="EC19" i="8" a="1"/>
  <c r="EC19" i="8" s="1"/>
  <c r="EB19" i="8" a="1"/>
  <c r="EB19" i="8" s="1"/>
  <c r="EA19" i="8" a="1"/>
  <c r="EA19" i="8"/>
  <c r="DZ19" i="8" a="1"/>
  <c r="DZ19" i="8" s="1"/>
  <c r="DY19" i="8" a="1"/>
  <c r="DY19" i="8" s="1"/>
  <c r="DX19" i="8" a="1"/>
  <c r="DX19" i="8"/>
  <c r="DW19" i="8" a="1"/>
  <c r="DW19" i="8"/>
  <c r="DV19" i="8" a="1"/>
  <c r="DV19" i="8" s="1"/>
  <c r="DU19" i="8" a="1"/>
  <c r="DU19" i="8" s="1"/>
  <c r="DT19" i="8" a="1"/>
  <c r="DT19" i="8" s="1"/>
  <c r="DS19" i="8" a="1"/>
  <c r="DS19" i="8" s="1"/>
  <c r="DR19" i="8" a="1"/>
  <c r="DR19" i="8"/>
  <c r="DQ19" i="8" a="1"/>
  <c r="DQ19" i="8" s="1"/>
  <c r="DP19" i="8" a="1"/>
  <c r="DP19" i="8"/>
  <c r="DO19" i="8" a="1"/>
  <c r="DO19" i="8" s="1"/>
  <c r="DN19" i="8" a="1"/>
  <c r="DN19" i="8" s="1"/>
  <c r="DM19" i="8" a="1"/>
  <c r="DM19" i="8"/>
  <c r="DL19" i="8" a="1"/>
  <c r="DL19" i="8"/>
  <c r="DK19" i="8" a="1"/>
  <c r="DK19" i="8" s="1"/>
  <c r="DJ19" i="8" a="1"/>
  <c r="DJ19" i="8" s="1"/>
  <c r="DI19" i="8" a="1"/>
  <c r="DI19" i="8" s="1"/>
  <c r="DH19" i="8" a="1"/>
  <c r="DH19" i="8" s="1"/>
  <c r="DG19" i="8" a="1"/>
  <c r="DG19" i="8"/>
  <c r="DF19" i="8" a="1"/>
  <c r="DF19" i="8"/>
  <c r="DE19" i="8" a="1"/>
  <c r="DE19" i="8"/>
  <c r="DD19" i="8" a="1"/>
  <c r="DD19" i="8" s="1"/>
  <c r="DC19" i="8" a="1"/>
  <c r="DC19" i="8" s="1"/>
  <c r="DB19" i="8" a="1"/>
  <c r="DB19" i="8"/>
  <c r="DA19" i="8" a="1"/>
  <c r="DA19" i="8" s="1"/>
  <c r="CZ19" i="8" a="1"/>
  <c r="CZ19" i="8" s="1"/>
  <c r="CY19" i="8" a="1"/>
  <c r="CY19" i="8"/>
  <c r="CX19" i="8" a="1"/>
  <c r="CX19" i="8" s="1"/>
  <c r="CW19" i="8" a="1"/>
  <c r="CW19" i="8" s="1"/>
  <c r="CV19" i="8" a="1"/>
  <c r="CV19" i="8"/>
  <c r="CU19" i="8" a="1"/>
  <c r="CU19" i="8"/>
  <c r="CT19" i="8" a="1"/>
  <c r="CT19" i="8"/>
  <c r="CS19" i="8" a="1"/>
  <c r="CS19" i="8"/>
  <c r="CR19" i="8" a="1"/>
  <c r="CR19" i="8" s="1"/>
  <c r="CQ19" i="8" a="1"/>
  <c r="CQ19" i="8"/>
  <c r="CP19" i="8" a="1"/>
  <c r="CP19" i="8" s="1"/>
  <c r="CO19" i="8" a="1"/>
  <c r="CO19" i="8" s="1"/>
  <c r="CN19" i="8" a="1"/>
  <c r="CN19" i="8"/>
  <c r="CM19" i="8" a="1"/>
  <c r="CM19" i="8" s="1"/>
  <c r="CL19" i="8" a="1"/>
  <c r="CL19" i="8" s="1"/>
  <c r="CK19" i="8" a="1"/>
  <c r="CK19" i="8"/>
  <c r="CJ19" i="8" a="1"/>
  <c r="CJ19" i="8"/>
  <c r="CI19" i="8" a="1"/>
  <c r="CI19" i="8"/>
  <c r="CH19" i="8" a="1"/>
  <c r="CH19" i="8"/>
  <c r="CG19" i="8" a="1"/>
  <c r="CG19" i="8" s="1"/>
  <c r="CF19" i="8" a="1"/>
  <c r="CF19" i="8"/>
  <c r="CE19" i="8" a="1"/>
  <c r="CE19" i="8" s="1"/>
  <c r="CD19" i="8" a="1"/>
  <c r="CD19" i="8" s="1"/>
  <c r="CC19" i="8" a="1"/>
  <c r="CC19" i="8"/>
  <c r="CB19" i="8" a="1"/>
  <c r="CB19" i="8"/>
  <c r="CA19" i="8" a="1"/>
  <c r="CA19" i="8" s="1"/>
  <c r="BZ19" i="8" a="1"/>
  <c r="BZ19" i="8" s="1"/>
  <c r="BY19" i="8" a="1"/>
  <c r="BY19" i="8"/>
  <c r="BX19" i="8" a="1"/>
  <c r="BX19" i="8"/>
  <c r="BW19" i="8" a="1"/>
  <c r="BW19" i="8"/>
  <c r="BV19" i="8" a="1"/>
  <c r="BV19" i="8"/>
  <c r="BU19" i="8" a="1"/>
  <c r="BU19" i="8"/>
  <c r="BT19" i="8" a="1"/>
  <c r="BT19" i="8"/>
  <c r="BS19" i="8" a="1"/>
  <c r="BS19" i="8" s="1"/>
  <c r="BR19" i="8" a="1"/>
  <c r="BR19" i="8"/>
  <c r="BQ19" i="8" a="1"/>
  <c r="BQ19" i="8"/>
  <c r="BP19" i="8" a="1"/>
  <c r="BP19" i="8" s="1"/>
  <c r="BO19" i="8" a="1"/>
  <c r="BO19" i="8"/>
  <c r="BN19" i="8" a="1"/>
  <c r="BN19" i="8" s="1"/>
  <c r="BM19" i="8" a="1"/>
  <c r="BM19" i="8"/>
  <c r="BL19" i="8" a="1"/>
  <c r="BL19" i="8"/>
  <c r="BK19" i="8" a="1"/>
  <c r="BK19" i="8" s="1"/>
  <c r="BJ19" i="8" a="1"/>
  <c r="BJ19" i="8"/>
  <c r="BI19" i="8" a="1"/>
  <c r="BI19" i="8"/>
  <c r="BH19" i="8" a="1"/>
  <c r="BH19" i="8" s="1"/>
  <c r="BG19" i="8" a="1"/>
  <c r="BG19" i="8"/>
  <c r="BF19" i="8" a="1"/>
  <c r="BF19" i="8"/>
  <c r="BE19" i="8" a="1"/>
  <c r="BE19" i="8" s="1"/>
  <c r="BD19" i="8" a="1"/>
  <c r="BD19" i="8" s="1"/>
  <c r="BC19" i="8" a="1"/>
  <c r="BC19" i="8"/>
  <c r="BB19" i="8" a="1"/>
  <c r="BB19" i="8"/>
  <c r="BA19" i="8" a="1"/>
  <c r="BA19" i="8" s="1"/>
  <c r="AZ19" i="8" a="1"/>
  <c r="AZ19" i="8"/>
  <c r="AY19" i="8" a="1"/>
  <c r="AY19" i="8"/>
  <c r="AX19" i="8" a="1"/>
  <c r="AX19" i="8"/>
  <c r="AW19" i="8" a="1"/>
  <c r="AW19" i="8" s="1"/>
  <c r="AV19" i="8" a="1"/>
  <c r="AV19" i="8"/>
  <c r="AU19" i="8" a="1"/>
  <c r="AU19" i="8" s="1"/>
  <c r="AT19" i="8" a="1"/>
  <c r="AT19" i="8" s="1"/>
  <c r="AS19" i="8" a="1"/>
  <c r="AS19" i="8" s="1"/>
  <c r="AR19" i="8" a="1"/>
  <c r="AR19" i="8" s="1"/>
  <c r="AQ19" i="8" a="1"/>
  <c r="AQ19" i="8"/>
  <c r="AP19" i="8" a="1"/>
  <c r="AP19" i="8"/>
  <c r="AO19" i="8" a="1"/>
  <c r="AO19" i="8"/>
  <c r="AN19" i="8" a="1"/>
  <c r="AN19" i="8"/>
  <c r="AM19" i="8" a="1"/>
  <c r="AM19" i="8" s="1"/>
  <c r="AL19" i="8" a="1"/>
  <c r="AL19" i="8" s="1"/>
  <c r="AK19" i="8" a="1"/>
  <c r="AK19" i="8" s="1"/>
  <c r="AJ19" i="8" a="1"/>
  <c r="AJ19" i="8"/>
  <c r="AI19" i="8" a="1"/>
  <c r="AI19" i="8" s="1"/>
  <c r="AH19" i="8" a="1"/>
  <c r="AH19" i="8" s="1"/>
  <c r="AG19" i="8" a="1"/>
  <c r="AG19" i="8" s="1"/>
  <c r="AF19" i="8" a="1"/>
  <c r="AF19" i="8"/>
  <c r="AE19" i="8" a="1"/>
  <c r="AE19" i="8"/>
  <c r="AD19" i="8" a="1"/>
  <c r="AD19" i="8" s="1"/>
  <c r="AC19" i="8" a="1"/>
  <c r="AC19" i="8"/>
  <c r="AB19" i="8" a="1"/>
  <c r="AB19" i="8"/>
  <c r="AA19" i="8" a="1"/>
  <c r="AA19" i="8" s="1"/>
  <c r="Z19" i="8" a="1"/>
  <c r="Z19" i="8" s="1"/>
  <c r="Y19" i="8" a="1"/>
  <c r="Y19" i="8"/>
  <c r="X19" i="8" a="1"/>
  <c r="X19" i="8" s="1"/>
  <c r="W19" i="8" a="1"/>
  <c r="W19" i="8" s="1"/>
  <c r="V19" i="8" a="1"/>
  <c r="V19" i="8" s="1"/>
  <c r="U19" i="8" a="1"/>
  <c r="U19" i="8"/>
  <c r="T19" i="8" a="1"/>
  <c r="T19" i="8" s="1"/>
  <c r="S19" i="8" a="1"/>
  <c r="S19" i="8"/>
  <c r="R19" i="8" a="1"/>
  <c r="R19" i="8"/>
  <c r="Q19" i="8" a="1"/>
  <c r="Q19" i="8"/>
  <c r="P19" i="8" a="1"/>
  <c r="P19" i="8" s="1"/>
  <c r="O19" i="8" a="1"/>
  <c r="O19" i="8" s="1"/>
  <c r="N19" i="8" a="1"/>
  <c r="N19" i="8" s="1"/>
  <c r="M19" i="8" a="1"/>
  <c r="M19" i="8"/>
  <c r="L19" i="8" a="1"/>
  <c r="L19" i="8"/>
  <c r="K19" i="8" a="1"/>
  <c r="K19" i="8"/>
  <c r="J19" i="8" a="1"/>
  <c r="J19" i="8"/>
  <c r="I19" i="8" a="1"/>
  <c r="I19" i="8"/>
  <c r="H19" i="8" a="1"/>
  <c r="H19" i="8"/>
  <c r="G19" i="8" a="1"/>
  <c r="G19" i="8"/>
  <c r="F19" i="8" a="1"/>
  <c r="F19" i="8" s="1"/>
  <c r="E19" i="8" a="1"/>
  <c r="E19" i="8" s="1"/>
  <c r="D19" i="8" a="1"/>
  <c r="D19" i="8" s="1"/>
  <c r="C19" i="8" a="1"/>
  <c r="C19" i="8" s="1"/>
  <c r="EF18" i="8" a="1"/>
  <c r="EF18" i="8" s="1"/>
  <c r="EE18" i="8" a="1"/>
  <c r="EE18" i="8" s="1"/>
  <c r="ED18" i="8" a="1"/>
  <c r="ED18" i="8"/>
  <c r="EC18" i="8" a="1"/>
  <c r="EC18" i="8" s="1"/>
  <c r="EB18" i="8" a="1"/>
  <c r="EB18" i="8" s="1"/>
  <c r="EA18" i="8" a="1"/>
  <c r="EA18" i="8"/>
  <c r="DZ18" i="8" a="1"/>
  <c r="DZ18" i="8" s="1"/>
  <c r="DY18" i="8" a="1"/>
  <c r="DY18" i="8" s="1"/>
  <c r="DX18" i="8" a="1"/>
  <c r="DX18" i="8" s="1"/>
  <c r="DW18" i="8" a="1"/>
  <c r="DW18" i="8" s="1"/>
  <c r="DV18" i="8" a="1"/>
  <c r="DV18" i="8" s="1"/>
  <c r="DU18" i="8" a="1"/>
  <c r="DU18" i="8" s="1"/>
  <c r="DT18" i="8" a="1"/>
  <c r="DT18" i="8" s="1"/>
  <c r="DS18" i="8" a="1"/>
  <c r="DS18" i="8" s="1"/>
  <c r="DR18" i="8" a="1"/>
  <c r="DR18" i="8"/>
  <c r="DQ18" i="8" a="1"/>
  <c r="DQ18" i="8" s="1"/>
  <c r="DP18" i="8" a="1"/>
  <c r="DP18" i="8"/>
  <c r="DO18" i="8" a="1"/>
  <c r="DO18" i="8" s="1"/>
  <c r="DN18" i="8" a="1"/>
  <c r="DN18" i="8" s="1"/>
  <c r="DM18" i="8" a="1"/>
  <c r="DM18" i="8" s="1"/>
  <c r="DL18" i="8" a="1"/>
  <c r="DL18" i="8" s="1"/>
  <c r="DK18" i="8" a="1"/>
  <c r="DK18" i="8" s="1"/>
  <c r="DJ18" i="8" a="1"/>
  <c r="DJ18" i="8" s="1"/>
  <c r="DI18" i="8" a="1"/>
  <c r="DI18" i="8"/>
  <c r="DH18" i="8" a="1"/>
  <c r="DH18" i="8" s="1"/>
  <c r="DG18" i="8" a="1"/>
  <c r="DG18" i="8" s="1"/>
  <c r="DF18" i="8" a="1"/>
  <c r="DF18" i="8" s="1"/>
  <c r="DE18" i="8" a="1"/>
  <c r="DE18" i="8"/>
  <c r="DD18" i="8" a="1"/>
  <c r="DD18" i="8" s="1"/>
  <c r="DC18" i="8" a="1"/>
  <c r="DC18" i="8"/>
  <c r="DB18" i="8" a="1"/>
  <c r="DB18" i="8" s="1"/>
  <c r="DA18" i="8" a="1"/>
  <c r="DA18" i="8" s="1"/>
  <c r="CZ18" i="8" a="1"/>
  <c r="CZ18" i="8" s="1"/>
  <c r="CY18" i="8" a="1"/>
  <c r="CY18" i="8" s="1"/>
  <c r="CX18" i="8" a="1"/>
  <c r="CX18" i="8" s="1"/>
  <c r="CW18" i="8" a="1"/>
  <c r="CW18" i="8" s="1"/>
  <c r="CV18" i="8" a="1"/>
  <c r="CV18" i="8" s="1"/>
  <c r="CU18" i="8" a="1"/>
  <c r="CU18" i="8" s="1"/>
  <c r="CT18" i="8" a="1"/>
  <c r="CT18" i="8"/>
  <c r="CS18" i="8" a="1"/>
  <c r="CS18" i="8"/>
  <c r="CR18" i="8" a="1"/>
  <c r="CR18" i="8"/>
  <c r="CQ18" i="8" a="1"/>
  <c r="CQ18" i="8" s="1"/>
  <c r="CP18" i="8" a="1"/>
  <c r="CP18" i="8" s="1"/>
  <c r="CO18" i="8" a="1"/>
  <c r="CO18" i="8" s="1"/>
  <c r="CN18" i="8" a="1"/>
  <c r="CN18" i="8"/>
  <c r="CM18" i="8" a="1"/>
  <c r="CM18" i="8"/>
  <c r="CL18" i="8" a="1"/>
  <c r="CL18" i="8"/>
  <c r="CK18" i="8" a="1"/>
  <c r="CK18" i="8"/>
  <c r="CJ18" i="8" a="1"/>
  <c r="CJ18" i="8" s="1"/>
  <c r="CI18" i="8" a="1"/>
  <c r="CI18" i="8"/>
  <c r="CH18" i="8" a="1"/>
  <c r="CH18" i="8"/>
  <c r="CG18" i="8" a="1"/>
  <c r="CG18" i="8"/>
  <c r="CF18" i="8" a="1"/>
  <c r="CF18" i="8" s="1"/>
  <c r="CE18" i="8" a="1"/>
  <c r="CE18" i="8" s="1"/>
  <c r="CD18" i="8" a="1"/>
  <c r="CD18" i="8" s="1"/>
  <c r="CC18" i="8" a="1"/>
  <c r="CC18" i="8" s="1"/>
  <c r="CB18" i="8" a="1"/>
  <c r="CB18" i="8" s="1"/>
  <c r="CA18" i="8" a="1"/>
  <c r="CA18" i="8" s="1"/>
  <c r="BZ18" i="8" a="1"/>
  <c r="BZ18" i="8"/>
  <c r="BY18" i="8" a="1"/>
  <c r="BY18" i="8" s="1"/>
  <c r="BX18" i="8" a="1"/>
  <c r="BX18" i="8"/>
  <c r="BW18" i="8" a="1"/>
  <c r="BW18" i="8" s="1"/>
  <c r="BV18" i="8" a="1"/>
  <c r="BV18" i="8" s="1"/>
  <c r="BU18" i="8" a="1"/>
  <c r="BU18" i="8" s="1"/>
  <c r="BT18" i="8" a="1"/>
  <c r="BT18" i="8" s="1"/>
  <c r="BS18" i="8" a="1"/>
  <c r="BS18" i="8" s="1"/>
  <c r="BR18" i="8" a="1"/>
  <c r="BR18" i="8" s="1"/>
  <c r="BQ18" i="8" a="1"/>
  <c r="BQ18" i="8" s="1"/>
  <c r="BP18" i="8" a="1"/>
  <c r="BP18" i="8" s="1"/>
  <c r="BO18" i="8" a="1"/>
  <c r="BO18" i="8"/>
  <c r="BN18" i="8" a="1"/>
  <c r="BN18" i="8" s="1"/>
  <c r="BM18" i="8" a="1"/>
  <c r="BM18" i="8"/>
  <c r="BL18" i="8" a="1"/>
  <c r="BL18" i="8" s="1"/>
  <c r="BK18" i="8" a="1"/>
  <c r="BK18" i="8" s="1"/>
  <c r="BJ18" i="8" a="1"/>
  <c r="BJ18" i="8" s="1"/>
  <c r="BI18" i="8" a="1"/>
  <c r="BI18" i="8" s="1"/>
  <c r="BH18" i="8" a="1"/>
  <c r="BH18" i="8" s="1"/>
  <c r="BG18" i="8" a="1"/>
  <c r="BG18" i="8"/>
  <c r="BF18" i="8" a="1"/>
  <c r="BF18" i="8"/>
  <c r="BE18" i="8" a="1"/>
  <c r="BE18" i="8" s="1"/>
  <c r="BD18" i="8" a="1"/>
  <c r="BD18" i="8"/>
  <c r="BC18" i="8" a="1"/>
  <c r="BC18" i="8" s="1"/>
  <c r="BB18" i="8" a="1"/>
  <c r="BB18" i="8"/>
  <c r="BA18" i="8" a="1"/>
  <c r="BA18" i="8"/>
  <c r="AZ18" i="8" a="1"/>
  <c r="AZ18" i="8"/>
  <c r="AY18" i="8" a="1"/>
  <c r="AY18" i="8" s="1"/>
  <c r="AX18" i="8" a="1"/>
  <c r="AX18" i="8" s="1"/>
  <c r="AW18" i="8" a="1"/>
  <c r="AW18" i="8" s="1"/>
  <c r="AV18" i="8" a="1"/>
  <c r="AV18" i="8"/>
  <c r="AU18" i="8" a="1"/>
  <c r="AU18" i="8" s="1"/>
  <c r="AT18" i="8" a="1"/>
  <c r="AT18" i="8"/>
  <c r="AS18" i="8" a="1"/>
  <c r="AS18" i="8"/>
  <c r="AR18" i="8" a="1"/>
  <c r="AR18" i="8" s="1"/>
  <c r="AQ18" i="8" a="1"/>
  <c r="AQ18" i="8"/>
  <c r="AP18" i="8" a="1"/>
  <c r="AP18" i="8"/>
  <c r="AO18" i="8" a="1"/>
  <c r="AO18" i="8" s="1"/>
  <c r="AN18" i="8" a="1"/>
  <c r="AN18" i="8" s="1"/>
  <c r="AM18" i="8" a="1"/>
  <c r="AM18" i="8" s="1"/>
  <c r="AL18" i="8" a="1"/>
  <c r="AL18" i="8" s="1"/>
  <c r="AK18" i="8" a="1"/>
  <c r="AK18" i="8"/>
  <c r="AJ18" i="8" a="1"/>
  <c r="AJ18" i="8"/>
  <c r="AI18" i="8" a="1"/>
  <c r="AI18" i="8"/>
  <c r="AH18" i="8" a="1"/>
  <c r="AH18" i="8"/>
  <c r="AG18" i="8" a="1"/>
  <c r="AG18" i="8"/>
  <c r="AF18" i="8" a="1"/>
  <c r="AF18" i="8"/>
  <c r="AE18" i="8" a="1"/>
  <c r="AE18" i="8" s="1"/>
  <c r="AD18" i="8" a="1"/>
  <c r="AD18" i="8" s="1"/>
  <c r="AC18" i="8" a="1"/>
  <c r="AC18" i="8" s="1"/>
  <c r="AB18" i="8" a="1"/>
  <c r="AB18" i="8" s="1"/>
  <c r="AA18" i="8" a="1"/>
  <c r="AA18" i="8" s="1"/>
  <c r="Z18" i="8" a="1"/>
  <c r="Z18" i="8"/>
  <c r="Y18" i="8" a="1"/>
  <c r="Y18" i="8"/>
  <c r="X18" i="8" a="1"/>
  <c r="X18" i="8" s="1"/>
  <c r="W18" i="8" a="1"/>
  <c r="W18" i="8" s="1"/>
  <c r="V18" i="8" a="1"/>
  <c r="V18" i="8"/>
  <c r="U18" i="8" a="1"/>
  <c r="U18" i="8"/>
  <c r="T18" i="8" a="1"/>
  <c r="T18" i="8"/>
  <c r="S18" i="8" a="1"/>
  <c r="S18" i="8"/>
  <c r="R18" i="8" a="1"/>
  <c r="R18" i="8" s="1"/>
  <c r="Q18" i="8" a="1"/>
  <c r="Q18" i="8" s="1"/>
  <c r="P18" i="8" a="1"/>
  <c r="P18" i="8" s="1"/>
  <c r="O18" i="8" a="1"/>
  <c r="O18" i="8"/>
  <c r="N18" i="8" a="1"/>
  <c r="N18" i="8" s="1"/>
  <c r="M18" i="8" a="1"/>
  <c r="M18" i="8"/>
  <c r="L18" i="8" a="1"/>
  <c r="L18" i="8"/>
  <c r="K18" i="8" a="1"/>
  <c r="K18" i="8" s="1"/>
  <c r="J18" i="8" a="1"/>
  <c r="J18" i="8"/>
  <c r="I18" i="8" a="1"/>
  <c r="I18" i="8"/>
  <c r="H18" i="8" a="1"/>
  <c r="H18" i="8" s="1"/>
  <c r="G18" i="8" a="1"/>
  <c r="G18" i="8" s="1"/>
  <c r="F18" i="8" a="1"/>
  <c r="F18" i="8"/>
  <c r="E18" i="8" a="1"/>
  <c r="E18" i="8" s="1"/>
  <c r="D18" i="8" a="1"/>
  <c r="D18" i="8" s="1"/>
  <c r="C18" i="8" a="1"/>
  <c r="C18" i="8" s="1"/>
  <c r="EF17" i="8" a="1"/>
  <c r="EF17" i="8" s="1"/>
  <c r="EE17" i="8" a="1"/>
  <c r="EE17" i="8" s="1"/>
  <c r="ED17" i="8" a="1"/>
  <c r="ED17" i="8" s="1"/>
  <c r="EC17" i="8" a="1"/>
  <c r="EC17" i="8"/>
  <c r="EB17" i="8" a="1"/>
  <c r="EB17" i="8"/>
  <c r="EA17" i="8" a="1"/>
  <c r="EA17" i="8"/>
  <c r="DZ17" i="8" a="1"/>
  <c r="DZ17" i="8" s="1"/>
  <c r="DY17" i="8" a="1"/>
  <c r="DY17" i="8" s="1"/>
  <c r="DX17" i="8" a="1"/>
  <c r="DX17" i="8"/>
  <c r="DW17" i="8" a="1"/>
  <c r="DW17" i="8" s="1"/>
  <c r="DV17" i="8" a="1"/>
  <c r="DV17" i="8"/>
  <c r="DU17" i="8" a="1"/>
  <c r="DU17" i="8" s="1"/>
  <c r="DT17" i="8" a="1"/>
  <c r="DT17" i="8"/>
  <c r="DS17" i="8" a="1"/>
  <c r="DS17" i="8" s="1"/>
  <c r="DR17" i="8" a="1"/>
  <c r="DR17" i="8"/>
  <c r="DQ17" i="8" a="1"/>
  <c r="DQ17" i="8" s="1"/>
  <c r="DP17" i="8" a="1"/>
  <c r="DP17" i="8"/>
  <c r="DO17" i="8" a="1"/>
  <c r="DO17" i="8" s="1"/>
  <c r="DN17" i="8" a="1"/>
  <c r="DN17" i="8" s="1"/>
  <c r="DM17" i="8" a="1"/>
  <c r="DM17" i="8"/>
  <c r="DL17" i="8" a="1"/>
  <c r="DL17" i="8" s="1"/>
  <c r="DK17" i="8" a="1"/>
  <c r="DK17" i="8"/>
  <c r="DJ17" i="8" a="1"/>
  <c r="DJ17" i="8"/>
  <c r="DI17" i="8" a="1"/>
  <c r="DI17" i="8"/>
  <c r="DH17" i="8" a="1"/>
  <c r="DH17" i="8" s="1"/>
  <c r="DG17" i="8" a="1"/>
  <c r="DG17" i="8"/>
  <c r="DF17" i="8" a="1"/>
  <c r="DF17" i="8" s="1"/>
  <c r="DE17" i="8" a="1"/>
  <c r="DE17" i="8"/>
  <c r="DD17" i="8" a="1"/>
  <c r="DD17" i="8" s="1"/>
  <c r="DC17" i="8" a="1"/>
  <c r="DC17" i="8" s="1"/>
  <c r="DB17" i="8" a="1"/>
  <c r="DB17" i="8"/>
  <c r="DA17" i="8" a="1"/>
  <c r="DA17" i="8" s="1"/>
  <c r="CZ17" i="8" a="1"/>
  <c r="CZ17" i="8"/>
  <c r="CY17" i="8" a="1"/>
  <c r="CY17" i="8" s="1"/>
  <c r="CX17" i="8" a="1"/>
  <c r="CX17" i="8"/>
  <c r="CW17" i="8" a="1"/>
  <c r="CW17" i="8" s="1"/>
  <c r="CV17" i="8" a="1"/>
  <c r="CV17" i="8"/>
  <c r="CU17" i="8" a="1"/>
  <c r="CU17" i="8" s="1"/>
  <c r="CT17" i="8" a="1"/>
  <c r="CT17" i="8"/>
  <c r="CS17" i="8" a="1"/>
  <c r="CS17" i="8" s="1"/>
  <c r="CR17" i="8" a="1"/>
  <c r="CR17" i="8" s="1"/>
  <c r="CQ17" i="8" a="1"/>
  <c r="CQ17" i="8"/>
  <c r="CP17" i="8" a="1"/>
  <c r="CP17" i="8"/>
  <c r="CO17" i="8" a="1"/>
  <c r="CO17" i="8" s="1"/>
  <c r="CN17" i="8" a="1"/>
  <c r="CN17" i="8"/>
  <c r="CM17" i="8" a="1"/>
  <c r="CM17" i="8"/>
  <c r="CL17" i="8" a="1"/>
  <c r="CL17" i="8" s="1"/>
  <c r="CK17" i="8" a="1"/>
  <c r="CK17" i="8"/>
  <c r="CJ17" i="8" a="1"/>
  <c r="CJ17" i="8"/>
  <c r="CI17" i="8" a="1"/>
  <c r="CI17" i="8" s="1"/>
  <c r="CH17" i="8" a="1"/>
  <c r="CH17" i="8" s="1"/>
  <c r="CG17" i="8" a="1"/>
  <c r="CG17" i="8"/>
  <c r="CF17" i="8" a="1"/>
  <c r="CF17" i="8"/>
  <c r="CE17" i="8" a="1"/>
  <c r="CE17" i="8" s="1"/>
  <c r="CD17" i="8" a="1"/>
  <c r="CD17" i="8"/>
  <c r="CC17" i="8" a="1"/>
  <c r="CC17" i="8" s="1"/>
  <c r="CB17" i="8" a="1"/>
  <c r="CB17" i="8" s="1"/>
  <c r="CA17" i="8" a="1"/>
  <c r="CA17" i="8" s="1"/>
  <c r="BZ17" i="8" a="1"/>
  <c r="BZ17" i="8"/>
  <c r="BY17" i="8" a="1"/>
  <c r="BY17" i="8"/>
  <c r="BX17" i="8" a="1"/>
  <c r="BX17" i="8"/>
  <c r="BW17" i="8" a="1"/>
  <c r="BW17" i="8" s="1"/>
  <c r="BV17" i="8" a="1"/>
  <c r="BV17" i="8" s="1"/>
  <c r="BU17" i="8" a="1"/>
  <c r="BU17" i="8"/>
  <c r="BT17" i="8" a="1"/>
  <c r="BT17" i="8"/>
  <c r="BS17" i="8" a="1"/>
  <c r="BS17" i="8" s="1"/>
  <c r="BR17" i="8" a="1"/>
  <c r="BR17" i="8" s="1"/>
  <c r="BQ17" i="8" a="1"/>
  <c r="BQ17" i="8" s="1"/>
  <c r="BP17" i="8" a="1"/>
  <c r="BP17" i="8" s="1"/>
  <c r="BO17" i="8" a="1"/>
  <c r="BO17" i="8"/>
  <c r="BN17" i="8" a="1"/>
  <c r="BN17" i="8"/>
  <c r="BM17" i="8" a="1"/>
  <c r="BM17" i="8" s="1"/>
  <c r="BL17" i="8" a="1"/>
  <c r="BL17" i="8" s="1"/>
  <c r="BK17" i="8" a="1"/>
  <c r="BK17" i="8" s="1"/>
  <c r="BJ17" i="8" a="1"/>
  <c r="BJ17" i="8"/>
  <c r="BI17" i="8" a="1"/>
  <c r="BI17" i="8"/>
  <c r="BH17" i="8" a="1"/>
  <c r="BH17" i="8" s="1"/>
  <c r="BG17" i="8" a="1"/>
  <c r="BG17" i="8"/>
  <c r="BF17" i="8" a="1"/>
  <c r="BF17" i="8"/>
  <c r="BE17" i="8" a="1"/>
  <c r="BE17" i="8"/>
  <c r="BD17" i="8" a="1"/>
  <c r="BD17" i="8"/>
  <c r="BC17" i="8" a="1"/>
  <c r="BC17" i="8" s="1"/>
  <c r="BB17" i="8" a="1"/>
  <c r="BB17" i="8" s="1"/>
  <c r="BA17" i="8" a="1"/>
  <c r="BA17" i="8" s="1"/>
  <c r="AZ17" i="8" a="1"/>
  <c r="AZ17" i="8" s="1"/>
  <c r="AY17" i="8" a="1"/>
  <c r="AY17" i="8"/>
  <c r="AX17" i="8" a="1"/>
  <c r="AX17" i="8"/>
  <c r="AW17" i="8" a="1"/>
  <c r="AW17" i="8"/>
  <c r="AV17" i="8" a="1"/>
  <c r="AV17" i="8" s="1"/>
  <c r="AU17" i="8" a="1"/>
  <c r="AU17" i="8"/>
  <c r="AT17" i="8" a="1"/>
  <c r="AT17" i="8"/>
  <c r="AS17" i="8" a="1"/>
  <c r="AS17" i="8"/>
  <c r="AR17" i="8" a="1"/>
  <c r="AR17" i="8"/>
  <c r="AQ17" i="8" a="1"/>
  <c r="AQ17" i="8" s="1"/>
  <c r="AP17" i="8" a="1"/>
  <c r="AP17" i="8" s="1"/>
  <c r="AO17" i="8" a="1"/>
  <c r="AO17" i="8" s="1"/>
  <c r="AN17" i="8" a="1"/>
  <c r="AN17" i="8"/>
  <c r="AM17" i="8" a="1"/>
  <c r="AM17" i="8"/>
  <c r="AL17" i="8" a="1"/>
  <c r="AL17" i="8"/>
  <c r="AK17" i="8" a="1"/>
  <c r="AK17" i="8"/>
  <c r="AJ17" i="8" a="1"/>
  <c r="AJ17" i="8"/>
  <c r="AI17" i="8" a="1"/>
  <c r="AI17" i="8"/>
  <c r="AH17" i="8" a="1"/>
  <c r="AH17" i="8"/>
  <c r="AG17" i="8" a="1"/>
  <c r="AG17" i="8"/>
  <c r="AF17" i="8" a="1"/>
  <c r="AF17" i="8"/>
  <c r="AE17" i="8" a="1"/>
  <c r="AE17" i="8" s="1"/>
  <c r="AD17" i="8" a="1"/>
  <c r="AD17" i="8" s="1"/>
  <c r="AC17" i="8" a="1"/>
  <c r="AC17" i="8"/>
  <c r="AB17" i="8" a="1"/>
  <c r="AB17" i="8" s="1"/>
  <c r="AA17" i="8" a="1"/>
  <c r="AA17" i="8"/>
  <c r="Z17" i="8" a="1"/>
  <c r="Z17" i="8"/>
  <c r="Y17" i="8" a="1"/>
  <c r="Y17" i="8"/>
  <c r="X17" i="8" a="1"/>
  <c r="X17" i="8"/>
  <c r="W17" i="8" a="1"/>
  <c r="W17" i="8"/>
  <c r="V17" i="8" a="1"/>
  <c r="V17" i="8" s="1"/>
  <c r="U17" i="8" a="1"/>
  <c r="U17" i="8"/>
  <c r="T17" i="8" a="1"/>
  <c r="T17" i="8" s="1"/>
  <c r="S17" i="8" a="1"/>
  <c r="S17" i="8" s="1"/>
  <c r="R17" i="8" a="1"/>
  <c r="R17" i="8"/>
  <c r="Q17" i="8" a="1"/>
  <c r="Q17" i="8" s="1"/>
  <c r="P17" i="8" a="1"/>
  <c r="P17" i="8" s="1"/>
  <c r="O17" i="8" a="1"/>
  <c r="O17" i="8"/>
  <c r="N17" i="8" a="1"/>
  <c r="N17" i="8"/>
  <c r="M17" i="8" a="1"/>
  <c r="M17" i="8"/>
  <c r="L17" i="8" a="1"/>
  <c r="L17" i="8"/>
  <c r="K17" i="8" a="1"/>
  <c r="K17" i="8"/>
  <c r="J17" i="8" a="1"/>
  <c r="J17" i="8" s="1"/>
  <c r="I17" i="8" a="1"/>
  <c r="I17" i="8" s="1"/>
  <c r="H17" i="8" a="1"/>
  <c r="H17" i="8" s="1"/>
  <c r="G17" i="8" a="1"/>
  <c r="G17" i="8"/>
  <c r="F17" i="8" a="1"/>
  <c r="F17" i="8" s="1"/>
  <c r="E17" i="8" a="1"/>
  <c r="E17" i="8" s="1"/>
  <c r="D17" i="8" a="1"/>
  <c r="D17" i="8" s="1"/>
  <c r="C17" i="8" a="1"/>
  <c r="C17" i="8"/>
  <c r="EF16" i="8" a="1"/>
  <c r="EF16" i="8" s="1"/>
  <c r="EE16" i="8" a="1"/>
  <c r="EE16" i="8"/>
  <c r="ED16" i="8" a="1"/>
  <c r="ED16" i="8" s="1"/>
  <c r="EC16" i="8" a="1"/>
  <c r="EC16" i="8" s="1"/>
  <c r="EB16" i="8" a="1"/>
  <c r="EB16" i="8" s="1"/>
  <c r="EA16" i="8" a="1"/>
  <c r="EA16" i="8" s="1"/>
  <c r="DZ16" i="8" a="1"/>
  <c r="DZ16" i="8"/>
  <c r="DY16" i="8" a="1"/>
  <c r="DY16" i="8"/>
  <c r="DX16" i="8" a="1"/>
  <c r="DX16" i="8"/>
  <c r="DW16" i="8" a="1"/>
  <c r="DW16" i="8"/>
  <c r="DV16" i="8" a="1"/>
  <c r="DV16" i="8"/>
  <c r="DU16" i="8" a="1"/>
  <c r="DU16" i="8" s="1"/>
  <c r="DT16" i="8" a="1"/>
  <c r="DT16" i="8"/>
  <c r="DS16" i="8" a="1"/>
  <c r="DS16" i="8"/>
  <c r="DR16" i="8" a="1"/>
  <c r="DR16" i="8"/>
  <c r="DQ16" i="8" a="1"/>
  <c r="DQ16" i="8" s="1"/>
  <c r="DP16" i="8" a="1"/>
  <c r="DP16" i="8" s="1"/>
  <c r="DO16" i="8" a="1"/>
  <c r="DO16" i="8"/>
  <c r="DN16" i="8" a="1"/>
  <c r="DN16" i="8" s="1"/>
  <c r="DM16" i="8" a="1"/>
  <c r="DM16" i="8"/>
  <c r="DL16" i="8" a="1"/>
  <c r="DL16" i="8"/>
  <c r="DK16" i="8" a="1"/>
  <c r="DK16" i="8"/>
  <c r="DJ16" i="8" a="1"/>
  <c r="DJ16" i="8" s="1"/>
  <c r="DI16" i="8" a="1"/>
  <c r="DI16" i="8"/>
  <c r="DH16" i="8" a="1"/>
  <c r="DH16" i="8" s="1"/>
  <c r="DG16" i="8" a="1"/>
  <c r="DG16" i="8"/>
  <c r="DF16" i="8" a="1"/>
  <c r="DF16" i="8" s="1"/>
  <c r="DE16" i="8" a="1"/>
  <c r="DE16" i="8" s="1"/>
  <c r="DD16" i="8" a="1"/>
  <c r="DD16" i="8"/>
  <c r="DC16" i="8" a="1"/>
  <c r="DC16" i="8" s="1"/>
  <c r="DB16" i="8" a="1"/>
  <c r="DB16" i="8" s="1"/>
  <c r="DA16" i="8" a="1"/>
  <c r="DA16" i="8"/>
  <c r="CZ16" i="8" a="1"/>
  <c r="CZ16" i="8"/>
  <c r="CY16" i="8" a="1"/>
  <c r="CY16" i="8" s="1"/>
  <c r="CX16" i="8" a="1"/>
  <c r="CX16" i="8"/>
  <c r="CW16" i="8" a="1"/>
  <c r="CW16" i="8" s="1"/>
  <c r="CV16" i="8" a="1"/>
  <c r="CV16" i="8" s="1"/>
  <c r="CU16" i="8" a="1"/>
  <c r="CU16" i="8" s="1"/>
  <c r="CT16" i="8" a="1"/>
  <c r="CT16" i="8" s="1"/>
  <c r="CS16" i="8" a="1"/>
  <c r="CS16" i="8"/>
  <c r="CR16" i="8" a="1"/>
  <c r="CR16" i="8" s="1"/>
  <c r="CQ16" i="8" a="1"/>
  <c r="CQ16" i="8"/>
  <c r="CP16" i="8" a="1"/>
  <c r="CP16" i="8"/>
  <c r="CO16" i="8" a="1"/>
  <c r="CO16" i="8"/>
  <c r="CN16" i="8" a="1"/>
  <c r="CN16" i="8" s="1"/>
  <c r="CM16" i="8" a="1"/>
  <c r="CM16" i="8"/>
  <c r="CL16" i="8" a="1"/>
  <c r="CL16" i="8" s="1"/>
  <c r="CK16" i="8" a="1"/>
  <c r="CK16" i="8"/>
  <c r="CJ16" i="8" a="1"/>
  <c r="CJ16" i="8" s="1"/>
  <c r="CI16" i="8" a="1"/>
  <c r="CI16" i="8" s="1"/>
  <c r="CH16" i="8" a="1"/>
  <c r="CH16" i="8"/>
  <c r="CG16" i="8" a="1"/>
  <c r="CG16" i="8" s="1"/>
  <c r="CF16" i="8" a="1"/>
  <c r="CF16" i="8"/>
  <c r="CE16" i="8" a="1"/>
  <c r="CE16" i="8" s="1"/>
  <c r="CD16" i="8" a="1"/>
  <c r="CD16" i="8"/>
  <c r="CC16" i="8" a="1"/>
  <c r="CC16" i="8" s="1"/>
  <c r="CB16" i="8" a="1"/>
  <c r="CB16" i="8"/>
  <c r="CA16" i="8" a="1"/>
  <c r="CA16" i="8" s="1"/>
  <c r="BZ16" i="8" a="1"/>
  <c r="BZ16" i="8"/>
  <c r="BY16" i="8" a="1"/>
  <c r="BY16" i="8" s="1"/>
  <c r="BX16" i="8" a="1"/>
  <c r="BX16" i="8" s="1"/>
  <c r="BW16" i="8" a="1"/>
  <c r="BW16" i="8"/>
  <c r="BV16" i="8" a="1"/>
  <c r="BV16" i="8" s="1"/>
  <c r="BU16" i="8" a="1"/>
  <c r="BU16" i="8"/>
  <c r="BT16" i="8" a="1"/>
  <c r="BT16" i="8"/>
  <c r="BS16" i="8" a="1"/>
  <c r="BS16" i="8"/>
  <c r="BR16" i="8" a="1"/>
  <c r="BR16" i="8" s="1"/>
  <c r="BQ16" i="8" a="1"/>
  <c r="BQ16" i="8"/>
  <c r="BP16" i="8" a="1"/>
  <c r="BP16" i="8" s="1"/>
  <c r="BO16" i="8" a="1"/>
  <c r="BO16" i="8"/>
  <c r="BN16" i="8" a="1"/>
  <c r="BN16" i="8" s="1"/>
  <c r="BM16" i="8" a="1"/>
  <c r="BM16" i="8" s="1"/>
  <c r="BL16" i="8" a="1"/>
  <c r="BL16" i="8"/>
  <c r="BK16" i="8" a="1"/>
  <c r="BK16" i="8"/>
  <c r="BJ16" i="8" a="1"/>
  <c r="BJ16" i="8"/>
  <c r="BI16" i="8" a="1"/>
  <c r="BI16" i="8" s="1"/>
  <c r="BH16" i="8" a="1"/>
  <c r="BH16" i="8"/>
  <c r="BG16" i="8" a="1"/>
  <c r="BG16" i="8" s="1"/>
  <c r="BF16" i="8" a="1"/>
  <c r="BF16" i="8"/>
  <c r="BE16" i="8" a="1"/>
  <c r="BE16" i="8"/>
  <c r="BD16" i="8" a="1"/>
  <c r="BD16" i="8"/>
  <c r="BC16" i="8" a="1"/>
  <c r="BC16" i="8" s="1"/>
  <c r="BB16" i="8" a="1"/>
  <c r="BB16" i="8" s="1"/>
  <c r="BA16" i="8" a="1"/>
  <c r="BA16" i="8"/>
  <c r="AZ16" i="8" a="1"/>
  <c r="AZ16" i="8"/>
  <c r="AY16" i="8" a="1"/>
  <c r="AY16" i="8" s="1"/>
  <c r="AX16" i="8" a="1"/>
  <c r="AX16" i="8" s="1"/>
  <c r="AW16" i="8" a="1"/>
  <c r="AW16" i="8"/>
  <c r="AV16" i="8" a="1"/>
  <c r="AV16" i="8" s="1"/>
  <c r="AU16" i="8" a="1"/>
  <c r="AU16" i="8"/>
  <c r="AT16" i="8" a="1"/>
  <c r="AT16" i="8"/>
  <c r="AS16" i="8" a="1"/>
  <c r="AS16" i="8" s="1"/>
  <c r="AR16" i="8" a="1"/>
  <c r="AR16" i="8" s="1"/>
  <c r="AQ16" i="8" a="1"/>
  <c r="AQ16" i="8" s="1"/>
  <c r="AP16" i="8" a="1"/>
  <c r="AP16" i="8"/>
  <c r="AO16" i="8" a="1"/>
  <c r="AO16" i="8"/>
  <c r="AN16" i="8" a="1"/>
  <c r="AN16" i="8"/>
  <c r="AM16" i="8" a="1"/>
  <c r="AM16" i="8"/>
  <c r="AL16" i="8" a="1"/>
  <c r="AL16" i="8"/>
  <c r="AK16" i="8" a="1"/>
  <c r="AK16" i="8" s="1"/>
  <c r="AJ16" i="8" a="1"/>
  <c r="AJ16" i="8"/>
  <c r="AI16" i="8" a="1"/>
  <c r="AI16" i="8"/>
  <c r="AH16" i="8" a="1"/>
  <c r="AH16" i="8"/>
  <c r="AG16" i="8" a="1"/>
  <c r="AG16" i="8" s="1"/>
  <c r="AF16" i="8" a="1"/>
  <c r="AF16" i="8" s="1"/>
  <c r="AE16" i="8" a="1"/>
  <c r="AE16" i="8"/>
  <c r="AD16" i="8" a="1"/>
  <c r="AD16" i="8"/>
  <c r="AC16" i="8" a="1"/>
  <c r="AC16" i="8" s="1"/>
  <c r="AB16" i="8" a="1"/>
  <c r="AB16" i="8"/>
  <c r="AA16" i="8" a="1"/>
  <c r="AA16" i="8"/>
  <c r="Z16" i="8" a="1"/>
  <c r="Z16" i="8" s="1"/>
  <c r="Y16" i="8" a="1"/>
  <c r="Y16" i="8"/>
  <c r="X16" i="8" a="1"/>
  <c r="X16" i="8"/>
  <c r="W16" i="8" a="1"/>
  <c r="W16" i="8" s="1"/>
  <c r="V16" i="8" a="1"/>
  <c r="V16" i="8" s="1"/>
  <c r="U16" i="8" a="1"/>
  <c r="U16" i="8" s="1"/>
  <c r="T16" i="8" a="1"/>
  <c r="T16" i="8"/>
  <c r="S16" i="8" a="1"/>
  <c r="S16" i="8" s="1"/>
  <c r="R16" i="8" a="1"/>
  <c r="R16" i="8" s="1"/>
  <c r="Q16" i="8" a="1"/>
  <c r="Q16" i="8" s="1"/>
  <c r="P16" i="8" a="1"/>
  <c r="P16" i="8"/>
  <c r="O16" i="8" a="1"/>
  <c r="O16" i="8" s="1"/>
  <c r="N16" i="8" a="1"/>
  <c r="N16" i="8"/>
  <c r="M16" i="8" a="1"/>
  <c r="M16" i="8" s="1"/>
  <c r="L16" i="8" a="1"/>
  <c r="L16" i="8" s="1"/>
  <c r="K16" i="8" a="1"/>
  <c r="K16" i="8" s="1"/>
  <c r="J16" i="8" a="1"/>
  <c r="J16" i="8" s="1"/>
  <c r="I16" i="8" a="1"/>
  <c r="I16" i="8"/>
  <c r="H16" i="8" a="1"/>
  <c r="H16" i="8"/>
  <c r="G16" i="8" a="1"/>
  <c r="G16" i="8"/>
  <c r="F16" i="8" a="1"/>
  <c r="F16" i="8"/>
  <c r="E16" i="8" a="1"/>
  <c r="E16" i="8"/>
  <c r="D16" i="8" a="1"/>
  <c r="D16" i="8" s="1"/>
  <c r="C16" i="8" a="1"/>
  <c r="C16" i="8"/>
  <c r="EF15" i="8" a="1"/>
  <c r="EF15" i="8"/>
  <c r="EE15" i="8" a="1"/>
  <c r="EE15" i="8"/>
  <c r="ED15" i="8" a="1"/>
  <c r="ED15" i="8" s="1"/>
  <c r="EC15" i="8" a="1"/>
  <c r="EC15" i="8" s="1"/>
  <c r="EB15" i="8" a="1"/>
  <c r="EB15" i="8" s="1"/>
  <c r="EA15" i="8" a="1"/>
  <c r="EA15" i="8" s="1"/>
  <c r="DZ15" i="8" a="1"/>
  <c r="DZ15" i="8"/>
  <c r="DY15" i="8" a="1"/>
  <c r="DY15" i="8"/>
  <c r="DX15" i="8" a="1"/>
  <c r="DX15" i="8"/>
  <c r="DW15" i="8" a="1"/>
  <c r="DW15" i="8" s="1"/>
  <c r="DV15" i="8" a="1"/>
  <c r="DV15" i="8"/>
  <c r="DU15" i="8" a="1"/>
  <c r="DU15" i="8" s="1"/>
  <c r="DT15" i="8" a="1"/>
  <c r="DT15" i="8" s="1"/>
  <c r="DS15" i="8" a="1"/>
  <c r="DS15" i="8" s="1"/>
  <c r="DR15" i="8" a="1"/>
  <c r="DR15" i="8" s="1"/>
  <c r="DQ15" i="8" a="1"/>
  <c r="DQ15" i="8" s="1"/>
  <c r="DP15" i="8" a="1"/>
  <c r="DP15" i="8" s="1"/>
  <c r="DO15" i="8" a="1"/>
  <c r="DO15" i="8" s="1"/>
  <c r="DN15" i="8" a="1"/>
  <c r="DN15" i="8" s="1"/>
  <c r="DM15" i="8" a="1"/>
  <c r="DM15" i="8"/>
  <c r="DL15" i="8" a="1"/>
  <c r="DL15" i="8" s="1"/>
  <c r="DK15" i="8" a="1"/>
  <c r="DK15" i="8"/>
  <c r="DJ15" i="8" a="1"/>
  <c r="DJ15" i="8" s="1"/>
  <c r="DI15" i="8" a="1"/>
  <c r="DI15" i="8" s="1"/>
  <c r="DH15" i="8" a="1"/>
  <c r="DH15" i="8" s="1"/>
  <c r="DG15" i="8" a="1"/>
  <c r="DG15" i="8" s="1"/>
  <c r="DF15" i="8" a="1"/>
  <c r="DF15" i="8" s="1"/>
  <c r="DE15" i="8" a="1"/>
  <c r="DE15" i="8"/>
  <c r="DD15" i="8" a="1"/>
  <c r="DD15" i="8"/>
  <c r="DC15" i="8" a="1"/>
  <c r="DC15" i="8" s="1"/>
  <c r="DB15" i="8" a="1"/>
  <c r="DB15" i="8"/>
  <c r="DA15" i="8" a="1"/>
  <c r="DA15" i="8"/>
  <c r="CZ15" i="8" a="1"/>
  <c r="CZ15" i="8"/>
  <c r="CY15" i="8" a="1"/>
  <c r="CY15" i="8" s="1"/>
  <c r="CX15" i="8" a="1"/>
  <c r="CX15" i="8"/>
  <c r="CW15" i="8" a="1"/>
  <c r="CW15" i="8" s="1"/>
  <c r="CV15" i="8" a="1"/>
  <c r="CV15" i="8" s="1"/>
  <c r="CU15" i="8" a="1"/>
  <c r="CU15" i="8" s="1"/>
  <c r="CT15" i="8" a="1"/>
  <c r="CT15" i="8" s="1"/>
  <c r="CS15" i="8" a="1"/>
  <c r="CS15" i="8" s="1"/>
  <c r="CR15" i="8" a="1"/>
  <c r="CR15" i="8" s="1"/>
  <c r="CQ15" i="8" a="1"/>
  <c r="CQ15" i="8"/>
  <c r="CP15" i="8" a="1"/>
  <c r="CP15" i="8"/>
  <c r="CO15" i="8" a="1"/>
  <c r="CO15" i="8"/>
  <c r="CN15" i="8" a="1"/>
  <c r="CN15" i="8" s="1"/>
  <c r="CM15" i="8" a="1"/>
  <c r="CM15" i="8"/>
  <c r="CL15" i="8" a="1"/>
  <c r="CL15" i="8" s="1"/>
  <c r="CK15" i="8" a="1"/>
  <c r="CK15" i="8" s="1"/>
  <c r="CJ15" i="8" a="1"/>
  <c r="CJ15" i="8" s="1"/>
  <c r="CI15" i="8" a="1"/>
  <c r="CI15" i="8"/>
  <c r="CH15" i="8" a="1"/>
  <c r="CH15" i="8"/>
  <c r="CG15" i="8" a="1"/>
  <c r="CG15" i="8" s="1"/>
  <c r="CF15" i="8" a="1"/>
  <c r="CF15" i="8"/>
  <c r="CE15" i="8" a="1"/>
  <c r="CE15" i="8"/>
  <c r="CD15" i="8" a="1"/>
  <c r="CD15" i="8"/>
  <c r="CC15" i="8" a="1"/>
  <c r="CC15" i="8" s="1"/>
  <c r="CB15" i="8" a="1"/>
  <c r="CB15" i="8" s="1"/>
  <c r="CA15" i="8" a="1"/>
  <c r="CA15" i="8" s="1"/>
  <c r="BZ15" i="8" a="1"/>
  <c r="BZ15" i="8" s="1"/>
  <c r="BY15" i="8" a="1"/>
  <c r="BY15" i="8" s="1"/>
  <c r="BX15" i="8" a="1"/>
  <c r="BX15" i="8"/>
  <c r="BW15" i="8" a="1"/>
  <c r="BW15" i="8" s="1"/>
  <c r="BV15" i="8" a="1"/>
  <c r="BV15" i="8" s="1"/>
  <c r="BU15" i="8" a="1"/>
  <c r="BU15" i="8"/>
  <c r="BT15" i="8" a="1"/>
  <c r="BT15" i="8"/>
  <c r="BS15" i="8" a="1"/>
  <c r="BS15" i="8"/>
  <c r="BR15" i="8" a="1"/>
  <c r="BR15" i="8"/>
  <c r="BQ15" i="8" a="1"/>
  <c r="BQ15" i="8"/>
  <c r="BP15" i="8" a="1"/>
  <c r="BP15" i="8" s="1"/>
  <c r="BO15" i="8" a="1"/>
  <c r="BO15" i="8" s="1"/>
  <c r="BN15" i="8" a="1"/>
  <c r="BN15" i="8" s="1"/>
  <c r="BM15" i="8" a="1"/>
  <c r="BM15" i="8" s="1"/>
  <c r="BL15" i="8" a="1"/>
  <c r="BL15" i="8" s="1"/>
  <c r="BK15" i="8" a="1"/>
  <c r="BK15" i="8"/>
  <c r="BJ15" i="8" a="1"/>
  <c r="BJ15" i="8"/>
  <c r="BI15" i="8" a="1"/>
  <c r="BI15" i="8"/>
  <c r="BH15" i="8" a="1"/>
  <c r="BH15" i="8"/>
  <c r="BG15" i="8" a="1"/>
  <c r="BG15" i="8"/>
  <c r="BF15" i="8" a="1"/>
  <c r="BF15" i="8"/>
  <c r="BE15" i="8" a="1"/>
  <c r="BE15" i="8" s="1"/>
  <c r="BD15" i="8" a="1"/>
  <c r="BD15" i="8" s="1"/>
  <c r="BC15" i="8" a="1"/>
  <c r="BC15" i="8" s="1"/>
  <c r="BB15" i="8" a="1"/>
  <c r="BB15" i="8"/>
  <c r="BA15" i="8" a="1"/>
  <c r="BA15" i="8" s="1"/>
  <c r="AZ15" i="8" a="1"/>
  <c r="AZ15" i="8"/>
  <c r="AY15" i="8" a="1"/>
  <c r="AY15" i="8"/>
  <c r="AX15" i="8" a="1"/>
  <c r="AX15" i="8"/>
  <c r="AW15" i="8" a="1"/>
  <c r="AW15" i="8"/>
  <c r="AV15" i="8" a="1"/>
  <c r="AV15" i="8" s="1"/>
  <c r="AU15" i="8" a="1"/>
  <c r="AU15" i="8" s="1"/>
  <c r="AT15" i="8" a="1"/>
  <c r="AT15" i="8" s="1"/>
  <c r="AS15" i="8" a="1"/>
  <c r="AS15" i="8" s="1"/>
  <c r="AR15" i="8" a="1"/>
  <c r="AR15" i="8" s="1"/>
  <c r="AQ15" i="8" a="1"/>
  <c r="AQ15" i="8" s="1"/>
  <c r="AP15" i="8" a="1"/>
  <c r="AP15" i="8" s="1"/>
  <c r="AO15" i="8" a="1"/>
  <c r="AO15" i="8" s="1"/>
  <c r="AN15" i="8" a="1"/>
  <c r="AN15" i="8"/>
  <c r="AM15" i="8" a="1"/>
  <c r="AM15" i="8"/>
  <c r="AL15" i="8" a="1"/>
  <c r="AL15" i="8"/>
  <c r="AK15" i="8" a="1"/>
  <c r="AK15" i="8"/>
  <c r="AJ15" i="8" a="1"/>
  <c r="AJ15" i="8"/>
  <c r="AI15" i="8" a="1"/>
  <c r="AI15" i="8" s="1"/>
  <c r="AH15" i="8" a="1"/>
  <c r="AH15" i="8" s="1"/>
  <c r="AG15" i="8" a="1"/>
  <c r="AG15" i="8" s="1"/>
  <c r="AF15" i="8" a="1"/>
  <c r="AF15" i="8" s="1"/>
  <c r="AE15" i="8" a="1"/>
  <c r="AE15" i="8"/>
  <c r="AD15" i="8" a="1"/>
  <c r="AD15" i="8"/>
  <c r="AC15" i="8" a="1"/>
  <c r="AC15" i="8"/>
  <c r="AB15" i="8" a="1"/>
  <c r="AB15" i="8"/>
  <c r="AA15" i="8" a="1"/>
  <c r="AA15" i="8"/>
  <c r="Z15" i="8" a="1"/>
  <c r="Z15" i="8"/>
  <c r="Y15" i="8" a="1"/>
  <c r="Y15" i="8" s="1"/>
  <c r="X15" i="8" a="1"/>
  <c r="X15" i="8" s="1"/>
  <c r="W15" i="8" a="1"/>
  <c r="W15" i="8" s="1"/>
  <c r="V15" i="8" a="1"/>
  <c r="V15" i="8" s="1"/>
  <c r="U15" i="8" a="1"/>
  <c r="U15" i="8" s="1"/>
  <c r="T15" i="8" a="1"/>
  <c r="T15" i="8"/>
  <c r="S15" i="8" a="1"/>
  <c r="S15" i="8"/>
  <c r="R15" i="8" a="1"/>
  <c r="R15" i="8"/>
  <c r="Q15" i="8" a="1"/>
  <c r="Q15" i="8"/>
  <c r="P15" i="8" a="1"/>
  <c r="P15" i="8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I15" i="8" a="1"/>
  <c r="I15" i="8" s="1"/>
  <c r="H15" i="8" a="1"/>
  <c r="H15" i="8" s="1"/>
  <c r="G15" i="8" a="1"/>
  <c r="G15" i="8"/>
  <c r="F15" i="8" a="1"/>
  <c r="F15" i="8"/>
  <c r="E15" i="8" a="1"/>
  <c r="E15" i="8"/>
  <c r="D15" i="8" a="1"/>
  <c r="D15" i="8"/>
  <c r="C15" i="8" a="1"/>
  <c r="C15" i="8" s="1"/>
  <c r="EF14" i="8" a="1"/>
  <c r="EF14" i="8" s="1"/>
  <c r="EE14" i="8" a="1"/>
  <c r="EE14" i="8" s="1"/>
  <c r="ED14" i="8" a="1"/>
  <c r="ED14" i="8" s="1"/>
  <c r="EC14" i="8" a="1"/>
  <c r="EC14" i="8"/>
  <c r="EB14" i="8" a="1"/>
  <c r="EB14" i="8"/>
  <c r="EA14" i="8" a="1"/>
  <c r="EA14" i="8"/>
  <c r="DZ14" i="8" a="1"/>
  <c r="DZ14" i="8"/>
  <c r="DY14" i="8" a="1"/>
  <c r="DY14" i="8"/>
  <c r="DX14" i="8" a="1"/>
  <c r="DX14" i="8"/>
  <c r="DW14" i="8" a="1"/>
  <c r="DW14" i="8" s="1"/>
  <c r="DV14" i="8" a="1"/>
  <c r="DV14" i="8" s="1"/>
  <c r="DU14" i="8" a="1"/>
  <c r="DU14" i="8" s="1"/>
  <c r="DT14" i="8" a="1"/>
  <c r="DT14" i="8" s="1"/>
  <c r="DS14" i="8" a="1"/>
  <c r="DS14" i="8" s="1"/>
  <c r="DR14" i="8" a="1"/>
  <c r="DR14" i="8"/>
  <c r="DQ14" i="8" a="1"/>
  <c r="DQ14" i="8"/>
  <c r="DP14" i="8" a="1"/>
  <c r="DP14" i="8" s="1"/>
  <c r="DO14" i="8" a="1"/>
  <c r="DO14" i="8"/>
  <c r="DN14" i="8" a="1"/>
  <c r="DN14" i="8"/>
  <c r="DM14" i="8" a="1"/>
  <c r="DM14" i="8"/>
  <c r="DL14" i="8" a="1"/>
  <c r="DL14" i="8" s="1"/>
  <c r="DK14" i="8" a="1"/>
  <c r="DK14" i="8"/>
  <c r="DJ14" i="8" a="1"/>
  <c r="DJ14" i="8" s="1"/>
  <c r="DI14" i="8" a="1"/>
  <c r="DI14" i="8" s="1"/>
  <c r="DH14" i="8" a="1"/>
  <c r="DH14" i="8" s="1"/>
  <c r="DG14" i="8" a="1"/>
  <c r="DG14" i="8" s="1"/>
  <c r="DF14" i="8" a="1"/>
  <c r="DF14" i="8"/>
  <c r="DE14" i="8" a="1"/>
  <c r="DE14" i="8" s="1"/>
  <c r="DD14" i="8" a="1"/>
  <c r="DD14" i="8"/>
  <c r="DC14" i="8" a="1"/>
  <c r="DC14" i="8"/>
  <c r="DB14" i="8" a="1"/>
  <c r="DB14" i="8"/>
  <c r="DA14" i="8" a="1"/>
  <c r="DA14" i="8" s="1"/>
  <c r="CZ14" i="8" a="1"/>
  <c r="CZ14" i="8"/>
  <c r="CY14" i="8" a="1"/>
  <c r="CY14" i="8" s="1"/>
  <c r="CX14" i="8" a="1"/>
  <c r="CX14" i="8" s="1"/>
  <c r="CW14" i="8" a="1"/>
  <c r="CW14" i="8" s="1"/>
  <c r="CV14" i="8" a="1"/>
  <c r="CV14" i="8"/>
  <c r="CU14" i="8" a="1"/>
  <c r="CU14" i="8"/>
  <c r="CT14" i="8" a="1"/>
  <c r="CT14" i="8" s="1"/>
  <c r="CS14" i="8" a="1"/>
  <c r="CS14" i="8"/>
  <c r="CR14" i="8" a="1"/>
  <c r="CR14" i="8"/>
  <c r="CQ14" i="8" a="1"/>
  <c r="CQ14" i="8"/>
  <c r="CP14" i="8" a="1"/>
  <c r="CP14" i="8" s="1"/>
  <c r="CO14" i="8" a="1"/>
  <c r="CO14" i="8" s="1"/>
  <c r="CN14" i="8" a="1"/>
  <c r="CN14" i="8" s="1"/>
  <c r="CM14" i="8" a="1"/>
  <c r="CM14" i="8" s="1"/>
  <c r="CL14" i="8" a="1"/>
  <c r="CL14" i="8" s="1"/>
  <c r="CK14" i="8" a="1"/>
  <c r="CK14" i="8"/>
  <c r="CJ14" i="8" a="1"/>
  <c r="CJ14" i="8" s="1"/>
  <c r="CI14" i="8" a="1"/>
  <c r="CI14" i="8" s="1"/>
  <c r="CH14" i="8" a="1"/>
  <c r="CH14" i="8"/>
  <c r="CG14" i="8" a="1"/>
  <c r="CG14" i="8"/>
  <c r="CF14" i="8" a="1"/>
  <c r="CF14" i="8"/>
  <c r="CE14" i="8" a="1"/>
  <c r="CE14" i="8"/>
  <c r="CD14" i="8" a="1"/>
  <c r="CD14" i="8"/>
  <c r="CC14" i="8" a="1"/>
  <c r="CC14" i="8" s="1"/>
  <c r="CB14" i="8" a="1"/>
  <c r="CB14" i="8" s="1"/>
  <c r="CA14" i="8" a="1"/>
  <c r="CA14" i="8" s="1"/>
  <c r="BZ14" i="8" a="1"/>
  <c r="BZ14" i="8" s="1"/>
  <c r="BY14" i="8" a="1"/>
  <c r="BY14" i="8" s="1"/>
  <c r="BX14" i="8" a="1"/>
  <c r="BX14" i="8"/>
  <c r="BW14" i="8" a="1"/>
  <c r="BW14" i="8"/>
  <c r="BV14" i="8" a="1"/>
  <c r="BV14" i="8"/>
  <c r="BU14" i="8" a="1"/>
  <c r="BU14" i="8"/>
  <c r="BT14" i="8" a="1"/>
  <c r="BT14" i="8"/>
  <c r="BS14" i="8" a="1"/>
  <c r="BS14" i="8"/>
  <c r="BR14" i="8" a="1"/>
  <c r="BR14" i="8" s="1"/>
  <c r="BQ14" i="8" a="1"/>
  <c r="BQ14" i="8" s="1"/>
  <c r="BP14" i="8" a="1"/>
  <c r="BP14" i="8" s="1"/>
  <c r="BO14" i="8" a="1"/>
  <c r="BO14" i="8"/>
  <c r="BN14" i="8" a="1"/>
  <c r="BN14" i="8" s="1"/>
  <c r="BM14" i="8" a="1"/>
  <c r="BM14" i="8"/>
  <c r="BL14" i="8" a="1"/>
  <c r="BL14" i="8"/>
  <c r="BK14" i="8" a="1"/>
  <c r="BK14" i="8"/>
  <c r="BJ14" i="8" a="1"/>
  <c r="BJ14" i="8"/>
  <c r="BI14" i="8" a="1"/>
  <c r="BI14" i="8" s="1"/>
  <c r="BH14" i="8" a="1"/>
  <c r="BH14" i="8"/>
  <c r="BG14" i="8" a="1"/>
  <c r="BG14" i="8" s="1"/>
  <c r="BF14" i="8" a="1"/>
  <c r="BF14" i="8" s="1"/>
  <c r="BE14" i="8" a="1"/>
  <c r="BE14" i="8" s="1"/>
  <c r="BD14" i="8" a="1"/>
  <c r="BD14" i="8" s="1"/>
  <c r="BC14" i="8" a="1"/>
  <c r="BC14" i="8" s="1"/>
  <c r="BB14" i="8" a="1"/>
  <c r="BB14" i="8" s="1"/>
  <c r="BA14" i="8" a="1"/>
  <c r="BA14" i="8"/>
  <c r="AZ14" i="8" a="1"/>
  <c r="AZ14" i="8" s="1"/>
  <c r="AY14" i="8" a="1"/>
  <c r="AY14" i="8"/>
  <c r="AX14" i="8" a="1"/>
  <c r="AX14" i="8" s="1"/>
  <c r="AW14" i="8" a="1"/>
  <c r="AW14" i="8" s="1"/>
  <c r="AV14" i="8" a="1"/>
  <c r="AV14" i="8" s="1"/>
  <c r="AU14" i="8" a="1"/>
  <c r="AU14" i="8" s="1"/>
  <c r="AT14" i="8" a="1"/>
  <c r="AT14" i="8" s="1"/>
  <c r="AS14" i="8" a="1"/>
  <c r="AS14" i="8"/>
  <c r="AR14" i="8" a="1"/>
  <c r="AR14" i="8"/>
  <c r="AQ14" i="8" a="1"/>
  <c r="AQ14" i="8" s="1"/>
  <c r="AP14" i="8" a="1"/>
  <c r="AP14" i="8"/>
  <c r="AO14" i="8" a="1"/>
  <c r="AO14" i="8" s="1"/>
  <c r="AN14" i="8" a="1"/>
  <c r="AN14" i="8"/>
  <c r="AM14" i="8" a="1"/>
  <c r="AM14" i="8"/>
  <c r="AL14" i="8" a="1"/>
  <c r="AL14" i="8"/>
  <c r="AK14" i="8" a="1"/>
  <c r="AK14" i="8" s="1"/>
  <c r="AJ14" i="8" a="1"/>
  <c r="AJ14" i="8" s="1"/>
  <c r="AI14" i="8" a="1"/>
  <c r="AI14" i="8" s="1"/>
  <c r="AH14" i="8" a="1"/>
  <c r="AH14" i="8"/>
  <c r="AG14" i="8" a="1"/>
  <c r="AG14" i="8" s="1"/>
  <c r="AF14" i="8" a="1"/>
  <c r="AF14" i="8"/>
  <c r="AE14" i="8" a="1"/>
  <c r="AE14" i="8"/>
  <c r="AD14" i="8" a="1"/>
  <c r="AD14" i="8" s="1"/>
  <c r="AC14" i="8" a="1"/>
  <c r="AC14" i="8"/>
  <c r="AB14" i="8" a="1"/>
  <c r="AB14" i="8"/>
  <c r="AA14" i="8" a="1"/>
  <c r="AA14" i="8" s="1"/>
  <c r="Z14" i="8" a="1"/>
  <c r="Z14" i="8" s="1"/>
  <c r="Y14" i="8" a="1"/>
  <c r="Y14" i="8" s="1"/>
  <c r="X14" i="8" a="1"/>
  <c r="X14" i="8" s="1"/>
  <c r="W14" i="8" a="1"/>
  <c r="W14" i="8"/>
  <c r="V14" i="8" a="1"/>
  <c r="V14" i="8"/>
  <c r="U14" i="8" a="1"/>
  <c r="U14" i="8"/>
  <c r="T14" i="8" a="1"/>
  <c r="T14" i="8" s="1"/>
  <c r="S14" i="8" a="1"/>
  <c r="S14" i="8"/>
  <c r="R14" i="8" a="1"/>
  <c r="R14" i="8"/>
  <c r="Q14" i="8" a="1"/>
  <c r="Q14" i="8" s="1"/>
  <c r="P14" i="8" a="1"/>
  <c r="P14" i="8" s="1"/>
  <c r="O14" i="8" a="1"/>
  <c r="O14" i="8" s="1"/>
  <c r="N14" i="8" a="1"/>
  <c r="N14" i="8"/>
  <c r="M14" i="8" a="1"/>
  <c r="M14" i="8" s="1"/>
  <c r="L14" i="8" a="1"/>
  <c r="L14" i="8"/>
  <c r="K14" i="8" a="1"/>
  <c r="K14" i="8"/>
  <c r="J14" i="8" a="1"/>
  <c r="J14" i="8"/>
  <c r="I14" i="8" a="1"/>
  <c r="I14" i="8" s="1"/>
  <c r="H14" i="8" a="1"/>
  <c r="H14" i="8"/>
  <c r="G14" i="8" a="1"/>
  <c r="G14" i="8"/>
  <c r="F14" i="8" a="1"/>
  <c r="F14" i="8" s="1"/>
  <c r="E14" i="8" a="1"/>
  <c r="E14" i="8" s="1"/>
  <c r="D14" i="8" a="1"/>
  <c r="D14" i="8" s="1"/>
  <c r="C14" i="8" a="1"/>
  <c r="C14" i="8"/>
  <c r="EF13" i="8" a="1"/>
  <c r="EF13" i="8" s="1"/>
  <c r="EE13" i="8" a="1"/>
  <c r="EE13" i="8"/>
  <c r="ED13" i="8" a="1"/>
  <c r="ED13" i="8"/>
  <c r="EC13" i="8" a="1"/>
  <c r="EC13" i="8"/>
  <c r="EB13" i="8" a="1"/>
  <c r="EB13" i="8" s="1"/>
  <c r="EA13" i="8" a="1"/>
  <c r="EA13" i="8"/>
  <c r="DZ13" i="8" a="1"/>
  <c r="DZ13" i="8"/>
  <c r="DY13" i="8" a="1"/>
  <c r="DY13" i="8" s="1"/>
  <c r="DX13" i="8" a="1"/>
  <c r="DX13" i="8" s="1"/>
  <c r="DW13" i="8" a="1"/>
  <c r="DW13" i="8" s="1"/>
  <c r="DV13" i="8" a="1"/>
  <c r="DV13" i="8"/>
  <c r="DU13" i="8" a="1"/>
  <c r="DU13" i="8" s="1"/>
  <c r="DT13" i="8" a="1"/>
  <c r="DT13" i="8"/>
  <c r="DS13" i="8" a="1"/>
  <c r="DS13" i="8"/>
  <c r="DR13" i="8" a="1"/>
  <c r="DR13" i="8"/>
  <c r="DQ13" i="8" a="1"/>
  <c r="DQ13" i="8" s="1"/>
  <c r="DP13" i="8" a="1"/>
  <c r="DP13" i="8"/>
  <c r="DO13" i="8" a="1"/>
  <c r="DO13" i="8"/>
  <c r="DN13" i="8" a="1"/>
  <c r="DN13" i="8" s="1"/>
  <c r="DM13" i="8" a="1"/>
  <c r="DM13" i="8" s="1"/>
  <c r="DL13" i="8" a="1"/>
  <c r="DL13" i="8" s="1"/>
  <c r="DK13" i="8" a="1"/>
  <c r="DK13" i="8"/>
  <c r="DJ13" i="8" a="1"/>
  <c r="DJ13" i="8" s="1"/>
  <c r="DI13" i="8" a="1"/>
  <c r="DI13" i="8"/>
  <c r="DH13" i="8" a="1"/>
  <c r="DH13" i="8"/>
  <c r="DG13" i="8" a="1"/>
  <c r="DG13" i="8"/>
  <c r="DF13" i="8" a="1"/>
  <c r="DF13" i="8" s="1"/>
  <c r="DE13" i="8" a="1"/>
  <c r="DE13" i="8"/>
  <c r="DD13" i="8" a="1"/>
  <c r="DD13" i="8"/>
  <c r="DC13" i="8" a="1"/>
  <c r="DC13" i="8" s="1"/>
  <c r="DB13" i="8" a="1"/>
  <c r="DB13" i="8" s="1"/>
  <c r="DA13" i="8" a="1"/>
  <c r="DA13" i="8" s="1"/>
  <c r="CZ13" i="8" a="1"/>
  <c r="CZ13" i="8"/>
  <c r="CY13" i="8" a="1"/>
  <c r="CY13" i="8" s="1"/>
  <c r="CX13" i="8" a="1"/>
  <c r="CX13" i="8"/>
  <c r="CW13" i="8" a="1"/>
  <c r="CW13" i="8"/>
  <c r="CV13" i="8" a="1"/>
  <c r="CV13" i="8"/>
  <c r="CU13" i="8" a="1"/>
  <c r="CU13" i="8" s="1"/>
  <c r="CT13" i="8" a="1"/>
  <c r="CT13" i="8"/>
  <c r="CS13" i="8" a="1"/>
  <c r="CS13" i="8"/>
  <c r="CR13" i="8" a="1"/>
  <c r="CR13" i="8" s="1"/>
  <c r="CQ13" i="8" a="1"/>
  <c r="CQ13" i="8" s="1"/>
  <c r="CP13" i="8" a="1"/>
  <c r="CP13" i="8" s="1"/>
  <c r="CO13" i="8" a="1"/>
  <c r="CO13" i="8"/>
  <c r="CN13" i="8" a="1"/>
  <c r="CN13" i="8" s="1"/>
  <c r="CM13" i="8" a="1"/>
  <c r="CM13" i="8"/>
  <c r="CL13" i="8" a="1"/>
  <c r="CL13" i="8"/>
  <c r="CK13" i="8" a="1"/>
  <c r="CK13" i="8"/>
  <c r="CJ13" i="8" a="1"/>
  <c r="CJ13" i="8" s="1"/>
  <c r="CI13" i="8" a="1"/>
  <c r="CI13" i="8"/>
  <c r="CH13" i="8" a="1"/>
  <c r="CH13" i="8"/>
  <c r="CG13" i="8" a="1"/>
  <c r="CG13" i="8" s="1"/>
  <c r="CF13" i="8" a="1"/>
  <c r="CF13" i="8" s="1"/>
  <c r="CE13" i="8" a="1"/>
  <c r="CE13" i="8" s="1"/>
  <c r="CD13" i="8" a="1"/>
  <c r="CD13" i="8"/>
  <c r="CC13" i="8" a="1"/>
  <c r="CC13" i="8" s="1"/>
  <c r="CB13" i="8" a="1"/>
  <c r="CB13" i="8"/>
  <c r="CA13" i="8" a="1"/>
  <c r="CA13" i="8"/>
  <c r="BZ13" i="8" a="1"/>
  <c r="BZ13" i="8"/>
  <c r="BY13" i="8" a="1"/>
  <c r="BY13" i="8" s="1"/>
  <c r="BX13" i="8" a="1"/>
  <c r="BX13" i="8"/>
  <c r="BW13" i="8" a="1"/>
  <c r="BW13" i="8"/>
  <c r="BV13" i="8" a="1"/>
  <c r="BV13" i="8" s="1"/>
  <c r="BU13" i="8" a="1"/>
  <c r="BU13" i="8" s="1"/>
  <c r="BT13" i="8" a="1"/>
  <c r="BT13" i="8" s="1"/>
  <c r="BS13" i="8" a="1"/>
  <c r="BS13" i="8"/>
  <c r="BR13" i="8" a="1"/>
  <c r="BR13" i="8" s="1"/>
  <c r="BQ13" i="8" a="1"/>
  <c r="BQ13" i="8"/>
  <c r="BP13" i="8" a="1"/>
  <c r="BP13" i="8"/>
  <c r="BO13" i="8" a="1"/>
  <c r="BO13" i="8"/>
  <c r="BN13" i="8" a="1"/>
  <c r="BN13" i="8" s="1"/>
  <c r="BM13" i="8" a="1"/>
  <c r="BM13" i="8"/>
  <c r="BL13" i="8" a="1"/>
  <c r="BL13" i="8"/>
  <c r="BK13" i="8" a="1"/>
  <c r="BK13" i="8" s="1"/>
  <c r="BJ13" i="8" a="1"/>
  <c r="BJ13" i="8" s="1"/>
  <c r="BI13" i="8" a="1"/>
  <c r="BI13" i="8" s="1"/>
  <c r="BH13" i="8" a="1"/>
  <c r="BH13" i="8"/>
  <c r="BG13" i="8" a="1"/>
  <c r="BG13" i="8" s="1"/>
  <c r="BF13" i="8" a="1"/>
  <c r="BF13" i="8"/>
  <c r="BE13" i="8" a="1"/>
  <c r="BE13" i="8"/>
  <c r="BD13" i="8" a="1"/>
  <c r="BD13" i="8"/>
  <c r="BC13" i="8" a="1"/>
  <c r="BC13" i="8" s="1"/>
  <c r="BB13" i="8" a="1"/>
  <c r="BB13" i="8"/>
  <c r="BA13" i="8" a="1"/>
  <c r="BA13" i="8"/>
  <c r="AZ13" i="8" a="1"/>
  <c r="AZ13" i="8" s="1"/>
  <c r="AY13" i="8" a="1"/>
  <c r="AY13" i="8" s="1"/>
  <c r="AX13" i="8" a="1"/>
  <c r="AX13" i="8" s="1"/>
  <c r="AW13" i="8" a="1"/>
  <c r="AW13" i="8"/>
  <c r="AV13" i="8" a="1"/>
  <c r="AV13" i="8" s="1"/>
  <c r="AU13" i="8" a="1"/>
  <c r="AU13" i="8"/>
  <c r="AT13" i="8" a="1"/>
  <c r="AT13" i="8"/>
  <c r="AS13" i="8" a="1"/>
  <c r="AS13" i="8"/>
  <c r="AR13" i="8" a="1"/>
  <c r="AR13" i="8" s="1"/>
  <c r="AQ13" i="8" a="1"/>
  <c r="AQ13" i="8"/>
  <c r="AP13" i="8" a="1"/>
  <c r="AP13" i="8"/>
  <c r="AO13" i="8" a="1"/>
  <c r="AO13" i="8" s="1"/>
  <c r="AN13" i="8" a="1"/>
  <c r="AN13" i="8" s="1"/>
  <c r="AM13" i="8" a="1"/>
  <c r="AM13" i="8" s="1"/>
  <c r="AL13" i="8" a="1"/>
  <c r="AL13" i="8"/>
  <c r="AK13" i="8" a="1"/>
  <c r="AK13" i="8" s="1"/>
  <c r="AJ13" i="8" a="1"/>
  <c r="AJ13" i="8" s="1"/>
  <c r="AI13" i="8" a="1"/>
  <c r="AI13" i="8"/>
  <c r="AH13" i="8" a="1"/>
  <c r="AH13" i="8"/>
  <c r="AG13" i="8" a="1"/>
  <c r="AG13" i="8" s="1"/>
  <c r="AF13" i="8" a="1"/>
  <c r="AF13" i="8"/>
  <c r="AE13" i="8" a="1"/>
  <c r="AE13" i="8"/>
  <c r="AD13" i="8" a="1"/>
  <c r="AD13" i="8" s="1"/>
  <c r="AC13" i="8" a="1"/>
  <c r="AC13" i="8" s="1"/>
  <c r="AB13" i="8" a="1"/>
  <c r="AB13" i="8" s="1"/>
  <c r="AA13" i="8" a="1"/>
  <c r="AA13" i="8"/>
  <c r="Z13" i="8" a="1"/>
  <c r="Z13" i="8" s="1"/>
  <c r="Y13" i="8" a="1"/>
  <c r="Y13" i="8"/>
  <c r="X13" i="8" a="1"/>
  <c r="X13" i="8"/>
  <c r="W13" i="8" a="1"/>
  <c r="W13" i="8"/>
  <c r="V13" i="8" a="1"/>
  <c r="V13" i="8" s="1"/>
  <c r="U13" i="8" a="1"/>
  <c r="U13" i="8"/>
  <c r="T13" i="8" a="1"/>
  <c r="T13" i="8"/>
  <c r="S13" i="8" a="1"/>
  <c r="S13" i="8" s="1"/>
  <c r="R13" i="8" a="1"/>
  <c r="R13" i="8" s="1"/>
  <c r="Q13" i="8" a="1"/>
  <c r="Q13" i="8" s="1"/>
  <c r="P13" i="8" a="1"/>
  <c r="P13" i="8"/>
  <c r="O13" i="8" a="1"/>
  <c r="O13" i="8" s="1"/>
  <c r="N13" i="8" a="1"/>
  <c r="N13" i="8"/>
  <c r="M13" i="8" a="1"/>
  <c r="M13" i="8"/>
  <c r="L13" i="8" a="1"/>
  <c r="L13" i="8"/>
  <c r="K13" i="8" a="1"/>
  <c r="K13" i="8" s="1"/>
  <c r="J13" i="8" a="1"/>
  <c r="J13" i="8"/>
  <c r="I13" i="8" a="1"/>
  <c r="I13" i="8"/>
  <c r="H13" i="8" a="1"/>
  <c r="H13" i="8" s="1"/>
  <c r="G13" i="8" a="1"/>
  <c r="G13" i="8" s="1"/>
  <c r="F13" i="8" a="1"/>
  <c r="F13" i="8" s="1"/>
  <c r="E13" i="8" a="1"/>
  <c r="E13" i="8"/>
  <c r="D13" i="8" a="1"/>
  <c r="D13" i="8" s="1"/>
  <c r="C13" i="8" a="1"/>
  <c r="C13" i="8"/>
  <c r="EF12" i="8" a="1"/>
  <c r="EF12" i="8"/>
  <c r="EE12" i="8" a="1"/>
  <c r="EE12" i="8"/>
  <c r="ED12" i="8" a="1"/>
  <c r="ED12" i="8" s="1"/>
  <c r="EC12" i="8" a="1"/>
  <c r="EC12" i="8"/>
  <c r="EB12" i="8" a="1"/>
  <c r="EB12" i="8"/>
  <c r="EA12" i="8" a="1"/>
  <c r="EA12" i="8" s="1"/>
  <c r="DZ12" i="8" a="1"/>
  <c r="DZ12" i="8" s="1"/>
  <c r="DY12" i="8" a="1"/>
  <c r="DY12" i="8" s="1"/>
  <c r="DX12" i="8" a="1"/>
  <c r="DX12" i="8"/>
  <c r="DW12" i="8" a="1"/>
  <c r="DW12" i="8" s="1"/>
  <c r="DV12" i="8" a="1"/>
  <c r="DV12" i="8"/>
  <c r="DU12" i="8" a="1"/>
  <c r="DU12" i="8"/>
  <c r="DT12" i="8" a="1"/>
  <c r="DT12" i="8"/>
  <c r="DS12" i="8" a="1"/>
  <c r="DS12" i="8" s="1"/>
  <c r="DR12" i="8" a="1"/>
  <c r="DR12" i="8"/>
  <c r="DQ12" i="8" a="1"/>
  <c r="DQ12" i="8"/>
  <c r="DP12" i="8" a="1"/>
  <c r="DP12" i="8" s="1"/>
  <c r="DO12" i="8" a="1"/>
  <c r="DO12" i="8" s="1"/>
  <c r="DN12" i="8" a="1"/>
  <c r="DN12" i="8" s="1"/>
  <c r="DM12" i="8" a="1"/>
  <c r="DM12" i="8"/>
  <c r="DL12" i="8" a="1"/>
  <c r="DL12" i="8" s="1"/>
  <c r="DK12" i="8" a="1"/>
  <c r="DK12" i="8"/>
  <c r="DJ12" i="8" a="1"/>
  <c r="DJ12" i="8"/>
  <c r="DI12" i="8" a="1"/>
  <c r="DI12" i="8"/>
  <c r="DH12" i="8" a="1"/>
  <c r="DH12" i="8" s="1"/>
  <c r="DG12" i="8" a="1"/>
  <c r="DG12" i="8"/>
  <c r="DF12" i="8" a="1"/>
  <c r="DF12" i="8"/>
  <c r="DE12" i="8" a="1"/>
  <c r="DE12" i="8" s="1"/>
  <c r="DD12" i="8" a="1"/>
  <c r="DD12" i="8" s="1"/>
  <c r="DC12" i="8" a="1"/>
  <c r="DC12" i="8" s="1"/>
  <c r="DB12" i="8" a="1"/>
  <c r="DB12" i="8"/>
  <c r="DA12" i="8" a="1"/>
  <c r="DA12" i="8" s="1"/>
  <c r="CZ12" i="8" a="1"/>
  <c r="CZ12" i="8"/>
  <c r="CY12" i="8" a="1"/>
  <c r="CY12" i="8"/>
  <c r="CX12" i="8" a="1"/>
  <c r="CX12" i="8"/>
  <c r="CW12" i="8" a="1"/>
  <c r="CW12" i="8" s="1"/>
  <c r="CV12" i="8" a="1"/>
  <c r="CV12" i="8"/>
  <c r="CU12" i="8" a="1"/>
  <c r="CU12" i="8"/>
  <c r="CT12" i="8" a="1"/>
  <c r="CT12" i="8" s="1"/>
  <c r="CS12" i="8" a="1"/>
  <c r="CS12" i="8" s="1"/>
  <c r="CR12" i="8" a="1"/>
  <c r="CR12" i="8" s="1"/>
  <c r="CQ12" i="8" a="1"/>
  <c r="CQ12" i="8"/>
  <c r="CP12" i="8" a="1"/>
  <c r="CP12" i="8" s="1"/>
  <c r="CO12" i="8" a="1"/>
  <c r="CO12" i="8"/>
  <c r="CN12" i="8" a="1"/>
  <c r="CN12" i="8"/>
  <c r="CM12" i="8" a="1"/>
  <c r="CM12" i="8"/>
  <c r="CL12" i="8" a="1"/>
  <c r="CL12" i="8" s="1"/>
  <c r="CK12" i="8" a="1"/>
  <c r="CK12" i="8"/>
  <c r="CJ12" i="8" a="1"/>
  <c r="CJ12" i="8"/>
  <c r="CI12" i="8" a="1"/>
  <c r="CI12" i="8" s="1"/>
  <c r="CH12" i="8" a="1"/>
  <c r="CH12" i="8" s="1"/>
  <c r="CG12" i="8" a="1"/>
  <c r="CG12" i="8" s="1"/>
  <c r="CF12" i="8" a="1"/>
  <c r="CF12" i="8"/>
  <c r="CE12" i="8" a="1"/>
  <c r="CE12" i="8" s="1"/>
  <c r="CD12" i="8" a="1"/>
  <c r="CD12" i="8" s="1"/>
  <c r="CC12" i="8" a="1"/>
  <c r="CC12" i="8"/>
  <c r="CB12" i="8" a="1"/>
  <c r="CB12" i="8"/>
  <c r="CA12" i="8" a="1"/>
  <c r="CA12" i="8" s="1"/>
  <c r="BZ12" i="8" a="1"/>
  <c r="BZ12" i="8"/>
  <c r="BY12" i="8" a="1"/>
  <c r="BY12" i="8"/>
  <c r="BX12" i="8" a="1"/>
  <c r="BX12" i="8" s="1"/>
  <c r="BW12" i="8" a="1"/>
  <c r="BW12" i="8" s="1"/>
  <c r="BV12" i="8" a="1"/>
  <c r="BV12" i="8" s="1"/>
  <c r="BU12" i="8" a="1"/>
  <c r="BU12" i="8"/>
  <c r="BT12" i="8" a="1"/>
  <c r="BT12" i="8" s="1"/>
  <c r="BS12" i="8" a="1"/>
  <c r="BS12" i="8" s="1"/>
  <c r="BR12" i="8" a="1"/>
  <c r="BR12" i="8"/>
  <c r="BQ12" i="8" a="1"/>
  <c r="BQ12" i="8"/>
  <c r="BP12" i="8" a="1"/>
  <c r="BP12" i="8" s="1"/>
  <c r="BO12" i="8" a="1"/>
  <c r="BO12" i="8"/>
  <c r="BN12" i="8" a="1"/>
  <c r="BN12" i="8"/>
  <c r="BM12" i="8" a="1"/>
  <c r="BM12" i="8" s="1"/>
  <c r="BL12" i="8" a="1"/>
  <c r="BL12" i="8" s="1"/>
  <c r="BK12" i="8" a="1"/>
  <c r="BK12" i="8" s="1"/>
  <c r="BJ12" i="8" a="1"/>
  <c r="BJ12" i="8"/>
  <c r="BI12" i="8" a="1"/>
  <c r="BI12" i="8" s="1"/>
  <c r="BH12" i="8" a="1"/>
  <c r="BH12" i="8"/>
  <c r="BG12" i="8" a="1"/>
  <c r="BG12" i="8"/>
  <c r="BF12" i="8" a="1"/>
  <c r="BF12" i="8"/>
  <c r="BE12" i="8" a="1"/>
  <c r="BE12" i="8" s="1"/>
  <c r="BD12" i="8" a="1"/>
  <c r="BD12" i="8"/>
  <c r="BC12" i="8" a="1"/>
  <c r="BC12" i="8"/>
  <c r="BB12" i="8" a="1"/>
  <c r="BB12" i="8" s="1"/>
  <c r="BA12" i="8" a="1"/>
  <c r="BA12" i="8" s="1"/>
  <c r="AZ12" i="8" a="1"/>
  <c r="AZ12" i="8" s="1"/>
  <c r="AY12" i="8" a="1"/>
  <c r="AY12" i="8"/>
  <c r="AX12" i="8" a="1"/>
  <c r="AX12" i="8" s="1"/>
  <c r="AW12" i="8" a="1"/>
  <c r="AW12" i="8"/>
  <c r="AV12" i="8" a="1"/>
  <c r="AV12" i="8"/>
  <c r="AU12" i="8" a="1"/>
  <c r="AU12" i="8"/>
  <c r="AT12" i="8" a="1"/>
  <c r="AT12" i="8" s="1"/>
  <c r="AS12" i="8" a="1"/>
  <c r="AS12" i="8"/>
  <c r="AR12" i="8" a="1"/>
  <c r="AR12" i="8"/>
  <c r="AQ12" i="8" a="1"/>
  <c r="AQ12" i="8" s="1"/>
  <c r="AP12" i="8" a="1"/>
  <c r="AP12" i="8" s="1"/>
  <c r="AO12" i="8" a="1"/>
  <c r="AO12" i="8" s="1"/>
  <c r="AN12" i="8" a="1"/>
  <c r="AN12" i="8"/>
  <c r="AM12" i="8" a="1"/>
  <c r="AM12" i="8" s="1"/>
  <c r="AL12" i="8" a="1"/>
  <c r="AL12" i="8" s="1"/>
  <c r="AK12" i="8" a="1"/>
  <c r="AK12" i="8"/>
  <c r="AJ12" i="8" a="1"/>
  <c r="AJ12" i="8"/>
  <c r="AI12" i="8" a="1"/>
  <c r="AI12" i="8" s="1"/>
  <c r="AH12" i="8" a="1"/>
  <c r="AH12" i="8"/>
  <c r="AG12" i="8" a="1"/>
  <c r="AG12" i="8"/>
  <c r="AF12" i="8" a="1"/>
  <c r="AF12" i="8" s="1"/>
  <c r="AE12" i="8" a="1"/>
  <c r="AE12" i="8" s="1"/>
  <c r="AD12" i="8" a="1"/>
  <c r="AD12" i="8" s="1"/>
  <c r="AC12" i="8" a="1"/>
  <c r="AC12" i="8"/>
  <c r="AB12" i="8" a="1"/>
  <c r="AB12" i="8" s="1"/>
  <c r="AA12" i="8" a="1"/>
  <c r="AA12" i="8"/>
  <c r="Z12" i="8" a="1"/>
  <c r="Z12" i="8"/>
  <c r="Y12" i="8" a="1"/>
  <c r="Y12" i="8"/>
  <c r="X12" i="8" a="1"/>
  <c r="X12" i="8" s="1"/>
  <c r="W12" i="8" a="1"/>
  <c r="W12" i="8"/>
  <c r="V12" i="8" a="1"/>
  <c r="V12" i="8"/>
  <c r="U12" i="8" a="1"/>
  <c r="U12" i="8" s="1"/>
  <c r="T12" i="8" a="1"/>
  <c r="T12" i="8" s="1"/>
  <c r="S12" i="8" a="1"/>
  <c r="S12" i="8" s="1"/>
  <c r="R12" i="8" a="1"/>
  <c r="R12" i="8"/>
  <c r="Q12" i="8" a="1"/>
  <c r="Q12" i="8" s="1"/>
  <c r="P12" i="8" a="1"/>
  <c r="P12" i="8" s="1"/>
  <c r="O12" i="8" a="1"/>
  <c r="O12" i="8"/>
  <c r="N12" i="8" a="1"/>
  <c r="N12" i="8"/>
  <c r="M12" i="8" a="1"/>
  <c r="M12" i="8" s="1"/>
  <c r="L12" i="8" a="1"/>
  <c r="L12" i="8"/>
  <c r="K12" i="8" a="1"/>
  <c r="K12" i="8"/>
  <c r="J12" i="8" a="1"/>
  <c r="J12" i="8" s="1"/>
  <c r="I12" i="8" a="1"/>
  <c r="I12" i="8" s="1"/>
  <c r="H12" i="8" a="1"/>
  <c r="H12" i="8" s="1"/>
  <c r="G12" i="8" a="1"/>
  <c r="G12" i="8"/>
  <c r="F12" i="8" a="1"/>
  <c r="F12" i="8" s="1"/>
  <c r="E12" i="8" a="1"/>
  <c r="E12" i="8"/>
  <c r="D12" i="8" a="1"/>
  <c r="D12" i="8"/>
  <c r="C12" i="8" a="1"/>
  <c r="C12" i="8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A25" i="5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BA25" i="4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AL25" i="4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D25" i="4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21" i="4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1" i="4"/>
  <c r="N20" i="4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EH23" i="3" s="1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H22" i="3" s="1"/>
  <c r="E22" i="3"/>
  <c r="EG22" i="3" s="1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EH21" i="3" s="1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H19" i="3" s="1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H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EG14" i="3" s="1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EG13" i="3" s="1"/>
  <c r="D13" i="3"/>
  <c r="C13" i="3"/>
  <c r="EH13" i="3" s="1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H26" i="2"/>
  <c r="EI26" i="2" s="1"/>
  <c r="EG26" i="2"/>
  <c r="EH24" i="2"/>
  <c r="EG24" i="2"/>
  <c r="EH23" i="2"/>
  <c r="EG23" i="2"/>
  <c r="EI22" i="2"/>
  <c r="EH22" i="2"/>
  <c r="EG22" i="2"/>
  <c r="EH21" i="2"/>
  <c r="EG21" i="2"/>
  <c r="EI21" i="2" s="1"/>
  <c r="EI20" i="2"/>
  <c r="EH20" i="2"/>
  <c r="EG20" i="2"/>
  <c r="EH19" i="2"/>
  <c r="EG19" i="2"/>
  <c r="EH18" i="2"/>
  <c r="EG18" i="2"/>
  <c r="EH17" i="2"/>
  <c r="EG17" i="2"/>
  <c r="EI16" i="2"/>
  <c r="EH16" i="2"/>
  <c r="EG16" i="2"/>
  <c r="EH15" i="2"/>
  <c r="EG15" i="2"/>
  <c r="EH14" i="2"/>
  <c r="EG14" i="2"/>
  <c r="EI14" i="2" s="1"/>
  <c r="EH13" i="2"/>
  <c r="EG13" i="2"/>
  <c r="EH12" i="2"/>
  <c r="EG12" i="2"/>
  <c r="EI12" i="2" s="1"/>
  <c r="EC8" i="1"/>
  <c r="DY8" i="1"/>
  <c r="DT8" i="1"/>
  <c r="DN8" i="1"/>
  <c r="DJ8" i="1"/>
  <c r="DH8" i="1"/>
  <c r="CX8" i="1"/>
  <c r="CW8" i="1"/>
  <c r="CV8" i="1"/>
  <c r="CU8" i="1"/>
  <c r="CR8" i="1"/>
  <c r="CL8" i="1"/>
  <c r="CC8" i="1"/>
  <c r="BY8" i="1"/>
  <c r="BV8" i="1"/>
  <c r="BF8" i="1"/>
  <c r="BC8" i="1"/>
  <c r="AZ8" i="1"/>
  <c r="AV8" i="1"/>
  <c r="AK8" i="1"/>
  <c r="AJ8" i="1"/>
  <c r="AH8" i="1"/>
  <c r="AD8" i="1"/>
  <c r="Z8" i="1"/>
  <c r="X8" i="1"/>
  <c r="M8" i="1"/>
  <c r="K8" i="1"/>
  <c r="H8" i="1"/>
  <c r="D8" i="1"/>
  <c r="DT7" i="1"/>
  <c r="DL7" i="1"/>
  <c r="DK7" i="1"/>
  <c r="DH7" i="1"/>
  <c r="DA7" i="1"/>
  <c r="CX7" i="1"/>
  <c r="CW7" i="1"/>
  <c r="CO7" i="1"/>
  <c r="CM7" i="1"/>
  <c r="CL7" i="1"/>
  <c r="CB7" i="1"/>
  <c r="CA7" i="1"/>
  <c r="BQ7" i="1"/>
  <c r="BP7" i="1"/>
  <c r="BB7" i="1"/>
  <c r="AW7" i="1"/>
  <c r="AV7" i="1"/>
  <c r="AU7" i="1"/>
  <c r="AK7" i="1"/>
  <c r="AJ7" i="1"/>
  <c r="AI7" i="1"/>
  <c r="AB7" i="1"/>
  <c r="Z7" i="1"/>
  <c r="X7" i="1"/>
  <c r="N7" i="1"/>
  <c r="M7" i="1"/>
  <c r="E7" i="1"/>
  <c r="EF6" i="1" a="1"/>
  <c r="EF6" i="1" s="1"/>
  <c r="EF7" i="1" s="1"/>
  <c r="EE6" i="1" a="1"/>
  <c r="EE6" i="1"/>
  <c r="EE8" i="1" s="1"/>
  <c r="ED6" i="1" a="1"/>
  <c r="ED6" i="1" s="1"/>
  <c r="ED8" i="1" s="1"/>
  <c r="EC6" i="1" a="1"/>
  <c r="EC6" i="1"/>
  <c r="EC7" i="1" s="1"/>
  <c r="EB6" i="1" a="1"/>
  <c r="EB6" i="1"/>
  <c r="EB7" i="1" s="1"/>
  <c r="EA6" i="1" a="1"/>
  <c r="EA6" i="1" s="1"/>
  <c r="DZ6" i="1" a="1"/>
  <c r="DZ6" i="1"/>
  <c r="DZ7" i="1" s="1"/>
  <c r="DY6" i="1" a="1"/>
  <c r="DY6" i="1" s="1"/>
  <c r="DY7" i="1" s="1"/>
  <c r="DX6" i="1" a="1"/>
  <c r="DX6" i="1"/>
  <c r="DX8" i="1" s="1"/>
  <c r="DW6" i="1" a="1"/>
  <c r="DW6" i="1" s="1"/>
  <c r="DV6" i="1" a="1"/>
  <c r="DV6" i="1"/>
  <c r="DV8" i="1" s="1"/>
  <c r="DU6" i="1" a="1"/>
  <c r="DU6" i="1" s="1"/>
  <c r="DU7" i="1" s="1"/>
  <c r="DT6" i="1" a="1"/>
  <c r="DT6" i="1"/>
  <c r="DS6" i="1" a="1"/>
  <c r="DS6" i="1" s="1"/>
  <c r="DS8" i="1" s="1"/>
  <c r="DR6" i="1" a="1"/>
  <c r="DR6" i="1"/>
  <c r="DR7" i="1" s="1"/>
  <c r="DQ6" i="1" a="1"/>
  <c r="DQ6" i="1"/>
  <c r="DQ7" i="1" s="1"/>
  <c r="DP6" i="1" a="1"/>
  <c r="DP6" i="1"/>
  <c r="DP8" i="1" s="1"/>
  <c r="DO6" i="1" a="1"/>
  <c r="DO6" i="1"/>
  <c r="DO7" i="1" s="1"/>
  <c r="DN6" i="1" a="1"/>
  <c r="DN6" i="1" s="1"/>
  <c r="DN7" i="1" s="1"/>
  <c r="DM6" i="1" a="1"/>
  <c r="DM6" i="1"/>
  <c r="DM8" i="1" s="1"/>
  <c r="DL6" i="1" a="1"/>
  <c r="DL6" i="1"/>
  <c r="DL8" i="1" s="1"/>
  <c r="DK6" i="1" a="1"/>
  <c r="DK6" i="1"/>
  <c r="DK8" i="1" s="1"/>
  <c r="DJ6" i="1" a="1"/>
  <c r="DJ6" i="1" s="1"/>
  <c r="DJ7" i="1" s="1"/>
  <c r="DI6" i="1" a="1"/>
  <c r="DI6" i="1"/>
  <c r="DI8" i="1" s="1"/>
  <c r="DH6" i="1" a="1"/>
  <c r="DH6" i="1"/>
  <c r="DG6" i="1" a="1"/>
  <c r="DG6" i="1"/>
  <c r="DG7" i="1" s="1"/>
  <c r="DF6" i="1" a="1"/>
  <c r="DF6" i="1"/>
  <c r="DF7" i="1" s="1"/>
  <c r="DE6" i="1" a="1"/>
  <c r="DE6" i="1"/>
  <c r="DE8" i="1" s="1"/>
  <c r="DD6" i="1" a="1"/>
  <c r="DD6" i="1"/>
  <c r="DD7" i="1" s="1"/>
  <c r="DC6" i="1" a="1"/>
  <c r="DC6" i="1" s="1"/>
  <c r="DC7" i="1" s="1"/>
  <c r="DB6" i="1" a="1"/>
  <c r="DB6" i="1"/>
  <c r="DB8" i="1" s="1"/>
  <c r="DA6" i="1" a="1"/>
  <c r="DA6" i="1"/>
  <c r="DA8" i="1" s="1"/>
  <c r="CZ6" i="1" a="1"/>
  <c r="CZ6" i="1"/>
  <c r="CZ8" i="1" s="1"/>
  <c r="CY6" i="1" a="1"/>
  <c r="CY6" i="1" s="1"/>
  <c r="CY7" i="1" s="1"/>
  <c r="CX6" i="1" a="1"/>
  <c r="CX6" i="1"/>
  <c r="CW6" i="1" a="1"/>
  <c r="CW6" i="1"/>
  <c r="CV6" i="1" a="1"/>
  <c r="CV6" i="1"/>
  <c r="CV7" i="1" s="1"/>
  <c r="CU6" i="1" a="1"/>
  <c r="CU6" i="1"/>
  <c r="CU7" i="1" s="1"/>
  <c r="CT6" i="1" a="1"/>
  <c r="CT6" i="1"/>
  <c r="CT8" i="1" s="1"/>
  <c r="CS6" i="1" a="1"/>
  <c r="CS6" i="1"/>
  <c r="CS7" i="1" s="1"/>
  <c r="CR6" i="1" a="1"/>
  <c r="CR6" i="1" s="1"/>
  <c r="CR7" i="1" s="1"/>
  <c r="CQ6" i="1" a="1"/>
  <c r="CQ6" i="1"/>
  <c r="CQ8" i="1" s="1"/>
  <c r="CP6" i="1" a="1"/>
  <c r="CP6" i="1" s="1"/>
  <c r="CO6" i="1" a="1"/>
  <c r="CO6" i="1"/>
  <c r="CO8" i="1" s="1"/>
  <c r="CN6" i="1" a="1"/>
  <c r="CN6" i="1" s="1"/>
  <c r="CN7" i="1" s="1"/>
  <c r="CM6" i="1" a="1"/>
  <c r="CM6" i="1"/>
  <c r="CM8" i="1" s="1"/>
  <c r="CL6" i="1" a="1"/>
  <c r="CL6" i="1"/>
  <c r="CK6" i="1" a="1"/>
  <c r="CK6" i="1"/>
  <c r="CK7" i="1" s="1"/>
  <c r="CJ6" i="1" a="1"/>
  <c r="CJ6" i="1" s="1"/>
  <c r="CI6" i="1" a="1"/>
  <c r="CI6" i="1"/>
  <c r="CI8" i="1" s="1"/>
  <c r="CH6" i="1" a="1"/>
  <c r="CH6" i="1"/>
  <c r="CH7" i="1" s="1"/>
  <c r="CG6" i="1" a="1"/>
  <c r="CG6" i="1" s="1"/>
  <c r="CG7" i="1" s="1"/>
  <c r="CF6" i="1" a="1"/>
  <c r="CF6" i="1"/>
  <c r="CF8" i="1" s="1"/>
  <c r="CE6" i="1" a="1"/>
  <c r="CE6" i="1"/>
  <c r="CE8" i="1" s="1"/>
  <c r="CD6" i="1" a="1"/>
  <c r="CD6" i="1" s="1"/>
  <c r="CC6" i="1" a="1"/>
  <c r="CC6" i="1" s="1"/>
  <c r="CC7" i="1" s="1"/>
  <c r="CB6" i="1" a="1"/>
  <c r="CB6" i="1"/>
  <c r="CB8" i="1" s="1"/>
  <c r="CA6" i="1" a="1"/>
  <c r="CA6" i="1" s="1"/>
  <c r="CA8" i="1" s="1"/>
  <c r="BZ6" i="1" a="1"/>
  <c r="BZ6" i="1"/>
  <c r="BZ7" i="1" s="1"/>
  <c r="BY6" i="1" a="1"/>
  <c r="BY6" i="1"/>
  <c r="BY7" i="1" s="1"/>
  <c r="BX6" i="1" a="1"/>
  <c r="BX6" i="1"/>
  <c r="BX8" i="1" s="1"/>
  <c r="BW6" i="1" a="1"/>
  <c r="BW6" i="1"/>
  <c r="BW7" i="1" s="1"/>
  <c r="BV6" i="1" a="1"/>
  <c r="BV6" i="1" s="1"/>
  <c r="BV7" i="1" s="1"/>
  <c r="BU6" i="1" a="1"/>
  <c r="BU6" i="1"/>
  <c r="BU8" i="1" s="1"/>
  <c r="BT6" i="1" a="1"/>
  <c r="BT6" i="1"/>
  <c r="BT8" i="1" s="1"/>
  <c r="BS6" i="1" a="1"/>
  <c r="BS6" i="1"/>
  <c r="BS8" i="1" s="1"/>
  <c r="BR6" i="1" a="1"/>
  <c r="BR6" i="1" s="1"/>
  <c r="BR7" i="1" s="1"/>
  <c r="BQ6" i="1" a="1"/>
  <c r="BQ6" i="1"/>
  <c r="BQ8" i="1" s="1"/>
  <c r="BP6" i="1" a="1"/>
  <c r="BP6" i="1" s="1"/>
  <c r="BP8" i="1" s="1"/>
  <c r="BO6" i="1" a="1"/>
  <c r="BO6" i="1"/>
  <c r="BO7" i="1" s="1"/>
  <c r="BN6" i="1" a="1"/>
  <c r="BN6" i="1"/>
  <c r="BN7" i="1" s="1"/>
  <c r="BM6" i="1" a="1"/>
  <c r="BM6" i="1" s="1"/>
  <c r="BL6" i="1" a="1"/>
  <c r="BL6" i="1"/>
  <c r="BL7" i="1" s="1"/>
  <c r="BK6" i="1" a="1"/>
  <c r="BK6" i="1" s="1"/>
  <c r="BK7" i="1" s="1"/>
  <c r="BJ6" i="1" a="1"/>
  <c r="BJ6" i="1"/>
  <c r="BJ8" i="1" s="1"/>
  <c r="BI6" i="1" a="1"/>
  <c r="BI6" i="1"/>
  <c r="BI8" i="1" s="1"/>
  <c r="BH6" i="1" a="1"/>
  <c r="BH6" i="1"/>
  <c r="BH8" i="1" s="1"/>
  <c r="BG6" i="1" a="1"/>
  <c r="BG6" i="1" s="1"/>
  <c r="BG7" i="1" s="1"/>
  <c r="BF6" i="1" a="1"/>
  <c r="BF6" i="1"/>
  <c r="BF7" i="1" s="1"/>
  <c r="BE6" i="1" a="1"/>
  <c r="BE6" i="1" s="1"/>
  <c r="BE8" i="1" s="1"/>
  <c r="BD6" i="1" a="1"/>
  <c r="BD6" i="1"/>
  <c r="BD7" i="1" s="1"/>
  <c r="BC6" i="1" a="1"/>
  <c r="BC6" i="1"/>
  <c r="BC7" i="1" s="1"/>
  <c r="BB6" i="1" a="1"/>
  <c r="BB6" i="1"/>
  <c r="BB8" i="1" s="1"/>
  <c r="BA6" i="1" a="1"/>
  <c r="BA6" i="1"/>
  <c r="BA7" i="1" s="1"/>
  <c r="AZ6" i="1" a="1"/>
  <c r="AZ6" i="1" s="1"/>
  <c r="AZ7" i="1" s="1"/>
  <c r="AY6" i="1" a="1"/>
  <c r="AY6" i="1"/>
  <c r="AY8" i="1" s="1"/>
  <c r="AX6" i="1" a="1"/>
  <c r="AX6" i="1" s="1"/>
  <c r="AW6" i="1" a="1"/>
  <c r="AW6" i="1"/>
  <c r="AW8" i="1" s="1"/>
  <c r="AV6" i="1" a="1"/>
  <c r="AV6" i="1" s="1"/>
  <c r="AU6" i="1" a="1"/>
  <c r="AU6" i="1"/>
  <c r="AU8" i="1" s="1"/>
  <c r="AT6" i="1" a="1"/>
  <c r="AT6" i="1" s="1"/>
  <c r="AT8" i="1" s="1"/>
  <c r="AS6" i="1" a="1"/>
  <c r="AS6" i="1"/>
  <c r="AS7" i="1" s="1"/>
  <c r="AR6" i="1" a="1"/>
  <c r="AR6" i="1"/>
  <c r="AR7" i="1" s="1"/>
  <c r="AQ6" i="1" a="1"/>
  <c r="AQ6" i="1" s="1"/>
  <c r="AP6" i="1" a="1"/>
  <c r="AP6" i="1"/>
  <c r="AP7" i="1" s="1"/>
  <c r="AO6" i="1" a="1"/>
  <c r="AO6" i="1" s="1"/>
  <c r="AO7" i="1" s="1"/>
  <c r="AN6" i="1" a="1"/>
  <c r="AN6" i="1"/>
  <c r="AN8" i="1" s="1"/>
  <c r="AM6" i="1" a="1"/>
  <c r="AM6" i="1"/>
  <c r="AM8" i="1" s="1"/>
  <c r="AL6" i="1" a="1"/>
  <c r="AL6" i="1"/>
  <c r="AL8" i="1" s="1"/>
  <c r="AK6" i="1" a="1"/>
  <c r="AK6" i="1" s="1"/>
  <c r="AJ6" i="1" a="1"/>
  <c r="AJ6" i="1"/>
  <c r="AI6" i="1" a="1"/>
  <c r="AI6" i="1" s="1"/>
  <c r="AI8" i="1" s="1"/>
  <c r="AH6" i="1" a="1"/>
  <c r="AH6" i="1"/>
  <c r="AH7" i="1" s="1"/>
  <c r="AG6" i="1" a="1"/>
  <c r="AG6" i="1" s="1"/>
  <c r="AF6" i="1" a="1"/>
  <c r="AF6" i="1"/>
  <c r="AF8" i="1" s="1"/>
  <c r="AE6" i="1" a="1"/>
  <c r="AE6" i="1"/>
  <c r="AE7" i="1" s="1"/>
  <c r="AD6" i="1" a="1"/>
  <c r="AD6" i="1" s="1"/>
  <c r="AD7" i="1" s="1"/>
  <c r="AC6" i="1" a="1"/>
  <c r="AC6" i="1"/>
  <c r="AC8" i="1" s="1"/>
  <c r="AB6" i="1" a="1"/>
  <c r="AB6" i="1"/>
  <c r="AB8" i="1" s="1"/>
  <c r="AA6" i="1" a="1"/>
  <c r="AA6" i="1" s="1"/>
  <c r="Z6" i="1" a="1"/>
  <c r="Z6" i="1" s="1"/>
  <c r="Y6" i="1" a="1"/>
  <c r="Y6" i="1"/>
  <c r="Y7" i="1" s="1"/>
  <c r="X6" i="1" a="1"/>
  <c r="X6" i="1"/>
  <c r="W6" i="1" a="1"/>
  <c r="W6" i="1"/>
  <c r="W7" i="1" s="1"/>
  <c r="V6" i="1" a="1"/>
  <c r="V6" i="1"/>
  <c r="V7" i="1" s="1"/>
  <c r="U6" i="1" a="1"/>
  <c r="U6" i="1" s="1"/>
  <c r="T6" i="1" a="1"/>
  <c r="T6" i="1"/>
  <c r="T7" i="1" s="1"/>
  <c r="S6" i="1" a="1"/>
  <c r="S6" i="1" s="1"/>
  <c r="S7" i="1" s="1"/>
  <c r="R6" i="1" a="1"/>
  <c r="R6" i="1"/>
  <c r="R8" i="1" s="1"/>
  <c r="Q6" i="1" a="1"/>
  <c r="Q6" i="1"/>
  <c r="Q8" i="1" s="1"/>
  <c r="P6" i="1" a="1"/>
  <c r="P6" i="1"/>
  <c r="P8" i="1" s="1"/>
  <c r="O6" i="1" a="1"/>
  <c r="O6" i="1" s="1"/>
  <c r="O7" i="1" s="1"/>
  <c r="N6" i="1" a="1"/>
  <c r="N6" i="1"/>
  <c r="N8" i="1" s="1"/>
  <c r="M6" i="1" a="1"/>
  <c r="M6" i="1"/>
  <c r="L6" i="1" a="1"/>
  <c r="L6" i="1"/>
  <c r="L7" i="1" s="1"/>
  <c r="K6" i="1" a="1"/>
  <c r="K6" i="1"/>
  <c r="K7" i="1" s="1"/>
  <c r="J6" i="1" a="1"/>
  <c r="J6" i="1"/>
  <c r="J8" i="1" s="1"/>
  <c r="I6" i="1" a="1"/>
  <c r="I6" i="1"/>
  <c r="I7" i="1" s="1"/>
  <c r="H6" i="1" a="1"/>
  <c r="H6" i="1" s="1"/>
  <c r="H7" i="1" s="1"/>
  <c r="G6" i="1" a="1"/>
  <c r="G6" i="1"/>
  <c r="G8" i="1" s="1"/>
  <c r="F6" i="1" a="1"/>
  <c r="F6" i="1" s="1"/>
  <c r="E6" i="1" a="1"/>
  <c r="E6" i="1"/>
  <c r="E8" i="1" s="1"/>
  <c r="D6" i="1" a="1"/>
  <c r="D6" i="1" s="1"/>
  <c r="D7" i="1" s="1"/>
  <c r="C6" i="1" a="1"/>
  <c r="C6" i="1"/>
  <c r="C8" i="1" s="1"/>
  <c r="B21" i="7" l="1"/>
  <c r="EI19" i="2"/>
  <c r="EI23" i="2"/>
  <c r="EI13" i="2"/>
  <c r="EI18" i="2"/>
  <c r="U8" i="1"/>
  <c r="U7" i="1"/>
  <c r="CJ7" i="1"/>
  <c r="CJ8" i="1"/>
  <c r="CD8" i="1"/>
  <c r="CD7" i="1"/>
  <c r="DW8" i="1"/>
  <c r="DW7" i="1"/>
  <c r="AQ8" i="1"/>
  <c r="AQ7" i="1"/>
  <c r="AX8" i="1"/>
  <c r="AX7" i="1"/>
  <c r="BM8" i="1"/>
  <c r="BM7" i="1"/>
  <c r="EA8" i="1"/>
  <c r="EA7" i="1"/>
  <c r="F8" i="1"/>
  <c r="F7" i="1"/>
  <c r="AG7" i="1"/>
  <c r="AG8" i="1"/>
  <c r="AA8" i="1"/>
  <c r="AA7" i="1"/>
  <c r="CP8" i="1"/>
  <c r="CP7" i="1"/>
  <c r="Y8" i="1"/>
  <c r="J7" i="1"/>
  <c r="BS7" i="1"/>
  <c r="DP7" i="1"/>
  <c r="BZ8" i="1"/>
  <c r="DQ8" i="1"/>
  <c r="AF7" i="1"/>
  <c r="BT7" i="1"/>
  <c r="CT7" i="1"/>
  <c r="DS7" i="1"/>
  <c r="L8" i="1"/>
  <c r="BD8" i="1"/>
  <c r="DR8" i="1"/>
  <c r="EG12" i="3"/>
  <c r="EH12" i="3"/>
  <c r="EH16" i="3"/>
  <c r="EG16" i="3"/>
  <c r="P7" i="1"/>
  <c r="CZ7" i="1"/>
  <c r="O8" i="1"/>
  <c r="BK8" i="1"/>
  <c r="DC8" i="1"/>
  <c r="EG18" i="3"/>
  <c r="EB8" i="1"/>
  <c r="BE7" i="1"/>
  <c r="DV7" i="1"/>
  <c r="BG8" i="1"/>
  <c r="CG8" i="1"/>
  <c r="CY8" i="1"/>
  <c r="DU8" i="1"/>
  <c r="AM7" i="1"/>
  <c r="BH7" i="1"/>
  <c r="CE7" i="1"/>
  <c r="DE7" i="1"/>
  <c r="ED7" i="1"/>
  <c r="V8" i="1"/>
  <c r="AR8" i="1"/>
  <c r="BO8" i="1"/>
  <c r="DG8" i="1"/>
  <c r="EG19" i="3"/>
  <c r="C7" i="1"/>
  <c r="BI7" i="1"/>
  <c r="CI7" i="1"/>
  <c r="EE7" i="1"/>
  <c r="W8" i="1"/>
  <c r="AS8" i="1"/>
  <c r="EI15" i="2"/>
  <c r="EH18" i="3"/>
  <c r="BX7" i="1"/>
  <c r="Q7" i="1"/>
  <c r="AL7" i="1"/>
  <c r="S8" i="1"/>
  <c r="AO8" i="1"/>
  <c r="BN8" i="1"/>
  <c r="CK8" i="1"/>
  <c r="DF8" i="1"/>
  <c r="AT7" i="1"/>
  <c r="DI7" i="1"/>
  <c r="BR8" i="1"/>
  <c r="CN8" i="1"/>
  <c r="EF8" i="1"/>
  <c r="EG24" i="3"/>
  <c r="EG15" i="3"/>
  <c r="I8" i="1"/>
  <c r="T8" i="1"/>
  <c r="AE8" i="1"/>
  <c r="AP8" i="1"/>
  <c r="BA8" i="1"/>
  <c r="BL8" i="1"/>
  <c r="BW8" i="1"/>
  <c r="CH8" i="1"/>
  <c r="CS8" i="1"/>
  <c r="DD8" i="1"/>
  <c r="DO8" i="1"/>
  <c r="DZ8" i="1"/>
  <c r="EH20" i="3"/>
  <c r="EH14" i="3"/>
  <c r="EG20" i="3"/>
  <c r="G7" i="1"/>
  <c r="R7" i="1"/>
  <c r="AC7" i="1"/>
  <c r="AN7" i="1"/>
  <c r="AY7" i="1"/>
  <c r="BJ7" i="1"/>
  <c r="BU7" i="1"/>
  <c r="CF7" i="1"/>
  <c r="CQ7" i="1"/>
  <c r="DB7" i="1"/>
  <c r="DM7" i="1"/>
  <c r="DX7" i="1"/>
  <c r="EG17" i="3"/>
  <c r="EG23" i="3"/>
  <c r="EI24" i="2"/>
  <c r="EH17" i="3"/>
  <c r="EG21" i="3"/>
  <c r="EH24" i="3"/>
  <c r="EI17" i="2"/>
  <c r="B21" i="6"/>
</calcChain>
</file>

<file path=xl/sharedStrings.xml><?xml version="1.0" encoding="utf-8"?>
<sst xmlns="http://schemas.openxmlformats.org/spreadsheetml/2006/main" count="2555" uniqueCount="210">
  <si>
    <t>NN5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</si>
  <si>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</si>
  <si>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</si>
  <si>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</si>
  <si>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</si>
  <si>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</si>
  <si>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</si>
  <si>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</si>
  <si>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</si>
  <si>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</si>
  <si>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</si>
  <si>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</si>
  <si>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</si>
  <si>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</si>
  <si>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</si>
  <si>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</si>
  <si>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</si>
  <si>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</si>
  <si>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</si>
  <si>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</si>
  <si>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</si>
  <si>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</si>
  <si>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</si>
  <si>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</si>
  <si>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</si>
  <si>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</si>
  <si>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</si>
  <si>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</si>
  <si>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</si>
  <si>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</si>
  <si>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</si>
  <si>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</si>
  <si>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</si>
  <si>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</si>
  <si>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</si>
  <si>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</si>
  <si>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</si>
  <si>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</si>
  <si>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</si>
  <si>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</si>
  <si>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</si>
  <si>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</si>
  <si>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</si>
  <si>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</si>
  <si>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</si>
  <si>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</si>
  <si>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</si>
  <si>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</si>
  <si>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</si>
  <si>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</si>
  <si>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</si>
  <si>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</si>
  <si>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</si>
  <si>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</si>
  <si>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</si>
  <si>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</si>
  <si>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</si>
  <si>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</si>
  <si>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</si>
  <si>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</si>
  <si>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</si>
  <si>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</si>
  <si>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</si>
  <si>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</si>
  <si>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</si>
  <si>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</si>
  <si>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</si>
  <si>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</si>
  <si>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</si>
  <si>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</si>
  <si>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</si>
  <si>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</si>
  <si>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</si>
  <si>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</si>
  <si>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</si>
  <si>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</si>
  <si>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</si>
  <si>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</si>
  <si>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</si>
  <si>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</si>
  <si>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</si>
  <si>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</si>
  <si>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</si>
  <si>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</si>
  <si>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</si>
  <si>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</si>
  <si>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</si>
  <si>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</si>
  <si>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</si>
  <si>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</si>
  <si>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</si>
  <si>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</si>
  <si>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</si>
  <si>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</si>
  <si>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</si>
  <si>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</si>
  <si>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</si>
  <si>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</si>
  <si>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</si>
  <si>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</si>
  <si>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</si>
  <si>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</si>
  <si>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</si>
  <si>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</si>
  <si>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</si>
  <si>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</si>
  <si>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</si>
  <si>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</si>
  <si>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</si>
  <si>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</si>
  <si>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</si>
  <si>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</si>
  <si>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</si>
  <si>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</si>
  <si>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</si>
  <si>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</si>
  <si>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</si>
  <si>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</si>
  <si>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</si>
  <si>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</si>
  <si>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</si>
  <si>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</si>
  <si>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</si>
  <si>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</si>
  <si>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</si>
  <si>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</si>
  <si>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</si>
  <si>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</si>
  <si>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</si>
  <si>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</si>
  <si>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</si>
  <si>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</si>
  <si>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</si>
  <si>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</si>
  <si>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</si>
  <si>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</si>
  <si>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</si>
  <si>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</si>
  <si>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</si>
  <si>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</si>
  <si>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</si>
  <si>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</si>
  <si>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</si>
  <si>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</si>
  <si>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大盤</t>
  </si>
  <si>
    <t>TWII</t>
  </si>
  <si>
    <t>低</t>
  </si>
  <si>
    <t>公司名稱</t>
  </si>
  <si>
    <t>愛山林</t>
  </si>
  <si>
    <t>久威</t>
  </si>
  <si>
    <t>立康</t>
  </si>
  <si>
    <t>洛碁</t>
  </si>
  <si>
    <t>昇益</t>
  </si>
  <si>
    <t>飛寶企業</t>
  </si>
  <si>
    <t>天瀚</t>
  </si>
  <si>
    <t>網家</t>
  </si>
  <si>
    <t>沛亨</t>
  </si>
  <si>
    <t>科風</t>
  </si>
  <si>
    <t>印鉐</t>
  </si>
  <si>
    <t>中茂</t>
  </si>
  <si>
    <t>元隆</t>
  </si>
  <si>
    <t>華冠</t>
  </si>
  <si>
    <t>泰偉</t>
  </si>
  <si>
    <t>巨虹</t>
  </si>
  <si>
    <t>華城</t>
  </si>
  <si>
    <t>皇家美食</t>
  </si>
  <si>
    <t>世紀</t>
  </si>
  <si>
    <t>高</t>
  </si>
  <si>
    <t>華新科</t>
  </si>
  <si>
    <t>中環</t>
  </si>
  <si>
    <t>中石化</t>
  </si>
  <si>
    <t>台積電</t>
  </si>
  <si>
    <t>海灣</t>
  </si>
  <si>
    <t>寶隆</t>
  </si>
  <si>
    <t>福華</t>
  </si>
  <si>
    <t>裕隆</t>
  </si>
  <si>
    <t>友達</t>
  </si>
  <si>
    <t>閎暉</t>
  </si>
  <si>
    <t>東訊</t>
  </si>
  <si>
    <t>四維航</t>
  </si>
  <si>
    <t>如興</t>
  </si>
  <si>
    <t>藍天</t>
  </si>
  <si>
    <t>長榮</t>
  </si>
  <si>
    <t>國喬</t>
  </si>
  <si>
    <t>2025/02</t>
  </si>
  <si>
    <t>平均值</t>
  </si>
  <si>
    <t>標準差</t>
  </si>
  <si>
    <t>夏普比率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</si>
  <si>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</si>
  <si>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</si>
  <si>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</si>
  <si>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</si>
  <si>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</si>
  <si>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</si>
  <si>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</si>
  <si>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</si>
  <si>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</si>
  <si>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</si>
  <si>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</si>
  <si>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</si>
  <si>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</si>
  <si>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</si>
  <si>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</si>
  <si>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</si>
  <si>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</si>
  <si>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</si>
  <si>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</si>
  <si>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</si>
  <si>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XGB</t>
    <phoneticPr fontId="1" type="noConversion"/>
  </si>
  <si>
    <t>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</si>
</sst>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7E4C8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0" fontId="2" fillId="0" borderId="3" xfId="0" applyFont="1" applyBorder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XGB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8.4653541666666707E-2</c:v>
                </c:pt>
                <c:pt idx="1">
                  <c:v>0.10547533693854501</c:v>
                </c:pt>
                <c:pt idx="2">
                  <c:v>0.15350161818854502</c:v>
                </c:pt>
                <c:pt idx="3">
                  <c:v>9.7542233404086298E-2</c:v>
                </c:pt>
                <c:pt idx="4">
                  <c:v>6.5594784885455837E-2</c:v>
                </c:pt>
                <c:pt idx="5">
                  <c:v>0.10412550363545585</c:v>
                </c:pt>
                <c:pt idx="6">
                  <c:v>6.7821566786403831E-2</c:v>
                </c:pt>
                <c:pt idx="7">
                  <c:v>3.8413764703070494E-2</c:v>
                </c:pt>
                <c:pt idx="8">
                  <c:v>6.7601762836769677E-2</c:v>
                </c:pt>
                <c:pt idx="9">
                  <c:v>7.6360318800935911E-2</c:v>
                </c:pt>
                <c:pt idx="10">
                  <c:v>9.1912123001097037E-2</c:v>
                </c:pt>
                <c:pt idx="11">
                  <c:v>5.7208768757634219E-2</c:v>
                </c:pt>
                <c:pt idx="12">
                  <c:v>8.5123527824874604E-2</c:v>
                </c:pt>
                <c:pt idx="13">
                  <c:v>8.4869199716717497E-2</c:v>
                </c:pt>
                <c:pt idx="14">
                  <c:v>8.9984883090681547E-2</c:v>
                </c:pt>
                <c:pt idx="15">
                  <c:v>0.10313837175122013</c:v>
                </c:pt>
                <c:pt idx="16">
                  <c:v>0.17419226884582717</c:v>
                </c:pt>
                <c:pt idx="17">
                  <c:v>0.22205998519135187</c:v>
                </c:pt>
                <c:pt idx="18">
                  <c:v>0.20588119352468517</c:v>
                </c:pt>
                <c:pt idx="19">
                  <c:v>0.21539214717833338</c:v>
                </c:pt>
                <c:pt idx="20">
                  <c:v>0.23767058915164513</c:v>
                </c:pt>
                <c:pt idx="21">
                  <c:v>0.28618986393195961</c:v>
                </c:pt>
                <c:pt idx="22">
                  <c:v>0.30678825745965088</c:v>
                </c:pt>
                <c:pt idx="23">
                  <c:v>0.25363617048279002</c:v>
                </c:pt>
                <c:pt idx="24">
                  <c:v>0.29303983188390181</c:v>
                </c:pt>
                <c:pt idx="25">
                  <c:v>0.30377316148804057</c:v>
                </c:pt>
                <c:pt idx="26">
                  <c:v>0.25700021586172933</c:v>
                </c:pt>
                <c:pt idx="27">
                  <c:v>0.25115310586249212</c:v>
                </c:pt>
                <c:pt idx="28">
                  <c:v>0.30947011627915877</c:v>
                </c:pt>
                <c:pt idx="29">
                  <c:v>0.32990226758302371</c:v>
                </c:pt>
                <c:pt idx="30">
                  <c:v>0.32608733716221389</c:v>
                </c:pt>
                <c:pt idx="31">
                  <c:v>0.31037430339293304</c:v>
                </c:pt>
                <c:pt idx="32">
                  <c:v>0.31916809588519462</c:v>
                </c:pt>
                <c:pt idx="33">
                  <c:v>0.30618434833914004</c:v>
                </c:pt>
                <c:pt idx="34">
                  <c:v>0.28970898011500434</c:v>
                </c:pt>
                <c:pt idx="35">
                  <c:v>0.3075679831369264</c:v>
                </c:pt>
                <c:pt idx="36">
                  <c:v>0.3242747351432137</c:v>
                </c:pt>
                <c:pt idx="37">
                  <c:v>0.35092036394565834</c:v>
                </c:pt>
                <c:pt idx="38">
                  <c:v>0.35314915698533139</c:v>
                </c:pt>
                <c:pt idx="39">
                  <c:v>0.35778282365199804</c:v>
                </c:pt>
                <c:pt idx="40">
                  <c:v>0.36446446948533134</c:v>
                </c:pt>
                <c:pt idx="41">
                  <c:v>0.34224144349773916</c:v>
                </c:pt>
                <c:pt idx="42">
                  <c:v>0.34808480808107251</c:v>
                </c:pt>
                <c:pt idx="43">
                  <c:v>0.36191971278874369</c:v>
                </c:pt>
                <c:pt idx="44">
                  <c:v>0.38262837146961914</c:v>
                </c:pt>
                <c:pt idx="45">
                  <c:v>0.34126828672459414</c:v>
                </c:pt>
                <c:pt idx="46">
                  <c:v>0.34188976374261021</c:v>
                </c:pt>
                <c:pt idx="47">
                  <c:v>0.38548823099603302</c:v>
                </c:pt>
                <c:pt idx="48">
                  <c:v>0.41044352406370627</c:v>
                </c:pt>
                <c:pt idx="49">
                  <c:v>0.40814349799204863</c:v>
                </c:pt>
                <c:pt idx="50">
                  <c:v>0.41308138617529044</c:v>
                </c:pt>
                <c:pt idx="51">
                  <c:v>0.41886645909195713</c:v>
                </c:pt>
                <c:pt idx="52">
                  <c:v>0.43113924813043364</c:v>
                </c:pt>
                <c:pt idx="53">
                  <c:v>0.48037319604710033</c:v>
                </c:pt>
                <c:pt idx="54">
                  <c:v>0.49898200588648561</c:v>
                </c:pt>
                <c:pt idx="55">
                  <c:v>0.47538130796981892</c:v>
                </c:pt>
                <c:pt idx="56">
                  <c:v>0.50905217041108175</c:v>
                </c:pt>
                <c:pt idx="57">
                  <c:v>0.52327553042240371</c:v>
                </c:pt>
                <c:pt idx="58">
                  <c:v>0.57329678345339452</c:v>
                </c:pt>
                <c:pt idx="59">
                  <c:v>0.57250079013347666</c:v>
                </c:pt>
                <c:pt idx="60">
                  <c:v>0.55121612517334273</c:v>
                </c:pt>
                <c:pt idx="61">
                  <c:v>0.56227623975667607</c:v>
                </c:pt>
                <c:pt idx="62">
                  <c:v>0.53210469809000938</c:v>
                </c:pt>
                <c:pt idx="63">
                  <c:v>0.52052873091706875</c:v>
                </c:pt>
                <c:pt idx="64">
                  <c:v>0.53744259550040208</c:v>
                </c:pt>
                <c:pt idx="65">
                  <c:v>0.52693361019510798</c:v>
                </c:pt>
                <c:pt idx="66">
                  <c:v>0.54083035981385463</c:v>
                </c:pt>
                <c:pt idx="67">
                  <c:v>0.60952397496096788</c:v>
                </c:pt>
                <c:pt idx="68">
                  <c:v>0.62838726834536385</c:v>
                </c:pt>
                <c:pt idx="69">
                  <c:v>0.60709909126203054</c:v>
                </c:pt>
                <c:pt idx="70">
                  <c:v>0.55901589334536383</c:v>
                </c:pt>
                <c:pt idx="71">
                  <c:v>0.59106920584536382</c:v>
                </c:pt>
                <c:pt idx="72">
                  <c:v>0.64655675792869716</c:v>
                </c:pt>
                <c:pt idx="73">
                  <c:v>0.63957160407055791</c:v>
                </c:pt>
                <c:pt idx="74">
                  <c:v>0.67294240440212938</c:v>
                </c:pt>
                <c:pt idx="75">
                  <c:v>0.6767197898187961</c:v>
                </c:pt>
                <c:pt idx="76">
                  <c:v>0.64231950237845359</c:v>
                </c:pt>
                <c:pt idx="77">
                  <c:v>0.6403762602466907</c:v>
                </c:pt>
                <c:pt idx="78">
                  <c:v>0.70594230191335738</c:v>
                </c:pt>
                <c:pt idx="79">
                  <c:v>0.75020082274669075</c:v>
                </c:pt>
                <c:pt idx="80">
                  <c:v>0.90420797899669081</c:v>
                </c:pt>
                <c:pt idx="81">
                  <c:v>0.90828602066335751</c:v>
                </c:pt>
                <c:pt idx="82">
                  <c:v>0.9085948227466909</c:v>
                </c:pt>
                <c:pt idx="83">
                  <c:v>0.89914203108002422</c:v>
                </c:pt>
                <c:pt idx="84">
                  <c:v>0.87480080191335752</c:v>
                </c:pt>
                <c:pt idx="85">
                  <c:v>0.8593556214346687</c:v>
                </c:pt>
                <c:pt idx="86">
                  <c:v>0.87215876558950356</c:v>
                </c:pt>
                <c:pt idx="87">
                  <c:v>0.99017437325911395</c:v>
                </c:pt>
                <c:pt idx="88">
                  <c:v>0.91846581075911393</c:v>
                </c:pt>
                <c:pt idx="89">
                  <c:v>0.94554951197367332</c:v>
                </c:pt>
                <c:pt idx="90">
                  <c:v>0.92072972671846076</c:v>
                </c:pt>
                <c:pt idx="91">
                  <c:v>0.96602874818595452</c:v>
                </c:pt>
                <c:pt idx="92">
                  <c:v>1.002600943095888</c:v>
                </c:pt>
                <c:pt idx="93">
                  <c:v>1.0507479222625546</c:v>
                </c:pt>
                <c:pt idx="94">
                  <c:v>1.0659495699496002</c:v>
                </c:pt>
                <c:pt idx="95">
                  <c:v>1.0566205067196233</c:v>
                </c:pt>
                <c:pt idx="96">
                  <c:v>1.020996791057428</c:v>
                </c:pt>
                <c:pt idx="97">
                  <c:v>1.0860300975531167</c:v>
                </c:pt>
                <c:pt idx="98">
                  <c:v>1.0990667669316945</c:v>
                </c:pt>
                <c:pt idx="99">
                  <c:v>1.0380768843947026</c:v>
                </c:pt>
                <c:pt idx="100">
                  <c:v>1.0440598266061931</c:v>
                </c:pt>
                <c:pt idx="101">
                  <c:v>0.96626749926669253</c:v>
                </c:pt>
                <c:pt idx="102">
                  <c:v>0.96066371519633198</c:v>
                </c:pt>
                <c:pt idx="103">
                  <c:v>0.99624899784023546</c:v>
                </c:pt>
                <c:pt idx="104">
                  <c:v>0.99174763404769406</c:v>
                </c:pt>
                <c:pt idx="105">
                  <c:v>0.92178708831335077</c:v>
                </c:pt>
                <c:pt idx="106">
                  <c:v>0.88455160914668418</c:v>
                </c:pt>
                <c:pt idx="107">
                  <c:v>0.82906550498001752</c:v>
                </c:pt>
                <c:pt idx="108">
                  <c:v>0.87645992660984184</c:v>
                </c:pt>
                <c:pt idx="109">
                  <c:v>0.84565677142298523</c:v>
                </c:pt>
                <c:pt idx="110">
                  <c:v>0.81567751686548551</c:v>
                </c:pt>
                <c:pt idx="111">
                  <c:v>0.80055883978215214</c:v>
                </c:pt>
                <c:pt idx="112">
                  <c:v>0.83248704811548546</c:v>
                </c:pt>
                <c:pt idx="113">
                  <c:v>0.82939740228215209</c:v>
                </c:pt>
                <c:pt idx="114">
                  <c:v>0.84863501686548548</c:v>
                </c:pt>
                <c:pt idx="115">
                  <c:v>0.8671764603240979</c:v>
                </c:pt>
                <c:pt idx="116">
                  <c:v>0.84457672664376926</c:v>
                </c:pt>
                <c:pt idx="117">
                  <c:v>0.90398542120042968</c:v>
                </c:pt>
                <c:pt idx="118">
                  <c:v>0.93784747328376306</c:v>
                </c:pt>
                <c:pt idx="119">
                  <c:v>0.95662641656314995</c:v>
                </c:pt>
                <c:pt idx="120">
                  <c:v>1.0262774269798167</c:v>
                </c:pt>
                <c:pt idx="121">
                  <c:v>1.0513952915631501</c:v>
                </c:pt>
                <c:pt idx="122">
                  <c:v>1.1086255207298168</c:v>
                </c:pt>
                <c:pt idx="123">
                  <c:v>1.060074696252286</c:v>
                </c:pt>
                <c:pt idx="124">
                  <c:v>1.0151071441689528</c:v>
                </c:pt>
                <c:pt idx="125">
                  <c:v>1.0652592247113142</c:v>
                </c:pt>
                <c:pt idx="126">
                  <c:v>1.0499019545928192</c:v>
                </c:pt>
                <c:pt idx="127">
                  <c:v>1.0540376800729967</c:v>
                </c:pt>
                <c:pt idx="128">
                  <c:v>0.99003373874979972</c:v>
                </c:pt>
                <c:pt idx="129">
                  <c:v>0.98720541197494693</c:v>
                </c:pt>
                <c:pt idx="130">
                  <c:v>1.0020893301044662</c:v>
                </c:pt>
                <c:pt idx="131">
                  <c:v>1.0625974829129503</c:v>
                </c:pt>
                <c:pt idx="132">
                  <c:v>1.0891041704129503</c:v>
                </c:pt>
                <c:pt idx="133">
                  <c:v>1.0498708223741546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9-B94D-9A77-C90B6816E926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0.13399075643789218</c:v>
                </c:pt>
                <c:pt idx="2">
                  <c:v>0.20385204810455884</c:v>
                </c:pt>
                <c:pt idx="3">
                  <c:v>0.14386552141163589</c:v>
                </c:pt>
                <c:pt idx="4">
                  <c:v>0.13181811711152996</c:v>
                </c:pt>
                <c:pt idx="5">
                  <c:v>0.16180847127819661</c:v>
                </c:pt>
                <c:pt idx="6">
                  <c:v>0.12912560829347428</c:v>
                </c:pt>
                <c:pt idx="7">
                  <c:v>8.5226795793474253E-2</c:v>
                </c:pt>
                <c:pt idx="8">
                  <c:v>0.14555293502104438</c:v>
                </c:pt>
                <c:pt idx="9">
                  <c:v>0.16753340539976716</c:v>
                </c:pt>
                <c:pt idx="10">
                  <c:v>0.15982474913727496</c:v>
                </c:pt>
                <c:pt idx="11">
                  <c:v>0.11643233167157817</c:v>
                </c:pt>
                <c:pt idx="12">
                  <c:v>0.13385503048252811</c:v>
                </c:pt>
                <c:pt idx="13">
                  <c:v>0.12757738282179518</c:v>
                </c:pt>
                <c:pt idx="14">
                  <c:v>0.11012099832543248</c:v>
                </c:pt>
                <c:pt idx="15">
                  <c:v>0.12663170940826243</c:v>
                </c:pt>
                <c:pt idx="16">
                  <c:v>0.24954700741181302</c:v>
                </c:pt>
                <c:pt idx="17">
                  <c:v>0.32378108892353563</c:v>
                </c:pt>
                <c:pt idx="18">
                  <c:v>0.32537740142353566</c:v>
                </c:pt>
                <c:pt idx="19">
                  <c:v>0.32759404132658959</c:v>
                </c:pt>
                <c:pt idx="20">
                  <c:v>0.35869712921095948</c:v>
                </c:pt>
                <c:pt idx="21">
                  <c:v>0.42844809798001604</c:v>
                </c:pt>
                <c:pt idx="22">
                  <c:v>0.42176473925347058</c:v>
                </c:pt>
                <c:pt idx="23">
                  <c:v>0.34051333713223503</c:v>
                </c:pt>
                <c:pt idx="24">
                  <c:v>0.3726328474707063</c:v>
                </c:pt>
                <c:pt idx="25">
                  <c:v>0.3876344207996848</c:v>
                </c:pt>
                <c:pt idx="26">
                  <c:v>0.32086272041775499</c:v>
                </c:pt>
                <c:pt idx="27">
                  <c:v>0.31428367521521422</c:v>
                </c:pt>
                <c:pt idx="28">
                  <c:v>0.38000315438188093</c:v>
                </c:pt>
                <c:pt idx="29">
                  <c:v>0.41194361821618214</c:v>
                </c:pt>
                <c:pt idx="30">
                  <c:v>0.42184882594325623</c:v>
                </c:pt>
                <c:pt idx="31">
                  <c:v>0.39689361939338935</c:v>
                </c:pt>
                <c:pt idx="32">
                  <c:v>0.41553966577335538</c:v>
                </c:pt>
                <c:pt idx="33">
                  <c:v>0.43182013576163109</c:v>
                </c:pt>
                <c:pt idx="34">
                  <c:v>0.39346074547875898</c:v>
                </c:pt>
                <c:pt idx="35">
                  <c:v>0.41661217407393003</c:v>
                </c:pt>
                <c:pt idx="36">
                  <c:v>0.40217806795984101</c:v>
                </c:pt>
                <c:pt idx="37">
                  <c:v>0.43215572847976336</c:v>
                </c:pt>
                <c:pt idx="38">
                  <c:v>0.44146691637917829</c:v>
                </c:pt>
                <c:pt idx="39">
                  <c:v>0.4480547288791783</c:v>
                </c:pt>
                <c:pt idx="40">
                  <c:v>0.45913662471251165</c:v>
                </c:pt>
                <c:pt idx="41">
                  <c:v>0.43828858091778783</c:v>
                </c:pt>
                <c:pt idx="42">
                  <c:v>0.44022499758445449</c:v>
                </c:pt>
                <c:pt idx="43">
                  <c:v>0.48068808543889424</c:v>
                </c:pt>
                <c:pt idx="44">
                  <c:v>0.52166421191487311</c:v>
                </c:pt>
                <c:pt idx="45">
                  <c:v>0.51218873927532005</c:v>
                </c:pt>
                <c:pt idx="46">
                  <c:v>0.51626875285838347</c:v>
                </c:pt>
                <c:pt idx="47">
                  <c:v>0.58342254064149379</c:v>
                </c:pt>
                <c:pt idx="48">
                  <c:v>0.60098688699011871</c:v>
                </c:pt>
                <c:pt idx="49">
                  <c:v>0.59288341952061929</c:v>
                </c:pt>
                <c:pt idx="50">
                  <c:v>0.59942435712768027</c:v>
                </c:pt>
                <c:pt idx="51">
                  <c:v>0.6254703362943469</c:v>
                </c:pt>
                <c:pt idx="52">
                  <c:v>0.63675410340600458</c:v>
                </c:pt>
                <c:pt idx="53">
                  <c:v>0.67843083257267123</c:v>
                </c:pt>
                <c:pt idx="54">
                  <c:v>0.70582263887831276</c:v>
                </c:pt>
                <c:pt idx="55">
                  <c:v>0.67952009721164608</c:v>
                </c:pt>
                <c:pt idx="56">
                  <c:v>0.72608655955035772</c:v>
                </c:pt>
                <c:pt idx="57">
                  <c:v>0.73456228936197676</c:v>
                </c:pt>
                <c:pt idx="58">
                  <c:v>0.78697142181867819</c:v>
                </c:pt>
                <c:pt idx="59">
                  <c:v>0.77012433582841333</c:v>
                </c:pt>
                <c:pt idx="60">
                  <c:v>0.75173331094866391</c:v>
                </c:pt>
                <c:pt idx="61">
                  <c:v>0.76535226928199729</c:v>
                </c:pt>
                <c:pt idx="62">
                  <c:v>0.73814887344866398</c:v>
                </c:pt>
                <c:pt idx="63">
                  <c:v>0.70259616003625669</c:v>
                </c:pt>
                <c:pt idx="64">
                  <c:v>0.70600341003625666</c:v>
                </c:pt>
                <c:pt idx="65">
                  <c:v>0.71543610573090821</c:v>
                </c:pt>
                <c:pt idx="66">
                  <c:v>0.757089169520334</c:v>
                </c:pt>
                <c:pt idx="67">
                  <c:v>0.83692062634366693</c:v>
                </c:pt>
                <c:pt idx="68">
                  <c:v>0.84434009818388656</c:v>
                </c:pt>
                <c:pt idx="69">
                  <c:v>0.81067220235055326</c:v>
                </c:pt>
                <c:pt idx="70">
                  <c:v>0.73601403568388657</c:v>
                </c:pt>
                <c:pt idx="71">
                  <c:v>0.76745426485055324</c:v>
                </c:pt>
                <c:pt idx="72">
                  <c:v>0.85368459818388653</c:v>
                </c:pt>
                <c:pt idx="73">
                  <c:v>0.85293895937787645</c:v>
                </c:pt>
                <c:pt idx="74">
                  <c:v>0.86745135704836696</c:v>
                </c:pt>
                <c:pt idx="75">
                  <c:v>0.85369264871503359</c:v>
                </c:pt>
                <c:pt idx="76">
                  <c:v>0.82016108311463676</c:v>
                </c:pt>
                <c:pt idx="77">
                  <c:v>0.82675690983985684</c:v>
                </c:pt>
                <c:pt idx="78">
                  <c:v>0.94687482650652355</c:v>
                </c:pt>
                <c:pt idx="79">
                  <c:v>1.0021306598398569</c:v>
                </c:pt>
                <c:pt idx="80">
                  <c:v>1.1859583890065237</c:v>
                </c:pt>
                <c:pt idx="81">
                  <c:v>1.204187534839857</c:v>
                </c:pt>
                <c:pt idx="82">
                  <c:v>1.2117479306731904</c:v>
                </c:pt>
                <c:pt idx="83">
                  <c:v>1.1860901806731905</c:v>
                </c:pt>
                <c:pt idx="84">
                  <c:v>1.1781950140065238</c:v>
                </c:pt>
                <c:pt idx="85">
                  <c:v>1.1813011019784749</c:v>
                </c:pt>
                <c:pt idx="86">
                  <c:v>1.2133463712149388</c:v>
                </c:pt>
                <c:pt idx="87">
                  <c:v>1.2947997373171196</c:v>
                </c:pt>
                <c:pt idx="88">
                  <c:v>1.1933474039837864</c:v>
                </c:pt>
                <c:pt idx="89">
                  <c:v>1.2202349699826387</c:v>
                </c:pt>
                <c:pt idx="90">
                  <c:v>1.1849006259019814</c:v>
                </c:pt>
                <c:pt idx="91">
                  <c:v>1.2546271661797157</c:v>
                </c:pt>
                <c:pt idx="92">
                  <c:v>1.2928121163758755</c:v>
                </c:pt>
                <c:pt idx="93">
                  <c:v>1.3571929705425421</c:v>
                </c:pt>
                <c:pt idx="94">
                  <c:v>1.3463599194272675</c:v>
                </c:pt>
                <c:pt idx="95">
                  <c:v>1.3467684595428837</c:v>
                </c:pt>
                <c:pt idx="96">
                  <c:v>1.3096070572605725</c:v>
                </c:pt>
                <c:pt idx="97">
                  <c:v>1.3872631085175451</c:v>
                </c:pt>
                <c:pt idx="98">
                  <c:v>1.4235722282739784</c:v>
                </c:pt>
                <c:pt idx="99">
                  <c:v>1.3635389730339254</c:v>
                </c:pt>
                <c:pt idx="100">
                  <c:v>1.3766577131489379</c:v>
                </c:pt>
                <c:pt idx="101">
                  <c:v>1.3194334927954527</c:v>
                </c:pt>
                <c:pt idx="102">
                  <c:v>1.325017169721274</c:v>
                </c:pt>
                <c:pt idx="103">
                  <c:v>1.3863733549585455</c:v>
                </c:pt>
                <c:pt idx="104">
                  <c:v>1.3722234881312512</c:v>
                </c:pt>
                <c:pt idx="105">
                  <c:v>1.3032464292068677</c:v>
                </c:pt>
                <c:pt idx="106">
                  <c:v>1.2606825333735343</c:v>
                </c:pt>
                <c:pt idx="107">
                  <c:v>1.1775598458735343</c:v>
                </c:pt>
                <c:pt idx="108">
                  <c:v>1.248895606088454</c:v>
                </c:pt>
                <c:pt idx="109">
                  <c:v>1.2100890891481657</c:v>
                </c:pt>
                <c:pt idx="110">
                  <c:v>1.1805186695137375</c:v>
                </c:pt>
                <c:pt idx="111">
                  <c:v>1.1745348153470709</c:v>
                </c:pt>
                <c:pt idx="112">
                  <c:v>1.1939212111804043</c:v>
                </c:pt>
                <c:pt idx="113">
                  <c:v>1.1667982736804043</c:v>
                </c:pt>
                <c:pt idx="114">
                  <c:v>1.1662663153470709</c:v>
                </c:pt>
                <c:pt idx="115">
                  <c:v>1.1790422048332743</c:v>
                </c:pt>
                <c:pt idx="116">
                  <c:v>1.1321507924451426</c:v>
                </c:pt>
                <c:pt idx="117">
                  <c:v>1.1901831013358442</c:v>
                </c:pt>
                <c:pt idx="118">
                  <c:v>1.2241496430025107</c:v>
                </c:pt>
                <c:pt idx="119">
                  <c:v>1.2379208522748226</c:v>
                </c:pt>
                <c:pt idx="120">
                  <c:v>1.3065175397748225</c:v>
                </c:pt>
                <c:pt idx="121">
                  <c:v>1.3573488939414893</c:v>
                </c:pt>
                <c:pt idx="122">
                  <c:v>1.3903548522748226</c:v>
                </c:pt>
                <c:pt idx="123">
                  <c:v>1.310734708250634</c:v>
                </c:pt>
                <c:pt idx="124">
                  <c:v>1.2687062290839672</c:v>
                </c:pt>
                <c:pt idx="125">
                  <c:v>1.3332296086624633</c:v>
                </c:pt>
                <c:pt idx="126">
                  <c:v>1.2978435640086299</c:v>
                </c:pt>
                <c:pt idx="127">
                  <c:v>1.3124523784958482</c:v>
                </c:pt>
                <c:pt idx="128">
                  <c:v>1.2392095094531661</c:v>
                </c:pt>
                <c:pt idx="129">
                  <c:v>1.2178362912537797</c:v>
                </c:pt>
                <c:pt idx="130">
                  <c:v>1.2398211437853042</c:v>
                </c:pt>
                <c:pt idx="131">
                  <c:v>1.3055032374445392</c:v>
                </c:pt>
                <c:pt idx="132">
                  <c:v>1.3467376124445392</c:v>
                </c:pt>
                <c:pt idx="133">
                  <c:v>1.2801603970809829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9-B94D-9A77-C90B6816E926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0.20328894312224877</c:v>
                </c:pt>
                <c:pt idx="2">
                  <c:v>0.30205710101698563</c:v>
                </c:pt>
                <c:pt idx="3">
                  <c:v>0.24171519611095307</c:v>
                </c:pt>
                <c:pt idx="4">
                  <c:v>0.18805856566817239</c:v>
                </c:pt>
                <c:pt idx="5">
                  <c:v>0.24764751303659344</c:v>
                </c:pt>
                <c:pt idx="6">
                  <c:v>0.20386015321345113</c:v>
                </c:pt>
                <c:pt idx="7">
                  <c:v>9.8766574266082735E-2</c:v>
                </c:pt>
                <c:pt idx="8">
                  <c:v>0.1495940405269307</c:v>
                </c:pt>
                <c:pt idx="9">
                  <c:v>0.20586512550316621</c:v>
                </c:pt>
                <c:pt idx="10">
                  <c:v>0.20087060543637847</c:v>
                </c:pt>
                <c:pt idx="11">
                  <c:v>0.14350117877935642</c:v>
                </c:pt>
                <c:pt idx="12">
                  <c:v>0.14499558671790494</c:v>
                </c:pt>
                <c:pt idx="13">
                  <c:v>0.15153700767605535</c:v>
                </c:pt>
                <c:pt idx="14">
                  <c:v>7.2239350094490895E-2</c:v>
                </c:pt>
                <c:pt idx="15">
                  <c:v>5.4477041465312362E-2</c:v>
                </c:pt>
                <c:pt idx="16">
                  <c:v>0.22037026865002107</c:v>
                </c:pt>
                <c:pt idx="17">
                  <c:v>0.25538982348442113</c:v>
                </c:pt>
                <c:pt idx="18">
                  <c:v>0.29196808664231588</c:v>
                </c:pt>
                <c:pt idx="19">
                  <c:v>0.23954678648343081</c:v>
                </c:pt>
                <c:pt idx="20">
                  <c:v>0.31355494587168381</c:v>
                </c:pt>
                <c:pt idx="21">
                  <c:v>0.4268180541839533</c:v>
                </c:pt>
                <c:pt idx="22">
                  <c:v>0.37162706277173158</c:v>
                </c:pt>
                <c:pt idx="23">
                  <c:v>0.25492303110030279</c:v>
                </c:pt>
                <c:pt idx="24">
                  <c:v>0.29437321140238498</c:v>
                </c:pt>
                <c:pt idx="25">
                  <c:v>0.32170919000793913</c:v>
                </c:pt>
                <c:pt idx="26">
                  <c:v>0.32479575234672842</c:v>
                </c:pt>
                <c:pt idx="27">
                  <c:v>0.33771585895794676</c:v>
                </c:pt>
                <c:pt idx="28">
                  <c:v>0.34173491158952574</c:v>
                </c:pt>
                <c:pt idx="29">
                  <c:v>0.38215561413192484</c:v>
                </c:pt>
                <c:pt idx="30">
                  <c:v>0.40748490914287788</c:v>
                </c:pt>
                <c:pt idx="31">
                  <c:v>0.32653272471907624</c:v>
                </c:pt>
                <c:pt idx="32">
                  <c:v>0.29107008082046432</c:v>
                </c:pt>
                <c:pt idx="33">
                  <c:v>0.2760110447373133</c:v>
                </c:pt>
                <c:pt idx="34">
                  <c:v>0.19853570571485929</c:v>
                </c:pt>
                <c:pt idx="35">
                  <c:v>0.23650489543732001</c:v>
                </c:pt>
                <c:pt idx="36">
                  <c:v>0.19404103949994619</c:v>
                </c:pt>
                <c:pt idx="37">
                  <c:v>0.2131735627252328</c:v>
                </c:pt>
                <c:pt idx="38">
                  <c:v>0.27407926819064277</c:v>
                </c:pt>
                <c:pt idx="39">
                  <c:v>0.26702411029590595</c:v>
                </c:pt>
                <c:pt idx="40">
                  <c:v>0.27515053134853751</c:v>
                </c:pt>
                <c:pt idx="41">
                  <c:v>0.26756783968109865</c:v>
                </c:pt>
                <c:pt idx="42">
                  <c:v>0.25831089231267762</c:v>
                </c:pt>
                <c:pt idx="43">
                  <c:v>0.2928174719978221</c:v>
                </c:pt>
                <c:pt idx="44">
                  <c:v>0.33280912100112592</c:v>
                </c:pt>
                <c:pt idx="45">
                  <c:v>0.31412623556750874</c:v>
                </c:pt>
                <c:pt idx="46">
                  <c:v>0.29576330406155121</c:v>
                </c:pt>
                <c:pt idx="47">
                  <c:v>0.43271433235594392</c:v>
                </c:pt>
                <c:pt idx="48">
                  <c:v>0.44778245112770548</c:v>
                </c:pt>
                <c:pt idx="49">
                  <c:v>0.3944338819555494</c:v>
                </c:pt>
                <c:pt idx="50">
                  <c:v>0.41205552749979252</c:v>
                </c:pt>
                <c:pt idx="51">
                  <c:v>0.51395352749979251</c:v>
                </c:pt>
                <c:pt idx="52">
                  <c:v>0.50413252854451507</c:v>
                </c:pt>
                <c:pt idx="53">
                  <c:v>0.52055142328135717</c:v>
                </c:pt>
                <c:pt idx="54">
                  <c:v>0.5643384858168442</c:v>
                </c:pt>
                <c:pt idx="55">
                  <c:v>0.55909643318526525</c:v>
                </c:pt>
                <c:pt idx="56">
                  <c:v>0.60047069725919799</c:v>
                </c:pt>
                <c:pt idx="57">
                  <c:v>0.60581345282779864</c:v>
                </c:pt>
                <c:pt idx="58">
                  <c:v>0.6559986657186524</c:v>
                </c:pt>
                <c:pt idx="59">
                  <c:v>0.63598144204741924</c:v>
                </c:pt>
                <c:pt idx="60">
                  <c:v>0.63038769039034637</c:v>
                </c:pt>
                <c:pt idx="61">
                  <c:v>0.64095926933771474</c:v>
                </c:pt>
                <c:pt idx="62">
                  <c:v>0.61958463775876738</c:v>
                </c:pt>
                <c:pt idx="63">
                  <c:v>0.5934966774831878</c:v>
                </c:pt>
                <c:pt idx="64">
                  <c:v>0.60840078274634568</c:v>
                </c:pt>
                <c:pt idx="65">
                  <c:v>0.62407451623930488</c:v>
                </c:pt>
                <c:pt idx="66">
                  <c:v>0.63991804010925568</c:v>
                </c:pt>
                <c:pt idx="67">
                  <c:v>0.7399704631846421</c:v>
                </c:pt>
                <c:pt idx="68">
                  <c:v>0.69847650804006423</c:v>
                </c:pt>
                <c:pt idx="69">
                  <c:v>0.71376482382953788</c:v>
                </c:pt>
                <c:pt idx="70">
                  <c:v>0.60260471856637998</c:v>
                </c:pt>
                <c:pt idx="71">
                  <c:v>0.64388692909269574</c:v>
                </c:pt>
                <c:pt idx="72">
                  <c:v>0.76229513961901152</c:v>
                </c:pt>
                <c:pt idx="73">
                  <c:v>0.77663043489631223</c:v>
                </c:pt>
                <c:pt idx="74">
                  <c:v>0.78322672826127726</c:v>
                </c:pt>
                <c:pt idx="75">
                  <c:v>0.83421251773496141</c:v>
                </c:pt>
                <c:pt idx="76">
                  <c:v>0.80974725162002437</c:v>
                </c:pt>
                <c:pt idx="77">
                  <c:v>0.7876196350778496</c:v>
                </c:pt>
                <c:pt idx="78">
                  <c:v>0.90821484560416543</c:v>
                </c:pt>
                <c:pt idx="79">
                  <c:v>0.95613621402521809</c:v>
                </c:pt>
                <c:pt idx="80">
                  <c:v>1.1266910561304813</c:v>
                </c:pt>
                <c:pt idx="81">
                  <c:v>1.1063807403410075</c:v>
                </c:pt>
                <c:pt idx="82">
                  <c:v>1.2453076350778496</c:v>
                </c:pt>
                <c:pt idx="83">
                  <c:v>1.2493611613936391</c:v>
                </c:pt>
                <c:pt idx="84">
                  <c:v>1.2455330034989023</c:v>
                </c:pt>
                <c:pt idx="85">
                  <c:v>1.2742008584430768</c:v>
                </c:pt>
                <c:pt idx="86">
                  <c:v>1.288217222833723</c:v>
                </c:pt>
                <c:pt idx="87">
                  <c:v>1.3504871777125596</c:v>
                </c:pt>
                <c:pt idx="88">
                  <c:v>1.2404193356072963</c:v>
                </c:pt>
                <c:pt idx="89">
                  <c:v>1.2634460242782224</c:v>
                </c:pt>
                <c:pt idx="90">
                  <c:v>1.1846822655598983</c:v>
                </c:pt>
                <c:pt idx="91">
                  <c:v>1.2844915970416511</c:v>
                </c:pt>
                <c:pt idx="92">
                  <c:v>1.3377032251333256</c:v>
                </c:pt>
                <c:pt idx="93">
                  <c:v>1.4003442777649044</c:v>
                </c:pt>
                <c:pt idx="94">
                  <c:v>1.3413171575012488</c:v>
                </c:pt>
                <c:pt idx="95">
                  <c:v>1.3316552712191936</c:v>
                </c:pt>
                <c:pt idx="96">
                  <c:v>1.3755723739164083</c:v>
                </c:pt>
                <c:pt idx="97">
                  <c:v>1.5269692150740415</c:v>
                </c:pt>
                <c:pt idx="98">
                  <c:v>1.5717330995173016</c:v>
                </c:pt>
                <c:pt idx="99">
                  <c:v>1.5354336906290624</c:v>
                </c:pt>
                <c:pt idx="100">
                  <c:v>1.5641928109205367</c:v>
                </c:pt>
                <c:pt idx="101">
                  <c:v>1.5001292475701533</c:v>
                </c:pt>
                <c:pt idx="102">
                  <c:v>1.5244335367407378</c:v>
                </c:pt>
                <c:pt idx="103">
                  <c:v>1.614672550297539</c:v>
                </c:pt>
                <c:pt idx="104">
                  <c:v>1.5716740083173388</c:v>
                </c:pt>
                <c:pt idx="105">
                  <c:v>1.4924686564691543</c:v>
                </c:pt>
                <c:pt idx="106">
                  <c:v>1.4614110775217859</c:v>
                </c:pt>
                <c:pt idx="107">
                  <c:v>1.2598466038375755</c:v>
                </c:pt>
                <c:pt idx="108">
                  <c:v>1.3471714095961085</c:v>
                </c:pt>
                <c:pt idx="109">
                  <c:v>1.3387581692284383</c:v>
                </c:pt>
                <c:pt idx="110">
                  <c:v>1.2980990345928667</c:v>
                </c:pt>
                <c:pt idx="111">
                  <c:v>1.2822012451191824</c:v>
                </c:pt>
                <c:pt idx="112">
                  <c:v>1.3638229293297088</c:v>
                </c:pt>
                <c:pt idx="113">
                  <c:v>1.3730956135402352</c:v>
                </c:pt>
                <c:pt idx="114">
                  <c:v>1.3742162977507615</c:v>
                </c:pt>
                <c:pt idx="115">
                  <c:v>1.3292805571422659</c:v>
                </c:pt>
                <c:pt idx="116">
                  <c:v>1.2879049119794685</c:v>
                </c:pt>
                <c:pt idx="117">
                  <c:v>1.3508197200497689</c:v>
                </c:pt>
                <c:pt idx="118">
                  <c:v>1.4068389305760847</c:v>
                </c:pt>
                <c:pt idx="119">
                  <c:v>1.4594614500350842</c:v>
                </c:pt>
                <c:pt idx="120">
                  <c:v>1.5155131342456105</c:v>
                </c:pt>
                <c:pt idx="121">
                  <c:v>1.6331854500350842</c:v>
                </c:pt>
                <c:pt idx="122">
                  <c:v>1.7019817131929789</c:v>
                </c:pt>
                <c:pt idx="123">
                  <c:v>1.5937193586628715</c:v>
                </c:pt>
                <c:pt idx="124">
                  <c:v>1.5919094639260294</c:v>
                </c:pt>
                <c:pt idx="125">
                  <c:v>1.6938409694784504</c:v>
                </c:pt>
                <c:pt idx="126">
                  <c:v>1.6558438895316019</c:v>
                </c:pt>
                <c:pt idx="127">
                  <c:v>1.6777254628500642</c:v>
                </c:pt>
                <c:pt idx="128">
                  <c:v>1.599620196962128</c:v>
                </c:pt>
                <c:pt idx="129">
                  <c:v>1.5664428638495371</c:v>
                </c:pt>
                <c:pt idx="130">
                  <c:v>1.6097028813788448</c:v>
                </c:pt>
                <c:pt idx="131">
                  <c:v>1.7123325905650317</c:v>
                </c:pt>
                <c:pt idx="132">
                  <c:v>1.708933327407137</c:v>
                </c:pt>
                <c:pt idx="133">
                  <c:v>1.6389769069085789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39-B94D-9A77-C90B6816E926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0.24459796479206572</c:v>
                </c:pt>
                <c:pt idx="2">
                  <c:v>0.30664256479206575</c:v>
                </c:pt>
                <c:pt idx="3">
                  <c:v>0.34156400134876314</c:v>
                </c:pt>
                <c:pt idx="4">
                  <c:v>0.3071600803817266</c:v>
                </c:pt>
                <c:pt idx="5">
                  <c:v>0.42600448038172661</c:v>
                </c:pt>
                <c:pt idx="6">
                  <c:v>0.36757303610186109</c:v>
                </c:pt>
                <c:pt idx="7">
                  <c:v>0.30304883610186106</c:v>
                </c:pt>
                <c:pt idx="8">
                  <c:v>0.39756363369379194</c:v>
                </c:pt>
                <c:pt idx="9">
                  <c:v>0.4787346942624382</c:v>
                </c:pt>
                <c:pt idx="10">
                  <c:v>0.45323698478295094</c:v>
                </c:pt>
                <c:pt idx="11">
                  <c:v>0.34344079035781722</c:v>
                </c:pt>
                <c:pt idx="12">
                  <c:v>0.33116999459866453</c:v>
                </c:pt>
                <c:pt idx="13">
                  <c:v>0.35306656444388856</c:v>
                </c:pt>
                <c:pt idx="14">
                  <c:v>0.30716783299795697</c:v>
                </c:pt>
                <c:pt idx="15">
                  <c:v>0.18047677428814318</c:v>
                </c:pt>
                <c:pt idx="16">
                  <c:v>0.45048466937029696</c:v>
                </c:pt>
                <c:pt idx="17">
                  <c:v>0.49637574648748117</c:v>
                </c:pt>
                <c:pt idx="18">
                  <c:v>0.54316444648748119</c:v>
                </c:pt>
                <c:pt idx="19">
                  <c:v>0.4330374401566453</c:v>
                </c:pt>
                <c:pt idx="20">
                  <c:v>0.5355810341393884</c:v>
                </c:pt>
                <c:pt idx="21">
                  <c:v>0.6624243656030615</c:v>
                </c:pt>
                <c:pt idx="22">
                  <c:v>0.61039556754591939</c:v>
                </c:pt>
                <c:pt idx="23">
                  <c:v>0.54769144821747551</c:v>
                </c:pt>
                <c:pt idx="24">
                  <c:v>0.60177259524550919</c:v>
                </c:pt>
                <c:pt idx="25">
                  <c:v>0.62393899598644231</c:v>
                </c:pt>
                <c:pt idx="26">
                  <c:v>0.61962132713838713</c:v>
                </c:pt>
                <c:pt idx="27">
                  <c:v>0.60068504410756873</c:v>
                </c:pt>
                <c:pt idx="28">
                  <c:v>0.55339944410756869</c:v>
                </c:pt>
                <c:pt idx="29">
                  <c:v>0.61921905660460852</c:v>
                </c:pt>
                <c:pt idx="30">
                  <c:v>0.66354360081968433</c:v>
                </c:pt>
                <c:pt idx="31">
                  <c:v>0.53057623580996149</c:v>
                </c:pt>
                <c:pt idx="32">
                  <c:v>0.50572697867743055</c:v>
                </c:pt>
                <c:pt idx="33">
                  <c:v>0.49626211870995479</c:v>
                </c:pt>
                <c:pt idx="34">
                  <c:v>0.4269006675180384</c:v>
                </c:pt>
                <c:pt idx="35">
                  <c:v>0.47133233001385294</c:v>
                </c:pt>
                <c:pt idx="36">
                  <c:v>0.40270112292423432</c:v>
                </c:pt>
                <c:pt idx="37">
                  <c:v>0.43820158318943614</c:v>
                </c:pt>
                <c:pt idx="38">
                  <c:v>0.50157139565290321</c:v>
                </c:pt>
                <c:pt idx="39">
                  <c:v>0.48898919565290322</c:v>
                </c:pt>
                <c:pt idx="40">
                  <c:v>0.50873649565290324</c:v>
                </c:pt>
                <c:pt idx="41">
                  <c:v>0.49100266989366392</c:v>
                </c:pt>
                <c:pt idx="42">
                  <c:v>0.5134334698936639</c:v>
                </c:pt>
                <c:pt idx="43">
                  <c:v>0.57868846054609246</c:v>
                </c:pt>
                <c:pt idx="44">
                  <c:v>0.6186317216355588</c:v>
                </c:pt>
                <c:pt idx="45">
                  <c:v>0.57140490330811988</c:v>
                </c:pt>
                <c:pt idx="46">
                  <c:v>0.58706484256270086</c:v>
                </c:pt>
                <c:pt idx="47">
                  <c:v>0.71229881973743603</c:v>
                </c:pt>
                <c:pt idx="48">
                  <c:v>0.74031588384746894</c:v>
                </c:pt>
                <c:pt idx="49">
                  <c:v>0.6489926037789655</c:v>
                </c:pt>
                <c:pt idx="50">
                  <c:v>0.65960611858661844</c:v>
                </c:pt>
                <c:pt idx="51">
                  <c:v>0.76839461858661839</c:v>
                </c:pt>
                <c:pt idx="52">
                  <c:v>0.83054976225444865</c:v>
                </c:pt>
                <c:pt idx="53">
                  <c:v>0.83791446225444866</c:v>
                </c:pt>
                <c:pt idx="54">
                  <c:v>0.88635718327211177</c:v>
                </c:pt>
                <c:pt idx="55">
                  <c:v>0.82937958327211181</c:v>
                </c:pt>
                <c:pt idx="56">
                  <c:v>0.83186912200667706</c:v>
                </c:pt>
                <c:pt idx="57">
                  <c:v>0.86631096748836656</c:v>
                </c:pt>
                <c:pt idx="58">
                  <c:v>0.9348976266033362</c:v>
                </c:pt>
                <c:pt idx="59">
                  <c:v>0.92363259951589094</c:v>
                </c:pt>
                <c:pt idx="60">
                  <c:v>0.92445635178369701</c:v>
                </c:pt>
                <c:pt idx="61">
                  <c:v>0.92453405178369696</c:v>
                </c:pt>
                <c:pt idx="62">
                  <c:v>0.86193655178369699</c:v>
                </c:pt>
                <c:pt idx="63">
                  <c:v>0.79821582437268535</c:v>
                </c:pt>
                <c:pt idx="64">
                  <c:v>0.81480622437268535</c:v>
                </c:pt>
                <c:pt idx="65">
                  <c:v>0.82899044508049013</c:v>
                </c:pt>
                <c:pt idx="66">
                  <c:v>0.84179337637081786</c:v>
                </c:pt>
                <c:pt idx="67">
                  <c:v>0.96555551280727292</c:v>
                </c:pt>
                <c:pt idx="68">
                  <c:v>0.94873173535698663</c:v>
                </c:pt>
                <c:pt idx="69">
                  <c:v>0.91209913535698661</c:v>
                </c:pt>
                <c:pt idx="70">
                  <c:v>0.82655263535698664</c:v>
                </c:pt>
                <c:pt idx="71">
                  <c:v>0.91273273535698662</c:v>
                </c:pt>
                <c:pt idx="72">
                  <c:v>1.1168782353569866</c:v>
                </c:pt>
                <c:pt idx="73">
                  <c:v>1.1707298043014505</c:v>
                </c:pt>
                <c:pt idx="74">
                  <c:v>1.2324238957805103</c:v>
                </c:pt>
                <c:pt idx="75">
                  <c:v>1.2997840957805102</c:v>
                </c:pt>
                <c:pt idx="76">
                  <c:v>1.281192074984068</c:v>
                </c:pt>
                <c:pt idx="77">
                  <c:v>1.2661351809722434</c:v>
                </c:pt>
                <c:pt idx="78">
                  <c:v>1.4397847809722435</c:v>
                </c:pt>
                <c:pt idx="79">
                  <c:v>1.5288783809722435</c:v>
                </c:pt>
                <c:pt idx="80">
                  <c:v>1.6022457809722435</c:v>
                </c:pt>
                <c:pt idx="81">
                  <c:v>1.5986193809722435</c:v>
                </c:pt>
                <c:pt idx="82">
                  <c:v>1.8243510809722436</c:v>
                </c:pt>
                <c:pt idx="83">
                  <c:v>1.7843715809722436</c:v>
                </c:pt>
                <c:pt idx="84">
                  <c:v>1.7150365809722437</c:v>
                </c:pt>
                <c:pt idx="85">
                  <c:v>1.8020809370449618</c:v>
                </c:pt>
                <c:pt idx="86">
                  <c:v>1.8587535828170612</c:v>
                </c:pt>
                <c:pt idx="87">
                  <c:v>1.8901755578103094</c:v>
                </c:pt>
                <c:pt idx="88">
                  <c:v>1.7820576578103093</c:v>
                </c:pt>
                <c:pt idx="89">
                  <c:v>1.8246917736094697</c:v>
                </c:pt>
                <c:pt idx="90">
                  <c:v>1.7177125294099016</c:v>
                </c:pt>
                <c:pt idx="91">
                  <c:v>1.8452483648428513</c:v>
                </c:pt>
                <c:pt idx="92">
                  <c:v>1.8826263756079802</c:v>
                </c:pt>
                <c:pt idx="93">
                  <c:v>1.9070008756079802</c:v>
                </c:pt>
                <c:pt idx="94">
                  <c:v>1.8468157031443855</c:v>
                </c:pt>
                <c:pt idx="95">
                  <c:v>1.8517573735099975</c:v>
                </c:pt>
                <c:pt idx="96">
                  <c:v>1.9149360334247703</c:v>
                </c:pt>
                <c:pt idx="97">
                  <c:v>2.0975475811416864</c:v>
                </c:pt>
                <c:pt idx="98">
                  <c:v>2.1236196720448133</c:v>
                </c:pt>
                <c:pt idx="99">
                  <c:v>2.0995800649914824</c:v>
                </c:pt>
                <c:pt idx="100">
                  <c:v>2.1420507380692446</c:v>
                </c:pt>
                <c:pt idx="101">
                  <c:v>2.0621637901249024</c:v>
                </c:pt>
                <c:pt idx="102">
                  <c:v>2.0885396255667787</c:v>
                </c:pt>
                <c:pt idx="103">
                  <c:v>2.2982030276459944</c:v>
                </c:pt>
                <c:pt idx="104">
                  <c:v>2.2305105957008684</c:v>
                </c:pt>
                <c:pt idx="105">
                  <c:v>2.216003869569422</c:v>
                </c:pt>
                <c:pt idx="106">
                  <c:v>2.1503959695694221</c:v>
                </c:pt>
                <c:pt idx="107">
                  <c:v>1.8476743695694222</c:v>
                </c:pt>
                <c:pt idx="108">
                  <c:v>1.9607659324097819</c:v>
                </c:pt>
                <c:pt idx="109">
                  <c:v>1.9617043471768685</c:v>
                </c:pt>
                <c:pt idx="110">
                  <c:v>1.9075960285197382</c:v>
                </c:pt>
                <c:pt idx="111">
                  <c:v>1.8600295285197381</c:v>
                </c:pt>
                <c:pt idx="112">
                  <c:v>1.960358528519738</c:v>
                </c:pt>
                <c:pt idx="113">
                  <c:v>1.952619328519738</c:v>
                </c:pt>
                <c:pt idx="114">
                  <c:v>1.9508458285197379</c:v>
                </c:pt>
                <c:pt idx="115">
                  <c:v>1.8691151162686088</c:v>
                </c:pt>
                <c:pt idx="116">
                  <c:v>1.822818389034808</c:v>
                </c:pt>
                <c:pt idx="117">
                  <c:v>1.9571233364001743</c:v>
                </c:pt>
                <c:pt idx="118">
                  <c:v>2.0300611364001742</c:v>
                </c:pt>
                <c:pt idx="119">
                  <c:v>2.1000717030181124</c:v>
                </c:pt>
                <c:pt idx="120">
                  <c:v>2.1376016030181124</c:v>
                </c:pt>
                <c:pt idx="121">
                  <c:v>2.1718983030181125</c:v>
                </c:pt>
                <c:pt idx="122">
                  <c:v>2.2890268030181127</c:v>
                </c:pt>
                <c:pt idx="123">
                  <c:v>2.1492584460772415</c:v>
                </c:pt>
                <c:pt idx="124">
                  <c:v>2.2100852460772415</c:v>
                </c:pt>
                <c:pt idx="125">
                  <c:v>2.3287014967272279</c:v>
                </c:pt>
                <c:pt idx="126">
                  <c:v>2.2221623301262183</c:v>
                </c:pt>
                <c:pt idx="127">
                  <c:v>2.2410825741956026</c:v>
                </c:pt>
                <c:pt idx="128">
                  <c:v>2.213743847985763</c:v>
                </c:pt>
                <c:pt idx="129">
                  <c:v>2.1652252748545182</c:v>
                </c:pt>
                <c:pt idx="130">
                  <c:v>2.2413823516511382</c:v>
                </c:pt>
                <c:pt idx="131">
                  <c:v>2.3547394075864494</c:v>
                </c:pt>
                <c:pt idx="132">
                  <c:v>2.3579296075864495</c:v>
                </c:pt>
                <c:pt idx="133">
                  <c:v>2.2922286164476073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39-B94D-9A77-C90B6816E926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0.20787511111111109</c:v>
                </c:pt>
                <c:pt idx="1">
                  <c:v>0.20715486244379405</c:v>
                </c:pt>
                <c:pt idx="2">
                  <c:v>0.27215975133268294</c:v>
                </c:pt>
                <c:pt idx="3">
                  <c:v>0.35087522323701392</c:v>
                </c:pt>
                <c:pt idx="4">
                  <c:v>0.34272867257806466</c:v>
                </c:pt>
                <c:pt idx="5">
                  <c:v>0.41557745035584243</c:v>
                </c:pt>
                <c:pt idx="6">
                  <c:v>0.358046831690221</c:v>
                </c:pt>
                <c:pt idx="7">
                  <c:v>0.28935338724577653</c:v>
                </c:pt>
                <c:pt idx="8">
                  <c:v>0.37577427882816711</c:v>
                </c:pt>
                <c:pt idx="9">
                  <c:v>0.46093588294237853</c:v>
                </c:pt>
                <c:pt idx="10">
                  <c:v>0.42060142821713797</c:v>
                </c:pt>
                <c:pt idx="11">
                  <c:v>0.30035892993794128</c:v>
                </c:pt>
                <c:pt idx="12">
                  <c:v>0.27177185305896207</c:v>
                </c:pt>
                <c:pt idx="13">
                  <c:v>0.27996003257329405</c:v>
                </c:pt>
                <c:pt idx="14">
                  <c:v>0.1984813892673008</c:v>
                </c:pt>
                <c:pt idx="15">
                  <c:v>9.5371695379591601E-2</c:v>
                </c:pt>
                <c:pt idx="16">
                  <c:v>0.38243471577838639</c:v>
                </c:pt>
                <c:pt idx="17">
                  <c:v>0.42084138907199842</c:v>
                </c:pt>
                <c:pt idx="18">
                  <c:v>0.46949105573866506</c:v>
                </c:pt>
                <c:pt idx="19">
                  <c:v>0.3939195696297581</c:v>
                </c:pt>
                <c:pt idx="20">
                  <c:v>0.4955852456775699</c:v>
                </c:pt>
                <c:pt idx="21">
                  <c:v>0.61999502938605666</c:v>
                </c:pt>
                <c:pt idx="22">
                  <c:v>0.56971619492499403</c:v>
                </c:pt>
                <c:pt idx="23">
                  <c:v>0.52670613674123312</c:v>
                </c:pt>
                <c:pt idx="24">
                  <c:v>0.57019377257722526</c:v>
                </c:pt>
                <c:pt idx="25">
                  <c:v>0.60248918701129306</c:v>
                </c:pt>
                <c:pt idx="26">
                  <c:v>0.61525463504670974</c:v>
                </c:pt>
                <c:pt idx="27">
                  <c:v>0.61413260919763346</c:v>
                </c:pt>
                <c:pt idx="28">
                  <c:v>0.56259860919763349</c:v>
                </c:pt>
                <c:pt idx="29">
                  <c:v>0.62628445177922265</c:v>
                </c:pt>
                <c:pt idx="30">
                  <c:v>0.67006061151499507</c:v>
                </c:pt>
                <c:pt idx="31">
                  <c:v>0.52165898634784258</c:v>
                </c:pt>
                <c:pt idx="32">
                  <c:v>0.48827573067619529</c:v>
                </c:pt>
                <c:pt idx="33">
                  <c:v>0.49530169674807134</c:v>
                </c:pt>
                <c:pt idx="34">
                  <c:v>0.45786824376658347</c:v>
                </c:pt>
                <c:pt idx="35">
                  <c:v>0.50655717687110668</c:v>
                </c:pt>
                <c:pt idx="36">
                  <c:v>0.45441144439101555</c:v>
                </c:pt>
                <c:pt idx="37">
                  <c:v>0.47644396233352965</c:v>
                </c:pt>
                <c:pt idx="38">
                  <c:v>0.53786863415944197</c:v>
                </c:pt>
                <c:pt idx="39">
                  <c:v>0.53262818971499748</c:v>
                </c:pt>
                <c:pt idx="40">
                  <c:v>0.55666074527055298</c:v>
                </c:pt>
                <c:pt idx="41">
                  <c:v>0.52228876621028208</c:v>
                </c:pt>
                <c:pt idx="42">
                  <c:v>0.55036743287694878</c:v>
                </c:pt>
                <c:pt idx="43">
                  <c:v>0.59991458819531884</c:v>
                </c:pt>
                <c:pt idx="44">
                  <c:v>0.64174142645021393</c:v>
                </c:pt>
                <c:pt idx="45">
                  <c:v>0.63266891967019523</c:v>
                </c:pt>
                <c:pt idx="46">
                  <c:v>0.67192184974484592</c:v>
                </c:pt>
                <c:pt idx="47">
                  <c:v>0.77275162298881883</c:v>
                </c:pt>
                <c:pt idx="48">
                  <c:v>0.80656421283316482</c:v>
                </c:pt>
                <c:pt idx="49">
                  <c:v>0.7016545776544526</c:v>
                </c:pt>
                <c:pt idx="50">
                  <c:v>0.7165776827120387</c:v>
                </c:pt>
                <c:pt idx="51">
                  <c:v>0.84905168271203868</c:v>
                </c:pt>
                <c:pt idx="52">
                  <c:v>0.91617314881973055</c:v>
                </c:pt>
                <c:pt idx="53">
                  <c:v>0.92245725993084171</c:v>
                </c:pt>
                <c:pt idx="54">
                  <c:v>0.97386825432531665</c:v>
                </c:pt>
                <c:pt idx="55">
                  <c:v>0.91928392099198331</c:v>
                </c:pt>
                <c:pt idx="56">
                  <c:v>0.93275720303993992</c:v>
                </c:pt>
                <c:pt idx="57">
                  <c:v>0.91898158855597811</c:v>
                </c:pt>
                <c:pt idx="58">
                  <c:v>0.96042539631923995</c:v>
                </c:pt>
                <c:pt idx="59">
                  <c:v>0.93992158003603232</c:v>
                </c:pt>
                <c:pt idx="60">
                  <c:v>0.94289357033122934</c:v>
                </c:pt>
                <c:pt idx="61">
                  <c:v>0.93447901477567374</c:v>
                </c:pt>
                <c:pt idx="62">
                  <c:v>0.86467412588678483</c:v>
                </c:pt>
                <c:pt idx="63">
                  <c:v>0.80336937597690006</c:v>
                </c:pt>
                <c:pt idx="64">
                  <c:v>0.81933070931023344</c:v>
                </c:pt>
                <c:pt idx="65">
                  <c:v>0.84017389285781396</c:v>
                </c:pt>
                <c:pt idx="66">
                  <c:v>0.85665190911274258</c:v>
                </c:pt>
                <c:pt idx="67">
                  <c:v>0.98723487733776416</c:v>
                </c:pt>
                <c:pt idx="68">
                  <c:v>0.97404330419029994</c:v>
                </c:pt>
                <c:pt idx="69">
                  <c:v>0.93597797085696655</c:v>
                </c:pt>
                <c:pt idx="70">
                  <c:v>0.83444074863474438</c:v>
                </c:pt>
                <c:pt idx="71">
                  <c:v>0.92895119307918883</c:v>
                </c:pt>
                <c:pt idx="72">
                  <c:v>1.1528961930791888</c:v>
                </c:pt>
                <c:pt idx="73">
                  <c:v>1.2194557121972718</c:v>
                </c:pt>
                <c:pt idx="74">
                  <c:v>1.2700194450445148</c:v>
                </c:pt>
                <c:pt idx="75">
                  <c:v>1.3626490006000704</c:v>
                </c:pt>
                <c:pt idx="76">
                  <c:v>1.3329346108445073</c:v>
                </c:pt>
                <c:pt idx="77">
                  <c:v>1.3343626558337245</c:v>
                </c:pt>
                <c:pt idx="78">
                  <c:v>1.3787489891670579</c:v>
                </c:pt>
                <c:pt idx="79">
                  <c:v>1.4664989891670579</c:v>
                </c:pt>
                <c:pt idx="80">
                  <c:v>1.5601127669448356</c:v>
                </c:pt>
                <c:pt idx="81">
                  <c:v>1.5454167669448355</c:v>
                </c:pt>
                <c:pt idx="82">
                  <c:v>1.6916134336115023</c:v>
                </c:pt>
                <c:pt idx="83">
                  <c:v>1.6730919891670579</c:v>
                </c:pt>
                <c:pt idx="84">
                  <c:v>1.6147486558337245</c:v>
                </c:pt>
                <c:pt idx="85">
                  <c:v>1.6602722066213911</c:v>
                </c:pt>
                <c:pt idx="86">
                  <c:v>1.7367451903390814</c:v>
                </c:pt>
                <c:pt idx="87">
                  <c:v>1.7526238726737906</c:v>
                </c:pt>
                <c:pt idx="88">
                  <c:v>1.6395695393404572</c:v>
                </c:pt>
                <c:pt idx="89">
                  <c:v>1.6726270544814072</c:v>
                </c:pt>
                <c:pt idx="90">
                  <c:v>1.5379868456875019</c:v>
                </c:pt>
                <c:pt idx="91">
                  <c:v>1.6746185351695932</c:v>
                </c:pt>
                <c:pt idx="92">
                  <c:v>1.7160541408290038</c:v>
                </c:pt>
                <c:pt idx="93">
                  <c:v>1.7412835852734483</c:v>
                </c:pt>
                <c:pt idx="94">
                  <c:v>1.6747244253993745</c:v>
                </c:pt>
                <c:pt idx="95">
                  <c:v>1.7002818033602092</c:v>
                </c:pt>
                <c:pt idx="96">
                  <c:v>1.7637164577191839</c:v>
                </c:pt>
                <c:pt idx="97">
                  <c:v>1.9359679803576704</c:v>
                </c:pt>
                <c:pt idx="98">
                  <c:v>1.9833096395319503</c:v>
                </c:pt>
                <c:pt idx="99">
                  <c:v>1.9710693547777003</c:v>
                </c:pt>
                <c:pt idx="100">
                  <c:v>2.0201864038943258</c:v>
                </c:pt>
                <c:pt idx="101">
                  <c:v>1.9175531447161933</c:v>
                </c:pt>
                <c:pt idx="102">
                  <c:v>1.9473579386834288</c:v>
                </c:pt>
                <c:pt idx="103">
                  <c:v>2.1790232845850728</c:v>
                </c:pt>
                <c:pt idx="104">
                  <c:v>2.095759232962088</c:v>
                </c:pt>
                <c:pt idx="105">
                  <c:v>2.0640155224748078</c:v>
                </c:pt>
                <c:pt idx="106">
                  <c:v>2.0076901891414747</c:v>
                </c:pt>
                <c:pt idx="107">
                  <c:v>1.6821093002525858</c:v>
                </c:pt>
                <c:pt idx="108">
                  <c:v>1.8084812201030585</c:v>
                </c:pt>
                <c:pt idx="109">
                  <c:v>1.8045023881385032</c:v>
                </c:pt>
                <c:pt idx="110">
                  <c:v>1.7591028902372419</c:v>
                </c:pt>
                <c:pt idx="111">
                  <c:v>1.7073497791261307</c:v>
                </c:pt>
                <c:pt idx="112">
                  <c:v>1.8036041124594639</c:v>
                </c:pt>
                <c:pt idx="113">
                  <c:v>1.802237223570575</c:v>
                </c:pt>
                <c:pt idx="114">
                  <c:v>1.7641018902372416</c:v>
                </c:pt>
                <c:pt idx="115">
                  <c:v>1.64821515849225</c:v>
                </c:pt>
                <c:pt idx="116">
                  <c:v>1.5949932509361062</c:v>
                </c:pt>
                <c:pt idx="117">
                  <c:v>1.7553272454119186</c:v>
                </c:pt>
                <c:pt idx="118">
                  <c:v>1.8228872454119187</c:v>
                </c:pt>
                <c:pt idx="119">
                  <c:v>1.8780784970614339</c:v>
                </c:pt>
                <c:pt idx="120">
                  <c:v>1.8995183859503229</c:v>
                </c:pt>
                <c:pt idx="121">
                  <c:v>1.9315777192836561</c:v>
                </c:pt>
                <c:pt idx="122">
                  <c:v>2.0543507192836561</c:v>
                </c:pt>
                <c:pt idx="123">
                  <c:v>1.9173969872658625</c:v>
                </c:pt>
                <c:pt idx="124">
                  <c:v>1.9887000983769736</c:v>
                </c:pt>
                <c:pt idx="125">
                  <c:v>2.1139848047009511</c:v>
                </c:pt>
                <c:pt idx="126">
                  <c:v>1.9976304697906078</c:v>
                </c:pt>
                <c:pt idx="127">
                  <c:v>2.0289075496152842</c:v>
                </c:pt>
                <c:pt idx="128">
                  <c:v>1.9822461780595573</c:v>
                </c:pt>
                <c:pt idx="129">
                  <c:v>1.9036355393164237</c:v>
                </c:pt>
                <c:pt idx="130">
                  <c:v>1.9721370198842627</c:v>
                </c:pt>
                <c:pt idx="131">
                  <c:v>2.0875537673831839</c:v>
                </c:pt>
                <c:pt idx="132">
                  <c:v>2.0919498784942951</c:v>
                </c:pt>
                <c:pt idx="133">
                  <c:v>2.0494754770003878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39-B94D-9A77-C90B6816E926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0.20609237499999999</c:v>
                </c:pt>
                <c:pt idx="1">
                  <c:v>0.1887580002669122</c:v>
                </c:pt>
                <c:pt idx="2">
                  <c:v>0.26834600026691224</c:v>
                </c:pt>
                <c:pt idx="3">
                  <c:v>0.34909816441923136</c:v>
                </c:pt>
                <c:pt idx="4">
                  <c:v>0.24371108975550065</c:v>
                </c:pt>
                <c:pt idx="5">
                  <c:v>0.34870583975550062</c:v>
                </c:pt>
                <c:pt idx="6">
                  <c:v>0.23498081195331311</c:v>
                </c:pt>
                <c:pt idx="7">
                  <c:v>0.11968243695331311</c:v>
                </c:pt>
                <c:pt idx="8">
                  <c:v>0.221242516675623</c:v>
                </c:pt>
                <c:pt idx="9">
                  <c:v>0.26347730782096512</c:v>
                </c:pt>
                <c:pt idx="10">
                  <c:v>0.19854527283747894</c:v>
                </c:pt>
                <c:pt idx="11">
                  <c:v>8.926744600767314E-2</c:v>
                </c:pt>
                <c:pt idx="12">
                  <c:v>7.7960769943540911E-2</c:v>
                </c:pt>
                <c:pt idx="13">
                  <c:v>9.1343716686909229E-2</c:v>
                </c:pt>
                <c:pt idx="14">
                  <c:v>-8.9231116166587771E-3</c:v>
                </c:pt>
                <c:pt idx="15">
                  <c:v>-0.14534955681690498</c:v>
                </c:pt>
                <c:pt idx="16">
                  <c:v>0.16530387583839323</c:v>
                </c:pt>
                <c:pt idx="17">
                  <c:v>0.18864646134933399</c:v>
                </c:pt>
                <c:pt idx="18">
                  <c:v>0.24093483634933399</c:v>
                </c:pt>
                <c:pt idx="19">
                  <c:v>0.14367518049673095</c:v>
                </c:pt>
                <c:pt idx="20">
                  <c:v>0.26327916450903843</c:v>
                </c:pt>
                <c:pt idx="21">
                  <c:v>0.38012536244984202</c:v>
                </c:pt>
                <c:pt idx="22">
                  <c:v>0.30650223095943441</c:v>
                </c:pt>
                <c:pt idx="23">
                  <c:v>0.25817655738777817</c:v>
                </c:pt>
                <c:pt idx="24">
                  <c:v>0.29338634696997729</c:v>
                </c:pt>
                <c:pt idx="25">
                  <c:v>0.33792465023941692</c:v>
                </c:pt>
                <c:pt idx="26">
                  <c:v>0.35801090497743843</c:v>
                </c:pt>
                <c:pt idx="27">
                  <c:v>0.33609806080379784</c:v>
                </c:pt>
                <c:pt idx="28">
                  <c:v>0.27665481080379783</c:v>
                </c:pt>
                <c:pt idx="29">
                  <c:v>0.33808412092573797</c:v>
                </c:pt>
                <c:pt idx="30">
                  <c:v>0.40072426249687665</c:v>
                </c:pt>
                <c:pt idx="31">
                  <c:v>0.25369937324107206</c:v>
                </c:pt>
                <c:pt idx="32">
                  <c:v>0.19666139758558551</c:v>
                </c:pt>
                <c:pt idx="33">
                  <c:v>0.23926402810454239</c:v>
                </c:pt>
                <c:pt idx="34">
                  <c:v>0.20988813849496715</c:v>
                </c:pt>
                <c:pt idx="35">
                  <c:v>0.26061254424352365</c:v>
                </c:pt>
                <c:pt idx="36">
                  <c:v>0.16726083421699339</c:v>
                </c:pt>
                <c:pt idx="37">
                  <c:v>0.16080469884370502</c:v>
                </c:pt>
                <c:pt idx="38">
                  <c:v>0.17343703343942921</c:v>
                </c:pt>
                <c:pt idx="39">
                  <c:v>0.16967778343942921</c:v>
                </c:pt>
                <c:pt idx="40">
                  <c:v>0.1789081584394292</c:v>
                </c:pt>
                <c:pt idx="41">
                  <c:v>0.13310553288212637</c:v>
                </c:pt>
                <c:pt idx="42">
                  <c:v>0.16262153288212636</c:v>
                </c:pt>
                <c:pt idx="43">
                  <c:v>0.21488933933184856</c:v>
                </c:pt>
                <c:pt idx="44">
                  <c:v>0.26944484661853635</c:v>
                </c:pt>
                <c:pt idx="45">
                  <c:v>0.24823894383626799</c:v>
                </c:pt>
                <c:pt idx="46">
                  <c:v>0.25666083187810479</c:v>
                </c:pt>
                <c:pt idx="47">
                  <c:v>0.35290139038690377</c:v>
                </c:pt>
                <c:pt idx="48">
                  <c:v>0.38032508707750468</c:v>
                </c:pt>
                <c:pt idx="49">
                  <c:v>0.25516748481731355</c:v>
                </c:pt>
                <c:pt idx="50">
                  <c:v>0.2649926639244265</c:v>
                </c:pt>
                <c:pt idx="51">
                  <c:v>0.41826341392442651</c:v>
                </c:pt>
                <c:pt idx="52">
                  <c:v>0.50212660910224016</c:v>
                </c:pt>
                <c:pt idx="53">
                  <c:v>0.52154073410224011</c:v>
                </c:pt>
                <c:pt idx="54">
                  <c:v>0.59889097634030053</c:v>
                </c:pt>
                <c:pt idx="55">
                  <c:v>0.52147397634030046</c:v>
                </c:pt>
                <c:pt idx="56">
                  <c:v>0.48607974025226319</c:v>
                </c:pt>
                <c:pt idx="57">
                  <c:v>0.49959920110401623</c:v>
                </c:pt>
                <c:pt idx="58">
                  <c:v>0.5867111465439635</c:v>
                </c:pt>
                <c:pt idx="59">
                  <c:v>0.57685308227072707</c:v>
                </c:pt>
                <c:pt idx="60">
                  <c:v>0.56303013020062154</c:v>
                </c:pt>
                <c:pt idx="61">
                  <c:v>0.57060338020062151</c:v>
                </c:pt>
                <c:pt idx="62">
                  <c:v>0.49263663020062154</c:v>
                </c:pt>
                <c:pt idx="63">
                  <c:v>0.43916644925346943</c:v>
                </c:pt>
                <c:pt idx="64">
                  <c:v>0.4705179492534694</c:v>
                </c:pt>
                <c:pt idx="65">
                  <c:v>0.50651392890795033</c:v>
                </c:pt>
                <c:pt idx="66">
                  <c:v>0.51789043935440193</c:v>
                </c:pt>
                <c:pt idx="67">
                  <c:v>0.63291279238015374</c:v>
                </c:pt>
                <c:pt idx="68">
                  <c:v>0.62880932326954719</c:v>
                </c:pt>
                <c:pt idx="69">
                  <c:v>0.59516207326954718</c:v>
                </c:pt>
                <c:pt idx="70">
                  <c:v>0.49063769826954717</c:v>
                </c:pt>
                <c:pt idx="71">
                  <c:v>0.59728157326954712</c:v>
                </c:pt>
                <c:pt idx="72">
                  <c:v>0.82451594826954711</c:v>
                </c:pt>
                <c:pt idx="73">
                  <c:v>0.90715693780719553</c:v>
                </c:pt>
                <c:pt idx="74">
                  <c:v>0.99140240543588987</c:v>
                </c:pt>
                <c:pt idx="75">
                  <c:v>1.0983544054358898</c:v>
                </c:pt>
                <c:pt idx="76">
                  <c:v>1.0704195730774002</c:v>
                </c:pt>
                <c:pt idx="77">
                  <c:v>1.0808972805693928</c:v>
                </c:pt>
                <c:pt idx="78">
                  <c:v>1.1226557805693929</c:v>
                </c:pt>
                <c:pt idx="79">
                  <c:v>1.1867604055693928</c:v>
                </c:pt>
                <c:pt idx="80">
                  <c:v>1.2824680305693927</c:v>
                </c:pt>
                <c:pt idx="81">
                  <c:v>1.1873442805693928</c:v>
                </c:pt>
                <c:pt idx="82">
                  <c:v>1.364379655569393</c:v>
                </c:pt>
                <c:pt idx="83">
                  <c:v>1.3416250305693931</c:v>
                </c:pt>
                <c:pt idx="84">
                  <c:v>1.259173780569393</c:v>
                </c:pt>
                <c:pt idx="85">
                  <c:v>1.309916102053835</c:v>
                </c:pt>
                <c:pt idx="86">
                  <c:v>1.401654674711748</c:v>
                </c:pt>
                <c:pt idx="87">
                  <c:v>1.3922283299427167</c:v>
                </c:pt>
                <c:pt idx="88">
                  <c:v>1.2967357049427166</c:v>
                </c:pt>
                <c:pt idx="89">
                  <c:v>1.3234537660937036</c:v>
                </c:pt>
                <c:pt idx="90">
                  <c:v>1.1860408907641784</c:v>
                </c:pt>
                <c:pt idx="91">
                  <c:v>1.3342001599615221</c:v>
                </c:pt>
                <c:pt idx="92">
                  <c:v>1.3752880931449254</c:v>
                </c:pt>
                <c:pt idx="93">
                  <c:v>1.3982949681449255</c:v>
                </c:pt>
                <c:pt idx="94">
                  <c:v>1.3014533368453558</c:v>
                </c:pt>
                <c:pt idx="95">
                  <c:v>1.3187926172504465</c:v>
                </c:pt>
                <c:pt idx="96">
                  <c:v>1.3932009248337005</c:v>
                </c:pt>
                <c:pt idx="97">
                  <c:v>1.544672309695055</c:v>
                </c:pt>
                <c:pt idx="98">
                  <c:v>1.6080655284995429</c:v>
                </c:pt>
                <c:pt idx="99">
                  <c:v>1.5972931339755951</c:v>
                </c:pt>
                <c:pt idx="100">
                  <c:v>1.6466764326916852</c:v>
                </c:pt>
                <c:pt idx="101">
                  <c:v>1.5224275948440646</c:v>
                </c:pt>
                <c:pt idx="102">
                  <c:v>1.5663234539891988</c:v>
                </c:pt>
                <c:pt idx="103">
                  <c:v>1.7906404252842814</c:v>
                </c:pt>
                <c:pt idx="104">
                  <c:v>1.6917910327344718</c:v>
                </c:pt>
                <c:pt idx="105">
                  <c:v>1.662635611851591</c:v>
                </c:pt>
                <c:pt idx="106">
                  <c:v>1.610970236851591</c:v>
                </c:pt>
                <c:pt idx="107">
                  <c:v>1.258742861851591</c:v>
                </c:pt>
                <c:pt idx="108">
                  <c:v>1.3819553279822303</c:v>
                </c:pt>
                <c:pt idx="109">
                  <c:v>1.3693014333197175</c:v>
                </c:pt>
                <c:pt idx="110">
                  <c:v>1.3342568972537725</c:v>
                </c:pt>
                <c:pt idx="111">
                  <c:v>1.2771105222537724</c:v>
                </c:pt>
                <c:pt idx="112">
                  <c:v>1.3798903972537724</c:v>
                </c:pt>
                <c:pt idx="113">
                  <c:v>1.3856801472537723</c:v>
                </c:pt>
                <c:pt idx="114">
                  <c:v>1.3431166472537723</c:v>
                </c:pt>
                <c:pt idx="115">
                  <c:v>1.236636684646486</c:v>
                </c:pt>
                <c:pt idx="116">
                  <c:v>1.1831853143065827</c:v>
                </c:pt>
                <c:pt idx="117">
                  <c:v>1.3252194725572175</c:v>
                </c:pt>
                <c:pt idx="118">
                  <c:v>1.3904634725572176</c:v>
                </c:pt>
                <c:pt idx="119">
                  <c:v>1.4463482874335458</c:v>
                </c:pt>
                <c:pt idx="120">
                  <c:v>1.4837019124335458</c:v>
                </c:pt>
                <c:pt idx="121">
                  <c:v>1.5004449124335457</c:v>
                </c:pt>
                <c:pt idx="122">
                  <c:v>1.6299389124335457</c:v>
                </c:pt>
                <c:pt idx="123">
                  <c:v>1.5121735143225914</c:v>
                </c:pt>
                <c:pt idx="124">
                  <c:v>1.5887732643225914</c:v>
                </c:pt>
                <c:pt idx="125">
                  <c:v>1.7183122469190653</c:v>
                </c:pt>
                <c:pt idx="126">
                  <c:v>1.6061737921129913</c:v>
                </c:pt>
                <c:pt idx="127">
                  <c:v>1.6380019647127775</c:v>
                </c:pt>
                <c:pt idx="128">
                  <c:v>1.6261840408470649</c:v>
                </c:pt>
                <c:pt idx="129">
                  <c:v>1.5390836916523256</c:v>
                </c:pt>
                <c:pt idx="130">
                  <c:v>1.6605957089203487</c:v>
                </c:pt>
                <c:pt idx="131">
                  <c:v>1.7889201528492613</c:v>
                </c:pt>
                <c:pt idx="132">
                  <c:v>1.7887257778492613</c:v>
                </c:pt>
                <c:pt idx="133">
                  <c:v>1.7410160108394095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39-B94D-9A77-C90B6816E926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0.1897511428571429</c:v>
                </c:pt>
                <c:pt idx="1">
                  <c:v>0.18156367577575017</c:v>
                </c:pt>
                <c:pt idx="2">
                  <c:v>0.23500153291860731</c:v>
                </c:pt>
                <c:pt idx="3">
                  <c:v>0.35438449302079711</c:v>
                </c:pt>
                <c:pt idx="4">
                  <c:v>0.24606811973571713</c:v>
                </c:pt>
                <c:pt idx="5">
                  <c:v>0.37460811973571712</c:v>
                </c:pt>
                <c:pt idx="6">
                  <c:v>0.23910793951247603</c:v>
                </c:pt>
                <c:pt idx="7">
                  <c:v>0.11394708236961881</c:v>
                </c:pt>
                <c:pt idx="8">
                  <c:v>0.2495949711472511</c:v>
                </c:pt>
                <c:pt idx="9">
                  <c:v>0.30035317825397012</c:v>
                </c:pt>
                <c:pt idx="10">
                  <c:v>0.22065060113999369</c:v>
                </c:pt>
                <c:pt idx="11">
                  <c:v>7.9443112643697578E-2</c:v>
                </c:pt>
                <c:pt idx="12">
                  <c:v>0.11118105374119577</c:v>
                </c:pt>
                <c:pt idx="13">
                  <c:v>0.11950913959510473</c:v>
                </c:pt>
                <c:pt idx="14">
                  <c:v>2.6449549682198523E-2</c:v>
                </c:pt>
                <c:pt idx="15">
                  <c:v>-0.1277396390518229</c:v>
                </c:pt>
                <c:pt idx="16">
                  <c:v>0.25599298988007141</c:v>
                </c:pt>
                <c:pt idx="17">
                  <c:v>0.3083026874308023</c:v>
                </c:pt>
                <c:pt idx="18">
                  <c:v>0.33643625885937373</c:v>
                </c:pt>
                <c:pt idx="19">
                  <c:v>0.21504479743344801</c:v>
                </c:pt>
                <c:pt idx="20">
                  <c:v>0.35296203534915421</c:v>
                </c:pt>
                <c:pt idx="21">
                  <c:v>0.49641355298399481</c:v>
                </c:pt>
                <c:pt idx="22">
                  <c:v>0.3925343090751835</c:v>
                </c:pt>
                <c:pt idx="23">
                  <c:v>0.34106458332434397</c:v>
                </c:pt>
                <c:pt idx="24">
                  <c:v>0.38276982850706803</c:v>
                </c:pt>
                <c:pt idx="25">
                  <c:v>0.44541463376972895</c:v>
                </c:pt>
                <c:pt idx="26">
                  <c:v>0.44404921329289671</c:v>
                </c:pt>
                <c:pt idx="27">
                  <c:v>0.41745362291381649</c:v>
                </c:pt>
                <c:pt idx="28">
                  <c:v>0.34025262291381653</c:v>
                </c:pt>
                <c:pt idx="29">
                  <c:v>0.37212604107444214</c:v>
                </c:pt>
                <c:pt idx="30">
                  <c:v>0.45384602096719573</c:v>
                </c:pt>
                <c:pt idx="31">
                  <c:v>0.29077751614234615</c:v>
                </c:pt>
                <c:pt idx="32">
                  <c:v>0.20935376609117645</c:v>
                </c:pt>
                <c:pt idx="33">
                  <c:v>0.25674752225762559</c:v>
                </c:pt>
                <c:pt idx="34">
                  <c:v>0.23391463689562916</c:v>
                </c:pt>
                <c:pt idx="35">
                  <c:v>0.28144240052788688</c:v>
                </c:pt>
                <c:pt idx="36">
                  <c:v>0.18538937139106887</c:v>
                </c:pt>
                <c:pt idx="37">
                  <c:v>0.18818378915100675</c:v>
                </c:pt>
                <c:pt idx="38">
                  <c:v>0.19361132411869955</c:v>
                </c:pt>
                <c:pt idx="39">
                  <c:v>0.19159560983298526</c:v>
                </c:pt>
                <c:pt idx="40">
                  <c:v>0.1748074669758424</c:v>
                </c:pt>
                <c:pt idx="41">
                  <c:v>0.13580499291307813</c:v>
                </c:pt>
                <c:pt idx="42">
                  <c:v>0.18117827862736383</c:v>
                </c:pt>
                <c:pt idx="43">
                  <c:v>0.22450392844794251</c:v>
                </c:pt>
                <c:pt idx="44">
                  <c:v>0.28907957252753402</c:v>
                </c:pt>
                <c:pt idx="45">
                  <c:v>0.26031081664581684</c:v>
                </c:pt>
                <c:pt idx="46">
                  <c:v>0.2848488508869243</c:v>
                </c:pt>
                <c:pt idx="47">
                  <c:v>0.3924097191427604</c:v>
                </c:pt>
                <c:pt idx="48">
                  <c:v>0.42719299778390846</c:v>
                </c:pt>
                <c:pt idx="49">
                  <c:v>0.27878391539500935</c:v>
                </c:pt>
                <c:pt idx="50">
                  <c:v>0.27941622631969493</c:v>
                </c:pt>
                <c:pt idx="51">
                  <c:v>0.44667351203398065</c:v>
                </c:pt>
                <c:pt idx="52">
                  <c:v>0.52987508462730126</c:v>
                </c:pt>
                <c:pt idx="53">
                  <c:v>0.55015279891301549</c:v>
                </c:pt>
                <c:pt idx="54">
                  <c:v>0.61851401215117829</c:v>
                </c:pt>
                <c:pt idx="55">
                  <c:v>0.58037201215117828</c:v>
                </c:pt>
                <c:pt idx="56">
                  <c:v>0.56356577092497406</c:v>
                </c:pt>
                <c:pt idx="57">
                  <c:v>0.58406962398877948</c:v>
                </c:pt>
                <c:pt idx="58">
                  <c:v>0.69306963090744522</c:v>
                </c:pt>
                <c:pt idx="59">
                  <c:v>0.69902569495790479</c:v>
                </c:pt>
                <c:pt idx="60">
                  <c:v>0.64102245078770215</c:v>
                </c:pt>
                <c:pt idx="61">
                  <c:v>0.66737473650198786</c:v>
                </c:pt>
                <c:pt idx="62">
                  <c:v>0.59759330793055931</c:v>
                </c:pt>
                <c:pt idx="63">
                  <c:v>0.55540171912575576</c:v>
                </c:pt>
                <c:pt idx="64">
                  <c:v>0.56380986198289862</c:v>
                </c:pt>
                <c:pt idx="65">
                  <c:v>0.61066740231758065</c:v>
                </c:pt>
                <c:pt idx="66">
                  <c:v>0.61258418642742962</c:v>
                </c:pt>
                <c:pt idx="67">
                  <c:v>0.73354600430990546</c:v>
                </c:pt>
                <c:pt idx="68">
                  <c:v>0.72956237921278622</c:v>
                </c:pt>
                <c:pt idx="69">
                  <c:v>0.71626352206992905</c:v>
                </c:pt>
                <c:pt idx="70">
                  <c:v>0.60480137921278621</c:v>
                </c:pt>
                <c:pt idx="71">
                  <c:v>0.72030695064135764</c:v>
                </c:pt>
                <c:pt idx="72">
                  <c:v>0.98134623635564333</c:v>
                </c:pt>
                <c:pt idx="73">
                  <c:v>1.0559270997702415</c:v>
                </c:pt>
                <c:pt idx="74">
                  <c:v>1.1790020755942663</c:v>
                </c:pt>
                <c:pt idx="75">
                  <c:v>1.2888172184514091</c:v>
                </c:pt>
                <c:pt idx="76">
                  <c:v>1.2727406745585483</c:v>
                </c:pt>
                <c:pt idx="77">
                  <c:v>1.2973180311709966</c:v>
                </c:pt>
                <c:pt idx="78">
                  <c:v>1.4019777454567111</c:v>
                </c:pt>
                <c:pt idx="79">
                  <c:v>1.4524227454567111</c:v>
                </c:pt>
                <c:pt idx="80">
                  <c:v>1.5296826025995682</c:v>
                </c:pt>
                <c:pt idx="81">
                  <c:v>1.4278236025995683</c:v>
                </c:pt>
                <c:pt idx="82">
                  <c:v>1.6544657454567111</c:v>
                </c:pt>
                <c:pt idx="83">
                  <c:v>1.6290251740281396</c:v>
                </c:pt>
                <c:pt idx="84">
                  <c:v>1.5113016025995683</c:v>
                </c:pt>
                <c:pt idx="85">
                  <c:v>1.5736152804244778</c:v>
                </c:pt>
                <c:pt idx="86">
                  <c:v>1.6642830647167615</c:v>
                </c:pt>
                <c:pt idx="87">
                  <c:v>1.6332935196585683</c:v>
                </c:pt>
                <c:pt idx="88">
                  <c:v>1.530524805372854</c:v>
                </c:pt>
                <c:pt idx="89">
                  <c:v>1.5656110593510306</c:v>
                </c:pt>
                <c:pt idx="90">
                  <c:v>1.4150135497287832</c:v>
                </c:pt>
                <c:pt idx="91">
                  <c:v>1.577852658676794</c:v>
                </c:pt>
                <c:pt idx="92">
                  <c:v>1.6258291950850616</c:v>
                </c:pt>
                <c:pt idx="93">
                  <c:v>1.659573909370776</c:v>
                </c:pt>
                <c:pt idx="94">
                  <c:v>1.5815466626388046</c:v>
                </c:pt>
                <c:pt idx="95">
                  <c:v>1.5652741684387959</c:v>
                </c:pt>
                <c:pt idx="96">
                  <c:v>1.6369228596439058</c:v>
                </c:pt>
                <c:pt idx="97">
                  <c:v>1.7639451277769127</c:v>
                </c:pt>
                <c:pt idx="98">
                  <c:v>1.8305037022752289</c:v>
                </c:pt>
                <c:pt idx="99">
                  <c:v>1.7689435164414509</c:v>
                </c:pt>
                <c:pt idx="100">
                  <c:v>1.8203009302162332</c:v>
                </c:pt>
                <c:pt idx="101">
                  <c:v>1.6874580669144619</c:v>
                </c:pt>
                <c:pt idx="102">
                  <c:v>1.7348390064331554</c:v>
                </c:pt>
                <c:pt idx="103">
                  <c:v>1.9572211189565378</c:v>
                </c:pt>
                <c:pt idx="104">
                  <c:v>1.8744014117453753</c:v>
                </c:pt>
                <c:pt idx="105">
                  <c:v>1.8333872244260414</c:v>
                </c:pt>
                <c:pt idx="106">
                  <c:v>1.7940805101403272</c:v>
                </c:pt>
                <c:pt idx="107">
                  <c:v>1.4273869387117557</c:v>
                </c:pt>
                <c:pt idx="108">
                  <c:v>1.545604031985351</c:v>
                </c:pt>
                <c:pt idx="109">
                  <c:v>1.5325539993684225</c:v>
                </c:pt>
                <c:pt idx="110">
                  <c:v>1.5139407513380043</c:v>
                </c:pt>
                <c:pt idx="111">
                  <c:v>1.4632857513380044</c:v>
                </c:pt>
                <c:pt idx="112">
                  <c:v>1.5698116084808615</c:v>
                </c:pt>
                <c:pt idx="113">
                  <c:v>1.5932211799094329</c:v>
                </c:pt>
                <c:pt idx="114">
                  <c:v>1.5347644656237187</c:v>
                </c:pt>
                <c:pt idx="115">
                  <c:v>1.409655782354188</c:v>
                </c:pt>
                <c:pt idx="116">
                  <c:v>1.3675508748035574</c:v>
                </c:pt>
                <c:pt idx="117">
                  <c:v>1.501037347080638</c:v>
                </c:pt>
                <c:pt idx="118">
                  <c:v>1.5629920613663522</c:v>
                </c:pt>
                <c:pt idx="119">
                  <c:v>1.6398327161383133</c:v>
                </c:pt>
                <c:pt idx="120">
                  <c:v>1.651109858995456</c:v>
                </c:pt>
                <c:pt idx="121">
                  <c:v>1.6437021447097417</c:v>
                </c:pt>
                <c:pt idx="122">
                  <c:v>1.8024175732811702</c:v>
                </c:pt>
                <c:pt idx="123">
                  <c:v>1.6967769644811084</c:v>
                </c:pt>
                <c:pt idx="124">
                  <c:v>1.7654148216239656</c:v>
                </c:pt>
                <c:pt idx="125">
                  <c:v>1.9190177990864474</c:v>
                </c:pt>
                <c:pt idx="126">
                  <c:v>1.8215897621104977</c:v>
                </c:pt>
                <c:pt idx="127">
                  <c:v>1.8971061214068634</c:v>
                </c:pt>
                <c:pt idx="128">
                  <c:v>1.9034676841508451</c:v>
                </c:pt>
                <c:pt idx="129">
                  <c:v>1.8036213061725246</c:v>
                </c:pt>
                <c:pt idx="130">
                  <c:v>1.9466615367653102</c:v>
                </c:pt>
                <c:pt idx="131">
                  <c:v>2.0571395586310759</c:v>
                </c:pt>
                <c:pt idx="132">
                  <c:v>2.0582498443453616</c:v>
                </c:pt>
                <c:pt idx="133">
                  <c:v>2.0092948272349451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39-B94D-9A77-C90B6816E926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0.19659983333333331</c:v>
                </c:pt>
                <c:pt idx="1">
                  <c:v>0.17642903387913755</c:v>
                </c:pt>
                <c:pt idx="2">
                  <c:v>0.24224153387913755</c:v>
                </c:pt>
                <c:pt idx="3">
                  <c:v>0.41993019568469803</c:v>
                </c:pt>
                <c:pt idx="4">
                  <c:v>0.32386422382752061</c:v>
                </c:pt>
                <c:pt idx="5">
                  <c:v>0.50147439049418729</c:v>
                </c:pt>
                <c:pt idx="6">
                  <c:v>0.36682005760272079</c:v>
                </c:pt>
                <c:pt idx="7">
                  <c:v>0.2105908909360541</c:v>
                </c:pt>
                <c:pt idx="8">
                  <c:v>0.44938030565997078</c:v>
                </c:pt>
                <c:pt idx="9">
                  <c:v>0.46970695530031586</c:v>
                </c:pt>
                <c:pt idx="10">
                  <c:v>0.38349661627419818</c:v>
                </c:pt>
                <c:pt idx="11">
                  <c:v>0.23165303512621807</c:v>
                </c:pt>
                <c:pt idx="12">
                  <c:v>0.263214909615134</c:v>
                </c:pt>
                <c:pt idx="13">
                  <c:v>0.28672807043965404</c:v>
                </c:pt>
                <c:pt idx="14">
                  <c:v>0.20486195770311322</c:v>
                </c:pt>
                <c:pt idx="15">
                  <c:v>5.9278684900903128E-2</c:v>
                </c:pt>
                <c:pt idx="16">
                  <c:v>0.24343880159851114</c:v>
                </c:pt>
                <c:pt idx="17">
                  <c:v>0.29490351884382071</c:v>
                </c:pt>
                <c:pt idx="18">
                  <c:v>0.3390876855104874</c:v>
                </c:pt>
                <c:pt idx="19">
                  <c:v>0.24639936578517424</c:v>
                </c:pt>
                <c:pt idx="20">
                  <c:v>0.39302035650268435</c:v>
                </c:pt>
                <c:pt idx="21">
                  <c:v>0.50965940176677771</c:v>
                </c:pt>
                <c:pt idx="22">
                  <c:v>0.40652916283633944</c:v>
                </c:pt>
                <c:pt idx="23">
                  <c:v>0.34864043745764012</c:v>
                </c:pt>
                <c:pt idx="24">
                  <c:v>0.39021062199579587</c:v>
                </c:pt>
                <c:pt idx="25">
                  <c:v>0.44192937480655314</c:v>
                </c:pt>
                <c:pt idx="26">
                  <c:v>0.42778783209794335</c:v>
                </c:pt>
                <c:pt idx="27">
                  <c:v>0.39269890350999304</c:v>
                </c:pt>
                <c:pt idx="28">
                  <c:v>0.27746773684332643</c:v>
                </c:pt>
                <c:pt idx="29">
                  <c:v>0.31625340365222621</c:v>
                </c:pt>
                <c:pt idx="30">
                  <c:v>0.35774050709653787</c:v>
                </c:pt>
                <c:pt idx="31">
                  <c:v>0.15358421993132829</c:v>
                </c:pt>
                <c:pt idx="32">
                  <c:v>0.10581786717153192</c:v>
                </c:pt>
                <c:pt idx="33">
                  <c:v>0.1573631574987942</c:v>
                </c:pt>
                <c:pt idx="34">
                  <c:v>0.11678163438563122</c:v>
                </c:pt>
                <c:pt idx="35">
                  <c:v>0.18705258005643677</c:v>
                </c:pt>
                <c:pt idx="36">
                  <c:v>0.12592844900259006</c:v>
                </c:pt>
                <c:pt idx="37">
                  <c:v>0.1156889007328769</c:v>
                </c:pt>
                <c:pt idx="38">
                  <c:v>0.1415818037782913</c:v>
                </c:pt>
                <c:pt idx="39">
                  <c:v>0.1318688037782913</c:v>
                </c:pt>
                <c:pt idx="40">
                  <c:v>7.6940970444957957E-2</c:v>
                </c:pt>
                <c:pt idx="41">
                  <c:v>0.11808548534053376</c:v>
                </c:pt>
                <c:pt idx="42">
                  <c:v>0.12177248534053374</c:v>
                </c:pt>
                <c:pt idx="43">
                  <c:v>0.17106746710623505</c:v>
                </c:pt>
                <c:pt idx="44">
                  <c:v>0.24749618281988922</c:v>
                </c:pt>
                <c:pt idx="45">
                  <c:v>0.19746316212291132</c:v>
                </c:pt>
                <c:pt idx="46">
                  <c:v>0.21981933027704781</c:v>
                </c:pt>
                <c:pt idx="47">
                  <c:v>0.30002574458746067</c:v>
                </c:pt>
                <c:pt idx="48">
                  <c:v>0.32955471498084049</c:v>
                </c:pt>
                <c:pt idx="49">
                  <c:v>0.14267509681266619</c:v>
                </c:pt>
                <c:pt idx="50">
                  <c:v>0.10831121285859316</c:v>
                </c:pt>
                <c:pt idx="51">
                  <c:v>0.31011304619192648</c:v>
                </c:pt>
                <c:pt idx="52">
                  <c:v>0.37416853253811222</c:v>
                </c:pt>
                <c:pt idx="53">
                  <c:v>0.37409769920477887</c:v>
                </c:pt>
                <c:pt idx="54">
                  <c:v>0.42522957316844545</c:v>
                </c:pt>
                <c:pt idx="55">
                  <c:v>0.3757939065017788</c:v>
                </c:pt>
                <c:pt idx="56">
                  <c:v>0.35945024816893661</c:v>
                </c:pt>
                <c:pt idx="57">
                  <c:v>0.36146844987036764</c:v>
                </c:pt>
                <c:pt idx="58">
                  <c:v>0.4892670786895863</c:v>
                </c:pt>
                <c:pt idx="59">
                  <c:v>0.51097438022816555</c:v>
                </c:pt>
                <c:pt idx="60">
                  <c:v>0.45922485413617314</c:v>
                </c:pt>
                <c:pt idx="61">
                  <c:v>0.48522068746950647</c:v>
                </c:pt>
                <c:pt idx="62">
                  <c:v>0.39706485413617315</c:v>
                </c:pt>
                <c:pt idx="63">
                  <c:v>0.32487975441367206</c:v>
                </c:pt>
                <c:pt idx="64">
                  <c:v>0.30631925441367208</c:v>
                </c:pt>
                <c:pt idx="65">
                  <c:v>0.36913806194780424</c:v>
                </c:pt>
                <c:pt idx="66">
                  <c:v>0.3790721064021273</c:v>
                </c:pt>
                <c:pt idx="67">
                  <c:v>0.51591134194527277</c:v>
                </c:pt>
                <c:pt idx="68">
                  <c:v>0.4916550032007907</c:v>
                </c:pt>
                <c:pt idx="69">
                  <c:v>0.50484983653412396</c:v>
                </c:pt>
                <c:pt idx="70">
                  <c:v>0.37417900320079067</c:v>
                </c:pt>
                <c:pt idx="71">
                  <c:v>0.47426433653412398</c:v>
                </c:pt>
                <c:pt idx="72">
                  <c:v>0.77024016986745736</c:v>
                </c:pt>
                <c:pt idx="73">
                  <c:v>0.82507045142777424</c:v>
                </c:pt>
                <c:pt idx="74">
                  <c:v>0.93272018798342249</c:v>
                </c:pt>
                <c:pt idx="75">
                  <c:v>1.0774628546500891</c:v>
                </c:pt>
                <c:pt idx="76">
                  <c:v>1.0481340994263146</c:v>
                </c:pt>
                <c:pt idx="77">
                  <c:v>1.0961752679345595</c:v>
                </c:pt>
                <c:pt idx="78">
                  <c:v>1.1186809346012263</c:v>
                </c:pt>
                <c:pt idx="79">
                  <c:v>1.206345101267893</c:v>
                </c:pt>
                <c:pt idx="80">
                  <c:v>1.2948192679345596</c:v>
                </c:pt>
                <c:pt idx="81">
                  <c:v>1.183120601267893</c:v>
                </c:pt>
                <c:pt idx="82">
                  <c:v>1.4470146012678931</c:v>
                </c:pt>
                <c:pt idx="83">
                  <c:v>1.4394547679345597</c:v>
                </c:pt>
                <c:pt idx="84">
                  <c:v>1.274254101267893</c:v>
                </c:pt>
                <c:pt idx="85">
                  <c:v>1.3361946012339292</c:v>
                </c:pt>
                <c:pt idx="86">
                  <c:v>1.4401623190510273</c:v>
                </c:pt>
                <c:pt idx="87">
                  <c:v>1.3969220390762374</c:v>
                </c:pt>
                <c:pt idx="88">
                  <c:v>1.2866868724095706</c:v>
                </c:pt>
                <c:pt idx="89">
                  <c:v>1.3636195270768741</c:v>
                </c:pt>
                <c:pt idx="90">
                  <c:v>1.1974729693015935</c:v>
                </c:pt>
                <c:pt idx="91">
                  <c:v>1.3565055682839262</c:v>
                </c:pt>
                <c:pt idx="92">
                  <c:v>1.3537756601293642</c:v>
                </c:pt>
                <c:pt idx="93">
                  <c:v>1.3780761601293643</c:v>
                </c:pt>
                <c:pt idx="94">
                  <c:v>1.3173753092308262</c:v>
                </c:pt>
                <c:pt idx="95">
                  <c:v>1.2894346720458294</c:v>
                </c:pt>
                <c:pt idx="96">
                  <c:v>1.3728710691597223</c:v>
                </c:pt>
                <c:pt idx="97">
                  <c:v>1.4674240771311013</c:v>
                </c:pt>
                <c:pt idx="98">
                  <c:v>1.5279399557041387</c:v>
                </c:pt>
                <c:pt idx="99">
                  <c:v>1.4703052293359538</c:v>
                </c:pt>
                <c:pt idx="100">
                  <c:v>1.5412270989003234</c:v>
                </c:pt>
                <c:pt idx="101">
                  <c:v>1.4283752702588595</c:v>
                </c:pt>
                <c:pt idx="102">
                  <c:v>1.4865991469620963</c:v>
                </c:pt>
                <c:pt idx="103">
                  <c:v>1.7727376008634026</c:v>
                </c:pt>
                <c:pt idx="104">
                  <c:v>1.7071500161255058</c:v>
                </c:pt>
                <c:pt idx="105">
                  <c:v>1.7009488908706769</c:v>
                </c:pt>
                <c:pt idx="106">
                  <c:v>1.694943390870677</c:v>
                </c:pt>
                <c:pt idx="107">
                  <c:v>1.4894405575373437</c:v>
                </c:pt>
                <c:pt idx="108">
                  <c:v>1.6159313553748651</c:v>
                </c:pt>
                <c:pt idx="109">
                  <c:v>1.5727107498916137</c:v>
                </c:pt>
                <c:pt idx="110">
                  <c:v>1.5140637168803452</c:v>
                </c:pt>
                <c:pt idx="111">
                  <c:v>1.4335633835470118</c:v>
                </c:pt>
                <c:pt idx="112">
                  <c:v>1.5550040502136786</c:v>
                </c:pt>
                <c:pt idx="113">
                  <c:v>1.5783168835470118</c:v>
                </c:pt>
                <c:pt idx="114">
                  <c:v>1.5210170502136786</c:v>
                </c:pt>
                <c:pt idx="115">
                  <c:v>1.3470887484851304</c:v>
                </c:pt>
                <c:pt idx="116">
                  <c:v>1.2919621850851866</c:v>
                </c:pt>
                <c:pt idx="117">
                  <c:v>1.4622303157651486</c:v>
                </c:pt>
                <c:pt idx="118">
                  <c:v>1.5128528157651486</c:v>
                </c:pt>
                <c:pt idx="119">
                  <c:v>1.5888151690901968</c:v>
                </c:pt>
                <c:pt idx="120">
                  <c:v>1.5831368357568636</c:v>
                </c:pt>
                <c:pt idx="121">
                  <c:v>1.5800603357568637</c:v>
                </c:pt>
                <c:pt idx="122">
                  <c:v>1.7306428357568637</c:v>
                </c:pt>
                <c:pt idx="123">
                  <c:v>1.6191181293162593</c:v>
                </c:pt>
                <c:pt idx="124">
                  <c:v>1.7204151293162593</c:v>
                </c:pt>
                <c:pt idx="125">
                  <c:v>1.858780263554437</c:v>
                </c:pt>
                <c:pt idx="126">
                  <c:v>1.788670685866514</c:v>
                </c:pt>
                <c:pt idx="127">
                  <c:v>1.900591514730507</c:v>
                </c:pt>
                <c:pt idx="128">
                  <c:v>1.9286708682061744</c:v>
                </c:pt>
                <c:pt idx="129">
                  <c:v>1.9068980981933958</c:v>
                </c:pt>
                <c:pt idx="130">
                  <c:v>2.0506723010184049</c:v>
                </c:pt>
                <c:pt idx="131">
                  <c:v>2.2016076180085618</c:v>
                </c:pt>
                <c:pt idx="132">
                  <c:v>2.1943012846752286</c:v>
                </c:pt>
                <c:pt idx="133">
                  <c:v>2.1773233298004593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39-B94D-9A77-C90B6816E926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0.25923791826374554</c:v>
                </c:pt>
                <c:pt idx="3">
                  <c:v>0.46476918259691974</c:v>
                </c:pt>
                <c:pt idx="4">
                  <c:v>0.34758604130798065</c:v>
                </c:pt>
                <c:pt idx="5">
                  <c:v>0.49151824130798066</c:v>
                </c:pt>
                <c:pt idx="6">
                  <c:v>0.33336867870687897</c:v>
                </c:pt>
                <c:pt idx="7">
                  <c:v>0.20016247870687898</c:v>
                </c:pt>
                <c:pt idx="8">
                  <c:v>0.41488698246796074</c:v>
                </c:pt>
                <c:pt idx="9">
                  <c:v>0.42388675380914909</c:v>
                </c:pt>
                <c:pt idx="10">
                  <c:v>0.32375333944506307</c:v>
                </c:pt>
                <c:pt idx="11">
                  <c:v>0.15560975125551918</c:v>
                </c:pt>
                <c:pt idx="12">
                  <c:v>0.20547463732479332</c:v>
                </c:pt>
                <c:pt idx="13">
                  <c:v>0.24861331621332083</c:v>
                </c:pt>
                <c:pt idx="14">
                  <c:v>0.14156799476259274</c:v>
                </c:pt>
                <c:pt idx="15">
                  <c:v>-4.9374472226921151E-2</c:v>
                </c:pt>
                <c:pt idx="16">
                  <c:v>0.10580814610082145</c:v>
                </c:pt>
                <c:pt idx="17">
                  <c:v>0.19127360183863684</c:v>
                </c:pt>
                <c:pt idx="18">
                  <c:v>0.22350860183863686</c:v>
                </c:pt>
                <c:pt idx="19">
                  <c:v>0.11999099863401935</c:v>
                </c:pt>
                <c:pt idx="20">
                  <c:v>0.29307637481160026</c:v>
                </c:pt>
                <c:pt idx="21">
                  <c:v>0.44177357606873385</c:v>
                </c:pt>
                <c:pt idx="22">
                  <c:v>0.31280853718636004</c:v>
                </c:pt>
                <c:pt idx="23">
                  <c:v>0.23878136892840546</c:v>
                </c:pt>
                <c:pt idx="24">
                  <c:v>0.26037592231570256</c:v>
                </c:pt>
                <c:pt idx="25">
                  <c:v>0.29327446763592879</c:v>
                </c:pt>
                <c:pt idx="26">
                  <c:v>0.24602620490796132</c:v>
                </c:pt>
                <c:pt idx="27">
                  <c:v>0.21157230205613162</c:v>
                </c:pt>
                <c:pt idx="28">
                  <c:v>0.19426210205613162</c:v>
                </c:pt>
                <c:pt idx="29">
                  <c:v>0.23330678044371159</c:v>
                </c:pt>
                <c:pt idx="30">
                  <c:v>0.26547002932538805</c:v>
                </c:pt>
                <c:pt idx="31">
                  <c:v>4.8827576677027251E-2</c:v>
                </c:pt>
                <c:pt idx="32">
                  <c:v>-3.4451777073696149E-2</c:v>
                </c:pt>
                <c:pt idx="33">
                  <c:v>2.7538257473851489E-2</c:v>
                </c:pt>
                <c:pt idx="34">
                  <c:v>1.9289742411238535E-2</c:v>
                </c:pt>
                <c:pt idx="35">
                  <c:v>9.2183194448215489E-2</c:v>
                </c:pt>
                <c:pt idx="36">
                  <c:v>2.465333465988831E-2</c:v>
                </c:pt>
                <c:pt idx="37">
                  <c:v>5.9097853648733781E-2</c:v>
                </c:pt>
                <c:pt idx="38">
                  <c:v>0.10438293561342217</c:v>
                </c:pt>
                <c:pt idx="39">
                  <c:v>9.1777335613422176E-2</c:v>
                </c:pt>
                <c:pt idx="40">
                  <c:v>0.1646759356134222</c:v>
                </c:pt>
                <c:pt idx="41">
                  <c:v>0.19441493546372318</c:v>
                </c:pt>
                <c:pt idx="42">
                  <c:v>0.21155773546372317</c:v>
                </c:pt>
                <c:pt idx="43">
                  <c:v>0.21741650922392894</c:v>
                </c:pt>
                <c:pt idx="44">
                  <c:v>0.29310889611905477</c:v>
                </c:pt>
                <c:pt idx="45">
                  <c:v>0.23848318233657656</c:v>
                </c:pt>
                <c:pt idx="46">
                  <c:v>0.24534845051572751</c:v>
                </c:pt>
                <c:pt idx="47">
                  <c:v>0.35608099851442909</c:v>
                </c:pt>
                <c:pt idx="48">
                  <c:v>0.39475569695733853</c:v>
                </c:pt>
                <c:pt idx="49">
                  <c:v>0.18095326578024984</c:v>
                </c:pt>
                <c:pt idx="50">
                  <c:v>0.14415440091970932</c:v>
                </c:pt>
                <c:pt idx="51">
                  <c:v>0.37536780091970934</c:v>
                </c:pt>
                <c:pt idx="52">
                  <c:v>0.44597336859744952</c:v>
                </c:pt>
                <c:pt idx="53">
                  <c:v>0.45433696859744954</c:v>
                </c:pt>
                <c:pt idx="54">
                  <c:v>0.44839017145818921</c:v>
                </c:pt>
                <c:pt idx="55">
                  <c:v>0.39317437145818923</c:v>
                </c:pt>
                <c:pt idx="56">
                  <c:v>0.38624822874949583</c:v>
                </c:pt>
                <c:pt idx="57">
                  <c:v>0.31464178163538481</c:v>
                </c:pt>
                <c:pt idx="58">
                  <c:v>0.44638704872055968</c:v>
                </c:pt>
                <c:pt idx="59">
                  <c:v>0.4680165605537463</c:v>
                </c:pt>
                <c:pt idx="60">
                  <c:v>0.40878339271091901</c:v>
                </c:pt>
                <c:pt idx="61">
                  <c:v>0.42856679271091902</c:v>
                </c:pt>
                <c:pt idx="62">
                  <c:v>0.37401139271091904</c:v>
                </c:pt>
                <c:pt idx="63">
                  <c:v>0.28834676126973863</c:v>
                </c:pt>
                <c:pt idx="64">
                  <c:v>0.28073816126973861</c:v>
                </c:pt>
                <c:pt idx="65">
                  <c:v>0.34114568203269358</c:v>
                </c:pt>
                <c:pt idx="66">
                  <c:v>0.3565973889935366</c:v>
                </c:pt>
                <c:pt idx="67">
                  <c:v>0.53772447046519822</c:v>
                </c:pt>
                <c:pt idx="68">
                  <c:v>0.54313197665638935</c:v>
                </c:pt>
                <c:pt idx="69">
                  <c:v>0.59560057665638932</c:v>
                </c:pt>
                <c:pt idx="70">
                  <c:v>0.44615957665638933</c:v>
                </c:pt>
                <c:pt idx="71">
                  <c:v>0.57986937665638938</c:v>
                </c:pt>
                <c:pt idx="72">
                  <c:v>0.92191157665638945</c:v>
                </c:pt>
                <c:pt idx="73">
                  <c:v>0.97989959493242018</c:v>
                </c:pt>
                <c:pt idx="74">
                  <c:v>1.0851335613017237</c:v>
                </c:pt>
                <c:pt idx="75">
                  <c:v>1.2698593613017237</c:v>
                </c:pt>
                <c:pt idx="76">
                  <c:v>1.2297566332499708</c:v>
                </c:pt>
                <c:pt idx="77">
                  <c:v>1.2680085832608987</c:v>
                </c:pt>
                <c:pt idx="78">
                  <c:v>1.2809233832608986</c:v>
                </c:pt>
                <c:pt idx="79">
                  <c:v>1.3769869832608985</c:v>
                </c:pt>
                <c:pt idx="80">
                  <c:v>1.4627643832608985</c:v>
                </c:pt>
                <c:pt idx="81">
                  <c:v>1.3315559832608985</c:v>
                </c:pt>
                <c:pt idx="82">
                  <c:v>1.6534953832608985</c:v>
                </c:pt>
                <c:pt idx="83">
                  <c:v>1.7026891832608986</c:v>
                </c:pt>
                <c:pt idx="84">
                  <c:v>1.5712053832608985</c:v>
                </c:pt>
                <c:pt idx="85">
                  <c:v>1.6946457031482496</c:v>
                </c:pt>
                <c:pt idx="86">
                  <c:v>1.7856240998983561</c:v>
                </c:pt>
                <c:pt idx="87">
                  <c:v>1.6934391657092271</c:v>
                </c:pt>
                <c:pt idx="88">
                  <c:v>1.5966649657092271</c:v>
                </c:pt>
                <c:pt idx="89">
                  <c:v>1.5745055543387425</c:v>
                </c:pt>
                <c:pt idx="90">
                  <c:v>1.3459873511572016</c:v>
                </c:pt>
                <c:pt idx="91">
                  <c:v>1.538018556266229</c:v>
                </c:pt>
                <c:pt idx="92">
                  <c:v>1.5441299141952911</c:v>
                </c:pt>
                <c:pt idx="93">
                  <c:v>1.5694941141952912</c:v>
                </c:pt>
                <c:pt idx="94">
                  <c:v>1.4811298371830297</c:v>
                </c:pt>
                <c:pt idx="95">
                  <c:v>1.4630531264031947</c:v>
                </c:pt>
                <c:pt idx="96">
                  <c:v>1.5579207846697072</c:v>
                </c:pt>
                <c:pt idx="97">
                  <c:v>1.6771349128823918</c:v>
                </c:pt>
                <c:pt idx="98">
                  <c:v>1.7450386210572373</c:v>
                </c:pt>
                <c:pt idx="99">
                  <c:v>1.6547400701894728</c:v>
                </c:pt>
                <c:pt idx="100">
                  <c:v>1.6672198028577696</c:v>
                </c:pt>
                <c:pt idx="101">
                  <c:v>1.5120581577085712</c:v>
                </c:pt>
                <c:pt idx="102">
                  <c:v>1.5595300508637489</c:v>
                </c:pt>
                <c:pt idx="103">
                  <c:v>1.9420199711301405</c:v>
                </c:pt>
                <c:pt idx="104">
                  <c:v>1.9046876599917397</c:v>
                </c:pt>
                <c:pt idx="105">
                  <c:v>1.9010904752347895</c:v>
                </c:pt>
                <c:pt idx="106">
                  <c:v>1.8706240752347896</c:v>
                </c:pt>
                <c:pt idx="107">
                  <c:v>1.6250486752347895</c:v>
                </c:pt>
                <c:pt idx="108">
                  <c:v>1.7491219832189107</c:v>
                </c:pt>
                <c:pt idx="109">
                  <c:v>1.7010635710334077</c:v>
                </c:pt>
                <c:pt idx="110">
                  <c:v>1.6268152354413143</c:v>
                </c:pt>
                <c:pt idx="111">
                  <c:v>1.5455378354413143</c:v>
                </c:pt>
                <c:pt idx="112">
                  <c:v>1.6307224354413143</c:v>
                </c:pt>
                <c:pt idx="113">
                  <c:v>1.6205358354413144</c:v>
                </c:pt>
                <c:pt idx="114">
                  <c:v>1.5512000354413145</c:v>
                </c:pt>
                <c:pt idx="115">
                  <c:v>1.3679653018201456</c:v>
                </c:pt>
                <c:pt idx="116">
                  <c:v>1.3021494999821752</c:v>
                </c:pt>
                <c:pt idx="117">
                  <c:v>1.5023049347365645</c:v>
                </c:pt>
                <c:pt idx="118">
                  <c:v>1.5408439347365643</c:v>
                </c:pt>
                <c:pt idx="119">
                  <c:v>1.6193565947648549</c:v>
                </c:pt>
                <c:pt idx="120">
                  <c:v>1.6118645947648549</c:v>
                </c:pt>
                <c:pt idx="121">
                  <c:v>1.616693394764855</c:v>
                </c:pt>
                <c:pt idx="122">
                  <c:v>1.7930691947648549</c:v>
                </c:pt>
                <c:pt idx="123">
                  <c:v>1.6637237229259962</c:v>
                </c:pt>
                <c:pt idx="124">
                  <c:v>1.7672703229259963</c:v>
                </c:pt>
                <c:pt idx="125">
                  <c:v>1.921136652532311</c:v>
                </c:pt>
                <c:pt idx="126">
                  <c:v>1.8675180431806622</c:v>
                </c:pt>
                <c:pt idx="127">
                  <c:v>1.9519926214903542</c:v>
                </c:pt>
                <c:pt idx="128">
                  <c:v>1.9370755960627304</c:v>
                </c:pt>
                <c:pt idx="129">
                  <c:v>1.8980079627117652</c:v>
                </c:pt>
                <c:pt idx="130">
                  <c:v>2.0290141084738327</c:v>
                </c:pt>
                <c:pt idx="131">
                  <c:v>2.2059329695408429</c:v>
                </c:pt>
                <c:pt idx="132">
                  <c:v>2.204191369540843</c:v>
                </c:pt>
                <c:pt idx="133">
                  <c:v>2.1839099529249357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39-B94D-9A77-C90B6816E926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0.2146305</c:v>
                </c:pt>
                <c:pt idx="1">
                  <c:v>0.21426279060484082</c:v>
                </c:pt>
                <c:pt idx="2">
                  <c:v>0.20057129060484083</c:v>
                </c:pt>
                <c:pt idx="3">
                  <c:v>0.38460987221097082</c:v>
                </c:pt>
                <c:pt idx="4">
                  <c:v>0.24076772109840633</c:v>
                </c:pt>
                <c:pt idx="5">
                  <c:v>0.40293172109840636</c:v>
                </c:pt>
                <c:pt idx="6">
                  <c:v>0.2556761129709334</c:v>
                </c:pt>
                <c:pt idx="7">
                  <c:v>0.11893461297093341</c:v>
                </c:pt>
                <c:pt idx="8">
                  <c:v>0.32581463897432894</c:v>
                </c:pt>
                <c:pt idx="9">
                  <c:v>0.38304080583927336</c:v>
                </c:pt>
                <c:pt idx="10">
                  <c:v>0.30738015591251283</c:v>
                </c:pt>
                <c:pt idx="11">
                  <c:v>0.16832948005171303</c:v>
                </c:pt>
                <c:pt idx="12">
                  <c:v>0.20268146951240368</c:v>
                </c:pt>
                <c:pt idx="13">
                  <c:v>0.24257319237250641</c:v>
                </c:pt>
                <c:pt idx="14">
                  <c:v>0.16137782335653306</c:v>
                </c:pt>
                <c:pt idx="15">
                  <c:v>1.8685732633211743E-2</c:v>
                </c:pt>
                <c:pt idx="16">
                  <c:v>0.14727601808316873</c:v>
                </c:pt>
                <c:pt idx="17">
                  <c:v>0.24573769083996616</c:v>
                </c:pt>
                <c:pt idx="18">
                  <c:v>0.23591094083996617</c:v>
                </c:pt>
                <c:pt idx="19">
                  <c:v>0.13054017045061156</c:v>
                </c:pt>
                <c:pt idx="20">
                  <c:v>0.28832865006607417</c:v>
                </c:pt>
                <c:pt idx="21">
                  <c:v>0.48566582864972085</c:v>
                </c:pt>
                <c:pt idx="22">
                  <c:v>0.39293660470351643</c:v>
                </c:pt>
                <c:pt idx="23">
                  <c:v>0.28355640355575285</c:v>
                </c:pt>
                <c:pt idx="24">
                  <c:v>0.26406536001565889</c:v>
                </c:pt>
                <c:pt idx="25">
                  <c:v>0.28602130390479308</c:v>
                </c:pt>
                <c:pt idx="26">
                  <c:v>0.26719356719799292</c:v>
                </c:pt>
                <c:pt idx="27">
                  <c:v>0.22049614264524731</c:v>
                </c:pt>
                <c:pt idx="28">
                  <c:v>0.21018539264524733</c:v>
                </c:pt>
                <c:pt idx="29">
                  <c:v>0.26331100253181033</c:v>
                </c:pt>
                <c:pt idx="30">
                  <c:v>0.27435757463825422</c:v>
                </c:pt>
                <c:pt idx="31">
                  <c:v>3.4006318979487415E-2</c:v>
                </c:pt>
                <c:pt idx="32">
                  <c:v>-3.3723361615663611E-2</c:v>
                </c:pt>
                <c:pt idx="33">
                  <c:v>3.6681980330805081E-2</c:v>
                </c:pt>
                <c:pt idx="34">
                  <c:v>5.500034924011768E-2</c:v>
                </c:pt>
                <c:pt idx="35">
                  <c:v>0.12038017197322831</c:v>
                </c:pt>
                <c:pt idx="36">
                  <c:v>0.18350588998071177</c:v>
                </c:pt>
                <c:pt idx="37">
                  <c:v>0.20529491952653242</c:v>
                </c:pt>
                <c:pt idx="38">
                  <c:v>0.25302131517025905</c:v>
                </c:pt>
                <c:pt idx="39">
                  <c:v>0.23407756517025904</c:v>
                </c:pt>
                <c:pt idx="40">
                  <c:v>0.36730156517025903</c:v>
                </c:pt>
                <c:pt idx="41">
                  <c:v>0.40149946580108314</c:v>
                </c:pt>
                <c:pt idx="42">
                  <c:v>0.38445146580108314</c:v>
                </c:pt>
                <c:pt idx="43">
                  <c:v>0.38195855452392807</c:v>
                </c:pt>
                <c:pt idx="44">
                  <c:v>0.42976818603288508</c:v>
                </c:pt>
                <c:pt idx="45">
                  <c:v>0.37424740597075135</c:v>
                </c:pt>
                <c:pt idx="46">
                  <c:v>0.38403843592484876</c:v>
                </c:pt>
                <c:pt idx="47">
                  <c:v>0.52718612339460547</c:v>
                </c:pt>
                <c:pt idx="48">
                  <c:v>0.57420741437264344</c:v>
                </c:pt>
                <c:pt idx="49">
                  <c:v>0.31929614447550703</c:v>
                </c:pt>
                <c:pt idx="50">
                  <c:v>0.24826396282742119</c:v>
                </c:pt>
                <c:pt idx="51">
                  <c:v>0.5427772128274212</c:v>
                </c:pt>
                <c:pt idx="52">
                  <c:v>0.5810983605526151</c:v>
                </c:pt>
                <c:pt idx="53">
                  <c:v>0.61932086055261515</c:v>
                </c:pt>
                <c:pt idx="54">
                  <c:v>0.62567139395001659</c:v>
                </c:pt>
                <c:pt idx="55">
                  <c:v>0.56338164395001655</c:v>
                </c:pt>
                <c:pt idx="56">
                  <c:v>0.60001683316682919</c:v>
                </c:pt>
                <c:pt idx="57">
                  <c:v>0.52369547002807393</c:v>
                </c:pt>
                <c:pt idx="58">
                  <c:v>0.68966506620646573</c:v>
                </c:pt>
                <c:pt idx="59">
                  <c:v>0.71324409238818343</c:v>
                </c:pt>
                <c:pt idx="60">
                  <c:v>0.64479421200864862</c:v>
                </c:pt>
                <c:pt idx="61">
                  <c:v>0.64854721200864862</c:v>
                </c:pt>
                <c:pt idx="62">
                  <c:v>0.55357746200864866</c:v>
                </c:pt>
                <c:pt idx="63">
                  <c:v>0.36532995941626067</c:v>
                </c:pt>
                <c:pt idx="64">
                  <c:v>0.38033670941626069</c:v>
                </c:pt>
                <c:pt idx="65">
                  <c:v>0.484845838835675</c:v>
                </c:pt>
                <c:pt idx="66">
                  <c:v>0.53938806967017983</c:v>
                </c:pt>
                <c:pt idx="67">
                  <c:v>0.68144952558027527</c:v>
                </c:pt>
                <c:pt idx="68">
                  <c:v>0.68730969833545141</c:v>
                </c:pt>
                <c:pt idx="69">
                  <c:v>0.74813169833545135</c:v>
                </c:pt>
                <c:pt idx="70">
                  <c:v>0.57739369833545129</c:v>
                </c:pt>
                <c:pt idx="71">
                  <c:v>0.59663394833545125</c:v>
                </c:pt>
                <c:pt idx="72">
                  <c:v>0.99876419833545127</c:v>
                </c:pt>
                <c:pt idx="73">
                  <c:v>1.0871435331230899</c:v>
                </c:pt>
                <c:pt idx="74">
                  <c:v>1.1375233843412065</c:v>
                </c:pt>
                <c:pt idx="75">
                  <c:v>1.3889258843412065</c:v>
                </c:pt>
                <c:pt idx="76">
                  <c:v>1.328408281038808</c:v>
                </c:pt>
                <c:pt idx="77">
                  <c:v>1.3918296722370662</c:v>
                </c:pt>
                <c:pt idx="78">
                  <c:v>1.3838101722370661</c:v>
                </c:pt>
                <c:pt idx="79">
                  <c:v>1.4682324222370662</c:v>
                </c:pt>
                <c:pt idx="80">
                  <c:v>1.5297469222370661</c:v>
                </c:pt>
                <c:pt idx="81">
                  <c:v>1.4025789222370662</c:v>
                </c:pt>
                <c:pt idx="82">
                  <c:v>1.7227466722370661</c:v>
                </c:pt>
                <c:pt idx="83">
                  <c:v>1.6514081722370662</c:v>
                </c:pt>
                <c:pt idx="84">
                  <c:v>1.5281159222370662</c:v>
                </c:pt>
                <c:pt idx="85">
                  <c:v>1.6137436792535684</c:v>
                </c:pt>
                <c:pt idx="86">
                  <c:v>1.7407942259837026</c:v>
                </c:pt>
                <c:pt idx="87">
                  <c:v>1.606903801360738</c:v>
                </c:pt>
                <c:pt idx="88">
                  <c:v>1.4906735513607379</c:v>
                </c:pt>
                <c:pt idx="89">
                  <c:v>1.4601346611569623</c:v>
                </c:pt>
                <c:pt idx="90">
                  <c:v>1.2223426800175698</c:v>
                </c:pt>
                <c:pt idx="91">
                  <c:v>1.4450427408954825</c:v>
                </c:pt>
                <c:pt idx="92">
                  <c:v>1.4483308326205733</c:v>
                </c:pt>
                <c:pt idx="93">
                  <c:v>1.4599478326205733</c:v>
                </c:pt>
                <c:pt idx="94">
                  <c:v>1.3903014364738016</c:v>
                </c:pt>
                <c:pt idx="95">
                  <c:v>1.3042288796024055</c:v>
                </c:pt>
                <c:pt idx="96">
                  <c:v>1.3669024397718967</c:v>
                </c:pt>
                <c:pt idx="97">
                  <c:v>1.5212342845464693</c:v>
                </c:pt>
                <c:pt idx="98">
                  <c:v>1.5595798014181519</c:v>
                </c:pt>
                <c:pt idx="99">
                  <c:v>1.4574576257607448</c:v>
                </c:pt>
                <c:pt idx="100">
                  <c:v>1.4659395421646593</c:v>
                </c:pt>
                <c:pt idx="101">
                  <c:v>1.2284881713388291</c:v>
                </c:pt>
                <c:pt idx="102">
                  <c:v>1.2272959148820974</c:v>
                </c:pt>
                <c:pt idx="103">
                  <c:v>1.6996466503527743</c:v>
                </c:pt>
                <c:pt idx="104">
                  <c:v>1.5457418549830557</c:v>
                </c:pt>
                <c:pt idx="105">
                  <c:v>1.542923060591985</c:v>
                </c:pt>
                <c:pt idx="106">
                  <c:v>1.4882040605919851</c:v>
                </c:pt>
                <c:pt idx="107">
                  <c:v>1.187052310591985</c:v>
                </c:pt>
                <c:pt idx="108">
                  <c:v>1.3352372417237146</c:v>
                </c:pt>
                <c:pt idx="109">
                  <c:v>1.3455928132255721</c:v>
                </c:pt>
                <c:pt idx="110">
                  <c:v>1.2554436105077516</c:v>
                </c:pt>
                <c:pt idx="111">
                  <c:v>1.1821403605077516</c:v>
                </c:pt>
                <c:pt idx="112">
                  <c:v>1.2730336105077515</c:v>
                </c:pt>
                <c:pt idx="113">
                  <c:v>1.2408258605077516</c:v>
                </c:pt>
                <c:pt idx="114">
                  <c:v>1.2158376105077515</c:v>
                </c:pt>
                <c:pt idx="115">
                  <c:v>0.99554196964322417</c:v>
                </c:pt>
                <c:pt idx="116">
                  <c:v>0.91309617731254444</c:v>
                </c:pt>
                <c:pt idx="117">
                  <c:v>1.1421160669927792</c:v>
                </c:pt>
                <c:pt idx="118">
                  <c:v>1.1703313169927791</c:v>
                </c:pt>
                <c:pt idx="119">
                  <c:v>1.2205021760298598</c:v>
                </c:pt>
                <c:pt idx="120">
                  <c:v>1.2188284260298599</c:v>
                </c:pt>
                <c:pt idx="121">
                  <c:v>1.2091189260298598</c:v>
                </c:pt>
                <c:pt idx="122">
                  <c:v>1.3577336760298597</c:v>
                </c:pt>
                <c:pt idx="123">
                  <c:v>1.2174576991599817</c:v>
                </c:pt>
                <c:pt idx="124">
                  <c:v>1.3209936991599818</c:v>
                </c:pt>
                <c:pt idx="125">
                  <c:v>1.5069599131911651</c:v>
                </c:pt>
                <c:pt idx="126">
                  <c:v>1.4823639176531491</c:v>
                </c:pt>
                <c:pt idx="127">
                  <c:v>1.5352079842134381</c:v>
                </c:pt>
                <c:pt idx="128">
                  <c:v>1.5600735066618663</c:v>
                </c:pt>
                <c:pt idx="129">
                  <c:v>1.5516653604912805</c:v>
                </c:pt>
                <c:pt idx="130">
                  <c:v>1.6917593784435063</c:v>
                </c:pt>
                <c:pt idx="131">
                  <c:v>1.7462582347916871</c:v>
                </c:pt>
                <c:pt idx="132">
                  <c:v>1.767568234791687</c:v>
                </c:pt>
                <c:pt idx="133">
                  <c:v>1.7863394988338062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39-B94D-9A77-C90B6816E926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0.20528266666666661</c:v>
                </c:pt>
                <c:pt idx="1">
                  <c:v>0.16060176976318008</c:v>
                </c:pt>
                <c:pt idx="2">
                  <c:v>0.14324510309651342</c:v>
                </c:pt>
                <c:pt idx="3">
                  <c:v>0.211076164017791</c:v>
                </c:pt>
                <c:pt idx="4">
                  <c:v>0.1071918007274569</c:v>
                </c:pt>
                <c:pt idx="5">
                  <c:v>0.23136980072745689</c:v>
                </c:pt>
                <c:pt idx="6">
                  <c:v>0.10787663138938709</c:v>
                </c:pt>
                <c:pt idx="7">
                  <c:v>3.6246313893870952E-3</c:v>
                </c:pt>
                <c:pt idx="8">
                  <c:v>0.2489905440721428</c:v>
                </c:pt>
                <c:pt idx="9">
                  <c:v>0.35647771272338458</c:v>
                </c:pt>
                <c:pt idx="10">
                  <c:v>0.58163631778696634</c:v>
                </c:pt>
                <c:pt idx="11">
                  <c:v>0.48360545697933355</c:v>
                </c:pt>
                <c:pt idx="12">
                  <c:v>0.47688957866796605</c:v>
                </c:pt>
                <c:pt idx="13">
                  <c:v>0.51974806718695599</c:v>
                </c:pt>
                <c:pt idx="14">
                  <c:v>0.43046554908310874</c:v>
                </c:pt>
                <c:pt idx="15">
                  <c:v>0.24978581889182414</c:v>
                </c:pt>
                <c:pt idx="16">
                  <c:v>0.41943237444976472</c:v>
                </c:pt>
                <c:pt idx="17">
                  <c:v>0.54824479643288759</c:v>
                </c:pt>
                <c:pt idx="18">
                  <c:v>0.60072912976622095</c:v>
                </c:pt>
                <c:pt idx="19">
                  <c:v>0.54370499513193127</c:v>
                </c:pt>
                <c:pt idx="20">
                  <c:v>0.75118526215622872</c:v>
                </c:pt>
                <c:pt idx="21">
                  <c:v>0.96608530988579377</c:v>
                </c:pt>
                <c:pt idx="22">
                  <c:v>0.91814697770602549</c:v>
                </c:pt>
                <c:pt idx="23">
                  <c:v>0.76799686778645126</c:v>
                </c:pt>
                <c:pt idx="24">
                  <c:v>0.76094885089959452</c:v>
                </c:pt>
                <c:pt idx="25">
                  <c:v>0.75708362077425506</c:v>
                </c:pt>
                <c:pt idx="26">
                  <c:v>0.67130716005882263</c:v>
                </c:pt>
                <c:pt idx="27">
                  <c:v>0.65883985738825013</c:v>
                </c:pt>
                <c:pt idx="28">
                  <c:v>0.74398885738825016</c:v>
                </c:pt>
                <c:pt idx="29">
                  <c:v>0.79117117354627431</c:v>
                </c:pt>
                <c:pt idx="30">
                  <c:v>0.80198327411311665</c:v>
                </c:pt>
                <c:pt idx="31">
                  <c:v>0.55436102794971531</c:v>
                </c:pt>
                <c:pt idx="32">
                  <c:v>0.48696812693852926</c:v>
                </c:pt>
                <c:pt idx="33">
                  <c:v>0.51866797626493755</c:v>
                </c:pt>
                <c:pt idx="34">
                  <c:v>0.59724374496985178</c:v>
                </c:pt>
                <c:pt idx="35">
                  <c:v>0.63758471177675213</c:v>
                </c:pt>
                <c:pt idx="36">
                  <c:v>0.6939584661403797</c:v>
                </c:pt>
                <c:pt idx="37">
                  <c:v>0.72181903302577555</c:v>
                </c:pt>
                <c:pt idx="38">
                  <c:v>0.7965364064194812</c:v>
                </c:pt>
                <c:pt idx="39">
                  <c:v>0.77604307308614784</c:v>
                </c:pt>
                <c:pt idx="40">
                  <c:v>0.88617240641948114</c:v>
                </c:pt>
                <c:pt idx="41">
                  <c:v>0.99435610696771759</c:v>
                </c:pt>
                <c:pt idx="42">
                  <c:v>0.82976544030105093</c:v>
                </c:pt>
                <c:pt idx="43">
                  <c:v>0.8046290784610246</c:v>
                </c:pt>
                <c:pt idx="44">
                  <c:v>0.83812953037189453</c:v>
                </c:pt>
                <c:pt idx="45">
                  <c:v>0.7783163536960146</c:v>
                </c:pt>
                <c:pt idx="46">
                  <c:v>0.74816696448900566</c:v>
                </c:pt>
                <c:pt idx="47">
                  <c:v>0.92193036446902987</c:v>
                </c:pt>
                <c:pt idx="48">
                  <c:v>0.99366374980326044</c:v>
                </c:pt>
                <c:pt idx="49">
                  <c:v>0.83875997148210835</c:v>
                </c:pt>
                <c:pt idx="50">
                  <c:v>0.79316154631464642</c:v>
                </c:pt>
                <c:pt idx="51">
                  <c:v>1.1627128796479798</c:v>
                </c:pt>
                <c:pt idx="52">
                  <c:v>1.0318759415250245</c:v>
                </c:pt>
                <c:pt idx="53">
                  <c:v>1.1111399415250245</c:v>
                </c:pt>
                <c:pt idx="54">
                  <c:v>1.133356124919505</c:v>
                </c:pt>
                <c:pt idx="55">
                  <c:v>1.078470124919505</c:v>
                </c:pt>
                <c:pt idx="56">
                  <c:v>1.1247496370878911</c:v>
                </c:pt>
                <c:pt idx="57">
                  <c:v>0.99678909474975919</c:v>
                </c:pt>
                <c:pt idx="58">
                  <c:v>1.1078778141596661</c:v>
                </c:pt>
                <c:pt idx="59">
                  <c:v>1.1628742293103871</c:v>
                </c:pt>
                <c:pt idx="60">
                  <c:v>1.1210345933767218</c:v>
                </c:pt>
                <c:pt idx="61">
                  <c:v>1.1388985933767219</c:v>
                </c:pt>
                <c:pt idx="62">
                  <c:v>1.0179599267100552</c:v>
                </c:pt>
                <c:pt idx="63">
                  <c:v>1.0464787331740304</c:v>
                </c:pt>
                <c:pt idx="64">
                  <c:v>1.0848320665073636</c:v>
                </c:pt>
                <c:pt idx="65">
                  <c:v>1.15966761666247</c:v>
                </c:pt>
                <c:pt idx="66">
                  <c:v>1.1874977140607825</c:v>
                </c:pt>
                <c:pt idx="67">
                  <c:v>1.2940644960284726</c:v>
                </c:pt>
                <c:pt idx="68">
                  <c:v>1.2776917136516734</c:v>
                </c:pt>
                <c:pt idx="69">
                  <c:v>1.18896738031834</c:v>
                </c:pt>
                <c:pt idx="70">
                  <c:v>1.08461638031834</c:v>
                </c:pt>
                <c:pt idx="71">
                  <c:v>1.0852970469850067</c:v>
                </c:pt>
                <c:pt idx="72">
                  <c:v>1.51301238031834</c:v>
                </c:pt>
                <c:pt idx="73">
                  <c:v>1.6659497505683318</c:v>
                </c:pt>
                <c:pt idx="74">
                  <c:v>1.6706965369710665</c:v>
                </c:pt>
                <c:pt idx="75">
                  <c:v>1.9503265369710665</c:v>
                </c:pt>
                <c:pt idx="76">
                  <c:v>1.9228364584907429</c:v>
                </c:pt>
                <c:pt idx="77">
                  <c:v>2.0718297367366696</c:v>
                </c:pt>
                <c:pt idx="78">
                  <c:v>1.9467247367366696</c:v>
                </c:pt>
                <c:pt idx="79">
                  <c:v>2.0422430700700027</c:v>
                </c:pt>
                <c:pt idx="80">
                  <c:v>2.1090830700700027</c:v>
                </c:pt>
                <c:pt idx="81">
                  <c:v>1.9535124034033362</c:v>
                </c:pt>
                <c:pt idx="82">
                  <c:v>2.3973130700700027</c:v>
                </c:pt>
                <c:pt idx="83">
                  <c:v>2.3705510700700025</c:v>
                </c:pt>
                <c:pt idx="84">
                  <c:v>2.1401030700700026</c:v>
                </c:pt>
                <c:pt idx="85">
                  <c:v>2.2434825751595651</c:v>
                </c:pt>
                <c:pt idx="86">
                  <c:v>2.2796459177642476</c:v>
                </c:pt>
                <c:pt idx="87">
                  <c:v>2.0389941191392067</c:v>
                </c:pt>
                <c:pt idx="88">
                  <c:v>1.8191641191392067</c:v>
                </c:pt>
                <c:pt idx="89">
                  <c:v>1.8277108909601141</c:v>
                </c:pt>
                <c:pt idx="90">
                  <c:v>1.6424251330548874</c:v>
                </c:pt>
                <c:pt idx="91">
                  <c:v>1.9018336900242898</c:v>
                </c:pt>
                <c:pt idx="92">
                  <c:v>1.8894999106986252</c:v>
                </c:pt>
                <c:pt idx="93">
                  <c:v>1.8610792440319586</c:v>
                </c:pt>
                <c:pt idx="94">
                  <c:v>1.8762814275533815</c:v>
                </c:pt>
                <c:pt idx="95">
                  <c:v>1.7501900493646096</c:v>
                </c:pt>
                <c:pt idx="96">
                  <c:v>1.8704217613287075</c:v>
                </c:pt>
                <c:pt idx="97">
                  <c:v>2.0366444400182617</c:v>
                </c:pt>
                <c:pt idx="98">
                  <c:v>2.0595284823502467</c:v>
                </c:pt>
                <c:pt idx="99">
                  <c:v>2.0557788890823976</c:v>
                </c:pt>
                <c:pt idx="100">
                  <c:v>2.0637677148559068</c:v>
                </c:pt>
                <c:pt idx="101">
                  <c:v>1.8008472302566676</c:v>
                </c:pt>
                <c:pt idx="102">
                  <c:v>1.8048389841385917</c:v>
                </c:pt>
                <c:pt idx="103">
                  <c:v>2.3982141558648236</c:v>
                </c:pt>
                <c:pt idx="104">
                  <c:v>2.2570469201455139</c:v>
                </c:pt>
                <c:pt idx="105">
                  <c:v>2.2253367510196886</c:v>
                </c:pt>
                <c:pt idx="106">
                  <c:v>2.091981084353022</c:v>
                </c:pt>
                <c:pt idx="107">
                  <c:v>1.7023130843530221</c:v>
                </c:pt>
                <c:pt idx="108">
                  <c:v>1.7904344948560857</c:v>
                </c:pt>
                <c:pt idx="109">
                  <c:v>1.7557457424268956</c:v>
                </c:pt>
                <c:pt idx="110">
                  <c:v>1.6746401985866255</c:v>
                </c:pt>
                <c:pt idx="111">
                  <c:v>1.6318625319199589</c:v>
                </c:pt>
                <c:pt idx="112">
                  <c:v>1.7232901985866256</c:v>
                </c:pt>
                <c:pt idx="113">
                  <c:v>1.7016098652532923</c:v>
                </c:pt>
                <c:pt idx="114">
                  <c:v>1.6697255319199589</c:v>
                </c:pt>
                <c:pt idx="115">
                  <c:v>1.3643505036477559</c:v>
                </c:pt>
                <c:pt idx="116">
                  <c:v>1.2409130023361177</c:v>
                </c:pt>
                <c:pt idx="117">
                  <c:v>1.4104754344768482</c:v>
                </c:pt>
                <c:pt idx="118">
                  <c:v>1.4623247678101816</c:v>
                </c:pt>
                <c:pt idx="119">
                  <c:v>1.4562322151948637</c:v>
                </c:pt>
                <c:pt idx="120">
                  <c:v>1.4198832151948637</c:v>
                </c:pt>
                <c:pt idx="121">
                  <c:v>1.3762008818615303</c:v>
                </c:pt>
                <c:pt idx="122">
                  <c:v>1.5377465485281969</c:v>
                </c:pt>
                <c:pt idx="123">
                  <c:v>1.4120414308500189</c:v>
                </c:pt>
                <c:pt idx="124">
                  <c:v>1.4934574308500188</c:v>
                </c:pt>
                <c:pt idx="125">
                  <c:v>1.7159000392983135</c:v>
                </c:pt>
                <c:pt idx="126">
                  <c:v>1.7240471559238535</c:v>
                </c:pt>
                <c:pt idx="127">
                  <c:v>1.827795136869411</c:v>
                </c:pt>
                <c:pt idx="128">
                  <c:v>1.8983437857087697</c:v>
                </c:pt>
                <c:pt idx="129">
                  <c:v>1.9789405132440876</c:v>
                </c:pt>
                <c:pt idx="130">
                  <c:v>1.9505117014660367</c:v>
                </c:pt>
                <c:pt idx="131">
                  <c:v>2.027925268523644</c:v>
                </c:pt>
                <c:pt idx="132">
                  <c:v>2.0755612685236438</c:v>
                </c:pt>
                <c:pt idx="133">
                  <c:v>2.1103515148958163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39-B94D-9A77-C90B6816E926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0.28298899999999988</c:v>
                </c:pt>
                <c:pt idx="1">
                  <c:v>0.25317833231457781</c:v>
                </c:pt>
                <c:pt idx="2">
                  <c:v>0.3861833323145778</c:v>
                </c:pt>
                <c:pt idx="3">
                  <c:v>0.56857940763545645</c:v>
                </c:pt>
                <c:pt idx="4">
                  <c:v>0.59555097615982444</c:v>
                </c:pt>
                <c:pt idx="5">
                  <c:v>0.57736247615982439</c:v>
                </c:pt>
                <c:pt idx="6">
                  <c:v>0.42921044755953042</c:v>
                </c:pt>
                <c:pt idx="7">
                  <c:v>0.3143349475595304</c:v>
                </c:pt>
                <c:pt idx="8">
                  <c:v>0.45694252268418534</c:v>
                </c:pt>
                <c:pt idx="9">
                  <c:v>0.68938688372664747</c:v>
                </c:pt>
                <c:pt idx="10">
                  <c:v>0.95195623077398772</c:v>
                </c:pt>
                <c:pt idx="11">
                  <c:v>0.8251562170816592</c:v>
                </c:pt>
                <c:pt idx="12">
                  <c:v>0.8057485058148901</c:v>
                </c:pt>
                <c:pt idx="13">
                  <c:v>0.81643201057463688</c:v>
                </c:pt>
                <c:pt idx="14">
                  <c:v>0.56558233367383015</c:v>
                </c:pt>
                <c:pt idx="15">
                  <c:v>0.4759543306326855</c:v>
                </c:pt>
                <c:pt idx="16">
                  <c:v>0.58967886345994758</c:v>
                </c:pt>
                <c:pt idx="17">
                  <c:v>0.74428155678737606</c:v>
                </c:pt>
                <c:pt idx="18">
                  <c:v>0.80351805678737609</c:v>
                </c:pt>
                <c:pt idx="19">
                  <c:v>0.86687506776644208</c:v>
                </c:pt>
                <c:pt idx="20">
                  <c:v>1.1984942180155866</c:v>
                </c:pt>
                <c:pt idx="21">
                  <c:v>1.4625799129788839</c:v>
                </c:pt>
                <c:pt idx="22">
                  <c:v>1.4549911495502057</c:v>
                </c:pt>
                <c:pt idx="23">
                  <c:v>1.3073507401069322</c:v>
                </c:pt>
                <c:pt idx="24">
                  <c:v>1.3007444481374619</c:v>
                </c:pt>
                <c:pt idx="25">
                  <c:v>1.2697530630814697</c:v>
                </c:pt>
                <c:pt idx="26">
                  <c:v>1.100998263444557</c:v>
                </c:pt>
                <c:pt idx="27">
                  <c:v>1.0859873630875096</c:v>
                </c:pt>
                <c:pt idx="28">
                  <c:v>1.3077043630875096</c:v>
                </c:pt>
                <c:pt idx="29">
                  <c:v>1.3746106231772608</c:v>
                </c:pt>
                <c:pt idx="30">
                  <c:v>1.2287167302375888</c:v>
                </c:pt>
                <c:pt idx="31">
                  <c:v>1.364365650588256</c:v>
                </c:pt>
                <c:pt idx="32">
                  <c:v>1.2889154808487937</c:v>
                </c:pt>
                <c:pt idx="33">
                  <c:v>1.2832723430006394</c:v>
                </c:pt>
                <c:pt idx="34">
                  <c:v>1.3744715672758991</c:v>
                </c:pt>
                <c:pt idx="35">
                  <c:v>1.5059032804684347</c:v>
                </c:pt>
                <c:pt idx="36">
                  <c:v>1.4854327371663487</c:v>
                </c:pt>
                <c:pt idx="37">
                  <c:v>1.6459528779286801</c:v>
                </c:pt>
                <c:pt idx="38">
                  <c:v>1.6406159257372559</c:v>
                </c:pt>
                <c:pt idx="39">
                  <c:v>1.8058824257372559</c:v>
                </c:pt>
                <c:pt idx="40">
                  <c:v>1.905261425737256</c:v>
                </c:pt>
                <c:pt idx="41">
                  <c:v>2.1587222215175998</c:v>
                </c:pt>
                <c:pt idx="42">
                  <c:v>2.1265532215175997</c:v>
                </c:pt>
                <c:pt idx="43">
                  <c:v>2.0851254997039499</c:v>
                </c:pt>
                <c:pt idx="44">
                  <c:v>2.1182710258324544</c:v>
                </c:pt>
                <c:pt idx="45">
                  <c:v>2.0906320316350802</c:v>
                </c:pt>
                <c:pt idx="46">
                  <c:v>2.0386051217966772</c:v>
                </c:pt>
                <c:pt idx="47">
                  <c:v>2.1084432756237215</c:v>
                </c:pt>
                <c:pt idx="48">
                  <c:v>2.2786772564643036</c:v>
                </c:pt>
                <c:pt idx="49">
                  <c:v>2.2149236390632434</c:v>
                </c:pt>
                <c:pt idx="50">
                  <c:v>2.224570419143344</c:v>
                </c:pt>
                <c:pt idx="51">
                  <c:v>2.791397919143344</c:v>
                </c:pt>
                <c:pt idx="52">
                  <c:v>2.4905696699702782</c:v>
                </c:pt>
                <c:pt idx="53">
                  <c:v>2.6165491699702783</c:v>
                </c:pt>
                <c:pt idx="54">
                  <c:v>2.5451184075729816</c:v>
                </c:pt>
                <c:pt idx="55">
                  <c:v>2.4851054075729815</c:v>
                </c:pt>
                <c:pt idx="56">
                  <c:v>2.5598668787697338</c:v>
                </c:pt>
                <c:pt idx="57">
                  <c:v>2.3563828974144467</c:v>
                </c:pt>
                <c:pt idx="58">
                  <c:v>2.5474949767376458</c:v>
                </c:pt>
                <c:pt idx="59">
                  <c:v>2.6514982920055727</c:v>
                </c:pt>
                <c:pt idx="60">
                  <c:v>2.6535324003420504</c:v>
                </c:pt>
                <c:pt idx="61">
                  <c:v>2.6001004003420505</c:v>
                </c:pt>
                <c:pt idx="62">
                  <c:v>2.4159539003420507</c:v>
                </c:pt>
                <c:pt idx="63">
                  <c:v>2.4425573703640282</c:v>
                </c:pt>
                <c:pt idx="64">
                  <c:v>2.5043773703640282</c:v>
                </c:pt>
                <c:pt idx="65">
                  <c:v>2.6026437695754847</c:v>
                </c:pt>
                <c:pt idx="66">
                  <c:v>2.6746916710107507</c:v>
                </c:pt>
                <c:pt idx="67">
                  <c:v>2.7775142611911012</c:v>
                </c:pt>
                <c:pt idx="68">
                  <c:v>2.7042388725331894</c:v>
                </c:pt>
                <c:pt idx="69">
                  <c:v>2.4860533725331893</c:v>
                </c:pt>
                <c:pt idx="70">
                  <c:v>2.3803668725331892</c:v>
                </c:pt>
                <c:pt idx="71">
                  <c:v>2.3633463725331891</c:v>
                </c:pt>
                <c:pt idx="72">
                  <c:v>2.9643443725331893</c:v>
                </c:pt>
                <c:pt idx="73">
                  <c:v>3.0885638960778246</c:v>
                </c:pt>
                <c:pt idx="74">
                  <c:v>3.0987695887721722</c:v>
                </c:pt>
                <c:pt idx="75">
                  <c:v>3.4511685887721724</c:v>
                </c:pt>
                <c:pt idx="76">
                  <c:v>3.3755153890255434</c:v>
                </c:pt>
                <c:pt idx="77">
                  <c:v>3.5931295920179833</c:v>
                </c:pt>
                <c:pt idx="78">
                  <c:v>3.5085845920179835</c:v>
                </c:pt>
                <c:pt idx="79">
                  <c:v>3.6498270920179836</c:v>
                </c:pt>
                <c:pt idx="80">
                  <c:v>3.7094290920179835</c:v>
                </c:pt>
                <c:pt idx="81">
                  <c:v>3.5259985920179835</c:v>
                </c:pt>
                <c:pt idx="82">
                  <c:v>3.8189020920179835</c:v>
                </c:pt>
                <c:pt idx="83">
                  <c:v>3.8408525920179835</c:v>
                </c:pt>
                <c:pt idx="84">
                  <c:v>3.7817300920179835</c:v>
                </c:pt>
                <c:pt idx="85">
                  <c:v>3.8016054595683939</c:v>
                </c:pt>
                <c:pt idx="86">
                  <c:v>3.8977224542963556</c:v>
                </c:pt>
                <c:pt idx="87">
                  <c:v>3.4890614416289374</c:v>
                </c:pt>
                <c:pt idx="88">
                  <c:v>3.2543564416289374</c:v>
                </c:pt>
                <c:pt idx="89">
                  <c:v>3.3073616199987406</c:v>
                </c:pt>
                <c:pt idx="90">
                  <c:v>3.0389106430955914</c:v>
                </c:pt>
                <c:pt idx="91">
                  <c:v>3.3502713862583482</c:v>
                </c:pt>
                <c:pt idx="92">
                  <c:v>3.3410876417585422</c:v>
                </c:pt>
                <c:pt idx="93">
                  <c:v>3.3028571417585422</c:v>
                </c:pt>
                <c:pt idx="94">
                  <c:v>3.3398313607498209</c:v>
                </c:pt>
                <c:pt idx="95">
                  <c:v>3.3069811367436763</c:v>
                </c:pt>
                <c:pt idx="96">
                  <c:v>3.3280377324569632</c:v>
                </c:pt>
                <c:pt idx="97">
                  <c:v>3.4813687007285377</c:v>
                </c:pt>
                <c:pt idx="98">
                  <c:v>3.4571824129395363</c:v>
                </c:pt>
                <c:pt idx="99">
                  <c:v>3.5458994070360625</c:v>
                </c:pt>
                <c:pt idx="100">
                  <c:v>3.523852876282684</c:v>
                </c:pt>
                <c:pt idx="101">
                  <c:v>3.3418540824253329</c:v>
                </c:pt>
                <c:pt idx="102">
                  <c:v>3.3728362186512433</c:v>
                </c:pt>
                <c:pt idx="103">
                  <c:v>4.2374117932484543</c:v>
                </c:pt>
                <c:pt idx="104">
                  <c:v>4.0794628939302013</c:v>
                </c:pt>
                <c:pt idx="105">
                  <c:v>3.9866642192530484</c:v>
                </c:pt>
                <c:pt idx="106">
                  <c:v>3.8452197192530484</c:v>
                </c:pt>
                <c:pt idx="107">
                  <c:v>3.4364222192530485</c:v>
                </c:pt>
                <c:pt idx="108">
                  <c:v>3.5893988735481015</c:v>
                </c:pt>
                <c:pt idx="109">
                  <c:v>3.479816675186004</c:v>
                </c:pt>
                <c:pt idx="110">
                  <c:v>3.2949039616378988</c:v>
                </c:pt>
                <c:pt idx="111">
                  <c:v>3.3287269616378987</c:v>
                </c:pt>
                <c:pt idx="112">
                  <c:v>3.4199704616378988</c:v>
                </c:pt>
                <c:pt idx="113">
                  <c:v>3.4765764616378987</c:v>
                </c:pt>
                <c:pt idx="114">
                  <c:v>3.4300994616378988</c:v>
                </c:pt>
                <c:pt idx="115">
                  <c:v>3.1651246051539075</c:v>
                </c:pt>
                <c:pt idx="116">
                  <c:v>3.0010333014200734</c:v>
                </c:pt>
                <c:pt idx="117">
                  <c:v>3.17787291990498</c:v>
                </c:pt>
                <c:pt idx="118">
                  <c:v>3.29900341990498</c:v>
                </c:pt>
                <c:pt idx="119">
                  <c:v>3.2091174171736734</c:v>
                </c:pt>
                <c:pt idx="120">
                  <c:v>3.0925394171736733</c:v>
                </c:pt>
                <c:pt idx="121">
                  <c:v>3.0382889171736731</c:v>
                </c:pt>
                <c:pt idx="122">
                  <c:v>3.0939269171736732</c:v>
                </c:pt>
                <c:pt idx="123">
                  <c:v>2.8176553088442335</c:v>
                </c:pt>
                <c:pt idx="124">
                  <c:v>2.7946028088442336</c:v>
                </c:pt>
                <c:pt idx="125">
                  <c:v>3.1080960152231998</c:v>
                </c:pt>
                <c:pt idx="126">
                  <c:v>2.9382191865709455</c:v>
                </c:pt>
                <c:pt idx="127">
                  <c:v>3.041092205197458</c:v>
                </c:pt>
                <c:pt idx="128">
                  <c:v>3.0645411128105775</c:v>
                </c:pt>
                <c:pt idx="129">
                  <c:v>3.1272945525212528</c:v>
                </c:pt>
                <c:pt idx="130">
                  <c:v>3.0040896095655882</c:v>
                </c:pt>
                <c:pt idx="131">
                  <c:v>3.0955155141853692</c:v>
                </c:pt>
                <c:pt idx="132">
                  <c:v>3.1647265141853693</c:v>
                </c:pt>
                <c:pt idx="133">
                  <c:v>3.2125087927770291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39-B94D-9A77-C90B6816E926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0.2795759900275871</c:v>
                </c:pt>
                <c:pt idx="3">
                  <c:v>0.48112170889923334</c:v>
                </c:pt>
                <c:pt idx="4">
                  <c:v>0.503744097461851</c:v>
                </c:pt>
                <c:pt idx="5">
                  <c:v>0.539600097461851</c:v>
                </c:pt>
                <c:pt idx="6">
                  <c:v>0.54171203066499451</c:v>
                </c:pt>
                <c:pt idx="7">
                  <c:v>0.42625103066499453</c:v>
                </c:pt>
                <c:pt idx="8">
                  <c:v>0.47669536665848322</c:v>
                </c:pt>
                <c:pt idx="9">
                  <c:v>0.81045481113412987</c:v>
                </c:pt>
                <c:pt idx="10">
                  <c:v>1.2734823553342682</c:v>
                </c:pt>
                <c:pt idx="11">
                  <c:v>1.1682906445384229</c:v>
                </c:pt>
                <c:pt idx="12">
                  <c:v>1.2049394352779665</c:v>
                </c:pt>
                <c:pt idx="13">
                  <c:v>1.2826759211320238</c:v>
                </c:pt>
                <c:pt idx="14">
                  <c:v>1.3728208699306867</c:v>
                </c:pt>
                <c:pt idx="15">
                  <c:v>1.2644553750184955</c:v>
                </c:pt>
                <c:pt idx="16">
                  <c:v>1.6169698360786597</c:v>
                </c:pt>
                <c:pt idx="17">
                  <c:v>1.3464831214046424</c:v>
                </c:pt>
                <c:pt idx="18">
                  <c:v>1.6323361214046423</c:v>
                </c:pt>
                <c:pt idx="19">
                  <c:v>1.7488764381214932</c:v>
                </c:pt>
                <c:pt idx="20">
                  <c:v>2.2445884240774356</c:v>
                </c:pt>
                <c:pt idx="21">
                  <c:v>2.3626108565834394</c:v>
                </c:pt>
                <c:pt idx="22">
                  <c:v>2.3332120170030066</c:v>
                </c:pt>
                <c:pt idx="23">
                  <c:v>2.1828020913142168</c:v>
                </c:pt>
                <c:pt idx="24">
                  <c:v>2.1692543230766397</c:v>
                </c:pt>
                <c:pt idx="25">
                  <c:v>1.8688605295196572</c:v>
                </c:pt>
                <c:pt idx="26">
                  <c:v>1.4671131956727026</c:v>
                </c:pt>
                <c:pt idx="27">
                  <c:v>1.4592913567800729</c:v>
                </c:pt>
                <c:pt idx="28">
                  <c:v>1.6345623567800729</c:v>
                </c:pt>
                <c:pt idx="29">
                  <c:v>1.6570843668148634</c:v>
                </c:pt>
                <c:pt idx="30">
                  <c:v>1.2770289742320673</c:v>
                </c:pt>
                <c:pt idx="31">
                  <c:v>1.5791517308386425</c:v>
                </c:pt>
                <c:pt idx="32">
                  <c:v>1.4272400560552452</c:v>
                </c:pt>
                <c:pt idx="33">
                  <c:v>1.5081313000546206</c:v>
                </c:pt>
                <c:pt idx="34">
                  <c:v>1.6213104638302447</c:v>
                </c:pt>
                <c:pt idx="35">
                  <c:v>1.5666335283396093</c:v>
                </c:pt>
                <c:pt idx="36">
                  <c:v>1.5816000736737332</c:v>
                </c:pt>
                <c:pt idx="37">
                  <c:v>1.6922608456092838</c:v>
                </c:pt>
                <c:pt idx="38">
                  <c:v>1.7583509574382739</c:v>
                </c:pt>
                <c:pt idx="39">
                  <c:v>1.9228359574382738</c:v>
                </c:pt>
                <c:pt idx="40">
                  <c:v>2.1399599574382737</c:v>
                </c:pt>
                <c:pt idx="41">
                  <c:v>2.1603108019310882</c:v>
                </c:pt>
                <c:pt idx="42">
                  <c:v>1.9224788019310881</c:v>
                </c:pt>
                <c:pt idx="43">
                  <c:v>1.9529380094157966</c:v>
                </c:pt>
                <c:pt idx="44">
                  <c:v>1.997033329281021</c:v>
                </c:pt>
                <c:pt idx="45">
                  <c:v>1.909881377094125</c:v>
                </c:pt>
                <c:pt idx="46">
                  <c:v>1.9148689186051642</c:v>
                </c:pt>
                <c:pt idx="47">
                  <c:v>1.9431751051935886</c:v>
                </c:pt>
                <c:pt idx="48">
                  <c:v>2.1113023990784781</c:v>
                </c:pt>
                <c:pt idx="49">
                  <c:v>2.1491694726781434</c:v>
                </c:pt>
                <c:pt idx="50">
                  <c:v>2.0953747405935101</c:v>
                </c:pt>
                <c:pt idx="51">
                  <c:v>2.7861507405935102</c:v>
                </c:pt>
                <c:pt idx="52">
                  <c:v>1.9829347275491327</c:v>
                </c:pt>
                <c:pt idx="53">
                  <c:v>2.0015747275491327</c:v>
                </c:pt>
                <c:pt idx="54">
                  <c:v>1.9555103735174457</c:v>
                </c:pt>
                <c:pt idx="55">
                  <c:v>1.8552743735174457</c:v>
                </c:pt>
                <c:pt idx="56">
                  <c:v>1.8821103393837566</c:v>
                </c:pt>
                <c:pt idx="57">
                  <c:v>1.4958550024702215</c:v>
                </c:pt>
                <c:pt idx="58">
                  <c:v>1.7194841085402686</c:v>
                </c:pt>
                <c:pt idx="59">
                  <c:v>1.7228324242951532</c:v>
                </c:pt>
                <c:pt idx="60">
                  <c:v>1.7268559711894393</c:v>
                </c:pt>
                <c:pt idx="61">
                  <c:v>1.6959569711894393</c:v>
                </c:pt>
                <c:pt idx="62">
                  <c:v>1.3190439711894393</c:v>
                </c:pt>
                <c:pt idx="63">
                  <c:v>1.338934129668659</c:v>
                </c:pt>
                <c:pt idx="64">
                  <c:v>1.333314129668659</c:v>
                </c:pt>
                <c:pt idx="65">
                  <c:v>1.456665310797981</c:v>
                </c:pt>
                <c:pt idx="66">
                  <c:v>1.3924956774678661</c:v>
                </c:pt>
                <c:pt idx="67">
                  <c:v>1.4914165666531076</c:v>
                </c:pt>
                <c:pt idx="68">
                  <c:v>1.4901318491686506</c:v>
                </c:pt>
                <c:pt idx="69">
                  <c:v>1.2134138491686506</c:v>
                </c:pt>
                <c:pt idx="70">
                  <c:v>1.2046648491686507</c:v>
                </c:pt>
                <c:pt idx="71">
                  <c:v>1.0013578491686508</c:v>
                </c:pt>
                <c:pt idx="72">
                  <c:v>2.1103728491686509</c:v>
                </c:pt>
                <c:pt idx="73">
                  <c:v>2.1684162188185661</c:v>
                </c:pt>
                <c:pt idx="74">
                  <c:v>2.0586705496511488</c:v>
                </c:pt>
                <c:pt idx="75">
                  <c:v>2.8726285496511488</c:v>
                </c:pt>
                <c:pt idx="76">
                  <c:v>2.7574068688777342</c:v>
                </c:pt>
                <c:pt idx="77">
                  <c:v>2.5486448945898652</c:v>
                </c:pt>
                <c:pt idx="78">
                  <c:v>2.3661748945898653</c:v>
                </c:pt>
                <c:pt idx="79">
                  <c:v>2.3961288945898653</c:v>
                </c:pt>
                <c:pt idx="80">
                  <c:v>2.5616938945898653</c:v>
                </c:pt>
                <c:pt idx="81">
                  <c:v>2.3965638945898653</c:v>
                </c:pt>
                <c:pt idx="82">
                  <c:v>2.6338408945898655</c:v>
                </c:pt>
                <c:pt idx="83">
                  <c:v>2.7794838945898657</c:v>
                </c:pt>
                <c:pt idx="84">
                  <c:v>2.7209758945898659</c:v>
                </c:pt>
                <c:pt idx="85">
                  <c:v>2.7078664091704465</c:v>
                </c:pt>
                <c:pt idx="86">
                  <c:v>2.8013964884861431</c:v>
                </c:pt>
                <c:pt idx="87">
                  <c:v>2.9431518218586836</c:v>
                </c:pt>
                <c:pt idx="88">
                  <c:v>2.3067118218586837</c:v>
                </c:pt>
                <c:pt idx="89">
                  <c:v>2.4144505883158969</c:v>
                </c:pt>
                <c:pt idx="90">
                  <c:v>1.8420409785812217</c:v>
                </c:pt>
                <c:pt idx="91">
                  <c:v>2.002385183396064</c:v>
                </c:pt>
                <c:pt idx="92">
                  <c:v>2.1170723572593606</c:v>
                </c:pt>
                <c:pt idx="93">
                  <c:v>2.0202583572593604</c:v>
                </c:pt>
                <c:pt idx="94">
                  <c:v>2.1061535900061661</c:v>
                </c:pt>
                <c:pt idx="95">
                  <c:v>2.2890501772982828</c:v>
                </c:pt>
                <c:pt idx="96">
                  <c:v>2.3618015249549926</c:v>
                </c:pt>
                <c:pt idx="97">
                  <c:v>2.5446656198622155</c:v>
                </c:pt>
                <c:pt idx="98">
                  <c:v>2.3096724045893695</c:v>
                </c:pt>
                <c:pt idx="99">
                  <c:v>2.2544652108806824</c:v>
                </c:pt>
                <c:pt idx="100">
                  <c:v>2.3345321155175012</c:v>
                </c:pt>
                <c:pt idx="101">
                  <c:v>2.2223254870729341</c:v>
                </c:pt>
                <c:pt idx="102">
                  <c:v>2.1978142829101794</c:v>
                </c:pt>
                <c:pt idx="103">
                  <c:v>3.1459238722901484</c:v>
                </c:pt>
                <c:pt idx="104">
                  <c:v>2.86319409356163</c:v>
                </c:pt>
                <c:pt idx="105">
                  <c:v>3.0590388157440715</c:v>
                </c:pt>
                <c:pt idx="106">
                  <c:v>2.7523998157440714</c:v>
                </c:pt>
                <c:pt idx="107">
                  <c:v>2.2268118157440715</c:v>
                </c:pt>
                <c:pt idx="108">
                  <c:v>2.4754007984773017</c:v>
                </c:pt>
                <c:pt idx="109">
                  <c:v>2.3725679544957869</c:v>
                </c:pt>
                <c:pt idx="110">
                  <c:v>1.9494691547674479</c:v>
                </c:pt>
                <c:pt idx="111">
                  <c:v>1.9283891547674479</c:v>
                </c:pt>
                <c:pt idx="112">
                  <c:v>2.048068154767448</c:v>
                </c:pt>
                <c:pt idx="113">
                  <c:v>2.079817154767448</c:v>
                </c:pt>
                <c:pt idx="114">
                  <c:v>2.079407154767448</c:v>
                </c:pt>
                <c:pt idx="115">
                  <c:v>1.5625592157699157</c:v>
                </c:pt>
                <c:pt idx="116">
                  <c:v>1.3771184131372278</c:v>
                </c:pt>
                <c:pt idx="117">
                  <c:v>1.6006902366209246</c:v>
                </c:pt>
                <c:pt idx="118">
                  <c:v>1.6511762366209246</c:v>
                </c:pt>
                <c:pt idx="119">
                  <c:v>1.6306606064088953</c:v>
                </c:pt>
                <c:pt idx="120">
                  <c:v>1.5632946064088953</c:v>
                </c:pt>
                <c:pt idx="121">
                  <c:v>1.4885616064088953</c:v>
                </c:pt>
                <c:pt idx="122">
                  <c:v>1.4667796064088954</c:v>
                </c:pt>
                <c:pt idx="123">
                  <c:v>1.3085549077650811</c:v>
                </c:pt>
                <c:pt idx="124">
                  <c:v>1.2073719077650811</c:v>
                </c:pt>
                <c:pt idx="125">
                  <c:v>1.518965035557585</c:v>
                </c:pt>
                <c:pt idx="126">
                  <c:v>1.1751607487593765</c:v>
                </c:pt>
                <c:pt idx="127">
                  <c:v>1.2256299311624932</c:v>
                </c:pt>
                <c:pt idx="128">
                  <c:v>1.1482790089351573</c:v>
                </c:pt>
                <c:pt idx="129">
                  <c:v>1.1778611853004513</c:v>
                </c:pt>
                <c:pt idx="130">
                  <c:v>0.92120980533692487</c:v>
                </c:pt>
                <c:pt idx="131">
                  <c:v>0.97738265063528695</c:v>
                </c:pt>
                <c:pt idx="132">
                  <c:v>1.084864650635287</c:v>
                </c:pt>
                <c:pt idx="133">
                  <c:v>1.0175879735913187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39-B94D-9A77-C90B6816E926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39-B94D-9A77-C90B6816E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再投資累積報酬!$C$12:$EF$12</c:f>
              <c:numCache>
                <c:formatCode>General</c:formatCode>
                <c:ptCount val="134"/>
                <c:pt idx="0">
                  <c:v>8.4653541666666721E-2</c:v>
                </c:pt>
                <c:pt idx="1">
                  <c:v>0.10723797565216775</c:v>
                </c:pt>
                <c:pt idx="2">
                  <c:v>0.16041449808151942</c:v>
                </c:pt>
                <c:pt idx="3">
                  <c:v>9.5478416673911104E-2</c:v>
                </c:pt>
                <c:pt idx="4">
                  <c:v>6.0480676353950491E-2</c:v>
                </c:pt>
                <c:pt idx="5">
                  <c:v>0.10134175903435416</c:v>
                </c:pt>
                <c:pt idx="6">
                  <c:v>6.1358717365147086E-2</c:v>
                </c:pt>
                <c:pt idx="7">
                  <c:v>3.0146490265452242E-2</c:v>
                </c:pt>
                <c:pt idx="8">
                  <c:v>6.0214404100756846E-2</c:v>
                </c:pt>
                <c:pt idx="9">
                  <c:v>6.9500351293088514E-2</c:v>
                </c:pt>
                <c:pt idx="10">
                  <c:v>8.6133011348402233E-2</c:v>
                </c:pt>
                <c:pt idx="11">
                  <c:v>4.8440552700059536E-2</c:v>
                </c:pt>
                <c:pt idx="12">
                  <c:v>7.7707518125005981E-2</c:v>
                </c:pt>
                <c:pt idx="13">
                  <c:v>7.7433426810774586E-2</c:v>
                </c:pt>
                <c:pt idx="14">
                  <c:v>8.2945235078863533E-2</c:v>
                </c:pt>
                <c:pt idx="15">
                  <c:v>9.7189742948457836E-2</c:v>
                </c:pt>
                <c:pt idx="16">
                  <c:v>0.17514935003717591</c:v>
                </c:pt>
                <c:pt idx="17">
                  <c:v>0.23140106578838315</c:v>
                </c:pt>
                <c:pt idx="18">
                  <c:v>0.21147848448688156</c:v>
                </c:pt>
                <c:pt idx="19">
                  <c:v>0.22300080020522817</c:v>
                </c:pt>
                <c:pt idx="20">
                  <c:v>0.25024735256591413</c:v>
                </c:pt>
                <c:pt idx="21">
                  <c:v>0.3109084474084205</c:v>
                </c:pt>
                <c:pt idx="22">
                  <c:v>0.3379110554869138</c:v>
                </c:pt>
                <c:pt idx="23">
                  <c:v>0.26679829069836947</c:v>
                </c:pt>
                <c:pt idx="24">
                  <c:v>0.31671478160855515</c:v>
                </c:pt>
                <c:pt idx="25">
                  <c:v>0.33084751535420143</c:v>
                </c:pt>
                <c:pt idx="26">
                  <c:v>0.26859985688162791</c:v>
                </c:pt>
                <c:pt idx="27">
                  <c:v>0.26118221397342434</c:v>
                </c:pt>
                <c:pt idx="28">
                  <c:v>0.3347305902830271</c:v>
                </c:pt>
                <c:pt idx="29">
                  <c:v>0.36200200765358703</c:v>
                </c:pt>
                <c:pt idx="30">
                  <c:v>0.35680606476138532</c:v>
                </c:pt>
                <c:pt idx="31">
                  <c:v>0.33548652524742462</c:v>
                </c:pt>
                <c:pt idx="32">
                  <c:v>0.34723051662666204</c:v>
                </c:pt>
                <c:pt idx="33">
                  <c:v>0.32973841571244078</c:v>
                </c:pt>
                <c:pt idx="34">
                  <c:v>0.30783048567179949</c:v>
                </c:pt>
                <c:pt idx="35">
                  <c:v>0.33118703426757401</c:v>
                </c:pt>
                <c:pt idx="36">
                  <c:v>0.35342684592306761</c:v>
                </c:pt>
                <c:pt idx="37">
                  <c:v>0.38948975527079699</c:v>
                </c:pt>
                <c:pt idx="38">
                  <c:v>0.39258664036604163</c:v>
                </c:pt>
                <c:pt idx="39">
                  <c:v>0.39903942266195114</c:v>
                </c:pt>
                <c:pt idx="40">
                  <c:v>0.40838730859104966</c:v>
                </c:pt>
                <c:pt idx="41">
                  <c:v>0.37708868083163583</c:v>
                </c:pt>
                <c:pt idx="42">
                  <c:v>0.38513551205731655</c:v>
                </c:pt>
                <c:pt idx="43">
                  <c:v>0.40429872987384075</c:v>
                </c:pt>
                <c:pt idx="44">
                  <c:v>0.43337987295678482</c:v>
                </c:pt>
                <c:pt idx="45">
                  <c:v>0.37409515993947884</c:v>
                </c:pt>
                <c:pt idx="46">
                  <c:v>0.37494912850194839</c:v>
                </c:pt>
                <c:pt idx="47">
                  <c:v>0.43489480305606287</c:v>
                </c:pt>
                <c:pt idx="48">
                  <c:v>0.47070302338760839</c:v>
                </c:pt>
                <c:pt idx="49">
                  <c:v>0.46732036809015121</c:v>
                </c:pt>
                <c:pt idx="50">
                  <c:v>0.4745658319967736</c:v>
                </c:pt>
                <c:pt idx="51">
                  <c:v>0.48309630285530014</c:v>
                </c:pt>
                <c:pt idx="52">
                  <c:v>0.50129803090398761</c:v>
                </c:pt>
                <c:pt idx="53">
                  <c:v>0.57521285996490867</c:v>
                </c:pt>
                <c:pt idx="54">
                  <c:v>0.60452569653254984</c:v>
                </c:pt>
                <c:pt idx="55">
                  <c:v>0.56665777026915598</c:v>
                </c:pt>
                <c:pt idx="56">
                  <c:v>0.61940848854442421</c:v>
                </c:pt>
                <c:pt idx="57">
                  <c:v>0.64244191848238241</c:v>
                </c:pt>
                <c:pt idx="58">
                  <c:v>0.72459892127549552</c:v>
                </c:pt>
                <c:pt idx="59">
                  <c:v>0.7232261520546226</c:v>
                </c:pt>
                <c:pt idx="60">
                  <c:v>0.68654786075759922</c:v>
                </c:pt>
                <c:pt idx="61">
                  <c:v>0.70520127334785387</c:v>
                </c:pt>
                <c:pt idx="62">
                  <c:v>0.65375272207898605</c:v>
                </c:pt>
                <c:pt idx="63">
                  <c:v>0.63460893485603842</c:v>
                </c:pt>
                <c:pt idx="64">
                  <c:v>0.66225648902690026</c:v>
                </c:pt>
                <c:pt idx="65">
                  <c:v>0.64478786001008692</c:v>
                </c:pt>
                <c:pt idx="66">
                  <c:v>0.66764506507660148</c:v>
                </c:pt>
                <c:pt idx="67">
                  <c:v>0.7822016333789561</c:v>
                </c:pt>
                <c:pt idx="68">
                  <c:v>0.81581982565953304</c:v>
                </c:pt>
                <c:pt idx="69">
                  <c:v>0.77716433165946541</c:v>
                </c:pt>
                <c:pt idx="70">
                  <c:v>0.69171258736984265</c:v>
                </c:pt>
                <c:pt idx="71">
                  <c:v>0.74593757959299167</c:v>
                </c:pt>
                <c:pt idx="72">
                  <c:v>0.84281538197490669</c:v>
                </c:pt>
                <c:pt idx="73">
                  <c:v>0.82994303299966621</c:v>
                </c:pt>
                <c:pt idx="74">
                  <c:v>0.8910096965720482</c:v>
                </c:pt>
                <c:pt idx="75">
                  <c:v>0.89815276902265473</c:v>
                </c:pt>
                <c:pt idx="76">
                  <c:v>0.83285576816259344</c:v>
                </c:pt>
                <c:pt idx="77">
                  <c:v>0.82929408561245532</c:v>
                </c:pt>
                <c:pt idx="78">
                  <c:v>0.94923365785030822</c:v>
                </c:pt>
                <c:pt idx="79">
                  <c:v>1.0355038563053105</c:v>
                </c:pt>
                <c:pt idx="80">
                  <c:v>1.3489860167508003</c:v>
                </c:pt>
                <c:pt idx="81">
                  <c:v>1.3585652796015273</c:v>
                </c:pt>
                <c:pt idx="82">
                  <c:v>1.3592936094735459</c:v>
                </c:pt>
                <c:pt idx="83">
                  <c:v>1.3369916985026946</c:v>
                </c:pt>
                <c:pt idx="84">
                  <c:v>1.2801064480088429</c:v>
                </c:pt>
                <c:pt idx="85">
                  <c:v>1.2448897924087241</c:v>
                </c:pt>
                <c:pt idx="86">
                  <c:v>1.2736314400326503</c:v>
                </c:pt>
                <c:pt idx="87">
                  <c:v>1.5419554360448346</c:v>
                </c:pt>
                <c:pt idx="88">
                  <c:v>1.3596754657869989</c:v>
                </c:pt>
                <c:pt idx="89">
                  <c:v>1.4235842110657</c:v>
                </c:pt>
                <c:pt idx="90">
                  <c:v>1.3634313713991255</c:v>
                </c:pt>
                <c:pt idx="91">
                  <c:v>1.4704924998290827</c:v>
                </c:pt>
                <c:pt idx="92">
                  <c:v>1.560843833056361</c:v>
                </c:pt>
                <c:pt idx="93">
                  <c:v>1.6841407277356124</c:v>
                </c:pt>
                <c:pt idx="94">
                  <c:v>1.7249440894210992</c:v>
                </c:pt>
                <c:pt idx="95">
                  <c:v>1.6995229137127383</c:v>
                </c:pt>
                <c:pt idx="96">
                  <c:v>1.603355877011055</c:v>
                </c:pt>
                <c:pt idx="97">
                  <c:v>1.7726607176780673</c:v>
                </c:pt>
                <c:pt idx="98">
                  <c:v>1.8088069787534065</c:v>
                </c:pt>
                <c:pt idx="99">
                  <c:v>1.6374981710501535</c:v>
                </c:pt>
                <c:pt idx="100">
                  <c:v>1.6532781701904584</c:v>
                </c:pt>
                <c:pt idx="101">
                  <c:v>1.446873486252251</c:v>
                </c:pt>
                <c:pt idx="102">
                  <c:v>1.4331617355878032</c:v>
                </c:pt>
                <c:pt idx="103">
                  <c:v>1.5197464836670256</c:v>
                </c:pt>
                <c:pt idx="104">
                  <c:v>1.5084041880790631</c:v>
                </c:pt>
                <c:pt idx="105">
                  <c:v>1.3329148621587397</c:v>
                </c:pt>
                <c:pt idx="106">
                  <c:v>1.2460476594112211</c:v>
                </c:pt>
                <c:pt idx="107">
                  <c:v>1.1214232250178324</c:v>
                </c:pt>
                <c:pt idx="108">
                  <c:v>1.2219668517996292</c:v>
                </c:pt>
                <c:pt idx="109">
                  <c:v>1.1535232620435938</c:v>
                </c:pt>
                <c:pt idx="110">
                  <c:v>1.0889622399752916</c:v>
                </c:pt>
                <c:pt idx="111">
                  <c:v>1.0573798944298285</c:v>
                </c:pt>
                <c:pt idx="112">
                  <c:v>1.1230683483199955</c:v>
                </c:pt>
                <c:pt idx="113">
                  <c:v>1.1165088190437267</c:v>
                </c:pt>
                <c:pt idx="114">
                  <c:v>1.1572253999667157</c:v>
                </c:pt>
                <c:pt idx="115">
                  <c:v>1.1972234727476811</c:v>
                </c:pt>
                <c:pt idx="116">
                  <c:v>1.1475668074274168</c:v>
                </c:pt>
                <c:pt idx="117">
                  <c:v>1.275150947929895</c:v>
                </c:pt>
                <c:pt idx="118">
                  <c:v>1.3521922278261429</c:v>
                </c:pt>
                <c:pt idx="119">
                  <c:v>1.3963639122547051</c:v>
                </c:pt>
                <c:pt idx="120">
                  <c:v>1.563273080069282</c:v>
                </c:pt>
                <c:pt idx="121">
                  <c:v>1.6276570261845662</c:v>
                </c:pt>
                <c:pt idx="122">
                  <c:v>1.7780384399645106</c:v>
                </c:pt>
                <c:pt idx="123">
                  <c:v>1.6431623832739604</c:v>
                </c:pt>
                <c:pt idx="124">
                  <c:v>1.5243058411393808</c:v>
                </c:pt>
                <c:pt idx="125">
                  <c:v>1.6509050309977567</c:v>
                </c:pt>
                <c:pt idx="126">
                  <c:v>1.6101943663782472</c:v>
                </c:pt>
                <c:pt idx="127">
                  <c:v>1.6209894137274934</c:v>
                </c:pt>
                <c:pt idx="128">
                  <c:v>1.4532357610825586</c:v>
                </c:pt>
                <c:pt idx="129">
                  <c:v>1.4462972086944625</c:v>
                </c:pt>
                <c:pt idx="130">
                  <c:v>1.4827076960691423</c:v>
                </c:pt>
                <c:pt idx="131">
                  <c:v>1.6329317527216936</c:v>
                </c:pt>
                <c:pt idx="132">
                  <c:v>1.7027220518999147</c:v>
                </c:pt>
                <c:pt idx="133">
                  <c:v>1.5966852169855974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9-8F4B-B4BC-7B9D5D03F9F7}"/>
            </c:ext>
          </c:extLst>
        </c:ser>
        <c:ser>
          <c:idx val="1"/>
          <c:order val="1"/>
          <c:tx>
            <c:strRef>
              <c:f>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再投資累積報酬!$C$13:$EF$13</c:f>
              <c:numCache>
                <c:formatCode>General</c:formatCode>
                <c:ptCount val="134"/>
                <c:pt idx="0">
                  <c:v>0.10411314583333331</c:v>
                </c:pt>
                <c:pt idx="1">
                  <c:v>0.13710140846791607</c:v>
                </c:pt>
                <c:pt idx="2">
                  <c:v>0.21654078161947066</c:v>
                </c:pt>
                <c:pt idx="3">
                  <c:v>0.14356472554982491</c:v>
                </c:pt>
                <c:pt idx="4">
                  <c:v>0.12978773895778639</c:v>
                </c:pt>
                <c:pt idx="5">
                  <c:v>0.1636704733822878</c:v>
                </c:pt>
                <c:pt idx="6">
                  <c:v>0.1256383907413674</c:v>
                </c:pt>
                <c:pt idx="7">
                  <c:v>7.6224202083410297E-2</c:v>
                </c:pt>
                <c:pt idx="8">
                  <c:v>0.14114865313837477</c:v>
                </c:pt>
                <c:pt idx="9">
                  <c:v>0.16623163730640211</c:v>
                </c:pt>
                <c:pt idx="10">
                  <c:v>0.15724155849196353</c:v>
                </c:pt>
                <c:pt idx="11">
                  <c:v>0.10702604967722662</c:v>
                </c:pt>
                <c:pt idx="12">
                  <c:v>0.12631343111662874</c:v>
                </c:pt>
                <c:pt idx="13">
                  <c:v>0.11924283224052745</c:v>
                </c:pt>
                <c:pt idx="14">
                  <c:v>9.9704899016138882E-2</c:v>
                </c:pt>
                <c:pt idx="15">
                  <c:v>0.11786180888016706</c:v>
                </c:pt>
                <c:pt idx="16">
                  <c:v>0.25526412624546091</c:v>
                </c:pt>
                <c:pt idx="17">
                  <c:v>0.34844750571190763</c:v>
                </c:pt>
                <c:pt idx="18">
                  <c:v>0.35060004932086941</c:v>
                </c:pt>
                <c:pt idx="19">
                  <c:v>0.3535938432832606</c:v>
                </c:pt>
                <c:pt idx="20">
                  <c:v>0.39569479155064191</c:v>
                </c:pt>
                <c:pt idx="21">
                  <c:v>0.49304585536722567</c:v>
                </c:pt>
                <c:pt idx="22">
                  <c:v>0.48306729432062467</c:v>
                </c:pt>
                <c:pt idx="23">
                  <c:v>0.36256599721692662</c:v>
                </c:pt>
                <c:pt idx="24">
                  <c:v>0.40633094985138518</c:v>
                </c:pt>
                <c:pt idx="25">
                  <c:v>0.42742812672039276</c:v>
                </c:pt>
                <c:pt idx="26">
                  <c:v>0.3321163235262794</c:v>
                </c:pt>
                <c:pt idx="27">
                  <c:v>0.32335227001875744</c:v>
                </c:pt>
                <c:pt idx="28">
                  <c:v>0.41032229195841619</c:v>
                </c:pt>
                <c:pt idx="29">
                  <c:v>0.4553686401194228</c:v>
                </c:pt>
                <c:pt idx="30">
                  <c:v>0.46978436881927488</c:v>
                </c:pt>
                <c:pt idx="31">
                  <c:v>0.43310559631162415</c:v>
                </c:pt>
                <c:pt idx="32">
                  <c:v>0.45982734972783956</c:v>
                </c:pt>
                <c:pt idx="33">
                  <c:v>0.48359402508314764</c:v>
                </c:pt>
                <c:pt idx="34">
                  <c:v>0.42668426285364602</c:v>
                </c:pt>
                <c:pt idx="35">
                  <c:v>0.45971404169295638</c:v>
                </c:pt>
                <c:pt idx="36">
                  <c:v>0.43864437431893455</c:v>
                </c:pt>
                <c:pt idx="37">
                  <c:v>0.48177156698116375</c:v>
                </c:pt>
                <c:pt idx="38">
                  <c:v>0.49556862046533601</c:v>
                </c:pt>
                <c:pt idx="39">
                  <c:v>0.5054211461178455</c:v>
                </c:pt>
                <c:pt idx="40">
                  <c:v>0.52210406644442076</c:v>
                </c:pt>
                <c:pt idx="41">
                  <c:v>0.49037117420706022</c:v>
                </c:pt>
                <c:pt idx="42">
                  <c:v>0.49325715378831436</c:v>
                </c:pt>
                <c:pt idx="43">
                  <c:v>0.55367894919132143</c:v>
                </c:pt>
                <c:pt idx="44">
                  <c:v>0.61734269431645106</c:v>
                </c:pt>
                <c:pt idx="45">
                  <c:v>0.60201760786767444</c:v>
                </c:pt>
                <c:pt idx="46">
                  <c:v>0.60855386146808144</c:v>
                </c:pt>
                <c:pt idx="47">
                  <c:v>0.71657434611881166</c:v>
                </c:pt>
                <c:pt idx="48">
                  <c:v>0.74672485246720699</c:v>
                </c:pt>
                <c:pt idx="49">
                  <c:v>0.73257032444707271</c:v>
                </c:pt>
                <c:pt idx="50">
                  <c:v>0.7439029588391266</c:v>
                </c:pt>
                <c:pt idx="51">
                  <c:v>0.78932461897373907</c:v>
                </c:pt>
                <c:pt idx="52">
                  <c:v>0.80951494126139445</c:v>
                </c:pt>
                <c:pt idx="53">
                  <c:v>0.88492960539138221</c:v>
                </c:pt>
                <c:pt idx="54">
                  <c:v>0.93656123204203223</c:v>
                </c:pt>
                <c:pt idx="55">
                  <c:v>0.8856247495461953</c:v>
                </c:pt>
                <c:pt idx="56">
                  <c:v>0.97343162343088085</c:v>
                </c:pt>
                <c:pt idx="57">
                  <c:v>0.99015789667278553</c:v>
                </c:pt>
                <c:pt idx="58">
                  <c:v>1.0944603454892596</c:v>
                </c:pt>
                <c:pt idx="59">
                  <c:v>1.059174791945602</c:v>
                </c:pt>
                <c:pt idx="60">
                  <c:v>1.0213044571151775</c:v>
                </c:pt>
                <c:pt idx="61">
                  <c:v>1.04883251829561</c:v>
                </c:pt>
                <c:pt idx="62">
                  <c:v>0.99309731630420939</c:v>
                </c:pt>
                <c:pt idx="63">
                  <c:v>0.92223729861460768</c:v>
                </c:pt>
                <c:pt idx="64">
                  <c:v>0.92878684165031222</c:v>
                </c:pt>
                <c:pt idx="65">
                  <c:v>0.94698050098744768</c:v>
                </c:pt>
                <c:pt idx="66">
                  <c:v>1.0280782039918459</c:v>
                </c:pt>
                <c:pt idx="67">
                  <c:v>1.1899826415681636</c:v>
                </c:pt>
                <c:pt idx="68">
                  <c:v>1.2062311561078483</c:v>
                </c:pt>
                <c:pt idx="69">
                  <c:v>1.1319519953597545</c:v>
                </c:pt>
                <c:pt idx="70">
                  <c:v>0.97278436796485335</c:v>
                </c:pt>
                <c:pt idx="71">
                  <c:v>1.0348091605900862</c:v>
                </c:pt>
                <c:pt idx="72">
                  <c:v>1.2102714327774895</c:v>
                </c:pt>
                <c:pt idx="73">
                  <c:v>1.2086233686253949</c:v>
                </c:pt>
                <c:pt idx="74">
                  <c:v>1.2406757892552247</c:v>
                </c:pt>
                <c:pt idx="75">
                  <c:v>1.2098469846013007</c:v>
                </c:pt>
                <c:pt idx="76">
                  <c:v>1.1357473554703033</c:v>
                </c:pt>
                <c:pt idx="77">
                  <c:v>1.1498343749558324</c:v>
                </c:pt>
                <c:pt idx="78">
                  <c:v>1.4080680012539122</c:v>
                </c:pt>
                <c:pt idx="79">
                  <c:v>1.5411278053865312</c:v>
                </c:pt>
                <c:pt idx="80">
                  <c:v>2.0082575593730128</c:v>
                </c:pt>
                <c:pt idx="81">
                  <c:v>2.0630955251270504</c:v>
                </c:pt>
                <c:pt idx="82">
                  <c:v>2.0862537397723235</c:v>
                </c:pt>
                <c:pt idx="83">
                  <c:v>2.00706741288068</c:v>
                </c:pt>
                <c:pt idx="84">
                  <c:v>1.9833261144780847</c:v>
                </c:pt>
                <c:pt idx="85">
                  <c:v>1.9925925878386725</c:v>
                </c:pt>
                <c:pt idx="86">
                  <c:v>2.088491023031009</c:v>
                </c:pt>
                <c:pt idx="87">
                  <c:v>2.3400590130332528</c:v>
                </c:pt>
                <c:pt idx="88">
                  <c:v>2.001202232689999</c:v>
                </c:pt>
                <c:pt idx="89">
                  <c:v>2.0818972557973545</c:v>
                </c:pt>
                <c:pt idx="90">
                  <c:v>1.9730004377397772</c:v>
                </c:pt>
                <c:pt idx="91">
                  <c:v>2.1802974725075615</c:v>
                </c:pt>
                <c:pt idx="92">
                  <c:v>2.3017369731042354</c:v>
                </c:pt>
                <c:pt idx="93">
                  <c:v>2.5143056196663505</c:v>
                </c:pt>
                <c:pt idx="94">
                  <c:v>2.476234967253808</c:v>
                </c:pt>
                <c:pt idx="95">
                  <c:v>2.4776551486892391</c:v>
                </c:pt>
                <c:pt idx="96">
                  <c:v>2.3484206067096474</c:v>
                </c:pt>
                <c:pt idx="97">
                  <c:v>2.6084457289741949</c:v>
                </c:pt>
                <c:pt idx="98">
                  <c:v>2.7394652170821092</c:v>
                </c:pt>
                <c:pt idx="99">
                  <c:v>2.5149729472437188</c:v>
                </c:pt>
                <c:pt idx="100">
                  <c:v>2.5610849638499089</c:v>
                </c:pt>
                <c:pt idx="101">
                  <c:v>2.3573046531810791</c:v>
                </c:pt>
                <c:pt idx="102">
                  <c:v>2.3760507577059986</c:v>
                </c:pt>
                <c:pt idx="103">
                  <c:v>2.5831923533662384</c:v>
                </c:pt>
                <c:pt idx="104">
                  <c:v>2.5324906587495266</c:v>
                </c:pt>
                <c:pt idx="105">
                  <c:v>2.2888298424311264</c:v>
                </c:pt>
                <c:pt idx="106">
                  <c:v>2.1488444316043296</c:v>
                </c:pt>
                <c:pt idx="107">
                  <c:v>1.8871040199299678</c:v>
                </c:pt>
                <c:pt idx="108">
                  <c:v>2.0930577800112227</c:v>
                </c:pt>
                <c:pt idx="109">
                  <c:v>1.9730269808739269</c:v>
                </c:pt>
                <c:pt idx="110">
                  <c:v>1.8851133254650079</c:v>
                </c:pt>
                <c:pt idx="111">
                  <c:v>1.8678492280711185</c:v>
                </c:pt>
                <c:pt idx="112">
                  <c:v>1.9234464883968245</c:v>
                </c:pt>
                <c:pt idx="113">
                  <c:v>1.844154032007443</c:v>
                </c:pt>
                <c:pt idx="114">
                  <c:v>1.842641060568833</c:v>
                </c:pt>
                <c:pt idx="115">
                  <c:v>1.8789583286076041</c:v>
                </c:pt>
                <c:pt idx="116">
                  <c:v>1.7439599063726186</c:v>
                </c:pt>
                <c:pt idx="117">
                  <c:v>1.9031982352429346</c:v>
                </c:pt>
                <c:pt idx="118">
                  <c:v>2.0018098390669068</c:v>
                </c:pt>
                <c:pt idx="119">
                  <c:v>2.0431483905563819</c:v>
                </c:pt>
                <c:pt idx="120">
                  <c:v>2.2518982897195059</c:v>
                </c:pt>
                <c:pt idx="121">
                  <c:v>2.4171966833982159</c:v>
                </c:pt>
                <c:pt idx="122">
                  <c:v>2.5299845347472623</c:v>
                </c:pt>
                <c:pt idx="123">
                  <c:v>2.2489266576875266</c:v>
                </c:pt>
                <c:pt idx="124">
                  <c:v>2.1123792113408784</c:v>
                </c:pt>
                <c:pt idx="125">
                  <c:v>2.3132004365864463</c:v>
                </c:pt>
                <c:pt idx="126">
                  <c:v>2.1959593779902984</c:v>
                </c:pt>
                <c:pt idx="127">
                  <c:v>2.2426485556520444</c:v>
                </c:pt>
                <c:pt idx="128">
                  <c:v>2.0051476721389792</c:v>
                </c:pt>
                <c:pt idx="129">
                  <c:v>1.9409179952209747</c:v>
                </c:pt>
                <c:pt idx="130">
                  <c:v>2.0055736436532143</c:v>
                </c:pt>
                <c:pt idx="131">
                  <c:v>2.2029860132153729</c:v>
                </c:pt>
                <c:pt idx="132">
                  <c:v>2.3350591396040503</c:v>
                </c:pt>
                <c:pt idx="133">
                  <c:v>2.1130201890164351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9-8F4B-B4BC-7B9D5D03F9F7}"/>
            </c:ext>
          </c:extLst>
        </c:ser>
        <c:ser>
          <c:idx val="2"/>
          <c:order val="2"/>
          <c:tx>
            <c:strRef>
              <c:f>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再投資累積報酬!$C$14:$EF$14</c:f>
              <c:numCache>
                <c:formatCode>General</c:formatCode>
                <c:ptCount val="134"/>
                <c:pt idx="0">
                  <c:v>0.11994163157894744</c:v>
                </c:pt>
                <c:pt idx="1">
                  <c:v>0.21328575565647134</c:v>
                </c:pt>
                <c:pt idx="2">
                  <c:v>0.33311975474258482</c:v>
                </c:pt>
                <c:pt idx="3">
                  <c:v>0.25267676927355431</c:v>
                </c:pt>
                <c:pt idx="4">
                  <c:v>0.18546235480038686</c:v>
                </c:pt>
                <c:pt idx="5">
                  <c:v>0.25610280866783164</c:v>
                </c:pt>
                <c:pt idx="6">
                  <c:v>0.2011013830098336</c:v>
                </c:pt>
                <c:pt idx="7">
                  <c:v>7.487333999069623E-2</c:v>
                </c:pt>
                <c:pt idx="8">
                  <c:v>0.12950642841375815</c:v>
                </c:pt>
                <c:pt idx="9">
                  <c:v>0.19306498062823296</c:v>
                </c:pt>
                <c:pt idx="10">
                  <c:v>0.18710619364150349</c:v>
                </c:pt>
                <c:pt idx="11">
                  <c:v>0.1190025919312907</c:v>
                </c:pt>
                <c:pt idx="12">
                  <c:v>0.12067483828792924</c:v>
                </c:pt>
                <c:pt idx="13">
                  <c:v>0.12800564416237781</c:v>
                </c:pt>
                <c:pt idx="14">
                  <c:v>3.8557438841517522E-2</c:v>
                </c:pt>
                <c:pt idx="15">
                  <c:v>2.011026108368541E-2</c:v>
                </c:pt>
                <c:pt idx="16">
                  <c:v>0.18933964437909379</c:v>
                </c:pt>
                <c:pt idx="17">
                  <c:v>0.2309897892721533</c:v>
                </c:pt>
                <c:pt idx="18">
                  <c:v>0.27601725772883157</c:v>
                </c:pt>
                <c:pt idx="19">
                  <c:v>0.20912677405351099</c:v>
                </c:pt>
                <c:pt idx="20">
                  <c:v>0.29861202106826723</c:v>
                </c:pt>
                <c:pt idx="21">
                  <c:v>0.44569685506613754</c:v>
                </c:pt>
                <c:pt idx="22">
                  <c:v>0.36590741235350643</c:v>
                </c:pt>
                <c:pt idx="23">
                  <c:v>0.20650051044196349</c:v>
                </c:pt>
                <c:pt idx="24">
                  <c:v>0.25409717311345315</c:v>
                </c:pt>
                <c:pt idx="25">
                  <c:v>0.28837914660696828</c:v>
                </c:pt>
                <c:pt idx="26">
                  <c:v>0.29235580915896686</c:v>
                </c:pt>
                <c:pt idx="27">
                  <c:v>0.30905318399292803</c:v>
                </c:pt>
                <c:pt idx="28">
                  <c:v>0.31431433763693151</c:v>
                </c:pt>
                <c:pt idx="29">
                  <c:v>0.36743984652576422</c:v>
                </c:pt>
                <c:pt idx="30">
                  <c:v>0.40207613380814777</c:v>
                </c:pt>
                <c:pt idx="31">
                  <c:v>0.28857500804789971</c:v>
                </c:pt>
                <c:pt idx="32">
                  <c:v>0.24287873140084604</c:v>
                </c:pt>
                <c:pt idx="33">
                  <c:v>0.22416217573769992</c:v>
                </c:pt>
                <c:pt idx="34">
                  <c:v>0.12931979615395672</c:v>
                </c:pt>
                <c:pt idx="35">
                  <c:v>0.17219915375145711</c:v>
                </c:pt>
                <c:pt idx="36">
                  <c:v>0.12242305775664386</c:v>
                </c:pt>
                <c:pt idx="37">
                  <c:v>0.14389784297776997</c:v>
                </c:pt>
                <c:pt idx="38">
                  <c:v>0.21356774808469159</c:v>
                </c:pt>
                <c:pt idx="39">
                  <c:v>0.20500583600599387</c:v>
                </c:pt>
                <c:pt idx="40">
                  <c:v>0.21479822080025679</c:v>
                </c:pt>
                <c:pt idx="41">
                  <c:v>0.20558678045377521</c:v>
                </c:pt>
                <c:pt idx="42">
                  <c:v>0.19442672707905029</c:v>
                </c:pt>
                <c:pt idx="43">
                  <c:v>0.23564230811506981</c:v>
                </c:pt>
                <c:pt idx="44">
                  <c:v>0.28505768159484002</c:v>
                </c:pt>
                <c:pt idx="45">
                  <c:v>0.26104909615401395</c:v>
                </c:pt>
                <c:pt idx="46">
                  <c:v>0.23789253797568821</c:v>
                </c:pt>
                <c:pt idx="47">
                  <c:v>0.40742319396941418</c:v>
                </c:pt>
                <c:pt idx="48">
                  <c:v>0.42863041381827749</c:v>
                </c:pt>
                <c:pt idx="49">
                  <c:v>0.35241502536524716</c:v>
                </c:pt>
                <c:pt idx="50">
                  <c:v>0.37624680357094209</c:v>
                </c:pt>
                <c:pt idx="51">
                  <c:v>0.5164836003612141</c:v>
                </c:pt>
                <c:pt idx="52">
                  <c:v>0.50159021650637126</c:v>
                </c:pt>
                <c:pt idx="53">
                  <c:v>0.52624466820906157</c:v>
                </c:pt>
                <c:pt idx="54">
                  <c:v>0.59307443894038547</c:v>
                </c:pt>
                <c:pt idx="55">
                  <c:v>0.58472345888543686</c:v>
                </c:pt>
                <c:pt idx="56">
                  <c:v>0.65029022575751894</c:v>
                </c:pt>
                <c:pt idx="57">
                  <c:v>0.65910732305099229</c:v>
                </c:pt>
                <c:pt idx="58">
                  <c:v>0.74236997726708087</c:v>
                </c:pt>
                <c:pt idx="59">
                  <c:v>0.7074925677140842</c:v>
                </c:pt>
                <c:pt idx="60">
                  <c:v>0.697941278333994</c:v>
                </c:pt>
                <c:pt idx="61">
                  <c:v>0.71589119860589734</c:v>
                </c:pt>
                <c:pt idx="62">
                  <c:v>0.67921465640613787</c:v>
                </c:pt>
                <c:pt idx="63">
                  <c:v>0.63540737115564361</c:v>
                </c:pt>
                <c:pt idx="64">
                  <c:v>0.65978165476349182</c:v>
                </c:pt>
                <c:pt idx="65">
                  <c:v>0.68579663007675751</c:v>
                </c:pt>
                <c:pt idx="66">
                  <c:v>0.71250558922526119</c:v>
                </c:pt>
                <c:pt idx="67">
                  <c:v>0.88384592295739073</c:v>
                </c:pt>
                <c:pt idx="68">
                  <c:v>0.80567770473090095</c:v>
                </c:pt>
                <c:pt idx="69">
                  <c:v>0.83328347569483885</c:v>
                </c:pt>
                <c:pt idx="70">
                  <c:v>0.62949549155939266</c:v>
                </c:pt>
                <c:pt idx="71">
                  <c:v>0.69676466749362986</c:v>
                </c:pt>
                <c:pt idx="72">
                  <c:v>0.89767553545582968</c:v>
                </c:pt>
                <c:pt idx="73">
                  <c:v>0.92487927459709862</c:v>
                </c:pt>
                <c:pt idx="74">
                  <c:v>0.93757634298448211</c:v>
                </c:pt>
                <c:pt idx="75">
                  <c:v>1.03636520249708</c:v>
                </c:pt>
                <c:pt idx="76">
                  <c:v>0.98654498591079132</c:v>
                </c:pt>
                <c:pt idx="77">
                  <c:v>0.94258748021877725</c:v>
                </c:pt>
                <c:pt idx="78">
                  <c:v>1.176854226361546</c:v>
                </c:pt>
                <c:pt idx="79">
                  <c:v>1.2811720597419431</c:v>
                </c:pt>
                <c:pt idx="80">
                  <c:v>1.6702370002061682</c:v>
                </c:pt>
                <c:pt idx="81">
                  <c:v>1.6160036434992437</c:v>
                </c:pt>
                <c:pt idx="82">
                  <c:v>1.9794369063108586</c:v>
                </c:pt>
                <c:pt idx="83">
                  <c:v>1.9915141322168242</c:v>
                </c:pt>
                <c:pt idx="84">
                  <c:v>1.9800621437743615</c:v>
                </c:pt>
                <c:pt idx="85">
                  <c:v>2.0654941330367107</c:v>
                </c:pt>
                <c:pt idx="86">
                  <c:v>2.1084612158427412</c:v>
                </c:pt>
                <c:pt idx="87">
                  <c:v>2.3020249554958823</c:v>
                </c:pt>
                <c:pt idx="88">
                  <c:v>1.9385781940667233</c:v>
                </c:pt>
                <c:pt idx="89">
                  <c:v>2.0062439192766699</c:v>
                </c:pt>
                <c:pt idx="90">
                  <c:v>1.7694608485703331</c:v>
                </c:pt>
                <c:pt idx="91">
                  <c:v>2.0458788844310258</c:v>
                </c:pt>
                <c:pt idx="92">
                  <c:v>2.2079550588416543</c:v>
                </c:pt>
                <c:pt idx="93">
                  <c:v>2.4089047405222939</c:v>
                </c:pt>
                <c:pt idx="94">
                  <c:v>2.2076869104361383</c:v>
                </c:pt>
                <c:pt idx="95">
                  <c:v>2.1766946042790671</c:v>
                </c:pt>
                <c:pt idx="96">
                  <c:v>2.3162058274528787</c:v>
                </c:pt>
                <c:pt idx="97">
                  <c:v>2.8182689143577804</c:v>
                </c:pt>
                <c:pt idx="98">
                  <c:v>2.9891894628133842</c:v>
                </c:pt>
                <c:pt idx="99">
                  <c:v>2.8443842433700661</c:v>
                </c:pt>
                <c:pt idx="100">
                  <c:v>2.9549453522717943</c:v>
                </c:pt>
                <c:pt idx="101">
                  <c:v>2.7015774601492262</c:v>
                </c:pt>
                <c:pt idx="102">
                  <c:v>2.7915416691280104</c:v>
                </c:pt>
                <c:pt idx="103">
                  <c:v>3.1336866492096291</c:v>
                </c:pt>
                <c:pt idx="104">
                  <c:v>2.9559441502905961</c:v>
                </c:pt>
                <c:pt idx="105">
                  <c:v>2.6426122019750617</c:v>
                </c:pt>
                <c:pt idx="106">
                  <c:v>2.5294814859375738</c:v>
                </c:pt>
                <c:pt idx="107">
                  <c:v>1.8180634078464015</c:v>
                </c:pt>
                <c:pt idx="108">
                  <c:v>2.0641502475518179</c:v>
                </c:pt>
                <c:pt idx="109">
                  <c:v>2.0383708149965081</c:v>
                </c:pt>
                <c:pt idx="110">
                  <c:v>1.9148332869567737</c:v>
                </c:pt>
                <c:pt idx="111">
                  <c:v>1.8684938810098477</c:v>
                </c:pt>
                <c:pt idx="112">
                  <c:v>2.1026251827254607</c:v>
                </c:pt>
                <c:pt idx="113">
                  <c:v>2.1313948462685008</c:v>
                </c:pt>
                <c:pt idx="114">
                  <c:v>2.1349041510296374</c:v>
                </c:pt>
                <c:pt idx="115">
                  <c:v>1.9940349112664735</c:v>
                </c:pt>
                <c:pt idx="116">
                  <c:v>1.8701547851728844</c:v>
                </c:pt>
                <c:pt idx="117">
                  <c:v>2.0507300226140908</c:v>
                </c:pt>
                <c:pt idx="118">
                  <c:v>2.2216295100098615</c:v>
                </c:pt>
                <c:pt idx="119">
                  <c:v>2.3911597715900426</c:v>
                </c:pt>
                <c:pt idx="120">
                  <c:v>2.581239988214648</c:v>
                </c:pt>
                <c:pt idx="121">
                  <c:v>3.0026527910257332</c:v>
                </c:pt>
                <c:pt idx="122">
                  <c:v>3.2780203457668211</c:v>
                </c:pt>
                <c:pt idx="123">
                  <c:v>2.8148717904064009</c:v>
                </c:pt>
                <c:pt idx="124">
                  <c:v>2.8079672740312169</c:v>
                </c:pt>
                <c:pt idx="125">
                  <c:v>3.1961191113675671</c:v>
                </c:pt>
                <c:pt idx="126">
                  <c:v>3.0366788380264342</c:v>
                </c:pt>
                <c:pt idx="127">
                  <c:v>3.1250077219837946</c:v>
                </c:pt>
                <c:pt idx="128">
                  <c:v>2.8028228970684603</c:v>
                </c:pt>
                <c:pt idx="129">
                  <c:v>2.6766553750442323</c:v>
                </c:pt>
                <c:pt idx="130">
                  <c:v>2.8357075510178689</c:v>
                </c:pt>
                <c:pt idx="131">
                  <c:v>3.2293651015020943</c:v>
                </c:pt>
                <c:pt idx="132">
                  <c:v>3.2149883765312728</c:v>
                </c:pt>
                <c:pt idx="133">
                  <c:v>2.9201228772661163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9-8F4B-B4BC-7B9D5D03F9F7}"/>
            </c:ext>
          </c:extLst>
        </c:ser>
        <c:ser>
          <c:idx val="3"/>
          <c:order val="3"/>
          <c:tx>
            <c:strRef>
              <c:f>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再投資累積報酬!$C$15:$EF$15</c:f>
              <c:numCache>
                <c:formatCode>General</c:formatCode>
                <c:ptCount val="134"/>
                <c:pt idx="0">
                  <c:v>0.22764509999999993</c:v>
                </c:pt>
                <c:pt idx="1">
                  <c:v>0.24845720139294203</c:v>
                </c:pt>
                <c:pt idx="2">
                  <c:v>0.32591722907048681</c:v>
                </c:pt>
                <c:pt idx="3">
                  <c:v>0.37222016346490383</c:v>
                </c:pt>
                <c:pt idx="4">
                  <c:v>0.32501040941168347</c:v>
                </c:pt>
                <c:pt idx="5">
                  <c:v>0.48248047651196924</c:v>
                </c:pt>
                <c:pt idx="6">
                  <c:v>0.39585700115267164</c:v>
                </c:pt>
                <c:pt idx="7">
                  <c:v>0.30579044483889639</c:v>
                </c:pt>
                <c:pt idx="8">
                  <c:v>0.42920696443032225</c:v>
                </c:pt>
                <c:pt idx="9">
                  <c:v>0.54521720950522701</c:v>
                </c:pt>
                <c:pt idx="10">
                  <c:v>0.50581771001455866</c:v>
                </c:pt>
                <c:pt idx="11">
                  <c:v>0.34048465595699073</c:v>
                </c:pt>
                <c:pt idx="12">
                  <c:v>0.32403584252546436</c:v>
                </c:pt>
                <c:pt idx="13">
                  <c:v>0.3530276858289032</c:v>
                </c:pt>
                <c:pt idx="14">
                  <c:v>0.29092543143813199</c:v>
                </c:pt>
                <c:pt idx="15">
                  <c:v>0.12737672181381199</c:v>
                </c:pt>
                <c:pt idx="16">
                  <c:v>0.43177733743537816</c:v>
                </c:pt>
                <c:pt idx="17">
                  <c:v>0.49748314164226204</c:v>
                </c:pt>
                <c:pt idx="18">
                  <c:v>0.56754843111161946</c:v>
                </c:pt>
                <c:pt idx="19">
                  <c:v>0.39491901511469818</c:v>
                </c:pt>
                <c:pt idx="20">
                  <c:v>0.53795902423942765</c:v>
                </c:pt>
                <c:pt idx="21">
                  <c:v>0.73303887052857641</c:v>
                </c:pt>
                <c:pt idx="22">
                  <c:v>0.64287094110866749</c:v>
                </c:pt>
                <c:pt idx="23">
                  <c:v>0.53985616557615668</c:v>
                </c:pt>
                <c:pt idx="24">
                  <c:v>0.62313335326870489</c:v>
                </c:pt>
                <c:pt idx="25">
                  <c:v>0.65911237763323349</c:v>
                </c:pt>
                <c:pt idx="26">
                  <c:v>0.65194887980490379</c:v>
                </c:pt>
                <c:pt idx="27">
                  <c:v>0.6206671082644748</c:v>
                </c:pt>
                <c:pt idx="28">
                  <c:v>0.54403289164992419</c:v>
                </c:pt>
                <c:pt idx="29">
                  <c:v>0.64566053826100611</c:v>
                </c:pt>
                <c:pt idx="30">
                  <c:v>0.71860369155216164</c:v>
                </c:pt>
                <c:pt idx="31">
                  <c:v>0.49008548719048828</c:v>
                </c:pt>
                <c:pt idx="32">
                  <c:v>0.45305796976983914</c:v>
                </c:pt>
                <c:pt idx="33">
                  <c:v>0.43930497956134307</c:v>
                </c:pt>
                <c:pt idx="34">
                  <c:v>0.33947269747121678</c:v>
                </c:pt>
                <c:pt idx="35">
                  <c:v>0.39898769628761621</c:v>
                </c:pt>
                <c:pt idx="36">
                  <c:v>0.30297348198787244</c:v>
                </c:pt>
                <c:pt idx="37">
                  <c:v>0.34922964031179449</c:v>
                </c:pt>
                <c:pt idx="38">
                  <c:v>0.43473006958850413</c:v>
                </c:pt>
                <c:pt idx="39">
                  <c:v>0.41667800890692774</c:v>
                </c:pt>
                <c:pt idx="40">
                  <c:v>0.44465357455221532</c:v>
                </c:pt>
                <c:pt idx="41">
                  <c:v>0.41903433977864402</c:v>
                </c:pt>
                <c:pt idx="42">
                  <c:v>0.45086441524735088</c:v>
                </c:pt>
                <c:pt idx="43">
                  <c:v>0.54554055910225774</c:v>
                </c:pt>
                <c:pt idx="44">
                  <c:v>0.60727448917883908</c:v>
                </c:pt>
                <c:pt idx="45">
                  <c:v>0.53136802887606294</c:v>
                </c:pt>
                <c:pt idx="46">
                  <c:v>0.55534915918466932</c:v>
                </c:pt>
                <c:pt idx="47">
                  <c:v>0.75013172028474595</c:v>
                </c:pt>
                <c:pt idx="48">
                  <c:v>0.79916527289296613</c:v>
                </c:pt>
                <c:pt idx="49">
                  <c:v>0.63485959878703624</c:v>
                </c:pt>
                <c:pt idx="50">
                  <c:v>0.65221120534719601</c:v>
                </c:pt>
                <c:pt idx="51">
                  <c:v>0.83195278406010931</c:v>
                </c:pt>
                <c:pt idx="52">
                  <c:v>0.945818072546047</c:v>
                </c:pt>
                <c:pt idx="53">
                  <c:v>0.96014843890492707</c:v>
                </c:pt>
                <c:pt idx="54">
                  <c:v>1.0551033628840067</c:v>
                </c:pt>
                <c:pt idx="55">
                  <c:v>0.93800850551494697</c:v>
                </c:pt>
                <c:pt idx="56">
                  <c:v>0.94283325275734309</c:v>
                </c:pt>
                <c:pt idx="57">
                  <c:v>1.0097480154454996</c:v>
                </c:pt>
                <c:pt idx="58">
                  <c:v>1.1475899174878466</c:v>
                </c:pt>
                <c:pt idx="59">
                  <c:v>1.1233972588946215</c:v>
                </c:pt>
                <c:pt idx="60">
                  <c:v>1.1251464122020893</c:v>
                </c:pt>
                <c:pt idx="61">
                  <c:v>1.1253115360783177</c:v>
                </c:pt>
                <c:pt idx="62">
                  <c:v>0.9922723471986552</c:v>
                </c:pt>
                <c:pt idx="63">
                  <c:v>0.86532330403431335</c:v>
                </c:pt>
                <c:pt idx="64">
                  <c:v>0.89626976377756451</c:v>
                </c:pt>
                <c:pt idx="65">
                  <c:v>0.92316687262852204</c:v>
                </c:pt>
                <c:pt idx="66">
                  <c:v>0.94778904595861935</c:v>
                </c:pt>
                <c:pt idx="67">
                  <c:v>1.1888515796139827</c:v>
                </c:pt>
                <c:pt idx="68">
                  <c:v>1.1520268277668495</c:v>
                </c:pt>
                <c:pt idx="69">
                  <c:v>1.0731924897959977</c:v>
                </c:pt>
                <c:pt idx="70">
                  <c:v>0.89583812846766442</c:v>
                </c:pt>
                <c:pt idx="71">
                  <c:v>1.0592216479628207</c:v>
                </c:pt>
                <c:pt idx="72">
                  <c:v>1.479602480897015</c:v>
                </c:pt>
                <c:pt idx="73">
                  <c:v>1.6131329648519044</c:v>
                </c:pt>
                <c:pt idx="74">
                  <c:v>1.7743478290324246</c:v>
                </c:pt>
                <c:pt idx="75">
                  <c:v>1.9612284536656146</c:v>
                </c:pt>
                <c:pt idx="76">
                  <c:v>1.9061732326720469</c:v>
                </c:pt>
                <c:pt idx="77">
                  <c:v>1.8624152903277023</c:v>
                </c:pt>
                <c:pt idx="78">
                  <c:v>2.3594725605269917</c:v>
                </c:pt>
                <c:pt idx="79">
                  <c:v>2.6587800650455593</c:v>
                </c:pt>
                <c:pt idx="80">
                  <c:v>2.9272152455897826</c:v>
                </c:pt>
                <c:pt idx="81">
                  <c:v>2.9129735922231759</c:v>
                </c:pt>
                <c:pt idx="82">
                  <c:v>3.7962557732508202</c:v>
                </c:pt>
                <c:pt idx="83">
                  <c:v>3.6045038655641397</c:v>
                </c:pt>
                <c:pt idx="84">
                  <c:v>3.2852505900452496</c:v>
                </c:pt>
                <c:pt idx="85">
                  <c:v>3.6582574682659734</c:v>
                </c:pt>
                <c:pt idx="86">
                  <c:v>3.9222532436802471</c:v>
                </c:pt>
                <c:pt idx="87">
                  <c:v>4.0769201620136029</c:v>
                </c:pt>
                <c:pt idx="88">
                  <c:v>3.5280142156290326</c:v>
                </c:pt>
                <c:pt idx="89">
                  <c:v>3.7210620980384048</c:v>
                </c:pt>
                <c:pt idx="90">
                  <c:v>3.2160064429710289</c:v>
                </c:pt>
                <c:pt idx="91">
                  <c:v>3.7536983468660372</c:v>
                </c:pt>
                <c:pt idx="92">
                  <c:v>3.9313821348493718</c:v>
                </c:pt>
                <c:pt idx="93">
                  <c:v>4.0515821086952579</c:v>
                </c:pt>
                <c:pt idx="94">
                  <c:v>3.7475517682694246</c:v>
                </c:pt>
                <c:pt idx="95">
                  <c:v>3.7710126041518901</c:v>
                </c:pt>
                <c:pt idx="96">
                  <c:v>4.0724387869186964</c:v>
                </c:pt>
                <c:pt idx="97">
                  <c:v>4.9987246844972368</c:v>
                </c:pt>
                <c:pt idx="98">
                  <c:v>5.1551239797742783</c:v>
                </c:pt>
                <c:pt idx="99">
                  <c:v>5.00715721793597</c:v>
                </c:pt>
                <c:pt idx="100">
                  <c:v>5.2622852282656494</c:v>
                </c:pt>
                <c:pt idx="101">
                  <c:v>4.7620103742225677</c:v>
                </c:pt>
                <c:pt idx="102">
                  <c:v>4.9139882116674478</c:v>
                </c:pt>
                <c:pt idx="103">
                  <c:v>6.1539350999820215</c:v>
                </c:pt>
                <c:pt idx="104">
                  <c:v>5.6696678350866403</c:v>
                </c:pt>
                <c:pt idx="105">
                  <c:v>5.5729127904153222</c:v>
                </c:pt>
                <c:pt idx="106">
                  <c:v>5.141677785353032</c:v>
                </c:pt>
                <c:pt idx="107">
                  <c:v>3.2824592594865063</c:v>
                </c:pt>
                <c:pt idx="108">
                  <c:v>3.7667692699420048</c:v>
                </c:pt>
                <c:pt idx="109">
                  <c:v>3.7712424766162131</c:v>
                </c:pt>
                <c:pt idx="110">
                  <c:v>3.5130785683010277</c:v>
                </c:pt>
                <c:pt idx="111">
                  <c:v>3.2984072165819374</c:v>
                </c:pt>
                <c:pt idx="112">
                  <c:v>3.7296621142143858</c:v>
                </c:pt>
                <c:pt idx="113">
                  <c:v>3.6930583131800576</c:v>
                </c:pt>
                <c:pt idx="114">
                  <c:v>3.6847351742616326</c:v>
                </c:pt>
                <c:pt idx="115">
                  <c:v>3.3018484317613117</c:v>
                </c:pt>
                <c:pt idx="116">
                  <c:v>3.1026869283149043</c:v>
                </c:pt>
                <c:pt idx="117">
                  <c:v>3.6536980802788142</c:v>
                </c:pt>
                <c:pt idx="118">
                  <c:v>3.9931285801185741</c:v>
                </c:pt>
                <c:pt idx="119">
                  <c:v>4.3427003412088983</c:v>
                </c:pt>
                <c:pt idx="120">
                  <c:v>4.5432113507444338</c:v>
                </c:pt>
                <c:pt idx="121">
                  <c:v>4.7333252074775105</c:v>
                </c:pt>
                <c:pt idx="122">
                  <c:v>5.4048609890415396</c:v>
                </c:pt>
                <c:pt idx="123">
                  <c:v>4.5096640921685189</c:v>
                </c:pt>
                <c:pt idx="124">
                  <c:v>4.8447993279700352</c:v>
                </c:pt>
                <c:pt idx="125">
                  <c:v>5.5380875100554006</c:v>
                </c:pt>
                <c:pt idx="126">
                  <c:v>4.8415251155696284</c:v>
                </c:pt>
                <c:pt idx="127">
                  <c:v>4.952048196493644</c:v>
                </c:pt>
                <c:pt idx="128">
                  <c:v>4.7893267804619351</c:v>
                </c:pt>
                <c:pt idx="129">
                  <c:v>4.5084369056834177</c:v>
                </c:pt>
                <c:pt idx="130">
                  <c:v>4.9279433581388838</c:v>
                </c:pt>
                <c:pt idx="131">
                  <c:v>5.5999175649687913</c:v>
                </c:pt>
                <c:pt idx="132">
                  <c:v>5.6209726219845546</c:v>
                </c:pt>
                <c:pt idx="133">
                  <c:v>5.1859681584170305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29-8F4B-B4BC-7B9D5D03F9F7}"/>
            </c:ext>
          </c:extLst>
        </c:ser>
        <c:ser>
          <c:idx val="4"/>
          <c:order val="4"/>
          <c:tx>
            <c:strRef>
              <c:f>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再投資累積報酬!$C$16:$EF$16</c:f>
              <c:numCache>
                <c:formatCode>General</c:formatCode>
                <c:ptCount val="134"/>
                <c:pt idx="0">
                  <c:v>0.20787511111111101</c:v>
                </c:pt>
                <c:pt idx="1">
                  <c:v>0.20700514067204789</c:v>
                </c:pt>
                <c:pt idx="2">
                  <c:v>0.2854663757297522</c:v>
                </c:pt>
                <c:pt idx="3">
                  <c:v>0.38665246811246967</c:v>
                </c:pt>
                <c:pt idx="4">
                  <c:v>0.37535603353463443</c:v>
                </c:pt>
                <c:pt idx="5">
                  <c:v>0.47554903958692485</c:v>
                </c:pt>
                <c:pt idx="6">
                  <c:v>0.39065979046802557</c:v>
                </c:pt>
                <c:pt idx="7">
                  <c:v>0.29513057941038756</c:v>
                </c:pt>
                <c:pt idx="8">
                  <c:v>0.40705691879865125</c:v>
                </c:pt>
                <c:pt idx="9">
                  <c:v>0.52688414308354403</c:v>
                </c:pt>
                <c:pt idx="10">
                  <c:v>0.46529810374365321</c:v>
                </c:pt>
                <c:pt idx="11">
                  <c:v>0.28910699902574666</c:v>
                </c:pt>
                <c:pt idx="12">
                  <c:v>0.25225519813936748</c:v>
                </c:pt>
                <c:pt idx="13">
                  <c:v>0.26250888849948795</c:v>
                </c:pt>
                <c:pt idx="14">
                  <c:v>0.15964137710279203</c:v>
                </c:pt>
                <c:pt idx="15">
                  <c:v>4.0071109690201556E-2</c:v>
                </c:pt>
                <c:pt idx="16">
                  <c:v>0.338637063867397</c:v>
                </c:pt>
                <c:pt idx="17">
                  <c:v>0.39004966023807208</c:v>
                </c:pt>
                <c:pt idx="18">
                  <c:v>0.4576751128587675</c:v>
                </c:pt>
                <c:pt idx="19">
                  <c:v>0.34751643831606183</c:v>
                </c:pt>
                <c:pt idx="20">
                  <c:v>0.48451260800300378</c:v>
                </c:pt>
                <c:pt idx="21">
                  <c:v>0.66920050047717905</c:v>
                </c:pt>
                <c:pt idx="22">
                  <c:v>0.58527504483136417</c:v>
                </c:pt>
                <c:pt idx="23">
                  <c:v>0.5170922729159031</c:v>
                </c:pt>
                <c:pt idx="24">
                  <c:v>0.58306702921006748</c:v>
                </c:pt>
                <c:pt idx="25">
                  <c:v>0.63419283499531498</c:v>
                </c:pt>
                <c:pt idx="26">
                  <c:v>0.65505403871029788</c:v>
                </c:pt>
                <c:pt idx="27">
                  <c:v>0.65319702529724677</c:v>
                </c:pt>
                <c:pt idx="28">
                  <c:v>0.56800116979557846</c:v>
                </c:pt>
                <c:pt idx="29">
                  <c:v>0.66786064546292723</c:v>
                </c:pt>
                <c:pt idx="30">
                  <c:v>0.74087317949572085</c:v>
                </c:pt>
                <c:pt idx="31">
                  <c:v>0.48252477044864794</c:v>
                </c:pt>
                <c:pt idx="32">
                  <c:v>0.43303326699721034</c:v>
                </c:pt>
                <c:pt idx="33">
                  <c:v>0.44310171011100241</c:v>
                </c:pt>
                <c:pt idx="34">
                  <c:v>0.3890814300980574</c:v>
                </c:pt>
                <c:pt idx="35">
                  <c:v>0.45671432292483716</c:v>
                </c:pt>
                <c:pt idx="36">
                  <c:v>0.38075288754168146</c:v>
                </c:pt>
                <c:pt idx="37">
                  <c:v>0.41117435031062155</c:v>
                </c:pt>
                <c:pt idx="38">
                  <c:v>0.49785527166759658</c:v>
                </c:pt>
                <c:pt idx="39">
                  <c:v>0.49000584433060412</c:v>
                </c:pt>
                <c:pt idx="40">
                  <c:v>0.52581449256258184</c:v>
                </c:pt>
                <c:pt idx="41">
                  <c:v>0.47336922877436294</c:v>
                </c:pt>
                <c:pt idx="42">
                  <c:v>0.51473947222604188</c:v>
                </c:pt>
                <c:pt idx="43">
                  <c:v>0.58979050412329137</c:v>
                </c:pt>
                <c:pt idx="44">
                  <c:v>0.65628641439842461</c:v>
                </c:pt>
                <c:pt idx="45">
                  <c:v>0.64125974467414215</c:v>
                </c:pt>
                <c:pt idx="46">
                  <c:v>0.70568399866617537</c:v>
                </c:pt>
                <c:pt idx="47">
                  <c:v>0.87766772947755878</c:v>
                </c:pt>
                <c:pt idx="48">
                  <c:v>0.94115653827834778</c:v>
                </c:pt>
                <c:pt idx="49">
                  <c:v>0.73751051402279444</c:v>
                </c:pt>
                <c:pt idx="50">
                  <c:v>0.76343956596221685</c:v>
                </c:pt>
                <c:pt idx="51">
                  <c:v>0.99704945902349551</c:v>
                </c:pt>
                <c:pt idx="52">
                  <c:v>1.1310943466027252</c:v>
                </c:pt>
                <c:pt idx="53">
                  <c:v>1.1444863802650378</c:v>
                </c:pt>
                <c:pt idx="54">
                  <c:v>1.2547365575398715</c:v>
                </c:pt>
                <c:pt idx="55">
                  <c:v>1.1316632657042627</c:v>
                </c:pt>
                <c:pt idx="56">
                  <c:v>1.1603837661143643</c:v>
                </c:pt>
                <c:pt idx="57">
                  <c:v>1.1306231522149632</c:v>
                </c:pt>
                <c:pt idx="58">
                  <c:v>1.2189242885513152</c:v>
                </c:pt>
                <c:pt idx="59">
                  <c:v>1.1734278725925118</c:v>
                </c:pt>
                <c:pt idx="60">
                  <c:v>1.1798872791371675</c:v>
                </c:pt>
                <c:pt idx="61">
                  <c:v>1.1615444965220187</c:v>
                </c:pt>
                <c:pt idx="62">
                  <c:v>1.01065812311391</c:v>
                </c:pt>
                <c:pt idx="63">
                  <c:v>0.88739522972213347</c:v>
                </c:pt>
                <c:pt idx="64">
                  <c:v>0.9175205741154715</c:v>
                </c:pt>
                <c:pt idx="65">
                  <c:v>0.95748780739802242</c:v>
                </c:pt>
                <c:pt idx="66">
                  <c:v>0.98974332330715131</c:v>
                </c:pt>
                <c:pt idx="67">
                  <c:v>1.249569912470518</c:v>
                </c:pt>
                <c:pt idx="68">
                  <c:v>1.2198945464198285</c:v>
                </c:pt>
                <c:pt idx="69">
                  <c:v>1.135393520545509</c:v>
                </c:pt>
                <c:pt idx="70">
                  <c:v>0.91857159411798639</c:v>
                </c:pt>
                <c:pt idx="71">
                  <c:v>1.0998966481765637</c:v>
                </c:pt>
                <c:pt idx="72">
                  <c:v>1.5701580030524642</c:v>
                </c:pt>
                <c:pt idx="73">
                  <c:v>1.7412264837931288</c:v>
                </c:pt>
                <c:pt idx="74">
                  <c:v>1.8798331273934319</c:v>
                </c:pt>
                <c:pt idx="75">
                  <c:v>2.1465907900580512</c:v>
                </c:pt>
                <c:pt idx="76">
                  <c:v>2.053091764921001</c:v>
                </c:pt>
                <c:pt idx="77">
                  <c:v>2.0574517173175169</c:v>
                </c:pt>
                <c:pt idx="78">
                  <c:v>2.1931607883929449</c:v>
                </c:pt>
                <c:pt idx="79">
                  <c:v>2.4733606475744256</c:v>
                </c:pt>
                <c:pt idx="80">
                  <c:v>2.798515059378536</c:v>
                </c:pt>
                <c:pt idx="81">
                  <c:v>2.7426920820659086</c:v>
                </c:pt>
                <c:pt idx="82">
                  <c:v>3.2898611888236715</c:v>
                </c:pt>
                <c:pt idx="83">
                  <c:v>3.2104067631404956</c:v>
                </c:pt>
                <c:pt idx="84">
                  <c:v>2.9647575978896685</c:v>
                </c:pt>
                <c:pt idx="85">
                  <c:v>3.1452474417579861</c:v>
                </c:pt>
                <c:pt idx="86">
                  <c:v>3.4622468818773422</c:v>
                </c:pt>
                <c:pt idx="87">
                  <c:v>3.533101482613719</c:v>
                </c:pt>
                <c:pt idx="88">
                  <c:v>3.0206147165644808</c:v>
                </c:pt>
                <c:pt idx="89">
                  <c:v>3.1535262484332378</c:v>
                </c:pt>
                <c:pt idx="90">
                  <c:v>2.5942946071132202</c:v>
                </c:pt>
                <c:pt idx="91">
                  <c:v>3.0853891517794692</c:v>
                </c:pt>
                <c:pt idx="92">
                  <c:v>3.2546697256378367</c:v>
                </c:pt>
                <c:pt idx="93">
                  <c:v>3.3620126791102765</c:v>
                </c:pt>
                <c:pt idx="94">
                  <c:v>3.0716807798286387</c:v>
                </c:pt>
                <c:pt idx="95">
                  <c:v>3.175742264454585</c:v>
                </c:pt>
                <c:pt idx="96">
                  <c:v>3.4406290316924242</c:v>
                </c:pt>
                <c:pt idx="97">
                  <c:v>4.2055341438741118</c:v>
                </c:pt>
                <c:pt idx="98">
                  <c:v>4.4519727671334772</c:v>
                </c:pt>
                <c:pt idx="99">
                  <c:v>4.3852390679913471</c:v>
                </c:pt>
                <c:pt idx="100">
                  <c:v>4.6497461197986487</c:v>
                </c:pt>
                <c:pt idx="101">
                  <c:v>4.0698942619947056</c:v>
                </c:pt>
                <c:pt idx="102">
                  <c:v>4.2210014159091269</c:v>
                </c:pt>
                <c:pt idx="103">
                  <c:v>5.4305265148786868</c:v>
                </c:pt>
                <c:pt idx="104">
                  <c:v>4.8950948231808562</c:v>
                </c:pt>
                <c:pt idx="105">
                  <c:v>4.7079626398187404</c:v>
                </c:pt>
                <c:pt idx="106">
                  <c:v>4.3864597414767363</c:v>
                </c:pt>
                <c:pt idx="107">
                  <c:v>2.6327313908825256</c:v>
                </c:pt>
                <c:pt idx="108">
                  <c:v>3.0918066310494279</c:v>
                </c:pt>
                <c:pt idx="109">
                  <c:v>3.0755260200330294</c:v>
                </c:pt>
                <c:pt idx="110">
                  <c:v>2.8904991850400044</c:v>
                </c:pt>
                <c:pt idx="111">
                  <c:v>2.6891537484389416</c:v>
                </c:pt>
                <c:pt idx="112">
                  <c:v>3.0442507830591001</c:v>
                </c:pt>
                <c:pt idx="113">
                  <c:v>3.0387227415998561</c:v>
                </c:pt>
                <c:pt idx="114">
                  <c:v>2.884704703608032</c:v>
                </c:pt>
                <c:pt idx="115">
                  <c:v>2.4345189717125009</c:v>
                </c:pt>
                <c:pt idx="116">
                  <c:v>2.2517273205001964</c:v>
                </c:pt>
                <c:pt idx="117">
                  <c:v>2.7730897507421233</c:v>
                </c:pt>
                <c:pt idx="118">
                  <c:v>3.0279996943022613</c:v>
                </c:pt>
                <c:pt idx="119">
                  <c:v>3.2503100390746678</c:v>
                </c:pt>
                <c:pt idx="120">
                  <c:v>3.3414362140557579</c:v>
                </c:pt>
                <c:pt idx="121">
                  <c:v>3.4806197647875754</c:v>
                </c:pt>
                <c:pt idx="122">
                  <c:v>4.0307188951698407</c:v>
                </c:pt>
                <c:pt idx="123">
                  <c:v>3.3417431677439007</c:v>
                </c:pt>
                <c:pt idx="124">
                  <c:v>3.6513229632494513</c:v>
                </c:pt>
                <c:pt idx="125">
                  <c:v>4.2340625947181314</c:v>
                </c:pt>
                <c:pt idx="126">
                  <c:v>3.6250567226305979</c:v>
                </c:pt>
                <c:pt idx="127">
                  <c:v>3.7697149909379712</c:v>
                </c:pt>
                <c:pt idx="128">
                  <c:v>3.5471535475308942</c:v>
                </c:pt>
                <c:pt idx="129">
                  <c:v>3.1896989026963851</c:v>
                </c:pt>
                <c:pt idx="130">
                  <c:v>3.4766994806645375</c:v>
                </c:pt>
                <c:pt idx="131">
                  <c:v>3.9933855742529483</c:v>
                </c:pt>
                <c:pt idx="132">
                  <c:v>4.0153370520579834</c:v>
                </c:pt>
                <c:pt idx="133">
                  <c:v>3.802313612481603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29-8F4B-B4BC-7B9D5D03F9F7}"/>
            </c:ext>
          </c:extLst>
        </c:ser>
        <c:ser>
          <c:idx val="5"/>
          <c:order val="5"/>
          <c:tx>
            <c:strRef>
              <c:f>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再投資累積報酬!$C$17:$EF$17</c:f>
              <c:numCache>
                <c:formatCode>General</c:formatCode>
                <c:ptCount val="134"/>
                <c:pt idx="0">
                  <c:v>0.20609237499999988</c:v>
                </c:pt>
                <c:pt idx="1">
                  <c:v>0.18518551780903003</c:v>
                </c:pt>
                <c:pt idx="2">
                  <c:v>0.27951206280041507</c:v>
                </c:pt>
                <c:pt idx="3">
                  <c:v>0.38283543093054639</c:v>
                </c:pt>
                <c:pt idx="4">
                  <c:v>0.23710245012341669</c:v>
                </c:pt>
                <c:pt idx="5">
                  <c:v>0.36699171259851227</c:v>
                </c:pt>
                <c:pt idx="6">
                  <c:v>0.21153054207788657</c:v>
                </c:pt>
                <c:pt idx="7">
                  <c:v>7.1843039313437274E-2</c:v>
                </c:pt>
                <c:pt idx="8">
                  <c:v>0.18069950383591293</c:v>
                </c:pt>
                <c:pt idx="9">
                  <c:v>0.23056610078583195</c:v>
                </c:pt>
                <c:pt idx="10">
                  <c:v>0.15066293968011402</c:v>
                </c:pt>
                <c:pt idx="11">
                  <c:v>2.4920994218275316E-2</c:v>
                </c:pt>
                <c:pt idx="12">
                  <c:v>1.3332544545320957E-2</c:v>
                </c:pt>
                <c:pt idx="13">
                  <c:v>2.689392002229285E-2</c:v>
                </c:pt>
                <c:pt idx="14">
                  <c:v>-7.6069476342560338E-2</c:v>
                </c:pt>
                <c:pt idx="15">
                  <c:v>-0.20211803329714673</c:v>
                </c:pt>
                <c:pt idx="16">
                  <c:v>4.5746738512854934E-2</c:v>
                </c:pt>
                <c:pt idx="17">
                  <c:v>7.0157171179378697E-2</c:v>
                </c:pt>
                <c:pt idx="18">
                  <c:v>0.12611395065494535</c:v>
                </c:pt>
                <c:pt idx="19">
                  <c:v>1.65884953634301E-2</c:v>
                </c:pt>
                <c:pt idx="20">
                  <c:v>0.1381765295099735</c:v>
                </c:pt>
                <c:pt idx="21">
                  <c:v>0.27116812956867276</c:v>
                </c:pt>
                <c:pt idx="22">
                  <c:v>0.17758075121902284</c:v>
                </c:pt>
                <c:pt idx="23">
                  <c:v>0.12067336823134656</c:v>
                </c:pt>
                <c:pt idx="24">
                  <c:v>0.16013204171714657</c:v>
                </c:pt>
                <c:pt idx="25">
                  <c:v>0.21180235442373885</c:v>
                </c:pt>
                <c:pt idx="26">
                  <c:v>0.23614292520682834</c:v>
                </c:pt>
                <c:pt idx="27">
                  <c:v>0.20905551791042276</c:v>
                </c:pt>
                <c:pt idx="28">
                  <c:v>0.13718532849539411</c:v>
                </c:pt>
                <c:pt idx="29">
                  <c:v>0.20704183870565807</c:v>
                </c:pt>
                <c:pt idx="30">
                  <c:v>0.28265111036446799</c:v>
                </c:pt>
                <c:pt idx="31">
                  <c:v>9.4069472909297236E-2</c:v>
                </c:pt>
                <c:pt idx="32">
                  <c:v>3.1665964948085712E-2</c:v>
                </c:pt>
                <c:pt idx="33">
                  <c:v>7.5617648871752152E-2</c:v>
                </c:pt>
                <c:pt idx="34">
                  <c:v>4.402042355638458E-2</c:v>
                </c:pt>
                <c:pt idx="35">
                  <c:v>9.6977739130638563E-2</c:v>
                </c:pt>
                <c:pt idx="36">
                  <c:v>-5.4270086782436389E-3</c:v>
                </c:pt>
                <c:pt idx="37">
                  <c:v>-1.1848106548833282E-2</c:v>
                </c:pt>
                <c:pt idx="38">
                  <c:v>6.3455880064022807E-4</c:v>
                </c:pt>
                <c:pt idx="39">
                  <c:v>-3.1270766645310477E-3</c:v>
                </c:pt>
                <c:pt idx="40">
                  <c:v>6.0744342452014877E-3</c:v>
                </c:pt>
                <c:pt idx="41">
                  <c:v>-4.0006416349306795E-2</c:v>
                </c:pt>
                <c:pt idx="42">
                  <c:v>-1.1671245734272806E-2</c:v>
                </c:pt>
                <c:pt idx="43">
                  <c:v>3.9986530302383194E-2</c:v>
                </c:pt>
                <c:pt idx="44">
                  <c:v>9.6723523034352166E-2</c:v>
                </c:pt>
                <c:pt idx="45">
                  <c:v>7.3466510625858739E-2</c:v>
                </c:pt>
                <c:pt idx="46">
                  <c:v>8.2507125395010927E-2</c:v>
                </c:pt>
                <c:pt idx="47">
                  <c:v>0.18668821573278138</c:v>
                </c:pt>
                <c:pt idx="48">
                  <c:v>0.21923159342734766</c:v>
                </c:pt>
                <c:pt idx="49">
                  <c:v>6.6635490594108671E-2</c:v>
                </c:pt>
                <c:pt idx="50">
                  <c:v>7.7115375331199054E-2</c:v>
                </c:pt>
                <c:pt idx="51">
                  <c:v>0.24220565674474326</c:v>
                </c:pt>
                <c:pt idx="52">
                  <c:v>0.346380992187312</c:v>
                </c:pt>
                <c:pt idx="53">
                  <c:v>0.37251980106726035</c:v>
                </c:pt>
                <c:pt idx="54">
                  <c:v>0.47868454015634732</c:v>
                </c:pt>
                <c:pt idx="55">
                  <c:v>0.3642092191110633</c:v>
                </c:pt>
                <c:pt idx="56">
                  <c:v>0.31592407593636929</c:v>
                </c:pt>
                <c:pt idx="57">
                  <c:v>0.33371465996487037</c:v>
                </c:pt>
                <c:pt idx="58">
                  <c:v>0.44989713865618786</c:v>
                </c:pt>
                <c:pt idx="59">
                  <c:v>0.43560395947373354</c:v>
                </c:pt>
                <c:pt idx="60">
                  <c:v>0.41575967475027431</c:v>
                </c:pt>
                <c:pt idx="61">
                  <c:v>0.42648157670707687</c:v>
                </c:pt>
                <c:pt idx="62">
                  <c:v>0.31526344423635044</c:v>
                </c:pt>
                <c:pt idx="63">
                  <c:v>0.24493606987985816</c:v>
                </c:pt>
                <c:pt idx="64">
                  <c:v>0.28396668307469652</c:v>
                </c:pt>
                <c:pt idx="65">
                  <c:v>0.33018432167568457</c:v>
                </c:pt>
                <c:pt idx="66">
                  <c:v>0.34531717750693414</c:v>
                </c:pt>
                <c:pt idx="67">
                  <c:v>0.50005872482974456</c:v>
                </c:pt>
                <c:pt idx="68">
                  <c:v>0.49390328018830987</c:v>
                </c:pt>
                <c:pt idx="69">
                  <c:v>0.44363754304399383</c:v>
                </c:pt>
                <c:pt idx="70">
                  <c:v>0.29274223113078479</c:v>
                </c:pt>
                <c:pt idx="71">
                  <c:v>0.43060527203471732</c:v>
                </c:pt>
                <c:pt idx="72">
                  <c:v>0.75568796689723139</c:v>
                </c:pt>
                <c:pt idx="73">
                  <c:v>0.90077975780096042</c:v>
                </c:pt>
                <c:pt idx="74">
                  <c:v>1.0609118373560587</c:v>
                </c:pt>
                <c:pt idx="75">
                  <c:v>1.2813304801849639</c:v>
                </c:pt>
                <c:pt idx="76">
                  <c:v>1.2176018956666845</c:v>
                </c:pt>
                <c:pt idx="77">
                  <c:v>1.2408372796631686</c:v>
                </c:pt>
                <c:pt idx="78">
                  <c:v>1.3344112832059829</c:v>
                </c:pt>
                <c:pt idx="79">
                  <c:v>1.4840578431116711</c:v>
                </c:pt>
                <c:pt idx="80">
                  <c:v>1.7218011196385117</c:v>
                </c:pt>
                <c:pt idx="81">
                  <c:v>1.4628931903842979</c:v>
                </c:pt>
                <c:pt idx="82">
                  <c:v>1.8989124099289283</c:v>
                </c:pt>
                <c:pt idx="83">
                  <c:v>1.832948745133149</c:v>
                </c:pt>
                <c:pt idx="84">
                  <c:v>1.5993685799109896</c:v>
                </c:pt>
                <c:pt idx="85">
                  <c:v>1.7312665760493906</c:v>
                </c:pt>
                <c:pt idx="86">
                  <c:v>1.9818290732844268</c:v>
                </c:pt>
                <c:pt idx="87">
                  <c:v>1.953721324397327</c:v>
                </c:pt>
                <c:pt idx="88">
                  <c:v>1.6716627216121496</c:v>
                </c:pt>
                <c:pt idx="89">
                  <c:v>1.7430443695829951</c:v>
                </c:pt>
                <c:pt idx="90">
                  <c:v>1.3661147556021311</c:v>
                </c:pt>
                <c:pt idx="91">
                  <c:v>1.7166765886291944</c:v>
                </c:pt>
                <c:pt idx="92">
                  <c:v>1.8282992147837067</c:v>
                </c:pt>
                <c:pt idx="93">
                  <c:v>1.8933695412808338</c:v>
                </c:pt>
                <c:pt idx="94">
                  <c:v>1.6131709149507101</c:v>
                </c:pt>
                <c:pt idx="95">
                  <c:v>1.6584814181914678</c:v>
                </c:pt>
                <c:pt idx="96">
                  <c:v>1.8562945212606237</c:v>
                </c:pt>
                <c:pt idx="97">
                  <c:v>2.2889414079678696</c:v>
                </c:pt>
                <c:pt idx="98">
                  <c:v>2.4974379902783173</c:v>
                </c:pt>
                <c:pt idx="99">
                  <c:v>2.4597622084239958</c:v>
                </c:pt>
                <c:pt idx="100">
                  <c:v>2.6306166790492376</c:v>
                </c:pt>
                <c:pt idx="101">
                  <c:v>2.1795167760071825</c:v>
                </c:pt>
                <c:pt idx="102">
                  <c:v>2.3190843965563848</c:v>
                </c:pt>
                <c:pt idx="103">
                  <c:v>3.0636113558646798</c:v>
                </c:pt>
                <c:pt idx="104">
                  <c:v>2.6619258417789484</c:v>
                </c:pt>
                <c:pt idx="105">
                  <c:v>2.555160852619986</c:v>
                </c:pt>
                <c:pt idx="106">
                  <c:v>2.3714821339840548</c:v>
                </c:pt>
                <c:pt idx="107">
                  <c:v>1.1839538320714529</c:v>
                </c:pt>
                <c:pt idx="108">
                  <c:v>1.4530441696364367</c:v>
                </c:pt>
                <c:pt idx="109">
                  <c:v>1.4220036071113662</c:v>
                </c:pt>
                <c:pt idx="110">
                  <c:v>1.3371256143501031</c:v>
                </c:pt>
                <c:pt idx="111">
                  <c:v>1.2035673575703467</c:v>
                </c:pt>
                <c:pt idx="112">
                  <c:v>1.430049735135507</c:v>
                </c:pt>
                <c:pt idx="113">
                  <c:v>1.4441191155895075</c:v>
                </c:pt>
                <c:pt idx="114">
                  <c:v>1.3400888516131135</c:v>
                </c:pt>
                <c:pt idx="115">
                  <c:v>1.0909162781956212</c:v>
                </c:pt>
                <c:pt idx="116">
                  <c:v>0.97915393786005445</c:v>
                </c:pt>
                <c:pt idx="117">
                  <c:v>1.2602614014724365</c:v>
                </c:pt>
                <c:pt idx="118">
                  <c:v>1.4077298963501041</c:v>
                </c:pt>
                <c:pt idx="119">
                  <c:v>1.5422854358798306</c:v>
                </c:pt>
                <c:pt idx="120">
                  <c:v>1.6372490126946473</c:v>
                </c:pt>
                <c:pt idx="121">
                  <c:v>1.6814044729141937</c:v>
                </c:pt>
                <c:pt idx="122">
                  <c:v>2.0286302637297444</c:v>
                </c:pt>
                <c:pt idx="123">
                  <c:v>1.6719624149907264</c:v>
                </c:pt>
                <c:pt idx="124">
                  <c:v>1.8766340679884124</c:v>
                </c:pt>
                <c:pt idx="125">
                  <c:v>2.2492703184579881</c:v>
                </c:pt>
                <c:pt idx="126">
                  <c:v>1.8849021656988691</c:v>
                </c:pt>
                <c:pt idx="127">
                  <c:v>1.9767233297622298</c:v>
                </c:pt>
                <c:pt idx="128">
                  <c:v>1.9415446400818093</c:v>
                </c:pt>
                <c:pt idx="129">
                  <c:v>1.6853350747587701</c:v>
                </c:pt>
                <c:pt idx="130">
                  <c:v>2.0116355567332858</c:v>
                </c:pt>
                <c:pt idx="131">
                  <c:v>2.398102014867626</c:v>
                </c:pt>
                <c:pt idx="132">
                  <c:v>2.3974415087884862</c:v>
                </c:pt>
                <c:pt idx="133">
                  <c:v>2.2353503659745879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29-8F4B-B4BC-7B9D5D03F9F7}"/>
            </c:ext>
          </c:extLst>
        </c:ser>
        <c:ser>
          <c:idx val="6"/>
          <c:order val="6"/>
          <c:tx>
            <c:strRef>
              <c:f>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再投資累積報酬!$C$18:$EF$18</c:f>
              <c:numCache>
                <c:formatCode>General</c:formatCode>
                <c:ptCount val="134"/>
                <c:pt idx="0">
                  <c:v>0.18975114285714278</c:v>
                </c:pt>
                <c:pt idx="1">
                  <c:v>0.18001009453995054</c:v>
                </c:pt>
                <c:pt idx="2">
                  <c:v>0.2430673053991057</c:v>
                </c:pt>
                <c:pt idx="3">
                  <c:v>0.39146835992390372</c:v>
                </c:pt>
                <c:pt idx="4">
                  <c:v>0.24074955363600803</c:v>
                </c:pt>
                <c:pt idx="5">
                  <c:v>0.40023550126038065</c:v>
                </c:pt>
                <c:pt idx="6">
                  <c:v>0.21050333848461888</c:v>
                </c:pt>
                <c:pt idx="7">
                  <c:v>5.8995703065593874E-2</c:v>
                </c:pt>
                <c:pt idx="8">
                  <c:v>0.20264623441102603</c:v>
                </c:pt>
                <c:pt idx="9">
                  <c:v>0.26369040105337649</c:v>
                </c:pt>
                <c:pt idx="10">
                  <c:v>0.16297101941522785</c:v>
                </c:pt>
                <c:pt idx="11">
                  <c:v>-1.2491974303737718E-3</c:v>
                </c:pt>
                <c:pt idx="12">
                  <c:v>3.0449096712660051E-2</c:v>
                </c:pt>
                <c:pt idx="13">
                  <c:v>3.9030765258166067E-2</c:v>
                </c:pt>
                <c:pt idx="14">
                  <c:v>-5.7661011663652006E-2</c:v>
                </c:pt>
                <c:pt idx="15">
                  <c:v>-0.20295949578767203</c:v>
                </c:pt>
                <c:pt idx="16">
                  <c:v>0.10289095225892719</c:v>
                </c:pt>
                <c:pt idx="17">
                  <c:v>0.16058284440302928</c:v>
                </c:pt>
                <c:pt idx="18">
                  <c:v>0.19323418475481668</c:v>
                </c:pt>
                <c:pt idx="19">
                  <c:v>4.8385743244056423E-2</c:v>
                </c:pt>
                <c:pt idx="20">
                  <c:v>0.19297620922248138</c:v>
                </c:pt>
                <c:pt idx="21">
                  <c:v>0.36411045693770538</c:v>
                </c:pt>
                <c:pt idx="22">
                  <c:v>0.22240769406291339</c:v>
                </c:pt>
                <c:pt idx="23">
                  <c:v>0.15949070529377907</c:v>
                </c:pt>
                <c:pt idx="24">
                  <c:v>0.20784754944514572</c:v>
                </c:pt>
                <c:pt idx="25">
                  <c:v>0.28351292396711902</c:v>
                </c:pt>
                <c:pt idx="26">
                  <c:v>0.28176038913845547</c:v>
                </c:pt>
                <c:pt idx="27">
                  <c:v>0.24767121486479859</c:v>
                </c:pt>
                <c:pt idx="28">
                  <c:v>0.15134974940602142</c:v>
                </c:pt>
                <c:pt idx="29">
                  <c:v>0.18804720141797082</c:v>
                </c:pt>
                <c:pt idx="30">
                  <c:v>0.28513439482948977</c:v>
                </c:pt>
                <c:pt idx="31">
                  <c:v>7.5569450565657004E-2</c:v>
                </c:pt>
                <c:pt idx="32">
                  <c:v>-1.2007447539874927E-2</c:v>
                </c:pt>
                <c:pt idx="33">
                  <c:v>3.4817230585687753E-2</c:v>
                </c:pt>
                <c:pt idx="34">
                  <c:v>1.1189367389106142E-2</c:v>
                </c:pt>
                <c:pt idx="35">
                  <c:v>5.9248936629827886E-2</c:v>
                </c:pt>
                <c:pt idx="36">
                  <c:v>-4.2495132343420505E-2</c:v>
                </c:pt>
                <c:pt idx="37">
                  <c:v>-3.9819463736013971E-2</c:v>
                </c:pt>
                <c:pt idx="38">
                  <c:v>-3.4608050300143134E-2</c:v>
                </c:pt>
                <c:pt idx="39">
                  <c:v>-3.6554004644466676E-2</c:v>
                </c:pt>
                <c:pt idx="40">
                  <c:v>-5.2728473649637508E-2</c:v>
                </c:pt>
                <c:pt idx="41">
                  <c:v>-8.9674406786512617E-2</c:v>
                </c:pt>
                <c:pt idx="42">
                  <c:v>-4.8369943552610484E-2</c:v>
                </c:pt>
                <c:pt idx="43">
                  <c:v>-7.1399529682333318E-3</c:v>
                </c:pt>
                <c:pt idx="44">
                  <c:v>5.6974624049736411E-2</c:v>
                </c:pt>
                <c:pt idx="45">
                  <c:v>2.6566779117279671E-2</c:v>
                </c:pt>
                <c:pt idx="46">
                  <c:v>5.1756709894042796E-2</c:v>
                </c:pt>
                <c:pt idx="47">
                  <c:v>0.16488457480414742</c:v>
                </c:pt>
                <c:pt idx="48">
                  <c:v>0.20540307955433557</c:v>
                </c:pt>
                <c:pt idx="49">
                  <c:v>2.6510314608923613E-2</c:v>
                </c:pt>
                <c:pt idx="50">
                  <c:v>2.7159388295153297E-2</c:v>
                </c:pt>
                <c:pt idx="51">
                  <c:v>0.19895927957734671</c:v>
                </c:pt>
                <c:pt idx="52">
                  <c:v>0.29871457711353666</c:v>
                </c:pt>
                <c:pt idx="53">
                  <c:v>0.32504954024693711</c:v>
                </c:pt>
                <c:pt idx="54">
                  <c:v>0.41563153441888745</c:v>
                </c:pt>
                <c:pt idx="55">
                  <c:v>0.36163651643308214</c:v>
                </c:pt>
                <c:pt idx="56">
                  <c:v>0.33875252467549943</c:v>
                </c:pt>
                <c:pt idx="57">
                  <c:v>0.36620210973024458</c:v>
                </c:pt>
                <c:pt idx="58">
                  <c:v>0.51511814914313692</c:v>
                </c:pt>
                <c:pt idx="59">
                  <c:v>0.52414228988344691</c:v>
                </c:pt>
                <c:pt idx="60">
                  <c:v>0.43573709249320558</c:v>
                </c:pt>
                <c:pt idx="61">
                  <c:v>0.47357204656518448</c:v>
                </c:pt>
                <c:pt idx="62">
                  <c:v>0.37074408405294235</c:v>
                </c:pt>
                <c:pt idx="63">
                  <c:v>0.31291021330196345</c:v>
                </c:pt>
                <c:pt idx="64">
                  <c:v>0.32394934993400804</c:v>
                </c:pt>
                <c:pt idx="65">
                  <c:v>0.38598635999961695</c:v>
                </c:pt>
                <c:pt idx="66">
                  <c:v>0.38864299663093171</c:v>
                </c:pt>
                <c:pt idx="67">
                  <c:v>0.55661577789317795</c:v>
                </c:pt>
                <c:pt idx="68">
                  <c:v>0.55041480421379085</c:v>
                </c:pt>
                <c:pt idx="69">
                  <c:v>0.52979605922038076</c:v>
                </c:pt>
                <c:pt idx="70">
                  <c:v>0.35928171232526451</c:v>
                </c:pt>
                <c:pt idx="71">
                  <c:v>0.51628632323980117</c:v>
                </c:pt>
                <c:pt idx="72">
                  <c:v>0.91209662199665953</c:v>
                </c:pt>
                <c:pt idx="73">
                  <c:v>1.0547024389973068</c:v>
                </c:pt>
                <c:pt idx="74">
                  <c:v>1.3075848920024651</c:v>
                </c:pt>
                <c:pt idx="75">
                  <c:v>1.5609926565727004</c:v>
                </c:pt>
                <c:pt idx="76">
                  <c:v>1.5198207457200152</c:v>
                </c:pt>
                <c:pt idx="77">
                  <c:v>1.5817512787870216</c:v>
                </c:pt>
                <c:pt idx="78">
                  <c:v>1.851956629981649</c:v>
                </c:pt>
                <c:pt idx="79">
                  <c:v>1.9958235821810737</c:v>
                </c:pt>
                <c:pt idx="80">
                  <c:v>2.2272804841655858</c:v>
                </c:pt>
                <c:pt idx="81">
                  <c:v>1.8985529213289634</c:v>
                </c:pt>
                <c:pt idx="82">
                  <c:v>2.5554871666037915</c:v>
                </c:pt>
                <c:pt idx="83">
                  <c:v>2.4650335413784386</c:v>
                </c:pt>
                <c:pt idx="84">
                  <c:v>2.0571174177675782</c:v>
                </c:pt>
                <c:pt idx="85">
                  <c:v>2.2476176476112668</c:v>
                </c:pt>
                <c:pt idx="86">
                  <c:v>2.5420719439486996</c:v>
                </c:pt>
                <c:pt idx="87">
                  <c:v>2.4323047458423397</c:v>
                </c:pt>
                <c:pt idx="88">
                  <c:v>2.079571200075367</c:v>
                </c:pt>
                <c:pt idx="89">
                  <c:v>2.1876218173450894</c:v>
                </c:pt>
                <c:pt idx="90">
                  <c:v>1.7075739100353768</c:v>
                </c:pt>
                <c:pt idx="91">
                  <c:v>2.1484728329564193</c:v>
                </c:pt>
                <c:pt idx="92">
                  <c:v>2.2995256544571943</c:v>
                </c:pt>
                <c:pt idx="93">
                  <c:v>2.4108672049452369</c:v>
                </c:pt>
                <c:pt idx="94">
                  <c:v>2.1447266279749857</c:v>
                </c:pt>
                <c:pt idx="95">
                  <c:v>2.0935540821606491</c:v>
                </c:pt>
                <c:pt idx="96">
                  <c:v>2.3152031833196847</c:v>
                </c:pt>
                <c:pt idx="97">
                  <c:v>2.7363078109867156</c:v>
                </c:pt>
                <c:pt idx="98">
                  <c:v>2.9849911327729153</c:v>
                </c:pt>
                <c:pt idx="99">
                  <c:v>2.7396743380934567</c:v>
                </c:pt>
                <c:pt idx="100">
                  <c:v>2.9317343404578575</c:v>
                </c:pt>
                <c:pt idx="101">
                  <c:v>2.4094314929295337</c:v>
                </c:pt>
                <c:pt idx="102">
                  <c:v>2.5709735602891568</c:v>
                </c:pt>
                <c:pt idx="103">
                  <c:v>3.3650942043914034</c:v>
                </c:pt>
                <c:pt idx="104">
                  <c:v>3.0035783804345648</c:v>
                </c:pt>
                <c:pt idx="105">
                  <c:v>2.8393748667917862</c:v>
                </c:pt>
                <c:pt idx="106">
                  <c:v>2.6884616558670489</c:v>
                </c:pt>
                <c:pt idx="107">
                  <c:v>1.3359264781998181</c:v>
                </c:pt>
                <c:pt idx="108">
                  <c:v>1.6120729165534269</c:v>
                </c:pt>
                <c:pt idx="109">
                  <c:v>1.5779852797946092</c:v>
                </c:pt>
                <c:pt idx="110">
                  <c:v>1.5300006003630253</c:v>
                </c:pt>
                <c:pt idx="111">
                  <c:v>1.4018434199516361</c:v>
                </c:pt>
                <c:pt idx="112">
                  <c:v>1.6577018489849156</c:v>
                </c:pt>
                <c:pt idx="113">
                  <c:v>1.7199175102545743</c:v>
                </c:pt>
                <c:pt idx="114">
                  <c:v>1.5609200694769112</c:v>
                </c:pt>
                <c:pt idx="115">
                  <c:v>1.2405267316261397</c:v>
                </c:pt>
                <c:pt idx="116">
                  <c:v>1.1461895607263046</c:v>
                </c:pt>
                <c:pt idx="117">
                  <c:v>1.432676834025556</c:v>
                </c:pt>
                <c:pt idx="118">
                  <c:v>1.5833926322270853</c:v>
                </c:pt>
                <c:pt idx="119">
                  <c:v>1.7819022136204747</c:v>
                </c:pt>
                <c:pt idx="120">
                  <c:v>1.8132741222980746</c:v>
                </c:pt>
                <c:pt idx="121">
                  <c:v>1.7924341913926969</c:v>
                </c:pt>
                <c:pt idx="122">
                  <c:v>2.2356365808370993</c:v>
                </c:pt>
                <c:pt idx="123">
                  <c:v>1.8938219625817174</c:v>
                </c:pt>
                <c:pt idx="124">
                  <c:v>2.0924477010462641</c:v>
                </c:pt>
                <c:pt idx="125">
                  <c:v>2.5674568755739773</c:v>
                </c:pt>
                <c:pt idx="126">
                  <c:v>2.2198865551904503</c:v>
                </c:pt>
                <c:pt idx="127">
                  <c:v>2.4630406651857495</c:v>
                </c:pt>
                <c:pt idx="128">
                  <c:v>2.4850710156622888</c:v>
                </c:pt>
                <c:pt idx="129">
                  <c:v>2.137099297751182</c:v>
                </c:pt>
                <c:pt idx="130">
                  <c:v>2.585830704693977</c:v>
                </c:pt>
                <c:pt idx="131">
                  <c:v>2.9819861876940914</c:v>
                </c:pt>
                <c:pt idx="132">
                  <c:v>2.9864073300727711</c:v>
                </c:pt>
                <c:pt idx="133">
                  <c:v>2.7912526910199689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29-8F4B-B4BC-7B9D5D03F9F7}"/>
            </c:ext>
          </c:extLst>
        </c:ser>
        <c:ser>
          <c:idx val="7"/>
          <c:order val="7"/>
          <c:tx>
            <c:strRef>
              <c:f>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再投資累積報酬!$C$19:$EF$19</c:f>
              <c:numCache>
                <c:formatCode>General</c:formatCode>
                <c:ptCount val="134"/>
                <c:pt idx="0">
                  <c:v>0.19659983333333342</c:v>
                </c:pt>
                <c:pt idx="1">
                  <c:v>0.1724634580682427</c:v>
                </c:pt>
                <c:pt idx="2">
                  <c:v>0.24962620940235891</c:v>
                </c:pt>
                <c:pt idx="3">
                  <c:v>0.4716706183082191</c:v>
                </c:pt>
                <c:pt idx="4">
                  <c:v>0.33029315010678673</c:v>
                </c:pt>
                <c:pt idx="5">
                  <c:v>0.56656673821277814</c:v>
                </c:pt>
                <c:pt idx="6">
                  <c:v>0.35562173914877593</c:v>
                </c:pt>
                <c:pt idx="7">
                  <c:v>0.14383408452634527</c:v>
                </c:pt>
                <c:pt idx="8">
                  <c:v>0.4169695561116582</c:v>
                </c:pt>
                <c:pt idx="9">
                  <c:v>0.44577179982977522</c:v>
                </c:pt>
                <c:pt idx="10">
                  <c:v>0.32113132281204981</c:v>
                </c:pt>
                <c:pt idx="11">
                  <c:v>0.12052601158949994</c:v>
                </c:pt>
                <c:pt idx="12">
                  <c:v>0.15589191292885318</c:v>
                </c:pt>
                <c:pt idx="13">
                  <c:v>0.18307058537331145</c:v>
                </c:pt>
                <c:pt idx="14">
                  <c:v>8.6217195455854601E-2</c:v>
                </c:pt>
                <c:pt idx="15">
                  <c:v>-7.1917858832646564E-2</c:v>
                </c:pt>
                <c:pt idx="16">
                  <c:v>9.8997856589698952E-2</c:v>
                </c:pt>
                <c:pt idx="17">
                  <c:v>0.15555747053228908</c:v>
                </c:pt>
                <c:pt idx="18">
                  <c:v>0.20661481440319962</c:v>
                </c:pt>
                <c:pt idx="19">
                  <c:v>9.4775714700496616E-2</c:v>
                </c:pt>
                <c:pt idx="20">
                  <c:v>0.25529281460335373</c:v>
                </c:pt>
                <c:pt idx="21">
                  <c:v>0.40170897002556538</c:v>
                </c:pt>
                <c:pt idx="22">
                  <c:v>0.25715038903589038</c:v>
                </c:pt>
                <c:pt idx="23">
                  <c:v>0.18437555540526662</c:v>
                </c:pt>
                <c:pt idx="24">
                  <c:v>0.23361026580594424</c:v>
                </c:pt>
                <c:pt idx="25">
                  <c:v>0.29741105020797431</c:v>
                </c:pt>
                <c:pt idx="26">
                  <c:v>0.27906365643083597</c:v>
                </c:pt>
                <c:pt idx="27">
                  <c:v>0.23418268313089174</c:v>
                </c:pt>
                <c:pt idx="28">
                  <c:v>9.1966372673922159E-2</c:v>
                </c:pt>
                <c:pt idx="29">
                  <c:v>0.13431901657097578</c:v>
                </c:pt>
                <c:pt idx="30">
                  <c:v>0.18137862695030571</c:v>
                </c:pt>
                <c:pt idx="31">
                  <c:v>-5.9807247264201946E-2</c:v>
                </c:pt>
                <c:pt idx="32">
                  <c:v>-0.10471682595358411</c:v>
                </c:pt>
                <c:pt idx="33">
                  <c:v>-5.856919482224876E-2</c:v>
                </c:pt>
                <c:pt idx="34">
                  <c:v>-9.6773890802013263E-2</c:v>
                </c:pt>
                <c:pt idx="35">
                  <c:v>-3.3303337954108558E-2</c:v>
                </c:pt>
                <c:pt idx="36">
                  <c:v>-9.2391831414317838E-2</c:v>
                </c:pt>
                <c:pt idx="37">
                  <c:v>-0.10168532906653693</c:v>
                </c:pt>
                <c:pt idx="38">
                  <c:v>-7.8425354387783419E-2</c:v>
                </c:pt>
                <c:pt idx="39">
                  <c:v>-8.7376608920614829E-2</c:v>
                </c:pt>
                <c:pt idx="40">
                  <c:v>-0.13750503444192486</c:v>
                </c:pt>
                <c:pt idx="41">
                  <c:v>-0.10201809748416146</c:v>
                </c:pt>
                <c:pt idx="42">
                  <c:v>-9.8707238209585602E-2</c:v>
                </c:pt>
                <c:pt idx="43">
                  <c:v>-5.4278027951568553E-2</c:v>
                </c:pt>
                <c:pt idx="44">
                  <c:v>1.8002287794277372E-2</c:v>
                </c:pt>
                <c:pt idx="45">
                  <c:v>-3.2931441740504552E-2</c:v>
                </c:pt>
                <c:pt idx="46">
                  <c:v>-1.1311494435476965E-2</c:v>
                </c:pt>
                <c:pt idx="47">
                  <c:v>6.7987665465774061E-2</c:v>
                </c:pt>
                <c:pt idx="48">
                  <c:v>9.9524241619807885E-2</c:v>
                </c:pt>
                <c:pt idx="49">
                  <c:v>-0.10595442882075323</c:v>
                </c:pt>
                <c:pt idx="50">
                  <c:v>-0.13667730707840975</c:v>
                </c:pt>
                <c:pt idx="51">
                  <c:v>3.7542795111437544E-2</c:v>
                </c:pt>
                <c:pt idx="52">
                  <c:v>0.1040031034572817</c:v>
                </c:pt>
                <c:pt idx="53">
                  <c:v>0.1039249032374534</c:v>
                </c:pt>
                <c:pt idx="54">
                  <c:v>0.1603706522551438</c:v>
                </c:pt>
                <c:pt idx="55">
                  <c:v>0.103006955480476</c:v>
                </c:pt>
                <c:pt idx="56">
                  <c:v>8.4979786661354639E-2</c:v>
                </c:pt>
                <c:pt idx="57">
                  <c:v>8.7169494712812767E-2</c:v>
                </c:pt>
                <c:pt idx="58">
                  <c:v>0.22610826543119322</c:v>
                </c:pt>
                <c:pt idx="59">
                  <c:v>0.25272376726785239</c:v>
                </c:pt>
                <c:pt idx="60">
                  <c:v>0.18789590598756578</c:v>
                </c:pt>
                <c:pt idx="61">
                  <c:v>0.21877624997696765</c:v>
                </c:pt>
                <c:pt idx="62">
                  <c:v>0.11133401401337317</c:v>
                </c:pt>
                <c:pt idx="63">
                  <c:v>3.1112257386810338E-2</c:v>
                </c:pt>
                <c:pt idx="64">
                  <c:v>1.1974298333582434E-2</c:v>
                </c:pt>
                <c:pt idx="65">
                  <c:v>7.5545317010088153E-2</c:v>
                </c:pt>
                <c:pt idx="66">
                  <c:v>8.622983200190526E-2</c:v>
                </c:pt>
                <c:pt idx="67">
                  <c:v>0.23486869183720538</c:v>
                </c:pt>
                <c:pt idx="68">
                  <c:v>0.20491529854304669</c:v>
                </c:pt>
                <c:pt idx="69">
                  <c:v>0.22081395508810586</c:v>
                </c:pt>
                <c:pt idx="70">
                  <c:v>6.1289178231780594E-2</c:v>
                </c:pt>
                <c:pt idx="71">
                  <c:v>0.16750865939816784</c:v>
                </c:pt>
                <c:pt idx="72">
                  <c:v>0.51306300778742342</c:v>
                </c:pt>
                <c:pt idx="73">
                  <c:v>0.59602467852290753</c:v>
                </c:pt>
                <c:pt idx="74">
                  <c:v>0.76783631470221159</c:v>
                </c:pt>
                <c:pt idx="75">
                  <c:v>1.0237176571223823</c:v>
                </c:pt>
                <c:pt idx="76">
                  <c:v>0.96436453731460947</c:v>
                </c:pt>
                <c:pt idx="77">
                  <c:v>1.058734905063361</c:v>
                </c:pt>
                <c:pt idx="78">
                  <c:v>1.1050681065917489</c:v>
                </c:pt>
                <c:pt idx="79">
                  <c:v>1.2896071479326925</c:v>
                </c:pt>
                <c:pt idx="80">
                  <c:v>1.492178232340081</c:v>
                </c:pt>
                <c:pt idx="81">
                  <c:v>1.2138052466920035</c:v>
                </c:pt>
                <c:pt idx="82">
                  <c:v>1.7980151684625434</c:v>
                </c:pt>
                <c:pt idx="83">
                  <c:v>1.7768626401248282</c:v>
                </c:pt>
                <c:pt idx="84">
                  <c:v>1.3181230807344466</c:v>
                </c:pt>
                <c:pt idx="85">
                  <c:v>1.4617087833379463</c:v>
                </c:pt>
                <c:pt idx="86">
                  <c:v>1.717647027471898</c:v>
                </c:pt>
                <c:pt idx="87">
                  <c:v>1.6001352091313574</c:v>
                </c:pt>
                <c:pt idx="88">
                  <c:v>1.3135088709968943</c:v>
                </c:pt>
                <c:pt idx="89">
                  <c:v>1.4914932500390417</c:v>
                </c:pt>
                <c:pt idx="90">
                  <c:v>1.0775402228247084</c:v>
                </c:pt>
                <c:pt idx="91">
                  <c:v>1.4079368439508562</c:v>
                </c:pt>
                <c:pt idx="92">
                  <c:v>1.4013633975248845</c:v>
                </c:pt>
                <c:pt idx="93">
                  <c:v>1.4597177287664382</c:v>
                </c:pt>
                <c:pt idx="94">
                  <c:v>1.3104107696600957</c:v>
                </c:pt>
                <c:pt idx="95">
                  <c:v>1.2458564205967138</c:v>
                </c:pt>
                <c:pt idx="96">
                  <c:v>1.4332425887664075</c:v>
                </c:pt>
                <c:pt idx="97">
                  <c:v>1.6633129946583365</c:v>
                </c:pt>
                <c:pt idx="98">
                  <c:v>1.8244857204450726</c:v>
                </c:pt>
                <c:pt idx="99">
                  <c:v>1.6616972588163752</c:v>
                </c:pt>
                <c:pt idx="100">
                  <c:v>1.8504698046259902</c:v>
                </c:pt>
                <c:pt idx="101">
                  <c:v>1.5287890746866704</c:v>
                </c:pt>
                <c:pt idx="102">
                  <c:v>1.6760249779797194</c:v>
                </c:pt>
                <c:pt idx="103">
                  <c:v>2.4417386277801136</c:v>
                </c:pt>
                <c:pt idx="104">
                  <c:v>2.2160033038848925</c:v>
                </c:pt>
                <c:pt idx="105">
                  <c:v>2.1960604645775583</c:v>
                </c:pt>
                <c:pt idx="106">
                  <c:v>2.1768665234575377</c:v>
                </c:pt>
                <c:pt idx="107">
                  <c:v>1.5240114517651975</c:v>
                </c:pt>
                <c:pt idx="108">
                  <c:v>1.8432756740500178</c:v>
                </c:pt>
                <c:pt idx="109">
                  <c:v>1.7203875778617763</c:v>
                </c:pt>
                <c:pt idx="110">
                  <c:v>1.5608449177794719</c:v>
                </c:pt>
                <c:pt idx="111">
                  <c:v>1.3546960482832517</c:v>
                </c:pt>
                <c:pt idx="112">
                  <c:v>1.6406519061841354</c:v>
                </c:pt>
                <c:pt idx="113">
                  <c:v>1.7022129839643547</c:v>
                </c:pt>
                <c:pt idx="114">
                  <c:v>1.5473766303520278</c:v>
                </c:pt>
                <c:pt idx="115">
                  <c:v>1.1043157391719074</c:v>
                </c:pt>
                <c:pt idx="116">
                  <c:v>0.9883120441629476</c:v>
                </c:pt>
                <c:pt idx="117">
                  <c:v>1.3268582191310268</c:v>
                </c:pt>
                <c:pt idx="118">
                  <c:v>1.4446495993289874</c:v>
                </c:pt>
                <c:pt idx="119">
                  <c:v>1.6303509359491533</c:v>
                </c:pt>
                <c:pt idx="120">
                  <c:v>1.6154149265511886</c:v>
                </c:pt>
                <c:pt idx="121">
                  <c:v>1.6073686025296539</c:v>
                </c:pt>
                <c:pt idx="122">
                  <c:v>1.9999926851200756</c:v>
                </c:pt>
                <c:pt idx="123">
                  <c:v>1.665419381588098</c:v>
                </c:pt>
                <c:pt idx="124">
                  <c:v>1.9354183686848274</c:v>
                </c:pt>
                <c:pt idx="125">
                  <c:v>2.3415779253131164</c:v>
                </c:pt>
                <c:pt idx="126">
                  <c:v>2.1073013081581276</c:v>
                </c:pt>
                <c:pt idx="127">
                  <c:v>2.4550730460973549</c:v>
                </c:pt>
                <c:pt idx="128">
                  <c:v>2.5520892634429733</c:v>
                </c:pt>
                <c:pt idx="129">
                  <c:v>2.4747504408451695</c:v>
                </c:pt>
                <c:pt idx="130">
                  <c:v>2.9743299154935325</c:v>
                </c:pt>
                <c:pt idx="131">
                  <c:v>3.574196661112012</c:v>
                </c:pt>
                <c:pt idx="132">
                  <c:v>3.5407760555737076</c:v>
                </c:pt>
                <c:pt idx="133">
                  <c:v>3.463682964605745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29-8F4B-B4BC-7B9D5D03F9F7}"/>
            </c:ext>
          </c:extLst>
        </c:ser>
        <c:ser>
          <c:idx val="8"/>
          <c:order val="8"/>
          <c:tx>
            <c:strRef>
              <c:f>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再投資累積報酬!$C$20:$EF$20</c:f>
              <c:numCache>
                <c:formatCode>General</c:formatCode>
                <c:ptCount val="134"/>
                <c:pt idx="0">
                  <c:v>0.20155100000000004</c:v>
                </c:pt>
                <c:pt idx="1">
                  <c:v>0.20197360743152171</c:v>
                </c:pt>
                <c:pt idx="2">
                  <c:v>0.27088900460832943</c:v>
                </c:pt>
                <c:pt idx="3">
                  <c:v>0.53209642855260864</c:v>
                </c:pt>
                <c:pt idx="4">
                  <c:v>0.35256055629724914</c:v>
                </c:pt>
                <c:pt idx="5">
                  <c:v>0.54723757279833607</c:v>
                </c:pt>
                <c:pt idx="6">
                  <c:v>0.30254262742028892</c:v>
                </c:pt>
                <c:pt idx="7">
                  <c:v>0.12903587368361635</c:v>
                </c:pt>
                <c:pt idx="8">
                  <c:v>0.37146754138879046</c:v>
                </c:pt>
                <c:pt idx="9">
                  <c:v>0.38381043566315154</c:v>
                </c:pt>
                <c:pt idx="10">
                  <c:v>0.24524477190754679</c:v>
                </c:pt>
                <c:pt idx="11">
                  <c:v>3.5864847784741638E-2</c:v>
                </c:pt>
                <c:pt idx="12">
                  <c:v>8.7518130402693739E-2</c:v>
                </c:pt>
                <c:pt idx="13">
                  <c:v>0.13443222581558745</c:v>
                </c:pt>
                <c:pt idx="14">
                  <c:v>1.2996563539092953E-2</c:v>
                </c:pt>
                <c:pt idx="15">
                  <c:v>-0.18042749935496127</c:v>
                </c:pt>
                <c:pt idx="16">
                  <c:v>-5.3244092795448505E-2</c:v>
                </c:pt>
                <c:pt idx="17">
                  <c:v>2.767083228625733E-2</c:v>
                </c:pt>
                <c:pt idx="18">
                  <c:v>6.0797801565004805E-2</c:v>
                </c:pt>
                <c:pt idx="19">
                  <c:v>-4.9013444337731915E-2</c:v>
                </c:pt>
                <c:pt idx="20">
                  <c:v>0.1155884213888938</c:v>
                </c:pt>
                <c:pt idx="21">
                  <c:v>0.28147329740428595</c:v>
                </c:pt>
                <c:pt idx="22">
                  <c:v>0.11620804377781857</c:v>
                </c:pt>
                <c:pt idx="23">
                  <c:v>3.3578323110195818E-2</c:v>
                </c:pt>
                <c:pt idx="24">
                  <c:v>5.5897985388552174E-2</c:v>
                </c:pt>
                <c:pt idx="25">
                  <c:v>9.0635493114392895E-2</c:v>
                </c:pt>
                <c:pt idx="26">
                  <c:v>3.9104860795277752E-2</c:v>
                </c:pt>
                <c:pt idx="27">
                  <c:v>3.3036428685733199E-3</c:v>
                </c:pt>
                <c:pt idx="28">
                  <c:v>-1.4063743850210364E-2</c:v>
                </c:pt>
                <c:pt idx="29">
                  <c:v>2.443182018181278E-2</c:v>
                </c:pt>
                <c:pt idx="30">
                  <c:v>5.7380875776629425E-2</c:v>
                </c:pt>
                <c:pt idx="31">
                  <c:v>-0.17169271053509128</c:v>
                </c:pt>
                <c:pt idx="32">
                  <c:v>-0.24067360630874224</c:v>
                </c:pt>
                <c:pt idx="33">
                  <c:v>-0.19360293693095632</c:v>
                </c:pt>
                <c:pt idx="34">
                  <c:v>-0.20025451525212812</c:v>
                </c:pt>
                <c:pt idx="35">
                  <c:v>-0.1419583061178703</c:v>
                </c:pt>
                <c:pt idx="36">
                  <c:v>-0.19990174139826922</c:v>
                </c:pt>
                <c:pt idx="37">
                  <c:v>-0.17234274173691977</c:v>
                </c:pt>
                <c:pt idx="38">
                  <c:v>-0.13486221495780693</c:v>
                </c:pt>
                <c:pt idx="39">
                  <c:v>-0.1457677958209348</c:v>
                </c:pt>
                <c:pt idx="40">
                  <c:v>-8.3495464061366764E-2</c:v>
                </c:pt>
                <c:pt idx="41">
                  <c:v>-5.6239535804287533E-2</c:v>
                </c:pt>
                <c:pt idx="42">
                  <c:v>-4.0060838918673292E-2</c:v>
                </c:pt>
                <c:pt idx="43">
                  <c:v>-3.4436772550336059E-2</c:v>
                </c:pt>
                <c:pt idx="44">
                  <c:v>3.8649012833490204E-2</c:v>
                </c:pt>
                <c:pt idx="45">
                  <c:v>-1.8087930862005552E-2</c:v>
                </c:pt>
                <c:pt idx="46">
                  <c:v>-1.1346841179028178E-2</c:v>
                </c:pt>
                <c:pt idx="47">
                  <c:v>9.8129242184183063E-2</c:v>
                </c:pt>
                <c:pt idx="48">
                  <c:v>0.14059905947699702</c:v>
                </c:pt>
                <c:pt idx="49">
                  <c:v>-0.10326379243748574</c:v>
                </c:pt>
                <c:pt idx="50">
                  <c:v>-0.13626266695513234</c:v>
                </c:pt>
                <c:pt idx="51">
                  <c:v>6.344497852510389E-2</c:v>
                </c:pt>
                <c:pt idx="52">
                  <c:v>0.13853011492791101</c:v>
                </c:pt>
                <c:pt idx="53">
                  <c:v>0.14805232539712221</c:v>
                </c:pt>
                <c:pt idx="54">
                  <c:v>0.1412250911127293</c:v>
                </c:pt>
                <c:pt idx="55">
                  <c:v>7.821143472686698E-2</c:v>
                </c:pt>
                <c:pt idx="56">
                  <c:v>7.0743588459803552E-2</c:v>
                </c:pt>
                <c:pt idx="57">
                  <c:v>-5.9285556800168226E-3</c:v>
                </c:pt>
                <c:pt idx="58">
                  <c:v>0.12503565225366486</c:v>
                </c:pt>
                <c:pt idx="59">
                  <c:v>0.1493696242068423</c:v>
                </c:pt>
                <c:pt idx="60">
                  <c:v>8.1288820342751089E-2</c:v>
                </c:pt>
                <c:pt idx="61">
                  <c:v>0.10268038959111991</c:v>
                </c:pt>
                <c:pt idx="62">
                  <c:v>4.2523219864820438E-2</c:v>
                </c:pt>
                <c:pt idx="63">
                  <c:v>-4.6784147533772136E-2</c:v>
                </c:pt>
                <c:pt idx="64">
                  <c:v>-5.4036785668846621E-2</c:v>
                </c:pt>
                <c:pt idx="65">
                  <c:v>3.1065068418543174E-3</c:v>
                </c:pt>
                <c:pt idx="66">
                  <c:v>1.8606214636089691E-2</c:v>
                </c:pt>
                <c:pt idx="67">
                  <c:v>0.20310338546202167</c:v>
                </c:pt>
                <c:pt idx="68">
                  <c:v>0.20960917446755056</c:v>
                </c:pt>
                <c:pt idx="69">
                  <c:v>0.27307567439901881</c:v>
                </c:pt>
                <c:pt idx="70">
                  <c:v>8.2825972541155091E-2</c:v>
                </c:pt>
                <c:pt idx="71">
                  <c:v>0.22761041676443861</c:v>
                </c:pt>
                <c:pt idx="72">
                  <c:v>0.64750498445746407</c:v>
                </c:pt>
                <c:pt idx="73">
                  <c:v>0.7430405336060355</c:v>
                </c:pt>
                <c:pt idx="74">
                  <c:v>0.92646760249986571</c:v>
                </c:pt>
                <c:pt idx="75">
                  <c:v>1.2823358715457354</c:v>
                </c:pt>
                <c:pt idx="76">
                  <c:v>1.1908079767663762</c:v>
                </c:pt>
                <c:pt idx="77">
                  <c:v>1.2746106539771858</c:v>
                </c:pt>
                <c:pt idx="78">
                  <c:v>1.3039867956511699</c:v>
                </c:pt>
                <c:pt idx="79">
                  <c:v>1.5253160615938857</c:v>
                </c:pt>
                <c:pt idx="80">
                  <c:v>1.7419311075356489</c:v>
                </c:pt>
                <c:pt idx="81">
                  <c:v>1.3821667140056686</c:v>
                </c:pt>
                <c:pt idx="82">
                  <c:v>2.149080036612625</c:v>
                </c:pt>
                <c:pt idx="83">
                  <c:v>2.3039952501177394</c:v>
                </c:pt>
                <c:pt idx="84">
                  <c:v>1.8695733994503083</c:v>
                </c:pt>
                <c:pt idx="85">
                  <c:v>2.2237944578186877</c:v>
                </c:pt>
                <c:pt idx="86">
                  <c:v>2.5170901090429108</c:v>
                </c:pt>
                <c:pt idx="87">
                  <c:v>2.1928673888035535</c:v>
                </c:pt>
                <c:pt idx="88">
                  <c:v>1.8838802015460003</c:v>
                </c:pt>
                <c:pt idx="89">
                  <c:v>1.8199751138167466</c:v>
                </c:pt>
                <c:pt idx="90">
                  <c:v>1.175559467790682</c:v>
                </c:pt>
                <c:pt idx="91">
                  <c:v>1.5933347741768809</c:v>
                </c:pt>
                <c:pt idx="92">
                  <c:v>1.6091835712117595</c:v>
                </c:pt>
                <c:pt idx="93">
                  <c:v>1.6753634251486891</c:v>
                </c:pt>
                <c:pt idx="94">
                  <c:v>1.4389568703403777</c:v>
                </c:pt>
                <c:pt idx="95">
                  <c:v>1.3948685523907431</c:v>
                </c:pt>
                <c:pt idx="96">
                  <c:v>1.6220641238121654</c:v>
                </c:pt>
                <c:pt idx="97">
                  <c:v>1.9346512124501896</c:v>
                </c:pt>
                <c:pt idx="98">
                  <c:v>2.1339249119753636</c:v>
                </c:pt>
                <c:pt idx="99">
                  <c:v>1.8509360338956018</c:v>
                </c:pt>
                <c:pt idx="100">
                  <c:v>1.8865149534530334</c:v>
                </c:pt>
                <c:pt idx="101">
                  <c:v>1.4386385445274992</c:v>
                </c:pt>
                <c:pt idx="102">
                  <c:v>1.5544053329574066</c:v>
                </c:pt>
                <c:pt idx="103">
                  <c:v>2.5314396250883306</c:v>
                </c:pt>
                <c:pt idx="104">
                  <c:v>2.3996028222380557</c:v>
                </c:pt>
                <c:pt idx="105">
                  <c:v>2.3873738227862153</c:v>
                </c:pt>
                <c:pt idx="106">
                  <c:v>2.2841727369516813</c:v>
                </c:pt>
                <c:pt idx="107">
                  <c:v>1.4776607034056775</c:v>
                </c:pt>
                <c:pt idx="108">
                  <c:v>1.7850722629394844</c:v>
                </c:pt>
                <c:pt idx="109">
                  <c:v>1.6512261121607268</c:v>
                </c:pt>
                <c:pt idx="110">
                  <c:v>1.4543769860544962</c:v>
                </c:pt>
                <c:pt idx="111">
                  <c:v>1.2548916060081505</c:v>
                </c:pt>
                <c:pt idx="112">
                  <c:v>1.4469736455093125</c:v>
                </c:pt>
                <c:pt idx="113">
                  <c:v>1.4220473037719672</c:v>
                </c:pt>
                <c:pt idx="114">
                  <c:v>1.2541127163270951</c:v>
                </c:pt>
                <c:pt idx="115">
                  <c:v>0.84108097319881048</c:v>
                </c:pt>
                <c:pt idx="116">
                  <c:v>0.71990875269909993</c:v>
                </c:pt>
                <c:pt idx="117">
                  <c:v>1.0641578368334677</c:v>
                </c:pt>
                <c:pt idx="118">
                  <c:v>1.1437084157071928</c:v>
                </c:pt>
                <c:pt idx="119">
                  <c:v>1.3120166657493972</c:v>
                </c:pt>
                <c:pt idx="120">
                  <c:v>1.2946950368896024</c:v>
                </c:pt>
                <c:pt idx="121">
                  <c:v>1.3057756602837349</c:v>
                </c:pt>
                <c:pt idx="122">
                  <c:v>1.7124586869868068</c:v>
                </c:pt>
                <c:pt idx="123">
                  <c:v>1.3616144382750872</c:v>
                </c:pt>
                <c:pt idx="124">
                  <c:v>1.6061515838693823</c:v>
                </c:pt>
                <c:pt idx="125">
                  <c:v>2.0071505624770478</c:v>
                </c:pt>
                <c:pt idx="126">
                  <c:v>1.845911331206</c:v>
                </c:pt>
                <c:pt idx="127">
                  <c:v>2.0863184908164012</c:v>
                </c:pt>
                <c:pt idx="128">
                  <c:v>2.0402797994111475</c:v>
                </c:pt>
                <c:pt idx="129">
                  <c:v>1.9215032629234066</c:v>
                </c:pt>
                <c:pt idx="130">
                  <c:v>2.3042381452303062</c:v>
                </c:pt>
                <c:pt idx="131">
                  <c:v>2.8888201945786225</c:v>
                </c:pt>
                <c:pt idx="132">
                  <c:v>2.8820474253277442</c:v>
                </c:pt>
                <c:pt idx="133">
                  <c:v>2.8033140041719622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29-8F4B-B4BC-7B9D5D03F9F7}"/>
            </c:ext>
          </c:extLst>
        </c:ser>
        <c:ser>
          <c:idx val="9"/>
          <c:order val="9"/>
          <c:tx>
            <c:strRef>
              <c:f>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再投資累積報酬!$C$21:$EF$21</c:f>
              <c:numCache>
                <c:formatCode>General</c:formatCode>
                <c:ptCount val="134"/>
                <c:pt idx="0">
                  <c:v>0.21463049999999995</c:v>
                </c:pt>
                <c:pt idx="1">
                  <c:v>0.21418386895350316</c:v>
                </c:pt>
                <c:pt idx="2">
                  <c:v>0.1975598705117263</c:v>
                </c:pt>
                <c:pt idx="3">
                  <c:v>0.41795709046912521</c:v>
                </c:pt>
                <c:pt idx="4">
                  <c:v>0.213995092390733</c:v>
                </c:pt>
                <c:pt idx="5">
                  <c:v>0.41086139255318388</c:v>
                </c:pt>
                <c:pt idx="6">
                  <c:v>0.20310414020919154</c:v>
                </c:pt>
                <c:pt idx="7">
                  <c:v>3.858987542077652E-2</c:v>
                </c:pt>
                <c:pt idx="8">
                  <c:v>0.25345337585468997</c:v>
                </c:pt>
                <c:pt idx="9">
                  <c:v>0.32518370789877826</c:v>
                </c:pt>
                <c:pt idx="10">
                  <c:v>0.22491944728680235</c:v>
                </c:pt>
                <c:pt idx="11">
                  <c:v>5.4593570266535218E-2</c:v>
                </c:pt>
                <c:pt idx="12">
                  <c:v>9.0820957477643516E-2</c:v>
                </c:pt>
                <c:pt idx="13">
                  <c:v>0.13433568480333369</c:v>
                </c:pt>
                <c:pt idx="14">
                  <c:v>4.2232880287740082E-2</c:v>
                </c:pt>
                <c:pt idx="15">
                  <c:v>-0.1064855084211066</c:v>
                </c:pt>
                <c:pt idx="16">
                  <c:v>8.411775104696595E-3</c:v>
                </c:pt>
                <c:pt idx="17">
                  <c:v>0.10770168530915658</c:v>
                </c:pt>
                <c:pt idx="18">
                  <c:v>9.6816577773044754E-2</c:v>
                </c:pt>
                <c:pt idx="19">
                  <c:v>-1.8755830002716412E-2</c:v>
                </c:pt>
                <c:pt idx="20">
                  <c:v>0.13607319571269128</c:v>
                </c:pt>
                <c:pt idx="21">
                  <c:v>0.36026267481914087</c:v>
                </c:pt>
                <c:pt idx="22">
                  <c:v>0.23412657262017378</c:v>
                </c:pt>
                <c:pt idx="23">
                  <c:v>9.9137559865179137E-2</c:v>
                </c:pt>
                <c:pt idx="24">
                  <c:v>7.7714221829294328E-2</c:v>
                </c:pt>
                <c:pt idx="25">
                  <c:v>0.10137645481230018</c:v>
                </c:pt>
                <c:pt idx="26">
                  <c:v>8.0640028906025174E-2</c:v>
                </c:pt>
                <c:pt idx="27">
                  <c:v>3.0176922687509267E-2</c:v>
                </c:pt>
                <c:pt idx="28">
                  <c:v>1.9555025981909058E-2</c:v>
                </c:pt>
                <c:pt idx="29">
                  <c:v>7.3719508550108559E-2</c:v>
                </c:pt>
                <c:pt idx="30">
                  <c:v>8.5580428523402752E-2</c:v>
                </c:pt>
                <c:pt idx="31">
                  <c:v>-0.17534019059077921</c:v>
                </c:pt>
                <c:pt idx="32">
                  <c:v>-0.2311941360817239</c:v>
                </c:pt>
                <c:pt idx="33">
                  <c:v>-0.17706609634210735</c:v>
                </c:pt>
                <c:pt idx="34">
                  <c:v>-0.16199128950692132</c:v>
                </c:pt>
                <c:pt idx="35">
                  <c:v>-0.1072024285660812</c:v>
                </c:pt>
                <c:pt idx="36">
                  <c:v>-5.0843940833977475E-2</c:v>
                </c:pt>
                <c:pt idx="37">
                  <c:v>-3.0162751417214251E-2</c:v>
                </c:pt>
                <c:pt idx="38">
                  <c:v>1.6124084818671003E-2</c:v>
                </c:pt>
                <c:pt idx="39">
                  <c:v>-3.1251158131126999E-3</c:v>
                </c:pt>
                <c:pt idx="40">
                  <c:v>0.12968254375780108</c:v>
                </c:pt>
                <c:pt idx="41">
                  <c:v>0.16831531513360698</c:v>
                </c:pt>
                <c:pt idx="42">
                  <c:v>0.14839787564120921</c:v>
                </c:pt>
                <c:pt idx="43">
                  <c:v>0.14553502162636245</c:v>
                </c:pt>
                <c:pt idx="44">
                  <c:v>0.20030262889092398</c:v>
                </c:pt>
                <c:pt idx="45">
                  <c:v>0.13366089062427022</c:v>
                </c:pt>
                <c:pt idx="46">
                  <c:v>0.14476059836216115</c:v>
                </c:pt>
                <c:pt idx="47">
                  <c:v>0.30863043072419938</c:v>
                </c:pt>
                <c:pt idx="48">
                  <c:v>0.37016392298999734</c:v>
                </c:pt>
                <c:pt idx="49">
                  <c:v>2.0893697413374879E-2</c:v>
                </c:pt>
                <c:pt idx="50">
                  <c:v>-5.1622609144677978E-2</c:v>
                </c:pt>
                <c:pt idx="51">
                  <c:v>0.22768709846264334</c:v>
                </c:pt>
                <c:pt idx="52">
                  <c:v>0.27473347712314489</c:v>
                </c:pt>
                <c:pt idx="53">
                  <c:v>0.32345697745248425</c:v>
                </c:pt>
                <c:pt idx="54">
                  <c:v>0.3318616351878203</c:v>
                </c:pt>
                <c:pt idx="55">
                  <c:v>0.24890030689737963</c:v>
                </c:pt>
                <c:pt idx="56">
                  <c:v>0.29465400595350055</c:v>
                </c:pt>
                <c:pt idx="57">
                  <c:v>0.19584424742607931</c:v>
                </c:pt>
                <c:pt idx="58">
                  <c:v>0.39431803426363854</c:v>
                </c:pt>
                <c:pt idx="59">
                  <c:v>0.42719469569918211</c:v>
                </c:pt>
                <c:pt idx="60">
                  <c:v>0.32950338950026659</c:v>
                </c:pt>
                <c:pt idx="61">
                  <c:v>0.33449301572106105</c:v>
                </c:pt>
                <c:pt idx="62">
                  <c:v>0.20775654764128593</c:v>
                </c:pt>
                <c:pt idx="63">
                  <c:v>-1.9600606191790604E-2</c:v>
                </c:pt>
                <c:pt idx="64">
                  <c:v>-4.8879975887593519E-3</c:v>
                </c:pt>
                <c:pt idx="65">
                  <c:v>9.9110291458049504E-2</c:v>
                </c:pt>
                <c:pt idx="66">
                  <c:v>0.15905821868733439</c:v>
                </c:pt>
                <c:pt idx="67">
                  <c:v>0.32371571671861887</c:v>
                </c:pt>
                <c:pt idx="68">
                  <c:v>0.33147291949733182</c:v>
                </c:pt>
                <c:pt idx="69">
                  <c:v>0.41245576540699846</c:v>
                </c:pt>
                <c:pt idx="70">
                  <c:v>0.17129589293293823</c:v>
                </c:pt>
                <c:pt idx="71">
                  <c:v>0.19383191873694106</c:v>
                </c:pt>
                <c:pt idx="72">
                  <c:v>0.67390784667660664</c:v>
                </c:pt>
                <c:pt idx="73">
                  <c:v>0.8218467086616934</c:v>
                </c:pt>
                <c:pt idx="74">
                  <c:v>0.91363107478628502</c:v>
                </c:pt>
                <c:pt idx="75">
                  <c:v>1.3947227110652438</c:v>
                </c:pt>
                <c:pt idx="76">
                  <c:v>1.2497998320177532</c:v>
                </c:pt>
                <c:pt idx="77">
                  <c:v>1.3924852672819266</c:v>
                </c:pt>
                <c:pt idx="78">
                  <c:v>1.3732987316809591</c:v>
                </c:pt>
                <c:pt idx="79">
                  <c:v>1.5736579505316119</c:v>
                </c:pt>
                <c:pt idx="80">
                  <c:v>1.7319752325295887</c:v>
                </c:pt>
                <c:pt idx="81">
                  <c:v>1.384555406159266</c:v>
                </c:pt>
                <c:pt idx="82">
                  <c:v>2.1480131452996143</c:v>
                </c:pt>
                <c:pt idx="83">
                  <c:v>1.9234386095336578</c:v>
                </c:pt>
                <c:pt idx="84">
                  <c:v>1.5630012856273816</c:v>
                </c:pt>
                <c:pt idx="85">
                  <c:v>1.7824653369460659</c:v>
                </c:pt>
                <c:pt idx="86">
                  <c:v>2.1359790792627105</c:v>
                </c:pt>
                <c:pt idx="87">
                  <c:v>1.7161015087314926</c:v>
                </c:pt>
                <c:pt idx="88">
                  <c:v>1.400408351346254</c:v>
                </c:pt>
                <c:pt idx="89">
                  <c:v>1.3271025442602644</c:v>
                </c:pt>
                <c:pt idx="90">
                  <c:v>0.77373621994609532</c:v>
                </c:pt>
                <c:pt idx="91">
                  <c:v>1.1687473841094493</c:v>
                </c:pt>
                <c:pt idx="92">
                  <c:v>1.1758784244369518</c:v>
                </c:pt>
                <c:pt idx="93">
                  <c:v>1.201155604093636</c:v>
                </c:pt>
                <c:pt idx="94">
                  <c:v>1.0478530489102442</c:v>
                </c:pt>
                <c:pt idx="95">
                  <c:v>0.87158910089365538</c:v>
                </c:pt>
                <c:pt idx="96">
                  <c:v>0.98888825302107786</c:v>
                </c:pt>
                <c:pt idx="97">
                  <c:v>1.2958370461602975</c:v>
                </c:pt>
                <c:pt idx="98">
                  <c:v>1.3838721043484714</c:v>
                </c:pt>
                <c:pt idx="99">
                  <c:v>1.1404258985634042</c:v>
                </c:pt>
                <c:pt idx="100">
                  <c:v>1.1585808121037924</c:v>
                </c:pt>
                <c:pt idx="101">
                  <c:v>0.6460228392314129</c:v>
                </c:pt>
                <c:pt idx="102">
                  <c:v>0.64406035787341143</c:v>
                </c:pt>
                <c:pt idx="103">
                  <c:v>1.4206334770731015</c:v>
                </c:pt>
                <c:pt idx="104">
                  <c:v>1.0480863771190756</c:v>
                </c:pt>
                <c:pt idx="105">
                  <c:v>1.042313242726824</c:v>
                </c:pt>
                <c:pt idx="106">
                  <c:v>0.93055990439805503</c:v>
                </c:pt>
                <c:pt idx="107">
                  <c:v>0.34916841070874804</c:v>
                </c:pt>
                <c:pt idx="108">
                  <c:v>0.54909483873472897</c:v>
                </c:pt>
                <c:pt idx="109">
                  <c:v>0.56513660110040487</c:v>
                </c:pt>
                <c:pt idx="110">
                  <c:v>0.42404078436672354</c:v>
                </c:pt>
                <c:pt idx="111">
                  <c:v>0.3196539667400935</c:v>
                </c:pt>
                <c:pt idx="112">
                  <c:v>0.43960160465249243</c:v>
                </c:pt>
                <c:pt idx="113">
                  <c:v>0.39323527607024622</c:v>
                </c:pt>
                <c:pt idx="114">
                  <c:v>0.35842076468298378</c:v>
                </c:pt>
                <c:pt idx="115">
                  <c:v>5.9166591763464504E-2</c:v>
                </c:pt>
                <c:pt idx="116">
                  <c:v>-2.8157237104659893E-2</c:v>
                </c:pt>
                <c:pt idx="117">
                  <c:v>0.19441408524016546</c:v>
                </c:pt>
                <c:pt idx="118">
                  <c:v>0.22811477725873797</c:v>
                </c:pt>
                <c:pt idx="119">
                  <c:v>0.28973035062994179</c:v>
                </c:pt>
                <c:pt idx="120">
                  <c:v>0.2875716644555748</c:v>
                </c:pt>
                <c:pt idx="121">
                  <c:v>0.27506998737954325</c:v>
                </c:pt>
                <c:pt idx="122">
                  <c:v>0.46456419478645716</c:v>
                </c:pt>
                <c:pt idx="123">
                  <c:v>0.25912102167414064</c:v>
                </c:pt>
                <c:pt idx="124">
                  <c:v>0.38948537577419451</c:v>
                </c:pt>
                <c:pt idx="125">
                  <c:v>0.64788271055861779</c:v>
                </c:pt>
                <c:pt idx="126">
                  <c:v>0.60735139476254418</c:v>
                </c:pt>
                <c:pt idx="127">
                  <c:v>0.69229037885314937</c:v>
                </c:pt>
                <c:pt idx="128">
                  <c:v>0.73437006325778142</c:v>
                </c:pt>
                <c:pt idx="129">
                  <c:v>0.71978722625202152</c:v>
                </c:pt>
                <c:pt idx="130">
                  <c:v>0.96071912880058097</c:v>
                </c:pt>
                <c:pt idx="131">
                  <c:v>1.0675760789402138</c:v>
                </c:pt>
                <c:pt idx="132">
                  <c:v>1.1116361251824296</c:v>
                </c:pt>
                <c:pt idx="133">
                  <c:v>1.1512742044491064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29-8F4B-B4BC-7B9D5D03F9F7}"/>
            </c:ext>
          </c:extLst>
        </c:ser>
        <c:ser>
          <c:idx val="10"/>
          <c:order val="10"/>
          <c:tx>
            <c:strRef>
              <c:f>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再投資累積報酬!$C$22:$EF$22</c:f>
              <c:numCache>
                <c:formatCode>General</c:formatCode>
                <c:ptCount val="134"/>
                <c:pt idx="0">
                  <c:v>0.20528266666666672</c:v>
                </c:pt>
                <c:pt idx="1">
                  <c:v>0.15142955609777409</c:v>
                </c:pt>
                <c:pt idx="2">
                  <c:v>0.13144457710243707</c:v>
                </c:pt>
                <c:pt idx="3">
                  <c:v>0.20819166314092152</c:v>
                </c:pt>
                <c:pt idx="4">
                  <c:v>8.2679441482837124E-2</c:v>
                </c:pt>
                <c:pt idx="5">
                  <c:v>0.21712440916729281</c:v>
                </c:pt>
                <c:pt idx="6">
                  <c:v>6.6817858400498142E-2</c:v>
                </c:pt>
                <c:pt idx="7">
                  <c:v>-4.4400036973470614E-2</c:v>
                </c:pt>
                <c:pt idx="8">
                  <c:v>0.19007162011414125</c:v>
                </c:pt>
                <c:pt idx="9">
                  <c:v>0.31798904905240644</c:v>
                </c:pt>
                <c:pt idx="10">
                  <c:v>0.61474562482612272</c:v>
                </c:pt>
                <c:pt idx="11">
                  <c:v>0.45645072123905894</c:v>
                </c:pt>
                <c:pt idx="12">
                  <c:v>0.4466693754287141</c:v>
                </c:pt>
                <c:pt idx="13">
                  <c:v>0.50867143824630001</c:v>
                </c:pt>
                <c:pt idx="14">
                  <c:v>0.37397345324831743</c:v>
                </c:pt>
                <c:pt idx="15">
                  <c:v>0.12572430042542382</c:v>
                </c:pt>
                <c:pt idx="16">
                  <c:v>0.31669955050046927</c:v>
                </c:pt>
                <c:pt idx="17">
                  <c:v>0.48630680862452391</c:v>
                </c:pt>
                <c:pt idx="18">
                  <c:v>0.56431463060397635</c:v>
                </c:pt>
                <c:pt idx="19">
                  <c:v>0.47511094249802599</c:v>
                </c:pt>
                <c:pt idx="20">
                  <c:v>0.7811673547379796</c:v>
                </c:pt>
                <c:pt idx="21">
                  <c:v>1.1639403042855148</c:v>
                </c:pt>
                <c:pt idx="22">
                  <c:v>1.0602046151614868</c:v>
                </c:pt>
                <c:pt idx="23">
                  <c:v>0.75086466573817545</c:v>
                </c:pt>
                <c:pt idx="24">
                  <c:v>0.73852454200745199</c:v>
                </c:pt>
                <c:pt idx="25">
                  <c:v>0.73180474457404276</c:v>
                </c:pt>
                <c:pt idx="26">
                  <c:v>0.58325666293428791</c:v>
                </c:pt>
                <c:pt idx="27">
                  <c:v>0.56351772291228563</c:v>
                </c:pt>
                <c:pt idx="28">
                  <c:v>0.69664969350054373</c:v>
                </c:pt>
                <c:pt idx="29">
                  <c:v>0.77670155574870092</c:v>
                </c:pt>
                <c:pt idx="30">
                  <c:v>0.79591143164672085</c:v>
                </c:pt>
                <c:pt idx="31">
                  <c:v>0.35120380903183013</c:v>
                </c:pt>
                <c:pt idx="32">
                  <c:v>0.2601422644838105</c:v>
                </c:pt>
                <c:pt idx="33">
                  <c:v>0.30008858439778607</c:v>
                </c:pt>
                <c:pt idx="34">
                  <c:v>0.40224404430132576</c:v>
                </c:pt>
                <c:pt idx="35">
                  <c:v>0.45881192474765919</c:v>
                </c:pt>
                <c:pt idx="36">
                  <c:v>0.54105062985611441</c:v>
                </c:pt>
                <c:pt idx="37">
                  <c:v>0.58398517400300221</c:v>
                </c:pt>
                <c:pt idx="38">
                  <c:v>0.7023363856990783</c:v>
                </c:pt>
                <c:pt idx="39">
                  <c:v>0.66744983870148511</c:v>
                </c:pt>
                <c:pt idx="40">
                  <c:v>0.8510849778044538</c:v>
                </c:pt>
                <c:pt idx="41">
                  <c:v>1.0513422007325897</c:v>
                </c:pt>
                <c:pt idx="42">
                  <c:v>0.7137104203525455</c:v>
                </c:pt>
                <c:pt idx="43">
                  <c:v>0.67063397513754031</c:v>
                </c:pt>
                <c:pt idx="44">
                  <c:v>0.72660096828230092</c:v>
                </c:pt>
                <c:pt idx="45">
                  <c:v>0.62332747951768619</c:v>
                </c:pt>
                <c:pt idx="46">
                  <c:v>0.57438514752727454</c:v>
                </c:pt>
                <c:pt idx="47">
                  <c:v>0.8479556636396659</c:v>
                </c:pt>
                <c:pt idx="48">
                  <c:v>0.98051577934010381</c:v>
                </c:pt>
                <c:pt idx="49">
                  <c:v>0.67372640209566059</c:v>
                </c:pt>
                <c:pt idx="50">
                  <c:v>0.59740711399889634</c:v>
                </c:pt>
                <c:pt idx="51">
                  <c:v>1.1877310428533403</c:v>
                </c:pt>
                <c:pt idx="52">
                  <c:v>0.90149501176986968</c:v>
                </c:pt>
                <c:pt idx="53">
                  <c:v>1.0522151123827967</c:v>
                </c:pt>
                <c:pt idx="54">
                  <c:v>1.0978074996844174</c:v>
                </c:pt>
                <c:pt idx="55">
                  <c:v>0.98266723725673844</c:v>
                </c:pt>
                <c:pt idx="56">
                  <c:v>1.0744241097892222</c:v>
                </c:pt>
                <c:pt idx="57">
                  <c:v>0.8089796756612968</c:v>
                </c:pt>
                <c:pt idx="58">
                  <c:v>1.0099369112690595</c:v>
                </c:pt>
                <c:pt idx="59">
                  <c:v>1.1204762360679705</c:v>
                </c:pt>
                <c:pt idx="60">
                  <c:v>1.0317562823448982</c:v>
                </c:pt>
                <c:pt idx="61">
                  <c:v>1.0680515765727079</c:v>
                </c:pt>
                <c:pt idx="62">
                  <c:v>0.81794417630410643</c:v>
                </c:pt>
                <c:pt idx="63">
                  <c:v>0.86978977443043415</c:v>
                </c:pt>
                <c:pt idx="64">
                  <c:v>0.94150244491242252</c:v>
                </c:pt>
                <c:pt idx="65">
                  <c:v>1.0867958485049276</c:v>
                </c:pt>
                <c:pt idx="66">
                  <c:v>1.1448715802192142</c:v>
                </c:pt>
                <c:pt idx="67">
                  <c:v>1.3734436422571301</c:v>
                </c:pt>
                <c:pt idx="68">
                  <c:v>1.3345837660188566</c:v>
                </c:pt>
                <c:pt idx="69">
                  <c:v>1.127449377768011</c:v>
                </c:pt>
                <c:pt idx="70">
                  <c:v>0.90544790774854134</c:v>
                </c:pt>
                <c:pt idx="71">
                  <c:v>0.90674488262441577</c:v>
                </c:pt>
                <c:pt idx="72">
                  <c:v>1.7222889056777451</c:v>
                </c:pt>
                <c:pt idx="73">
                  <c:v>2.1386286119728282</c:v>
                </c:pt>
                <c:pt idx="74">
                  <c:v>2.1535270115913745</c:v>
                </c:pt>
                <c:pt idx="75">
                  <c:v>3.0353477698426703</c:v>
                </c:pt>
                <c:pt idx="76">
                  <c:v>2.924415742954297</c:v>
                </c:pt>
                <c:pt idx="77">
                  <c:v>3.5091273096969813</c:v>
                </c:pt>
                <c:pt idx="78">
                  <c:v>2.9450129376173404</c:v>
                </c:pt>
                <c:pt idx="79">
                  <c:v>3.3218339983969862</c:v>
                </c:pt>
                <c:pt idx="80">
                  <c:v>3.610705382849841</c:v>
                </c:pt>
                <c:pt idx="81">
                  <c:v>2.8934148726363027</c:v>
                </c:pt>
                <c:pt idx="82">
                  <c:v>4.6213149887222089</c:v>
                </c:pt>
                <c:pt idx="83">
                  <c:v>4.4708773569940252</c:v>
                </c:pt>
                <c:pt idx="84">
                  <c:v>3.2101246118294657</c:v>
                </c:pt>
                <c:pt idx="85">
                  <c:v>3.6453652105657834</c:v>
                </c:pt>
                <c:pt idx="86">
                  <c:v>3.8133571441993466</c:v>
                </c:pt>
                <c:pt idx="87">
                  <c:v>2.6550140900230836</c:v>
                </c:pt>
                <c:pt idx="88">
                  <c:v>1.8515323426133095</c:v>
                </c:pt>
                <c:pt idx="89">
                  <c:v>1.8759037388855626</c:v>
                </c:pt>
                <c:pt idx="90">
                  <c:v>1.3430397349636758</c:v>
                </c:pt>
                <c:pt idx="91">
                  <c:v>1.9508442915325741</c:v>
                </c:pt>
                <c:pt idx="92">
                  <c:v>1.9144492292164141</c:v>
                </c:pt>
                <c:pt idx="93">
                  <c:v>1.831618639155931</c:v>
                </c:pt>
                <c:pt idx="94">
                  <c:v>1.8746654253710613</c:v>
                </c:pt>
                <c:pt idx="95">
                  <c:v>1.5121949000544124</c:v>
                </c:pt>
                <c:pt idx="96">
                  <c:v>1.8142403936754303</c:v>
                </c:pt>
                <c:pt idx="97">
                  <c:v>2.2820309703885058</c:v>
                </c:pt>
                <c:pt idx="98">
                  <c:v>2.3571371060497612</c:v>
                </c:pt>
                <c:pt idx="99">
                  <c:v>2.3445492073576712</c:v>
                </c:pt>
                <c:pt idx="100">
                  <c:v>2.3712682282661799</c:v>
                </c:pt>
                <c:pt idx="101">
                  <c:v>1.4848927519764175</c:v>
                </c:pt>
                <c:pt idx="102">
                  <c:v>1.4948118322652841</c:v>
                </c:pt>
                <c:pt idx="103">
                  <c:v>2.9751712316603318</c:v>
                </c:pt>
                <c:pt idx="104">
                  <c:v>2.4140072973759197</c:v>
                </c:pt>
                <c:pt idx="105">
                  <c:v>2.3057485485793272</c:v>
                </c:pt>
                <c:pt idx="106">
                  <c:v>1.8649082470511655</c:v>
                </c:pt>
                <c:pt idx="107">
                  <c:v>0.748545180239232</c:v>
                </c:pt>
                <c:pt idx="108">
                  <c:v>0.90262944785024679</c:v>
                </c:pt>
                <c:pt idx="109">
                  <c:v>0.83662960596928282</c:v>
                </c:pt>
                <c:pt idx="110">
                  <c:v>0.68766876294400303</c:v>
                </c:pt>
                <c:pt idx="111">
                  <c:v>0.61547423115903865</c:v>
                </c:pt>
                <c:pt idx="112">
                  <c:v>0.76317327067403684</c:v>
                </c:pt>
                <c:pt idx="113">
                  <c:v>0.72494708644140027</c:v>
                </c:pt>
                <c:pt idx="114">
                  <c:v>0.66994829855494054</c:v>
                </c:pt>
                <c:pt idx="115">
                  <c:v>0.15998778967060812</c:v>
                </c:pt>
                <c:pt idx="116">
                  <c:v>1.6801795361658156E-2</c:v>
                </c:pt>
                <c:pt idx="117">
                  <c:v>0.18921318078824201</c:v>
                </c:pt>
                <c:pt idx="118">
                  <c:v>0.25087309140332525</c:v>
                </c:pt>
                <c:pt idx="119">
                  <c:v>0.243252081278865</c:v>
                </c:pt>
                <c:pt idx="120">
                  <c:v>0.19806111137645965</c:v>
                </c:pt>
                <c:pt idx="121">
                  <c:v>0.14572700655560933</c:v>
                </c:pt>
                <c:pt idx="122">
                  <c:v>0.33081423964763945</c:v>
                </c:pt>
                <c:pt idx="123">
                  <c:v>0.16352407904493793</c:v>
                </c:pt>
                <c:pt idx="124">
                  <c:v>0.25825355546446049</c:v>
                </c:pt>
                <c:pt idx="125">
                  <c:v>0.53814275843131609</c:v>
                </c:pt>
                <c:pt idx="126">
                  <c:v>0.5506741868709859</c:v>
                </c:pt>
                <c:pt idx="127">
                  <c:v>0.7115535028632447</c:v>
                </c:pt>
                <c:pt idx="128">
                  <c:v>0.83230128990651808</c:v>
                </c:pt>
                <c:pt idx="129">
                  <c:v>0.97997877773172526</c:v>
                </c:pt>
                <c:pt idx="130">
                  <c:v>0.92369033373505482</c:v>
                </c:pt>
                <c:pt idx="131">
                  <c:v>1.0726100643837246</c:v>
                </c:pt>
                <c:pt idx="132">
                  <c:v>1.1713409174107077</c:v>
                </c:pt>
                <c:pt idx="133">
                  <c:v>1.2468824028854049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29-8F4B-B4BC-7B9D5D03F9F7}"/>
            </c:ext>
          </c:extLst>
        </c:ser>
        <c:ser>
          <c:idx val="11"/>
          <c:order val="11"/>
          <c:tx>
            <c:strRef>
              <c:f>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再投資累積報酬!$C$23:$EF$23</c:f>
              <c:numCache>
                <c:formatCode>General</c:formatCode>
                <c:ptCount val="134"/>
                <c:pt idx="0">
                  <c:v>0.28298899999999994</c:v>
                </c:pt>
                <c:pt idx="1">
                  <c:v>0.24474224127694799</c:v>
                </c:pt>
                <c:pt idx="2">
                  <c:v>0.41029918307798852</c:v>
                </c:pt>
                <c:pt idx="3">
                  <c:v>0.66753221909965488</c:v>
                </c:pt>
                <c:pt idx="4">
                  <c:v>0.71250817861369287</c:v>
                </c:pt>
                <c:pt idx="5">
                  <c:v>0.68136022360697757</c:v>
                </c:pt>
                <c:pt idx="6">
                  <c:v>0.43226329567176003</c:v>
                </c:pt>
                <c:pt idx="7">
                  <c:v>0.26773133344981881</c:v>
                </c:pt>
                <c:pt idx="8">
                  <c:v>0.44851942482264273</c:v>
                </c:pt>
                <c:pt idx="9">
                  <c:v>0.78521959698313681</c:v>
                </c:pt>
                <c:pt idx="10">
                  <c:v>1.253963540899115</c:v>
                </c:pt>
                <c:pt idx="11">
                  <c:v>0.96816093305109785</c:v>
                </c:pt>
                <c:pt idx="12">
                  <c:v>0.9299634339359073</c:v>
                </c:pt>
                <c:pt idx="13">
                  <c:v>0.95058220746849864</c:v>
                </c:pt>
                <c:pt idx="14">
                  <c:v>0.46127929095656328</c:v>
                </c:pt>
                <c:pt idx="15">
                  <c:v>0.33030774622274661</c:v>
                </c:pt>
                <c:pt idx="16">
                  <c:v>0.4815963731784163</c:v>
                </c:pt>
                <c:pt idx="17">
                  <c:v>0.71065516289594921</c:v>
                </c:pt>
                <c:pt idx="18">
                  <c:v>0.81198838745283486</c:v>
                </c:pt>
                <c:pt idx="19">
                  <c:v>0.92679055561062418</c:v>
                </c:pt>
                <c:pt idx="20">
                  <c:v>1.5657512023702966</c:v>
                </c:pt>
                <c:pt idx="21">
                  <c:v>2.2433293917511721</c:v>
                </c:pt>
                <c:pt idx="22">
                  <c:v>2.2187165322758937</c:v>
                </c:pt>
                <c:pt idx="23">
                  <c:v>1.743503905568847</c:v>
                </c:pt>
                <c:pt idx="24">
                  <c:v>1.7253795177492774</c:v>
                </c:pt>
                <c:pt idx="25">
                  <c:v>1.6409162316909955</c:v>
                </c:pt>
                <c:pt idx="26">
                  <c:v>1.195248942154111</c:v>
                </c:pt>
                <c:pt idx="27">
                  <c:v>1.1622962790245217</c:v>
                </c:pt>
                <c:pt idx="28">
                  <c:v>1.6417141231210013</c:v>
                </c:pt>
                <c:pt idx="29">
                  <c:v>1.8184613353253041</c:v>
                </c:pt>
                <c:pt idx="30">
                  <c:v>1.407265039014749</c:v>
                </c:pt>
                <c:pt idx="31">
                  <c:v>1.7338079425550066</c:v>
                </c:pt>
                <c:pt idx="32">
                  <c:v>1.5275416692541413</c:v>
                </c:pt>
                <c:pt idx="33">
                  <c:v>1.5132784031975866</c:v>
                </c:pt>
                <c:pt idx="34">
                  <c:v>1.74248744395697</c:v>
                </c:pt>
                <c:pt idx="35">
                  <c:v>2.1029372671252524</c:v>
                </c:pt>
                <c:pt idx="36">
                  <c:v>2.0394184554349084</c:v>
                </c:pt>
                <c:pt idx="37">
                  <c:v>2.5273063337369477</c:v>
                </c:pt>
                <c:pt idx="38">
                  <c:v>2.5084812684692865</c:v>
                </c:pt>
                <c:pt idx="39">
                  <c:v>3.0883156880247657</c:v>
                </c:pt>
                <c:pt idx="40">
                  <c:v>3.494608412784979</c:v>
                </c:pt>
                <c:pt idx="41">
                  <c:v>4.6338154378104894</c:v>
                </c:pt>
                <c:pt idx="42">
                  <c:v>4.4525812289915638</c:v>
                </c:pt>
                <c:pt idx="43">
                  <c:v>4.2266932106705735</c:v>
                </c:pt>
                <c:pt idx="44">
                  <c:v>4.399934707050531</c:v>
                </c:pt>
                <c:pt idx="45">
                  <c:v>4.2506859430161628</c:v>
                </c:pt>
                <c:pt idx="46">
                  <c:v>3.9775089788690918</c:v>
                </c:pt>
                <c:pt idx="47">
                  <c:v>4.3251290166108447</c:v>
                </c:pt>
                <c:pt idx="48">
                  <c:v>5.2316469275982032</c:v>
                </c:pt>
                <c:pt idx="49">
                  <c:v>4.8343568935976151</c:v>
                </c:pt>
                <c:pt idx="50">
                  <c:v>4.8906396514589714</c:v>
                </c:pt>
                <c:pt idx="51">
                  <c:v>8.2296161984963323</c:v>
                </c:pt>
                <c:pt idx="52">
                  <c:v>5.4530869169633132</c:v>
                </c:pt>
                <c:pt idx="53">
                  <c:v>6.2660435802188923</c:v>
                </c:pt>
                <c:pt idx="54">
                  <c:v>5.7470245476718738</c:v>
                </c:pt>
                <c:pt idx="55">
                  <c:v>5.3421153634924421</c:v>
                </c:pt>
                <c:pt idx="56">
                  <c:v>5.8162612385666641</c:v>
                </c:pt>
                <c:pt idx="57">
                  <c:v>4.4292612637853983</c:v>
                </c:pt>
                <c:pt idx="58">
                  <c:v>5.4668586730963256</c:v>
                </c:pt>
                <c:pt idx="59">
                  <c:v>6.13943341446749</c:v>
                </c:pt>
                <c:pt idx="60">
                  <c:v>6.1539557954935837</c:v>
                </c:pt>
                <c:pt idx="61">
                  <c:v>5.7717056294287703</c:v>
                </c:pt>
                <c:pt idx="62">
                  <c:v>4.5247197387391651</c:v>
                </c:pt>
                <c:pt idx="63">
                  <c:v>4.67169645468854</c:v>
                </c:pt>
                <c:pt idx="64">
                  <c:v>5.0223207295173857</c:v>
                </c:pt>
                <c:pt idx="65">
                  <c:v>5.6141125025035716</c:v>
                </c:pt>
                <c:pt idx="66">
                  <c:v>6.0906454281657103</c:v>
                </c:pt>
                <c:pt idx="67">
                  <c:v>6.8197239571401713</c:v>
                </c:pt>
                <c:pt idx="68">
                  <c:v>6.246730644983141</c:v>
                </c:pt>
                <c:pt idx="69">
                  <c:v>4.6655990958421718</c:v>
                </c:pt>
                <c:pt idx="70">
                  <c:v>4.066821756999448</c:v>
                </c:pt>
                <c:pt idx="71">
                  <c:v>3.9805819172844386</c:v>
                </c:pt>
                <c:pt idx="72">
                  <c:v>6.9739016884085521</c:v>
                </c:pt>
                <c:pt idx="73">
                  <c:v>7.9644159569344239</c:v>
                </c:pt>
                <c:pt idx="74">
                  <c:v>8.0559040313752028</c:v>
                </c:pt>
                <c:pt idx="75">
                  <c:v>11.247195556127794</c:v>
                </c:pt>
                <c:pt idx="76">
                  <c:v>10.32065602438403</c:v>
                </c:pt>
                <c:pt idx="77">
                  <c:v>12.784191562481926</c:v>
                </c:pt>
                <c:pt idx="78">
                  <c:v>11.618807086831891</c:v>
                </c:pt>
                <c:pt idx="79">
                  <c:v>13.401118946793744</c:v>
                </c:pt>
                <c:pt idx="80">
                  <c:v>14.259454438260544</c:v>
                </c:pt>
                <c:pt idx="81">
                  <c:v>11.460405080923193</c:v>
                </c:pt>
                <c:pt idx="82">
                  <c:v>15.11010134054338</c:v>
                </c:pt>
                <c:pt idx="83">
                  <c:v>15.463726120018979</c:v>
                </c:pt>
                <c:pt idx="84">
                  <c:v>14.490349472488157</c:v>
                </c:pt>
                <c:pt idx="85">
                  <c:v>14.798225861738169</c:v>
                </c:pt>
                <c:pt idx="86">
                  <c:v>16.316703853602004</c:v>
                </c:pt>
                <c:pt idx="87">
                  <c:v>9.2400421207272228</c:v>
                </c:pt>
                <c:pt idx="88">
                  <c:v>6.836653034781941</c:v>
                </c:pt>
                <c:pt idx="89">
                  <c:v>7.2520362267128178</c:v>
                </c:pt>
                <c:pt idx="90">
                  <c:v>5.0367690402115857</c:v>
                </c:pt>
                <c:pt idx="91">
                  <c:v>6.9163819348737867</c:v>
                </c:pt>
                <c:pt idx="92">
                  <c:v>6.8436799058210269</c:v>
                </c:pt>
                <c:pt idx="93">
                  <c:v>6.543812101181536</c:v>
                </c:pt>
                <c:pt idx="94">
                  <c:v>6.8227386618396793</c:v>
                </c:pt>
                <c:pt idx="95">
                  <c:v>6.5657599444567163</c:v>
                </c:pt>
                <c:pt idx="96">
                  <c:v>6.7250690928709229</c:v>
                </c:pt>
                <c:pt idx="97">
                  <c:v>7.9095614168456372</c:v>
                </c:pt>
                <c:pt idx="98">
                  <c:v>7.6940722003440278</c:v>
                </c:pt>
                <c:pt idx="99">
                  <c:v>8.4653841524167213</c:v>
                </c:pt>
                <c:pt idx="100">
                  <c:v>8.2567052696079255</c:v>
                </c:pt>
                <c:pt idx="101">
                  <c:v>6.5719960754462967</c:v>
                </c:pt>
                <c:pt idx="102">
                  <c:v>6.8065926893578323</c:v>
                </c:pt>
                <c:pt idx="103">
                  <c:v>13.555982049405767</c:v>
                </c:pt>
                <c:pt idx="104">
                  <c:v>11.256880706205877</c:v>
                </c:pt>
                <c:pt idx="105">
                  <c:v>10.119458420994004</c:v>
                </c:pt>
                <c:pt idx="106">
                  <c:v>8.5466721843657183</c:v>
                </c:pt>
                <c:pt idx="107">
                  <c:v>4.6440164620774746</c:v>
                </c:pt>
                <c:pt idx="108">
                  <c:v>5.5074192172322878</c:v>
                </c:pt>
                <c:pt idx="109">
                  <c:v>4.7943219137442146</c:v>
                </c:pt>
                <c:pt idx="110">
                  <c:v>3.7228781255025218</c:v>
                </c:pt>
                <c:pt idx="111">
                  <c:v>3.8826200323413937</c:v>
                </c:pt>
                <c:pt idx="112">
                  <c:v>4.328127373262336</c:v>
                </c:pt>
                <c:pt idx="113">
                  <c:v>4.6297313513532234</c:v>
                </c:pt>
                <c:pt idx="114">
                  <c:v>4.3680783273363799</c:v>
                </c:pt>
                <c:pt idx="115">
                  <c:v>2.9456725429555983</c:v>
                </c:pt>
                <c:pt idx="116">
                  <c:v>2.2982219912752222</c:v>
                </c:pt>
                <c:pt idx="117">
                  <c:v>2.8814783098908614</c:v>
                </c:pt>
                <c:pt idx="118">
                  <c:v>3.3516437183070966</c:v>
                </c:pt>
                <c:pt idx="119">
                  <c:v>2.960491859157671</c:v>
                </c:pt>
                <c:pt idx="120">
                  <c:v>2.4987856392007881</c:v>
                </c:pt>
                <c:pt idx="121">
                  <c:v>2.3089747688813258</c:v>
                </c:pt>
                <c:pt idx="122">
                  <c:v>2.4930795070723453</c:v>
                </c:pt>
                <c:pt idx="123">
                  <c:v>1.5280408136308621</c:v>
                </c:pt>
                <c:pt idx="124">
                  <c:v>1.4697631527746364</c:v>
                </c:pt>
                <c:pt idx="125">
                  <c:v>2.2440171225345815</c:v>
                </c:pt>
                <c:pt idx="126">
                  <c:v>1.692933781664796</c:v>
                </c:pt>
                <c:pt idx="127">
                  <c:v>1.9699640087459636</c:v>
                </c:pt>
                <c:pt idx="128">
                  <c:v>2.0396064204013378</c:v>
                </c:pt>
                <c:pt idx="129">
                  <c:v>2.2303521786481739</c:v>
                </c:pt>
                <c:pt idx="130">
                  <c:v>1.8323568227511182</c:v>
                </c:pt>
                <c:pt idx="131">
                  <c:v>2.0913076074771477</c:v>
                </c:pt>
                <c:pt idx="132">
                  <c:v>2.3052600982982483</c:v>
                </c:pt>
                <c:pt idx="133">
                  <c:v>2.4631929571330318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29-8F4B-B4BC-7B9D5D03F9F7}"/>
            </c:ext>
          </c:extLst>
        </c:ser>
        <c:ser>
          <c:idx val="12"/>
          <c:order val="12"/>
          <c:tx>
            <c:strRef>
              <c:f>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-1.5248619497808757E-2</c:v>
                </c:pt>
                <c:pt idx="2">
                  <c:v>0.26492496527163056</c:v>
                </c:pt>
                <c:pt idx="3">
                  <c:v>0.51986517671599364</c:v>
                </c:pt>
                <c:pt idx="4">
                  <c:v>0.55424815730645416</c:v>
                </c:pt>
                <c:pt idx="5">
                  <c:v>0.60997727923483458</c:v>
                </c:pt>
                <c:pt idx="6">
                  <c:v>0.61337744370715708</c:v>
                </c:pt>
                <c:pt idx="7">
                  <c:v>0.42709527067928499</c:v>
                </c:pt>
                <c:pt idx="8">
                  <c:v>0.49908414400814971</c:v>
                </c:pt>
                <c:pt idx="9">
                  <c:v>0.99941763513456006</c:v>
                </c:pt>
                <c:pt idx="10">
                  <c:v>1.9252030725613642</c:v>
                </c:pt>
                <c:pt idx="11">
                  <c:v>1.6174959569333707</c:v>
                </c:pt>
                <c:pt idx="12">
                  <c:v>1.7134240185206231</c:v>
                </c:pt>
                <c:pt idx="13">
                  <c:v>1.9243560663524106</c:v>
                </c:pt>
                <c:pt idx="14">
                  <c:v>2.1879719942228082</c:v>
                </c:pt>
                <c:pt idx="15">
                  <c:v>1.8425058313026486</c:v>
                </c:pt>
                <c:pt idx="16">
                  <c:v>2.8445302424846766</c:v>
                </c:pt>
                <c:pt idx="17">
                  <c:v>1.8046358877300928</c:v>
                </c:pt>
                <c:pt idx="18">
                  <c:v>2.6063494701454029</c:v>
                </c:pt>
                <c:pt idx="19">
                  <c:v>3.0266345795877951</c:v>
                </c:pt>
                <c:pt idx="20">
                  <c:v>5.022685603754133</c:v>
                </c:pt>
                <c:pt idx="21">
                  <c:v>5.7334976089280874</c:v>
                </c:pt>
                <c:pt idx="22">
                  <c:v>5.5355405929079833</c:v>
                </c:pt>
                <c:pt idx="23">
                  <c:v>4.5525304179926254</c:v>
                </c:pt>
                <c:pt idx="24">
                  <c:v>4.4773060227575634</c:v>
                </c:pt>
                <c:pt idx="25">
                  <c:v>2.831957288108911</c:v>
                </c:pt>
                <c:pt idx="26">
                  <c:v>1.2924786641957495</c:v>
                </c:pt>
                <c:pt idx="27">
                  <c:v>1.2745472654196197</c:v>
                </c:pt>
                <c:pt idx="28">
                  <c:v>1.6732094391769818</c:v>
                </c:pt>
                <c:pt idx="29">
                  <c:v>1.7334154889912226</c:v>
                </c:pt>
                <c:pt idx="30">
                  <c:v>0.69456619223076799</c:v>
                </c:pt>
                <c:pt idx="31">
                  <c:v>1.2065332014798353</c:v>
                </c:pt>
                <c:pt idx="32">
                  <c:v>0.87133504737786205</c:v>
                </c:pt>
                <c:pt idx="33">
                  <c:v>1.0227096672998877</c:v>
                </c:pt>
                <c:pt idx="34">
                  <c:v>1.25163825600576</c:v>
                </c:pt>
                <c:pt idx="35">
                  <c:v>1.1285255763338862</c:v>
                </c:pt>
                <c:pt idx="36">
                  <c:v>1.1603822508669293</c:v>
                </c:pt>
                <c:pt idx="37">
                  <c:v>1.3994518184237261</c:v>
                </c:pt>
                <c:pt idx="38">
                  <c:v>1.5580318574316236</c:v>
                </c:pt>
                <c:pt idx="39">
                  <c:v>1.978789727501264</c:v>
                </c:pt>
                <c:pt idx="40">
                  <c:v>2.6255564682952488</c:v>
                </c:pt>
                <c:pt idx="41">
                  <c:v>2.6993396041814428</c:v>
                </c:pt>
                <c:pt idx="42">
                  <c:v>1.8195182674397619</c:v>
                </c:pt>
                <c:pt idx="43">
                  <c:v>1.9053985593546354</c:v>
                </c:pt>
                <c:pt idx="44">
                  <c:v>2.0335130381653399</c:v>
                </c:pt>
                <c:pt idx="45">
                  <c:v>1.769136454904829</c:v>
                </c:pt>
                <c:pt idx="46">
                  <c:v>1.7829476379233986</c:v>
                </c:pt>
                <c:pt idx="47">
                  <c:v>1.8617222730282732</c:v>
                </c:pt>
                <c:pt idx="48">
                  <c:v>2.3428558946426317</c:v>
                </c:pt>
                <c:pt idx="49">
                  <c:v>2.4694400648381385</c:v>
                </c:pt>
                <c:pt idx="50">
                  <c:v>2.2828024660664785</c:v>
                </c:pt>
                <c:pt idx="51">
                  <c:v>4.5504836223660163</c:v>
                </c:pt>
                <c:pt idx="52">
                  <c:v>9.2246296741071099E-2</c:v>
                </c:pt>
                <c:pt idx="53">
                  <c:v>0.11260576771232467</c:v>
                </c:pt>
                <c:pt idx="54">
                  <c:v>6.1354301730727423E-2</c:v>
                </c:pt>
                <c:pt idx="55">
                  <c:v>-4.5031608057553796E-2</c:v>
                </c:pt>
                <c:pt idx="56">
                  <c:v>-1.9404108887980498E-2</c:v>
                </c:pt>
                <c:pt idx="57">
                  <c:v>-0.39816450518548163</c:v>
                </c:pt>
                <c:pt idx="58">
                  <c:v>-0.26357657147888647</c:v>
                </c:pt>
                <c:pt idx="59">
                  <c:v>-0.26111079331090314</c:v>
                </c:pt>
                <c:pt idx="60">
                  <c:v>-0.25813783793810763</c:v>
                </c:pt>
                <c:pt idx="61">
                  <c:v>-0.28106063688365801</c:v>
                </c:pt>
                <c:pt idx="62">
                  <c:v>-0.55203822905392785</c:v>
                </c:pt>
                <c:pt idx="63">
                  <c:v>-0.54312819843717852</c:v>
                </c:pt>
                <c:pt idx="64">
                  <c:v>-0.54569581796196154</c:v>
                </c:pt>
                <c:pt idx="65">
                  <c:v>-0.48965686051557911</c:v>
                </c:pt>
                <c:pt idx="66">
                  <c:v>-0.52240539264883412</c:v>
                </c:pt>
                <c:pt idx="67">
                  <c:v>-0.47516130941958057</c:v>
                </c:pt>
                <c:pt idx="68">
                  <c:v>-0.47583557886188865</c:v>
                </c:pt>
                <c:pt idx="69">
                  <c:v>-0.62088130915038464</c:v>
                </c:pt>
                <c:pt idx="70">
                  <c:v>-0.62419821857662794</c:v>
                </c:pt>
                <c:pt idx="71">
                  <c:v>-0.70060135135246937</c:v>
                </c:pt>
                <c:pt idx="72">
                  <c:v>-0.36856375902262817</c:v>
                </c:pt>
                <c:pt idx="73">
                  <c:v>-0.33191307187722563</c:v>
                </c:pt>
                <c:pt idx="74">
                  <c:v>-0.40523271886606371</c:v>
                </c:pt>
                <c:pt idx="75">
                  <c:v>7.888286775115283E-2</c:v>
                </c:pt>
                <c:pt idx="76">
                  <c:v>-4.5427829628776673E-2</c:v>
                </c:pt>
                <c:pt idx="77">
                  <c:v>-0.24470620051572944</c:v>
                </c:pt>
                <c:pt idx="78">
                  <c:v>-0.38252466010762431</c:v>
                </c:pt>
                <c:pt idx="79">
                  <c:v>-0.36402880377648805</c:v>
                </c:pt>
                <c:pt idx="80">
                  <c:v>-0.25873423267374229</c:v>
                </c:pt>
                <c:pt idx="81">
                  <c:v>-0.3811394488323272</c:v>
                </c:pt>
                <c:pt idx="82">
                  <c:v>-0.23429807383291534</c:v>
                </c:pt>
                <c:pt idx="83">
                  <c:v>-0.12277894820016266</c:v>
                </c:pt>
                <c:pt idx="84">
                  <c:v>-0.1741033974988675</c:v>
                </c:pt>
                <c:pt idx="85">
                  <c:v>-0.18493047696730425</c:v>
                </c:pt>
                <c:pt idx="86">
                  <c:v>-0.1086969598302493</c:v>
                </c:pt>
                <c:pt idx="87">
                  <c:v>1.7649999764972835E-2</c:v>
                </c:pt>
                <c:pt idx="88">
                  <c:v>-0.63002316608544651</c:v>
                </c:pt>
                <c:pt idx="89">
                  <c:v>-0.59016231838174726</c:v>
                </c:pt>
                <c:pt idx="90">
                  <c:v>-0.82475734577141535</c:v>
                </c:pt>
                <c:pt idx="91">
                  <c:v>-0.79665820172949053</c:v>
                </c:pt>
                <c:pt idx="92">
                  <c:v>-0.77333750555756531</c:v>
                </c:pt>
                <c:pt idx="93">
                  <c:v>-0.79528160829451511</c:v>
                </c:pt>
                <c:pt idx="94">
                  <c:v>-0.77769727439142067</c:v>
                </c:pt>
                <c:pt idx="95">
                  <c:v>-0.73703886453187573</c:v>
                </c:pt>
                <c:pt idx="96">
                  <c:v>-0.71790808754523106</c:v>
                </c:pt>
                <c:pt idx="97">
                  <c:v>-0.66632360529354218</c:v>
                </c:pt>
                <c:pt idx="98">
                  <c:v>-0.74473529414626394</c:v>
                </c:pt>
                <c:pt idx="99">
                  <c:v>-0.75882774220932214</c:v>
                </c:pt>
                <c:pt idx="100">
                  <c:v>-0.7395178260437496</c:v>
                </c:pt>
                <c:pt idx="101">
                  <c:v>-0.76874565255329175</c:v>
                </c:pt>
                <c:pt idx="102">
                  <c:v>-0.77441397507708265</c:v>
                </c:pt>
                <c:pt idx="103">
                  <c:v>-0.560533701617556</c:v>
                </c:pt>
                <c:pt idx="104">
                  <c:v>-0.68478391091786528</c:v>
                </c:pt>
                <c:pt idx="105">
                  <c:v>-0.62305050352413893</c:v>
                </c:pt>
                <c:pt idx="106">
                  <c:v>-0.73863792017400054</c:v>
                </c:pt>
                <c:pt idx="107">
                  <c:v>-0.87600669298558798</c:v>
                </c:pt>
                <c:pt idx="108">
                  <c:v>-0.84518332292914611</c:v>
                </c:pt>
                <c:pt idx="109">
                  <c:v>-0.86110356212810979</c:v>
                </c:pt>
                <c:pt idx="110">
                  <c:v>-0.9198704782782483</c:v>
                </c:pt>
                <c:pt idx="111">
                  <c:v>-0.92155960859614283</c:v>
                </c:pt>
                <c:pt idx="112">
                  <c:v>-0.91217194099332066</c:v>
                </c:pt>
                <c:pt idx="113">
                  <c:v>-0.90938348794791757</c:v>
                </c:pt>
                <c:pt idx="114">
                  <c:v>-0.909420640717859</c:v>
                </c:pt>
                <c:pt idx="115">
                  <c:v>-0.95623639587855058</c:v>
                </c:pt>
                <c:pt idx="116">
                  <c:v>-0.96435195375293137</c:v>
                </c:pt>
                <c:pt idx="117">
                  <c:v>-0.95638205504984308</c:v>
                </c:pt>
                <c:pt idx="118">
                  <c:v>-0.95417995948108947</c:v>
                </c:pt>
                <c:pt idx="119">
                  <c:v>-0.95511998648867558</c:v>
                </c:pt>
                <c:pt idx="120">
                  <c:v>-0.95814337347887946</c:v>
                </c:pt>
                <c:pt idx="121">
                  <c:v>-0.96127144474868231</c:v>
                </c:pt>
                <c:pt idx="122">
                  <c:v>-0.96211503013916655</c:v>
                </c:pt>
                <c:pt idx="123">
                  <c:v>-0.96810936807852688</c:v>
                </c:pt>
                <c:pt idx="124">
                  <c:v>-0.97133615788823735</c:v>
                </c:pt>
                <c:pt idx="125">
                  <c:v>-0.96240470167008274</c:v>
                </c:pt>
                <c:pt idx="126">
                  <c:v>-0.97533012639936578</c:v>
                </c:pt>
                <c:pt idx="127">
                  <c:v>-0.97408505804875356</c:v>
                </c:pt>
                <c:pt idx="128">
                  <c:v>-0.97608960270815037</c:v>
                </c:pt>
                <c:pt idx="129">
                  <c:v>-0.97538228111849856</c:v>
                </c:pt>
                <c:pt idx="130">
                  <c:v>-0.98170045264099015</c:v>
                </c:pt>
                <c:pt idx="131">
                  <c:v>-0.98067251499816244</c:v>
                </c:pt>
                <c:pt idx="132">
                  <c:v>-0.97859515825519483</c:v>
                </c:pt>
                <c:pt idx="133">
                  <c:v>-0.98003520488043738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29-8F4B-B4BC-7B9D5D03F9F7}"/>
            </c:ext>
          </c:extLst>
        </c:ser>
        <c:ser>
          <c:idx val="13"/>
          <c:order val="13"/>
          <c:tx>
            <c:strRef>
              <c:f>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29-8F4B-B4BC-7B9D5D03F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814144"/>
        <c:axId val="576364432"/>
      </c:lineChart>
      <c:catAx>
        <c:axId val="17408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6364432"/>
        <c:crosses val="autoZero"/>
        <c:auto val="1"/>
        <c:lblAlgn val="ctr"/>
        <c:lblOffset val="100"/>
        <c:noMultiLvlLbl val="0"/>
      </c:catAx>
      <c:valAx>
        <c:axId val="5763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0814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609600</xdr:colOff>
      <xdr:row>29</xdr:row>
      <xdr:rowOff>48114</xdr:rowOff>
    </xdr:from>
    <xdr:to>
      <xdr:col>130</xdr:col>
      <xdr:colOff>584200</xdr:colOff>
      <xdr:row>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zoomScale="158" zoomScaleNormal="80" workbookViewId="0">
      <selection activeCell="C3" sqref="C3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2">
        <v>1.7782902345061299E-2</v>
      </c>
      <c r="D3" s="12">
        <v>7.24458247423172E-2</v>
      </c>
      <c r="E3" s="12">
        <v>-1.229359768331051E-2</v>
      </c>
      <c r="F3" s="12">
        <v>1.6895091161131859E-2</v>
      </c>
      <c r="G3" s="12">
        <v>1.759104989469051E-2</v>
      </c>
      <c r="H3" s="12">
        <v>-2.2279582917690281E-2</v>
      </c>
      <c r="I3" s="12">
        <v>-3.8912922143936157E-2</v>
      </c>
      <c r="J3" s="12">
        <v>-2.6365116238594059E-2</v>
      </c>
      <c r="K3" s="12">
        <v>-2.014501765370369E-2</v>
      </c>
      <c r="L3" s="12">
        <v>-1.624567806720734E-2</v>
      </c>
      <c r="M3" s="12">
        <v>-8.2549653947353363E-2</v>
      </c>
      <c r="N3" s="12">
        <v>-1.7867140471935269E-2</v>
      </c>
      <c r="O3" s="12">
        <v>7.6627731323242188E-2</v>
      </c>
      <c r="P3" s="12">
        <v>-3.9154563099145889E-2</v>
      </c>
      <c r="Q3" s="12">
        <v>-4.1649270802736282E-2</v>
      </c>
      <c r="R3" s="12">
        <v>-2.7908530086278919E-2</v>
      </c>
      <c r="S3" s="12">
        <v>-8.0156058073043823E-2</v>
      </c>
      <c r="T3" s="12">
        <v>-3.3881399780511863E-2</v>
      </c>
      <c r="U3" s="12">
        <v>-3.6820832639932632E-2</v>
      </c>
      <c r="V3" s="12">
        <v>-1.9809873774647709E-2</v>
      </c>
      <c r="W3" s="12">
        <v>9.6304804086685181E-2</v>
      </c>
      <c r="X3" s="12">
        <v>0.16748018562793729</v>
      </c>
      <c r="Y3" s="12">
        <v>-1.015750598162413E-2</v>
      </c>
      <c r="Z3" s="12">
        <v>2.5555314496159549E-3</v>
      </c>
      <c r="AA3" s="12">
        <v>-7.8297220170497894E-2</v>
      </c>
      <c r="AB3" s="12">
        <v>-4.162265732884407E-2</v>
      </c>
      <c r="AC3" s="12">
        <v>-1.579752191901207E-2</v>
      </c>
      <c r="AD3" s="12">
        <v>-3.0706796795129779E-2</v>
      </c>
      <c r="AE3" s="12">
        <v>7.2333263233304024E-4</v>
      </c>
      <c r="AF3" s="12">
        <v>6.8843632936477661E-2</v>
      </c>
      <c r="AG3" s="12">
        <v>-5.1157008856534958E-3</v>
      </c>
      <c r="AH3" s="12">
        <v>-1.048196759074926E-2</v>
      </c>
      <c r="AI3" s="12">
        <v>-4.066355898976326E-2</v>
      </c>
      <c r="AJ3" s="12">
        <v>-5.5654104799032211E-2</v>
      </c>
      <c r="AK3" s="12">
        <v>-3.4865595400333398E-2</v>
      </c>
      <c r="AL3" s="12">
        <v>0.14250144362449649</v>
      </c>
      <c r="AM3" s="12">
        <v>4.2415492236614227E-2</v>
      </c>
      <c r="AN3" s="12">
        <v>1.8945284187793732E-2</v>
      </c>
      <c r="AO3" s="12">
        <v>3.6709178239107132E-2</v>
      </c>
      <c r="AP3" s="12">
        <v>-1.1438022367656229E-2</v>
      </c>
      <c r="AQ3" s="12">
        <v>-8.599540451541543E-4</v>
      </c>
      <c r="AR3" s="12">
        <v>8.9694326743483543E-3</v>
      </c>
      <c r="AS3" s="12">
        <v>-2.16217041015625E-2</v>
      </c>
      <c r="AT3" s="12">
        <v>5.6848321110010147E-2</v>
      </c>
      <c r="AU3" s="12">
        <v>3.9384294301271439E-2</v>
      </c>
      <c r="AV3" s="12">
        <v>0.14884805679321289</v>
      </c>
      <c r="AW3" s="12">
        <v>5.9238158166408539E-2</v>
      </c>
      <c r="AX3" s="12">
        <v>8.3451211452484131E-2</v>
      </c>
      <c r="AY3" s="12">
        <v>6.8846635520458221E-2</v>
      </c>
      <c r="AZ3" s="12">
        <v>0.15779311954975131</v>
      </c>
      <c r="BA3" s="12">
        <v>7.3232002556324005E-2</v>
      </c>
      <c r="BB3" s="12">
        <v>1.6600910574197769E-2</v>
      </c>
      <c r="BC3" s="12">
        <v>5.6218259036540992E-2</v>
      </c>
      <c r="BD3" s="12">
        <v>2.0839734002947811E-2</v>
      </c>
      <c r="BE3" s="12">
        <v>8.9553870260715485E-2</v>
      </c>
      <c r="BF3" s="12">
        <v>4.3456017971038818E-2</v>
      </c>
      <c r="BG3" s="12">
        <v>7.1616403758525848E-2</v>
      </c>
      <c r="BH3" s="12">
        <v>7.97300785779953E-2</v>
      </c>
      <c r="BI3" s="12">
        <v>8.7966516613960266E-2</v>
      </c>
      <c r="BJ3" s="12">
        <v>0.1081216707825661</v>
      </c>
      <c r="BK3" s="12">
        <v>0.1129734814167023</v>
      </c>
      <c r="BL3" s="12">
        <v>5.063258484005928E-2</v>
      </c>
      <c r="BM3" s="12">
        <v>7.7567048370838165E-2</v>
      </c>
      <c r="BN3" s="12">
        <v>4.4190812855958939E-2</v>
      </c>
      <c r="BO3" s="12">
        <v>2.8505465015769001E-2</v>
      </c>
      <c r="BP3" s="12">
        <v>0.10330298542976379</v>
      </c>
      <c r="BQ3" s="12">
        <v>7.12384432554245E-2</v>
      </c>
      <c r="BR3" s="12">
        <v>5.2489206194877618E-2</v>
      </c>
      <c r="BS3" s="12">
        <v>4.9339123070240021E-2</v>
      </c>
      <c r="BT3" s="12">
        <v>5.840107798576355E-2</v>
      </c>
      <c r="BU3" s="12">
        <v>2.5098161771893501E-2</v>
      </c>
      <c r="BV3" s="12">
        <v>2.3363580927252769E-2</v>
      </c>
      <c r="BW3" s="12">
        <v>5.6408349424600601E-2</v>
      </c>
      <c r="BX3" s="12">
        <v>3.3264696598052979E-2</v>
      </c>
      <c r="BY3" s="12">
        <v>-2.413135394454002E-2</v>
      </c>
      <c r="BZ3" s="12">
        <v>2.0291766151785851E-2</v>
      </c>
      <c r="CA3" s="12">
        <v>8.7816245853900909E-2</v>
      </c>
      <c r="CB3" s="12">
        <v>-4.3355219066143043E-2</v>
      </c>
      <c r="CC3" s="12">
        <v>6.0557723045349121E-3</v>
      </c>
      <c r="CD3" s="12">
        <v>-6.7888110876083374E-2</v>
      </c>
      <c r="CE3" s="12">
        <v>-4.0715392678976059E-3</v>
      </c>
      <c r="CF3" s="12">
        <v>-8.1548932939767838E-5</v>
      </c>
      <c r="CG3" s="12">
        <v>-3.5091366618871689E-2</v>
      </c>
      <c r="CH3" s="12">
        <v>-9.0038077905774117E-3</v>
      </c>
      <c r="CI3" s="12">
        <v>-2.54166703671217E-2</v>
      </c>
      <c r="CJ3" s="12">
        <v>-0.1101485714316368</v>
      </c>
      <c r="CK3" s="12">
        <v>4.6726226806640618E-2</v>
      </c>
      <c r="CL3" s="12">
        <v>5.5295374244451523E-2</v>
      </c>
      <c r="CM3" s="12">
        <v>-4.3500862084329128E-3</v>
      </c>
      <c r="CN3" s="12">
        <v>-5.8284953236579902E-2</v>
      </c>
      <c r="CO3" s="12">
        <v>-3.2531678676605218E-2</v>
      </c>
      <c r="CP3" s="12">
        <v>3.5830866545438773E-2</v>
      </c>
      <c r="CQ3" s="12">
        <v>2.45636235922575E-2</v>
      </c>
      <c r="CR3" s="12">
        <v>1.170414220541716E-2</v>
      </c>
      <c r="CS3" s="12">
        <v>-0.1024853959679604</v>
      </c>
      <c r="CT3" s="12">
        <v>1.293086330406368E-3</v>
      </c>
      <c r="CU3" s="12">
        <v>-0.1111449897289276</v>
      </c>
      <c r="CV3" s="12">
        <v>-3.1775698065757751E-2</v>
      </c>
      <c r="CW3" s="12">
        <v>-3.6522049456834793E-2</v>
      </c>
      <c r="CX3" s="12">
        <v>-8.237186074256897E-2</v>
      </c>
      <c r="CY3" s="12">
        <v>-4.1168216615915298E-2</v>
      </c>
      <c r="CZ3" s="12">
        <v>-7.4366219341754913E-2</v>
      </c>
      <c r="DA3" s="12">
        <v>-4.7027502208948142E-2</v>
      </c>
      <c r="DB3" s="12">
        <v>7.3655758751556277E-4</v>
      </c>
      <c r="DC3" s="12">
        <v>1.1260370723903179E-2</v>
      </c>
      <c r="DD3" s="12">
        <v>1.315145520493388E-3</v>
      </c>
      <c r="DE3" s="12">
        <v>-1.406966615468264E-2</v>
      </c>
      <c r="DF3" s="12">
        <v>1.287776418030262E-2</v>
      </c>
      <c r="DG3" s="12">
        <v>-8.777957409620285E-3</v>
      </c>
      <c r="DH3" s="12">
        <v>-1.8724145367741581E-2</v>
      </c>
      <c r="DI3" s="12">
        <v>1.5026724431663749E-3</v>
      </c>
      <c r="DJ3" s="12">
        <v>5.74493408203125E-3</v>
      </c>
      <c r="DK3" s="12">
        <v>-3.1418703496456153E-2</v>
      </c>
      <c r="DL3" s="12">
        <v>1.568500883877277E-2</v>
      </c>
      <c r="DM3" s="12">
        <v>-1.7450746148824688E-2</v>
      </c>
      <c r="DN3" s="12">
        <v>2.129724808037281E-2</v>
      </c>
      <c r="DO3" s="12">
        <v>-4.1845731437206268E-2</v>
      </c>
      <c r="DP3" s="12">
        <v>-1.9574053585529332E-3</v>
      </c>
      <c r="DQ3" s="12">
        <v>3.9197877049446106E-3</v>
      </c>
      <c r="DR3" s="12">
        <v>7.5242564082145691E-2</v>
      </c>
      <c r="DS3" s="12">
        <v>4.159560427069664E-2</v>
      </c>
      <c r="DT3" s="12">
        <v>-1.3514737598598E-2</v>
      </c>
      <c r="DU3" s="12">
        <v>1.3495544902980329E-2</v>
      </c>
      <c r="DV3" s="12">
        <v>-3.9159540086984627E-2</v>
      </c>
      <c r="DW3" s="12">
        <v>-2.1635228767991069E-2</v>
      </c>
      <c r="DX3" s="12">
        <v>-2.5841465219855309E-2</v>
      </c>
      <c r="DY3" s="12">
        <v>-2.6736544445157051E-2</v>
      </c>
      <c r="DZ3" s="12">
        <v>-3.2960411161184311E-2</v>
      </c>
      <c r="EA3" s="12">
        <v>-4.8574574291706092E-2</v>
      </c>
      <c r="EB3" s="12">
        <v>-0.1051784828305244</v>
      </c>
      <c r="EC3" s="12">
        <v>-2.840211242437363E-2</v>
      </c>
      <c r="ED3" s="12">
        <v>-0.1028049290180206</v>
      </c>
      <c r="EE3" s="12">
        <v>-4.4087015092372887E-2</v>
      </c>
      <c r="EF3" s="12">
        <v>-3.865974023938179E-2</v>
      </c>
    </row>
    <row r="4" spans="1:136" s="1" customFormat="1">
      <c r="B4" s="2" t="s">
        <v>137</v>
      </c>
      <c r="C4" s="12">
        <v>-3.6521758884191513E-2</v>
      </c>
      <c r="D4" s="12">
        <v>-4.2547494173049927E-2</v>
      </c>
      <c r="E4" s="12">
        <v>-5.0075937062501907E-2</v>
      </c>
      <c r="F4" s="12">
        <v>-2.3984730243682861E-2</v>
      </c>
      <c r="G4" s="12">
        <v>5.823938176035881E-3</v>
      </c>
      <c r="H4" s="12">
        <v>-5.2601419389247887E-2</v>
      </c>
      <c r="I4" s="12">
        <v>1.76677480340004E-2</v>
      </c>
      <c r="J4" s="12">
        <v>-3.2669864594936371E-2</v>
      </c>
      <c r="K4" s="12">
        <v>-1.6252247150987391E-3</v>
      </c>
      <c r="L4" s="12">
        <v>-1.7513863742351529E-2</v>
      </c>
      <c r="M4" s="12">
        <v>1.9140448421239849E-2</v>
      </c>
      <c r="N4" s="12">
        <v>-5.8379219844937316E-3</v>
      </c>
      <c r="O4" s="12">
        <v>-7.4128787964582443E-3</v>
      </c>
      <c r="P4" s="12">
        <v>1.252019684761763E-2</v>
      </c>
      <c r="Q4" s="12">
        <v>-7.0506609976291656E-2</v>
      </c>
      <c r="R4" s="12">
        <v>-1.9896263256669041E-2</v>
      </c>
      <c r="S4" s="12">
        <v>-6.8290457129478455E-2</v>
      </c>
      <c r="T4" s="12">
        <v>-2.8186876326799389E-2</v>
      </c>
      <c r="U4" s="12">
        <v>-9.2675261199474335E-2</v>
      </c>
      <c r="V4" s="12">
        <v>-3.7623911630362268E-3</v>
      </c>
      <c r="W4" s="12">
        <v>-6.7103758454322815E-2</v>
      </c>
      <c r="X4" s="12">
        <v>-8.8999226689338684E-2</v>
      </c>
      <c r="Y4" s="12">
        <v>-5.2372239530086517E-2</v>
      </c>
      <c r="Z4" s="12">
        <v>-5.4307661950588233E-2</v>
      </c>
      <c r="AA4" s="12">
        <v>-5.4428402334451682E-2</v>
      </c>
      <c r="AB4" s="12">
        <v>-2.7171488851308819E-2</v>
      </c>
      <c r="AC4" s="12">
        <v>2.6723876595497131E-2</v>
      </c>
      <c r="AD4" s="12">
        <v>2.4525046348571781E-2</v>
      </c>
      <c r="AE4" s="12">
        <v>4.7622621059417718E-2</v>
      </c>
      <c r="AF4" s="12">
        <v>3.0552491545677189E-2</v>
      </c>
      <c r="AG4" s="12">
        <v>4.2735278606414788E-2</v>
      </c>
      <c r="AH4" s="12">
        <v>1.2865195982158181E-2</v>
      </c>
      <c r="AI4" s="12">
        <v>1.34605560451746E-2</v>
      </c>
      <c r="AJ4" s="12">
        <v>4.8744384199380868E-2</v>
      </c>
      <c r="AK4" s="12">
        <v>-9.5475828275084496E-3</v>
      </c>
      <c r="AL4" s="12">
        <v>-3.1309803016483779E-3</v>
      </c>
      <c r="AM4" s="12">
        <v>3.3569058869034052E-3</v>
      </c>
      <c r="AN4" s="12">
        <v>1.3093852438032631E-2</v>
      </c>
      <c r="AO4" s="12">
        <v>1.4211865141987801E-2</v>
      </c>
      <c r="AP4" s="12">
        <v>4.6501751989126212E-2</v>
      </c>
      <c r="AQ4" s="12">
        <v>4.9757853150367737E-2</v>
      </c>
      <c r="AR4" s="12">
        <v>4.9711927771568298E-2</v>
      </c>
      <c r="AS4" s="12">
        <v>3.4978423267602921E-2</v>
      </c>
      <c r="AT4" s="12">
        <v>-6.4586242660880089E-3</v>
      </c>
      <c r="AU4" s="12">
        <v>3.2456304877996438E-2</v>
      </c>
      <c r="AV4" s="12">
        <v>6.4564580097794533E-3</v>
      </c>
      <c r="AW4" s="12">
        <v>1.8101127352565529E-3</v>
      </c>
      <c r="AX4" s="12">
        <v>-7.6085492037236691E-3</v>
      </c>
      <c r="AY4" s="12">
        <v>-3.6388270556926727E-2</v>
      </c>
      <c r="AZ4" s="12">
        <v>2.9014702886343002E-4</v>
      </c>
      <c r="BA4" s="12">
        <v>-5.6847855448722839E-2</v>
      </c>
      <c r="BB4" s="12">
        <v>-2.2272480651736259E-2</v>
      </c>
      <c r="BC4" s="12">
        <v>-2.9052544385194778E-2</v>
      </c>
      <c r="BD4" s="12">
        <v>-8.3808884024620056E-2</v>
      </c>
      <c r="BE4" s="12">
        <v>-3.9183963090181351E-2</v>
      </c>
      <c r="BF4" s="12">
        <v>-7.6244287192821503E-2</v>
      </c>
      <c r="BG4" s="12">
        <v>-6.157601997256279E-2</v>
      </c>
      <c r="BH4" s="12">
        <v>-7.3015347123146057E-2</v>
      </c>
      <c r="BI4" s="12">
        <v>-2.5757784023880959E-2</v>
      </c>
      <c r="BJ4" s="12">
        <v>-3.5152539610862732E-2</v>
      </c>
      <c r="BK4" s="12">
        <v>-6.5942555665969849E-2</v>
      </c>
      <c r="BL4" s="12">
        <v>-5.3756937384605408E-2</v>
      </c>
      <c r="BM4" s="12">
        <v>-7.9431377351284027E-2</v>
      </c>
      <c r="BN4" s="12">
        <v>-4.1163329035043723E-2</v>
      </c>
      <c r="BO4" s="12">
        <v>-9.4712458550930023E-2</v>
      </c>
      <c r="BP4" s="12">
        <v>-4.3530568480491638E-2</v>
      </c>
      <c r="BQ4" s="12">
        <v>-2.8697127476334568E-2</v>
      </c>
      <c r="BR4" s="12">
        <v>-5.7418853044509888E-2</v>
      </c>
      <c r="BS4" s="12">
        <v>-1.9358741119503971E-2</v>
      </c>
      <c r="BT4" s="12">
        <v>-8.4144026041030884E-2</v>
      </c>
      <c r="BU4" s="12">
        <v>-9.0233713388442993E-2</v>
      </c>
      <c r="BV4" s="12">
        <v>-0.1029478386044502</v>
      </c>
      <c r="BW4" s="12">
        <v>-7.1088537573814392E-2</v>
      </c>
      <c r="BX4" s="12">
        <v>-3.5722147673368447E-2</v>
      </c>
      <c r="BY4" s="12">
        <v>5.9959013015031806E-3</v>
      </c>
      <c r="BZ4" s="12">
        <v>-5.1592431962490082E-2</v>
      </c>
      <c r="CA4" s="12">
        <v>-8.5648052394390106E-2</v>
      </c>
      <c r="CB4" s="12">
        <v>-3.4140449017286301E-2</v>
      </c>
      <c r="CC4" s="12">
        <v>-7.9050444066524506E-2</v>
      </c>
      <c r="CD4" s="12">
        <v>-0.1116790845990181</v>
      </c>
      <c r="CE4" s="12">
        <v>-8.4638349711894989E-2</v>
      </c>
      <c r="CF4" s="12">
        <v>-8.8114269077777863E-2</v>
      </c>
      <c r="CG4" s="12">
        <v>-9.862682968378067E-2</v>
      </c>
      <c r="CH4" s="12">
        <v>-7.5061611831188202E-2</v>
      </c>
      <c r="CI4" s="12">
        <v>-5.5998209863901138E-2</v>
      </c>
      <c r="CJ4" s="12">
        <v>-1.808877848088741E-2</v>
      </c>
      <c r="CK4" s="12">
        <v>-4.2210087180137627E-2</v>
      </c>
      <c r="CL4" s="12">
        <v>8.6977891623973846E-3</v>
      </c>
      <c r="CM4" s="12">
        <v>-2.1875450387597081E-2</v>
      </c>
      <c r="CN4" s="12">
        <v>-4.4229812920093543E-2</v>
      </c>
      <c r="CO4" s="12">
        <v>1.863288693130016E-2</v>
      </c>
      <c r="CP4" s="12">
        <v>-1.35243646800518E-2</v>
      </c>
      <c r="CQ4" s="12">
        <v>-1.276247948408127E-2</v>
      </c>
      <c r="CR4" s="12">
        <v>-4.5928843319416053E-2</v>
      </c>
      <c r="CS4" s="12">
        <v>-8.4556788206100464E-2</v>
      </c>
      <c r="CT4" s="12">
        <v>-2.845652773976326E-2</v>
      </c>
      <c r="CU4" s="12">
        <v>-3.161858394742012E-2</v>
      </c>
      <c r="CV4" s="12">
        <v>-2.4635819718241692E-2</v>
      </c>
      <c r="CW4" s="12">
        <v>4.8304800875484943E-3</v>
      </c>
      <c r="CX4" s="12">
        <v>3.0027653556317091E-3</v>
      </c>
      <c r="CY4" s="12">
        <v>-9.6548935398459435E-3</v>
      </c>
      <c r="CZ4" s="12">
        <v>2.7862859889864922E-2</v>
      </c>
      <c r="DA4" s="12">
        <v>-7.2389086708426484E-3</v>
      </c>
      <c r="DB4" s="12">
        <v>1.481384225189686E-2</v>
      </c>
      <c r="DC4" s="12">
        <v>1.8979338929057121E-2</v>
      </c>
      <c r="DD4" s="12">
        <v>-1.182493194937706E-2</v>
      </c>
      <c r="DE4" s="12">
        <v>-5.5287983268499367E-2</v>
      </c>
      <c r="DF4" s="12">
        <v>3.9528455585241318E-2</v>
      </c>
      <c r="DG4" s="12">
        <v>-3.136556595563889E-3</v>
      </c>
      <c r="DH4" s="12">
        <v>1.8514588009566069E-4</v>
      </c>
      <c r="DI4" s="12">
        <v>-1.5441306866705419E-2</v>
      </c>
      <c r="DJ4" s="12">
        <v>4.8156458884477622E-2</v>
      </c>
      <c r="DK4" s="12">
        <v>3.9779618382453918E-2</v>
      </c>
      <c r="DL4" s="12">
        <v>2.912280336022377E-2</v>
      </c>
      <c r="DM4" s="12">
        <v>5.5858355015516281E-2</v>
      </c>
      <c r="DN4" s="12">
        <v>2.2332454100251201E-2</v>
      </c>
      <c r="DO4" s="12">
        <v>9.3815820291638374E-3</v>
      </c>
      <c r="DP4" s="12">
        <v>-1.1177884414792061E-2</v>
      </c>
      <c r="DQ4" s="12">
        <v>3.2798897475004203E-2</v>
      </c>
      <c r="DR4" s="12">
        <v>3.2948967069387443E-2</v>
      </c>
      <c r="DS4" s="12">
        <v>-6.3791960477828979E-2</v>
      </c>
      <c r="DT4" s="12">
        <v>-2.437188662588596E-2</v>
      </c>
      <c r="DU4" s="12">
        <v>2.8318654745817181E-2</v>
      </c>
      <c r="DV4" s="12">
        <v>-1.027075573801994E-2</v>
      </c>
      <c r="DW4" s="12">
        <v>4.162212461233139E-2</v>
      </c>
      <c r="DX4" s="12">
        <v>1.6859399154782299E-2</v>
      </c>
      <c r="DY4" s="12">
        <v>-1.3820808380842211E-2</v>
      </c>
      <c r="DZ4" s="12">
        <v>2.5562329217791561E-2</v>
      </c>
      <c r="EA4" s="12">
        <v>3.5361301153898239E-2</v>
      </c>
      <c r="EB4" s="12">
        <v>2.7386909350752831E-2</v>
      </c>
      <c r="EC4" s="12">
        <v>4.2391747236251831E-2</v>
      </c>
      <c r="ED4" s="12">
        <v>7.1895502507686615E-2</v>
      </c>
      <c r="EE4" s="12">
        <v>5.7367391884326928E-2</v>
      </c>
      <c r="EF4" s="12">
        <v>2.790111489593983E-2</v>
      </c>
    </row>
    <row r="5" spans="1:136" s="1" customFormat="1">
      <c r="B5" s="2" t="s">
        <v>138</v>
      </c>
      <c r="C5" s="12">
        <v>1.4347599819302561E-2</v>
      </c>
      <c r="D5" s="12">
        <v>-9.652099572122097E-3</v>
      </c>
      <c r="E5" s="12">
        <v>-8.5699288174510002E-3</v>
      </c>
      <c r="F5" s="12">
        <v>3.9053350687026978E-2</v>
      </c>
      <c r="G5" s="12">
        <v>-3.5989873111248023E-2</v>
      </c>
      <c r="H5" s="12">
        <v>1.041566673666239E-2</v>
      </c>
      <c r="I5" s="12">
        <v>-2.0847762003540989E-2</v>
      </c>
      <c r="J5" s="12">
        <v>-1.209943555295467E-2</v>
      </c>
      <c r="K5" s="12">
        <v>2.9407145455479618E-2</v>
      </c>
      <c r="L5" s="12">
        <v>5.8111239224672318E-2</v>
      </c>
      <c r="M5" s="12">
        <v>7.5894221663475037E-2</v>
      </c>
      <c r="N5" s="12">
        <v>6.2360752373933792E-2</v>
      </c>
      <c r="O5" s="12">
        <v>9.9858760833740234E-2</v>
      </c>
      <c r="P5" s="12">
        <v>0.13152122497558591</v>
      </c>
      <c r="Q5" s="12">
        <v>7.957778126001358E-2</v>
      </c>
      <c r="R5" s="12">
        <v>4.847404733300209E-2</v>
      </c>
      <c r="S5" s="12">
        <v>2.7741687372326851E-2</v>
      </c>
      <c r="T5" s="12">
        <v>5.0201687961816788E-2</v>
      </c>
      <c r="U5" s="12">
        <v>6.4513184130191803E-2</v>
      </c>
      <c r="V5" s="12">
        <v>6.3523001968860626E-2</v>
      </c>
      <c r="W5" s="12">
        <v>9.5773497596383095E-3</v>
      </c>
      <c r="X5" s="12">
        <v>6.016424298286438E-2</v>
      </c>
      <c r="Y5" s="12">
        <v>9.0847745537757874E-2</v>
      </c>
      <c r="Z5" s="12">
        <v>0.1071524396538734</v>
      </c>
      <c r="AA5" s="12">
        <v>5.1187384873628623E-2</v>
      </c>
      <c r="AB5" s="12">
        <v>8.0967366695404053E-2</v>
      </c>
      <c r="AC5" s="12">
        <v>3.8304600864648819E-2</v>
      </c>
      <c r="AD5" s="12">
        <v>2.0053833723068241E-2</v>
      </c>
      <c r="AE5" s="12">
        <v>4.644785076379776E-2</v>
      </c>
      <c r="AF5" s="12">
        <v>6.0654930770397193E-2</v>
      </c>
      <c r="AG5" s="12">
        <v>6.7320100963115692E-2</v>
      </c>
      <c r="AH5" s="12">
        <v>1.78289357572794E-2</v>
      </c>
      <c r="AI5" s="12">
        <v>5.6440837681293488E-2</v>
      </c>
      <c r="AJ5" s="12">
        <v>4.2928591370582581E-2</v>
      </c>
      <c r="AK5" s="12">
        <v>7.9053483903408051E-2</v>
      </c>
      <c r="AL5" s="12">
        <v>1.9981823861598969E-2</v>
      </c>
      <c r="AM5" s="12">
        <v>4.9416512250900269E-2</v>
      </c>
      <c r="AN5" s="12">
        <v>4.2488358914852142E-2</v>
      </c>
      <c r="AO5" s="12">
        <v>5.0316029228270054E-3</v>
      </c>
      <c r="AP5" s="12">
        <v>2.6226455345749859E-2</v>
      </c>
      <c r="AQ5" s="12">
        <v>-1.0934568010270601E-2</v>
      </c>
      <c r="AR5" s="12">
        <v>-5.88986836373806E-2</v>
      </c>
      <c r="AS5" s="12">
        <v>1.9943690858781341E-5</v>
      </c>
      <c r="AT5" s="12">
        <v>3.1712550669908517E-2</v>
      </c>
      <c r="AU5" s="12">
        <v>5.4366020485758781E-3</v>
      </c>
      <c r="AV5" s="12">
        <v>-8.6811445653438568E-3</v>
      </c>
      <c r="AW5" s="12">
        <v>2.3753151297569271E-2</v>
      </c>
      <c r="AX5" s="12">
        <v>-1.039000414311886E-2</v>
      </c>
      <c r="AY5" s="12">
        <v>4.2606234550476067E-2</v>
      </c>
      <c r="AZ5" s="12">
        <v>2.2628717124462131E-2</v>
      </c>
      <c r="BA5" s="12">
        <v>1.7847366398200391E-3</v>
      </c>
      <c r="BB5" s="12">
        <v>1.147421263158321E-2</v>
      </c>
      <c r="BC5" s="12">
        <v>-5.5574686266481876E-3</v>
      </c>
      <c r="BD5" s="12">
        <v>1.7132017761468891E-2</v>
      </c>
      <c r="BE5" s="12">
        <v>2.4164538830518719E-2</v>
      </c>
      <c r="BF5" s="12">
        <v>5.6551066227257252E-3</v>
      </c>
      <c r="BG5" s="12">
        <v>2.693047933280468E-2</v>
      </c>
      <c r="BH5" s="12">
        <v>3.3954640384763479E-3</v>
      </c>
      <c r="BI5" s="12">
        <v>2.639448270201683E-2</v>
      </c>
      <c r="BJ5" s="12">
        <v>1.144836191087961E-2</v>
      </c>
      <c r="BK5" s="12">
        <v>2.6191858574748039E-2</v>
      </c>
      <c r="BL5" s="12">
        <v>2.184408716857433E-2</v>
      </c>
      <c r="BM5" s="12">
        <v>3.5668004304170609E-2</v>
      </c>
      <c r="BN5" s="12">
        <v>4.7217939049005508E-2</v>
      </c>
      <c r="BO5" s="12">
        <v>1.5824703499674801E-2</v>
      </c>
      <c r="BP5" s="12">
        <v>4.0294736623764038E-2</v>
      </c>
      <c r="BQ5" s="12">
        <v>5.4744470864534378E-2</v>
      </c>
      <c r="BR5" s="12">
        <v>6.7423462867736816E-2</v>
      </c>
      <c r="BS5" s="12">
        <v>3.5041853785514832E-2</v>
      </c>
      <c r="BT5" s="12">
        <v>-1.695315167307854E-2</v>
      </c>
      <c r="BU5" s="12">
        <v>4.2807679623365402E-2</v>
      </c>
      <c r="BV5" s="12">
        <v>2.4910405278205872E-2</v>
      </c>
      <c r="BW5" s="12">
        <v>3.5352393984794617E-2</v>
      </c>
      <c r="BX5" s="12">
        <v>3.8252223283052438E-2</v>
      </c>
      <c r="BY5" s="12">
        <v>9.0397186577320099E-3</v>
      </c>
      <c r="BZ5" s="12">
        <v>6.5005947835743427E-3</v>
      </c>
      <c r="CA5" s="12">
        <v>1.141073554754257E-2</v>
      </c>
      <c r="CB5" s="12">
        <v>1.485352218151093E-2</v>
      </c>
      <c r="CC5" s="12">
        <v>5.4167184978723533E-2</v>
      </c>
      <c r="CD5" s="12">
        <v>2.3807717487215999E-2</v>
      </c>
      <c r="CE5" s="12">
        <v>7.6829078607261181E-3</v>
      </c>
      <c r="CF5" s="12">
        <v>2.9735062271356578E-3</v>
      </c>
      <c r="CG5" s="12">
        <v>2.4837357923388481E-2</v>
      </c>
      <c r="CH5" s="12">
        <v>4.7171309590339661E-2</v>
      </c>
      <c r="CI5" s="12">
        <v>4.6639894135296336E-3</v>
      </c>
      <c r="CJ5" s="12">
        <v>2.852512896060944E-2</v>
      </c>
      <c r="CK5" s="12">
        <v>-9.7033102065324783E-3</v>
      </c>
      <c r="CL5" s="12">
        <v>1.245168037712574E-2</v>
      </c>
      <c r="CM5" s="12">
        <v>1.4197885990142821E-2</v>
      </c>
      <c r="CN5" s="12">
        <v>3.0705662444233891E-2</v>
      </c>
      <c r="CO5" s="12">
        <v>3.5640694200992577E-2</v>
      </c>
      <c r="CP5" s="12">
        <v>2.5331234559416771E-2</v>
      </c>
      <c r="CQ5" s="12">
        <v>1.1073682690039279E-3</v>
      </c>
      <c r="CR5" s="12">
        <v>1.5654526650905609E-2</v>
      </c>
      <c r="CS5" s="12">
        <v>-1.1859666556119921E-2</v>
      </c>
      <c r="CT5" s="12">
        <v>5.863029882311821E-2</v>
      </c>
      <c r="CU5" s="12">
        <v>-7.8350687399506569E-3</v>
      </c>
      <c r="CV5" s="12">
        <v>4.6454016119241708E-2</v>
      </c>
      <c r="CW5" s="12">
        <v>7.367561012506485E-2</v>
      </c>
      <c r="CX5" s="12">
        <v>-4.4749602675437927E-3</v>
      </c>
      <c r="CY5" s="12">
        <v>2.9276512563228611E-2</v>
      </c>
      <c r="CZ5" s="12">
        <v>3.3731676638126373E-2</v>
      </c>
      <c r="DA5" s="12">
        <v>4.2157959192991257E-2</v>
      </c>
      <c r="DB5" s="12">
        <v>1.5304354019463061E-2</v>
      </c>
      <c r="DC5" s="12">
        <v>3.0327405780553821E-2</v>
      </c>
      <c r="DD5" s="12">
        <v>5.3778979927301407E-2</v>
      </c>
      <c r="DE5" s="12">
        <v>7.7699399553239354E-3</v>
      </c>
      <c r="DF5" s="12">
        <v>9.4073504442349076E-4</v>
      </c>
      <c r="DG5" s="12">
        <v>-8.2107760012149811E-2</v>
      </c>
      <c r="DH5" s="12">
        <v>-5.2850812673568733E-2</v>
      </c>
      <c r="DI5" s="12">
        <v>-7.8471429646015167E-2</v>
      </c>
      <c r="DJ5" s="12">
        <v>-4.0412887930870063E-2</v>
      </c>
      <c r="DK5" s="12">
        <v>-2.3652749136090279E-2</v>
      </c>
      <c r="DL5" s="12">
        <v>-1.795239187777042E-2</v>
      </c>
      <c r="DM5" s="12">
        <v>-3.8529172539710999E-2</v>
      </c>
      <c r="DN5" s="12">
        <v>-6.0538295656442642E-2</v>
      </c>
      <c r="DO5" s="12">
        <v>2.2697450593113899E-2</v>
      </c>
      <c r="DP5" s="12">
        <v>-2.293764241039753E-2</v>
      </c>
      <c r="DQ5" s="12">
        <v>2.235623262822628E-2</v>
      </c>
      <c r="DR5" s="12">
        <v>2.08442397415638E-2</v>
      </c>
      <c r="DS5" s="12">
        <v>-2.133695874363184E-3</v>
      </c>
      <c r="DT5" s="12">
        <v>2.0560766570270061E-3</v>
      </c>
      <c r="DU5" s="12">
        <v>9.2165069654583931E-3</v>
      </c>
      <c r="DV5" s="12">
        <v>-2.4538150057196621E-2</v>
      </c>
      <c r="DW5" s="12">
        <v>-5.4349824786186218E-3</v>
      </c>
      <c r="DX5" s="12">
        <v>-1.1826856061816221E-2</v>
      </c>
      <c r="DY5" s="12">
        <v>-2.4313617497682571E-2</v>
      </c>
      <c r="DZ5" s="12">
        <v>1.7076117917895321E-2</v>
      </c>
      <c r="EA5" s="12">
        <v>2.1494723856449131E-2</v>
      </c>
      <c r="EB5" s="12">
        <v>1.5846351161599159E-2</v>
      </c>
      <c r="EC5" s="12">
        <v>4.5648753643035889E-2</v>
      </c>
      <c r="ED5" s="12">
        <v>1.9599819555878639E-2</v>
      </c>
      <c r="EE5" s="12">
        <v>-1.0369730181992051E-2</v>
      </c>
      <c r="EF5" s="12">
        <v>6.0753826983273029E-3</v>
      </c>
    </row>
    <row r="6" spans="1:136" s="1" customFormat="1">
      <c r="A6" s="2" t="s">
        <v>139</v>
      </c>
      <c r="C6" s="12">
        <f t="array" ref="C6">MATCH(MAX(ABS(C3:C5)),ABS(C3:C5),0)</f>
        <v>2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3</v>
      </c>
      <c r="L6" s="12">
        <f t="array" ref="L6">MATCH(MAX(ABS(L3:L5)),ABS(L3:L5),0)</f>
        <v>3</v>
      </c>
      <c r="M6" s="12">
        <f t="array" ref="M6">MATCH(MAX(ABS(M3:M5)),ABS(M3:M5),0)</f>
        <v>1</v>
      </c>
      <c r="N6" s="12">
        <f t="array" ref="N6">MATCH(MAX(ABS(N3:N5)),ABS(N3:N5),0)</f>
        <v>3</v>
      </c>
      <c r="O6" s="12">
        <f t="array" ref="O6">MATCH(MAX(ABS(O3:O5)),ABS(O3:O5),0)</f>
        <v>3</v>
      </c>
      <c r="P6" s="12">
        <f t="array" ref="P6">MATCH(MAX(ABS(P3:P5)),ABS(P3:P5),0)</f>
        <v>3</v>
      </c>
      <c r="Q6" s="12">
        <f t="array" ref="Q6">MATCH(MAX(ABS(Q3:Q5)),ABS(Q3:Q5),0)</f>
        <v>3</v>
      </c>
      <c r="R6" s="12">
        <f t="array" ref="R6">MATCH(MAX(ABS(R3:R5)),ABS(R3:R5),0)</f>
        <v>3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2</v>
      </c>
      <c r="V6" s="12">
        <f t="array" ref="V6">MATCH(MAX(ABS(V3:V5)),ABS(V3:V5),0)</f>
        <v>3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3</v>
      </c>
      <c r="Z6" s="12">
        <f t="array" ref="Z6">MATCH(MAX(ABS(Z3:Z5)),ABS(Z3:Z5),0)</f>
        <v>3</v>
      </c>
      <c r="AA6" s="12">
        <f t="array" ref="AA6">MATCH(MAX(ABS(AA3:AA5)),ABS(AA3:AA5),0)</f>
        <v>1</v>
      </c>
      <c r="AB6" s="12">
        <f t="array" ref="AB6">MATCH(MAX(ABS(AB3:AB5)),ABS(AB3:AB5),0)</f>
        <v>3</v>
      </c>
      <c r="AC6" s="12">
        <f t="array" ref="AC6">MATCH(MAX(ABS(AC3:AC5)),ABS(AC3:AC5),0)</f>
        <v>3</v>
      </c>
      <c r="AD6" s="12">
        <f t="array" ref="AD6">MATCH(MAX(ABS(AD3:AD5)),ABS(AD3:AD5),0)</f>
        <v>1</v>
      </c>
      <c r="AE6" s="12">
        <f t="array" ref="AE6">MATCH(MAX(ABS(AE3:AE5)),ABS(AE3:AE5),0)</f>
        <v>2</v>
      </c>
      <c r="AF6" s="12">
        <f t="array" ref="AF6">MATCH(MAX(ABS(AF3:AF5)),ABS(AF3:AF5),0)</f>
        <v>1</v>
      </c>
      <c r="AG6" s="12">
        <f t="array" ref="AG6">MATCH(MAX(ABS(AG3:AG5)),ABS(AG3:AG5),0)</f>
        <v>3</v>
      </c>
      <c r="AH6" s="12">
        <f t="array" ref="AH6">MATCH(MAX(ABS(AH3:AH5)),ABS(AH3:AH5),0)</f>
        <v>3</v>
      </c>
      <c r="AI6" s="12">
        <f t="array" ref="AI6">MATCH(MAX(ABS(AI3:AI5)),ABS(AI3:AI5),0)</f>
        <v>3</v>
      </c>
      <c r="AJ6" s="12">
        <f t="array" ref="AJ6">MATCH(MAX(ABS(AJ3:AJ5)),ABS(AJ3:AJ5),0)</f>
        <v>1</v>
      </c>
      <c r="AK6" s="12">
        <f t="array" ref="AK6">MATCH(MAX(ABS(AK3:AK5)),ABS(AK3:AK5),0)</f>
        <v>3</v>
      </c>
      <c r="AL6" s="12">
        <f t="array" ref="AL6">MATCH(MAX(ABS(AL3:AL5)),ABS(AL3:AL5),0)</f>
        <v>1</v>
      </c>
      <c r="AM6" s="12">
        <f t="array" ref="AM6">MATCH(MAX(ABS(AM3:AM5)),ABS(AM3:AM5),0)</f>
        <v>3</v>
      </c>
      <c r="AN6" s="12">
        <f t="array" ref="AN6">MATCH(MAX(ABS(AN3:AN5)),ABS(AN3:AN5),0)</f>
        <v>3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3</v>
      </c>
      <c r="AS6" s="12">
        <f t="array" ref="AS6">MATCH(MAX(ABS(AS3:AS5)),ABS(AS3:AS5),0)</f>
        <v>2</v>
      </c>
      <c r="AT6" s="12">
        <f t="array" ref="AT6">MATCH(MAX(ABS(AT3:AT5)),ABS(AT3:AT5),0)</f>
        <v>1</v>
      </c>
      <c r="AU6" s="12">
        <f t="array" ref="AU6">MATCH(MAX(ABS(AU3:AU5)),ABS(AU3:AU5),0)</f>
        <v>1</v>
      </c>
      <c r="AV6" s="12">
        <f t="array" ref="AV6">MATCH(MAX(ABS(AV3:AV5)),ABS(AV3:AV5),0)</f>
        <v>1</v>
      </c>
      <c r="AW6" s="12">
        <f t="array" ref="AW6">MATCH(MAX(ABS(AW3:AW5)),ABS(AW3:AW5),0)</f>
        <v>1</v>
      </c>
      <c r="AX6" s="12">
        <f t="array" ref="AX6">MATCH(MAX(ABS(AX3:AX5)),ABS(AX3:AX5),0)</f>
        <v>1</v>
      </c>
      <c r="AY6" s="12">
        <f t="array" ref="AY6">MATCH(MAX(ABS(AY3:AY5)),ABS(AY3:AY5),0)</f>
        <v>1</v>
      </c>
      <c r="AZ6" s="12">
        <f t="array" ref="AZ6">MATCH(MAX(ABS(AZ3:AZ5)),ABS(AZ3:AZ5),0)</f>
        <v>1</v>
      </c>
      <c r="BA6" s="12">
        <f t="array" ref="BA6">MATCH(MAX(ABS(BA3:BA5)),ABS(BA3:BA5),0)</f>
        <v>1</v>
      </c>
      <c r="BB6" s="12">
        <f t="array" ref="BB6">MATCH(MAX(ABS(BB3:BB5)),ABS(BB3:BB5),0)</f>
        <v>2</v>
      </c>
      <c r="BC6" s="12">
        <f t="array" ref="BC6">MATCH(MAX(ABS(BC3:BC5)),ABS(BC3:BC5),0)</f>
        <v>1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2</v>
      </c>
      <c r="BG6" s="12">
        <f t="array" ref="BG6">MATCH(MAX(ABS(BG3:BG5)),ABS(BG3:BG5),0)</f>
        <v>1</v>
      </c>
      <c r="BH6" s="12">
        <f t="array" ref="BH6">MATCH(MAX(ABS(BH3:BH5)),ABS(BH3:BH5),0)</f>
        <v>1</v>
      </c>
      <c r="BI6" s="12">
        <f t="array" ref="BI6">MATCH(MAX(ABS(BI3:BI5)),ABS(BI3:BI5),0)</f>
        <v>1</v>
      </c>
      <c r="BJ6" s="12">
        <f t="array" ref="BJ6">MATCH(MAX(ABS(BJ3:BJ5)),ABS(BJ3:BJ5),0)</f>
        <v>1</v>
      </c>
      <c r="BK6" s="12">
        <f t="array" ref="BK6">MATCH(MAX(ABS(BK3:BK5)),ABS(BK3:BK5),0)</f>
        <v>1</v>
      </c>
      <c r="BL6" s="12">
        <f t="array" ref="BL6">MATCH(MAX(ABS(BL3:BL5)),ABS(BL3:BL5),0)</f>
        <v>2</v>
      </c>
      <c r="BM6" s="12">
        <f t="array" ref="BM6">MATCH(MAX(ABS(BM3:BM5)),ABS(BM3:BM5),0)</f>
        <v>2</v>
      </c>
      <c r="BN6" s="12">
        <f t="array" ref="BN6">MATCH(MAX(ABS(BN3:BN5)),ABS(BN3:BN5),0)</f>
        <v>3</v>
      </c>
      <c r="BO6" s="12">
        <f t="array" ref="BO6">MATCH(MAX(ABS(BO3:BO5)),ABS(BO3:BO5),0)</f>
        <v>2</v>
      </c>
      <c r="BP6" s="12">
        <f t="array" ref="BP6">MATCH(MAX(ABS(BP3:BP5)),ABS(BP3:BP5),0)</f>
        <v>1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1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3</v>
      </c>
      <c r="BY6" s="12">
        <f t="array" ref="BY6">MATCH(MAX(ABS(BY3:BY5)),ABS(BY3:BY5),0)</f>
        <v>1</v>
      </c>
      <c r="BZ6" s="12">
        <f t="array" ref="BZ6">MATCH(MAX(ABS(BZ3:BZ5)),ABS(BZ3:BZ5),0)</f>
        <v>2</v>
      </c>
      <c r="CA6" s="12">
        <f t="array" ref="CA6">MATCH(MAX(ABS(CA3:CA5)),ABS(CA3:CA5),0)</f>
        <v>1</v>
      </c>
      <c r="CB6" s="12">
        <f t="array" ref="CB6">MATCH(MAX(ABS(CB3:CB5)),ABS(CB3:CB5),0)</f>
        <v>1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2</v>
      </c>
      <c r="CF6" s="12">
        <f t="array" ref="CF6">MATCH(MAX(ABS(CF3:CF5)),ABS(CF3:CF5),0)</f>
        <v>2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1</v>
      </c>
      <c r="CK6" s="12">
        <f t="array" ref="CK6">MATCH(MAX(ABS(CK3:CK5)),ABS(CK3:CK5),0)</f>
        <v>1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1</v>
      </c>
      <c r="CO6" s="12">
        <f t="array" ref="CO6">MATCH(MAX(ABS(CO3:CO5)),ABS(CO3:CO5),0)</f>
        <v>3</v>
      </c>
      <c r="CP6" s="12">
        <f t="array" ref="CP6">MATCH(MAX(ABS(CP3:CP5)),ABS(CP3:CP5),0)</f>
        <v>1</v>
      </c>
      <c r="CQ6" s="12">
        <f t="array" ref="CQ6">MATCH(MAX(ABS(CQ3:CQ5)),ABS(CQ3:CQ5),0)</f>
        <v>1</v>
      </c>
      <c r="CR6" s="12">
        <f t="array" ref="CR6">MATCH(MAX(ABS(CR3:CR5)),ABS(CR3:CR5),0)</f>
        <v>2</v>
      </c>
      <c r="CS6" s="12">
        <f t="array" ref="CS6">MATCH(MAX(ABS(CS3:CS5)),ABS(CS3:CS5),0)</f>
        <v>1</v>
      </c>
      <c r="CT6" s="12">
        <f t="array" ref="CT6">MATCH(MAX(ABS(CT3:CT5)),ABS(CT3:CT5),0)</f>
        <v>3</v>
      </c>
      <c r="CU6" s="12">
        <f t="array" ref="CU6">MATCH(MAX(ABS(CU3:CU5)),ABS(CU3:CU5),0)</f>
        <v>1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1</v>
      </c>
      <c r="CZ6" s="12">
        <f t="array" ref="CZ6">MATCH(MAX(ABS(CZ3:CZ5)),ABS(CZ3:CZ5),0)</f>
        <v>1</v>
      </c>
      <c r="DA6" s="12">
        <f t="array" ref="DA6">MATCH(MAX(ABS(DA3:DA5)),ABS(DA3:DA5),0)</f>
        <v>1</v>
      </c>
      <c r="DB6" s="12">
        <f t="array" ref="DB6">MATCH(MAX(ABS(DB3:DB5)),ABS(DB3:DB5),0)</f>
        <v>3</v>
      </c>
      <c r="DC6" s="12">
        <f t="array" ref="DC6">MATCH(MAX(ABS(DC3:DC5)),ABS(DC3:DC5),0)</f>
        <v>3</v>
      </c>
      <c r="DD6" s="12">
        <f t="array" ref="DD6">MATCH(MAX(ABS(DD3:DD5)),ABS(DD3:DD5),0)</f>
        <v>3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3</v>
      </c>
      <c r="DH6" s="12">
        <f t="array" ref="DH6">MATCH(MAX(ABS(DH3:DH5)),ABS(DH3:DH5),0)</f>
        <v>3</v>
      </c>
      <c r="DI6" s="12">
        <f t="array" ref="DI6">MATCH(MAX(ABS(DI3:DI5)),ABS(DI3:DI5),0)</f>
        <v>3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3</v>
      </c>
      <c r="DO6" s="12">
        <f t="array" ref="DO6">MATCH(MAX(ABS(DO3:DO5)),ABS(DO3:DO5),0)</f>
        <v>1</v>
      </c>
      <c r="DP6" s="12">
        <f t="array" ref="DP6">MATCH(MAX(ABS(DP3:DP5)),ABS(DP3:DP5),0)</f>
        <v>3</v>
      </c>
      <c r="DQ6" s="12">
        <f t="array" ref="DQ6">MATCH(MAX(ABS(DQ3:DQ5)),ABS(DQ3:DQ5),0)</f>
        <v>2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1</v>
      </c>
      <c r="DZ6" s="12">
        <f t="array" ref="DZ6">MATCH(MAX(ABS(DZ3:DZ5)),ABS(DZ3:DZ5),0)</f>
        <v>1</v>
      </c>
      <c r="EA6" s="12">
        <f t="array" ref="EA6">MATCH(MAX(ABS(EA3:EA5)),ABS(EA3:EA5),0)</f>
        <v>1</v>
      </c>
      <c r="EB6" s="12">
        <f t="array" ref="EB6">MATCH(MAX(ABS(EB3:EB5)),ABS(EB3:EB5),0)</f>
        <v>1</v>
      </c>
      <c r="EC6" s="12">
        <f t="array" ref="EC6">MATCH(MAX(ABS(EC3:EC5)),ABS(EC3:EC5),0)</f>
        <v>3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1</v>
      </c>
    </row>
    <row r="7" spans="1:136">
      <c r="C7" s="13" t="str">
        <f t="shared" ref="C7:AH7" si="0">IF(C6=1,"bm",IF(C6=2,"size",IF(C6=3,"mom")))</f>
        <v>size</v>
      </c>
      <c r="D7" s="13" t="str">
        <f t="shared" si="0"/>
        <v>bm</v>
      </c>
      <c r="E7" s="13" t="str">
        <f t="shared" si="0"/>
        <v>size</v>
      </c>
      <c r="F7" s="13" t="str">
        <f t="shared" si="0"/>
        <v>mom</v>
      </c>
      <c r="G7" s="13" t="str">
        <f t="shared" si="0"/>
        <v>mom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mom</v>
      </c>
      <c r="L7" s="13" t="str">
        <f t="shared" si="0"/>
        <v>mom</v>
      </c>
      <c r="M7" s="13" t="str">
        <f t="shared" si="0"/>
        <v>bm</v>
      </c>
      <c r="N7" s="13" t="str">
        <f t="shared" si="0"/>
        <v>mom</v>
      </c>
      <c r="O7" s="13" t="str">
        <f t="shared" si="0"/>
        <v>mom</v>
      </c>
      <c r="P7" s="13" t="str">
        <f t="shared" si="0"/>
        <v>mom</v>
      </c>
      <c r="Q7" s="13" t="str">
        <f t="shared" si="0"/>
        <v>mom</v>
      </c>
      <c r="R7" s="13" t="str">
        <f t="shared" si="0"/>
        <v>mom</v>
      </c>
      <c r="S7" s="13" t="str">
        <f t="shared" si="0"/>
        <v>bm</v>
      </c>
      <c r="T7" s="13" t="str">
        <f t="shared" si="0"/>
        <v>mom</v>
      </c>
      <c r="U7" s="13" t="str">
        <f t="shared" si="0"/>
        <v>size</v>
      </c>
      <c r="V7" s="13" t="str">
        <f t="shared" si="0"/>
        <v>mom</v>
      </c>
      <c r="W7" s="13" t="str">
        <f t="shared" si="0"/>
        <v>bm</v>
      </c>
      <c r="X7" s="13" t="str">
        <f t="shared" si="0"/>
        <v>bm</v>
      </c>
      <c r="Y7" s="13" t="str">
        <f t="shared" si="0"/>
        <v>mom</v>
      </c>
      <c r="Z7" s="13" t="str">
        <f t="shared" si="0"/>
        <v>mom</v>
      </c>
      <c r="AA7" s="13" t="str">
        <f t="shared" si="0"/>
        <v>bm</v>
      </c>
      <c r="AB7" s="13" t="str">
        <f t="shared" si="0"/>
        <v>mom</v>
      </c>
      <c r="AC7" s="13" t="str">
        <f t="shared" si="0"/>
        <v>mom</v>
      </c>
      <c r="AD7" s="13" t="str">
        <f t="shared" si="0"/>
        <v>bm</v>
      </c>
      <c r="AE7" s="13" t="str">
        <f t="shared" si="0"/>
        <v>size</v>
      </c>
      <c r="AF7" s="13" t="str">
        <f t="shared" si="0"/>
        <v>bm</v>
      </c>
      <c r="AG7" s="13" t="str">
        <f t="shared" si="0"/>
        <v>mom</v>
      </c>
      <c r="AH7" s="13" t="str">
        <f t="shared" si="0"/>
        <v>mom</v>
      </c>
      <c r="AI7" s="13" t="str">
        <f t="shared" ref="AI7:BN7" si="1">IF(AI6=1,"bm",IF(AI6=2,"size",IF(AI6=3,"mom")))</f>
        <v>mom</v>
      </c>
      <c r="AJ7" s="13" t="str">
        <f t="shared" si="1"/>
        <v>bm</v>
      </c>
      <c r="AK7" s="13" t="str">
        <f t="shared" si="1"/>
        <v>mom</v>
      </c>
      <c r="AL7" s="13" t="str">
        <f t="shared" si="1"/>
        <v>bm</v>
      </c>
      <c r="AM7" s="13" t="str">
        <f t="shared" si="1"/>
        <v>mom</v>
      </c>
      <c r="AN7" s="13" t="str">
        <f t="shared" si="1"/>
        <v>mom</v>
      </c>
      <c r="AO7" s="13" t="str">
        <f t="shared" si="1"/>
        <v>bm</v>
      </c>
      <c r="AP7" s="13" t="str">
        <f t="shared" si="1"/>
        <v>size</v>
      </c>
      <c r="AQ7" s="13" t="str">
        <f t="shared" si="1"/>
        <v>size</v>
      </c>
      <c r="AR7" s="13" t="str">
        <f t="shared" si="1"/>
        <v>mom</v>
      </c>
      <c r="AS7" s="13" t="str">
        <f t="shared" si="1"/>
        <v>size</v>
      </c>
      <c r="AT7" s="13" t="str">
        <f t="shared" si="1"/>
        <v>bm</v>
      </c>
      <c r="AU7" s="13" t="str">
        <f t="shared" si="1"/>
        <v>bm</v>
      </c>
      <c r="AV7" s="13" t="str">
        <f t="shared" si="1"/>
        <v>bm</v>
      </c>
      <c r="AW7" s="13" t="str">
        <f t="shared" si="1"/>
        <v>bm</v>
      </c>
      <c r="AX7" s="13" t="str">
        <f t="shared" si="1"/>
        <v>bm</v>
      </c>
      <c r="AY7" s="13" t="str">
        <f t="shared" si="1"/>
        <v>bm</v>
      </c>
      <c r="AZ7" s="13" t="str">
        <f t="shared" si="1"/>
        <v>bm</v>
      </c>
      <c r="BA7" s="13" t="str">
        <f t="shared" si="1"/>
        <v>bm</v>
      </c>
      <c r="BB7" s="13" t="str">
        <f t="shared" si="1"/>
        <v>size</v>
      </c>
      <c r="BC7" s="13" t="str">
        <f t="shared" si="1"/>
        <v>bm</v>
      </c>
      <c r="BD7" s="13" t="str">
        <f t="shared" si="1"/>
        <v>size</v>
      </c>
      <c r="BE7" s="13" t="str">
        <f t="shared" si="1"/>
        <v>bm</v>
      </c>
      <c r="BF7" s="13" t="str">
        <f t="shared" si="1"/>
        <v>size</v>
      </c>
      <c r="BG7" s="13" t="str">
        <f t="shared" si="1"/>
        <v>bm</v>
      </c>
      <c r="BH7" s="13" t="str">
        <f t="shared" si="1"/>
        <v>bm</v>
      </c>
      <c r="BI7" s="13" t="str">
        <f t="shared" si="1"/>
        <v>bm</v>
      </c>
      <c r="BJ7" s="13" t="str">
        <f t="shared" si="1"/>
        <v>bm</v>
      </c>
      <c r="BK7" s="13" t="str">
        <f t="shared" si="1"/>
        <v>bm</v>
      </c>
      <c r="BL7" s="13" t="str">
        <f t="shared" si="1"/>
        <v>size</v>
      </c>
      <c r="BM7" s="13" t="str">
        <f t="shared" si="1"/>
        <v>size</v>
      </c>
      <c r="BN7" s="13" t="str">
        <f t="shared" si="1"/>
        <v>mom</v>
      </c>
      <c r="BO7" s="13" t="str">
        <f t="shared" ref="BO7:CT7" si="2">IF(BO6=1,"bm",IF(BO6=2,"size",IF(BO6=3,"mom")))</f>
        <v>size</v>
      </c>
      <c r="BP7" s="13" t="str">
        <f t="shared" si="2"/>
        <v>bm</v>
      </c>
      <c r="BQ7" s="13" t="str">
        <f t="shared" si="2"/>
        <v>bm</v>
      </c>
      <c r="BR7" s="13" t="str">
        <f t="shared" si="2"/>
        <v>mom</v>
      </c>
      <c r="BS7" s="13" t="str">
        <f t="shared" si="2"/>
        <v>bm</v>
      </c>
      <c r="BT7" s="13" t="str">
        <f t="shared" si="2"/>
        <v>size</v>
      </c>
      <c r="BU7" s="13" t="str">
        <f t="shared" si="2"/>
        <v>size</v>
      </c>
      <c r="BV7" s="13" t="str">
        <f t="shared" si="2"/>
        <v>size</v>
      </c>
      <c r="BW7" s="13" t="str">
        <f t="shared" si="2"/>
        <v>size</v>
      </c>
      <c r="BX7" s="13" t="str">
        <f t="shared" si="2"/>
        <v>mom</v>
      </c>
      <c r="BY7" s="13" t="str">
        <f t="shared" si="2"/>
        <v>bm</v>
      </c>
      <c r="BZ7" s="13" t="str">
        <f t="shared" si="2"/>
        <v>size</v>
      </c>
      <c r="CA7" s="13" t="str">
        <f t="shared" si="2"/>
        <v>bm</v>
      </c>
      <c r="CB7" s="13" t="str">
        <f t="shared" si="2"/>
        <v>bm</v>
      </c>
      <c r="CC7" s="13" t="str">
        <f t="shared" si="2"/>
        <v>size</v>
      </c>
      <c r="CD7" s="13" t="str">
        <f t="shared" si="2"/>
        <v>size</v>
      </c>
      <c r="CE7" s="13" t="str">
        <f t="shared" si="2"/>
        <v>size</v>
      </c>
      <c r="CF7" s="13" t="str">
        <f t="shared" si="2"/>
        <v>size</v>
      </c>
      <c r="CG7" s="13" t="str">
        <f t="shared" si="2"/>
        <v>size</v>
      </c>
      <c r="CH7" s="13" t="str">
        <f t="shared" si="2"/>
        <v>size</v>
      </c>
      <c r="CI7" s="13" t="str">
        <f t="shared" si="2"/>
        <v>size</v>
      </c>
      <c r="CJ7" s="13" t="str">
        <f t="shared" si="2"/>
        <v>bm</v>
      </c>
      <c r="CK7" s="13" t="str">
        <f t="shared" si="2"/>
        <v>bm</v>
      </c>
      <c r="CL7" s="13" t="str">
        <f t="shared" si="2"/>
        <v>bm</v>
      </c>
      <c r="CM7" s="13" t="str">
        <f t="shared" si="2"/>
        <v>size</v>
      </c>
      <c r="CN7" s="13" t="str">
        <f t="shared" si="2"/>
        <v>bm</v>
      </c>
      <c r="CO7" s="13" t="str">
        <f t="shared" si="2"/>
        <v>mom</v>
      </c>
      <c r="CP7" s="13" t="str">
        <f t="shared" si="2"/>
        <v>bm</v>
      </c>
      <c r="CQ7" s="13" t="str">
        <f t="shared" si="2"/>
        <v>bm</v>
      </c>
      <c r="CR7" s="13" t="str">
        <f t="shared" si="2"/>
        <v>size</v>
      </c>
      <c r="CS7" s="13" t="str">
        <f t="shared" si="2"/>
        <v>bm</v>
      </c>
      <c r="CT7" s="13" t="str">
        <f t="shared" si="2"/>
        <v>mom</v>
      </c>
      <c r="CU7" s="13" t="str">
        <f t="shared" ref="CU7:DZ7" si="3">IF(CU6=1,"bm",IF(CU6=2,"size",IF(CU6=3,"mom")))</f>
        <v>bm</v>
      </c>
      <c r="CV7" s="13" t="str">
        <f t="shared" si="3"/>
        <v>mom</v>
      </c>
      <c r="CW7" s="13" t="str">
        <f t="shared" si="3"/>
        <v>mom</v>
      </c>
      <c r="CX7" s="13" t="str">
        <f t="shared" si="3"/>
        <v>bm</v>
      </c>
      <c r="CY7" s="13" t="str">
        <f t="shared" si="3"/>
        <v>bm</v>
      </c>
      <c r="CZ7" s="13" t="str">
        <f t="shared" si="3"/>
        <v>bm</v>
      </c>
      <c r="DA7" s="13" t="str">
        <f t="shared" si="3"/>
        <v>bm</v>
      </c>
      <c r="DB7" s="13" t="str">
        <f t="shared" si="3"/>
        <v>mom</v>
      </c>
      <c r="DC7" s="13" t="str">
        <f t="shared" si="3"/>
        <v>mom</v>
      </c>
      <c r="DD7" s="13" t="str">
        <f t="shared" si="3"/>
        <v>mom</v>
      </c>
      <c r="DE7" s="13" t="str">
        <f t="shared" si="3"/>
        <v>size</v>
      </c>
      <c r="DF7" s="13" t="str">
        <f t="shared" si="3"/>
        <v>size</v>
      </c>
      <c r="DG7" s="13" t="str">
        <f t="shared" si="3"/>
        <v>mom</v>
      </c>
      <c r="DH7" s="13" t="str">
        <f t="shared" si="3"/>
        <v>mom</v>
      </c>
      <c r="DI7" s="13" t="str">
        <f t="shared" si="3"/>
        <v>mom</v>
      </c>
      <c r="DJ7" s="13" t="str">
        <f t="shared" si="3"/>
        <v>size</v>
      </c>
      <c r="DK7" s="13" t="str">
        <f t="shared" si="3"/>
        <v>size</v>
      </c>
      <c r="DL7" s="13" t="str">
        <f t="shared" si="3"/>
        <v>size</v>
      </c>
      <c r="DM7" s="13" t="str">
        <f t="shared" si="3"/>
        <v>size</v>
      </c>
      <c r="DN7" s="13" t="str">
        <f t="shared" si="3"/>
        <v>mom</v>
      </c>
      <c r="DO7" s="13" t="str">
        <f t="shared" si="3"/>
        <v>bm</v>
      </c>
      <c r="DP7" s="13" t="str">
        <f t="shared" si="3"/>
        <v>mom</v>
      </c>
      <c r="DQ7" s="13" t="str">
        <f t="shared" si="3"/>
        <v>size</v>
      </c>
      <c r="DR7" s="13" t="str">
        <f t="shared" si="3"/>
        <v>bm</v>
      </c>
      <c r="DS7" s="13" t="str">
        <f t="shared" si="3"/>
        <v>size</v>
      </c>
      <c r="DT7" s="13" t="str">
        <f t="shared" si="3"/>
        <v>size</v>
      </c>
      <c r="DU7" s="13" t="str">
        <f t="shared" si="3"/>
        <v>size</v>
      </c>
      <c r="DV7" s="13" t="str">
        <f t="shared" si="3"/>
        <v>bm</v>
      </c>
      <c r="DW7" s="13" t="str">
        <f t="shared" si="3"/>
        <v>size</v>
      </c>
      <c r="DX7" s="13" t="str">
        <f t="shared" si="3"/>
        <v>bm</v>
      </c>
      <c r="DY7" s="13" t="str">
        <f t="shared" si="3"/>
        <v>bm</v>
      </c>
      <c r="DZ7" s="13" t="str">
        <f t="shared" si="3"/>
        <v>bm</v>
      </c>
      <c r="EA7" s="13" t="str">
        <f t="shared" ref="EA7:EF7" si="4">IF(EA6=1,"bm",IF(EA6=2,"size",IF(EA6=3,"mom")))</f>
        <v>bm</v>
      </c>
      <c r="EB7" s="13" t="str">
        <f t="shared" si="4"/>
        <v>bm</v>
      </c>
      <c r="EC7" s="13" t="str">
        <f t="shared" si="4"/>
        <v>mom</v>
      </c>
      <c r="ED7" s="13" t="str">
        <f t="shared" si="4"/>
        <v>bm</v>
      </c>
      <c r="EE7" s="13" t="str">
        <f t="shared" si="4"/>
        <v>size</v>
      </c>
      <c r="EF7" s="13" t="str">
        <f t="shared" si="4"/>
        <v>bm</v>
      </c>
    </row>
    <row r="8" spans="1:136">
      <c r="C8" s="12">
        <f t="shared" ref="C8:AH8" si="5">IF(C6=1,C3,IF(C6=2,C4,IF(C6=3,C5)))</f>
        <v>-3.6521758884191513E-2</v>
      </c>
      <c r="D8" s="12">
        <f t="shared" si="5"/>
        <v>7.24458247423172E-2</v>
      </c>
      <c r="E8" s="12">
        <f t="shared" si="5"/>
        <v>-5.0075937062501907E-2</v>
      </c>
      <c r="F8" s="12">
        <f t="shared" si="5"/>
        <v>3.9053350687026978E-2</v>
      </c>
      <c r="G8" s="12">
        <f t="shared" si="5"/>
        <v>-3.5989873111248023E-2</v>
      </c>
      <c r="H8" s="12">
        <f t="shared" si="5"/>
        <v>-5.2601419389247887E-2</v>
      </c>
      <c r="I8" s="12">
        <f t="shared" si="5"/>
        <v>-3.8912922143936157E-2</v>
      </c>
      <c r="J8" s="12">
        <f t="shared" si="5"/>
        <v>-3.2669864594936371E-2</v>
      </c>
      <c r="K8" s="12">
        <f t="shared" si="5"/>
        <v>2.9407145455479618E-2</v>
      </c>
      <c r="L8" s="12">
        <f t="shared" si="5"/>
        <v>5.8111239224672318E-2</v>
      </c>
      <c r="M8" s="12">
        <f t="shared" si="5"/>
        <v>-8.2549653947353363E-2</v>
      </c>
      <c r="N8" s="12">
        <f t="shared" si="5"/>
        <v>6.2360752373933792E-2</v>
      </c>
      <c r="O8" s="12">
        <f t="shared" si="5"/>
        <v>9.9858760833740234E-2</v>
      </c>
      <c r="P8" s="12">
        <f t="shared" si="5"/>
        <v>0.13152122497558591</v>
      </c>
      <c r="Q8" s="12">
        <f t="shared" si="5"/>
        <v>7.957778126001358E-2</v>
      </c>
      <c r="R8" s="12">
        <f t="shared" si="5"/>
        <v>4.847404733300209E-2</v>
      </c>
      <c r="S8" s="12">
        <f t="shared" si="5"/>
        <v>-8.0156058073043823E-2</v>
      </c>
      <c r="T8" s="12">
        <f t="shared" si="5"/>
        <v>5.0201687961816788E-2</v>
      </c>
      <c r="U8" s="12">
        <f t="shared" si="5"/>
        <v>-9.2675261199474335E-2</v>
      </c>
      <c r="V8" s="12">
        <f t="shared" si="5"/>
        <v>6.3523001968860626E-2</v>
      </c>
      <c r="W8" s="12">
        <f t="shared" si="5"/>
        <v>9.6304804086685181E-2</v>
      </c>
      <c r="X8" s="12">
        <f t="shared" si="5"/>
        <v>0.16748018562793729</v>
      </c>
      <c r="Y8" s="12">
        <f t="shared" si="5"/>
        <v>9.0847745537757874E-2</v>
      </c>
      <c r="Z8" s="12">
        <f t="shared" si="5"/>
        <v>0.1071524396538734</v>
      </c>
      <c r="AA8" s="12">
        <f t="shared" si="5"/>
        <v>-7.8297220170497894E-2</v>
      </c>
      <c r="AB8" s="12">
        <f t="shared" si="5"/>
        <v>8.0967366695404053E-2</v>
      </c>
      <c r="AC8" s="12">
        <f t="shared" si="5"/>
        <v>3.8304600864648819E-2</v>
      </c>
      <c r="AD8" s="12">
        <f t="shared" si="5"/>
        <v>-3.0706796795129779E-2</v>
      </c>
      <c r="AE8" s="12">
        <f t="shared" si="5"/>
        <v>4.7622621059417718E-2</v>
      </c>
      <c r="AF8" s="12">
        <f t="shared" si="5"/>
        <v>6.8843632936477661E-2</v>
      </c>
      <c r="AG8" s="12">
        <f t="shared" si="5"/>
        <v>6.7320100963115692E-2</v>
      </c>
      <c r="AH8" s="12">
        <f t="shared" si="5"/>
        <v>1.78289357572794E-2</v>
      </c>
      <c r="AI8" s="12">
        <f t="shared" ref="AI8:BN8" si="6">IF(AI6=1,AI3,IF(AI6=2,AI4,IF(AI6=3,AI5)))</f>
        <v>5.6440837681293488E-2</v>
      </c>
      <c r="AJ8" s="12">
        <f t="shared" si="6"/>
        <v>-5.5654104799032211E-2</v>
      </c>
      <c r="AK8" s="12">
        <f t="shared" si="6"/>
        <v>7.9053483903408051E-2</v>
      </c>
      <c r="AL8" s="12">
        <f t="shared" si="6"/>
        <v>0.14250144362449649</v>
      </c>
      <c r="AM8" s="12">
        <f t="shared" si="6"/>
        <v>4.9416512250900269E-2</v>
      </c>
      <c r="AN8" s="12">
        <f t="shared" si="6"/>
        <v>4.2488358914852142E-2</v>
      </c>
      <c r="AO8" s="12">
        <f t="shared" si="6"/>
        <v>3.6709178239107132E-2</v>
      </c>
      <c r="AP8" s="12">
        <f t="shared" si="6"/>
        <v>4.6501751989126212E-2</v>
      </c>
      <c r="AQ8" s="12">
        <f t="shared" si="6"/>
        <v>4.9757853150367737E-2</v>
      </c>
      <c r="AR8" s="12">
        <f t="shared" si="6"/>
        <v>-5.88986836373806E-2</v>
      </c>
      <c r="AS8" s="12">
        <f t="shared" si="6"/>
        <v>3.4978423267602921E-2</v>
      </c>
      <c r="AT8" s="12">
        <f t="shared" si="6"/>
        <v>5.6848321110010147E-2</v>
      </c>
      <c r="AU8" s="12">
        <f t="shared" si="6"/>
        <v>3.9384294301271439E-2</v>
      </c>
      <c r="AV8" s="12">
        <f t="shared" si="6"/>
        <v>0.14884805679321289</v>
      </c>
      <c r="AW8" s="12">
        <f t="shared" si="6"/>
        <v>5.9238158166408539E-2</v>
      </c>
      <c r="AX8" s="12">
        <f t="shared" si="6"/>
        <v>8.3451211452484131E-2</v>
      </c>
      <c r="AY8" s="12">
        <f t="shared" si="6"/>
        <v>6.8846635520458221E-2</v>
      </c>
      <c r="AZ8" s="12">
        <f t="shared" si="6"/>
        <v>0.15779311954975131</v>
      </c>
      <c r="BA8" s="12">
        <f t="shared" si="6"/>
        <v>7.3232002556324005E-2</v>
      </c>
      <c r="BB8" s="12">
        <f t="shared" si="6"/>
        <v>-2.2272480651736259E-2</v>
      </c>
      <c r="BC8" s="12">
        <f t="shared" si="6"/>
        <v>5.6218259036540992E-2</v>
      </c>
      <c r="BD8" s="12">
        <f t="shared" si="6"/>
        <v>-8.3808884024620056E-2</v>
      </c>
      <c r="BE8" s="12">
        <f t="shared" si="6"/>
        <v>8.9553870260715485E-2</v>
      </c>
      <c r="BF8" s="12">
        <f t="shared" si="6"/>
        <v>-7.6244287192821503E-2</v>
      </c>
      <c r="BG8" s="12">
        <f t="shared" si="6"/>
        <v>7.1616403758525848E-2</v>
      </c>
      <c r="BH8" s="12">
        <f t="shared" si="6"/>
        <v>7.97300785779953E-2</v>
      </c>
      <c r="BI8" s="12">
        <f t="shared" si="6"/>
        <v>8.7966516613960266E-2</v>
      </c>
      <c r="BJ8" s="12">
        <f t="shared" si="6"/>
        <v>0.1081216707825661</v>
      </c>
      <c r="BK8" s="12">
        <f t="shared" si="6"/>
        <v>0.1129734814167023</v>
      </c>
      <c r="BL8" s="12">
        <f t="shared" si="6"/>
        <v>-5.3756937384605408E-2</v>
      </c>
      <c r="BM8" s="12">
        <f t="shared" si="6"/>
        <v>-7.9431377351284027E-2</v>
      </c>
      <c r="BN8" s="12">
        <f t="shared" si="6"/>
        <v>4.7217939049005508E-2</v>
      </c>
      <c r="BO8" s="12">
        <f t="shared" ref="BO8:CT8" si="7">IF(BO6=1,BO3,IF(BO6=2,BO4,IF(BO6=3,BO5)))</f>
        <v>-9.4712458550930023E-2</v>
      </c>
      <c r="BP8" s="12">
        <f t="shared" si="7"/>
        <v>0.10330298542976379</v>
      </c>
      <c r="BQ8" s="12">
        <f t="shared" si="7"/>
        <v>7.12384432554245E-2</v>
      </c>
      <c r="BR8" s="12">
        <f t="shared" si="7"/>
        <v>6.7423462867736816E-2</v>
      </c>
      <c r="BS8" s="12">
        <f t="shared" si="7"/>
        <v>4.9339123070240021E-2</v>
      </c>
      <c r="BT8" s="12">
        <f t="shared" si="7"/>
        <v>-8.4144026041030884E-2</v>
      </c>
      <c r="BU8" s="12">
        <f t="shared" si="7"/>
        <v>-9.0233713388442993E-2</v>
      </c>
      <c r="BV8" s="12">
        <f t="shared" si="7"/>
        <v>-0.1029478386044502</v>
      </c>
      <c r="BW8" s="12">
        <f t="shared" si="7"/>
        <v>-7.1088537573814392E-2</v>
      </c>
      <c r="BX8" s="12">
        <f t="shared" si="7"/>
        <v>3.8252223283052438E-2</v>
      </c>
      <c r="BY8" s="12">
        <f t="shared" si="7"/>
        <v>-2.413135394454002E-2</v>
      </c>
      <c r="BZ8" s="12">
        <f t="shared" si="7"/>
        <v>-5.1592431962490082E-2</v>
      </c>
      <c r="CA8" s="12">
        <f t="shared" si="7"/>
        <v>8.7816245853900909E-2</v>
      </c>
      <c r="CB8" s="12">
        <f t="shared" si="7"/>
        <v>-4.3355219066143043E-2</v>
      </c>
      <c r="CC8" s="12">
        <f t="shared" si="7"/>
        <v>-7.9050444066524506E-2</v>
      </c>
      <c r="CD8" s="12">
        <f t="shared" si="7"/>
        <v>-0.1116790845990181</v>
      </c>
      <c r="CE8" s="12">
        <f t="shared" si="7"/>
        <v>-8.4638349711894989E-2</v>
      </c>
      <c r="CF8" s="12">
        <f t="shared" si="7"/>
        <v>-8.8114269077777863E-2</v>
      </c>
      <c r="CG8" s="12">
        <f t="shared" si="7"/>
        <v>-9.862682968378067E-2</v>
      </c>
      <c r="CH8" s="12">
        <f t="shared" si="7"/>
        <v>-7.5061611831188202E-2</v>
      </c>
      <c r="CI8" s="12">
        <f t="shared" si="7"/>
        <v>-5.5998209863901138E-2</v>
      </c>
      <c r="CJ8" s="12">
        <f t="shared" si="7"/>
        <v>-0.1101485714316368</v>
      </c>
      <c r="CK8" s="12">
        <f t="shared" si="7"/>
        <v>4.6726226806640618E-2</v>
      </c>
      <c r="CL8" s="12">
        <f t="shared" si="7"/>
        <v>5.5295374244451523E-2</v>
      </c>
      <c r="CM8" s="12">
        <f t="shared" si="7"/>
        <v>-2.1875450387597081E-2</v>
      </c>
      <c r="CN8" s="12">
        <f t="shared" si="7"/>
        <v>-5.8284953236579902E-2</v>
      </c>
      <c r="CO8" s="12">
        <f t="shared" si="7"/>
        <v>3.5640694200992577E-2</v>
      </c>
      <c r="CP8" s="12">
        <f t="shared" si="7"/>
        <v>3.5830866545438773E-2</v>
      </c>
      <c r="CQ8" s="12">
        <f t="shared" si="7"/>
        <v>2.45636235922575E-2</v>
      </c>
      <c r="CR8" s="12">
        <f t="shared" si="7"/>
        <v>-4.5928843319416053E-2</v>
      </c>
      <c r="CS8" s="12">
        <f t="shared" si="7"/>
        <v>-0.1024853959679604</v>
      </c>
      <c r="CT8" s="12">
        <f t="shared" si="7"/>
        <v>5.863029882311821E-2</v>
      </c>
      <c r="CU8" s="12">
        <f t="shared" ref="CU8:DZ8" si="8">IF(CU6=1,CU3,IF(CU6=2,CU4,IF(CU6=3,CU5)))</f>
        <v>-0.1111449897289276</v>
      </c>
      <c r="CV8" s="12">
        <f t="shared" si="8"/>
        <v>4.6454016119241708E-2</v>
      </c>
      <c r="CW8" s="12">
        <f t="shared" si="8"/>
        <v>7.367561012506485E-2</v>
      </c>
      <c r="CX8" s="12">
        <f t="shared" si="8"/>
        <v>-8.237186074256897E-2</v>
      </c>
      <c r="CY8" s="12">
        <f t="shared" si="8"/>
        <v>-4.1168216615915298E-2</v>
      </c>
      <c r="CZ8" s="12">
        <f t="shared" si="8"/>
        <v>-7.4366219341754913E-2</v>
      </c>
      <c r="DA8" s="12">
        <f t="shared" si="8"/>
        <v>-4.7027502208948142E-2</v>
      </c>
      <c r="DB8" s="12">
        <f t="shared" si="8"/>
        <v>1.5304354019463061E-2</v>
      </c>
      <c r="DC8" s="12">
        <f t="shared" si="8"/>
        <v>3.0327405780553821E-2</v>
      </c>
      <c r="DD8" s="12">
        <f t="shared" si="8"/>
        <v>5.3778979927301407E-2</v>
      </c>
      <c r="DE8" s="12">
        <f t="shared" si="8"/>
        <v>-5.5287983268499367E-2</v>
      </c>
      <c r="DF8" s="12">
        <f t="shared" si="8"/>
        <v>3.9528455585241318E-2</v>
      </c>
      <c r="DG8" s="12">
        <f t="shared" si="8"/>
        <v>-8.2107760012149811E-2</v>
      </c>
      <c r="DH8" s="12">
        <f t="shared" si="8"/>
        <v>-5.2850812673568733E-2</v>
      </c>
      <c r="DI8" s="12">
        <f t="shared" si="8"/>
        <v>-7.8471429646015167E-2</v>
      </c>
      <c r="DJ8" s="12">
        <f t="shared" si="8"/>
        <v>4.8156458884477622E-2</v>
      </c>
      <c r="DK8" s="12">
        <f t="shared" si="8"/>
        <v>3.9779618382453918E-2</v>
      </c>
      <c r="DL8" s="12">
        <f t="shared" si="8"/>
        <v>2.912280336022377E-2</v>
      </c>
      <c r="DM8" s="12">
        <f t="shared" si="8"/>
        <v>5.5858355015516281E-2</v>
      </c>
      <c r="DN8" s="12">
        <f t="shared" si="8"/>
        <v>-6.0538295656442642E-2</v>
      </c>
      <c r="DO8" s="12">
        <f t="shared" si="8"/>
        <v>-4.1845731437206268E-2</v>
      </c>
      <c r="DP8" s="12">
        <f t="shared" si="8"/>
        <v>-2.293764241039753E-2</v>
      </c>
      <c r="DQ8" s="12">
        <f t="shared" si="8"/>
        <v>3.2798897475004203E-2</v>
      </c>
      <c r="DR8" s="12">
        <f t="shared" si="8"/>
        <v>7.5242564082145691E-2</v>
      </c>
      <c r="DS8" s="12">
        <f t="shared" si="8"/>
        <v>-6.3791960477828979E-2</v>
      </c>
      <c r="DT8" s="12">
        <f t="shared" si="8"/>
        <v>-2.437188662588596E-2</v>
      </c>
      <c r="DU8" s="12">
        <f t="shared" si="8"/>
        <v>2.8318654745817181E-2</v>
      </c>
      <c r="DV8" s="12">
        <f t="shared" si="8"/>
        <v>-3.9159540086984627E-2</v>
      </c>
      <c r="DW8" s="12">
        <f t="shared" si="8"/>
        <v>4.162212461233139E-2</v>
      </c>
      <c r="DX8" s="12">
        <f t="shared" si="8"/>
        <v>-2.5841465219855309E-2</v>
      </c>
      <c r="DY8" s="12">
        <f t="shared" si="8"/>
        <v>-2.6736544445157051E-2</v>
      </c>
      <c r="DZ8" s="12">
        <f t="shared" si="8"/>
        <v>-3.2960411161184311E-2</v>
      </c>
      <c r="EA8" s="12">
        <f t="shared" ref="EA8:EF8" si="9">IF(EA6=1,EA3,IF(EA6=2,EA4,IF(EA6=3,EA5)))</f>
        <v>-4.8574574291706092E-2</v>
      </c>
      <c r="EB8" s="12">
        <f t="shared" si="9"/>
        <v>-0.1051784828305244</v>
      </c>
      <c r="EC8" s="12">
        <f t="shared" si="9"/>
        <v>4.5648753643035889E-2</v>
      </c>
      <c r="ED8" s="12">
        <f t="shared" si="9"/>
        <v>-0.1028049290180206</v>
      </c>
      <c r="EE8" s="12">
        <f t="shared" si="9"/>
        <v>5.7367391884326928E-2</v>
      </c>
      <c r="EF8" s="12">
        <f t="shared" si="9"/>
        <v>-3.865974023938179E-2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184</v>
      </c>
    </row>
    <row r="12" spans="1:136">
      <c r="A12" s="2">
        <v>10</v>
      </c>
      <c r="B12" s="2">
        <v>96</v>
      </c>
      <c r="C12" s="12">
        <v>8.4653541666666707E-2</v>
      </c>
      <c r="D12" s="12">
        <v>2.0821795271878302E-2</v>
      </c>
      <c r="E12" s="12">
        <v>4.8026281249999997E-2</v>
      </c>
      <c r="F12" s="12">
        <v>-5.5959384784458728E-2</v>
      </c>
      <c r="G12" s="12">
        <v>-3.1947448518630461E-2</v>
      </c>
      <c r="H12" s="12">
        <v>3.8530718750000012E-2</v>
      </c>
      <c r="I12" s="12">
        <v>-3.6303936849052011E-2</v>
      </c>
      <c r="J12" s="12">
        <v>-2.940780208333334E-2</v>
      </c>
      <c r="K12" s="12">
        <v>2.918799813369918E-2</v>
      </c>
      <c r="L12" s="12">
        <v>8.7585559641662342E-3</v>
      </c>
      <c r="M12" s="12">
        <v>1.555180420016113E-2</v>
      </c>
      <c r="N12" s="12">
        <v>-3.4703354243462818E-2</v>
      </c>
      <c r="O12" s="12">
        <v>2.7914759067240381E-2</v>
      </c>
      <c r="P12" s="12">
        <v>-2.5432810815711028E-4</v>
      </c>
      <c r="Q12" s="12">
        <v>5.1156833739640466E-3</v>
      </c>
      <c r="R12" s="12">
        <v>1.315348866053859E-2</v>
      </c>
      <c r="S12" s="12">
        <v>7.1053897094607049E-2</v>
      </c>
      <c r="T12" s="12">
        <v>4.7867716345524697E-2</v>
      </c>
      <c r="U12" s="12">
        <v>-1.6178791666666682E-2</v>
      </c>
      <c r="V12" s="12">
        <v>9.5109536536482214E-3</v>
      </c>
      <c r="W12" s="12">
        <v>2.227844197331175E-2</v>
      </c>
      <c r="X12" s="12">
        <v>4.851927478031446E-2</v>
      </c>
      <c r="Y12" s="12">
        <v>2.0598393527691269E-2</v>
      </c>
      <c r="Z12" s="12">
        <v>-5.3152086976860878E-2</v>
      </c>
      <c r="AA12" s="12">
        <v>3.9403661401111782E-2</v>
      </c>
      <c r="AB12" s="12">
        <v>1.073332960413877E-2</v>
      </c>
      <c r="AC12" s="12">
        <v>-4.6772945626311249E-2</v>
      </c>
      <c r="AD12" s="12">
        <v>-5.84710999923721E-3</v>
      </c>
      <c r="AE12" s="12">
        <v>5.8317010416666662E-2</v>
      </c>
      <c r="AF12" s="12">
        <v>2.0432151303864929E-2</v>
      </c>
      <c r="AG12" s="12">
        <v>-3.814930420809846E-3</v>
      </c>
      <c r="AH12" s="12">
        <v>-1.5713033769280859E-2</v>
      </c>
      <c r="AI12" s="12">
        <v>8.79379249226157E-3</v>
      </c>
      <c r="AJ12" s="12">
        <v>-1.298374754605458E-2</v>
      </c>
      <c r="AK12" s="12">
        <v>-1.6475368224135679E-2</v>
      </c>
      <c r="AL12" s="12">
        <v>1.7859003021922081E-2</v>
      </c>
      <c r="AM12" s="12">
        <v>1.670675200628732E-2</v>
      </c>
      <c r="AN12" s="12">
        <v>2.6645628802444619E-2</v>
      </c>
      <c r="AO12" s="12">
        <v>2.228793039673051E-3</v>
      </c>
      <c r="AP12" s="12">
        <v>4.6336666666666696E-3</v>
      </c>
      <c r="AQ12" s="12">
        <v>6.6816458333333302E-3</v>
      </c>
      <c r="AR12" s="12">
        <v>-2.2223025987592161E-2</v>
      </c>
      <c r="AS12" s="12">
        <v>5.8433645833333436E-3</v>
      </c>
      <c r="AT12" s="12">
        <v>1.3834904707671181E-2</v>
      </c>
      <c r="AU12" s="12">
        <v>2.070865868087543E-2</v>
      </c>
      <c r="AV12" s="12">
        <v>-4.1360084745025012E-2</v>
      </c>
      <c r="AW12" s="12">
        <v>6.2147701801607523E-4</v>
      </c>
      <c r="AX12" s="12">
        <v>4.3598467253422833E-2</v>
      </c>
      <c r="AY12" s="12">
        <v>2.4955293067673249E-2</v>
      </c>
      <c r="AZ12" s="12">
        <v>-2.3000260716576439E-3</v>
      </c>
      <c r="BA12" s="12">
        <v>4.9378881832418033E-3</v>
      </c>
      <c r="BB12" s="12">
        <v>5.7850729166666658E-3</v>
      </c>
      <c r="BC12" s="12">
        <v>1.227278903847649E-2</v>
      </c>
      <c r="BD12" s="12">
        <v>4.9233947916666673E-2</v>
      </c>
      <c r="BE12" s="12">
        <v>1.860880983938528E-2</v>
      </c>
      <c r="BF12" s="12">
        <v>-2.360069791666667E-2</v>
      </c>
      <c r="BG12" s="12">
        <v>3.3670862441262807E-2</v>
      </c>
      <c r="BH12" s="12">
        <v>1.422336001132196E-2</v>
      </c>
      <c r="BI12" s="12">
        <v>5.002125303099076E-2</v>
      </c>
      <c r="BJ12" s="12">
        <v>-7.9599331991781624E-4</v>
      </c>
      <c r="BK12" s="12">
        <v>-2.1284664960133971E-2</v>
      </c>
      <c r="BL12" s="12">
        <v>1.1060114583333331E-2</v>
      </c>
      <c r="BM12" s="12">
        <v>-3.0171541666666669E-2</v>
      </c>
      <c r="BN12" s="12">
        <v>-1.1575967172940649E-2</v>
      </c>
      <c r="BO12" s="12">
        <v>1.691386458333333E-2</v>
      </c>
      <c r="BP12" s="12">
        <v>-1.0508985305294091E-2</v>
      </c>
      <c r="BQ12" s="12">
        <v>1.3896749618746689E-2</v>
      </c>
      <c r="BR12" s="12">
        <v>6.8693615147113224E-2</v>
      </c>
      <c r="BS12" s="12">
        <v>1.886329338439598E-2</v>
      </c>
      <c r="BT12" s="12">
        <v>-2.1288177083333332E-2</v>
      </c>
      <c r="BU12" s="12">
        <v>-4.808319791666666E-2</v>
      </c>
      <c r="BV12" s="12">
        <v>3.2053312499999979E-2</v>
      </c>
      <c r="BW12" s="12">
        <v>5.5487552083333308E-2</v>
      </c>
      <c r="BX12" s="12">
        <v>-6.985153858139255E-3</v>
      </c>
      <c r="BY12" s="12">
        <v>3.3370800331571443E-2</v>
      </c>
      <c r="BZ12" s="12">
        <v>3.777385416666668E-3</v>
      </c>
      <c r="CA12" s="12">
        <v>-3.4400287440342493E-2</v>
      </c>
      <c r="CB12" s="12">
        <v>-1.943242131762835E-3</v>
      </c>
      <c r="CC12" s="12">
        <v>6.5566041666666686E-2</v>
      </c>
      <c r="CD12" s="12">
        <v>4.4258520833333322E-2</v>
      </c>
      <c r="CE12" s="12">
        <v>0.15400715625000011</v>
      </c>
      <c r="CF12" s="12">
        <v>4.0780416666666769E-3</v>
      </c>
      <c r="CG12" s="12">
        <v>3.0880208333335102E-4</v>
      </c>
      <c r="CH12" s="12">
        <v>-9.4527916666666614E-3</v>
      </c>
      <c r="CI12" s="12">
        <v>-2.4341229166666659E-2</v>
      </c>
      <c r="CJ12" s="12">
        <v>-1.544518047868886E-2</v>
      </c>
      <c r="CK12" s="12">
        <v>1.2803144154834811E-2</v>
      </c>
      <c r="CL12" s="12">
        <v>0.1180156076696104</v>
      </c>
      <c r="CM12" s="12">
        <v>-7.1708562500000045E-2</v>
      </c>
      <c r="CN12" s="12">
        <v>2.7083701214559368E-2</v>
      </c>
      <c r="CO12" s="12">
        <v>-2.4819785255212591E-2</v>
      </c>
      <c r="CP12" s="12">
        <v>4.5299021467493747E-2</v>
      </c>
      <c r="CQ12" s="12">
        <v>3.6572194909933541E-2</v>
      </c>
      <c r="CR12" s="12">
        <v>4.814697916666668E-2</v>
      </c>
      <c r="CS12" s="12">
        <v>1.5201647687045549E-2</v>
      </c>
      <c r="CT12" s="12">
        <v>-9.3290632299768764E-3</v>
      </c>
      <c r="CU12" s="12">
        <v>-3.5623715662195188E-2</v>
      </c>
      <c r="CV12" s="12">
        <v>6.5033306495688795E-2</v>
      </c>
      <c r="CW12" s="12">
        <v>1.303666937857764E-2</v>
      </c>
      <c r="CX12" s="12">
        <v>-6.098988253699178E-2</v>
      </c>
      <c r="CY12" s="12">
        <v>5.982942211490587E-3</v>
      </c>
      <c r="CZ12" s="12">
        <v>-7.7792327339500603E-2</v>
      </c>
      <c r="DA12" s="12">
        <v>-5.6037840703605252E-3</v>
      </c>
      <c r="DB12" s="12">
        <v>3.5585282643903433E-2</v>
      </c>
      <c r="DC12" s="12">
        <v>-4.5013637925414574E-3</v>
      </c>
      <c r="DD12" s="12">
        <v>-6.9960545734343321E-2</v>
      </c>
      <c r="DE12" s="12">
        <v>-3.7235479166666613E-2</v>
      </c>
      <c r="DF12" s="12">
        <v>-5.5486104166666647E-2</v>
      </c>
      <c r="DG12" s="12">
        <v>4.7394421629824317E-2</v>
      </c>
      <c r="DH12" s="12">
        <v>-3.080315518685656E-2</v>
      </c>
      <c r="DI12" s="12">
        <v>-2.9979254557499689E-2</v>
      </c>
      <c r="DJ12" s="12">
        <v>-1.511867708333333E-2</v>
      </c>
      <c r="DK12" s="12">
        <v>3.1928208333333333E-2</v>
      </c>
      <c r="DL12" s="12">
        <v>-3.0896458333333349E-3</v>
      </c>
      <c r="DM12" s="12">
        <v>1.923761458333334E-2</v>
      </c>
      <c r="DN12" s="12">
        <v>1.854144345861243E-2</v>
      </c>
      <c r="DO12" s="12">
        <v>-2.259973368032869E-2</v>
      </c>
      <c r="DP12" s="12">
        <v>5.9408694556660431E-2</v>
      </c>
      <c r="DQ12" s="12">
        <v>3.3862052083333379E-2</v>
      </c>
      <c r="DR12" s="12">
        <v>1.8778943279386909E-2</v>
      </c>
      <c r="DS12" s="12">
        <v>6.9651010416666673E-2</v>
      </c>
      <c r="DT12" s="12">
        <v>2.5117864583333378E-2</v>
      </c>
      <c r="DU12" s="12">
        <v>5.7230229166666681E-2</v>
      </c>
      <c r="DV12" s="12">
        <v>-4.8550824477530688E-2</v>
      </c>
      <c r="DW12" s="12">
        <v>-4.4967552083333348E-2</v>
      </c>
      <c r="DX12" s="12">
        <v>5.0152080542361532E-2</v>
      </c>
      <c r="DY12" s="12">
        <v>-1.5357270118494901E-2</v>
      </c>
      <c r="DZ12" s="12">
        <v>4.1357254801773907E-3</v>
      </c>
      <c r="EA12" s="12">
        <v>-6.4003941323197033E-2</v>
      </c>
      <c r="EB12" s="12">
        <v>-2.8283267748527709E-3</v>
      </c>
      <c r="EC12" s="12">
        <v>1.48839181295192E-2</v>
      </c>
      <c r="ED12" s="12">
        <v>6.050815280848415E-2</v>
      </c>
      <c r="EE12" s="12">
        <v>2.6506687500000001E-2</v>
      </c>
      <c r="EF12" s="12">
        <v>-3.9233348038795662E-2</v>
      </c>
    </row>
    <row r="13" spans="1:136">
      <c r="A13" s="2">
        <v>20</v>
      </c>
      <c r="B13" s="2">
        <v>48</v>
      </c>
      <c r="C13" s="12">
        <v>0.10411314583333341</v>
      </c>
      <c r="D13" s="12">
        <v>2.987761060455878E-2</v>
      </c>
      <c r="E13" s="12">
        <v>6.9861291666666658E-2</v>
      </c>
      <c r="F13" s="12">
        <v>-5.9986526692922967E-2</v>
      </c>
      <c r="G13" s="12">
        <v>-1.2047404300105931E-2</v>
      </c>
      <c r="H13" s="12">
        <v>2.999035416666665E-2</v>
      </c>
      <c r="I13" s="12">
        <v>-3.2682862984722338E-2</v>
      </c>
      <c r="J13" s="12">
        <v>-4.3898812500000023E-2</v>
      </c>
      <c r="K13" s="12">
        <v>6.0326139227570137E-2</v>
      </c>
      <c r="L13" s="12">
        <v>2.1980470378722781E-2</v>
      </c>
      <c r="M13" s="12">
        <v>-7.7086562624922028E-3</v>
      </c>
      <c r="N13" s="12">
        <v>-4.3392417465696789E-2</v>
      </c>
      <c r="O13" s="12">
        <v>1.7422698810949939E-2</v>
      </c>
      <c r="P13" s="12">
        <v>-6.2776476607329448E-3</v>
      </c>
      <c r="Q13" s="12">
        <v>-1.7456384496362699E-2</v>
      </c>
      <c r="R13" s="12">
        <v>1.6510711082829949E-2</v>
      </c>
      <c r="S13" s="12">
        <v>0.1229152980035506</v>
      </c>
      <c r="T13" s="12">
        <v>7.4234081511722602E-2</v>
      </c>
      <c r="U13" s="12">
        <v>1.5963125000000159E-3</v>
      </c>
      <c r="V13" s="12">
        <v>2.216639903053957E-3</v>
      </c>
      <c r="W13" s="12">
        <v>3.1103087884369891E-2</v>
      </c>
      <c r="X13" s="12">
        <v>6.9750968769056565E-2</v>
      </c>
      <c r="Y13" s="12">
        <v>-6.6833587265454353E-3</v>
      </c>
      <c r="Z13" s="12">
        <v>-8.125140212123555E-2</v>
      </c>
      <c r="AA13" s="12">
        <v>3.2119510338471283E-2</v>
      </c>
      <c r="AB13" s="12">
        <v>1.5001573328978489E-2</v>
      </c>
      <c r="AC13" s="12">
        <v>-6.6771700381929838E-2</v>
      </c>
      <c r="AD13" s="12">
        <v>-6.5790452025407779E-3</v>
      </c>
      <c r="AE13" s="12">
        <v>6.5719479166666678E-2</v>
      </c>
      <c r="AF13" s="12">
        <v>3.1940463834301228E-2</v>
      </c>
      <c r="AG13" s="12">
        <v>9.9052077270740842E-3</v>
      </c>
      <c r="AH13" s="12">
        <v>-2.4955206549866871E-2</v>
      </c>
      <c r="AI13" s="12">
        <v>1.8646046379966041E-2</v>
      </c>
      <c r="AJ13" s="12">
        <v>1.628046998827572E-2</v>
      </c>
      <c r="AK13" s="12">
        <v>-3.8359390282872087E-2</v>
      </c>
      <c r="AL13" s="12">
        <v>2.3151428595171029E-2</v>
      </c>
      <c r="AM13" s="12">
        <v>-1.4434106114089009E-2</v>
      </c>
      <c r="AN13" s="12">
        <v>2.9977660519922351E-2</v>
      </c>
      <c r="AO13" s="12">
        <v>9.3111878994149404E-3</v>
      </c>
      <c r="AP13" s="12">
        <v>6.5878125000000034E-3</v>
      </c>
      <c r="AQ13" s="12">
        <v>1.1081895833333331E-2</v>
      </c>
      <c r="AR13" s="12">
        <v>-2.0848043794723811E-2</v>
      </c>
      <c r="AS13" s="12">
        <v>1.9364166666666701E-3</v>
      </c>
      <c r="AT13" s="12">
        <v>4.0463087854439743E-2</v>
      </c>
      <c r="AU13" s="12">
        <v>4.0976126475978862E-2</v>
      </c>
      <c r="AV13" s="12">
        <v>-9.475472639553081E-3</v>
      </c>
      <c r="AW13" s="12">
        <v>4.0800135830634E-3</v>
      </c>
      <c r="AX13" s="12">
        <v>6.7153787783110333E-2</v>
      </c>
      <c r="AY13" s="12">
        <v>1.756434634862496E-2</v>
      </c>
      <c r="AZ13" s="12">
        <v>-8.1034674694993921E-3</v>
      </c>
      <c r="BA13" s="12">
        <v>6.5409376070610318E-3</v>
      </c>
      <c r="BB13" s="12">
        <v>2.604597916666667E-2</v>
      </c>
      <c r="BC13" s="12">
        <v>1.128376711165765E-2</v>
      </c>
      <c r="BD13" s="12">
        <v>4.1676729166666669E-2</v>
      </c>
      <c r="BE13" s="12">
        <v>2.7391806305641558E-2</v>
      </c>
      <c r="BF13" s="12">
        <v>-2.6302541666666669E-2</v>
      </c>
      <c r="BG13" s="12">
        <v>4.6566462338711673E-2</v>
      </c>
      <c r="BH13" s="12">
        <v>8.4757298116190372E-3</v>
      </c>
      <c r="BI13" s="12">
        <v>5.2409132456701382E-2</v>
      </c>
      <c r="BJ13" s="12">
        <v>-1.6847085990264871E-2</v>
      </c>
      <c r="BK13" s="12">
        <v>-1.8391024879749449E-2</v>
      </c>
      <c r="BL13" s="12">
        <v>1.3618958333333341E-2</v>
      </c>
      <c r="BM13" s="12">
        <v>-2.7203395833333342E-2</v>
      </c>
      <c r="BN13" s="12">
        <v>-3.5552713412407247E-2</v>
      </c>
      <c r="BO13" s="12">
        <v>3.407250000000001E-3</v>
      </c>
      <c r="BP13" s="12">
        <v>9.4326956946515182E-3</v>
      </c>
      <c r="BQ13" s="12">
        <v>4.1653063789425779E-2</v>
      </c>
      <c r="BR13" s="12">
        <v>7.9831456823332952E-2</v>
      </c>
      <c r="BS13" s="12">
        <v>7.4194718402196772E-3</v>
      </c>
      <c r="BT13" s="12">
        <v>-3.3667895833333343E-2</v>
      </c>
      <c r="BU13" s="12">
        <v>-7.4658166666666678E-2</v>
      </c>
      <c r="BV13" s="12">
        <v>3.144022916666666E-2</v>
      </c>
      <c r="BW13" s="12">
        <v>8.6230333333333353E-2</v>
      </c>
      <c r="BX13" s="12">
        <v>-7.4563880601007104E-4</v>
      </c>
      <c r="BY13" s="12">
        <v>1.4512397670490481E-2</v>
      </c>
      <c r="BZ13" s="12">
        <v>-1.3758708333333369E-2</v>
      </c>
      <c r="CA13" s="12">
        <v>-3.3531565600396843E-2</v>
      </c>
      <c r="CB13" s="12">
        <v>6.5958267252201053E-3</v>
      </c>
      <c r="CC13" s="12">
        <v>0.1201179166666667</v>
      </c>
      <c r="CD13" s="12">
        <v>5.525583333333333E-2</v>
      </c>
      <c r="CE13" s="12">
        <v>0.1838277291666667</v>
      </c>
      <c r="CF13" s="12">
        <v>1.8229145833333339E-2</v>
      </c>
      <c r="CG13" s="12">
        <v>7.5603958333333721E-3</v>
      </c>
      <c r="CH13" s="12">
        <v>-2.565775000000001E-2</v>
      </c>
      <c r="CI13" s="12">
        <v>-7.8951666666666753E-3</v>
      </c>
      <c r="CJ13" s="12">
        <v>3.106087971951194E-3</v>
      </c>
      <c r="CK13" s="12">
        <v>3.2045269236463968E-2</v>
      </c>
      <c r="CL13" s="12">
        <v>8.1453366102180805E-2</v>
      </c>
      <c r="CM13" s="12">
        <v>-0.1014523333333333</v>
      </c>
      <c r="CN13" s="12">
        <v>2.688756599885234E-2</v>
      </c>
      <c r="CO13" s="12">
        <v>-3.5334344080657359E-2</v>
      </c>
      <c r="CP13" s="12">
        <v>6.9726540277734339E-2</v>
      </c>
      <c r="CQ13" s="12">
        <v>3.8184950196159702E-2</v>
      </c>
      <c r="CR13" s="12">
        <v>6.4380854166666654E-2</v>
      </c>
      <c r="CS13" s="12">
        <v>-1.0833051115274659E-2</v>
      </c>
      <c r="CT13" s="12">
        <v>4.0854011561625853E-4</v>
      </c>
      <c r="CU13" s="12">
        <v>-3.7161402282311212E-2</v>
      </c>
      <c r="CV13" s="12">
        <v>7.7656051256972655E-2</v>
      </c>
      <c r="CW13" s="12">
        <v>3.6309119756433333E-2</v>
      </c>
      <c r="CX13" s="12">
        <v>-6.0033255240053027E-2</v>
      </c>
      <c r="CY13" s="12">
        <v>1.3118740115012659E-2</v>
      </c>
      <c r="CZ13" s="12">
        <v>-5.7224220353485122E-2</v>
      </c>
      <c r="DA13" s="12">
        <v>5.583676925821391E-3</v>
      </c>
      <c r="DB13" s="12">
        <v>6.135618523727146E-2</v>
      </c>
      <c r="DC13" s="12">
        <v>-1.41498668272943E-2</v>
      </c>
      <c r="DD13" s="12">
        <v>-6.8977058924383453E-2</v>
      </c>
      <c r="DE13" s="12">
        <v>-4.2563895833333379E-2</v>
      </c>
      <c r="DF13" s="12">
        <v>-8.3122687499999987E-2</v>
      </c>
      <c r="DG13" s="12">
        <v>7.1335760214919608E-2</v>
      </c>
      <c r="DH13" s="12">
        <v>-3.8806516940288249E-2</v>
      </c>
      <c r="DI13" s="12">
        <v>-2.957041963442816E-2</v>
      </c>
      <c r="DJ13" s="12">
        <v>-5.983854166666666E-3</v>
      </c>
      <c r="DK13" s="12">
        <v>1.9386395833333341E-2</v>
      </c>
      <c r="DL13" s="12">
        <v>-2.7122937499999989E-2</v>
      </c>
      <c r="DM13" s="12">
        <v>-5.319583333333322E-4</v>
      </c>
      <c r="DN13" s="12">
        <v>1.277588948620326E-2</v>
      </c>
      <c r="DO13" s="12">
        <v>-4.6891412388131722E-2</v>
      </c>
      <c r="DP13" s="12">
        <v>5.8032308890701628E-2</v>
      </c>
      <c r="DQ13" s="12">
        <v>3.3966541666666669E-2</v>
      </c>
      <c r="DR13" s="12">
        <v>1.377120927231194E-2</v>
      </c>
      <c r="DS13" s="12">
        <v>6.8596687500000003E-2</v>
      </c>
      <c r="DT13" s="12">
        <v>5.083135416666669E-2</v>
      </c>
      <c r="DU13" s="12">
        <v>3.3005958333333342E-2</v>
      </c>
      <c r="DV13" s="12">
        <v>-7.9620144024188558E-2</v>
      </c>
      <c r="DW13" s="12">
        <v>-4.2028479166666688E-2</v>
      </c>
      <c r="DX13" s="12">
        <v>6.4523379578496173E-2</v>
      </c>
      <c r="DY13" s="12">
        <v>-3.5386044653833333E-2</v>
      </c>
      <c r="DZ13" s="12">
        <v>1.460881448721826E-2</v>
      </c>
      <c r="EA13" s="12">
        <v>-7.3242869042682138E-2</v>
      </c>
      <c r="EB13" s="12">
        <v>-2.1373218199386389E-2</v>
      </c>
      <c r="EC13" s="12">
        <v>2.198485253152441E-2</v>
      </c>
      <c r="ED13" s="12">
        <v>6.5682093659234955E-2</v>
      </c>
      <c r="EE13" s="12">
        <v>4.1234374999999997E-2</v>
      </c>
      <c r="EF13" s="12">
        <v>-6.6577215363556236E-2</v>
      </c>
    </row>
    <row r="14" spans="1:136">
      <c r="A14" s="2">
        <v>50</v>
      </c>
      <c r="B14" s="2">
        <v>19</v>
      </c>
      <c r="C14" s="12">
        <v>0.1199416315789474</v>
      </c>
      <c r="D14" s="12">
        <v>8.3347311543301383E-2</v>
      </c>
      <c r="E14" s="12">
        <v>9.8768157894736849E-2</v>
      </c>
      <c r="F14" s="12">
        <v>-6.0341904906032563E-2</v>
      </c>
      <c r="G14" s="12">
        <v>-5.3656630442780677E-2</v>
      </c>
      <c r="H14" s="12">
        <v>5.9588947368421033E-2</v>
      </c>
      <c r="I14" s="12">
        <v>-4.3787359823142302E-2</v>
      </c>
      <c r="J14" s="12">
        <v>-0.1050935789473684</v>
      </c>
      <c r="K14" s="12">
        <v>5.0827466260847963E-2</v>
      </c>
      <c r="L14" s="12">
        <v>5.6271084976235522E-2</v>
      </c>
      <c r="M14" s="12">
        <v>-4.9945200667877512E-3</v>
      </c>
      <c r="N14" s="12">
        <v>-5.7369426657022049E-2</v>
      </c>
      <c r="O14" s="12">
        <v>1.4944079385485289E-3</v>
      </c>
      <c r="P14" s="12">
        <v>6.5414209581504002E-3</v>
      </c>
      <c r="Q14" s="12">
        <v>-7.9297657581564457E-2</v>
      </c>
      <c r="R14" s="12">
        <v>-1.776230862917853E-2</v>
      </c>
      <c r="S14" s="12">
        <v>0.1658932271847087</v>
      </c>
      <c r="T14" s="12">
        <v>3.5019554834400057E-2</v>
      </c>
      <c r="U14" s="12">
        <v>3.6578263157894739E-2</v>
      </c>
      <c r="V14" s="12">
        <v>-5.2421300158885083E-2</v>
      </c>
      <c r="W14" s="12">
        <v>7.4008159388253003E-2</v>
      </c>
      <c r="X14" s="12">
        <v>0.1132631083122695</v>
      </c>
      <c r="Y14" s="12">
        <v>-5.5190991412221717E-2</v>
      </c>
      <c r="Z14" s="12">
        <v>-0.1167040316714288</v>
      </c>
      <c r="AA14" s="12">
        <v>3.9450180302082173E-2</v>
      </c>
      <c r="AB14" s="12">
        <v>2.7335978605554132E-2</v>
      </c>
      <c r="AC14" s="12">
        <v>3.086562338789272E-3</v>
      </c>
      <c r="AD14" s="12">
        <v>1.292010661121834E-2</v>
      </c>
      <c r="AE14" s="12">
        <v>4.019052631578951E-3</v>
      </c>
      <c r="AF14" s="12">
        <v>4.0420702542399108E-2</v>
      </c>
      <c r="AG14" s="12">
        <v>2.5329295010953049E-2</v>
      </c>
      <c r="AH14" s="12">
        <v>-8.0952184423801643E-2</v>
      </c>
      <c r="AI14" s="12">
        <v>-3.5462643898611923E-2</v>
      </c>
      <c r="AJ14" s="12">
        <v>-1.505903608315101E-2</v>
      </c>
      <c r="AK14" s="12">
        <v>-7.7475339022454029E-2</v>
      </c>
      <c r="AL14" s="12">
        <v>3.7969189722460717E-2</v>
      </c>
      <c r="AM14" s="12">
        <v>-4.2463855937373812E-2</v>
      </c>
      <c r="AN14" s="12">
        <v>1.9132523225286621E-2</v>
      </c>
      <c r="AO14" s="12">
        <v>6.0905705465409951E-2</v>
      </c>
      <c r="AP14" s="12">
        <v>-7.0551578947368413E-3</v>
      </c>
      <c r="AQ14" s="12">
        <v>8.1264210526315814E-3</v>
      </c>
      <c r="AR14" s="12">
        <v>-7.5826916674388654E-3</v>
      </c>
      <c r="AS14" s="12">
        <v>-9.2569473684210521E-3</v>
      </c>
      <c r="AT14" s="12">
        <v>3.4506579685144471E-2</v>
      </c>
      <c r="AU14" s="12">
        <v>3.999164900330384E-2</v>
      </c>
      <c r="AV14" s="12">
        <v>-1.868288543361717E-2</v>
      </c>
      <c r="AW14" s="12">
        <v>-1.8362931505957501E-2</v>
      </c>
      <c r="AX14" s="12">
        <v>0.13695102829439271</v>
      </c>
      <c r="AY14" s="12">
        <v>1.5068118771761551E-2</v>
      </c>
      <c r="AZ14" s="12">
        <v>-5.3348569172156059E-2</v>
      </c>
      <c r="BA14" s="12">
        <v>1.7621645544243138E-2</v>
      </c>
      <c r="BB14" s="12">
        <v>0.101898</v>
      </c>
      <c r="BC14" s="12">
        <v>-9.8209989552774171E-3</v>
      </c>
      <c r="BD14" s="12">
        <v>1.6418894736842111E-2</v>
      </c>
      <c r="BE14" s="12">
        <v>4.3787062535487017E-2</v>
      </c>
      <c r="BF14" s="12">
        <v>-5.2420526315789459E-3</v>
      </c>
      <c r="BG14" s="12">
        <v>4.1374264073932777E-2</v>
      </c>
      <c r="BH14" s="12">
        <v>5.3427555686006711E-3</v>
      </c>
      <c r="BI14" s="12">
        <v>5.0185212890853773E-2</v>
      </c>
      <c r="BJ14" s="12">
        <v>-2.0017223671233209E-2</v>
      </c>
      <c r="BK14" s="12">
        <v>-5.5937516570728277E-3</v>
      </c>
      <c r="BL14" s="12">
        <v>1.057157894736843E-2</v>
      </c>
      <c r="BM14" s="12">
        <v>-2.137463157894736E-2</v>
      </c>
      <c r="BN14" s="12">
        <v>-2.6087960275579629E-2</v>
      </c>
      <c r="BO14" s="12">
        <v>1.4904105263157909E-2</v>
      </c>
      <c r="BP14" s="12">
        <v>1.5673733492959141E-2</v>
      </c>
      <c r="BQ14" s="12">
        <v>1.584352386995078E-2</v>
      </c>
      <c r="BR14" s="12">
        <v>0.10005242307538641</v>
      </c>
      <c r="BS14" s="12">
        <v>-4.1493955144577897E-2</v>
      </c>
      <c r="BT14" s="12">
        <v>1.528831578947369E-2</v>
      </c>
      <c r="BU14" s="12">
        <v>-0.11116010526315789</v>
      </c>
      <c r="BV14" s="12">
        <v>4.1282210526315803E-2</v>
      </c>
      <c r="BW14" s="12">
        <v>0.1184082105263158</v>
      </c>
      <c r="BX14" s="12">
        <v>1.4335295277300691E-2</v>
      </c>
      <c r="BY14" s="12">
        <v>6.5962933649650326E-3</v>
      </c>
      <c r="BZ14" s="12">
        <v>5.0985789473684179E-2</v>
      </c>
      <c r="CA14" s="12">
        <v>-2.446526611493707E-2</v>
      </c>
      <c r="CB14" s="12">
        <v>-2.2127616542174811E-2</v>
      </c>
      <c r="CC14" s="12">
        <v>0.1205952105263158</v>
      </c>
      <c r="CD14" s="12">
        <v>4.7921368421052629E-2</v>
      </c>
      <c r="CE14" s="12">
        <v>0.1705548421052632</v>
      </c>
      <c r="CF14" s="12">
        <v>-2.031031578947368E-2</v>
      </c>
      <c r="CG14" s="12">
        <v>0.13892689473684211</v>
      </c>
      <c r="CH14" s="12">
        <v>4.0535263157894519E-3</v>
      </c>
      <c r="CI14" s="12">
        <v>-3.828157894736822E-3</v>
      </c>
      <c r="CJ14" s="12">
        <v>2.866785494417454E-2</v>
      </c>
      <c r="CK14" s="12">
        <v>1.40163643906461E-2</v>
      </c>
      <c r="CL14" s="12">
        <v>6.2269954878836478E-2</v>
      </c>
      <c r="CM14" s="12">
        <v>-0.1100678421052631</v>
      </c>
      <c r="CN14" s="12">
        <v>2.3026688670926061E-2</v>
      </c>
      <c r="CO14" s="12">
        <v>-7.8763758718324112E-2</v>
      </c>
      <c r="CP14" s="12">
        <v>9.9809331481752833E-2</v>
      </c>
      <c r="CQ14" s="12">
        <v>5.321162809167454E-2</v>
      </c>
      <c r="CR14" s="12">
        <v>6.2641052631578931E-2</v>
      </c>
      <c r="CS14" s="12">
        <v>-5.9027120263655718E-2</v>
      </c>
      <c r="CT14" s="12">
        <v>-9.6618862820552417E-3</v>
      </c>
      <c r="CU14" s="12">
        <v>4.3917102697214612E-2</v>
      </c>
      <c r="CV14" s="12">
        <v>0.1513968411576333</v>
      </c>
      <c r="CW14" s="12">
        <v>4.476388444326003E-2</v>
      </c>
      <c r="CX14" s="12">
        <v>-3.6299408888239168E-2</v>
      </c>
      <c r="CY14" s="12">
        <v>2.875912029147424E-2</v>
      </c>
      <c r="CZ14" s="12">
        <v>-6.4063563350383365E-2</v>
      </c>
      <c r="DA14" s="12">
        <v>2.4304289170584491E-2</v>
      </c>
      <c r="DB14" s="12">
        <v>9.0239013556801195E-2</v>
      </c>
      <c r="DC14" s="12">
        <v>-4.2998541980200089E-2</v>
      </c>
      <c r="DD14" s="12">
        <v>-7.920535184818453E-2</v>
      </c>
      <c r="DE14" s="12">
        <v>-3.1057578947368419E-2</v>
      </c>
      <c r="DF14" s="12">
        <v>-0.20156447368421049</v>
      </c>
      <c r="DG14" s="12">
        <v>8.7324805758533047E-2</v>
      </c>
      <c r="DH14" s="12">
        <v>-8.4132403676702716E-3</v>
      </c>
      <c r="DI14" s="12">
        <v>-4.0659134635571623E-2</v>
      </c>
      <c r="DJ14" s="12">
        <v>-1.5897789473684209E-2</v>
      </c>
      <c r="DK14" s="12">
        <v>8.1621684210526332E-2</v>
      </c>
      <c r="DL14" s="12">
        <v>9.2726842105263149E-3</v>
      </c>
      <c r="DM14" s="12">
        <v>1.120684210526305E-3</v>
      </c>
      <c r="DN14" s="12">
        <v>-4.4935740608495638E-2</v>
      </c>
      <c r="DO14" s="12">
        <v>-4.1375645162797292E-2</v>
      </c>
      <c r="DP14" s="12">
        <v>6.2914808070300282E-2</v>
      </c>
      <c r="DQ14" s="12">
        <v>5.6019210526315803E-2</v>
      </c>
      <c r="DR14" s="12">
        <v>5.2622519458999567E-2</v>
      </c>
      <c r="DS14" s="12">
        <v>5.6051684210526309E-2</v>
      </c>
      <c r="DT14" s="12">
        <v>0.11767231578947369</v>
      </c>
      <c r="DU14" s="12">
        <v>6.8796263157894735E-2</v>
      </c>
      <c r="DV14" s="12">
        <v>-0.1082623545301073</v>
      </c>
      <c r="DW14" s="12">
        <v>-1.809894736842108E-3</v>
      </c>
      <c r="DX14" s="12">
        <v>0.1019315055524211</v>
      </c>
      <c r="DY14" s="12">
        <v>-3.7997079946848547E-2</v>
      </c>
      <c r="DZ14" s="12">
        <v>2.1881573318462251E-2</v>
      </c>
      <c r="EA14" s="12">
        <v>-7.8105265887936245E-2</v>
      </c>
      <c r="EB14" s="12">
        <v>-3.317733311259085E-2</v>
      </c>
      <c r="EC14" s="12">
        <v>4.3260017529307637E-2</v>
      </c>
      <c r="ED14" s="12">
        <v>0.102629709186187</v>
      </c>
      <c r="EE14" s="12">
        <v>-3.399263157894739E-3</v>
      </c>
      <c r="EF14" s="12">
        <v>-6.9956420498558061E-2</v>
      </c>
    </row>
    <row r="15" spans="1:136">
      <c r="A15" s="2">
        <v>100</v>
      </c>
      <c r="B15" s="2">
        <v>10</v>
      </c>
      <c r="C15" s="12">
        <v>0.22764509999999999</v>
      </c>
      <c r="D15" s="12">
        <v>1.6952864792065741E-2</v>
      </c>
      <c r="E15" s="12">
        <v>6.2044600000000012E-2</v>
      </c>
      <c r="F15" s="12">
        <v>3.4921436556697362E-2</v>
      </c>
      <c r="G15" s="12">
        <v>-3.4403920967036511E-2</v>
      </c>
      <c r="H15" s="12">
        <v>0.1188444</v>
      </c>
      <c r="I15" s="12">
        <v>-5.843144427986554E-2</v>
      </c>
      <c r="J15" s="12">
        <v>-6.4524200000000004E-2</v>
      </c>
      <c r="K15" s="12">
        <v>9.4514797591930877E-2</v>
      </c>
      <c r="L15" s="12">
        <v>8.1171060568646272E-2</v>
      </c>
      <c r="M15" s="12">
        <v>-2.5497709479487259E-2</v>
      </c>
      <c r="N15" s="12">
        <v>-0.10979619442513371</v>
      </c>
      <c r="O15" s="12">
        <v>-1.227079575915271E-2</v>
      </c>
      <c r="P15" s="12">
        <v>2.1896569845224052E-2</v>
      </c>
      <c r="Q15" s="12">
        <v>-4.5898731445931602E-2</v>
      </c>
      <c r="R15" s="12">
        <v>-0.12669105870981379</v>
      </c>
      <c r="S15" s="12">
        <v>0.27000789508215378</v>
      </c>
      <c r="T15" s="12">
        <v>4.589107711718423E-2</v>
      </c>
      <c r="U15" s="12">
        <v>4.6788700000000003E-2</v>
      </c>
      <c r="V15" s="12">
        <v>-0.1101270063308359</v>
      </c>
      <c r="W15" s="12">
        <v>0.1025435939827431</v>
      </c>
      <c r="X15" s="12">
        <v>0.1268433314636731</v>
      </c>
      <c r="Y15" s="12">
        <v>-5.202879805714216E-2</v>
      </c>
      <c r="Z15" s="12">
        <v>-6.2704119328443941E-2</v>
      </c>
      <c r="AA15" s="12">
        <v>5.4081147028033669E-2</v>
      </c>
      <c r="AB15" s="12">
        <v>2.2166400740933071E-2</v>
      </c>
      <c r="AC15" s="12">
        <v>-4.3176688480551298E-3</v>
      </c>
      <c r="AD15" s="12">
        <v>-1.8936283030818419E-2</v>
      </c>
      <c r="AE15" s="12">
        <v>-4.728559999999999E-2</v>
      </c>
      <c r="AF15" s="12">
        <v>6.5819612497039853E-2</v>
      </c>
      <c r="AG15" s="12">
        <v>4.4324544215075819E-2</v>
      </c>
      <c r="AH15" s="12">
        <v>-0.13296736500972281</v>
      </c>
      <c r="AI15" s="12">
        <v>-2.4849257132530979E-2</v>
      </c>
      <c r="AJ15" s="12">
        <v>-9.4648599674757375E-3</v>
      </c>
      <c r="AK15" s="12">
        <v>-6.9361451191916404E-2</v>
      </c>
      <c r="AL15" s="12">
        <v>4.4431662495814539E-2</v>
      </c>
      <c r="AM15" s="12">
        <v>-6.863120708961859E-2</v>
      </c>
      <c r="AN15" s="12">
        <v>3.5500460265201823E-2</v>
      </c>
      <c r="AO15" s="12">
        <v>6.3369812463467096E-2</v>
      </c>
      <c r="AP15" s="12">
        <v>-1.25822E-2</v>
      </c>
      <c r="AQ15" s="12">
        <v>1.9747299999999999E-2</v>
      </c>
      <c r="AR15" s="12">
        <v>-1.773382575923934E-2</v>
      </c>
      <c r="AS15" s="12">
        <v>2.2430800000000001E-2</v>
      </c>
      <c r="AT15" s="12">
        <v>6.5254990652428568E-2</v>
      </c>
      <c r="AU15" s="12">
        <v>3.9943261089466317E-2</v>
      </c>
      <c r="AV15" s="12">
        <v>-4.7226818327438858E-2</v>
      </c>
      <c r="AW15" s="12">
        <v>1.5659939254580951E-2</v>
      </c>
      <c r="AX15" s="12">
        <v>0.12523397717473519</v>
      </c>
      <c r="AY15" s="12">
        <v>2.8017064110032911E-2</v>
      </c>
      <c r="AZ15" s="12">
        <v>-9.1323280068503487E-2</v>
      </c>
      <c r="BA15" s="12">
        <v>1.061351480765297E-2</v>
      </c>
      <c r="BB15" s="12">
        <v>0.1087885</v>
      </c>
      <c r="BC15" s="12">
        <v>6.2155143667830287E-2</v>
      </c>
      <c r="BD15" s="12">
        <v>7.3647000000000018E-3</v>
      </c>
      <c r="BE15" s="12">
        <v>4.8442721017663122E-2</v>
      </c>
      <c r="BF15" s="12">
        <v>-5.697760000000001E-2</v>
      </c>
      <c r="BG15" s="12">
        <v>2.489538734565238E-3</v>
      </c>
      <c r="BH15" s="12">
        <v>3.4441845481689458E-2</v>
      </c>
      <c r="BI15" s="12">
        <v>6.8586659114969639E-2</v>
      </c>
      <c r="BJ15" s="12">
        <v>-1.1265027087445249E-2</v>
      </c>
      <c r="BK15" s="12">
        <v>8.2375226780603827E-4</v>
      </c>
      <c r="BL15" s="12">
        <v>7.7699999999993052E-5</v>
      </c>
      <c r="BM15" s="12">
        <v>-6.25975E-2</v>
      </c>
      <c r="BN15" s="12">
        <v>-6.3720727411011702E-2</v>
      </c>
      <c r="BO15" s="12">
        <v>1.6590400000000009E-2</v>
      </c>
      <c r="BP15" s="12">
        <v>1.4184220707804779E-2</v>
      </c>
      <c r="BQ15" s="12">
        <v>1.280293129032776E-2</v>
      </c>
      <c r="BR15" s="12">
        <v>0.1237621364364551</v>
      </c>
      <c r="BS15" s="12">
        <v>-1.682377745028631E-2</v>
      </c>
      <c r="BT15" s="12">
        <v>-3.6632600000000008E-2</v>
      </c>
      <c r="BU15" s="12">
        <v>-8.5546499999999998E-2</v>
      </c>
      <c r="BV15" s="12">
        <v>8.6180100000000009E-2</v>
      </c>
      <c r="BW15" s="12">
        <v>0.20414550000000001</v>
      </c>
      <c r="BX15" s="12">
        <v>5.385156894446378E-2</v>
      </c>
      <c r="BY15" s="12">
        <v>6.1694091479059833E-2</v>
      </c>
      <c r="BZ15" s="12">
        <v>6.7360199999999995E-2</v>
      </c>
      <c r="CA15" s="12">
        <v>-1.859202079644226E-2</v>
      </c>
      <c r="CB15" s="12">
        <v>-1.5056894011824499E-2</v>
      </c>
      <c r="CC15" s="12">
        <v>0.17364959999999999</v>
      </c>
      <c r="CD15" s="12">
        <v>8.9093600000000009E-2</v>
      </c>
      <c r="CE15" s="12">
        <v>7.3367399999999999E-2</v>
      </c>
      <c r="CF15" s="12">
        <v>-3.626399999999988E-3</v>
      </c>
      <c r="CG15" s="12">
        <v>0.22573170000000009</v>
      </c>
      <c r="CH15" s="12">
        <v>-3.9979499999999987E-2</v>
      </c>
      <c r="CI15" s="12">
        <v>-6.9334999999999994E-2</v>
      </c>
      <c r="CJ15" s="12">
        <v>8.7044356072718085E-2</v>
      </c>
      <c r="CK15" s="12">
        <v>5.667264577209942E-2</v>
      </c>
      <c r="CL15" s="12">
        <v>3.1421974993248308E-2</v>
      </c>
      <c r="CM15" s="12">
        <v>-0.1081179</v>
      </c>
      <c r="CN15" s="12">
        <v>4.2634115799160301E-2</v>
      </c>
      <c r="CO15" s="12">
        <v>-0.1069792441995681</v>
      </c>
      <c r="CP15" s="12">
        <v>0.12753583543294969</v>
      </c>
      <c r="CQ15" s="12">
        <v>3.7378010765128991E-2</v>
      </c>
      <c r="CR15" s="12">
        <v>2.43745E-2</v>
      </c>
      <c r="CS15" s="12">
        <v>-6.0185172463594637E-2</v>
      </c>
      <c r="CT15" s="12">
        <v>4.9416703656119249E-3</v>
      </c>
      <c r="CU15" s="12">
        <v>6.3178659914772728E-2</v>
      </c>
      <c r="CV15" s="12">
        <v>0.18261154771691629</v>
      </c>
      <c r="CW15" s="12">
        <v>2.6072090903126711E-2</v>
      </c>
      <c r="CX15" s="12">
        <v>-2.4039607053330959E-2</v>
      </c>
      <c r="CY15" s="12">
        <v>4.2470673077762339E-2</v>
      </c>
      <c r="CZ15" s="12">
        <v>-7.9886947944342257E-2</v>
      </c>
      <c r="DA15" s="12">
        <v>2.6375835441876511E-2</v>
      </c>
      <c r="DB15" s="12">
        <v>0.20966340207921569</v>
      </c>
      <c r="DC15" s="12">
        <v>-6.7692431945125919E-2</v>
      </c>
      <c r="DD15" s="12">
        <v>-1.450672613144627E-2</v>
      </c>
      <c r="DE15" s="12">
        <v>-6.5607900000000011E-2</v>
      </c>
      <c r="DF15" s="12">
        <v>-0.30272159999999998</v>
      </c>
      <c r="DG15" s="12">
        <v>0.11309156284035971</v>
      </c>
      <c r="DH15" s="12">
        <v>9.3841476708658028E-4</v>
      </c>
      <c r="DI15" s="12">
        <v>-5.4108318657130297E-2</v>
      </c>
      <c r="DJ15" s="12">
        <v>-4.7566499999999998E-2</v>
      </c>
      <c r="DK15" s="12">
        <v>0.100329</v>
      </c>
      <c r="DL15" s="12">
        <v>-7.7391999999999999E-3</v>
      </c>
      <c r="DM15" s="12">
        <v>-1.773500000000004E-3</v>
      </c>
      <c r="DN15" s="12">
        <v>-8.1730712251129128E-2</v>
      </c>
      <c r="DO15" s="12">
        <v>-4.6296727233800808E-2</v>
      </c>
      <c r="DP15" s="12">
        <v>0.1343049473653663</v>
      </c>
      <c r="DQ15" s="12">
        <v>7.2937799999999997E-2</v>
      </c>
      <c r="DR15" s="12">
        <v>7.0010566617938433E-2</v>
      </c>
      <c r="DS15" s="12">
        <v>3.7529899999999991E-2</v>
      </c>
      <c r="DT15" s="12">
        <v>3.4296700000000013E-2</v>
      </c>
      <c r="DU15" s="12">
        <v>0.1171285</v>
      </c>
      <c r="DV15" s="12">
        <v>-0.13976835694087139</v>
      </c>
      <c r="DW15" s="12">
        <v>6.08268E-2</v>
      </c>
      <c r="DX15" s="12">
        <v>0.1186162506499864</v>
      </c>
      <c r="DY15" s="12">
        <v>-0.10653916660100959</v>
      </c>
      <c r="DZ15" s="12">
        <v>1.8920244069384411E-2</v>
      </c>
      <c r="EA15" s="12">
        <v>-2.7338726209839619E-2</v>
      </c>
      <c r="EB15" s="12">
        <v>-4.8518573131244913E-2</v>
      </c>
      <c r="EC15" s="12">
        <v>7.6157076796619858E-2</v>
      </c>
      <c r="ED15" s="12">
        <v>0.1133570559353114</v>
      </c>
      <c r="EE15" s="12">
        <v>3.1901999999999998E-3</v>
      </c>
      <c r="EF15" s="12">
        <v>-6.5700991138842244E-2</v>
      </c>
    </row>
    <row r="16" spans="1:136">
      <c r="A16" s="2">
        <v>107</v>
      </c>
      <c r="B16" s="2">
        <v>9</v>
      </c>
      <c r="C16" s="12">
        <v>0.20787511111111109</v>
      </c>
      <c r="D16" s="12">
        <v>-7.202486673170555E-4</v>
      </c>
      <c r="E16" s="12">
        <v>6.5004888888888904E-2</v>
      </c>
      <c r="F16" s="12">
        <v>7.871547190433098E-2</v>
      </c>
      <c r="G16" s="12">
        <v>-8.1465506589492725E-3</v>
      </c>
      <c r="H16" s="12">
        <v>7.2848777777777762E-2</v>
      </c>
      <c r="I16" s="12">
        <v>-5.7530618665621432E-2</v>
      </c>
      <c r="J16" s="12">
        <v>-6.8693444444444446E-2</v>
      </c>
      <c r="K16" s="12">
        <v>8.642089158239058E-2</v>
      </c>
      <c r="L16" s="12">
        <v>8.5161604114211434E-2</v>
      </c>
      <c r="M16" s="12">
        <v>-4.0334454725240582E-2</v>
      </c>
      <c r="N16" s="12">
        <v>-0.1202424982791967</v>
      </c>
      <c r="O16" s="12">
        <v>-2.8587076878979191E-2</v>
      </c>
      <c r="P16" s="12">
        <v>8.1881795143319731E-3</v>
      </c>
      <c r="Q16" s="12">
        <v>-8.1478643305993262E-2</v>
      </c>
      <c r="R16" s="12">
        <v>-0.1031096938877092</v>
      </c>
      <c r="S16" s="12">
        <v>0.28706302039879478</v>
      </c>
      <c r="T16" s="12">
        <v>3.8406673293611998E-2</v>
      </c>
      <c r="U16" s="12">
        <v>4.8649666666666667E-2</v>
      </c>
      <c r="V16" s="12">
        <v>-7.5571486108906974E-2</v>
      </c>
      <c r="W16" s="12">
        <v>0.10166567604781181</v>
      </c>
      <c r="X16" s="12">
        <v>0.12440978370848681</v>
      </c>
      <c r="Y16" s="12">
        <v>-5.0278834461062571E-2</v>
      </c>
      <c r="Z16" s="12">
        <v>-4.3010058183760941E-2</v>
      </c>
      <c r="AA16" s="12">
        <v>4.3487635835992113E-2</v>
      </c>
      <c r="AB16" s="12">
        <v>3.2295414434067762E-2</v>
      </c>
      <c r="AC16" s="12">
        <v>1.27654480354167E-2</v>
      </c>
      <c r="AD16" s="12">
        <v>-1.122025849076259E-3</v>
      </c>
      <c r="AE16" s="12">
        <v>-5.153399999999999E-2</v>
      </c>
      <c r="AF16" s="12">
        <v>6.3685842581589158E-2</v>
      </c>
      <c r="AG16" s="12">
        <v>4.3776159735772403E-2</v>
      </c>
      <c r="AH16" s="12">
        <v>-0.1484016251671525</v>
      </c>
      <c r="AI16" s="12">
        <v>-3.3383255671647301E-2</v>
      </c>
      <c r="AJ16" s="12">
        <v>7.0259660718760518E-3</v>
      </c>
      <c r="AK16" s="12">
        <v>-3.7433452981487869E-2</v>
      </c>
      <c r="AL16" s="12">
        <v>4.8688933104523248E-2</v>
      </c>
      <c r="AM16" s="12">
        <v>-5.2145732480091148E-2</v>
      </c>
      <c r="AN16" s="12">
        <v>2.2032517942514079E-2</v>
      </c>
      <c r="AO16" s="12">
        <v>6.1424671825912318E-2</v>
      </c>
      <c r="AP16" s="12">
        <v>-5.2404444444444451E-3</v>
      </c>
      <c r="AQ16" s="12">
        <v>2.403255555555555E-2</v>
      </c>
      <c r="AR16" s="12">
        <v>-3.4371979060270931E-2</v>
      </c>
      <c r="AS16" s="12">
        <v>2.8078666666666661E-2</v>
      </c>
      <c r="AT16" s="12">
        <v>4.954715531837002E-2</v>
      </c>
      <c r="AU16" s="12">
        <v>4.1826838254895117E-2</v>
      </c>
      <c r="AV16" s="12">
        <v>-9.0725067800187069E-3</v>
      </c>
      <c r="AW16" s="12">
        <v>3.9252930074650652E-2</v>
      </c>
      <c r="AX16" s="12">
        <v>0.10082977324397289</v>
      </c>
      <c r="AY16" s="12">
        <v>3.3812589844345937E-2</v>
      </c>
      <c r="AZ16" s="12">
        <v>-0.1049096351787122</v>
      </c>
      <c r="BA16" s="12">
        <v>1.4923105057586089E-2</v>
      </c>
      <c r="BB16" s="12">
        <v>0.13247400000000001</v>
      </c>
      <c r="BC16" s="12">
        <v>6.712146610769186E-2</v>
      </c>
      <c r="BD16" s="12">
        <v>6.2841111111111118E-3</v>
      </c>
      <c r="BE16" s="12">
        <v>5.1410994394474947E-2</v>
      </c>
      <c r="BF16" s="12">
        <v>-5.4584333333333353E-2</v>
      </c>
      <c r="BG16" s="12">
        <v>1.347328204795663E-2</v>
      </c>
      <c r="BH16" s="12">
        <v>-1.377561448396186E-2</v>
      </c>
      <c r="BI16" s="12">
        <v>4.1443807763261883E-2</v>
      </c>
      <c r="BJ16" s="12">
        <v>-2.0503816283207601E-2</v>
      </c>
      <c r="BK16" s="12">
        <v>2.9719902951970238E-3</v>
      </c>
      <c r="BL16" s="12">
        <v>-8.4145555555555571E-3</v>
      </c>
      <c r="BM16" s="12">
        <v>-6.9804888888888875E-2</v>
      </c>
      <c r="BN16" s="12">
        <v>-6.1304749909884763E-2</v>
      </c>
      <c r="BO16" s="12">
        <v>1.5961333333333331E-2</v>
      </c>
      <c r="BP16" s="12">
        <v>2.0843183547580579E-2</v>
      </c>
      <c r="BQ16" s="12">
        <v>1.6478016254928601E-2</v>
      </c>
      <c r="BR16" s="12">
        <v>0.13058296822502161</v>
      </c>
      <c r="BS16" s="12">
        <v>-1.319157314746418E-2</v>
      </c>
      <c r="BT16" s="12">
        <v>-3.8065333333333347E-2</v>
      </c>
      <c r="BU16" s="12">
        <v>-0.1015372222222222</v>
      </c>
      <c r="BV16" s="12">
        <v>9.4510444444444452E-2</v>
      </c>
      <c r="BW16" s="12">
        <v>0.22394500000000001</v>
      </c>
      <c r="BX16" s="12">
        <v>6.6559519118082902E-2</v>
      </c>
      <c r="BY16" s="12">
        <v>5.0563732847242943E-2</v>
      </c>
      <c r="BZ16" s="12">
        <v>9.2629555555555548E-2</v>
      </c>
      <c r="CA16" s="12">
        <v>-2.971438975556321E-2</v>
      </c>
      <c r="CB16" s="12">
        <v>1.4280449892172949E-3</v>
      </c>
      <c r="CC16" s="12">
        <v>4.4386333333333347E-2</v>
      </c>
      <c r="CD16" s="12">
        <v>8.7750000000000009E-2</v>
      </c>
      <c r="CE16" s="12">
        <v>9.3613777777777768E-2</v>
      </c>
      <c r="CF16" s="12">
        <v>-1.469599999999999E-2</v>
      </c>
      <c r="CG16" s="12">
        <v>0.14619666666666681</v>
      </c>
      <c r="CH16" s="12">
        <v>-1.852144444444442E-2</v>
      </c>
      <c r="CI16" s="12">
        <v>-5.834333333333333E-2</v>
      </c>
      <c r="CJ16" s="12">
        <v>4.5523550787666608E-2</v>
      </c>
      <c r="CK16" s="12">
        <v>7.6472983717690388E-2</v>
      </c>
      <c r="CL16" s="12">
        <v>1.5878682334709331E-2</v>
      </c>
      <c r="CM16" s="12">
        <v>-0.1130543333333333</v>
      </c>
      <c r="CN16" s="12">
        <v>3.3057515140949983E-2</v>
      </c>
      <c r="CO16" s="12">
        <v>-0.13464020879390531</v>
      </c>
      <c r="CP16" s="12">
        <v>0.13663168948209131</v>
      </c>
      <c r="CQ16" s="12">
        <v>4.1435605659410409E-2</v>
      </c>
      <c r="CR16" s="12">
        <v>2.522944444444444E-2</v>
      </c>
      <c r="CS16" s="12">
        <v>-6.6559159874073834E-2</v>
      </c>
      <c r="CT16" s="12">
        <v>2.5557377960834651E-2</v>
      </c>
      <c r="CU16" s="12">
        <v>6.343465435897469E-2</v>
      </c>
      <c r="CV16" s="12">
        <v>0.17225152263848631</v>
      </c>
      <c r="CW16" s="12">
        <v>4.7341659174279828E-2</v>
      </c>
      <c r="CX16" s="12">
        <v>-1.224028475424996E-2</v>
      </c>
      <c r="CY16" s="12">
        <v>4.9117049116625407E-2</v>
      </c>
      <c r="CZ16" s="12">
        <v>-0.1026332591781325</v>
      </c>
      <c r="DA16" s="12">
        <v>2.9804793967235531E-2</v>
      </c>
      <c r="DB16" s="12">
        <v>0.23166534590164389</v>
      </c>
      <c r="DC16" s="12">
        <v>-8.3264051622984642E-2</v>
      </c>
      <c r="DD16" s="12">
        <v>-3.1743710487280023E-2</v>
      </c>
      <c r="DE16" s="12">
        <v>-5.6325333333333331E-2</v>
      </c>
      <c r="DF16" s="12">
        <v>-0.32558088888888892</v>
      </c>
      <c r="DG16" s="12">
        <v>0.12637191985047269</v>
      </c>
      <c r="DH16" s="12">
        <v>-3.9788319645553197E-3</v>
      </c>
      <c r="DI16" s="12">
        <v>-4.5399497901261208E-2</v>
      </c>
      <c r="DJ16" s="12">
        <v>-5.1753111111111111E-2</v>
      </c>
      <c r="DK16" s="12">
        <v>9.6254333333333331E-2</v>
      </c>
      <c r="DL16" s="12">
        <v>-1.3668888888888899E-3</v>
      </c>
      <c r="DM16" s="12">
        <v>-3.8135333333333327E-2</v>
      </c>
      <c r="DN16" s="12">
        <v>-0.1158867317449916</v>
      </c>
      <c r="DO16" s="12">
        <v>-5.3221907556143692E-2</v>
      </c>
      <c r="DP16" s="12">
        <v>0.16033399447581251</v>
      </c>
      <c r="DQ16" s="12">
        <v>6.7559999999999995E-2</v>
      </c>
      <c r="DR16" s="12">
        <v>5.5191251649515209E-2</v>
      </c>
      <c r="DS16" s="12">
        <v>2.143988888888888E-2</v>
      </c>
      <c r="DT16" s="12">
        <v>3.2059333333333329E-2</v>
      </c>
      <c r="DU16" s="12">
        <v>0.12277299999999999</v>
      </c>
      <c r="DV16" s="12">
        <v>-0.13695373201779351</v>
      </c>
      <c r="DW16" s="12">
        <v>7.1303111111111109E-2</v>
      </c>
      <c r="DX16" s="12">
        <v>0.1252847063239774</v>
      </c>
      <c r="DY16" s="12">
        <v>-0.11635433491034319</v>
      </c>
      <c r="DZ16" s="12">
        <v>3.1277079824676451E-2</v>
      </c>
      <c r="EA16" s="12">
        <v>-4.6661371555726909E-2</v>
      </c>
      <c r="EB16" s="12">
        <v>-7.8610638743133537E-2</v>
      </c>
      <c r="EC16" s="12">
        <v>6.8501480567839029E-2</v>
      </c>
      <c r="ED16" s="12">
        <v>0.1154167474989211</v>
      </c>
      <c r="EE16" s="12">
        <v>4.3961111111111119E-3</v>
      </c>
      <c r="EF16" s="12">
        <v>-4.2474401493907223E-2</v>
      </c>
    </row>
    <row r="17" spans="1:136">
      <c r="A17" s="2">
        <v>120</v>
      </c>
      <c r="B17" s="2">
        <v>8</v>
      </c>
      <c r="C17" s="12">
        <v>0.20609237499999999</v>
      </c>
      <c r="D17" s="12">
        <v>-1.7334374733087798E-2</v>
      </c>
      <c r="E17" s="12">
        <v>7.958800000000002E-2</v>
      </c>
      <c r="F17" s="12">
        <v>8.0752164152319103E-2</v>
      </c>
      <c r="G17" s="12">
        <v>-0.10538707466373071</v>
      </c>
      <c r="H17" s="12">
        <v>0.10499475</v>
      </c>
      <c r="I17" s="12">
        <v>-0.1137250278021875</v>
      </c>
      <c r="J17" s="12">
        <v>-0.11529837499999999</v>
      </c>
      <c r="K17" s="12">
        <v>0.1015600797223099</v>
      </c>
      <c r="L17" s="12">
        <v>4.2234791145342128E-2</v>
      </c>
      <c r="M17" s="12">
        <v>-6.4932034983486181E-2</v>
      </c>
      <c r="N17" s="12">
        <v>-0.1092778268298058</v>
      </c>
      <c r="O17" s="12">
        <v>-1.1306676064132231E-2</v>
      </c>
      <c r="P17" s="12">
        <v>1.338294674336832E-2</v>
      </c>
      <c r="Q17" s="12">
        <v>-0.10026682830356801</v>
      </c>
      <c r="R17" s="12">
        <v>-0.13642644520024619</v>
      </c>
      <c r="S17" s="12">
        <v>0.31065343265529821</v>
      </c>
      <c r="T17" s="12">
        <v>2.3342585510940761E-2</v>
      </c>
      <c r="U17" s="12">
        <v>5.2288375000000012E-2</v>
      </c>
      <c r="V17" s="12">
        <v>-9.7259655852603044E-2</v>
      </c>
      <c r="W17" s="12">
        <v>0.1196039840123075</v>
      </c>
      <c r="X17" s="12">
        <v>0.1168461979408036</v>
      </c>
      <c r="Y17" s="12">
        <v>-7.3623131490407626E-2</v>
      </c>
      <c r="Z17" s="12">
        <v>-4.832567357165625E-2</v>
      </c>
      <c r="AA17" s="12">
        <v>3.5209789582199093E-2</v>
      </c>
      <c r="AB17" s="12">
        <v>4.4538303269439639E-2</v>
      </c>
      <c r="AC17" s="12">
        <v>2.008625473802152E-2</v>
      </c>
      <c r="AD17" s="12">
        <v>-2.1912844173640599E-2</v>
      </c>
      <c r="AE17" s="12">
        <v>-5.9443249999999989E-2</v>
      </c>
      <c r="AF17" s="12">
        <v>6.1429310121940139E-2</v>
      </c>
      <c r="AG17" s="12">
        <v>6.2640141571138702E-2</v>
      </c>
      <c r="AH17" s="12">
        <v>-0.14702488925580459</v>
      </c>
      <c r="AI17" s="12">
        <v>-5.7037975655486538E-2</v>
      </c>
      <c r="AJ17" s="12">
        <v>4.2602630518956887E-2</v>
      </c>
      <c r="AK17" s="12">
        <v>-2.937588960957525E-2</v>
      </c>
      <c r="AL17" s="12">
        <v>5.0724405748556509E-2</v>
      </c>
      <c r="AM17" s="12">
        <v>-9.3351710026530269E-2</v>
      </c>
      <c r="AN17" s="12">
        <v>-6.4561353732883603E-3</v>
      </c>
      <c r="AO17" s="12">
        <v>1.2632334595724191E-2</v>
      </c>
      <c r="AP17" s="12">
        <v>-3.7592499999999991E-3</v>
      </c>
      <c r="AQ17" s="12">
        <v>9.2303749999999955E-3</v>
      </c>
      <c r="AR17" s="12">
        <v>-4.5802625557302828E-2</v>
      </c>
      <c r="AS17" s="12">
        <v>2.951599999999999E-2</v>
      </c>
      <c r="AT17" s="12">
        <v>5.2267806449722218E-2</v>
      </c>
      <c r="AU17" s="12">
        <v>5.4555507286687788E-2</v>
      </c>
      <c r="AV17" s="12">
        <v>-2.120590278226837E-2</v>
      </c>
      <c r="AW17" s="12">
        <v>8.4218880418367916E-3</v>
      </c>
      <c r="AX17" s="12">
        <v>9.6240558508798979E-2</v>
      </c>
      <c r="AY17" s="12">
        <v>2.742369669060089E-2</v>
      </c>
      <c r="AZ17" s="12">
        <v>-0.1251576022601911</v>
      </c>
      <c r="BA17" s="12">
        <v>9.8251791071129642E-3</v>
      </c>
      <c r="BB17" s="12">
        <v>0.15327075000000001</v>
      </c>
      <c r="BC17" s="12">
        <v>8.386319517781364E-2</v>
      </c>
      <c r="BD17" s="12">
        <v>1.9414125000000001E-2</v>
      </c>
      <c r="BE17" s="12">
        <v>7.7350242238060404E-2</v>
      </c>
      <c r="BF17" s="12">
        <v>-7.7417000000000014E-2</v>
      </c>
      <c r="BG17" s="12">
        <v>-3.5394236088037288E-2</v>
      </c>
      <c r="BH17" s="12">
        <v>1.351946085175304E-2</v>
      </c>
      <c r="BI17" s="12">
        <v>8.7111945439947241E-2</v>
      </c>
      <c r="BJ17" s="12">
        <v>-9.8580642732364818E-3</v>
      </c>
      <c r="BK17" s="12">
        <v>-1.3822952070105509E-2</v>
      </c>
      <c r="BL17" s="12">
        <v>7.5732500000000114E-3</v>
      </c>
      <c r="BM17" s="12">
        <v>-7.7966750000000001E-2</v>
      </c>
      <c r="BN17" s="12">
        <v>-5.3470180947152127E-2</v>
      </c>
      <c r="BO17" s="12">
        <v>3.1351499999999997E-2</v>
      </c>
      <c r="BP17" s="12">
        <v>3.5995979654480911E-2</v>
      </c>
      <c r="BQ17" s="12">
        <v>1.1376510446451601E-2</v>
      </c>
      <c r="BR17" s="12">
        <v>0.1150223530257518</v>
      </c>
      <c r="BS17" s="12">
        <v>-4.1034691106065987E-3</v>
      </c>
      <c r="BT17" s="12">
        <v>-3.3647249999999997E-2</v>
      </c>
      <c r="BU17" s="12">
        <v>-0.104524375</v>
      </c>
      <c r="BV17" s="12">
        <v>0.106643875</v>
      </c>
      <c r="BW17" s="12">
        <v>0.22723437499999999</v>
      </c>
      <c r="BX17" s="12">
        <v>8.2640989537648424E-2</v>
      </c>
      <c r="BY17" s="12">
        <v>8.4245467628694337E-2</v>
      </c>
      <c r="BZ17" s="12">
        <v>0.10695200000000001</v>
      </c>
      <c r="CA17" s="12">
        <v>-2.7934832358489561E-2</v>
      </c>
      <c r="CB17" s="12">
        <v>1.047770749199251E-2</v>
      </c>
      <c r="CC17" s="12">
        <v>4.1758499999999997E-2</v>
      </c>
      <c r="CD17" s="12">
        <v>6.4104625000000012E-2</v>
      </c>
      <c r="CE17" s="12">
        <v>9.5707624999999991E-2</v>
      </c>
      <c r="CF17" s="12">
        <v>-9.5123749999999979E-2</v>
      </c>
      <c r="CG17" s="12">
        <v>0.17703537500000011</v>
      </c>
      <c r="CH17" s="12">
        <v>-2.2754625000000001E-2</v>
      </c>
      <c r="CI17" s="12">
        <v>-8.2451250000000004E-2</v>
      </c>
      <c r="CJ17" s="12">
        <v>5.0742321484442049E-2</v>
      </c>
      <c r="CK17" s="12">
        <v>9.1738572657912937E-2</v>
      </c>
      <c r="CL17" s="12">
        <v>-9.426344769031314E-3</v>
      </c>
      <c r="CM17" s="12">
        <v>-9.5492624999999998E-2</v>
      </c>
      <c r="CN17" s="12">
        <v>2.6718061150986971E-2</v>
      </c>
      <c r="CO17" s="12">
        <v>-0.13741287532952509</v>
      </c>
      <c r="CP17" s="12">
        <v>0.1481592691973436</v>
      </c>
      <c r="CQ17" s="12">
        <v>4.1087933183403327E-2</v>
      </c>
      <c r="CR17" s="12">
        <v>2.3006874999999989E-2</v>
      </c>
      <c r="CS17" s="12">
        <v>-9.6841631299569769E-2</v>
      </c>
      <c r="CT17" s="12">
        <v>1.7339280405090751E-2</v>
      </c>
      <c r="CU17" s="12">
        <v>7.440830758325391E-2</v>
      </c>
      <c r="CV17" s="12">
        <v>0.15147138486135439</v>
      </c>
      <c r="CW17" s="12">
        <v>6.3393218804487977E-2</v>
      </c>
      <c r="CX17" s="12">
        <v>-1.0772394523947831E-2</v>
      </c>
      <c r="CY17" s="12">
        <v>4.9383298716090041E-2</v>
      </c>
      <c r="CZ17" s="12">
        <v>-0.1242488378476205</v>
      </c>
      <c r="DA17" s="12">
        <v>4.3895859145134192E-2</v>
      </c>
      <c r="DB17" s="12">
        <v>0.22431697129508249</v>
      </c>
      <c r="DC17" s="12">
        <v>-9.8849392549809512E-2</v>
      </c>
      <c r="DD17" s="12">
        <v>-2.9155420882880739E-2</v>
      </c>
      <c r="DE17" s="12">
        <v>-5.1665374999999999E-2</v>
      </c>
      <c r="DF17" s="12">
        <v>-0.35222737500000001</v>
      </c>
      <c r="DG17" s="12">
        <v>0.12321246613063939</v>
      </c>
      <c r="DH17" s="12">
        <v>-1.2653894662512769E-2</v>
      </c>
      <c r="DI17" s="12">
        <v>-3.5044536065945063E-2</v>
      </c>
      <c r="DJ17" s="12">
        <v>-5.7146374999999999E-2</v>
      </c>
      <c r="DK17" s="12">
        <v>0.10277987500000001</v>
      </c>
      <c r="DL17" s="12">
        <v>5.7897499999999998E-3</v>
      </c>
      <c r="DM17" s="12">
        <v>-4.2563499999999997E-2</v>
      </c>
      <c r="DN17" s="12">
        <v>-0.1064799626072864</v>
      </c>
      <c r="DO17" s="12">
        <v>-5.3451370339903423E-2</v>
      </c>
      <c r="DP17" s="12">
        <v>0.14203415825063481</v>
      </c>
      <c r="DQ17" s="12">
        <v>6.5243999999999996E-2</v>
      </c>
      <c r="DR17" s="12">
        <v>5.5884814876328279E-2</v>
      </c>
      <c r="DS17" s="12">
        <v>3.7353625000000001E-2</v>
      </c>
      <c r="DT17" s="12">
        <v>1.6743000000000001E-2</v>
      </c>
      <c r="DU17" s="12">
        <v>0.129494</v>
      </c>
      <c r="DV17" s="12">
        <v>-0.11776539811095429</v>
      </c>
      <c r="DW17" s="12">
        <v>7.6599750000000008E-2</v>
      </c>
      <c r="DX17" s="12">
        <v>0.12953898259647401</v>
      </c>
      <c r="DY17" s="12">
        <v>-0.11213845480607409</v>
      </c>
      <c r="DZ17" s="12">
        <v>3.1828172599786188E-2</v>
      </c>
      <c r="EA17" s="12">
        <v>-1.181792386571255E-2</v>
      </c>
      <c r="EB17" s="12">
        <v>-8.7100349194739302E-2</v>
      </c>
      <c r="EC17" s="12">
        <v>0.1215120172680231</v>
      </c>
      <c r="ED17" s="12">
        <v>0.12832444392891271</v>
      </c>
      <c r="EE17" s="12">
        <v>-1.9437499999999921E-4</v>
      </c>
      <c r="EF17" s="12">
        <v>-4.7709767009851849E-2</v>
      </c>
    </row>
    <row r="18" spans="1:136">
      <c r="A18" s="2">
        <v>137</v>
      </c>
      <c r="B18" s="2">
        <v>7</v>
      </c>
      <c r="C18" s="12">
        <v>0.1897511428571429</v>
      </c>
      <c r="D18" s="12">
        <v>-8.1874670813927297E-3</v>
      </c>
      <c r="E18" s="12">
        <v>5.3437857142857162E-2</v>
      </c>
      <c r="F18" s="12">
        <v>0.11938296010218979</v>
      </c>
      <c r="G18" s="12">
        <v>-0.10831637328507999</v>
      </c>
      <c r="H18" s="12">
        <v>0.12853999999999999</v>
      </c>
      <c r="I18" s="12">
        <v>-0.13550018022324109</v>
      </c>
      <c r="J18" s="12">
        <v>-0.12516085714285721</v>
      </c>
      <c r="K18" s="12">
        <v>0.13564788877763229</v>
      </c>
      <c r="L18" s="12">
        <v>5.0758207106719029E-2</v>
      </c>
      <c r="M18" s="12">
        <v>-7.970257711397645E-2</v>
      </c>
      <c r="N18" s="12">
        <v>-0.14120748849629611</v>
      </c>
      <c r="O18" s="12">
        <v>3.1737941097498189E-2</v>
      </c>
      <c r="P18" s="12">
        <v>8.3280858539089599E-3</v>
      </c>
      <c r="Q18" s="12">
        <v>-9.3059589912906207E-2</v>
      </c>
      <c r="R18" s="12">
        <v>-0.1541891887340214</v>
      </c>
      <c r="S18" s="12">
        <v>0.3837326289318943</v>
      </c>
      <c r="T18" s="12">
        <v>5.2309697550730873E-2</v>
      </c>
      <c r="U18" s="12">
        <v>2.8133571428571431E-2</v>
      </c>
      <c r="V18" s="12">
        <v>-0.1213914614259257</v>
      </c>
      <c r="W18" s="12">
        <v>0.1379172379157062</v>
      </c>
      <c r="X18" s="12">
        <v>0.1434515176348406</v>
      </c>
      <c r="Y18" s="12">
        <v>-0.1038792439088113</v>
      </c>
      <c r="Z18" s="12">
        <v>-5.1469725750839503E-2</v>
      </c>
      <c r="AA18" s="12">
        <v>4.1705245182724067E-2</v>
      </c>
      <c r="AB18" s="12">
        <v>6.2644805262660919E-2</v>
      </c>
      <c r="AC18" s="12">
        <v>-1.3654204768322529E-3</v>
      </c>
      <c r="AD18" s="12">
        <v>-2.659559037908019E-2</v>
      </c>
      <c r="AE18" s="12">
        <v>-7.7200999999999978E-2</v>
      </c>
      <c r="AF18" s="12">
        <v>3.187341816062559E-2</v>
      </c>
      <c r="AG18" s="12">
        <v>8.1719979892753619E-2</v>
      </c>
      <c r="AH18" s="12">
        <v>-0.16306850482484961</v>
      </c>
      <c r="AI18" s="12">
        <v>-8.1423750051169697E-2</v>
      </c>
      <c r="AJ18" s="12">
        <v>4.7393756166449127E-2</v>
      </c>
      <c r="AK18" s="12">
        <v>-2.283288536199644E-2</v>
      </c>
      <c r="AL18" s="12">
        <v>4.7527763632257733E-2</v>
      </c>
      <c r="AM18" s="12">
        <v>-9.6053029136818027E-2</v>
      </c>
      <c r="AN18" s="12">
        <v>2.7944177599378839E-3</v>
      </c>
      <c r="AO18" s="12">
        <v>5.4275349676927882E-3</v>
      </c>
      <c r="AP18" s="12">
        <v>-2.0157142857142869E-3</v>
      </c>
      <c r="AQ18" s="12">
        <v>-1.6788142857142859E-2</v>
      </c>
      <c r="AR18" s="12">
        <v>-3.9002474062764268E-2</v>
      </c>
      <c r="AS18" s="12">
        <v>4.5373285714285699E-2</v>
      </c>
      <c r="AT18" s="12">
        <v>4.3325649820578682E-2</v>
      </c>
      <c r="AU18" s="12">
        <v>6.4575644079591543E-2</v>
      </c>
      <c r="AV18" s="12">
        <v>-2.8768755881717199E-2</v>
      </c>
      <c r="AW18" s="12">
        <v>2.4538034241107461E-2</v>
      </c>
      <c r="AX18" s="12">
        <v>0.10756086825583611</v>
      </c>
      <c r="AY18" s="12">
        <v>3.4783278641148073E-2</v>
      </c>
      <c r="AZ18" s="12">
        <v>-0.14840908238889911</v>
      </c>
      <c r="BA18" s="12">
        <v>6.3231092468556214E-4</v>
      </c>
      <c r="BB18" s="12">
        <v>0.16725728571428569</v>
      </c>
      <c r="BC18" s="12">
        <v>8.3201572593320602E-2</v>
      </c>
      <c r="BD18" s="12">
        <v>2.0277714285714281E-2</v>
      </c>
      <c r="BE18" s="12">
        <v>6.8361213238162841E-2</v>
      </c>
      <c r="BF18" s="12">
        <v>-3.8142000000000002E-2</v>
      </c>
      <c r="BG18" s="12">
        <v>-1.680624122620418E-2</v>
      </c>
      <c r="BH18" s="12">
        <v>2.0503853063805449E-2</v>
      </c>
      <c r="BI18" s="12">
        <v>0.1090000069186657</v>
      </c>
      <c r="BJ18" s="12">
        <v>5.9560640504595433E-3</v>
      </c>
      <c r="BK18" s="12">
        <v>-5.8003244170202591E-2</v>
      </c>
      <c r="BL18" s="12">
        <v>2.635228571428572E-2</v>
      </c>
      <c r="BM18" s="12">
        <v>-6.9781428571428564E-2</v>
      </c>
      <c r="BN18" s="12">
        <v>-4.2191588804803559E-2</v>
      </c>
      <c r="BO18" s="12">
        <v>8.4081428571428571E-3</v>
      </c>
      <c r="BP18" s="12">
        <v>4.6857540334682007E-2</v>
      </c>
      <c r="BQ18" s="12">
        <v>1.916784109848992E-3</v>
      </c>
      <c r="BR18" s="12">
        <v>0.1209618178824758</v>
      </c>
      <c r="BS18" s="12">
        <v>-3.9836250971192512E-3</v>
      </c>
      <c r="BT18" s="12">
        <v>-1.329885714285715E-2</v>
      </c>
      <c r="BU18" s="12">
        <v>-0.1114621428571428</v>
      </c>
      <c r="BV18" s="12">
        <v>0.1155055714285714</v>
      </c>
      <c r="BW18" s="12">
        <v>0.2610392857142857</v>
      </c>
      <c r="BX18" s="12">
        <v>7.4580863414598103E-2</v>
      </c>
      <c r="BY18" s="12">
        <v>0.1230749758240248</v>
      </c>
      <c r="BZ18" s="12">
        <v>0.10981514285714281</v>
      </c>
      <c r="CA18" s="12">
        <v>-1.6076543892860819E-2</v>
      </c>
      <c r="CB18" s="12">
        <v>2.4577356612448309E-2</v>
      </c>
      <c r="CC18" s="12">
        <v>0.1046597142857143</v>
      </c>
      <c r="CD18" s="12">
        <v>5.0445000000000011E-2</v>
      </c>
      <c r="CE18" s="12">
        <v>7.7259857142857144E-2</v>
      </c>
      <c r="CF18" s="12">
        <v>-0.10185900000000001</v>
      </c>
      <c r="CG18" s="12">
        <v>0.2266421428571429</v>
      </c>
      <c r="CH18" s="12">
        <v>-2.5440571428571441E-2</v>
      </c>
      <c r="CI18" s="12">
        <v>-0.1177235714285714</v>
      </c>
      <c r="CJ18" s="12">
        <v>6.2313677824909687E-2</v>
      </c>
      <c r="CK18" s="12">
        <v>9.0667784292283726E-2</v>
      </c>
      <c r="CL18" s="12">
        <v>-3.0989545058193121E-2</v>
      </c>
      <c r="CM18" s="12">
        <v>-0.1027687142857143</v>
      </c>
      <c r="CN18" s="12">
        <v>3.5086253978176607E-2</v>
      </c>
      <c r="CO18" s="12">
        <v>-0.1505975096222473</v>
      </c>
      <c r="CP18" s="12">
        <v>0.16283910894801071</v>
      </c>
      <c r="CQ18" s="12">
        <v>4.7976536408267538E-2</v>
      </c>
      <c r="CR18" s="12">
        <v>3.3744714285714281E-2</v>
      </c>
      <c r="CS18" s="12">
        <v>-7.802724673197127E-2</v>
      </c>
      <c r="CT18" s="12">
        <v>-1.6272494200008831E-2</v>
      </c>
      <c r="CU18" s="12">
        <v>7.1648691205109999E-2</v>
      </c>
      <c r="CV18" s="12">
        <v>0.1270222681330069</v>
      </c>
      <c r="CW18" s="12">
        <v>6.6558574498316259E-2</v>
      </c>
      <c r="CX18" s="12">
        <v>-6.1560185833778078E-2</v>
      </c>
      <c r="CY18" s="12">
        <v>5.135741377478225E-2</v>
      </c>
      <c r="CZ18" s="12">
        <v>-0.13284286330177139</v>
      </c>
      <c r="DA18" s="12">
        <v>4.7380939518693557E-2</v>
      </c>
      <c r="DB18" s="12">
        <v>0.2223821125233825</v>
      </c>
      <c r="DC18" s="12">
        <v>-8.2819707211162524E-2</v>
      </c>
      <c r="DD18" s="12">
        <v>-4.1014187319333921E-2</v>
      </c>
      <c r="DE18" s="12">
        <v>-3.9306714285714278E-2</v>
      </c>
      <c r="DF18" s="12">
        <v>-0.36669357142857151</v>
      </c>
      <c r="DG18" s="12">
        <v>0.11821709327359541</v>
      </c>
      <c r="DH18" s="12">
        <v>-1.305003261692848E-2</v>
      </c>
      <c r="DI18" s="12">
        <v>-1.8613248030418191E-2</v>
      </c>
      <c r="DJ18" s="12">
        <v>-5.0654999999999999E-2</v>
      </c>
      <c r="DK18" s="12">
        <v>0.1065258571428571</v>
      </c>
      <c r="DL18" s="12">
        <v>2.3409571428571429E-2</v>
      </c>
      <c r="DM18" s="12">
        <v>-5.8456714285714292E-2</v>
      </c>
      <c r="DN18" s="12">
        <v>-0.1251086832695307</v>
      </c>
      <c r="DO18" s="12">
        <v>-4.2104907550630517E-2</v>
      </c>
      <c r="DP18" s="12">
        <v>0.13348647227708049</v>
      </c>
      <c r="DQ18" s="12">
        <v>6.1954714285714287E-2</v>
      </c>
      <c r="DR18" s="12">
        <v>7.6840654771961045E-2</v>
      </c>
      <c r="DS18" s="12">
        <v>1.1277142857142861E-2</v>
      </c>
      <c r="DT18" s="12">
        <v>-7.4077142857142883E-3</v>
      </c>
      <c r="DU18" s="12">
        <v>0.15871542857142859</v>
      </c>
      <c r="DV18" s="12">
        <v>-0.1056406088000619</v>
      </c>
      <c r="DW18" s="12">
        <v>6.8637857142857153E-2</v>
      </c>
      <c r="DX18" s="12">
        <v>0.1536029774624818</v>
      </c>
      <c r="DY18" s="12">
        <v>-9.7428036975949608E-2</v>
      </c>
      <c r="DZ18" s="12">
        <v>7.5516359296365659E-2</v>
      </c>
      <c r="EA18" s="12">
        <v>6.3615627439817801E-3</v>
      </c>
      <c r="EB18" s="12">
        <v>-9.9846377978320619E-2</v>
      </c>
      <c r="EC18" s="12">
        <v>0.14304023059278551</v>
      </c>
      <c r="ED18" s="12">
        <v>0.11047802186576559</v>
      </c>
      <c r="EE18" s="12">
        <v>1.110285714285716E-3</v>
      </c>
      <c r="EF18" s="12">
        <v>-4.8955017110416547E-2</v>
      </c>
    </row>
    <row r="19" spans="1:136">
      <c r="A19" s="2">
        <v>160</v>
      </c>
      <c r="B19" s="2">
        <v>6</v>
      </c>
      <c r="C19" s="12">
        <v>0.19659983333333331</v>
      </c>
      <c r="D19" s="12">
        <v>-2.017079945419575E-2</v>
      </c>
      <c r="E19" s="12">
        <v>6.5812499999999996E-2</v>
      </c>
      <c r="F19" s="12">
        <v>0.1776886618055605</v>
      </c>
      <c r="G19" s="12">
        <v>-9.6065971857177412E-2</v>
      </c>
      <c r="H19" s="12">
        <v>0.17761016666666671</v>
      </c>
      <c r="I19" s="12">
        <v>-0.1346543328914665</v>
      </c>
      <c r="J19" s="12">
        <v>-0.1562291666666667</v>
      </c>
      <c r="K19" s="12">
        <v>0.23878941472391671</v>
      </c>
      <c r="L19" s="12">
        <v>2.032664964034506E-2</v>
      </c>
      <c r="M19" s="12">
        <v>-8.6210339026117716E-2</v>
      </c>
      <c r="N19" s="12">
        <v>-0.15184358114798011</v>
      </c>
      <c r="O19" s="12">
        <v>3.1561874488915911E-2</v>
      </c>
      <c r="P19" s="12">
        <v>2.3513160824520051E-2</v>
      </c>
      <c r="Q19" s="12">
        <v>-8.1866112736540833E-2</v>
      </c>
      <c r="R19" s="12">
        <v>-0.14558327280221009</v>
      </c>
      <c r="S19" s="12">
        <v>0.18416011669760801</v>
      </c>
      <c r="T19" s="12">
        <v>5.1464717245309592E-2</v>
      </c>
      <c r="U19" s="12">
        <v>4.4184166666666663E-2</v>
      </c>
      <c r="V19" s="12">
        <v>-9.2688319725313148E-2</v>
      </c>
      <c r="W19" s="12">
        <v>0.14662099071751011</v>
      </c>
      <c r="X19" s="12">
        <v>0.1166390452640934</v>
      </c>
      <c r="Y19" s="12">
        <v>-0.10313023893043829</v>
      </c>
      <c r="Z19" s="12">
        <v>-5.7888725378699338E-2</v>
      </c>
      <c r="AA19" s="12">
        <v>4.1570184538155738E-2</v>
      </c>
      <c r="AB19" s="12">
        <v>5.1718752810757287E-2</v>
      </c>
      <c r="AC19" s="12">
        <v>-1.4141542708609799E-2</v>
      </c>
      <c r="AD19" s="12">
        <v>-3.5088928587950333E-2</v>
      </c>
      <c r="AE19" s="12">
        <v>-0.11523116666666661</v>
      </c>
      <c r="AF19" s="12">
        <v>3.8785666808899749E-2</v>
      </c>
      <c r="AG19" s="12">
        <v>4.1487103444311647E-2</v>
      </c>
      <c r="AH19" s="12">
        <v>-0.20415628716520959</v>
      </c>
      <c r="AI19" s="12">
        <v>-4.7766352759796363E-2</v>
      </c>
      <c r="AJ19" s="12">
        <v>5.1545290327262273E-2</v>
      </c>
      <c r="AK19" s="12">
        <v>-4.0581523113162987E-2</v>
      </c>
      <c r="AL19" s="12">
        <v>7.0270945670805551E-2</v>
      </c>
      <c r="AM19" s="12">
        <v>-6.112413105384671E-2</v>
      </c>
      <c r="AN19" s="12">
        <v>-1.023954826971317E-2</v>
      </c>
      <c r="AO19" s="12">
        <v>2.589290304541441E-2</v>
      </c>
      <c r="AP19" s="12">
        <v>-9.7129999999999959E-3</v>
      </c>
      <c r="AQ19" s="12">
        <v>-5.4927833333333342E-2</v>
      </c>
      <c r="AR19" s="12">
        <v>4.1144514895575801E-2</v>
      </c>
      <c r="AS19" s="12">
        <v>3.6869999999999841E-3</v>
      </c>
      <c r="AT19" s="12">
        <v>4.9294981765701303E-2</v>
      </c>
      <c r="AU19" s="12">
        <v>7.6428715713654158E-2</v>
      </c>
      <c r="AV19" s="12">
        <v>-5.003302069697789E-2</v>
      </c>
      <c r="AW19" s="12">
        <v>2.2356168154136491E-2</v>
      </c>
      <c r="AX19" s="12">
        <v>8.0206414310412866E-2</v>
      </c>
      <c r="AY19" s="12">
        <v>2.9528970393379841E-2</v>
      </c>
      <c r="AZ19" s="12">
        <v>-0.18687961816817431</v>
      </c>
      <c r="BA19" s="12">
        <v>-3.4363883954073027E-2</v>
      </c>
      <c r="BB19" s="12">
        <v>0.20180183333333329</v>
      </c>
      <c r="BC19" s="12">
        <v>6.4055486346185769E-2</v>
      </c>
      <c r="BD19" s="12">
        <v>-7.0833333333334206E-5</v>
      </c>
      <c r="BE19" s="12">
        <v>5.1131873963666558E-2</v>
      </c>
      <c r="BF19" s="12">
        <v>-4.9435666666666662E-2</v>
      </c>
      <c r="BG19" s="12">
        <v>-1.6343658332842171E-2</v>
      </c>
      <c r="BH19" s="12">
        <v>2.0182017014309939E-3</v>
      </c>
      <c r="BI19" s="12">
        <v>0.12779862881921869</v>
      </c>
      <c r="BJ19" s="12">
        <v>2.1707301538579211E-2</v>
      </c>
      <c r="BK19" s="12">
        <v>-5.1749526091992383E-2</v>
      </c>
      <c r="BL19" s="12">
        <v>2.599583333333334E-2</v>
      </c>
      <c r="BM19" s="12">
        <v>-8.8155833333333322E-2</v>
      </c>
      <c r="BN19" s="12">
        <v>-7.2185099722501103E-2</v>
      </c>
      <c r="BO19" s="12">
        <v>-1.856049999999999E-2</v>
      </c>
      <c r="BP19" s="12">
        <v>6.2818807534132146E-2</v>
      </c>
      <c r="BQ19" s="12">
        <v>9.9340444543230683E-3</v>
      </c>
      <c r="BR19" s="12">
        <v>0.1368392355431455</v>
      </c>
      <c r="BS19" s="12">
        <v>-2.4256338744482069E-2</v>
      </c>
      <c r="BT19" s="12">
        <v>1.3194833333333321E-2</v>
      </c>
      <c r="BU19" s="12">
        <v>-0.13067083333333329</v>
      </c>
      <c r="BV19" s="12">
        <v>0.1000853333333333</v>
      </c>
      <c r="BW19" s="12">
        <v>0.29597583333333338</v>
      </c>
      <c r="BX19" s="12">
        <v>5.4830281560316878E-2</v>
      </c>
      <c r="BY19" s="12">
        <v>0.1076497365556482</v>
      </c>
      <c r="BZ19" s="12">
        <v>0.1447426666666666</v>
      </c>
      <c r="CA19" s="12">
        <v>-2.932875522377449E-2</v>
      </c>
      <c r="CB19" s="12">
        <v>4.804116850824483E-2</v>
      </c>
      <c r="CC19" s="12">
        <v>2.250566666666666E-2</v>
      </c>
      <c r="CD19" s="12">
        <v>8.7664166666666668E-2</v>
      </c>
      <c r="CE19" s="12">
        <v>8.8474166666666659E-2</v>
      </c>
      <c r="CF19" s="12">
        <v>-0.1116986666666667</v>
      </c>
      <c r="CG19" s="12">
        <v>0.26389400000000002</v>
      </c>
      <c r="CH19" s="12">
        <v>-7.5598333333333212E-3</v>
      </c>
      <c r="CI19" s="12">
        <v>-0.16520066666666669</v>
      </c>
      <c r="CJ19" s="12">
        <v>6.194049996603615E-2</v>
      </c>
      <c r="CK19" s="12">
        <v>0.1039677178170982</v>
      </c>
      <c r="CL19" s="12">
        <v>-4.3240279974789908E-2</v>
      </c>
      <c r="CM19" s="12">
        <v>-0.1102351666666667</v>
      </c>
      <c r="CN19" s="12">
        <v>7.6932654667303466E-2</v>
      </c>
      <c r="CO19" s="12">
        <v>-0.16614655777528059</v>
      </c>
      <c r="CP19" s="12">
        <v>0.15903259898233271</v>
      </c>
      <c r="CQ19" s="12">
        <v>-2.7299081545619341E-3</v>
      </c>
      <c r="CR19" s="12">
        <v>2.4300499999999999E-2</v>
      </c>
      <c r="CS19" s="12">
        <v>-6.0700850898538133E-2</v>
      </c>
      <c r="CT19" s="12">
        <v>-2.794063718499688E-2</v>
      </c>
      <c r="CU19" s="12">
        <v>8.3436397113892974E-2</v>
      </c>
      <c r="CV19" s="12">
        <v>9.4553007971378916E-2</v>
      </c>
      <c r="CW19" s="12">
        <v>6.0515878573037342E-2</v>
      </c>
      <c r="CX19" s="12">
        <v>-5.7634726368184938E-2</v>
      </c>
      <c r="CY19" s="12">
        <v>7.092186956436955E-2</v>
      </c>
      <c r="CZ19" s="12">
        <v>-0.11285182864146399</v>
      </c>
      <c r="DA19" s="12">
        <v>5.8223876703236761E-2</v>
      </c>
      <c r="DB19" s="12">
        <v>0.28613845390130638</v>
      </c>
      <c r="DC19" s="12">
        <v>-6.5587584737896831E-2</v>
      </c>
      <c r="DD19" s="12">
        <v>-6.2011252548289514E-3</v>
      </c>
      <c r="DE19" s="12">
        <v>-6.0054999999999831E-3</v>
      </c>
      <c r="DF19" s="12">
        <v>-0.2055028333333333</v>
      </c>
      <c r="DG19" s="12">
        <v>0.12649079783752129</v>
      </c>
      <c r="DH19" s="12">
        <v>-4.3220605483251413E-2</v>
      </c>
      <c r="DI19" s="12">
        <v>-5.8647033011268501E-2</v>
      </c>
      <c r="DJ19" s="12">
        <v>-8.050033333333334E-2</v>
      </c>
      <c r="DK19" s="12">
        <v>0.1214406666666667</v>
      </c>
      <c r="DL19" s="12">
        <v>2.3312833333333331E-2</v>
      </c>
      <c r="DM19" s="12">
        <v>-5.7299833333333328E-2</v>
      </c>
      <c r="DN19" s="12">
        <v>-0.17392830172854831</v>
      </c>
      <c r="DO19" s="12">
        <v>-5.5126563399943852E-2</v>
      </c>
      <c r="DP19" s="12">
        <v>0.17026813067996199</v>
      </c>
      <c r="DQ19" s="12">
        <v>5.0622500000000001E-2</v>
      </c>
      <c r="DR19" s="12">
        <v>7.5962353325048193E-2</v>
      </c>
      <c r="DS19" s="12">
        <v>-5.6783333333333312E-3</v>
      </c>
      <c r="DT19" s="12">
        <v>-3.0765000000000028E-3</v>
      </c>
      <c r="DU19" s="12">
        <v>0.15058250000000001</v>
      </c>
      <c r="DV19" s="12">
        <v>-0.1115247064406045</v>
      </c>
      <c r="DW19" s="12">
        <v>0.101297</v>
      </c>
      <c r="DX19" s="12">
        <v>0.1383651342381777</v>
      </c>
      <c r="DY19" s="12">
        <v>-7.0109577687923127E-2</v>
      </c>
      <c r="DZ19" s="12">
        <v>0.1119208288639931</v>
      </c>
      <c r="EA19" s="12">
        <v>2.807935347566733E-2</v>
      </c>
      <c r="EB19" s="12">
        <v>-2.1772770012778581E-2</v>
      </c>
      <c r="EC19" s="12">
        <v>0.14377420282500911</v>
      </c>
      <c r="ED19" s="12">
        <v>0.15093531699015689</v>
      </c>
      <c r="EE19" s="12">
        <v>-7.3063333333333296E-3</v>
      </c>
      <c r="EF19" s="12">
        <v>-1.697795487476916E-2</v>
      </c>
    </row>
    <row r="20" spans="1:136">
      <c r="A20" s="2">
        <v>192</v>
      </c>
      <c r="B20" s="2">
        <v>5</v>
      </c>
      <c r="C20" s="12">
        <v>0.20155100000000001</v>
      </c>
      <c r="D20" s="12">
        <v>3.5171826374555398E-4</v>
      </c>
      <c r="E20" s="12">
        <v>5.7335200000000003E-2</v>
      </c>
      <c r="F20" s="12">
        <v>0.2055312643331742</v>
      </c>
      <c r="G20" s="12">
        <v>-0.1171831412889391</v>
      </c>
      <c r="H20" s="12">
        <v>0.14393220000000001</v>
      </c>
      <c r="I20" s="12">
        <v>-0.15814956260110169</v>
      </c>
      <c r="J20" s="12">
        <v>-0.1332062</v>
      </c>
      <c r="K20" s="12">
        <v>0.21472450376108179</v>
      </c>
      <c r="L20" s="12">
        <v>8.9997713411883729E-3</v>
      </c>
      <c r="M20" s="12">
        <v>-0.100133414364086</v>
      </c>
      <c r="N20" s="12">
        <v>-0.16814358818954389</v>
      </c>
      <c r="O20" s="12">
        <v>4.9864886069274132E-2</v>
      </c>
      <c r="P20" s="12">
        <v>4.3138678888527522E-2</v>
      </c>
      <c r="Q20" s="12">
        <v>-0.10704532145072811</v>
      </c>
      <c r="R20" s="12">
        <v>-0.19094246698951389</v>
      </c>
      <c r="S20" s="12">
        <v>0.15518261832774261</v>
      </c>
      <c r="T20" s="12">
        <v>8.5465455737815402E-2</v>
      </c>
      <c r="U20" s="12">
        <v>3.2235E-2</v>
      </c>
      <c r="V20" s="12">
        <v>-0.1035176032046175</v>
      </c>
      <c r="W20" s="12">
        <v>0.17308537617758091</v>
      </c>
      <c r="X20" s="12">
        <v>0.14869720125713359</v>
      </c>
      <c r="Y20" s="12">
        <v>-0.12896503888237379</v>
      </c>
      <c r="Z20" s="12">
        <v>-7.4027168257954579E-2</v>
      </c>
      <c r="AA20" s="12">
        <v>2.159455338729711E-2</v>
      </c>
      <c r="AB20" s="12">
        <v>3.2898545320226208E-2</v>
      </c>
      <c r="AC20" s="12">
        <v>-4.7248262727967477E-2</v>
      </c>
      <c r="AD20" s="12">
        <v>-3.4453902851829692E-2</v>
      </c>
      <c r="AE20" s="12">
        <v>-1.7310200000000001E-2</v>
      </c>
      <c r="AF20" s="12">
        <v>3.9044678387579961E-2</v>
      </c>
      <c r="AG20" s="12">
        <v>3.216324888167648E-2</v>
      </c>
      <c r="AH20" s="12">
        <v>-0.21664245264836079</v>
      </c>
      <c r="AI20" s="12">
        <v>-8.3279353750723401E-2</v>
      </c>
      <c r="AJ20" s="12">
        <v>6.1990034547547639E-2</v>
      </c>
      <c r="AK20" s="12">
        <v>-8.2485150626129544E-3</v>
      </c>
      <c r="AL20" s="12">
        <v>7.2893452036976947E-2</v>
      </c>
      <c r="AM20" s="12">
        <v>-6.7529859788327179E-2</v>
      </c>
      <c r="AN20" s="12">
        <v>3.4444518988845471E-2</v>
      </c>
      <c r="AO20" s="12">
        <v>4.528508196468839E-2</v>
      </c>
      <c r="AP20" s="12">
        <v>-1.26056E-2</v>
      </c>
      <c r="AQ20" s="12">
        <v>7.2898600000000008E-2</v>
      </c>
      <c r="AR20" s="12">
        <v>2.9738999850300981E-2</v>
      </c>
      <c r="AS20" s="12">
        <v>1.7142799999999989E-2</v>
      </c>
      <c r="AT20" s="12">
        <v>5.858773760205771E-3</v>
      </c>
      <c r="AU20" s="12">
        <v>7.5692386895125863E-2</v>
      </c>
      <c r="AV20" s="12">
        <v>-5.4625713782478207E-2</v>
      </c>
      <c r="AW20" s="12">
        <v>6.8652681791509596E-3</v>
      </c>
      <c r="AX20" s="12">
        <v>0.11073254799870159</v>
      </c>
      <c r="AY20" s="12">
        <v>3.8674698442909439E-2</v>
      </c>
      <c r="AZ20" s="12">
        <v>-0.21380243117708869</v>
      </c>
      <c r="BA20" s="12">
        <v>-3.6798864860540501E-2</v>
      </c>
      <c r="BB20" s="12">
        <v>0.23121340000000001</v>
      </c>
      <c r="BC20" s="12">
        <v>7.0605567677740205E-2</v>
      </c>
      <c r="BD20" s="12">
        <v>8.3636000000000005E-3</v>
      </c>
      <c r="BE20" s="12">
        <v>-5.9467971392603326E-3</v>
      </c>
      <c r="BF20" s="12">
        <v>-5.5215800000000002E-2</v>
      </c>
      <c r="BG20" s="12">
        <v>-6.9261427086933884E-3</v>
      </c>
      <c r="BH20" s="12">
        <v>-7.1606447114111002E-2</v>
      </c>
      <c r="BI20" s="12">
        <v>0.13174526708517489</v>
      </c>
      <c r="BJ20" s="12">
        <v>2.1629511833186621E-2</v>
      </c>
      <c r="BK20" s="12">
        <v>-5.9233167842827283E-2</v>
      </c>
      <c r="BL20" s="12">
        <v>1.978340000000001E-2</v>
      </c>
      <c r="BM20" s="12">
        <v>-5.455539999999999E-2</v>
      </c>
      <c r="BN20" s="12">
        <v>-8.5664631441180417E-2</v>
      </c>
      <c r="BO20" s="12">
        <v>-7.6086000000000001E-3</v>
      </c>
      <c r="BP20" s="12">
        <v>6.0407520762954983E-2</v>
      </c>
      <c r="BQ20" s="12">
        <v>1.5451706960843021E-2</v>
      </c>
      <c r="BR20" s="12">
        <v>0.18112708147166159</v>
      </c>
      <c r="BS20" s="12">
        <v>5.4075061911911179E-3</v>
      </c>
      <c r="BT20" s="12">
        <v>5.246859999999999E-2</v>
      </c>
      <c r="BU20" s="12">
        <v>-0.14944099999999999</v>
      </c>
      <c r="BV20" s="12">
        <v>0.13370979999999999</v>
      </c>
      <c r="BW20" s="12">
        <v>0.34204220000000002</v>
      </c>
      <c r="BX20" s="12">
        <v>5.7988018276030777E-2</v>
      </c>
      <c r="BY20" s="12">
        <v>0.10523396636930341</v>
      </c>
      <c r="BZ20" s="12">
        <v>0.1847258</v>
      </c>
      <c r="CA20" s="12">
        <v>-4.0102728051752932E-2</v>
      </c>
      <c r="CB20" s="12">
        <v>3.8251950010927849E-2</v>
      </c>
      <c r="CC20" s="12">
        <v>1.2914800000000001E-2</v>
      </c>
      <c r="CD20" s="12">
        <v>9.6063599999999999E-2</v>
      </c>
      <c r="CE20" s="12">
        <v>8.577739999999999E-2</v>
      </c>
      <c r="CF20" s="12">
        <v>-0.1312084</v>
      </c>
      <c r="CG20" s="12">
        <v>0.32193939999999999</v>
      </c>
      <c r="CH20" s="12">
        <v>4.919380000000001E-2</v>
      </c>
      <c r="CI20" s="12">
        <v>-0.13148380000000001</v>
      </c>
      <c r="CJ20" s="12">
        <v>0.123440319887351</v>
      </c>
      <c r="CK20" s="12">
        <v>9.0978396750106633E-2</v>
      </c>
      <c r="CL20" s="12">
        <v>-9.2184934189128986E-2</v>
      </c>
      <c r="CM20" s="12">
        <v>-9.6774199999999977E-2</v>
      </c>
      <c r="CN20" s="12">
        <v>-2.215941137048465E-2</v>
      </c>
      <c r="CO20" s="12">
        <v>-0.22851820318154101</v>
      </c>
      <c r="CP20" s="12">
        <v>0.1920312051090273</v>
      </c>
      <c r="CQ20" s="12">
        <v>6.1113579290622234E-3</v>
      </c>
      <c r="CR20" s="12">
        <v>2.53642E-2</v>
      </c>
      <c r="CS20" s="12">
        <v>-8.8364277012261461E-2</v>
      </c>
      <c r="CT20" s="12">
        <v>-1.807671077983496E-2</v>
      </c>
      <c r="CU20" s="12">
        <v>9.4867658266512403E-2</v>
      </c>
      <c r="CV20" s="12">
        <v>0.11921412821268471</v>
      </c>
      <c r="CW20" s="12">
        <v>6.7903708174845409E-2</v>
      </c>
      <c r="CX20" s="12">
        <v>-9.0298550867764463E-2</v>
      </c>
      <c r="CY20" s="12">
        <v>1.247973266829688E-2</v>
      </c>
      <c r="CZ20" s="12">
        <v>-0.15516164514919831</v>
      </c>
      <c r="DA20" s="12">
        <v>4.7471893155177573E-2</v>
      </c>
      <c r="DB20" s="12">
        <v>0.38248992026639161</v>
      </c>
      <c r="DC20" s="12">
        <v>-3.7332311138400742E-2</v>
      </c>
      <c r="DD20" s="12">
        <v>-3.597184756950339E-3</v>
      </c>
      <c r="DE20" s="12">
        <v>-3.0466399999999991E-2</v>
      </c>
      <c r="DF20" s="12">
        <v>-0.2455754</v>
      </c>
      <c r="DG20" s="12">
        <v>0.1240733079841211</v>
      </c>
      <c r="DH20" s="12">
        <v>-4.8058412185503073E-2</v>
      </c>
      <c r="DI20" s="12">
        <v>-7.4248335592093345E-2</v>
      </c>
      <c r="DJ20" s="12">
        <v>-8.12774E-2</v>
      </c>
      <c r="DK20" s="12">
        <v>8.5184599999999999E-2</v>
      </c>
      <c r="DL20" s="12">
        <v>-1.0186600000000001E-2</v>
      </c>
      <c r="DM20" s="12">
        <v>-6.9335800000000003E-2</v>
      </c>
      <c r="DN20" s="12">
        <v>-0.18323473362116879</v>
      </c>
      <c r="DO20" s="12">
        <v>-6.5815801837970381E-2</v>
      </c>
      <c r="DP20" s="12">
        <v>0.20015543475438921</v>
      </c>
      <c r="DQ20" s="12">
        <v>3.853899999999999E-2</v>
      </c>
      <c r="DR20" s="12">
        <v>7.8512660028290493E-2</v>
      </c>
      <c r="DS20" s="12">
        <v>-7.4919999999999987E-3</v>
      </c>
      <c r="DT20" s="12">
        <v>4.8288000000000011E-3</v>
      </c>
      <c r="DU20" s="12">
        <v>0.1763758</v>
      </c>
      <c r="DV20" s="12">
        <v>-0.12934547183885869</v>
      </c>
      <c r="DW20" s="12">
        <v>0.1035466</v>
      </c>
      <c r="DX20" s="12">
        <v>0.15386632960631469</v>
      </c>
      <c r="DY20" s="12">
        <v>-5.3618609351648763E-2</v>
      </c>
      <c r="DZ20" s="12">
        <v>8.4474578309692155E-2</v>
      </c>
      <c r="EA20" s="12">
        <v>-1.4917025427623789E-2</v>
      </c>
      <c r="EB20" s="12">
        <v>-3.9067633350965261E-2</v>
      </c>
      <c r="EC20" s="12">
        <v>0.13100614576206751</v>
      </c>
      <c r="ED20" s="12">
        <v>0.17691886106701021</v>
      </c>
      <c r="EE20" s="12">
        <v>-1.7415999999999959E-3</v>
      </c>
      <c r="EF20" s="12">
        <v>-2.0281416615907238E-2</v>
      </c>
    </row>
    <row r="21" spans="1:136">
      <c r="A21" s="2">
        <v>241</v>
      </c>
      <c r="B21" s="2">
        <v>4</v>
      </c>
      <c r="C21" s="12">
        <v>0.2146305</v>
      </c>
      <c r="D21" s="12">
        <v>-3.6770939515919088E-4</v>
      </c>
      <c r="E21" s="12">
        <v>-1.3691500000000001E-2</v>
      </c>
      <c r="F21" s="12">
        <v>0.18403858160612999</v>
      </c>
      <c r="G21" s="12">
        <v>-0.14384215111256449</v>
      </c>
      <c r="H21" s="12">
        <v>0.162164</v>
      </c>
      <c r="I21" s="12">
        <v>-0.14725560812747299</v>
      </c>
      <c r="J21" s="12">
        <v>-0.13674149999999999</v>
      </c>
      <c r="K21" s="12">
        <v>0.2068800260033955</v>
      </c>
      <c r="L21" s="12">
        <v>5.7226166864944403E-2</v>
      </c>
      <c r="M21" s="12">
        <v>-7.5660649926760526E-2</v>
      </c>
      <c r="N21" s="12">
        <v>-0.13905067586079981</v>
      </c>
      <c r="O21" s="12">
        <v>3.4351989460690638E-2</v>
      </c>
      <c r="P21" s="12">
        <v>3.9891722860102737E-2</v>
      </c>
      <c r="Q21" s="12">
        <v>-8.1195369015973365E-2</v>
      </c>
      <c r="R21" s="12">
        <v>-0.14269209072332131</v>
      </c>
      <c r="S21" s="12">
        <v>0.12859028544995699</v>
      </c>
      <c r="T21" s="12">
        <v>9.846167275679743E-2</v>
      </c>
      <c r="U21" s="12">
        <v>-9.8267499999999952E-3</v>
      </c>
      <c r="V21" s="12">
        <v>-0.10537077038935461</v>
      </c>
      <c r="W21" s="12">
        <v>0.15778847961546261</v>
      </c>
      <c r="X21" s="12">
        <v>0.19733717858364669</v>
      </c>
      <c r="Y21" s="12">
        <v>-9.2729223946204448E-2</v>
      </c>
      <c r="Z21" s="12">
        <v>-0.1093802011477636</v>
      </c>
      <c r="AA21" s="12">
        <v>-1.9491043540093941E-2</v>
      </c>
      <c r="AB21" s="12">
        <v>2.1955943889134161E-2</v>
      </c>
      <c r="AC21" s="12">
        <v>-1.882773670680014E-2</v>
      </c>
      <c r="AD21" s="12">
        <v>-4.6697424552745621E-2</v>
      </c>
      <c r="AE21" s="12">
        <v>-1.031074999999999E-2</v>
      </c>
      <c r="AF21" s="12">
        <v>5.3125609886562987E-2</v>
      </c>
      <c r="AG21" s="12">
        <v>1.10465721064439E-2</v>
      </c>
      <c r="AH21" s="12">
        <v>-0.2403512556587668</v>
      </c>
      <c r="AI21" s="12">
        <v>-6.7729680595151026E-2</v>
      </c>
      <c r="AJ21" s="12">
        <v>7.0405341946468691E-2</v>
      </c>
      <c r="AK21" s="12">
        <v>1.8318368909312599E-2</v>
      </c>
      <c r="AL21" s="12">
        <v>6.5379822733110632E-2</v>
      </c>
      <c r="AM21" s="12">
        <v>6.312571800748347E-2</v>
      </c>
      <c r="AN21" s="12">
        <v>2.1789029545820651E-2</v>
      </c>
      <c r="AO21" s="12">
        <v>4.7726395643726653E-2</v>
      </c>
      <c r="AP21" s="12">
        <v>-1.8943749999999999E-2</v>
      </c>
      <c r="AQ21" s="12">
        <v>0.13322400000000001</v>
      </c>
      <c r="AR21" s="12">
        <v>3.4197900630824132E-2</v>
      </c>
      <c r="AS21" s="12">
        <v>-1.7048000000000021E-2</v>
      </c>
      <c r="AT21" s="12">
        <v>-2.4929112771550628E-3</v>
      </c>
      <c r="AU21" s="12">
        <v>4.7809631508957028E-2</v>
      </c>
      <c r="AV21" s="12">
        <v>-5.5520780062133721E-2</v>
      </c>
      <c r="AW21" s="12">
        <v>9.7910299540974015E-3</v>
      </c>
      <c r="AX21" s="12">
        <v>0.1431476874697567</v>
      </c>
      <c r="AY21" s="12">
        <v>4.7021290978038012E-2</v>
      </c>
      <c r="AZ21" s="12">
        <v>-0.25491126989713642</v>
      </c>
      <c r="BA21" s="12">
        <v>-7.1032181648085849E-2</v>
      </c>
      <c r="BB21" s="12">
        <v>0.29451325</v>
      </c>
      <c r="BC21" s="12">
        <v>3.8321147725193863E-2</v>
      </c>
      <c r="BD21" s="12">
        <v>3.8222500000000013E-2</v>
      </c>
      <c r="BE21" s="12">
        <v>6.3505333974014731E-3</v>
      </c>
      <c r="BF21" s="12">
        <v>-6.2289749999999998E-2</v>
      </c>
      <c r="BG21" s="12">
        <v>3.6635189216812601E-2</v>
      </c>
      <c r="BH21" s="12">
        <v>-7.6321363138755302E-2</v>
      </c>
      <c r="BI21" s="12">
        <v>0.1659695961783918</v>
      </c>
      <c r="BJ21" s="12">
        <v>2.3579026181717661E-2</v>
      </c>
      <c r="BK21" s="12">
        <v>-6.8449880379534783E-2</v>
      </c>
      <c r="BL21" s="12">
        <v>3.7530000000000059E-3</v>
      </c>
      <c r="BM21" s="12">
        <v>-9.4969749999999992E-2</v>
      </c>
      <c r="BN21" s="12">
        <v>-0.18824750259238801</v>
      </c>
      <c r="BO21" s="12">
        <v>1.5006749999999999E-2</v>
      </c>
      <c r="BP21" s="12">
        <v>0.1045091294194143</v>
      </c>
      <c r="BQ21" s="12">
        <v>5.4542230834504879E-2</v>
      </c>
      <c r="BR21" s="12">
        <v>0.14206145591009539</v>
      </c>
      <c r="BS21" s="12">
        <v>5.8601727551761719E-3</v>
      </c>
      <c r="BT21" s="12">
        <v>6.0821999999999987E-2</v>
      </c>
      <c r="BU21" s="12">
        <v>-0.170738</v>
      </c>
      <c r="BV21" s="12">
        <v>1.924025E-2</v>
      </c>
      <c r="BW21" s="12">
        <v>0.40213025000000002</v>
      </c>
      <c r="BX21" s="12">
        <v>8.8379334787638542E-2</v>
      </c>
      <c r="BY21" s="12">
        <v>5.0379851218116528E-2</v>
      </c>
      <c r="BZ21" s="12">
        <v>0.25140249999999997</v>
      </c>
      <c r="CA21" s="12">
        <v>-6.0517603302398457E-2</v>
      </c>
      <c r="CB21" s="12">
        <v>6.3421391198258154E-2</v>
      </c>
      <c r="CC21" s="12">
        <v>-8.0194999999999989E-3</v>
      </c>
      <c r="CD21" s="12">
        <v>8.4422250000000004E-2</v>
      </c>
      <c r="CE21" s="12">
        <v>6.1514499999999993E-2</v>
      </c>
      <c r="CF21" s="12">
        <v>-0.127168</v>
      </c>
      <c r="CG21" s="12">
        <v>0.32016774999999997</v>
      </c>
      <c r="CH21" s="12">
        <v>-7.1338500000000013E-2</v>
      </c>
      <c r="CI21" s="12">
        <v>-0.12329225000000001</v>
      </c>
      <c r="CJ21" s="12">
        <v>8.5627757016502298E-2</v>
      </c>
      <c r="CK21" s="12">
        <v>0.12705054673013411</v>
      </c>
      <c r="CL21" s="12">
        <v>-0.13389042462296469</v>
      </c>
      <c r="CM21" s="12">
        <v>-0.11623024999999999</v>
      </c>
      <c r="CN21" s="12">
        <v>-3.05388902037756E-2</v>
      </c>
      <c r="CO21" s="12">
        <v>-0.23779198113939251</v>
      </c>
      <c r="CP21" s="12">
        <v>0.22270006087791269</v>
      </c>
      <c r="CQ21" s="12">
        <v>3.2880917250907721E-3</v>
      </c>
      <c r="CR21" s="12">
        <v>1.1617000000000001E-2</v>
      </c>
      <c r="CS21" s="12">
        <v>-6.9646396146771747E-2</v>
      </c>
      <c r="CT21" s="12">
        <v>-8.6072556871396061E-2</v>
      </c>
      <c r="CU21" s="12">
        <v>6.2673560169491313E-2</v>
      </c>
      <c r="CV21" s="12">
        <v>0.1543318447745724</v>
      </c>
      <c r="CW21" s="12">
        <v>3.8345516871682743E-2</v>
      </c>
      <c r="CX21" s="12">
        <v>-0.1021221756574071</v>
      </c>
      <c r="CY21" s="12">
        <v>8.4819164039144704E-3</v>
      </c>
      <c r="CZ21" s="12">
        <v>-0.2374513708258302</v>
      </c>
      <c r="DA21" s="12">
        <v>-1.192256456731756E-3</v>
      </c>
      <c r="DB21" s="12">
        <v>0.47235073547067691</v>
      </c>
      <c r="DC21" s="12">
        <v>-0.1539047953697186</v>
      </c>
      <c r="DD21" s="12">
        <v>-2.8187943910707451E-3</v>
      </c>
      <c r="DE21" s="12">
        <v>-5.4718999999999997E-2</v>
      </c>
      <c r="DF21" s="12">
        <v>-0.30115175</v>
      </c>
      <c r="DG21" s="12">
        <v>0.14818493113172959</v>
      </c>
      <c r="DH21" s="12">
        <v>1.0355571501857411E-2</v>
      </c>
      <c r="DI21" s="12">
        <v>-9.0149202717820648E-2</v>
      </c>
      <c r="DJ21" s="12">
        <v>-7.330325E-2</v>
      </c>
      <c r="DK21" s="12">
        <v>9.0893250000000009E-2</v>
      </c>
      <c r="DL21" s="12">
        <v>-3.2207750000000007E-2</v>
      </c>
      <c r="DM21" s="12">
        <v>-2.498825E-2</v>
      </c>
      <c r="DN21" s="12">
        <v>-0.22029564086452741</v>
      </c>
      <c r="DO21" s="12">
        <v>-8.2445792330679737E-2</v>
      </c>
      <c r="DP21" s="12">
        <v>0.22901988968023471</v>
      </c>
      <c r="DQ21" s="12">
        <v>2.8215250000000001E-2</v>
      </c>
      <c r="DR21" s="12">
        <v>5.0170859037080733E-2</v>
      </c>
      <c r="DS21" s="12">
        <v>-1.6737500000000001E-3</v>
      </c>
      <c r="DT21" s="12">
        <v>-9.7094999999999959E-3</v>
      </c>
      <c r="DU21" s="12">
        <v>0.14861474999999999</v>
      </c>
      <c r="DV21" s="12">
        <v>-0.140275976869878</v>
      </c>
      <c r="DW21" s="12">
        <v>0.103536</v>
      </c>
      <c r="DX21" s="12">
        <v>0.18596621403118341</v>
      </c>
      <c r="DY21" s="12">
        <v>-2.459599553801604E-2</v>
      </c>
      <c r="DZ21" s="12">
        <v>5.2844066560288887E-2</v>
      </c>
      <c r="EA21" s="12">
        <v>2.4865522448428139E-2</v>
      </c>
      <c r="EB21" s="12">
        <v>-8.4081461705858979E-3</v>
      </c>
      <c r="EC21" s="12">
        <v>0.14009401795222581</v>
      </c>
      <c r="ED21" s="12">
        <v>5.4498856348180663E-2</v>
      </c>
      <c r="EE21" s="12">
        <v>2.1309999999999999E-2</v>
      </c>
      <c r="EF21" s="12">
        <v>1.8771264042119089E-2</v>
      </c>
    </row>
    <row r="22" spans="1:136">
      <c r="A22" s="2">
        <v>321</v>
      </c>
      <c r="B22" s="2">
        <v>3</v>
      </c>
      <c r="C22" s="12">
        <v>0.20528266666666661</v>
      </c>
      <c r="D22" s="12">
        <v>-4.4680896903486519E-2</v>
      </c>
      <c r="E22" s="12">
        <v>-1.735666666666667E-2</v>
      </c>
      <c r="F22" s="12">
        <v>6.7831060921277567E-2</v>
      </c>
      <c r="G22" s="12">
        <v>-0.1038843632903341</v>
      </c>
      <c r="H22" s="12">
        <v>0.124178</v>
      </c>
      <c r="I22" s="12">
        <v>-0.12349316933806979</v>
      </c>
      <c r="J22" s="12">
        <v>-0.104252</v>
      </c>
      <c r="K22" s="12">
        <v>0.2453659126827557</v>
      </c>
      <c r="L22" s="12">
        <v>0.1074871686512418</v>
      </c>
      <c r="M22" s="12">
        <v>0.22515860506358171</v>
      </c>
      <c r="N22" s="12">
        <v>-9.8030860807632764E-2</v>
      </c>
      <c r="O22" s="12">
        <v>-6.7158783113674958E-3</v>
      </c>
      <c r="P22" s="12">
        <v>4.28584885189899E-2</v>
      </c>
      <c r="Q22" s="12">
        <v>-8.9282518103847214E-2</v>
      </c>
      <c r="R22" s="12">
        <v>-0.18067973019128461</v>
      </c>
      <c r="S22" s="12">
        <v>0.16964655555794059</v>
      </c>
      <c r="T22" s="12">
        <v>0.1288124219831229</v>
      </c>
      <c r="U22" s="12">
        <v>5.2484333333333327E-2</v>
      </c>
      <c r="V22" s="12">
        <v>-5.7024134634289667E-2</v>
      </c>
      <c r="W22" s="12">
        <v>0.20748026702429739</v>
      </c>
      <c r="X22" s="12">
        <v>0.214900047729565</v>
      </c>
      <c r="Y22" s="12">
        <v>-4.7938332179768291E-2</v>
      </c>
      <c r="Z22" s="12">
        <v>-0.1501501099195742</v>
      </c>
      <c r="AA22" s="12">
        <v>-7.0480168868567589E-3</v>
      </c>
      <c r="AB22" s="12">
        <v>-3.8652301253394171E-3</v>
      </c>
      <c r="AC22" s="12">
        <v>-8.5776460715432462E-2</v>
      </c>
      <c r="AD22" s="12">
        <v>-1.2467302670572489E-2</v>
      </c>
      <c r="AE22" s="12">
        <v>8.5149000000000002E-2</v>
      </c>
      <c r="AF22" s="12">
        <v>4.718231615802413E-2</v>
      </c>
      <c r="AG22" s="12">
        <v>1.0812100566842311E-2</v>
      </c>
      <c r="AH22" s="12">
        <v>-0.24762224616340131</v>
      </c>
      <c r="AI22" s="12">
        <v>-6.7392901011186057E-2</v>
      </c>
      <c r="AJ22" s="12">
        <v>3.1699849326408271E-2</v>
      </c>
      <c r="AK22" s="12">
        <v>7.8575768704914215E-2</v>
      </c>
      <c r="AL22" s="12">
        <v>4.0340966806900407E-2</v>
      </c>
      <c r="AM22" s="12">
        <v>5.6373754363627612E-2</v>
      </c>
      <c r="AN22" s="12">
        <v>2.7860566885395861E-2</v>
      </c>
      <c r="AO22" s="12">
        <v>7.4717373393705613E-2</v>
      </c>
      <c r="AP22" s="12">
        <v>-2.0493333333333329E-2</v>
      </c>
      <c r="AQ22" s="12">
        <v>0.1101293333333333</v>
      </c>
      <c r="AR22" s="12">
        <v>0.10818370054823639</v>
      </c>
      <c r="AS22" s="12">
        <v>-0.16459066666666669</v>
      </c>
      <c r="AT22" s="12">
        <v>-2.513636184002634E-2</v>
      </c>
      <c r="AU22" s="12">
        <v>3.3500451910869901E-2</v>
      </c>
      <c r="AV22" s="12">
        <v>-5.9813176675879959E-2</v>
      </c>
      <c r="AW22" s="12">
        <v>-3.014938920700894E-2</v>
      </c>
      <c r="AX22" s="12">
        <v>0.17376339998002421</v>
      </c>
      <c r="AY22" s="12">
        <v>7.1733385334230598E-2</v>
      </c>
      <c r="AZ22" s="12">
        <v>-0.1549037783211521</v>
      </c>
      <c r="BA22" s="12">
        <v>-4.5598425167461952E-2</v>
      </c>
      <c r="BB22" s="12">
        <v>0.36955133333333329</v>
      </c>
      <c r="BC22" s="12">
        <v>-0.13083693812295519</v>
      </c>
      <c r="BD22" s="12">
        <v>7.9264000000000001E-2</v>
      </c>
      <c r="BE22" s="12">
        <v>2.221618339448047E-2</v>
      </c>
      <c r="BF22" s="12">
        <v>-5.4885999999999997E-2</v>
      </c>
      <c r="BG22" s="12">
        <v>4.6279512168386029E-2</v>
      </c>
      <c r="BH22" s="12">
        <v>-0.12796054233813189</v>
      </c>
      <c r="BI22" s="12">
        <v>0.111088719409907</v>
      </c>
      <c r="BJ22" s="12">
        <v>5.4996415150720922E-2</v>
      </c>
      <c r="BK22" s="12">
        <v>-4.1839635933665138E-2</v>
      </c>
      <c r="BL22" s="12">
        <v>1.7864000000000019E-2</v>
      </c>
      <c r="BM22" s="12">
        <v>-0.12093866666666669</v>
      </c>
      <c r="BN22" s="12">
        <v>2.851880646397522E-2</v>
      </c>
      <c r="BO22" s="12">
        <v>3.8353333333333343E-2</v>
      </c>
      <c r="BP22" s="12">
        <v>7.4835550155106345E-2</v>
      </c>
      <c r="BQ22" s="12">
        <v>2.7830097398312589E-2</v>
      </c>
      <c r="BR22" s="12">
        <v>0.10656678196769021</v>
      </c>
      <c r="BS22" s="12">
        <v>-1.637278237679916E-2</v>
      </c>
      <c r="BT22" s="12">
        <v>-8.8724333333333336E-2</v>
      </c>
      <c r="BU22" s="12">
        <v>-0.104351</v>
      </c>
      <c r="BV22" s="12">
        <v>6.806666666666697E-4</v>
      </c>
      <c r="BW22" s="12">
        <v>0.42771533333333328</v>
      </c>
      <c r="BX22" s="12">
        <v>0.15293737024999199</v>
      </c>
      <c r="BY22" s="12">
        <v>4.7467864027346263E-3</v>
      </c>
      <c r="BZ22" s="12">
        <v>0.27962999999999999</v>
      </c>
      <c r="CA22" s="12">
        <v>-2.749007848032349E-2</v>
      </c>
      <c r="CB22" s="12">
        <v>0.14899327824592659</v>
      </c>
      <c r="CC22" s="12">
        <v>-0.12510499999999999</v>
      </c>
      <c r="CD22" s="12">
        <v>9.5518333333333344E-2</v>
      </c>
      <c r="CE22" s="12">
        <v>6.6840000000000011E-2</v>
      </c>
      <c r="CF22" s="12">
        <v>-0.15557066666666661</v>
      </c>
      <c r="CG22" s="12">
        <v>0.44380066666666668</v>
      </c>
      <c r="CH22" s="12">
        <v>-2.6762000000000011E-2</v>
      </c>
      <c r="CI22" s="12">
        <v>-0.23044799999999999</v>
      </c>
      <c r="CJ22" s="12">
        <v>0.1033795050895627</v>
      </c>
      <c r="CK22" s="12">
        <v>3.6163342604682402E-2</v>
      </c>
      <c r="CL22" s="12">
        <v>-0.2406517986250408</v>
      </c>
      <c r="CM22" s="12">
        <v>-0.21983</v>
      </c>
      <c r="CN22" s="12">
        <v>8.5467718209073992E-3</v>
      </c>
      <c r="CO22" s="12">
        <v>-0.18528575790522681</v>
      </c>
      <c r="CP22" s="12">
        <v>0.25940855696940252</v>
      </c>
      <c r="CQ22" s="12">
        <v>-1.233377932566462E-2</v>
      </c>
      <c r="CR22" s="12">
        <v>-2.842066666666666E-2</v>
      </c>
      <c r="CS22" s="12">
        <v>1.5202183521422779E-2</v>
      </c>
      <c r="CT22" s="12">
        <v>-0.1260913781887717</v>
      </c>
      <c r="CU22" s="12">
        <v>0.1202317119640979</v>
      </c>
      <c r="CV22" s="12">
        <v>0.16622267868955429</v>
      </c>
      <c r="CW22" s="12">
        <v>2.2884042331984721E-2</v>
      </c>
      <c r="CX22" s="12">
        <v>-3.749593267848913E-3</v>
      </c>
      <c r="CY22" s="12">
        <v>7.9888257735091419E-3</v>
      </c>
      <c r="CZ22" s="12">
        <v>-0.26292048459923911</v>
      </c>
      <c r="DA22" s="12">
        <v>3.9917538819241108E-3</v>
      </c>
      <c r="DB22" s="12">
        <v>0.59337517172623166</v>
      </c>
      <c r="DC22" s="12">
        <v>-0.14116723571930959</v>
      </c>
      <c r="DD22" s="12">
        <v>-3.1710169125825367E-2</v>
      </c>
      <c r="DE22" s="12">
        <v>-0.13335566666666671</v>
      </c>
      <c r="DF22" s="12">
        <v>-0.38966800000000001</v>
      </c>
      <c r="DG22" s="12">
        <v>8.8121410503063616E-2</v>
      </c>
      <c r="DH22" s="12">
        <v>-3.4688752429190083E-2</v>
      </c>
      <c r="DI22" s="12">
        <v>-8.1105543840270106E-2</v>
      </c>
      <c r="DJ22" s="12">
        <v>-4.2777666666666672E-2</v>
      </c>
      <c r="DK22" s="12">
        <v>9.1427666666666671E-2</v>
      </c>
      <c r="DL22" s="12">
        <v>-2.168033333333334E-2</v>
      </c>
      <c r="DM22" s="12">
        <v>-3.1884333333333327E-2</v>
      </c>
      <c r="DN22" s="12">
        <v>-0.30537502827220309</v>
      </c>
      <c r="DO22" s="12">
        <v>-0.12343750131163821</v>
      </c>
      <c r="DP22" s="12">
        <v>0.16956243214073041</v>
      </c>
      <c r="DQ22" s="12">
        <v>5.1849333333333317E-2</v>
      </c>
      <c r="DR22" s="12">
        <v>-6.0925526153180337E-3</v>
      </c>
      <c r="DS22" s="12">
        <v>-3.6348999999999999E-2</v>
      </c>
      <c r="DT22" s="12">
        <v>-4.3682333333333337E-2</v>
      </c>
      <c r="DU22" s="12">
        <v>0.1615456666666667</v>
      </c>
      <c r="DV22" s="12">
        <v>-0.12570511767817799</v>
      </c>
      <c r="DW22" s="12">
        <v>8.1416000000000016E-2</v>
      </c>
      <c r="DX22" s="12">
        <v>0.22244260844829469</v>
      </c>
      <c r="DY22" s="12">
        <v>8.1471166255399959E-3</v>
      </c>
      <c r="DZ22" s="12">
        <v>0.10374798094555759</v>
      </c>
      <c r="EA22" s="12">
        <v>7.0548648839358755E-2</v>
      </c>
      <c r="EB22" s="12">
        <v>8.0596727535317977E-2</v>
      </c>
      <c r="EC22" s="12">
        <v>-2.8428811778050931E-2</v>
      </c>
      <c r="ED22" s="12">
        <v>7.7413567057607463E-2</v>
      </c>
      <c r="EE22" s="12">
        <v>4.7635999999999998E-2</v>
      </c>
      <c r="EF22" s="12">
        <v>3.4790246372172352E-2</v>
      </c>
    </row>
    <row r="23" spans="1:136">
      <c r="A23" s="2">
        <v>482</v>
      </c>
      <c r="B23" s="2">
        <v>2</v>
      </c>
      <c r="C23" s="12">
        <v>0.28298899999999988</v>
      </c>
      <c r="D23" s="12">
        <v>-2.981066768542209E-2</v>
      </c>
      <c r="E23" s="12">
        <v>0.13300500000000001</v>
      </c>
      <c r="F23" s="12">
        <v>0.1823960753208787</v>
      </c>
      <c r="G23" s="12">
        <v>2.6971568524368019E-2</v>
      </c>
      <c r="H23" s="12">
        <v>-1.81885E-2</v>
      </c>
      <c r="I23" s="12">
        <v>-0.148152028600294</v>
      </c>
      <c r="J23" s="12">
        <v>-0.11487550000000001</v>
      </c>
      <c r="K23" s="12">
        <v>0.14260757512465491</v>
      </c>
      <c r="L23" s="12">
        <v>0.23244436104246219</v>
      </c>
      <c r="M23" s="12">
        <v>0.26256934704734031</v>
      </c>
      <c r="N23" s="12">
        <v>-0.12680001369232849</v>
      </c>
      <c r="O23" s="12">
        <v>-1.9407711266769139E-2</v>
      </c>
      <c r="P23" s="12">
        <v>1.068350475974675E-2</v>
      </c>
      <c r="Q23" s="12">
        <v>-0.25084967690080678</v>
      </c>
      <c r="R23" s="12">
        <v>-8.9628003041144669E-2</v>
      </c>
      <c r="S23" s="12">
        <v>0.1137245328272621</v>
      </c>
      <c r="T23" s="12">
        <v>0.15460269332742849</v>
      </c>
      <c r="U23" s="12">
        <v>5.9236499999999997E-2</v>
      </c>
      <c r="V23" s="12">
        <v>6.3357010979066042E-2</v>
      </c>
      <c r="W23" s="12">
        <v>0.33161915024914451</v>
      </c>
      <c r="X23" s="12">
        <v>0.26408569496329731</v>
      </c>
      <c r="Y23" s="12">
        <v>-7.588763428678244E-3</v>
      </c>
      <c r="Z23" s="12">
        <v>-0.14764040944327361</v>
      </c>
      <c r="AA23" s="12">
        <v>-6.6062919694702682E-3</v>
      </c>
      <c r="AB23" s="12">
        <v>-3.09913850559921E-2</v>
      </c>
      <c r="AC23" s="12">
        <v>-0.1687547996369127</v>
      </c>
      <c r="AD23" s="12">
        <v>-1.5010900357047399E-2</v>
      </c>
      <c r="AE23" s="12">
        <v>0.221717</v>
      </c>
      <c r="AF23" s="12">
        <v>6.6906260089751285E-2</v>
      </c>
      <c r="AG23" s="12">
        <v>-0.145893892939672</v>
      </c>
      <c r="AH23" s="12">
        <v>0.1356489203506672</v>
      </c>
      <c r="AI23" s="12">
        <v>-7.5450169739462281E-2</v>
      </c>
      <c r="AJ23" s="12">
        <v>-5.6431378481542303E-3</v>
      </c>
      <c r="AK23" s="12">
        <v>9.1199224275259672E-2</v>
      </c>
      <c r="AL23" s="12">
        <v>0.1314317131925356</v>
      </c>
      <c r="AM23" s="12">
        <v>-2.0470543302086051E-2</v>
      </c>
      <c r="AN23" s="12">
        <v>0.16052014076233129</v>
      </c>
      <c r="AO23" s="12">
        <v>-5.3369521914240978E-3</v>
      </c>
      <c r="AP23" s="12">
        <v>0.16526650000000001</v>
      </c>
      <c r="AQ23" s="12">
        <v>9.9379000000000009E-2</v>
      </c>
      <c r="AR23" s="12">
        <v>0.25346079578034408</v>
      </c>
      <c r="AS23" s="12">
        <v>-3.2169000000000017E-2</v>
      </c>
      <c r="AT23" s="12">
        <v>-4.1427721813649641E-2</v>
      </c>
      <c r="AU23" s="12">
        <v>3.3145526128504327E-2</v>
      </c>
      <c r="AV23" s="12">
        <v>-2.7638994197374041E-2</v>
      </c>
      <c r="AW23" s="12">
        <v>-5.202690983840276E-2</v>
      </c>
      <c r="AX23" s="12">
        <v>6.9838153827044058E-2</v>
      </c>
      <c r="AY23" s="12">
        <v>0.17023398084058211</v>
      </c>
      <c r="AZ23" s="12">
        <v>-6.3753617401060211E-2</v>
      </c>
      <c r="BA23" s="12">
        <v>9.6467800801007808E-3</v>
      </c>
      <c r="BB23" s="12">
        <v>0.56682749999999993</v>
      </c>
      <c r="BC23" s="12">
        <v>-0.30082824917306578</v>
      </c>
      <c r="BD23" s="12">
        <v>0.12597949999999999</v>
      </c>
      <c r="BE23" s="12">
        <v>-7.1430762397296579E-2</v>
      </c>
      <c r="BF23" s="12">
        <v>-6.0012999999999997E-2</v>
      </c>
      <c r="BG23" s="12">
        <v>7.4761471196752541E-2</v>
      </c>
      <c r="BH23" s="12">
        <v>-0.2034839813552872</v>
      </c>
      <c r="BI23" s="12">
        <v>0.1911120793231991</v>
      </c>
      <c r="BJ23" s="12">
        <v>0.1040033152679269</v>
      </c>
      <c r="BK23" s="12">
        <v>2.0341083364774871E-3</v>
      </c>
      <c r="BL23" s="12">
        <v>-5.3431999999999993E-2</v>
      </c>
      <c r="BM23" s="12">
        <v>-0.18414649999999999</v>
      </c>
      <c r="BN23" s="12">
        <v>2.660347002197758E-2</v>
      </c>
      <c r="BO23" s="12">
        <v>6.1820000000000007E-2</v>
      </c>
      <c r="BP23" s="12">
        <v>9.8266399211456468E-2</v>
      </c>
      <c r="BQ23" s="12">
        <v>7.2047901435266168E-2</v>
      </c>
      <c r="BR23" s="12">
        <v>0.1028225901803507</v>
      </c>
      <c r="BS23" s="12">
        <v>-7.3275388657911791E-2</v>
      </c>
      <c r="BT23" s="12">
        <v>-0.2181855</v>
      </c>
      <c r="BU23" s="12">
        <v>-0.1056865</v>
      </c>
      <c r="BV23" s="12">
        <v>-1.702049999999999E-2</v>
      </c>
      <c r="BW23" s="12">
        <v>0.60099800000000003</v>
      </c>
      <c r="BX23" s="12">
        <v>0.1242195235446351</v>
      </c>
      <c r="BY23" s="12">
        <v>1.020569269434762E-2</v>
      </c>
      <c r="BZ23" s="12">
        <v>0.35239900000000002</v>
      </c>
      <c r="CA23" s="12">
        <v>-7.5653199746629096E-2</v>
      </c>
      <c r="CB23" s="12">
        <v>0.21761420299243989</v>
      </c>
      <c r="CC23" s="12">
        <v>-8.4545000000000009E-2</v>
      </c>
      <c r="CD23" s="12">
        <v>0.14124249999999999</v>
      </c>
      <c r="CE23" s="12">
        <v>5.9602000000000002E-2</v>
      </c>
      <c r="CF23" s="12">
        <v>-0.1834305</v>
      </c>
      <c r="CG23" s="12">
        <v>0.29290349999999998</v>
      </c>
      <c r="CH23" s="12">
        <v>2.195049999999998E-2</v>
      </c>
      <c r="CI23" s="12">
        <v>-5.9122499999999981E-2</v>
      </c>
      <c r="CJ23" s="12">
        <v>1.9875367550410569E-2</v>
      </c>
      <c r="CK23" s="12">
        <v>9.6116994727961536E-2</v>
      </c>
      <c r="CL23" s="12">
        <v>-0.40866101266741839</v>
      </c>
      <c r="CM23" s="12">
        <v>-0.234705</v>
      </c>
      <c r="CN23" s="12">
        <v>5.3005178369803271E-2</v>
      </c>
      <c r="CO23" s="12">
        <v>-0.26845097690314912</v>
      </c>
      <c r="CP23" s="12">
        <v>0.31136074316275669</v>
      </c>
      <c r="CQ23" s="12">
        <v>-9.1837444998058917E-3</v>
      </c>
      <c r="CR23" s="12">
        <v>-3.8230500000000001E-2</v>
      </c>
      <c r="CS23" s="12">
        <v>3.697421899127859E-2</v>
      </c>
      <c r="CT23" s="12">
        <v>-3.2850224006144763E-2</v>
      </c>
      <c r="CU23" s="12">
        <v>2.1056595713287041E-2</v>
      </c>
      <c r="CV23" s="12">
        <v>0.15333096827157461</v>
      </c>
      <c r="CW23" s="12">
        <v>-2.418628778900123E-2</v>
      </c>
      <c r="CX23" s="12">
        <v>8.8716994096526336E-2</v>
      </c>
      <c r="CY23" s="12">
        <v>-2.20465307533785E-2</v>
      </c>
      <c r="CZ23" s="12">
        <v>-0.18199879385735121</v>
      </c>
      <c r="DA23" s="12">
        <v>3.0982136225910391E-2</v>
      </c>
      <c r="DB23" s="12">
        <v>0.86457557459721113</v>
      </c>
      <c r="DC23" s="12">
        <v>-0.15794889931825309</v>
      </c>
      <c r="DD23" s="12">
        <v>-9.2798674677153081E-2</v>
      </c>
      <c r="DE23" s="12">
        <v>-0.1414445</v>
      </c>
      <c r="DF23" s="12">
        <v>-0.40879749999999998</v>
      </c>
      <c r="DG23" s="12">
        <v>0.15297665429505281</v>
      </c>
      <c r="DH23" s="12">
        <v>-0.1095821983620974</v>
      </c>
      <c r="DI23" s="12">
        <v>-0.18491271354810521</v>
      </c>
      <c r="DJ23" s="12">
        <v>3.3823000000000013E-2</v>
      </c>
      <c r="DK23" s="12">
        <v>9.1243500000000005E-2</v>
      </c>
      <c r="DL23" s="12">
        <v>5.6605999999999997E-2</v>
      </c>
      <c r="DM23" s="12">
        <v>-4.6476999999999997E-2</v>
      </c>
      <c r="DN23" s="12">
        <v>-0.26497485648399138</v>
      </c>
      <c r="DO23" s="12">
        <v>-0.16409130373383399</v>
      </c>
      <c r="DP23" s="12">
        <v>0.17683961848490651</v>
      </c>
      <c r="DQ23" s="12">
        <v>0.1211305</v>
      </c>
      <c r="DR23" s="12">
        <v>-8.9886002731306744E-2</v>
      </c>
      <c r="DS23" s="12">
        <v>-0.116578</v>
      </c>
      <c r="DT23" s="12">
        <v>-5.4250499999999993E-2</v>
      </c>
      <c r="DU23" s="12">
        <v>5.5638E-2</v>
      </c>
      <c r="DV23" s="12">
        <v>-0.27627160832943959</v>
      </c>
      <c r="DW23" s="12">
        <v>-2.305249999999999E-2</v>
      </c>
      <c r="DX23" s="12">
        <v>0.31349320637896622</v>
      </c>
      <c r="DY23" s="12">
        <v>-0.16987682865225409</v>
      </c>
      <c r="DZ23" s="12">
        <v>0.10287301862651251</v>
      </c>
      <c r="EA23" s="12">
        <v>2.3448907613119421E-2</v>
      </c>
      <c r="EB23" s="12">
        <v>6.2753439710675096E-2</v>
      </c>
      <c r="EC23" s="12">
        <v>-0.1232049429556647</v>
      </c>
      <c r="ED23" s="12">
        <v>9.1425904619781034E-2</v>
      </c>
      <c r="EE23" s="12">
        <v>6.9210999999999995E-2</v>
      </c>
      <c r="EF23" s="12">
        <v>4.7782278591659677E-2</v>
      </c>
    </row>
    <row r="24" spans="1:136">
      <c r="A24" s="2">
        <v>964</v>
      </c>
      <c r="B24" s="2">
        <v>1</v>
      </c>
      <c r="C24" s="12">
        <v>9.9113000000000007E-2</v>
      </c>
      <c r="D24" s="12">
        <v>-0.1040490099724129</v>
      </c>
      <c r="E24" s="12">
        <v>0.28451199999999999</v>
      </c>
      <c r="F24" s="12">
        <v>0.20154571887164621</v>
      </c>
      <c r="G24" s="12">
        <v>2.2622388562617651E-2</v>
      </c>
      <c r="H24" s="12">
        <v>3.5856000000000013E-2</v>
      </c>
      <c r="I24" s="12">
        <v>2.111933203143501E-3</v>
      </c>
      <c r="J24" s="12">
        <v>-0.11546099999999999</v>
      </c>
      <c r="K24" s="12">
        <v>5.0444335993488708E-2</v>
      </c>
      <c r="L24" s="12">
        <v>0.33375944447564659</v>
      </c>
      <c r="M24" s="12">
        <v>0.46302754420013847</v>
      </c>
      <c r="N24" s="12">
        <v>-0.1051917107958454</v>
      </c>
      <c r="O24" s="12">
        <v>3.6648790739543732E-2</v>
      </c>
      <c r="P24" s="12">
        <v>7.7736485854057236E-2</v>
      </c>
      <c r="Q24" s="12">
        <v>9.0144948798662944E-2</v>
      </c>
      <c r="R24" s="12">
        <v>-0.1083654949121912</v>
      </c>
      <c r="S24" s="12">
        <v>0.35251446106016437</v>
      </c>
      <c r="T24" s="12">
        <v>-0.27048671467401741</v>
      </c>
      <c r="U24" s="12">
        <v>0.28585300000000002</v>
      </c>
      <c r="V24" s="12">
        <v>0.11654031671685081</v>
      </c>
      <c r="W24" s="12">
        <v>0.49571198595594262</v>
      </c>
      <c r="X24" s="12">
        <v>0.1180224325060039</v>
      </c>
      <c r="Y24" s="12">
        <v>-2.9398839580432611E-2</v>
      </c>
      <c r="Z24" s="12">
        <v>-0.15040992568878969</v>
      </c>
      <c r="AA24" s="12">
        <v>-1.354776823757727E-2</v>
      </c>
      <c r="AB24" s="12">
        <v>-0.30039379355698248</v>
      </c>
      <c r="AC24" s="12">
        <v>-0.4017473338469546</v>
      </c>
      <c r="AD24" s="12">
        <v>-7.8218388926296623E-3</v>
      </c>
      <c r="AE24" s="12">
        <v>0.17527100000000001</v>
      </c>
      <c r="AF24" s="12">
        <v>2.2522010034790499E-2</v>
      </c>
      <c r="AG24" s="12">
        <v>-0.38005539258279603</v>
      </c>
      <c r="AH24" s="12">
        <v>0.30212275660657528</v>
      </c>
      <c r="AI24" s="12">
        <v>-0.15191167478339729</v>
      </c>
      <c r="AJ24" s="12">
        <v>8.089124399937539E-2</v>
      </c>
      <c r="AK24" s="12">
        <v>0.11317916377562411</v>
      </c>
      <c r="AL24" s="12">
        <v>-5.4676935490635382E-2</v>
      </c>
      <c r="AM24" s="12">
        <v>1.4966545334123929E-2</v>
      </c>
      <c r="AN24" s="12">
        <v>0.1106607719355505</v>
      </c>
      <c r="AO24" s="12">
        <v>6.6090111828990022E-2</v>
      </c>
      <c r="AP24" s="12">
        <v>0.16448499999999999</v>
      </c>
      <c r="AQ24" s="12">
        <v>0.21712400000000001</v>
      </c>
      <c r="AR24" s="12">
        <v>2.0350844492814421E-2</v>
      </c>
      <c r="AS24" s="12">
        <v>-0.23783199999999999</v>
      </c>
      <c r="AT24" s="12">
        <v>3.045920748470865E-2</v>
      </c>
      <c r="AU24" s="12">
        <v>4.4095319865224331E-2</v>
      </c>
      <c r="AV24" s="12">
        <v>-8.7151952186895892E-2</v>
      </c>
      <c r="AW24" s="12">
        <v>4.9875415110391882E-3</v>
      </c>
      <c r="AX24" s="12">
        <v>2.8306186588424521E-2</v>
      </c>
      <c r="AY24" s="12">
        <v>0.16812729388488939</v>
      </c>
      <c r="AZ24" s="12">
        <v>3.7867073599665187E-2</v>
      </c>
      <c r="BA24" s="12">
        <v>-5.3794732084633153E-2</v>
      </c>
      <c r="BB24" s="12">
        <v>0.69077599999999995</v>
      </c>
      <c r="BC24" s="12">
        <v>-0.8032160130443774</v>
      </c>
      <c r="BD24" s="12">
        <v>1.864E-2</v>
      </c>
      <c r="BE24" s="12">
        <v>-4.606435403168687E-2</v>
      </c>
      <c r="BF24" s="12">
        <v>-0.10023600000000001</v>
      </c>
      <c r="BG24" s="12">
        <v>2.6835965866310919E-2</v>
      </c>
      <c r="BH24" s="12">
        <v>-0.38625533691353497</v>
      </c>
      <c r="BI24" s="12">
        <v>0.2236291060700471</v>
      </c>
      <c r="BJ24" s="12">
        <v>3.3483157548845829E-3</v>
      </c>
      <c r="BK24" s="12">
        <v>4.0235468942862278E-3</v>
      </c>
      <c r="BL24" s="12">
        <v>-3.0898999999999999E-2</v>
      </c>
      <c r="BM24" s="12">
        <v>-0.376913</v>
      </c>
      <c r="BN24" s="12">
        <v>1.989015847921969E-2</v>
      </c>
      <c r="BO24" s="12">
        <v>-5.62E-3</v>
      </c>
      <c r="BP24" s="12">
        <v>0.1233511811293219</v>
      </c>
      <c r="BQ24" s="12">
        <v>-6.4169633330115036E-2</v>
      </c>
      <c r="BR24" s="12">
        <v>9.8920889185241626E-2</v>
      </c>
      <c r="BS24" s="12">
        <v>-1.284717484456964E-3</v>
      </c>
      <c r="BT24" s="12">
        <v>-0.27671800000000002</v>
      </c>
      <c r="BU24" s="12">
        <v>-8.7489999999999981E-3</v>
      </c>
      <c r="BV24" s="12">
        <v>-0.20330699999999999</v>
      </c>
      <c r="BW24" s="12">
        <v>1.1090150000000001</v>
      </c>
      <c r="BX24" s="12">
        <v>5.8043369649915091E-2</v>
      </c>
      <c r="BY24" s="12">
        <v>-0.10974566916741731</v>
      </c>
      <c r="BZ24" s="12">
        <v>0.81395799999999996</v>
      </c>
      <c r="CA24" s="12">
        <v>-0.1152216807734147</v>
      </c>
      <c r="CB24" s="12">
        <v>-0.20876197428786911</v>
      </c>
      <c r="CC24" s="12">
        <v>-0.18246999999999999</v>
      </c>
      <c r="CD24" s="12">
        <v>2.9954000000000001E-2</v>
      </c>
      <c r="CE24" s="12">
        <v>0.16556499999999999</v>
      </c>
      <c r="CF24" s="12">
        <v>-0.16513</v>
      </c>
      <c r="CG24" s="12">
        <v>0.23727699999999999</v>
      </c>
      <c r="CH24" s="12">
        <v>0.14564299999999999</v>
      </c>
      <c r="CI24" s="12">
        <v>-5.8507999999999998E-2</v>
      </c>
      <c r="CJ24" s="12">
        <v>-1.310948541941956E-2</v>
      </c>
      <c r="CK24" s="12">
        <v>9.3530079315696568E-2</v>
      </c>
      <c r="CL24" s="12">
        <v>0.1417553333725407</v>
      </c>
      <c r="CM24" s="12">
        <v>-0.63644000000000001</v>
      </c>
      <c r="CN24" s="12">
        <v>0.1077387664572132</v>
      </c>
      <c r="CO24" s="12">
        <v>-0.57240960973467503</v>
      </c>
      <c r="CP24" s="12">
        <v>0.1603442048148421</v>
      </c>
      <c r="CQ24" s="12">
        <v>0.1146871738632968</v>
      </c>
      <c r="CR24" s="12">
        <v>-9.6813999999999997E-2</v>
      </c>
      <c r="CS24" s="12">
        <v>8.5895232746805786E-2</v>
      </c>
      <c r="CT24" s="12">
        <v>0.1828965872921165</v>
      </c>
      <c r="CU24" s="12">
        <v>7.2751347656710041E-2</v>
      </c>
      <c r="CV24" s="12">
        <v>0.182864094907223</v>
      </c>
      <c r="CW24" s="12">
        <v>-0.234993215272846</v>
      </c>
      <c r="CX24" s="12">
        <v>-5.5207193708687041E-2</v>
      </c>
      <c r="CY24" s="12">
        <v>8.0066904636818925E-2</v>
      </c>
      <c r="CZ24" s="12">
        <v>-0.11220662844456721</v>
      </c>
      <c r="DA24" s="12">
        <v>-2.451120416275485E-2</v>
      </c>
      <c r="DB24" s="12">
        <v>0.94810958937996914</v>
      </c>
      <c r="DC24" s="12">
        <v>-0.28272977872851818</v>
      </c>
      <c r="DD24" s="12">
        <v>0.19584472218244131</v>
      </c>
      <c r="DE24" s="12">
        <v>-0.30663899999999999</v>
      </c>
      <c r="DF24" s="12">
        <v>-0.52558799999999994</v>
      </c>
      <c r="DG24" s="12">
        <v>0.24858898273322999</v>
      </c>
      <c r="DH24" s="12">
        <v>-0.1028328439815145</v>
      </c>
      <c r="DI24" s="12">
        <v>-0.42309879972833903</v>
      </c>
      <c r="DJ24" s="12">
        <v>-2.1080000000000002E-2</v>
      </c>
      <c r="DK24" s="12">
        <v>0.11967899999999999</v>
      </c>
      <c r="DL24" s="12">
        <v>3.1748999999999999E-2</v>
      </c>
      <c r="DM24" s="12">
        <v>-4.0999999999999723E-4</v>
      </c>
      <c r="DN24" s="12">
        <v>-0.51684793899753223</v>
      </c>
      <c r="DO24" s="12">
        <v>-0.18544080263268789</v>
      </c>
      <c r="DP24" s="12">
        <v>0.22357182348369681</v>
      </c>
      <c r="DQ24" s="12">
        <v>5.0486000000000003E-2</v>
      </c>
      <c r="DR24" s="12">
        <v>-2.0515630212029241E-2</v>
      </c>
      <c r="DS24" s="12">
        <v>-6.7365999999999995E-2</v>
      </c>
      <c r="DT24" s="12">
        <v>-7.4732999999999994E-2</v>
      </c>
      <c r="DU24" s="12">
        <v>-2.178200000000001E-2</v>
      </c>
      <c r="DV24" s="12">
        <v>-0.1582246986438143</v>
      </c>
      <c r="DW24" s="12">
        <v>-0.101183</v>
      </c>
      <c r="DX24" s="12">
        <v>0.31159312779250392</v>
      </c>
      <c r="DY24" s="12">
        <v>-0.34380428679820851</v>
      </c>
      <c r="DZ24" s="12">
        <v>5.0469182403116652E-2</v>
      </c>
      <c r="EA24" s="12">
        <v>-7.7350922227335792E-2</v>
      </c>
      <c r="EB24" s="12">
        <v>2.9582176365294029E-2</v>
      </c>
      <c r="EC24" s="12">
        <v>-0.25665137996352638</v>
      </c>
      <c r="ED24" s="12">
        <v>5.6172845298362112E-2</v>
      </c>
      <c r="EE24" s="12">
        <v>0.10748199999999999</v>
      </c>
      <c r="EF24" s="12">
        <v>-6.7276677043968364E-2</v>
      </c>
    </row>
    <row r="26" spans="1:136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16" t="s">
        <v>146</v>
      </c>
      <c r="C28" s="17">
        <v>2540</v>
      </c>
      <c r="D28" s="17">
        <v>2540</v>
      </c>
      <c r="E28" s="17">
        <v>2540</v>
      </c>
      <c r="F28" s="17">
        <v>2540</v>
      </c>
      <c r="G28" s="17">
        <v>2540</v>
      </c>
      <c r="H28" s="17">
        <v>2540</v>
      </c>
      <c r="I28" s="17">
        <v>6114</v>
      </c>
      <c r="J28" s="17">
        <v>6242</v>
      </c>
      <c r="K28" s="17">
        <v>6242</v>
      </c>
      <c r="L28" s="17">
        <v>6242</v>
      </c>
      <c r="M28" s="17">
        <v>8077</v>
      </c>
      <c r="N28" s="17">
        <v>8077</v>
      </c>
      <c r="O28" s="17">
        <v>5455</v>
      </c>
      <c r="P28" s="17">
        <v>5455</v>
      </c>
      <c r="Q28" s="17">
        <v>5455</v>
      </c>
      <c r="R28" s="17">
        <v>5455</v>
      </c>
      <c r="S28" s="17">
        <v>5455</v>
      </c>
      <c r="T28" s="17">
        <v>5455</v>
      </c>
      <c r="U28" s="17">
        <v>4413</v>
      </c>
      <c r="V28" s="17">
        <v>4413</v>
      </c>
      <c r="W28" s="17">
        <v>4413</v>
      </c>
      <c r="X28" s="17">
        <v>6225</v>
      </c>
      <c r="Y28" s="17">
        <v>8044</v>
      </c>
      <c r="Z28" s="17">
        <v>6225</v>
      </c>
      <c r="AA28" s="17">
        <v>6225</v>
      </c>
      <c r="AB28" s="17">
        <v>6225</v>
      </c>
      <c r="AC28" s="17">
        <v>6225</v>
      </c>
      <c r="AD28" s="17">
        <v>6225</v>
      </c>
      <c r="AE28" s="17">
        <v>6225</v>
      </c>
      <c r="AF28" s="17">
        <v>6225</v>
      </c>
      <c r="AG28" s="17">
        <v>6225</v>
      </c>
      <c r="AH28" s="17">
        <v>6225</v>
      </c>
      <c r="AI28" s="17">
        <v>6291</v>
      </c>
      <c r="AJ28" s="17">
        <v>6291</v>
      </c>
      <c r="AK28" s="17">
        <v>6225</v>
      </c>
      <c r="AL28" s="17">
        <v>6225</v>
      </c>
      <c r="AM28" s="17">
        <v>6225</v>
      </c>
      <c r="AN28" s="17">
        <v>6225</v>
      </c>
      <c r="AO28" s="17">
        <v>6225</v>
      </c>
      <c r="AP28" s="17">
        <v>6225</v>
      </c>
      <c r="AQ28" s="17">
        <v>6225</v>
      </c>
      <c r="AR28" s="17">
        <v>6225</v>
      </c>
      <c r="AS28" s="17">
        <v>6225</v>
      </c>
      <c r="AT28" s="17">
        <v>6225</v>
      </c>
      <c r="AU28" s="17">
        <v>6225</v>
      </c>
      <c r="AV28" s="17">
        <v>6225</v>
      </c>
      <c r="AW28" s="17">
        <v>3043</v>
      </c>
      <c r="AX28" s="17">
        <v>3043</v>
      </c>
      <c r="AY28" s="17">
        <v>6225</v>
      </c>
      <c r="AZ28" s="17">
        <v>6225</v>
      </c>
      <c r="BA28" s="17">
        <v>6225</v>
      </c>
      <c r="BB28" s="17">
        <v>6225</v>
      </c>
      <c r="BC28" s="17">
        <v>6225</v>
      </c>
      <c r="BD28" s="17">
        <v>6225</v>
      </c>
      <c r="BE28" s="17">
        <v>6225</v>
      </c>
      <c r="BF28" s="17">
        <v>6225</v>
      </c>
      <c r="BG28" s="17">
        <v>6225</v>
      </c>
      <c r="BH28" s="17">
        <v>6225</v>
      </c>
      <c r="BI28" s="17">
        <v>6225</v>
      </c>
      <c r="BJ28" s="17">
        <v>6225</v>
      </c>
      <c r="BK28" s="17">
        <v>6225</v>
      </c>
      <c r="BL28" s="17">
        <v>6225</v>
      </c>
      <c r="BM28" s="17">
        <v>6225</v>
      </c>
      <c r="BN28" s="17">
        <v>6225</v>
      </c>
      <c r="BO28" s="17">
        <v>6225</v>
      </c>
      <c r="BP28" s="17">
        <v>6225</v>
      </c>
      <c r="BQ28" s="17">
        <v>6225</v>
      </c>
      <c r="BR28" s="17">
        <v>6225</v>
      </c>
      <c r="BS28" s="17">
        <v>6225</v>
      </c>
      <c r="BT28" s="17">
        <v>6225</v>
      </c>
      <c r="BU28" s="17">
        <v>8080</v>
      </c>
      <c r="BV28" s="17">
        <v>6225</v>
      </c>
      <c r="BW28" s="17">
        <v>5205</v>
      </c>
      <c r="BX28" s="17">
        <v>8080</v>
      </c>
      <c r="BY28" s="17">
        <v>8080</v>
      </c>
      <c r="BZ28" s="17">
        <v>8080</v>
      </c>
      <c r="CA28" s="17">
        <v>8080</v>
      </c>
      <c r="CB28" s="17">
        <v>8080</v>
      </c>
      <c r="CC28" s="17">
        <v>5205</v>
      </c>
      <c r="CD28" s="17">
        <v>5205</v>
      </c>
      <c r="CE28" s="17">
        <v>5205</v>
      </c>
      <c r="CF28" s="17">
        <v>5205</v>
      </c>
      <c r="CG28" s="17">
        <v>5205</v>
      </c>
      <c r="CH28" s="17">
        <v>5205</v>
      </c>
      <c r="CI28" s="17">
        <v>5205</v>
      </c>
      <c r="CJ28" s="17">
        <v>8080</v>
      </c>
      <c r="CK28" s="17">
        <v>8080</v>
      </c>
      <c r="CL28" s="17">
        <v>8080</v>
      </c>
      <c r="CM28" s="17">
        <v>5205</v>
      </c>
      <c r="CN28" s="17">
        <v>6287</v>
      </c>
      <c r="CO28" s="17">
        <v>6287</v>
      </c>
      <c r="CP28" s="17">
        <v>6287</v>
      </c>
      <c r="CQ28" s="17">
        <v>6287</v>
      </c>
      <c r="CR28" s="17">
        <v>6287</v>
      </c>
      <c r="CS28" s="17">
        <v>6287</v>
      </c>
      <c r="CT28" s="17">
        <v>6287</v>
      </c>
      <c r="CU28" s="17">
        <v>8101</v>
      </c>
      <c r="CV28" s="17">
        <v>8101</v>
      </c>
      <c r="CW28" s="17">
        <v>8101</v>
      </c>
      <c r="CX28" s="17">
        <v>8101</v>
      </c>
      <c r="CY28" s="17">
        <v>8101</v>
      </c>
      <c r="CZ28" s="17">
        <v>8101</v>
      </c>
      <c r="DA28" s="17">
        <v>6225</v>
      </c>
      <c r="DB28" s="17">
        <v>6225</v>
      </c>
      <c r="DC28" s="17">
        <v>6225</v>
      </c>
      <c r="DD28" s="17">
        <v>6225</v>
      </c>
      <c r="DE28" s="17">
        <v>6225</v>
      </c>
      <c r="DF28" s="17">
        <v>3064</v>
      </c>
      <c r="DG28" s="17">
        <v>6225</v>
      </c>
      <c r="DH28" s="17">
        <v>6225</v>
      </c>
      <c r="DI28" s="17">
        <v>6225</v>
      </c>
      <c r="DJ28" s="17">
        <v>6225</v>
      </c>
      <c r="DK28" s="17">
        <v>6225</v>
      </c>
      <c r="DL28" s="17">
        <v>6225</v>
      </c>
      <c r="DM28" s="17">
        <v>8084</v>
      </c>
      <c r="DN28" s="17">
        <v>8084</v>
      </c>
      <c r="DO28" s="17">
        <v>1519</v>
      </c>
      <c r="DP28" s="17">
        <v>1519</v>
      </c>
      <c r="DQ28" s="17">
        <v>8084</v>
      </c>
      <c r="DR28" s="17">
        <v>4419</v>
      </c>
      <c r="DS28" s="17">
        <v>4419</v>
      </c>
      <c r="DT28" s="17">
        <v>4419</v>
      </c>
      <c r="DU28" s="17">
        <v>4419</v>
      </c>
      <c r="DV28" s="17">
        <v>4419</v>
      </c>
      <c r="DW28" s="17">
        <v>4419</v>
      </c>
      <c r="DX28" s="17">
        <v>4419</v>
      </c>
      <c r="DY28" s="17">
        <v>1519</v>
      </c>
      <c r="DZ28" s="17">
        <v>1519</v>
      </c>
      <c r="EA28" s="17">
        <v>1519</v>
      </c>
      <c r="EB28" s="17">
        <v>1519</v>
      </c>
      <c r="EC28" s="17">
        <v>6287</v>
      </c>
      <c r="ED28" s="17">
        <v>6287</v>
      </c>
      <c r="EE28" s="17">
        <v>5314</v>
      </c>
      <c r="EF28" s="17">
        <v>5314</v>
      </c>
    </row>
    <row r="29" spans="1:136">
      <c r="B29" s="16" t="s">
        <v>147</v>
      </c>
      <c r="C29" s="17" t="s">
        <v>148</v>
      </c>
      <c r="D29" s="17" t="s">
        <v>148</v>
      </c>
      <c r="E29" s="17" t="s">
        <v>148</v>
      </c>
      <c r="F29" s="17" t="s">
        <v>148</v>
      </c>
      <c r="G29" s="17" t="s">
        <v>148</v>
      </c>
      <c r="H29" s="17" t="s">
        <v>148</v>
      </c>
      <c r="I29" s="17" t="s">
        <v>149</v>
      </c>
      <c r="J29" s="17" t="s">
        <v>150</v>
      </c>
      <c r="K29" s="17" t="s">
        <v>150</v>
      </c>
      <c r="L29" s="17" t="s">
        <v>150</v>
      </c>
      <c r="M29" s="17" t="s">
        <v>151</v>
      </c>
      <c r="N29" s="17" t="s">
        <v>151</v>
      </c>
      <c r="O29" s="17" t="s">
        <v>152</v>
      </c>
      <c r="P29" s="17" t="s">
        <v>152</v>
      </c>
      <c r="Q29" s="17" t="s">
        <v>152</v>
      </c>
      <c r="R29" s="17" t="s">
        <v>152</v>
      </c>
      <c r="S29" s="17" t="s">
        <v>152</v>
      </c>
      <c r="T29" s="17" t="s">
        <v>152</v>
      </c>
      <c r="U29" s="17" t="s">
        <v>153</v>
      </c>
      <c r="V29" s="17" t="s">
        <v>153</v>
      </c>
      <c r="W29" s="17" t="s">
        <v>153</v>
      </c>
      <c r="X29" s="17" t="s">
        <v>154</v>
      </c>
      <c r="Y29" s="17" t="s">
        <v>155</v>
      </c>
      <c r="Z29" s="17" t="s">
        <v>154</v>
      </c>
      <c r="AA29" s="17" t="s">
        <v>154</v>
      </c>
      <c r="AB29" s="17" t="s">
        <v>154</v>
      </c>
      <c r="AC29" s="17" t="s">
        <v>154</v>
      </c>
      <c r="AD29" s="17" t="s">
        <v>154</v>
      </c>
      <c r="AE29" s="17" t="s">
        <v>154</v>
      </c>
      <c r="AF29" s="17" t="s">
        <v>154</v>
      </c>
      <c r="AG29" s="17" t="s">
        <v>154</v>
      </c>
      <c r="AH29" s="17" t="s">
        <v>154</v>
      </c>
      <c r="AI29" s="17" t="s">
        <v>156</v>
      </c>
      <c r="AJ29" s="17" t="s">
        <v>156</v>
      </c>
      <c r="AK29" s="17" t="s">
        <v>154</v>
      </c>
      <c r="AL29" s="17" t="s">
        <v>154</v>
      </c>
      <c r="AM29" s="17" t="s">
        <v>154</v>
      </c>
      <c r="AN29" s="17" t="s">
        <v>154</v>
      </c>
      <c r="AO29" s="17" t="s">
        <v>154</v>
      </c>
      <c r="AP29" s="17" t="s">
        <v>154</v>
      </c>
      <c r="AQ29" s="17" t="s">
        <v>154</v>
      </c>
      <c r="AR29" s="17" t="s">
        <v>154</v>
      </c>
      <c r="AS29" s="17" t="s">
        <v>154</v>
      </c>
      <c r="AT29" s="17" t="s">
        <v>154</v>
      </c>
      <c r="AU29" s="17" t="s">
        <v>154</v>
      </c>
      <c r="AV29" s="17" t="s">
        <v>154</v>
      </c>
      <c r="AW29" s="17" t="s">
        <v>157</v>
      </c>
      <c r="AX29" s="17" t="s">
        <v>157</v>
      </c>
      <c r="AY29" s="17" t="s">
        <v>154</v>
      </c>
      <c r="AZ29" s="17" t="s">
        <v>154</v>
      </c>
      <c r="BA29" s="17" t="s">
        <v>154</v>
      </c>
      <c r="BB29" s="17" t="s">
        <v>154</v>
      </c>
      <c r="BC29" s="17" t="s">
        <v>154</v>
      </c>
      <c r="BD29" s="17" t="s">
        <v>154</v>
      </c>
      <c r="BE29" s="17" t="s">
        <v>154</v>
      </c>
      <c r="BF29" s="17" t="s">
        <v>154</v>
      </c>
      <c r="BG29" s="17" t="s">
        <v>154</v>
      </c>
      <c r="BH29" s="17" t="s">
        <v>154</v>
      </c>
      <c r="BI29" s="17" t="s">
        <v>154</v>
      </c>
      <c r="BJ29" s="17" t="s">
        <v>154</v>
      </c>
      <c r="BK29" s="17" t="s">
        <v>154</v>
      </c>
      <c r="BL29" s="17" t="s">
        <v>154</v>
      </c>
      <c r="BM29" s="17" t="s">
        <v>154</v>
      </c>
      <c r="BN29" s="17" t="s">
        <v>154</v>
      </c>
      <c r="BO29" s="17" t="s">
        <v>154</v>
      </c>
      <c r="BP29" s="17" t="s">
        <v>154</v>
      </c>
      <c r="BQ29" s="17" t="s">
        <v>154</v>
      </c>
      <c r="BR29" s="17" t="s">
        <v>154</v>
      </c>
      <c r="BS29" s="17" t="s">
        <v>154</v>
      </c>
      <c r="BT29" s="17" t="s">
        <v>154</v>
      </c>
      <c r="BU29" s="17" t="s">
        <v>158</v>
      </c>
      <c r="BV29" s="17" t="s">
        <v>154</v>
      </c>
      <c r="BW29" s="17" t="s">
        <v>159</v>
      </c>
      <c r="BX29" s="17" t="s">
        <v>158</v>
      </c>
      <c r="BY29" s="17" t="s">
        <v>158</v>
      </c>
      <c r="BZ29" s="17" t="s">
        <v>158</v>
      </c>
      <c r="CA29" s="17" t="s">
        <v>158</v>
      </c>
      <c r="CB29" s="17" t="s">
        <v>158</v>
      </c>
      <c r="CC29" s="17" t="s">
        <v>159</v>
      </c>
      <c r="CD29" s="17" t="s">
        <v>159</v>
      </c>
      <c r="CE29" s="17" t="s">
        <v>159</v>
      </c>
      <c r="CF29" s="17" t="s">
        <v>159</v>
      </c>
      <c r="CG29" s="17" t="s">
        <v>159</v>
      </c>
      <c r="CH29" s="17" t="s">
        <v>159</v>
      </c>
      <c r="CI29" s="17" t="s">
        <v>159</v>
      </c>
      <c r="CJ29" s="17" t="s">
        <v>158</v>
      </c>
      <c r="CK29" s="17" t="s">
        <v>158</v>
      </c>
      <c r="CL29" s="17" t="s">
        <v>158</v>
      </c>
      <c r="CM29" s="17" t="s">
        <v>159</v>
      </c>
      <c r="CN29" s="17" t="s">
        <v>160</v>
      </c>
      <c r="CO29" s="17" t="s">
        <v>160</v>
      </c>
      <c r="CP29" s="17" t="s">
        <v>160</v>
      </c>
      <c r="CQ29" s="17" t="s">
        <v>160</v>
      </c>
      <c r="CR29" s="17" t="s">
        <v>160</v>
      </c>
      <c r="CS29" s="17" t="s">
        <v>160</v>
      </c>
      <c r="CT29" s="17" t="s">
        <v>160</v>
      </c>
      <c r="CU29" s="17" t="s">
        <v>161</v>
      </c>
      <c r="CV29" s="17" t="s">
        <v>161</v>
      </c>
      <c r="CW29" s="17" t="s">
        <v>161</v>
      </c>
      <c r="CX29" s="17" t="s">
        <v>161</v>
      </c>
      <c r="CY29" s="17" t="s">
        <v>161</v>
      </c>
      <c r="CZ29" s="17" t="s">
        <v>161</v>
      </c>
      <c r="DA29" s="17" t="s">
        <v>154</v>
      </c>
      <c r="DB29" s="17" t="s">
        <v>154</v>
      </c>
      <c r="DC29" s="17" t="s">
        <v>154</v>
      </c>
      <c r="DD29" s="17" t="s">
        <v>154</v>
      </c>
      <c r="DE29" s="17" t="s">
        <v>154</v>
      </c>
      <c r="DF29" s="17" t="s">
        <v>162</v>
      </c>
      <c r="DG29" s="17" t="s">
        <v>154</v>
      </c>
      <c r="DH29" s="17" t="s">
        <v>154</v>
      </c>
      <c r="DI29" s="17" t="s">
        <v>154</v>
      </c>
      <c r="DJ29" s="17" t="s">
        <v>154</v>
      </c>
      <c r="DK29" s="17" t="s">
        <v>154</v>
      </c>
      <c r="DL29" s="17" t="s">
        <v>154</v>
      </c>
      <c r="DM29" s="17" t="s">
        <v>163</v>
      </c>
      <c r="DN29" s="17" t="s">
        <v>163</v>
      </c>
      <c r="DO29" s="17" t="s">
        <v>164</v>
      </c>
      <c r="DP29" s="17" t="s">
        <v>164</v>
      </c>
      <c r="DQ29" s="17" t="s">
        <v>163</v>
      </c>
      <c r="DR29" s="17" t="s">
        <v>165</v>
      </c>
      <c r="DS29" s="17" t="s">
        <v>165</v>
      </c>
      <c r="DT29" s="17" t="s">
        <v>165</v>
      </c>
      <c r="DU29" s="17" t="s">
        <v>165</v>
      </c>
      <c r="DV29" s="17" t="s">
        <v>165</v>
      </c>
      <c r="DW29" s="17" t="s">
        <v>165</v>
      </c>
      <c r="DX29" s="17" t="s">
        <v>165</v>
      </c>
      <c r="DY29" s="17" t="s">
        <v>164</v>
      </c>
      <c r="DZ29" s="17" t="s">
        <v>164</v>
      </c>
      <c r="EA29" s="17" t="s">
        <v>164</v>
      </c>
      <c r="EB29" s="17" t="s">
        <v>164</v>
      </c>
      <c r="EC29" s="17" t="s">
        <v>160</v>
      </c>
      <c r="ED29" s="17" t="s">
        <v>160</v>
      </c>
      <c r="EE29" s="17" t="s">
        <v>166</v>
      </c>
      <c r="EF29" s="17" t="s">
        <v>166</v>
      </c>
    </row>
    <row r="30" spans="1:136">
      <c r="B30" s="16" t="s">
        <v>167</v>
      </c>
      <c r="C30" s="17">
        <v>2492</v>
      </c>
      <c r="D30" s="17">
        <v>2323</v>
      </c>
      <c r="E30" s="17">
        <v>2323</v>
      </c>
      <c r="F30" s="17">
        <v>2323</v>
      </c>
      <c r="G30" s="17">
        <v>2323</v>
      </c>
      <c r="H30" s="17">
        <v>2323</v>
      </c>
      <c r="I30" s="17">
        <v>2323</v>
      </c>
      <c r="J30" s="17">
        <v>2323</v>
      </c>
      <c r="K30" s="17">
        <v>2323</v>
      </c>
      <c r="L30" s="17">
        <v>2323</v>
      </c>
      <c r="M30" s="17">
        <v>2323</v>
      </c>
      <c r="N30" s="17">
        <v>2323</v>
      </c>
      <c r="O30" s="17">
        <v>2323</v>
      </c>
      <c r="P30" s="17">
        <v>2323</v>
      </c>
      <c r="Q30" s="17">
        <v>2323</v>
      </c>
      <c r="R30" s="17">
        <v>2323</v>
      </c>
      <c r="S30" s="17">
        <v>2323</v>
      </c>
      <c r="T30" s="17">
        <v>2323</v>
      </c>
      <c r="U30" s="17">
        <v>2323</v>
      </c>
      <c r="V30" s="17">
        <v>2323</v>
      </c>
      <c r="W30" s="17">
        <v>2323</v>
      </c>
      <c r="X30" s="17">
        <v>2323</v>
      </c>
      <c r="Y30" s="17">
        <v>2323</v>
      </c>
      <c r="Z30" s="17">
        <v>2323</v>
      </c>
      <c r="AA30" s="17">
        <v>2323</v>
      </c>
      <c r="AB30" s="17">
        <v>2323</v>
      </c>
      <c r="AC30" s="17">
        <v>2323</v>
      </c>
      <c r="AD30" s="17">
        <v>2323</v>
      </c>
      <c r="AE30" s="17">
        <v>2323</v>
      </c>
      <c r="AF30" s="17">
        <v>2323</v>
      </c>
      <c r="AG30" s="17">
        <v>1314</v>
      </c>
      <c r="AH30" s="17">
        <v>2323</v>
      </c>
      <c r="AI30" s="17">
        <v>2330</v>
      </c>
      <c r="AJ30" s="17">
        <v>2330</v>
      </c>
      <c r="AK30" s="17">
        <v>2323</v>
      </c>
      <c r="AL30" s="17">
        <v>2323</v>
      </c>
      <c r="AM30" s="17">
        <v>2323</v>
      </c>
      <c r="AN30" s="17">
        <v>2323</v>
      </c>
      <c r="AO30" s="17">
        <v>2323</v>
      </c>
      <c r="AP30" s="17">
        <v>2323</v>
      </c>
      <c r="AQ30" s="17">
        <v>2323</v>
      </c>
      <c r="AR30" s="17">
        <v>2323</v>
      </c>
      <c r="AS30" s="17">
        <v>2323</v>
      </c>
      <c r="AT30" s="17">
        <v>2323</v>
      </c>
      <c r="AU30" s="17">
        <v>2323</v>
      </c>
      <c r="AV30" s="17">
        <v>2323</v>
      </c>
      <c r="AW30" s="17">
        <v>3252</v>
      </c>
      <c r="AX30" s="17">
        <v>3252</v>
      </c>
      <c r="AY30" s="17">
        <v>3252</v>
      </c>
      <c r="AZ30" s="17">
        <v>3252</v>
      </c>
      <c r="BA30" s="17">
        <v>3252</v>
      </c>
      <c r="BB30" s="17">
        <v>3252</v>
      </c>
      <c r="BC30" s="17">
        <v>1906</v>
      </c>
      <c r="BD30" s="17">
        <v>1906</v>
      </c>
      <c r="BE30" s="17">
        <v>1906</v>
      </c>
      <c r="BF30" s="17">
        <v>3252</v>
      </c>
      <c r="BG30" s="17">
        <v>1906</v>
      </c>
      <c r="BH30" s="17">
        <v>1906</v>
      </c>
      <c r="BI30" s="17">
        <v>1906</v>
      </c>
      <c r="BJ30" s="17">
        <v>1906</v>
      </c>
      <c r="BK30" s="17">
        <v>8085</v>
      </c>
      <c r="BL30" s="17">
        <v>8085</v>
      </c>
      <c r="BM30" s="17">
        <v>2201</v>
      </c>
      <c r="BN30" s="17">
        <v>8085</v>
      </c>
      <c r="BO30" s="17">
        <v>8085</v>
      </c>
      <c r="BP30" s="17">
        <v>8085</v>
      </c>
      <c r="BQ30" s="17">
        <v>3252</v>
      </c>
      <c r="BR30" s="17">
        <v>2409</v>
      </c>
      <c r="BS30" s="17">
        <v>3252</v>
      </c>
      <c r="BT30" s="17">
        <v>3311</v>
      </c>
      <c r="BU30" s="17">
        <v>3311</v>
      </c>
      <c r="BV30" s="17">
        <v>2321</v>
      </c>
      <c r="BW30" s="17">
        <v>3252</v>
      </c>
      <c r="BX30" s="17">
        <v>3252</v>
      </c>
      <c r="BY30" s="17">
        <v>3252</v>
      </c>
      <c r="BZ30" s="17">
        <v>5608</v>
      </c>
      <c r="CA30" s="17">
        <v>5608</v>
      </c>
      <c r="CB30" s="17">
        <v>5608</v>
      </c>
      <c r="CC30" s="17">
        <v>1314</v>
      </c>
      <c r="CD30" s="17">
        <v>5608</v>
      </c>
      <c r="CE30" s="17">
        <v>1314</v>
      </c>
      <c r="CF30" s="17">
        <v>1314</v>
      </c>
      <c r="CG30" s="17">
        <v>1314</v>
      </c>
      <c r="CH30" s="17">
        <v>1314</v>
      </c>
      <c r="CI30" s="17">
        <v>3252</v>
      </c>
      <c r="CJ30" s="17">
        <v>3252</v>
      </c>
      <c r="CK30" s="17">
        <v>3252</v>
      </c>
      <c r="CL30" s="17">
        <v>3252</v>
      </c>
      <c r="CM30" s="17">
        <v>3252</v>
      </c>
      <c r="CN30" s="17">
        <v>3252</v>
      </c>
      <c r="CO30" s="17">
        <v>3252</v>
      </c>
      <c r="CP30" s="17">
        <v>3252</v>
      </c>
      <c r="CQ30" s="17">
        <v>3252</v>
      </c>
      <c r="CR30" s="17">
        <v>3252</v>
      </c>
      <c r="CS30" s="17">
        <v>1906</v>
      </c>
      <c r="CT30" s="17">
        <v>1906</v>
      </c>
      <c r="CU30" s="17">
        <v>1906</v>
      </c>
      <c r="CV30" s="17">
        <v>1906</v>
      </c>
      <c r="CW30" s="17">
        <v>1906</v>
      </c>
      <c r="CX30" s="17">
        <v>1906</v>
      </c>
      <c r="CY30" s="17">
        <v>1906</v>
      </c>
      <c r="CZ30" s="17">
        <v>1906</v>
      </c>
      <c r="DA30" s="17">
        <v>1314</v>
      </c>
      <c r="DB30" s="17">
        <v>4414</v>
      </c>
      <c r="DC30" s="17">
        <v>1314</v>
      </c>
      <c r="DD30" s="17">
        <v>1906</v>
      </c>
      <c r="DE30" s="17">
        <v>2323</v>
      </c>
      <c r="DF30" s="17">
        <v>2323</v>
      </c>
      <c r="DG30" s="17">
        <v>2362</v>
      </c>
      <c r="DH30" s="17">
        <v>2362</v>
      </c>
      <c r="DI30" s="17">
        <v>2362</v>
      </c>
      <c r="DJ30" s="17">
        <v>2362</v>
      </c>
      <c r="DK30" s="17">
        <v>3252</v>
      </c>
      <c r="DL30" s="17">
        <v>1314</v>
      </c>
      <c r="DM30" s="17">
        <v>2603</v>
      </c>
      <c r="DN30" s="17">
        <v>2603</v>
      </c>
      <c r="DO30" s="17">
        <v>2603</v>
      </c>
      <c r="DP30" s="17">
        <v>2603</v>
      </c>
      <c r="DQ30" s="17">
        <v>1906</v>
      </c>
      <c r="DR30" s="17">
        <v>1906</v>
      </c>
      <c r="DS30" s="17">
        <v>1314</v>
      </c>
      <c r="DT30" s="17">
        <v>1314</v>
      </c>
      <c r="DU30" s="17">
        <v>1314</v>
      </c>
      <c r="DV30" s="17">
        <v>1314</v>
      </c>
      <c r="DW30" s="17">
        <v>1312</v>
      </c>
      <c r="DX30" s="17">
        <v>1314</v>
      </c>
      <c r="DY30" s="17">
        <v>1312</v>
      </c>
      <c r="DZ30" s="17">
        <v>1312</v>
      </c>
      <c r="EA30" s="17">
        <v>1312</v>
      </c>
      <c r="EB30" s="17">
        <v>1314</v>
      </c>
      <c r="EC30" s="17">
        <v>1314</v>
      </c>
      <c r="ED30" s="17">
        <v>1312</v>
      </c>
      <c r="EE30" s="17">
        <v>1312</v>
      </c>
      <c r="EF30" s="17">
        <v>1314</v>
      </c>
    </row>
    <row r="31" spans="1:136">
      <c r="B31" s="16" t="s">
        <v>147</v>
      </c>
      <c r="C31" s="17" t="s">
        <v>168</v>
      </c>
      <c r="D31" s="17" t="s">
        <v>169</v>
      </c>
      <c r="E31" s="17" t="s">
        <v>169</v>
      </c>
      <c r="F31" s="17" t="s">
        <v>169</v>
      </c>
      <c r="G31" s="17" t="s">
        <v>169</v>
      </c>
      <c r="H31" s="17" t="s">
        <v>169</v>
      </c>
      <c r="I31" s="17" t="s">
        <v>169</v>
      </c>
      <c r="J31" s="17" t="s">
        <v>169</v>
      </c>
      <c r="K31" s="17" t="s">
        <v>169</v>
      </c>
      <c r="L31" s="17" t="s">
        <v>169</v>
      </c>
      <c r="M31" s="17" t="s">
        <v>169</v>
      </c>
      <c r="N31" s="17" t="s">
        <v>169</v>
      </c>
      <c r="O31" s="17" t="s">
        <v>169</v>
      </c>
      <c r="P31" s="17" t="s">
        <v>169</v>
      </c>
      <c r="Q31" s="17" t="s">
        <v>169</v>
      </c>
      <c r="R31" s="17" t="s">
        <v>169</v>
      </c>
      <c r="S31" s="17" t="s">
        <v>169</v>
      </c>
      <c r="T31" s="17" t="s">
        <v>169</v>
      </c>
      <c r="U31" s="17" t="s">
        <v>169</v>
      </c>
      <c r="V31" s="17" t="s">
        <v>169</v>
      </c>
      <c r="W31" s="17" t="s">
        <v>169</v>
      </c>
      <c r="X31" s="17" t="s">
        <v>169</v>
      </c>
      <c r="Y31" s="17" t="s">
        <v>169</v>
      </c>
      <c r="Z31" s="17" t="s">
        <v>169</v>
      </c>
      <c r="AA31" s="17" t="s">
        <v>169</v>
      </c>
      <c r="AB31" s="17" t="s">
        <v>169</v>
      </c>
      <c r="AC31" s="17" t="s">
        <v>169</v>
      </c>
      <c r="AD31" s="17" t="s">
        <v>169</v>
      </c>
      <c r="AE31" s="17" t="s">
        <v>169</v>
      </c>
      <c r="AF31" s="17" t="s">
        <v>169</v>
      </c>
      <c r="AG31" s="17" t="s">
        <v>170</v>
      </c>
      <c r="AH31" s="17" t="s">
        <v>169</v>
      </c>
      <c r="AI31" s="17" t="s">
        <v>171</v>
      </c>
      <c r="AJ31" s="17" t="s">
        <v>171</v>
      </c>
      <c r="AK31" s="17" t="s">
        <v>169</v>
      </c>
      <c r="AL31" s="17" t="s">
        <v>169</v>
      </c>
      <c r="AM31" s="17" t="s">
        <v>169</v>
      </c>
      <c r="AN31" s="17" t="s">
        <v>169</v>
      </c>
      <c r="AO31" s="17" t="s">
        <v>169</v>
      </c>
      <c r="AP31" s="17" t="s">
        <v>169</v>
      </c>
      <c r="AQ31" s="17" t="s">
        <v>169</v>
      </c>
      <c r="AR31" s="17" t="s">
        <v>169</v>
      </c>
      <c r="AS31" s="17" t="s">
        <v>169</v>
      </c>
      <c r="AT31" s="17" t="s">
        <v>169</v>
      </c>
      <c r="AU31" s="17" t="s">
        <v>169</v>
      </c>
      <c r="AV31" s="17" t="s">
        <v>169</v>
      </c>
      <c r="AW31" s="17" t="s">
        <v>172</v>
      </c>
      <c r="AX31" s="17" t="s">
        <v>172</v>
      </c>
      <c r="AY31" s="17" t="s">
        <v>172</v>
      </c>
      <c r="AZ31" s="17" t="s">
        <v>172</v>
      </c>
      <c r="BA31" s="17" t="s">
        <v>172</v>
      </c>
      <c r="BB31" s="17" t="s">
        <v>172</v>
      </c>
      <c r="BC31" s="17" t="s">
        <v>173</v>
      </c>
      <c r="BD31" s="17" t="s">
        <v>173</v>
      </c>
      <c r="BE31" s="17" t="s">
        <v>173</v>
      </c>
      <c r="BF31" s="17" t="s">
        <v>172</v>
      </c>
      <c r="BG31" s="17" t="s">
        <v>173</v>
      </c>
      <c r="BH31" s="17" t="s">
        <v>173</v>
      </c>
      <c r="BI31" s="17" t="s">
        <v>173</v>
      </c>
      <c r="BJ31" s="17" t="s">
        <v>173</v>
      </c>
      <c r="BK31" s="17" t="s">
        <v>174</v>
      </c>
      <c r="BL31" s="17" t="s">
        <v>174</v>
      </c>
      <c r="BM31" s="17" t="s">
        <v>175</v>
      </c>
      <c r="BN31" s="17" t="s">
        <v>174</v>
      </c>
      <c r="BO31" s="17" t="s">
        <v>174</v>
      </c>
      <c r="BP31" s="17" t="s">
        <v>174</v>
      </c>
      <c r="BQ31" s="17" t="s">
        <v>172</v>
      </c>
      <c r="BR31" s="17" t="s">
        <v>176</v>
      </c>
      <c r="BS31" s="17" t="s">
        <v>172</v>
      </c>
      <c r="BT31" s="17" t="s">
        <v>177</v>
      </c>
      <c r="BU31" s="17" t="s">
        <v>177</v>
      </c>
      <c r="BV31" s="17" t="s">
        <v>178</v>
      </c>
      <c r="BW31" s="17" t="s">
        <v>172</v>
      </c>
      <c r="BX31" s="17" t="s">
        <v>172</v>
      </c>
      <c r="BY31" s="17" t="s">
        <v>172</v>
      </c>
      <c r="BZ31" s="17" t="s">
        <v>179</v>
      </c>
      <c r="CA31" s="17" t="s">
        <v>179</v>
      </c>
      <c r="CB31" s="17" t="s">
        <v>179</v>
      </c>
      <c r="CC31" s="17" t="s">
        <v>170</v>
      </c>
      <c r="CD31" s="17" t="s">
        <v>179</v>
      </c>
      <c r="CE31" s="17" t="s">
        <v>170</v>
      </c>
      <c r="CF31" s="17" t="s">
        <v>170</v>
      </c>
      <c r="CG31" s="17" t="s">
        <v>170</v>
      </c>
      <c r="CH31" s="17" t="s">
        <v>170</v>
      </c>
      <c r="CI31" s="17" t="s">
        <v>172</v>
      </c>
      <c r="CJ31" s="17" t="s">
        <v>172</v>
      </c>
      <c r="CK31" s="17" t="s">
        <v>172</v>
      </c>
      <c r="CL31" s="17" t="s">
        <v>172</v>
      </c>
      <c r="CM31" s="17" t="s">
        <v>172</v>
      </c>
      <c r="CN31" s="17" t="s">
        <v>172</v>
      </c>
      <c r="CO31" s="17" t="s">
        <v>172</v>
      </c>
      <c r="CP31" s="17" t="s">
        <v>172</v>
      </c>
      <c r="CQ31" s="17" t="s">
        <v>172</v>
      </c>
      <c r="CR31" s="17" t="s">
        <v>172</v>
      </c>
      <c r="CS31" s="17" t="s">
        <v>173</v>
      </c>
      <c r="CT31" s="17" t="s">
        <v>173</v>
      </c>
      <c r="CU31" s="17" t="s">
        <v>173</v>
      </c>
      <c r="CV31" s="17" t="s">
        <v>173</v>
      </c>
      <c r="CW31" s="17" t="s">
        <v>173</v>
      </c>
      <c r="CX31" s="17" t="s">
        <v>173</v>
      </c>
      <c r="CY31" s="17" t="s">
        <v>173</v>
      </c>
      <c r="CZ31" s="17" t="s">
        <v>173</v>
      </c>
      <c r="DA31" s="17" t="s">
        <v>170</v>
      </c>
      <c r="DB31" s="17" t="s">
        <v>180</v>
      </c>
      <c r="DC31" s="17" t="s">
        <v>170</v>
      </c>
      <c r="DD31" s="17" t="s">
        <v>173</v>
      </c>
      <c r="DE31" s="17" t="s">
        <v>169</v>
      </c>
      <c r="DF31" s="17" t="s">
        <v>169</v>
      </c>
      <c r="DG31" s="17" t="s">
        <v>181</v>
      </c>
      <c r="DH31" s="17" t="s">
        <v>181</v>
      </c>
      <c r="DI31" s="17" t="s">
        <v>181</v>
      </c>
      <c r="DJ31" s="17" t="s">
        <v>181</v>
      </c>
      <c r="DK31" s="17" t="s">
        <v>172</v>
      </c>
      <c r="DL31" s="17" t="s">
        <v>170</v>
      </c>
      <c r="DM31" s="17" t="s">
        <v>182</v>
      </c>
      <c r="DN31" s="17" t="s">
        <v>182</v>
      </c>
      <c r="DO31" s="17" t="s">
        <v>182</v>
      </c>
      <c r="DP31" s="17" t="s">
        <v>182</v>
      </c>
      <c r="DQ31" s="17" t="s">
        <v>173</v>
      </c>
      <c r="DR31" s="17" t="s">
        <v>173</v>
      </c>
      <c r="DS31" s="17" t="s">
        <v>170</v>
      </c>
      <c r="DT31" s="17" t="s">
        <v>170</v>
      </c>
      <c r="DU31" s="17" t="s">
        <v>170</v>
      </c>
      <c r="DV31" s="17" t="s">
        <v>170</v>
      </c>
      <c r="DW31" s="17" t="s">
        <v>183</v>
      </c>
      <c r="DX31" s="17" t="s">
        <v>170</v>
      </c>
      <c r="DY31" s="17" t="s">
        <v>183</v>
      </c>
      <c r="DZ31" s="17" t="s">
        <v>183</v>
      </c>
      <c r="EA31" s="17" t="s">
        <v>183</v>
      </c>
      <c r="EB31" s="17" t="s">
        <v>170</v>
      </c>
      <c r="EC31" s="17" t="s">
        <v>170</v>
      </c>
      <c r="ED31" s="17" t="s">
        <v>183</v>
      </c>
      <c r="EE31" s="17" t="s">
        <v>183</v>
      </c>
      <c r="EF31" s="17" t="s">
        <v>170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topLeftCell="DZ2" zoomScale="167" zoomScaleNormal="85" workbookViewId="0">
      <selection activeCell="EG6" sqref="EG6"/>
    </sheetView>
  </sheetViews>
  <sheetFormatPr baseColWidth="10" defaultColWidth="8.83203125" defaultRowHeight="15"/>
  <sheetData>
    <row r="1" spans="1:139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9">
      <c r="A3" s="1"/>
      <c r="B3" s="2" t="s">
        <v>136</v>
      </c>
      <c r="C3" s="12">
        <v>1.7782902345061299E-2</v>
      </c>
      <c r="D3" s="12">
        <v>7.24458247423172E-2</v>
      </c>
      <c r="E3" s="12">
        <v>-1.229359768331051E-2</v>
      </c>
      <c r="F3" s="12">
        <v>1.6895091161131859E-2</v>
      </c>
      <c r="G3" s="12">
        <v>1.759104989469051E-2</v>
      </c>
      <c r="H3" s="12">
        <v>-2.2279582917690281E-2</v>
      </c>
      <c r="I3" s="12">
        <v>-3.8912922143936157E-2</v>
      </c>
      <c r="J3" s="12">
        <v>-2.6365116238594059E-2</v>
      </c>
      <c r="K3" s="12">
        <v>-2.014501765370369E-2</v>
      </c>
      <c r="L3" s="12">
        <v>-1.624567806720734E-2</v>
      </c>
      <c r="M3" s="12">
        <v>-8.2549653947353363E-2</v>
      </c>
      <c r="N3" s="12">
        <v>-1.7867140471935269E-2</v>
      </c>
      <c r="O3" s="12">
        <v>7.6627731323242188E-2</v>
      </c>
      <c r="P3" s="12">
        <v>-3.9154563099145889E-2</v>
      </c>
      <c r="Q3" s="12">
        <v>-4.1649270802736282E-2</v>
      </c>
      <c r="R3" s="12">
        <v>-2.7908530086278919E-2</v>
      </c>
      <c r="S3" s="12">
        <v>-8.0156058073043823E-2</v>
      </c>
      <c r="T3" s="12">
        <v>-3.3881399780511863E-2</v>
      </c>
      <c r="U3" s="12">
        <v>-3.6820832639932632E-2</v>
      </c>
      <c r="V3" s="12">
        <v>-1.9809873774647709E-2</v>
      </c>
      <c r="W3" s="12">
        <v>9.6304804086685181E-2</v>
      </c>
      <c r="X3" s="12">
        <v>0.16748018562793729</v>
      </c>
      <c r="Y3" s="12">
        <v>-1.015750598162413E-2</v>
      </c>
      <c r="Z3" s="12">
        <v>2.5555314496159549E-3</v>
      </c>
      <c r="AA3" s="12">
        <v>-7.8297220170497894E-2</v>
      </c>
      <c r="AB3" s="12">
        <v>-4.162265732884407E-2</v>
      </c>
      <c r="AC3" s="12">
        <v>-1.579752191901207E-2</v>
      </c>
      <c r="AD3" s="12">
        <v>-3.0706796795129779E-2</v>
      </c>
      <c r="AE3" s="12">
        <v>7.2333263233304024E-4</v>
      </c>
      <c r="AF3" s="12">
        <v>6.8843632936477661E-2</v>
      </c>
      <c r="AG3" s="12">
        <v>-5.1157008856534958E-3</v>
      </c>
      <c r="AH3" s="12">
        <v>-1.048196759074926E-2</v>
      </c>
      <c r="AI3" s="12">
        <v>-4.066355898976326E-2</v>
      </c>
      <c r="AJ3" s="12">
        <v>-5.5654104799032211E-2</v>
      </c>
      <c r="AK3" s="12">
        <v>-3.4865595400333398E-2</v>
      </c>
      <c r="AL3" s="12">
        <v>0.14250144362449649</v>
      </c>
      <c r="AM3" s="12">
        <v>4.2415492236614227E-2</v>
      </c>
      <c r="AN3" s="12">
        <v>1.8945284187793732E-2</v>
      </c>
      <c r="AO3" s="12">
        <v>3.6709178239107132E-2</v>
      </c>
      <c r="AP3" s="12">
        <v>-1.1438022367656229E-2</v>
      </c>
      <c r="AQ3" s="12">
        <v>-8.599540451541543E-4</v>
      </c>
      <c r="AR3" s="12">
        <v>8.9694326743483543E-3</v>
      </c>
      <c r="AS3" s="12">
        <v>-2.16217041015625E-2</v>
      </c>
      <c r="AT3" s="12">
        <v>5.6848321110010147E-2</v>
      </c>
      <c r="AU3" s="12">
        <v>3.9384294301271439E-2</v>
      </c>
      <c r="AV3" s="12">
        <v>0.14884805679321289</v>
      </c>
      <c r="AW3" s="12">
        <v>5.9238158166408539E-2</v>
      </c>
      <c r="AX3" s="12">
        <v>8.3451211452484131E-2</v>
      </c>
      <c r="AY3" s="12">
        <v>6.8846635520458221E-2</v>
      </c>
      <c r="AZ3" s="12">
        <v>0.15779311954975131</v>
      </c>
      <c r="BA3" s="12">
        <v>7.3232002556324005E-2</v>
      </c>
      <c r="BB3" s="12">
        <v>1.6600910574197769E-2</v>
      </c>
      <c r="BC3" s="12">
        <v>5.6218259036540992E-2</v>
      </c>
      <c r="BD3" s="12">
        <v>2.0839734002947811E-2</v>
      </c>
      <c r="BE3" s="12">
        <v>8.9553870260715485E-2</v>
      </c>
      <c r="BF3" s="12">
        <v>4.3456017971038818E-2</v>
      </c>
      <c r="BG3" s="12">
        <v>7.1616403758525848E-2</v>
      </c>
      <c r="BH3" s="12">
        <v>7.97300785779953E-2</v>
      </c>
      <c r="BI3" s="12">
        <v>8.7966516613960266E-2</v>
      </c>
      <c r="BJ3" s="12">
        <v>0.1081216707825661</v>
      </c>
      <c r="BK3" s="12">
        <v>0.1129734814167023</v>
      </c>
      <c r="BL3" s="12">
        <v>5.063258484005928E-2</v>
      </c>
      <c r="BM3" s="12">
        <v>7.7567048370838165E-2</v>
      </c>
      <c r="BN3" s="12">
        <v>4.4190812855958939E-2</v>
      </c>
      <c r="BO3" s="12">
        <v>2.8505465015769001E-2</v>
      </c>
      <c r="BP3" s="12">
        <v>0.10330298542976379</v>
      </c>
      <c r="BQ3" s="12">
        <v>7.12384432554245E-2</v>
      </c>
      <c r="BR3" s="12">
        <v>5.2489206194877618E-2</v>
      </c>
      <c r="BS3" s="12">
        <v>4.9339123070240021E-2</v>
      </c>
      <c r="BT3" s="12">
        <v>5.840107798576355E-2</v>
      </c>
      <c r="BU3" s="12">
        <v>2.5098161771893501E-2</v>
      </c>
      <c r="BV3" s="12">
        <v>2.3363580927252769E-2</v>
      </c>
      <c r="BW3" s="12">
        <v>5.6408349424600601E-2</v>
      </c>
      <c r="BX3" s="12">
        <v>3.3264696598052979E-2</v>
      </c>
      <c r="BY3" s="12">
        <v>-2.413135394454002E-2</v>
      </c>
      <c r="BZ3" s="12">
        <v>2.0291766151785851E-2</v>
      </c>
      <c r="CA3" s="12">
        <v>8.7816245853900909E-2</v>
      </c>
      <c r="CB3" s="12">
        <v>-4.3355219066143043E-2</v>
      </c>
      <c r="CC3" s="12">
        <v>6.0557723045349121E-3</v>
      </c>
      <c r="CD3" s="12">
        <v>-6.7888110876083374E-2</v>
      </c>
      <c r="CE3" s="12">
        <v>-4.0715392678976059E-3</v>
      </c>
      <c r="CF3" s="12">
        <v>-8.1548932939767838E-5</v>
      </c>
      <c r="CG3" s="12">
        <v>-3.5091366618871689E-2</v>
      </c>
      <c r="CH3" s="12">
        <v>-9.0038077905774117E-3</v>
      </c>
      <c r="CI3" s="12">
        <v>-2.54166703671217E-2</v>
      </c>
      <c r="CJ3" s="12">
        <v>-0.1101485714316368</v>
      </c>
      <c r="CK3" s="12">
        <v>4.6726226806640618E-2</v>
      </c>
      <c r="CL3" s="12">
        <v>5.5295374244451523E-2</v>
      </c>
      <c r="CM3" s="12">
        <v>-4.3500862084329128E-3</v>
      </c>
      <c r="CN3" s="12">
        <v>-5.8284953236579902E-2</v>
      </c>
      <c r="CO3" s="12">
        <v>-3.2531678676605218E-2</v>
      </c>
      <c r="CP3" s="12">
        <v>3.5830866545438773E-2</v>
      </c>
      <c r="CQ3" s="12">
        <v>2.45636235922575E-2</v>
      </c>
      <c r="CR3" s="12">
        <v>1.170414220541716E-2</v>
      </c>
      <c r="CS3" s="12">
        <v>-0.1024853959679604</v>
      </c>
      <c r="CT3" s="12">
        <v>1.293086330406368E-3</v>
      </c>
      <c r="CU3" s="12">
        <v>-0.1111449897289276</v>
      </c>
      <c r="CV3" s="12">
        <v>-3.1775698065757751E-2</v>
      </c>
      <c r="CW3" s="12">
        <v>-3.6522049456834793E-2</v>
      </c>
      <c r="CX3" s="12">
        <v>-8.237186074256897E-2</v>
      </c>
      <c r="CY3" s="12">
        <v>-4.1168216615915298E-2</v>
      </c>
      <c r="CZ3" s="12">
        <v>-7.4366219341754913E-2</v>
      </c>
      <c r="DA3" s="12">
        <v>-4.7027502208948142E-2</v>
      </c>
      <c r="DB3" s="12">
        <v>7.3655758751556277E-4</v>
      </c>
      <c r="DC3" s="12">
        <v>1.1260370723903179E-2</v>
      </c>
      <c r="DD3" s="12">
        <v>1.315145520493388E-3</v>
      </c>
      <c r="DE3" s="12">
        <v>-1.406966615468264E-2</v>
      </c>
      <c r="DF3" s="12">
        <v>1.287776418030262E-2</v>
      </c>
      <c r="DG3" s="12">
        <v>-8.777957409620285E-3</v>
      </c>
      <c r="DH3" s="12">
        <v>-1.8724145367741581E-2</v>
      </c>
      <c r="DI3" s="12">
        <v>1.5026724431663749E-3</v>
      </c>
      <c r="DJ3" s="12">
        <v>5.74493408203125E-3</v>
      </c>
      <c r="DK3" s="12">
        <v>-3.1418703496456153E-2</v>
      </c>
      <c r="DL3" s="12">
        <v>1.568500883877277E-2</v>
      </c>
      <c r="DM3" s="12">
        <v>-1.7450746148824688E-2</v>
      </c>
      <c r="DN3" s="12">
        <v>2.129724808037281E-2</v>
      </c>
      <c r="DO3" s="12">
        <v>-4.1845731437206268E-2</v>
      </c>
      <c r="DP3" s="12">
        <v>-1.9574053585529332E-3</v>
      </c>
      <c r="DQ3" s="12">
        <v>3.9197877049446106E-3</v>
      </c>
      <c r="DR3" s="12">
        <v>7.5242564082145691E-2</v>
      </c>
      <c r="DS3" s="12">
        <v>4.159560427069664E-2</v>
      </c>
      <c r="DT3" s="12">
        <v>-1.3514737598598E-2</v>
      </c>
      <c r="DU3" s="12">
        <v>1.3495544902980329E-2</v>
      </c>
      <c r="DV3" s="12">
        <v>-3.9159540086984627E-2</v>
      </c>
      <c r="DW3" s="12">
        <v>-2.1635228767991069E-2</v>
      </c>
      <c r="DX3" s="12">
        <v>-2.5841465219855309E-2</v>
      </c>
      <c r="DY3" s="12">
        <v>-2.6736544445157051E-2</v>
      </c>
      <c r="DZ3" s="12">
        <v>-3.2960411161184311E-2</v>
      </c>
      <c r="EA3" s="12">
        <v>-4.8574574291706092E-2</v>
      </c>
      <c r="EB3" s="12">
        <v>-0.1051784828305244</v>
      </c>
      <c r="EC3" s="12">
        <v>-2.840211242437363E-2</v>
      </c>
      <c r="ED3" s="12">
        <v>-0.1028049290180206</v>
      </c>
      <c r="EE3" s="12">
        <v>-4.4087015092372887E-2</v>
      </c>
      <c r="EF3" s="12">
        <v>-3.865974023938179E-2</v>
      </c>
    </row>
    <row r="4" spans="1:139">
      <c r="A4" s="1"/>
      <c r="B4" s="2" t="s">
        <v>137</v>
      </c>
      <c r="C4" s="12">
        <v>-3.6521758884191513E-2</v>
      </c>
      <c r="D4" s="12">
        <v>-4.2547494173049927E-2</v>
      </c>
      <c r="E4" s="12">
        <v>-5.0075937062501907E-2</v>
      </c>
      <c r="F4" s="12">
        <v>-2.3984730243682861E-2</v>
      </c>
      <c r="G4" s="12">
        <v>5.823938176035881E-3</v>
      </c>
      <c r="H4" s="12">
        <v>-5.2601419389247887E-2</v>
      </c>
      <c r="I4" s="12">
        <v>1.76677480340004E-2</v>
      </c>
      <c r="J4" s="12">
        <v>-3.2669864594936371E-2</v>
      </c>
      <c r="K4" s="12">
        <v>-1.6252247150987391E-3</v>
      </c>
      <c r="L4" s="12">
        <v>-1.7513863742351529E-2</v>
      </c>
      <c r="M4" s="12">
        <v>1.9140448421239849E-2</v>
      </c>
      <c r="N4" s="12">
        <v>-5.8379219844937316E-3</v>
      </c>
      <c r="O4" s="12">
        <v>-7.4128787964582443E-3</v>
      </c>
      <c r="P4" s="12">
        <v>1.252019684761763E-2</v>
      </c>
      <c r="Q4" s="12">
        <v>-7.0506609976291656E-2</v>
      </c>
      <c r="R4" s="12">
        <v>-1.9896263256669041E-2</v>
      </c>
      <c r="S4" s="12">
        <v>-6.8290457129478455E-2</v>
      </c>
      <c r="T4" s="12">
        <v>-2.8186876326799389E-2</v>
      </c>
      <c r="U4" s="12">
        <v>-9.2675261199474335E-2</v>
      </c>
      <c r="V4" s="12">
        <v>-3.7623911630362268E-3</v>
      </c>
      <c r="W4" s="12">
        <v>-6.7103758454322815E-2</v>
      </c>
      <c r="X4" s="12">
        <v>-8.8999226689338684E-2</v>
      </c>
      <c r="Y4" s="12">
        <v>-5.2372239530086517E-2</v>
      </c>
      <c r="Z4" s="12">
        <v>-5.4307661950588233E-2</v>
      </c>
      <c r="AA4" s="12">
        <v>-5.4428402334451682E-2</v>
      </c>
      <c r="AB4" s="12">
        <v>-2.7171488851308819E-2</v>
      </c>
      <c r="AC4" s="12">
        <v>2.6723876595497131E-2</v>
      </c>
      <c r="AD4" s="12">
        <v>2.4525046348571781E-2</v>
      </c>
      <c r="AE4" s="12">
        <v>4.7622621059417718E-2</v>
      </c>
      <c r="AF4" s="12">
        <v>3.0552491545677189E-2</v>
      </c>
      <c r="AG4" s="12">
        <v>4.2735278606414788E-2</v>
      </c>
      <c r="AH4" s="12">
        <v>1.2865195982158181E-2</v>
      </c>
      <c r="AI4" s="12">
        <v>1.34605560451746E-2</v>
      </c>
      <c r="AJ4" s="12">
        <v>4.8744384199380868E-2</v>
      </c>
      <c r="AK4" s="12">
        <v>-9.5475828275084496E-3</v>
      </c>
      <c r="AL4" s="12">
        <v>-3.1309803016483779E-3</v>
      </c>
      <c r="AM4" s="12">
        <v>3.3569058869034052E-3</v>
      </c>
      <c r="AN4" s="12">
        <v>1.3093852438032631E-2</v>
      </c>
      <c r="AO4" s="12">
        <v>1.4211865141987801E-2</v>
      </c>
      <c r="AP4" s="12">
        <v>4.6501751989126212E-2</v>
      </c>
      <c r="AQ4" s="12">
        <v>4.9757853150367737E-2</v>
      </c>
      <c r="AR4" s="12">
        <v>4.9711927771568298E-2</v>
      </c>
      <c r="AS4" s="12">
        <v>3.4978423267602921E-2</v>
      </c>
      <c r="AT4" s="12">
        <v>-6.4586242660880089E-3</v>
      </c>
      <c r="AU4" s="12">
        <v>3.2456304877996438E-2</v>
      </c>
      <c r="AV4" s="12">
        <v>6.4564580097794533E-3</v>
      </c>
      <c r="AW4" s="12">
        <v>1.8101127352565529E-3</v>
      </c>
      <c r="AX4" s="12">
        <v>-7.6085492037236691E-3</v>
      </c>
      <c r="AY4" s="12">
        <v>-3.6388270556926727E-2</v>
      </c>
      <c r="AZ4" s="12">
        <v>2.9014702886343002E-4</v>
      </c>
      <c r="BA4" s="12">
        <v>-5.6847855448722839E-2</v>
      </c>
      <c r="BB4" s="12">
        <v>-2.2272480651736259E-2</v>
      </c>
      <c r="BC4" s="12">
        <v>-2.9052544385194778E-2</v>
      </c>
      <c r="BD4" s="12">
        <v>-8.3808884024620056E-2</v>
      </c>
      <c r="BE4" s="12">
        <v>-3.9183963090181351E-2</v>
      </c>
      <c r="BF4" s="12">
        <v>-7.6244287192821503E-2</v>
      </c>
      <c r="BG4" s="12">
        <v>-6.157601997256279E-2</v>
      </c>
      <c r="BH4" s="12">
        <v>-7.3015347123146057E-2</v>
      </c>
      <c r="BI4" s="12">
        <v>-2.5757784023880959E-2</v>
      </c>
      <c r="BJ4" s="12">
        <v>-3.5152539610862732E-2</v>
      </c>
      <c r="BK4" s="12">
        <v>-6.5942555665969849E-2</v>
      </c>
      <c r="BL4" s="12">
        <v>-5.3756937384605408E-2</v>
      </c>
      <c r="BM4" s="12">
        <v>-7.9431377351284027E-2</v>
      </c>
      <c r="BN4" s="12">
        <v>-4.1163329035043723E-2</v>
      </c>
      <c r="BO4" s="12">
        <v>-9.4712458550930023E-2</v>
      </c>
      <c r="BP4" s="12">
        <v>-4.3530568480491638E-2</v>
      </c>
      <c r="BQ4" s="12">
        <v>-2.8697127476334568E-2</v>
      </c>
      <c r="BR4" s="12">
        <v>-5.7418853044509888E-2</v>
      </c>
      <c r="BS4" s="12">
        <v>-1.9358741119503971E-2</v>
      </c>
      <c r="BT4" s="12">
        <v>-8.4144026041030884E-2</v>
      </c>
      <c r="BU4" s="12">
        <v>-9.0233713388442993E-2</v>
      </c>
      <c r="BV4" s="12">
        <v>-0.1029478386044502</v>
      </c>
      <c r="BW4" s="12">
        <v>-7.1088537573814392E-2</v>
      </c>
      <c r="BX4" s="12">
        <v>-3.5722147673368447E-2</v>
      </c>
      <c r="BY4" s="12">
        <v>5.9959013015031806E-3</v>
      </c>
      <c r="BZ4" s="12">
        <v>-5.1592431962490082E-2</v>
      </c>
      <c r="CA4" s="12">
        <v>-8.5648052394390106E-2</v>
      </c>
      <c r="CB4" s="12">
        <v>-3.4140449017286301E-2</v>
      </c>
      <c r="CC4" s="12">
        <v>-7.9050444066524506E-2</v>
      </c>
      <c r="CD4" s="12">
        <v>-0.1116790845990181</v>
      </c>
      <c r="CE4" s="12">
        <v>-8.4638349711894989E-2</v>
      </c>
      <c r="CF4" s="12">
        <v>-8.8114269077777863E-2</v>
      </c>
      <c r="CG4" s="12">
        <v>-9.862682968378067E-2</v>
      </c>
      <c r="CH4" s="12">
        <v>-7.5061611831188202E-2</v>
      </c>
      <c r="CI4" s="12">
        <v>-5.5998209863901138E-2</v>
      </c>
      <c r="CJ4" s="12">
        <v>-1.808877848088741E-2</v>
      </c>
      <c r="CK4" s="12">
        <v>-4.2210087180137627E-2</v>
      </c>
      <c r="CL4" s="12">
        <v>8.6977891623973846E-3</v>
      </c>
      <c r="CM4" s="12">
        <v>-2.1875450387597081E-2</v>
      </c>
      <c r="CN4" s="12">
        <v>-4.4229812920093543E-2</v>
      </c>
      <c r="CO4" s="12">
        <v>1.863288693130016E-2</v>
      </c>
      <c r="CP4" s="12">
        <v>-1.35243646800518E-2</v>
      </c>
      <c r="CQ4" s="12">
        <v>-1.276247948408127E-2</v>
      </c>
      <c r="CR4" s="12">
        <v>-4.5928843319416053E-2</v>
      </c>
      <c r="CS4" s="12">
        <v>-8.4556788206100464E-2</v>
      </c>
      <c r="CT4" s="12">
        <v>-2.845652773976326E-2</v>
      </c>
      <c r="CU4" s="12">
        <v>-3.161858394742012E-2</v>
      </c>
      <c r="CV4" s="12">
        <v>-2.4635819718241692E-2</v>
      </c>
      <c r="CW4" s="12">
        <v>4.8304800875484943E-3</v>
      </c>
      <c r="CX4" s="12">
        <v>3.0027653556317091E-3</v>
      </c>
      <c r="CY4" s="12">
        <v>-9.6548935398459435E-3</v>
      </c>
      <c r="CZ4" s="12">
        <v>2.7862859889864922E-2</v>
      </c>
      <c r="DA4" s="12">
        <v>-7.2389086708426484E-3</v>
      </c>
      <c r="DB4" s="12">
        <v>1.481384225189686E-2</v>
      </c>
      <c r="DC4" s="12">
        <v>1.8979338929057121E-2</v>
      </c>
      <c r="DD4" s="12">
        <v>-1.182493194937706E-2</v>
      </c>
      <c r="DE4" s="12">
        <v>-5.5287983268499367E-2</v>
      </c>
      <c r="DF4" s="12">
        <v>3.9528455585241318E-2</v>
      </c>
      <c r="DG4" s="12">
        <v>-3.136556595563889E-3</v>
      </c>
      <c r="DH4" s="12">
        <v>1.8514588009566069E-4</v>
      </c>
      <c r="DI4" s="12">
        <v>-1.5441306866705419E-2</v>
      </c>
      <c r="DJ4" s="12">
        <v>4.8156458884477622E-2</v>
      </c>
      <c r="DK4" s="12">
        <v>3.9779618382453918E-2</v>
      </c>
      <c r="DL4" s="12">
        <v>2.912280336022377E-2</v>
      </c>
      <c r="DM4" s="12">
        <v>5.5858355015516281E-2</v>
      </c>
      <c r="DN4" s="12">
        <v>2.2332454100251201E-2</v>
      </c>
      <c r="DO4" s="12">
        <v>9.3815820291638374E-3</v>
      </c>
      <c r="DP4" s="12">
        <v>-1.1177884414792061E-2</v>
      </c>
      <c r="DQ4" s="12">
        <v>3.2798897475004203E-2</v>
      </c>
      <c r="DR4" s="12">
        <v>3.2948967069387443E-2</v>
      </c>
      <c r="DS4" s="12">
        <v>-6.3791960477828979E-2</v>
      </c>
      <c r="DT4" s="12">
        <v>-2.437188662588596E-2</v>
      </c>
      <c r="DU4" s="12">
        <v>2.8318654745817181E-2</v>
      </c>
      <c r="DV4" s="12">
        <v>-1.027075573801994E-2</v>
      </c>
      <c r="DW4" s="12">
        <v>4.162212461233139E-2</v>
      </c>
      <c r="DX4" s="12">
        <v>1.6859399154782299E-2</v>
      </c>
      <c r="DY4" s="12">
        <v>-1.3820808380842211E-2</v>
      </c>
      <c r="DZ4" s="12">
        <v>2.5562329217791561E-2</v>
      </c>
      <c r="EA4" s="12">
        <v>3.5361301153898239E-2</v>
      </c>
      <c r="EB4" s="12">
        <v>2.7386909350752831E-2</v>
      </c>
      <c r="EC4" s="12">
        <v>4.2391747236251831E-2</v>
      </c>
      <c r="ED4" s="12">
        <v>7.1895502507686615E-2</v>
      </c>
      <c r="EE4" s="12">
        <v>5.7367391884326928E-2</v>
      </c>
      <c r="EF4" s="12">
        <v>2.790111489593983E-2</v>
      </c>
    </row>
    <row r="5" spans="1:139">
      <c r="A5" s="1"/>
      <c r="B5" s="2" t="s">
        <v>138</v>
      </c>
      <c r="C5" s="12">
        <v>1.4347599819302561E-2</v>
      </c>
      <c r="D5" s="12">
        <v>-9.652099572122097E-3</v>
      </c>
      <c r="E5" s="12">
        <v>-8.5699288174510002E-3</v>
      </c>
      <c r="F5" s="12">
        <v>3.9053350687026978E-2</v>
      </c>
      <c r="G5" s="12">
        <v>-3.5989873111248023E-2</v>
      </c>
      <c r="H5" s="12">
        <v>1.041566673666239E-2</v>
      </c>
      <c r="I5" s="12">
        <v>-2.0847762003540989E-2</v>
      </c>
      <c r="J5" s="12">
        <v>-1.209943555295467E-2</v>
      </c>
      <c r="K5" s="12">
        <v>2.9407145455479618E-2</v>
      </c>
      <c r="L5" s="12">
        <v>5.8111239224672318E-2</v>
      </c>
      <c r="M5" s="12">
        <v>7.5894221663475037E-2</v>
      </c>
      <c r="N5" s="12">
        <v>6.2360752373933792E-2</v>
      </c>
      <c r="O5" s="12">
        <v>9.9858760833740234E-2</v>
      </c>
      <c r="P5" s="12">
        <v>0.13152122497558591</v>
      </c>
      <c r="Q5" s="12">
        <v>7.957778126001358E-2</v>
      </c>
      <c r="R5" s="12">
        <v>4.847404733300209E-2</v>
      </c>
      <c r="S5" s="12">
        <v>2.7741687372326851E-2</v>
      </c>
      <c r="T5" s="12">
        <v>5.0201687961816788E-2</v>
      </c>
      <c r="U5" s="12">
        <v>6.4513184130191803E-2</v>
      </c>
      <c r="V5" s="12">
        <v>6.3523001968860626E-2</v>
      </c>
      <c r="W5" s="12">
        <v>9.5773497596383095E-3</v>
      </c>
      <c r="X5" s="12">
        <v>6.016424298286438E-2</v>
      </c>
      <c r="Y5" s="12">
        <v>9.0847745537757874E-2</v>
      </c>
      <c r="Z5" s="12">
        <v>0.1071524396538734</v>
      </c>
      <c r="AA5" s="12">
        <v>5.1187384873628623E-2</v>
      </c>
      <c r="AB5" s="12">
        <v>8.0967366695404053E-2</v>
      </c>
      <c r="AC5" s="12">
        <v>3.8304600864648819E-2</v>
      </c>
      <c r="AD5" s="12">
        <v>2.0053833723068241E-2</v>
      </c>
      <c r="AE5" s="12">
        <v>4.644785076379776E-2</v>
      </c>
      <c r="AF5" s="12">
        <v>6.0654930770397193E-2</v>
      </c>
      <c r="AG5" s="12">
        <v>6.7320100963115692E-2</v>
      </c>
      <c r="AH5" s="12">
        <v>1.78289357572794E-2</v>
      </c>
      <c r="AI5" s="12">
        <v>5.6440837681293488E-2</v>
      </c>
      <c r="AJ5" s="12">
        <v>4.2928591370582581E-2</v>
      </c>
      <c r="AK5" s="12">
        <v>7.9053483903408051E-2</v>
      </c>
      <c r="AL5" s="12">
        <v>1.9981823861598969E-2</v>
      </c>
      <c r="AM5" s="12">
        <v>4.9416512250900269E-2</v>
      </c>
      <c r="AN5" s="12">
        <v>4.2488358914852142E-2</v>
      </c>
      <c r="AO5" s="12">
        <v>5.0316029228270054E-3</v>
      </c>
      <c r="AP5" s="12">
        <v>2.6226455345749859E-2</v>
      </c>
      <c r="AQ5" s="12">
        <v>-1.0934568010270601E-2</v>
      </c>
      <c r="AR5" s="12">
        <v>-5.88986836373806E-2</v>
      </c>
      <c r="AS5" s="12">
        <v>1.9943690858781341E-5</v>
      </c>
      <c r="AT5" s="12">
        <v>3.1712550669908517E-2</v>
      </c>
      <c r="AU5" s="12">
        <v>5.4366020485758781E-3</v>
      </c>
      <c r="AV5" s="12">
        <v>-8.6811445653438568E-3</v>
      </c>
      <c r="AW5" s="12">
        <v>2.3753151297569271E-2</v>
      </c>
      <c r="AX5" s="12">
        <v>-1.039000414311886E-2</v>
      </c>
      <c r="AY5" s="12">
        <v>4.2606234550476067E-2</v>
      </c>
      <c r="AZ5" s="12">
        <v>2.2628717124462131E-2</v>
      </c>
      <c r="BA5" s="12">
        <v>1.7847366398200391E-3</v>
      </c>
      <c r="BB5" s="12">
        <v>1.147421263158321E-2</v>
      </c>
      <c r="BC5" s="12">
        <v>-5.5574686266481876E-3</v>
      </c>
      <c r="BD5" s="12">
        <v>1.7132017761468891E-2</v>
      </c>
      <c r="BE5" s="12">
        <v>2.4164538830518719E-2</v>
      </c>
      <c r="BF5" s="12">
        <v>5.6551066227257252E-3</v>
      </c>
      <c r="BG5" s="12">
        <v>2.693047933280468E-2</v>
      </c>
      <c r="BH5" s="12">
        <v>3.3954640384763479E-3</v>
      </c>
      <c r="BI5" s="12">
        <v>2.639448270201683E-2</v>
      </c>
      <c r="BJ5" s="12">
        <v>1.144836191087961E-2</v>
      </c>
      <c r="BK5" s="12">
        <v>2.6191858574748039E-2</v>
      </c>
      <c r="BL5" s="12">
        <v>2.184408716857433E-2</v>
      </c>
      <c r="BM5" s="12">
        <v>3.5668004304170609E-2</v>
      </c>
      <c r="BN5" s="12">
        <v>4.7217939049005508E-2</v>
      </c>
      <c r="BO5" s="12">
        <v>1.5824703499674801E-2</v>
      </c>
      <c r="BP5" s="12">
        <v>4.0294736623764038E-2</v>
      </c>
      <c r="BQ5" s="12">
        <v>5.4744470864534378E-2</v>
      </c>
      <c r="BR5" s="12">
        <v>6.7423462867736816E-2</v>
      </c>
      <c r="BS5" s="12">
        <v>3.5041853785514832E-2</v>
      </c>
      <c r="BT5" s="12">
        <v>-1.695315167307854E-2</v>
      </c>
      <c r="BU5" s="12">
        <v>4.2807679623365402E-2</v>
      </c>
      <c r="BV5" s="12">
        <v>2.4910405278205872E-2</v>
      </c>
      <c r="BW5" s="12">
        <v>3.5352393984794617E-2</v>
      </c>
      <c r="BX5" s="12">
        <v>3.8252223283052438E-2</v>
      </c>
      <c r="BY5" s="12">
        <v>9.0397186577320099E-3</v>
      </c>
      <c r="BZ5" s="12">
        <v>6.5005947835743427E-3</v>
      </c>
      <c r="CA5" s="12">
        <v>1.141073554754257E-2</v>
      </c>
      <c r="CB5" s="12">
        <v>1.485352218151093E-2</v>
      </c>
      <c r="CC5" s="12">
        <v>5.4167184978723533E-2</v>
      </c>
      <c r="CD5" s="12">
        <v>2.3807717487215999E-2</v>
      </c>
      <c r="CE5" s="12">
        <v>7.6829078607261181E-3</v>
      </c>
      <c r="CF5" s="12">
        <v>2.9735062271356578E-3</v>
      </c>
      <c r="CG5" s="12">
        <v>2.4837357923388481E-2</v>
      </c>
      <c r="CH5" s="12">
        <v>4.7171309590339661E-2</v>
      </c>
      <c r="CI5" s="12">
        <v>4.6639894135296336E-3</v>
      </c>
      <c r="CJ5" s="12">
        <v>2.852512896060944E-2</v>
      </c>
      <c r="CK5" s="12">
        <v>-9.7033102065324783E-3</v>
      </c>
      <c r="CL5" s="12">
        <v>1.245168037712574E-2</v>
      </c>
      <c r="CM5" s="12">
        <v>1.4197885990142821E-2</v>
      </c>
      <c r="CN5" s="12">
        <v>3.0705662444233891E-2</v>
      </c>
      <c r="CO5" s="12">
        <v>3.5640694200992577E-2</v>
      </c>
      <c r="CP5" s="12">
        <v>2.5331234559416771E-2</v>
      </c>
      <c r="CQ5" s="12">
        <v>1.1073682690039279E-3</v>
      </c>
      <c r="CR5" s="12">
        <v>1.5654526650905609E-2</v>
      </c>
      <c r="CS5" s="12">
        <v>-1.1859666556119921E-2</v>
      </c>
      <c r="CT5" s="12">
        <v>5.863029882311821E-2</v>
      </c>
      <c r="CU5" s="12">
        <v>-7.8350687399506569E-3</v>
      </c>
      <c r="CV5" s="12">
        <v>4.6454016119241708E-2</v>
      </c>
      <c r="CW5" s="12">
        <v>7.367561012506485E-2</v>
      </c>
      <c r="CX5" s="12">
        <v>-4.4749602675437927E-3</v>
      </c>
      <c r="CY5" s="12">
        <v>2.9276512563228611E-2</v>
      </c>
      <c r="CZ5" s="12">
        <v>3.3731676638126373E-2</v>
      </c>
      <c r="DA5" s="12">
        <v>4.2157959192991257E-2</v>
      </c>
      <c r="DB5" s="12">
        <v>1.5304354019463061E-2</v>
      </c>
      <c r="DC5" s="12">
        <v>3.0327405780553821E-2</v>
      </c>
      <c r="DD5" s="12">
        <v>5.3778979927301407E-2</v>
      </c>
      <c r="DE5" s="12">
        <v>7.7699399553239354E-3</v>
      </c>
      <c r="DF5" s="12">
        <v>9.4073504442349076E-4</v>
      </c>
      <c r="DG5" s="12">
        <v>-8.2107760012149811E-2</v>
      </c>
      <c r="DH5" s="12">
        <v>-5.2850812673568733E-2</v>
      </c>
      <c r="DI5" s="12">
        <v>-7.8471429646015167E-2</v>
      </c>
      <c r="DJ5" s="12">
        <v>-4.0412887930870063E-2</v>
      </c>
      <c r="DK5" s="12">
        <v>-2.3652749136090279E-2</v>
      </c>
      <c r="DL5" s="12">
        <v>-1.795239187777042E-2</v>
      </c>
      <c r="DM5" s="12">
        <v>-3.8529172539710999E-2</v>
      </c>
      <c r="DN5" s="12">
        <v>-6.0538295656442642E-2</v>
      </c>
      <c r="DO5" s="12">
        <v>2.2697450593113899E-2</v>
      </c>
      <c r="DP5" s="12">
        <v>-2.293764241039753E-2</v>
      </c>
      <c r="DQ5" s="12">
        <v>2.235623262822628E-2</v>
      </c>
      <c r="DR5" s="12">
        <v>2.08442397415638E-2</v>
      </c>
      <c r="DS5" s="12">
        <v>-2.133695874363184E-3</v>
      </c>
      <c r="DT5" s="12">
        <v>2.0560766570270061E-3</v>
      </c>
      <c r="DU5" s="12">
        <v>9.2165069654583931E-3</v>
      </c>
      <c r="DV5" s="12">
        <v>-2.4538150057196621E-2</v>
      </c>
      <c r="DW5" s="12">
        <v>-5.4349824786186218E-3</v>
      </c>
      <c r="DX5" s="12">
        <v>-1.1826856061816221E-2</v>
      </c>
      <c r="DY5" s="12">
        <v>-2.4313617497682571E-2</v>
      </c>
      <c r="DZ5" s="12">
        <v>1.7076117917895321E-2</v>
      </c>
      <c r="EA5" s="12">
        <v>2.1494723856449131E-2</v>
      </c>
      <c r="EB5" s="12">
        <v>1.5846351161599159E-2</v>
      </c>
      <c r="EC5" s="12">
        <v>4.5648753643035889E-2</v>
      </c>
      <c r="ED5" s="12">
        <v>1.9599819555878639E-2</v>
      </c>
      <c r="EE5" s="12">
        <v>-1.0369730181992051E-2</v>
      </c>
      <c r="EF5" s="12">
        <v>6.0753826983273029E-3</v>
      </c>
    </row>
    <row r="6" spans="1:139">
      <c r="A6" s="2" t="s">
        <v>139</v>
      </c>
      <c r="B6" s="1"/>
      <c r="C6" s="12">
        <f t="array" ref="C6">MATCH(MAX(ABS(C3:C5)),ABS(C3:C5),0)</f>
        <v>2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3</v>
      </c>
      <c r="L6" s="12">
        <f t="array" ref="L6">MATCH(MAX(ABS(L3:L5)),ABS(L3:L5),0)</f>
        <v>3</v>
      </c>
      <c r="M6" s="12">
        <f t="array" ref="M6">MATCH(MAX(ABS(M3:M5)),ABS(M3:M5),0)</f>
        <v>1</v>
      </c>
      <c r="N6" s="12">
        <f t="array" ref="N6">MATCH(MAX(ABS(N3:N5)),ABS(N3:N5),0)</f>
        <v>3</v>
      </c>
      <c r="O6" s="12">
        <f t="array" ref="O6">MATCH(MAX(ABS(O3:O5)),ABS(O3:O5),0)</f>
        <v>3</v>
      </c>
      <c r="P6" s="12">
        <f t="array" ref="P6">MATCH(MAX(ABS(P3:P5)),ABS(P3:P5),0)</f>
        <v>3</v>
      </c>
      <c r="Q6" s="12">
        <f t="array" ref="Q6">MATCH(MAX(ABS(Q3:Q5)),ABS(Q3:Q5),0)</f>
        <v>3</v>
      </c>
      <c r="R6" s="12">
        <f t="array" ref="R6">MATCH(MAX(ABS(R3:R5)),ABS(R3:R5),0)</f>
        <v>3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2</v>
      </c>
      <c r="V6" s="12">
        <f t="array" ref="V6">MATCH(MAX(ABS(V3:V5)),ABS(V3:V5),0)</f>
        <v>3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3</v>
      </c>
      <c r="Z6" s="12">
        <f t="array" ref="Z6">MATCH(MAX(ABS(Z3:Z5)),ABS(Z3:Z5),0)</f>
        <v>3</v>
      </c>
      <c r="AA6" s="12">
        <f t="array" ref="AA6">MATCH(MAX(ABS(AA3:AA5)),ABS(AA3:AA5),0)</f>
        <v>1</v>
      </c>
      <c r="AB6" s="12">
        <f t="array" ref="AB6">MATCH(MAX(ABS(AB3:AB5)),ABS(AB3:AB5),0)</f>
        <v>3</v>
      </c>
      <c r="AC6" s="12">
        <f t="array" ref="AC6">MATCH(MAX(ABS(AC3:AC5)),ABS(AC3:AC5),0)</f>
        <v>3</v>
      </c>
      <c r="AD6" s="12">
        <f t="array" ref="AD6">MATCH(MAX(ABS(AD3:AD5)),ABS(AD3:AD5),0)</f>
        <v>1</v>
      </c>
      <c r="AE6" s="12">
        <f t="array" ref="AE6">MATCH(MAX(ABS(AE3:AE5)),ABS(AE3:AE5),0)</f>
        <v>2</v>
      </c>
      <c r="AF6" s="12">
        <f t="array" ref="AF6">MATCH(MAX(ABS(AF3:AF5)),ABS(AF3:AF5),0)</f>
        <v>1</v>
      </c>
      <c r="AG6" s="12">
        <f t="array" ref="AG6">MATCH(MAX(ABS(AG3:AG5)),ABS(AG3:AG5),0)</f>
        <v>3</v>
      </c>
      <c r="AH6" s="12">
        <f t="array" ref="AH6">MATCH(MAX(ABS(AH3:AH5)),ABS(AH3:AH5),0)</f>
        <v>3</v>
      </c>
      <c r="AI6" s="12">
        <f t="array" ref="AI6">MATCH(MAX(ABS(AI3:AI5)),ABS(AI3:AI5),0)</f>
        <v>3</v>
      </c>
      <c r="AJ6" s="12">
        <f t="array" ref="AJ6">MATCH(MAX(ABS(AJ3:AJ5)),ABS(AJ3:AJ5),0)</f>
        <v>1</v>
      </c>
      <c r="AK6" s="12">
        <f t="array" ref="AK6">MATCH(MAX(ABS(AK3:AK5)),ABS(AK3:AK5),0)</f>
        <v>3</v>
      </c>
      <c r="AL6" s="12">
        <f t="array" ref="AL6">MATCH(MAX(ABS(AL3:AL5)),ABS(AL3:AL5),0)</f>
        <v>1</v>
      </c>
      <c r="AM6" s="12">
        <f t="array" ref="AM6">MATCH(MAX(ABS(AM3:AM5)),ABS(AM3:AM5),0)</f>
        <v>3</v>
      </c>
      <c r="AN6" s="12">
        <f t="array" ref="AN6">MATCH(MAX(ABS(AN3:AN5)),ABS(AN3:AN5),0)</f>
        <v>3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3</v>
      </c>
      <c r="AS6" s="12">
        <f t="array" ref="AS6">MATCH(MAX(ABS(AS3:AS5)),ABS(AS3:AS5),0)</f>
        <v>2</v>
      </c>
      <c r="AT6" s="12">
        <f t="array" ref="AT6">MATCH(MAX(ABS(AT3:AT5)),ABS(AT3:AT5),0)</f>
        <v>1</v>
      </c>
      <c r="AU6" s="12">
        <f t="array" ref="AU6">MATCH(MAX(ABS(AU3:AU5)),ABS(AU3:AU5),0)</f>
        <v>1</v>
      </c>
      <c r="AV6" s="12">
        <f t="array" ref="AV6">MATCH(MAX(ABS(AV3:AV5)),ABS(AV3:AV5),0)</f>
        <v>1</v>
      </c>
      <c r="AW6" s="12">
        <f t="array" ref="AW6">MATCH(MAX(ABS(AW3:AW5)),ABS(AW3:AW5),0)</f>
        <v>1</v>
      </c>
      <c r="AX6" s="12">
        <f t="array" ref="AX6">MATCH(MAX(ABS(AX3:AX5)),ABS(AX3:AX5),0)</f>
        <v>1</v>
      </c>
      <c r="AY6" s="12">
        <f t="array" ref="AY6">MATCH(MAX(ABS(AY3:AY5)),ABS(AY3:AY5),0)</f>
        <v>1</v>
      </c>
      <c r="AZ6" s="12">
        <f t="array" ref="AZ6">MATCH(MAX(ABS(AZ3:AZ5)),ABS(AZ3:AZ5),0)</f>
        <v>1</v>
      </c>
      <c r="BA6" s="12">
        <f t="array" ref="BA6">MATCH(MAX(ABS(BA3:BA5)),ABS(BA3:BA5),0)</f>
        <v>1</v>
      </c>
      <c r="BB6" s="12">
        <f t="array" ref="BB6">MATCH(MAX(ABS(BB3:BB5)),ABS(BB3:BB5),0)</f>
        <v>2</v>
      </c>
      <c r="BC6" s="12">
        <f t="array" ref="BC6">MATCH(MAX(ABS(BC3:BC5)),ABS(BC3:BC5),0)</f>
        <v>1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2</v>
      </c>
      <c r="BG6" s="12">
        <f t="array" ref="BG6">MATCH(MAX(ABS(BG3:BG5)),ABS(BG3:BG5),0)</f>
        <v>1</v>
      </c>
      <c r="BH6" s="12">
        <f t="array" ref="BH6">MATCH(MAX(ABS(BH3:BH5)),ABS(BH3:BH5),0)</f>
        <v>1</v>
      </c>
      <c r="BI6" s="12">
        <f t="array" ref="BI6">MATCH(MAX(ABS(BI3:BI5)),ABS(BI3:BI5),0)</f>
        <v>1</v>
      </c>
      <c r="BJ6" s="12">
        <f t="array" ref="BJ6">MATCH(MAX(ABS(BJ3:BJ5)),ABS(BJ3:BJ5),0)</f>
        <v>1</v>
      </c>
      <c r="BK6" s="12">
        <f t="array" ref="BK6">MATCH(MAX(ABS(BK3:BK5)),ABS(BK3:BK5),0)</f>
        <v>1</v>
      </c>
      <c r="BL6" s="12">
        <f t="array" ref="BL6">MATCH(MAX(ABS(BL3:BL5)),ABS(BL3:BL5),0)</f>
        <v>2</v>
      </c>
      <c r="BM6" s="12">
        <f t="array" ref="BM6">MATCH(MAX(ABS(BM3:BM5)),ABS(BM3:BM5),0)</f>
        <v>2</v>
      </c>
      <c r="BN6" s="12">
        <f t="array" ref="BN6">MATCH(MAX(ABS(BN3:BN5)),ABS(BN3:BN5),0)</f>
        <v>3</v>
      </c>
      <c r="BO6" s="12">
        <f t="array" ref="BO6">MATCH(MAX(ABS(BO3:BO5)),ABS(BO3:BO5),0)</f>
        <v>2</v>
      </c>
      <c r="BP6" s="12">
        <f t="array" ref="BP6">MATCH(MAX(ABS(BP3:BP5)),ABS(BP3:BP5),0)</f>
        <v>1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1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3</v>
      </c>
      <c r="BY6" s="12">
        <f t="array" ref="BY6">MATCH(MAX(ABS(BY3:BY5)),ABS(BY3:BY5),0)</f>
        <v>1</v>
      </c>
      <c r="BZ6" s="12">
        <f t="array" ref="BZ6">MATCH(MAX(ABS(BZ3:BZ5)),ABS(BZ3:BZ5),0)</f>
        <v>2</v>
      </c>
      <c r="CA6" s="12">
        <f t="array" ref="CA6">MATCH(MAX(ABS(CA3:CA5)),ABS(CA3:CA5),0)</f>
        <v>1</v>
      </c>
      <c r="CB6" s="12">
        <f t="array" ref="CB6">MATCH(MAX(ABS(CB3:CB5)),ABS(CB3:CB5),0)</f>
        <v>1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2</v>
      </c>
      <c r="CF6" s="12">
        <f t="array" ref="CF6">MATCH(MAX(ABS(CF3:CF5)),ABS(CF3:CF5),0)</f>
        <v>2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1</v>
      </c>
      <c r="CK6" s="12">
        <f t="array" ref="CK6">MATCH(MAX(ABS(CK3:CK5)),ABS(CK3:CK5),0)</f>
        <v>1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1</v>
      </c>
      <c r="CO6" s="12">
        <f t="array" ref="CO6">MATCH(MAX(ABS(CO3:CO5)),ABS(CO3:CO5),0)</f>
        <v>3</v>
      </c>
      <c r="CP6" s="12">
        <f t="array" ref="CP6">MATCH(MAX(ABS(CP3:CP5)),ABS(CP3:CP5),0)</f>
        <v>1</v>
      </c>
      <c r="CQ6" s="12">
        <f t="array" ref="CQ6">MATCH(MAX(ABS(CQ3:CQ5)),ABS(CQ3:CQ5),0)</f>
        <v>1</v>
      </c>
      <c r="CR6" s="12">
        <f t="array" ref="CR6">MATCH(MAX(ABS(CR3:CR5)),ABS(CR3:CR5),0)</f>
        <v>2</v>
      </c>
      <c r="CS6" s="12">
        <f t="array" ref="CS6">MATCH(MAX(ABS(CS3:CS5)),ABS(CS3:CS5),0)</f>
        <v>1</v>
      </c>
      <c r="CT6" s="12">
        <f t="array" ref="CT6">MATCH(MAX(ABS(CT3:CT5)),ABS(CT3:CT5),0)</f>
        <v>3</v>
      </c>
      <c r="CU6" s="12">
        <f t="array" ref="CU6">MATCH(MAX(ABS(CU3:CU5)),ABS(CU3:CU5),0)</f>
        <v>1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1</v>
      </c>
      <c r="CZ6" s="12">
        <f t="array" ref="CZ6">MATCH(MAX(ABS(CZ3:CZ5)),ABS(CZ3:CZ5),0)</f>
        <v>1</v>
      </c>
      <c r="DA6" s="12">
        <f t="array" ref="DA6">MATCH(MAX(ABS(DA3:DA5)),ABS(DA3:DA5),0)</f>
        <v>1</v>
      </c>
      <c r="DB6" s="12">
        <f t="array" ref="DB6">MATCH(MAX(ABS(DB3:DB5)),ABS(DB3:DB5),0)</f>
        <v>3</v>
      </c>
      <c r="DC6" s="12">
        <f t="array" ref="DC6">MATCH(MAX(ABS(DC3:DC5)),ABS(DC3:DC5),0)</f>
        <v>3</v>
      </c>
      <c r="DD6" s="12">
        <f t="array" ref="DD6">MATCH(MAX(ABS(DD3:DD5)),ABS(DD3:DD5),0)</f>
        <v>3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3</v>
      </c>
      <c r="DH6" s="12">
        <f t="array" ref="DH6">MATCH(MAX(ABS(DH3:DH5)),ABS(DH3:DH5),0)</f>
        <v>3</v>
      </c>
      <c r="DI6" s="12">
        <f t="array" ref="DI6">MATCH(MAX(ABS(DI3:DI5)),ABS(DI3:DI5),0)</f>
        <v>3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3</v>
      </c>
      <c r="DO6" s="12">
        <f t="array" ref="DO6">MATCH(MAX(ABS(DO3:DO5)),ABS(DO3:DO5),0)</f>
        <v>1</v>
      </c>
      <c r="DP6" s="12">
        <f t="array" ref="DP6">MATCH(MAX(ABS(DP3:DP5)),ABS(DP3:DP5),0)</f>
        <v>3</v>
      </c>
      <c r="DQ6" s="12">
        <f t="array" ref="DQ6">MATCH(MAX(ABS(DQ3:DQ5)),ABS(DQ3:DQ5),0)</f>
        <v>2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1</v>
      </c>
      <c r="DZ6" s="12">
        <f t="array" ref="DZ6">MATCH(MAX(ABS(DZ3:DZ5)),ABS(DZ3:DZ5),0)</f>
        <v>1</v>
      </c>
      <c r="EA6" s="12">
        <f t="array" ref="EA6">MATCH(MAX(ABS(EA3:EA5)),ABS(EA3:EA5),0)</f>
        <v>1</v>
      </c>
      <c r="EB6" s="12">
        <f t="array" ref="EB6">MATCH(MAX(ABS(EB3:EB5)),ABS(EB3:EB5),0)</f>
        <v>1</v>
      </c>
      <c r="EC6" s="12">
        <f t="array" ref="EC6">MATCH(MAX(ABS(EC3:EC5)),ABS(EC3:EC5),0)</f>
        <v>3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1</v>
      </c>
    </row>
    <row r="7" spans="1:139">
      <c r="C7" s="13" t="str">
        <f t="shared" ref="C7:BN7" si="0">IF(C6=1,"bm",IF(C6=2,"size",IF(C6=3,"mom")))</f>
        <v>size</v>
      </c>
      <c r="D7" s="13" t="str">
        <f t="shared" si="0"/>
        <v>bm</v>
      </c>
      <c r="E7" s="13" t="str">
        <f t="shared" si="0"/>
        <v>size</v>
      </c>
      <c r="F7" s="13" t="str">
        <f t="shared" si="0"/>
        <v>mom</v>
      </c>
      <c r="G7" s="13" t="str">
        <f t="shared" si="0"/>
        <v>mom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mom</v>
      </c>
      <c r="L7" s="13" t="str">
        <f t="shared" si="0"/>
        <v>mom</v>
      </c>
      <c r="M7" s="13" t="str">
        <f t="shared" si="0"/>
        <v>bm</v>
      </c>
      <c r="N7" s="13" t="str">
        <f t="shared" si="0"/>
        <v>mom</v>
      </c>
      <c r="O7" s="13" t="str">
        <f t="shared" si="0"/>
        <v>mom</v>
      </c>
      <c r="P7" s="13" t="str">
        <f t="shared" si="0"/>
        <v>mom</v>
      </c>
      <c r="Q7" s="13" t="str">
        <f t="shared" si="0"/>
        <v>mom</v>
      </c>
      <c r="R7" s="13" t="str">
        <f t="shared" si="0"/>
        <v>mom</v>
      </c>
      <c r="S7" s="13" t="str">
        <f t="shared" si="0"/>
        <v>bm</v>
      </c>
      <c r="T7" s="13" t="str">
        <f t="shared" si="0"/>
        <v>mom</v>
      </c>
      <c r="U7" s="13" t="str">
        <f t="shared" si="0"/>
        <v>size</v>
      </c>
      <c r="V7" s="13" t="str">
        <f t="shared" si="0"/>
        <v>mom</v>
      </c>
      <c r="W7" s="13" t="str">
        <f t="shared" si="0"/>
        <v>bm</v>
      </c>
      <c r="X7" s="13" t="str">
        <f t="shared" si="0"/>
        <v>bm</v>
      </c>
      <c r="Y7" s="13" t="str">
        <f t="shared" si="0"/>
        <v>mom</v>
      </c>
      <c r="Z7" s="13" t="str">
        <f t="shared" si="0"/>
        <v>mom</v>
      </c>
      <c r="AA7" s="13" t="str">
        <f t="shared" si="0"/>
        <v>bm</v>
      </c>
      <c r="AB7" s="13" t="str">
        <f t="shared" si="0"/>
        <v>mom</v>
      </c>
      <c r="AC7" s="13" t="str">
        <f t="shared" si="0"/>
        <v>mom</v>
      </c>
      <c r="AD7" s="13" t="str">
        <f t="shared" si="0"/>
        <v>bm</v>
      </c>
      <c r="AE7" s="13" t="str">
        <f t="shared" si="0"/>
        <v>size</v>
      </c>
      <c r="AF7" s="13" t="str">
        <f t="shared" si="0"/>
        <v>bm</v>
      </c>
      <c r="AG7" s="13" t="str">
        <f t="shared" si="0"/>
        <v>mom</v>
      </c>
      <c r="AH7" s="13" t="str">
        <f t="shared" si="0"/>
        <v>mom</v>
      </c>
      <c r="AI7" s="13" t="str">
        <f t="shared" si="0"/>
        <v>mom</v>
      </c>
      <c r="AJ7" s="13" t="str">
        <f t="shared" si="0"/>
        <v>bm</v>
      </c>
      <c r="AK7" s="13" t="str">
        <f t="shared" si="0"/>
        <v>mom</v>
      </c>
      <c r="AL7" s="13" t="str">
        <f t="shared" si="0"/>
        <v>bm</v>
      </c>
      <c r="AM7" s="13" t="str">
        <f t="shared" si="0"/>
        <v>mom</v>
      </c>
      <c r="AN7" s="13" t="str">
        <f t="shared" si="0"/>
        <v>mom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mom</v>
      </c>
      <c r="AS7" s="13" t="str">
        <f t="shared" si="0"/>
        <v>size</v>
      </c>
      <c r="AT7" s="13" t="str">
        <f t="shared" si="0"/>
        <v>bm</v>
      </c>
      <c r="AU7" s="13" t="str">
        <f t="shared" si="0"/>
        <v>bm</v>
      </c>
      <c r="AV7" s="13" t="str">
        <f t="shared" si="0"/>
        <v>bm</v>
      </c>
      <c r="AW7" s="13" t="str">
        <f t="shared" si="0"/>
        <v>bm</v>
      </c>
      <c r="AX7" s="13" t="str">
        <f t="shared" si="0"/>
        <v>bm</v>
      </c>
      <c r="AY7" s="13" t="str">
        <f t="shared" si="0"/>
        <v>bm</v>
      </c>
      <c r="AZ7" s="13" t="str">
        <f t="shared" si="0"/>
        <v>bm</v>
      </c>
      <c r="BA7" s="13" t="str">
        <f t="shared" si="0"/>
        <v>bm</v>
      </c>
      <c r="BB7" s="13" t="str">
        <f t="shared" si="0"/>
        <v>size</v>
      </c>
      <c r="BC7" s="13" t="str">
        <f t="shared" si="0"/>
        <v>bm</v>
      </c>
      <c r="BD7" s="13" t="str">
        <f t="shared" si="0"/>
        <v>size</v>
      </c>
      <c r="BE7" s="13" t="str">
        <f t="shared" si="0"/>
        <v>bm</v>
      </c>
      <c r="BF7" s="13" t="str">
        <f t="shared" si="0"/>
        <v>size</v>
      </c>
      <c r="BG7" s="13" t="str">
        <f t="shared" si="0"/>
        <v>bm</v>
      </c>
      <c r="BH7" s="13" t="str">
        <f t="shared" si="0"/>
        <v>bm</v>
      </c>
      <c r="BI7" s="13" t="str">
        <f t="shared" si="0"/>
        <v>bm</v>
      </c>
      <c r="BJ7" s="13" t="str">
        <f t="shared" si="0"/>
        <v>bm</v>
      </c>
      <c r="BK7" s="13" t="str">
        <f t="shared" si="0"/>
        <v>bm</v>
      </c>
      <c r="BL7" s="13" t="str">
        <f t="shared" si="0"/>
        <v>size</v>
      </c>
      <c r="BM7" s="13" t="str">
        <f t="shared" si="0"/>
        <v>size</v>
      </c>
      <c r="BN7" s="13" t="str">
        <f t="shared" si="0"/>
        <v>mom</v>
      </c>
      <c r="BO7" s="13" t="str">
        <f t="shared" ref="BO7:DZ7" si="1">IF(BO6=1,"bm",IF(BO6=2,"size",IF(BO6=3,"mom")))</f>
        <v>size</v>
      </c>
      <c r="BP7" s="13" t="str">
        <f t="shared" si="1"/>
        <v>bm</v>
      </c>
      <c r="BQ7" s="13" t="str">
        <f t="shared" si="1"/>
        <v>bm</v>
      </c>
      <c r="BR7" s="13" t="str">
        <f t="shared" si="1"/>
        <v>mom</v>
      </c>
      <c r="BS7" s="13" t="str">
        <f t="shared" si="1"/>
        <v>bm</v>
      </c>
      <c r="BT7" s="13" t="str">
        <f t="shared" si="1"/>
        <v>size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mom</v>
      </c>
      <c r="BY7" s="13" t="str">
        <f t="shared" si="1"/>
        <v>bm</v>
      </c>
      <c r="BZ7" s="13" t="str">
        <f t="shared" si="1"/>
        <v>size</v>
      </c>
      <c r="CA7" s="13" t="str">
        <f t="shared" si="1"/>
        <v>bm</v>
      </c>
      <c r="CB7" s="13" t="str">
        <f t="shared" si="1"/>
        <v>bm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size</v>
      </c>
      <c r="CF7" s="13" t="str">
        <f t="shared" si="1"/>
        <v>size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bm</v>
      </c>
      <c r="CK7" s="13" t="str">
        <f t="shared" si="1"/>
        <v>bm</v>
      </c>
      <c r="CL7" s="13" t="str">
        <f t="shared" si="1"/>
        <v>bm</v>
      </c>
      <c r="CM7" s="13" t="str">
        <f t="shared" si="1"/>
        <v>size</v>
      </c>
      <c r="CN7" s="13" t="str">
        <f t="shared" si="1"/>
        <v>bm</v>
      </c>
      <c r="CO7" s="13" t="str">
        <f t="shared" si="1"/>
        <v>mom</v>
      </c>
      <c r="CP7" s="13" t="str">
        <f t="shared" si="1"/>
        <v>bm</v>
      </c>
      <c r="CQ7" s="13" t="str">
        <f t="shared" si="1"/>
        <v>bm</v>
      </c>
      <c r="CR7" s="13" t="str">
        <f t="shared" si="1"/>
        <v>size</v>
      </c>
      <c r="CS7" s="13" t="str">
        <f t="shared" si="1"/>
        <v>bm</v>
      </c>
      <c r="CT7" s="13" t="str">
        <f t="shared" si="1"/>
        <v>mom</v>
      </c>
      <c r="CU7" s="13" t="str">
        <f t="shared" si="1"/>
        <v>bm</v>
      </c>
      <c r="CV7" s="13" t="str">
        <f t="shared" si="1"/>
        <v>mom</v>
      </c>
      <c r="CW7" s="13" t="str">
        <f t="shared" si="1"/>
        <v>mom</v>
      </c>
      <c r="CX7" s="13" t="str">
        <f t="shared" si="1"/>
        <v>bm</v>
      </c>
      <c r="CY7" s="13" t="str">
        <f t="shared" si="1"/>
        <v>bm</v>
      </c>
      <c r="CZ7" s="13" t="str">
        <f t="shared" si="1"/>
        <v>bm</v>
      </c>
      <c r="DA7" s="13" t="str">
        <f t="shared" si="1"/>
        <v>bm</v>
      </c>
      <c r="DB7" s="13" t="str">
        <f t="shared" si="1"/>
        <v>mom</v>
      </c>
      <c r="DC7" s="13" t="str">
        <f t="shared" si="1"/>
        <v>mom</v>
      </c>
      <c r="DD7" s="13" t="str">
        <f t="shared" si="1"/>
        <v>mom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mom</v>
      </c>
      <c r="DH7" s="13" t="str">
        <f t="shared" si="1"/>
        <v>mom</v>
      </c>
      <c r="DI7" s="13" t="str">
        <f t="shared" si="1"/>
        <v>mom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mom</v>
      </c>
      <c r="DO7" s="13" t="str">
        <f t="shared" si="1"/>
        <v>bm</v>
      </c>
      <c r="DP7" s="13" t="str">
        <f t="shared" si="1"/>
        <v>mom</v>
      </c>
      <c r="DQ7" s="13" t="str">
        <f t="shared" si="1"/>
        <v>size</v>
      </c>
      <c r="DR7" s="13" t="str">
        <f t="shared" si="1"/>
        <v>bm</v>
      </c>
      <c r="DS7" s="13" t="str">
        <f t="shared" si="1"/>
        <v>size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bm</v>
      </c>
      <c r="DW7" s="13" t="str">
        <f t="shared" si="1"/>
        <v>size</v>
      </c>
      <c r="DX7" s="13" t="str">
        <f t="shared" si="1"/>
        <v>bm</v>
      </c>
      <c r="DY7" s="13" t="str">
        <f t="shared" si="1"/>
        <v>bm</v>
      </c>
      <c r="DZ7" s="13" t="str">
        <f t="shared" si="1"/>
        <v>bm</v>
      </c>
      <c r="EA7" s="13" t="str">
        <f t="shared" ref="EA7:EF7" si="2">IF(EA6=1,"bm",IF(EA6=2,"size",IF(EA6=3,"mom")))</f>
        <v>bm</v>
      </c>
      <c r="EB7" s="13" t="str">
        <f t="shared" si="2"/>
        <v>bm</v>
      </c>
      <c r="EC7" s="13" t="str">
        <f t="shared" si="2"/>
        <v>mom</v>
      </c>
      <c r="ED7" s="13" t="str">
        <f t="shared" si="2"/>
        <v>bm</v>
      </c>
      <c r="EE7" s="13" t="str">
        <f t="shared" si="2"/>
        <v>size</v>
      </c>
      <c r="EF7" s="13" t="str">
        <f t="shared" si="2"/>
        <v>bm</v>
      </c>
    </row>
    <row r="8" spans="1:139">
      <c r="C8" s="12">
        <f t="shared" ref="C8:BN8" si="3">IF(C6=1,C3,IF(C6=2,C4,IF(C6=3,C5)))</f>
        <v>-3.6521758884191513E-2</v>
      </c>
      <c r="D8" s="12">
        <f t="shared" si="3"/>
        <v>7.24458247423172E-2</v>
      </c>
      <c r="E8" s="12">
        <f t="shared" si="3"/>
        <v>-5.0075937062501907E-2</v>
      </c>
      <c r="F8" s="12">
        <f t="shared" si="3"/>
        <v>3.9053350687026978E-2</v>
      </c>
      <c r="G8" s="12">
        <f t="shared" si="3"/>
        <v>-3.5989873111248023E-2</v>
      </c>
      <c r="H8" s="12">
        <f t="shared" si="3"/>
        <v>-5.2601419389247887E-2</v>
      </c>
      <c r="I8" s="12">
        <f t="shared" si="3"/>
        <v>-3.8912922143936157E-2</v>
      </c>
      <c r="J8" s="12">
        <f t="shared" si="3"/>
        <v>-3.2669864594936371E-2</v>
      </c>
      <c r="K8" s="12">
        <f t="shared" si="3"/>
        <v>2.9407145455479618E-2</v>
      </c>
      <c r="L8" s="12">
        <f t="shared" si="3"/>
        <v>5.8111239224672318E-2</v>
      </c>
      <c r="M8" s="12">
        <f t="shared" si="3"/>
        <v>-8.2549653947353363E-2</v>
      </c>
      <c r="N8" s="12">
        <f t="shared" si="3"/>
        <v>6.2360752373933792E-2</v>
      </c>
      <c r="O8" s="12">
        <f t="shared" si="3"/>
        <v>9.9858760833740234E-2</v>
      </c>
      <c r="P8" s="12">
        <f t="shared" si="3"/>
        <v>0.13152122497558591</v>
      </c>
      <c r="Q8" s="12">
        <f t="shared" si="3"/>
        <v>7.957778126001358E-2</v>
      </c>
      <c r="R8" s="12">
        <f t="shared" si="3"/>
        <v>4.847404733300209E-2</v>
      </c>
      <c r="S8" s="12">
        <f t="shared" si="3"/>
        <v>-8.0156058073043823E-2</v>
      </c>
      <c r="T8" s="12">
        <f t="shared" si="3"/>
        <v>5.0201687961816788E-2</v>
      </c>
      <c r="U8" s="12">
        <f t="shared" si="3"/>
        <v>-9.2675261199474335E-2</v>
      </c>
      <c r="V8" s="12">
        <f t="shared" si="3"/>
        <v>6.3523001968860626E-2</v>
      </c>
      <c r="W8" s="12">
        <f t="shared" si="3"/>
        <v>9.6304804086685181E-2</v>
      </c>
      <c r="X8" s="12">
        <f t="shared" si="3"/>
        <v>0.16748018562793729</v>
      </c>
      <c r="Y8" s="12">
        <f t="shared" si="3"/>
        <v>9.0847745537757874E-2</v>
      </c>
      <c r="Z8" s="12">
        <f t="shared" si="3"/>
        <v>0.1071524396538734</v>
      </c>
      <c r="AA8" s="12">
        <f t="shared" si="3"/>
        <v>-7.8297220170497894E-2</v>
      </c>
      <c r="AB8" s="12">
        <f t="shared" si="3"/>
        <v>8.0967366695404053E-2</v>
      </c>
      <c r="AC8" s="12">
        <f t="shared" si="3"/>
        <v>3.8304600864648819E-2</v>
      </c>
      <c r="AD8" s="12">
        <f t="shared" si="3"/>
        <v>-3.0706796795129779E-2</v>
      </c>
      <c r="AE8" s="12">
        <f t="shared" si="3"/>
        <v>4.7622621059417718E-2</v>
      </c>
      <c r="AF8" s="12">
        <f t="shared" si="3"/>
        <v>6.8843632936477661E-2</v>
      </c>
      <c r="AG8" s="12">
        <f t="shared" si="3"/>
        <v>6.7320100963115692E-2</v>
      </c>
      <c r="AH8" s="12">
        <f t="shared" si="3"/>
        <v>1.78289357572794E-2</v>
      </c>
      <c r="AI8" s="12">
        <f t="shared" si="3"/>
        <v>5.6440837681293488E-2</v>
      </c>
      <c r="AJ8" s="12">
        <f t="shared" si="3"/>
        <v>-5.5654104799032211E-2</v>
      </c>
      <c r="AK8" s="12">
        <f t="shared" si="3"/>
        <v>7.9053483903408051E-2</v>
      </c>
      <c r="AL8" s="12">
        <f t="shared" si="3"/>
        <v>0.14250144362449649</v>
      </c>
      <c r="AM8" s="12">
        <f t="shared" si="3"/>
        <v>4.9416512250900269E-2</v>
      </c>
      <c r="AN8" s="12">
        <f t="shared" si="3"/>
        <v>4.2488358914852142E-2</v>
      </c>
      <c r="AO8" s="12">
        <f t="shared" si="3"/>
        <v>3.6709178239107132E-2</v>
      </c>
      <c r="AP8" s="12">
        <f t="shared" si="3"/>
        <v>4.6501751989126212E-2</v>
      </c>
      <c r="AQ8" s="12">
        <f t="shared" si="3"/>
        <v>4.9757853150367737E-2</v>
      </c>
      <c r="AR8" s="12">
        <f t="shared" si="3"/>
        <v>-5.88986836373806E-2</v>
      </c>
      <c r="AS8" s="12">
        <f t="shared" si="3"/>
        <v>3.4978423267602921E-2</v>
      </c>
      <c r="AT8" s="12">
        <f t="shared" si="3"/>
        <v>5.6848321110010147E-2</v>
      </c>
      <c r="AU8" s="12">
        <f t="shared" si="3"/>
        <v>3.9384294301271439E-2</v>
      </c>
      <c r="AV8" s="12">
        <f t="shared" si="3"/>
        <v>0.14884805679321289</v>
      </c>
      <c r="AW8" s="12">
        <f t="shared" si="3"/>
        <v>5.9238158166408539E-2</v>
      </c>
      <c r="AX8" s="12">
        <f t="shared" si="3"/>
        <v>8.3451211452484131E-2</v>
      </c>
      <c r="AY8" s="12">
        <f t="shared" si="3"/>
        <v>6.8846635520458221E-2</v>
      </c>
      <c r="AZ8" s="12">
        <f t="shared" si="3"/>
        <v>0.15779311954975131</v>
      </c>
      <c r="BA8" s="12">
        <f t="shared" si="3"/>
        <v>7.3232002556324005E-2</v>
      </c>
      <c r="BB8" s="12">
        <f t="shared" si="3"/>
        <v>-2.2272480651736259E-2</v>
      </c>
      <c r="BC8" s="12">
        <f t="shared" si="3"/>
        <v>5.6218259036540992E-2</v>
      </c>
      <c r="BD8" s="12">
        <f t="shared" si="3"/>
        <v>-8.3808884024620056E-2</v>
      </c>
      <c r="BE8" s="12">
        <f t="shared" si="3"/>
        <v>8.9553870260715485E-2</v>
      </c>
      <c r="BF8" s="12">
        <f t="shared" si="3"/>
        <v>-7.6244287192821503E-2</v>
      </c>
      <c r="BG8" s="12">
        <f t="shared" si="3"/>
        <v>7.1616403758525848E-2</v>
      </c>
      <c r="BH8" s="12">
        <f t="shared" si="3"/>
        <v>7.97300785779953E-2</v>
      </c>
      <c r="BI8" s="12">
        <f t="shared" si="3"/>
        <v>8.7966516613960266E-2</v>
      </c>
      <c r="BJ8" s="12">
        <f t="shared" si="3"/>
        <v>0.1081216707825661</v>
      </c>
      <c r="BK8" s="12">
        <f t="shared" si="3"/>
        <v>0.1129734814167023</v>
      </c>
      <c r="BL8" s="12">
        <f t="shared" si="3"/>
        <v>-5.3756937384605408E-2</v>
      </c>
      <c r="BM8" s="12">
        <f t="shared" si="3"/>
        <v>-7.9431377351284027E-2</v>
      </c>
      <c r="BN8" s="12">
        <f t="shared" si="3"/>
        <v>4.7217939049005508E-2</v>
      </c>
      <c r="BO8" s="12">
        <f t="shared" ref="BO8:DZ8" si="4">IF(BO6=1,BO3,IF(BO6=2,BO4,IF(BO6=3,BO5)))</f>
        <v>-9.4712458550930023E-2</v>
      </c>
      <c r="BP8" s="12">
        <f t="shared" si="4"/>
        <v>0.10330298542976379</v>
      </c>
      <c r="BQ8" s="12">
        <f t="shared" si="4"/>
        <v>7.12384432554245E-2</v>
      </c>
      <c r="BR8" s="12">
        <f t="shared" si="4"/>
        <v>6.7423462867736816E-2</v>
      </c>
      <c r="BS8" s="12">
        <f t="shared" si="4"/>
        <v>4.9339123070240021E-2</v>
      </c>
      <c r="BT8" s="12">
        <f t="shared" si="4"/>
        <v>-8.4144026041030884E-2</v>
      </c>
      <c r="BU8" s="12">
        <f t="shared" si="4"/>
        <v>-9.0233713388442993E-2</v>
      </c>
      <c r="BV8" s="12">
        <f t="shared" si="4"/>
        <v>-0.1029478386044502</v>
      </c>
      <c r="BW8" s="12">
        <f t="shared" si="4"/>
        <v>-7.1088537573814392E-2</v>
      </c>
      <c r="BX8" s="12">
        <f t="shared" si="4"/>
        <v>3.8252223283052438E-2</v>
      </c>
      <c r="BY8" s="12">
        <f t="shared" si="4"/>
        <v>-2.413135394454002E-2</v>
      </c>
      <c r="BZ8" s="12">
        <f t="shared" si="4"/>
        <v>-5.1592431962490082E-2</v>
      </c>
      <c r="CA8" s="12">
        <f t="shared" si="4"/>
        <v>8.7816245853900909E-2</v>
      </c>
      <c r="CB8" s="12">
        <f t="shared" si="4"/>
        <v>-4.3355219066143043E-2</v>
      </c>
      <c r="CC8" s="12">
        <f t="shared" si="4"/>
        <v>-7.9050444066524506E-2</v>
      </c>
      <c r="CD8" s="12">
        <f t="shared" si="4"/>
        <v>-0.1116790845990181</v>
      </c>
      <c r="CE8" s="12">
        <f t="shared" si="4"/>
        <v>-8.4638349711894989E-2</v>
      </c>
      <c r="CF8" s="12">
        <f t="shared" si="4"/>
        <v>-8.8114269077777863E-2</v>
      </c>
      <c r="CG8" s="12">
        <f t="shared" si="4"/>
        <v>-9.862682968378067E-2</v>
      </c>
      <c r="CH8" s="12">
        <f t="shared" si="4"/>
        <v>-7.5061611831188202E-2</v>
      </c>
      <c r="CI8" s="12">
        <f t="shared" si="4"/>
        <v>-5.5998209863901138E-2</v>
      </c>
      <c r="CJ8" s="12">
        <f t="shared" si="4"/>
        <v>-0.1101485714316368</v>
      </c>
      <c r="CK8" s="12">
        <f t="shared" si="4"/>
        <v>4.6726226806640618E-2</v>
      </c>
      <c r="CL8" s="12">
        <f t="shared" si="4"/>
        <v>5.5295374244451523E-2</v>
      </c>
      <c r="CM8" s="12">
        <f t="shared" si="4"/>
        <v>-2.1875450387597081E-2</v>
      </c>
      <c r="CN8" s="12">
        <f t="shared" si="4"/>
        <v>-5.8284953236579902E-2</v>
      </c>
      <c r="CO8" s="12">
        <f t="shared" si="4"/>
        <v>3.5640694200992577E-2</v>
      </c>
      <c r="CP8" s="12">
        <f t="shared" si="4"/>
        <v>3.5830866545438773E-2</v>
      </c>
      <c r="CQ8" s="12">
        <f t="shared" si="4"/>
        <v>2.45636235922575E-2</v>
      </c>
      <c r="CR8" s="12">
        <f t="shared" si="4"/>
        <v>-4.5928843319416053E-2</v>
      </c>
      <c r="CS8" s="12">
        <f t="shared" si="4"/>
        <v>-0.1024853959679604</v>
      </c>
      <c r="CT8" s="12">
        <f t="shared" si="4"/>
        <v>5.863029882311821E-2</v>
      </c>
      <c r="CU8" s="12">
        <f t="shared" si="4"/>
        <v>-0.1111449897289276</v>
      </c>
      <c r="CV8" s="12">
        <f t="shared" si="4"/>
        <v>4.6454016119241708E-2</v>
      </c>
      <c r="CW8" s="12">
        <f t="shared" si="4"/>
        <v>7.367561012506485E-2</v>
      </c>
      <c r="CX8" s="12">
        <f t="shared" si="4"/>
        <v>-8.237186074256897E-2</v>
      </c>
      <c r="CY8" s="12">
        <f t="shared" si="4"/>
        <v>-4.1168216615915298E-2</v>
      </c>
      <c r="CZ8" s="12">
        <f t="shared" si="4"/>
        <v>-7.4366219341754913E-2</v>
      </c>
      <c r="DA8" s="12">
        <f t="shared" si="4"/>
        <v>-4.7027502208948142E-2</v>
      </c>
      <c r="DB8" s="12">
        <f t="shared" si="4"/>
        <v>1.5304354019463061E-2</v>
      </c>
      <c r="DC8" s="12">
        <f t="shared" si="4"/>
        <v>3.0327405780553821E-2</v>
      </c>
      <c r="DD8" s="12">
        <f t="shared" si="4"/>
        <v>5.3778979927301407E-2</v>
      </c>
      <c r="DE8" s="12">
        <f t="shared" si="4"/>
        <v>-5.5287983268499367E-2</v>
      </c>
      <c r="DF8" s="12">
        <f t="shared" si="4"/>
        <v>3.9528455585241318E-2</v>
      </c>
      <c r="DG8" s="12">
        <f t="shared" si="4"/>
        <v>-8.2107760012149811E-2</v>
      </c>
      <c r="DH8" s="12">
        <f t="shared" si="4"/>
        <v>-5.2850812673568733E-2</v>
      </c>
      <c r="DI8" s="12">
        <f t="shared" si="4"/>
        <v>-7.8471429646015167E-2</v>
      </c>
      <c r="DJ8" s="12">
        <f t="shared" si="4"/>
        <v>4.8156458884477622E-2</v>
      </c>
      <c r="DK8" s="12">
        <f t="shared" si="4"/>
        <v>3.9779618382453918E-2</v>
      </c>
      <c r="DL8" s="12">
        <f t="shared" si="4"/>
        <v>2.912280336022377E-2</v>
      </c>
      <c r="DM8" s="12">
        <f t="shared" si="4"/>
        <v>5.5858355015516281E-2</v>
      </c>
      <c r="DN8" s="12">
        <f t="shared" si="4"/>
        <v>-6.0538295656442642E-2</v>
      </c>
      <c r="DO8" s="12">
        <f t="shared" si="4"/>
        <v>-4.1845731437206268E-2</v>
      </c>
      <c r="DP8" s="12">
        <f t="shared" si="4"/>
        <v>-2.293764241039753E-2</v>
      </c>
      <c r="DQ8" s="12">
        <f t="shared" si="4"/>
        <v>3.2798897475004203E-2</v>
      </c>
      <c r="DR8" s="12">
        <f t="shared" si="4"/>
        <v>7.5242564082145691E-2</v>
      </c>
      <c r="DS8" s="12">
        <f t="shared" si="4"/>
        <v>-6.3791960477828979E-2</v>
      </c>
      <c r="DT8" s="12">
        <f t="shared" si="4"/>
        <v>-2.437188662588596E-2</v>
      </c>
      <c r="DU8" s="12">
        <f t="shared" si="4"/>
        <v>2.8318654745817181E-2</v>
      </c>
      <c r="DV8" s="12">
        <f t="shared" si="4"/>
        <v>-3.9159540086984627E-2</v>
      </c>
      <c r="DW8" s="12">
        <f t="shared" si="4"/>
        <v>4.162212461233139E-2</v>
      </c>
      <c r="DX8" s="12">
        <f t="shared" si="4"/>
        <v>-2.5841465219855309E-2</v>
      </c>
      <c r="DY8" s="12">
        <f t="shared" si="4"/>
        <v>-2.6736544445157051E-2</v>
      </c>
      <c r="DZ8" s="12">
        <f t="shared" si="4"/>
        <v>-3.2960411161184311E-2</v>
      </c>
      <c r="EA8" s="12">
        <f t="shared" ref="EA8:EF8" si="5">IF(EA6=1,EA3,IF(EA6=2,EA4,IF(EA6=3,EA5)))</f>
        <v>-4.8574574291706092E-2</v>
      </c>
      <c r="EB8" s="12">
        <f t="shared" si="5"/>
        <v>-0.1051784828305244</v>
      </c>
      <c r="EC8" s="12">
        <f t="shared" si="5"/>
        <v>4.5648753643035889E-2</v>
      </c>
      <c r="ED8" s="12">
        <f t="shared" si="5"/>
        <v>-0.1028049290180206</v>
      </c>
      <c r="EE8" s="12">
        <f t="shared" si="5"/>
        <v>5.7367391884326928E-2</v>
      </c>
      <c r="EF8" s="12">
        <f t="shared" si="5"/>
        <v>-3.865974023938179E-2</v>
      </c>
    </row>
    <row r="10" spans="1:139">
      <c r="A10" t="s">
        <v>140</v>
      </c>
      <c r="C10" t="s">
        <v>141</v>
      </c>
      <c r="D10">
        <v>964</v>
      </c>
    </row>
    <row r="11" spans="1:139">
      <c r="A11" t="s">
        <v>142</v>
      </c>
      <c r="B11" t="s">
        <v>143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  <c r="R11" t="s">
        <v>18</v>
      </c>
      <c r="S11" t="s">
        <v>19</v>
      </c>
      <c r="T11" t="s">
        <v>20</v>
      </c>
      <c r="U11" t="s">
        <v>21</v>
      </c>
      <c r="V11" t="s">
        <v>22</v>
      </c>
      <c r="W11" t="s">
        <v>23</v>
      </c>
      <c r="X11" t="s">
        <v>24</v>
      </c>
      <c r="Y11" t="s">
        <v>25</v>
      </c>
      <c r="Z11" t="s">
        <v>26</v>
      </c>
      <c r="AA11" t="s">
        <v>27</v>
      </c>
      <c r="AB11" t="s">
        <v>28</v>
      </c>
      <c r="AC11" t="s">
        <v>29</v>
      </c>
      <c r="AD11" t="s">
        <v>30</v>
      </c>
      <c r="AE11" t="s">
        <v>31</v>
      </c>
      <c r="AF11" t="s">
        <v>32</v>
      </c>
      <c r="AG11" t="s">
        <v>33</v>
      </c>
      <c r="AH11" t="s">
        <v>34</v>
      </c>
      <c r="AI11" t="s">
        <v>35</v>
      </c>
      <c r="AJ11" t="s">
        <v>36</v>
      </c>
      <c r="AK11" t="s">
        <v>37</v>
      </c>
      <c r="AL11" t="s">
        <v>38</v>
      </c>
      <c r="AM11" t="s">
        <v>39</v>
      </c>
      <c r="AN11" t="s">
        <v>40</v>
      </c>
      <c r="AO11" t="s">
        <v>41</v>
      </c>
      <c r="AP11" t="s">
        <v>42</v>
      </c>
      <c r="AQ11" t="s">
        <v>43</v>
      </c>
      <c r="AR11" t="s">
        <v>44</v>
      </c>
      <c r="AS11" t="s">
        <v>45</v>
      </c>
      <c r="AT11" t="s">
        <v>46</v>
      </c>
      <c r="AU11" t="s">
        <v>47</v>
      </c>
      <c r="AV11" t="s">
        <v>48</v>
      </c>
      <c r="AW11" t="s">
        <v>49</v>
      </c>
      <c r="AX11" t="s">
        <v>50</v>
      </c>
      <c r="AY11" t="s">
        <v>51</v>
      </c>
      <c r="AZ11" t="s">
        <v>52</v>
      </c>
      <c r="BA11" t="s">
        <v>53</v>
      </c>
      <c r="BB11" t="s">
        <v>54</v>
      </c>
      <c r="BC11" t="s">
        <v>55</v>
      </c>
      <c r="BD11" t="s">
        <v>56</v>
      </c>
      <c r="BE11" t="s">
        <v>57</v>
      </c>
      <c r="BF11" t="s">
        <v>58</v>
      </c>
      <c r="BG11" t="s">
        <v>59</v>
      </c>
      <c r="BH11" t="s">
        <v>60</v>
      </c>
      <c r="BI11" t="s">
        <v>61</v>
      </c>
      <c r="BJ11" t="s">
        <v>62</v>
      </c>
      <c r="BK11" t="s">
        <v>63</v>
      </c>
      <c r="BL11" t="s">
        <v>64</v>
      </c>
      <c r="BM11" t="s">
        <v>65</v>
      </c>
      <c r="BN11" t="s">
        <v>66</v>
      </c>
      <c r="BO11" t="s">
        <v>67</v>
      </c>
      <c r="BP11" t="s">
        <v>68</v>
      </c>
      <c r="BQ11" t="s">
        <v>69</v>
      </c>
      <c r="BR11" t="s">
        <v>70</v>
      </c>
      <c r="BS11" t="s">
        <v>71</v>
      </c>
      <c r="BT11" t="s">
        <v>72</v>
      </c>
      <c r="BU11" t="s">
        <v>73</v>
      </c>
      <c r="BV11" t="s">
        <v>74</v>
      </c>
      <c r="BW11" t="s">
        <v>75</v>
      </c>
      <c r="BX11" t="s">
        <v>76</v>
      </c>
      <c r="BY11" t="s">
        <v>77</v>
      </c>
      <c r="BZ11" t="s">
        <v>78</v>
      </c>
      <c r="CA11" t="s">
        <v>79</v>
      </c>
      <c r="CB11" t="s">
        <v>80</v>
      </c>
      <c r="CC11" t="s">
        <v>81</v>
      </c>
      <c r="CD11" t="s">
        <v>82</v>
      </c>
      <c r="CE11" t="s">
        <v>83</v>
      </c>
      <c r="CF11" t="s">
        <v>84</v>
      </c>
      <c r="CG11" t="s">
        <v>85</v>
      </c>
      <c r="CH11" t="s">
        <v>86</v>
      </c>
      <c r="CI11" t="s">
        <v>87</v>
      </c>
      <c r="CJ11" t="s">
        <v>88</v>
      </c>
      <c r="CK11" t="s">
        <v>89</v>
      </c>
      <c r="CL11" t="s">
        <v>90</v>
      </c>
      <c r="CM11" t="s">
        <v>91</v>
      </c>
      <c r="CN11" t="s">
        <v>92</v>
      </c>
      <c r="CO11" t="s">
        <v>93</v>
      </c>
      <c r="CP11" t="s">
        <v>94</v>
      </c>
      <c r="CQ11" t="s">
        <v>95</v>
      </c>
      <c r="CR11" t="s">
        <v>96</v>
      </c>
      <c r="CS11" t="s">
        <v>97</v>
      </c>
      <c r="CT11" t="s">
        <v>98</v>
      </c>
      <c r="CU11" t="s">
        <v>99</v>
      </c>
      <c r="CV11" t="s">
        <v>100</v>
      </c>
      <c r="CW11" t="s">
        <v>101</v>
      </c>
      <c r="CX11" t="s">
        <v>102</v>
      </c>
      <c r="CY11" t="s">
        <v>103</v>
      </c>
      <c r="CZ11" t="s">
        <v>104</v>
      </c>
      <c r="DA11" t="s">
        <v>105</v>
      </c>
      <c r="DB11" t="s">
        <v>106</v>
      </c>
      <c r="DC11" t="s">
        <v>107</v>
      </c>
      <c r="DD11" t="s">
        <v>108</v>
      </c>
      <c r="DE11" t="s">
        <v>109</v>
      </c>
      <c r="DF11" t="s">
        <v>110</v>
      </c>
      <c r="DG11" t="s">
        <v>111</v>
      </c>
      <c r="DH11" t="s">
        <v>112</v>
      </c>
      <c r="DI11" t="s">
        <v>113</v>
      </c>
      <c r="DJ11" t="s">
        <v>114</v>
      </c>
      <c r="DK11" t="s">
        <v>115</v>
      </c>
      <c r="DL11" t="s">
        <v>116</v>
      </c>
      <c r="DM11" t="s">
        <v>117</v>
      </c>
      <c r="DN11" t="s">
        <v>118</v>
      </c>
      <c r="DO11" t="s">
        <v>119</v>
      </c>
      <c r="DP11" t="s">
        <v>120</v>
      </c>
      <c r="DQ11" t="s">
        <v>121</v>
      </c>
      <c r="DR11" t="s">
        <v>122</v>
      </c>
      <c r="DS11" t="s">
        <v>123</v>
      </c>
      <c r="DT11" t="s">
        <v>124</v>
      </c>
      <c r="DU11" t="s">
        <v>125</v>
      </c>
      <c r="DV11" t="s">
        <v>126</v>
      </c>
      <c r="DW11" t="s">
        <v>127</v>
      </c>
      <c r="DX11" t="s">
        <v>128</v>
      </c>
      <c r="DY11" t="s">
        <v>129</v>
      </c>
      <c r="DZ11" t="s">
        <v>130</v>
      </c>
      <c r="EA11" t="s">
        <v>131</v>
      </c>
      <c r="EB11" t="s">
        <v>132</v>
      </c>
      <c r="EC11" t="s">
        <v>133</v>
      </c>
      <c r="ED11" t="s">
        <v>134</v>
      </c>
      <c r="EE11" t="s">
        <v>135</v>
      </c>
      <c r="EF11" t="s">
        <v>184</v>
      </c>
      <c r="EG11" t="s">
        <v>185</v>
      </c>
      <c r="EH11" t="s">
        <v>186</v>
      </c>
      <c r="EI11" t="s">
        <v>187</v>
      </c>
    </row>
    <row r="12" spans="1:139">
      <c r="A12">
        <v>10</v>
      </c>
      <c r="B12">
        <v>96</v>
      </c>
      <c r="C12" s="12">
        <v>8.4653541666666707E-2</v>
      </c>
      <c r="D12" s="12">
        <v>2.0821795271878302E-2</v>
      </c>
      <c r="E12" s="12">
        <v>4.8026281249999997E-2</v>
      </c>
      <c r="F12" s="12">
        <v>-5.5959384784458728E-2</v>
      </c>
      <c r="G12" s="12">
        <v>-3.1947448518630461E-2</v>
      </c>
      <c r="H12" s="12">
        <v>3.8530718750000012E-2</v>
      </c>
      <c r="I12" s="12">
        <v>-3.6303936849052011E-2</v>
      </c>
      <c r="J12" s="12">
        <v>-2.940780208333334E-2</v>
      </c>
      <c r="K12" s="12">
        <v>2.918799813369918E-2</v>
      </c>
      <c r="L12" s="12">
        <v>8.7585559641662342E-3</v>
      </c>
      <c r="M12" s="12">
        <v>1.555180420016113E-2</v>
      </c>
      <c r="N12" s="12">
        <v>-3.4703354243462818E-2</v>
      </c>
      <c r="O12" s="12">
        <v>2.7914759067240381E-2</v>
      </c>
      <c r="P12" s="12">
        <v>-2.5432810815711028E-4</v>
      </c>
      <c r="Q12" s="12">
        <v>5.1156833739640466E-3</v>
      </c>
      <c r="R12" s="12">
        <v>1.315348866053859E-2</v>
      </c>
      <c r="S12" s="12">
        <v>7.1053897094607049E-2</v>
      </c>
      <c r="T12" s="12">
        <v>4.7867716345524697E-2</v>
      </c>
      <c r="U12" s="12">
        <v>-1.6178791666666682E-2</v>
      </c>
      <c r="V12" s="12">
        <v>9.5109536536482214E-3</v>
      </c>
      <c r="W12" s="12">
        <v>2.227844197331175E-2</v>
      </c>
      <c r="X12" s="12">
        <v>4.851927478031446E-2</v>
      </c>
      <c r="Y12" s="12">
        <v>2.0598393527691269E-2</v>
      </c>
      <c r="Z12" s="12">
        <v>-5.3152086976860878E-2</v>
      </c>
      <c r="AA12" s="12">
        <v>3.9403661401111782E-2</v>
      </c>
      <c r="AB12" s="12">
        <v>1.073332960413877E-2</v>
      </c>
      <c r="AC12" s="12">
        <v>-4.6772945626311249E-2</v>
      </c>
      <c r="AD12" s="12">
        <v>-5.84710999923721E-3</v>
      </c>
      <c r="AE12" s="12">
        <v>5.8317010416666662E-2</v>
      </c>
      <c r="AF12" s="12">
        <v>2.0432151303864929E-2</v>
      </c>
      <c r="AG12" s="12">
        <v>-3.814930420809846E-3</v>
      </c>
      <c r="AH12" s="12">
        <v>-1.5713033769280859E-2</v>
      </c>
      <c r="AI12" s="12">
        <v>8.79379249226157E-3</v>
      </c>
      <c r="AJ12" s="12">
        <v>-1.298374754605458E-2</v>
      </c>
      <c r="AK12" s="12">
        <v>-1.6475368224135679E-2</v>
      </c>
      <c r="AL12" s="12">
        <v>1.7859003021922081E-2</v>
      </c>
      <c r="AM12" s="12">
        <v>1.670675200628732E-2</v>
      </c>
      <c r="AN12" s="12">
        <v>2.6645628802444619E-2</v>
      </c>
      <c r="AO12" s="12">
        <v>2.228793039673051E-3</v>
      </c>
      <c r="AP12" s="12">
        <v>4.6336666666666696E-3</v>
      </c>
      <c r="AQ12" s="12">
        <v>6.6816458333333302E-3</v>
      </c>
      <c r="AR12" s="12">
        <v>-2.2223025987592161E-2</v>
      </c>
      <c r="AS12" s="12">
        <v>5.8433645833333436E-3</v>
      </c>
      <c r="AT12" s="12">
        <v>1.3834904707671181E-2</v>
      </c>
      <c r="AU12" s="12">
        <v>2.070865868087543E-2</v>
      </c>
      <c r="AV12" s="12">
        <v>-4.1360084745025012E-2</v>
      </c>
      <c r="AW12" s="12">
        <v>6.2147701801607523E-4</v>
      </c>
      <c r="AX12" s="12">
        <v>4.3598467253422833E-2</v>
      </c>
      <c r="AY12" s="12">
        <v>2.4955293067673249E-2</v>
      </c>
      <c r="AZ12" s="12">
        <v>-2.3000260716576439E-3</v>
      </c>
      <c r="BA12" s="12">
        <v>4.9378881832418033E-3</v>
      </c>
      <c r="BB12" s="12">
        <v>5.7850729166666658E-3</v>
      </c>
      <c r="BC12" s="12">
        <v>1.227278903847649E-2</v>
      </c>
      <c r="BD12" s="12">
        <v>4.9233947916666673E-2</v>
      </c>
      <c r="BE12" s="12">
        <v>1.860880983938528E-2</v>
      </c>
      <c r="BF12" s="12">
        <v>-2.360069791666667E-2</v>
      </c>
      <c r="BG12" s="12">
        <v>3.3670862441262807E-2</v>
      </c>
      <c r="BH12" s="12">
        <v>1.422336001132196E-2</v>
      </c>
      <c r="BI12" s="12">
        <v>5.002125303099076E-2</v>
      </c>
      <c r="BJ12" s="12">
        <v>-7.9599331991781624E-4</v>
      </c>
      <c r="BK12" s="12">
        <v>-2.1284664960133971E-2</v>
      </c>
      <c r="BL12" s="12">
        <v>1.1060114583333331E-2</v>
      </c>
      <c r="BM12" s="12">
        <v>-3.0171541666666669E-2</v>
      </c>
      <c r="BN12" s="12">
        <v>-1.1575967172940649E-2</v>
      </c>
      <c r="BO12" s="12">
        <v>1.691386458333333E-2</v>
      </c>
      <c r="BP12" s="12">
        <v>-1.0508985305294091E-2</v>
      </c>
      <c r="BQ12" s="12">
        <v>1.3896749618746689E-2</v>
      </c>
      <c r="BR12" s="12">
        <v>6.8693615147113224E-2</v>
      </c>
      <c r="BS12" s="12">
        <v>1.886329338439598E-2</v>
      </c>
      <c r="BT12" s="12">
        <v>-2.1288177083333332E-2</v>
      </c>
      <c r="BU12" s="12">
        <v>-4.808319791666666E-2</v>
      </c>
      <c r="BV12" s="12">
        <v>3.2053312499999979E-2</v>
      </c>
      <c r="BW12" s="12">
        <v>5.5487552083333308E-2</v>
      </c>
      <c r="BX12" s="12">
        <v>-6.985153858139255E-3</v>
      </c>
      <c r="BY12" s="12">
        <v>3.3370800331571443E-2</v>
      </c>
      <c r="BZ12" s="12">
        <v>3.777385416666668E-3</v>
      </c>
      <c r="CA12" s="12">
        <v>-3.4400287440342493E-2</v>
      </c>
      <c r="CB12" s="12">
        <v>-1.943242131762835E-3</v>
      </c>
      <c r="CC12" s="12">
        <v>6.5566041666666686E-2</v>
      </c>
      <c r="CD12" s="12">
        <v>4.4258520833333322E-2</v>
      </c>
      <c r="CE12" s="12">
        <v>0.15400715625000011</v>
      </c>
      <c r="CF12" s="12">
        <v>4.0780416666666769E-3</v>
      </c>
      <c r="CG12" s="12">
        <v>3.0880208333335102E-4</v>
      </c>
      <c r="CH12" s="12">
        <v>-9.4527916666666614E-3</v>
      </c>
      <c r="CI12" s="12">
        <v>-2.4341229166666659E-2</v>
      </c>
      <c r="CJ12" s="12">
        <v>-1.544518047868886E-2</v>
      </c>
      <c r="CK12" s="12">
        <v>1.2803144154834811E-2</v>
      </c>
      <c r="CL12" s="12">
        <v>0.1180156076696104</v>
      </c>
      <c r="CM12" s="12">
        <v>-7.1708562500000045E-2</v>
      </c>
      <c r="CN12" s="12">
        <v>2.7083701214559368E-2</v>
      </c>
      <c r="CO12" s="12">
        <v>-2.4819785255212591E-2</v>
      </c>
      <c r="CP12" s="12">
        <v>4.5299021467493747E-2</v>
      </c>
      <c r="CQ12" s="12">
        <v>3.6572194909933541E-2</v>
      </c>
      <c r="CR12" s="12">
        <v>4.814697916666668E-2</v>
      </c>
      <c r="CS12" s="12">
        <v>1.5201647687045549E-2</v>
      </c>
      <c r="CT12" s="12">
        <v>-9.3290632299768764E-3</v>
      </c>
      <c r="CU12" s="12">
        <v>-3.5623715662195188E-2</v>
      </c>
      <c r="CV12" s="12">
        <v>6.5033306495688795E-2</v>
      </c>
      <c r="CW12" s="12">
        <v>1.303666937857764E-2</v>
      </c>
      <c r="CX12" s="12">
        <v>-6.098988253699178E-2</v>
      </c>
      <c r="CY12" s="12">
        <v>5.982942211490587E-3</v>
      </c>
      <c r="CZ12" s="12">
        <v>-7.7792327339500603E-2</v>
      </c>
      <c r="DA12" s="12">
        <v>-5.6037840703605252E-3</v>
      </c>
      <c r="DB12" s="12">
        <v>3.5585282643903433E-2</v>
      </c>
      <c r="DC12" s="12">
        <v>-4.5013637925414574E-3</v>
      </c>
      <c r="DD12" s="12">
        <v>-6.9960545734343321E-2</v>
      </c>
      <c r="DE12" s="12">
        <v>-3.7235479166666613E-2</v>
      </c>
      <c r="DF12" s="12">
        <v>-5.5486104166666647E-2</v>
      </c>
      <c r="DG12" s="12">
        <v>4.7394421629824317E-2</v>
      </c>
      <c r="DH12" s="12">
        <v>-3.080315518685656E-2</v>
      </c>
      <c r="DI12" s="12">
        <v>-2.9979254557499689E-2</v>
      </c>
      <c r="DJ12" s="12">
        <v>-1.511867708333333E-2</v>
      </c>
      <c r="DK12" s="12">
        <v>3.1928208333333333E-2</v>
      </c>
      <c r="DL12" s="12">
        <v>-3.0896458333333349E-3</v>
      </c>
      <c r="DM12" s="12">
        <v>1.923761458333334E-2</v>
      </c>
      <c r="DN12" s="12">
        <v>1.854144345861243E-2</v>
      </c>
      <c r="DO12" s="12">
        <v>-2.259973368032869E-2</v>
      </c>
      <c r="DP12" s="12">
        <v>5.9408694556660431E-2</v>
      </c>
      <c r="DQ12" s="12">
        <v>3.3862052083333379E-2</v>
      </c>
      <c r="DR12" s="12">
        <v>1.8778943279386909E-2</v>
      </c>
      <c r="DS12" s="12">
        <v>6.9651010416666673E-2</v>
      </c>
      <c r="DT12" s="12">
        <v>2.5117864583333378E-2</v>
      </c>
      <c r="DU12" s="12">
        <v>5.7230229166666681E-2</v>
      </c>
      <c r="DV12" s="12">
        <v>-4.8550824477530688E-2</v>
      </c>
      <c r="DW12" s="12">
        <v>-4.4967552083333348E-2</v>
      </c>
      <c r="DX12" s="12">
        <v>5.0152080542361532E-2</v>
      </c>
      <c r="DY12" s="12">
        <v>-1.5357270118494901E-2</v>
      </c>
      <c r="DZ12" s="12">
        <v>4.1357254801773907E-3</v>
      </c>
      <c r="EA12" s="12">
        <v>-6.4003941323197033E-2</v>
      </c>
      <c r="EB12" s="12">
        <v>-2.8283267748527709E-3</v>
      </c>
      <c r="EC12" s="12">
        <v>1.48839181295192E-2</v>
      </c>
      <c r="ED12" s="12">
        <v>6.050815280848415E-2</v>
      </c>
      <c r="EE12" s="12">
        <v>2.6506687500000001E-2</v>
      </c>
      <c r="EF12" s="12">
        <v>-3.9233348038795662E-2</v>
      </c>
      <c r="EG12" s="10">
        <f t="shared" ref="EG12:EG24" si="6">AVERAGE(C12:EF12)</f>
        <v>7.8348568833892136E-3</v>
      </c>
      <c r="EH12" s="10">
        <f t="shared" ref="EH12:EH24" si="7">STDEV(C12:EF12)</f>
        <v>3.7517672944348109E-2</v>
      </c>
      <c r="EI12" s="10">
        <f t="shared" ref="EI12:EI24" si="8">EG12/EH12</f>
        <v>0.20883109927982632</v>
      </c>
    </row>
    <row r="13" spans="1:139">
      <c r="A13">
        <v>20</v>
      </c>
      <c r="B13">
        <v>48</v>
      </c>
      <c r="C13" s="12">
        <v>0.10411314583333341</v>
      </c>
      <c r="D13" s="12">
        <v>2.987761060455878E-2</v>
      </c>
      <c r="E13" s="12">
        <v>6.9861291666666658E-2</v>
      </c>
      <c r="F13" s="12">
        <v>-5.9986526692922967E-2</v>
      </c>
      <c r="G13" s="12">
        <v>-1.2047404300105931E-2</v>
      </c>
      <c r="H13" s="12">
        <v>2.999035416666665E-2</v>
      </c>
      <c r="I13" s="12">
        <v>-3.2682862984722338E-2</v>
      </c>
      <c r="J13" s="12">
        <v>-4.3898812500000023E-2</v>
      </c>
      <c r="K13" s="12">
        <v>6.0326139227570137E-2</v>
      </c>
      <c r="L13" s="12">
        <v>2.1980470378722781E-2</v>
      </c>
      <c r="M13" s="12">
        <v>-7.7086562624922028E-3</v>
      </c>
      <c r="N13" s="12">
        <v>-4.3392417465696789E-2</v>
      </c>
      <c r="O13" s="12">
        <v>1.7422698810949939E-2</v>
      </c>
      <c r="P13" s="12">
        <v>-6.2776476607329448E-3</v>
      </c>
      <c r="Q13" s="12">
        <v>-1.7456384496362699E-2</v>
      </c>
      <c r="R13" s="12">
        <v>1.6510711082829949E-2</v>
      </c>
      <c r="S13" s="12">
        <v>0.1229152980035506</v>
      </c>
      <c r="T13" s="12">
        <v>7.4234081511722602E-2</v>
      </c>
      <c r="U13" s="12">
        <v>1.5963125000000159E-3</v>
      </c>
      <c r="V13" s="12">
        <v>2.216639903053957E-3</v>
      </c>
      <c r="W13" s="12">
        <v>3.1103087884369891E-2</v>
      </c>
      <c r="X13" s="12">
        <v>6.9750968769056565E-2</v>
      </c>
      <c r="Y13" s="12">
        <v>-6.6833587265454353E-3</v>
      </c>
      <c r="Z13" s="12">
        <v>-8.125140212123555E-2</v>
      </c>
      <c r="AA13" s="12">
        <v>3.2119510338471283E-2</v>
      </c>
      <c r="AB13" s="12">
        <v>1.5001573328978489E-2</v>
      </c>
      <c r="AC13" s="12">
        <v>-6.6771700381929838E-2</v>
      </c>
      <c r="AD13" s="12">
        <v>-6.5790452025407779E-3</v>
      </c>
      <c r="AE13" s="12">
        <v>6.5719479166666678E-2</v>
      </c>
      <c r="AF13" s="12">
        <v>3.1940463834301228E-2</v>
      </c>
      <c r="AG13" s="12">
        <v>9.9052077270740842E-3</v>
      </c>
      <c r="AH13" s="12">
        <v>-2.4955206549866871E-2</v>
      </c>
      <c r="AI13" s="12">
        <v>1.8646046379966041E-2</v>
      </c>
      <c r="AJ13" s="12">
        <v>1.628046998827572E-2</v>
      </c>
      <c r="AK13" s="12">
        <v>-3.8359390282872087E-2</v>
      </c>
      <c r="AL13" s="12">
        <v>2.3151428595171029E-2</v>
      </c>
      <c r="AM13" s="12">
        <v>-1.4434106114089009E-2</v>
      </c>
      <c r="AN13" s="12">
        <v>2.9977660519922351E-2</v>
      </c>
      <c r="AO13" s="12">
        <v>9.3111878994149404E-3</v>
      </c>
      <c r="AP13" s="12">
        <v>6.5878125000000034E-3</v>
      </c>
      <c r="AQ13" s="12">
        <v>1.1081895833333331E-2</v>
      </c>
      <c r="AR13" s="12">
        <v>-2.0848043794723811E-2</v>
      </c>
      <c r="AS13" s="12">
        <v>1.9364166666666701E-3</v>
      </c>
      <c r="AT13" s="12">
        <v>4.0463087854439743E-2</v>
      </c>
      <c r="AU13" s="12">
        <v>4.0976126475978862E-2</v>
      </c>
      <c r="AV13" s="12">
        <v>-9.475472639553081E-3</v>
      </c>
      <c r="AW13" s="12">
        <v>4.0800135830634E-3</v>
      </c>
      <c r="AX13" s="12">
        <v>6.7153787783110333E-2</v>
      </c>
      <c r="AY13" s="12">
        <v>1.756434634862496E-2</v>
      </c>
      <c r="AZ13" s="12">
        <v>-8.1034674694993921E-3</v>
      </c>
      <c r="BA13" s="12">
        <v>6.5409376070610318E-3</v>
      </c>
      <c r="BB13" s="12">
        <v>2.604597916666667E-2</v>
      </c>
      <c r="BC13" s="12">
        <v>1.128376711165765E-2</v>
      </c>
      <c r="BD13" s="12">
        <v>4.1676729166666669E-2</v>
      </c>
      <c r="BE13" s="12">
        <v>2.7391806305641558E-2</v>
      </c>
      <c r="BF13" s="12">
        <v>-2.6302541666666669E-2</v>
      </c>
      <c r="BG13" s="12">
        <v>4.6566462338711673E-2</v>
      </c>
      <c r="BH13" s="12">
        <v>8.4757298116190372E-3</v>
      </c>
      <c r="BI13" s="12">
        <v>5.2409132456701382E-2</v>
      </c>
      <c r="BJ13" s="12">
        <v>-1.6847085990264871E-2</v>
      </c>
      <c r="BK13" s="12">
        <v>-1.8391024879749449E-2</v>
      </c>
      <c r="BL13" s="12">
        <v>1.3618958333333341E-2</v>
      </c>
      <c r="BM13" s="12">
        <v>-2.7203395833333342E-2</v>
      </c>
      <c r="BN13" s="12">
        <v>-3.5552713412407247E-2</v>
      </c>
      <c r="BO13" s="12">
        <v>3.407250000000001E-3</v>
      </c>
      <c r="BP13" s="12">
        <v>9.4326956946515182E-3</v>
      </c>
      <c r="BQ13" s="12">
        <v>4.1653063789425779E-2</v>
      </c>
      <c r="BR13" s="12">
        <v>7.9831456823332952E-2</v>
      </c>
      <c r="BS13" s="12">
        <v>7.4194718402196772E-3</v>
      </c>
      <c r="BT13" s="12">
        <v>-3.3667895833333343E-2</v>
      </c>
      <c r="BU13" s="12">
        <v>-7.4658166666666678E-2</v>
      </c>
      <c r="BV13" s="12">
        <v>3.144022916666666E-2</v>
      </c>
      <c r="BW13" s="12">
        <v>8.6230333333333353E-2</v>
      </c>
      <c r="BX13" s="12">
        <v>-7.4563880601007104E-4</v>
      </c>
      <c r="BY13" s="12">
        <v>1.4512397670490481E-2</v>
      </c>
      <c r="BZ13" s="12">
        <v>-1.3758708333333369E-2</v>
      </c>
      <c r="CA13" s="12">
        <v>-3.3531565600396843E-2</v>
      </c>
      <c r="CB13" s="12">
        <v>6.5958267252201053E-3</v>
      </c>
      <c r="CC13" s="12">
        <v>0.1201179166666667</v>
      </c>
      <c r="CD13" s="12">
        <v>5.525583333333333E-2</v>
      </c>
      <c r="CE13" s="12">
        <v>0.1838277291666667</v>
      </c>
      <c r="CF13" s="12">
        <v>1.8229145833333339E-2</v>
      </c>
      <c r="CG13" s="12">
        <v>7.5603958333333721E-3</v>
      </c>
      <c r="CH13" s="12">
        <v>-2.565775000000001E-2</v>
      </c>
      <c r="CI13" s="12">
        <v>-7.8951666666666753E-3</v>
      </c>
      <c r="CJ13" s="12">
        <v>3.106087971951194E-3</v>
      </c>
      <c r="CK13" s="12">
        <v>3.2045269236463968E-2</v>
      </c>
      <c r="CL13" s="12">
        <v>8.1453366102180805E-2</v>
      </c>
      <c r="CM13" s="12">
        <v>-0.1014523333333333</v>
      </c>
      <c r="CN13" s="12">
        <v>2.688756599885234E-2</v>
      </c>
      <c r="CO13" s="12">
        <v>-3.5334344080657359E-2</v>
      </c>
      <c r="CP13" s="12">
        <v>6.9726540277734339E-2</v>
      </c>
      <c r="CQ13" s="12">
        <v>3.8184950196159702E-2</v>
      </c>
      <c r="CR13" s="12">
        <v>6.4380854166666654E-2</v>
      </c>
      <c r="CS13" s="12">
        <v>-1.0833051115274659E-2</v>
      </c>
      <c r="CT13" s="12">
        <v>4.0854011561625853E-4</v>
      </c>
      <c r="CU13" s="12">
        <v>-3.7161402282311212E-2</v>
      </c>
      <c r="CV13" s="12">
        <v>7.7656051256972655E-2</v>
      </c>
      <c r="CW13" s="12">
        <v>3.6309119756433333E-2</v>
      </c>
      <c r="CX13" s="12">
        <v>-6.0033255240053027E-2</v>
      </c>
      <c r="CY13" s="12">
        <v>1.3118740115012659E-2</v>
      </c>
      <c r="CZ13" s="12">
        <v>-5.7224220353485122E-2</v>
      </c>
      <c r="DA13" s="12">
        <v>5.583676925821391E-3</v>
      </c>
      <c r="DB13" s="12">
        <v>6.135618523727146E-2</v>
      </c>
      <c r="DC13" s="12">
        <v>-1.41498668272943E-2</v>
      </c>
      <c r="DD13" s="12">
        <v>-6.8977058924383453E-2</v>
      </c>
      <c r="DE13" s="12">
        <v>-4.2563895833333379E-2</v>
      </c>
      <c r="DF13" s="12">
        <v>-8.3122687499999987E-2</v>
      </c>
      <c r="DG13" s="12">
        <v>7.1335760214919608E-2</v>
      </c>
      <c r="DH13" s="12">
        <v>-3.8806516940288249E-2</v>
      </c>
      <c r="DI13" s="12">
        <v>-2.957041963442816E-2</v>
      </c>
      <c r="DJ13" s="12">
        <v>-5.983854166666666E-3</v>
      </c>
      <c r="DK13" s="12">
        <v>1.9386395833333341E-2</v>
      </c>
      <c r="DL13" s="12">
        <v>-2.7122937499999989E-2</v>
      </c>
      <c r="DM13" s="12">
        <v>-5.319583333333322E-4</v>
      </c>
      <c r="DN13" s="12">
        <v>1.277588948620326E-2</v>
      </c>
      <c r="DO13" s="12">
        <v>-4.6891412388131722E-2</v>
      </c>
      <c r="DP13" s="12">
        <v>5.8032308890701628E-2</v>
      </c>
      <c r="DQ13" s="12">
        <v>3.3966541666666669E-2</v>
      </c>
      <c r="DR13" s="12">
        <v>1.377120927231194E-2</v>
      </c>
      <c r="DS13" s="12">
        <v>6.8596687500000003E-2</v>
      </c>
      <c r="DT13" s="12">
        <v>5.083135416666669E-2</v>
      </c>
      <c r="DU13" s="12">
        <v>3.3005958333333342E-2</v>
      </c>
      <c r="DV13" s="12">
        <v>-7.9620144024188558E-2</v>
      </c>
      <c r="DW13" s="12">
        <v>-4.2028479166666688E-2</v>
      </c>
      <c r="DX13" s="12">
        <v>6.4523379578496173E-2</v>
      </c>
      <c r="DY13" s="12">
        <v>-3.5386044653833333E-2</v>
      </c>
      <c r="DZ13" s="12">
        <v>1.460881448721826E-2</v>
      </c>
      <c r="EA13" s="12">
        <v>-7.3242869042682138E-2</v>
      </c>
      <c r="EB13" s="12">
        <v>-2.1373218199386389E-2</v>
      </c>
      <c r="EC13" s="12">
        <v>2.198485253152441E-2</v>
      </c>
      <c r="ED13" s="12">
        <v>6.5682093659234955E-2</v>
      </c>
      <c r="EE13" s="12">
        <v>4.1234374999999997E-2</v>
      </c>
      <c r="EF13" s="12">
        <v>-6.6577215363556236E-2</v>
      </c>
      <c r="EG13" s="10">
        <f t="shared" si="6"/>
        <v>9.5534357991118122E-3</v>
      </c>
      <c r="EH13">
        <f t="shared" si="7"/>
        <v>4.6222468934657333E-2</v>
      </c>
      <c r="EI13" s="10">
        <f t="shared" si="8"/>
        <v>0.20668380593466532</v>
      </c>
    </row>
    <row r="14" spans="1:139">
      <c r="A14">
        <v>50</v>
      </c>
      <c r="B14">
        <v>19</v>
      </c>
      <c r="C14" s="12">
        <v>0.1199416315789474</v>
      </c>
      <c r="D14" s="12">
        <v>8.3347311543301383E-2</v>
      </c>
      <c r="E14" s="12">
        <v>9.8768157894736849E-2</v>
      </c>
      <c r="F14" s="12">
        <v>-6.0341904906032563E-2</v>
      </c>
      <c r="G14" s="12">
        <v>-5.3656630442780677E-2</v>
      </c>
      <c r="H14" s="12">
        <v>5.9588947368421033E-2</v>
      </c>
      <c r="I14" s="12">
        <v>-4.3787359823142302E-2</v>
      </c>
      <c r="J14" s="12">
        <v>-0.1050935789473684</v>
      </c>
      <c r="K14" s="12">
        <v>5.0827466260847963E-2</v>
      </c>
      <c r="L14" s="12">
        <v>5.6271084976235522E-2</v>
      </c>
      <c r="M14" s="12">
        <v>-4.9945200667877512E-3</v>
      </c>
      <c r="N14" s="12">
        <v>-5.7369426657022049E-2</v>
      </c>
      <c r="O14" s="12">
        <v>1.4944079385485289E-3</v>
      </c>
      <c r="P14" s="12">
        <v>6.5414209581504002E-3</v>
      </c>
      <c r="Q14" s="12">
        <v>-7.9297657581564457E-2</v>
      </c>
      <c r="R14" s="12">
        <v>-1.776230862917853E-2</v>
      </c>
      <c r="S14" s="12">
        <v>0.1658932271847087</v>
      </c>
      <c r="T14" s="12">
        <v>3.5019554834400057E-2</v>
      </c>
      <c r="U14" s="12">
        <v>3.6578263157894739E-2</v>
      </c>
      <c r="V14" s="12">
        <v>-5.2421300158885083E-2</v>
      </c>
      <c r="W14" s="12">
        <v>7.4008159388253003E-2</v>
      </c>
      <c r="X14" s="12">
        <v>0.1132631083122695</v>
      </c>
      <c r="Y14" s="12">
        <v>-5.5190991412221717E-2</v>
      </c>
      <c r="Z14" s="12">
        <v>-0.1167040316714288</v>
      </c>
      <c r="AA14" s="12">
        <v>3.9450180302082173E-2</v>
      </c>
      <c r="AB14" s="12">
        <v>2.7335978605554132E-2</v>
      </c>
      <c r="AC14" s="12">
        <v>3.086562338789272E-3</v>
      </c>
      <c r="AD14" s="12">
        <v>1.292010661121834E-2</v>
      </c>
      <c r="AE14" s="12">
        <v>4.019052631578951E-3</v>
      </c>
      <c r="AF14" s="12">
        <v>4.0420702542399108E-2</v>
      </c>
      <c r="AG14" s="12">
        <v>2.5329295010953049E-2</v>
      </c>
      <c r="AH14" s="12">
        <v>-8.0952184423801643E-2</v>
      </c>
      <c r="AI14" s="12">
        <v>-3.5462643898611923E-2</v>
      </c>
      <c r="AJ14" s="12">
        <v>-1.505903608315101E-2</v>
      </c>
      <c r="AK14" s="12">
        <v>-7.7475339022454029E-2</v>
      </c>
      <c r="AL14" s="12">
        <v>3.7969189722460717E-2</v>
      </c>
      <c r="AM14" s="12">
        <v>-4.2463855937373812E-2</v>
      </c>
      <c r="AN14" s="12">
        <v>1.9132523225286621E-2</v>
      </c>
      <c r="AO14" s="12">
        <v>6.0905705465409951E-2</v>
      </c>
      <c r="AP14" s="12">
        <v>-7.0551578947368413E-3</v>
      </c>
      <c r="AQ14" s="12">
        <v>8.1264210526315814E-3</v>
      </c>
      <c r="AR14" s="12">
        <v>-7.5826916674388654E-3</v>
      </c>
      <c r="AS14" s="12">
        <v>-9.2569473684210521E-3</v>
      </c>
      <c r="AT14" s="12">
        <v>3.4506579685144471E-2</v>
      </c>
      <c r="AU14" s="12">
        <v>3.999164900330384E-2</v>
      </c>
      <c r="AV14" s="12">
        <v>-1.868288543361717E-2</v>
      </c>
      <c r="AW14" s="12">
        <v>-1.8362931505957501E-2</v>
      </c>
      <c r="AX14" s="12">
        <v>0.13695102829439271</v>
      </c>
      <c r="AY14" s="12">
        <v>1.5068118771761551E-2</v>
      </c>
      <c r="AZ14" s="12">
        <v>-5.3348569172156059E-2</v>
      </c>
      <c r="BA14" s="12">
        <v>1.7621645544243138E-2</v>
      </c>
      <c r="BB14" s="12">
        <v>0.101898</v>
      </c>
      <c r="BC14" s="12">
        <v>-9.8209989552774171E-3</v>
      </c>
      <c r="BD14" s="12">
        <v>1.6418894736842111E-2</v>
      </c>
      <c r="BE14" s="12">
        <v>4.3787062535487017E-2</v>
      </c>
      <c r="BF14" s="12">
        <v>-5.2420526315789459E-3</v>
      </c>
      <c r="BG14" s="12">
        <v>4.1374264073932777E-2</v>
      </c>
      <c r="BH14" s="12">
        <v>5.3427555686006711E-3</v>
      </c>
      <c r="BI14" s="12">
        <v>5.0185212890853773E-2</v>
      </c>
      <c r="BJ14" s="12">
        <v>-2.0017223671233209E-2</v>
      </c>
      <c r="BK14" s="12">
        <v>-5.5937516570728277E-3</v>
      </c>
      <c r="BL14" s="12">
        <v>1.057157894736843E-2</v>
      </c>
      <c r="BM14" s="12">
        <v>-2.137463157894736E-2</v>
      </c>
      <c r="BN14" s="12">
        <v>-2.6087960275579629E-2</v>
      </c>
      <c r="BO14" s="12">
        <v>1.4904105263157909E-2</v>
      </c>
      <c r="BP14" s="12">
        <v>1.5673733492959141E-2</v>
      </c>
      <c r="BQ14" s="12">
        <v>1.584352386995078E-2</v>
      </c>
      <c r="BR14" s="12">
        <v>0.10005242307538641</v>
      </c>
      <c r="BS14" s="12">
        <v>-4.1493955144577897E-2</v>
      </c>
      <c r="BT14" s="12">
        <v>1.528831578947369E-2</v>
      </c>
      <c r="BU14" s="12">
        <v>-0.11116010526315789</v>
      </c>
      <c r="BV14" s="12">
        <v>4.1282210526315803E-2</v>
      </c>
      <c r="BW14" s="12">
        <v>0.1184082105263158</v>
      </c>
      <c r="BX14" s="12">
        <v>1.4335295277300691E-2</v>
      </c>
      <c r="BY14" s="12">
        <v>6.5962933649650326E-3</v>
      </c>
      <c r="BZ14" s="12">
        <v>5.0985789473684179E-2</v>
      </c>
      <c r="CA14" s="12">
        <v>-2.446526611493707E-2</v>
      </c>
      <c r="CB14" s="12">
        <v>-2.2127616542174811E-2</v>
      </c>
      <c r="CC14" s="12">
        <v>0.1205952105263158</v>
      </c>
      <c r="CD14" s="12">
        <v>4.7921368421052629E-2</v>
      </c>
      <c r="CE14" s="12">
        <v>0.1705548421052632</v>
      </c>
      <c r="CF14" s="12">
        <v>-2.031031578947368E-2</v>
      </c>
      <c r="CG14" s="12">
        <v>0.13892689473684211</v>
      </c>
      <c r="CH14" s="12">
        <v>4.0535263157894519E-3</v>
      </c>
      <c r="CI14" s="12">
        <v>-3.828157894736822E-3</v>
      </c>
      <c r="CJ14" s="12">
        <v>2.866785494417454E-2</v>
      </c>
      <c r="CK14" s="12">
        <v>1.40163643906461E-2</v>
      </c>
      <c r="CL14" s="12">
        <v>6.2269954878836478E-2</v>
      </c>
      <c r="CM14" s="12">
        <v>-0.1100678421052631</v>
      </c>
      <c r="CN14" s="12">
        <v>2.3026688670926061E-2</v>
      </c>
      <c r="CO14" s="12">
        <v>-7.8763758718324112E-2</v>
      </c>
      <c r="CP14" s="12">
        <v>9.9809331481752833E-2</v>
      </c>
      <c r="CQ14" s="12">
        <v>5.321162809167454E-2</v>
      </c>
      <c r="CR14" s="12">
        <v>6.2641052631578931E-2</v>
      </c>
      <c r="CS14" s="12">
        <v>-5.9027120263655718E-2</v>
      </c>
      <c r="CT14" s="12">
        <v>-9.6618862820552417E-3</v>
      </c>
      <c r="CU14" s="12">
        <v>4.3917102697214612E-2</v>
      </c>
      <c r="CV14" s="12">
        <v>0.1513968411576333</v>
      </c>
      <c r="CW14" s="12">
        <v>4.476388444326003E-2</v>
      </c>
      <c r="CX14" s="12">
        <v>-3.6299408888239168E-2</v>
      </c>
      <c r="CY14" s="12">
        <v>2.875912029147424E-2</v>
      </c>
      <c r="CZ14" s="12">
        <v>-6.4063563350383365E-2</v>
      </c>
      <c r="DA14" s="12">
        <v>2.4304289170584491E-2</v>
      </c>
      <c r="DB14" s="12">
        <v>9.0239013556801195E-2</v>
      </c>
      <c r="DC14" s="12">
        <v>-4.2998541980200089E-2</v>
      </c>
      <c r="DD14" s="12">
        <v>-7.920535184818453E-2</v>
      </c>
      <c r="DE14" s="12">
        <v>-3.1057578947368419E-2</v>
      </c>
      <c r="DF14" s="12">
        <v>-0.20156447368421049</v>
      </c>
      <c r="DG14" s="12">
        <v>8.7324805758533047E-2</v>
      </c>
      <c r="DH14" s="12">
        <v>-8.4132403676702716E-3</v>
      </c>
      <c r="DI14" s="12">
        <v>-4.0659134635571623E-2</v>
      </c>
      <c r="DJ14" s="12">
        <v>-1.5897789473684209E-2</v>
      </c>
      <c r="DK14" s="12">
        <v>8.1621684210526332E-2</v>
      </c>
      <c r="DL14" s="12">
        <v>9.2726842105263149E-3</v>
      </c>
      <c r="DM14" s="12">
        <v>1.120684210526305E-3</v>
      </c>
      <c r="DN14" s="12">
        <v>-4.4935740608495638E-2</v>
      </c>
      <c r="DO14" s="12">
        <v>-4.1375645162797292E-2</v>
      </c>
      <c r="DP14" s="12">
        <v>6.2914808070300282E-2</v>
      </c>
      <c r="DQ14" s="12">
        <v>5.6019210526315803E-2</v>
      </c>
      <c r="DR14" s="12">
        <v>5.2622519458999567E-2</v>
      </c>
      <c r="DS14" s="12">
        <v>5.6051684210526309E-2</v>
      </c>
      <c r="DT14" s="12">
        <v>0.11767231578947369</v>
      </c>
      <c r="DU14" s="12">
        <v>6.8796263157894735E-2</v>
      </c>
      <c r="DV14" s="12">
        <v>-0.1082623545301073</v>
      </c>
      <c r="DW14" s="12">
        <v>-1.809894736842108E-3</v>
      </c>
      <c r="DX14" s="12">
        <v>0.1019315055524211</v>
      </c>
      <c r="DY14" s="12">
        <v>-3.7997079946848547E-2</v>
      </c>
      <c r="DZ14" s="12">
        <v>2.1881573318462251E-2</v>
      </c>
      <c r="EA14" s="12">
        <v>-7.8105265887936245E-2</v>
      </c>
      <c r="EB14" s="12">
        <v>-3.317733311259085E-2</v>
      </c>
      <c r="EC14" s="12">
        <v>4.3260017529307637E-2</v>
      </c>
      <c r="ED14" s="12">
        <v>0.102629709186187</v>
      </c>
      <c r="EE14" s="12">
        <v>-3.399263157894739E-3</v>
      </c>
      <c r="EF14" s="12">
        <v>-6.9956420498558061E-2</v>
      </c>
      <c r="EG14" s="10">
        <f t="shared" si="6"/>
        <v>1.2231170947078948E-2</v>
      </c>
      <c r="EH14">
        <f t="shared" si="7"/>
        <v>6.3389135193186452E-2</v>
      </c>
      <c r="EI14" s="10">
        <f t="shared" si="8"/>
        <v>0.1929537437260013</v>
      </c>
    </row>
    <row r="15" spans="1:139">
      <c r="A15">
        <v>100</v>
      </c>
      <c r="B15">
        <v>10</v>
      </c>
      <c r="C15" s="12">
        <v>0.22764509999999999</v>
      </c>
      <c r="D15" s="12">
        <v>1.6952864792065741E-2</v>
      </c>
      <c r="E15" s="12">
        <v>6.2044600000000012E-2</v>
      </c>
      <c r="F15" s="12">
        <v>3.4921436556697362E-2</v>
      </c>
      <c r="G15" s="12">
        <v>-3.4403920967036511E-2</v>
      </c>
      <c r="H15" s="12">
        <v>0.1188444</v>
      </c>
      <c r="I15" s="12">
        <v>-5.843144427986554E-2</v>
      </c>
      <c r="J15" s="12">
        <v>-6.4524200000000004E-2</v>
      </c>
      <c r="K15" s="12">
        <v>9.4514797591930877E-2</v>
      </c>
      <c r="L15" s="12">
        <v>8.1171060568646272E-2</v>
      </c>
      <c r="M15" s="12">
        <v>-2.5497709479487259E-2</v>
      </c>
      <c r="N15" s="12">
        <v>-0.10979619442513371</v>
      </c>
      <c r="O15" s="12">
        <v>-1.227079575915271E-2</v>
      </c>
      <c r="P15" s="12">
        <v>2.1896569845224052E-2</v>
      </c>
      <c r="Q15" s="12">
        <v>-4.5898731445931602E-2</v>
      </c>
      <c r="R15" s="12">
        <v>-0.12669105870981379</v>
      </c>
      <c r="S15" s="12">
        <v>0.27000789508215378</v>
      </c>
      <c r="T15" s="12">
        <v>4.589107711718423E-2</v>
      </c>
      <c r="U15" s="12">
        <v>4.6788700000000003E-2</v>
      </c>
      <c r="V15" s="12">
        <v>-0.1101270063308359</v>
      </c>
      <c r="W15" s="12">
        <v>0.1025435939827431</v>
      </c>
      <c r="X15" s="12">
        <v>0.1268433314636731</v>
      </c>
      <c r="Y15" s="12">
        <v>-5.202879805714216E-2</v>
      </c>
      <c r="Z15" s="12">
        <v>-6.2704119328443941E-2</v>
      </c>
      <c r="AA15" s="12">
        <v>5.4081147028033669E-2</v>
      </c>
      <c r="AB15" s="12">
        <v>2.2166400740933071E-2</v>
      </c>
      <c r="AC15" s="12">
        <v>-4.3176688480551298E-3</v>
      </c>
      <c r="AD15" s="12">
        <v>-1.8936283030818419E-2</v>
      </c>
      <c r="AE15" s="12">
        <v>-4.728559999999999E-2</v>
      </c>
      <c r="AF15" s="12">
        <v>6.5819612497039853E-2</v>
      </c>
      <c r="AG15" s="12">
        <v>4.4324544215075819E-2</v>
      </c>
      <c r="AH15" s="12">
        <v>-0.13296736500972281</v>
      </c>
      <c r="AI15" s="12">
        <v>-2.4849257132530979E-2</v>
      </c>
      <c r="AJ15" s="12">
        <v>-9.4648599674757375E-3</v>
      </c>
      <c r="AK15" s="12">
        <v>-6.9361451191916404E-2</v>
      </c>
      <c r="AL15" s="12">
        <v>4.4431662495814539E-2</v>
      </c>
      <c r="AM15" s="12">
        <v>-6.863120708961859E-2</v>
      </c>
      <c r="AN15" s="12">
        <v>3.5500460265201823E-2</v>
      </c>
      <c r="AO15" s="12">
        <v>6.3369812463467096E-2</v>
      </c>
      <c r="AP15" s="12">
        <v>-1.25822E-2</v>
      </c>
      <c r="AQ15" s="12">
        <v>1.9747299999999999E-2</v>
      </c>
      <c r="AR15" s="12">
        <v>-1.773382575923934E-2</v>
      </c>
      <c r="AS15" s="12">
        <v>2.2430800000000001E-2</v>
      </c>
      <c r="AT15" s="12">
        <v>6.5254990652428568E-2</v>
      </c>
      <c r="AU15" s="12">
        <v>3.9943261089466317E-2</v>
      </c>
      <c r="AV15" s="12">
        <v>-4.7226818327438858E-2</v>
      </c>
      <c r="AW15" s="12">
        <v>1.5659939254580951E-2</v>
      </c>
      <c r="AX15" s="12">
        <v>0.12523397717473519</v>
      </c>
      <c r="AY15" s="12">
        <v>2.8017064110032911E-2</v>
      </c>
      <c r="AZ15" s="12">
        <v>-9.1323280068503487E-2</v>
      </c>
      <c r="BA15" s="12">
        <v>1.061351480765297E-2</v>
      </c>
      <c r="BB15" s="12">
        <v>0.1087885</v>
      </c>
      <c r="BC15" s="12">
        <v>6.2155143667830287E-2</v>
      </c>
      <c r="BD15" s="12">
        <v>7.3647000000000018E-3</v>
      </c>
      <c r="BE15" s="12">
        <v>4.8442721017663122E-2</v>
      </c>
      <c r="BF15" s="12">
        <v>-5.697760000000001E-2</v>
      </c>
      <c r="BG15" s="12">
        <v>2.489538734565238E-3</v>
      </c>
      <c r="BH15" s="12">
        <v>3.4441845481689458E-2</v>
      </c>
      <c r="BI15" s="12">
        <v>6.8586659114969639E-2</v>
      </c>
      <c r="BJ15" s="12">
        <v>-1.1265027087445249E-2</v>
      </c>
      <c r="BK15" s="12">
        <v>8.2375226780603827E-4</v>
      </c>
      <c r="BL15" s="12">
        <v>7.7699999999993052E-5</v>
      </c>
      <c r="BM15" s="12">
        <v>-6.25975E-2</v>
      </c>
      <c r="BN15" s="12">
        <v>-6.3720727411011702E-2</v>
      </c>
      <c r="BO15" s="12">
        <v>1.6590400000000009E-2</v>
      </c>
      <c r="BP15" s="12">
        <v>1.4184220707804779E-2</v>
      </c>
      <c r="BQ15" s="12">
        <v>1.280293129032776E-2</v>
      </c>
      <c r="BR15" s="12">
        <v>0.1237621364364551</v>
      </c>
      <c r="BS15" s="12">
        <v>-1.682377745028631E-2</v>
      </c>
      <c r="BT15" s="12">
        <v>-3.6632600000000008E-2</v>
      </c>
      <c r="BU15" s="12">
        <v>-8.5546499999999998E-2</v>
      </c>
      <c r="BV15" s="12">
        <v>8.6180100000000009E-2</v>
      </c>
      <c r="BW15" s="12">
        <v>0.20414550000000001</v>
      </c>
      <c r="BX15" s="12">
        <v>5.385156894446378E-2</v>
      </c>
      <c r="BY15" s="12">
        <v>6.1694091479059833E-2</v>
      </c>
      <c r="BZ15" s="12">
        <v>6.7360199999999995E-2</v>
      </c>
      <c r="CA15" s="12">
        <v>-1.859202079644226E-2</v>
      </c>
      <c r="CB15" s="12">
        <v>-1.5056894011824499E-2</v>
      </c>
      <c r="CC15" s="12">
        <v>0.17364959999999999</v>
      </c>
      <c r="CD15" s="12">
        <v>8.9093600000000009E-2</v>
      </c>
      <c r="CE15" s="12">
        <v>7.3367399999999999E-2</v>
      </c>
      <c r="CF15" s="12">
        <v>-3.626399999999988E-3</v>
      </c>
      <c r="CG15" s="12">
        <v>0.22573170000000009</v>
      </c>
      <c r="CH15" s="12">
        <v>-3.9979499999999987E-2</v>
      </c>
      <c r="CI15" s="12">
        <v>-6.9334999999999994E-2</v>
      </c>
      <c r="CJ15" s="12">
        <v>8.7044356072718085E-2</v>
      </c>
      <c r="CK15" s="12">
        <v>5.667264577209942E-2</v>
      </c>
      <c r="CL15" s="12">
        <v>3.1421974993248308E-2</v>
      </c>
      <c r="CM15" s="12">
        <v>-0.1081179</v>
      </c>
      <c r="CN15" s="12">
        <v>4.2634115799160301E-2</v>
      </c>
      <c r="CO15" s="12">
        <v>-0.1069792441995681</v>
      </c>
      <c r="CP15" s="12">
        <v>0.12753583543294969</v>
      </c>
      <c r="CQ15" s="12">
        <v>3.7378010765128991E-2</v>
      </c>
      <c r="CR15" s="12">
        <v>2.43745E-2</v>
      </c>
      <c r="CS15" s="12">
        <v>-6.0185172463594637E-2</v>
      </c>
      <c r="CT15" s="12">
        <v>4.9416703656119249E-3</v>
      </c>
      <c r="CU15" s="12">
        <v>6.3178659914772728E-2</v>
      </c>
      <c r="CV15" s="12">
        <v>0.18261154771691629</v>
      </c>
      <c r="CW15" s="12">
        <v>2.6072090903126711E-2</v>
      </c>
      <c r="CX15" s="12">
        <v>-2.4039607053330959E-2</v>
      </c>
      <c r="CY15" s="12">
        <v>4.2470673077762339E-2</v>
      </c>
      <c r="CZ15" s="12">
        <v>-7.9886947944342257E-2</v>
      </c>
      <c r="DA15" s="12">
        <v>2.6375835441876511E-2</v>
      </c>
      <c r="DB15" s="12">
        <v>0.20966340207921569</v>
      </c>
      <c r="DC15" s="12">
        <v>-6.7692431945125919E-2</v>
      </c>
      <c r="DD15" s="12">
        <v>-1.450672613144627E-2</v>
      </c>
      <c r="DE15" s="12">
        <v>-6.5607900000000011E-2</v>
      </c>
      <c r="DF15" s="12">
        <v>-0.30272159999999998</v>
      </c>
      <c r="DG15" s="12">
        <v>0.11309156284035971</v>
      </c>
      <c r="DH15" s="12">
        <v>9.3841476708658028E-4</v>
      </c>
      <c r="DI15" s="12">
        <v>-5.4108318657130297E-2</v>
      </c>
      <c r="DJ15" s="12">
        <v>-4.7566499999999998E-2</v>
      </c>
      <c r="DK15" s="12">
        <v>0.100329</v>
      </c>
      <c r="DL15" s="12">
        <v>-7.7391999999999999E-3</v>
      </c>
      <c r="DM15" s="12">
        <v>-1.773500000000004E-3</v>
      </c>
      <c r="DN15" s="12">
        <v>-8.1730712251129128E-2</v>
      </c>
      <c r="DO15" s="12">
        <v>-4.6296727233800808E-2</v>
      </c>
      <c r="DP15" s="12">
        <v>0.1343049473653663</v>
      </c>
      <c r="DQ15" s="12">
        <v>7.2937799999999997E-2</v>
      </c>
      <c r="DR15" s="12">
        <v>7.0010566617938433E-2</v>
      </c>
      <c r="DS15" s="12">
        <v>3.7529899999999991E-2</v>
      </c>
      <c r="DT15" s="12">
        <v>3.4296700000000013E-2</v>
      </c>
      <c r="DU15" s="12">
        <v>0.1171285</v>
      </c>
      <c r="DV15" s="12">
        <v>-0.13976835694087139</v>
      </c>
      <c r="DW15" s="12">
        <v>6.08268E-2</v>
      </c>
      <c r="DX15" s="12">
        <v>0.1186162506499864</v>
      </c>
      <c r="DY15" s="12">
        <v>-0.10653916660100959</v>
      </c>
      <c r="DZ15" s="12">
        <v>1.8920244069384411E-2</v>
      </c>
      <c r="EA15" s="12">
        <v>-2.7338726209839619E-2</v>
      </c>
      <c r="EB15" s="12">
        <v>-4.8518573131244913E-2</v>
      </c>
      <c r="EC15" s="12">
        <v>7.6157076796619858E-2</v>
      </c>
      <c r="ED15" s="12">
        <v>0.1133570559353114</v>
      </c>
      <c r="EE15" s="12">
        <v>3.1901999999999998E-3</v>
      </c>
      <c r="EF15" s="12">
        <v>-6.5700991138842244E-2</v>
      </c>
      <c r="EG15" s="10">
        <f t="shared" si="6"/>
        <v>1.710618370483289E-2</v>
      </c>
      <c r="EH15">
        <f t="shared" si="7"/>
        <v>8.3258226404060859E-2</v>
      </c>
      <c r="EI15" s="10">
        <f t="shared" si="8"/>
        <v>0.20545938153684412</v>
      </c>
    </row>
    <row r="16" spans="1:139">
      <c r="A16">
        <v>107</v>
      </c>
      <c r="B16">
        <v>9</v>
      </c>
      <c r="C16" s="12">
        <v>0.20787511111111109</v>
      </c>
      <c r="D16" s="12">
        <v>-7.202486673170555E-4</v>
      </c>
      <c r="E16" s="12">
        <v>6.5004888888888904E-2</v>
      </c>
      <c r="F16" s="12">
        <v>7.871547190433098E-2</v>
      </c>
      <c r="G16" s="12">
        <v>-8.1465506589492725E-3</v>
      </c>
      <c r="H16" s="12">
        <v>7.2848777777777762E-2</v>
      </c>
      <c r="I16" s="12">
        <v>-5.7530618665621432E-2</v>
      </c>
      <c r="J16" s="12">
        <v>-6.8693444444444446E-2</v>
      </c>
      <c r="K16" s="12">
        <v>8.642089158239058E-2</v>
      </c>
      <c r="L16" s="12">
        <v>8.5161604114211434E-2</v>
      </c>
      <c r="M16" s="12">
        <v>-4.0334454725240582E-2</v>
      </c>
      <c r="N16" s="12">
        <v>-0.1202424982791967</v>
      </c>
      <c r="O16" s="12">
        <v>-2.8587076878979191E-2</v>
      </c>
      <c r="P16" s="12">
        <v>8.1881795143319731E-3</v>
      </c>
      <c r="Q16" s="12">
        <v>-8.1478643305993262E-2</v>
      </c>
      <c r="R16" s="12">
        <v>-0.1031096938877092</v>
      </c>
      <c r="S16" s="12">
        <v>0.28706302039879478</v>
      </c>
      <c r="T16" s="12">
        <v>3.8406673293611998E-2</v>
      </c>
      <c r="U16" s="12">
        <v>4.8649666666666667E-2</v>
      </c>
      <c r="V16" s="12">
        <v>-7.5571486108906974E-2</v>
      </c>
      <c r="W16" s="12">
        <v>0.10166567604781181</v>
      </c>
      <c r="X16" s="12">
        <v>0.12440978370848681</v>
      </c>
      <c r="Y16" s="12">
        <v>-5.0278834461062571E-2</v>
      </c>
      <c r="Z16" s="12">
        <v>-4.3010058183760941E-2</v>
      </c>
      <c r="AA16" s="12">
        <v>4.3487635835992113E-2</v>
      </c>
      <c r="AB16" s="12">
        <v>3.2295414434067762E-2</v>
      </c>
      <c r="AC16" s="12">
        <v>1.27654480354167E-2</v>
      </c>
      <c r="AD16" s="12">
        <v>-1.122025849076259E-3</v>
      </c>
      <c r="AE16" s="12">
        <v>-5.153399999999999E-2</v>
      </c>
      <c r="AF16" s="12">
        <v>6.3685842581589158E-2</v>
      </c>
      <c r="AG16" s="12">
        <v>4.3776159735772403E-2</v>
      </c>
      <c r="AH16" s="12">
        <v>-0.1484016251671525</v>
      </c>
      <c r="AI16" s="12">
        <v>-3.3383255671647301E-2</v>
      </c>
      <c r="AJ16" s="12">
        <v>7.0259660718760518E-3</v>
      </c>
      <c r="AK16" s="12">
        <v>-3.7433452981487869E-2</v>
      </c>
      <c r="AL16" s="12">
        <v>4.8688933104523248E-2</v>
      </c>
      <c r="AM16" s="12">
        <v>-5.2145732480091148E-2</v>
      </c>
      <c r="AN16" s="12">
        <v>2.2032517942514079E-2</v>
      </c>
      <c r="AO16" s="12">
        <v>6.1424671825912318E-2</v>
      </c>
      <c r="AP16" s="12">
        <v>-5.2404444444444451E-3</v>
      </c>
      <c r="AQ16" s="12">
        <v>2.403255555555555E-2</v>
      </c>
      <c r="AR16" s="12">
        <v>-3.4371979060270931E-2</v>
      </c>
      <c r="AS16" s="12">
        <v>2.8078666666666661E-2</v>
      </c>
      <c r="AT16" s="12">
        <v>4.954715531837002E-2</v>
      </c>
      <c r="AU16" s="12">
        <v>4.1826838254895117E-2</v>
      </c>
      <c r="AV16" s="12">
        <v>-9.0725067800187069E-3</v>
      </c>
      <c r="AW16" s="12">
        <v>3.9252930074650652E-2</v>
      </c>
      <c r="AX16" s="12">
        <v>0.10082977324397289</v>
      </c>
      <c r="AY16" s="12">
        <v>3.3812589844345937E-2</v>
      </c>
      <c r="AZ16" s="12">
        <v>-0.1049096351787122</v>
      </c>
      <c r="BA16" s="12">
        <v>1.4923105057586089E-2</v>
      </c>
      <c r="BB16" s="12">
        <v>0.13247400000000001</v>
      </c>
      <c r="BC16" s="12">
        <v>6.712146610769186E-2</v>
      </c>
      <c r="BD16" s="12">
        <v>6.2841111111111118E-3</v>
      </c>
      <c r="BE16" s="12">
        <v>5.1410994394474947E-2</v>
      </c>
      <c r="BF16" s="12">
        <v>-5.4584333333333353E-2</v>
      </c>
      <c r="BG16" s="12">
        <v>1.347328204795663E-2</v>
      </c>
      <c r="BH16" s="12">
        <v>-1.377561448396186E-2</v>
      </c>
      <c r="BI16" s="12">
        <v>4.1443807763261883E-2</v>
      </c>
      <c r="BJ16" s="12">
        <v>-2.0503816283207601E-2</v>
      </c>
      <c r="BK16" s="12">
        <v>2.9719902951970238E-3</v>
      </c>
      <c r="BL16" s="12">
        <v>-8.4145555555555571E-3</v>
      </c>
      <c r="BM16" s="12">
        <v>-6.9804888888888875E-2</v>
      </c>
      <c r="BN16" s="12">
        <v>-6.1304749909884763E-2</v>
      </c>
      <c r="BO16" s="12">
        <v>1.5961333333333331E-2</v>
      </c>
      <c r="BP16" s="12">
        <v>2.0843183547580579E-2</v>
      </c>
      <c r="BQ16" s="12">
        <v>1.6478016254928601E-2</v>
      </c>
      <c r="BR16" s="12">
        <v>0.13058296822502161</v>
      </c>
      <c r="BS16" s="12">
        <v>-1.319157314746418E-2</v>
      </c>
      <c r="BT16" s="12">
        <v>-3.8065333333333347E-2</v>
      </c>
      <c r="BU16" s="12">
        <v>-0.1015372222222222</v>
      </c>
      <c r="BV16" s="12">
        <v>9.4510444444444452E-2</v>
      </c>
      <c r="BW16" s="12">
        <v>0.22394500000000001</v>
      </c>
      <c r="BX16" s="12">
        <v>6.6559519118082902E-2</v>
      </c>
      <c r="BY16" s="12">
        <v>5.0563732847242943E-2</v>
      </c>
      <c r="BZ16" s="12">
        <v>9.2629555555555548E-2</v>
      </c>
      <c r="CA16" s="12">
        <v>-2.971438975556321E-2</v>
      </c>
      <c r="CB16" s="12">
        <v>1.4280449892172949E-3</v>
      </c>
      <c r="CC16" s="12">
        <v>4.4386333333333347E-2</v>
      </c>
      <c r="CD16" s="12">
        <v>8.7750000000000009E-2</v>
      </c>
      <c r="CE16" s="12">
        <v>9.3613777777777768E-2</v>
      </c>
      <c r="CF16" s="12">
        <v>-1.469599999999999E-2</v>
      </c>
      <c r="CG16" s="12">
        <v>0.14619666666666681</v>
      </c>
      <c r="CH16" s="12">
        <v>-1.852144444444442E-2</v>
      </c>
      <c r="CI16" s="12">
        <v>-5.834333333333333E-2</v>
      </c>
      <c r="CJ16" s="12">
        <v>4.5523550787666608E-2</v>
      </c>
      <c r="CK16" s="12">
        <v>7.6472983717690388E-2</v>
      </c>
      <c r="CL16" s="12">
        <v>1.5878682334709331E-2</v>
      </c>
      <c r="CM16" s="12">
        <v>-0.1130543333333333</v>
      </c>
      <c r="CN16" s="12">
        <v>3.3057515140949983E-2</v>
      </c>
      <c r="CO16" s="12">
        <v>-0.13464020879390531</v>
      </c>
      <c r="CP16" s="12">
        <v>0.13663168948209131</v>
      </c>
      <c r="CQ16" s="12">
        <v>4.1435605659410409E-2</v>
      </c>
      <c r="CR16" s="12">
        <v>2.522944444444444E-2</v>
      </c>
      <c r="CS16" s="12">
        <v>-6.6559159874073834E-2</v>
      </c>
      <c r="CT16" s="12">
        <v>2.5557377960834651E-2</v>
      </c>
      <c r="CU16" s="12">
        <v>6.343465435897469E-2</v>
      </c>
      <c r="CV16" s="12">
        <v>0.17225152263848631</v>
      </c>
      <c r="CW16" s="12">
        <v>4.7341659174279828E-2</v>
      </c>
      <c r="CX16" s="12">
        <v>-1.224028475424996E-2</v>
      </c>
      <c r="CY16" s="12">
        <v>4.9117049116625407E-2</v>
      </c>
      <c r="CZ16" s="12">
        <v>-0.1026332591781325</v>
      </c>
      <c r="DA16" s="12">
        <v>2.9804793967235531E-2</v>
      </c>
      <c r="DB16" s="12">
        <v>0.23166534590164389</v>
      </c>
      <c r="DC16" s="12">
        <v>-8.3264051622984642E-2</v>
      </c>
      <c r="DD16" s="12">
        <v>-3.1743710487280023E-2</v>
      </c>
      <c r="DE16" s="12">
        <v>-5.6325333333333331E-2</v>
      </c>
      <c r="DF16" s="12">
        <v>-0.32558088888888892</v>
      </c>
      <c r="DG16" s="12">
        <v>0.12637191985047269</v>
      </c>
      <c r="DH16" s="12">
        <v>-3.9788319645553197E-3</v>
      </c>
      <c r="DI16" s="12">
        <v>-4.5399497901261208E-2</v>
      </c>
      <c r="DJ16" s="12">
        <v>-5.1753111111111111E-2</v>
      </c>
      <c r="DK16" s="12">
        <v>9.6254333333333331E-2</v>
      </c>
      <c r="DL16" s="12">
        <v>-1.3668888888888899E-3</v>
      </c>
      <c r="DM16" s="12">
        <v>-3.8135333333333327E-2</v>
      </c>
      <c r="DN16" s="12">
        <v>-0.1158867317449916</v>
      </c>
      <c r="DO16" s="12">
        <v>-5.3221907556143692E-2</v>
      </c>
      <c r="DP16" s="12">
        <v>0.16033399447581251</v>
      </c>
      <c r="DQ16" s="12">
        <v>6.7559999999999995E-2</v>
      </c>
      <c r="DR16" s="12">
        <v>5.5191251649515209E-2</v>
      </c>
      <c r="DS16" s="12">
        <v>2.143988888888888E-2</v>
      </c>
      <c r="DT16" s="12">
        <v>3.2059333333333329E-2</v>
      </c>
      <c r="DU16" s="12">
        <v>0.12277299999999999</v>
      </c>
      <c r="DV16" s="12">
        <v>-0.13695373201779351</v>
      </c>
      <c r="DW16" s="12">
        <v>7.1303111111111109E-2</v>
      </c>
      <c r="DX16" s="12">
        <v>0.1252847063239774</v>
      </c>
      <c r="DY16" s="12">
        <v>-0.11635433491034319</v>
      </c>
      <c r="DZ16" s="12">
        <v>3.1277079824676451E-2</v>
      </c>
      <c r="EA16" s="12">
        <v>-4.6661371555726909E-2</v>
      </c>
      <c r="EB16" s="12">
        <v>-7.8610638743133537E-2</v>
      </c>
      <c r="EC16" s="12">
        <v>6.8501480567839029E-2</v>
      </c>
      <c r="ED16" s="12">
        <v>0.1154167474989211</v>
      </c>
      <c r="EE16" s="12">
        <v>4.3961111111111119E-3</v>
      </c>
      <c r="EF16" s="12">
        <v>-4.2474401493907223E-2</v>
      </c>
      <c r="EG16" s="10">
        <f t="shared" si="6"/>
        <v>1.5294593111943193E-2</v>
      </c>
      <c r="EH16">
        <f t="shared" si="7"/>
        <v>8.3998329972631E-2</v>
      </c>
      <c r="EI16" s="10">
        <f t="shared" si="8"/>
        <v>0.18208210945296888</v>
      </c>
    </row>
    <row r="17" spans="1:139">
      <c r="A17">
        <v>120</v>
      </c>
      <c r="B17">
        <v>8</v>
      </c>
      <c r="C17" s="12">
        <v>0.20609237499999999</v>
      </c>
      <c r="D17" s="12">
        <v>-1.7334374733087798E-2</v>
      </c>
      <c r="E17" s="12">
        <v>7.958800000000002E-2</v>
      </c>
      <c r="F17" s="12">
        <v>8.0752164152319103E-2</v>
      </c>
      <c r="G17" s="12">
        <v>-0.10538707466373071</v>
      </c>
      <c r="H17" s="12">
        <v>0.10499475</v>
      </c>
      <c r="I17" s="12">
        <v>-0.1137250278021875</v>
      </c>
      <c r="J17" s="12">
        <v>-0.11529837499999999</v>
      </c>
      <c r="K17" s="12">
        <v>0.1015600797223099</v>
      </c>
      <c r="L17" s="12">
        <v>4.2234791145342128E-2</v>
      </c>
      <c r="M17" s="12">
        <v>-6.4932034983486181E-2</v>
      </c>
      <c r="N17" s="12">
        <v>-0.1092778268298058</v>
      </c>
      <c r="O17" s="12">
        <v>-1.1306676064132231E-2</v>
      </c>
      <c r="P17" s="12">
        <v>1.338294674336832E-2</v>
      </c>
      <c r="Q17" s="12">
        <v>-0.10026682830356801</v>
      </c>
      <c r="R17" s="12">
        <v>-0.13642644520024619</v>
      </c>
      <c r="S17" s="12">
        <v>0.31065343265529821</v>
      </c>
      <c r="T17" s="12">
        <v>2.3342585510940761E-2</v>
      </c>
      <c r="U17" s="12">
        <v>5.2288375000000012E-2</v>
      </c>
      <c r="V17" s="12">
        <v>-9.7259655852603044E-2</v>
      </c>
      <c r="W17" s="12">
        <v>0.1196039840123075</v>
      </c>
      <c r="X17" s="12">
        <v>0.1168461979408036</v>
      </c>
      <c r="Y17" s="12">
        <v>-7.3623131490407626E-2</v>
      </c>
      <c r="Z17" s="12">
        <v>-4.832567357165625E-2</v>
      </c>
      <c r="AA17" s="12">
        <v>3.5209789582199093E-2</v>
      </c>
      <c r="AB17" s="12">
        <v>4.4538303269439639E-2</v>
      </c>
      <c r="AC17" s="12">
        <v>2.008625473802152E-2</v>
      </c>
      <c r="AD17" s="12">
        <v>-2.1912844173640599E-2</v>
      </c>
      <c r="AE17" s="12">
        <v>-5.9443249999999989E-2</v>
      </c>
      <c r="AF17" s="12">
        <v>6.1429310121940139E-2</v>
      </c>
      <c r="AG17" s="12">
        <v>6.2640141571138702E-2</v>
      </c>
      <c r="AH17" s="12">
        <v>-0.14702488925580459</v>
      </c>
      <c r="AI17" s="12">
        <v>-5.7037975655486538E-2</v>
      </c>
      <c r="AJ17" s="12">
        <v>4.2602630518956887E-2</v>
      </c>
      <c r="AK17" s="12">
        <v>-2.937588960957525E-2</v>
      </c>
      <c r="AL17" s="12">
        <v>5.0724405748556509E-2</v>
      </c>
      <c r="AM17" s="12">
        <v>-9.3351710026530269E-2</v>
      </c>
      <c r="AN17" s="12">
        <v>-6.4561353732883603E-3</v>
      </c>
      <c r="AO17" s="12">
        <v>1.2632334595724191E-2</v>
      </c>
      <c r="AP17" s="12">
        <v>-3.7592499999999991E-3</v>
      </c>
      <c r="AQ17" s="12">
        <v>9.2303749999999955E-3</v>
      </c>
      <c r="AR17" s="12">
        <v>-4.5802625557302828E-2</v>
      </c>
      <c r="AS17" s="12">
        <v>2.951599999999999E-2</v>
      </c>
      <c r="AT17" s="12">
        <v>5.2267806449722218E-2</v>
      </c>
      <c r="AU17" s="12">
        <v>5.4555507286687788E-2</v>
      </c>
      <c r="AV17" s="12">
        <v>-2.120590278226837E-2</v>
      </c>
      <c r="AW17" s="12">
        <v>8.4218880418367916E-3</v>
      </c>
      <c r="AX17" s="12">
        <v>9.6240558508798979E-2</v>
      </c>
      <c r="AY17" s="12">
        <v>2.742369669060089E-2</v>
      </c>
      <c r="AZ17" s="12">
        <v>-0.1251576022601911</v>
      </c>
      <c r="BA17" s="12">
        <v>9.8251791071129642E-3</v>
      </c>
      <c r="BB17" s="12">
        <v>0.15327075000000001</v>
      </c>
      <c r="BC17" s="12">
        <v>8.386319517781364E-2</v>
      </c>
      <c r="BD17" s="12">
        <v>1.9414125000000001E-2</v>
      </c>
      <c r="BE17" s="12">
        <v>7.7350242238060404E-2</v>
      </c>
      <c r="BF17" s="12">
        <v>-7.7417000000000014E-2</v>
      </c>
      <c r="BG17" s="12">
        <v>-3.5394236088037288E-2</v>
      </c>
      <c r="BH17" s="12">
        <v>1.351946085175304E-2</v>
      </c>
      <c r="BI17" s="12">
        <v>8.7111945439947241E-2</v>
      </c>
      <c r="BJ17" s="12">
        <v>-9.8580642732364818E-3</v>
      </c>
      <c r="BK17" s="12">
        <v>-1.3822952070105509E-2</v>
      </c>
      <c r="BL17" s="12">
        <v>7.5732500000000114E-3</v>
      </c>
      <c r="BM17" s="12">
        <v>-7.7966750000000001E-2</v>
      </c>
      <c r="BN17" s="12">
        <v>-5.3470180947152127E-2</v>
      </c>
      <c r="BO17" s="12">
        <v>3.1351499999999997E-2</v>
      </c>
      <c r="BP17" s="12">
        <v>3.5995979654480911E-2</v>
      </c>
      <c r="BQ17" s="12">
        <v>1.1376510446451601E-2</v>
      </c>
      <c r="BR17" s="12">
        <v>0.1150223530257518</v>
      </c>
      <c r="BS17" s="12">
        <v>-4.1034691106065987E-3</v>
      </c>
      <c r="BT17" s="12">
        <v>-3.3647249999999997E-2</v>
      </c>
      <c r="BU17" s="12">
        <v>-0.104524375</v>
      </c>
      <c r="BV17" s="12">
        <v>0.106643875</v>
      </c>
      <c r="BW17" s="12">
        <v>0.22723437499999999</v>
      </c>
      <c r="BX17" s="12">
        <v>8.2640989537648424E-2</v>
      </c>
      <c r="BY17" s="12">
        <v>8.4245467628694337E-2</v>
      </c>
      <c r="BZ17" s="12">
        <v>0.10695200000000001</v>
      </c>
      <c r="CA17" s="12">
        <v>-2.7934832358489561E-2</v>
      </c>
      <c r="CB17" s="12">
        <v>1.047770749199251E-2</v>
      </c>
      <c r="CC17" s="12">
        <v>4.1758499999999997E-2</v>
      </c>
      <c r="CD17" s="12">
        <v>6.4104625000000012E-2</v>
      </c>
      <c r="CE17" s="12">
        <v>9.5707624999999991E-2</v>
      </c>
      <c r="CF17" s="12">
        <v>-9.5123749999999979E-2</v>
      </c>
      <c r="CG17" s="12">
        <v>0.17703537500000011</v>
      </c>
      <c r="CH17" s="12">
        <v>-2.2754625000000001E-2</v>
      </c>
      <c r="CI17" s="12">
        <v>-8.2451250000000004E-2</v>
      </c>
      <c r="CJ17" s="12">
        <v>5.0742321484442049E-2</v>
      </c>
      <c r="CK17" s="12">
        <v>9.1738572657912937E-2</v>
      </c>
      <c r="CL17" s="12">
        <v>-9.426344769031314E-3</v>
      </c>
      <c r="CM17" s="12">
        <v>-9.5492624999999998E-2</v>
      </c>
      <c r="CN17" s="12">
        <v>2.6718061150986971E-2</v>
      </c>
      <c r="CO17" s="12">
        <v>-0.13741287532952509</v>
      </c>
      <c r="CP17" s="12">
        <v>0.1481592691973436</v>
      </c>
      <c r="CQ17" s="12">
        <v>4.1087933183403327E-2</v>
      </c>
      <c r="CR17" s="12">
        <v>2.3006874999999989E-2</v>
      </c>
      <c r="CS17" s="12">
        <v>-9.6841631299569769E-2</v>
      </c>
      <c r="CT17" s="12">
        <v>1.7339280405090751E-2</v>
      </c>
      <c r="CU17" s="12">
        <v>7.440830758325391E-2</v>
      </c>
      <c r="CV17" s="12">
        <v>0.15147138486135439</v>
      </c>
      <c r="CW17" s="12">
        <v>6.3393218804487977E-2</v>
      </c>
      <c r="CX17" s="12">
        <v>-1.0772394523947831E-2</v>
      </c>
      <c r="CY17" s="12">
        <v>4.9383298716090041E-2</v>
      </c>
      <c r="CZ17" s="12">
        <v>-0.1242488378476205</v>
      </c>
      <c r="DA17" s="12">
        <v>4.3895859145134192E-2</v>
      </c>
      <c r="DB17" s="12">
        <v>0.22431697129508249</v>
      </c>
      <c r="DC17" s="12">
        <v>-9.8849392549809512E-2</v>
      </c>
      <c r="DD17" s="12">
        <v>-2.9155420882880739E-2</v>
      </c>
      <c r="DE17" s="12">
        <v>-5.1665374999999999E-2</v>
      </c>
      <c r="DF17" s="12">
        <v>-0.35222737500000001</v>
      </c>
      <c r="DG17" s="12">
        <v>0.12321246613063939</v>
      </c>
      <c r="DH17" s="12">
        <v>-1.2653894662512769E-2</v>
      </c>
      <c r="DI17" s="12">
        <v>-3.5044536065945063E-2</v>
      </c>
      <c r="DJ17" s="12">
        <v>-5.7146374999999999E-2</v>
      </c>
      <c r="DK17" s="12">
        <v>0.10277987500000001</v>
      </c>
      <c r="DL17" s="12">
        <v>5.7897499999999998E-3</v>
      </c>
      <c r="DM17" s="12">
        <v>-4.2563499999999997E-2</v>
      </c>
      <c r="DN17" s="12">
        <v>-0.1064799626072864</v>
      </c>
      <c r="DO17" s="12">
        <v>-5.3451370339903423E-2</v>
      </c>
      <c r="DP17" s="12">
        <v>0.14203415825063481</v>
      </c>
      <c r="DQ17" s="12">
        <v>6.5243999999999996E-2</v>
      </c>
      <c r="DR17" s="12">
        <v>5.5884814876328279E-2</v>
      </c>
      <c r="DS17" s="12">
        <v>3.7353625000000001E-2</v>
      </c>
      <c r="DT17" s="12">
        <v>1.6743000000000001E-2</v>
      </c>
      <c r="DU17" s="12">
        <v>0.129494</v>
      </c>
      <c r="DV17" s="12">
        <v>-0.11776539811095429</v>
      </c>
      <c r="DW17" s="12">
        <v>7.6599750000000008E-2</v>
      </c>
      <c r="DX17" s="12">
        <v>0.12953898259647401</v>
      </c>
      <c r="DY17" s="12">
        <v>-0.11213845480607409</v>
      </c>
      <c r="DZ17" s="12">
        <v>3.1828172599786188E-2</v>
      </c>
      <c r="EA17" s="12">
        <v>-1.181792386571255E-2</v>
      </c>
      <c r="EB17" s="12">
        <v>-8.7100349194739302E-2</v>
      </c>
      <c r="EC17" s="12">
        <v>0.1215120172680231</v>
      </c>
      <c r="ED17" s="12">
        <v>0.12832444392891271</v>
      </c>
      <c r="EE17" s="12">
        <v>-1.9437499999999921E-4</v>
      </c>
      <c r="EF17" s="12">
        <v>-4.7709767009851849E-2</v>
      </c>
      <c r="EG17" s="10">
        <f t="shared" si="6"/>
        <v>1.2992656797309026E-2</v>
      </c>
      <c r="EH17">
        <f t="shared" si="7"/>
        <v>9.1412933742101549E-2</v>
      </c>
      <c r="EI17" s="10">
        <f t="shared" si="8"/>
        <v>0.14213149349264426</v>
      </c>
    </row>
    <row r="18" spans="1:139">
      <c r="A18">
        <v>137</v>
      </c>
      <c r="B18">
        <v>7</v>
      </c>
      <c r="C18" s="12">
        <v>0.1897511428571429</v>
      </c>
      <c r="D18" s="12">
        <v>-8.1874670813927297E-3</v>
      </c>
      <c r="E18" s="12">
        <v>5.3437857142857162E-2</v>
      </c>
      <c r="F18" s="12">
        <v>0.11938296010218979</v>
      </c>
      <c r="G18" s="12">
        <v>-0.10831637328507999</v>
      </c>
      <c r="H18" s="12">
        <v>0.12853999999999999</v>
      </c>
      <c r="I18" s="12">
        <v>-0.13550018022324109</v>
      </c>
      <c r="J18" s="12">
        <v>-0.12516085714285721</v>
      </c>
      <c r="K18" s="12">
        <v>0.13564788877763229</v>
      </c>
      <c r="L18" s="12">
        <v>5.0758207106719029E-2</v>
      </c>
      <c r="M18" s="12">
        <v>-7.970257711397645E-2</v>
      </c>
      <c r="N18" s="12">
        <v>-0.14120748849629611</v>
      </c>
      <c r="O18" s="12">
        <v>3.1737941097498189E-2</v>
      </c>
      <c r="P18" s="12">
        <v>8.3280858539089599E-3</v>
      </c>
      <c r="Q18" s="12">
        <v>-9.3059589912906207E-2</v>
      </c>
      <c r="R18" s="12">
        <v>-0.1541891887340214</v>
      </c>
      <c r="S18" s="12">
        <v>0.3837326289318943</v>
      </c>
      <c r="T18" s="12">
        <v>5.2309697550730873E-2</v>
      </c>
      <c r="U18" s="12">
        <v>2.8133571428571431E-2</v>
      </c>
      <c r="V18" s="12">
        <v>-0.1213914614259257</v>
      </c>
      <c r="W18" s="12">
        <v>0.1379172379157062</v>
      </c>
      <c r="X18" s="12">
        <v>0.1434515176348406</v>
      </c>
      <c r="Y18" s="12">
        <v>-0.1038792439088113</v>
      </c>
      <c r="Z18" s="12">
        <v>-5.1469725750839503E-2</v>
      </c>
      <c r="AA18" s="12">
        <v>4.1705245182724067E-2</v>
      </c>
      <c r="AB18" s="12">
        <v>6.2644805262660919E-2</v>
      </c>
      <c r="AC18" s="12">
        <v>-1.3654204768322529E-3</v>
      </c>
      <c r="AD18" s="12">
        <v>-2.659559037908019E-2</v>
      </c>
      <c r="AE18" s="12">
        <v>-7.7200999999999978E-2</v>
      </c>
      <c r="AF18" s="12">
        <v>3.187341816062559E-2</v>
      </c>
      <c r="AG18" s="12">
        <v>8.1719979892753619E-2</v>
      </c>
      <c r="AH18" s="12">
        <v>-0.16306850482484961</v>
      </c>
      <c r="AI18" s="12">
        <v>-8.1423750051169697E-2</v>
      </c>
      <c r="AJ18" s="12">
        <v>4.7393756166449127E-2</v>
      </c>
      <c r="AK18" s="12">
        <v>-2.283288536199644E-2</v>
      </c>
      <c r="AL18" s="12">
        <v>4.7527763632257733E-2</v>
      </c>
      <c r="AM18" s="12">
        <v>-9.6053029136818027E-2</v>
      </c>
      <c r="AN18" s="12">
        <v>2.7944177599378839E-3</v>
      </c>
      <c r="AO18" s="12">
        <v>5.4275349676927882E-3</v>
      </c>
      <c r="AP18" s="12">
        <v>-2.0157142857142869E-3</v>
      </c>
      <c r="AQ18" s="12">
        <v>-1.6788142857142859E-2</v>
      </c>
      <c r="AR18" s="12">
        <v>-3.9002474062764268E-2</v>
      </c>
      <c r="AS18" s="12">
        <v>4.5373285714285699E-2</v>
      </c>
      <c r="AT18" s="12">
        <v>4.3325649820578682E-2</v>
      </c>
      <c r="AU18" s="12">
        <v>6.4575644079591543E-2</v>
      </c>
      <c r="AV18" s="12">
        <v>-2.8768755881717199E-2</v>
      </c>
      <c r="AW18" s="12">
        <v>2.4538034241107461E-2</v>
      </c>
      <c r="AX18" s="12">
        <v>0.10756086825583611</v>
      </c>
      <c r="AY18" s="12">
        <v>3.4783278641148073E-2</v>
      </c>
      <c r="AZ18" s="12">
        <v>-0.14840908238889911</v>
      </c>
      <c r="BA18" s="12">
        <v>6.3231092468556214E-4</v>
      </c>
      <c r="BB18" s="12">
        <v>0.16725728571428569</v>
      </c>
      <c r="BC18" s="12">
        <v>8.3201572593320602E-2</v>
      </c>
      <c r="BD18" s="12">
        <v>2.0277714285714281E-2</v>
      </c>
      <c r="BE18" s="12">
        <v>6.8361213238162841E-2</v>
      </c>
      <c r="BF18" s="12">
        <v>-3.8142000000000002E-2</v>
      </c>
      <c r="BG18" s="12">
        <v>-1.680624122620418E-2</v>
      </c>
      <c r="BH18" s="12">
        <v>2.0503853063805449E-2</v>
      </c>
      <c r="BI18" s="12">
        <v>0.1090000069186657</v>
      </c>
      <c r="BJ18" s="12">
        <v>5.9560640504595433E-3</v>
      </c>
      <c r="BK18" s="12">
        <v>-5.8003244170202591E-2</v>
      </c>
      <c r="BL18" s="12">
        <v>2.635228571428572E-2</v>
      </c>
      <c r="BM18" s="12">
        <v>-6.9781428571428564E-2</v>
      </c>
      <c r="BN18" s="12">
        <v>-4.2191588804803559E-2</v>
      </c>
      <c r="BO18" s="12">
        <v>8.4081428571428571E-3</v>
      </c>
      <c r="BP18" s="12">
        <v>4.6857540334682007E-2</v>
      </c>
      <c r="BQ18" s="12">
        <v>1.916784109848992E-3</v>
      </c>
      <c r="BR18" s="12">
        <v>0.1209618178824758</v>
      </c>
      <c r="BS18" s="12">
        <v>-3.9836250971192512E-3</v>
      </c>
      <c r="BT18" s="12">
        <v>-1.329885714285715E-2</v>
      </c>
      <c r="BU18" s="12">
        <v>-0.1114621428571428</v>
      </c>
      <c r="BV18" s="12">
        <v>0.1155055714285714</v>
      </c>
      <c r="BW18" s="12">
        <v>0.2610392857142857</v>
      </c>
      <c r="BX18" s="12">
        <v>7.4580863414598103E-2</v>
      </c>
      <c r="BY18" s="12">
        <v>0.1230749758240248</v>
      </c>
      <c r="BZ18" s="12">
        <v>0.10981514285714281</v>
      </c>
      <c r="CA18" s="12">
        <v>-1.6076543892860819E-2</v>
      </c>
      <c r="CB18" s="12">
        <v>2.4577356612448309E-2</v>
      </c>
      <c r="CC18" s="12">
        <v>0.1046597142857143</v>
      </c>
      <c r="CD18" s="12">
        <v>5.0445000000000011E-2</v>
      </c>
      <c r="CE18" s="12">
        <v>7.7259857142857144E-2</v>
      </c>
      <c r="CF18" s="12">
        <v>-0.10185900000000001</v>
      </c>
      <c r="CG18" s="12">
        <v>0.2266421428571429</v>
      </c>
      <c r="CH18" s="12">
        <v>-2.5440571428571441E-2</v>
      </c>
      <c r="CI18" s="12">
        <v>-0.1177235714285714</v>
      </c>
      <c r="CJ18" s="12">
        <v>6.2313677824909687E-2</v>
      </c>
      <c r="CK18" s="12">
        <v>9.0667784292283726E-2</v>
      </c>
      <c r="CL18" s="12">
        <v>-3.0989545058193121E-2</v>
      </c>
      <c r="CM18" s="12">
        <v>-0.1027687142857143</v>
      </c>
      <c r="CN18" s="12">
        <v>3.5086253978176607E-2</v>
      </c>
      <c r="CO18" s="12">
        <v>-0.1505975096222473</v>
      </c>
      <c r="CP18" s="12">
        <v>0.16283910894801071</v>
      </c>
      <c r="CQ18" s="12">
        <v>4.7976536408267538E-2</v>
      </c>
      <c r="CR18" s="12">
        <v>3.3744714285714281E-2</v>
      </c>
      <c r="CS18" s="12">
        <v>-7.802724673197127E-2</v>
      </c>
      <c r="CT18" s="12">
        <v>-1.6272494200008831E-2</v>
      </c>
      <c r="CU18" s="12">
        <v>7.1648691205109999E-2</v>
      </c>
      <c r="CV18" s="12">
        <v>0.1270222681330069</v>
      </c>
      <c r="CW18" s="12">
        <v>6.6558574498316259E-2</v>
      </c>
      <c r="CX18" s="12">
        <v>-6.1560185833778078E-2</v>
      </c>
      <c r="CY18" s="12">
        <v>5.135741377478225E-2</v>
      </c>
      <c r="CZ18" s="12">
        <v>-0.13284286330177139</v>
      </c>
      <c r="DA18" s="12">
        <v>4.7380939518693557E-2</v>
      </c>
      <c r="DB18" s="12">
        <v>0.2223821125233825</v>
      </c>
      <c r="DC18" s="12">
        <v>-8.2819707211162524E-2</v>
      </c>
      <c r="DD18" s="12">
        <v>-4.1014187319333921E-2</v>
      </c>
      <c r="DE18" s="12">
        <v>-3.9306714285714278E-2</v>
      </c>
      <c r="DF18" s="12">
        <v>-0.36669357142857151</v>
      </c>
      <c r="DG18" s="12">
        <v>0.11821709327359541</v>
      </c>
      <c r="DH18" s="12">
        <v>-1.305003261692848E-2</v>
      </c>
      <c r="DI18" s="12">
        <v>-1.8613248030418191E-2</v>
      </c>
      <c r="DJ18" s="12">
        <v>-5.0654999999999999E-2</v>
      </c>
      <c r="DK18" s="12">
        <v>0.1065258571428571</v>
      </c>
      <c r="DL18" s="12">
        <v>2.3409571428571429E-2</v>
      </c>
      <c r="DM18" s="12">
        <v>-5.8456714285714292E-2</v>
      </c>
      <c r="DN18" s="12">
        <v>-0.1251086832695307</v>
      </c>
      <c r="DO18" s="12">
        <v>-4.2104907550630517E-2</v>
      </c>
      <c r="DP18" s="12">
        <v>0.13348647227708049</v>
      </c>
      <c r="DQ18" s="12">
        <v>6.1954714285714287E-2</v>
      </c>
      <c r="DR18" s="12">
        <v>7.6840654771961045E-2</v>
      </c>
      <c r="DS18" s="12">
        <v>1.1277142857142861E-2</v>
      </c>
      <c r="DT18" s="12">
        <v>-7.4077142857142883E-3</v>
      </c>
      <c r="DU18" s="12">
        <v>0.15871542857142859</v>
      </c>
      <c r="DV18" s="12">
        <v>-0.1056406088000619</v>
      </c>
      <c r="DW18" s="12">
        <v>6.8637857142857153E-2</v>
      </c>
      <c r="DX18" s="12">
        <v>0.1536029774624818</v>
      </c>
      <c r="DY18" s="12">
        <v>-9.7428036975949608E-2</v>
      </c>
      <c r="DZ18" s="12">
        <v>7.5516359296365659E-2</v>
      </c>
      <c r="EA18" s="12">
        <v>6.3615627439817801E-3</v>
      </c>
      <c r="EB18" s="12">
        <v>-9.9846377978320619E-2</v>
      </c>
      <c r="EC18" s="12">
        <v>0.14304023059278551</v>
      </c>
      <c r="ED18" s="12">
        <v>0.11047802186576559</v>
      </c>
      <c r="EE18" s="12">
        <v>1.110285714285716E-3</v>
      </c>
      <c r="EF18" s="12">
        <v>-4.8955017110416547E-2</v>
      </c>
      <c r="EG18" s="10">
        <f t="shared" si="6"/>
        <v>1.4994737516678696E-2</v>
      </c>
      <c r="EH18">
        <f t="shared" si="7"/>
        <v>0.10021765193863007</v>
      </c>
      <c r="EI18" s="10">
        <f t="shared" si="8"/>
        <v>0.14962172059130832</v>
      </c>
    </row>
    <row r="19" spans="1:139">
      <c r="A19">
        <v>160</v>
      </c>
      <c r="B19">
        <v>6</v>
      </c>
      <c r="C19" s="12">
        <v>0.19659983333333331</v>
      </c>
      <c r="D19" s="12">
        <v>-2.017079945419575E-2</v>
      </c>
      <c r="E19" s="12">
        <v>6.5812499999999996E-2</v>
      </c>
      <c r="F19" s="12">
        <v>0.1776886618055605</v>
      </c>
      <c r="G19" s="12">
        <v>-9.6065971857177412E-2</v>
      </c>
      <c r="H19" s="12">
        <v>0.17761016666666671</v>
      </c>
      <c r="I19" s="12">
        <v>-0.1346543328914665</v>
      </c>
      <c r="J19" s="12">
        <v>-0.1562291666666667</v>
      </c>
      <c r="K19" s="12">
        <v>0.23878941472391671</v>
      </c>
      <c r="L19" s="12">
        <v>2.032664964034506E-2</v>
      </c>
      <c r="M19" s="12">
        <v>-8.6210339026117716E-2</v>
      </c>
      <c r="N19" s="12">
        <v>-0.15184358114798011</v>
      </c>
      <c r="O19" s="12">
        <v>3.1561874488915911E-2</v>
      </c>
      <c r="P19" s="12">
        <v>2.3513160824520051E-2</v>
      </c>
      <c r="Q19" s="12">
        <v>-8.1866112736540833E-2</v>
      </c>
      <c r="R19" s="12">
        <v>-0.14558327280221009</v>
      </c>
      <c r="S19" s="12">
        <v>0.18416011669760801</v>
      </c>
      <c r="T19" s="12">
        <v>5.1464717245309592E-2</v>
      </c>
      <c r="U19" s="12">
        <v>4.4184166666666663E-2</v>
      </c>
      <c r="V19" s="12">
        <v>-9.2688319725313148E-2</v>
      </c>
      <c r="W19" s="12">
        <v>0.14662099071751011</v>
      </c>
      <c r="X19" s="12">
        <v>0.1166390452640934</v>
      </c>
      <c r="Y19" s="12">
        <v>-0.10313023893043829</v>
      </c>
      <c r="Z19" s="12">
        <v>-5.7888725378699338E-2</v>
      </c>
      <c r="AA19" s="12">
        <v>4.1570184538155738E-2</v>
      </c>
      <c r="AB19" s="12">
        <v>5.1718752810757287E-2</v>
      </c>
      <c r="AC19" s="12">
        <v>-1.4141542708609799E-2</v>
      </c>
      <c r="AD19" s="12">
        <v>-3.5088928587950333E-2</v>
      </c>
      <c r="AE19" s="12">
        <v>-0.11523116666666661</v>
      </c>
      <c r="AF19" s="12">
        <v>3.8785666808899749E-2</v>
      </c>
      <c r="AG19" s="12">
        <v>4.1487103444311647E-2</v>
      </c>
      <c r="AH19" s="12">
        <v>-0.20415628716520959</v>
      </c>
      <c r="AI19" s="12">
        <v>-4.7766352759796363E-2</v>
      </c>
      <c r="AJ19" s="12">
        <v>5.1545290327262273E-2</v>
      </c>
      <c r="AK19" s="12">
        <v>-4.0581523113162987E-2</v>
      </c>
      <c r="AL19" s="12">
        <v>7.0270945670805551E-2</v>
      </c>
      <c r="AM19" s="12">
        <v>-6.112413105384671E-2</v>
      </c>
      <c r="AN19" s="12">
        <v>-1.023954826971317E-2</v>
      </c>
      <c r="AO19" s="12">
        <v>2.589290304541441E-2</v>
      </c>
      <c r="AP19" s="12">
        <v>-9.7129999999999959E-3</v>
      </c>
      <c r="AQ19" s="12">
        <v>-5.4927833333333342E-2</v>
      </c>
      <c r="AR19" s="12">
        <v>4.1144514895575801E-2</v>
      </c>
      <c r="AS19" s="12">
        <v>3.6869999999999841E-3</v>
      </c>
      <c r="AT19" s="12">
        <v>4.9294981765701303E-2</v>
      </c>
      <c r="AU19" s="12">
        <v>7.6428715713654158E-2</v>
      </c>
      <c r="AV19" s="12">
        <v>-5.003302069697789E-2</v>
      </c>
      <c r="AW19" s="12">
        <v>2.2356168154136491E-2</v>
      </c>
      <c r="AX19" s="12">
        <v>8.0206414310412866E-2</v>
      </c>
      <c r="AY19" s="12">
        <v>2.9528970393379841E-2</v>
      </c>
      <c r="AZ19" s="12">
        <v>-0.18687961816817431</v>
      </c>
      <c r="BA19" s="12">
        <v>-3.4363883954073027E-2</v>
      </c>
      <c r="BB19" s="12">
        <v>0.20180183333333329</v>
      </c>
      <c r="BC19" s="12">
        <v>6.4055486346185769E-2</v>
      </c>
      <c r="BD19" s="12">
        <v>-7.0833333333334206E-5</v>
      </c>
      <c r="BE19" s="12">
        <v>5.1131873963666558E-2</v>
      </c>
      <c r="BF19" s="12">
        <v>-4.9435666666666662E-2</v>
      </c>
      <c r="BG19" s="12">
        <v>-1.6343658332842171E-2</v>
      </c>
      <c r="BH19" s="12">
        <v>2.0182017014309939E-3</v>
      </c>
      <c r="BI19" s="12">
        <v>0.12779862881921869</v>
      </c>
      <c r="BJ19" s="12">
        <v>2.1707301538579211E-2</v>
      </c>
      <c r="BK19" s="12">
        <v>-5.1749526091992383E-2</v>
      </c>
      <c r="BL19" s="12">
        <v>2.599583333333334E-2</v>
      </c>
      <c r="BM19" s="12">
        <v>-8.8155833333333322E-2</v>
      </c>
      <c r="BN19" s="12">
        <v>-7.2185099722501103E-2</v>
      </c>
      <c r="BO19" s="12">
        <v>-1.856049999999999E-2</v>
      </c>
      <c r="BP19" s="12">
        <v>6.2818807534132146E-2</v>
      </c>
      <c r="BQ19" s="12">
        <v>9.9340444543230683E-3</v>
      </c>
      <c r="BR19" s="12">
        <v>0.1368392355431455</v>
      </c>
      <c r="BS19" s="12">
        <v>-2.4256338744482069E-2</v>
      </c>
      <c r="BT19" s="12">
        <v>1.3194833333333321E-2</v>
      </c>
      <c r="BU19" s="12">
        <v>-0.13067083333333329</v>
      </c>
      <c r="BV19" s="12">
        <v>0.1000853333333333</v>
      </c>
      <c r="BW19" s="12">
        <v>0.29597583333333338</v>
      </c>
      <c r="BX19" s="12">
        <v>5.4830281560316878E-2</v>
      </c>
      <c r="BY19" s="12">
        <v>0.1076497365556482</v>
      </c>
      <c r="BZ19" s="12">
        <v>0.1447426666666666</v>
      </c>
      <c r="CA19" s="12">
        <v>-2.932875522377449E-2</v>
      </c>
      <c r="CB19" s="12">
        <v>4.804116850824483E-2</v>
      </c>
      <c r="CC19" s="12">
        <v>2.250566666666666E-2</v>
      </c>
      <c r="CD19" s="12">
        <v>8.7664166666666668E-2</v>
      </c>
      <c r="CE19" s="12">
        <v>8.8474166666666659E-2</v>
      </c>
      <c r="CF19" s="12">
        <v>-0.1116986666666667</v>
      </c>
      <c r="CG19" s="12">
        <v>0.26389400000000002</v>
      </c>
      <c r="CH19" s="12">
        <v>-7.5598333333333212E-3</v>
      </c>
      <c r="CI19" s="12">
        <v>-0.16520066666666669</v>
      </c>
      <c r="CJ19" s="12">
        <v>6.194049996603615E-2</v>
      </c>
      <c r="CK19" s="12">
        <v>0.1039677178170982</v>
      </c>
      <c r="CL19" s="12">
        <v>-4.3240279974789908E-2</v>
      </c>
      <c r="CM19" s="12">
        <v>-0.1102351666666667</v>
      </c>
      <c r="CN19" s="12">
        <v>7.6932654667303466E-2</v>
      </c>
      <c r="CO19" s="12">
        <v>-0.16614655777528059</v>
      </c>
      <c r="CP19" s="12">
        <v>0.15903259898233271</v>
      </c>
      <c r="CQ19" s="12">
        <v>-2.7299081545619341E-3</v>
      </c>
      <c r="CR19" s="12">
        <v>2.4300499999999999E-2</v>
      </c>
      <c r="CS19" s="12">
        <v>-6.0700850898538133E-2</v>
      </c>
      <c r="CT19" s="12">
        <v>-2.794063718499688E-2</v>
      </c>
      <c r="CU19" s="12">
        <v>8.3436397113892974E-2</v>
      </c>
      <c r="CV19" s="12">
        <v>9.4553007971378916E-2</v>
      </c>
      <c r="CW19" s="12">
        <v>6.0515878573037342E-2</v>
      </c>
      <c r="CX19" s="12">
        <v>-5.7634726368184938E-2</v>
      </c>
      <c r="CY19" s="12">
        <v>7.092186956436955E-2</v>
      </c>
      <c r="CZ19" s="12">
        <v>-0.11285182864146399</v>
      </c>
      <c r="DA19" s="12">
        <v>5.8223876703236761E-2</v>
      </c>
      <c r="DB19" s="12">
        <v>0.28613845390130638</v>
      </c>
      <c r="DC19" s="12">
        <v>-6.5587584737896831E-2</v>
      </c>
      <c r="DD19" s="12">
        <v>-6.2011252548289514E-3</v>
      </c>
      <c r="DE19" s="12">
        <v>-6.0054999999999831E-3</v>
      </c>
      <c r="DF19" s="12">
        <v>-0.2055028333333333</v>
      </c>
      <c r="DG19" s="12">
        <v>0.12649079783752129</v>
      </c>
      <c r="DH19" s="12">
        <v>-4.3220605483251413E-2</v>
      </c>
      <c r="DI19" s="12">
        <v>-5.8647033011268501E-2</v>
      </c>
      <c r="DJ19" s="12">
        <v>-8.050033333333334E-2</v>
      </c>
      <c r="DK19" s="12">
        <v>0.1214406666666667</v>
      </c>
      <c r="DL19" s="12">
        <v>2.3312833333333331E-2</v>
      </c>
      <c r="DM19" s="12">
        <v>-5.7299833333333328E-2</v>
      </c>
      <c r="DN19" s="12">
        <v>-0.17392830172854831</v>
      </c>
      <c r="DO19" s="12">
        <v>-5.5126563399943852E-2</v>
      </c>
      <c r="DP19" s="12">
        <v>0.17026813067996199</v>
      </c>
      <c r="DQ19" s="12">
        <v>5.0622500000000001E-2</v>
      </c>
      <c r="DR19" s="12">
        <v>7.5962353325048193E-2</v>
      </c>
      <c r="DS19" s="12">
        <v>-5.6783333333333312E-3</v>
      </c>
      <c r="DT19" s="12">
        <v>-3.0765000000000028E-3</v>
      </c>
      <c r="DU19" s="12">
        <v>0.15058250000000001</v>
      </c>
      <c r="DV19" s="12">
        <v>-0.1115247064406045</v>
      </c>
      <c r="DW19" s="12">
        <v>0.101297</v>
      </c>
      <c r="DX19" s="12">
        <v>0.1383651342381777</v>
      </c>
      <c r="DY19" s="12">
        <v>-7.0109577687923127E-2</v>
      </c>
      <c r="DZ19" s="12">
        <v>0.1119208288639931</v>
      </c>
      <c r="EA19" s="12">
        <v>2.807935347566733E-2</v>
      </c>
      <c r="EB19" s="12">
        <v>-2.1772770012778581E-2</v>
      </c>
      <c r="EC19" s="12">
        <v>0.14377420282500911</v>
      </c>
      <c r="ED19" s="12">
        <v>0.15093531699015689</v>
      </c>
      <c r="EE19" s="12">
        <v>-7.3063333333333296E-3</v>
      </c>
      <c r="EF19" s="12">
        <v>-1.697795487476916E-2</v>
      </c>
      <c r="EG19" s="10">
        <f t="shared" si="6"/>
        <v>1.624868156567507E-2</v>
      </c>
      <c r="EH19">
        <f t="shared" si="7"/>
        <v>0.10153652666497096</v>
      </c>
      <c r="EI19" s="10">
        <f t="shared" si="8"/>
        <v>0.16002794363144879</v>
      </c>
    </row>
    <row r="20" spans="1:139">
      <c r="A20">
        <v>192</v>
      </c>
      <c r="B20">
        <v>5</v>
      </c>
      <c r="C20" s="12">
        <v>0.20155100000000001</v>
      </c>
      <c r="D20" s="12">
        <v>3.5171826374555398E-4</v>
      </c>
      <c r="E20" s="12">
        <v>5.7335200000000003E-2</v>
      </c>
      <c r="F20" s="12">
        <v>0.2055312643331742</v>
      </c>
      <c r="G20" s="12">
        <v>-0.1171831412889391</v>
      </c>
      <c r="H20" s="12">
        <v>0.14393220000000001</v>
      </c>
      <c r="I20" s="12">
        <v>-0.15814956260110169</v>
      </c>
      <c r="J20" s="12">
        <v>-0.1332062</v>
      </c>
      <c r="K20" s="12">
        <v>0.21472450376108179</v>
      </c>
      <c r="L20" s="12">
        <v>8.9997713411883729E-3</v>
      </c>
      <c r="M20" s="12">
        <v>-0.100133414364086</v>
      </c>
      <c r="N20" s="12">
        <v>-0.16814358818954389</v>
      </c>
      <c r="O20" s="12">
        <v>4.9864886069274132E-2</v>
      </c>
      <c r="P20" s="12">
        <v>4.3138678888527522E-2</v>
      </c>
      <c r="Q20" s="12">
        <v>-0.10704532145072811</v>
      </c>
      <c r="R20" s="12">
        <v>-0.19094246698951389</v>
      </c>
      <c r="S20" s="12">
        <v>0.15518261832774261</v>
      </c>
      <c r="T20" s="12">
        <v>8.5465455737815402E-2</v>
      </c>
      <c r="U20" s="12">
        <v>3.2235E-2</v>
      </c>
      <c r="V20" s="12">
        <v>-0.1035176032046175</v>
      </c>
      <c r="W20" s="12">
        <v>0.17308537617758091</v>
      </c>
      <c r="X20" s="12">
        <v>0.14869720125713359</v>
      </c>
      <c r="Y20" s="12">
        <v>-0.12896503888237379</v>
      </c>
      <c r="Z20" s="12">
        <v>-7.4027168257954579E-2</v>
      </c>
      <c r="AA20" s="12">
        <v>2.159455338729711E-2</v>
      </c>
      <c r="AB20" s="12">
        <v>3.2898545320226208E-2</v>
      </c>
      <c r="AC20" s="12">
        <v>-4.7248262727967477E-2</v>
      </c>
      <c r="AD20" s="12">
        <v>-3.4453902851829692E-2</v>
      </c>
      <c r="AE20" s="12">
        <v>-1.7310200000000001E-2</v>
      </c>
      <c r="AF20" s="12">
        <v>3.9044678387579961E-2</v>
      </c>
      <c r="AG20" s="12">
        <v>3.216324888167648E-2</v>
      </c>
      <c r="AH20" s="12">
        <v>-0.21664245264836079</v>
      </c>
      <c r="AI20" s="12">
        <v>-8.3279353750723401E-2</v>
      </c>
      <c r="AJ20" s="12">
        <v>6.1990034547547639E-2</v>
      </c>
      <c r="AK20" s="12">
        <v>-8.2485150626129544E-3</v>
      </c>
      <c r="AL20" s="12">
        <v>7.2893452036976947E-2</v>
      </c>
      <c r="AM20" s="12">
        <v>-6.7529859788327179E-2</v>
      </c>
      <c r="AN20" s="12">
        <v>3.4444518988845471E-2</v>
      </c>
      <c r="AO20" s="12">
        <v>4.528508196468839E-2</v>
      </c>
      <c r="AP20" s="12">
        <v>-1.26056E-2</v>
      </c>
      <c r="AQ20" s="12">
        <v>7.2898600000000008E-2</v>
      </c>
      <c r="AR20" s="12">
        <v>2.9738999850300981E-2</v>
      </c>
      <c r="AS20" s="12">
        <v>1.7142799999999989E-2</v>
      </c>
      <c r="AT20" s="12">
        <v>5.858773760205771E-3</v>
      </c>
      <c r="AU20" s="12">
        <v>7.5692386895125863E-2</v>
      </c>
      <c r="AV20" s="12">
        <v>-5.4625713782478207E-2</v>
      </c>
      <c r="AW20" s="12">
        <v>6.8652681791509596E-3</v>
      </c>
      <c r="AX20" s="12">
        <v>0.11073254799870159</v>
      </c>
      <c r="AY20" s="12">
        <v>3.8674698442909439E-2</v>
      </c>
      <c r="AZ20" s="12">
        <v>-0.21380243117708869</v>
      </c>
      <c r="BA20" s="12">
        <v>-3.6798864860540501E-2</v>
      </c>
      <c r="BB20" s="12">
        <v>0.23121340000000001</v>
      </c>
      <c r="BC20" s="12">
        <v>7.0605567677740205E-2</v>
      </c>
      <c r="BD20" s="12">
        <v>8.3636000000000005E-3</v>
      </c>
      <c r="BE20" s="12">
        <v>-5.9467971392603326E-3</v>
      </c>
      <c r="BF20" s="12">
        <v>-5.5215800000000002E-2</v>
      </c>
      <c r="BG20" s="12">
        <v>-6.9261427086933884E-3</v>
      </c>
      <c r="BH20" s="12">
        <v>-7.1606447114111002E-2</v>
      </c>
      <c r="BI20" s="12">
        <v>0.13174526708517489</v>
      </c>
      <c r="BJ20" s="12">
        <v>2.1629511833186621E-2</v>
      </c>
      <c r="BK20" s="12">
        <v>-5.9233167842827283E-2</v>
      </c>
      <c r="BL20" s="12">
        <v>1.978340000000001E-2</v>
      </c>
      <c r="BM20" s="12">
        <v>-5.455539999999999E-2</v>
      </c>
      <c r="BN20" s="12">
        <v>-8.5664631441180417E-2</v>
      </c>
      <c r="BO20" s="12">
        <v>-7.6086000000000001E-3</v>
      </c>
      <c r="BP20" s="12">
        <v>6.0407520762954983E-2</v>
      </c>
      <c r="BQ20" s="12">
        <v>1.5451706960843021E-2</v>
      </c>
      <c r="BR20" s="12">
        <v>0.18112708147166159</v>
      </c>
      <c r="BS20" s="12">
        <v>5.4075061911911179E-3</v>
      </c>
      <c r="BT20" s="12">
        <v>5.246859999999999E-2</v>
      </c>
      <c r="BU20" s="12">
        <v>-0.14944099999999999</v>
      </c>
      <c r="BV20" s="12">
        <v>0.13370979999999999</v>
      </c>
      <c r="BW20" s="12">
        <v>0.34204220000000002</v>
      </c>
      <c r="BX20" s="12">
        <v>5.7988018276030777E-2</v>
      </c>
      <c r="BY20" s="12">
        <v>0.10523396636930341</v>
      </c>
      <c r="BZ20" s="12">
        <v>0.1847258</v>
      </c>
      <c r="CA20" s="12">
        <v>-4.0102728051752932E-2</v>
      </c>
      <c r="CB20" s="12">
        <v>3.8251950010927849E-2</v>
      </c>
      <c r="CC20" s="12">
        <v>1.2914800000000001E-2</v>
      </c>
      <c r="CD20" s="12">
        <v>9.6063599999999999E-2</v>
      </c>
      <c r="CE20" s="12">
        <v>8.577739999999999E-2</v>
      </c>
      <c r="CF20" s="12">
        <v>-0.1312084</v>
      </c>
      <c r="CG20" s="12">
        <v>0.32193939999999999</v>
      </c>
      <c r="CH20" s="12">
        <v>4.919380000000001E-2</v>
      </c>
      <c r="CI20" s="12">
        <v>-0.13148380000000001</v>
      </c>
      <c r="CJ20" s="12">
        <v>0.123440319887351</v>
      </c>
      <c r="CK20" s="12">
        <v>9.0978396750106633E-2</v>
      </c>
      <c r="CL20" s="12">
        <v>-9.2184934189128986E-2</v>
      </c>
      <c r="CM20" s="12">
        <v>-9.6774199999999977E-2</v>
      </c>
      <c r="CN20" s="12">
        <v>-2.215941137048465E-2</v>
      </c>
      <c r="CO20" s="12">
        <v>-0.22851820318154101</v>
      </c>
      <c r="CP20" s="12">
        <v>0.1920312051090273</v>
      </c>
      <c r="CQ20" s="12">
        <v>6.1113579290622234E-3</v>
      </c>
      <c r="CR20" s="12">
        <v>2.53642E-2</v>
      </c>
      <c r="CS20" s="12">
        <v>-8.8364277012261461E-2</v>
      </c>
      <c r="CT20" s="12">
        <v>-1.807671077983496E-2</v>
      </c>
      <c r="CU20" s="12">
        <v>9.4867658266512403E-2</v>
      </c>
      <c r="CV20" s="12">
        <v>0.11921412821268471</v>
      </c>
      <c r="CW20" s="12">
        <v>6.7903708174845409E-2</v>
      </c>
      <c r="CX20" s="12">
        <v>-9.0298550867764463E-2</v>
      </c>
      <c r="CY20" s="12">
        <v>1.247973266829688E-2</v>
      </c>
      <c r="CZ20" s="12">
        <v>-0.15516164514919831</v>
      </c>
      <c r="DA20" s="12">
        <v>4.7471893155177573E-2</v>
      </c>
      <c r="DB20" s="12">
        <v>0.38248992026639161</v>
      </c>
      <c r="DC20" s="12">
        <v>-3.7332311138400742E-2</v>
      </c>
      <c r="DD20" s="12">
        <v>-3.597184756950339E-3</v>
      </c>
      <c r="DE20" s="12">
        <v>-3.0466399999999991E-2</v>
      </c>
      <c r="DF20" s="12">
        <v>-0.2455754</v>
      </c>
      <c r="DG20" s="12">
        <v>0.1240733079841211</v>
      </c>
      <c r="DH20" s="12">
        <v>-4.8058412185503073E-2</v>
      </c>
      <c r="DI20" s="12">
        <v>-7.4248335592093345E-2</v>
      </c>
      <c r="DJ20" s="12">
        <v>-8.12774E-2</v>
      </c>
      <c r="DK20" s="12">
        <v>8.5184599999999999E-2</v>
      </c>
      <c r="DL20" s="12">
        <v>-1.0186600000000001E-2</v>
      </c>
      <c r="DM20" s="12">
        <v>-6.9335800000000003E-2</v>
      </c>
      <c r="DN20" s="12">
        <v>-0.18323473362116879</v>
      </c>
      <c r="DO20" s="12">
        <v>-6.5815801837970381E-2</v>
      </c>
      <c r="DP20" s="12">
        <v>0.20015543475438921</v>
      </c>
      <c r="DQ20" s="12">
        <v>3.853899999999999E-2</v>
      </c>
      <c r="DR20" s="12">
        <v>7.8512660028290493E-2</v>
      </c>
      <c r="DS20" s="12">
        <v>-7.4919999999999987E-3</v>
      </c>
      <c r="DT20" s="12">
        <v>4.8288000000000011E-3</v>
      </c>
      <c r="DU20" s="12">
        <v>0.1763758</v>
      </c>
      <c r="DV20" s="12">
        <v>-0.12934547183885869</v>
      </c>
      <c r="DW20" s="12">
        <v>0.1035466</v>
      </c>
      <c r="DX20" s="12">
        <v>0.15386632960631469</v>
      </c>
      <c r="DY20" s="12">
        <v>-5.3618609351648763E-2</v>
      </c>
      <c r="DZ20" s="12">
        <v>8.4474578309692155E-2</v>
      </c>
      <c r="EA20" s="12">
        <v>-1.4917025427623789E-2</v>
      </c>
      <c r="EB20" s="12">
        <v>-3.9067633350965261E-2</v>
      </c>
      <c r="EC20" s="12">
        <v>0.13100614576206751</v>
      </c>
      <c r="ED20" s="12">
        <v>0.17691886106701021</v>
      </c>
      <c r="EE20" s="12">
        <v>-1.7415999999999959E-3</v>
      </c>
      <c r="EF20" s="12">
        <v>-2.0281416615907238E-2</v>
      </c>
      <c r="EG20" s="10">
        <f t="shared" si="6"/>
        <v>1.6297835469589073E-2</v>
      </c>
      <c r="EH20">
        <f t="shared" si="7"/>
        <v>0.11382198631614626</v>
      </c>
      <c r="EI20" s="10">
        <f t="shared" si="8"/>
        <v>0.14318705899509623</v>
      </c>
    </row>
    <row r="21" spans="1:139">
      <c r="A21">
        <v>241</v>
      </c>
      <c r="B21">
        <v>4</v>
      </c>
      <c r="C21" s="12">
        <v>0.2146305</v>
      </c>
      <c r="D21" s="12">
        <v>-3.6770939515919088E-4</v>
      </c>
      <c r="E21" s="12">
        <v>-1.3691500000000001E-2</v>
      </c>
      <c r="F21" s="12">
        <v>0.18403858160612999</v>
      </c>
      <c r="G21" s="12">
        <v>-0.14384215111256449</v>
      </c>
      <c r="H21" s="12">
        <v>0.162164</v>
      </c>
      <c r="I21" s="12">
        <v>-0.14725560812747299</v>
      </c>
      <c r="J21" s="12">
        <v>-0.13674149999999999</v>
      </c>
      <c r="K21" s="12">
        <v>0.2068800260033955</v>
      </c>
      <c r="L21" s="12">
        <v>5.7226166864944403E-2</v>
      </c>
      <c r="M21" s="12">
        <v>-7.5660649926760526E-2</v>
      </c>
      <c r="N21" s="12">
        <v>-0.13905067586079981</v>
      </c>
      <c r="O21" s="12">
        <v>3.4351989460690638E-2</v>
      </c>
      <c r="P21" s="12">
        <v>3.9891722860102737E-2</v>
      </c>
      <c r="Q21" s="12">
        <v>-8.1195369015973365E-2</v>
      </c>
      <c r="R21" s="12">
        <v>-0.14269209072332131</v>
      </c>
      <c r="S21" s="12">
        <v>0.12859028544995699</v>
      </c>
      <c r="T21" s="12">
        <v>9.846167275679743E-2</v>
      </c>
      <c r="U21" s="12">
        <v>-9.8267499999999952E-3</v>
      </c>
      <c r="V21" s="12">
        <v>-0.10537077038935461</v>
      </c>
      <c r="W21" s="12">
        <v>0.15778847961546261</v>
      </c>
      <c r="X21" s="12">
        <v>0.19733717858364669</v>
      </c>
      <c r="Y21" s="12">
        <v>-9.2729223946204448E-2</v>
      </c>
      <c r="Z21" s="12">
        <v>-0.1093802011477636</v>
      </c>
      <c r="AA21" s="12">
        <v>-1.9491043540093941E-2</v>
      </c>
      <c r="AB21" s="12">
        <v>2.1955943889134161E-2</v>
      </c>
      <c r="AC21" s="12">
        <v>-1.882773670680014E-2</v>
      </c>
      <c r="AD21" s="12">
        <v>-4.6697424552745621E-2</v>
      </c>
      <c r="AE21" s="12">
        <v>-1.031074999999999E-2</v>
      </c>
      <c r="AF21" s="12">
        <v>5.3125609886562987E-2</v>
      </c>
      <c r="AG21" s="12">
        <v>1.10465721064439E-2</v>
      </c>
      <c r="AH21" s="12">
        <v>-0.2403512556587668</v>
      </c>
      <c r="AI21" s="12">
        <v>-6.7729680595151026E-2</v>
      </c>
      <c r="AJ21" s="12">
        <v>7.0405341946468691E-2</v>
      </c>
      <c r="AK21" s="12">
        <v>1.8318368909312599E-2</v>
      </c>
      <c r="AL21" s="12">
        <v>6.5379822733110632E-2</v>
      </c>
      <c r="AM21" s="12">
        <v>6.312571800748347E-2</v>
      </c>
      <c r="AN21" s="12">
        <v>2.1789029545820651E-2</v>
      </c>
      <c r="AO21" s="12">
        <v>4.7726395643726653E-2</v>
      </c>
      <c r="AP21" s="12">
        <v>-1.8943749999999999E-2</v>
      </c>
      <c r="AQ21" s="12">
        <v>0.13322400000000001</v>
      </c>
      <c r="AR21" s="12">
        <v>3.4197900630824132E-2</v>
      </c>
      <c r="AS21" s="12">
        <v>-1.7048000000000021E-2</v>
      </c>
      <c r="AT21" s="12">
        <v>-2.4929112771550628E-3</v>
      </c>
      <c r="AU21" s="12">
        <v>4.7809631508957028E-2</v>
      </c>
      <c r="AV21" s="12">
        <v>-5.5520780062133721E-2</v>
      </c>
      <c r="AW21" s="12">
        <v>9.7910299540974015E-3</v>
      </c>
      <c r="AX21" s="12">
        <v>0.1431476874697567</v>
      </c>
      <c r="AY21" s="12">
        <v>4.7021290978038012E-2</v>
      </c>
      <c r="AZ21" s="12">
        <v>-0.25491126989713642</v>
      </c>
      <c r="BA21" s="12">
        <v>-7.1032181648085849E-2</v>
      </c>
      <c r="BB21" s="12">
        <v>0.29451325</v>
      </c>
      <c r="BC21" s="12">
        <v>3.8321147725193863E-2</v>
      </c>
      <c r="BD21" s="12">
        <v>3.8222500000000013E-2</v>
      </c>
      <c r="BE21" s="12">
        <v>6.3505333974014731E-3</v>
      </c>
      <c r="BF21" s="12">
        <v>-6.2289749999999998E-2</v>
      </c>
      <c r="BG21" s="12">
        <v>3.6635189216812601E-2</v>
      </c>
      <c r="BH21" s="12">
        <v>-7.6321363138755302E-2</v>
      </c>
      <c r="BI21" s="12">
        <v>0.1659695961783918</v>
      </c>
      <c r="BJ21" s="12">
        <v>2.3579026181717661E-2</v>
      </c>
      <c r="BK21" s="12">
        <v>-6.8449880379534783E-2</v>
      </c>
      <c r="BL21" s="12">
        <v>3.7530000000000059E-3</v>
      </c>
      <c r="BM21" s="12">
        <v>-9.4969749999999992E-2</v>
      </c>
      <c r="BN21" s="12">
        <v>-0.18824750259238801</v>
      </c>
      <c r="BO21" s="12">
        <v>1.5006749999999999E-2</v>
      </c>
      <c r="BP21" s="12">
        <v>0.1045091294194143</v>
      </c>
      <c r="BQ21" s="12">
        <v>5.4542230834504879E-2</v>
      </c>
      <c r="BR21" s="12">
        <v>0.14206145591009539</v>
      </c>
      <c r="BS21" s="12">
        <v>5.8601727551761719E-3</v>
      </c>
      <c r="BT21" s="12">
        <v>6.0821999999999987E-2</v>
      </c>
      <c r="BU21" s="12">
        <v>-0.170738</v>
      </c>
      <c r="BV21" s="12">
        <v>1.924025E-2</v>
      </c>
      <c r="BW21" s="12">
        <v>0.40213025000000002</v>
      </c>
      <c r="BX21" s="12">
        <v>8.8379334787638542E-2</v>
      </c>
      <c r="BY21" s="12">
        <v>5.0379851218116528E-2</v>
      </c>
      <c r="BZ21" s="12">
        <v>0.25140249999999997</v>
      </c>
      <c r="CA21" s="12">
        <v>-6.0517603302398457E-2</v>
      </c>
      <c r="CB21" s="12">
        <v>6.3421391198258154E-2</v>
      </c>
      <c r="CC21" s="12">
        <v>-8.0194999999999989E-3</v>
      </c>
      <c r="CD21" s="12">
        <v>8.4422250000000004E-2</v>
      </c>
      <c r="CE21" s="12">
        <v>6.1514499999999993E-2</v>
      </c>
      <c r="CF21" s="12">
        <v>-0.127168</v>
      </c>
      <c r="CG21" s="12">
        <v>0.32016774999999997</v>
      </c>
      <c r="CH21" s="12">
        <v>-7.1338500000000013E-2</v>
      </c>
      <c r="CI21" s="12">
        <v>-0.12329225000000001</v>
      </c>
      <c r="CJ21" s="12">
        <v>8.5627757016502298E-2</v>
      </c>
      <c r="CK21" s="12">
        <v>0.12705054673013411</v>
      </c>
      <c r="CL21" s="12">
        <v>-0.13389042462296469</v>
      </c>
      <c r="CM21" s="12">
        <v>-0.11623024999999999</v>
      </c>
      <c r="CN21" s="12">
        <v>-3.05388902037756E-2</v>
      </c>
      <c r="CO21" s="12">
        <v>-0.23779198113939251</v>
      </c>
      <c r="CP21" s="12">
        <v>0.22270006087791269</v>
      </c>
      <c r="CQ21" s="12">
        <v>3.2880917250907721E-3</v>
      </c>
      <c r="CR21" s="12">
        <v>1.1617000000000001E-2</v>
      </c>
      <c r="CS21" s="12">
        <v>-6.9646396146771747E-2</v>
      </c>
      <c r="CT21" s="12">
        <v>-8.6072556871396061E-2</v>
      </c>
      <c r="CU21" s="12">
        <v>6.2673560169491313E-2</v>
      </c>
      <c r="CV21" s="12">
        <v>0.1543318447745724</v>
      </c>
      <c r="CW21" s="12">
        <v>3.8345516871682743E-2</v>
      </c>
      <c r="CX21" s="12">
        <v>-0.1021221756574071</v>
      </c>
      <c r="CY21" s="12">
        <v>8.4819164039144704E-3</v>
      </c>
      <c r="CZ21" s="12">
        <v>-0.2374513708258302</v>
      </c>
      <c r="DA21" s="12">
        <v>-1.192256456731756E-3</v>
      </c>
      <c r="DB21" s="12">
        <v>0.47235073547067691</v>
      </c>
      <c r="DC21" s="12">
        <v>-0.1539047953697186</v>
      </c>
      <c r="DD21" s="12">
        <v>-2.8187943910707451E-3</v>
      </c>
      <c r="DE21" s="12">
        <v>-5.4718999999999997E-2</v>
      </c>
      <c r="DF21" s="12">
        <v>-0.30115175</v>
      </c>
      <c r="DG21" s="12">
        <v>0.14818493113172959</v>
      </c>
      <c r="DH21" s="12">
        <v>1.0355571501857411E-2</v>
      </c>
      <c r="DI21" s="12">
        <v>-9.0149202717820648E-2</v>
      </c>
      <c r="DJ21" s="12">
        <v>-7.330325E-2</v>
      </c>
      <c r="DK21" s="12">
        <v>9.0893250000000009E-2</v>
      </c>
      <c r="DL21" s="12">
        <v>-3.2207750000000007E-2</v>
      </c>
      <c r="DM21" s="12">
        <v>-2.498825E-2</v>
      </c>
      <c r="DN21" s="12">
        <v>-0.22029564086452741</v>
      </c>
      <c r="DO21" s="12">
        <v>-8.2445792330679737E-2</v>
      </c>
      <c r="DP21" s="12">
        <v>0.22901988968023471</v>
      </c>
      <c r="DQ21" s="12">
        <v>2.8215250000000001E-2</v>
      </c>
      <c r="DR21" s="12">
        <v>5.0170859037080733E-2</v>
      </c>
      <c r="DS21" s="12">
        <v>-1.6737500000000001E-3</v>
      </c>
      <c r="DT21" s="12">
        <v>-9.7094999999999959E-3</v>
      </c>
      <c r="DU21" s="12">
        <v>0.14861474999999999</v>
      </c>
      <c r="DV21" s="12">
        <v>-0.140275976869878</v>
      </c>
      <c r="DW21" s="12">
        <v>0.103536</v>
      </c>
      <c r="DX21" s="12">
        <v>0.18596621403118341</v>
      </c>
      <c r="DY21" s="12">
        <v>-2.459599553801604E-2</v>
      </c>
      <c r="DZ21" s="12">
        <v>5.2844066560288887E-2</v>
      </c>
      <c r="EA21" s="12">
        <v>2.4865522448428139E-2</v>
      </c>
      <c r="EB21" s="12">
        <v>-8.4081461705858979E-3</v>
      </c>
      <c r="EC21" s="12">
        <v>0.14009401795222581</v>
      </c>
      <c r="ED21" s="12">
        <v>5.4498856348180663E-2</v>
      </c>
      <c r="EE21" s="12">
        <v>2.1309999999999999E-2</v>
      </c>
      <c r="EF21" s="12">
        <v>1.8771264042119089E-2</v>
      </c>
      <c r="EG21" s="10">
        <f t="shared" si="6"/>
        <v>1.3330891782341836E-2</v>
      </c>
      <c r="EH21">
        <f t="shared" si="7"/>
        <v>0.12535445273781526</v>
      </c>
      <c r="EI21" s="10">
        <f t="shared" si="8"/>
        <v>0.10634557840736639</v>
      </c>
    </row>
    <row r="22" spans="1:139">
      <c r="A22">
        <v>321</v>
      </c>
      <c r="B22">
        <v>3</v>
      </c>
      <c r="C22" s="12">
        <v>0.20528266666666661</v>
      </c>
      <c r="D22" s="12">
        <v>-4.4680896903486519E-2</v>
      </c>
      <c r="E22" s="12">
        <v>-1.735666666666667E-2</v>
      </c>
      <c r="F22" s="12">
        <v>6.7831060921277567E-2</v>
      </c>
      <c r="G22" s="12">
        <v>-0.1038843632903341</v>
      </c>
      <c r="H22" s="12">
        <v>0.124178</v>
      </c>
      <c r="I22" s="12">
        <v>-0.12349316933806979</v>
      </c>
      <c r="J22" s="12">
        <v>-0.104252</v>
      </c>
      <c r="K22" s="12">
        <v>0.2453659126827557</v>
      </c>
      <c r="L22" s="12">
        <v>0.1074871686512418</v>
      </c>
      <c r="M22" s="12">
        <v>0.22515860506358171</v>
      </c>
      <c r="N22" s="12">
        <v>-9.8030860807632764E-2</v>
      </c>
      <c r="O22" s="12">
        <v>-6.7158783113674958E-3</v>
      </c>
      <c r="P22" s="12">
        <v>4.28584885189899E-2</v>
      </c>
      <c r="Q22" s="12">
        <v>-8.9282518103847214E-2</v>
      </c>
      <c r="R22" s="12">
        <v>-0.18067973019128461</v>
      </c>
      <c r="S22" s="12">
        <v>0.16964655555794059</v>
      </c>
      <c r="T22" s="12">
        <v>0.1288124219831229</v>
      </c>
      <c r="U22" s="12">
        <v>5.2484333333333327E-2</v>
      </c>
      <c r="V22" s="12">
        <v>-5.7024134634289667E-2</v>
      </c>
      <c r="W22" s="12">
        <v>0.20748026702429739</v>
      </c>
      <c r="X22" s="12">
        <v>0.214900047729565</v>
      </c>
      <c r="Y22" s="12">
        <v>-4.7938332179768291E-2</v>
      </c>
      <c r="Z22" s="12">
        <v>-0.1501501099195742</v>
      </c>
      <c r="AA22" s="12">
        <v>-7.0480168868567589E-3</v>
      </c>
      <c r="AB22" s="12">
        <v>-3.8652301253394171E-3</v>
      </c>
      <c r="AC22" s="12">
        <v>-8.5776460715432462E-2</v>
      </c>
      <c r="AD22" s="12">
        <v>-1.2467302670572489E-2</v>
      </c>
      <c r="AE22" s="12">
        <v>8.5149000000000002E-2</v>
      </c>
      <c r="AF22" s="12">
        <v>4.718231615802413E-2</v>
      </c>
      <c r="AG22" s="12">
        <v>1.0812100566842311E-2</v>
      </c>
      <c r="AH22" s="12">
        <v>-0.24762224616340131</v>
      </c>
      <c r="AI22" s="12">
        <v>-6.7392901011186057E-2</v>
      </c>
      <c r="AJ22" s="12">
        <v>3.1699849326408271E-2</v>
      </c>
      <c r="AK22" s="12">
        <v>7.8575768704914215E-2</v>
      </c>
      <c r="AL22" s="12">
        <v>4.0340966806900407E-2</v>
      </c>
      <c r="AM22" s="12">
        <v>5.6373754363627612E-2</v>
      </c>
      <c r="AN22" s="12">
        <v>2.7860566885395861E-2</v>
      </c>
      <c r="AO22" s="12">
        <v>7.4717373393705613E-2</v>
      </c>
      <c r="AP22" s="12">
        <v>-2.0493333333333329E-2</v>
      </c>
      <c r="AQ22" s="12">
        <v>0.1101293333333333</v>
      </c>
      <c r="AR22" s="12">
        <v>0.10818370054823639</v>
      </c>
      <c r="AS22" s="12">
        <v>-0.16459066666666669</v>
      </c>
      <c r="AT22" s="12">
        <v>-2.513636184002634E-2</v>
      </c>
      <c r="AU22" s="12">
        <v>3.3500451910869901E-2</v>
      </c>
      <c r="AV22" s="12">
        <v>-5.9813176675879959E-2</v>
      </c>
      <c r="AW22" s="12">
        <v>-3.014938920700894E-2</v>
      </c>
      <c r="AX22" s="12">
        <v>0.17376339998002421</v>
      </c>
      <c r="AY22" s="12">
        <v>7.1733385334230598E-2</v>
      </c>
      <c r="AZ22" s="12">
        <v>-0.1549037783211521</v>
      </c>
      <c r="BA22" s="12">
        <v>-4.5598425167461952E-2</v>
      </c>
      <c r="BB22" s="12">
        <v>0.36955133333333329</v>
      </c>
      <c r="BC22" s="12">
        <v>-0.13083693812295519</v>
      </c>
      <c r="BD22" s="12">
        <v>7.9264000000000001E-2</v>
      </c>
      <c r="BE22" s="12">
        <v>2.221618339448047E-2</v>
      </c>
      <c r="BF22" s="12">
        <v>-5.4885999999999997E-2</v>
      </c>
      <c r="BG22" s="12">
        <v>4.6279512168386029E-2</v>
      </c>
      <c r="BH22" s="12">
        <v>-0.12796054233813189</v>
      </c>
      <c r="BI22" s="12">
        <v>0.111088719409907</v>
      </c>
      <c r="BJ22" s="12">
        <v>5.4996415150720922E-2</v>
      </c>
      <c r="BK22" s="12">
        <v>-4.1839635933665138E-2</v>
      </c>
      <c r="BL22" s="12">
        <v>1.7864000000000019E-2</v>
      </c>
      <c r="BM22" s="12">
        <v>-0.12093866666666669</v>
      </c>
      <c r="BN22" s="12">
        <v>2.851880646397522E-2</v>
      </c>
      <c r="BO22" s="12">
        <v>3.8353333333333343E-2</v>
      </c>
      <c r="BP22" s="12">
        <v>7.4835550155106345E-2</v>
      </c>
      <c r="BQ22" s="12">
        <v>2.7830097398312589E-2</v>
      </c>
      <c r="BR22" s="12">
        <v>0.10656678196769021</v>
      </c>
      <c r="BS22" s="12">
        <v>-1.637278237679916E-2</v>
      </c>
      <c r="BT22" s="12">
        <v>-8.8724333333333336E-2</v>
      </c>
      <c r="BU22" s="12">
        <v>-0.104351</v>
      </c>
      <c r="BV22" s="12">
        <v>6.806666666666697E-4</v>
      </c>
      <c r="BW22" s="12">
        <v>0.42771533333333328</v>
      </c>
      <c r="BX22" s="12">
        <v>0.15293737024999199</v>
      </c>
      <c r="BY22" s="12">
        <v>4.7467864027346263E-3</v>
      </c>
      <c r="BZ22" s="12">
        <v>0.27962999999999999</v>
      </c>
      <c r="CA22" s="12">
        <v>-2.749007848032349E-2</v>
      </c>
      <c r="CB22" s="12">
        <v>0.14899327824592659</v>
      </c>
      <c r="CC22" s="12">
        <v>-0.12510499999999999</v>
      </c>
      <c r="CD22" s="12">
        <v>9.5518333333333344E-2</v>
      </c>
      <c r="CE22" s="12">
        <v>6.6840000000000011E-2</v>
      </c>
      <c r="CF22" s="12">
        <v>-0.15557066666666661</v>
      </c>
      <c r="CG22" s="12">
        <v>0.44380066666666668</v>
      </c>
      <c r="CH22" s="12">
        <v>-2.6762000000000011E-2</v>
      </c>
      <c r="CI22" s="12">
        <v>-0.23044799999999999</v>
      </c>
      <c r="CJ22" s="12">
        <v>0.1033795050895627</v>
      </c>
      <c r="CK22" s="12">
        <v>3.6163342604682402E-2</v>
      </c>
      <c r="CL22" s="12">
        <v>-0.2406517986250408</v>
      </c>
      <c r="CM22" s="12">
        <v>-0.21983</v>
      </c>
      <c r="CN22" s="12">
        <v>8.5467718209073992E-3</v>
      </c>
      <c r="CO22" s="12">
        <v>-0.18528575790522681</v>
      </c>
      <c r="CP22" s="12">
        <v>0.25940855696940252</v>
      </c>
      <c r="CQ22" s="12">
        <v>-1.233377932566462E-2</v>
      </c>
      <c r="CR22" s="12">
        <v>-2.842066666666666E-2</v>
      </c>
      <c r="CS22" s="12">
        <v>1.5202183521422779E-2</v>
      </c>
      <c r="CT22" s="12">
        <v>-0.1260913781887717</v>
      </c>
      <c r="CU22" s="12">
        <v>0.1202317119640979</v>
      </c>
      <c r="CV22" s="12">
        <v>0.16622267868955429</v>
      </c>
      <c r="CW22" s="12">
        <v>2.2884042331984721E-2</v>
      </c>
      <c r="CX22" s="12">
        <v>-3.749593267848913E-3</v>
      </c>
      <c r="CY22" s="12">
        <v>7.9888257735091419E-3</v>
      </c>
      <c r="CZ22" s="12">
        <v>-0.26292048459923911</v>
      </c>
      <c r="DA22" s="12">
        <v>3.9917538819241108E-3</v>
      </c>
      <c r="DB22" s="12">
        <v>0.59337517172623166</v>
      </c>
      <c r="DC22" s="12">
        <v>-0.14116723571930959</v>
      </c>
      <c r="DD22" s="12">
        <v>-3.1710169125825367E-2</v>
      </c>
      <c r="DE22" s="12">
        <v>-0.13335566666666671</v>
      </c>
      <c r="DF22" s="12">
        <v>-0.38966800000000001</v>
      </c>
      <c r="DG22" s="12">
        <v>8.8121410503063616E-2</v>
      </c>
      <c r="DH22" s="12">
        <v>-3.4688752429190083E-2</v>
      </c>
      <c r="DI22" s="12">
        <v>-8.1105543840270106E-2</v>
      </c>
      <c r="DJ22" s="12">
        <v>-4.2777666666666672E-2</v>
      </c>
      <c r="DK22" s="12">
        <v>9.1427666666666671E-2</v>
      </c>
      <c r="DL22" s="12">
        <v>-2.168033333333334E-2</v>
      </c>
      <c r="DM22" s="12">
        <v>-3.1884333333333327E-2</v>
      </c>
      <c r="DN22" s="12">
        <v>-0.30537502827220309</v>
      </c>
      <c r="DO22" s="12">
        <v>-0.12343750131163821</v>
      </c>
      <c r="DP22" s="12">
        <v>0.16956243214073041</v>
      </c>
      <c r="DQ22" s="12">
        <v>5.1849333333333317E-2</v>
      </c>
      <c r="DR22" s="12">
        <v>-6.0925526153180337E-3</v>
      </c>
      <c r="DS22" s="12">
        <v>-3.6348999999999999E-2</v>
      </c>
      <c r="DT22" s="12">
        <v>-4.3682333333333337E-2</v>
      </c>
      <c r="DU22" s="12">
        <v>0.1615456666666667</v>
      </c>
      <c r="DV22" s="12">
        <v>-0.12570511767817799</v>
      </c>
      <c r="DW22" s="12">
        <v>8.1416000000000016E-2</v>
      </c>
      <c r="DX22" s="12">
        <v>0.22244260844829469</v>
      </c>
      <c r="DY22" s="12">
        <v>8.1471166255399959E-3</v>
      </c>
      <c r="DZ22" s="12">
        <v>0.10374798094555759</v>
      </c>
      <c r="EA22" s="12">
        <v>7.0548648839358755E-2</v>
      </c>
      <c r="EB22" s="12">
        <v>8.0596727535317977E-2</v>
      </c>
      <c r="EC22" s="12">
        <v>-2.8428811778050931E-2</v>
      </c>
      <c r="ED22" s="12">
        <v>7.7413567057607463E-2</v>
      </c>
      <c r="EE22" s="12">
        <v>4.7635999999999998E-2</v>
      </c>
      <c r="EF22" s="12">
        <v>3.4790246372172352E-2</v>
      </c>
      <c r="EG22" s="10">
        <f t="shared" si="6"/>
        <v>1.5748891902207584E-2</v>
      </c>
      <c r="EH22">
        <f t="shared" si="7"/>
        <v>0.14210708909962377</v>
      </c>
      <c r="EI22" s="10">
        <f t="shared" si="8"/>
        <v>0.11082411160478327</v>
      </c>
    </row>
    <row r="23" spans="1:139">
      <c r="A23">
        <v>482</v>
      </c>
      <c r="B23">
        <v>2</v>
      </c>
      <c r="C23" s="12">
        <v>0.28298899999999988</v>
      </c>
      <c r="D23" s="12">
        <v>-2.981066768542209E-2</v>
      </c>
      <c r="E23" s="12">
        <v>0.13300500000000001</v>
      </c>
      <c r="F23" s="12">
        <v>0.1823960753208787</v>
      </c>
      <c r="G23" s="12">
        <v>2.6971568524368019E-2</v>
      </c>
      <c r="H23" s="12">
        <v>-1.81885E-2</v>
      </c>
      <c r="I23" s="12">
        <v>-0.148152028600294</v>
      </c>
      <c r="J23" s="12">
        <v>-0.11487550000000001</v>
      </c>
      <c r="K23" s="12">
        <v>0.14260757512465491</v>
      </c>
      <c r="L23" s="12">
        <v>0.23244436104246219</v>
      </c>
      <c r="M23" s="12">
        <v>0.26256934704734031</v>
      </c>
      <c r="N23" s="12">
        <v>-0.12680001369232849</v>
      </c>
      <c r="O23" s="12">
        <v>-1.9407711266769139E-2</v>
      </c>
      <c r="P23" s="12">
        <v>1.068350475974675E-2</v>
      </c>
      <c r="Q23" s="12">
        <v>-0.25084967690080678</v>
      </c>
      <c r="R23" s="12">
        <v>-8.9628003041144669E-2</v>
      </c>
      <c r="S23" s="12">
        <v>0.1137245328272621</v>
      </c>
      <c r="T23" s="12">
        <v>0.15460269332742849</v>
      </c>
      <c r="U23" s="12">
        <v>5.9236499999999997E-2</v>
      </c>
      <c r="V23" s="12">
        <v>6.3357010979066042E-2</v>
      </c>
      <c r="W23" s="12">
        <v>0.33161915024914451</v>
      </c>
      <c r="X23" s="12">
        <v>0.26408569496329731</v>
      </c>
      <c r="Y23" s="12">
        <v>-7.588763428678244E-3</v>
      </c>
      <c r="Z23" s="12">
        <v>-0.14764040944327361</v>
      </c>
      <c r="AA23" s="12">
        <v>-6.6062919694702682E-3</v>
      </c>
      <c r="AB23" s="12">
        <v>-3.09913850559921E-2</v>
      </c>
      <c r="AC23" s="12">
        <v>-0.1687547996369127</v>
      </c>
      <c r="AD23" s="12">
        <v>-1.5010900357047399E-2</v>
      </c>
      <c r="AE23" s="12">
        <v>0.221717</v>
      </c>
      <c r="AF23" s="12">
        <v>6.6906260089751285E-2</v>
      </c>
      <c r="AG23" s="12">
        <v>-0.145893892939672</v>
      </c>
      <c r="AH23" s="12">
        <v>0.1356489203506672</v>
      </c>
      <c r="AI23" s="12">
        <v>-7.5450169739462281E-2</v>
      </c>
      <c r="AJ23" s="12">
        <v>-5.6431378481542303E-3</v>
      </c>
      <c r="AK23" s="12">
        <v>9.1199224275259672E-2</v>
      </c>
      <c r="AL23" s="12">
        <v>0.1314317131925356</v>
      </c>
      <c r="AM23" s="12">
        <v>-2.0470543302086051E-2</v>
      </c>
      <c r="AN23" s="12">
        <v>0.16052014076233129</v>
      </c>
      <c r="AO23" s="12">
        <v>-5.3369521914240978E-3</v>
      </c>
      <c r="AP23" s="12">
        <v>0.16526650000000001</v>
      </c>
      <c r="AQ23" s="12">
        <v>9.9379000000000009E-2</v>
      </c>
      <c r="AR23" s="12">
        <v>0.25346079578034408</v>
      </c>
      <c r="AS23" s="12">
        <v>-3.2169000000000017E-2</v>
      </c>
      <c r="AT23" s="12">
        <v>-4.1427721813649641E-2</v>
      </c>
      <c r="AU23" s="12">
        <v>3.3145526128504327E-2</v>
      </c>
      <c r="AV23" s="12">
        <v>-2.7638994197374041E-2</v>
      </c>
      <c r="AW23" s="12">
        <v>-5.202690983840276E-2</v>
      </c>
      <c r="AX23" s="12">
        <v>6.9838153827044058E-2</v>
      </c>
      <c r="AY23" s="12">
        <v>0.17023398084058211</v>
      </c>
      <c r="AZ23" s="12">
        <v>-6.3753617401060211E-2</v>
      </c>
      <c r="BA23" s="12">
        <v>9.6467800801007808E-3</v>
      </c>
      <c r="BB23" s="12">
        <v>0.56682749999999993</v>
      </c>
      <c r="BC23" s="12">
        <v>-0.30082824917306578</v>
      </c>
      <c r="BD23" s="12">
        <v>0.12597949999999999</v>
      </c>
      <c r="BE23" s="12">
        <v>-7.1430762397296579E-2</v>
      </c>
      <c r="BF23" s="12">
        <v>-6.0012999999999997E-2</v>
      </c>
      <c r="BG23" s="12">
        <v>7.4761471196752541E-2</v>
      </c>
      <c r="BH23" s="12">
        <v>-0.2034839813552872</v>
      </c>
      <c r="BI23" s="12">
        <v>0.1911120793231991</v>
      </c>
      <c r="BJ23" s="12">
        <v>0.1040033152679269</v>
      </c>
      <c r="BK23" s="12">
        <v>2.0341083364774871E-3</v>
      </c>
      <c r="BL23" s="12">
        <v>-5.3431999999999993E-2</v>
      </c>
      <c r="BM23" s="12">
        <v>-0.18414649999999999</v>
      </c>
      <c r="BN23" s="12">
        <v>2.660347002197758E-2</v>
      </c>
      <c r="BO23" s="12">
        <v>6.1820000000000007E-2</v>
      </c>
      <c r="BP23" s="12">
        <v>9.8266399211456468E-2</v>
      </c>
      <c r="BQ23" s="12">
        <v>7.2047901435266168E-2</v>
      </c>
      <c r="BR23" s="12">
        <v>0.1028225901803507</v>
      </c>
      <c r="BS23" s="12">
        <v>-7.3275388657911791E-2</v>
      </c>
      <c r="BT23" s="12">
        <v>-0.2181855</v>
      </c>
      <c r="BU23" s="12">
        <v>-0.1056865</v>
      </c>
      <c r="BV23" s="12">
        <v>-1.702049999999999E-2</v>
      </c>
      <c r="BW23" s="12">
        <v>0.60099800000000003</v>
      </c>
      <c r="BX23" s="12">
        <v>0.1242195235446351</v>
      </c>
      <c r="BY23" s="12">
        <v>1.020569269434762E-2</v>
      </c>
      <c r="BZ23" s="12">
        <v>0.35239900000000002</v>
      </c>
      <c r="CA23" s="12">
        <v>-7.5653199746629096E-2</v>
      </c>
      <c r="CB23" s="12">
        <v>0.21761420299243989</v>
      </c>
      <c r="CC23" s="12">
        <v>-8.4545000000000009E-2</v>
      </c>
      <c r="CD23" s="12">
        <v>0.14124249999999999</v>
      </c>
      <c r="CE23" s="12">
        <v>5.9602000000000002E-2</v>
      </c>
      <c r="CF23" s="12">
        <v>-0.1834305</v>
      </c>
      <c r="CG23" s="12">
        <v>0.29290349999999998</v>
      </c>
      <c r="CH23" s="12">
        <v>2.195049999999998E-2</v>
      </c>
      <c r="CI23" s="12">
        <v>-5.9122499999999981E-2</v>
      </c>
      <c r="CJ23" s="12">
        <v>1.9875367550410569E-2</v>
      </c>
      <c r="CK23" s="12">
        <v>9.6116994727961536E-2</v>
      </c>
      <c r="CL23" s="12">
        <v>-0.40866101266741839</v>
      </c>
      <c r="CM23" s="12">
        <v>-0.234705</v>
      </c>
      <c r="CN23" s="12">
        <v>5.3005178369803271E-2</v>
      </c>
      <c r="CO23" s="12">
        <v>-0.26845097690314912</v>
      </c>
      <c r="CP23" s="12">
        <v>0.31136074316275669</v>
      </c>
      <c r="CQ23" s="12">
        <v>-9.1837444998058917E-3</v>
      </c>
      <c r="CR23" s="12">
        <v>-3.8230500000000001E-2</v>
      </c>
      <c r="CS23" s="12">
        <v>3.697421899127859E-2</v>
      </c>
      <c r="CT23" s="12">
        <v>-3.2850224006144763E-2</v>
      </c>
      <c r="CU23" s="12">
        <v>2.1056595713287041E-2</v>
      </c>
      <c r="CV23" s="12">
        <v>0.15333096827157461</v>
      </c>
      <c r="CW23" s="12">
        <v>-2.418628778900123E-2</v>
      </c>
      <c r="CX23" s="12">
        <v>8.8716994096526336E-2</v>
      </c>
      <c r="CY23" s="12">
        <v>-2.20465307533785E-2</v>
      </c>
      <c r="CZ23" s="12">
        <v>-0.18199879385735121</v>
      </c>
      <c r="DA23" s="12">
        <v>3.0982136225910391E-2</v>
      </c>
      <c r="DB23" s="12">
        <v>0.86457557459721113</v>
      </c>
      <c r="DC23" s="12">
        <v>-0.15794889931825309</v>
      </c>
      <c r="DD23" s="12">
        <v>-9.2798674677153081E-2</v>
      </c>
      <c r="DE23" s="12">
        <v>-0.1414445</v>
      </c>
      <c r="DF23" s="12">
        <v>-0.40879749999999998</v>
      </c>
      <c r="DG23" s="12">
        <v>0.15297665429505281</v>
      </c>
      <c r="DH23" s="12">
        <v>-0.1095821983620974</v>
      </c>
      <c r="DI23" s="12">
        <v>-0.18491271354810521</v>
      </c>
      <c r="DJ23" s="12">
        <v>3.3823000000000013E-2</v>
      </c>
      <c r="DK23" s="12">
        <v>9.1243500000000005E-2</v>
      </c>
      <c r="DL23" s="12">
        <v>5.6605999999999997E-2</v>
      </c>
      <c r="DM23" s="12">
        <v>-4.6476999999999997E-2</v>
      </c>
      <c r="DN23" s="12">
        <v>-0.26497485648399138</v>
      </c>
      <c r="DO23" s="12">
        <v>-0.16409130373383399</v>
      </c>
      <c r="DP23" s="12">
        <v>0.17683961848490651</v>
      </c>
      <c r="DQ23" s="12">
        <v>0.1211305</v>
      </c>
      <c r="DR23" s="12">
        <v>-8.9886002731306744E-2</v>
      </c>
      <c r="DS23" s="12">
        <v>-0.116578</v>
      </c>
      <c r="DT23" s="12">
        <v>-5.4250499999999993E-2</v>
      </c>
      <c r="DU23" s="12">
        <v>5.5638E-2</v>
      </c>
      <c r="DV23" s="12">
        <v>-0.27627160832943959</v>
      </c>
      <c r="DW23" s="12">
        <v>-2.305249999999999E-2</v>
      </c>
      <c r="DX23" s="12">
        <v>0.31349320637896622</v>
      </c>
      <c r="DY23" s="12">
        <v>-0.16987682865225409</v>
      </c>
      <c r="DZ23" s="12">
        <v>0.10287301862651251</v>
      </c>
      <c r="EA23" s="12">
        <v>2.3448907613119421E-2</v>
      </c>
      <c r="EB23" s="12">
        <v>6.2753439710675096E-2</v>
      </c>
      <c r="EC23" s="12">
        <v>-0.1232049429556647</v>
      </c>
      <c r="ED23" s="12">
        <v>9.1425904619781034E-2</v>
      </c>
      <c r="EE23" s="12">
        <v>6.9210999999999995E-2</v>
      </c>
      <c r="EF23" s="12">
        <v>4.7782278591659677E-2</v>
      </c>
      <c r="EG23" s="10">
        <f t="shared" si="6"/>
        <v>2.3973946214753947E-2</v>
      </c>
      <c r="EH23">
        <f t="shared" si="7"/>
        <v>0.1779734437158767</v>
      </c>
      <c r="EI23">
        <f t="shared" si="8"/>
        <v>0.1347051881123727</v>
      </c>
    </row>
    <row r="24" spans="1:139">
      <c r="A24">
        <v>964</v>
      </c>
      <c r="B24">
        <v>1</v>
      </c>
      <c r="C24" s="12">
        <v>9.9113000000000007E-2</v>
      </c>
      <c r="D24" s="12">
        <v>-0.1040490099724129</v>
      </c>
      <c r="E24" s="12">
        <v>0.28451199999999999</v>
      </c>
      <c r="F24" s="12">
        <v>0.20154571887164621</v>
      </c>
      <c r="G24" s="12">
        <v>2.2622388562617651E-2</v>
      </c>
      <c r="H24" s="12">
        <v>3.5856000000000013E-2</v>
      </c>
      <c r="I24" s="12">
        <v>2.111933203143501E-3</v>
      </c>
      <c r="J24" s="12">
        <v>-0.11546099999999999</v>
      </c>
      <c r="K24" s="12">
        <v>5.0444335993488708E-2</v>
      </c>
      <c r="L24" s="12">
        <v>0.33375944447564659</v>
      </c>
      <c r="M24" s="12">
        <v>0.46302754420013847</v>
      </c>
      <c r="N24" s="12">
        <v>-0.1051917107958454</v>
      </c>
      <c r="O24" s="12">
        <v>3.6648790739543732E-2</v>
      </c>
      <c r="P24" s="12">
        <v>7.7736485854057236E-2</v>
      </c>
      <c r="Q24" s="12">
        <v>9.0144948798662944E-2</v>
      </c>
      <c r="R24" s="12">
        <v>-0.1083654949121912</v>
      </c>
      <c r="S24" s="12">
        <v>0.35251446106016437</v>
      </c>
      <c r="T24" s="12">
        <v>-0.27048671467401741</v>
      </c>
      <c r="U24" s="12">
        <v>0.28585300000000002</v>
      </c>
      <c r="V24" s="12">
        <v>0.11654031671685081</v>
      </c>
      <c r="W24" s="12">
        <v>0.49571198595594262</v>
      </c>
      <c r="X24" s="12">
        <v>0.1180224325060039</v>
      </c>
      <c r="Y24" s="12">
        <v>-2.9398839580432611E-2</v>
      </c>
      <c r="Z24" s="12">
        <v>-0.15040992568878969</v>
      </c>
      <c r="AA24" s="12">
        <v>-1.354776823757727E-2</v>
      </c>
      <c r="AB24" s="12">
        <v>-0.30039379355698248</v>
      </c>
      <c r="AC24" s="12">
        <v>-0.4017473338469546</v>
      </c>
      <c r="AD24" s="12">
        <v>-7.8218388926296623E-3</v>
      </c>
      <c r="AE24" s="12">
        <v>0.17527100000000001</v>
      </c>
      <c r="AF24" s="12">
        <v>2.2522010034790499E-2</v>
      </c>
      <c r="AG24" s="12">
        <v>-0.38005539258279603</v>
      </c>
      <c r="AH24" s="12">
        <v>0.30212275660657528</v>
      </c>
      <c r="AI24" s="12">
        <v>-0.15191167478339729</v>
      </c>
      <c r="AJ24" s="12">
        <v>8.089124399937539E-2</v>
      </c>
      <c r="AK24" s="12">
        <v>0.11317916377562411</v>
      </c>
      <c r="AL24" s="12">
        <v>-5.4676935490635382E-2</v>
      </c>
      <c r="AM24" s="12">
        <v>1.4966545334123929E-2</v>
      </c>
      <c r="AN24" s="12">
        <v>0.1106607719355505</v>
      </c>
      <c r="AO24" s="12">
        <v>6.6090111828990022E-2</v>
      </c>
      <c r="AP24" s="12">
        <v>0.16448499999999999</v>
      </c>
      <c r="AQ24" s="12">
        <v>0.21712400000000001</v>
      </c>
      <c r="AR24" s="12">
        <v>2.0350844492814421E-2</v>
      </c>
      <c r="AS24" s="12">
        <v>-0.23783199999999999</v>
      </c>
      <c r="AT24" s="12">
        <v>3.045920748470865E-2</v>
      </c>
      <c r="AU24" s="12">
        <v>4.4095319865224331E-2</v>
      </c>
      <c r="AV24" s="12">
        <v>-8.7151952186895892E-2</v>
      </c>
      <c r="AW24" s="12">
        <v>4.9875415110391882E-3</v>
      </c>
      <c r="AX24" s="12">
        <v>2.8306186588424521E-2</v>
      </c>
      <c r="AY24" s="12">
        <v>0.16812729388488939</v>
      </c>
      <c r="AZ24" s="12">
        <v>3.7867073599665187E-2</v>
      </c>
      <c r="BA24" s="12">
        <v>-5.3794732084633153E-2</v>
      </c>
      <c r="BB24" s="12">
        <v>0.69077599999999995</v>
      </c>
      <c r="BC24" s="12">
        <v>-0.8032160130443774</v>
      </c>
      <c r="BD24" s="12">
        <v>1.864E-2</v>
      </c>
      <c r="BE24" s="12">
        <v>-4.606435403168687E-2</v>
      </c>
      <c r="BF24" s="12">
        <v>-0.10023600000000001</v>
      </c>
      <c r="BG24" s="12">
        <v>2.6835965866310919E-2</v>
      </c>
      <c r="BH24" s="12">
        <v>-0.38625533691353497</v>
      </c>
      <c r="BI24" s="12">
        <v>0.2236291060700471</v>
      </c>
      <c r="BJ24" s="12">
        <v>3.3483157548845829E-3</v>
      </c>
      <c r="BK24" s="12">
        <v>4.0235468942862278E-3</v>
      </c>
      <c r="BL24" s="12">
        <v>-3.0898999999999999E-2</v>
      </c>
      <c r="BM24" s="12">
        <v>-0.376913</v>
      </c>
      <c r="BN24" s="12">
        <v>1.989015847921969E-2</v>
      </c>
      <c r="BO24" s="12">
        <v>-5.62E-3</v>
      </c>
      <c r="BP24" s="12">
        <v>0.1233511811293219</v>
      </c>
      <c r="BQ24" s="12">
        <v>-6.4169633330115036E-2</v>
      </c>
      <c r="BR24" s="12">
        <v>9.8920889185241626E-2</v>
      </c>
      <c r="BS24" s="12">
        <v>-1.284717484456964E-3</v>
      </c>
      <c r="BT24" s="12">
        <v>-0.27671800000000002</v>
      </c>
      <c r="BU24" s="12">
        <v>-8.7489999999999981E-3</v>
      </c>
      <c r="BV24" s="12">
        <v>-0.20330699999999999</v>
      </c>
      <c r="BW24" s="12">
        <v>1.1090150000000001</v>
      </c>
      <c r="BX24" s="12">
        <v>5.8043369649915091E-2</v>
      </c>
      <c r="BY24" s="12">
        <v>-0.10974566916741731</v>
      </c>
      <c r="BZ24" s="12">
        <v>0.81395799999999996</v>
      </c>
      <c r="CA24" s="12">
        <v>-0.1152216807734147</v>
      </c>
      <c r="CB24" s="12">
        <v>-0.20876197428786911</v>
      </c>
      <c r="CC24" s="12">
        <v>-0.18246999999999999</v>
      </c>
      <c r="CD24" s="12">
        <v>2.9954000000000001E-2</v>
      </c>
      <c r="CE24" s="12">
        <v>0.16556499999999999</v>
      </c>
      <c r="CF24" s="12">
        <v>-0.16513</v>
      </c>
      <c r="CG24" s="12">
        <v>0.23727699999999999</v>
      </c>
      <c r="CH24" s="12">
        <v>0.14564299999999999</v>
      </c>
      <c r="CI24" s="12">
        <v>-5.8507999999999998E-2</v>
      </c>
      <c r="CJ24" s="12">
        <v>-1.310948541941956E-2</v>
      </c>
      <c r="CK24" s="12">
        <v>9.3530079315696568E-2</v>
      </c>
      <c r="CL24" s="12">
        <v>0.1417553333725407</v>
      </c>
      <c r="CM24" s="12">
        <v>-0.63644000000000001</v>
      </c>
      <c r="CN24" s="12">
        <v>0.1077387664572132</v>
      </c>
      <c r="CO24" s="12">
        <v>-0.57240960973467503</v>
      </c>
      <c r="CP24" s="12">
        <v>0.1603442048148421</v>
      </c>
      <c r="CQ24" s="12">
        <v>0.1146871738632968</v>
      </c>
      <c r="CR24" s="12">
        <v>-9.6813999999999997E-2</v>
      </c>
      <c r="CS24" s="12">
        <v>8.5895232746805786E-2</v>
      </c>
      <c r="CT24" s="12">
        <v>0.1828965872921165</v>
      </c>
      <c r="CU24" s="12">
        <v>7.2751347656710041E-2</v>
      </c>
      <c r="CV24" s="12">
        <v>0.182864094907223</v>
      </c>
      <c r="CW24" s="12">
        <v>-0.234993215272846</v>
      </c>
      <c r="CX24" s="12">
        <v>-5.5207193708687041E-2</v>
      </c>
      <c r="CY24" s="12">
        <v>8.0066904636818925E-2</v>
      </c>
      <c r="CZ24" s="12">
        <v>-0.11220662844456721</v>
      </c>
      <c r="DA24" s="12">
        <v>-2.451120416275485E-2</v>
      </c>
      <c r="DB24" s="12">
        <v>0.94810958937996914</v>
      </c>
      <c r="DC24" s="12">
        <v>-0.28272977872851818</v>
      </c>
      <c r="DD24" s="12">
        <v>0.19584472218244131</v>
      </c>
      <c r="DE24" s="12">
        <v>-0.30663899999999999</v>
      </c>
      <c r="DF24" s="12">
        <v>-0.52558799999999994</v>
      </c>
      <c r="DG24" s="12">
        <v>0.24858898273322999</v>
      </c>
      <c r="DH24" s="12">
        <v>-0.1028328439815145</v>
      </c>
      <c r="DI24" s="12">
        <v>-0.42309879972833903</v>
      </c>
      <c r="DJ24" s="12">
        <v>-2.1080000000000002E-2</v>
      </c>
      <c r="DK24" s="12">
        <v>0.11967899999999999</v>
      </c>
      <c r="DL24" s="12">
        <v>3.1748999999999999E-2</v>
      </c>
      <c r="DM24" s="12">
        <v>-4.0999999999999723E-4</v>
      </c>
      <c r="DN24" s="12">
        <v>-0.51684793899753223</v>
      </c>
      <c r="DO24" s="12">
        <v>-0.18544080263268789</v>
      </c>
      <c r="DP24" s="12">
        <v>0.22357182348369681</v>
      </c>
      <c r="DQ24" s="12">
        <v>5.0486000000000003E-2</v>
      </c>
      <c r="DR24" s="12">
        <v>-2.0515630212029241E-2</v>
      </c>
      <c r="DS24" s="12">
        <v>-6.7365999999999995E-2</v>
      </c>
      <c r="DT24" s="12">
        <v>-7.4732999999999994E-2</v>
      </c>
      <c r="DU24" s="12">
        <v>-2.178200000000001E-2</v>
      </c>
      <c r="DV24" s="12">
        <v>-0.1582246986438143</v>
      </c>
      <c r="DW24" s="12">
        <v>-0.101183</v>
      </c>
      <c r="DX24" s="12">
        <v>0.31159312779250392</v>
      </c>
      <c r="DY24" s="12">
        <v>-0.34380428679820851</v>
      </c>
      <c r="DZ24" s="12">
        <v>5.0469182403116652E-2</v>
      </c>
      <c r="EA24" s="12">
        <v>-7.7350922227335792E-2</v>
      </c>
      <c r="EB24" s="12">
        <v>2.9582176365294029E-2</v>
      </c>
      <c r="EC24" s="12">
        <v>-0.25665137996352638</v>
      </c>
      <c r="ED24" s="12">
        <v>5.6172845298362112E-2</v>
      </c>
      <c r="EE24" s="12">
        <v>0.10748199999999999</v>
      </c>
      <c r="EF24" s="12">
        <v>-6.7276677043968364E-2</v>
      </c>
      <c r="EG24" s="10">
        <f t="shared" si="6"/>
        <v>7.5939401014277512E-3</v>
      </c>
      <c r="EH24">
        <f t="shared" si="7"/>
        <v>0.25943752958333238</v>
      </c>
      <c r="EI24" s="10">
        <f t="shared" si="8"/>
        <v>2.9270784815226769E-2</v>
      </c>
    </row>
    <row r="26" spans="1:139">
      <c r="A26" t="s">
        <v>144</v>
      </c>
      <c r="B26" t="s">
        <v>145</v>
      </c>
      <c r="C26" s="7">
        <v>-1.7446770539390338E-2</v>
      </c>
      <c r="D26" s="7">
        <v>2.070106053181563E-2</v>
      </c>
      <c r="E26" s="7">
        <v>2.3982129254766709E-2</v>
      </c>
      <c r="F26" s="7">
        <v>-6.557578972823077E-3</v>
      </c>
      <c r="G26" s="7">
        <v>3.1845129800519692E-2</v>
      </c>
      <c r="H26" s="7">
        <v>3.4348532736990518E-2</v>
      </c>
      <c r="I26" s="7">
        <v>-8.2549327813252367E-3</v>
      </c>
      <c r="J26" s="7">
        <v>1.2843524394052759E-2</v>
      </c>
      <c r="K26" s="7">
        <v>-5.1018524626790823E-2</v>
      </c>
      <c r="L26" s="7">
        <v>8.7394274103658827E-4</v>
      </c>
      <c r="M26" s="7">
        <v>2.3389575505495919E-2</v>
      </c>
      <c r="N26" s="7">
        <v>1.2988972200332851E-2</v>
      </c>
      <c r="O26" s="7">
        <v>5.8545887256348812E-3</v>
      </c>
      <c r="P26" s="7">
        <v>2.7413206571790558E-2</v>
      </c>
      <c r="Q26" s="7">
        <v>-3.7129361176928542E-3</v>
      </c>
      <c r="R26" s="7">
        <v>2.4076614047823328E-2</v>
      </c>
      <c r="S26" s="7">
        <v>-1.219002529903996E-2</v>
      </c>
      <c r="T26" s="7">
        <v>-3.9749578159589592E-2</v>
      </c>
      <c r="U26" s="7">
        <v>-7.3155449831649552E-2</v>
      </c>
      <c r="V26" s="7">
        <v>-5.8260229910114661E-2</v>
      </c>
      <c r="W26" s="7">
        <v>7.7279756550837221E-4</v>
      </c>
      <c r="X26" s="7">
        <v>4.459152113521897E-2</v>
      </c>
      <c r="Y26" s="7">
        <v>-2.7699680050213091E-2</v>
      </c>
      <c r="Z26" s="7">
        <v>2.0950059497436462E-3</v>
      </c>
      <c r="AA26" s="7">
        <v>-2.340055099256411E-2</v>
      </c>
      <c r="AB26" s="7">
        <v>3.2129371097322189E-2</v>
      </c>
      <c r="AC26" s="7">
        <v>3.890327309406643E-2</v>
      </c>
      <c r="AD26" s="7">
        <v>-4.286538217110427E-2</v>
      </c>
      <c r="AE26" s="7">
        <v>1.8647194550152159E-2</v>
      </c>
      <c r="AF26" s="7">
        <v>1.5229768322528949E-2</v>
      </c>
      <c r="AG26" s="7">
        <v>3.6016603778892417E-2</v>
      </c>
      <c r="AH26" s="7">
        <v>9.3546113853161701E-3</v>
      </c>
      <c r="AI26" s="7">
        <v>1.0748251336838139E-2</v>
      </c>
      <c r="AJ26" s="7">
        <v>1.335775405308097E-2</v>
      </c>
      <c r="AK26" s="7">
        <v>-5.3327473290953921E-3</v>
      </c>
      <c r="AL26" s="7">
        <v>1.383135807261675E-3</v>
      </c>
      <c r="AM26" s="7">
        <v>2.079592842007446E-2</v>
      </c>
      <c r="AN26" s="7">
        <v>3.1517702220390638E-2</v>
      </c>
      <c r="AO26" s="7">
        <v>6.2417165333294418E-3</v>
      </c>
      <c r="AP26" s="7">
        <v>6.1452616535713897E-3</v>
      </c>
      <c r="AQ26" s="7">
        <v>1.694635767669651E-2</v>
      </c>
      <c r="AR26" s="7">
        <v>3.4682830454308228E-2</v>
      </c>
      <c r="AS26" s="7">
        <v>3.0985886171969678E-3</v>
      </c>
      <c r="AT26" s="7">
        <v>1.508134714348611E-2</v>
      </c>
      <c r="AU26" s="7">
        <v>-1.9251209229863991E-2</v>
      </c>
      <c r="AV26" s="7">
        <v>3.8711513387631437E-2</v>
      </c>
      <c r="AW26" s="7">
        <v>-2.1856951135736599E-2</v>
      </c>
      <c r="AX26" s="7">
        <v>7.7743007097896798E-3</v>
      </c>
      <c r="AY26" s="7">
        <v>4.2397246695325942E-2</v>
      </c>
      <c r="AZ26" s="7">
        <v>-2.630897486115975E-2</v>
      </c>
      <c r="BA26" s="7">
        <v>9.5717493087162323E-3</v>
      </c>
      <c r="BB26" s="7">
        <v>-2.424974126627483E-2</v>
      </c>
      <c r="BC26" s="7">
        <v>2.0163374143915822E-2</v>
      </c>
      <c r="BD26" s="7">
        <v>-3.5049987821160239E-3</v>
      </c>
      <c r="BE26" s="7">
        <v>2.0151935098542271E-2</v>
      </c>
      <c r="BF26" s="7">
        <v>5.8133623077027128E-4</v>
      </c>
      <c r="BG26" s="7">
        <v>-5.2197009532526043E-3</v>
      </c>
      <c r="BH26" s="7">
        <v>-0.11587176140213</v>
      </c>
      <c r="BI26" s="7">
        <v>8.7252256924373536E-3</v>
      </c>
      <c r="BJ26" s="7">
        <v>-1.6377260977822151E-2</v>
      </c>
      <c r="BK26" s="7">
        <v>2.0840371600260421E-2</v>
      </c>
      <c r="BL26" s="7">
        <v>4.4975872102114713E-2</v>
      </c>
      <c r="BM26" s="7">
        <v>2.3954306081863871E-2</v>
      </c>
      <c r="BN26" s="7">
        <v>3.0239101391442601E-2</v>
      </c>
      <c r="BO26" s="7">
        <v>-4.372588759108751E-2</v>
      </c>
      <c r="BP26" s="7">
        <v>2.1889469568198618E-2</v>
      </c>
      <c r="BQ26" s="7">
        <v>8.6274302635084028E-3</v>
      </c>
      <c r="BR26" s="7">
        <v>-1.9192953994658781E-2</v>
      </c>
      <c r="BS26" s="7">
        <v>1.973512988813305E-2</v>
      </c>
      <c r="BT26" s="7">
        <v>4.7694337483699438E-2</v>
      </c>
      <c r="BU26" s="7">
        <v>1.145481680658339E-2</v>
      </c>
      <c r="BV26" s="7">
        <v>4.3228620735213191E-2</v>
      </c>
      <c r="BW26" s="7">
        <v>-4.2747430436922793E-2</v>
      </c>
      <c r="BX26" s="7">
        <v>-1.781129242779457E-2</v>
      </c>
      <c r="BY26" s="7">
        <v>-0.1511530968690756</v>
      </c>
      <c r="BZ26" s="7">
        <v>0.12422400361957529</v>
      </c>
      <c r="CA26" s="7">
        <v>-4.5572538445296431E-3</v>
      </c>
      <c r="CB26" s="7">
        <v>6.0211240204911178E-2</v>
      </c>
      <c r="CC26" s="7">
        <v>8.5992033482502284E-2</v>
      </c>
      <c r="CD26" s="7">
        <v>-5.8084795823660634E-3</v>
      </c>
      <c r="CE26" s="7">
        <v>-6.0413469889680736E-3</v>
      </c>
      <c r="CF26" s="7">
        <v>2.4523243722520739E-3</v>
      </c>
      <c r="CG26" s="7">
        <v>8.963625193702289E-2</v>
      </c>
      <c r="CH26" s="7">
        <v>7.099273252675789E-2</v>
      </c>
      <c r="CI26" s="7">
        <v>2.7170642901783448E-2</v>
      </c>
      <c r="CJ26" s="7">
        <v>5.2468428425330033E-2</v>
      </c>
      <c r="CK26" s="7">
        <v>2.9480660943049509E-2</v>
      </c>
      <c r="CL26" s="7">
        <v>6.6825081060201283E-2</v>
      </c>
      <c r="CM26" s="7">
        <v>-2.8772229019816971E-2</v>
      </c>
      <c r="CN26" s="7">
        <v>3.9462515901637851E-2</v>
      </c>
      <c r="CO26" s="7">
        <v>-2.9031086977359909E-2</v>
      </c>
      <c r="CP26" s="7">
        <v>1.3983882519467901E-2</v>
      </c>
      <c r="CQ26" s="7">
        <v>-3.2276964959333833E-2</v>
      </c>
      <c r="CR26" s="7">
        <v>3.1035766128940231E-3</v>
      </c>
      <c r="CS26" s="7">
        <v>2.5591855767083171E-2</v>
      </c>
      <c r="CT26" s="7">
        <v>4.4391886287193302E-2</v>
      </c>
      <c r="CU26" s="7">
        <v>-3.0338958549577438E-2</v>
      </c>
      <c r="CV26" s="7">
        <v>-1.2579764545717069E-3</v>
      </c>
      <c r="CW26" s="7">
        <v>2.336356455857952E-3</v>
      </c>
      <c r="CX26" s="7">
        <v>-6.4264144925906069E-2</v>
      </c>
      <c r="CY26" s="7">
        <v>1.2909779458992439E-2</v>
      </c>
      <c r="CZ26" s="7">
        <v>-0.12547709467085871</v>
      </c>
      <c r="DA26" s="7">
        <v>1.1690682939792569E-2</v>
      </c>
      <c r="DB26" s="7">
        <v>6.3378437007417512E-3</v>
      </c>
      <c r="DC26" s="7">
        <v>-0.1173053564693855</v>
      </c>
      <c r="DD26" s="7">
        <v>-3.6010872049446613E-2</v>
      </c>
      <c r="DE26" s="7">
        <v>0.1389113040722679</v>
      </c>
      <c r="DF26" s="7">
        <v>-5.1143506226105737E-2</v>
      </c>
      <c r="DG26" s="7">
        <v>7.6731447181969059E-2</v>
      </c>
      <c r="DH26" s="7">
        <v>1.550878219700816E-2</v>
      </c>
      <c r="DI26" s="7">
        <v>2.3223773674755831E-2</v>
      </c>
      <c r="DJ26" s="7">
        <v>-1.8372876361227891E-2</v>
      </c>
      <c r="DK26" s="7">
        <v>6.2199014085099431E-2</v>
      </c>
      <c r="DL26" s="7">
        <v>2.0098304486957191E-2</v>
      </c>
      <c r="DM26" s="7">
        <v>1.349893974806809E-2</v>
      </c>
      <c r="DN26" s="7">
        <v>-3.025221272842088E-2</v>
      </c>
      <c r="DO26" s="7">
        <v>-1.7022835708053841E-2</v>
      </c>
      <c r="DP26" s="7">
        <v>-2.1788523272461981E-2</v>
      </c>
      <c r="DQ26" s="7">
        <v>8.5745624585137223E-2</v>
      </c>
      <c r="DR26" s="7">
        <v>2.8106743604973752E-2</v>
      </c>
      <c r="DS26" s="7">
        <v>-2.3031598073594501E-3</v>
      </c>
      <c r="DT26" s="7">
        <v>5.8471198131487503E-2</v>
      </c>
      <c r="DU26" s="7">
        <v>6.7658949048647651E-2</v>
      </c>
      <c r="DV26" s="7">
        <v>5.0207706404322644E-3</v>
      </c>
      <c r="DW26" s="7">
        <v>3.7416183675207063E-2</v>
      </c>
      <c r="DX26" s="7">
        <v>8.4111003746042121E-2</v>
      </c>
      <c r="DY26" s="7">
        <v>-3.6832398544012837E-2</v>
      </c>
      <c r="DZ26" s="7">
        <v>3.0917028169369942E-3</v>
      </c>
      <c r="EA26" s="7">
        <v>-1.957628214294549E-3</v>
      </c>
      <c r="EB26" s="7">
        <v>2.6459103603519739E-2</v>
      </c>
      <c r="EC26" s="7">
        <v>-2.4752538760690269E-2</v>
      </c>
      <c r="ED26" s="7">
        <v>3.4115490982559941E-2</v>
      </c>
      <c r="EE26" s="7">
        <v>2.1061973989032982E-2</v>
      </c>
      <c r="EF26" s="7">
        <v>-2.0277392706005919E-2</v>
      </c>
      <c r="EG26" s="7">
        <f>AVERAGE(C26:EF26)</f>
        <v>7.3485376145559517E-3</v>
      </c>
      <c r="EH26" s="7">
        <f>STDEV(C26:EF26)</f>
        <v>4.2276369775976368E-2</v>
      </c>
      <c r="EI26" s="7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DH1" zoomScale="163" zoomScaleNormal="90" workbookViewId="0">
      <selection activeCell="DI10" sqref="DI10"/>
    </sheetView>
  </sheetViews>
  <sheetFormatPr baseColWidth="10" defaultColWidth="8.83203125" defaultRowHeight="15"/>
  <sheetData>
    <row r="1" spans="1:138" s="1" customFormat="1">
      <c r="A1" s="2" t="s">
        <v>208</v>
      </c>
    </row>
    <row r="2" spans="1:138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8" s="1" customFormat="1">
      <c r="B3" s="2" t="s">
        <v>136</v>
      </c>
      <c r="C3" s="12">
        <v>1.7782902345061299E-2</v>
      </c>
      <c r="D3" s="12">
        <v>7.24458247423172E-2</v>
      </c>
      <c r="E3" s="12">
        <v>-1.229359768331051E-2</v>
      </c>
      <c r="F3" s="12">
        <v>1.6895091161131859E-2</v>
      </c>
      <c r="G3" s="12">
        <v>1.759104989469051E-2</v>
      </c>
      <c r="H3" s="12">
        <v>-2.2279582917690281E-2</v>
      </c>
      <c r="I3" s="12">
        <v>-3.8912922143936157E-2</v>
      </c>
      <c r="J3" s="12">
        <v>-2.6365116238594059E-2</v>
      </c>
      <c r="K3" s="12">
        <v>-2.014501765370369E-2</v>
      </c>
      <c r="L3" s="12">
        <v>-1.624567806720734E-2</v>
      </c>
      <c r="M3" s="12">
        <v>-8.2549653947353363E-2</v>
      </c>
      <c r="N3" s="12">
        <v>-1.7867140471935269E-2</v>
      </c>
      <c r="O3" s="12">
        <v>7.6627731323242188E-2</v>
      </c>
      <c r="P3" s="12">
        <v>-3.9154563099145889E-2</v>
      </c>
      <c r="Q3" s="12">
        <v>-4.1649270802736282E-2</v>
      </c>
      <c r="R3" s="12">
        <v>-2.7908530086278919E-2</v>
      </c>
      <c r="S3" s="12">
        <v>-8.0156058073043823E-2</v>
      </c>
      <c r="T3" s="12">
        <v>-3.3881399780511863E-2</v>
      </c>
      <c r="U3" s="12">
        <v>-3.6820832639932632E-2</v>
      </c>
      <c r="V3" s="12">
        <v>-1.9809873774647709E-2</v>
      </c>
      <c r="W3" s="12">
        <v>9.6304804086685181E-2</v>
      </c>
      <c r="X3" s="12">
        <v>0.16748018562793729</v>
      </c>
      <c r="Y3" s="12">
        <v>-1.015750598162413E-2</v>
      </c>
      <c r="Z3" s="12">
        <v>2.5555314496159549E-3</v>
      </c>
      <c r="AA3" s="12">
        <v>-7.8297220170497894E-2</v>
      </c>
      <c r="AB3" s="12">
        <v>-4.162265732884407E-2</v>
      </c>
      <c r="AC3" s="12">
        <v>-1.579752191901207E-2</v>
      </c>
      <c r="AD3" s="12">
        <v>-3.0706796795129779E-2</v>
      </c>
      <c r="AE3" s="12">
        <v>7.2333263233304024E-4</v>
      </c>
      <c r="AF3" s="12">
        <v>6.8843632936477661E-2</v>
      </c>
      <c r="AG3" s="12">
        <v>-5.1157008856534958E-3</v>
      </c>
      <c r="AH3" s="12">
        <v>-1.048196759074926E-2</v>
      </c>
      <c r="AI3" s="12">
        <v>-4.066355898976326E-2</v>
      </c>
      <c r="AJ3" s="12">
        <v>-5.5654104799032211E-2</v>
      </c>
      <c r="AK3" s="12">
        <v>-3.4865595400333398E-2</v>
      </c>
      <c r="AL3" s="12">
        <v>0.14250144362449649</v>
      </c>
      <c r="AM3" s="12">
        <v>4.2415492236614227E-2</v>
      </c>
      <c r="AN3" s="12">
        <v>1.8945284187793732E-2</v>
      </c>
      <c r="AO3" s="12">
        <v>3.6709178239107132E-2</v>
      </c>
      <c r="AP3" s="12">
        <v>-1.1438022367656229E-2</v>
      </c>
      <c r="AQ3" s="12">
        <v>-8.599540451541543E-4</v>
      </c>
      <c r="AR3" s="12">
        <v>8.9694326743483543E-3</v>
      </c>
      <c r="AS3" s="12">
        <v>-2.16217041015625E-2</v>
      </c>
      <c r="AT3" s="12">
        <v>5.6848321110010147E-2</v>
      </c>
      <c r="AU3" s="12">
        <v>3.9384294301271439E-2</v>
      </c>
      <c r="AV3" s="12">
        <v>0.14884805679321289</v>
      </c>
      <c r="AW3" s="12">
        <v>5.9238158166408539E-2</v>
      </c>
      <c r="AX3" s="12">
        <v>8.3451211452484131E-2</v>
      </c>
      <c r="AY3" s="12">
        <v>6.8846635520458221E-2</v>
      </c>
      <c r="AZ3" s="12">
        <v>0.15779311954975131</v>
      </c>
      <c r="BA3" s="12">
        <v>7.3232002556324005E-2</v>
      </c>
      <c r="BB3" s="12">
        <v>1.6600910574197769E-2</v>
      </c>
      <c r="BC3" s="12">
        <v>5.6218259036540992E-2</v>
      </c>
      <c r="BD3" s="12">
        <v>2.0839734002947811E-2</v>
      </c>
      <c r="BE3" s="12">
        <v>8.9553870260715485E-2</v>
      </c>
      <c r="BF3" s="12">
        <v>4.3456017971038818E-2</v>
      </c>
      <c r="BG3" s="12">
        <v>7.1616403758525848E-2</v>
      </c>
      <c r="BH3" s="12">
        <v>7.97300785779953E-2</v>
      </c>
      <c r="BI3" s="12">
        <v>8.7966516613960266E-2</v>
      </c>
      <c r="BJ3" s="12">
        <v>0.1081216707825661</v>
      </c>
      <c r="BK3" s="12">
        <v>0.1129734814167023</v>
      </c>
      <c r="BL3" s="12">
        <v>5.063258484005928E-2</v>
      </c>
      <c r="BM3" s="12">
        <v>7.7567048370838165E-2</v>
      </c>
      <c r="BN3" s="12">
        <v>4.4190812855958939E-2</v>
      </c>
      <c r="BO3" s="12">
        <v>2.8505465015769001E-2</v>
      </c>
      <c r="BP3" s="12">
        <v>0.10330298542976379</v>
      </c>
      <c r="BQ3" s="12">
        <v>7.12384432554245E-2</v>
      </c>
      <c r="BR3" s="12">
        <v>5.2489206194877618E-2</v>
      </c>
      <c r="BS3" s="12">
        <v>4.9339123070240021E-2</v>
      </c>
      <c r="BT3" s="12">
        <v>5.840107798576355E-2</v>
      </c>
      <c r="BU3" s="12">
        <v>2.5098161771893501E-2</v>
      </c>
      <c r="BV3" s="12">
        <v>2.3363580927252769E-2</v>
      </c>
      <c r="BW3" s="12">
        <v>5.6408349424600601E-2</v>
      </c>
      <c r="BX3" s="12">
        <v>3.3264696598052979E-2</v>
      </c>
      <c r="BY3" s="12">
        <v>-2.413135394454002E-2</v>
      </c>
      <c r="BZ3" s="12">
        <v>2.0291766151785851E-2</v>
      </c>
      <c r="CA3" s="12">
        <v>8.7816245853900909E-2</v>
      </c>
      <c r="CB3" s="12">
        <v>-4.3355219066143043E-2</v>
      </c>
      <c r="CC3" s="12">
        <v>6.0557723045349121E-3</v>
      </c>
      <c r="CD3" s="12">
        <v>-6.7888110876083374E-2</v>
      </c>
      <c r="CE3" s="12">
        <v>-4.0715392678976059E-3</v>
      </c>
      <c r="CF3" s="12">
        <v>-8.1548932939767838E-5</v>
      </c>
      <c r="CG3" s="12">
        <v>-3.5091366618871689E-2</v>
      </c>
      <c r="CH3" s="12">
        <v>-9.0038077905774117E-3</v>
      </c>
      <c r="CI3" s="12">
        <v>-2.54166703671217E-2</v>
      </c>
      <c r="CJ3" s="12">
        <v>-0.1101485714316368</v>
      </c>
      <c r="CK3" s="12">
        <v>4.6726226806640618E-2</v>
      </c>
      <c r="CL3" s="12">
        <v>5.5295374244451523E-2</v>
      </c>
      <c r="CM3" s="12">
        <v>-4.3500862084329128E-3</v>
      </c>
      <c r="CN3" s="12">
        <v>-5.8284953236579902E-2</v>
      </c>
      <c r="CO3" s="12">
        <v>-3.2531678676605218E-2</v>
      </c>
      <c r="CP3" s="12">
        <v>3.5830866545438773E-2</v>
      </c>
      <c r="CQ3" s="12">
        <v>2.45636235922575E-2</v>
      </c>
      <c r="CR3" s="12">
        <v>1.170414220541716E-2</v>
      </c>
      <c r="CS3" s="12">
        <v>-0.1024853959679604</v>
      </c>
      <c r="CT3" s="12">
        <v>1.293086330406368E-3</v>
      </c>
      <c r="CU3" s="12">
        <v>-0.1111449897289276</v>
      </c>
      <c r="CV3" s="12">
        <v>-3.1775698065757751E-2</v>
      </c>
      <c r="CW3" s="12">
        <v>-3.6522049456834793E-2</v>
      </c>
      <c r="CX3" s="12">
        <v>-8.237186074256897E-2</v>
      </c>
      <c r="CY3" s="12">
        <v>-4.1168216615915298E-2</v>
      </c>
      <c r="CZ3" s="12">
        <v>-7.4366219341754913E-2</v>
      </c>
      <c r="DA3" s="12">
        <v>-4.7027502208948142E-2</v>
      </c>
      <c r="DB3" s="12">
        <v>7.3655758751556277E-4</v>
      </c>
      <c r="DC3" s="12">
        <v>1.1260370723903179E-2</v>
      </c>
      <c r="DD3" s="12">
        <v>1.315145520493388E-3</v>
      </c>
      <c r="DE3" s="12">
        <v>-1.406966615468264E-2</v>
      </c>
      <c r="DF3" s="12">
        <v>1.287776418030262E-2</v>
      </c>
      <c r="DG3" s="12">
        <v>-8.777957409620285E-3</v>
      </c>
      <c r="DH3" s="12">
        <v>-1.8724145367741581E-2</v>
      </c>
      <c r="DI3" s="12">
        <v>1.5026724431663749E-3</v>
      </c>
      <c r="DJ3" s="12">
        <v>5.74493408203125E-3</v>
      </c>
      <c r="DK3" s="12">
        <v>-3.1418703496456153E-2</v>
      </c>
      <c r="DL3" s="12">
        <v>1.568500883877277E-2</v>
      </c>
      <c r="DM3" s="12">
        <v>-1.7450746148824688E-2</v>
      </c>
      <c r="DN3" s="12">
        <v>2.129724808037281E-2</v>
      </c>
      <c r="DO3" s="12">
        <v>-4.1845731437206268E-2</v>
      </c>
      <c r="DP3" s="12">
        <v>-1.9574053585529332E-3</v>
      </c>
      <c r="DQ3" s="12">
        <v>3.9197877049446106E-3</v>
      </c>
      <c r="DR3" s="12">
        <v>7.5242564082145691E-2</v>
      </c>
      <c r="DS3" s="12">
        <v>4.159560427069664E-2</v>
      </c>
      <c r="DT3" s="12">
        <v>-1.3514737598598E-2</v>
      </c>
      <c r="DU3" s="12">
        <v>1.3495544902980329E-2</v>
      </c>
      <c r="DV3" s="12">
        <v>-3.9159540086984627E-2</v>
      </c>
      <c r="DW3" s="12">
        <v>-2.1635228767991069E-2</v>
      </c>
      <c r="DX3" s="12">
        <v>-2.5841465219855309E-2</v>
      </c>
      <c r="DY3" s="12">
        <v>-2.6736544445157051E-2</v>
      </c>
      <c r="DZ3" s="12">
        <v>-3.2960411161184311E-2</v>
      </c>
      <c r="EA3" s="12">
        <v>-4.8574574291706092E-2</v>
      </c>
      <c r="EB3" s="12">
        <v>-0.1051784828305244</v>
      </c>
      <c r="EC3" s="12">
        <v>-2.840211242437363E-2</v>
      </c>
      <c r="ED3" s="12">
        <v>-0.1028049290180206</v>
      </c>
      <c r="EE3" s="12">
        <v>-4.4087015092372887E-2</v>
      </c>
      <c r="EF3" s="12">
        <v>-3.865974023938179E-2</v>
      </c>
    </row>
    <row r="4" spans="1:138" s="1" customFormat="1">
      <c r="B4" s="2" t="s">
        <v>137</v>
      </c>
      <c r="C4" s="12">
        <v>-3.6521758884191513E-2</v>
      </c>
      <c r="D4" s="12">
        <v>-4.2547494173049927E-2</v>
      </c>
      <c r="E4" s="12">
        <v>-5.0075937062501907E-2</v>
      </c>
      <c r="F4" s="12">
        <v>-2.3984730243682861E-2</v>
      </c>
      <c r="G4" s="12">
        <v>5.823938176035881E-3</v>
      </c>
      <c r="H4" s="12">
        <v>-5.2601419389247887E-2</v>
      </c>
      <c r="I4" s="12">
        <v>1.76677480340004E-2</v>
      </c>
      <c r="J4" s="12">
        <v>-3.2669864594936371E-2</v>
      </c>
      <c r="K4" s="12">
        <v>-1.6252247150987391E-3</v>
      </c>
      <c r="L4" s="12">
        <v>-1.7513863742351529E-2</v>
      </c>
      <c r="M4" s="12">
        <v>1.9140448421239849E-2</v>
      </c>
      <c r="N4" s="12">
        <v>-5.8379219844937316E-3</v>
      </c>
      <c r="O4" s="12">
        <v>-7.4128787964582443E-3</v>
      </c>
      <c r="P4" s="12">
        <v>1.252019684761763E-2</v>
      </c>
      <c r="Q4" s="12">
        <v>-7.0506609976291656E-2</v>
      </c>
      <c r="R4" s="12">
        <v>-1.9896263256669041E-2</v>
      </c>
      <c r="S4" s="12">
        <v>-6.8290457129478455E-2</v>
      </c>
      <c r="T4" s="12">
        <v>-2.8186876326799389E-2</v>
      </c>
      <c r="U4" s="12">
        <v>-9.2675261199474335E-2</v>
      </c>
      <c r="V4" s="12">
        <v>-3.7623911630362268E-3</v>
      </c>
      <c r="W4" s="12">
        <v>-6.7103758454322815E-2</v>
      </c>
      <c r="X4" s="12">
        <v>-8.8999226689338684E-2</v>
      </c>
      <c r="Y4" s="12">
        <v>-5.2372239530086517E-2</v>
      </c>
      <c r="Z4" s="12">
        <v>-5.4307661950588233E-2</v>
      </c>
      <c r="AA4" s="12">
        <v>-5.4428402334451682E-2</v>
      </c>
      <c r="AB4" s="12">
        <v>-2.7171488851308819E-2</v>
      </c>
      <c r="AC4" s="12">
        <v>2.6723876595497131E-2</v>
      </c>
      <c r="AD4" s="12">
        <v>2.4525046348571781E-2</v>
      </c>
      <c r="AE4" s="12">
        <v>4.7622621059417718E-2</v>
      </c>
      <c r="AF4" s="12">
        <v>3.0552491545677189E-2</v>
      </c>
      <c r="AG4" s="12">
        <v>4.2735278606414788E-2</v>
      </c>
      <c r="AH4" s="12">
        <v>1.2865195982158181E-2</v>
      </c>
      <c r="AI4" s="12">
        <v>1.34605560451746E-2</v>
      </c>
      <c r="AJ4" s="12">
        <v>4.8744384199380868E-2</v>
      </c>
      <c r="AK4" s="12">
        <v>-9.5475828275084496E-3</v>
      </c>
      <c r="AL4" s="12">
        <v>-3.1309803016483779E-3</v>
      </c>
      <c r="AM4" s="12">
        <v>3.3569058869034052E-3</v>
      </c>
      <c r="AN4" s="12">
        <v>1.3093852438032631E-2</v>
      </c>
      <c r="AO4" s="12">
        <v>1.4211865141987801E-2</v>
      </c>
      <c r="AP4" s="12">
        <v>4.6501751989126212E-2</v>
      </c>
      <c r="AQ4" s="12">
        <v>4.9757853150367737E-2</v>
      </c>
      <c r="AR4" s="12">
        <v>4.9711927771568298E-2</v>
      </c>
      <c r="AS4" s="12">
        <v>3.4978423267602921E-2</v>
      </c>
      <c r="AT4" s="12">
        <v>-6.4586242660880089E-3</v>
      </c>
      <c r="AU4" s="12">
        <v>3.2456304877996438E-2</v>
      </c>
      <c r="AV4" s="12">
        <v>6.4564580097794533E-3</v>
      </c>
      <c r="AW4" s="12">
        <v>1.8101127352565529E-3</v>
      </c>
      <c r="AX4" s="12">
        <v>-7.6085492037236691E-3</v>
      </c>
      <c r="AY4" s="12">
        <v>-3.6388270556926727E-2</v>
      </c>
      <c r="AZ4" s="12">
        <v>2.9014702886343002E-4</v>
      </c>
      <c r="BA4" s="12">
        <v>-5.6847855448722839E-2</v>
      </c>
      <c r="BB4" s="12">
        <v>-2.2272480651736259E-2</v>
      </c>
      <c r="BC4" s="12">
        <v>-2.9052544385194778E-2</v>
      </c>
      <c r="BD4" s="12">
        <v>-8.3808884024620056E-2</v>
      </c>
      <c r="BE4" s="12">
        <v>-3.9183963090181351E-2</v>
      </c>
      <c r="BF4" s="12">
        <v>-7.6244287192821503E-2</v>
      </c>
      <c r="BG4" s="12">
        <v>-6.157601997256279E-2</v>
      </c>
      <c r="BH4" s="12">
        <v>-7.3015347123146057E-2</v>
      </c>
      <c r="BI4" s="12">
        <v>-2.5757784023880959E-2</v>
      </c>
      <c r="BJ4" s="12">
        <v>-3.5152539610862732E-2</v>
      </c>
      <c r="BK4" s="12">
        <v>-6.5942555665969849E-2</v>
      </c>
      <c r="BL4" s="12">
        <v>-5.3756937384605408E-2</v>
      </c>
      <c r="BM4" s="12">
        <v>-7.9431377351284027E-2</v>
      </c>
      <c r="BN4" s="12">
        <v>-4.1163329035043723E-2</v>
      </c>
      <c r="BO4" s="12">
        <v>-9.4712458550930023E-2</v>
      </c>
      <c r="BP4" s="12">
        <v>-4.3530568480491638E-2</v>
      </c>
      <c r="BQ4" s="12">
        <v>-2.8697127476334568E-2</v>
      </c>
      <c r="BR4" s="12">
        <v>-5.7418853044509888E-2</v>
      </c>
      <c r="BS4" s="12">
        <v>-1.9358741119503971E-2</v>
      </c>
      <c r="BT4" s="12">
        <v>-8.4144026041030884E-2</v>
      </c>
      <c r="BU4" s="12">
        <v>-9.0233713388442993E-2</v>
      </c>
      <c r="BV4" s="12">
        <v>-0.1029478386044502</v>
      </c>
      <c r="BW4" s="12">
        <v>-7.1088537573814392E-2</v>
      </c>
      <c r="BX4" s="12">
        <v>-3.5722147673368447E-2</v>
      </c>
      <c r="BY4" s="12">
        <v>5.9959013015031806E-3</v>
      </c>
      <c r="BZ4" s="12">
        <v>-5.1592431962490082E-2</v>
      </c>
      <c r="CA4" s="12">
        <v>-8.5648052394390106E-2</v>
      </c>
      <c r="CB4" s="12">
        <v>-3.4140449017286301E-2</v>
      </c>
      <c r="CC4" s="12">
        <v>-7.9050444066524506E-2</v>
      </c>
      <c r="CD4" s="12">
        <v>-0.1116790845990181</v>
      </c>
      <c r="CE4" s="12">
        <v>-8.4638349711894989E-2</v>
      </c>
      <c r="CF4" s="12">
        <v>-8.8114269077777863E-2</v>
      </c>
      <c r="CG4" s="12">
        <v>-9.862682968378067E-2</v>
      </c>
      <c r="CH4" s="12">
        <v>-7.5061611831188202E-2</v>
      </c>
      <c r="CI4" s="12">
        <v>-5.5998209863901138E-2</v>
      </c>
      <c r="CJ4" s="12">
        <v>-1.808877848088741E-2</v>
      </c>
      <c r="CK4" s="12">
        <v>-4.2210087180137627E-2</v>
      </c>
      <c r="CL4" s="12">
        <v>8.6977891623973846E-3</v>
      </c>
      <c r="CM4" s="12">
        <v>-2.1875450387597081E-2</v>
      </c>
      <c r="CN4" s="12">
        <v>-4.4229812920093543E-2</v>
      </c>
      <c r="CO4" s="12">
        <v>1.863288693130016E-2</v>
      </c>
      <c r="CP4" s="12">
        <v>-1.35243646800518E-2</v>
      </c>
      <c r="CQ4" s="12">
        <v>-1.276247948408127E-2</v>
      </c>
      <c r="CR4" s="12">
        <v>-4.5928843319416053E-2</v>
      </c>
      <c r="CS4" s="12">
        <v>-8.4556788206100464E-2</v>
      </c>
      <c r="CT4" s="12">
        <v>-2.845652773976326E-2</v>
      </c>
      <c r="CU4" s="12">
        <v>-3.161858394742012E-2</v>
      </c>
      <c r="CV4" s="12">
        <v>-2.4635819718241692E-2</v>
      </c>
      <c r="CW4" s="12">
        <v>4.8304800875484943E-3</v>
      </c>
      <c r="CX4" s="12">
        <v>3.0027653556317091E-3</v>
      </c>
      <c r="CY4" s="12">
        <v>-9.6548935398459435E-3</v>
      </c>
      <c r="CZ4" s="12">
        <v>2.7862859889864922E-2</v>
      </c>
      <c r="DA4" s="12">
        <v>-7.2389086708426484E-3</v>
      </c>
      <c r="DB4" s="12">
        <v>1.481384225189686E-2</v>
      </c>
      <c r="DC4" s="12">
        <v>1.8979338929057121E-2</v>
      </c>
      <c r="DD4" s="12">
        <v>-1.182493194937706E-2</v>
      </c>
      <c r="DE4" s="12">
        <v>-5.5287983268499367E-2</v>
      </c>
      <c r="DF4" s="12">
        <v>3.9528455585241318E-2</v>
      </c>
      <c r="DG4" s="12">
        <v>-3.136556595563889E-3</v>
      </c>
      <c r="DH4" s="12">
        <v>1.8514588009566069E-4</v>
      </c>
      <c r="DI4" s="12">
        <v>-1.5441306866705419E-2</v>
      </c>
      <c r="DJ4" s="12">
        <v>4.8156458884477622E-2</v>
      </c>
      <c r="DK4" s="12">
        <v>3.9779618382453918E-2</v>
      </c>
      <c r="DL4" s="12">
        <v>2.912280336022377E-2</v>
      </c>
      <c r="DM4" s="12">
        <v>5.5858355015516281E-2</v>
      </c>
      <c r="DN4" s="12">
        <v>2.2332454100251201E-2</v>
      </c>
      <c r="DO4" s="12">
        <v>9.3815820291638374E-3</v>
      </c>
      <c r="DP4" s="12">
        <v>-1.1177884414792061E-2</v>
      </c>
      <c r="DQ4" s="12">
        <v>3.2798897475004203E-2</v>
      </c>
      <c r="DR4" s="12">
        <v>3.2948967069387443E-2</v>
      </c>
      <c r="DS4" s="12">
        <v>-6.3791960477828979E-2</v>
      </c>
      <c r="DT4" s="12">
        <v>-2.437188662588596E-2</v>
      </c>
      <c r="DU4" s="12">
        <v>2.8318654745817181E-2</v>
      </c>
      <c r="DV4" s="12">
        <v>-1.027075573801994E-2</v>
      </c>
      <c r="DW4" s="12">
        <v>4.162212461233139E-2</v>
      </c>
      <c r="DX4" s="12">
        <v>1.6859399154782299E-2</v>
      </c>
      <c r="DY4" s="12">
        <v>-1.3820808380842211E-2</v>
      </c>
      <c r="DZ4" s="12">
        <v>2.5562329217791561E-2</v>
      </c>
      <c r="EA4" s="12">
        <v>3.5361301153898239E-2</v>
      </c>
      <c r="EB4" s="12">
        <v>2.7386909350752831E-2</v>
      </c>
      <c r="EC4" s="12">
        <v>4.2391747236251831E-2</v>
      </c>
      <c r="ED4" s="12">
        <v>7.1895502507686615E-2</v>
      </c>
      <c r="EE4" s="12">
        <v>5.7367391884326928E-2</v>
      </c>
      <c r="EF4" s="12">
        <v>2.790111489593983E-2</v>
      </c>
    </row>
    <row r="5" spans="1:138" s="1" customFormat="1">
      <c r="B5" s="2" t="s">
        <v>138</v>
      </c>
      <c r="C5" s="12">
        <v>1.4347599819302561E-2</v>
      </c>
      <c r="D5" s="12">
        <v>-9.652099572122097E-3</v>
      </c>
      <c r="E5" s="12">
        <v>-8.5699288174510002E-3</v>
      </c>
      <c r="F5" s="12">
        <v>3.9053350687026978E-2</v>
      </c>
      <c r="G5" s="12">
        <v>-3.5989873111248023E-2</v>
      </c>
      <c r="H5" s="12">
        <v>1.041566673666239E-2</v>
      </c>
      <c r="I5" s="12">
        <v>-2.0847762003540989E-2</v>
      </c>
      <c r="J5" s="12">
        <v>-1.209943555295467E-2</v>
      </c>
      <c r="K5" s="12">
        <v>2.9407145455479618E-2</v>
      </c>
      <c r="L5" s="12">
        <v>5.8111239224672318E-2</v>
      </c>
      <c r="M5" s="12">
        <v>7.5894221663475037E-2</v>
      </c>
      <c r="N5" s="12">
        <v>6.2360752373933792E-2</v>
      </c>
      <c r="O5" s="12">
        <v>9.9858760833740234E-2</v>
      </c>
      <c r="P5" s="12">
        <v>0.13152122497558591</v>
      </c>
      <c r="Q5" s="12">
        <v>7.957778126001358E-2</v>
      </c>
      <c r="R5" s="12">
        <v>4.847404733300209E-2</v>
      </c>
      <c r="S5" s="12">
        <v>2.7741687372326851E-2</v>
      </c>
      <c r="T5" s="12">
        <v>5.0201687961816788E-2</v>
      </c>
      <c r="U5" s="12">
        <v>6.4513184130191803E-2</v>
      </c>
      <c r="V5" s="12">
        <v>6.3523001968860626E-2</v>
      </c>
      <c r="W5" s="12">
        <v>9.5773497596383095E-3</v>
      </c>
      <c r="X5" s="12">
        <v>6.016424298286438E-2</v>
      </c>
      <c r="Y5" s="12">
        <v>9.0847745537757874E-2</v>
      </c>
      <c r="Z5" s="12">
        <v>0.1071524396538734</v>
      </c>
      <c r="AA5" s="12">
        <v>5.1187384873628623E-2</v>
      </c>
      <c r="AB5" s="12">
        <v>8.0967366695404053E-2</v>
      </c>
      <c r="AC5" s="12">
        <v>3.8304600864648819E-2</v>
      </c>
      <c r="AD5" s="12">
        <v>2.0053833723068241E-2</v>
      </c>
      <c r="AE5" s="12">
        <v>4.644785076379776E-2</v>
      </c>
      <c r="AF5" s="12">
        <v>6.0654930770397193E-2</v>
      </c>
      <c r="AG5" s="12">
        <v>6.7320100963115692E-2</v>
      </c>
      <c r="AH5" s="12">
        <v>1.78289357572794E-2</v>
      </c>
      <c r="AI5" s="12">
        <v>5.6440837681293488E-2</v>
      </c>
      <c r="AJ5" s="12">
        <v>4.2928591370582581E-2</v>
      </c>
      <c r="AK5" s="12">
        <v>7.9053483903408051E-2</v>
      </c>
      <c r="AL5" s="12">
        <v>1.9981823861598969E-2</v>
      </c>
      <c r="AM5" s="12">
        <v>4.9416512250900269E-2</v>
      </c>
      <c r="AN5" s="12">
        <v>4.2488358914852142E-2</v>
      </c>
      <c r="AO5" s="12">
        <v>5.0316029228270054E-3</v>
      </c>
      <c r="AP5" s="12">
        <v>2.6226455345749859E-2</v>
      </c>
      <c r="AQ5" s="12">
        <v>-1.0934568010270601E-2</v>
      </c>
      <c r="AR5" s="12">
        <v>-5.88986836373806E-2</v>
      </c>
      <c r="AS5" s="12">
        <v>1.9943690858781341E-5</v>
      </c>
      <c r="AT5" s="12">
        <v>3.1712550669908517E-2</v>
      </c>
      <c r="AU5" s="12">
        <v>5.4366020485758781E-3</v>
      </c>
      <c r="AV5" s="12">
        <v>-8.6811445653438568E-3</v>
      </c>
      <c r="AW5" s="12">
        <v>2.3753151297569271E-2</v>
      </c>
      <c r="AX5" s="12">
        <v>-1.039000414311886E-2</v>
      </c>
      <c r="AY5" s="12">
        <v>4.2606234550476067E-2</v>
      </c>
      <c r="AZ5" s="12">
        <v>2.2628717124462131E-2</v>
      </c>
      <c r="BA5" s="12">
        <v>1.7847366398200391E-3</v>
      </c>
      <c r="BB5" s="12">
        <v>1.147421263158321E-2</v>
      </c>
      <c r="BC5" s="12">
        <v>-5.5574686266481876E-3</v>
      </c>
      <c r="BD5" s="12">
        <v>1.7132017761468891E-2</v>
      </c>
      <c r="BE5" s="12">
        <v>2.4164538830518719E-2</v>
      </c>
      <c r="BF5" s="12">
        <v>5.6551066227257252E-3</v>
      </c>
      <c r="BG5" s="12">
        <v>2.693047933280468E-2</v>
      </c>
      <c r="BH5" s="12">
        <v>3.3954640384763479E-3</v>
      </c>
      <c r="BI5" s="12">
        <v>2.639448270201683E-2</v>
      </c>
      <c r="BJ5" s="12">
        <v>1.144836191087961E-2</v>
      </c>
      <c r="BK5" s="12">
        <v>2.6191858574748039E-2</v>
      </c>
      <c r="BL5" s="12">
        <v>2.184408716857433E-2</v>
      </c>
      <c r="BM5" s="12">
        <v>3.5668004304170609E-2</v>
      </c>
      <c r="BN5" s="12">
        <v>4.7217939049005508E-2</v>
      </c>
      <c r="BO5" s="12">
        <v>1.5824703499674801E-2</v>
      </c>
      <c r="BP5" s="12">
        <v>4.0294736623764038E-2</v>
      </c>
      <c r="BQ5" s="12">
        <v>5.4744470864534378E-2</v>
      </c>
      <c r="BR5" s="12">
        <v>6.7423462867736816E-2</v>
      </c>
      <c r="BS5" s="12">
        <v>3.5041853785514832E-2</v>
      </c>
      <c r="BT5" s="12">
        <v>-1.695315167307854E-2</v>
      </c>
      <c r="BU5" s="12">
        <v>4.2807679623365402E-2</v>
      </c>
      <c r="BV5" s="12">
        <v>2.4910405278205872E-2</v>
      </c>
      <c r="BW5" s="12">
        <v>3.5352393984794617E-2</v>
      </c>
      <c r="BX5" s="12">
        <v>3.8252223283052438E-2</v>
      </c>
      <c r="BY5" s="12">
        <v>9.0397186577320099E-3</v>
      </c>
      <c r="BZ5" s="12">
        <v>6.5005947835743427E-3</v>
      </c>
      <c r="CA5" s="12">
        <v>1.141073554754257E-2</v>
      </c>
      <c r="CB5" s="12">
        <v>1.485352218151093E-2</v>
      </c>
      <c r="CC5" s="12">
        <v>5.4167184978723533E-2</v>
      </c>
      <c r="CD5" s="12">
        <v>2.3807717487215999E-2</v>
      </c>
      <c r="CE5" s="12">
        <v>7.6829078607261181E-3</v>
      </c>
      <c r="CF5" s="12">
        <v>2.9735062271356578E-3</v>
      </c>
      <c r="CG5" s="12">
        <v>2.4837357923388481E-2</v>
      </c>
      <c r="CH5" s="12">
        <v>4.7171309590339661E-2</v>
      </c>
      <c r="CI5" s="12">
        <v>4.6639894135296336E-3</v>
      </c>
      <c r="CJ5" s="12">
        <v>2.852512896060944E-2</v>
      </c>
      <c r="CK5" s="12">
        <v>-9.7033102065324783E-3</v>
      </c>
      <c r="CL5" s="12">
        <v>1.245168037712574E-2</v>
      </c>
      <c r="CM5" s="12">
        <v>1.4197885990142821E-2</v>
      </c>
      <c r="CN5" s="12">
        <v>3.0705662444233891E-2</v>
      </c>
      <c r="CO5" s="12">
        <v>3.5640694200992577E-2</v>
      </c>
      <c r="CP5" s="12">
        <v>2.5331234559416771E-2</v>
      </c>
      <c r="CQ5" s="12">
        <v>1.1073682690039279E-3</v>
      </c>
      <c r="CR5" s="12">
        <v>1.5654526650905609E-2</v>
      </c>
      <c r="CS5" s="12">
        <v>-1.1859666556119921E-2</v>
      </c>
      <c r="CT5" s="12">
        <v>5.863029882311821E-2</v>
      </c>
      <c r="CU5" s="12">
        <v>-7.8350687399506569E-3</v>
      </c>
      <c r="CV5" s="12">
        <v>4.6454016119241708E-2</v>
      </c>
      <c r="CW5" s="12">
        <v>7.367561012506485E-2</v>
      </c>
      <c r="CX5" s="12">
        <v>-4.4749602675437927E-3</v>
      </c>
      <c r="CY5" s="12">
        <v>2.9276512563228611E-2</v>
      </c>
      <c r="CZ5" s="12">
        <v>3.3731676638126373E-2</v>
      </c>
      <c r="DA5" s="12">
        <v>4.2157959192991257E-2</v>
      </c>
      <c r="DB5" s="12">
        <v>1.5304354019463061E-2</v>
      </c>
      <c r="DC5" s="12">
        <v>3.0327405780553821E-2</v>
      </c>
      <c r="DD5" s="12">
        <v>5.3778979927301407E-2</v>
      </c>
      <c r="DE5" s="12">
        <v>7.7699399553239354E-3</v>
      </c>
      <c r="DF5" s="12">
        <v>9.4073504442349076E-4</v>
      </c>
      <c r="DG5" s="12">
        <v>-8.2107760012149811E-2</v>
      </c>
      <c r="DH5" s="12">
        <v>-5.2850812673568733E-2</v>
      </c>
      <c r="DI5" s="12">
        <v>-7.8471429646015167E-2</v>
      </c>
      <c r="DJ5" s="12">
        <v>-4.0412887930870063E-2</v>
      </c>
      <c r="DK5" s="12">
        <v>-2.3652749136090279E-2</v>
      </c>
      <c r="DL5" s="12">
        <v>-1.795239187777042E-2</v>
      </c>
      <c r="DM5" s="12">
        <v>-3.8529172539710999E-2</v>
      </c>
      <c r="DN5" s="12">
        <v>-6.0538295656442642E-2</v>
      </c>
      <c r="DO5" s="12">
        <v>2.2697450593113899E-2</v>
      </c>
      <c r="DP5" s="12">
        <v>-2.293764241039753E-2</v>
      </c>
      <c r="DQ5" s="12">
        <v>2.235623262822628E-2</v>
      </c>
      <c r="DR5" s="12">
        <v>2.08442397415638E-2</v>
      </c>
      <c r="DS5" s="12">
        <v>-2.133695874363184E-3</v>
      </c>
      <c r="DT5" s="12">
        <v>2.0560766570270061E-3</v>
      </c>
      <c r="DU5" s="12">
        <v>9.2165069654583931E-3</v>
      </c>
      <c r="DV5" s="12">
        <v>-2.4538150057196621E-2</v>
      </c>
      <c r="DW5" s="12">
        <v>-5.4349824786186218E-3</v>
      </c>
      <c r="DX5" s="12">
        <v>-1.1826856061816221E-2</v>
      </c>
      <c r="DY5" s="12">
        <v>-2.4313617497682571E-2</v>
      </c>
      <c r="DZ5" s="12">
        <v>1.7076117917895321E-2</v>
      </c>
      <c r="EA5" s="12">
        <v>2.1494723856449131E-2</v>
      </c>
      <c r="EB5" s="12">
        <v>1.5846351161599159E-2</v>
      </c>
      <c r="EC5" s="12">
        <v>4.5648753643035889E-2</v>
      </c>
      <c r="ED5" s="12">
        <v>1.9599819555878639E-2</v>
      </c>
      <c r="EE5" s="12">
        <v>-1.0369730181992051E-2</v>
      </c>
      <c r="EF5" s="12">
        <v>6.0753826983273029E-3</v>
      </c>
    </row>
    <row r="6" spans="1:138" s="1" customFormat="1">
      <c r="A6" s="2" t="s">
        <v>139</v>
      </c>
      <c r="C6" s="12">
        <f t="array" ref="C6">MATCH(MAX(ABS(C3:C5)),ABS(C3:C5),0)</f>
        <v>2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3</v>
      </c>
      <c r="L6" s="12">
        <f t="array" ref="L6">MATCH(MAX(ABS(L3:L5)),ABS(L3:L5),0)</f>
        <v>3</v>
      </c>
      <c r="M6" s="12">
        <f t="array" ref="M6">MATCH(MAX(ABS(M3:M5)),ABS(M3:M5),0)</f>
        <v>1</v>
      </c>
      <c r="N6" s="12">
        <f t="array" ref="N6">MATCH(MAX(ABS(N3:N5)),ABS(N3:N5),0)</f>
        <v>3</v>
      </c>
      <c r="O6" s="12">
        <f t="array" ref="O6">MATCH(MAX(ABS(O3:O5)),ABS(O3:O5),0)</f>
        <v>3</v>
      </c>
      <c r="P6" s="12">
        <f t="array" ref="P6">MATCH(MAX(ABS(P3:P5)),ABS(P3:P5),0)</f>
        <v>3</v>
      </c>
      <c r="Q6" s="12">
        <f t="array" ref="Q6">MATCH(MAX(ABS(Q3:Q5)),ABS(Q3:Q5),0)</f>
        <v>3</v>
      </c>
      <c r="R6" s="12">
        <f t="array" ref="R6">MATCH(MAX(ABS(R3:R5)),ABS(R3:R5),0)</f>
        <v>3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2</v>
      </c>
      <c r="V6" s="12">
        <f t="array" ref="V6">MATCH(MAX(ABS(V3:V5)),ABS(V3:V5),0)</f>
        <v>3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3</v>
      </c>
      <c r="Z6" s="12">
        <f t="array" ref="Z6">MATCH(MAX(ABS(Z3:Z5)),ABS(Z3:Z5),0)</f>
        <v>3</v>
      </c>
      <c r="AA6" s="12">
        <f t="array" ref="AA6">MATCH(MAX(ABS(AA3:AA5)),ABS(AA3:AA5),0)</f>
        <v>1</v>
      </c>
      <c r="AB6" s="12">
        <f t="array" ref="AB6">MATCH(MAX(ABS(AB3:AB5)),ABS(AB3:AB5),0)</f>
        <v>3</v>
      </c>
      <c r="AC6" s="12">
        <f t="array" ref="AC6">MATCH(MAX(ABS(AC3:AC5)),ABS(AC3:AC5),0)</f>
        <v>3</v>
      </c>
      <c r="AD6" s="12">
        <f t="array" ref="AD6">MATCH(MAX(ABS(AD3:AD5)),ABS(AD3:AD5),0)</f>
        <v>1</v>
      </c>
      <c r="AE6" s="12">
        <f t="array" ref="AE6">MATCH(MAX(ABS(AE3:AE5)),ABS(AE3:AE5),0)</f>
        <v>2</v>
      </c>
      <c r="AF6" s="12">
        <f t="array" ref="AF6">MATCH(MAX(ABS(AF3:AF5)),ABS(AF3:AF5),0)</f>
        <v>1</v>
      </c>
      <c r="AG6" s="12">
        <f t="array" ref="AG6">MATCH(MAX(ABS(AG3:AG5)),ABS(AG3:AG5),0)</f>
        <v>3</v>
      </c>
      <c r="AH6" s="12">
        <f t="array" ref="AH6">MATCH(MAX(ABS(AH3:AH5)),ABS(AH3:AH5),0)</f>
        <v>3</v>
      </c>
      <c r="AI6" s="12">
        <f t="array" ref="AI6">MATCH(MAX(ABS(AI3:AI5)),ABS(AI3:AI5),0)</f>
        <v>3</v>
      </c>
      <c r="AJ6" s="12">
        <f t="array" ref="AJ6">MATCH(MAX(ABS(AJ3:AJ5)),ABS(AJ3:AJ5),0)</f>
        <v>1</v>
      </c>
      <c r="AK6" s="12">
        <f t="array" ref="AK6">MATCH(MAX(ABS(AK3:AK5)),ABS(AK3:AK5),0)</f>
        <v>3</v>
      </c>
      <c r="AL6" s="12">
        <f t="array" ref="AL6">MATCH(MAX(ABS(AL3:AL5)),ABS(AL3:AL5),0)</f>
        <v>1</v>
      </c>
      <c r="AM6" s="12">
        <f t="array" ref="AM6">MATCH(MAX(ABS(AM3:AM5)),ABS(AM3:AM5),0)</f>
        <v>3</v>
      </c>
      <c r="AN6" s="12">
        <f t="array" ref="AN6">MATCH(MAX(ABS(AN3:AN5)),ABS(AN3:AN5),0)</f>
        <v>3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3</v>
      </c>
      <c r="AS6" s="12">
        <f t="array" ref="AS6">MATCH(MAX(ABS(AS3:AS5)),ABS(AS3:AS5),0)</f>
        <v>2</v>
      </c>
      <c r="AT6" s="12">
        <f t="array" ref="AT6">MATCH(MAX(ABS(AT3:AT5)),ABS(AT3:AT5),0)</f>
        <v>1</v>
      </c>
      <c r="AU6" s="12">
        <f t="array" ref="AU6">MATCH(MAX(ABS(AU3:AU5)),ABS(AU3:AU5),0)</f>
        <v>1</v>
      </c>
      <c r="AV6" s="12">
        <f t="array" ref="AV6">MATCH(MAX(ABS(AV3:AV5)),ABS(AV3:AV5),0)</f>
        <v>1</v>
      </c>
      <c r="AW6" s="12">
        <f t="array" ref="AW6">MATCH(MAX(ABS(AW3:AW5)),ABS(AW3:AW5),0)</f>
        <v>1</v>
      </c>
      <c r="AX6" s="12">
        <f t="array" ref="AX6">MATCH(MAX(ABS(AX3:AX5)),ABS(AX3:AX5),0)</f>
        <v>1</v>
      </c>
      <c r="AY6" s="12">
        <f t="array" ref="AY6">MATCH(MAX(ABS(AY3:AY5)),ABS(AY3:AY5),0)</f>
        <v>1</v>
      </c>
      <c r="AZ6" s="12">
        <f t="array" ref="AZ6">MATCH(MAX(ABS(AZ3:AZ5)),ABS(AZ3:AZ5),0)</f>
        <v>1</v>
      </c>
      <c r="BA6" s="12">
        <f t="array" ref="BA6">MATCH(MAX(ABS(BA3:BA5)),ABS(BA3:BA5),0)</f>
        <v>1</v>
      </c>
      <c r="BB6" s="12">
        <f t="array" ref="BB6">MATCH(MAX(ABS(BB3:BB5)),ABS(BB3:BB5),0)</f>
        <v>2</v>
      </c>
      <c r="BC6" s="12">
        <f t="array" ref="BC6">MATCH(MAX(ABS(BC3:BC5)),ABS(BC3:BC5),0)</f>
        <v>1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2</v>
      </c>
      <c r="BG6" s="12">
        <f t="array" ref="BG6">MATCH(MAX(ABS(BG3:BG5)),ABS(BG3:BG5),0)</f>
        <v>1</v>
      </c>
      <c r="BH6" s="12">
        <f t="array" ref="BH6">MATCH(MAX(ABS(BH3:BH5)),ABS(BH3:BH5),0)</f>
        <v>1</v>
      </c>
      <c r="BI6" s="12">
        <f t="array" ref="BI6">MATCH(MAX(ABS(BI3:BI5)),ABS(BI3:BI5),0)</f>
        <v>1</v>
      </c>
      <c r="BJ6" s="12">
        <f t="array" ref="BJ6">MATCH(MAX(ABS(BJ3:BJ5)),ABS(BJ3:BJ5),0)</f>
        <v>1</v>
      </c>
      <c r="BK6" s="12">
        <f t="array" ref="BK6">MATCH(MAX(ABS(BK3:BK5)),ABS(BK3:BK5),0)</f>
        <v>1</v>
      </c>
      <c r="BL6" s="12">
        <f t="array" ref="BL6">MATCH(MAX(ABS(BL3:BL5)),ABS(BL3:BL5),0)</f>
        <v>2</v>
      </c>
      <c r="BM6" s="12">
        <f t="array" ref="BM6">MATCH(MAX(ABS(BM3:BM5)),ABS(BM3:BM5),0)</f>
        <v>2</v>
      </c>
      <c r="BN6" s="12">
        <f t="array" ref="BN6">MATCH(MAX(ABS(BN3:BN5)),ABS(BN3:BN5),0)</f>
        <v>3</v>
      </c>
      <c r="BO6" s="12">
        <f t="array" ref="BO6">MATCH(MAX(ABS(BO3:BO5)),ABS(BO3:BO5),0)</f>
        <v>2</v>
      </c>
      <c r="BP6" s="12">
        <f t="array" ref="BP6">MATCH(MAX(ABS(BP3:BP5)),ABS(BP3:BP5),0)</f>
        <v>1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1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3</v>
      </c>
      <c r="BY6" s="12">
        <f t="array" ref="BY6">MATCH(MAX(ABS(BY3:BY5)),ABS(BY3:BY5),0)</f>
        <v>1</v>
      </c>
      <c r="BZ6" s="12">
        <f t="array" ref="BZ6">MATCH(MAX(ABS(BZ3:BZ5)),ABS(BZ3:BZ5),0)</f>
        <v>2</v>
      </c>
      <c r="CA6" s="12">
        <f t="array" ref="CA6">MATCH(MAX(ABS(CA3:CA5)),ABS(CA3:CA5),0)</f>
        <v>1</v>
      </c>
      <c r="CB6" s="12">
        <f t="array" ref="CB6">MATCH(MAX(ABS(CB3:CB5)),ABS(CB3:CB5),0)</f>
        <v>1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2</v>
      </c>
      <c r="CF6" s="12">
        <f t="array" ref="CF6">MATCH(MAX(ABS(CF3:CF5)),ABS(CF3:CF5),0)</f>
        <v>2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1</v>
      </c>
      <c r="CK6" s="12">
        <f t="array" ref="CK6">MATCH(MAX(ABS(CK3:CK5)),ABS(CK3:CK5),0)</f>
        <v>1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1</v>
      </c>
      <c r="CO6" s="12">
        <f t="array" ref="CO6">MATCH(MAX(ABS(CO3:CO5)),ABS(CO3:CO5),0)</f>
        <v>3</v>
      </c>
      <c r="CP6" s="12">
        <f t="array" ref="CP6">MATCH(MAX(ABS(CP3:CP5)),ABS(CP3:CP5),0)</f>
        <v>1</v>
      </c>
      <c r="CQ6" s="12">
        <f t="array" ref="CQ6">MATCH(MAX(ABS(CQ3:CQ5)),ABS(CQ3:CQ5),0)</f>
        <v>1</v>
      </c>
      <c r="CR6" s="12">
        <f t="array" ref="CR6">MATCH(MAX(ABS(CR3:CR5)),ABS(CR3:CR5),0)</f>
        <v>2</v>
      </c>
      <c r="CS6" s="12">
        <f t="array" ref="CS6">MATCH(MAX(ABS(CS3:CS5)),ABS(CS3:CS5),0)</f>
        <v>1</v>
      </c>
      <c r="CT6" s="12">
        <f t="array" ref="CT6">MATCH(MAX(ABS(CT3:CT5)),ABS(CT3:CT5),0)</f>
        <v>3</v>
      </c>
      <c r="CU6" s="12">
        <f t="array" ref="CU6">MATCH(MAX(ABS(CU3:CU5)),ABS(CU3:CU5),0)</f>
        <v>1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1</v>
      </c>
      <c r="CZ6" s="12">
        <f t="array" ref="CZ6">MATCH(MAX(ABS(CZ3:CZ5)),ABS(CZ3:CZ5),0)</f>
        <v>1</v>
      </c>
      <c r="DA6" s="12">
        <f t="array" ref="DA6">MATCH(MAX(ABS(DA3:DA5)),ABS(DA3:DA5),0)</f>
        <v>1</v>
      </c>
      <c r="DB6" s="12">
        <f t="array" ref="DB6">MATCH(MAX(ABS(DB3:DB5)),ABS(DB3:DB5),0)</f>
        <v>3</v>
      </c>
      <c r="DC6" s="12">
        <f t="array" ref="DC6">MATCH(MAX(ABS(DC3:DC5)),ABS(DC3:DC5),0)</f>
        <v>3</v>
      </c>
      <c r="DD6" s="12">
        <f t="array" ref="DD6">MATCH(MAX(ABS(DD3:DD5)),ABS(DD3:DD5),0)</f>
        <v>3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3</v>
      </c>
      <c r="DH6" s="12">
        <f t="array" ref="DH6">MATCH(MAX(ABS(DH3:DH5)),ABS(DH3:DH5),0)</f>
        <v>3</v>
      </c>
      <c r="DI6" s="12">
        <f t="array" ref="DI6">MATCH(MAX(ABS(DI3:DI5)),ABS(DI3:DI5),0)</f>
        <v>3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3</v>
      </c>
      <c r="DO6" s="12">
        <f t="array" ref="DO6">MATCH(MAX(ABS(DO3:DO5)),ABS(DO3:DO5),0)</f>
        <v>1</v>
      </c>
      <c r="DP6" s="12">
        <f t="array" ref="DP6">MATCH(MAX(ABS(DP3:DP5)),ABS(DP3:DP5),0)</f>
        <v>3</v>
      </c>
      <c r="DQ6" s="12">
        <f t="array" ref="DQ6">MATCH(MAX(ABS(DQ3:DQ5)),ABS(DQ3:DQ5),0)</f>
        <v>2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1</v>
      </c>
      <c r="DZ6" s="12">
        <f t="array" ref="DZ6">MATCH(MAX(ABS(DZ3:DZ5)),ABS(DZ3:DZ5),0)</f>
        <v>1</v>
      </c>
      <c r="EA6" s="12">
        <f t="array" ref="EA6">MATCH(MAX(ABS(EA3:EA5)),ABS(EA3:EA5),0)</f>
        <v>1</v>
      </c>
      <c r="EB6" s="12">
        <f t="array" ref="EB6">MATCH(MAX(ABS(EB3:EB5)),ABS(EB3:EB5),0)</f>
        <v>1</v>
      </c>
      <c r="EC6" s="12">
        <f t="array" ref="EC6">MATCH(MAX(ABS(EC3:EC5)),ABS(EC3:EC5),0)</f>
        <v>3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1</v>
      </c>
    </row>
    <row r="7" spans="1:138">
      <c r="C7" s="13" t="str">
        <f t="shared" ref="C7:BN7" si="0">IF(C6=1,"bm",IF(C6=2,"size",IF(C6=3,"mom")))</f>
        <v>size</v>
      </c>
      <c r="D7" s="13" t="str">
        <f t="shared" si="0"/>
        <v>bm</v>
      </c>
      <c r="E7" s="13" t="str">
        <f t="shared" si="0"/>
        <v>size</v>
      </c>
      <c r="F7" s="13" t="str">
        <f t="shared" si="0"/>
        <v>mom</v>
      </c>
      <c r="G7" s="13" t="str">
        <f t="shared" si="0"/>
        <v>mom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mom</v>
      </c>
      <c r="L7" s="13" t="str">
        <f t="shared" si="0"/>
        <v>mom</v>
      </c>
      <c r="M7" s="13" t="str">
        <f t="shared" si="0"/>
        <v>bm</v>
      </c>
      <c r="N7" s="13" t="str">
        <f t="shared" si="0"/>
        <v>mom</v>
      </c>
      <c r="O7" s="13" t="str">
        <f t="shared" si="0"/>
        <v>mom</v>
      </c>
      <c r="P7" s="13" t="str">
        <f t="shared" si="0"/>
        <v>mom</v>
      </c>
      <c r="Q7" s="13" t="str">
        <f t="shared" si="0"/>
        <v>mom</v>
      </c>
      <c r="R7" s="13" t="str">
        <f t="shared" si="0"/>
        <v>mom</v>
      </c>
      <c r="S7" s="13" t="str">
        <f t="shared" si="0"/>
        <v>bm</v>
      </c>
      <c r="T7" s="13" t="str">
        <f t="shared" si="0"/>
        <v>mom</v>
      </c>
      <c r="U7" s="13" t="str">
        <f t="shared" si="0"/>
        <v>size</v>
      </c>
      <c r="V7" s="13" t="str">
        <f t="shared" si="0"/>
        <v>mom</v>
      </c>
      <c r="W7" s="13" t="str">
        <f t="shared" si="0"/>
        <v>bm</v>
      </c>
      <c r="X7" s="13" t="str">
        <f t="shared" si="0"/>
        <v>bm</v>
      </c>
      <c r="Y7" s="13" t="str">
        <f t="shared" si="0"/>
        <v>mom</v>
      </c>
      <c r="Z7" s="13" t="str">
        <f t="shared" si="0"/>
        <v>mom</v>
      </c>
      <c r="AA7" s="13" t="str">
        <f t="shared" si="0"/>
        <v>bm</v>
      </c>
      <c r="AB7" s="13" t="str">
        <f t="shared" si="0"/>
        <v>mom</v>
      </c>
      <c r="AC7" s="13" t="str">
        <f t="shared" si="0"/>
        <v>mom</v>
      </c>
      <c r="AD7" s="13" t="str">
        <f t="shared" si="0"/>
        <v>bm</v>
      </c>
      <c r="AE7" s="13" t="str">
        <f t="shared" si="0"/>
        <v>size</v>
      </c>
      <c r="AF7" s="13" t="str">
        <f t="shared" si="0"/>
        <v>bm</v>
      </c>
      <c r="AG7" s="13" t="str">
        <f t="shared" si="0"/>
        <v>mom</v>
      </c>
      <c r="AH7" s="13" t="str">
        <f t="shared" si="0"/>
        <v>mom</v>
      </c>
      <c r="AI7" s="13" t="str">
        <f t="shared" si="0"/>
        <v>mom</v>
      </c>
      <c r="AJ7" s="13" t="str">
        <f t="shared" si="0"/>
        <v>bm</v>
      </c>
      <c r="AK7" s="13" t="str">
        <f t="shared" si="0"/>
        <v>mom</v>
      </c>
      <c r="AL7" s="13" t="str">
        <f t="shared" si="0"/>
        <v>bm</v>
      </c>
      <c r="AM7" s="13" t="str">
        <f t="shared" si="0"/>
        <v>mom</v>
      </c>
      <c r="AN7" s="13" t="str">
        <f t="shared" si="0"/>
        <v>mom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mom</v>
      </c>
      <c r="AS7" s="13" t="str">
        <f t="shared" si="0"/>
        <v>size</v>
      </c>
      <c r="AT7" s="13" t="str">
        <f t="shared" si="0"/>
        <v>bm</v>
      </c>
      <c r="AU7" s="13" t="str">
        <f t="shared" si="0"/>
        <v>bm</v>
      </c>
      <c r="AV7" s="13" t="str">
        <f t="shared" si="0"/>
        <v>bm</v>
      </c>
      <c r="AW7" s="13" t="str">
        <f t="shared" si="0"/>
        <v>bm</v>
      </c>
      <c r="AX7" s="13" t="str">
        <f t="shared" si="0"/>
        <v>bm</v>
      </c>
      <c r="AY7" s="13" t="str">
        <f t="shared" si="0"/>
        <v>bm</v>
      </c>
      <c r="AZ7" s="13" t="str">
        <f t="shared" si="0"/>
        <v>bm</v>
      </c>
      <c r="BA7" s="13" t="str">
        <f t="shared" si="0"/>
        <v>bm</v>
      </c>
      <c r="BB7" s="13" t="str">
        <f t="shared" si="0"/>
        <v>size</v>
      </c>
      <c r="BC7" s="13" t="str">
        <f t="shared" si="0"/>
        <v>bm</v>
      </c>
      <c r="BD7" s="13" t="str">
        <f t="shared" si="0"/>
        <v>size</v>
      </c>
      <c r="BE7" s="13" t="str">
        <f t="shared" si="0"/>
        <v>bm</v>
      </c>
      <c r="BF7" s="13" t="str">
        <f t="shared" si="0"/>
        <v>size</v>
      </c>
      <c r="BG7" s="13" t="str">
        <f t="shared" si="0"/>
        <v>bm</v>
      </c>
      <c r="BH7" s="13" t="str">
        <f t="shared" si="0"/>
        <v>bm</v>
      </c>
      <c r="BI7" s="13" t="str">
        <f t="shared" si="0"/>
        <v>bm</v>
      </c>
      <c r="BJ7" s="13" t="str">
        <f t="shared" si="0"/>
        <v>bm</v>
      </c>
      <c r="BK7" s="13" t="str">
        <f t="shared" si="0"/>
        <v>bm</v>
      </c>
      <c r="BL7" s="13" t="str">
        <f t="shared" si="0"/>
        <v>size</v>
      </c>
      <c r="BM7" s="13" t="str">
        <f t="shared" si="0"/>
        <v>size</v>
      </c>
      <c r="BN7" s="13" t="str">
        <f t="shared" si="0"/>
        <v>mom</v>
      </c>
      <c r="BO7" s="13" t="str">
        <f t="shared" ref="BO7:DZ7" si="1">IF(BO6=1,"bm",IF(BO6=2,"size",IF(BO6=3,"mom")))</f>
        <v>size</v>
      </c>
      <c r="BP7" s="13" t="str">
        <f t="shared" si="1"/>
        <v>bm</v>
      </c>
      <c r="BQ7" s="13" t="str">
        <f t="shared" si="1"/>
        <v>bm</v>
      </c>
      <c r="BR7" s="13" t="str">
        <f t="shared" si="1"/>
        <v>mom</v>
      </c>
      <c r="BS7" s="13" t="str">
        <f t="shared" si="1"/>
        <v>bm</v>
      </c>
      <c r="BT7" s="13" t="str">
        <f t="shared" si="1"/>
        <v>size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mom</v>
      </c>
      <c r="BY7" s="13" t="str">
        <f t="shared" si="1"/>
        <v>bm</v>
      </c>
      <c r="BZ7" s="13" t="str">
        <f t="shared" si="1"/>
        <v>size</v>
      </c>
      <c r="CA7" s="13" t="str">
        <f t="shared" si="1"/>
        <v>bm</v>
      </c>
      <c r="CB7" s="13" t="str">
        <f t="shared" si="1"/>
        <v>bm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size</v>
      </c>
      <c r="CF7" s="13" t="str">
        <f t="shared" si="1"/>
        <v>size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bm</v>
      </c>
      <c r="CK7" s="13" t="str">
        <f t="shared" si="1"/>
        <v>bm</v>
      </c>
      <c r="CL7" s="13" t="str">
        <f t="shared" si="1"/>
        <v>bm</v>
      </c>
      <c r="CM7" s="13" t="str">
        <f t="shared" si="1"/>
        <v>size</v>
      </c>
      <c r="CN7" s="13" t="str">
        <f t="shared" si="1"/>
        <v>bm</v>
      </c>
      <c r="CO7" s="13" t="str">
        <f t="shared" si="1"/>
        <v>mom</v>
      </c>
      <c r="CP7" s="13" t="str">
        <f t="shared" si="1"/>
        <v>bm</v>
      </c>
      <c r="CQ7" s="13" t="str">
        <f t="shared" si="1"/>
        <v>bm</v>
      </c>
      <c r="CR7" s="13" t="str">
        <f t="shared" si="1"/>
        <v>size</v>
      </c>
      <c r="CS7" s="13" t="str">
        <f t="shared" si="1"/>
        <v>bm</v>
      </c>
      <c r="CT7" s="13" t="str">
        <f t="shared" si="1"/>
        <v>mom</v>
      </c>
      <c r="CU7" s="13" t="str">
        <f t="shared" si="1"/>
        <v>bm</v>
      </c>
      <c r="CV7" s="13" t="str">
        <f t="shared" si="1"/>
        <v>mom</v>
      </c>
      <c r="CW7" s="13" t="str">
        <f t="shared" si="1"/>
        <v>mom</v>
      </c>
      <c r="CX7" s="13" t="str">
        <f t="shared" si="1"/>
        <v>bm</v>
      </c>
      <c r="CY7" s="13" t="str">
        <f t="shared" si="1"/>
        <v>bm</v>
      </c>
      <c r="CZ7" s="13" t="str">
        <f t="shared" si="1"/>
        <v>bm</v>
      </c>
      <c r="DA7" s="13" t="str">
        <f t="shared" si="1"/>
        <v>bm</v>
      </c>
      <c r="DB7" s="13" t="str">
        <f t="shared" si="1"/>
        <v>mom</v>
      </c>
      <c r="DC7" s="13" t="str">
        <f t="shared" si="1"/>
        <v>mom</v>
      </c>
      <c r="DD7" s="13" t="str">
        <f t="shared" si="1"/>
        <v>mom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mom</v>
      </c>
      <c r="DH7" s="13" t="str">
        <f t="shared" si="1"/>
        <v>mom</v>
      </c>
      <c r="DI7" s="13" t="str">
        <f t="shared" si="1"/>
        <v>mom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mom</v>
      </c>
      <c r="DO7" s="13" t="str">
        <f t="shared" si="1"/>
        <v>bm</v>
      </c>
      <c r="DP7" s="13" t="str">
        <f t="shared" si="1"/>
        <v>mom</v>
      </c>
      <c r="DQ7" s="13" t="str">
        <f t="shared" si="1"/>
        <v>size</v>
      </c>
      <c r="DR7" s="13" t="str">
        <f t="shared" si="1"/>
        <v>bm</v>
      </c>
      <c r="DS7" s="13" t="str">
        <f t="shared" si="1"/>
        <v>size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bm</v>
      </c>
      <c r="DW7" s="13" t="str">
        <f t="shared" si="1"/>
        <v>size</v>
      </c>
      <c r="DX7" s="13" t="str">
        <f t="shared" si="1"/>
        <v>bm</v>
      </c>
      <c r="DY7" s="13" t="str">
        <f t="shared" si="1"/>
        <v>bm</v>
      </c>
      <c r="DZ7" s="13" t="str">
        <f t="shared" si="1"/>
        <v>bm</v>
      </c>
      <c r="EA7" s="13" t="str">
        <f t="shared" ref="EA7:EF7" si="2">IF(EA6=1,"bm",IF(EA6=2,"size",IF(EA6=3,"mom")))</f>
        <v>bm</v>
      </c>
      <c r="EB7" s="13" t="str">
        <f t="shared" si="2"/>
        <v>bm</v>
      </c>
      <c r="EC7" s="13" t="str">
        <f t="shared" si="2"/>
        <v>mom</v>
      </c>
      <c r="ED7" s="13" t="str">
        <f t="shared" si="2"/>
        <v>bm</v>
      </c>
      <c r="EE7" s="13" t="str">
        <f t="shared" si="2"/>
        <v>size</v>
      </c>
      <c r="EF7" s="13" t="str">
        <f t="shared" si="2"/>
        <v>bm</v>
      </c>
    </row>
    <row r="8" spans="1:138">
      <c r="C8" s="12">
        <f t="shared" ref="C8:BN8" si="3">IF(C6=1,C3,IF(C6=2,C4,IF(C6=3,C5)))</f>
        <v>-3.6521758884191513E-2</v>
      </c>
      <c r="D8" s="12">
        <f t="shared" si="3"/>
        <v>7.24458247423172E-2</v>
      </c>
      <c r="E8" s="12">
        <f t="shared" si="3"/>
        <v>-5.0075937062501907E-2</v>
      </c>
      <c r="F8" s="12">
        <f t="shared" si="3"/>
        <v>3.9053350687026978E-2</v>
      </c>
      <c r="G8" s="12">
        <f t="shared" si="3"/>
        <v>-3.5989873111248023E-2</v>
      </c>
      <c r="H8" s="12">
        <f t="shared" si="3"/>
        <v>-5.2601419389247887E-2</v>
      </c>
      <c r="I8" s="12">
        <f t="shared" si="3"/>
        <v>-3.8912922143936157E-2</v>
      </c>
      <c r="J8" s="12">
        <f t="shared" si="3"/>
        <v>-3.2669864594936371E-2</v>
      </c>
      <c r="K8" s="12">
        <f t="shared" si="3"/>
        <v>2.9407145455479618E-2</v>
      </c>
      <c r="L8" s="12">
        <f t="shared" si="3"/>
        <v>5.8111239224672318E-2</v>
      </c>
      <c r="M8" s="12">
        <f t="shared" si="3"/>
        <v>-8.2549653947353363E-2</v>
      </c>
      <c r="N8" s="12">
        <f t="shared" si="3"/>
        <v>6.2360752373933792E-2</v>
      </c>
      <c r="O8" s="12">
        <f t="shared" si="3"/>
        <v>9.9858760833740234E-2</v>
      </c>
      <c r="P8" s="12">
        <f t="shared" si="3"/>
        <v>0.13152122497558591</v>
      </c>
      <c r="Q8" s="12">
        <f t="shared" si="3"/>
        <v>7.957778126001358E-2</v>
      </c>
      <c r="R8" s="12">
        <f t="shared" si="3"/>
        <v>4.847404733300209E-2</v>
      </c>
      <c r="S8" s="12">
        <f t="shared" si="3"/>
        <v>-8.0156058073043823E-2</v>
      </c>
      <c r="T8" s="12">
        <f t="shared" si="3"/>
        <v>5.0201687961816788E-2</v>
      </c>
      <c r="U8" s="12">
        <f t="shared" si="3"/>
        <v>-9.2675261199474335E-2</v>
      </c>
      <c r="V8" s="12">
        <f t="shared" si="3"/>
        <v>6.3523001968860626E-2</v>
      </c>
      <c r="W8" s="12">
        <f t="shared" si="3"/>
        <v>9.6304804086685181E-2</v>
      </c>
      <c r="X8" s="12">
        <f t="shared" si="3"/>
        <v>0.16748018562793729</v>
      </c>
      <c r="Y8" s="12">
        <f t="shared" si="3"/>
        <v>9.0847745537757874E-2</v>
      </c>
      <c r="Z8" s="12">
        <f t="shared" si="3"/>
        <v>0.1071524396538734</v>
      </c>
      <c r="AA8" s="12">
        <f t="shared" si="3"/>
        <v>-7.8297220170497894E-2</v>
      </c>
      <c r="AB8" s="12">
        <f t="shared" si="3"/>
        <v>8.0967366695404053E-2</v>
      </c>
      <c r="AC8" s="12">
        <f t="shared" si="3"/>
        <v>3.8304600864648819E-2</v>
      </c>
      <c r="AD8" s="12">
        <f t="shared" si="3"/>
        <v>-3.0706796795129779E-2</v>
      </c>
      <c r="AE8" s="12">
        <f t="shared" si="3"/>
        <v>4.7622621059417718E-2</v>
      </c>
      <c r="AF8" s="12">
        <f t="shared" si="3"/>
        <v>6.8843632936477661E-2</v>
      </c>
      <c r="AG8" s="12">
        <f t="shared" si="3"/>
        <v>6.7320100963115692E-2</v>
      </c>
      <c r="AH8" s="12">
        <f t="shared" si="3"/>
        <v>1.78289357572794E-2</v>
      </c>
      <c r="AI8" s="12">
        <f t="shared" si="3"/>
        <v>5.6440837681293488E-2</v>
      </c>
      <c r="AJ8" s="12">
        <f t="shared" si="3"/>
        <v>-5.5654104799032211E-2</v>
      </c>
      <c r="AK8" s="12">
        <f t="shared" si="3"/>
        <v>7.9053483903408051E-2</v>
      </c>
      <c r="AL8" s="12">
        <f t="shared" si="3"/>
        <v>0.14250144362449649</v>
      </c>
      <c r="AM8" s="12">
        <f t="shared" si="3"/>
        <v>4.9416512250900269E-2</v>
      </c>
      <c r="AN8" s="12">
        <f t="shared" si="3"/>
        <v>4.2488358914852142E-2</v>
      </c>
      <c r="AO8" s="12">
        <f t="shared" si="3"/>
        <v>3.6709178239107132E-2</v>
      </c>
      <c r="AP8" s="12">
        <f t="shared" si="3"/>
        <v>4.6501751989126212E-2</v>
      </c>
      <c r="AQ8" s="12">
        <f t="shared" si="3"/>
        <v>4.9757853150367737E-2</v>
      </c>
      <c r="AR8" s="12">
        <f t="shared" si="3"/>
        <v>-5.88986836373806E-2</v>
      </c>
      <c r="AS8" s="12">
        <f t="shared" si="3"/>
        <v>3.4978423267602921E-2</v>
      </c>
      <c r="AT8" s="12">
        <f t="shared" si="3"/>
        <v>5.6848321110010147E-2</v>
      </c>
      <c r="AU8" s="12">
        <f t="shared" si="3"/>
        <v>3.9384294301271439E-2</v>
      </c>
      <c r="AV8" s="12">
        <f t="shared" si="3"/>
        <v>0.14884805679321289</v>
      </c>
      <c r="AW8" s="12">
        <f t="shared" si="3"/>
        <v>5.9238158166408539E-2</v>
      </c>
      <c r="AX8" s="12">
        <f t="shared" si="3"/>
        <v>8.3451211452484131E-2</v>
      </c>
      <c r="AY8" s="12">
        <f t="shared" si="3"/>
        <v>6.8846635520458221E-2</v>
      </c>
      <c r="AZ8" s="12">
        <f t="shared" si="3"/>
        <v>0.15779311954975131</v>
      </c>
      <c r="BA8" s="12">
        <f t="shared" si="3"/>
        <v>7.3232002556324005E-2</v>
      </c>
      <c r="BB8" s="12">
        <f t="shared" si="3"/>
        <v>-2.2272480651736259E-2</v>
      </c>
      <c r="BC8" s="12">
        <f t="shared" si="3"/>
        <v>5.6218259036540992E-2</v>
      </c>
      <c r="BD8" s="12">
        <f t="shared" si="3"/>
        <v>-8.3808884024620056E-2</v>
      </c>
      <c r="BE8" s="12">
        <f t="shared" si="3"/>
        <v>8.9553870260715485E-2</v>
      </c>
      <c r="BF8" s="12">
        <f t="shared" si="3"/>
        <v>-7.6244287192821503E-2</v>
      </c>
      <c r="BG8" s="12">
        <f t="shared" si="3"/>
        <v>7.1616403758525848E-2</v>
      </c>
      <c r="BH8" s="12">
        <f t="shared" si="3"/>
        <v>7.97300785779953E-2</v>
      </c>
      <c r="BI8" s="12">
        <f t="shared" si="3"/>
        <v>8.7966516613960266E-2</v>
      </c>
      <c r="BJ8" s="12">
        <f t="shared" si="3"/>
        <v>0.1081216707825661</v>
      </c>
      <c r="BK8" s="12">
        <f t="shared" si="3"/>
        <v>0.1129734814167023</v>
      </c>
      <c r="BL8" s="12">
        <f t="shared" si="3"/>
        <v>-5.3756937384605408E-2</v>
      </c>
      <c r="BM8" s="12">
        <f t="shared" si="3"/>
        <v>-7.9431377351284027E-2</v>
      </c>
      <c r="BN8" s="12">
        <f t="shared" si="3"/>
        <v>4.7217939049005508E-2</v>
      </c>
      <c r="BO8" s="12">
        <f t="shared" ref="BO8:DZ8" si="4">IF(BO6=1,BO3,IF(BO6=2,BO4,IF(BO6=3,BO5)))</f>
        <v>-9.4712458550930023E-2</v>
      </c>
      <c r="BP8" s="12">
        <f t="shared" si="4"/>
        <v>0.10330298542976379</v>
      </c>
      <c r="BQ8" s="12">
        <f t="shared" si="4"/>
        <v>7.12384432554245E-2</v>
      </c>
      <c r="BR8" s="12">
        <f t="shared" si="4"/>
        <v>6.7423462867736816E-2</v>
      </c>
      <c r="BS8" s="12">
        <f t="shared" si="4"/>
        <v>4.9339123070240021E-2</v>
      </c>
      <c r="BT8" s="12">
        <f t="shared" si="4"/>
        <v>-8.4144026041030884E-2</v>
      </c>
      <c r="BU8" s="12">
        <f t="shared" si="4"/>
        <v>-9.0233713388442993E-2</v>
      </c>
      <c r="BV8" s="12">
        <f t="shared" si="4"/>
        <v>-0.1029478386044502</v>
      </c>
      <c r="BW8" s="12">
        <f t="shared" si="4"/>
        <v>-7.1088537573814392E-2</v>
      </c>
      <c r="BX8" s="12">
        <f t="shared" si="4"/>
        <v>3.8252223283052438E-2</v>
      </c>
      <c r="BY8" s="12">
        <f t="shared" si="4"/>
        <v>-2.413135394454002E-2</v>
      </c>
      <c r="BZ8" s="12">
        <f t="shared" si="4"/>
        <v>-5.1592431962490082E-2</v>
      </c>
      <c r="CA8" s="12">
        <f t="shared" si="4"/>
        <v>8.7816245853900909E-2</v>
      </c>
      <c r="CB8" s="12">
        <f t="shared" si="4"/>
        <v>-4.3355219066143043E-2</v>
      </c>
      <c r="CC8" s="12">
        <f t="shared" si="4"/>
        <v>-7.9050444066524506E-2</v>
      </c>
      <c r="CD8" s="12">
        <f t="shared" si="4"/>
        <v>-0.1116790845990181</v>
      </c>
      <c r="CE8" s="12">
        <f t="shared" si="4"/>
        <v>-8.4638349711894989E-2</v>
      </c>
      <c r="CF8" s="12">
        <f t="shared" si="4"/>
        <v>-8.8114269077777863E-2</v>
      </c>
      <c r="CG8" s="12">
        <f t="shared" si="4"/>
        <v>-9.862682968378067E-2</v>
      </c>
      <c r="CH8" s="12">
        <f t="shared" si="4"/>
        <v>-7.5061611831188202E-2</v>
      </c>
      <c r="CI8" s="12">
        <f t="shared" si="4"/>
        <v>-5.5998209863901138E-2</v>
      </c>
      <c r="CJ8" s="12">
        <f t="shared" si="4"/>
        <v>-0.1101485714316368</v>
      </c>
      <c r="CK8" s="12">
        <f t="shared" si="4"/>
        <v>4.6726226806640618E-2</v>
      </c>
      <c r="CL8" s="12">
        <f t="shared" si="4"/>
        <v>5.5295374244451523E-2</v>
      </c>
      <c r="CM8" s="12">
        <f t="shared" si="4"/>
        <v>-2.1875450387597081E-2</v>
      </c>
      <c r="CN8" s="12">
        <f t="shared" si="4"/>
        <v>-5.8284953236579902E-2</v>
      </c>
      <c r="CO8" s="12">
        <f t="shared" si="4"/>
        <v>3.5640694200992577E-2</v>
      </c>
      <c r="CP8" s="12">
        <f t="shared" si="4"/>
        <v>3.5830866545438773E-2</v>
      </c>
      <c r="CQ8" s="12">
        <f t="shared" si="4"/>
        <v>2.45636235922575E-2</v>
      </c>
      <c r="CR8" s="12">
        <f t="shared" si="4"/>
        <v>-4.5928843319416053E-2</v>
      </c>
      <c r="CS8" s="12">
        <f t="shared" si="4"/>
        <v>-0.1024853959679604</v>
      </c>
      <c r="CT8" s="12">
        <f t="shared" si="4"/>
        <v>5.863029882311821E-2</v>
      </c>
      <c r="CU8" s="12">
        <f t="shared" si="4"/>
        <v>-0.1111449897289276</v>
      </c>
      <c r="CV8" s="12">
        <f t="shared" si="4"/>
        <v>4.6454016119241708E-2</v>
      </c>
      <c r="CW8" s="12">
        <f t="shared" si="4"/>
        <v>7.367561012506485E-2</v>
      </c>
      <c r="CX8" s="12">
        <f t="shared" si="4"/>
        <v>-8.237186074256897E-2</v>
      </c>
      <c r="CY8" s="12">
        <f t="shared" si="4"/>
        <v>-4.1168216615915298E-2</v>
      </c>
      <c r="CZ8" s="12">
        <f t="shared" si="4"/>
        <v>-7.4366219341754913E-2</v>
      </c>
      <c r="DA8" s="12">
        <f t="shared" si="4"/>
        <v>-4.7027502208948142E-2</v>
      </c>
      <c r="DB8" s="12">
        <f t="shared" si="4"/>
        <v>1.5304354019463061E-2</v>
      </c>
      <c r="DC8" s="12">
        <f t="shared" si="4"/>
        <v>3.0327405780553821E-2</v>
      </c>
      <c r="DD8" s="12">
        <f t="shared" si="4"/>
        <v>5.3778979927301407E-2</v>
      </c>
      <c r="DE8" s="12">
        <f t="shared" si="4"/>
        <v>-5.5287983268499367E-2</v>
      </c>
      <c r="DF8" s="12">
        <f t="shared" si="4"/>
        <v>3.9528455585241318E-2</v>
      </c>
      <c r="DG8" s="12">
        <f t="shared" si="4"/>
        <v>-8.2107760012149811E-2</v>
      </c>
      <c r="DH8" s="12">
        <f t="shared" si="4"/>
        <v>-5.2850812673568733E-2</v>
      </c>
      <c r="DI8" s="12">
        <f t="shared" si="4"/>
        <v>-7.8471429646015167E-2</v>
      </c>
      <c r="DJ8" s="12">
        <f t="shared" si="4"/>
        <v>4.8156458884477622E-2</v>
      </c>
      <c r="DK8" s="12">
        <f t="shared" si="4"/>
        <v>3.9779618382453918E-2</v>
      </c>
      <c r="DL8" s="12">
        <f t="shared" si="4"/>
        <v>2.912280336022377E-2</v>
      </c>
      <c r="DM8" s="12">
        <f t="shared" si="4"/>
        <v>5.5858355015516281E-2</v>
      </c>
      <c r="DN8" s="12">
        <f t="shared" si="4"/>
        <v>-6.0538295656442642E-2</v>
      </c>
      <c r="DO8" s="12">
        <f t="shared" si="4"/>
        <v>-4.1845731437206268E-2</v>
      </c>
      <c r="DP8" s="12">
        <f t="shared" si="4"/>
        <v>-2.293764241039753E-2</v>
      </c>
      <c r="DQ8" s="12">
        <f t="shared" si="4"/>
        <v>3.2798897475004203E-2</v>
      </c>
      <c r="DR8" s="12">
        <f t="shared" si="4"/>
        <v>7.5242564082145691E-2</v>
      </c>
      <c r="DS8" s="12">
        <f t="shared" si="4"/>
        <v>-6.3791960477828979E-2</v>
      </c>
      <c r="DT8" s="12">
        <f t="shared" si="4"/>
        <v>-2.437188662588596E-2</v>
      </c>
      <c r="DU8" s="12">
        <f t="shared" si="4"/>
        <v>2.8318654745817181E-2</v>
      </c>
      <c r="DV8" s="12">
        <f t="shared" si="4"/>
        <v>-3.9159540086984627E-2</v>
      </c>
      <c r="DW8" s="12">
        <f t="shared" si="4"/>
        <v>4.162212461233139E-2</v>
      </c>
      <c r="DX8" s="12">
        <f t="shared" si="4"/>
        <v>-2.5841465219855309E-2</v>
      </c>
      <c r="DY8" s="12">
        <f t="shared" si="4"/>
        <v>-2.6736544445157051E-2</v>
      </c>
      <c r="DZ8" s="12">
        <f t="shared" si="4"/>
        <v>-3.2960411161184311E-2</v>
      </c>
      <c r="EA8" s="12">
        <f t="shared" ref="EA8:EF8" si="5">IF(EA6=1,EA3,IF(EA6=2,EA4,IF(EA6=3,EA5)))</f>
        <v>-4.8574574291706092E-2</v>
      </c>
      <c r="EB8" s="12">
        <f t="shared" si="5"/>
        <v>-0.1051784828305244</v>
      </c>
      <c r="EC8" s="12">
        <f t="shared" si="5"/>
        <v>4.5648753643035889E-2</v>
      </c>
      <c r="ED8" s="12">
        <f t="shared" si="5"/>
        <v>-0.1028049290180206</v>
      </c>
      <c r="EE8" s="12">
        <f t="shared" si="5"/>
        <v>5.7367391884326928E-2</v>
      </c>
      <c r="EF8" s="12">
        <f t="shared" si="5"/>
        <v>-3.865974023938179E-2</v>
      </c>
    </row>
    <row r="10" spans="1:138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184</v>
      </c>
      <c r="EG11" s="5" t="s">
        <v>209</v>
      </c>
      <c r="EH11" s="5" t="s">
        <v>188</v>
      </c>
    </row>
    <row r="12" spans="1:138">
      <c r="A12" s="2">
        <v>10</v>
      </c>
      <c r="B12" s="2">
        <v>96</v>
      </c>
      <c r="C12" s="12">
        <f>IF(預測IC!C12&gt;預測IC!C$26,1,0)</f>
        <v>1</v>
      </c>
      <c r="D12" s="12">
        <f>IF(預測IC!D12&gt;預測IC!D$26,1,0)</f>
        <v>1</v>
      </c>
      <c r="E12" s="12">
        <f>IF(預測IC!E12&gt;預測IC!E$26,1,0)</f>
        <v>1</v>
      </c>
      <c r="F12" s="12">
        <f>IF(預測IC!F12&gt;預測IC!F$26,1,0)</f>
        <v>0</v>
      </c>
      <c r="G12" s="12">
        <f>IF(預測IC!G12&gt;預測IC!G$26,1,0)</f>
        <v>0</v>
      </c>
      <c r="H12" s="12">
        <f>IF(預測IC!H12&gt;預測IC!H$26,1,0)</f>
        <v>1</v>
      </c>
      <c r="I12" s="12">
        <f>IF(預測IC!I12&gt;預測IC!I$26,1,0)</f>
        <v>0</v>
      </c>
      <c r="J12" s="12">
        <f>IF(預測IC!J12&gt;預測IC!J$26,1,0)</f>
        <v>0</v>
      </c>
      <c r="K12" s="12">
        <f>IF(預測IC!K12&gt;預測IC!K$26,1,0)</f>
        <v>1</v>
      </c>
      <c r="L12" s="12">
        <f>IF(預測IC!L12&gt;預測IC!L$26,1,0)</f>
        <v>1</v>
      </c>
      <c r="M12" s="12">
        <f>IF(預測IC!M12&gt;預測IC!M$26,1,0)</f>
        <v>0</v>
      </c>
      <c r="N12" s="12">
        <f>IF(預測IC!N12&gt;預測IC!N$26,1,0)</f>
        <v>0</v>
      </c>
      <c r="O12" s="12">
        <f>IF(預測IC!O12&gt;預測IC!O$26,1,0)</f>
        <v>1</v>
      </c>
      <c r="P12" s="12">
        <f>IF(預測IC!P12&gt;預測IC!P$26,1,0)</f>
        <v>0</v>
      </c>
      <c r="Q12" s="12">
        <f>IF(預測IC!Q12&gt;預測IC!Q$26,1,0)</f>
        <v>1</v>
      </c>
      <c r="R12" s="12">
        <f>IF(預測IC!R12&gt;預測IC!R$26,1,0)</f>
        <v>0</v>
      </c>
      <c r="S12" s="12">
        <f>IF(預測IC!S12&gt;預測IC!S$26,1,0)</f>
        <v>1</v>
      </c>
      <c r="T12" s="12">
        <f>IF(預測IC!T12&gt;預測IC!T$26,1,0)</f>
        <v>1</v>
      </c>
      <c r="U12" s="12">
        <f>IF(預測IC!U12&gt;預測IC!U$26,1,0)</f>
        <v>1</v>
      </c>
      <c r="V12" s="12">
        <f>IF(預測IC!V12&gt;預測IC!V$26,1,0)</f>
        <v>1</v>
      </c>
      <c r="W12" s="12">
        <f>IF(預測IC!W12&gt;預測IC!W$26,1,0)</f>
        <v>1</v>
      </c>
      <c r="X12" s="12">
        <f>IF(預測IC!X12&gt;預測IC!X$26,1,0)</f>
        <v>1</v>
      </c>
      <c r="Y12" s="12">
        <f>IF(預測IC!Y12&gt;預測IC!Y$26,1,0)</f>
        <v>1</v>
      </c>
      <c r="Z12" s="12">
        <f>IF(預測IC!Z12&gt;預測IC!Z$26,1,0)</f>
        <v>0</v>
      </c>
      <c r="AA12" s="12">
        <f>IF(預測IC!AA12&gt;預測IC!AA$26,1,0)</f>
        <v>1</v>
      </c>
      <c r="AB12" s="12">
        <f>IF(預測IC!AB12&gt;預測IC!AB$26,1,0)</f>
        <v>0</v>
      </c>
      <c r="AC12" s="12">
        <f>IF(預測IC!AC12&gt;預測IC!AC$26,1,0)</f>
        <v>0</v>
      </c>
      <c r="AD12" s="12">
        <f>IF(預測IC!AD12&gt;預測IC!AD$26,1,0)</f>
        <v>1</v>
      </c>
      <c r="AE12" s="12">
        <f>IF(預測IC!AE12&gt;預測IC!AE$26,1,0)</f>
        <v>1</v>
      </c>
      <c r="AF12" s="12">
        <f>IF(預測IC!AF12&gt;預測IC!AF$26,1,0)</f>
        <v>1</v>
      </c>
      <c r="AG12" s="12">
        <f>IF(預測IC!AG12&gt;預測IC!AG$26,1,0)</f>
        <v>0</v>
      </c>
      <c r="AH12" s="12">
        <f>IF(預測IC!AH12&gt;預測IC!AH$26,1,0)</f>
        <v>0</v>
      </c>
      <c r="AI12" s="12">
        <f>IF(預測IC!AI12&gt;預測IC!AI$26,1,0)</f>
        <v>0</v>
      </c>
      <c r="AJ12" s="12">
        <f>IF(預測IC!AJ12&gt;預測IC!AJ$26,1,0)</f>
        <v>0</v>
      </c>
      <c r="AK12" s="12">
        <f>IF(預測IC!AK12&gt;預測IC!AK$26,1,0)</f>
        <v>0</v>
      </c>
      <c r="AL12" s="12">
        <f>IF(預測IC!AL12&gt;預測IC!AL$26,1,0)</f>
        <v>1</v>
      </c>
      <c r="AM12" s="12">
        <f>IF(預測IC!AM12&gt;預測IC!AM$26,1,0)</f>
        <v>0</v>
      </c>
      <c r="AN12" s="12">
        <f>IF(預測IC!AN12&gt;預測IC!AN$26,1,0)</f>
        <v>0</v>
      </c>
      <c r="AO12" s="12">
        <f>IF(預測IC!AO12&gt;預測IC!AO$26,1,0)</f>
        <v>0</v>
      </c>
      <c r="AP12" s="12">
        <f>IF(預測IC!AP12&gt;預測IC!AP$26,1,0)</f>
        <v>0</v>
      </c>
      <c r="AQ12" s="12">
        <f>IF(預測IC!AQ12&gt;預測IC!AQ$26,1,0)</f>
        <v>0</v>
      </c>
      <c r="AR12" s="12">
        <f>IF(預測IC!AR12&gt;預測IC!AR$26,1,0)</f>
        <v>0</v>
      </c>
      <c r="AS12" s="12">
        <f>IF(預測IC!AS12&gt;預測IC!AS$26,1,0)</f>
        <v>1</v>
      </c>
      <c r="AT12" s="12">
        <f>IF(預測IC!AT12&gt;預測IC!AT$26,1,0)</f>
        <v>0</v>
      </c>
      <c r="AU12" s="12">
        <f>IF(預測IC!AU12&gt;預測IC!AU$26,1,0)</f>
        <v>1</v>
      </c>
      <c r="AV12" s="12">
        <f>IF(預測IC!AV12&gt;預測IC!AV$26,1,0)</f>
        <v>0</v>
      </c>
      <c r="AW12" s="12">
        <f>IF(預測IC!AW12&gt;預測IC!AW$26,1,0)</f>
        <v>1</v>
      </c>
      <c r="AX12" s="12">
        <f>IF(預測IC!AX12&gt;預測IC!AX$26,1,0)</f>
        <v>1</v>
      </c>
      <c r="AY12" s="12">
        <f>IF(預測IC!AY12&gt;預測IC!AY$26,1,0)</f>
        <v>0</v>
      </c>
      <c r="AZ12" s="12">
        <f>IF(預測IC!AZ12&gt;預測IC!AZ$26,1,0)</f>
        <v>1</v>
      </c>
      <c r="BA12" s="12">
        <f>IF(預測IC!BA12&gt;預測IC!BA$26,1,0)</f>
        <v>0</v>
      </c>
      <c r="BB12" s="12">
        <f>IF(預測IC!BB12&gt;預測IC!BB$26,1,0)</f>
        <v>1</v>
      </c>
      <c r="BC12" s="12">
        <f>IF(預測IC!BC12&gt;預測IC!BC$26,1,0)</f>
        <v>0</v>
      </c>
      <c r="BD12" s="12">
        <f>IF(預測IC!BD12&gt;預測IC!BD$26,1,0)</f>
        <v>1</v>
      </c>
      <c r="BE12" s="12">
        <f>IF(預測IC!BE12&gt;預測IC!BE$26,1,0)</f>
        <v>0</v>
      </c>
      <c r="BF12" s="12">
        <f>IF(預測IC!BF12&gt;預測IC!BF$26,1,0)</f>
        <v>0</v>
      </c>
      <c r="BG12" s="12">
        <f>IF(預測IC!BG12&gt;預測IC!BG$26,1,0)</f>
        <v>1</v>
      </c>
      <c r="BH12" s="12">
        <f>IF(預測IC!BH12&gt;預測IC!BH$26,1,0)</f>
        <v>1</v>
      </c>
      <c r="BI12" s="12">
        <f>IF(預測IC!BI12&gt;預測IC!BI$26,1,0)</f>
        <v>1</v>
      </c>
      <c r="BJ12" s="12">
        <f>IF(預測IC!BJ12&gt;預測IC!BJ$26,1,0)</f>
        <v>1</v>
      </c>
      <c r="BK12" s="12">
        <f>IF(預測IC!BK12&gt;預測IC!BK$26,1,0)</f>
        <v>0</v>
      </c>
      <c r="BL12" s="12">
        <f>IF(預測IC!BL12&gt;預測IC!BL$26,1,0)</f>
        <v>0</v>
      </c>
      <c r="BM12" s="12">
        <f>IF(預測IC!BM12&gt;預測IC!BM$26,1,0)</f>
        <v>0</v>
      </c>
      <c r="BN12" s="12">
        <f>IF(預測IC!BN12&gt;預測IC!BN$26,1,0)</f>
        <v>0</v>
      </c>
      <c r="BO12" s="12">
        <f>IF(預測IC!BO12&gt;預測IC!BO$26,1,0)</f>
        <v>1</v>
      </c>
      <c r="BP12" s="12">
        <f>IF(預測IC!BP12&gt;預測IC!BP$26,1,0)</f>
        <v>0</v>
      </c>
      <c r="BQ12" s="12">
        <f>IF(預測IC!BQ12&gt;預測IC!BQ$26,1,0)</f>
        <v>1</v>
      </c>
      <c r="BR12" s="12">
        <f>IF(預測IC!BR12&gt;預測IC!BR$26,1,0)</f>
        <v>1</v>
      </c>
      <c r="BS12" s="12">
        <f>IF(預測IC!BS12&gt;預測IC!BS$26,1,0)</f>
        <v>0</v>
      </c>
      <c r="BT12" s="12">
        <f>IF(預測IC!BT12&gt;預測IC!BT$26,1,0)</f>
        <v>0</v>
      </c>
      <c r="BU12" s="12">
        <f>IF(預測IC!BU12&gt;預測IC!BU$26,1,0)</f>
        <v>0</v>
      </c>
      <c r="BV12" s="12">
        <f>IF(預測IC!BV12&gt;預測IC!BV$26,1,0)</f>
        <v>0</v>
      </c>
      <c r="BW12" s="12">
        <f>IF(預測IC!BW12&gt;預測IC!BW$26,1,0)</f>
        <v>1</v>
      </c>
      <c r="BX12" s="12">
        <f>IF(預測IC!BX12&gt;預測IC!BX$26,1,0)</f>
        <v>1</v>
      </c>
      <c r="BY12" s="12">
        <f>IF(預測IC!BY12&gt;預測IC!BY$26,1,0)</f>
        <v>1</v>
      </c>
      <c r="BZ12" s="12">
        <f>IF(預測IC!BZ12&gt;預測IC!BZ$26,1,0)</f>
        <v>0</v>
      </c>
      <c r="CA12" s="12">
        <f>IF(預測IC!CA12&gt;預測IC!CA$26,1,0)</f>
        <v>0</v>
      </c>
      <c r="CB12" s="12">
        <f>IF(預測IC!CB12&gt;預測IC!CB$26,1,0)</f>
        <v>0</v>
      </c>
      <c r="CC12" s="12">
        <f>IF(預測IC!CC12&gt;預測IC!CC$26,1,0)</f>
        <v>0</v>
      </c>
      <c r="CD12" s="12">
        <f>IF(預測IC!CD12&gt;預測IC!CD$26,1,0)</f>
        <v>1</v>
      </c>
      <c r="CE12" s="12">
        <f>IF(預測IC!CE12&gt;預測IC!CE$26,1,0)</f>
        <v>1</v>
      </c>
      <c r="CF12" s="12">
        <f>IF(預測IC!CF12&gt;預測IC!CF$26,1,0)</f>
        <v>1</v>
      </c>
      <c r="CG12" s="12">
        <f>IF(預測IC!CG12&gt;預測IC!CG$26,1,0)</f>
        <v>0</v>
      </c>
      <c r="CH12" s="12">
        <f>IF(預測IC!CH12&gt;預測IC!CH$26,1,0)</f>
        <v>0</v>
      </c>
      <c r="CI12" s="12">
        <f>IF(預測IC!CI12&gt;預測IC!CI$26,1,0)</f>
        <v>0</v>
      </c>
      <c r="CJ12" s="12">
        <f>IF(預測IC!CJ12&gt;預測IC!CJ$26,1,0)</f>
        <v>0</v>
      </c>
      <c r="CK12" s="12">
        <f>IF(預測IC!CK12&gt;預測IC!CK$26,1,0)</f>
        <v>0</v>
      </c>
      <c r="CL12" s="12">
        <f>IF(預測IC!CL12&gt;預測IC!CL$26,1,0)</f>
        <v>1</v>
      </c>
      <c r="CM12" s="12">
        <f>IF(預測IC!CM12&gt;預測IC!CM$26,1,0)</f>
        <v>0</v>
      </c>
      <c r="CN12" s="12">
        <f>IF(預測IC!CN12&gt;預測IC!CN$26,1,0)</f>
        <v>0</v>
      </c>
      <c r="CO12" s="12">
        <f>IF(預測IC!CO12&gt;預測IC!CO$26,1,0)</f>
        <v>1</v>
      </c>
      <c r="CP12" s="12">
        <f>IF(預測IC!CP12&gt;預測IC!CP$26,1,0)</f>
        <v>1</v>
      </c>
      <c r="CQ12" s="12">
        <f>IF(預測IC!CQ12&gt;預測IC!CQ$26,1,0)</f>
        <v>1</v>
      </c>
      <c r="CR12" s="12">
        <f>IF(預測IC!CR12&gt;預測IC!CR$26,1,0)</f>
        <v>1</v>
      </c>
      <c r="CS12" s="12">
        <f>IF(預測IC!CS12&gt;預測IC!CS$26,1,0)</f>
        <v>0</v>
      </c>
      <c r="CT12" s="12">
        <f>IF(預測IC!CT12&gt;預測IC!CT$26,1,0)</f>
        <v>0</v>
      </c>
      <c r="CU12" s="12">
        <f>IF(預測IC!CU12&gt;預測IC!CU$26,1,0)</f>
        <v>0</v>
      </c>
      <c r="CV12" s="12">
        <f>IF(預測IC!CV12&gt;預測IC!CV$26,1,0)</f>
        <v>1</v>
      </c>
      <c r="CW12" s="12">
        <f>IF(預測IC!CW12&gt;預測IC!CW$26,1,0)</f>
        <v>1</v>
      </c>
      <c r="CX12" s="12">
        <f>IF(預測IC!CX12&gt;預測IC!CX$26,1,0)</f>
        <v>1</v>
      </c>
      <c r="CY12" s="12">
        <f>IF(預測IC!CY12&gt;預測IC!CY$26,1,0)</f>
        <v>0</v>
      </c>
      <c r="CZ12" s="12">
        <f>IF(預測IC!CZ12&gt;預測IC!CZ$26,1,0)</f>
        <v>1</v>
      </c>
      <c r="DA12" s="12">
        <f>IF(預測IC!DA12&gt;預測IC!DA$26,1,0)</f>
        <v>0</v>
      </c>
      <c r="DB12" s="12">
        <f>IF(預測IC!DB12&gt;預測IC!DB$26,1,0)</f>
        <v>1</v>
      </c>
      <c r="DC12" s="12">
        <f>IF(預測IC!DC12&gt;預測IC!DC$26,1,0)</f>
        <v>1</v>
      </c>
      <c r="DD12" s="12">
        <f>IF(預測IC!DD12&gt;預測IC!DD$26,1,0)</f>
        <v>0</v>
      </c>
      <c r="DE12" s="12">
        <f>IF(預測IC!DE12&gt;預測IC!DE$26,1,0)</f>
        <v>0</v>
      </c>
      <c r="DF12" s="12">
        <f>IF(預測IC!DF12&gt;預測IC!DF$26,1,0)</f>
        <v>0</v>
      </c>
      <c r="DG12" s="12">
        <f>IF(預測IC!DG12&gt;預測IC!DG$26,1,0)</f>
        <v>0</v>
      </c>
      <c r="DH12" s="12">
        <f>IF(預測IC!DH12&gt;預測IC!DH$26,1,0)</f>
        <v>0</v>
      </c>
      <c r="DI12" s="12">
        <f>IF(預測IC!DI12&gt;預測IC!DI$26,1,0)</f>
        <v>0</v>
      </c>
      <c r="DJ12" s="12">
        <f>IF(預測IC!DJ12&gt;預測IC!DJ$26,1,0)</f>
        <v>1</v>
      </c>
      <c r="DK12" s="12">
        <f>IF(預測IC!DK12&gt;預測IC!DK$26,1,0)</f>
        <v>0</v>
      </c>
      <c r="DL12" s="12">
        <f>IF(預測IC!DL12&gt;預測IC!DL$26,1,0)</f>
        <v>0</v>
      </c>
      <c r="DM12" s="12">
        <f>IF(預測IC!DM12&gt;預測IC!DM$26,1,0)</f>
        <v>1</v>
      </c>
      <c r="DN12" s="12">
        <f>IF(預測IC!DN12&gt;預測IC!DN$26,1,0)</f>
        <v>1</v>
      </c>
      <c r="DO12" s="12">
        <f>IF(預測IC!DO12&gt;預測IC!DO$26,1,0)</f>
        <v>0</v>
      </c>
      <c r="DP12" s="12">
        <f>IF(預測IC!DP12&gt;預測IC!DP$26,1,0)</f>
        <v>1</v>
      </c>
      <c r="DQ12" s="12">
        <f>IF(預測IC!DQ12&gt;預測IC!DQ$26,1,0)</f>
        <v>0</v>
      </c>
      <c r="DR12" s="12">
        <f>IF(預測IC!DR12&gt;預測IC!DR$26,1,0)</f>
        <v>0</v>
      </c>
      <c r="DS12" s="12">
        <f>IF(預測IC!DS12&gt;預測IC!DS$26,1,0)</f>
        <v>1</v>
      </c>
      <c r="DT12" s="12">
        <f>IF(預測IC!DT12&gt;預測IC!DT$26,1,0)</f>
        <v>0</v>
      </c>
      <c r="DU12" s="12">
        <f>IF(預測IC!DU12&gt;預測IC!DU$26,1,0)</f>
        <v>0</v>
      </c>
      <c r="DV12" s="12">
        <f>IF(預測IC!DV12&gt;預測IC!DV$26,1,0)</f>
        <v>0</v>
      </c>
      <c r="DW12" s="12">
        <f>IF(預測IC!DW12&gt;預測IC!DW$26,1,0)</f>
        <v>0</v>
      </c>
      <c r="DX12" s="12">
        <f>IF(預測IC!DX12&gt;預測IC!DX$26,1,0)</f>
        <v>0</v>
      </c>
      <c r="DY12" s="12">
        <f>IF(預測IC!DY12&gt;預測IC!DY$26,1,0)</f>
        <v>1</v>
      </c>
      <c r="DZ12" s="12">
        <f>IF(預測IC!DZ12&gt;預測IC!DZ$26,1,0)</f>
        <v>1</v>
      </c>
      <c r="EA12" s="12">
        <f>IF(預測IC!EA12&gt;預測IC!EA$26,1,0)</f>
        <v>0</v>
      </c>
      <c r="EB12" s="12">
        <f>IF(預測IC!EB12&gt;預測IC!EB$26,1,0)</f>
        <v>0</v>
      </c>
      <c r="EC12" s="12">
        <f>IF(預測IC!EC12&gt;預測IC!EC$26,1,0)</f>
        <v>1</v>
      </c>
      <c r="ED12" s="12">
        <f>IF(預測IC!ED12&gt;預測IC!ED$26,1,0)</f>
        <v>1</v>
      </c>
      <c r="EE12" s="12">
        <f>IF(預測IC!EE12&gt;預測IC!EE$26,1,0)</f>
        <v>1</v>
      </c>
      <c r="EF12" s="12">
        <f>IF(預測IC!EF12&gt;預測IC!EF$26,1,0)</f>
        <v>0</v>
      </c>
      <c r="EG12">
        <f t="shared" ref="EG12:EG24" si="6">SUM(C12:EF12)</f>
        <v>61</v>
      </c>
      <c r="EH12" s="9">
        <f t="shared" ref="EH12:EH24" si="7">SUM(C12:EF12)/134</f>
        <v>0.45522388059701491</v>
      </c>
    </row>
    <row r="13" spans="1:138">
      <c r="A13" s="2">
        <v>20</v>
      </c>
      <c r="B13" s="2">
        <v>48</v>
      </c>
      <c r="C13" s="12">
        <f>IF(預測IC!C13&gt;預測IC!C$26,1,0)</f>
        <v>1</v>
      </c>
      <c r="D13" s="12">
        <f>IF(預測IC!D13&gt;預測IC!D$26,1,0)</f>
        <v>1</v>
      </c>
      <c r="E13" s="12">
        <f>IF(預測IC!E13&gt;預測IC!E$26,1,0)</f>
        <v>1</v>
      </c>
      <c r="F13" s="12">
        <f>IF(預測IC!F13&gt;預測IC!F$26,1,0)</f>
        <v>0</v>
      </c>
      <c r="G13" s="12">
        <f>IF(預測IC!G13&gt;預測IC!G$26,1,0)</f>
        <v>0</v>
      </c>
      <c r="H13" s="12">
        <f>IF(預測IC!H13&gt;預測IC!H$26,1,0)</f>
        <v>0</v>
      </c>
      <c r="I13" s="12">
        <f>IF(預測IC!I13&gt;預測IC!I$26,1,0)</f>
        <v>0</v>
      </c>
      <c r="J13" s="12">
        <f>IF(預測IC!J13&gt;預測IC!J$26,1,0)</f>
        <v>0</v>
      </c>
      <c r="K13" s="12">
        <f>IF(預測IC!K13&gt;預測IC!K$26,1,0)</f>
        <v>1</v>
      </c>
      <c r="L13" s="12">
        <f>IF(預測IC!L13&gt;預測IC!L$26,1,0)</f>
        <v>1</v>
      </c>
      <c r="M13" s="12">
        <f>IF(預測IC!M13&gt;預測IC!M$26,1,0)</f>
        <v>0</v>
      </c>
      <c r="N13" s="12">
        <f>IF(預測IC!N13&gt;預測IC!N$26,1,0)</f>
        <v>0</v>
      </c>
      <c r="O13" s="12">
        <f>IF(預測IC!O13&gt;預測IC!O$26,1,0)</f>
        <v>1</v>
      </c>
      <c r="P13" s="12">
        <f>IF(預測IC!P13&gt;預測IC!P$26,1,0)</f>
        <v>0</v>
      </c>
      <c r="Q13" s="12">
        <f>IF(預測IC!Q13&gt;預測IC!Q$26,1,0)</f>
        <v>0</v>
      </c>
      <c r="R13" s="12">
        <f>IF(預測IC!R13&gt;預測IC!R$26,1,0)</f>
        <v>0</v>
      </c>
      <c r="S13" s="12">
        <f>IF(預測IC!S13&gt;預測IC!S$26,1,0)</f>
        <v>1</v>
      </c>
      <c r="T13" s="12">
        <f>IF(預測IC!T13&gt;預測IC!T$26,1,0)</f>
        <v>1</v>
      </c>
      <c r="U13" s="12">
        <f>IF(預測IC!U13&gt;預測IC!U$26,1,0)</f>
        <v>1</v>
      </c>
      <c r="V13" s="12">
        <f>IF(預測IC!V13&gt;預測IC!V$26,1,0)</f>
        <v>1</v>
      </c>
      <c r="W13" s="12">
        <f>IF(預測IC!W13&gt;預測IC!W$26,1,0)</f>
        <v>1</v>
      </c>
      <c r="X13" s="12">
        <f>IF(預測IC!X13&gt;預測IC!X$26,1,0)</f>
        <v>1</v>
      </c>
      <c r="Y13" s="12">
        <f>IF(預測IC!Y13&gt;預測IC!Y$26,1,0)</f>
        <v>1</v>
      </c>
      <c r="Z13" s="12">
        <f>IF(預測IC!Z13&gt;預測IC!Z$26,1,0)</f>
        <v>0</v>
      </c>
      <c r="AA13" s="12">
        <f>IF(預測IC!AA13&gt;預測IC!AA$26,1,0)</f>
        <v>1</v>
      </c>
      <c r="AB13" s="12">
        <f>IF(預測IC!AB13&gt;預測IC!AB$26,1,0)</f>
        <v>0</v>
      </c>
      <c r="AC13" s="12">
        <f>IF(預測IC!AC13&gt;預測IC!AC$26,1,0)</f>
        <v>0</v>
      </c>
      <c r="AD13" s="12">
        <f>IF(預測IC!AD13&gt;預測IC!AD$26,1,0)</f>
        <v>1</v>
      </c>
      <c r="AE13" s="12">
        <f>IF(預測IC!AE13&gt;預測IC!AE$26,1,0)</f>
        <v>1</v>
      </c>
      <c r="AF13" s="12">
        <f>IF(預測IC!AF13&gt;預測IC!AF$26,1,0)</f>
        <v>1</v>
      </c>
      <c r="AG13" s="12">
        <f>IF(預測IC!AG13&gt;預測IC!AG$26,1,0)</f>
        <v>0</v>
      </c>
      <c r="AH13" s="12">
        <f>IF(預測IC!AH13&gt;預測IC!AH$26,1,0)</f>
        <v>0</v>
      </c>
      <c r="AI13" s="12">
        <f>IF(預測IC!AI13&gt;預測IC!AI$26,1,0)</f>
        <v>1</v>
      </c>
      <c r="AJ13" s="12">
        <f>IF(預測IC!AJ13&gt;預測IC!AJ$26,1,0)</f>
        <v>1</v>
      </c>
      <c r="AK13" s="12">
        <f>IF(預測IC!AK13&gt;預測IC!AK$26,1,0)</f>
        <v>0</v>
      </c>
      <c r="AL13" s="12">
        <f>IF(預測IC!AL13&gt;預測IC!AL$26,1,0)</f>
        <v>1</v>
      </c>
      <c r="AM13" s="12">
        <f>IF(預測IC!AM13&gt;預測IC!AM$26,1,0)</f>
        <v>0</v>
      </c>
      <c r="AN13" s="12">
        <f>IF(預測IC!AN13&gt;預測IC!AN$26,1,0)</f>
        <v>0</v>
      </c>
      <c r="AO13" s="12">
        <f>IF(預測IC!AO13&gt;預測IC!AO$26,1,0)</f>
        <v>1</v>
      </c>
      <c r="AP13" s="12">
        <f>IF(預測IC!AP13&gt;預測IC!AP$26,1,0)</f>
        <v>1</v>
      </c>
      <c r="AQ13" s="12">
        <f>IF(預測IC!AQ13&gt;預測IC!AQ$26,1,0)</f>
        <v>0</v>
      </c>
      <c r="AR13" s="12">
        <f>IF(預測IC!AR13&gt;預測IC!AR$26,1,0)</f>
        <v>0</v>
      </c>
      <c r="AS13" s="12">
        <f>IF(預測IC!AS13&gt;預測IC!AS$26,1,0)</f>
        <v>0</v>
      </c>
      <c r="AT13" s="12">
        <f>IF(預測IC!AT13&gt;預測IC!AT$26,1,0)</f>
        <v>1</v>
      </c>
      <c r="AU13" s="12">
        <f>IF(預測IC!AU13&gt;預測IC!AU$26,1,0)</f>
        <v>1</v>
      </c>
      <c r="AV13" s="12">
        <f>IF(預測IC!AV13&gt;預測IC!AV$26,1,0)</f>
        <v>0</v>
      </c>
      <c r="AW13" s="12">
        <f>IF(預測IC!AW13&gt;預測IC!AW$26,1,0)</f>
        <v>1</v>
      </c>
      <c r="AX13" s="12">
        <f>IF(預測IC!AX13&gt;預測IC!AX$26,1,0)</f>
        <v>1</v>
      </c>
      <c r="AY13" s="12">
        <f>IF(預測IC!AY13&gt;預測IC!AY$26,1,0)</f>
        <v>0</v>
      </c>
      <c r="AZ13" s="12">
        <f>IF(預測IC!AZ13&gt;預測IC!AZ$26,1,0)</f>
        <v>1</v>
      </c>
      <c r="BA13" s="12">
        <f>IF(預測IC!BA13&gt;預測IC!BA$26,1,0)</f>
        <v>0</v>
      </c>
      <c r="BB13" s="12">
        <f>IF(預測IC!BB13&gt;預測IC!BB$26,1,0)</f>
        <v>1</v>
      </c>
      <c r="BC13" s="12">
        <f>IF(預測IC!BC13&gt;預測IC!BC$26,1,0)</f>
        <v>0</v>
      </c>
      <c r="BD13" s="12">
        <f>IF(預測IC!BD13&gt;預測IC!BD$26,1,0)</f>
        <v>1</v>
      </c>
      <c r="BE13" s="12">
        <f>IF(預測IC!BE13&gt;預測IC!BE$26,1,0)</f>
        <v>1</v>
      </c>
      <c r="BF13" s="12">
        <f>IF(預測IC!BF13&gt;預測IC!BF$26,1,0)</f>
        <v>0</v>
      </c>
      <c r="BG13" s="12">
        <f>IF(預測IC!BG13&gt;預測IC!BG$26,1,0)</f>
        <v>1</v>
      </c>
      <c r="BH13" s="12">
        <f>IF(預測IC!BH13&gt;預測IC!BH$26,1,0)</f>
        <v>1</v>
      </c>
      <c r="BI13" s="12">
        <f>IF(預測IC!BI13&gt;預測IC!BI$26,1,0)</f>
        <v>1</v>
      </c>
      <c r="BJ13" s="12">
        <f>IF(預測IC!BJ13&gt;預測IC!BJ$26,1,0)</f>
        <v>0</v>
      </c>
      <c r="BK13" s="12">
        <f>IF(預測IC!BK13&gt;預測IC!BK$26,1,0)</f>
        <v>0</v>
      </c>
      <c r="BL13" s="12">
        <f>IF(預測IC!BL13&gt;預測IC!BL$26,1,0)</f>
        <v>0</v>
      </c>
      <c r="BM13" s="12">
        <f>IF(預測IC!BM13&gt;預測IC!BM$26,1,0)</f>
        <v>0</v>
      </c>
      <c r="BN13" s="12">
        <f>IF(預測IC!BN13&gt;預測IC!BN$26,1,0)</f>
        <v>0</v>
      </c>
      <c r="BO13" s="12">
        <f>IF(預測IC!BO13&gt;預測IC!BO$26,1,0)</f>
        <v>1</v>
      </c>
      <c r="BP13" s="12">
        <f>IF(預測IC!BP13&gt;預測IC!BP$26,1,0)</f>
        <v>0</v>
      </c>
      <c r="BQ13" s="12">
        <f>IF(預測IC!BQ13&gt;預測IC!BQ$26,1,0)</f>
        <v>1</v>
      </c>
      <c r="BR13" s="12">
        <f>IF(預測IC!BR13&gt;預測IC!BR$26,1,0)</f>
        <v>1</v>
      </c>
      <c r="BS13" s="12">
        <f>IF(預測IC!BS13&gt;預測IC!BS$26,1,0)</f>
        <v>0</v>
      </c>
      <c r="BT13" s="12">
        <f>IF(預測IC!BT13&gt;預測IC!BT$26,1,0)</f>
        <v>0</v>
      </c>
      <c r="BU13" s="12">
        <f>IF(預測IC!BU13&gt;預測IC!BU$26,1,0)</f>
        <v>0</v>
      </c>
      <c r="BV13" s="12">
        <f>IF(預測IC!BV13&gt;預測IC!BV$26,1,0)</f>
        <v>0</v>
      </c>
      <c r="BW13" s="12">
        <f>IF(預測IC!BW13&gt;預測IC!BW$26,1,0)</f>
        <v>1</v>
      </c>
      <c r="BX13" s="12">
        <f>IF(預測IC!BX13&gt;預測IC!BX$26,1,0)</f>
        <v>1</v>
      </c>
      <c r="BY13" s="12">
        <f>IF(預測IC!BY13&gt;預測IC!BY$26,1,0)</f>
        <v>1</v>
      </c>
      <c r="BZ13" s="12">
        <f>IF(預測IC!BZ13&gt;預測IC!BZ$26,1,0)</f>
        <v>0</v>
      </c>
      <c r="CA13" s="12">
        <f>IF(預測IC!CA13&gt;預測IC!CA$26,1,0)</f>
        <v>0</v>
      </c>
      <c r="CB13" s="12">
        <f>IF(預測IC!CB13&gt;預測IC!CB$26,1,0)</f>
        <v>0</v>
      </c>
      <c r="CC13" s="12">
        <f>IF(預測IC!CC13&gt;預測IC!CC$26,1,0)</f>
        <v>1</v>
      </c>
      <c r="CD13" s="12">
        <f>IF(預測IC!CD13&gt;預測IC!CD$26,1,0)</f>
        <v>1</v>
      </c>
      <c r="CE13" s="12">
        <f>IF(預測IC!CE13&gt;預測IC!CE$26,1,0)</f>
        <v>1</v>
      </c>
      <c r="CF13" s="12">
        <f>IF(預測IC!CF13&gt;預測IC!CF$26,1,0)</f>
        <v>1</v>
      </c>
      <c r="CG13" s="12">
        <f>IF(預測IC!CG13&gt;預測IC!CG$26,1,0)</f>
        <v>0</v>
      </c>
      <c r="CH13" s="12">
        <f>IF(預測IC!CH13&gt;預測IC!CH$26,1,0)</f>
        <v>0</v>
      </c>
      <c r="CI13" s="12">
        <f>IF(預測IC!CI13&gt;預測IC!CI$26,1,0)</f>
        <v>0</v>
      </c>
      <c r="CJ13" s="12">
        <f>IF(預測IC!CJ13&gt;預測IC!CJ$26,1,0)</f>
        <v>0</v>
      </c>
      <c r="CK13" s="12">
        <f>IF(預測IC!CK13&gt;預測IC!CK$26,1,0)</f>
        <v>1</v>
      </c>
      <c r="CL13" s="12">
        <f>IF(預測IC!CL13&gt;預測IC!CL$26,1,0)</f>
        <v>1</v>
      </c>
      <c r="CM13" s="12">
        <f>IF(預測IC!CM13&gt;預測IC!CM$26,1,0)</f>
        <v>0</v>
      </c>
      <c r="CN13" s="12">
        <f>IF(預測IC!CN13&gt;預測IC!CN$26,1,0)</f>
        <v>0</v>
      </c>
      <c r="CO13" s="12">
        <f>IF(預測IC!CO13&gt;預測IC!CO$26,1,0)</f>
        <v>0</v>
      </c>
      <c r="CP13" s="12">
        <f>IF(預測IC!CP13&gt;預測IC!CP$26,1,0)</f>
        <v>1</v>
      </c>
      <c r="CQ13" s="12">
        <f>IF(預測IC!CQ13&gt;預測IC!CQ$26,1,0)</f>
        <v>1</v>
      </c>
      <c r="CR13" s="12">
        <f>IF(預測IC!CR13&gt;預測IC!CR$26,1,0)</f>
        <v>1</v>
      </c>
      <c r="CS13" s="12">
        <f>IF(預測IC!CS13&gt;預測IC!CS$26,1,0)</f>
        <v>0</v>
      </c>
      <c r="CT13" s="12">
        <f>IF(預測IC!CT13&gt;預測IC!CT$26,1,0)</f>
        <v>0</v>
      </c>
      <c r="CU13" s="12">
        <f>IF(預測IC!CU13&gt;預測IC!CU$26,1,0)</f>
        <v>0</v>
      </c>
      <c r="CV13" s="12">
        <f>IF(預測IC!CV13&gt;預測IC!CV$26,1,0)</f>
        <v>1</v>
      </c>
      <c r="CW13" s="12">
        <f>IF(預測IC!CW13&gt;預測IC!CW$26,1,0)</f>
        <v>1</v>
      </c>
      <c r="CX13" s="12">
        <f>IF(預測IC!CX13&gt;預測IC!CX$26,1,0)</f>
        <v>1</v>
      </c>
      <c r="CY13" s="12">
        <f>IF(預測IC!CY13&gt;預測IC!CY$26,1,0)</f>
        <v>1</v>
      </c>
      <c r="CZ13" s="12">
        <f>IF(預測IC!CZ13&gt;預測IC!CZ$26,1,0)</f>
        <v>1</v>
      </c>
      <c r="DA13" s="12">
        <f>IF(預測IC!DA13&gt;預測IC!DA$26,1,0)</f>
        <v>0</v>
      </c>
      <c r="DB13" s="12">
        <f>IF(預測IC!DB13&gt;預測IC!DB$26,1,0)</f>
        <v>1</v>
      </c>
      <c r="DC13" s="12">
        <f>IF(預測IC!DC13&gt;預測IC!DC$26,1,0)</f>
        <v>1</v>
      </c>
      <c r="DD13" s="12">
        <f>IF(預測IC!DD13&gt;預測IC!DD$26,1,0)</f>
        <v>0</v>
      </c>
      <c r="DE13" s="12">
        <f>IF(預測IC!DE13&gt;預測IC!DE$26,1,0)</f>
        <v>0</v>
      </c>
      <c r="DF13" s="12">
        <f>IF(預測IC!DF13&gt;預測IC!DF$26,1,0)</f>
        <v>0</v>
      </c>
      <c r="DG13" s="12">
        <f>IF(預測IC!DG13&gt;預測IC!DG$26,1,0)</f>
        <v>0</v>
      </c>
      <c r="DH13" s="12">
        <f>IF(預測IC!DH13&gt;預測IC!DH$26,1,0)</f>
        <v>0</v>
      </c>
      <c r="DI13" s="12">
        <f>IF(預測IC!DI13&gt;預測IC!DI$26,1,0)</f>
        <v>0</v>
      </c>
      <c r="DJ13" s="12">
        <f>IF(預測IC!DJ13&gt;預測IC!DJ$26,1,0)</f>
        <v>1</v>
      </c>
      <c r="DK13" s="12">
        <f>IF(預測IC!DK13&gt;預測IC!DK$26,1,0)</f>
        <v>0</v>
      </c>
      <c r="DL13" s="12">
        <f>IF(預測IC!DL13&gt;預測IC!DL$26,1,0)</f>
        <v>0</v>
      </c>
      <c r="DM13" s="12">
        <f>IF(預測IC!DM13&gt;預測IC!DM$26,1,0)</f>
        <v>0</v>
      </c>
      <c r="DN13" s="12">
        <f>IF(預測IC!DN13&gt;預測IC!DN$26,1,0)</f>
        <v>1</v>
      </c>
      <c r="DO13" s="12">
        <f>IF(預測IC!DO13&gt;預測IC!DO$26,1,0)</f>
        <v>0</v>
      </c>
      <c r="DP13" s="12">
        <f>IF(預測IC!DP13&gt;預測IC!DP$26,1,0)</f>
        <v>1</v>
      </c>
      <c r="DQ13" s="12">
        <f>IF(預測IC!DQ13&gt;預測IC!DQ$26,1,0)</f>
        <v>0</v>
      </c>
      <c r="DR13" s="12">
        <f>IF(預測IC!DR13&gt;預測IC!DR$26,1,0)</f>
        <v>0</v>
      </c>
      <c r="DS13" s="12">
        <f>IF(預測IC!DS13&gt;預測IC!DS$26,1,0)</f>
        <v>1</v>
      </c>
      <c r="DT13" s="12">
        <f>IF(預測IC!DT13&gt;預測IC!DT$26,1,0)</f>
        <v>0</v>
      </c>
      <c r="DU13" s="12">
        <f>IF(預測IC!DU13&gt;預測IC!DU$26,1,0)</f>
        <v>0</v>
      </c>
      <c r="DV13" s="12">
        <f>IF(預測IC!DV13&gt;預測IC!DV$26,1,0)</f>
        <v>0</v>
      </c>
      <c r="DW13" s="12">
        <f>IF(預測IC!DW13&gt;預測IC!DW$26,1,0)</f>
        <v>0</v>
      </c>
      <c r="DX13" s="12">
        <f>IF(預測IC!DX13&gt;預測IC!DX$26,1,0)</f>
        <v>0</v>
      </c>
      <c r="DY13" s="12">
        <f>IF(預測IC!DY13&gt;預測IC!DY$26,1,0)</f>
        <v>1</v>
      </c>
      <c r="DZ13" s="12">
        <f>IF(預測IC!DZ13&gt;預測IC!DZ$26,1,0)</f>
        <v>1</v>
      </c>
      <c r="EA13" s="12">
        <f>IF(預測IC!EA13&gt;預測IC!EA$26,1,0)</f>
        <v>0</v>
      </c>
      <c r="EB13" s="12">
        <f>IF(預測IC!EB13&gt;預測IC!EB$26,1,0)</f>
        <v>0</v>
      </c>
      <c r="EC13" s="12">
        <f>IF(預測IC!EC13&gt;預測IC!EC$26,1,0)</f>
        <v>1</v>
      </c>
      <c r="ED13" s="12">
        <f>IF(預測IC!ED13&gt;預測IC!ED$26,1,0)</f>
        <v>1</v>
      </c>
      <c r="EE13" s="12">
        <f>IF(預測IC!EE13&gt;預測IC!EE$26,1,0)</f>
        <v>1</v>
      </c>
      <c r="EF13" s="12">
        <f>IF(預測IC!EF13&gt;預測IC!EF$26,1,0)</f>
        <v>0</v>
      </c>
      <c r="EG13">
        <f t="shared" si="6"/>
        <v>64</v>
      </c>
      <c r="EH13" s="9">
        <f t="shared" si="7"/>
        <v>0.47761194029850745</v>
      </c>
    </row>
    <row r="14" spans="1:138">
      <c r="A14" s="2">
        <v>50</v>
      </c>
      <c r="B14" s="2">
        <v>19</v>
      </c>
      <c r="C14" s="12">
        <f>IF(預測IC!C14&gt;預測IC!C$26,1,0)</f>
        <v>1</v>
      </c>
      <c r="D14" s="12">
        <f>IF(預測IC!D14&gt;預測IC!D$26,1,0)</f>
        <v>1</v>
      </c>
      <c r="E14" s="12">
        <f>IF(預測IC!E14&gt;預測IC!E$26,1,0)</f>
        <v>1</v>
      </c>
      <c r="F14" s="12">
        <f>IF(預測IC!F14&gt;預測IC!F$26,1,0)</f>
        <v>0</v>
      </c>
      <c r="G14" s="12">
        <f>IF(預測IC!G14&gt;預測IC!G$26,1,0)</f>
        <v>0</v>
      </c>
      <c r="H14" s="12">
        <f>IF(預測IC!H14&gt;預測IC!H$26,1,0)</f>
        <v>1</v>
      </c>
      <c r="I14" s="12">
        <f>IF(預測IC!I14&gt;預測IC!I$26,1,0)</f>
        <v>0</v>
      </c>
      <c r="J14" s="12">
        <f>IF(預測IC!J14&gt;預測IC!J$26,1,0)</f>
        <v>0</v>
      </c>
      <c r="K14" s="12">
        <f>IF(預測IC!K14&gt;預測IC!K$26,1,0)</f>
        <v>1</v>
      </c>
      <c r="L14" s="12">
        <f>IF(預測IC!L14&gt;預測IC!L$26,1,0)</f>
        <v>1</v>
      </c>
      <c r="M14" s="12">
        <f>IF(預測IC!M14&gt;預測IC!M$26,1,0)</f>
        <v>0</v>
      </c>
      <c r="N14" s="12">
        <f>IF(預測IC!N14&gt;預測IC!N$26,1,0)</f>
        <v>0</v>
      </c>
      <c r="O14" s="12">
        <f>IF(預測IC!O14&gt;預測IC!O$26,1,0)</f>
        <v>0</v>
      </c>
      <c r="P14" s="12">
        <f>IF(預測IC!P14&gt;預測IC!P$26,1,0)</f>
        <v>0</v>
      </c>
      <c r="Q14" s="12">
        <f>IF(預測IC!Q14&gt;預測IC!Q$26,1,0)</f>
        <v>0</v>
      </c>
      <c r="R14" s="12">
        <f>IF(預測IC!R14&gt;預測IC!R$26,1,0)</f>
        <v>0</v>
      </c>
      <c r="S14" s="12">
        <f>IF(預測IC!S14&gt;預測IC!S$26,1,0)</f>
        <v>1</v>
      </c>
      <c r="T14" s="12">
        <f>IF(預測IC!T14&gt;預測IC!T$26,1,0)</f>
        <v>1</v>
      </c>
      <c r="U14" s="12">
        <f>IF(預測IC!U14&gt;預測IC!U$26,1,0)</f>
        <v>1</v>
      </c>
      <c r="V14" s="12">
        <f>IF(預測IC!V14&gt;預測IC!V$26,1,0)</f>
        <v>1</v>
      </c>
      <c r="W14" s="12">
        <f>IF(預測IC!W14&gt;預測IC!W$26,1,0)</f>
        <v>1</v>
      </c>
      <c r="X14" s="12">
        <f>IF(預測IC!X14&gt;預測IC!X$26,1,0)</f>
        <v>1</v>
      </c>
      <c r="Y14" s="12">
        <f>IF(預測IC!Y14&gt;預測IC!Y$26,1,0)</f>
        <v>0</v>
      </c>
      <c r="Z14" s="12">
        <f>IF(預測IC!Z14&gt;預測IC!Z$26,1,0)</f>
        <v>0</v>
      </c>
      <c r="AA14" s="12">
        <f>IF(預測IC!AA14&gt;預測IC!AA$26,1,0)</f>
        <v>1</v>
      </c>
      <c r="AB14" s="12">
        <f>IF(預測IC!AB14&gt;預測IC!AB$26,1,0)</f>
        <v>0</v>
      </c>
      <c r="AC14" s="12">
        <f>IF(預測IC!AC14&gt;預測IC!AC$26,1,0)</f>
        <v>0</v>
      </c>
      <c r="AD14" s="12">
        <f>IF(預測IC!AD14&gt;預測IC!AD$26,1,0)</f>
        <v>1</v>
      </c>
      <c r="AE14" s="12">
        <f>IF(預測IC!AE14&gt;預測IC!AE$26,1,0)</f>
        <v>0</v>
      </c>
      <c r="AF14" s="12">
        <f>IF(預測IC!AF14&gt;預測IC!AF$26,1,0)</f>
        <v>1</v>
      </c>
      <c r="AG14" s="12">
        <f>IF(預測IC!AG14&gt;預測IC!AG$26,1,0)</f>
        <v>0</v>
      </c>
      <c r="AH14" s="12">
        <f>IF(預測IC!AH14&gt;預測IC!AH$26,1,0)</f>
        <v>0</v>
      </c>
      <c r="AI14" s="12">
        <f>IF(預測IC!AI14&gt;預測IC!AI$26,1,0)</f>
        <v>0</v>
      </c>
      <c r="AJ14" s="12">
        <f>IF(預測IC!AJ14&gt;預測IC!AJ$26,1,0)</f>
        <v>0</v>
      </c>
      <c r="AK14" s="12">
        <f>IF(預測IC!AK14&gt;預測IC!AK$26,1,0)</f>
        <v>0</v>
      </c>
      <c r="AL14" s="12">
        <f>IF(預測IC!AL14&gt;預測IC!AL$26,1,0)</f>
        <v>1</v>
      </c>
      <c r="AM14" s="12">
        <f>IF(預測IC!AM14&gt;預測IC!AM$26,1,0)</f>
        <v>0</v>
      </c>
      <c r="AN14" s="12">
        <f>IF(預測IC!AN14&gt;預測IC!AN$26,1,0)</f>
        <v>0</v>
      </c>
      <c r="AO14" s="12">
        <f>IF(預測IC!AO14&gt;預測IC!AO$26,1,0)</f>
        <v>1</v>
      </c>
      <c r="AP14" s="12">
        <f>IF(預測IC!AP14&gt;預測IC!AP$26,1,0)</f>
        <v>0</v>
      </c>
      <c r="AQ14" s="12">
        <f>IF(預測IC!AQ14&gt;預測IC!AQ$26,1,0)</f>
        <v>0</v>
      </c>
      <c r="AR14" s="12">
        <f>IF(預測IC!AR14&gt;預測IC!AR$26,1,0)</f>
        <v>0</v>
      </c>
      <c r="AS14" s="12">
        <f>IF(預測IC!AS14&gt;預測IC!AS$26,1,0)</f>
        <v>0</v>
      </c>
      <c r="AT14" s="12">
        <f>IF(預測IC!AT14&gt;預測IC!AT$26,1,0)</f>
        <v>1</v>
      </c>
      <c r="AU14" s="12">
        <f>IF(預測IC!AU14&gt;預測IC!AU$26,1,0)</f>
        <v>1</v>
      </c>
      <c r="AV14" s="12">
        <f>IF(預測IC!AV14&gt;預測IC!AV$26,1,0)</f>
        <v>0</v>
      </c>
      <c r="AW14" s="12">
        <f>IF(預測IC!AW14&gt;預測IC!AW$26,1,0)</f>
        <v>1</v>
      </c>
      <c r="AX14" s="12">
        <f>IF(預測IC!AX14&gt;預測IC!AX$26,1,0)</f>
        <v>1</v>
      </c>
      <c r="AY14" s="12">
        <f>IF(預測IC!AY14&gt;預測IC!AY$26,1,0)</f>
        <v>0</v>
      </c>
      <c r="AZ14" s="12">
        <f>IF(預測IC!AZ14&gt;預測IC!AZ$26,1,0)</f>
        <v>0</v>
      </c>
      <c r="BA14" s="12">
        <f>IF(預測IC!BA14&gt;預測IC!BA$26,1,0)</f>
        <v>1</v>
      </c>
      <c r="BB14" s="12">
        <f>IF(預測IC!BB14&gt;預測IC!BB$26,1,0)</f>
        <v>1</v>
      </c>
      <c r="BC14" s="12">
        <f>IF(預測IC!BC14&gt;預測IC!BC$26,1,0)</f>
        <v>0</v>
      </c>
      <c r="BD14" s="12">
        <f>IF(預測IC!BD14&gt;預測IC!BD$26,1,0)</f>
        <v>1</v>
      </c>
      <c r="BE14" s="12">
        <f>IF(預測IC!BE14&gt;預測IC!BE$26,1,0)</f>
        <v>1</v>
      </c>
      <c r="BF14" s="12">
        <f>IF(預測IC!BF14&gt;預測IC!BF$26,1,0)</f>
        <v>0</v>
      </c>
      <c r="BG14" s="12">
        <f>IF(預測IC!BG14&gt;預測IC!BG$26,1,0)</f>
        <v>1</v>
      </c>
      <c r="BH14" s="12">
        <f>IF(預測IC!BH14&gt;預測IC!BH$26,1,0)</f>
        <v>1</v>
      </c>
      <c r="BI14" s="12">
        <f>IF(預測IC!BI14&gt;預測IC!BI$26,1,0)</f>
        <v>1</v>
      </c>
      <c r="BJ14" s="12">
        <f>IF(預測IC!BJ14&gt;預測IC!BJ$26,1,0)</f>
        <v>0</v>
      </c>
      <c r="BK14" s="12">
        <f>IF(預測IC!BK14&gt;預測IC!BK$26,1,0)</f>
        <v>0</v>
      </c>
      <c r="BL14" s="12">
        <f>IF(預測IC!BL14&gt;預測IC!BL$26,1,0)</f>
        <v>0</v>
      </c>
      <c r="BM14" s="12">
        <f>IF(預測IC!BM14&gt;預測IC!BM$26,1,0)</f>
        <v>0</v>
      </c>
      <c r="BN14" s="12">
        <f>IF(預測IC!BN14&gt;預測IC!BN$26,1,0)</f>
        <v>0</v>
      </c>
      <c r="BO14" s="12">
        <f>IF(預測IC!BO14&gt;預測IC!BO$26,1,0)</f>
        <v>1</v>
      </c>
      <c r="BP14" s="12">
        <f>IF(預測IC!BP14&gt;預測IC!BP$26,1,0)</f>
        <v>0</v>
      </c>
      <c r="BQ14" s="12">
        <f>IF(預測IC!BQ14&gt;預測IC!BQ$26,1,0)</f>
        <v>1</v>
      </c>
      <c r="BR14" s="12">
        <f>IF(預測IC!BR14&gt;預測IC!BR$26,1,0)</f>
        <v>1</v>
      </c>
      <c r="BS14" s="12">
        <f>IF(預測IC!BS14&gt;預測IC!BS$26,1,0)</f>
        <v>0</v>
      </c>
      <c r="BT14" s="12">
        <f>IF(預測IC!BT14&gt;預測IC!BT$26,1,0)</f>
        <v>0</v>
      </c>
      <c r="BU14" s="12">
        <f>IF(預測IC!BU14&gt;預測IC!BU$26,1,0)</f>
        <v>0</v>
      </c>
      <c r="BV14" s="12">
        <f>IF(預測IC!BV14&gt;預測IC!BV$26,1,0)</f>
        <v>0</v>
      </c>
      <c r="BW14" s="12">
        <f>IF(預測IC!BW14&gt;預測IC!BW$26,1,0)</f>
        <v>1</v>
      </c>
      <c r="BX14" s="12">
        <f>IF(預測IC!BX14&gt;預測IC!BX$26,1,0)</f>
        <v>1</v>
      </c>
      <c r="BY14" s="12">
        <f>IF(預測IC!BY14&gt;預測IC!BY$26,1,0)</f>
        <v>1</v>
      </c>
      <c r="BZ14" s="12">
        <f>IF(預測IC!BZ14&gt;預測IC!BZ$26,1,0)</f>
        <v>0</v>
      </c>
      <c r="CA14" s="12">
        <f>IF(預測IC!CA14&gt;預測IC!CA$26,1,0)</f>
        <v>0</v>
      </c>
      <c r="CB14" s="12">
        <f>IF(預測IC!CB14&gt;預測IC!CB$26,1,0)</f>
        <v>0</v>
      </c>
      <c r="CC14" s="12">
        <f>IF(預測IC!CC14&gt;預測IC!CC$26,1,0)</f>
        <v>1</v>
      </c>
      <c r="CD14" s="12">
        <f>IF(預測IC!CD14&gt;預測IC!CD$26,1,0)</f>
        <v>1</v>
      </c>
      <c r="CE14" s="12">
        <f>IF(預測IC!CE14&gt;預測IC!CE$26,1,0)</f>
        <v>1</v>
      </c>
      <c r="CF14" s="12">
        <f>IF(預測IC!CF14&gt;預測IC!CF$26,1,0)</f>
        <v>0</v>
      </c>
      <c r="CG14" s="12">
        <f>IF(預測IC!CG14&gt;預測IC!CG$26,1,0)</f>
        <v>1</v>
      </c>
      <c r="CH14" s="12">
        <f>IF(預測IC!CH14&gt;預測IC!CH$26,1,0)</f>
        <v>0</v>
      </c>
      <c r="CI14" s="12">
        <f>IF(預測IC!CI14&gt;預測IC!CI$26,1,0)</f>
        <v>0</v>
      </c>
      <c r="CJ14" s="12">
        <f>IF(預測IC!CJ14&gt;預測IC!CJ$26,1,0)</f>
        <v>0</v>
      </c>
      <c r="CK14" s="12">
        <f>IF(預測IC!CK14&gt;預測IC!CK$26,1,0)</f>
        <v>0</v>
      </c>
      <c r="CL14" s="12">
        <f>IF(預測IC!CL14&gt;預測IC!CL$26,1,0)</f>
        <v>0</v>
      </c>
      <c r="CM14" s="12">
        <f>IF(預測IC!CM14&gt;預測IC!CM$26,1,0)</f>
        <v>0</v>
      </c>
      <c r="CN14" s="12">
        <f>IF(預測IC!CN14&gt;預測IC!CN$26,1,0)</f>
        <v>0</v>
      </c>
      <c r="CO14" s="12">
        <f>IF(預測IC!CO14&gt;預測IC!CO$26,1,0)</f>
        <v>0</v>
      </c>
      <c r="CP14" s="12">
        <f>IF(預測IC!CP14&gt;預測IC!CP$26,1,0)</f>
        <v>1</v>
      </c>
      <c r="CQ14" s="12">
        <f>IF(預測IC!CQ14&gt;預測IC!CQ$26,1,0)</f>
        <v>1</v>
      </c>
      <c r="CR14" s="12">
        <f>IF(預測IC!CR14&gt;預測IC!CR$26,1,0)</f>
        <v>1</v>
      </c>
      <c r="CS14" s="12">
        <f>IF(預測IC!CS14&gt;預測IC!CS$26,1,0)</f>
        <v>0</v>
      </c>
      <c r="CT14" s="12">
        <f>IF(預測IC!CT14&gt;預測IC!CT$26,1,0)</f>
        <v>0</v>
      </c>
      <c r="CU14" s="12">
        <f>IF(預測IC!CU14&gt;預測IC!CU$26,1,0)</f>
        <v>1</v>
      </c>
      <c r="CV14" s="12">
        <f>IF(預測IC!CV14&gt;預測IC!CV$26,1,0)</f>
        <v>1</v>
      </c>
      <c r="CW14" s="12">
        <f>IF(預測IC!CW14&gt;預測IC!CW$26,1,0)</f>
        <v>1</v>
      </c>
      <c r="CX14" s="12">
        <f>IF(預測IC!CX14&gt;預測IC!CX$26,1,0)</f>
        <v>1</v>
      </c>
      <c r="CY14" s="12">
        <f>IF(預測IC!CY14&gt;預測IC!CY$26,1,0)</f>
        <v>1</v>
      </c>
      <c r="CZ14" s="12">
        <f>IF(預測IC!CZ14&gt;預測IC!CZ$26,1,0)</f>
        <v>1</v>
      </c>
      <c r="DA14" s="12">
        <f>IF(預測IC!DA14&gt;預測IC!DA$26,1,0)</f>
        <v>1</v>
      </c>
      <c r="DB14" s="12">
        <f>IF(預測IC!DB14&gt;預測IC!DB$26,1,0)</f>
        <v>1</v>
      </c>
      <c r="DC14" s="12">
        <f>IF(預測IC!DC14&gt;預測IC!DC$26,1,0)</f>
        <v>1</v>
      </c>
      <c r="DD14" s="12">
        <f>IF(預測IC!DD14&gt;預測IC!DD$26,1,0)</f>
        <v>0</v>
      </c>
      <c r="DE14" s="12">
        <f>IF(預測IC!DE14&gt;預測IC!DE$26,1,0)</f>
        <v>0</v>
      </c>
      <c r="DF14" s="12">
        <f>IF(預測IC!DF14&gt;預測IC!DF$26,1,0)</f>
        <v>0</v>
      </c>
      <c r="DG14" s="12">
        <f>IF(預測IC!DG14&gt;預測IC!DG$26,1,0)</f>
        <v>1</v>
      </c>
      <c r="DH14" s="12">
        <f>IF(預測IC!DH14&gt;預測IC!DH$26,1,0)</f>
        <v>0</v>
      </c>
      <c r="DI14" s="12">
        <f>IF(預測IC!DI14&gt;預測IC!DI$26,1,0)</f>
        <v>0</v>
      </c>
      <c r="DJ14" s="12">
        <f>IF(預測IC!DJ14&gt;預測IC!DJ$26,1,0)</f>
        <v>1</v>
      </c>
      <c r="DK14" s="12">
        <f>IF(預測IC!DK14&gt;預測IC!DK$26,1,0)</f>
        <v>1</v>
      </c>
      <c r="DL14" s="12">
        <f>IF(預測IC!DL14&gt;預測IC!DL$26,1,0)</f>
        <v>0</v>
      </c>
      <c r="DM14" s="12">
        <f>IF(預測IC!DM14&gt;預測IC!DM$26,1,0)</f>
        <v>0</v>
      </c>
      <c r="DN14" s="12">
        <f>IF(預測IC!DN14&gt;預測IC!DN$26,1,0)</f>
        <v>0</v>
      </c>
      <c r="DO14" s="12">
        <f>IF(預測IC!DO14&gt;預測IC!DO$26,1,0)</f>
        <v>0</v>
      </c>
      <c r="DP14" s="12">
        <f>IF(預測IC!DP14&gt;預測IC!DP$26,1,0)</f>
        <v>1</v>
      </c>
      <c r="DQ14" s="12">
        <f>IF(預測IC!DQ14&gt;預測IC!DQ$26,1,0)</f>
        <v>0</v>
      </c>
      <c r="DR14" s="12">
        <f>IF(預測IC!DR14&gt;預測IC!DR$26,1,0)</f>
        <v>1</v>
      </c>
      <c r="DS14" s="12">
        <f>IF(預測IC!DS14&gt;預測IC!DS$26,1,0)</f>
        <v>1</v>
      </c>
      <c r="DT14" s="12">
        <f>IF(預測IC!DT14&gt;預測IC!DT$26,1,0)</f>
        <v>1</v>
      </c>
      <c r="DU14" s="12">
        <f>IF(預測IC!DU14&gt;預測IC!DU$26,1,0)</f>
        <v>1</v>
      </c>
      <c r="DV14" s="12">
        <f>IF(預測IC!DV14&gt;預測IC!DV$26,1,0)</f>
        <v>0</v>
      </c>
      <c r="DW14" s="12">
        <f>IF(預測IC!DW14&gt;預測IC!DW$26,1,0)</f>
        <v>0</v>
      </c>
      <c r="DX14" s="12">
        <f>IF(預測IC!DX14&gt;預測IC!DX$26,1,0)</f>
        <v>1</v>
      </c>
      <c r="DY14" s="12">
        <f>IF(預測IC!DY14&gt;預測IC!DY$26,1,0)</f>
        <v>0</v>
      </c>
      <c r="DZ14" s="12">
        <f>IF(預測IC!DZ14&gt;預測IC!DZ$26,1,0)</f>
        <v>1</v>
      </c>
      <c r="EA14" s="12">
        <f>IF(預測IC!EA14&gt;預測IC!EA$26,1,0)</f>
        <v>0</v>
      </c>
      <c r="EB14" s="12">
        <f>IF(預測IC!EB14&gt;預測IC!EB$26,1,0)</f>
        <v>0</v>
      </c>
      <c r="EC14" s="12">
        <f>IF(預測IC!EC14&gt;預測IC!EC$26,1,0)</f>
        <v>1</v>
      </c>
      <c r="ED14" s="12">
        <f>IF(預測IC!ED14&gt;預測IC!ED$26,1,0)</f>
        <v>1</v>
      </c>
      <c r="EE14" s="12">
        <f>IF(預測IC!EE14&gt;預測IC!EE$26,1,0)</f>
        <v>0</v>
      </c>
      <c r="EF14" s="12">
        <f>IF(預測IC!EF14&gt;預測IC!EF$26,1,0)</f>
        <v>0</v>
      </c>
      <c r="EG14">
        <f t="shared" si="6"/>
        <v>62</v>
      </c>
      <c r="EH14" s="9">
        <f t="shared" si="7"/>
        <v>0.46268656716417911</v>
      </c>
    </row>
    <row r="15" spans="1:138">
      <c r="A15" s="2">
        <v>100</v>
      </c>
      <c r="B15" s="2">
        <v>10</v>
      </c>
      <c r="C15" s="12">
        <f>IF(預測IC!C15&gt;預測IC!C$26,1,0)</f>
        <v>1</v>
      </c>
      <c r="D15" s="12">
        <f>IF(預測IC!D15&gt;預測IC!D$26,1,0)</f>
        <v>0</v>
      </c>
      <c r="E15" s="12">
        <f>IF(預測IC!E15&gt;預測IC!E$26,1,0)</f>
        <v>1</v>
      </c>
      <c r="F15" s="12">
        <f>IF(預測IC!F15&gt;預測IC!F$26,1,0)</f>
        <v>1</v>
      </c>
      <c r="G15" s="12">
        <f>IF(預測IC!G15&gt;預測IC!G$26,1,0)</f>
        <v>0</v>
      </c>
      <c r="H15" s="12">
        <f>IF(預測IC!H15&gt;預測IC!H$26,1,0)</f>
        <v>1</v>
      </c>
      <c r="I15" s="12">
        <f>IF(預測IC!I15&gt;預測IC!I$26,1,0)</f>
        <v>0</v>
      </c>
      <c r="J15" s="12">
        <f>IF(預測IC!J15&gt;預測IC!J$26,1,0)</f>
        <v>0</v>
      </c>
      <c r="K15" s="12">
        <f>IF(預測IC!K15&gt;預測IC!K$26,1,0)</f>
        <v>1</v>
      </c>
      <c r="L15" s="12">
        <f>IF(預測IC!L15&gt;預測IC!L$26,1,0)</f>
        <v>1</v>
      </c>
      <c r="M15" s="12">
        <f>IF(預測IC!M15&gt;預測IC!M$26,1,0)</f>
        <v>0</v>
      </c>
      <c r="N15" s="12">
        <f>IF(預測IC!N15&gt;預測IC!N$26,1,0)</f>
        <v>0</v>
      </c>
      <c r="O15" s="12">
        <f>IF(預測IC!O15&gt;預測IC!O$26,1,0)</f>
        <v>0</v>
      </c>
      <c r="P15" s="12">
        <f>IF(預測IC!P15&gt;預測IC!P$26,1,0)</f>
        <v>0</v>
      </c>
      <c r="Q15" s="12">
        <f>IF(預測IC!Q15&gt;預測IC!Q$26,1,0)</f>
        <v>0</v>
      </c>
      <c r="R15" s="12">
        <f>IF(預測IC!R15&gt;預測IC!R$26,1,0)</f>
        <v>0</v>
      </c>
      <c r="S15" s="12">
        <f>IF(預測IC!S15&gt;預測IC!S$26,1,0)</f>
        <v>1</v>
      </c>
      <c r="T15" s="12">
        <f>IF(預測IC!T15&gt;預測IC!T$26,1,0)</f>
        <v>1</v>
      </c>
      <c r="U15" s="12">
        <f>IF(預測IC!U15&gt;預測IC!U$26,1,0)</f>
        <v>1</v>
      </c>
      <c r="V15" s="12">
        <f>IF(預測IC!V15&gt;預測IC!V$26,1,0)</f>
        <v>0</v>
      </c>
      <c r="W15" s="12">
        <f>IF(預測IC!W15&gt;預測IC!W$26,1,0)</f>
        <v>1</v>
      </c>
      <c r="X15" s="12">
        <f>IF(預測IC!X15&gt;預測IC!X$26,1,0)</f>
        <v>1</v>
      </c>
      <c r="Y15" s="12">
        <f>IF(預測IC!Y15&gt;預測IC!Y$26,1,0)</f>
        <v>0</v>
      </c>
      <c r="Z15" s="12">
        <f>IF(預測IC!Z15&gt;預測IC!Z$26,1,0)</f>
        <v>0</v>
      </c>
      <c r="AA15" s="12">
        <f>IF(預測IC!AA15&gt;預測IC!AA$26,1,0)</f>
        <v>1</v>
      </c>
      <c r="AB15" s="12">
        <f>IF(預測IC!AB15&gt;預測IC!AB$26,1,0)</f>
        <v>0</v>
      </c>
      <c r="AC15" s="12">
        <f>IF(預測IC!AC15&gt;預測IC!AC$26,1,0)</f>
        <v>0</v>
      </c>
      <c r="AD15" s="12">
        <f>IF(預測IC!AD15&gt;預測IC!AD$26,1,0)</f>
        <v>1</v>
      </c>
      <c r="AE15" s="12">
        <f>IF(預測IC!AE15&gt;預測IC!AE$26,1,0)</f>
        <v>0</v>
      </c>
      <c r="AF15" s="12">
        <f>IF(預測IC!AF15&gt;預測IC!AF$26,1,0)</f>
        <v>1</v>
      </c>
      <c r="AG15" s="12">
        <f>IF(預測IC!AG15&gt;預測IC!AG$26,1,0)</f>
        <v>1</v>
      </c>
      <c r="AH15" s="12">
        <f>IF(預測IC!AH15&gt;預測IC!AH$26,1,0)</f>
        <v>0</v>
      </c>
      <c r="AI15" s="12">
        <f>IF(預測IC!AI15&gt;預測IC!AI$26,1,0)</f>
        <v>0</v>
      </c>
      <c r="AJ15" s="12">
        <f>IF(預測IC!AJ15&gt;預測IC!AJ$26,1,0)</f>
        <v>0</v>
      </c>
      <c r="AK15" s="12">
        <f>IF(預測IC!AK15&gt;預測IC!AK$26,1,0)</f>
        <v>0</v>
      </c>
      <c r="AL15" s="12">
        <f>IF(預測IC!AL15&gt;預測IC!AL$26,1,0)</f>
        <v>1</v>
      </c>
      <c r="AM15" s="12">
        <f>IF(預測IC!AM15&gt;預測IC!AM$26,1,0)</f>
        <v>0</v>
      </c>
      <c r="AN15" s="12">
        <f>IF(預測IC!AN15&gt;預測IC!AN$26,1,0)</f>
        <v>1</v>
      </c>
      <c r="AO15" s="12">
        <f>IF(預測IC!AO15&gt;預測IC!AO$26,1,0)</f>
        <v>1</v>
      </c>
      <c r="AP15" s="12">
        <f>IF(預測IC!AP15&gt;預測IC!AP$26,1,0)</f>
        <v>0</v>
      </c>
      <c r="AQ15" s="12">
        <f>IF(預測IC!AQ15&gt;預測IC!AQ$26,1,0)</f>
        <v>1</v>
      </c>
      <c r="AR15" s="12">
        <f>IF(預測IC!AR15&gt;預測IC!AR$26,1,0)</f>
        <v>0</v>
      </c>
      <c r="AS15" s="12">
        <f>IF(預測IC!AS15&gt;預測IC!AS$26,1,0)</f>
        <v>1</v>
      </c>
      <c r="AT15" s="12">
        <f>IF(預測IC!AT15&gt;預測IC!AT$26,1,0)</f>
        <v>1</v>
      </c>
      <c r="AU15" s="12">
        <f>IF(預測IC!AU15&gt;預測IC!AU$26,1,0)</f>
        <v>1</v>
      </c>
      <c r="AV15" s="12">
        <f>IF(預測IC!AV15&gt;預測IC!AV$26,1,0)</f>
        <v>0</v>
      </c>
      <c r="AW15" s="12">
        <f>IF(預測IC!AW15&gt;預測IC!AW$26,1,0)</f>
        <v>1</v>
      </c>
      <c r="AX15" s="12">
        <f>IF(預測IC!AX15&gt;預測IC!AX$26,1,0)</f>
        <v>1</v>
      </c>
      <c r="AY15" s="12">
        <f>IF(預測IC!AY15&gt;預測IC!AY$26,1,0)</f>
        <v>0</v>
      </c>
      <c r="AZ15" s="12">
        <f>IF(預測IC!AZ15&gt;預測IC!AZ$26,1,0)</f>
        <v>0</v>
      </c>
      <c r="BA15" s="12">
        <f>IF(預測IC!BA15&gt;預測IC!BA$26,1,0)</f>
        <v>1</v>
      </c>
      <c r="BB15" s="12">
        <f>IF(預測IC!BB15&gt;預測IC!BB$26,1,0)</f>
        <v>1</v>
      </c>
      <c r="BC15" s="12">
        <f>IF(預測IC!BC15&gt;預測IC!BC$26,1,0)</f>
        <v>1</v>
      </c>
      <c r="BD15" s="12">
        <f>IF(預測IC!BD15&gt;預測IC!BD$26,1,0)</f>
        <v>1</v>
      </c>
      <c r="BE15" s="12">
        <f>IF(預測IC!BE15&gt;預測IC!BE$26,1,0)</f>
        <v>1</v>
      </c>
      <c r="BF15" s="12">
        <f>IF(預測IC!BF15&gt;預測IC!BF$26,1,0)</f>
        <v>0</v>
      </c>
      <c r="BG15" s="12">
        <f>IF(預測IC!BG15&gt;預測IC!BG$26,1,0)</f>
        <v>1</v>
      </c>
      <c r="BH15" s="12">
        <f>IF(預測IC!BH15&gt;預測IC!BH$26,1,0)</f>
        <v>1</v>
      </c>
      <c r="BI15" s="12">
        <f>IF(預測IC!BI15&gt;預測IC!BI$26,1,0)</f>
        <v>1</v>
      </c>
      <c r="BJ15" s="12">
        <f>IF(預測IC!BJ15&gt;預測IC!BJ$26,1,0)</f>
        <v>1</v>
      </c>
      <c r="BK15" s="12">
        <f>IF(預測IC!BK15&gt;預測IC!BK$26,1,0)</f>
        <v>0</v>
      </c>
      <c r="BL15" s="12">
        <f>IF(預測IC!BL15&gt;預測IC!BL$26,1,0)</f>
        <v>0</v>
      </c>
      <c r="BM15" s="12">
        <f>IF(預測IC!BM15&gt;預測IC!BM$26,1,0)</f>
        <v>0</v>
      </c>
      <c r="BN15" s="12">
        <f>IF(預測IC!BN15&gt;預測IC!BN$26,1,0)</f>
        <v>0</v>
      </c>
      <c r="BO15" s="12">
        <f>IF(預測IC!BO15&gt;預測IC!BO$26,1,0)</f>
        <v>1</v>
      </c>
      <c r="BP15" s="12">
        <f>IF(預測IC!BP15&gt;預測IC!BP$26,1,0)</f>
        <v>0</v>
      </c>
      <c r="BQ15" s="12">
        <f>IF(預測IC!BQ15&gt;預測IC!BQ$26,1,0)</f>
        <v>1</v>
      </c>
      <c r="BR15" s="12">
        <f>IF(預測IC!BR15&gt;預測IC!BR$26,1,0)</f>
        <v>1</v>
      </c>
      <c r="BS15" s="12">
        <f>IF(預測IC!BS15&gt;預測IC!BS$26,1,0)</f>
        <v>0</v>
      </c>
      <c r="BT15" s="12">
        <f>IF(預測IC!BT15&gt;預測IC!BT$26,1,0)</f>
        <v>0</v>
      </c>
      <c r="BU15" s="12">
        <f>IF(預測IC!BU15&gt;預測IC!BU$26,1,0)</f>
        <v>0</v>
      </c>
      <c r="BV15" s="12">
        <f>IF(預測IC!BV15&gt;預測IC!BV$26,1,0)</f>
        <v>1</v>
      </c>
      <c r="BW15" s="12">
        <f>IF(預測IC!BW15&gt;預測IC!BW$26,1,0)</f>
        <v>1</v>
      </c>
      <c r="BX15" s="12">
        <f>IF(預測IC!BX15&gt;預測IC!BX$26,1,0)</f>
        <v>1</v>
      </c>
      <c r="BY15" s="12">
        <f>IF(預測IC!BY15&gt;預測IC!BY$26,1,0)</f>
        <v>1</v>
      </c>
      <c r="BZ15" s="12">
        <f>IF(預測IC!BZ15&gt;預測IC!BZ$26,1,0)</f>
        <v>0</v>
      </c>
      <c r="CA15" s="12">
        <f>IF(預測IC!CA15&gt;預測IC!CA$26,1,0)</f>
        <v>0</v>
      </c>
      <c r="CB15" s="12">
        <f>IF(預測IC!CB15&gt;預測IC!CB$26,1,0)</f>
        <v>0</v>
      </c>
      <c r="CC15" s="12">
        <f>IF(預測IC!CC15&gt;預測IC!CC$26,1,0)</f>
        <v>1</v>
      </c>
      <c r="CD15" s="12">
        <f>IF(預測IC!CD15&gt;預測IC!CD$26,1,0)</f>
        <v>1</v>
      </c>
      <c r="CE15" s="12">
        <f>IF(預測IC!CE15&gt;預測IC!CE$26,1,0)</f>
        <v>1</v>
      </c>
      <c r="CF15" s="12">
        <f>IF(預測IC!CF15&gt;預測IC!CF$26,1,0)</f>
        <v>0</v>
      </c>
      <c r="CG15" s="12">
        <f>IF(預測IC!CG15&gt;預測IC!CG$26,1,0)</f>
        <v>1</v>
      </c>
      <c r="CH15" s="12">
        <f>IF(預測IC!CH15&gt;預測IC!CH$26,1,0)</f>
        <v>0</v>
      </c>
      <c r="CI15" s="12">
        <f>IF(預測IC!CI15&gt;預測IC!CI$26,1,0)</f>
        <v>0</v>
      </c>
      <c r="CJ15" s="12">
        <f>IF(預測IC!CJ15&gt;預測IC!CJ$26,1,0)</f>
        <v>1</v>
      </c>
      <c r="CK15" s="12">
        <f>IF(預測IC!CK15&gt;預測IC!CK$26,1,0)</f>
        <v>1</v>
      </c>
      <c r="CL15" s="12">
        <f>IF(預測IC!CL15&gt;預測IC!CL$26,1,0)</f>
        <v>0</v>
      </c>
      <c r="CM15" s="12">
        <f>IF(預測IC!CM15&gt;預測IC!CM$26,1,0)</f>
        <v>0</v>
      </c>
      <c r="CN15" s="12">
        <f>IF(預測IC!CN15&gt;預測IC!CN$26,1,0)</f>
        <v>1</v>
      </c>
      <c r="CO15" s="12">
        <f>IF(預測IC!CO15&gt;預測IC!CO$26,1,0)</f>
        <v>0</v>
      </c>
      <c r="CP15" s="12">
        <f>IF(預測IC!CP15&gt;預測IC!CP$26,1,0)</f>
        <v>1</v>
      </c>
      <c r="CQ15" s="12">
        <f>IF(預測IC!CQ15&gt;預測IC!CQ$26,1,0)</f>
        <v>1</v>
      </c>
      <c r="CR15" s="12">
        <f>IF(預測IC!CR15&gt;預測IC!CR$26,1,0)</f>
        <v>1</v>
      </c>
      <c r="CS15" s="12">
        <f>IF(預測IC!CS15&gt;預測IC!CS$26,1,0)</f>
        <v>0</v>
      </c>
      <c r="CT15" s="12">
        <f>IF(預測IC!CT15&gt;預測IC!CT$26,1,0)</f>
        <v>0</v>
      </c>
      <c r="CU15" s="12">
        <f>IF(預測IC!CU15&gt;預測IC!CU$26,1,0)</f>
        <v>1</v>
      </c>
      <c r="CV15" s="12">
        <f>IF(預測IC!CV15&gt;預測IC!CV$26,1,0)</f>
        <v>1</v>
      </c>
      <c r="CW15" s="12">
        <f>IF(預測IC!CW15&gt;預測IC!CW$26,1,0)</f>
        <v>1</v>
      </c>
      <c r="CX15" s="12">
        <f>IF(預測IC!CX15&gt;預測IC!CX$26,1,0)</f>
        <v>1</v>
      </c>
      <c r="CY15" s="12">
        <f>IF(預測IC!CY15&gt;預測IC!CY$26,1,0)</f>
        <v>1</v>
      </c>
      <c r="CZ15" s="12">
        <f>IF(預測IC!CZ15&gt;預測IC!CZ$26,1,0)</f>
        <v>1</v>
      </c>
      <c r="DA15" s="12">
        <f>IF(預測IC!DA15&gt;預測IC!DA$26,1,0)</f>
        <v>1</v>
      </c>
      <c r="DB15" s="12">
        <f>IF(預測IC!DB15&gt;預測IC!DB$26,1,0)</f>
        <v>1</v>
      </c>
      <c r="DC15" s="12">
        <f>IF(預測IC!DC15&gt;預測IC!DC$26,1,0)</f>
        <v>1</v>
      </c>
      <c r="DD15" s="12">
        <f>IF(預測IC!DD15&gt;預測IC!DD$26,1,0)</f>
        <v>1</v>
      </c>
      <c r="DE15" s="12">
        <f>IF(預測IC!DE15&gt;預測IC!DE$26,1,0)</f>
        <v>0</v>
      </c>
      <c r="DF15" s="12">
        <f>IF(預測IC!DF15&gt;預測IC!DF$26,1,0)</f>
        <v>0</v>
      </c>
      <c r="DG15" s="12">
        <f>IF(預測IC!DG15&gt;預測IC!DG$26,1,0)</f>
        <v>1</v>
      </c>
      <c r="DH15" s="12">
        <f>IF(預測IC!DH15&gt;預測IC!DH$26,1,0)</f>
        <v>0</v>
      </c>
      <c r="DI15" s="12">
        <f>IF(預測IC!DI15&gt;預測IC!DI$26,1,0)</f>
        <v>0</v>
      </c>
      <c r="DJ15" s="12">
        <f>IF(預測IC!DJ15&gt;預測IC!DJ$26,1,0)</f>
        <v>0</v>
      </c>
      <c r="DK15" s="12">
        <f>IF(預測IC!DK15&gt;預測IC!DK$26,1,0)</f>
        <v>1</v>
      </c>
      <c r="DL15" s="12">
        <f>IF(預測IC!DL15&gt;預測IC!DL$26,1,0)</f>
        <v>0</v>
      </c>
      <c r="DM15" s="12">
        <f>IF(預測IC!DM15&gt;預測IC!DM$26,1,0)</f>
        <v>0</v>
      </c>
      <c r="DN15" s="12">
        <f>IF(預測IC!DN15&gt;預測IC!DN$26,1,0)</f>
        <v>0</v>
      </c>
      <c r="DO15" s="12">
        <f>IF(預測IC!DO15&gt;預測IC!DO$26,1,0)</f>
        <v>0</v>
      </c>
      <c r="DP15" s="12">
        <f>IF(預測IC!DP15&gt;預測IC!DP$26,1,0)</f>
        <v>1</v>
      </c>
      <c r="DQ15" s="12">
        <f>IF(預測IC!DQ15&gt;預測IC!DQ$26,1,0)</f>
        <v>0</v>
      </c>
      <c r="DR15" s="12">
        <f>IF(預測IC!DR15&gt;預測IC!DR$26,1,0)</f>
        <v>1</v>
      </c>
      <c r="DS15" s="12">
        <f>IF(預測IC!DS15&gt;預測IC!DS$26,1,0)</f>
        <v>1</v>
      </c>
      <c r="DT15" s="12">
        <f>IF(預測IC!DT15&gt;預測IC!DT$26,1,0)</f>
        <v>0</v>
      </c>
      <c r="DU15" s="12">
        <f>IF(預測IC!DU15&gt;預測IC!DU$26,1,0)</f>
        <v>1</v>
      </c>
      <c r="DV15" s="12">
        <f>IF(預測IC!DV15&gt;預測IC!DV$26,1,0)</f>
        <v>0</v>
      </c>
      <c r="DW15" s="12">
        <f>IF(預測IC!DW15&gt;預測IC!DW$26,1,0)</f>
        <v>1</v>
      </c>
      <c r="DX15" s="12">
        <f>IF(預測IC!DX15&gt;預測IC!DX$26,1,0)</f>
        <v>1</v>
      </c>
      <c r="DY15" s="12">
        <f>IF(預測IC!DY15&gt;預測IC!DY$26,1,0)</f>
        <v>0</v>
      </c>
      <c r="DZ15" s="12">
        <f>IF(預測IC!DZ15&gt;預測IC!DZ$26,1,0)</f>
        <v>1</v>
      </c>
      <c r="EA15" s="12">
        <f>IF(預測IC!EA15&gt;預測IC!EA$26,1,0)</f>
        <v>0</v>
      </c>
      <c r="EB15" s="12">
        <f>IF(預測IC!EB15&gt;預測IC!EB$26,1,0)</f>
        <v>0</v>
      </c>
      <c r="EC15" s="12">
        <f>IF(預測IC!EC15&gt;預測IC!EC$26,1,0)</f>
        <v>1</v>
      </c>
      <c r="ED15" s="12">
        <f>IF(預測IC!ED15&gt;預測IC!ED$26,1,0)</f>
        <v>1</v>
      </c>
      <c r="EE15" s="12">
        <f>IF(預測IC!EE15&gt;預測IC!EE$26,1,0)</f>
        <v>0</v>
      </c>
      <c r="EF15" s="12">
        <f>IF(預測IC!EF15&gt;預測IC!EF$26,1,0)</f>
        <v>0</v>
      </c>
      <c r="EG15">
        <f t="shared" si="6"/>
        <v>71</v>
      </c>
      <c r="EH15" s="10">
        <f t="shared" si="7"/>
        <v>0.52985074626865669</v>
      </c>
    </row>
    <row r="16" spans="1:138">
      <c r="A16" s="2">
        <v>107</v>
      </c>
      <c r="B16" s="2">
        <v>9</v>
      </c>
      <c r="C16" s="12">
        <f>IF(預測IC!C16&gt;預測IC!C$26,1,0)</f>
        <v>1</v>
      </c>
      <c r="D16" s="12">
        <f>IF(預測IC!D16&gt;預測IC!D$26,1,0)</f>
        <v>0</v>
      </c>
      <c r="E16" s="12">
        <f>IF(預測IC!E16&gt;預測IC!E$26,1,0)</f>
        <v>1</v>
      </c>
      <c r="F16" s="12">
        <f>IF(預測IC!F16&gt;預測IC!F$26,1,0)</f>
        <v>1</v>
      </c>
      <c r="G16" s="12">
        <f>IF(預測IC!G16&gt;預測IC!G$26,1,0)</f>
        <v>0</v>
      </c>
      <c r="H16" s="12">
        <f>IF(預測IC!H16&gt;預測IC!H$26,1,0)</f>
        <v>1</v>
      </c>
      <c r="I16" s="12">
        <f>IF(預測IC!I16&gt;預測IC!I$26,1,0)</f>
        <v>0</v>
      </c>
      <c r="J16" s="12">
        <f>IF(預測IC!J16&gt;預測IC!J$26,1,0)</f>
        <v>0</v>
      </c>
      <c r="K16" s="12">
        <f>IF(預測IC!K16&gt;預測IC!K$26,1,0)</f>
        <v>1</v>
      </c>
      <c r="L16" s="12">
        <f>IF(預測IC!L16&gt;預測IC!L$26,1,0)</f>
        <v>1</v>
      </c>
      <c r="M16" s="12">
        <f>IF(預測IC!M16&gt;預測IC!M$26,1,0)</f>
        <v>0</v>
      </c>
      <c r="N16" s="12">
        <f>IF(預測IC!N16&gt;預測IC!N$26,1,0)</f>
        <v>0</v>
      </c>
      <c r="O16" s="12">
        <f>IF(預測IC!O16&gt;預測IC!O$26,1,0)</f>
        <v>0</v>
      </c>
      <c r="P16" s="12">
        <f>IF(預測IC!P16&gt;預測IC!P$26,1,0)</f>
        <v>0</v>
      </c>
      <c r="Q16" s="12">
        <f>IF(預測IC!Q16&gt;預測IC!Q$26,1,0)</f>
        <v>0</v>
      </c>
      <c r="R16" s="12">
        <f>IF(預測IC!R16&gt;預測IC!R$26,1,0)</f>
        <v>0</v>
      </c>
      <c r="S16" s="12">
        <f>IF(預測IC!S16&gt;預測IC!S$26,1,0)</f>
        <v>1</v>
      </c>
      <c r="T16" s="12">
        <f>IF(預測IC!T16&gt;預測IC!T$26,1,0)</f>
        <v>1</v>
      </c>
      <c r="U16" s="12">
        <f>IF(預測IC!U16&gt;預測IC!U$26,1,0)</f>
        <v>1</v>
      </c>
      <c r="V16" s="12">
        <f>IF(預測IC!V16&gt;預測IC!V$26,1,0)</f>
        <v>0</v>
      </c>
      <c r="W16" s="12">
        <f>IF(預測IC!W16&gt;預測IC!W$26,1,0)</f>
        <v>1</v>
      </c>
      <c r="X16" s="12">
        <f>IF(預測IC!X16&gt;預測IC!X$26,1,0)</f>
        <v>1</v>
      </c>
      <c r="Y16" s="12">
        <f>IF(預測IC!Y16&gt;預測IC!Y$26,1,0)</f>
        <v>0</v>
      </c>
      <c r="Z16" s="12">
        <f>IF(預測IC!Z16&gt;預測IC!Z$26,1,0)</f>
        <v>0</v>
      </c>
      <c r="AA16" s="12">
        <f>IF(預測IC!AA16&gt;預測IC!AA$26,1,0)</f>
        <v>1</v>
      </c>
      <c r="AB16" s="12">
        <f>IF(預測IC!AB16&gt;預測IC!AB$26,1,0)</f>
        <v>1</v>
      </c>
      <c r="AC16" s="12">
        <f>IF(預測IC!AC16&gt;預測IC!AC$26,1,0)</f>
        <v>0</v>
      </c>
      <c r="AD16" s="12">
        <f>IF(預測IC!AD16&gt;預測IC!AD$26,1,0)</f>
        <v>1</v>
      </c>
      <c r="AE16" s="12">
        <f>IF(預測IC!AE16&gt;預測IC!AE$26,1,0)</f>
        <v>0</v>
      </c>
      <c r="AF16" s="12">
        <f>IF(預測IC!AF16&gt;預測IC!AF$26,1,0)</f>
        <v>1</v>
      </c>
      <c r="AG16" s="12">
        <f>IF(預測IC!AG16&gt;預測IC!AG$26,1,0)</f>
        <v>1</v>
      </c>
      <c r="AH16" s="12">
        <f>IF(預測IC!AH16&gt;預測IC!AH$26,1,0)</f>
        <v>0</v>
      </c>
      <c r="AI16" s="12">
        <f>IF(預測IC!AI16&gt;預測IC!AI$26,1,0)</f>
        <v>0</v>
      </c>
      <c r="AJ16" s="12">
        <f>IF(預測IC!AJ16&gt;預測IC!AJ$26,1,0)</f>
        <v>0</v>
      </c>
      <c r="AK16" s="12">
        <f>IF(預測IC!AK16&gt;預測IC!AK$26,1,0)</f>
        <v>0</v>
      </c>
      <c r="AL16" s="12">
        <f>IF(預測IC!AL16&gt;預測IC!AL$26,1,0)</f>
        <v>1</v>
      </c>
      <c r="AM16" s="12">
        <f>IF(預測IC!AM16&gt;預測IC!AM$26,1,0)</f>
        <v>0</v>
      </c>
      <c r="AN16" s="12">
        <f>IF(預測IC!AN16&gt;預測IC!AN$26,1,0)</f>
        <v>0</v>
      </c>
      <c r="AO16" s="12">
        <f>IF(預測IC!AO16&gt;預測IC!AO$26,1,0)</f>
        <v>1</v>
      </c>
      <c r="AP16" s="12">
        <f>IF(預測IC!AP16&gt;預測IC!AP$26,1,0)</f>
        <v>0</v>
      </c>
      <c r="AQ16" s="12">
        <f>IF(預測IC!AQ16&gt;預測IC!AQ$26,1,0)</f>
        <v>1</v>
      </c>
      <c r="AR16" s="12">
        <f>IF(預測IC!AR16&gt;預測IC!AR$26,1,0)</f>
        <v>0</v>
      </c>
      <c r="AS16" s="12">
        <f>IF(預測IC!AS16&gt;預測IC!AS$26,1,0)</f>
        <v>1</v>
      </c>
      <c r="AT16" s="12">
        <f>IF(預測IC!AT16&gt;預測IC!AT$26,1,0)</f>
        <v>1</v>
      </c>
      <c r="AU16" s="12">
        <f>IF(預測IC!AU16&gt;預測IC!AU$26,1,0)</f>
        <v>1</v>
      </c>
      <c r="AV16" s="12">
        <f>IF(預測IC!AV16&gt;預測IC!AV$26,1,0)</f>
        <v>0</v>
      </c>
      <c r="AW16" s="12">
        <f>IF(預測IC!AW16&gt;預測IC!AW$26,1,0)</f>
        <v>1</v>
      </c>
      <c r="AX16" s="12">
        <f>IF(預測IC!AX16&gt;預測IC!AX$26,1,0)</f>
        <v>1</v>
      </c>
      <c r="AY16" s="12">
        <f>IF(預測IC!AY16&gt;預測IC!AY$26,1,0)</f>
        <v>0</v>
      </c>
      <c r="AZ16" s="12">
        <f>IF(預測IC!AZ16&gt;預測IC!AZ$26,1,0)</f>
        <v>0</v>
      </c>
      <c r="BA16" s="12">
        <f>IF(預測IC!BA16&gt;預測IC!BA$26,1,0)</f>
        <v>1</v>
      </c>
      <c r="BB16" s="12">
        <f>IF(預測IC!BB16&gt;預測IC!BB$26,1,0)</f>
        <v>1</v>
      </c>
      <c r="BC16" s="12">
        <f>IF(預測IC!BC16&gt;預測IC!BC$26,1,0)</f>
        <v>1</v>
      </c>
      <c r="BD16" s="12">
        <f>IF(預測IC!BD16&gt;預測IC!BD$26,1,0)</f>
        <v>1</v>
      </c>
      <c r="BE16" s="12">
        <f>IF(預測IC!BE16&gt;預測IC!BE$26,1,0)</f>
        <v>1</v>
      </c>
      <c r="BF16" s="12">
        <f>IF(預測IC!BF16&gt;預測IC!BF$26,1,0)</f>
        <v>0</v>
      </c>
      <c r="BG16" s="12">
        <f>IF(預測IC!BG16&gt;預測IC!BG$26,1,0)</f>
        <v>1</v>
      </c>
      <c r="BH16" s="12">
        <f>IF(預測IC!BH16&gt;預測IC!BH$26,1,0)</f>
        <v>1</v>
      </c>
      <c r="BI16" s="12">
        <f>IF(預測IC!BI16&gt;預測IC!BI$26,1,0)</f>
        <v>1</v>
      </c>
      <c r="BJ16" s="12">
        <f>IF(預測IC!BJ16&gt;預測IC!BJ$26,1,0)</f>
        <v>0</v>
      </c>
      <c r="BK16" s="12">
        <f>IF(預測IC!BK16&gt;預測IC!BK$26,1,0)</f>
        <v>0</v>
      </c>
      <c r="BL16" s="12">
        <f>IF(預測IC!BL16&gt;預測IC!BL$26,1,0)</f>
        <v>0</v>
      </c>
      <c r="BM16" s="12">
        <f>IF(預測IC!BM16&gt;預測IC!BM$26,1,0)</f>
        <v>0</v>
      </c>
      <c r="BN16" s="12">
        <f>IF(預測IC!BN16&gt;預測IC!BN$26,1,0)</f>
        <v>0</v>
      </c>
      <c r="BO16" s="12">
        <f>IF(預測IC!BO16&gt;預測IC!BO$26,1,0)</f>
        <v>1</v>
      </c>
      <c r="BP16" s="12">
        <f>IF(預測IC!BP16&gt;預測IC!BP$26,1,0)</f>
        <v>0</v>
      </c>
      <c r="BQ16" s="12">
        <f>IF(預測IC!BQ16&gt;預測IC!BQ$26,1,0)</f>
        <v>1</v>
      </c>
      <c r="BR16" s="12">
        <f>IF(預測IC!BR16&gt;預測IC!BR$26,1,0)</f>
        <v>1</v>
      </c>
      <c r="BS16" s="12">
        <f>IF(預測IC!BS16&gt;預測IC!BS$26,1,0)</f>
        <v>0</v>
      </c>
      <c r="BT16" s="12">
        <f>IF(預測IC!BT16&gt;預測IC!BT$26,1,0)</f>
        <v>0</v>
      </c>
      <c r="BU16" s="12">
        <f>IF(預測IC!BU16&gt;預測IC!BU$26,1,0)</f>
        <v>0</v>
      </c>
      <c r="BV16" s="12">
        <f>IF(預測IC!BV16&gt;預測IC!BV$26,1,0)</f>
        <v>1</v>
      </c>
      <c r="BW16" s="12">
        <f>IF(預測IC!BW16&gt;預測IC!BW$26,1,0)</f>
        <v>1</v>
      </c>
      <c r="BX16" s="12">
        <f>IF(預測IC!BX16&gt;預測IC!BX$26,1,0)</f>
        <v>1</v>
      </c>
      <c r="BY16" s="12">
        <f>IF(預測IC!BY16&gt;預測IC!BY$26,1,0)</f>
        <v>1</v>
      </c>
      <c r="BZ16" s="12">
        <f>IF(預測IC!BZ16&gt;預測IC!BZ$26,1,0)</f>
        <v>0</v>
      </c>
      <c r="CA16" s="12">
        <f>IF(預測IC!CA16&gt;預測IC!CA$26,1,0)</f>
        <v>0</v>
      </c>
      <c r="CB16" s="12">
        <f>IF(預測IC!CB16&gt;預測IC!CB$26,1,0)</f>
        <v>0</v>
      </c>
      <c r="CC16" s="12">
        <f>IF(預測IC!CC16&gt;預測IC!CC$26,1,0)</f>
        <v>0</v>
      </c>
      <c r="CD16" s="12">
        <f>IF(預測IC!CD16&gt;預測IC!CD$26,1,0)</f>
        <v>1</v>
      </c>
      <c r="CE16" s="12">
        <f>IF(預測IC!CE16&gt;預測IC!CE$26,1,0)</f>
        <v>1</v>
      </c>
      <c r="CF16" s="12">
        <f>IF(預測IC!CF16&gt;預測IC!CF$26,1,0)</f>
        <v>0</v>
      </c>
      <c r="CG16" s="12">
        <f>IF(預測IC!CG16&gt;預測IC!CG$26,1,0)</f>
        <v>1</v>
      </c>
      <c r="CH16" s="12">
        <f>IF(預測IC!CH16&gt;預測IC!CH$26,1,0)</f>
        <v>0</v>
      </c>
      <c r="CI16" s="12">
        <f>IF(預測IC!CI16&gt;預測IC!CI$26,1,0)</f>
        <v>0</v>
      </c>
      <c r="CJ16" s="12">
        <f>IF(預測IC!CJ16&gt;預測IC!CJ$26,1,0)</f>
        <v>0</v>
      </c>
      <c r="CK16" s="12">
        <f>IF(預測IC!CK16&gt;預測IC!CK$26,1,0)</f>
        <v>1</v>
      </c>
      <c r="CL16" s="12">
        <f>IF(預測IC!CL16&gt;預測IC!CL$26,1,0)</f>
        <v>0</v>
      </c>
      <c r="CM16" s="12">
        <f>IF(預測IC!CM16&gt;預測IC!CM$26,1,0)</f>
        <v>0</v>
      </c>
      <c r="CN16" s="12">
        <f>IF(預測IC!CN16&gt;預測IC!CN$26,1,0)</f>
        <v>0</v>
      </c>
      <c r="CO16" s="12">
        <f>IF(預測IC!CO16&gt;預測IC!CO$26,1,0)</f>
        <v>0</v>
      </c>
      <c r="CP16" s="12">
        <f>IF(預測IC!CP16&gt;預測IC!CP$26,1,0)</f>
        <v>1</v>
      </c>
      <c r="CQ16" s="12">
        <f>IF(預測IC!CQ16&gt;預測IC!CQ$26,1,0)</f>
        <v>1</v>
      </c>
      <c r="CR16" s="12">
        <f>IF(預測IC!CR16&gt;預測IC!CR$26,1,0)</f>
        <v>1</v>
      </c>
      <c r="CS16" s="12">
        <f>IF(預測IC!CS16&gt;預測IC!CS$26,1,0)</f>
        <v>0</v>
      </c>
      <c r="CT16" s="12">
        <f>IF(預測IC!CT16&gt;預測IC!CT$26,1,0)</f>
        <v>0</v>
      </c>
      <c r="CU16" s="12">
        <f>IF(預測IC!CU16&gt;預測IC!CU$26,1,0)</f>
        <v>1</v>
      </c>
      <c r="CV16" s="12">
        <f>IF(預測IC!CV16&gt;預測IC!CV$26,1,0)</f>
        <v>1</v>
      </c>
      <c r="CW16" s="12">
        <f>IF(預測IC!CW16&gt;預測IC!CW$26,1,0)</f>
        <v>1</v>
      </c>
      <c r="CX16" s="12">
        <f>IF(預測IC!CX16&gt;預測IC!CX$26,1,0)</f>
        <v>1</v>
      </c>
      <c r="CY16" s="12">
        <f>IF(預測IC!CY16&gt;預測IC!CY$26,1,0)</f>
        <v>1</v>
      </c>
      <c r="CZ16" s="12">
        <f>IF(預測IC!CZ16&gt;預測IC!CZ$26,1,0)</f>
        <v>1</v>
      </c>
      <c r="DA16" s="12">
        <f>IF(預測IC!DA16&gt;預測IC!DA$26,1,0)</f>
        <v>1</v>
      </c>
      <c r="DB16" s="12">
        <f>IF(預測IC!DB16&gt;預測IC!DB$26,1,0)</f>
        <v>1</v>
      </c>
      <c r="DC16" s="12">
        <f>IF(預測IC!DC16&gt;預測IC!DC$26,1,0)</f>
        <v>1</v>
      </c>
      <c r="DD16" s="12">
        <f>IF(預測IC!DD16&gt;預測IC!DD$26,1,0)</f>
        <v>1</v>
      </c>
      <c r="DE16" s="12">
        <f>IF(預測IC!DE16&gt;預測IC!DE$26,1,0)</f>
        <v>0</v>
      </c>
      <c r="DF16" s="12">
        <f>IF(預測IC!DF16&gt;預測IC!DF$26,1,0)</f>
        <v>0</v>
      </c>
      <c r="DG16" s="12">
        <f>IF(預測IC!DG16&gt;預測IC!DG$26,1,0)</f>
        <v>1</v>
      </c>
      <c r="DH16" s="12">
        <f>IF(預測IC!DH16&gt;預測IC!DH$26,1,0)</f>
        <v>0</v>
      </c>
      <c r="DI16" s="12">
        <f>IF(預測IC!DI16&gt;預測IC!DI$26,1,0)</f>
        <v>0</v>
      </c>
      <c r="DJ16" s="12">
        <f>IF(預測IC!DJ16&gt;預測IC!DJ$26,1,0)</f>
        <v>0</v>
      </c>
      <c r="DK16" s="12">
        <f>IF(預測IC!DK16&gt;預測IC!DK$26,1,0)</f>
        <v>1</v>
      </c>
      <c r="DL16" s="12">
        <f>IF(預測IC!DL16&gt;預測IC!DL$26,1,0)</f>
        <v>0</v>
      </c>
      <c r="DM16" s="12">
        <f>IF(預測IC!DM16&gt;預測IC!DM$26,1,0)</f>
        <v>0</v>
      </c>
      <c r="DN16" s="12">
        <f>IF(預測IC!DN16&gt;預測IC!DN$26,1,0)</f>
        <v>0</v>
      </c>
      <c r="DO16" s="12">
        <f>IF(預測IC!DO16&gt;預測IC!DO$26,1,0)</f>
        <v>0</v>
      </c>
      <c r="DP16" s="12">
        <f>IF(預測IC!DP16&gt;預測IC!DP$26,1,0)</f>
        <v>1</v>
      </c>
      <c r="DQ16" s="12">
        <f>IF(預測IC!DQ16&gt;預測IC!DQ$26,1,0)</f>
        <v>0</v>
      </c>
      <c r="DR16" s="12">
        <f>IF(預測IC!DR16&gt;預測IC!DR$26,1,0)</f>
        <v>1</v>
      </c>
      <c r="DS16" s="12">
        <f>IF(預測IC!DS16&gt;預測IC!DS$26,1,0)</f>
        <v>1</v>
      </c>
      <c r="DT16" s="12">
        <f>IF(預測IC!DT16&gt;預測IC!DT$26,1,0)</f>
        <v>0</v>
      </c>
      <c r="DU16" s="12">
        <f>IF(預測IC!DU16&gt;預測IC!DU$26,1,0)</f>
        <v>1</v>
      </c>
      <c r="DV16" s="12">
        <f>IF(預測IC!DV16&gt;預測IC!DV$26,1,0)</f>
        <v>0</v>
      </c>
      <c r="DW16" s="12">
        <f>IF(預測IC!DW16&gt;預測IC!DW$26,1,0)</f>
        <v>1</v>
      </c>
      <c r="DX16" s="12">
        <f>IF(預測IC!DX16&gt;預測IC!DX$26,1,0)</f>
        <v>1</v>
      </c>
      <c r="DY16" s="12">
        <f>IF(預測IC!DY16&gt;預測IC!DY$26,1,0)</f>
        <v>0</v>
      </c>
      <c r="DZ16" s="12">
        <f>IF(預測IC!DZ16&gt;預測IC!DZ$26,1,0)</f>
        <v>1</v>
      </c>
      <c r="EA16" s="12">
        <f>IF(預測IC!EA16&gt;預測IC!EA$26,1,0)</f>
        <v>0</v>
      </c>
      <c r="EB16" s="12">
        <f>IF(預測IC!EB16&gt;預測IC!EB$26,1,0)</f>
        <v>0</v>
      </c>
      <c r="EC16" s="12">
        <f>IF(預測IC!EC16&gt;預測IC!EC$26,1,0)</f>
        <v>1</v>
      </c>
      <c r="ED16" s="12">
        <f>IF(預測IC!ED16&gt;預測IC!ED$26,1,0)</f>
        <v>1</v>
      </c>
      <c r="EE16" s="12">
        <f>IF(預測IC!EE16&gt;預測IC!EE$26,1,0)</f>
        <v>0</v>
      </c>
      <c r="EF16" s="12">
        <f>IF(預測IC!EF16&gt;預測IC!EF$26,1,0)</f>
        <v>0</v>
      </c>
      <c r="EG16">
        <f t="shared" si="6"/>
        <v>67</v>
      </c>
      <c r="EH16" s="10">
        <f t="shared" si="7"/>
        <v>0.5</v>
      </c>
    </row>
    <row r="17" spans="1:138">
      <c r="A17" s="2">
        <v>120</v>
      </c>
      <c r="B17" s="2">
        <v>8</v>
      </c>
      <c r="C17" s="12">
        <f>IF(預測IC!C17&gt;預測IC!C$26,1,0)</f>
        <v>1</v>
      </c>
      <c r="D17" s="12">
        <f>IF(預測IC!D17&gt;預測IC!D$26,1,0)</f>
        <v>0</v>
      </c>
      <c r="E17" s="12">
        <f>IF(預測IC!E17&gt;預測IC!E$26,1,0)</f>
        <v>1</v>
      </c>
      <c r="F17" s="12">
        <f>IF(預測IC!F17&gt;預測IC!F$26,1,0)</f>
        <v>1</v>
      </c>
      <c r="G17" s="12">
        <f>IF(預測IC!G17&gt;預測IC!G$26,1,0)</f>
        <v>0</v>
      </c>
      <c r="H17" s="12">
        <f>IF(預測IC!H17&gt;預測IC!H$26,1,0)</f>
        <v>1</v>
      </c>
      <c r="I17" s="12">
        <f>IF(預測IC!I17&gt;預測IC!I$26,1,0)</f>
        <v>0</v>
      </c>
      <c r="J17" s="12">
        <f>IF(預測IC!J17&gt;預測IC!J$26,1,0)</f>
        <v>0</v>
      </c>
      <c r="K17" s="12">
        <f>IF(預測IC!K17&gt;預測IC!K$26,1,0)</f>
        <v>1</v>
      </c>
      <c r="L17" s="12">
        <f>IF(預測IC!L17&gt;預測IC!L$26,1,0)</f>
        <v>1</v>
      </c>
      <c r="M17" s="12">
        <f>IF(預測IC!M17&gt;預測IC!M$26,1,0)</f>
        <v>0</v>
      </c>
      <c r="N17" s="12">
        <f>IF(預測IC!N17&gt;預測IC!N$26,1,0)</f>
        <v>0</v>
      </c>
      <c r="O17" s="12">
        <f>IF(預測IC!O17&gt;預測IC!O$26,1,0)</f>
        <v>0</v>
      </c>
      <c r="P17" s="12">
        <f>IF(預測IC!P17&gt;預測IC!P$26,1,0)</f>
        <v>0</v>
      </c>
      <c r="Q17" s="12">
        <f>IF(預測IC!Q17&gt;預測IC!Q$26,1,0)</f>
        <v>0</v>
      </c>
      <c r="R17" s="12">
        <f>IF(預測IC!R17&gt;預測IC!R$26,1,0)</f>
        <v>0</v>
      </c>
      <c r="S17" s="12">
        <f>IF(預測IC!S17&gt;預測IC!S$26,1,0)</f>
        <v>1</v>
      </c>
      <c r="T17" s="12">
        <f>IF(預測IC!T17&gt;預測IC!T$26,1,0)</f>
        <v>1</v>
      </c>
      <c r="U17" s="12">
        <f>IF(預測IC!U17&gt;預測IC!U$26,1,0)</f>
        <v>1</v>
      </c>
      <c r="V17" s="12">
        <f>IF(預測IC!V17&gt;預測IC!V$26,1,0)</f>
        <v>0</v>
      </c>
      <c r="W17" s="12">
        <f>IF(預測IC!W17&gt;預測IC!W$26,1,0)</f>
        <v>1</v>
      </c>
      <c r="X17" s="12">
        <f>IF(預測IC!X17&gt;預測IC!X$26,1,0)</f>
        <v>1</v>
      </c>
      <c r="Y17" s="12">
        <f>IF(預測IC!Y17&gt;預測IC!Y$26,1,0)</f>
        <v>0</v>
      </c>
      <c r="Z17" s="12">
        <f>IF(預測IC!Z17&gt;預測IC!Z$26,1,0)</f>
        <v>0</v>
      </c>
      <c r="AA17" s="12">
        <f>IF(預測IC!AA17&gt;預測IC!AA$26,1,0)</f>
        <v>1</v>
      </c>
      <c r="AB17" s="12">
        <f>IF(預測IC!AB17&gt;預測IC!AB$26,1,0)</f>
        <v>1</v>
      </c>
      <c r="AC17" s="12">
        <f>IF(預測IC!AC17&gt;預測IC!AC$26,1,0)</f>
        <v>0</v>
      </c>
      <c r="AD17" s="12">
        <f>IF(預測IC!AD17&gt;預測IC!AD$26,1,0)</f>
        <v>1</v>
      </c>
      <c r="AE17" s="12">
        <f>IF(預測IC!AE17&gt;預測IC!AE$26,1,0)</f>
        <v>0</v>
      </c>
      <c r="AF17" s="12">
        <f>IF(預測IC!AF17&gt;預測IC!AF$26,1,0)</f>
        <v>1</v>
      </c>
      <c r="AG17" s="12">
        <f>IF(預測IC!AG17&gt;預測IC!AG$26,1,0)</f>
        <v>1</v>
      </c>
      <c r="AH17" s="12">
        <f>IF(預測IC!AH17&gt;預測IC!AH$26,1,0)</f>
        <v>0</v>
      </c>
      <c r="AI17" s="12">
        <f>IF(預測IC!AI17&gt;預測IC!AI$26,1,0)</f>
        <v>0</v>
      </c>
      <c r="AJ17" s="12">
        <f>IF(預測IC!AJ17&gt;預測IC!AJ$26,1,0)</f>
        <v>1</v>
      </c>
      <c r="AK17" s="12">
        <f>IF(預測IC!AK17&gt;預測IC!AK$26,1,0)</f>
        <v>0</v>
      </c>
      <c r="AL17" s="12">
        <f>IF(預測IC!AL17&gt;預測IC!AL$26,1,0)</f>
        <v>1</v>
      </c>
      <c r="AM17" s="12">
        <f>IF(預測IC!AM17&gt;預測IC!AM$26,1,0)</f>
        <v>0</v>
      </c>
      <c r="AN17" s="12">
        <f>IF(預測IC!AN17&gt;預測IC!AN$26,1,0)</f>
        <v>0</v>
      </c>
      <c r="AO17" s="12">
        <f>IF(預測IC!AO17&gt;預測IC!AO$26,1,0)</f>
        <v>1</v>
      </c>
      <c r="AP17" s="12">
        <f>IF(預測IC!AP17&gt;預測IC!AP$26,1,0)</f>
        <v>0</v>
      </c>
      <c r="AQ17" s="12">
        <f>IF(預測IC!AQ17&gt;預測IC!AQ$26,1,0)</f>
        <v>0</v>
      </c>
      <c r="AR17" s="12">
        <f>IF(預測IC!AR17&gt;預測IC!AR$26,1,0)</f>
        <v>0</v>
      </c>
      <c r="AS17" s="12">
        <f>IF(預測IC!AS17&gt;預測IC!AS$26,1,0)</f>
        <v>1</v>
      </c>
      <c r="AT17" s="12">
        <f>IF(預測IC!AT17&gt;預測IC!AT$26,1,0)</f>
        <v>1</v>
      </c>
      <c r="AU17" s="12">
        <f>IF(預測IC!AU17&gt;預測IC!AU$26,1,0)</f>
        <v>1</v>
      </c>
      <c r="AV17" s="12">
        <f>IF(預測IC!AV17&gt;預測IC!AV$26,1,0)</f>
        <v>0</v>
      </c>
      <c r="AW17" s="12">
        <f>IF(預測IC!AW17&gt;預測IC!AW$26,1,0)</f>
        <v>1</v>
      </c>
      <c r="AX17" s="12">
        <f>IF(預測IC!AX17&gt;預測IC!AX$26,1,0)</f>
        <v>1</v>
      </c>
      <c r="AY17" s="12">
        <f>IF(預測IC!AY17&gt;預測IC!AY$26,1,0)</f>
        <v>0</v>
      </c>
      <c r="AZ17" s="12">
        <f>IF(預測IC!AZ17&gt;預測IC!AZ$26,1,0)</f>
        <v>0</v>
      </c>
      <c r="BA17" s="12">
        <f>IF(預測IC!BA17&gt;預測IC!BA$26,1,0)</f>
        <v>1</v>
      </c>
      <c r="BB17" s="12">
        <f>IF(預測IC!BB17&gt;預測IC!BB$26,1,0)</f>
        <v>1</v>
      </c>
      <c r="BC17" s="12">
        <f>IF(預測IC!BC17&gt;預測IC!BC$26,1,0)</f>
        <v>1</v>
      </c>
      <c r="BD17" s="12">
        <f>IF(預測IC!BD17&gt;預測IC!BD$26,1,0)</f>
        <v>1</v>
      </c>
      <c r="BE17" s="12">
        <f>IF(預測IC!BE17&gt;預測IC!BE$26,1,0)</f>
        <v>1</v>
      </c>
      <c r="BF17" s="12">
        <f>IF(預測IC!BF17&gt;預測IC!BF$26,1,0)</f>
        <v>0</v>
      </c>
      <c r="BG17" s="12">
        <f>IF(預測IC!BG17&gt;預測IC!BG$26,1,0)</f>
        <v>0</v>
      </c>
      <c r="BH17" s="12">
        <f>IF(預測IC!BH17&gt;預測IC!BH$26,1,0)</f>
        <v>1</v>
      </c>
      <c r="BI17" s="12">
        <f>IF(預測IC!BI17&gt;預測IC!BI$26,1,0)</f>
        <v>1</v>
      </c>
      <c r="BJ17" s="12">
        <f>IF(預測IC!BJ17&gt;預測IC!BJ$26,1,0)</f>
        <v>1</v>
      </c>
      <c r="BK17" s="12">
        <f>IF(預測IC!BK17&gt;預測IC!BK$26,1,0)</f>
        <v>0</v>
      </c>
      <c r="BL17" s="12">
        <f>IF(預測IC!BL17&gt;預測IC!BL$26,1,0)</f>
        <v>0</v>
      </c>
      <c r="BM17" s="12">
        <f>IF(預測IC!BM17&gt;預測IC!BM$26,1,0)</f>
        <v>0</v>
      </c>
      <c r="BN17" s="12">
        <f>IF(預測IC!BN17&gt;預測IC!BN$26,1,0)</f>
        <v>0</v>
      </c>
      <c r="BO17" s="12">
        <f>IF(預測IC!BO17&gt;預測IC!BO$26,1,0)</f>
        <v>1</v>
      </c>
      <c r="BP17" s="12">
        <f>IF(預測IC!BP17&gt;預測IC!BP$26,1,0)</f>
        <v>1</v>
      </c>
      <c r="BQ17" s="12">
        <f>IF(預測IC!BQ17&gt;預測IC!BQ$26,1,0)</f>
        <v>1</v>
      </c>
      <c r="BR17" s="12">
        <f>IF(預測IC!BR17&gt;預測IC!BR$26,1,0)</f>
        <v>1</v>
      </c>
      <c r="BS17" s="12">
        <f>IF(預測IC!BS17&gt;預測IC!BS$26,1,0)</f>
        <v>0</v>
      </c>
      <c r="BT17" s="12">
        <f>IF(預測IC!BT17&gt;預測IC!BT$26,1,0)</f>
        <v>0</v>
      </c>
      <c r="BU17" s="12">
        <f>IF(預測IC!BU17&gt;預測IC!BU$26,1,0)</f>
        <v>0</v>
      </c>
      <c r="BV17" s="12">
        <f>IF(預測IC!BV17&gt;預測IC!BV$26,1,0)</f>
        <v>1</v>
      </c>
      <c r="BW17" s="12">
        <f>IF(預測IC!BW17&gt;預測IC!BW$26,1,0)</f>
        <v>1</v>
      </c>
      <c r="BX17" s="12">
        <f>IF(預測IC!BX17&gt;預測IC!BX$26,1,0)</f>
        <v>1</v>
      </c>
      <c r="BY17" s="12">
        <f>IF(預測IC!BY17&gt;預測IC!BY$26,1,0)</f>
        <v>1</v>
      </c>
      <c r="BZ17" s="12">
        <f>IF(預測IC!BZ17&gt;預測IC!BZ$26,1,0)</f>
        <v>0</v>
      </c>
      <c r="CA17" s="12">
        <f>IF(預測IC!CA17&gt;預測IC!CA$26,1,0)</f>
        <v>0</v>
      </c>
      <c r="CB17" s="12">
        <f>IF(預測IC!CB17&gt;預測IC!CB$26,1,0)</f>
        <v>0</v>
      </c>
      <c r="CC17" s="12">
        <f>IF(預測IC!CC17&gt;預測IC!CC$26,1,0)</f>
        <v>0</v>
      </c>
      <c r="CD17" s="12">
        <f>IF(預測IC!CD17&gt;預測IC!CD$26,1,0)</f>
        <v>1</v>
      </c>
      <c r="CE17" s="12">
        <f>IF(預測IC!CE17&gt;預測IC!CE$26,1,0)</f>
        <v>1</v>
      </c>
      <c r="CF17" s="12">
        <f>IF(預測IC!CF17&gt;預測IC!CF$26,1,0)</f>
        <v>0</v>
      </c>
      <c r="CG17" s="12">
        <f>IF(預測IC!CG17&gt;預測IC!CG$26,1,0)</f>
        <v>1</v>
      </c>
      <c r="CH17" s="12">
        <f>IF(預測IC!CH17&gt;預測IC!CH$26,1,0)</f>
        <v>0</v>
      </c>
      <c r="CI17" s="12">
        <f>IF(預測IC!CI17&gt;預測IC!CI$26,1,0)</f>
        <v>0</v>
      </c>
      <c r="CJ17" s="12">
        <f>IF(預測IC!CJ17&gt;預測IC!CJ$26,1,0)</f>
        <v>0</v>
      </c>
      <c r="CK17" s="12">
        <f>IF(預測IC!CK17&gt;預測IC!CK$26,1,0)</f>
        <v>1</v>
      </c>
      <c r="CL17" s="12">
        <f>IF(預測IC!CL17&gt;預測IC!CL$26,1,0)</f>
        <v>0</v>
      </c>
      <c r="CM17" s="12">
        <f>IF(預測IC!CM17&gt;預測IC!CM$26,1,0)</f>
        <v>0</v>
      </c>
      <c r="CN17" s="12">
        <f>IF(預測IC!CN17&gt;預測IC!CN$26,1,0)</f>
        <v>0</v>
      </c>
      <c r="CO17" s="12">
        <f>IF(預測IC!CO17&gt;預測IC!CO$26,1,0)</f>
        <v>0</v>
      </c>
      <c r="CP17" s="12">
        <f>IF(預測IC!CP17&gt;預測IC!CP$26,1,0)</f>
        <v>1</v>
      </c>
      <c r="CQ17" s="12">
        <f>IF(預測IC!CQ17&gt;預測IC!CQ$26,1,0)</f>
        <v>1</v>
      </c>
      <c r="CR17" s="12">
        <f>IF(預測IC!CR17&gt;預測IC!CR$26,1,0)</f>
        <v>1</v>
      </c>
      <c r="CS17" s="12">
        <f>IF(預測IC!CS17&gt;預測IC!CS$26,1,0)</f>
        <v>0</v>
      </c>
      <c r="CT17" s="12">
        <f>IF(預測IC!CT17&gt;預測IC!CT$26,1,0)</f>
        <v>0</v>
      </c>
      <c r="CU17" s="12">
        <f>IF(預測IC!CU17&gt;預測IC!CU$26,1,0)</f>
        <v>1</v>
      </c>
      <c r="CV17" s="12">
        <f>IF(預測IC!CV17&gt;預測IC!CV$26,1,0)</f>
        <v>1</v>
      </c>
      <c r="CW17" s="12">
        <f>IF(預測IC!CW17&gt;預測IC!CW$26,1,0)</f>
        <v>1</v>
      </c>
      <c r="CX17" s="12">
        <f>IF(預測IC!CX17&gt;預測IC!CX$26,1,0)</f>
        <v>1</v>
      </c>
      <c r="CY17" s="12">
        <f>IF(預測IC!CY17&gt;預測IC!CY$26,1,0)</f>
        <v>1</v>
      </c>
      <c r="CZ17" s="12">
        <f>IF(預測IC!CZ17&gt;預測IC!CZ$26,1,0)</f>
        <v>1</v>
      </c>
      <c r="DA17" s="12">
        <f>IF(預測IC!DA17&gt;預測IC!DA$26,1,0)</f>
        <v>1</v>
      </c>
      <c r="DB17" s="12">
        <f>IF(預測IC!DB17&gt;預測IC!DB$26,1,0)</f>
        <v>1</v>
      </c>
      <c r="DC17" s="12">
        <f>IF(預測IC!DC17&gt;預測IC!DC$26,1,0)</f>
        <v>1</v>
      </c>
      <c r="DD17" s="12">
        <f>IF(預測IC!DD17&gt;預測IC!DD$26,1,0)</f>
        <v>1</v>
      </c>
      <c r="DE17" s="12">
        <f>IF(預測IC!DE17&gt;預測IC!DE$26,1,0)</f>
        <v>0</v>
      </c>
      <c r="DF17" s="12">
        <f>IF(預測IC!DF17&gt;預測IC!DF$26,1,0)</f>
        <v>0</v>
      </c>
      <c r="DG17" s="12">
        <f>IF(預測IC!DG17&gt;預測IC!DG$26,1,0)</f>
        <v>1</v>
      </c>
      <c r="DH17" s="12">
        <f>IF(預測IC!DH17&gt;預測IC!DH$26,1,0)</f>
        <v>0</v>
      </c>
      <c r="DI17" s="12">
        <f>IF(預測IC!DI17&gt;預測IC!DI$26,1,0)</f>
        <v>0</v>
      </c>
      <c r="DJ17" s="12">
        <f>IF(預測IC!DJ17&gt;預測IC!DJ$26,1,0)</f>
        <v>0</v>
      </c>
      <c r="DK17" s="12">
        <f>IF(預測IC!DK17&gt;預測IC!DK$26,1,0)</f>
        <v>1</v>
      </c>
      <c r="DL17" s="12">
        <f>IF(預測IC!DL17&gt;預測IC!DL$26,1,0)</f>
        <v>0</v>
      </c>
      <c r="DM17" s="12">
        <f>IF(預測IC!DM17&gt;預測IC!DM$26,1,0)</f>
        <v>0</v>
      </c>
      <c r="DN17" s="12">
        <f>IF(預測IC!DN17&gt;預測IC!DN$26,1,0)</f>
        <v>0</v>
      </c>
      <c r="DO17" s="12">
        <f>IF(預測IC!DO17&gt;預測IC!DO$26,1,0)</f>
        <v>0</v>
      </c>
      <c r="DP17" s="12">
        <f>IF(預測IC!DP17&gt;預測IC!DP$26,1,0)</f>
        <v>1</v>
      </c>
      <c r="DQ17" s="12">
        <f>IF(預測IC!DQ17&gt;預測IC!DQ$26,1,0)</f>
        <v>0</v>
      </c>
      <c r="DR17" s="12">
        <f>IF(預測IC!DR17&gt;預測IC!DR$26,1,0)</f>
        <v>1</v>
      </c>
      <c r="DS17" s="12">
        <f>IF(預測IC!DS17&gt;預測IC!DS$26,1,0)</f>
        <v>1</v>
      </c>
      <c r="DT17" s="12">
        <f>IF(預測IC!DT17&gt;預測IC!DT$26,1,0)</f>
        <v>0</v>
      </c>
      <c r="DU17" s="12">
        <f>IF(預測IC!DU17&gt;預測IC!DU$26,1,0)</f>
        <v>1</v>
      </c>
      <c r="DV17" s="12">
        <f>IF(預測IC!DV17&gt;預測IC!DV$26,1,0)</f>
        <v>0</v>
      </c>
      <c r="DW17" s="12">
        <f>IF(預測IC!DW17&gt;預測IC!DW$26,1,0)</f>
        <v>1</v>
      </c>
      <c r="DX17" s="12">
        <f>IF(預測IC!DX17&gt;預測IC!DX$26,1,0)</f>
        <v>1</v>
      </c>
      <c r="DY17" s="12">
        <f>IF(預測IC!DY17&gt;預測IC!DY$26,1,0)</f>
        <v>0</v>
      </c>
      <c r="DZ17" s="12">
        <f>IF(預測IC!DZ17&gt;預測IC!DZ$26,1,0)</f>
        <v>1</v>
      </c>
      <c r="EA17" s="12">
        <f>IF(預測IC!EA17&gt;預測IC!EA$26,1,0)</f>
        <v>0</v>
      </c>
      <c r="EB17" s="12">
        <f>IF(預測IC!EB17&gt;預測IC!EB$26,1,0)</f>
        <v>0</v>
      </c>
      <c r="EC17" s="12">
        <f>IF(預測IC!EC17&gt;預測IC!EC$26,1,0)</f>
        <v>1</v>
      </c>
      <c r="ED17" s="12">
        <f>IF(預測IC!ED17&gt;預測IC!ED$26,1,0)</f>
        <v>1</v>
      </c>
      <c r="EE17" s="12">
        <f>IF(預測IC!EE17&gt;預測IC!EE$26,1,0)</f>
        <v>0</v>
      </c>
      <c r="EF17" s="12">
        <f>IF(預測IC!EF17&gt;預測IC!EF$26,1,0)</f>
        <v>0</v>
      </c>
      <c r="EG17">
        <f t="shared" si="6"/>
        <v>68</v>
      </c>
      <c r="EH17" s="10">
        <f t="shared" si="7"/>
        <v>0.5074626865671642</v>
      </c>
    </row>
    <row r="18" spans="1:138">
      <c r="A18" s="2">
        <v>137</v>
      </c>
      <c r="B18" s="2">
        <v>7</v>
      </c>
      <c r="C18" s="12">
        <f>IF(預測IC!C18&gt;預測IC!C$26,1,0)</f>
        <v>1</v>
      </c>
      <c r="D18" s="12">
        <f>IF(預測IC!D18&gt;預測IC!D$26,1,0)</f>
        <v>0</v>
      </c>
      <c r="E18" s="12">
        <f>IF(預測IC!E18&gt;預測IC!E$26,1,0)</f>
        <v>1</v>
      </c>
      <c r="F18" s="12">
        <f>IF(預測IC!F18&gt;預測IC!F$26,1,0)</f>
        <v>1</v>
      </c>
      <c r="G18" s="12">
        <f>IF(預測IC!G18&gt;預測IC!G$26,1,0)</f>
        <v>0</v>
      </c>
      <c r="H18" s="12">
        <f>IF(預測IC!H18&gt;預測IC!H$26,1,0)</f>
        <v>1</v>
      </c>
      <c r="I18" s="12">
        <f>IF(預測IC!I18&gt;預測IC!I$26,1,0)</f>
        <v>0</v>
      </c>
      <c r="J18" s="12">
        <f>IF(預測IC!J18&gt;預測IC!J$26,1,0)</f>
        <v>0</v>
      </c>
      <c r="K18" s="12">
        <f>IF(預測IC!K18&gt;預測IC!K$26,1,0)</f>
        <v>1</v>
      </c>
      <c r="L18" s="12">
        <f>IF(預測IC!L18&gt;預測IC!L$26,1,0)</f>
        <v>1</v>
      </c>
      <c r="M18" s="12">
        <f>IF(預測IC!M18&gt;預測IC!M$26,1,0)</f>
        <v>0</v>
      </c>
      <c r="N18" s="12">
        <f>IF(預測IC!N18&gt;預測IC!N$26,1,0)</f>
        <v>0</v>
      </c>
      <c r="O18" s="12">
        <f>IF(預測IC!O18&gt;預測IC!O$26,1,0)</f>
        <v>1</v>
      </c>
      <c r="P18" s="12">
        <f>IF(預測IC!P18&gt;預測IC!P$26,1,0)</f>
        <v>0</v>
      </c>
      <c r="Q18" s="12">
        <f>IF(預測IC!Q18&gt;預測IC!Q$26,1,0)</f>
        <v>0</v>
      </c>
      <c r="R18" s="12">
        <f>IF(預測IC!R18&gt;預測IC!R$26,1,0)</f>
        <v>0</v>
      </c>
      <c r="S18" s="12">
        <f>IF(預測IC!S18&gt;預測IC!S$26,1,0)</f>
        <v>1</v>
      </c>
      <c r="T18" s="12">
        <f>IF(預測IC!T18&gt;預測IC!T$26,1,0)</f>
        <v>1</v>
      </c>
      <c r="U18" s="12">
        <f>IF(預測IC!U18&gt;預測IC!U$26,1,0)</f>
        <v>1</v>
      </c>
      <c r="V18" s="12">
        <f>IF(預測IC!V18&gt;預測IC!V$26,1,0)</f>
        <v>0</v>
      </c>
      <c r="W18" s="12">
        <f>IF(預測IC!W18&gt;預測IC!W$26,1,0)</f>
        <v>1</v>
      </c>
      <c r="X18" s="12">
        <f>IF(預測IC!X18&gt;預測IC!X$26,1,0)</f>
        <v>1</v>
      </c>
      <c r="Y18" s="12">
        <f>IF(預測IC!Y18&gt;預測IC!Y$26,1,0)</f>
        <v>0</v>
      </c>
      <c r="Z18" s="12">
        <f>IF(預測IC!Z18&gt;預測IC!Z$26,1,0)</f>
        <v>0</v>
      </c>
      <c r="AA18" s="12">
        <f>IF(預測IC!AA18&gt;預測IC!AA$26,1,0)</f>
        <v>1</v>
      </c>
      <c r="AB18" s="12">
        <f>IF(預測IC!AB18&gt;預測IC!AB$26,1,0)</f>
        <v>1</v>
      </c>
      <c r="AC18" s="12">
        <f>IF(預測IC!AC18&gt;預測IC!AC$26,1,0)</f>
        <v>0</v>
      </c>
      <c r="AD18" s="12">
        <f>IF(預測IC!AD18&gt;預測IC!AD$26,1,0)</f>
        <v>1</v>
      </c>
      <c r="AE18" s="12">
        <f>IF(預測IC!AE18&gt;預測IC!AE$26,1,0)</f>
        <v>0</v>
      </c>
      <c r="AF18" s="12">
        <f>IF(預測IC!AF18&gt;預測IC!AF$26,1,0)</f>
        <v>1</v>
      </c>
      <c r="AG18" s="12">
        <f>IF(預測IC!AG18&gt;預測IC!AG$26,1,0)</f>
        <v>1</v>
      </c>
      <c r="AH18" s="12">
        <f>IF(預測IC!AH18&gt;預測IC!AH$26,1,0)</f>
        <v>0</v>
      </c>
      <c r="AI18" s="12">
        <f>IF(預測IC!AI18&gt;預測IC!AI$26,1,0)</f>
        <v>0</v>
      </c>
      <c r="AJ18" s="12">
        <f>IF(預測IC!AJ18&gt;預測IC!AJ$26,1,0)</f>
        <v>1</v>
      </c>
      <c r="AK18" s="12">
        <f>IF(預測IC!AK18&gt;預測IC!AK$26,1,0)</f>
        <v>0</v>
      </c>
      <c r="AL18" s="12">
        <f>IF(預測IC!AL18&gt;預測IC!AL$26,1,0)</f>
        <v>1</v>
      </c>
      <c r="AM18" s="12">
        <f>IF(預測IC!AM18&gt;預測IC!AM$26,1,0)</f>
        <v>0</v>
      </c>
      <c r="AN18" s="12">
        <f>IF(預測IC!AN18&gt;預測IC!AN$26,1,0)</f>
        <v>0</v>
      </c>
      <c r="AO18" s="12">
        <f>IF(預測IC!AO18&gt;預測IC!AO$26,1,0)</f>
        <v>0</v>
      </c>
      <c r="AP18" s="12">
        <f>IF(預測IC!AP18&gt;預測IC!AP$26,1,0)</f>
        <v>0</v>
      </c>
      <c r="AQ18" s="12">
        <f>IF(預測IC!AQ18&gt;預測IC!AQ$26,1,0)</f>
        <v>0</v>
      </c>
      <c r="AR18" s="12">
        <f>IF(預測IC!AR18&gt;預測IC!AR$26,1,0)</f>
        <v>0</v>
      </c>
      <c r="AS18" s="12">
        <f>IF(預測IC!AS18&gt;預測IC!AS$26,1,0)</f>
        <v>1</v>
      </c>
      <c r="AT18" s="12">
        <f>IF(預測IC!AT18&gt;預測IC!AT$26,1,0)</f>
        <v>1</v>
      </c>
      <c r="AU18" s="12">
        <f>IF(預測IC!AU18&gt;預測IC!AU$26,1,0)</f>
        <v>1</v>
      </c>
      <c r="AV18" s="12">
        <f>IF(預測IC!AV18&gt;預測IC!AV$26,1,0)</f>
        <v>0</v>
      </c>
      <c r="AW18" s="12">
        <f>IF(預測IC!AW18&gt;預測IC!AW$26,1,0)</f>
        <v>1</v>
      </c>
      <c r="AX18" s="12">
        <f>IF(預測IC!AX18&gt;預測IC!AX$26,1,0)</f>
        <v>1</v>
      </c>
      <c r="AY18" s="12">
        <f>IF(預測IC!AY18&gt;預測IC!AY$26,1,0)</f>
        <v>0</v>
      </c>
      <c r="AZ18" s="12">
        <f>IF(預測IC!AZ18&gt;預測IC!AZ$26,1,0)</f>
        <v>0</v>
      </c>
      <c r="BA18" s="12">
        <f>IF(預測IC!BA18&gt;預測IC!BA$26,1,0)</f>
        <v>0</v>
      </c>
      <c r="BB18" s="12">
        <f>IF(預測IC!BB18&gt;預測IC!BB$26,1,0)</f>
        <v>1</v>
      </c>
      <c r="BC18" s="12">
        <f>IF(預測IC!BC18&gt;預測IC!BC$26,1,0)</f>
        <v>1</v>
      </c>
      <c r="BD18" s="12">
        <f>IF(預測IC!BD18&gt;預測IC!BD$26,1,0)</f>
        <v>1</v>
      </c>
      <c r="BE18" s="12">
        <f>IF(預測IC!BE18&gt;預測IC!BE$26,1,0)</f>
        <v>1</v>
      </c>
      <c r="BF18" s="12">
        <f>IF(預測IC!BF18&gt;預測IC!BF$26,1,0)</f>
        <v>0</v>
      </c>
      <c r="BG18" s="12">
        <f>IF(預測IC!BG18&gt;預測IC!BG$26,1,0)</f>
        <v>0</v>
      </c>
      <c r="BH18" s="12">
        <f>IF(預測IC!BH18&gt;預測IC!BH$26,1,0)</f>
        <v>1</v>
      </c>
      <c r="BI18" s="12">
        <f>IF(預測IC!BI18&gt;預測IC!BI$26,1,0)</f>
        <v>1</v>
      </c>
      <c r="BJ18" s="12">
        <f>IF(預測IC!BJ18&gt;預測IC!BJ$26,1,0)</f>
        <v>1</v>
      </c>
      <c r="BK18" s="12">
        <f>IF(預測IC!BK18&gt;預測IC!BK$26,1,0)</f>
        <v>0</v>
      </c>
      <c r="BL18" s="12">
        <f>IF(預測IC!BL18&gt;預測IC!BL$26,1,0)</f>
        <v>0</v>
      </c>
      <c r="BM18" s="12">
        <f>IF(預測IC!BM18&gt;預測IC!BM$26,1,0)</f>
        <v>0</v>
      </c>
      <c r="BN18" s="12">
        <f>IF(預測IC!BN18&gt;預測IC!BN$26,1,0)</f>
        <v>0</v>
      </c>
      <c r="BO18" s="12">
        <f>IF(預測IC!BO18&gt;預測IC!BO$26,1,0)</f>
        <v>1</v>
      </c>
      <c r="BP18" s="12">
        <f>IF(預測IC!BP18&gt;預測IC!BP$26,1,0)</f>
        <v>1</v>
      </c>
      <c r="BQ18" s="12">
        <f>IF(預測IC!BQ18&gt;預測IC!BQ$26,1,0)</f>
        <v>0</v>
      </c>
      <c r="BR18" s="12">
        <f>IF(預測IC!BR18&gt;預測IC!BR$26,1,0)</f>
        <v>1</v>
      </c>
      <c r="BS18" s="12">
        <f>IF(預測IC!BS18&gt;預測IC!BS$26,1,0)</f>
        <v>0</v>
      </c>
      <c r="BT18" s="12">
        <f>IF(預測IC!BT18&gt;預測IC!BT$26,1,0)</f>
        <v>0</v>
      </c>
      <c r="BU18" s="12">
        <f>IF(預測IC!BU18&gt;預測IC!BU$26,1,0)</f>
        <v>0</v>
      </c>
      <c r="BV18" s="12">
        <f>IF(預測IC!BV18&gt;預測IC!BV$26,1,0)</f>
        <v>1</v>
      </c>
      <c r="BW18" s="12">
        <f>IF(預測IC!BW18&gt;預測IC!BW$26,1,0)</f>
        <v>1</v>
      </c>
      <c r="BX18" s="12">
        <f>IF(預測IC!BX18&gt;預測IC!BX$26,1,0)</f>
        <v>1</v>
      </c>
      <c r="BY18" s="12">
        <f>IF(預測IC!BY18&gt;預測IC!BY$26,1,0)</f>
        <v>1</v>
      </c>
      <c r="BZ18" s="12">
        <f>IF(預測IC!BZ18&gt;預測IC!BZ$26,1,0)</f>
        <v>0</v>
      </c>
      <c r="CA18" s="12">
        <f>IF(預測IC!CA18&gt;預測IC!CA$26,1,0)</f>
        <v>0</v>
      </c>
      <c r="CB18" s="12">
        <f>IF(預測IC!CB18&gt;預測IC!CB$26,1,0)</f>
        <v>0</v>
      </c>
      <c r="CC18" s="12">
        <f>IF(預測IC!CC18&gt;預測IC!CC$26,1,0)</f>
        <v>1</v>
      </c>
      <c r="CD18" s="12">
        <f>IF(預測IC!CD18&gt;預測IC!CD$26,1,0)</f>
        <v>1</v>
      </c>
      <c r="CE18" s="12">
        <f>IF(預測IC!CE18&gt;預測IC!CE$26,1,0)</f>
        <v>1</v>
      </c>
      <c r="CF18" s="12">
        <f>IF(預測IC!CF18&gt;預測IC!CF$26,1,0)</f>
        <v>0</v>
      </c>
      <c r="CG18" s="12">
        <f>IF(預測IC!CG18&gt;預測IC!CG$26,1,0)</f>
        <v>1</v>
      </c>
      <c r="CH18" s="12">
        <f>IF(預測IC!CH18&gt;預測IC!CH$26,1,0)</f>
        <v>0</v>
      </c>
      <c r="CI18" s="12">
        <f>IF(預測IC!CI18&gt;預測IC!CI$26,1,0)</f>
        <v>0</v>
      </c>
      <c r="CJ18" s="12">
        <f>IF(預測IC!CJ18&gt;預測IC!CJ$26,1,0)</f>
        <v>1</v>
      </c>
      <c r="CK18" s="12">
        <f>IF(預測IC!CK18&gt;預測IC!CK$26,1,0)</f>
        <v>1</v>
      </c>
      <c r="CL18" s="12">
        <f>IF(預測IC!CL18&gt;預測IC!CL$26,1,0)</f>
        <v>0</v>
      </c>
      <c r="CM18" s="12">
        <f>IF(預測IC!CM18&gt;預測IC!CM$26,1,0)</f>
        <v>0</v>
      </c>
      <c r="CN18" s="12">
        <f>IF(預測IC!CN18&gt;預測IC!CN$26,1,0)</f>
        <v>0</v>
      </c>
      <c r="CO18" s="12">
        <f>IF(預測IC!CO18&gt;預測IC!CO$26,1,0)</f>
        <v>0</v>
      </c>
      <c r="CP18" s="12">
        <f>IF(預測IC!CP18&gt;預測IC!CP$26,1,0)</f>
        <v>1</v>
      </c>
      <c r="CQ18" s="12">
        <f>IF(預測IC!CQ18&gt;預測IC!CQ$26,1,0)</f>
        <v>1</v>
      </c>
      <c r="CR18" s="12">
        <f>IF(預測IC!CR18&gt;預測IC!CR$26,1,0)</f>
        <v>1</v>
      </c>
      <c r="CS18" s="12">
        <f>IF(預測IC!CS18&gt;預測IC!CS$26,1,0)</f>
        <v>0</v>
      </c>
      <c r="CT18" s="12">
        <f>IF(預測IC!CT18&gt;預測IC!CT$26,1,0)</f>
        <v>0</v>
      </c>
      <c r="CU18" s="12">
        <f>IF(預測IC!CU18&gt;預測IC!CU$26,1,0)</f>
        <v>1</v>
      </c>
      <c r="CV18" s="12">
        <f>IF(預測IC!CV18&gt;預測IC!CV$26,1,0)</f>
        <v>1</v>
      </c>
      <c r="CW18" s="12">
        <f>IF(預測IC!CW18&gt;預測IC!CW$26,1,0)</f>
        <v>1</v>
      </c>
      <c r="CX18" s="12">
        <f>IF(預測IC!CX18&gt;預測IC!CX$26,1,0)</f>
        <v>1</v>
      </c>
      <c r="CY18" s="12">
        <f>IF(預測IC!CY18&gt;預測IC!CY$26,1,0)</f>
        <v>1</v>
      </c>
      <c r="CZ18" s="12">
        <f>IF(預測IC!CZ18&gt;預測IC!CZ$26,1,0)</f>
        <v>0</v>
      </c>
      <c r="DA18" s="12">
        <f>IF(預測IC!DA18&gt;預測IC!DA$26,1,0)</f>
        <v>1</v>
      </c>
      <c r="DB18" s="12">
        <f>IF(預測IC!DB18&gt;預測IC!DB$26,1,0)</f>
        <v>1</v>
      </c>
      <c r="DC18" s="12">
        <f>IF(預測IC!DC18&gt;預測IC!DC$26,1,0)</f>
        <v>1</v>
      </c>
      <c r="DD18" s="12">
        <f>IF(預測IC!DD18&gt;預測IC!DD$26,1,0)</f>
        <v>0</v>
      </c>
      <c r="DE18" s="12">
        <f>IF(預測IC!DE18&gt;預測IC!DE$26,1,0)</f>
        <v>0</v>
      </c>
      <c r="DF18" s="12">
        <f>IF(預測IC!DF18&gt;預測IC!DF$26,1,0)</f>
        <v>0</v>
      </c>
      <c r="DG18" s="12">
        <f>IF(預測IC!DG18&gt;預測IC!DG$26,1,0)</f>
        <v>1</v>
      </c>
      <c r="DH18" s="12">
        <f>IF(預測IC!DH18&gt;預測IC!DH$26,1,0)</f>
        <v>0</v>
      </c>
      <c r="DI18" s="12">
        <f>IF(預測IC!DI18&gt;預測IC!DI$26,1,0)</f>
        <v>0</v>
      </c>
      <c r="DJ18" s="12">
        <f>IF(預測IC!DJ18&gt;預測IC!DJ$26,1,0)</f>
        <v>0</v>
      </c>
      <c r="DK18" s="12">
        <f>IF(預測IC!DK18&gt;預測IC!DK$26,1,0)</f>
        <v>1</v>
      </c>
      <c r="DL18" s="12">
        <f>IF(預測IC!DL18&gt;預測IC!DL$26,1,0)</f>
        <v>1</v>
      </c>
      <c r="DM18" s="12">
        <f>IF(預測IC!DM18&gt;預測IC!DM$26,1,0)</f>
        <v>0</v>
      </c>
      <c r="DN18" s="12">
        <f>IF(預測IC!DN18&gt;預測IC!DN$26,1,0)</f>
        <v>0</v>
      </c>
      <c r="DO18" s="12">
        <f>IF(預測IC!DO18&gt;預測IC!DO$26,1,0)</f>
        <v>0</v>
      </c>
      <c r="DP18" s="12">
        <f>IF(預測IC!DP18&gt;預測IC!DP$26,1,0)</f>
        <v>1</v>
      </c>
      <c r="DQ18" s="12">
        <f>IF(預測IC!DQ18&gt;預測IC!DQ$26,1,0)</f>
        <v>0</v>
      </c>
      <c r="DR18" s="12">
        <f>IF(預測IC!DR18&gt;預測IC!DR$26,1,0)</f>
        <v>1</v>
      </c>
      <c r="DS18" s="12">
        <f>IF(預測IC!DS18&gt;預測IC!DS$26,1,0)</f>
        <v>1</v>
      </c>
      <c r="DT18" s="12">
        <f>IF(預測IC!DT18&gt;預測IC!DT$26,1,0)</f>
        <v>0</v>
      </c>
      <c r="DU18" s="12">
        <f>IF(預測IC!DU18&gt;預測IC!DU$26,1,0)</f>
        <v>1</v>
      </c>
      <c r="DV18" s="12">
        <f>IF(預測IC!DV18&gt;預測IC!DV$26,1,0)</f>
        <v>0</v>
      </c>
      <c r="DW18" s="12">
        <f>IF(預測IC!DW18&gt;預測IC!DW$26,1,0)</f>
        <v>1</v>
      </c>
      <c r="DX18" s="12">
        <f>IF(預測IC!DX18&gt;預測IC!DX$26,1,0)</f>
        <v>1</v>
      </c>
      <c r="DY18" s="12">
        <f>IF(預測IC!DY18&gt;預測IC!DY$26,1,0)</f>
        <v>0</v>
      </c>
      <c r="DZ18" s="12">
        <f>IF(預測IC!DZ18&gt;預測IC!DZ$26,1,0)</f>
        <v>1</v>
      </c>
      <c r="EA18" s="12">
        <f>IF(預測IC!EA18&gt;預測IC!EA$26,1,0)</f>
        <v>1</v>
      </c>
      <c r="EB18" s="12">
        <f>IF(預測IC!EB18&gt;預測IC!EB$26,1,0)</f>
        <v>0</v>
      </c>
      <c r="EC18" s="12">
        <f>IF(預測IC!EC18&gt;預測IC!EC$26,1,0)</f>
        <v>1</v>
      </c>
      <c r="ED18" s="12">
        <f>IF(預測IC!ED18&gt;預測IC!ED$26,1,0)</f>
        <v>1</v>
      </c>
      <c r="EE18" s="12">
        <f>IF(預測IC!EE18&gt;預測IC!EE$26,1,0)</f>
        <v>0</v>
      </c>
      <c r="EF18" s="12">
        <f>IF(預測IC!EF18&gt;預測IC!EF$26,1,0)</f>
        <v>0</v>
      </c>
      <c r="EG18">
        <f t="shared" si="6"/>
        <v>68</v>
      </c>
      <c r="EH18" s="10">
        <f t="shared" si="7"/>
        <v>0.5074626865671642</v>
      </c>
    </row>
    <row r="19" spans="1:138">
      <c r="A19" s="2">
        <v>160</v>
      </c>
      <c r="B19" s="2">
        <v>6</v>
      </c>
      <c r="C19" s="12">
        <f>IF(預測IC!C19&gt;預測IC!C$26,1,0)</f>
        <v>1</v>
      </c>
      <c r="D19" s="12">
        <f>IF(預測IC!D19&gt;預測IC!D$26,1,0)</f>
        <v>0</v>
      </c>
      <c r="E19" s="12">
        <f>IF(預測IC!E19&gt;預測IC!E$26,1,0)</f>
        <v>1</v>
      </c>
      <c r="F19" s="12">
        <f>IF(預測IC!F19&gt;預測IC!F$26,1,0)</f>
        <v>1</v>
      </c>
      <c r="G19" s="12">
        <f>IF(預測IC!G19&gt;預測IC!G$26,1,0)</f>
        <v>0</v>
      </c>
      <c r="H19" s="12">
        <f>IF(預測IC!H19&gt;預測IC!H$26,1,0)</f>
        <v>1</v>
      </c>
      <c r="I19" s="12">
        <f>IF(預測IC!I19&gt;預測IC!I$26,1,0)</f>
        <v>0</v>
      </c>
      <c r="J19" s="12">
        <f>IF(預測IC!J19&gt;預測IC!J$26,1,0)</f>
        <v>0</v>
      </c>
      <c r="K19" s="12">
        <f>IF(預測IC!K19&gt;預測IC!K$26,1,0)</f>
        <v>1</v>
      </c>
      <c r="L19" s="12">
        <f>IF(預測IC!L19&gt;預測IC!L$26,1,0)</f>
        <v>1</v>
      </c>
      <c r="M19" s="12">
        <f>IF(預測IC!M19&gt;預測IC!M$26,1,0)</f>
        <v>0</v>
      </c>
      <c r="N19" s="12">
        <f>IF(預測IC!N19&gt;預測IC!N$26,1,0)</f>
        <v>0</v>
      </c>
      <c r="O19" s="12">
        <f>IF(預測IC!O19&gt;預測IC!O$26,1,0)</f>
        <v>1</v>
      </c>
      <c r="P19" s="12">
        <f>IF(預測IC!P19&gt;預測IC!P$26,1,0)</f>
        <v>0</v>
      </c>
      <c r="Q19" s="12">
        <f>IF(預測IC!Q19&gt;預測IC!Q$26,1,0)</f>
        <v>0</v>
      </c>
      <c r="R19" s="12">
        <f>IF(預測IC!R19&gt;預測IC!R$26,1,0)</f>
        <v>0</v>
      </c>
      <c r="S19" s="12">
        <f>IF(預測IC!S19&gt;預測IC!S$26,1,0)</f>
        <v>1</v>
      </c>
      <c r="T19" s="12">
        <f>IF(預測IC!T19&gt;預測IC!T$26,1,0)</f>
        <v>1</v>
      </c>
      <c r="U19" s="12">
        <f>IF(預測IC!U19&gt;預測IC!U$26,1,0)</f>
        <v>1</v>
      </c>
      <c r="V19" s="12">
        <f>IF(預測IC!V19&gt;預測IC!V$26,1,0)</f>
        <v>0</v>
      </c>
      <c r="W19" s="12">
        <f>IF(預測IC!W19&gt;預測IC!W$26,1,0)</f>
        <v>1</v>
      </c>
      <c r="X19" s="12">
        <f>IF(預測IC!X19&gt;預測IC!X$26,1,0)</f>
        <v>1</v>
      </c>
      <c r="Y19" s="12">
        <f>IF(預測IC!Y19&gt;預測IC!Y$26,1,0)</f>
        <v>0</v>
      </c>
      <c r="Z19" s="12">
        <f>IF(預測IC!Z19&gt;預測IC!Z$26,1,0)</f>
        <v>0</v>
      </c>
      <c r="AA19" s="12">
        <f>IF(預測IC!AA19&gt;預測IC!AA$26,1,0)</f>
        <v>1</v>
      </c>
      <c r="AB19" s="12">
        <f>IF(預測IC!AB19&gt;預測IC!AB$26,1,0)</f>
        <v>1</v>
      </c>
      <c r="AC19" s="12">
        <f>IF(預測IC!AC19&gt;預測IC!AC$26,1,0)</f>
        <v>0</v>
      </c>
      <c r="AD19" s="12">
        <f>IF(預測IC!AD19&gt;預測IC!AD$26,1,0)</f>
        <v>1</v>
      </c>
      <c r="AE19" s="12">
        <f>IF(預測IC!AE19&gt;預測IC!AE$26,1,0)</f>
        <v>0</v>
      </c>
      <c r="AF19" s="12">
        <f>IF(預測IC!AF19&gt;預測IC!AF$26,1,0)</f>
        <v>1</v>
      </c>
      <c r="AG19" s="12">
        <f>IF(預測IC!AG19&gt;預測IC!AG$26,1,0)</f>
        <v>1</v>
      </c>
      <c r="AH19" s="12">
        <f>IF(預測IC!AH19&gt;預測IC!AH$26,1,0)</f>
        <v>0</v>
      </c>
      <c r="AI19" s="12">
        <f>IF(預測IC!AI19&gt;預測IC!AI$26,1,0)</f>
        <v>0</v>
      </c>
      <c r="AJ19" s="12">
        <f>IF(預測IC!AJ19&gt;預測IC!AJ$26,1,0)</f>
        <v>1</v>
      </c>
      <c r="AK19" s="12">
        <f>IF(預測IC!AK19&gt;預測IC!AK$26,1,0)</f>
        <v>0</v>
      </c>
      <c r="AL19" s="12">
        <f>IF(預測IC!AL19&gt;預測IC!AL$26,1,0)</f>
        <v>1</v>
      </c>
      <c r="AM19" s="12">
        <f>IF(預測IC!AM19&gt;預測IC!AM$26,1,0)</f>
        <v>0</v>
      </c>
      <c r="AN19" s="12">
        <f>IF(預測IC!AN19&gt;預測IC!AN$26,1,0)</f>
        <v>0</v>
      </c>
      <c r="AO19" s="12">
        <f>IF(預測IC!AO19&gt;預測IC!AO$26,1,0)</f>
        <v>1</v>
      </c>
      <c r="AP19" s="12">
        <f>IF(預測IC!AP19&gt;預測IC!AP$26,1,0)</f>
        <v>0</v>
      </c>
      <c r="AQ19" s="12">
        <f>IF(預測IC!AQ19&gt;預測IC!AQ$26,1,0)</f>
        <v>0</v>
      </c>
      <c r="AR19" s="12">
        <f>IF(預測IC!AR19&gt;預測IC!AR$26,1,0)</f>
        <v>1</v>
      </c>
      <c r="AS19" s="12">
        <f>IF(預測IC!AS19&gt;預測IC!AS$26,1,0)</f>
        <v>1</v>
      </c>
      <c r="AT19" s="12">
        <f>IF(預測IC!AT19&gt;預測IC!AT$26,1,0)</f>
        <v>1</v>
      </c>
      <c r="AU19" s="12">
        <f>IF(預測IC!AU19&gt;預測IC!AU$26,1,0)</f>
        <v>1</v>
      </c>
      <c r="AV19" s="12">
        <f>IF(預測IC!AV19&gt;預測IC!AV$26,1,0)</f>
        <v>0</v>
      </c>
      <c r="AW19" s="12">
        <f>IF(預測IC!AW19&gt;預測IC!AW$26,1,0)</f>
        <v>1</v>
      </c>
      <c r="AX19" s="12">
        <f>IF(預測IC!AX19&gt;預測IC!AX$26,1,0)</f>
        <v>1</v>
      </c>
      <c r="AY19" s="12">
        <f>IF(預測IC!AY19&gt;預測IC!AY$26,1,0)</f>
        <v>0</v>
      </c>
      <c r="AZ19" s="12">
        <f>IF(預測IC!AZ19&gt;預測IC!AZ$26,1,0)</f>
        <v>0</v>
      </c>
      <c r="BA19" s="12">
        <f>IF(預測IC!BA19&gt;預測IC!BA$26,1,0)</f>
        <v>0</v>
      </c>
      <c r="BB19" s="12">
        <f>IF(預測IC!BB19&gt;預測IC!BB$26,1,0)</f>
        <v>1</v>
      </c>
      <c r="BC19" s="12">
        <f>IF(預測IC!BC19&gt;預測IC!BC$26,1,0)</f>
        <v>1</v>
      </c>
      <c r="BD19" s="12">
        <f>IF(預測IC!BD19&gt;預測IC!BD$26,1,0)</f>
        <v>1</v>
      </c>
      <c r="BE19" s="12">
        <f>IF(預測IC!BE19&gt;預測IC!BE$26,1,0)</f>
        <v>1</v>
      </c>
      <c r="BF19" s="12">
        <f>IF(預測IC!BF19&gt;預測IC!BF$26,1,0)</f>
        <v>0</v>
      </c>
      <c r="BG19" s="12">
        <f>IF(預測IC!BG19&gt;預測IC!BG$26,1,0)</f>
        <v>0</v>
      </c>
      <c r="BH19" s="12">
        <f>IF(預測IC!BH19&gt;預測IC!BH$26,1,0)</f>
        <v>1</v>
      </c>
      <c r="BI19" s="12">
        <f>IF(預測IC!BI19&gt;預測IC!BI$26,1,0)</f>
        <v>1</v>
      </c>
      <c r="BJ19" s="12">
        <f>IF(預測IC!BJ19&gt;預測IC!BJ$26,1,0)</f>
        <v>1</v>
      </c>
      <c r="BK19" s="12">
        <f>IF(預測IC!BK19&gt;預測IC!BK$26,1,0)</f>
        <v>0</v>
      </c>
      <c r="BL19" s="12">
        <f>IF(預測IC!BL19&gt;預測IC!BL$26,1,0)</f>
        <v>0</v>
      </c>
      <c r="BM19" s="12">
        <f>IF(預測IC!BM19&gt;預測IC!BM$26,1,0)</f>
        <v>0</v>
      </c>
      <c r="BN19" s="12">
        <f>IF(預測IC!BN19&gt;預測IC!BN$26,1,0)</f>
        <v>0</v>
      </c>
      <c r="BO19" s="12">
        <f>IF(預測IC!BO19&gt;預測IC!BO$26,1,0)</f>
        <v>1</v>
      </c>
      <c r="BP19" s="12">
        <f>IF(預測IC!BP19&gt;預測IC!BP$26,1,0)</f>
        <v>1</v>
      </c>
      <c r="BQ19" s="12">
        <f>IF(預測IC!BQ19&gt;預測IC!BQ$26,1,0)</f>
        <v>1</v>
      </c>
      <c r="BR19" s="12">
        <f>IF(預測IC!BR19&gt;預測IC!BR$26,1,0)</f>
        <v>1</v>
      </c>
      <c r="BS19" s="12">
        <f>IF(預測IC!BS19&gt;預測IC!BS$26,1,0)</f>
        <v>0</v>
      </c>
      <c r="BT19" s="12">
        <f>IF(預測IC!BT19&gt;預測IC!BT$26,1,0)</f>
        <v>0</v>
      </c>
      <c r="BU19" s="12">
        <f>IF(預測IC!BU19&gt;預測IC!BU$26,1,0)</f>
        <v>0</v>
      </c>
      <c r="BV19" s="12">
        <f>IF(預測IC!BV19&gt;預測IC!BV$26,1,0)</f>
        <v>1</v>
      </c>
      <c r="BW19" s="12">
        <f>IF(預測IC!BW19&gt;預測IC!BW$26,1,0)</f>
        <v>1</v>
      </c>
      <c r="BX19" s="12">
        <f>IF(預測IC!BX19&gt;預測IC!BX$26,1,0)</f>
        <v>1</v>
      </c>
      <c r="BY19" s="12">
        <f>IF(預測IC!BY19&gt;預測IC!BY$26,1,0)</f>
        <v>1</v>
      </c>
      <c r="BZ19" s="12">
        <f>IF(預測IC!BZ19&gt;預測IC!BZ$26,1,0)</f>
        <v>1</v>
      </c>
      <c r="CA19" s="12">
        <f>IF(預測IC!CA19&gt;預測IC!CA$26,1,0)</f>
        <v>0</v>
      </c>
      <c r="CB19" s="12">
        <f>IF(預測IC!CB19&gt;預測IC!CB$26,1,0)</f>
        <v>0</v>
      </c>
      <c r="CC19" s="12">
        <f>IF(預測IC!CC19&gt;預測IC!CC$26,1,0)</f>
        <v>0</v>
      </c>
      <c r="CD19" s="12">
        <f>IF(預測IC!CD19&gt;預測IC!CD$26,1,0)</f>
        <v>1</v>
      </c>
      <c r="CE19" s="12">
        <f>IF(預測IC!CE19&gt;預測IC!CE$26,1,0)</f>
        <v>1</v>
      </c>
      <c r="CF19" s="12">
        <f>IF(預測IC!CF19&gt;預測IC!CF$26,1,0)</f>
        <v>0</v>
      </c>
      <c r="CG19" s="12">
        <f>IF(預測IC!CG19&gt;預測IC!CG$26,1,0)</f>
        <v>1</v>
      </c>
      <c r="CH19" s="12">
        <f>IF(預測IC!CH19&gt;預測IC!CH$26,1,0)</f>
        <v>0</v>
      </c>
      <c r="CI19" s="12">
        <f>IF(預測IC!CI19&gt;預測IC!CI$26,1,0)</f>
        <v>0</v>
      </c>
      <c r="CJ19" s="12">
        <f>IF(預測IC!CJ19&gt;預測IC!CJ$26,1,0)</f>
        <v>1</v>
      </c>
      <c r="CK19" s="12">
        <f>IF(預測IC!CK19&gt;預測IC!CK$26,1,0)</f>
        <v>1</v>
      </c>
      <c r="CL19" s="12">
        <f>IF(預測IC!CL19&gt;預測IC!CL$26,1,0)</f>
        <v>0</v>
      </c>
      <c r="CM19" s="12">
        <f>IF(預測IC!CM19&gt;預測IC!CM$26,1,0)</f>
        <v>0</v>
      </c>
      <c r="CN19" s="12">
        <f>IF(預測IC!CN19&gt;預測IC!CN$26,1,0)</f>
        <v>1</v>
      </c>
      <c r="CO19" s="12">
        <f>IF(預測IC!CO19&gt;預測IC!CO$26,1,0)</f>
        <v>0</v>
      </c>
      <c r="CP19" s="12">
        <f>IF(預測IC!CP19&gt;預測IC!CP$26,1,0)</f>
        <v>1</v>
      </c>
      <c r="CQ19" s="12">
        <f>IF(預測IC!CQ19&gt;預測IC!CQ$26,1,0)</f>
        <v>1</v>
      </c>
      <c r="CR19" s="12">
        <f>IF(預測IC!CR19&gt;預測IC!CR$26,1,0)</f>
        <v>1</v>
      </c>
      <c r="CS19" s="12">
        <f>IF(預測IC!CS19&gt;預測IC!CS$26,1,0)</f>
        <v>0</v>
      </c>
      <c r="CT19" s="12">
        <f>IF(預測IC!CT19&gt;預測IC!CT$26,1,0)</f>
        <v>0</v>
      </c>
      <c r="CU19" s="12">
        <f>IF(預測IC!CU19&gt;預測IC!CU$26,1,0)</f>
        <v>1</v>
      </c>
      <c r="CV19" s="12">
        <f>IF(預測IC!CV19&gt;預測IC!CV$26,1,0)</f>
        <v>1</v>
      </c>
      <c r="CW19" s="12">
        <f>IF(預測IC!CW19&gt;預測IC!CW$26,1,0)</f>
        <v>1</v>
      </c>
      <c r="CX19" s="12">
        <f>IF(預測IC!CX19&gt;預測IC!CX$26,1,0)</f>
        <v>1</v>
      </c>
      <c r="CY19" s="12">
        <f>IF(預測IC!CY19&gt;預測IC!CY$26,1,0)</f>
        <v>1</v>
      </c>
      <c r="CZ19" s="12">
        <f>IF(預測IC!CZ19&gt;預測IC!CZ$26,1,0)</f>
        <v>1</v>
      </c>
      <c r="DA19" s="12">
        <f>IF(預測IC!DA19&gt;預測IC!DA$26,1,0)</f>
        <v>1</v>
      </c>
      <c r="DB19" s="12">
        <f>IF(預測IC!DB19&gt;預測IC!DB$26,1,0)</f>
        <v>1</v>
      </c>
      <c r="DC19" s="12">
        <f>IF(預測IC!DC19&gt;預測IC!DC$26,1,0)</f>
        <v>1</v>
      </c>
      <c r="DD19" s="12">
        <f>IF(預測IC!DD19&gt;預測IC!DD$26,1,0)</f>
        <v>1</v>
      </c>
      <c r="DE19" s="12">
        <f>IF(預測IC!DE19&gt;預測IC!DE$26,1,0)</f>
        <v>0</v>
      </c>
      <c r="DF19" s="12">
        <f>IF(預測IC!DF19&gt;預測IC!DF$26,1,0)</f>
        <v>0</v>
      </c>
      <c r="DG19" s="12">
        <f>IF(預測IC!DG19&gt;預測IC!DG$26,1,0)</f>
        <v>1</v>
      </c>
      <c r="DH19" s="12">
        <f>IF(預測IC!DH19&gt;預測IC!DH$26,1,0)</f>
        <v>0</v>
      </c>
      <c r="DI19" s="12">
        <f>IF(預測IC!DI19&gt;預測IC!DI$26,1,0)</f>
        <v>0</v>
      </c>
      <c r="DJ19" s="12">
        <f>IF(預測IC!DJ19&gt;預測IC!DJ$26,1,0)</f>
        <v>0</v>
      </c>
      <c r="DK19" s="12">
        <f>IF(預測IC!DK19&gt;預測IC!DK$26,1,0)</f>
        <v>1</v>
      </c>
      <c r="DL19" s="12">
        <f>IF(預測IC!DL19&gt;預測IC!DL$26,1,0)</f>
        <v>1</v>
      </c>
      <c r="DM19" s="12">
        <f>IF(預測IC!DM19&gt;預測IC!DM$26,1,0)</f>
        <v>0</v>
      </c>
      <c r="DN19" s="12">
        <f>IF(預測IC!DN19&gt;預測IC!DN$26,1,0)</f>
        <v>0</v>
      </c>
      <c r="DO19" s="12">
        <f>IF(預測IC!DO19&gt;預測IC!DO$26,1,0)</f>
        <v>0</v>
      </c>
      <c r="DP19" s="12">
        <f>IF(預測IC!DP19&gt;預測IC!DP$26,1,0)</f>
        <v>1</v>
      </c>
      <c r="DQ19" s="12">
        <f>IF(預測IC!DQ19&gt;預測IC!DQ$26,1,0)</f>
        <v>0</v>
      </c>
      <c r="DR19" s="12">
        <f>IF(預測IC!DR19&gt;預測IC!DR$26,1,0)</f>
        <v>1</v>
      </c>
      <c r="DS19" s="12">
        <f>IF(預測IC!DS19&gt;預測IC!DS$26,1,0)</f>
        <v>0</v>
      </c>
      <c r="DT19" s="12">
        <f>IF(預測IC!DT19&gt;預測IC!DT$26,1,0)</f>
        <v>0</v>
      </c>
      <c r="DU19" s="12">
        <f>IF(預測IC!DU19&gt;預測IC!DU$26,1,0)</f>
        <v>1</v>
      </c>
      <c r="DV19" s="12">
        <f>IF(預測IC!DV19&gt;預測IC!DV$26,1,0)</f>
        <v>0</v>
      </c>
      <c r="DW19" s="12">
        <f>IF(預測IC!DW19&gt;預測IC!DW$26,1,0)</f>
        <v>1</v>
      </c>
      <c r="DX19" s="12">
        <f>IF(預測IC!DX19&gt;預測IC!DX$26,1,0)</f>
        <v>1</v>
      </c>
      <c r="DY19" s="12">
        <f>IF(預測IC!DY19&gt;預測IC!DY$26,1,0)</f>
        <v>0</v>
      </c>
      <c r="DZ19" s="12">
        <f>IF(預測IC!DZ19&gt;預測IC!DZ$26,1,0)</f>
        <v>1</v>
      </c>
      <c r="EA19" s="12">
        <f>IF(預測IC!EA19&gt;預測IC!EA$26,1,0)</f>
        <v>1</v>
      </c>
      <c r="EB19" s="12">
        <f>IF(預測IC!EB19&gt;預測IC!EB$26,1,0)</f>
        <v>0</v>
      </c>
      <c r="EC19" s="12">
        <f>IF(預測IC!EC19&gt;預測IC!EC$26,1,0)</f>
        <v>1</v>
      </c>
      <c r="ED19" s="12">
        <f>IF(預測IC!ED19&gt;預測IC!ED$26,1,0)</f>
        <v>1</v>
      </c>
      <c r="EE19" s="12">
        <f>IF(預測IC!EE19&gt;預測IC!EE$26,1,0)</f>
        <v>0</v>
      </c>
      <c r="EF19" s="12">
        <f>IF(預測IC!EF19&gt;預測IC!EF$26,1,0)</f>
        <v>1</v>
      </c>
      <c r="EG19">
        <f t="shared" si="6"/>
        <v>74</v>
      </c>
      <c r="EH19" s="10">
        <f t="shared" si="7"/>
        <v>0.55223880597014929</v>
      </c>
    </row>
    <row r="20" spans="1:138">
      <c r="A20" s="2">
        <v>192</v>
      </c>
      <c r="B20" s="2">
        <v>5</v>
      </c>
      <c r="C20" s="12">
        <f>IF(預測IC!C20&gt;預測IC!C$26,1,0)</f>
        <v>1</v>
      </c>
      <c r="D20" s="12">
        <f>IF(預測IC!D20&gt;預測IC!D$26,1,0)</f>
        <v>0</v>
      </c>
      <c r="E20" s="12">
        <f>IF(預測IC!E20&gt;預測IC!E$26,1,0)</f>
        <v>1</v>
      </c>
      <c r="F20" s="12">
        <f>IF(預測IC!F20&gt;預測IC!F$26,1,0)</f>
        <v>1</v>
      </c>
      <c r="G20" s="12">
        <f>IF(預測IC!G20&gt;預測IC!G$26,1,0)</f>
        <v>0</v>
      </c>
      <c r="H20" s="12">
        <f>IF(預測IC!H20&gt;預測IC!H$26,1,0)</f>
        <v>1</v>
      </c>
      <c r="I20" s="12">
        <f>IF(預測IC!I20&gt;預測IC!I$26,1,0)</f>
        <v>0</v>
      </c>
      <c r="J20" s="12">
        <f>IF(預測IC!J20&gt;預測IC!J$26,1,0)</f>
        <v>0</v>
      </c>
      <c r="K20" s="12">
        <f>IF(預測IC!K20&gt;預測IC!K$26,1,0)</f>
        <v>1</v>
      </c>
      <c r="L20" s="12">
        <f>IF(預測IC!L20&gt;預測IC!L$26,1,0)</f>
        <v>1</v>
      </c>
      <c r="M20" s="12">
        <f>IF(預測IC!M20&gt;預測IC!M$26,1,0)</f>
        <v>0</v>
      </c>
      <c r="N20" s="12">
        <f>IF(預測IC!N20&gt;預測IC!N$26,1,0)</f>
        <v>0</v>
      </c>
      <c r="O20" s="12">
        <f>IF(預測IC!O20&gt;預測IC!O$26,1,0)</f>
        <v>1</v>
      </c>
      <c r="P20" s="12">
        <f>IF(預測IC!P20&gt;預測IC!P$26,1,0)</f>
        <v>1</v>
      </c>
      <c r="Q20" s="12">
        <f>IF(預測IC!Q20&gt;預測IC!Q$26,1,0)</f>
        <v>0</v>
      </c>
      <c r="R20" s="12">
        <f>IF(預測IC!R20&gt;預測IC!R$26,1,0)</f>
        <v>0</v>
      </c>
      <c r="S20" s="12">
        <f>IF(預測IC!S20&gt;預測IC!S$26,1,0)</f>
        <v>1</v>
      </c>
      <c r="T20" s="12">
        <f>IF(預測IC!T20&gt;預測IC!T$26,1,0)</f>
        <v>1</v>
      </c>
      <c r="U20" s="12">
        <f>IF(預測IC!U20&gt;預測IC!U$26,1,0)</f>
        <v>1</v>
      </c>
      <c r="V20" s="12">
        <f>IF(預測IC!V20&gt;預測IC!V$26,1,0)</f>
        <v>0</v>
      </c>
      <c r="W20" s="12">
        <f>IF(預測IC!W20&gt;預測IC!W$26,1,0)</f>
        <v>1</v>
      </c>
      <c r="X20" s="12">
        <f>IF(預測IC!X20&gt;預測IC!X$26,1,0)</f>
        <v>1</v>
      </c>
      <c r="Y20" s="12">
        <f>IF(預測IC!Y20&gt;預測IC!Y$26,1,0)</f>
        <v>0</v>
      </c>
      <c r="Z20" s="12">
        <f>IF(預測IC!Z20&gt;預測IC!Z$26,1,0)</f>
        <v>0</v>
      </c>
      <c r="AA20" s="12">
        <f>IF(預測IC!AA20&gt;預測IC!AA$26,1,0)</f>
        <v>1</v>
      </c>
      <c r="AB20" s="12">
        <f>IF(預測IC!AB20&gt;預測IC!AB$26,1,0)</f>
        <v>1</v>
      </c>
      <c r="AC20" s="12">
        <f>IF(預測IC!AC20&gt;預測IC!AC$26,1,0)</f>
        <v>0</v>
      </c>
      <c r="AD20" s="12">
        <f>IF(預測IC!AD20&gt;預測IC!AD$26,1,0)</f>
        <v>1</v>
      </c>
      <c r="AE20" s="12">
        <f>IF(預測IC!AE20&gt;預測IC!AE$26,1,0)</f>
        <v>0</v>
      </c>
      <c r="AF20" s="12">
        <f>IF(預測IC!AF20&gt;預測IC!AF$26,1,0)</f>
        <v>1</v>
      </c>
      <c r="AG20" s="12">
        <f>IF(預測IC!AG20&gt;預測IC!AG$26,1,0)</f>
        <v>0</v>
      </c>
      <c r="AH20" s="12">
        <f>IF(預測IC!AH20&gt;預測IC!AH$26,1,0)</f>
        <v>0</v>
      </c>
      <c r="AI20" s="12">
        <f>IF(預測IC!AI20&gt;預測IC!AI$26,1,0)</f>
        <v>0</v>
      </c>
      <c r="AJ20" s="12">
        <f>IF(預測IC!AJ20&gt;預測IC!AJ$26,1,0)</f>
        <v>1</v>
      </c>
      <c r="AK20" s="12">
        <f>IF(預測IC!AK20&gt;預測IC!AK$26,1,0)</f>
        <v>0</v>
      </c>
      <c r="AL20" s="12">
        <f>IF(預測IC!AL20&gt;預測IC!AL$26,1,0)</f>
        <v>1</v>
      </c>
      <c r="AM20" s="12">
        <f>IF(預測IC!AM20&gt;預測IC!AM$26,1,0)</f>
        <v>0</v>
      </c>
      <c r="AN20" s="12">
        <f>IF(預測IC!AN20&gt;預測IC!AN$26,1,0)</f>
        <v>1</v>
      </c>
      <c r="AO20" s="12">
        <f>IF(預測IC!AO20&gt;預測IC!AO$26,1,0)</f>
        <v>1</v>
      </c>
      <c r="AP20" s="12">
        <f>IF(預測IC!AP20&gt;預測IC!AP$26,1,0)</f>
        <v>0</v>
      </c>
      <c r="AQ20" s="12">
        <f>IF(預測IC!AQ20&gt;預測IC!AQ$26,1,0)</f>
        <v>1</v>
      </c>
      <c r="AR20" s="12">
        <f>IF(預測IC!AR20&gt;預測IC!AR$26,1,0)</f>
        <v>0</v>
      </c>
      <c r="AS20" s="12">
        <f>IF(預測IC!AS20&gt;預測IC!AS$26,1,0)</f>
        <v>1</v>
      </c>
      <c r="AT20" s="12">
        <f>IF(預測IC!AT20&gt;預測IC!AT$26,1,0)</f>
        <v>0</v>
      </c>
      <c r="AU20" s="12">
        <f>IF(預測IC!AU20&gt;預測IC!AU$26,1,0)</f>
        <v>1</v>
      </c>
      <c r="AV20" s="12">
        <f>IF(預測IC!AV20&gt;預測IC!AV$26,1,0)</f>
        <v>0</v>
      </c>
      <c r="AW20" s="12">
        <f>IF(預測IC!AW20&gt;預測IC!AW$26,1,0)</f>
        <v>1</v>
      </c>
      <c r="AX20" s="12">
        <f>IF(預測IC!AX20&gt;預測IC!AX$26,1,0)</f>
        <v>1</v>
      </c>
      <c r="AY20" s="12">
        <f>IF(預測IC!AY20&gt;預測IC!AY$26,1,0)</f>
        <v>0</v>
      </c>
      <c r="AZ20" s="12">
        <f>IF(預測IC!AZ20&gt;預測IC!AZ$26,1,0)</f>
        <v>0</v>
      </c>
      <c r="BA20" s="12">
        <f>IF(預測IC!BA20&gt;預測IC!BA$26,1,0)</f>
        <v>0</v>
      </c>
      <c r="BB20" s="12">
        <f>IF(預測IC!BB20&gt;預測IC!BB$26,1,0)</f>
        <v>1</v>
      </c>
      <c r="BC20" s="12">
        <f>IF(預測IC!BC20&gt;預測IC!BC$26,1,0)</f>
        <v>1</v>
      </c>
      <c r="BD20" s="12">
        <f>IF(預測IC!BD20&gt;預測IC!BD$26,1,0)</f>
        <v>1</v>
      </c>
      <c r="BE20" s="12">
        <f>IF(預測IC!BE20&gt;預測IC!BE$26,1,0)</f>
        <v>0</v>
      </c>
      <c r="BF20" s="12">
        <f>IF(預測IC!BF20&gt;預測IC!BF$26,1,0)</f>
        <v>0</v>
      </c>
      <c r="BG20" s="12">
        <f>IF(預測IC!BG20&gt;預測IC!BG$26,1,0)</f>
        <v>0</v>
      </c>
      <c r="BH20" s="12">
        <f>IF(預測IC!BH20&gt;預測IC!BH$26,1,0)</f>
        <v>1</v>
      </c>
      <c r="BI20" s="12">
        <f>IF(預測IC!BI20&gt;預測IC!BI$26,1,0)</f>
        <v>1</v>
      </c>
      <c r="BJ20" s="12">
        <f>IF(預測IC!BJ20&gt;預測IC!BJ$26,1,0)</f>
        <v>1</v>
      </c>
      <c r="BK20" s="12">
        <f>IF(預測IC!BK20&gt;預測IC!BK$26,1,0)</f>
        <v>0</v>
      </c>
      <c r="BL20" s="12">
        <f>IF(預測IC!BL20&gt;預測IC!BL$26,1,0)</f>
        <v>0</v>
      </c>
      <c r="BM20" s="12">
        <f>IF(預測IC!BM20&gt;預測IC!BM$26,1,0)</f>
        <v>0</v>
      </c>
      <c r="BN20" s="12">
        <f>IF(預測IC!BN20&gt;預測IC!BN$26,1,0)</f>
        <v>0</v>
      </c>
      <c r="BO20" s="12">
        <f>IF(預測IC!BO20&gt;預測IC!BO$26,1,0)</f>
        <v>1</v>
      </c>
      <c r="BP20" s="12">
        <f>IF(預測IC!BP20&gt;預測IC!BP$26,1,0)</f>
        <v>1</v>
      </c>
      <c r="BQ20" s="12">
        <f>IF(預測IC!BQ20&gt;預測IC!BQ$26,1,0)</f>
        <v>1</v>
      </c>
      <c r="BR20" s="12">
        <f>IF(預測IC!BR20&gt;預測IC!BR$26,1,0)</f>
        <v>1</v>
      </c>
      <c r="BS20" s="12">
        <f>IF(預測IC!BS20&gt;預測IC!BS$26,1,0)</f>
        <v>0</v>
      </c>
      <c r="BT20" s="12">
        <f>IF(預測IC!BT20&gt;預測IC!BT$26,1,0)</f>
        <v>1</v>
      </c>
      <c r="BU20" s="12">
        <f>IF(預測IC!BU20&gt;預測IC!BU$26,1,0)</f>
        <v>0</v>
      </c>
      <c r="BV20" s="12">
        <f>IF(預測IC!BV20&gt;預測IC!BV$26,1,0)</f>
        <v>1</v>
      </c>
      <c r="BW20" s="12">
        <f>IF(預測IC!BW20&gt;預測IC!BW$26,1,0)</f>
        <v>1</v>
      </c>
      <c r="BX20" s="12">
        <f>IF(預測IC!BX20&gt;預測IC!BX$26,1,0)</f>
        <v>1</v>
      </c>
      <c r="BY20" s="12">
        <f>IF(預測IC!BY20&gt;預測IC!BY$26,1,0)</f>
        <v>1</v>
      </c>
      <c r="BZ20" s="12">
        <f>IF(預測IC!BZ20&gt;預測IC!BZ$26,1,0)</f>
        <v>1</v>
      </c>
      <c r="CA20" s="12">
        <f>IF(預測IC!CA20&gt;預測IC!CA$26,1,0)</f>
        <v>0</v>
      </c>
      <c r="CB20" s="12">
        <f>IF(預測IC!CB20&gt;預測IC!CB$26,1,0)</f>
        <v>0</v>
      </c>
      <c r="CC20" s="12">
        <f>IF(預測IC!CC20&gt;預測IC!CC$26,1,0)</f>
        <v>0</v>
      </c>
      <c r="CD20" s="12">
        <f>IF(預測IC!CD20&gt;預測IC!CD$26,1,0)</f>
        <v>1</v>
      </c>
      <c r="CE20" s="12">
        <f>IF(預測IC!CE20&gt;預測IC!CE$26,1,0)</f>
        <v>1</v>
      </c>
      <c r="CF20" s="12">
        <f>IF(預測IC!CF20&gt;預測IC!CF$26,1,0)</f>
        <v>0</v>
      </c>
      <c r="CG20" s="12">
        <f>IF(預測IC!CG20&gt;預測IC!CG$26,1,0)</f>
        <v>1</v>
      </c>
      <c r="CH20" s="12">
        <f>IF(預測IC!CH20&gt;預測IC!CH$26,1,0)</f>
        <v>0</v>
      </c>
      <c r="CI20" s="12">
        <f>IF(預測IC!CI20&gt;預測IC!CI$26,1,0)</f>
        <v>0</v>
      </c>
      <c r="CJ20" s="12">
        <f>IF(預測IC!CJ20&gt;預測IC!CJ$26,1,0)</f>
        <v>1</v>
      </c>
      <c r="CK20" s="12">
        <f>IF(預測IC!CK20&gt;預測IC!CK$26,1,0)</f>
        <v>1</v>
      </c>
      <c r="CL20" s="12">
        <f>IF(預測IC!CL20&gt;預測IC!CL$26,1,0)</f>
        <v>0</v>
      </c>
      <c r="CM20" s="12">
        <f>IF(預測IC!CM20&gt;預測IC!CM$26,1,0)</f>
        <v>0</v>
      </c>
      <c r="CN20" s="12">
        <f>IF(預測IC!CN20&gt;預測IC!CN$26,1,0)</f>
        <v>0</v>
      </c>
      <c r="CO20" s="12">
        <f>IF(預測IC!CO20&gt;預測IC!CO$26,1,0)</f>
        <v>0</v>
      </c>
      <c r="CP20" s="12">
        <f>IF(預測IC!CP20&gt;預測IC!CP$26,1,0)</f>
        <v>1</v>
      </c>
      <c r="CQ20" s="12">
        <f>IF(預測IC!CQ20&gt;預測IC!CQ$26,1,0)</f>
        <v>1</v>
      </c>
      <c r="CR20" s="12">
        <f>IF(預測IC!CR20&gt;預測IC!CR$26,1,0)</f>
        <v>1</v>
      </c>
      <c r="CS20" s="12">
        <f>IF(預測IC!CS20&gt;預測IC!CS$26,1,0)</f>
        <v>0</v>
      </c>
      <c r="CT20" s="12">
        <f>IF(預測IC!CT20&gt;預測IC!CT$26,1,0)</f>
        <v>0</v>
      </c>
      <c r="CU20" s="12">
        <f>IF(預測IC!CU20&gt;預測IC!CU$26,1,0)</f>
        <v>1</v>
      </c>
      <c r="CV20" s="12">
        <f>IF(預測IC!CV20&gt;預測IC!CV$26,1,0)</f>
        <v>1</v>
      </c>
      <c r="CW20" s="12">
        <f>IF(預測IC!CW20&gt;預測IC!CW$26,1,0)</f>
        <v>1</v>
      </c>
      <c r="CX20" s="12">
        <f>IF(預測IC!CX20&gt;預測IC!CX$26,1,0)</f>
        <v>0</v>
      </c>
      <c r="CY20" s="12">
        <f>IF(預測IC!CY20&gt;預測IC!CY$26,1,0)</f>
        <v>0</v>
      </c>
      <c r="CZ20" s="12">
        <f>IF(預測IC!CZ20&gt;預測IC!CZ$26,1,0)</f>
        <v>0</v>
      </c>
      <c r="DA20" s="12">
        <f>IF(預測IC!DA20&gt;預測IC!DA$26,1,0)</f>
        <v>1</v>
      </c>
      <c r="DB20" s="12">
        <f>IF(預測IC!DB20&gt;預測IC!DB$26,1,0)</f>
        <v>1</v>
      </c>
      <c r="DC20" s="12">
        <f>IF(預測IC!DC20&gt;預測IC!DC$26,1,0)</f>
        <v>1</v>
      </c>
      <c r="DD20" s="12">
        <f>IF(預測IC!DD20&gt;預測IC!DD$26,1,0)</f>
        <v>1</v>
      </c>
      <c r="DE20" s="12">
        <f>IF(預測IC!DE20&gt;預測IC!DE$26,1,0)</f>
        <v>0</v>
      </c>
      <c r="DF20" s="12">
        <f>IF(預測IC!DF20&gt;預測IC!DF$26,1,0)</f>
        <v>0</v>
      </c>
      <c r="DG20" s="12">
        <f>IF(預測IC!DG20&gt;預測IC!DG$26,1,0)</f>
        <v>1</v>
      </c>
      <c r="DH20" s="12">
        <f>IF(預測IC!DH20&gt;預測IC!DH$26,1,0)</f>
        <v>0</v>
      </c>
      <c r="DI20" s="12">
        <f>IF(預測IC!DI20&gt;預測IC!DI$26,1,0)</f>
        <v>0</v>
      </c>
      <c r="DJ20" s="12">
        <f>IF(預測IC!DJ20&gt;預測IC!DJ$26,1,0)</f>
        <v>0</v>
      </c>
      <c r="DK20" s="12">
        <f>IF(預測IC!DK20&gt;預測IC!DK$26,1,0)</f>
        <v>1</v>
      </c>
      <c r="DL20" s="12">
        <f>IF(預測IC!DL20&gt;預測IC!DL$26,1,0)</f>
        <v>0</v>
      </c>
      <c r="DM20" s="12">
        <f>IF(預測IC!DM20&gt;預測IC!DM$26,1,0)</f>
        <v>0</v>
      </c>
      <c r="DN20" s="12">
        <f>IF(預測IC!DN20&gt;預測IC!DN$26,1,0)</f>
        <v>0</v>
      </c>
      <c r="DO20" s="12">
        <f>IF(預測IC!DO20&gt;預測IC!DO$26,1,0)</f>
        <v>0</v>
      </c>
      <c r="DP20" s="12">
        <f>IF(預測IC!DP20&gt;預測IC!DP$26,1,0)</f>
        <v>1</v>
      </c>
      <c r="DQ20" s="12">
        <f>IF(預測IC!DQ20&gt;預測IC!DQ$26,1,0)</f>
        <v>0</v>
      </c>
      <c r="DR20" s="12">
        <f>IF(預測IC!DR20&gt;預測IC!DR$26,1,0)</f>
        <v>1</v>
      </c>
      <c r="DS20" s="12">
        <f>IF(預測IC!DS20&gt;預測IC!DS$26,1,0)</f>
        <v>0</v>
      </c>
      <c r="DT20" s="12">
        <f>IF(預測IC!DT20&gt;預測IC!DT$26,1,0)</f>
        <v>0</v>
      </c>
      <c r="DU20" s="12">
        <f>IF(預測IC!DU20&gt;預測IC!DU$26,1,0)</f>
        <v>1</v>
      </c>
      <c r="DV20" s="12">
        <f>IF(預測IC!DV20&gt;預測IC!DV$26,1,0)</f>
        <v>0</v>
      </c>
      <c r="DW20" s="12">
        <f>IF(預測IC!DW20&gt;預測IC!DW$26,1,0)</f>
        <v>1</v>
      </c>
      <c r="DX20" s="12">
        <f>IF(預測IC!DX20&gt;預測IC!DX$26,1,0)</f>
        <v>1</v>
      </c>
      <c r="DY20" s="12">
        <f>IF(預測IC!DY20&gt;預測IC!DY$26,1,0)</f>
        <v>0</v>
      </c>
      <c r="DZ20" s="12">
        <f>IF(預測IC!DZ20&gt;預測IC!DZ$26,1,0)</f>
        <v>1</v>
      </c>
      <c r="EA20" s="12">
        <f>IF(預測IC!EA20&gt;預測IC!EA$26,1,0)</f>
        <v>0</v>
      </c>
      <c r="EB20" s="12">
        <f>IF(預測IC!EB20&gt;預測IC!EB$26,1,0)</f>
        <v>0</v>
      </c>
      <c r="EC20" s="12">
        <f>IF(預測IC!EC20&gt;預測IC!EC$26,1,0)</f>
        <v>1</v>
      </c>
      <c r="ED20" s="12">
        <f>IF(預測IC!ED20&gt;預測IC!ED$26,1,0)</f>
        <v>1</v>
      </c>
      <c r="EE20" s="12">
        <f>IF(預測IC!EE20&gt;預測IC!EE$26,1,0)</f>
        <v>0</v>
      </c>
      <c r="EF20" s="12">
        <f>IF(預測IC!EF20&gt;預測IC!EF$26,1,0)</f>
        <v>0</v>
      </c>
      <c r="EG20">
        <f t="shared" si="6"/>
        <v>67</v>
      </c>
      <c r="EH20" s="10">
        <f t="shared" si="7"/>
        <v>0.5</v>
      </c>
    </row>
    <row r="21" spans="1:138">
      <c r="A21" s="2">
        <v>241</v>
      </c>
      <c r="B21" s="2">
        <v>4</v>
      </c>
      <c r="C21" s="12">
        <f>IF(預測IC!C21&gt;預測IC!C$26,1,0)</f>
        <v>1</v>
      </c>
      <c r="D21" s="12">
        <f>IF(預測IC!D21&gt;預測IC!D$26,1,0)</f>
        <v>0</v>
      </c>
      <c r="E21" s="12">
        <f>IF(預測IC!E21&gt;預測IC!E$26,1,0)</f>
        <v>0</v>
      </c>
      <c r="F21" s="12">
        <f>IF(預測IC!F21&gt;預測IC!F$26,1,0)</f>
        <v>1</v>
      </c>
      <c r="G21" s="12">
        <f>IF(預測IC!G21&gt;預測IC!G$26,1,0)</f>
        <v>0</v>
      </c>
      <c r="H21" s="12">
        <f>IF(預測IC!H21&gt;預測IC!H$26,1,0)</f>
        <v>1</v>
      </c>
      <c r="I21" s="12">
        <f>IF(預測IC!I21&gt;預測IC!I$26,1,0)</f>
        <v>0</v>
      </c>
      <c r="J21" s="12">
        <f>IF(預測IC!J21&gt;預測IC!J$26,1,0)</f>
        <v>0</v>
      </c>
      <c r="K21" s="12">
        <f>IF(預測IC!K21&gt;預測IC!K$26,1,0)</f>
        <v>1</v>
      </c>
      <c r="L21" s="12">
        <f>IF(預測IC!L21&gt;預測IC!L$26,1,0)</f>
        <v>1</v>
      </c>
      <c r="M21" s="12">
        <f>IF(預測IC!M21&gt;預測IC!M$26,1,0)</f>
        <v>0</v>
      </c>
      <c r="N21" s="12">
        <f>IF(預測IC!N21&gt;預測IC!N$26,1,0)</f>
        <v>0</v>
      </c>
      <c r="O21" s="12">
        <f>IF(預測IC!O21&gt;預測IC!O$26,1,0)</f>
        <v>1</v>
      </c>
      <c r="P21" s="12">
        <f>IF(預測IC!P21&gt;預測IC!P$26,1,0)</f>
        <v>1</v>
      </c>
      <c r="Q21" s="12">
        <f>IF(預測IC!Q21&gt;預測IC!Q$26,1,0)</f>
        <v>0</v>
      </c>
      <c r="R21" s="12">
        <f>IF(預測IC!R21&gt;預測IC!R$26,1,0)</f>
        <v>0</v>
      </c>
      <c r="S21" s="12">
        <f>IF(預測IC!S21&gt;預測IC!S$26,1,0)</f>
        <v>1</v>
      </c>
      <c r="T21" s="12">
        <f>IF(預測IC!T21&gt;預測IC!T$26,1,0)</f>
        <v>1</v>
      </c>
      <c r="U21" s="12">
        <f>IF(預測IC!U21&gt;預測IC!U$26,1,0)</f>
        <v>1</v>
      </c>
      <c r="V21" s="12">
        <f>IF(預測IC!V21&gt;預測IC!V$26,1,0)</f>
        <v>0</v>
      </c>
      <c r="W21" s="12">
        <f>IF(預測IC!W21&gt;預測IC!W$26,1,0)</f>
        <v>1</v>
      </c>
      <c r="X21" s="12">
        <f>IF(預測IC!X21&gt;預測IC!X$26,1,0)</f>
        <v>1</v>
      </c>
      <c r="Y21" s="12">
        <f>IF(預測IC!Y21&gt;預測IC!Y$26,1,0)</f>
        <v>0</v>
      </c>
      <c r="Z21" s="12">
        <f>IF(預測IC!Z21&gt;預測IC!Z$26,1,0)</f>
        <v>0</v>
      </c>
      <c r="AA21" s="12">
        <f>IF(預測IC!AA21&gt;預測IC!AA$26,1,0)</f>
        <v>1</v>
      </c>
      <c r="AB21" s="12">
        <f>IF(預測IC!AB21&gt;預測IC!AB$26,1,0)</f>
        <v>0</v>
      </c>
      <c r="AC21" s="12">
        <f>IF(預測IC!AC21&gt;預測IC!AC$26,1,0)</f>
        <v>0</v>
      </c>
      <c r="AD21" s="12">
        <f>IF(預測IC!AD21&gt;預測IC!AD$26,1,0)</f>
        <v>0</v>
      </c>
      <c r="AE21" s="12">
        <f>IF(預測IC!AE21&gt;預測IC!AE$26,1,0)</f>
        <v>0</v>
      </c>
      <c r="AF21" s="12">
        <f>IF(預測IC!AF21&gt;預測IC!AF$26,1,0)</f>
        <v>1</v>
      </c>
      <c r="AG21" s="12">
        <f>IF(預測IC!AG21&gt;預測IC!AG$26,1,0)</f>
        <v>0</v>
      </c>
      <c r="AH21" s="12">
        <f>IF(預測IC!AH21&gt;預測IC!AH$26,1,0)</f>
        <v>0</v>
      </c>
      <c r="AI21" s="12">
        <f>IF(預測IC!AI21&gt;預測IC!AI$26,1,0)</f>
        <v>0</v>
      </c>
      <c r="AJ21" s="12">
        <f>IF(預測IC!AJ21&gt;預測IC!AJ$26,1,0)</f>
        <v>1</v>
      </c>
      <c r="AK21" s="12">
        <f>IF(預測IC!AK21&gt;預測IC!AK$26,1,0)</f>
        <v>1</v>
      </c>
      <c r="AL21" s="12">
        <f>IF(預測IC!AL21&gt;預測IC!AL$26,1,0)</f>
        <v>1</v>
      </c>
      <c r="AM21" s="12">
        <f>IF(預測IC!AM21&gt;預測IC!AM$26,1,0)</f>
        <v>1</v>
      </c>
      <c r="AN21" s="12">
        <f>IF(預測IC!AN21&gt;預測IC!AN$26,1,0)</f>
        <v>0</v>
      </c>
      <c r="AO21" s="12">
        <f>IF(預測IC!AO21&gt;預測IC!AO$26,1,0)</f>
        <v>1</v>
      </c>
      <c r="AP21" s="12">
        <f>IF(預測IC!AP21&gt;預測IC!AP$26,1,0)</f>
        <v>0</v>
      </c>
      <c r="AQ21" s="12">
        <f>IF(預測IC!AQ21&gt;預測IC!AQ$26,1,0)</f>
        <v>1</v>
      </c>
      <c r="AR21" s="12">
        <f>IF(預測IC!AR21&gt;預測IC!AR$26,1,0)</f>
        <v>0</v>
      </c>
      <c r="AS21" s="12">
        <f>IF(預測IC!AS21&gt;預測IC!AS$26,1,0)</f>
        <v>0</v>
      </c>
      <c r="AT21" s="12">
        <f>IF(預測IC!AT21&gt;預測IC!AT$26,1,0)</f>
        <v>0</v>
      </c>
      <c r="AU21" s="12">
        <f>IF(預測IC!AU21&gt;預測IC!AU$26,1,0)</f>
        <v>1</v>
      </c>
      <c r="AV21" s="12">
        <f>IF(預測IC!AV21&gt;預測IC!AV$26,1,0)</f>
        <v>0</v>
      </c>
      <c r="AW21" s="12">
        <f>IF(預測IC!AW21&gt;預測IC!AW$26,1,0)</f>
        <v>1</v>
      </c>
      <c r="AX21" s="12">
        <f>IF(預測IC!AX21&gt;預測IC!AX$26,1,0)</f>
        <v>1</v>
      </c>
      <c r="AY21" s="12">
        <f>IF(預測IC!AY21&gt;預測IC!AY$26,1,0)</f>
        <v>1</v>
      </c>
      <c r="AZ21" s="12">
        <f>IF(預測IC!AZ21&gt;預測IC!AZ$26,1,0)</f>
        <v>0</v>
      </c>
      <c r="BA21" s="12">
        <f>IF(預測IC!BA21&gt;預測IC!BA$26,1,0)</f>
        <v>0</v>
      </c>
      <c r="BB21" s="12">
        <f>IF(預測IC!BB21&gt;預測IC!BB$26,1,0)</f>
        <v>1</v>
      </c>
      <c r="BC21" s="12">
        <f>IF(預測IC!BC21&gt;預測IC!BC$26,1,0)</f>
        <v>1</v>
      </c>
      <c r="BD21" s="12">
        <f>IF(預測IC!BD21&gt;預測IC!BD$26,1,0)</f>
        <v>1</v>
      </c>
      <c r="BE21" s="12">
        <f>IF(預測IC!BE21&gt;預測IC!BE$26,1,0)</f>
        <v>0</v>
      </c>
      <c r="BF21" s="12">
        <f>IF(預測IC!BF21&gt;預測IC!BF$26,1,0)</f>
        <v>0</v>
      </c>
      <c r="BG21" s="12">
        <f>IF(預測IC!BG21&gt;預測IC!BG$26,1,0)</f>
        <v>1</v>
      </c>
      <c r="BH21" s="12">
        <f>IF(預測IC!BH21&gt;預測IC!BH$26,1,0)</f>
        <v>1</v>
      </c>
      <c r="BI21" s="12">
        <f>IF(預測IC!BI21&gt;預測IC!BI$26,1,0)</f>
        <v>1</v>
      </c>
      <c r="BJ21" s="12">
        <f>IF(預測IC!BJ21&gt;預測IC!BJ$26,1,0)</f>
        <v>1</v>
      </c>
      <c r="BK21" s="12">
        <f>IF(預測IC!BK21&gt;預測IC!BK$26,1,0)</f>
        <v>0</v>
      </c>
      <c r="BL21" s="12">
        <f>IF(預測IC!BL21&gt;預測IC!BL$26,1,0)</f>
        <v>0</v>
      </c>
      <c r="BM21" s="12">
        <f>IF(預測IC!BM21&gt;預測IC!BM$26,1,0)</f>
        <v>0</v>
      </c>
      <c r="BN21" s="12">
        <f>IF(預測IC!BN21&gt;預測IC!BN$26,1,0)</f>
        <v>0</v>
      </c>
      <c r="BO21" s="12">
        <f>IF(預測IC!BO21&gt;預測IC!BO$26,1,0)</f>
        <v>1</v>
      </c>
      <c r="BP21" s="12">
        <f>IF(預測IC!BP21&gt;預測IC!BP$26,1,0)</f>
        <v>1</v>
      </c>
      <c r="BQ21" s="12">
        <f>IF(預測IC!BQ21&gt;預測IC!BQ$26,1,0)</f>
        <v>1</v>
      </c>
      <c r="BR21" s="12">
        <f>IF(預測IC!BR21&gt;預測IC!BR$26,1,0)</f>
        <v>1</v>
      </c>
      <c r="BS21" s="12">
        <f>IF(預測IC!BS21&gt;預測IC!BS$26,1,0)</f>
        <v>0</v>
      </c>
      <c r="BT21" s="12">
        <f>IF(預測IC!BT21&gt;預測IC!BT$26,1,0)</f>
        <v>1</v>
      </c>
      <c r="BU21" s="12">
        <f>IF(預測IC!BU21&gt;預測IC!BU$26,1,0)</f>
        <v>0</v>
      </c>
      <c r="BV21" s="12">
        <f>IF(預測IC!BV21&gt;預測IC!BV$26,1,0)</f>
        <v>0</v>
      </c>
      <c r="BW21" s="12">
        <f>IF(預測IC!BW21&gt;預測IC!BW$26,1,0)</f>
        <v>1</v>
      </c>
      <c r="BX21" s="12">
        <f>IF(預測IC!BX21&gt;預測IC!BX$26,1,0)</f>
        <v>1</v>
      </c>
      <c r="BY21" s="12">
        <f>IF(預測IC!BY21&gt;預測IC!BY$26,1,0)</f>
        <v>1</v>
      </c>
      <c r="BZ21" s="12">
        <f>IF(預測IC!BZ21&gt;預測IC!BZ$26,1,0)</f>
        <v>1</v>
      </c>
      <c r="CA21" s="12">
        <f>IF(預測IC!CA21&gt;預測IC!CA$26,1,0)</f>
        <v>0</v>
      </c>
      <c r="CB21" s="12">
        <f>IF(預測IC!CB21&gt;預測IC!CB$26,1,0)</f>
        <v>1</v>
      </c>
      <c r="CC21" s="12">
        <f>IF(預測IC!CC21&gt;預測IC!CC$26,1,0)</f>
        <v>0</v>
      </c>
      <c r="CD21" s="12">
        <f>IF(預測IC!CD21&gt;預測IC!CD$26,1,0)</f>
        <v>1</v>
      </c>
      <c r="CE21" s="12">
        <f>IF(預測IC!CE21&gt;預測IC!CE$26,1,0)</f>
        <v>1</v>
      </c>
      <c r="CF21" s="12">
        <f>IF(預測IC!CF21&gt;預測IC!CF$26,1,0)</f>
        <v>0</v>
      </c>
      <c r="CG21" s="12">
        <f>IF(預測IC!CG21&gt;預測IC!CG$26,1,0)</f>
        <v>1</v>
      </c>
      <c r="CH21" s="12">
        <f>IF(預測IC!CH21&gt;預測IC!CH$26,1,0)</f>
        <v>0</v>
      </c>
      <c r="CI21" s="12">
        <f>IF(預測IC!CI21&gt;預測IC!CI$26,1,0)</f>
        <v>0</v>
      </c>
      <c r="CJ21" s="12">
        <f>IF(預測IC!CJ21&gt;預測IC!CJ$26,1,0)</f>
        <v>1</v>
      </c>
      <c r="CK21" s="12">
        <f>IF(預測IC!CK21&gt;預測IC!CK$26,1,0)</f>
        <v>1</v>
      </c>
      <c r="CL21" s="12">
        <f>IF(預測IC!CL21&gt;預測IC!CL$26,1,0)</f>
        <v>0</v>
      </c>
      <c r="CM21" s="12">
        <f>IF(預測IC!CM21&gt;預測IC!CM$26,1,0)</f>
        <v>0</v>
      </c>
      <c r="CN21" s="12">
        <f>IF(預測IC!CN21&gt;預測IC!CN$26,1,0)</f>
        <v>0</v>
      </c>
      <c r="CO21" s="12">
        <f>IF(預測IC!CO21&gt;預測IC!CO$26,1,0)</f>
        <v>0</v>
      </c>
      <c r="CP21" s="12">
        <f>IF(預測IC!CP21&gt;預測IC!CP$26,1,0)</f>
        <v>1</v>
      </c>
      <c r="CQ21" s="12">
        <f>IF(預測IC!CQ21&gt;預測IC!CQ$26,1,0)</f>
        <v>1</v>
      </c>
      <c r="CR21" s="12">
        <f>IF(預測IC!CR21&gt;預測IC!CR$26,1,0)</f>
        <v>1</v>
      </c>
      <c r="CS21" s="12">
        <f>IF(預測IC!CS21&gt;預測IC!CS$26,1,0)</f>
        <v>0</v>
      </c>
      <c r="CT21" s="12">
        <f>IF(預測IC!CT21&gt;預測IC!CT$26,1,0)</f>
        <v>0</v>
      </c>
      <c r="CU21" s="12">
        <f>IF(預測IC!CU21&gt;預測IC!CU$26,1,0)</f>
        <v>1</v>
      </c>
      <c r="CV21" s="12">
        <f>IF(預測IC!CV21&gt;預測IC!CV$26,1,0)</f>
        <v>1</v>
      </c>
      <c r="CW21" s="12">
        <f>IF(預測IC!CW21&gt;預測IC!CW$26,1,0)</f>
        <v>1</v>
      </c>
      <c r="CX21" s="12">
        <f>IF(預測IC!CX21&gt;預測IC!CX$26,1,0)</f>
        <v>0</v>
      </c>
      <c r="CY21" s="12">
        <f>IF(預測IC!CY21&gt;預測IC!CY$26,1,0)</f>
        <v>0</v>
      </c>
      <c r="CZ21" s="12">
        <f>IF(預測IC!CZ21&gt;預測IC!CZ$26,1,0)</f>
        <v>0</v>
      </c>
      <c r="DA21" s="12">
        <f>IF(預測IC!DA21&gt;預測IC!DA$26,1,0)</f>
        <v>0</v>
      </c>
      <c r="DB21" s="12">
        <f>IF(預測IC!DB21&gt;預測IC!DB$26,1,0)</f>
        <v>1</v>
      </c>
      <c r="DC21" s="12">
        <f>IF(預測IC!DC21&gt;預測IC!DC$26,1,0)</f>
        <v>0</v>
      </c>
      <c r="DD21" s="12">
        <f>IF(預測IC!DD21&gt;預測IC!DD$26,1,0)</f>
        <v>1</v>
      </c>
      <c r="DE21" s="12">
        <f>IF(預測IC!DE21&gt;預測IC!DE$26,1,0)</f>
        <v>0</v>
      </c>
      <c r="DF21" s="12">
        <f>IF(預測IC!DF21&gt;預測IC!DF$26,1,0)</f>
        <v>0</v>
      </c>
      <c r="DG21" s="12">
        <f>IF(預測IC!DG21&gt;預測IC!DG$26,1,0)</f>
        <v>1</v>
      </c>
      <c r="DH21" s="12">
        <f>IF(預測IC!DH21&gt;預測IC!DH$26,1,0)</f>
        <v>0</v>
      </c>
      <c r="DI21" s="12">
        <f>IF(預測IC!DI21&gt;預測IC!DI$26,1,0)</f>
        <v>0</v>
      </c>
      <c r="DJ21" s="12">
        <f>IF(預測IC!DJ21&gt;預測IC!DJ$26,1,0)</f>
        <v>0</v>
      </c>
      <c r="DK21" s="12">
        <f>IF(預測IC!DK21&gt;預測IC!DK$26,1,0)</f>
        <v>1</v>
      </c>
      <c r="DL21" s="12">
        <f>IF(預測IC!DL21&gt;預測IC!DL$26,1,0)</f>
        <v>0</v>
      </c>
      <c r="DM21" s="12">
        <f>IF(預測IC!DM21&gt;預測IC!DM$26,1,0)</f>
        <v>0</v>
      </c>
      <c r="DN21" s="12">
        <f>IF(預測IC!DN21&gt;預測IC!DN$26,1,0)</f>
        <v>0</v>
      </c>
      <c r="DO21" s="12">
        <f>IF(預測IC!DO21&gt;預測IC!DO$26,1,0)</f>
        <v>0</v>
      </c>
      <c r="DP21" s="12">
        <f>IF(預測IC!DP21&gt;預測IC!DP$26,1,0)</f>
        <v>1</v>
      </c>
      <c r="DQ21" s="12">
        <f>IF(預測IC!DQ21&gt;預測IC!DQ$26,1,0)</f>
        <v>0</v>
      </c>
      <c r="DR21" s="12">
        <f>IF(預測IC!DR21&gt;預測IC!DR$26,1,0)</f>
        <v>1</v>
      </c>
      <c r="DS21" s="12">
        <f>IF(預測IC!DS21&gt;預測IC!DS$26,1,0)</f>
        <v>1</v>
      </c>
      <c r="DT21" s="12">
        <f>IF(預測IC!DT21&gt;預測IC!DT$26,1,0)</f>
        <v>0</v>
      </c>
      <c r="DU21" s="12">
        <f>IF(預測IC!DU21&gt;預測IC!DU$26,1,0)</f>
        <v>1</v>
      </c>
      <c r="DV21" s="12">
        <f>IF(預測IC!DV21&gt;預測IC!DV$26,1,0)</f>
        <v>0</v>
      </c>
      <c r="DW21" s="12">
        <f>IF(預測IC!DW21&gt;預測IC!DW$26,1,0)</f>
        <v>1</v>
      </c>
      <c r="DX21" s="12">
        <f>IF(預測IC!DX21&gt;預測IC!DX$26,1,0)</f>
        <v>1</v>
      </c>
      <c r="DY21" s="12">
        <f>IF(預測IC!DY21&gt;預測IC!DY$26,1,0)</f>
        <v>1</v>
      </c>
      <c r="DZ21" s="12">
        <f>IF(預測IC!DZ21&gt;預測IC!DZ$26,1,0)</f>
        <v>1</v>
      </c>
      <c r="EA21" s="12">
        <f>IF(預測IC!EA21&gt;預測IC!EA$26,1,0)</f>
        <v>1</v>
      </c>
      <c r="EB21" s="12">
        <f>IF(預測IC!EB21&gt;預測IC!EB$26,1,0)</f>
        <v>0</v>
      </c>
      <c r="EC21" s="12">
        <f>IF(預測IC!EC21&gt;預測IC!EC$26,1,0)</f>
        <v>1</v>
      </c>
      <c r="ED21" s="12">
        <f>IF(預測IC!ED21&gt;預測IC!ED$26,1,0)</f>
        <v>1</v>
      </c>
      <c r="EE21" s="12">
        <f>IF(預測IC!EE21&gt;預測IC!EE$26,1,0)</f>
        <v>1</v>
      </c>
      <c r="EF21" s="12">
        <f>IF(預測IC!EF21&gt;預測IC!EF$26,1,0)</f>
        <v>1</v>
      </c>
      <c r="EG21">
        <f t="shared" si="6"/>
        <v>69</v>
      </c>
      <c r="EH21" s="10">
        <f t="shared" si="7"/>
        <v>0.5149253731343284</v>
      </c>
    </row>
    <row r="22" spans="1:138">
      <c r="A22" s="2">
        <v>321</v>
      </c>
      <c r="B22" s="2">
        <v>3</v>
      </c>
      <c r="C22" s="12">
        <f>IF(預測IC!C22&gt;預測IC!C$26,1,0)</f>
        <v>1</v>
      </c>
      <c r="D22" s="12">
        <f>IF(預測IC!D22&gt;預測IC!D$26,1,0)</f>
        <v>0</v>
      </c>
      <c r="E22" s="12">
        <f>IF(預測IC!E22&gt;預測IC!E$26,1,0)</f>
        <v>0</v>
      </c>
      <c r="F22" s="12">
        <f>IF(預測IC!F22&gt;預測IC!F$26,1,0)</f>
        <v>1</v>
      </c>
      <c r="G22" s="12">
        <f>IF(預測IC!G22&gt;預測IC!G$26,1,0)</f>
        <v>0</v>
      </c>
      <c r="H22" s="12">
        <f>IF(預測IC!H22&gt;預測IC!H$26,1,0)</f>
        <v>1</v>
      </c>
      <c r="I22" s="12">
        <f>IF(預測IC!I22&gt;預測IC!I$26,1,0)</f>
        <v>0</v>
      </c>
      <c r="J22" s="12">
        <f>IF(預測IC!J22&gt;預測IC!J$26,1,0)</f>
        <v>0</v>
      </c>
      <c r="K22" s="12">
        <f>IF(預測IC!K22&gt;預測IC!K$26,1,0)</f>
        <v>1</v>
      </c>
      <c r="L22" s="12">
        <f>IF(預測IC!L22&gt;預測IC!L$26,1,0)</f>
        <v>1</v>
      </c>
      <c r="M22" s="12">
        <f>IF(預測IC!M22&gt;預測IC!M$26,1,0)</f>
        <v>1</v>
      </c>
      <c r="N22" s="12">
        <f>IF(預測IC!N22&gt;預測IC!N$26,1,0)</f>
        <v>0</v>
      </c>
      <c r="O22" s="12">
        <f>IF(預測IC!O22&gt;預測IC!O$26,1,0)</f>
        <v>0</v>
      </c>
      <c r="P22" s="12">
        <f>IF(預測IC!P22&gt;預測IC!P$26,1,0)</f>
        <v>1</v>
      </c>
      <c r="Q22" s="12">
        <f>IF(預測IC!Q22&gt;預測IC!Q$26,1,0)</f>
        <v>0</v>
      </c>
      <c r="R22" s="12">
        <f>IF(預測IC!R22&gt;預測IC!R$26,1,0)</f>
        <v>0</v>
      </c>
      <c r="S22" s="12">
        <f>IF(預測IC!S22&gt;預測IC!S$26,1,0)</f>
        <v>1</v>
      </c>
      <c r="T22" s="12">
        <f>IF(預測IC!T22&gt;預測IC!T$26,1,0)</f>
        <v>1</v>
      </c>
      <c r="U22" s="12">
        <f>IF(預測IC!U22&gt;預測IC!U$26,1,0)</f>
        <v>1</v>
      </c>
      <c r="V22" s="12">
        <f>IF(預測IC!V22&gt;預測IC!V$26,1,0)</f>
        <v>1</v>
      </c>
      <c r="W22" s="12">
        <f>IF(預測IC!W22&gt;預測IC!W$26,1,0)</f>
        <v>1</v>
      </c>
      <c r="X22" s="12">
        <f>IF(預測IC!X22&gt;預測IC!X$26,1,0)</f>
        <v>1</v>
      </c>
      <c r="Y22" s="12">
        <f>IF(預測IC!Y22&gt;預測IC!Y$26,1,0)</f>
        <v>0</v>
      </c>
      <c r="Z22" s="12">
        <f>IF(預測IC!Z22&gt;預測IC!Z$26,1,0)</f>
        <v>0</v>
      </c>
      <c r="AA22" s="12">
        <f>IF(預測IC!AA22&gt;預測IC!AA$26,1,0)</f>
        <v>1</v>
      </c>
      <c r="AB22" s="12">
        <f>IF(預測IC!AB22&gt;預測IC!AB$26,1,0)</f>
        <v>0</v>
      </c>
      <c r="AC22" s="12">
        <f>IF(預測IC!AC22&gt;預測IC!AC$26,1,0)</f>
        <v>0</v>
      </c>
      <c r="AD22" s="12">
        <f>IF(預測IC!AD22&gt;預測IC!AD$26,1,0)</f>
        <v>1</v>
      </c>
      <c r="AE22" s="12">
        <f>IF(預測IC!AE22&gt;預測IC!AE$26,1,0)</f>
        <v>1</v>
      </c>
      <c r="AF22" s="12">
        <f>IF(預測IC!AF22&gt;預測IC!AF$26,1,0)</f>
        <v>1</v>
      </c>
      <c r="AG22" s="12">
        <f>IF(預測IC!AG22&gt;預測IC!AG$26,1,0)</f>
        <v>0</v>
      </c>
      <c r="AH22" s="12">
        <f>IF(預測IC!AH22&gt;預測IC!AH$26,1,0)</f>
        <v>0</v>
      </c>
      <c r="AI22" s="12">
        <f>IF(預測IC!AI22&gt;預測IC!AI$26,1,0)</f>
        <v>0</v>
      </c>
      <c r="AJ22" s="12">
        <f>IF(預測IC!AJ22&gt;預測IC!AJ$26,1,0)</f>
        <v>1</v>
      </c>
      <c r="AK22" s="12">
        <f>IF(預測IC!AK22&gt;預測IC!AK$26,1,0)</f>
        <v>1</v>
      </c>
      <c r="AL22" s="12">
        <f>IF(預測IC!AL22&gt;預測IC!AL$26,1,0)</f>
        <v>1</v>
      </c>
      <c r="AM22" s="12">
        <f>IF(預測IC!AM22&gt;預測IC!AM$26,1,0)</f>
        <v>1</v>
      </c>
      <c r="AN22" s="12">
        <f>IF(預測IC!AN22&gt;預測IC!AN$26,1,0)</f>
        <v>0</v>
      </c>
      <c r="AO22" s="12">
        <f>IF(預測IC!AO22&gt;預測IC!AO$26,1,0)</f>
        <v>1</v>
      </c>
      <c r="AP22" s="12">
        <f>IF(預測IC!AP22&gt;預測IC!AP$26,1,0)</f>
        <v>0</v>
      </c>
      <c r="AQ22" s="12">
        <f>IF(預測IC!AQ22&gt;預測IC!AQ$26,1,0)</f>
        <v>1</v>
      </c>
      <c r="AR22" s="12">
        <f>IF(預測IC!AR22&gt;預測IC!AR$26,1,0)</f>
        <v>1</v>
      </c>
      <c r="AS22" s="12">
        <f>IF(預測IC!AS22&gt;預測IC!AS$26,1,0)</f>
        <v>0</v>
      </c>
      <c r="AT22" s="12">
        <f>IF(預測IC!AT22&gt;預測IC!AT$26,1,0)</f>
        <v>0</v>
      </c>
      <c r="AU22" s="12">
        <f>IF(預測IC!AU22&gt;預測IC!AU$26,1,0)</f>
        <v>1</v>
      </c>
      <c r="AV22" s="12">
        <f>IF(預測IC!AV22&gt;預測IC!AV$26,1,0)</f>
        <v>0</v>
      </c>
      <c r="AW22" s="12">
        <f>IF(預測IC!AW22&gt;預測IC!AW$26,1,0)</f>
        <v>0</v>
      </c>
      <c r="AX22" s="12">
        <f>IF(預測IC!AX22&gt;預測IC!AX$26,1,0)</f>
        <v>1</v>
      </c>
      <c r="AY22" s="12">
        <f>IF(預測IC!AY22&gt;預測IC!AY$26,1,0)</f>
        <v>1</v>
      </c>
      <c r="AZ22" s="12">
        <f>IF(預測IC!AZ22&gt;預測IC!AZ$26,1,0)</f>
        <v>0</v>
      </c>
      <c r="BA22" s="12">
        <f>IF(預測IC!BA22&gt;預測IC!BA$26,1,0)</f>
        <v>0</v>
      </c>
      <c r="BB22" s="12">
        <f>IF(預測IC!BB22&gt;預測IC!BB$26,1,0)</f>
        <v>1</v>
      </c>
      <c r="BC22" s="12">
        <f>IF(預測IC!BC22&gt;預測IC!BC$26,1,0)</f>
        <v>0</v>
      </c>
      <c r="BD22" s="12">
        <f>IF(預測IC!BD22&gt;預測IC!BD$26,1,0)</f>
        <v>1</v>
      </c>
      <c r="BE22" s="12">
        <f>IF(預測IC!BE22&gt;預測IC!BE$26,1,0)</f>
        <v>1</v>
      </c>
      <c r="BF22" s="12">
        <f>IF(預測IC!BF22&gt;預測IC!BF$26,1,0)</f>
        <v>0</v>
      </c>
      <c r="BG22" s="12">
        <f>IF(預測IC!BG22&gt;預測IC!BG$26,1,0)</f>
        <v>1</v>
      </c>
      <c r="BH22" s="12">
        <f>IF(預測IC!BH22&gt;預測IC!BH$26,1,0)</f>
        <v>0</v>
      </c>
      <c r="BI22" s="12">
        <f>IF(預測IC!BI22&gt;預測IC!BI$26,1,0)</f>
        <v>1</v>
      </c>
      <c r="BJ22" s="12">
        <f>IF(預測IC!BJ22&gt;預測IC!BJ$26,1,0)</f>
        <v>1</v>
      </c>
      <c r="BK22" s="12">
        <f>IF(預測IC!BK22&gt;預測IC!BK$26,1,0)</f>
        <v>0</v>
      </c>
      <c r="BL22" s="12">
        <f>IF(預測IC!BL22&gt;預測IC!BL$26,1,0)</f>
        <v>0</v>
      </c>
      <c r="BM22" s="12">
        <f>IF(預測IC!BM22&gt;預測IC!BM$26,1,0)</f>
        <v>0</v>
      </c>
      <c r="BN22" s="12">
        <f>IF(預測IC!BN22&gt;預測IC!BN$26,1,0)</f>
        <v>0</v>
      </c>
      <c r="BO22" s="12">
        <f>IF(預測IC!BO22&gt;預測IC!BO$26,1,0)</f>
        <v>1</v>
      </c>
      <c r="BP22" s="12">
        <f>IF(預測IC!BP22&gt;預測IC!BP$26,1,0)</f>
        <v>1</v>
      </c>
      <c r="BQ22" s="12">
        <f>IF(預測IC!BQ22&gt;預測IC!BQ$26,1,0)</f>
        <v>1</v>
      </c>
      <c r="BR22" s="12">
        <f>IF(預測IC!BR22&gt;預測IC!BR$26,1,0)</f>
        <v>1</v>
      </c>
      <c r="BS22" s="12">
        <f>IF(預測IC!BS22&gt;預測IC!BS$26,1,0)</f>
        <v>0</v>
      </c>
      <c r="BT22" s="12">
        <f>IF(預測IC!BT22&gt;預測IC!BT$26,1,0)</f>
        <v>0</v>
      </c>
      <c r="BU22" s="12">
        <f>IF(預測IC!BU22&gt;預測IC!BU$26,1,0)</f>
        <v>0</v>
      </c>
      <c r="BV22" s="12">
        <f>IF(預測IC!BV22&gt;預測IC!BV$26,1,0)</f>
        <v>0</v>
      </c>
      <c r="BW22" s="12">
        <f>IF(預測IC!BW22&gt;預測IC!BW$26,1,0)</f>
        <v>1</v>
      </c>
      <c r="BX22" s="12">
        <f>IF(預測IC!BX22&gt;預測IC!BX$26,1,0)</f>
        <v>1</v>
      </c>
      <c r="BY22" s="12">
        <f>IF(預測IC!BY22&gt;預測IC!BY$26,1,0)</f>
        <v>1</v>
      </c>
      <c r="BZ22" s="12">
        <f>IF(預測IC!BZ22&gt;預測IC!BZ$26,1,0)</f>
        <v>1</v>
      </c>
      <c r="CA22" s="12">
        <f>IF(預測IC!CA22&gt;預測IC!CA$26,1,0)</f>
        <v>0</v>
      </c>
      <c r="CB22" s="12">
        <f>IF(預測IC!CB22&gt;預測IC!CB$26,1,0)</f>
        <v>1</v>
      </c>
      <c r="CC22" s="12">
        <f>IF(預測IC!CC22&gt;預測IC!CC$26,1,0)</f>
        <v>0</v>
      </c>
      <c r="CD22" s="12">
        <f>IF(預測IC!CD22&gt;預測IC!CD$26,1,0)</f>
        <v>1</v>
      </c>
      <c r="CE22" s="12">
        <f>IF(預測IC!CE22&gt;預測IC!CE$26,1,0)</f>
        <v>1</v>
      </c>
      <c r="CF22" s="12">
        <f>IF(預測IC!CF22&gt;預測IC!CF$26,1,0)</f>
        <v>0</v>
      </c>
      <c r="CG22" s="12">
        <f>IF(預測IC!CG22&gt;預測IC!CG$26,1,0)</f>
        <v>1</v>
      </c>
      <c r="CH22" s="12">
        <f>IF(預測IC!CH22&gt;預測IC!CH$26,1,0)</f>
        <v>0</v>
      </c>
      <c r="CI22" s="12">
        <f>IF(預測IC!CI22&gt;預測IC!CI$26,1,0)</f>
        <v>0</v>
      </c>
      <c r="CJ22" s="12">
        <f>IF(預測IC!CJ22&gt;預測IC!CJ$26,1,0)</f>
        <v>1</v>
      </c>
      <c r="CK22" s="12">
        <f>IF(預測IC!CK22&gt;預測IC!CK$26,1,0)</f>
        <v>1</v>
      </c>
      <c r="CL22" s="12">
        <f>IF(預測IC!CL22&gt;預測IC!CL$26,1,0)</f>
        <v>0</v>
      </c>
      <c r="CM22" s="12">
        <f>IF(預測IC!CM22&gt;預測IC!CM$26,1,0)</f>
        <v>0</v>
      </c>
      <c r="CN22" s="12">
        <f>IF(預測IC!CN22&gt;預測IC!CN$26,1,0)</f>
        <v>0</v>
      </c>
      <c r="CO22" s="12">
        <f>IF(預測IC!CO22&gt;預測IC!CO$26,1,0)</f>
        <v>0</v>
      </c>
      <c r="CP22" s="12">
        <f>IF(預測IC!CP22&gt;預測IC!CP$26,1,0)</f>
        <v>1</v>
      </c>
      <c r="CQ22" s="12">
        <f>IF(預測IC!CQ22&gt;預測IC!CQ$26,1,0)</f>
        <v>1</v>
      </c>
      <c r="CR22" s="12">
        <f>IF(預測IC!CR22&gt;預測IC!CR$26,1,0)</f>
        <v>0</v>
      </c>
      <c r="CS22" s="12">
        <f>IF(預測IC!CS22&gt;預測IC!CS$26,1,0)</f>
        <v>0</v>
      </c>
      <c r="CT22" s="12">
        <f>IF(預測IC!CT22&gt;預測IC!CT$26,1,0)</f>
        <v>0</v>
      </c>
      <c r="CU22" s="12">
        <f>IF(預測IC!CU22&gt;預測IC!CU$26,1,0)</f>
        <v>1</v>
      </c>
      <c r="CV22" s="12">
        <f>IF(預測IC!CV22&gt;預測IC!CV$26,1,0)</f>
        <v>1</v>
      </c>
      <c r="CW22" s="12">
        <f>IF(預測IC!CW22&gt;預測IC!CW$26,1,0)</f>
        <v>1</v>
      </c>
      <c r="CX22" s="12">
        <f>IF(預測IC!CX22&gt;預測IC!CX$26,1,0)</f>
        <v>1</v>
      </c>
      <c r="CY22" s="12">
        <f>IF(預測IC!CY22&gt;預測IC!CY$26,1,0)</f>
        <v>0</v>
      </c>
      <c r="CZ22" s="12">
        <f>IF(預測IC!CZ22&gt;預測IC!CZ$26,1,0)</f>
        <v>0</v>
      </c>
      <c r="DA22" s="12">
        <f>IF(預測IC!DA22&gt;預測IC!DA$26,1,0)</f>
        <v>0</v>
      </c>
      <c r="DB22" s="12">
        <f>IF(預測IC!DB22&gt;預測IC!DB$26,1,0)</f>
        <v>1</v>
      </c>
      <c r="DC22" s="12">
        <f>IF(預測IC!DC22&gt;預測IC!DC$26,1,0)</f>
        <v>0</v>
      </c>
      <c r="DD22" s="12">
        <f>IF(預測IC!DD22&gt;預測IC!DD$26,1,0)</f>
        <v>1</v>
      </c>
      <c r="DE22" s="12">
        <f>IF(預測IC!DE22&gt;預測IC!DE$26,1,0)</f>
        <v>0</v>
      </c>
      <c r="DF22" s="12">
        <f>IF(預測IC!DF22&gt;預測IC!DF$26,1,0)</f>
        <v>0</v>
      </c>
      <c r="DG22" s="12">
        <f>IF(預測IC!DG22&gt;預測IC!DG$26,1,0)</f>
        <v>1</v>
      </c>
      <c r="DH22" s="12">
        <f>IF(預測IC!DH22&gt;預測IC!DH$26,1,0)</f>
        <v>0</v>
      </c>
      <c r="DI22" s="12">
        <f>IF(預測IC!DI22&gt;預測IC!DI$26,1,0)</f>
        <v>0</v>
      </c>
      <c r="DJ22" s="12">
        <f>IF(預測IC!DJ22&gt;預測IC!DJ$26,1,0)</f>
        <v>0</v>
      </c>
      <c r="DK22" s="12">
        <f>IF(預測IC!DK22&gt;預測IC!DK$26,1,0)</f>
        <v>1</v>
      </c>
      <c r="DL22" s="12">
        <f>IF(預測IC!DL22&gt;預測IC!DL$26,1,0)</f>
        <v>0</v>
      </c>
      <c r="DM22" s="12">
        <f>IF(預測IC!DM22&gt;預測IC!DM$26,1,0)</f>
        <v>0</v>
      </c>
      <c r="DN22" s="12">
        <f>IF(預測IC!DN22&gt;預測IC!DN$26,1,0)</f>
        <v>0</v>
      </c>
      <c r="DO22" s="12">
        <f>IF(預測IC!DO22&gt;預測IC!DO$26,1,0)</f>
        <v>0</v>
      </c>
      <c r="DP22" s="12">
        <f>IF(預測IC!DP22&gt;預測IC!DP$26,1,0)</f>
        <v>1</v>
      </c>
      <c r="DQ22" s="12">
        <f>IF(預測IC!DQ22&gt;預測IC!DQ$26,1,0)</f>
        <v>0</v>
      </c>
      <c r="DR22" s="12">
        <f>IF(預測IC!DR22&gt;預測IC!DR$26,1,0)</f>
        <v>0</v>
      </c>
      <c r="DS22" s="12">
        <f>IF(預測IC!DS22&gt;預測IC!DS$26,1,0)</f>
        <v>0</v>
      </c>
      <c r="DT22" s="12">
        <f>IF(預測IC!DT22&gt;預測IC!DT$26,1,0)</f>
        <v>0</v>
      </c>
      <c r="DU22" s="12">
        <f>IF(預測IC!DU22&gt;預測IC!DU$26,1,0)</f>
        <v>1</v>
      </c>
      <c r="DV22" s="12">
        <f>IF(預測IC!DV22&gt;預測IC!DV$26,1,0)</f>
        <v>0</v>
      </c>
      <c r="DW22" s="12">
        <f>IF(預測IC!DW22&gt;預測IC!DW$26,1,0)</f>
        <v>1</v>
      </c>
      <c r="DX22" s="12">
        <f>IF(預測IC!DX22&gt;預測IC!DX$26,1,0)</f>
        <v>1</v>
      </c>
      <c r="DY22" s="12">
        <f>IF(預測IC!DY22&gt;預測IC!DY$26,1,0)</f>
        <v>1</v>
      </c>
      <c r="DZ22" s="12">
        <f>IF(預測IC!DZ22&gt;預測IC!DZ$26,1,0)</f>
        <v>1</v>
      </c>
      <c r="EA22" s="12">
        <f>IF(預測IC!EA22&gt;預測IC!EA$26,1,0)</f>
        <v>1</v>
      </c>
      <c r="EB22" s="12">
        <f>IF(預測IC!EB22&gt;預測IC!EB$26,1,0)</f>
        <v>1</v>
      </c>
      <c r="EC22" s="12">
        <f>IF(預測IC!EC22&gt;預測IC!EC$26,1,0)</f>
        <v>0</v>
      </c>
      <c r="ED22" s="12">
        <f>IF(預測IC!ED22&gt;預測IC!ED$26,1,0)</f>
        <v>1</v>
      </c>
      <c r="EE22" s="12">
        <f>IF(預測IC!EE22&gt;預測IC!EE$26,1,0)</f>
        <v>1</v>
      </c>
      <c r="EF22" s="12">
        <f>IF(預測IC!EF22&gt;預測IC!EF$26,1,0)</f>
        <v>1</v>
      </c>
      <c r="EG22">
        <f t="shared" si="6"/>
        <v>68</v>
      </c>
      <c r="EH22" s="10">
        <f t="shared" si="7"/>
        <v>0.5074626865671642</v>
      </c>
    </row>
    <row r="23" spans="1:138">
      <c r="A23" s="2">
        <v>482</v>
      </c>
      <c r="B23" s="2">
        <v>2</v>
      </c>
      <c r="C23" s="12">
        <f>IF(預測IC!C23&gt;預測IC!C$26,1,0)</f>
        <v>1</v>
      </c>
      <c r="D23" s="12">
        <f>IF(預測IC!D23&gt;預測IC!D$26,1,0)</f>
        <v>0</v>
      </c>
      <c r="E23" s="12">
        <f>IF(預測IC!E23&gt;預測IC!E$26,1,0)</f>
        <v>1</v>
      </c>
      <c r="F23" s="12">
        <f>IF(預測IC!F23&gt;預測IC!F$26,1,0)</f>
        <v>1</v>
      </c>
      <c r="G23" s="12">
        <f>IF(預測IC!G23&gt;預測IC!G$26,1,0)</f>
        <v>0</v>
      </c>
      <c r="H23" s="12">
        <f>IF(預測IC!H23&gt;預測IC!H$26,1,0)</f>
        <v>0</v>
      </c>
      <c r="I23" s="12">
        <f>IF(預測IC!I23&gt;預測IC!I$26,1,0)</f>
        <v>0</v>
      </c>
      <c r="J23" s="12">
        <f>IF(預測IC!J23&gt;預測IC!J$26,1,0)</f>
        <v>0</v>
      </c>
      <c r="K23" s="12">
        <f>IF(預測IC!K23&gt;預測IC!K$26,1,0)</f>
        <v>1</v>
      </c>
      <c r="L23" s="12">
        <f>IF(預測IC!L23&gt;預測IC!L$26,1,0)</f>
        <v>1</v>
      </c>
      <c r="M23" s="12">
        <f>IF(預測IC!M23&gt;預測IC!M$26,1,0)</f>
        <v>1</v>
      </c>
      <c r="N23" s="12">
        <f>IF(預測IC!N23&gt;預測IC!N$26,1,0)</f>
        <v>0</v>
      </c>
      <c r="O23" s="12">
        <f>IF(預測IC!O23&gt;預測IC!O$26,1,0)</f>
        <v>0</v>
      </c>
      <c r="P23" s="12">
        <f>IF(預測IC!P23&gt;預測IC!P$26,1,0)</f>
        <v>0</v>
      </c>
      <c r="Q23" s="12">
        <f>IF(預測IC!Q23&gt;預測IC!Q$26,1,0)</f>
        <v>0</v>
      </c>
      <c r="R23" s="12">
        <f>IF(預測IC!R23&gt;預測IC!R$26,1,0)</f>
        <v>0</v>
      </c>
      <c r="S23" s="12">
        <f>IF(預測IC!S23&gt;預測IC!S$26,1,0)</f>
        <v>1</v>
      </c>
      <c r="T23" s="12">
        <f>IF(預測IC!T23&gt;預測IC!T$26,1,0)</f>
        <v>1</v>
      </c>
      <c r="U23" s="12">
        <f>IF(預測IC!U23&gt;預測IC!U$26,1,0)</f>
        <v>1</v>
      </c>
      <c r="V23" s="12">
        <f>IF(預測IC!V23&gt;預測IC!V$26,1,0)</f>
        <v>1</v>
      </c>
      <c r="W23" s="12">
        <f>IF(預測IC!W23&gt;預測IC!W$26,1,0)</f>
        <v>1</v>
      </c>
      <c r="X23" s="12">
        <f>IF(預測IC!X23&gt;預測IC!X$26,1,0)</f>
        <v>1</v>
      </c>
      <c r="Y23" s="12">
        <f>IF(預測IC!Y23&gt;預測IC!Y$26,1,0)</f>
        <v>1</v>
      </c>
      <c r="Z23" s="12">
        <f>IF(預測IC!Z23&gt;預測IC!Z$26,1,0)</f>
        <v>0</v>
      </c>
      <c r="AA23" s="12">
        <f>IF(預測IC!AA23&gt;預測IC!AA$26,1,0)</f>
        <v>1</v>
      </c>
      <c r="AB23" s="12">
        <f>IF(預測IC!AB23&gt;預測IC!AB$26,1,0)</f>
        <v>0</v>
      </c>
      <c r="AC23" s="12">
        <f>IF(預測IC!AC23&gt;預測IC!AC$26,1,0)</f>
        <v>0</v>
      </c>
      <c r="AD23" s="12">
        <f>IF(預測IC!AD23&gt;預測IC!AD$26,1,0)</f>
        <v>1</v>
      </c>
      <c r="AE23" s="12">
        <f>IF(預測IC!AE23&gt;預測IC!AE$26,1,0)</f>
        <v>1</v>
      </c>
      <c r="AF23" s="12">
        <f>IF(預測IC!AF23&gt;預測IC!AF$26,1,0)</f>
        <v>1</v>
      </c>
      <c r="AG23" s="12">
        <f>IF(預測IC!AG23&gt;預測IC!AG$26,1,0)</f>
        <v>0</v>
      </c>
      <c r="AH23" s="12">
        <f>IF(預測IC!AH23&gt;預測IC!AH$26,1,0)</f>
        <v>1</v>
      </c>
      <c r="AI23" s="12">
        <f>IF(預測IC!AI23&gt;預測IC!AI$26,1,0)</f>
        <v>0</v>
      </c>
      <c r="AJ23" s="12">
        <f>IF(預測IC!AJ23&gt;預測IC!AJ$26,1,0)</f>
        <v>0</v>
      </c>
      <c r="AK23" s="12">
        <f>IF(預測IC!AK23&gt;預測IC!AK$26,1,0)</f>
        <v>1</v>
      </c>
      <c r="AL23" s="12">
        <f>IF(預測IC!AL23&gt;預測IC!AL$26,1,0)</f>
        <v>1</v>
      </c>
      <c r="AM23" s="12">
        <f>IF(預測IC!AM23&gt;預測IC!AM$26,1,0)</f>
        <v>0</v>
      </c>
      <c r="AN23" s="12">
        <f>IF(預測IC!AN23&gt;預測IC!AN$26,1,0)</f>
        <v>1</v>
      </c>
      <c r="AO23" s="12">
        <f>IF(預測IC!AO23&gt;預測IC!AO$26,1,0)</f>
        <v>0</v>
      </c>
      <c r="AP23" s="12">
        <f>IF(預測IC!AP23&gt;預測IC!AP$26,1,0)</f>
        <v>1</v>
      </c>
      <c r="AQ23" s="12">
        <f>IF(預測IC!AQ23&gt;預測IC!AQ$26,1,0)</f>
        <v>1</v>
      </c>
      <c r="AR23" s="12">
        <f>IF(預測IC!AR23&gt;預測IC!AR$26,1,0)</f>
        <v>1</v>
      </c>
      <c r="AS23" s="12">
        <f>IF(預測IC!AS23&gt;預測IC!AS$26,1,0)</f>
        <v>0</v>
      </c>
      <c r="AT23" s="12">
        <f>IF(預測IC!AT23&gt;預測IC!AT$26,1,0)</f>
        <v>0</v>
      </c>
      <c r="AU23" s="12">
        <f>IF(預測IC!AU23&gt;預測IC!AU$26,1,0)</f>
        <v>1</v>
      </c>
      <c r="AV23" s="12">
        <f>IF(預測IC!AV23&gt;預測IC!AV$26,1,0)</f>
        <v>0</v>
      </c>
      <c r="AW23" s="12">
        <f>IF(預測IC!AW23&gt;預測IC!AW$26,1,0)</f>
        <v>0</v>
      </c>
      <c r="AX23" s="12">
        <f>IF(預測IC!AX23&gt;預測IC!AX$26,1,0)</f>
        <v>1</v>
      </c>
      <c r="AY23" s="12">
        <f>IF(預測IC!AY23&gt;預測IC!AY$26,1,0)</f>
        <v>1</v>
      </c>
      <c r="AZ23" s="12">
        <f>IF(預測IC!AZ23&gt;預測IC!AZ$26,1,0)</f>
        <v>0</v>
      </c>
      <c r="BA23" s="12">
        <f>IF(預測IC!BA23&gt;預測IC!BA$26,1,0)</f>
        <v>1</v>
      </c>
      <c r="BB23" s="12">
        <f>IF(預測IC!BB23&gt;預測IC!BB$26,1,0)</f>
        <v>1</v>
      </c>
      <c r="BC23" s="12">
        <f>IF(預測IC!BC23&gt;預測IC!BC$26,1,0)</f>
        <v>0</v>
      </c>
      <c r="BD23" s="12">
        <f>IF(預測IC!BD23&gt;預測IC!BD$26,1,0)</f>
        <v>1</v>
      </c>
      <c r="BE23" s="12">
        <f>IF(預測IC!BE23&gt;預測IC!BE$26,1,0)</f>
        <v>0</v>
      </c>
      <c r="BF23" s="12">
        <f>IF(預測IC!BF23&gt;預測IC!BF$26,1,0)</f>
        <v>0</v>
      </c>
      <c r="BG23" s="12">
        <f>IF(預測IC!BG23&gt;預測IC!BG$26,1,0)</f>
        <v>1</v>
      </c>
      <c r="BH23" s="12">
        <f>IF(預測IC!BH23&gt;預測IC!BH$26,1,0)</f>
        <v>0</v>
      </c>
      <c r="BI23" s="12">
        <f>IF(預測IC!BI23&gt;預測IC!BI$26,1,0)</f>
        <v>1</v>
      </c>
      <c r="BJ23" s="12">
        <f>IF(預測IC!BJ23&gt;預測IC!BJ$26,1,0)</f>
        <v>1</v>
      </c>
      <c r="BK23" s="12">
        <f>IF(預測IC!BK23&gt;預測IC!BK$26,1,0)</f>
        <v>0</v>
      </c>
      <c r="BL23" s="12">
        <f>IF(預測IC!BL23&gt;預測IC!BL$26,1,0)</f>
        <v>0</v>
      </c>
      <c r="BM23" s="12">
        <f>IF(預測IC!BM23&gt;預測IC!BM$26,1,0)</f>
        <v>0</v>
      </c>
      <c r="BN23" s="12">
        <f>IF(預測IC!BN23&gt;預測IC!BN$26,1,0)</f>
        <v>0</v>
      </c>
      <c r="BO23" s="12">
        <f>IF(預測IC!BO23&gt;預測IC!BO$26,1,0)</f>
        <v>1</v>
      </c>
      <c r="BP23" s="12">
        <f>IF(預測IC!BP23&gt;預測IC!BP$26,1,0)</f>
        <v>1</v>
      </c>
      <c r="BQ23" s="12">
        <f>IF(預測IC!BQ23&gt;預測IC!BQ$26,1,0)</f>
        <v>1</v>
      </c>
      <c r="BR23" s="12">
        <f>IF(預測IC!BR23&gt;預測IC!BR$26,1,0)</f>
        <v>1</v>
      </c>
      <c r="BS23" s="12">
        <f>IF(預測IC!BS23&gt;預測IC!BS$26,1,0)</f>
        <v>0</v>
      </c>
      <c r="BT23" s="12">
        <f>IF(預測IC!BT23&gt;預測IC!BT$26,1,0)</f>
        <v>0</v>
      </c>
      <c r="BU23" s="12">
        <f>IF(預測IC!BU23&gt;預測IC!BU$26,1,0)</f>
        <v>0</v>
      </c>
      <c r="BV23" s="12">
        <f>IF(預測IC!BV23&gt;預測IC!BV$26,1,0)</f>
        <v>0</v>
      </c>
      <c r="BW23" s="12">
        <f>IF(預測IC!BW23&gt;預測IC!BW$26,1,0)</f>
        <v>1</v>
      </c>
      <c r="BX23" s="12">
        <f>IF(預測IC!BX23&gt;預測IC!BX$26,1,0)</f>
        <v>1</v>
      </c>
      <c r="BY23" s="12">
        <f>IF(預測IC!BY23&gt;預測IC!BY$26,1,0)</f>
        <v>1</v>
      </c>
      <c r="BZ23" s="12">
        <f>IF(預測IC!BZ23&gt;預測IC!BZ$26,1,0)</f>
        <v>1</v>
      </c>
      <c r="CA23" s="12">
        <f>IF(預測IC!CA23&gt;預測IC!CA$26,1,0)</f>
        <v>0</v>
      </c>
      <c r="CB23" s="12">
        <f>IF(預測IC!CB23&gt;預測IC!CB$26,1,0)</f>
        <v>1</v>
      </c>
      <c r="CC23" s="12">
        <f>IF(預測IC!CC23&gt;預測IC!CC$26,1,0)</f>
        <v>0</v>
      </c>
      <c r="CD23" s="12">
        <f>IF(預測IC!CD23&gt;預測IC!CD$26,1,0)</f>
        <v>1</v>
      </c>
      <c r="CE23" s="12">
        <f>IF(預測IC!CE23&gt;預測IC!CE$26,1,0)</f>
        <v>1</v>
      </c>
      <c r="CF23" s="12">
        <f>IF(預測IC!CF23&gt;預測IC!CF$26,1,0)</f>
        <v>0</v>
      </c>
      <c r="CG23" s="12">
        <f>IF(預測IC!CG23&gt;預測IC!CG$26,1,0)</f>
        <v>1</v>
      </c>
      <c r="CH23" s="12">
        <f>IF(預測IC!CH23&gt;預測IC!CH$26,1,0)</f>
        <v>0</v>
      </c>
      <c r="CI23" s="12">
        <f>IF(預測IC!CI23&gt;預測IC!CI$26,1,0)</f>
        <v>0</v>
      </c>
      <c r="CJ23" s="12">
        <f>IF(預測IC!CJ23&gt;預測IC!CJ$26,1,0)</f>
        <v>0</v>
      </c>
      <c r="CK23" s="12">
        <f>IF(預測IC!CK23&gt;預測IC!CK$26,1,0)</f>
        <v>1</v>
      </c>
      <c r="CL23" s="12">
        <f>IF(預測IC!CL23&gt;預測IC!CL$26,1,0)</f>
        <v>0</v>
      </c>
      <c r="CM23" s="12">
        <f>IF(預測IC!CM23&gt;預測IC!CM$26,1,0)</f>
        <v>0</v>
      </c>
      <c r="CN23" s="12">
        <f>IF(預測IC!CN23&gt;預測IC!CN$26,1,0)</f>
        <v>1</v>
      </c>
      <c r="CO23" s="12">
        <f>IF(預測IC!CO23&gt;預測IC!CO$26,1,0)</f>
        <v>0</v>
      </c>
      <c r="CP23" s="12">
        <f>IF(預測IC!CP23&gt;預測IC!CP$26,1,0)</f>
        <v>1</v>
      </c>
      <c r="CQ23" s="12">
        <f>IF(預測IC!CQ23&gt;預測IC!CQ$26,1,0)</f>
        <v>1</v>
      </c>
      <c r="CR23" s="12">
        <f>IF(預測IC!CR23&gt;預測IC!CR$26,1,0)</f>
        <v>0</v>
      </c>
      <c r="CS23" s="12">
        <f>IF(預測IC!CS23&gt;預測IC!CS$26,1,0)</f>
        <v>1</v>
      </c>
      <c r="CT23" s="12">
        <f>IF(預測IC!CT23&gt;預測IC!CT$26,1,0)</f>
        <v>0</v>
      </c>
      <c r="CU23" s="12">
        <f>IF(預測IC!CU23&gt;預測IC!CU$26,1,0)</f>
        <v>1</v>
      </c>
      <c r="CV23" s="12">
        <f>IF(預測IC!CV23&gt;預測IC!CV$26,1,0)</f>
        <v>1</v>
      </c>
      <c r="CW23" s="12">
        <f>IF(預測IC!CW23&gt;預測IC!CW$26,1,0)</f>
        <v>0</v>
      </c>
      <c r="CX23" s="12">
        <f>IF(預測IC!CX23&gt;預測IC!CX$26,1,0)</f>
        <v>1</v>
      </c>
      <c r="CY23" s="12">
        <f>IF(預測IC!CY23&gt;預測IC!CY$26,1,0)</f>
        <v>0</v>
      </c>
      <c r="CZ23" s="12">
        <f>IF(預測IC!CZ23&gt;預測IC!CZ$26,1,0)</f>
        <v>0</v>
      </c>
      <c r="DA23" s="12">
        <f>IF(預測IC!DA23&gt;預測IC!DA$26,1,0)</f>
        <v>1</v>
      </c>
      <c r="DB23" s="12">
        <f>IF(預測IC!DB23&gt;預測IC!DB$26,1,0)</f>
        <v>1</v>
      </c>
      <c r="DC23" s="12">
        <f>IF(預測IC!DC23&gt;預測IC!DC$26,1,0)</f>
        <v>0</v>
      </c>
      <c r="DD23" s="12">
        <f>IF(預測IC!DD23&gt;預測IC!DD$26,1,0)</f>
        <v>0</v>
      </c>
      <c r="DE23" s="12">
        <f>IF(預測IC!DE23&gt;預測IC!DE$26,1,0)</f>
        <v>0</v>
      </c>
      <c r="DF23" s="12">
        <f>IF(預測IC!DF23&gt;預測IC!DF$26,1,0)</f>
        <v>0</v>
      </c>
      <c r="DG23" s="12">
        <f>IF(預測IC!DG23&gt;預測IC!DG$26,1,0)</f>
        <v>1</v>
      </c>
      <c r="DH23" s="12">
        <f>IF(預測IC!DH23&gt;預測IC!DH$26,1,0)</f>
        <v>0</v>
      </c>
      <c r="DI23" s="12">
        <f>IF(預測IC!DI23&gt;預測IC!DI$26,1,0)</f>
        <v>0</v>
      </c>
      <c r="DJ23" s="12">
        <f>IF(預測IC!DJ23&gt;預測IC!DJ$26,1,0)</f>
        <v>1</v>
      </c>
      <c r="DK23" s="12">
        <f>IF(預測IC!DK23&gt;預測IC!DK$26,1,0)</f>
        <v>1</v>
      </c>
      <c r="DL23" s="12">
        <f>IF(預測IC!DL23&gt;預測IC!DL$26,1,0)</f>
        <v>1</v>
      </c>
      <c r="DM23" s="12">
        <f>IF(預測IC!DM23&gt;預測IC!DM$26,1,0)</f>
        <v>0</v>
      </c>
      <c r="DN23" s="12">
        <f>IF(預測IC!DN23&gt;預測IC!DN$26,1,0)</f>
        <v>0</v>
      </c>
      <c r="DO23" s="12">
        <f>IF(預測IC!DO23&gt;預測IC!DO$26,1,0)</f>
        <v>0</v>
      </c>
      <c r="DP23" s="12">
        <f>IF(預測IC!DP23&gt;預測IC!DP$26,1,0)</f>
        <v>1</v>
      </c>
      <c r="DQ23" s="12">
        <f>IF(預測IC!DQ23&gt;預測IC!DQ$26,1,0)</f>
        <v>1</v>
      </c>
      <c r="DR23" s="12">
        <f>IF(預測IC!DR23&gt;預測IC!DR$26,1,0)</f>
        <v>0</v>
      </c>
      <c r="DS23" s="12">
        <f>IF(預測IC!DS23&gt;預測IC!DS$26,1,0)</f>
        <v>0</v>
      </c>
      <c r="DT23" s="12">
        <f>IF(預測IC!DT23&gt;預測IC!DT$26,1,0)</f>
        <v>0</v>
      </c>
      <c r="DU23" s="12">
        <f>IF(預測IC!DU23&gt;預測IC!DU$26,1,0)</f>
        <v>0</v>
      </c>
      <c r="DV23" s="12">
        <f>IF(預測IC!DV23&gt;預測IC!DV$26,1,0)</f>
        <v>0</v>
      </c>
      <c r="DW23" s="12">
        <f>IF(預測IC!DW23&gt;預測IC!DW$26,1,0)</f>
        <v>0</v>
      </c>
      <c r="DX23" s="12">
        <f>IF(預測IC!DX23&gt;預測IC!DX$26,1,0)</f>
        <v>1</v>
      </c>
      <c r="DY23" s="12">
        <f>IF(預測IC!DY23&gt;預測IC!DY$26,1,0)</f>
        <v>0</v>
      </c>
      <c r="DZ23" s="12">
        <f>IF(預測IC!DZ23&gt;預測IC!DZ$26,1,0)</f>
        <v>1</v>
      </c>
      <c r="EA23" s="12">
        <f>IF(預測IC!EA23&gt;預測IC!EA$26,1,0)</f>
        <v>1</v>
      </c>
      <c r="EB23" s="12">
        <f>IF(預測IC!EB23&gt;預測IC!EB$26,1,0)</f>
        <v>1</v>
      </c>
      <c r="EC23" s="12">
        <f>IF(預測IC!EC23&gt;預測IC!EC$26,1,0)</f>
        <v>0</v>
      </c>
      <c r="ED23" s="12">
        <f>IF(預測IC!ED23&gt;預測IC!ED$26,1,0)</f>
        <v>1</v>
      </c>
      <c r="EE23" s="12">
        <f>IF(預測IC!EE23&gt;預測IC!EE$26,1,0)</f>
        <v>1</v>
      </c>
      <c r="EF23" s="12">
        <f>IF(預測IC!EF23&gt;預測IC!EF$26,1,0)</f>
        <v>1</v>
      </c>
      <c r="EG23">
        <f t="shared" si="6"/>
        <v>68</v>
      </c>
      <c r="EH23" s="10">
        <f t="shared" si="7"/>
        <v>0.5074626865671642</v>
      </c>
    </row>
    <row r="24" spans="1:138">
      <c r="A24" s="2">
        <v>964</v>
      </c>
      <c r="B24" s="2">
        <v>1</v>
      </c>
      <c r="C24" s="12">
        <f>IF(預測IC!C24&gt;預測IC!C$26,1,0)</f>
        <v>1</v>
      </c>
      <c r="D24" s="12">
        <f>IF(預測IC!D24&gt;預測IC!D$26,1,0)</f>
        <v>0</v>
      </c>
      <c r="E24" s="12">
        <f>IF(預測IC!E24&gt;預測IC!E$26,1,0)</f>
        <v>1</v>
      </c>
      <c r="F24" s="12">
        <f>IF(預測IC!F24&gt;預測IC!F$26,1,0)</f>
        <v>1</v>
      </c>
      <c r="G24" s="12">
        <f>IF(預測IC!G24&gt;預測IC!G$26,1,0)</f>
        <v>0</v>
      </c>
      <c r="H24" s="12">
        <f>IF(預測IC!H24&gt;預測IC!H$26,1,0)</f>
        <v>1</v>
      </c>
      <c r="I24" s="12">
        <f>IF(預測IC!I24&gt;預測IC!I$26,1,0)</f>
        <v>1</v>
      </c>
      <c r="J24" s="12">
        <f>IF(預測IC!J24&gt;預測IC!J$26,1,0)</f>
        <v>0</v>
      </c>
      <c r="K24" s="12">
        <f>IF(預測IC!K24&gt;預測IC!K$26,1,0)</f>
        <v>1</v>
      </c>
      <c r="L24" s="12">
        <f>IF(預測IC!L24&gt;預測IC!L$26,1,0)</f>
        <v>1</v>
      </c>
      <c r="M24" s="12">
        <f>IF(預測IC!M24&gt;預測IC!M$26,1,0)</f>
        <v>1</v>
      </c>
      <c r="N24" s="12">
        <f>IF(預測IC!N24&gt;預測IC!N$26,1,0)</f>
        <v>0</v>
      </c>
      <c r="O24" s="12">
        <f>IF(預測IC!O24&gt;預測IC!O$26,1,0)</f>
        <v>1</v>
      </c>
      <c r="P24" s="12">
        <f>IF(預測IC!P24&gt;預測IC!P$26,1,0)</f>
        <v>1</v>
      </c>
      <c r="Q24" s="12">
        <f>IF(預測IC!Q24&gt;預測IC!Q$26,1,0)</f>
        <v>1</v>
      </c>
      <c r="R24" s="12">
        <f>IF(預測IC!R24&gt;預測IC!R$26,1,0)</f>
        <v>0</v>
      </c>
      <c r="S24" s="12">
        <f>IF(預測IC!S24&gt;預測IC!S$26,1,0)</f>
        <v>1</v>
      </c>
      <c r="T24" s="12">
        <f>IF(預測IC!T24&gt;預測IC!T$26,1,0)</f>
        <v>0</v>
      </c>
      <c r="U24" s="12">
        <f>IF(預測IC!U24&gt;預測IC!U$26,1,0)</f>
        <v>1</v>
      </c>
      <c r="V24" s="12">
        <f>IF(預測IC!V24&gt;預測IC!V$26,1,0)</f>
        <v>1</v>
      </c>
      <c r="W24" s="12">
        <f>IF(預測IC!W24&gt;預測IC!W$26,1,0)</f>
        <v>1</v>
      </c>
      <c r="X24" s="12">
        <f>IF(預測IC!X24&gt;預測IC!X$26,1,0)</f>
        <v>1</v>
      </c>
      <c r="Y24" s="12">
        <f>IF(預測IC!Y24&gt;預測IC!Y$26,1,0)</f>
        <v>0</v>
      </c>
      <c r="Z24" s="12">
        <f>IF(預測IC!Z24&gt;預測IC!Z$26,1,0)</f>
        <v>0</v>
      </c>
      <c r="AA24" s="12">
        <f>IF(預測IC!AA24&gt;預測IC!AA$26,1,0)</f>
        <v>1</v>
      </c>
      <c r="AB24" s="12">
        <f>IF(預測IC!AB24&gt;預測IC!AB$26,1,0)</f>
        <v>0</v>
      </c>
      <c r="AC24" s="12">
        <f>IF(預測IC!AC24&gt;預測IC!AC$26,1,0)</f>
        <v>0</v>
      </c>
      <c r="AD24" s="12">
        <f>IF(預測IC!AD24&gt;預測IC!AD$26,1,0)</f>
        <v>1</v>
      </c>
      <c r="AE24" s="12">
        <f>IF(預測IC!AE24&gt;預測IC!AE$26,1,0)</f>
        <v>1</v>
      </c>
      <c r="AF24" s="12">
        <f>IF(預測IC!AF24&gt;預測IC!AF$26,1,0)</f>
        <v>1</v>
      </c>
      <c r="AG24" s="12">
        <f>IF(預測IC!AG24&gt;預測IC!AG$26,1,0)</f>
        <v>0</v>
      </c>
      <c r="AH24" s="12">
        <f>IF(預測IC!AH24&gt;預測IC!AH$26,1,0)</f>
        <v>1</v>
      </c>
      <c r="AI24" s="12">
        <f>IF(預測IC!AI24&gt;預測IC!AI$26,1,0)</f>
        <v>0</v>
      </c>
      <c r="AJ24" s="12">
        <f>IF(預測IC!AJ24&gt;預測IC!AJ$26,1,0)</f>
        <v>1</v>
      </c>
      <c r="AK24" s="12">
        <f>IF(預測IC!AK24&gt;預測IC!AK$26,1,0)</f>
        <v>1</v>
      </c>
      <c r="AL24" s="12">
        <f>IF(預測IC!AL24&gt;預測IC!AL$26,1,0)</f>
        <v>0</v>
      </c>
      <c r="AM24" s="12">
        <f>IF(預測IC!AM24&gt;預測IC!AM$26,1,0)</f>
        <v>0</v>
      </c>
      <c r="AN24" s="12">
        <f>IF(預測IC!AN24&gt;預測IC!AN$26,1,0)</f>
        <v>1</v>
      </c>
      <c r="AO24" s="12">
        <f>IF(預測IC!AO24&gt;預測IC!AO$26,1,0)</f>
        <v>1</v>
      </c>
      <c r="AP24" s="12">
        <f>IF(預測IC!AP24&gt;預測IC!AP$26,1,0)</f>
        <v>1</v>
      </c>
      <c r="AQ24" s="12">
        <f>IF(預測IC!AQ24&gt;預測IC!AQ$26,1,0)</f>
        <v>1</v>
      </c>
      <c r="AR24" s="12">
        <f>IF(預測IC!AR24&gt;預測IC!AR$26,1,0)</f>
        <v>0</v>
      </c>
      <c r="AS24" s="12">
        <f>IF(預測IC!AS24&gt;預測IC!AS$26,1,0)</f>
        <v>0</v>
      </c>
      <c r="AT24" s="12">
        <f>IF(預測IC!AT24&gt;預測IC!AT$26,1,0)</f>
        <v>1</v>
      </c>
      <c r="AU24" s="12">
        <f>IF(預測IC!AU24&gt;預測IC!AU$26,1,0)</f>
        <v>1</v>
      </c>
      <c r="AV24" s="12">
        <f>IF(預測IC!AV24&gt;預測IC!AV$26,1,0)</f>
        <v>0</v>
      </c>
      <c r="AW24" s="12">
        <f>IF(預測IC!AW24&gt;預測IC!AW$26,1,0)</f>
        <v>1</v>
      </c>
      <c r="AX24" s="12">
        <f>IF(預測IC!AX24&gt;預測IC!AX$26,1,0)</f>
        <v>1</v>
      </c>
      <c r="AY24" s="12">
        <f>IF(預測IC!AY24&gt;預測IC!AY$26,1,0)</f>
        <v>1</v>
      </c>
      <c r="AZ24" s="12">
        <f>IF(預測IC!AZ24&gt;預測IC!AZ$26,1,0)</f>
        <v>1</v>
      </c>
      <c r="BA24" s="12">
        <f>IF(預測IC!BA24&gt;預測IC!BA$26,1,0)</f>
        <v>0</v>
      </c>
      <c r="BB24" s="12">
        <f>IF(預測IC!BB24&gt;預測IC!BB$26,1,0)</f>
        <v>1</v>
      </c>
      <c r="BC24" s="12">
        <f>IF(預測IC!BC24&gt;預測IC!BC$26,1,0)</f>
        <v>0</v>
      </c>
      <c r="BD24" s="12">
        <f>IF(預測IC!BD24&gt;預測IC!BD$26,1,0)</f>
        <v>1</v>
      </c>
      <c r="BE24" s="12">
        <f>IF(預測IC!BE24&gt;預測IC!BE$26,1,0)</f>
        <v>0</v>
      </c>
      <c r="BF24" s="12">
        <f>IF(預測IC!BF24&gt;預測IC!BF$26,1,0)</f>
        <v>0</v>
      </c>
      <c r="BG24" s="12">
        <f>IF(預測IC!BG24&gt;預測IC!BG$26,1,0)</f>
        <v>1</v>
      </c>
      <c r="BH24" s="12">
        <f>IF(預測IC!BH24&gt;預測IC!BH$26,1,0)</f>
        <v>0</v>
      </c>
      <c r="BI24" s="12">
        <f>IF(預測IC!BI24&gt;預測IC!BI$26,1,0)</f>
        <v>1</v>
      </c>
      <c r="BJ24" s="12">
        <f>IF(預測IC!BJ24&gt;預測IC!BJ$26,1,0)</f>
        <v>1</v>
      </c>
      <c r="BK24" s="12">
        <f>IF(預測IC!BK24&gt;預測IC!BK$26,1,0)</f>
        <v>0</v>
      </c>
      <c r="BL24" s="12">
        <f>IF(預測IC!BL24&gt;預測IC!BL$26,1,0)</f>
        <v>0</v>
      </c>
      <c r="BM24" s="12">
        <f>IF(預測IC!BM24&gt;預測IC!BM$26,1,0)</f>
        <v>0</v>
      </c>
      <c r="BN24" s="12">
        <f>IF(預測IC!BN24&gt;預測IC!BN$26,1,0)</f>
        <v>0</v>
      </c>
      <c r="BO24" s="12">
        <f>IF(預測IC!BO24&gt;預測IC!BO$26,1,0)</f>
        <v>1</v>
      </c>
      <c r="BP24" s="12">
        <f>IF(預測IC!BP24&gt;預測IC!BP$26,1,0)</f>
        <v>1</v>
      </c>
      <c r="BQ24" s="12">
        <f>IF(預測IC!BQ24&gt;預測IC!BQ$26,1,0)</f>
        <v>0</v>
      </c>
      <c r="BR24" s="12">
        <f>IF(預測IC!BR24&gt;預測IC!BR$26,1,0)</f>
        <v>1</v>
      </c>
      <c r="BS24" s="12">
        <f>IF(預測IC!BS24&gt;預測IC!BS$26,1,0)</f>
        <v>0</v>
      </c>
      <c r="BT24" s="12">
        <f>IF(預測IC!BT24&gt;預測IC!BT$26,1,0)</f>
        <v>0</v>
      </c>
      <c r="BU24" s="12">
        <f>IF(預測IC!BU24&gt;預測IC!BU$26,1,0)</f>
        <v>0</v>
      </c>
      <c r="BV24" s="12">
        <f>IF(預測IC!BV24&gt;預測IC!BV$26,1,0)</f>
        <v>0</v>
      </c>
      <c r="BW24" s="12">
        <f>IF(預測IC!BW24&gt;預測IC!BW$26,1,0)</f>
        <v>1</v>
      </c>
      <c r="BX24" s="12">
        <f>IF(預測IC!BX24&gt;預測IC!BX$26,1,0)</f>
        <v>1</v>
      </c>
      <c r="BY24" s="12">
        <f>IF(預測IC!BY24&gt;預測IC!BY$26,1,0)</f>
        <v>1</v>
      </c>
      <c r="BZ24" s="12">
        <f>IF(預測IC!BZ24&gt;預測IC!BZ$26,1,0)</f>
        <v>1</v>
      </c>
      <c r="CA24" s="12">
        <f>IF(預測IC!CA24&gt;預測IC!CA$26,1,0)</f>
        <v>0</v>
      </c>
      <c r="CB24" s="12">
        <f>IF(預測IC!CB24&gt;預測IC!CB$26,1,0)</f>
        <v>0</v>
      </c>
      <c r="CC24" s="12">
        <f>IF(預測IC!CC24&gt;預測IC!CC$26,1,0)</f>
        <v>0</v>
      </c>
      <c r="CD24" s="12">
        <f>IF(預測IC!CD24&gt;預測IC!CD$26,1,0)</f>
        <v>1</v>
      </c>
      <c r="CE24" s="12">
        <f>IF(預測IC!CE24&gt;預測IC!CE$26,1,0)</f>
        <v>1</v>
      </c>
      <c r="CF24" s="12">
        <f>IF(預測IC!CF24&gt;預測IC!CF$26,1,0)</f>
        <v>0</v>
      </c>
      <c r="CG24" s="12">
        <f>IF(預測IC!CG24&gt;預測IC!CG$26,1,0)</f>
        <v>1</v>
      </c>
      <c r="CH24" s="12">
        <f>IF(預測IC!CH24&gt;預測IC!CH$26,1,0)</f>
        <v>1</v>
      </c>
      <c r="CI24" s="12">
        <f>IF(預測IC!CI24&gt;預測IC!CI$26,1,0)</f>
        <v>0</v>
      </c>
      <c r="CJ24" s="12">
        <f>IF(預測IC!CJ24&gt;預測IC!CJ$26,1,0)</f>
        <v>0</v>
      </c>
      <c r="CK24" s="12">
        <f>IF(預測IC!CK24&gt;預測IC!CK$26,1,0)</f>
        <v>1</v>
      </c>
      <c r="CL24" s="12">
        <f>IF(預測IC!CL24&gt;預測IC!CL$26,1,0)</f>
        <v>1</v>
      </c>
      <c r="CM24" s="12">
        <f>IF(預測IC!CM24&gt;預測IC!CM$26,1,0)</f>
        <v>0</v>
      </c>
      <c r="CN24" s="12">
        <f>IF(預測IC!CN24&gt;預測IC!CN$26,1,0)</f>
        <v>1</v>
      </c>
      <c r="CO24" s="12">
        <f>IF(預測IC!CO24&gt;預測IC!CO$26,1,0)</f>
        <v>0</v>
      </c>
      <c r="CP24" s="12">
        <f>IF(預測IC!CP24&gt;預測IC!CP$26,1,0)</f>
        <v>1</v>
      </c>
      <c r="CQ24" s="12">
        <f>IF(預測IC!CQ24&gt;預測IC!CQ$26,1,0)</f>
        <v>1</v>
      </c>
      <c r="CR24" s="12">
        <f>IF(預測IC!CR24&gt;預測IC!CR$26,1,0)</f>
        <v>0</v>
      </c>
      <c r="CS24" s="12">
        <f>IF(預測IC!CS24&gt;預測IC!CS$26,1,0)</f>
        <v>1</v>
      </c>
      <c r="CT24" s="12">
        <f>IF(預測IC!CT24&gt;預測IC!CT$26,1,0)</f>
        <v>1</v>
      </c>
      <c r="CU24" s="12">
        <f>IF(預測IC!CU24&gt;預測IC!CU$26,1,0)</f>
        <v>1</v>
      </c>
      <c r="CV24" s="12">
        <f>IF(預測IC!CV24&gt;預測IC!CV$26,1,0)</f>
        <v>1</v>
      </c>
      <c r="CW24" s="12">
        <f>IF(預測IC!CW24&gt;預測IC!CW$26,1,0)</f>
        <v>0</v>
      </c>
      <c r="CX24" s="12">
        <f>IF(預測IC!CX24&gt;預測IC!CX$26,1,0)</f>
        <v>1</v>
      </c>
      <c r="CY24" s="12">
        <f>IF(預測IC!CY24&gt;預測IC!CY$26,1,0)</f>
        <v>1</v>
      </c>
      <c r="CZ24" s="12">
        <f>IF(預測IC!CZ24&gt;預測IC!CZ$26,1,0)</f>
        <v>1</v>
      </c>
      <c r="DA24" s="12">
        <f>IF(預測IC!DA24&gt;預測IC!DA$26,1,0)</f>
        <v>0</v>
      </c>
      <c r="DB24" s="12">
        <f>IF(預測IC!DB24&gt;預測IC!DB$26,1,0)</f>
        <v>1</v>
      </c>
      <c r="DC24" s="12">
        <f>IF(預測IC!DC24&gt;預測IC!DC$26,1,0)</f>
        <v>0</v>
      </c>
      <c r="DD24" s="12">
        <f>IF(預測IC!DD24&gt;預測IC!DD$26,1,0)</f>
        <v>1</v>
      </c>
      <c r="DE24" s="12">
        <f>IF(預測IC!DE24&gt;預測IC!DE$26,1,0)</f>
        <v>0</v>
      </c>
      <c r="DF24" s="12">
        <f>IF(預測IC!DF24&gt;預測IC!DF$26,1,0)</f>
        <v>0</v>
      </c>
      <c r="DG24" s="12">
        <f>IF(預測IC!DG24&gt;預測IC!DG$26,1,0)</f>
        <v>1</v>
      </c>
      <c r="DH24" s="12">
        <f>IF(預測IC!DH24&gt;預測IC!DH$26,1,0)</f>
        <v>0</v>
      </c>
      <c r="DI24" s="12">
        <f>IF(預測IC!DI24&gt;預測IC!DI$26,1,0)</f>
        <v>0</v>
      </c>
      <c r="DJ24" s="12">
        <f>IF(預測IC!DJ24&gt;預測IC!DJ$26,1,0)</f>
        <v>0</v>
      </c>
      <c r="DK24" s="12">
        <f>IF(預測IC!DK24&gt;預測IC!DK$26,1,0)</f>
        <v>1</v>
      </c>
      <c r="DL24" s="12">
        <f>IF(預測IC!DL24&gt;預測IC!DL$26,1,0)</f>
        <v>1</v>
      </c>
      <c r="DM24" s="12">
        <f>IF(預測IC!DM24&gt;預測IC!DM$26,1,0)</f>
        <v>0</v>
      </c>
      <c r="DN24" s="12">
        <f>IF(預測IC!DN24&gt;預測IC!DN$26,1,0)</f>
        <v>0</v>
      </c>
      <c r="DO24" s="12">
        <f>IF(預測IC!DO24&gt;預測IC!DO$26,1,0)</f>
        <v>0</v>
      </c>
      <c r="DP24" s="12">
        <f>IF(預測IC!DP24&gt;預測IC!DP$26,1,0)</f>
        <v>1</v>
      </c>
      <c r="DQ24" s="12">
        <f>IF(預測IC!DQ24&gt;預測IC!DQ$26,1,0)</f>
        <v>0</v>
      </c>
      <c r="DR24" s="12">
        <f>IF(預測IC!DR24&gt;預測IC!DR$26,1,0)</f>
        <v>0</v>
      </c>
      <c r="DS24" s="12">
        <f>IF(預測IC!DS24&gt;預測IC!DS$26,1,0)</f>
        <v>0</v>
      </c>
      <c r="DT24" s="12">
        <f>IF(預測IC!DT24&gt;預測IC!DT$26,1,0)</f>
        <v>0</v>
      </c>
      <c r="DU24" s="12">
        <f>IF(預測IC!DU24&gt;預測IC!DU$26,1,0)</f>
        <v>0</v>
      </c>
      <c r="DV24" s="12">
        <f>IF(預測IC!DV24&gt;預測IC!DV$26,1,0)</f>
        <v>0</v>
      </c>
      <c r="DW24" s="12">
        <f>IF(預測IC!DW24&gt;預測IC!DW$26,1,0)</f>
        <v>0</v>
      </c>
      <c r="DX24" s="12">
        <f>IF(預測IC!DX24&gt;預測IC!DX$26,1,0)</f>
        <v>1</v>
      </c>
      <c r="DY24" s="12">
        <f>IF(預測IC!DY24&gt;預測IC!DY$26,1,0)</f>
        <v>0</v>
      </c>
      <c r="DZ24" s="12">
        <f>IF(預測IC!DZ24&gt;預測IC!DZ$26,1,0)</f>
        <v>1</v>
      </c>
      <c r="EA24" s="12">
        <f>IF(預測IC!EA24&gt;預測IC!EA$26,1,0)</f>
        <v>0</v>
      </c>
      <c r="EB24" s="12">
        <f>IF(預測IC!EB24&gt;預測IC!EB$26,1,0)</f>
        <v>1</v>
      </c>
      <c r="EC24" s="12">
        <f>IF(預測IC!EC24&gt;預測IC!EC$26,1,0)</f>
        <v>0</v>
      </c>
      <c r="ED24" s="12">
        <f>IF(預測IC!ED24&gt;預測IC!ED$26,1,0)</f>
        <v>1</v>
      </c>
      <c r="EE24" s="12">
        <f>IF(預測IC!EE24&gt;預測IC!EE$26,1,0)</f>
        <v>1</v>
      </c>
      <c r="EF24" s="12">
        <f>IF(預測IC!EF24&gt;預測IC!EF$26,1,0)</f>
        <v>0</v>
      </c>
      <c r="EG24">
        <f t="shared" si="6"/>
        <v>72</v>
      </c>
      <c r="EH24" s="10">
        <f t="shared" si="7"/>
        <v>0.53731343283582089</v>
      </c>
    </row>
    <row r="26" spans="1:138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zoomScale="150" zoomScaleNormal="90" workbookViewId="0">
      <selection activeCell="C12" sqref="C12:EF24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2">
        <v>1.7782902345061299E-2</v>
      </c>
      <c r="D3" s="12">
        <v>7.24458247423172E-2</v>
      </c>
      <c r="E3" s="12">
        <v>-1.229359768331051E-2</v>
      </c>
      <c r="F3" s="12">
        <v>1.6895091161131859E-2</v>
      </c>
      <c r="G3" s="12">
        <v>1.759104989469051E-2</v>
      </c>
      <c r="H3" s="12">
        <v>-2.2279582917690281E-2</v>
      </c>
      <c r="I3" s="12">
        <v>-3.8912922143936157E-2</v>
      </c>
      <c r="J3" s="12">
        <v>-2.6365116238594059E-2</v>
      </c>
      <c r="K3" s="12">
        <v>-2.014501765370369E-2</v>
      </c>
      <c r="L3" s="12">
        <v>-1.624567806720734E-2</v>
      </c>
      <c r="M3" s="12">
        <v>-8.2549653947353363E-2</v>
      </c>
      <c r="N3" s="12">
        <v>-1.7867140471935269E-2</v>
      </c>
      <c r="O3" s="12">
        <v>7.6627731323242188E-2</v>
      </c>
      <c r="P3" s="12">
        <v>-3.9154563099145889E-2</v>
      </c>
      <c r="Q3" s="12">
        <v>-4.1649270802736282E-2</v>
      </c>
      <c r="R3" s="12">
        <v>-2.7908530086278919E-2</v>
      </c>
      <c r="S3" s="12">
        <v>-8.0156058073043823E-2</v>
      </c>
      <c r="T3" s="12">
        <v>-3.3881399780511863E-2</v>
      </c>
      <c r="U3" s="12">
        <v>-3.6820832639932632E-2</v>
      </c>
      <c r="V3" s="12">
        <v>-1.9809873774647709E-2</v>
      </c>
      <c r="W3" s="12">
        <v>9.6304804086685181E-2</v>
      </c>
      <c r="X3" s="12">
        <v>0.16748018562793729</v>
      </c>
      <c r="Y3" s="12">
        <v>-1.015750598162413E-2</v>
      </c>
      <c r="Z3" s="12">
        <v>2.5555314496159549E-3</v>
      </c>
      <c r="AA3" s="12">
        <v>-7.8297220170497894E-2</v>
      </c>
      <c r="AB3" s="12">
        <v>-4.162265732884407E-2</v>
      </c>
      <c r="AC3" s="12">
        <v>-1.579752191901207E-2</v>
      </c>
      <c r="AD3" s="12">
        <v>-3.0706796795129779E-2</v>
      </c>
      <c r="AE3" s="12">
        <v>7.2333263233304024E-4</v>
      </c>
      <c r="AF3" s="12">
        <v>6.8843632936477661E-2</v>
      </c>
      <c r="AG3" s="12">
        <v>-5.1157008856534958E-3</v>
      </c>
      <c r="AH3" s="12">
        <v>-1.048196759074926E-2</v>
      </c>
      <c r="AI3" s="12">
        <v>-4.066355898976326E-2</v>
      </c>
      <c r="AJ3" s="12">
        <v>-5.5654104799032211E-2</v>
      </c>
      <c r="AK3" s="12">
        <v>-3.4865595400333398E-2</v>
      </c>
      <c r="AL3" s="12">
        <v>0.14250144362449649</v>
      </c>
      <c r="AM3" s="12">
        <v>4.2415492236614227E-2</v>
      </c>
      <c r="AN3" s="12">
        <v>1.8945284187793732E-2</v>
      </c>
      <c r="AO3" s="12">
        <v>3.6709178239107132E-2</v>
      </c>
      <c r="AP3" s="12">
        <v>-1.1438022367656229E-2</v>
      </c>
      <c r="AQ3" s="12">
        <v>-8.599540451541543E-4</v>
      </c>
      <c r="AR3" s="12">
        <v>8.9694326743483543E-3</v>
      </c>
      <c r="AS3" s="12">
        <v>-2.16217041015625E-2</v>
      </c>
      <c r="AT3" s="12">
        <v>5.6848321110010147E-2</v>
      </c>
      <c r="AU3" s="12">
        <v>3.9384294301271439E-2</v>
      </c>
      <c r="AV3" s="12">
        <v>0.14884805679321289</v>
      </c>
      <c r="AW3" s="12">
        <v>5.9238158166408539E-2</v>
      </c>
      <c r="AX3" s="12">
        <v>8.3451211452484131E-2</v>
      </c>
      <c r="AY3" s="12">
        <v>6.8846635520458221E-2</v>
      </c>
      <c r="AZ3" s="12">
        <v>0.15779311954975131</v>
      </c>
      <c r="BA3" s="12">
        <v>7.3232002556324005E-2</v>
      </c>
      <c r="BB3" s="12">
        <v>1.6600910574197769E-2</v>
      </c>
      <c r="BC3" s="12">
        <v>5.6218259036540992E-2</v>
      </c>
      <c r="BD3" s="12">
        <v>2.0839734002947811E-2</v>
      </c>
      <c r="BE3" s="12">
        <v>8.9553870260715485E-2</v>
      </c>
      <c r="BF3" s="12">
        <v>4.3456017971038818E-2</v>
      </c>
      <c r="BG3" s="12">
        <v>7.1616403758525848E-2</v>
      </c>
      <c r="BH3" s="12">
        <v>7.97300785779953E-2</v>
      </c>
      <c r="BI3" s="12">
        <v>8.7966516613960266E-2</v>
      </c>
      <c r="BJ3" s="12">
        <v>0.1081216707825661</v>
      </c>
      <c r="BK3" s="12">
        <v>0.1129734814167023</v>
      </c>
      <c r="BL3" s="12">
        <v>5.063258484005928E-2</v>
      </c>
      <c r="BM3" s="12">
        <v>7.7567048370838165E-2</v>
      </c>
      <c r="BN3" s="12">
        <v>4.4190812855958939E-2</v>
      </c>
      <c r="BO3" s="12">
        <v>2.8505465015769001E-2</v>
      </c>
      <c r="BP3" s="12">
        <v>0.10330298542976379</v>
      </c>
      <c r="BQ3" s="12">
        <v>7.12384432554245E-2</v>
      </c>
      <c r="BR3" s="12">
        <v>5.2489206194877618E-2</v>
      </c>
      <c r="BS3" s="12">
        <v>4.9339123070240021E-2</v>
      </c>
      <c r="BT3" s="12">
        <v>5.840107798576355E-2</v>
      </c>
      <c r="BU3" s="12">
        <v>2.5098161771893501E-2</v>
      </c>
      <c r="BV3" s="12">
        <v>2.3363580927252769E-2</v>
      </c>
      <c r="BW3" s="12">
        <v>5.6408349424600601E-2</v>
      </c>
      <c r="BX3" s="12">
        <v>3.3264696598052979E-2</v>
      </c>
      <c r="BY3" s="12">
        <v>-2.413135394454002E-2</v>
      </c>
      <c r="BZ3" s="12">
        <v>2.0291766151785851E-2</v>
      </c>
      <c r="CA3" s="12">
        <v>8.7816245853900909E-2</v>
      </c>
      <c r="CB3" s="12">
        <v>-4.3355219066143043E-2</v>
      </c>
      <c r="CC3" s="12">
        <v>6.0557723045349121E-3</v>
      </c>
      <c r="CD3" s="12">
        <v>-6.7888110876083374E-2</v>
      </c>
      <c r="CE3" s="12">
        <v>-4.0715392678976059E-3</v>
      </c>
      <c r="CF3" s="12">
        <v>-8.1548932939767838E-5</v>
      </c>
      <c r="CG3" s="12">
        <v>-3.5091366618871689E-2</v>
      </c>
      <c r="CH3" s="12">
        <v>-9.0038077905774117E-3</v>
      </c>
      <c r="CI3" s="12">
        <v>-2.54166703671217E-2</v>
      </c>
      <c r="CJ3" s="12">
        <v>-0.1101485714316368</v>
      </c>
      <c r="CK3" s="12">
        <v>4.6726226806640618E-2</v>
      </c>
      <c r="CL3" s="12">
        <v>5.5295374244451523E-2</v>
      </c>
      <c r="CM3" s="12">
        <v>-4.3500862084329128E-3</v>
      </c>
      <c r="CN3" s="12">
        <v>-5.8284953236579902E-2</v>
      </c>
      <c r="CO3" s="12">
        <v>-3.2531678676605218E-2</v>
      </c>
      <c r="CP3" s="12">
        <v>3.5830866545438773E-2</v>
      </c>
      <c r="CQ3" s="12">
        <v>2.45636235922575E-2</v>
      </c>
      <c r="CR3" s="12">
        <v>1.170414220541716E-2</v>
      </c>
      <c r="CS3" s="12">
        <v>-0.1024853959679604</v>
      </c>
      <c r="CT3" s="12">
        <v>1.293086330406368E-3</v>
      </c>
      <c r="CU3" s="12">
        <v>-0.1111449897289276</v>
      </c>
      <c r="CV3" s="12">
        <v>-3.1775698065757751E-2</v>
      </c>
      <c r="CW3" s="12">
        <v>-3.6522049456834793E-2</v>
      </c>
      <c r="CX3" s="12">
        <v>-8.237186074256897E-2</v>
      </c>
      <c r="CY3" s="12">
        <v>-4.1168216615915298E-2</v>
      </c>
      <c r="CZ3" s="12">
        <v>-7.4366219341754913E-2</v>
      </c>
      <c r="DA3" s="12">
        <v>-4.7027502208948142E-2</v>
      </c>
      <c r="DB3" s="12">
        <v>7.3655758751556277E-4</v>
      </c>
      <c r="DC3" s="12">
        <v>1.1260370723903179E-2</v>
      </c>
      <c r="DD3" s="12">
        <v>1.315145520493388E-3</v>
      </c>
      <c r="DE3" s="12">
        <v>-1.406966615468264E-2</v>
      </c>
      <c r="DF3" s="12">
        <v>1.287776418030262E-2</v>
      </c>
      <c r="DG3" s="12">
        <v>-8.777957409620285E-3</v>
      </c>
      <c r="DH3" s="12">
        <v>-1.8724145367741581E-2</v>
      </c>
      <c r="DI3" s="12">
        <v>1.5026724431663749E-3</v>
      </c>
      <c r="DJ3" s="12">
        <v>5.74493408203125E-3</v>
      </c>
      <c r="DK3" s="12">
        <v>-3.1418703496456153E-2</v>
      </c>
      <c r="DL3" s="12">
        <v>1.568500883877277E-2</v>
      </c>
      <c r="DM3" s="12">
        <v>-1.7450746148824688E-2</v>
      </c>
      <c r="DN3" s="12">
        <v>2.129724808037281E-2</v>
      </c>
      <c r="DO3" s="12">
        <v>-4.1845731437206268E-2</v>
      </c>
      <c r="DP3" s="12">
        <v>-1.9574053585529332E-3</v>
      </c>
      <c r="DQ3" s="12">
        <v>3.9197877049446106E-3</v>
      </c>
      <c r="DR3" s="12">
        <v>7.5242564082145691E-2</v>
      </c>
      <c r="DS3" s="12">
        <v>4.159560427069664E-2</v>
      </c>
      <c r="DT3" s="12">
        <v>-1.3514737598598E-2</v>
      </c>
      <c r="DU3" s="12">
        <v>1.3495544902980329E-2</v>
      </c>
      <c r="DV3" s="12">
        <v>-3.9159540086984627E-2</v>
      </c>
      <c r="DW3" s="12">
        <v>-2.1635228767991069E-2</v>
      </c>
      <c r="DX3" s="12">
        <v>-2.5841465219855309E-2</v>
      </c>
      <c r="DY3" s="12">
        <v>-2.6736544445157051E-2</v>
      </c>
      <c r="DZ3" s="12">
        <v>-3.2960411161184311E-2</v>
      </c>
      <c r="EA3" s="12">
        <v>-4.8574574291706092E-2</v>
      </c>
      <c r="EB3" s="12">
        <v>-0.1051784828305244</v>
      </c>
      <c r="EC3" s="12">
        <v>-2.840211242437363E-2</v>
      </c>
      <c r="ED3" s="12">
        <v>-0.1028049290180206</v>
      </c>
      <c r="EE3" s="12">
        <v>-4.4087015092372887E-2</v>
      </c>
      <c r="EF3" s="12">
        <v>-3.865974023938179E-2</v>
      </c>
    </row>
    <row r="4" spans="1:136" s="1" customFormat="1">
      <c r="B4" s="2" t="s">
        <v>137</v>
      </c>
      <c r="C4" s="12">
        <v>-3.6521758884191513E-2</v>
      </c>
      <c r="D4" s="12">
        <v>-4.2547494173049927E-2</v>
      </c>
      <c r="E4" s="12">
        <v>-5.0075937062501907E-2</v>
      </c>
      <c r="F4" s="12">
        <v>-2.3984730243682861E-2</v>
      </c>
      <c r="G4" s="12">
        <v>5.823938176035881E-3</v>
      </c>
      <c r="H4" s="12">
        <v>-5.2601419389247887E-2</v>
      </c>
      <c r="I4" s="12">
        <v>1.76677480340004E-2</v>
      </c>
      <c r="J4" s="12">
        <v>-3.2669864594936371E-2</v>
      </c>
      <c r="K4" s="12">
        <v>-1.6252247150987391E-3</v>
      </c>
      <c r="L4" s="12">
        <v>-1.7513863742351529E-2</v>
      </c>
      <c r="M4" s="12">
        <v>1.9140448421239849E-2</v>
      </c>
      <c r="N4" s="12">
        <v>-5.8379219844937316E-3</v>
      </c>
      <c r="O4" s="12">
        <v>-7.4128787964582443E-3</v>
      </c>
      <c r="P4" s="12">
        <v>1.252019684761763E-2</v>
      </c>
      <c r="Q4" s="12">
        <v>-7.0506609976291656E-2</v>
      </c>
      <c r="R4" s="12">
        <v>-1.9896263256669041E-2</v>
      </c>
      <c r="S4" s="12">
        <v>-6.8290457129478455E-2</v>
      </c>
      <c r="T4" s="12">
        <v>-2.8186876326799389E-2</v>
      </c>
      <c r="U4" s="12">
        <v>-9.2675261199474335E-2</v>
      </c>
      <c r="V4" s="12">
        <v>-3.7623911630362268E-3</v>
      </c>
      <c r="W4" s="12">
        <v>-6.7103758454322815E-2</v>
      </c>
      <c r="X4" s="12">
        <v>-8.8999226689338684E-2</v>
      </c>
      <c r="Y4" s="12">
        <v>-5.2372239530086517E-2</v>
      </c>
      <c r="Z4" s="12">
        <v>-5.4307661950588233E-2</v>
      </c>
      <c r="AA4" s="12">
        <v>-5.4428402334451682E-2</v>
      </c>
      <c r="AB4" s="12">
        <v>-2.7171488851308819E-2</v>
      </c>
      <c r="AC4" s="12">
        <v>2.6723876595497131E-2</v>
      </c>
      <c r="AD4" s="12">
        <v>2.4525046348571781E-2</v>
      </c>
      <c r="AE4" s="12">
        <v>4.7622621059417718E-2</v>
      </c>
      <c r="AF4" s="12">
        <v>3.0552491545677189E-2</v>
      </c>
      <c r="AG4" s="12">
        <v>4.2735278606414788E-2</v>
      </c>
      <c r="AH4" s="12">
        <v>1.2865195982158181E-2</v>
      </c>
      <c r="AI4" s="12">
        <v>1.34605560451746E-2</v>
      </c>
      <c r="AJ4" s="12">
        <v>4.8744384199380868E-2</v>
      </c>
      <c r="AK4" s="12">
        <v>-9.5475828275084496E-3</v>
      </c>
      <c r="AL4" s="12">
        <v>-3.1309803016483779E-3</v>
      </c>
      <c r="AM4" s="12">
        <v>3.3569058869034052E-3</v>
      </c>
      <c r="AN4" s="12">
        <v>1.3093852438032631E-2</v>
      </c>
      <c r="AO4" s="12">
        <v>1.4211865141987801E-2</v>
      </c>
      <c r="AP4" s="12">
        <v>4.6501751989126212E-2</v>
      </c>
      <c r="AQ4" s="12">
        <v>4.9757853150367737E-2</v>
      </c>
      <c r="AR4" s="12">
        <v>4.9711927771568298E-2</v>
      </c>
      <c r="AS4" s="12">
        <v>3.4978423267602921E-2</v>
      </c>
      <c r="AT4" s="12">
        <v>-6.4586242660880089E-3</v>
      </c>
      <c r="AU4" s="12">
        <v>3.2456304877996438E-2</v>
      </c>
      <c r="AV4" s="12">
        <v>6.4564580097794533E-3</v>
      </c>
      <c r="AW4" s="12">
        <v>1.8101127352565529E-3</v>
      </c>
      <c r="AX4" s="12">
        <v>-7.6085492037236691E-3</v>
      </c>
      <c r="AY4" s="12">
        <v>-3.6388270556926727E-2</v>
      </c>
      <c r="AZ4" s="12">
        <v>2.9014702886343002E-4</v>
      </c>
      <c r="BA4" s="12">
        <v>-5.6847855448722839E-2</v>
      </c>
      <c r="BB4" s="12">
        <v>-2.2272480651736259E-2</v>
      </c>
      <c r="BC4" s="12">
        <v>-2.9052544385194778E-2</v>
      </c>
      <c r="BD4" s="12">
        <v>-8.3808884024620056E-2</v>
      </c>
      <c r="BE4" s="12">
        <v>-3.9183963090181351E-2</v>
      </c>
      <c r="BF4" s="12">
        <v>-7.6244287192821503E-2</v>
      </c>
      <c r="BG4" s="12">
        <v>-6.157601997256279E-2</v>
      </c>
      <c r="BH4" s="12">
        <v>-7.3015347123146057E-2</v>
      </c>
      <c r="BI4" s="12">
        <v>-2.5757784023880959E-2</v>
      </c>
      <c r="BJ4" s="12">
        <v>-3.5152539610862732E-2</v>
      </c>
      <c r="BK4" s="12">
        <v>-6.5942555665969849E-2</v>
      </c>
      <c r="BL4" s="12">
        <v>-5.3756937384605408E-2</v>
      </c>
      <c r="BM4" s="12">
        <v>-7.9431377351284027E-2</v>
      </c>
      <c r="BN4" s="12">
        <v>-4.1163329035043723E-2</v>
      </c>
      <c r="BO4" s="12">
        <v>-9.4712458550930023E-2</v>
      </c>
      <c r="BP4" s="12">
        <v>-4.3530568480491638E-2</v>
      </c>
      <c r="BQ4" s="12">
        <v>-2.8697127476334568E-2</v>
      </c>
      <c r="BR4" s="12">
        <v>-5.7418853044509888E-2</v>
      </c>
      <c r="BS4" s="12">
        <v>-1.9358741119503971E-2</v>
      </c>
      <c r="BT4" s="12">
        <v>-8.4144026041030884E-2</v>
      </c>
      <c r="BU4" s="12">
        <v>-9.0233713388442993E-2</v>
      </c>
      <c r="BV4" s="12">
        <v>-0.1029478386044502</v>
      </c>
      <c r="BW4" s="12">
        <v>-7.1088537573814392E-2</v>
      </c>
      <c r="BX4" s="12">
        <v>-3.5722147673368447E-2</v>
      </c>
      <c r="BY4" s="12">
        <v>5.9959013015031806E-3</v>
      </c>
      <c r="BZ4" s="12">
        <v>-5.1592431962490082E-2</v>
      </c>
      <c r="CA4" s="12">
        <v>-8.5648052394390106E-2</v>
      </c>
      <c r="CB4" s="12">
        <v>-3.4140449017286301E-2</v>
      </c>
      <c r="CC4" s="12">
        <v>-7.9050444066524506E-2</v>
      </c>
      <c r="CD4" s="12">
        <v>-0.1116790845990181</v>
      </c>
      <c r="CE4" s="12">
        <v>-8.4638349711894989E-2</v>
      </c>
      <c r="CF4" s="12">
        <v>-8.8114269077777863E-2</v>
      </c>
      <c r="CG4" s="12">
        <v>-9.862682968378067E-2</v>
      </c>
      <c r="CH4" s="12">
        <v>-7.5061611831188202E-2</v>
      </c>
      <c r="CI4" s="12">
        <v>-5.5998209863901138E-2</v>
      </c>
      <c r="CJ4" s="12">
        <v>-1.808877848088741E-2</v>
      </c>
      <c r="CK4" s="12">
        <v>-4.2210087180137627E-2</v>
      </c>
      <c r="CL4" s="12">
        <v>8.6977891623973846E-3</v>
      </c>
      <c r="CM4" s="12">
        <v>-2.1875450387597081E-2</v>
      </c>
      <c r="CN4" s="12">
        <v>-4.4229812920093543E-2</v>
      </c>
      <c r="CO4" s="12">
        <v>1.863288693130016E-2</v>
      </c>
      <c r="CP4" s="12">
        <v>-1.35243646800518E-2</v>
      </c>
      <c r="CQ4" s="12">
        <v>-1.276247948408127E-2</v>
      </c>
      <c r="CR4" s="12">
        <v>-4.5928843319416053E-2</v>
      </c>
      <c r="CS4" s="12">
        <v>-8.4556788206100464E-2</v>
      </c>
      <c r="CT4" s="12">
        <v>-2.845652773976326E-2</v>
      </c>
      <c r="CU4" s="12">
        <v>-3.161858394742012E-2</v>
      </c>
      <c r="CV4" s="12">
        <v>-2.4635819718241692E-2</v>
      </c>
      <c r="CW4" s="12">
        <v>4.8304800875484943E-3</v>
      </c>
      <c r="CX4" s="12">
        <v>3.0027653556317091E-3</v>
      </c>
      <c r="CY4" s="12">
        <v>-9.6548935398459435E-3</v>
      </c>
      <c r="CZ4" s="12">
        <v>2.7862859889864922E-2</v>
      </c>
      <c r="DA4" s="12">
        <v>-7.2389086708426484E-3</v>
      </c>
      <c r="DB4" s="12">
        <v>1.481384225189686E-2</v>
      </c>
      <c r="DC4" s="12">
        <v>1.8979338929057121E-2</v>
      </c>
      <c r="DD4" s="12">
        <v>-1.182493194937706E-2</v>
      </c>
      <c r="DE4" s="12">
        <v>-5.5287983268499367E-2</v>
      </c>
      <c r="DF4" s="12">
        <v>3.9528455585241318E-2</v>
      </c>
      <c r="DG4" s="12">
        <v>-3.136556595563889E-3</v>
      </c>
      <c r="DH4" s="12">
        <v>1.8514588009566069E-4</v>
      </c>
      <c r="DI4" s="12">
        <v>-1.5441306866705419E-2</v>
      </c>
      <c r="DJ4" s="12">
        <v>4.8156458884477622E-2</v>
      </c>
      <c r="DK4" s="12">
        <v>3.9779618382453918E-2</v>
      </c>
      <c r="DL4" s="12">
        <v>2.912280336022377E-2</v>
      </c>
      <c r="DM4" s="12">
        <v>5.5858355015516281E-2</v>
      </c>
      <c r="DN4" s="12">
        <v>2.2332454100251201E-2</v>
      </c>
      <c r="DO4" s="12">
        <v>9.3815820291638374E-3</v>
      </c>
      <c r="DP4" s="12">
        <v>-1.1177884414792061E-2</v>
      </c>
      <c r="DQ4" s="12">
        <v>3.2798897475004203E-2</v>
      </c>
      <c r="DR4" s="12">
        <v>3.2948967069387443E-2</v>
      </c>
      <c r="DS4" s="12">
        <v>-6.3791960477828979E-2</v>
      </c>
      <c r="DT4" s="12">
        <v>-2.437188662588596E-2</v>
      </c>
      <c r="DU4" s="12">
        <v>2.8318654745817181E-2</v>
      </c>
      <c r="DV4" s="12">
        <v>-1.027075573801994E-2</v>
      </c>
      <c r="DW4" s="12">
        <v>4.162212461233139E-2</v>
      </c>
      <c r="DX4" s="12">
        <v>1.6859399154782299E-2</v>
      </c>
      <c r="DY4" s="12">
        <v>-1.3820808380842211E-2</v>
      </c>
      <c r="DZ4" s="12">
        <v>2.5562329217791561E-2</v>
      </c>
      <c r="EA4" s="12">
        <v>3.5361301153898239E-2</v>
      </c>
      <c r="EB4" s="12">
        <v>2.7386909350752831E-2</v>
      </c>
      <c r="EC4" s="12">
        <v>4.2391747236251831E-2</v>
      </c>
      <c r="ED4" s="12">
        <v>7.1895502507686615E-2</v>
      </c>
      <c r="EE4" s="12">
        <v>5.7367391884326928E-2</v>
      </c>
      <c r="EF4" s="12">
        <v>2.790111489593983E-2</v>
      </c>
    </row>
    <row r="5" spans="1:136" s="1" customFormat="1">
      <c r="B5" s="2" t="s">
        <v>138</v>
      </c>
      <c r="C5" s="12">
        <v>1.4347599819302561E-2</v>
      </c>
      <c r="D5" s="12">
        <v>-9.652099572122097E-3</v>
      </c>
      <c r="E5" s="12">
        <v>-8.5699288174510002E-3</v>
      </c>
      <c r="F5" s="12">
        <v>3.9053350687026978E-2</v>
      </c>
      <c r="G5" s="12">
        <v>-3.5989873111248023E-2</v>
      </c>
      <c r="H5" s="12">
        <v>1.041566673666239E-2</v>
      </c>
      <c r="I5" s="12">
        <v>-2.0847762003540989E-2</v>
      </c>
      <c r="J5" s="12">
        <v>-1.209943555295467E-2</v>
      </c>
      <c r="K5" s="12">
        <v>2.9407145455479618E-2</v>
      </c>
      <c r="L5" s="12">
        <v>5.8111239224672318E-2</v>
      </c>
      <c r="M5" s="12">
        <v>7.5894221663475037E-2</v>
      </c>
      <c r="N5" s="12">
        <v>6.2360752373933792E-2</v>
      </c>
      <c r="O5" s="12">
        <v>9.9858760833740234E-2</v>
      </c>
      <c r="P5" s="12">
        <v>0.13152122497558591</v>
      </c>
      <c r="Q5" s="12">
        <v>7.957778126001358E-2</v>
      </c>
      <c r="R5" s="12">
        <v>4.847404733300209E-2</v>
      </c>
      <c r="S5" s="12">
        <v>2.7741687372326851E-2</v>
      </c>
      <c r="T5" s="12">
        <v>5.0201687961816788E-2</v>
      </c>
      <c r="U5" s="12">
        <v>6.4513184130191803E-2</v>
      </c>
      <c r="V5" s="12">
        <v>6.3523001968860626E-2</v>
      </c>
      <c r="W5" s="12">
        <v>9.5773497596383095E-3</v>
      </c>
      <c r="X5" s="12">
        <v>6.016424298286438E-2</v>
      </c>
      <c r="Y5" s="12">
        <v>9.0847745537757874E-2</v>
      </c>
      <c r="Z5" s="12">
        <v>0.1071524396538734</v>
      </c>
      <c r="AA5" s="12">
        <v>5.1187384873628623E-2</v>
      </c>
      <c r="AB5" s="12">
        <v>8.0967366695404053E-2</v>
      </c>
      <c r="AC5" s="12">
        <v>3.8304600864648819E-2</v>
      </c>
      <c r="AD5" s="12">
        <v>2.0053833723068241E-2</v>
      </c>
      <c r="AE5" s="12">
        <v>4.644785076379776E-2</v>
      </c>
      <c r="AF5" s="12">
        <v>6.0654930770397193E-2</v>
      </c>
      <c r="AG5" s="12">
        <v>6.7320100963115692E-2</v>
      </c>
      <c r="AH5" s="12">
        <v>1.78289357572794E-2</v>
      </c>
      <c r="AI5" s="12">
        <v>5.6440837681293488E-2</v>
      </c>
      <c r="AJ5" s="12">
        <v>4.2928591370582581E-2</v>
      </c>
      <c r="AK5" s="12">
        <v>7.9053483903408051E-2</v>
      </c>
      <c r="AL5" s="12">
        <v>1.9981823861598969E-2</v>
      </c>
      <c r="AM5" s="12">
        <v>4.9416512250900269E-2</v>
      </c>
      <c r="AN5" s="12">
        <v>4.2488358914852142E-2</v>
      </c>
      <c r="AO5" s="12">
        <v>5.0316029228270054E-3</v>
      </c>
      <c r="AP5" s="12">
        <v>2.6226455345749859E-2</v>
      </c>
      <c r="AQ5" s="12">
        <v>-1.0934568010270601E-2</v>
      </c>
      <c r="AR5" s="12">
        <v>-5.88986836373806E-2</v>
      </c>
      <c r="AS5" s="12">
        <v>1.9943690858781341E-5</v>
      </c>
      <c r="AT5" s="12">
        <v>3.1712550669908517E-2</v>
      </c>
      <c r="AU5" s="12">
        <v>5.4366020485758781E-3</v>
      </c>
      <c r="AV5" s="12">
        <v>-8.6811445653438568E-3</v>
      </c>
      <c r="AW5" s="12">
        <v>2.3753151297569271E-2</v>
      </c>
      <c r="AX5" s="12">
        <v>-1.039000414311886E-2</v>
      </c>
      <c r="AY5" s="12">
        <v>4.2606234550476067E-2</v>
      </c>
      <c r="AZ5" s="12">
        <v>2.2628717124462131E-2</v>
      </c>
      <c r="BA5" s="12">
        <v>1.7847366398200391E-3</v>
      </c>
      <c r="BB5" s="12">
        <v>1.147421263158321E-2</v>
      </c>
      <c r="BC5" s="12">
        <v>-5.5574686266481876E-3</v>
      </c>
      <c r="BD5" s="12">
        <v>1.7132017761468891E-2</v>
      </c>
      <c r="BE5" s="12">
        <v>2.4164538830518719E-2</v>
      </c>
      <c r="BF5" s="12">
        <v>5.6551066227257252E-3</v>
      </c>
      <c r="BG5" s="12">
        <v>2.693047933280468E-2</v>
      </c>
      <c r="BH5" s="12">
        <v>3.3954640384763479E-3</v>
      </c>
      <c r="BI5" s="12">
        <v>2.639448270201683E-2</v>
      </c>
      <c r="BJ5" s="12">
        <v>1.144836191087961E-2</v>
      </c>
      <c r="BK5" s="12">
        <v>2.6191858574748039E-2</v>
      </c>
      <c r="BL5" s="12">
        <v>2.184408716857433E-2</v>
      </c>
      <c r="BM5" s="12">
        <v>3.5668004304170609E-2</v>
      </c>
      <c r="BN5" s="12">
        <v>4.7217939049005508E-2</v>
      </c>
      <c r="BO5" s="12">
        <v>1.5824703499674801E-2</v>
      </c>
      <c r="BP5" s="12">
        <v>4.0294736623764038E-2</v>
      </c>
      <c r="BQ5" s="12">
        <v>5.4744470864534378E-2</v>
      </c>
      <c r="BR5" s="12">
        <v>6.7423462867736816E-2</v>
      </c>
      <c r="BS5" s="12">
        <v>3.5041853785514832E-2</v>
      </c>
      <c r="BT5" s="12">
        <v>-1.695315167307854E-2</v>
      </c>
      <c r="BU5" s="12">
        <v>4.2807679623365402E-2</v>
      </c>
      <c r="BV5" s="12">
        <v>2.4910405278205872E-2</v>
      </c>
      <c r="BW5" s="12">
        <v>3.5352393984794617E-2</v>
      </c>
      <c r="BX5" s="12">
        <v>3.8252223283052438E-2</v>
      </c>
      <c r="BY5" s="12">
        <v>9.0397186577320099E-3</v>
      </c>
      <c r="BZ5" s="12">
        <v>6.5005947835743427E-3</v>
      </c>
      <c r="CA5" s="12">
        <v>1.141073554754257E-2</v>
      </c>
      <c r="CB5" s="12">
        <v>1.485352218151093E-2</v>
      </c>
      <c r="CC5" s="12">
        <v>5.4167184978723533E-2</v>
      </c>
      <c r="CD5" s="12">
        <v>2.3807717487215999E-2</v>
      </c>
      <c r="CE5" s="12">
        <v>7.6829078607261181E-3</v>
      </c>
      <c r="CF5" s="12">
        <v>2.9735062271356578E-3</v>
      </c>
      <c r="CG5" s="12">
        <v>2.4837357923388481E-2</v>
      </c>
      <c r="CH5" s="12">
        <v>4.7171309590339661E-2</v>
      </c>
      <c r="CI5" s="12">
        <v>4.6639894135296336E-3</v>
      </c>
      <c r="CJ5" s="12">
        <v>2.852512896060944E-2</v>
      </c>
      <c r="CK5" s="12">
        <v>-9.7033102065324783E-3</v>
      </c>
      <c r="CL5" s="12">
        <v>1.245168037712574E-2</v>
      </c>
      <c r="CM5" s="12">
        <v>1.4197885990142821E-2</v>
      </c>
      <c r="CN5" s="12">
        <v>3.0705662444233891E-2</v>
      </c>
      <c r="CO5" s="12">
        <v>3.5640694200992577E-2</v>
      </c>
      <c r="CP5" s="12">
        <v>2.5331234559416771E-2</v>
      </c>
      <c r="CQ5" s="12">
        <v>1.1073682690039279E-3</v>
      </c>
      <c r="CR5" s="12">
        <v>1.5654526650905609E-2</v>
      </c>
      <c r="CS5" s="12">
        <v>-1.1859666556119921E-2</v>
      </c>
      <c r="CT5" s="12">
        <v>5.863029882311821E-2</v>
      </c>
      <c r="CU5" s="12">
        <v>-7.8350687399506569E-3</v>
      </c>
      <c r="CV5" s="12">
        <v>4.6454016119241708E-2</v>
      </c>
      <c r="CW5" s="12">
        <v>7.367561012506485E-2</v>
      </c>
      <c r="CX5" s="12">
        <v>-4.4749602675437927E-3</v>
      </c>
      <c r="CY5" s="12">
        <v>2.9276512563228611E-2</v>
      </c>
      <c r="CZ5" s="12">
        <v>3.3731676638126373E-2</v>
      </c>
      <c r="DA5" s="12">
        <v>4.2157959192991257E-2</v>
      </c>
      <c r="DB5" s="12">
        <v>1.5304354019463061E-2</v>
      </c>
      <c r="DC5" s="12">
        <v>3.0327405780553821E-2</v>
      </c>
      <c r="DD5" s="12">
        <v>5.3778979927301407E-2</v>
      </c>
      <c r="DE5" s="12">
        <v>7.7699399553239354E-3</v>
      </c>
      <c r="DF5" s="12">
        <v>9.4073504442349076E-4</v>
      </c>
      <c r="DG5" s="12">
        <v>-8.2107760012149811E-2</v>
      </c>
      <c r="DH5" s="12">
        <v>-5.2850812673568733E-2</v>
      </c>
      <c r="DI5" s="12">
        <v>-7.8471429646015167E-2</v>
      </c>
      <c r="DJ5" s="12">
        <v>-4.0412887930870063E-2</v>
      </c>
      <c r="DK5" s="12">
        <v>-2.3652749136090279E-2</v>
      </c>
      <c r="DL5" s="12">
        <v>-1.795239187777042E-2</v>
      </c>
      <c r="DM5" s="12">
        <v>-3.8529172539710999E-2</v>
      </c>
      <c r="DN5" s="12">
        <v>-6.0538295656442642E-2</v>
      </c>
      <c r="DO5" s="12">
        <v>2.2697450593113899E-2</v>
      </c>
      <c r="DP5" s="12">
        <v>-2.293764241039753E-2</v>
      </c>
      <c r="DQ5" s="12">
        <v>2.235623262822628E-2</v>
      </c>
      <c r="DR5" s="12">
        <v>2.08442397415638E-2</v>
      </c>
      <c r="DS5" s="12">
        <v>-2.133695874363184E-3</v>
      </c>
      <c r="DT5" s="12">
        <v>2.0560766570270061E-3</v>
      </c>
      <c r="DU5" s="12">
        <v>9.2165069654583931E-3</v>
      </c>
      <c r="DV5" s="12">
        <v>-2.4538150057196621E-2</v>
      </c>
      <c r="DW5" s="12">
        <v>-5.4349824786186218E-3</v>
      </c>
      <c r="DX5" s="12">
        <v>-1.1826856061816221E-2</v>
      </c>
      <c r="DY5" s="12">
        <v>-2.4313617497682571E-2</v>
      </c>
      <c r="DZ5" s="12">
        <v>1.7076117917895321E-2</v>
      </c>
      <c r="EA5" s="12">
        <v>2.1494723856449131E-2</v>
      </c>
      <c r="EB5" s="12">
        <v>1.5846351161599159E-2</v>
      </c>
      <c r="EC5" s="12">
        <v>4.5648753643035889E-2</v>
      </c>
      <c r="ED5" s="12">
        <v>1.9599819555878639E-2</v>
      </c>
      <c r="EE5" s="12">
        <v>-1.0369730181992051E-2</v>
      </c>
      <c r="EF5" s="12">
        <v>6.0753826983273029E-3</v>
      </c>
    </row>
    <row r="6" spans="1:136" s="1" customFormat="1">
      <c r="A6" s="2" t="s">
        <v>139</v>
      </c>
      <c r="C6" s="12">
        <f t="array" ref="C6">MATCH(MAX(ABS(C3:C5)),ABS(C3:C5),0)</f>
        <v>2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3</v>
      </c>
      <c r="L6" s="12">
        <f t="array" ref="L6">MATCH(MAX(ABS(L3:L5)),ABS(L3:L5),0)</f>
        <v>3</v>
      </c>
      <c r="M6" s="12">
        <f t="array" ref="M6">MATCH(MAX(ABS(M3:M5)),ABS(M3:M5),0)</f>
        <v>1</v>
      </c>
      <c r="N6" s="12">
        <f t="array" ref="N6">MATCH(MAX(ABS(N3:N5)),ABS(N3:N5),0)</f>
        <v>3</v>
      </c>
      <c r="O6" s="12">
        <f t="array" ref="O6">MATCH(MAX(ABS(O3:O5)),ABS(O3:O5),0)</f>
        <v>3</v>
      </c>
      <c r="P6" s="12">
        <f t="array" ref="P6">MATCH(MAX(ABS(P3:P5)),ABS(P3:P5),0)</f>
        <v>3</v>
      </c>
      <c r="Q6" s="12">
        <f t="array" ref="Q6">MATCH(MAX(ABS(Q3:Q5)),ABS(Q3:Q5),0)</f>
        <v>3</v>
      </c>
      <c r="R6" s="12">
        <f t="array" ref="R6">MATCH(MAX(ABS(R3:R5)),ABS(R3:R5),0)</f>
        <v>3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2</v>
      </c>
      <c r="V6" s="12">
        <f t="array" ref="V6">MATCH(MAX(ABS(V3:V5)),ABS(V3:V5),0)</f>
        <v>3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3</v>
      </c>
      <c r="Z6" s="12">
        <f t="array" ref="Z6">MATCH(MAX(ABS(Z3:Z5)),ABS(Z3:Z5),0)</f>
        <v>3</v>
      </c>
      <c r="AA6" s="12">
        <f t="array" ref="AA6">MATCH(MAX(ABS(AA3:AA5)),ABS(AA3:AA5),0)</f>
        <v>1</v>
      </c>
      <c r="AB6" s="12">
        <f t="array" ref="AB6">MATCH(MAX(ABS(AB3:AB5)),ABS(AB3:AB5),0)</f>
        <v>3</v>
      </c>
      <c r="AC6" s="12">
        <f t="array" ref="AC6">MATCH(MAX(ABS(AC3:AC5)),ABS(AC3:AC5),0)</f>
        <v>3</v>
      </c>
      <c r="AD6" s="12">
        <f t="array" ref="AD6">MATCH(MAX(ABS(AD3:AD5)),ABS(AD3:AD5),0)</f>
        <v>1</v>
      </c>
      <c r="AE6" s="12">
        <f t="array" ref="AE6">MATCH(MAX(ABS(AE3:AE5)),ABS(AE3:AE5),0)</f>
        <v>2</v>
      </c>
      <c r="AF6" s="12">
        <f t="array" ref="AF6">MATCH(MAX(ABS(AF3:AF5)),ABS(AF3:AF5),0)</f>
        <v>1</v>
      </c>
      <c r="AG6" s="12">
        <f t="array" ref="AG6">MATCH(MAX(ABS(AG3:AG5)),ABS(AG3:AG5),0)</f>
        <v>3</v>
      </c>
      <c r="AH6" s="12">
        <f t="array" ref="AH6">MATCH(MAX(ABS(AH3:AH5)),ABS(AH3:AH5),0)</f>
        <v>3</v>
      </c>
      <c r="AI6" s="12">
        <f t="array" ref="AI6">MATCH(MAX(ABS(AI3:AI5)),ABS(AI3:AI5),0)</f>
        <v>3</v>
      </c>
      <c r="AJ6" s="12">
        <f t="array" ref="AJ6">MATCH(MAX(ABS(AJ3:AJ5)),ABS(AJ3:AJ5),0)</f>
        <v>1</v>
      </c>
      <c r="AK6" s="12">
        <f t="array" ref="AK6">MATCH(MAX(ABS(AK3:AK5)),ABS(AK3:AK5),0)</f>
        <v>3</v>
      </c>
      <c r="AL6" s="12">
        <f t="array" ref="AL6">MATCH(MAX(ABS(AL3:AL5)),ABS(AL3:AL5),0)</f>
        <v>1</v>
      </c>
      <c r="AM6" s="12">
        <f t="array" ref="AM6">MATCH(MAX(ABS(AM3:AM5)),ABS(AM3:AM5),0)</f>
        <v>3</v>
      </c>
      <c r="AN6" s="12">
        <f t="array" ref="AN6">MATCH(MAX(ABS(AN3:AN5)),ABS(AN3:AN5),0)</f>
        <v>3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3</v>
      </c>
      <c r="AS6" s="12">
        <f t="array" ref="AS6">MATCH(MAX(ABS(AS3:AS5)),ABS(AS3:AS5),0)</f>
        <v>2</v>
      </c>
      <c r="AT6" s="12">
        <f t="array" ref="AT6">MATCH(MAX(ABS(AT3:AT5)),ABS(AT3:AT5),0)</f>
        <v>1</v>
      </c>
      <c r="AU6" s="12">
        <f t="array" ref="AU6">MATCH(MAX(ABS(AU3:AU5)),ABS(AU3:AU5),0)</f>
        <v>1</v>
      </c>
      <c r="AV6" s="12">
        <f t="array" ref="AV6">MATCH(MAX(ABS(AV3:AV5)),ABS(AV3:AV5),0)</f>
        <v>1</v>
      </c>
      <c r="AW6" s="12">
        <f t="array" ref="AW6">MATCH(MAX(ABS(AW3:AW5)),ABS(AW3:AW5),0)</f>
        <v>1</v>
      </c>
      <c r="AX6" s="12">
        <f t="array" ref="AX6">MATCH(MAX(ABS(AX3:AX5)),ABS(AX3:AX5),0)</f>
        <v>1</v>
      </c>
      <c r="AY6" s="12">
        <f t="array" ref="AY6">MATCH(MAX(ABS(AY3:AY5)),ABS(AY3:AY5),0)</f>
        <v>1</v>
      </c>
      <c r="AZ6" s="12">
        <f t="array" ref="AZ6">MATCH(MAX(ABS(AZ3:AZ5)),ABS(AZ3:AZ5),0)</f>
        <v>1</v>
      </c>
      <c r="BA6" s="12">
        <f t="array" ref="BA6">MATCH(MAX(ABS(BA3:BA5)),ABS(BA3:BA5),0)</f>
        <v>1</v>
      </c>
      <c r="BB6" s="12">
        <f t="array" ref="BB6">MATCH(MAX(ABS(BB3:BB5)),ABS(BB3:BB5),0)</f>
        <v>2</v>
      </c>
      <c r="BC6" s="12">
        <f t="array" ref="BC6">MATCH(MAX(ABS(BC3:BC5)),ABS(BC3:BC5),0)</f>
        <v>1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2</v>
      </c>
      <c r="BG6" s="12">
        <f t="array" ref="BG6">MATCH(MAX(ABS(BG3:BG5)),ABS(BG3:BG5),0)</f>
        <v>1</v>
      </c>
      <c r="BH6" s="12">
        <f t="array" ref="BH6">MATCH(MAX(ABS(BH3:BH5)),ABS(BH3:BH5),0)</f>
        <v>1</v>
      </c>
      <c r="BI6" s="12">
        <f t="array" ref="BI6">MATCH(MAX(ABS(BI3:BI5)),ABS(BI3:BI5),0)</f>
        <v>1</v>
      </c>
      <c r="BJ6" s="12">
        <f t="array" ref="BJ6">MATCH(MAX(ABS(BJ3:BJ5)),ABS(BJ3:BJ5),0)</f>
        <v>1</v>
      </c>
      <c r="BK6" s="12">
        <f t="array" ref="BK6">MATCH(MAX(ABS(BK3:BK5)),ABS(BK3:BK5),0)</f>
        <v>1</v>
      </c>
      <c r="BL6" s="12">
        <f t="array" ref="BL6">MATCH(MAX(ABS(BL3:BL5)),ABS(BL3:BL5),0)</f>
        <v>2</v>
      </c>
      <c r="BM6" s="12">
        <f t="array" ref="BM6">MATCH(MAX(ABS(BM3:BM5)),ABS(BM3:BM5),0)</f>
        <v>2</v>
      </c>
      <c r="BN6" s="12">
        <f t="array" ref="BN6">MATCH(MAX(ABS(BN3:BN5)),ABS(BN3:BN5),0)</f>
        <v>3</v>
      </c>
      <c r="BO6" s="12">
        <f t="array" ref="BO6">MATCH(MAX(ABS(BO3:BO5)),ABS(BO3:BO5),0)</f>
        <v>2</v>
      </c>
      <c r="BP6" s="12">
        <f t="array" ref="BP6">MATCH(MAX(ABS(BP3:BP5)),ABS(BP3:BP5),0)</f>
        <v>1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1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3</v>
      </c>
      <c r="BY6" s="12">
        <f t="array" ref="BY6">MATCH(MAX(ABS(BY3:BY5)),ABS(BY3:BY5),0)</f>
        <v>1</v>
      </c>
      <c r="BZ6" s="12">
        <f t="array" ref="BZ6">MATCH(MAX(ABS(BZ3:BZ5)),ABS(BZ3:BZ5),0)</f>
        <v>2</v>
      </c>
      <c r="CA6" s="12">
        <f t="array" ref="CA6">MATCH(MAX(ABS(CA3:CA5)),ABS(CA3:CA5),0)</f>
        <v>1</v>
      </c>
      <c r="CB6" s="12">
        <f t="array" ref="CB6">MATCH(MAX(ABS(CB3:CB5)),ABS(CB3:CB5),0)</f>
        <v>1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2</v>
      </c>
      <c r="CF6" s="12">
        <f t="array" ref="CF6">MATCH(MAX(ABS(CF3:CF5)),ABS(CF3:CF5),0)</f>
        <v>2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1</v>
      </c>
      <c r="CK6" s="12">
        <f t="array" ref="CK6">MATCH(MAX(ABS(CK3:CK5)),ABS(CK3:CK5),0)</f>
        <v>1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1</v>
      </c>
      <c r="CO6" s="12">
        <f t="array" ref="CO6">MATCH(MAX(ABS(CO3:CO5)),ABS(CO3:CO5),0)</f>
        <v>3</v>
      </c>
      <c r="CP6" s="12">
        <f t="array" ref="CP6">MATCH(MAX(ABS(CP3:CP5)),ABS(CP3:CP5),0)</f>
        <v>1</v>
      </c>
      <c r="CQ6" s="12">
        <f t="array" ref="CQ6">MATCH(MAX(ABS(CQ3:CQ5)),ABS(CQ3:CQ5),0)</f>
        <v>1</v>
      </c>
      <c r="CR6" s="12">
        <f t="array" ref="CR6">MATCH(MAX(ABS(CR3:CR5)),ABS(CR3:CR5),0)</f>
        <v>2</v>
      </c>
      <c r="CS6" s="12">
        <f t="array" ref="CS6">MATCH(MAX(ABS(CS3:CS5)),ABS(CS3:CS5),0)</f>
        <v>1</v>
      </c>
      <c r="CT6" s="12">
        <f t="array" ref="CT6">MATCH(MAX(ABS(CT3:CT5)),ABS(CT3:CT5),0)</f>
        <v>3</v>
      </c>
      <c r="CU6" s="12">
        <f t="array" ref="CU6">MATCH(MAX(ABS(CU3:CU5)),ABS(CU3:CU5),0)</f>
        <v>1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1</v>
      </c>
      <c r="CZ6" s="12">
        <f t="array" ref="CZ6">MATCH(MAX(ABS(CZ3:CZ5)),ABS(CZ3:CZ5),0)</f>
        <v>1</v>
      </c>
      <c r="DA6" s="12">
        <f t="array" ref="DA6">MATCH(MAX(ABS(DA3:DA5)),ABS(DA3:DA5),0)</f>
        <v>1</v>
      </c>
      <c r="DB6" s="12">
        <f t="array" ref="DB6">MATCH(MAX(ABS(DB3:DB5)),ABS(DB3:DB5),0)</f>
        <v>3</v>
      </c>
      <c r="DC6" s="12">
        <f t="array" ref="DC6">MATCH(MAX(ABS(DC3:DC5)),ABS(DC3:DC5),0)</f>
        <v>3</v>
      </c>
      <c r="DD6" s="12">
        <f t="array" ref="DD6">MATCH(MAX(ABS(DD3:DD5)),ABS(DD3:DD5),0)</f>
        <v>3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3</v>
      </c>
      <c r="DH6" s="12">
        <f t="array" ref="DH6">MATCH(MAX(ABS(DH3:DH5)),ABS(DH3:DH5),0)</f>
        <v>3</v>
      </c>
      <c r="DI6" s="12">
        <f t="array" ref="DI6">MATCH(MAX(ABS(DI3:DI5)),ABS(DI3:DI5),0)</f>
        <v>3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3</v>
      </c>
      <c r="DO6" s="12">
        <f t="array" ref="DO6">MATCH(MAX(ABS(DO3:DO5)),ABS(DO3:DO5),0)</f>
        <v>1</v>
      </c>
      <c r="DP6" s="12">
        <f t="array" ref="DP6">MATCH(MAX(ABS(DP3:DP5)),ABS(DP3:DP5),0)</f>
        <v>3</v>
      </c>
      <c r="DQ6" s="12">
        <f t="array" ref="DQ6">MATCH(MAX(ABS(DQ3:DQ5)),ABS(DQ3:DQ5),0)</f>
        <v>2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1</v>
      </c>
      <c r="DZ6" s="12">
        <f t="array" ref="DZ6">MATCH(MAX(ABS(DZ3:DZ5)),ABS(DZ3:DZ5),0)</f>
        <v>1</v>
      </c>
      <c r="EA6" s="12">
        <f t="array" ref="EA6">MATCH(MAX(ABS(EA3:EA5)),ABS(EA3:EA5),0)</f>
        <v>1</v>
      </c>
      <c r="EB6" s="12">
        <f t="array" ref="EB6">MATCH(MAX(ABS(EB3:EB5)),ABS(EB3:EB5),0)</f>
        <v>1</v>
      </c>
      <c r="EC6" s="12">
        <f t="array" ref="EC6">MATCH(MAX(ABS(EC3:EC5)),ABS(EC3:EC5),0)</f>
        <v>3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1</v>
      </c>
    </row>
    <row r="7" spans="1:136">
      <c r="C7" s="13" t="str">
        <f t="shared" ref="C7:BN7" si="0">IF(C6=1,"bm",IF(C6=2,"size",IF(C6=3,"mom")))</f>
        <v>size</v>
      </c>
      <c r="D7" s="13" t="str">
        <f t="shared" si="0"/>
        <v>bm</v>
      </c>
      <c r="E7" s="13" t="str">
        <f t="shared" si="0"/>
        <v>size</v>
      </c>
      <c r="F7" s="13" t="str">
        <f t="shared" si="0"/>
        <v>mom</v>
      </c>
      <c r="G7" s="13" t="str">
        <f t="shared" si="0"/>
        <v>mom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mom</v>
      </c>
      <c r="L7" s="13" t="str">
        <f t="shared" si="0"/>
        <v>mom</v>
      </c>
      <c r="M7" s="13" t="str">
        <f t="shared" si="0"/>
        <v>bm</v>
      </c>
      <c r="N7" s="13" t="str">
        <f t="shared" si="0"/>
        <v>mom</v>
      </c>
      <c r="O7" s="13" t="str">
        <f t="shared" si="0"/>
        <v>mom</v>
      </c>
      <c r="P7" s="13" t="str">
        <f t="shared" si="0"/>
        <v>mom</v>
      </c>
      <c r="Q7" s="13" t="str">
        <f t="shared" si="0"/>
        <v>mom</v>
      </c>
      <c r="R7" s="13" t="str">
        <f t="shared" si="0"/>
        <v>mom</v>
      </c>
      <c r="S7" s="13" t="str">
        <f t="shared" si="0"/>
        <v>bm</v>
      </c>
      <c r="T7" s="13" t="str">
        <f t="shared" si="0"/>
        <v>mom</v>
      </c>
      <c r="U7" s="13" t="str">
        <f t="shared" si="0"/>
        <v>size</v>
      </c>
      <c r="V7" s="13" t="str">
        <f t="shared" si="0"/>
        <v>mom</v>
      </c>
      <c r="W7" s="13" t="str">
        <f t="shared" si="0"/>
        <v>bm</v>
      </c>
      <c r="X7" s="13" t="str">
        <f t="shared" si="0"/>
        <v>bm</v>
      </c>
      <c r="Y7" s="13" t="str">
        <f t="shared" si="0"/>
        <v>mom</v>
      </c>
      <c r="Z7" s="13" t="str">
        <f t="shared" si="0"/>
        <v>mom</v>
      </c>
      <c r="AA7" s="13" t="str">
        <f t="shared" si="0"/>
        <v>bm</v>
      </c>
      <c r="AB7" s="13" t="str">
        <f t="shared" si="0"/>
        <v>mom</v>
      </c>
      <c r="AC7" s="13" t="str">
        <f t="shared" si="0"/>
        <v>mom</v>
      </c>
      <c r="AD7" s="13" t="str">
        <f t="shared" si="0"/>
        <v>bm</v>
      </c>
      <c r="AE7" s="13" t="str">
        <f t="shared" si="0"/>
        <v>size</v>
      </c>
      <c r="AF7" s="13" t="str">
        <f t="shared" si="0"/>
        <v>bm</v>
      </c>
      <c r="AG7" s="13" t="str">
        <f t="shared" si="0"/>
        <v>mom</v>
      </c>
      <c r="AH7" s="13" t="str">
        <f t="shared" si="0"/>
        <v>mom</v>
      </c>
      <c r="AI7" s="13" t="str">
        <f t="shared" si="0"/>
        <v>mom</v>
      </c>
      <c r="AJ7" s="13" t="str">
        <f t="shared" si="0"/>
        <v>bm</v>
      </c>
      <c r="AK7" s="13" t="str">
        <f t="shared" si="0"/>
        <v>mom</v>
      </c>
      <c r="AL7" s="13" t="str">
        <f t="shared" si="0"/>
        <v>bm</v>
      </c>
      <c r="AM7" s="13" t="str">
        <f t="shared" si="0"/>
        <v>mom</v>
      </c>
      <c r="AN7" s="13" t="str">
        <f t="shared" si="0"/>
        <v>mom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mom</v>
      </c>
      <c r="AS7" s="13" t="str">
        <f t="shared" si="0"/>
        <v>size</v>
      </c>
      <c r="AT7" s="13" t="str">
        <f t="shared" si="0"/>
        <v>bm</v>
      </c>
      <c r="AU7" s="13" t="str">
        <f t="shared" si="0"/>
        <v>bm</v>
      </c>
      <c r="AV7" s="13" t="str">
        <f t="shared" si="0"/>
        <v>bm</v>
      </c>
      <c r="AW7" s="13" t="str">
        <f t="shared" si="0"/>
        <v>bm</v>
      </c>
      <c r="AX7" s="13" t="str">
        <f t="shared" si="0"/>
        <v>bm</v>
      </c>
      <c r="AY7" s="13" t="str">
        <f t="shared" si="0"/>
        <v>bm</v>
      </c>
      <c r="AZ7" s="13" t="str">
        <f t="shared" si="0"/>
        <v>bm</v>
      </c>
      <c r="BA7" s="13" t="str">
        <f t="shared" si="0"/>
        <v>bm</v>
      </c>
      <c r="BB7" s="13" t="str">
        <f t="shared" si="0"/>
        <v>size</v>
      </c>
      <c r="BC7" s="13" t="str">
        <f t="shared" si="0"/>
        <v>bm</v>
      </c>
      <c r="BD7" s="13" t="str">
        <f t="shared" si="0"/>
        <v>size</v>
      </c>
      <c r="BE7" s="13" t="str">
        <f t="shared" si="0"/>
        <v>bm</v>
      </c>
      <c r="BF7" s="13" t="str">
        <f t="shared" si="0"/>
        <v>size</v>
      </c>
      <c r="BG7" s="13" t="str">
        <f t="shared" si="0"/>
        <v>bm</v>
      </c>
      <c r="BH7" s="13" t="str">
        <f t="shared" si="0"/>
        <v>bm</v>
      </c>
      <c r="BI7" s="13" t="str">
        <f t="shared" si="0"/>
        <v>bm</v>
      </c>
      <c r="BJ7" s="13" t="str">
        <f t="shared" si="0"/>
        <v>bm</v>
      </c>
      <c r="BK7" s="13" t="str">
        <f t="shared" si="0"/>
        <v>bm</v>
      </c>
      <c r="BL7" s="13" t="str">
        <f t="shared" si="0"/>
        <v>size</v>
      </c>
      <c r="BM7" s="13" t="str">
        <f t="shared" si="0"/>
        <v>size</v>
      </c>
      <c r="BN7" s="13" t="str">
        <f t="shared" si="0"/>
        <v>mom</v>
      </c>
      <c r="BO7" s="13" t="str">
        <f t="shared" ref="BO7:DZ7" si="1">IF(BO6=1,"bm",IF(BO6=2,"size",IF(BO6=3,"mom")))</f>
        <v>size</v>
      </c>
      <c r="BP7" s="13" t="str">
        <f t="shared" si="1"/>
        <v>bm</v>
      </c>
      <c r="BQ7" s="13" t="str">
        <f t="shared" si="1"/>
        <v>bm</v>
      </c>
      <c r="BR7" s="13" t="str">
        <f t="shared" si="1"/>
        <v>mom</v>
      </c>
      <c r="BS7" s="13" t="str">
        <f t="shared" si="1"/>
        <v>bm</v>
      </c>
      <c r="BT7" s="13" t="str">
        <f t="shared" si="1"/>
        <v>size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mom</v>
      </c>
      <c r="BY7" s="13" t="str">
        <f t="shared" si="1"/>
        <v>bm</v>
      </c>
      <c r="BZ7" s="13" t="str">
        <f t="shared" si="1"/>
        <v>size</v>
      </c>
      <c r="CA7" s="13" t="str">
        <f t="shared" si="1"/>
        <v>bm</v>
      </c>
      <c r="CB7" s="13" t="str">
        <f t="shared" si="1"/>
        <v>bm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size</v>
      </c>
      <c r="CF7" s="13" t="str">
        <f t="shared" si="1"/>
        <v>size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bm</v>
      </c>
      <c r="CK7" s="13" t="str">
        <f t="shared" si="1"/>
        <v>bm</v>
      </c>
      <c r="CL7" s="13" t="str">
        <f t="shared" si="1"/>
        <v>bm</v>
      </c>
      <c r="CM7" s="13" t="str">
        <f t="shared" si="1"/>
        <v>size</v>
      </c>
      <c r="CN7" s="13" t="str">
        <f t="shared" si="1"/>
        <v>bm</v>
      </c>
      <c r="CO7" s="13" t="str">
        <f t="shared" si="1"/>
        <v>mom</v>
      </c>
      <c r="CP7" s="13" t="str">
        <f t="shared" si="1"/>
        <v>bm</v>
      </c>
      <c r="CQ7" s="13" t="str">
        <f t="shared" si="1"/>
        <v>bm</v>
      </c>
      <c r="CR7" s="13" t="str">
        <f t="shared" si="1"/>
        <v>size</v>
      </c>
      <c r="CS7" s="13" t="str">
        <f t="shared" si="1"/>
        <v>bm</v>
      </c>
      <c r="CT7" s="13" t="str">
        <f t="shared" si="1"/>
        <v>mom</v>
      </c>
      <c r="CU7" s="13" t="str">
        <f t="shared" si="1"/>
        <v>bm</v>
      </c>
      <c r="CV7" s="13" t="str">
        <f t="shared" si="1"/>
        <v>mom</v>
      </c>
      <c r="CW7" s="13" t="str">
        <f t="shared" si="1"/>
        <v>mom</v>
      </c>
      <c r="CX7" s="13" t="str">
        <f t="shared" si="1"/>
        <v>bm</v>
      </c>
      <c r="CY7" s="13" t="str">
        <f t="shared" si="1"/>
        <v>bm</v>
      </c>
      <c r="CZ7" s="13" t="str">
        <f t="shared" si="1"/>
        <v>bm</v>
      </c>
      <c r="DA7" s="13" t="str">
        <f t="shared" si="1"/>
        <v>bm</v>
      </c>
      <c r="DB7" s="13" t="str">
        <f t="shared" si="1"/>
        <v>mom</v>
      </c>
      <c r="DC7" s="13" t="str">
        <f t="shared" si="1"/>
        <v>mom</v>
      </c>
      <c r="DD7" s="13" t="str">
        <f t="shared" si="1"/>
        <v>mom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mom</v>
      </c>
      <c r="DH7" s="13" t="str">
        <f t="shared" si="1"/>
        <v>mom</v>
      </c>
      <c r="DI7" s="13" t="str">
        <f t="shared" si="1"/>
        <v>mom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mom</v>
      </c>
      <c r="DO7" s="13" t="str">
        <f t="shared" si="1"/>
        <v>bm</v>
      </c>
      <c r="DP7" s="13" t="str">
        <f t="shared" si="1"/>
        <v>mom</v>
      </c>
      <c r="DQ7" s="13" t="str">
        <f t="shared" si="1"/>
        <v>size</v>
      </c>
      <c r="DR7" s="13" t="str">
        <f t="shared" si="1"/>
        <v>bm</v>
      </c>
      <c r="DS7" s="13" t="str">
        <f t="shared" si="1"/>
        <v>size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bm</v>
      </c>
      <c r="DW7" s="13" t="str">
        <f t="shared" si="1"/>
        <v>size</v>
      </c>
      <c r="DX7" s="13" t="str">
        <f t="shared" si="1"/>
        <v>bm</v>
      </c>
      <c r="DY7" s="13" t="str">
        <f t="shared" si="1"/>
        <v>bm</v>
      </c>
      <c r="DZ7" s="13" t="str">
        <f t="shared" si="1"/>
        <v>bm</v>
      </c>
      <c r="EA7" s="13" t="str">
        <f t="shared" ref="EA7:EF7" si="2">IF(EA6=1,"bm",IF(EA6=2,"size",IF(EA6=3,"mom")))</f>
        <v>bm</v>
      </c>
      <c r="EB7" s="13" t="str">
        <f t="shared" si="2"/>
        <v>bm</v>
      </c>
      <c r="EC7" s="13" t="str">
        <f t="shared" si="2"/>
        <v>mom</v>
      </c>
      <c r="ED7" s="13" t="str">
        <f t="shared" si="2"/>
        <v>bm</v>
      </c>
      <c r="EE7" s="13" t="str">
        <f t="shared" si="2"/>
        <v>size</v>
      </c>
      <c r="EF7" s="13" t="str">
        <f t="shared" si="2"/>
        <v>bm</v>
      </c>
    </row>
    <row r="8" spans="1:136">
      <c r="C8" s="12">
        <f t="shared" ref="C8:BN8" si="3">IF(C6=1,C3,IF(C6=2,C4,IF(C6=3,C5)))</f>
        <v>-3.6521758884191513E-2</v>
      </c>
      <c r="D8" s="12">
        <f t="shared" si="3"/>
        <v>7.24458247423172E-2</v>
      </c>
      <c r="E8" s="12">
        <f t="shared" si="3"/>
        <v>-5.0075937062501907E-2</v>
      </c>
      <c r="F8" s="12">
        <f t="shared" si="3"/>
        <v>3.9053350687026978E-2</v>
      </c>
      <c r="G8" s="12">
        <f t="shared" si="3"/>
        <v>-3.5989873111248023E-2</v>
      </c>
      <c r="H8" s="12">
        <f t="shared" si="3"/>
        <v>-5.2601419389247887E-2</v>
      </c>
      <c r="I8" s="12">
        <f t="shared" si="3"/>
        <v>-3.8912922143936157E-2</v>
      </c>
      <c r="J8" s="12">
        <f t="shared" si="3"/>
        <v>-3.2669864594936371E-2</v>
      </c>
      <c r="K8" s="12">
        <f t="shared" si="3"/>
        <v>2.9407145455479618E-2</v>
      </c>
      <c r="L8" s="12">
        <f t="shared" si="3"/>
        <v>5.8111239224672318E-2</v>
      </c>
      <c r="M8" s="12">
        <f t="shared" si="3"/>
        <v>-8.2549653947353363E-2</v>
      </c>
      <c r="N8" s="12">
        <f t="shared" si="3"/>
        <v>6.2360752373933792E-2</v>
      </c>
      <c r="O8" s="12">
        <f t="shared" si="3"/>
        <v>9.9858760833740234E-2</v>
      </c>
      <c r="P8" s="12">
        <f t="shared" si="3"/>
        <v>0.13152122497558591</v>
      </c>
      <c r="Q8" s="12">
        <f t="shared" si="3"/>
        <v>7.957778126001358E-2</v>
      </c>
      <c r="R8" s="12">
        <f t="shared" si="3"/>
        <v>4.847404733300209E-2</v>
      </c>
      <c r="S8" s="12">
        <f t="shared" si="3"/>
        <v>-8.0156058073043823E-2</v>
      </c>
      <c r="T8" s="12">
        <f t="shared" si="3"/>
        <v>5.0201687961816788E-2</v>
      </c>
      <c r="U8" s="12">
        <f t="shared" si="3"/>
        <v>-9.2675261199474335E-2</v>
      </c>
      <c r="V8" s="12">
        <f t="shared" si="3"/>
        <v>6.3523001968860626E-2</v>
      </c>
      <c r="W8" s="12">
        <f t="shared" si="3"/>
        <v>9.6304804086685181E-2</v>
      </c>
      <c r="X8" s="12">
        <f t="shared" si="3"/>
        <v>0.16748018562793729</v>
      </c>
      <c r="Y8" s="12">
        <f t="shared" si="3"/>
        <v>9.0847745537757874E-2</v>
      </c>
      <c r="Z8" s="12">
        <f t="shared" si="3"/>
        <v>0.1071524396538734</v>
      </c>
      <c r="AA8" s="12">
        <f t="shared" si="3"/>
        <v>-7.8297220170497894E-2</v>
      </c>
      <c r="AB8" s="12">
        <f t="shared" si="3"/>
        <v>8.0967366695404053E-2</v>
      </c>
      <c r="AC8" s="12">
        <f t="shared" si="3"/>
        <v>3.8304600864648819E-2</v>
      </c>
      <c r="AD8" s="12">
        <f t="shared" si="3"/>
        <v>-3.0706796795129779E-2</v>
      </c>
      <c r="AE8" s="12">
        <f t="shared" si="3"/>
        <v>4.7622621059417718E-2</v>
      </c>
      <c r="AF8" s="12">
        <f t="shared" si="3"/>
        <v>6.8843632936477661E-2</v>
      </c>
      <c r="AG8" s="12">
        <f t="shared" si="3"/>
        <v>6.7320100963115692E-2</v>
      </c>
      <c r="AH8" s="12">
        <f t="shared" si="3"/>
        <v>1.78289357572794E-2</v>
      </c>
      <c r="AI8" s="12">
        <f t="shared" si="3"/>
        <v>5.6440837681293488E-2</v>
      </c>
      <c r="AJ8" s="12">
        <f t="shared" si="3"/>
        <v>-5.5654104799032211E-2</v>
      </c>
      <c r="AK8" s="12">
        <f t="shared" si="3"/>
        <v>7.9053483903408051E-2</v>
      </c>
      <c r="AL8" s="12">
        <f t="shared" si="3"/>
        <v>0.14250144362449649</v>
      </c>
      <c r="AM8" s="12">
        <f t="shared" si="3"/>
        <v>4.9416512250900269E-2</v>
      </c>
      <c r="AN8" s="12">
        <f t="shared" si="3"/>
        <v>4.2488358914852142E-2</v>
      </c>
      <c r="AO8" s="12">
        <f t="shared" si="3"/>
        <v>3.6709178239107132E-2</v>
      </c>
      <c r="AP8" s="12">
        <f t="shared" si="3"/>
        <v>4.6501751989126212E-2</v>
      </c>
      <c r="AQ8" s="12">
        <f t="shared" si="3"/>
        <v>4.9757853150367737E-2</v>
      </c>
      <c r="AR8" s="12">
        <f t="shared" si="3"/>
        <v>-5.88986836373806E-2</v>
      </c>
      <c r="AS8" s="12">
        <f t="shared" si="3"/>
        <v>3.4978423267602921E-2</v>
      </c>
      <c r="AT8" s="12">
        <f t="shared" si="3"/>
        <v>5.6848321110010147E-2</v>
      </c>
      <c r="AU8" s="12">
        <f t="shared" si="3"/>
        <v>3.9384294301271439E-2</v>
      </c>
      <c r="AV8" s="12">
        <f t="shared" si="3"/>
        <v>0.14884805679321289</v>
      </c>
      <c r="AW8" s="12">
        <f t="shared" si="3"/>
        <v>5.9238158166408539E-2</v>
      </c>
      <c r="AX8" s="12">
        <f t="shared" si="3"/>
        <v>8.3451211452484131E-2</v>
      </c>
      <c r="AY8" s="12">
        <f t="shared" si="3"/>
        <v>6.8846635520458221E-2</v>
      </c>
      <c r="AZ8" s="12">
        <f t="shared" si="3"/>
        <v>0.15779311954975131</v>
      </c>
      <c r="BA8" s="12">
        <f t="shared" si="3"/>
        <v>7.3232002556324005E-2</v>
      </c>
      <c r="BB8" s="12">
        <f t="shared" si="3"/>
        <v>-2.2272480651736259E-2</v>
      </c>
      <c r="BC8" s="12">
        <f t="shared" si="3"/>
        <v>5.6218259036540992E-2</v>
      </c>
      <c r="BD8" s="12">
        <f t="shared" si="3"/>
        <v>-8.3808884024620056E-2</v>
      </c>
      <c r="BE8" s="12">
        <f t="shared" si="3"/>
        <v>8.9553870260715485E-2</v>
      </c>
      <c r="BF8" s="12">
        <f t="shared" si="3"/>
        <v>-7.6244287192821503E-2</v>
      </c>
      <c r="BG8" s="12">
        <f t="shared" si="3"/>
        <v>7.1616403758525848E-2</v>
      </c>
      <c r="BH8" s="12">
        <f t="shared" si="3"/>
        <v>7.97300785779953E-2</v>
      </c>
      <c r="BI8" s="12">
        <f t="shared" si="3"/>
        <v>8.7966516613960266E-2</v>
      </c>
      <c r="BJ8" s="12">
        <f t="shared" si="3"/>
        <v>0.1081216707825661</v>
      </c>
      <c r="BK8" s="12">
        <f t="shared" si="3"/>
        <v>0.1129734814167023</v>
      </c>
      <c r="BL8" s="12">
        <f t="shared" si="3"/>
        <v>-5.3756937384605408E-2</v>
      </c>
      <c r="BM8" s="12">
        <f t="shared" si="3"/>
        <v>-7.9431377351284027E-2</v>
      </c>
      <c r="BN8" s="12">
        <f t="shared" si="3"/>
        <v>4.7217939049005508E-2</v>
      </c>
      <c r="BO8" s="12">
        <f t="shared" ref="BO8:DZ8" si="4">IF(BO6=1,BO3,IF(BO6=2,BO4,IF(BO6=3,BO5)))</f>
        <v>-9.4712458550930023E-2</v>
      </c>
      <c r="BP8" s="12">
        <f t="shared" si="4"/>
        <v>0.10330298542976379</v>
      </c>
      <c r="BQ8" s="12">
        <f t="shared" si="4"/>
        <v>7.12384432554245E-2</v>
      </c>
      <c r="BR8" s="12">
        <f t="shared" si="4"/>
        <v>6.7423462867736816E-2</v>
      </c>
      <c r="BS8" s="12">
        <f t="shared" si="4"/>
        <v>4.9339123070240021E-2</v>
      </c>
      <c r="BT8" s="12">
        <f t="shared" si="4"/>
        <v>-8.4144026041030884E-2</v>
      </c>
      <c r="BU8" s="12">
        <f t="shared" si="4"/>
        <v>-9.0233713388442993E-2</v>
      </c>
      <c r="BV8" s="12">
        <f t="shared" si="4"/>
        <v>-0.1029478386044502</v>
      </c>
      <c r="BW8" s="12">
        <f t="shared" si="4"/>
        <v>-7.1088537573814392E-2</v>
      </c>
      <c r="BX8" s="12">
        <f t="shared" si="4"/>
        <v>3.8252223283052438E-2</v>
      </c>
      <c r="BY8" s="12">
        <f t="shared" si="4"/>
        <v>-2.413135394454002E-2</v>
      </c>
      <c r="BZ8" s="12">
        <f t="shared" si="4"/>
        <v>-5.1592431962490082E-2</v>
      </c>
      <c r="CA8" s="12">
        <f t="shared" si="4"/>
        <v>8.7816245853900909E-2</v>
      </c>
      <c r="CB8" s="12">
        <f t="shared" si="4"/>
        <v>-4.3355219066143043E-2</v>
      </c>
      <c r="CC8" s="12">
        <f t="shared" si="4"/>
        <v>-7.9050444066524506E-2</v>
      </c>
      <c r="CD8" s="12">
        <f t="shared" si="4"/>
        <v>-0.1116790845990181</v>
      </c>
      <c r="CE8" s="12">
        <f t="shared" si="4"/>
        <v>-8.4638349711894989E-2</v>
      </c>
      <c r="CF8" s="12">
        <f t="shared" si="4"/>
        <v>-8.8114269077777863E-2</v>
      </c>
      <c r="CG8" s="12">
        <f t="shared" si="4"/>
        <v>-9.862682968378067E-2</v>
      </c>
      <c r="CH8" s="12">
        <f t="shared" si="4"/>
        <v>-7.5061611831188202E-2</v>
      </c>
      <c r="CI8" s="12">
        <f t="shared" si="4"/>
        <v>-5.5998209863901138E-2</v>
      </c>
      <c r="CJ8" s="12">
        <f t="shared" si="4"/>
        <v>-0.1101485714316368</v>
      </c>
      <c r="CK8" s="12">
        <f t="shared" si="4"/>
        <v>4.6726226806640618E-2</v>
      </c>
      <c r="CL8" s="12">
        <f t="shared" si="4"/>
        <v>5.5295374244451523E-2</v>
      </c>
      <c r="CM8" s="12">
        <f t="shared" si="4"/>
        <v>-2.1875450387597081E-2</v>
      </c>
      <c r="CN8" s="12">
        <f t="shared" si="4"/>
        <v>-5.8284953236579902E-2</v>
      </c>
      <c r="CO8" s="12">
        <f t="shared" si="4"/>
        <v>3.5640694200992577E-2</v>
      </c>
      <c r="CP8" s="12">
        <f t="shared" si="4"/>
        <v>3.5830866545438773E-2</v>
      </c>
      <c r="CQ8" s="12">
        <f t="shared" si="4"/>
        <v>2.45636235922575E-2</v>
      </c>
      <c r="CR8" s="12">
        <f t="shared" si="4"/>
        <v>-4.5928843319416053E-2</v>
      </c>
      <c r="CS8" s="12">
        <f t="shared" si="4"/>
        <v>-0.1024853959679604</v>
      </c>
      <c r="CT8" s="12">
        <f t="shared" si="4"/>
        <v>5.863029882311821E-2</v>
      </c>
      <c r="CU8" s="12">
        <f t="shared" si="4"/>
        <v>-0.1111449897289276</v>
      </c>
      <c r="CV8" s="12">
        <f t="shared" si="4"/>
        <v>4.6454016119241708E-2</v>
      </c>
      <c r="CW8" s="12">
        <f t="shared" si="4"/>
        <v>7.367561012506485E-2</v>
      </c>
      <c r="CX8" s="12">
        <f t="shared" si="4"/>
        <v>-8.237186074256897E-2</v>
      </c>
      <c r="CY8" s="12">
        <f t="shared" si="4"/>
        <v>-4.1168216615915298E-2</v>
      </c>
      <c r="CZ8" s="12">
        <f t="shared" si="4"/>
        <v>-7.4366219341754913E-2</v>
      </c>
      <c r="DA8" s="12">
        <f t="shared" si="4"/>
        <v>-4.7027502208948142E-2</v>
      </c>
      <c r="DB8" s="12">
        <f t="shared" si="4"/>
        <v>1.5304354019463061E-2</v>
      </c>
      <c r="DC8" s="12">
        <f t="shared" si="4"/>
        <v>3.0327405780553821E-2</v>
      </c>
      <c r="DD8" s="12">
        <f t="shared" si="4"/>
        <v>5.3778979927301407E-2</v>
      </c>
      <c r="DE8" s="12">
        <f t="shared" si="4"/>
        <v>-5.5287983268499367E-2</v>
      </c>
      <c r="DF8" s="12">
        <f t="shared" si="4"/>
        <v>3.9528455585241318E-2</v>
      </c>
      <c r="DG8" s="12">
        <f t="shared" si="4"/>
        <v>-8.2107760012149811E-2</v>
      </c>
      <c r="DH8" s="12">
        <f t="shared" si="4"/>
        <v>-5.2850812673568733E-2</v>
      </c>
      <c r="DI8" s="12">
        <f t="shared" si="4"/>
        <v>-7.8471429646015167E-2</v>
      </c>
      <c r="DJ8" s="12">
        <f t="shared" si="4"/>
        <v>4.8156458884477622E-2</v>
      </c>
      <c r="DK8" s="12">
        <f t="shared" si="4"/>
        <v>3.9779618382453918E-2</v>
      </c>
      <c r="DL8" s="12">
        <f t="shared" si="4"/>
        <v>2.912280336022377E-2</v>
      </c>
      <c r="DM8" s="12">
        <f t="shared" si="4"/>
        <v>5.5858355015516281E-2</v>
      </c>
      <c r="DN8" s="12">
        <f t="shared" si="4"/>
        <v>-6.0538295656442642E-2</v>
      </c>
      <c r="DO8" s="12">
        <f t="shared" si="4"/>
        <v>-4.1845731437206268E-2</v>
      </c>
      <c r="DP8" s="12">
        <f t="shared" si="4"/>
        <v>-2.293764241039753E-2</v>
      </c>
      <c r="DQ8" s="12">
        <f t="shared" si="4"/>
        <v>3.2798897475004203E-2</v>
      </c>
      <c r="DR8" s="12">
        <f t="shared" si="4"/>
        <v>7.5242564082145691E-2</v>
      </c>
      <c r="DS8" s="12">
        <f t="shared" si="4"/>
        <v>-6.3791960477828979E-2</v>
      </c>
      <c r="DT8" s="12">
        <f t="shared" si="4"/>
        <v>-2.437188662588596E-2</v>
      </c>
      <c r="DU8" s="12">
        <f t="shared" si="4"/>
        <v>2.8318654745817181E-2</v>
      </c>
      <c r="DV8" s="12">
        <f t="shared" si="4"/>
        <v>-3.9159540086984627E-2</v>
      </c>
      <c r="DW8" s="12">
        <f t="shared" si="4"/>
        <v>4.162212461233139E-2</v>
      </c>
      <c r="DX8" s="12">
        <f t="shared" si="4"/>
        <v>-2.5841465219855309E-2</v>
      </c>
      <c r="DY8" s="12">
        <f t="shared" si="4"/>
        <v>-2.6736544445157051E-2</v>
      </c>
      <c r="DZ8" s="12">
        <f t="shared" si="4"/>
        <v>-3.2960411161184311E-2</v>
      </c>
      <c r="EA8" s="12">
        <f t="shared" ref="EA8:EF8" si="5">IF(EA6=1,EA3,IF(EA6=2,EA4,IF(EA6=3,EA5)))</f>
        <v>-4.8574574291706092E-2</v>
      </c>
      <c r="EB8" s="12">
        <f t="shared" si="5"/>
        <v>-0.1051784828305244</v>
      </c>
      <c r="EC8" s="12">
        <f t="shared" si="5"/>
        <v>4.5648753643035889E-2</v>
      </c>
      <c r="ED8" s="12">
        <f t="shared" si="5"/>
        <v>-0.1028049290180206</v>
      </c>
      <c r="EE8" s="12">
        <f t="shared" si="5"/>
        <v>5.7367391884326928E-2</v>
      </c>
      <c r="EF8" s="12">
        <f t="shared" si="5"/>
        <v>-3.865974023938179E-2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184</v>
      </c>
    </row>
    <row r="12" spans="1:136">
      <c r="A12" s="2">
        <v>10</v>
      </c>
      <c r="B12" s="2">
        <v>96</v>
      </c>
      <c r="C12" s="12">
        <v>8.4653541666666707E-2</v>
      </c>
      <c r="D12" s="12">
        <f>C12+預測IC!D12</f>
        <v>0.10547533693854501</v>
      </c>
      <c r="E12" s="12">
        <f>D12+預測IC!E12</f>
        <v>0.15350161818854502</v>
      </c>
      <c r="F12" s="12">
        <f>E12+預測IC!F12</f>
        <v>9.7542233404086298E-2</v>
      </c>
      <c r="G12" s="12">
        <f>F12+預測IC!G12</f>
        <v>6.5594784885455837E-2</v>
      </c>
      <c r="H12" s="12">
        <f>G12+預測IC!H12</f>
        <v>0.10412550363545585</v>
      </c>
      <c r="I12" s="12">
        <f>H12+預測IC!I12</f>
        <v>6.7821566786403831E-2</v>
      </c>
      <c r="J12" s="12">
        <f>I12+預測IC!J12</f>
        <v>3.8413764703070494E-2</v>
      </c>
      <c r="K12" s="12">
        <f>J12+預測IC!K12</f>
        <v>6.7601762836769677E-2</v>
      </c>
      <c r="L12" s="12">
        <f>K12+預測IC!L12</f>
        <v>7.6360318800935911E-2</v>
      </c>
      <c r="M12" s="12">
        <f>L12+預測IC!M12</f>
        <v>9.1912123001097037E-2</v>
      </c>
      <c r="N12" s="12">
        <f>M12+預測IC!N12</f>
        <v>5.7208768757634219E-2</v>
      </c>
      <c r="O12" s="12">
        <f>N12+預測IC!O12</f>
        <v>8.5123527824874604E-2</v>
      </c>
      <c r="P12" s="12">
        <f>O12+預測IC!P12</f>
        <v>8.4869199716717497E-2</v>
      </c>
      <c r="Q12" s="12">
        <f>P12+預測IC!Q12</f>
        <v>8.9984883090681547E-2</v>
      </c>
      <c r="R12" s="12">
        <f>Q12+預測IC!R12</f>
        <v>0.10313837175122013</v>
      </c>
      <c r="S12" s="12">
        <f>R12+預測IC!S12</f>
        <v>0.17419226884582717</v>
      </c>
      <c r="T12" s="12">
        <f>S12+預測IC!T12</f>
        <v>0.22205998519135187</v>
      </c>
      <c r="U12" s="12">
        <f>T12+預測IC!U12</f>
        <v>0.20588119352468517</v>
      </c>
      <c r="V12" s="12">
        <f>U12+預測IC!V12</f>
        <v>0.21539214717833338</v>
      </c>
      <c r="W12" s="12">
        <f>V12+預測IC!W12</f>
        <v>0.23767058915164513</v>
      </c>
      <c r="X12" s="12">
        <f>W12+預測IC!X12</f>
        <v>0.28618986393195961</v>
      </c>
      <c r="Y12" s="12">
        <f>X12+預測IC!Y12</f>
        <v>0.30678825745965088</v>
      </c>
      <c r="Z12" s="12">
        <f>Y12+預測IC!Z12</f>
        <v>0.25363617048279002</v>
      </c>
      <c r="AA12" s="12">
        <f>Z12+預測IC!AA12</f>
        <v>0.29303983188390181</v>
      </c>
      <c r="AB12" s="12">
        <f>AA12+預測IC!AB12</f>
        <v>0.30377316148804057</v>
      </c>
      <c r="AC12" s="12">
        <f>AB12+預測IC!AC12</f>
        <v>0.25700021586172933</v>
      </c>
      <c r="AD12" s="12">
        <f>AC12+預測IC!AD12</f>
        <v>0.25115310586249212</v>
      </c>
      <c r="AE12" s="12">
        <f>AD12+預測IC!AE12</f>
        <v>0.30947011627915877</v>
      </c>
      <c r="AF12" s="12">
        <f>AE12+預測IC!AF12</f>
        <v>0.32990226758302371</v>
      </c>
      <c r="AG12" s="12">
        <f>AF12+預測IC!AG12</f>
        <v>0.32608733716221389</v>
      </c>
      <c r="AH12" s="12">
        <f>AG12+預測IC!AH12</f>
        <v>0.31037430339293304</v>
      </c>
      <c r="AI12" s="12">
        <f>AH12+預測IC!AI12</f>
        <v>0.31916809588519462</v>
      </c>
      <c r="AJ12" s="12">
        <f>AI12+預測IC!AJ12</f>
        <v>0.30618434833914004</v>
      </c>
      <c r="AK12" s="12">
        <f>AJ12+預測IC!AK12</f>
        <v>0.28970898011500434</v>
      </c>
      <c r="AL12" s="12">
        <f>AK12+預測IC!AL12</f>
        <v>0.3075679831369264</v>
      </c>
      <c r="AM12" s="12">
        <f>AL12+預測IC!AM12</f>
        <v>0.3242747351432137</v>
      </c>
      <c r="AN12" s="12">
        <f>AM12+預測IC!AN12</f>
        <v>0.35092036394565834</v>
      </c>
      <c r="AO12" s="12">
        <f>AN12+預測IC!AO12</f>
        <v>0.35314915698533139</v>
      </c>
      <c r="AP12" s="12">
        <f>AO12+預測IC!AP12</f>
        <v>0.35778282365199804</v>
      </c>
      <c r="AQ12" s="12">
        <f>AP12+預測IC!AQ12</f>
        <v>0.36446446948533134</v>
      </c>
      <c r="AR12" s="12">
        <f>AQ12+預測IC!AR12</f>
        <v>0.34224144349773916</v>
      </c>
      <c r="AS12" s="12">
        <f>AR12+預測IC!AS12</f>
        <v>0.34808480808107251</v>
      </c>
      <c r="AT12" s="12">
        <f>AS12+預測IC!AT12</f>
        <v>0.36191971278874369</v>
      </c>
      <c r="AU12" s="12">
        <f>AT12+預測IC!AU12</f>
        <v>0.38262837146961914</v>
      </c>
      <c r="AV12" s="12">
        <f>AU12+預測IC!AV12</f>
        <v>0.34126828672459414</v>
      </c>
      <c r="AW12" s="12">
        <f>AV12+預測IC!AW12</f>
        <v>0.34188976374261021</v>
      </c>
      <c r="AX12" s="12">
        <f>AW12+預測IC!AX12</f>
        <v>0.38548823099603302</v>
      </c>
      <c r="AY12" s="12">
        <f>AX12+預測IC!AY12</f>
        <v>0.41044352406370627</v>
      </c>
      <c r="AZ12" s="12">
        <f>AY12+預測IC!AZ12</f>
        <v>0.40814349799204863</v>
      </c>
      <c r="BA12" s="12">
        <f>AZ12+預測IC!BA12</f>
        <v>0.41308138617529044</v>
      </c>
      <c r="BB12" s="12">
        <f>BA12+預測IC!BB12</f>
        <v>0.41886645909195713</v>
      </c>
      <c r="BC12" s="12">
        <f>BB12+預測IC!BC12</f>
        <v>0.43113924813043364</v>
      </c>
      <c r="BD12" s="12">
        <f>BC12+預測IC!BD12</f>
        <v>0.48037319604710033</v>
      </c>
      <c r="BE12" s="12">
        <f>BD12+預測IC!BE12</f>
        <v>0.49898200588648561</v>
      </c>
      <c r="BF12" s="12">
        <f>BE12+預測IC!BF12</f>
        <v>0.47538130796981892</v>
      </c>
      <c r="BG12" s="12">
        <f>BF12+預測IC!BG12</f>
        <v>0.50905217041108175</v>
      </c>
      <c r="BH12" s="12">
        <f>BG12+預測IC!BH12</f>
        <v>0.52327553042240371</v>
      </c>
      <c r="BI12" s="12">
        <f>BH12+預測IC!BI12</f>
        <v>0.57329678345339452</v>
      </c>
      <c r="BJ12" s="12">
        <f>BI12+預測IC!BJ12</f>
        <v>0.57250079013347666</v>
      </c>
      <c r="BK12" s="12">
        <f>BJ12+預測IC!BK12</f>
        <v>0.55121612517334273</v>
      </c>
      <c r="BL12" s="12">
        <f>BK12+預測IC!BL12</f>
        <v>0.56227623975667607</v>
      </c>
      <c r="BM12" s="12">
        <f>BL12+預測IC!BM12</f>
        <v>0.53210469809000938</v>
      </c>
      <c r="BN12" s="12">
        <f>BM12+預測IC!BN12</f>
        <v>0.52052873091706875</v>
      </c>
      <c r="BO12" s="12">
        <f>BN12+預測IC!BO12</f>
        <v>0.53744259550040208</v>
      </c>
      <c r="BP12" s="12">
        <f>BO12+預測IC!BP12</f>
        <v>0.52693361019510798</v>
      </c>
      <c r="BQ12" s="12">
        <f>BP12+預測IC!BQ12</f>
        <v>0.54083035981385463</v>
      </c>
      <c r="BR12" s="12">
        <f>BQ12+預測IC!BR12</f>
        <v>0.60952397496096788</v>
      </c>
      <c r="BS12" s="12">
        <f>BR12+預測IC!BS12</f>
        <v>0.62838726834536385</v>
      </c>
      <c r="BT12" s="12">
        <f>BS12+預測IC!BT12</f>
        <v>0.60709909126203054</v>
      </c>
      <c r="BU12" s="12">
        <f>BT12+預測IC!BU12</f>
        <v>0.55901589334536383</v>
      </c>
      <c r="BV12" s="12">
        <f>BU12+預測IC!BV12</f>
        <v>0.59106920584536382</v>
      </c>
      <c r="BW12" s="12">
        <f>BV12+預測IC!BW12</f>
        <v>0.64655675792869716</v>
      </c>
      <c r="BX12" s="12">
        <f>BW12+預測IC!BX12</f>
        <v>0.63957160407055791</v>
      </c>
      <c r="BY12" s="12">
        <f>BX12+預測IC!BY12</f>
        <v>0.67294240440212938</v>
      </c>
      <c r="BZ12" s="12">
        <f>BY12+預測IC!BZ12</f>
        <v>0.6767197898187961</v>
      </c>
      <c r="CA12" s="12">
        <f>BZ12+預測IC!CA12</f>
        <v>0.64231950237845359</v>
      </c>
      <c r="CB12" s="12">
        <f>CA12+預測IC!CB12</f>
        <v>0.6403762602466907</v>
      </c>
      <c r="CC12" s="12">
        <f>CB12+預測IC!CC12</f>
        <v>0.70594230191335738</v>
      </c>
      <c r="CD12" s="12">
        <f>CC12+預測IC!CD12</f>
        <v>0.75020082274669075</v>
      </c>
      <c r="CE12" s="12">
        <f>CD12+預測IC!CE12</f>
        <v>0.90420797899669081</v>
      </c>
      <c r="CF12" s="12">
        <f>CE12+預測IC!CF12</f>
        <v>0.90828602066335751</v>
      </c>
      <c r="CG12" s="12">
        <f>CF12+預測IC!CG12</f>
        <v>0.9085948227466909</v>
      </c>
      <c r="CH12" s="12">
        <f>CG12+預測IC!CH12</f>
        <v>0.89914203108002422</v>
      </c>
      <c r="CI12" s="12">
        <f>CH12+預測IC!CI12</f>
        <v>0.87480080191335752</v>
      </c>
      <c r="CJ12" s="12">
        <f>CI12+預測IC!CJ12</f>
        <v>0.8593556214346687</v>
      </c>
      <c r="CK12" s="12">
        <f>CJ12+預測IC!CK12</f>
        <v>0.87215876558950356</v>
      </c>
      <c r="CL12" s="12">
        <f>CK12+預測IC!CL12</f>
        <v>0.99017437325911395</v>
      </c>
      <c r="CM12" s="12">
        <f>CL12+預測IC!CM12</f>
        <v>0.91846581075911393</v>
      </c>
      <c r="CN12" s="12">
        <f>CM12+預測IC!CN12</f>
        <v>0.94554951197367332</v>
      </c>
      <c r="CO12" s="12">
        <f>CN12+預測IC!CO12</f>
        <v>0.92072972671846076</v>
      </c>
      <c r="CP12" s="12">
        <f>CO12+預測IC!CP12</f>
        <v>0.96602874818595452</v>
      </c>
      <c r="CQ12" s="12">
        <f>CP12+預測IC!CQ12</f>
        <v>1.002600943095888</v>
      </c>
      <c r="CR12" s="12">
        <f>CQ12+預測IC!CR12</f>
        <v>1.0507479222625546</v>
      </c>
      <c r="CS12" s="12">
        <f>CR12+預測IC!CS12</f>
        <v>1.0659495699496002</v>
      </c>
      <c r="CT12" s="12">
        <f>CS12+預測IC!CT12</f>
        <v>1.0566205067196233</v>
      </c>
      <c r="CU12" s="12">
        <f>CT12+預測IC!CU12</f>
        <v>1.020996791057428</v>
      </c>
      <c r="CV12" s="12">
        <f>CU12+預測IC!CV12</f>
        <v>1.0860300975531167</v>
      </c>
      <c r="CW12" s="12">
        <f>CV12+預測IC!CW12</f>
        <v>1.0990667669316945</v>
      </c>
      <c r="CX12" s="12">
        <f>CW12+預測IC!CX12</f>
        <v>1.0380768843947026</v>
      </c>
      <c r="CY12" s="12">
        <f>CX12+預測IC!CY12</f>
        <v>1.0440598266061931</v>
      </c>
      <c r="CZ12" s="12">
        <f>CY12+預測IC!CZ12</f>
        <v>0.96626749926669253</v>
      </c>
      <c r="DA12" s="12">
        <f>CZ12+預測IC!DA12</f>
        <v>0.96066371519633198</v>
      </c>
      <c r="DB12" s="12">
        <f>DA12+預測IC!DB12</f>
        <v>0.99624899784023546</v>
      </c>
      <c r="DC12" s="12">
        <f>DB12+預測IC!DC12</f>
        <v>0.99174763404769406</v>
      </c>
      <c r="DD12" s="12">
        <f>DC12+預測IC!DD12</f>
        <v>0.92178708831335077</v>
      </c>
      <c r="DE12" s="12">
        <f>DD12+預測IC!DE12</f>
        <v>0.88455160914668418</v>
      </c>
      <c r="DF12" s="12">
        <f>DE12+預測IC!DF12</f>
        <v>0.82906550498001752</v>
      </c>
      <c r="DG12" s="12">
        <f>DF12+預測IC!DG12</f>
        <v>0.87645992660984184</v>
      </c>
      <c r="DH12" s="12">
        <f>DG12+預測IC!DH12</f>
        <v>0.84565677142298523</v>
      </c>
      <c r="DI12" s="12">
        <f>DH12+預測IC!DI12</f>
        <v>0.81567751686548551</v>
      </c>
      <c r="DJ12" s="12">
        <f>DI12+預測IC!DJ12</f>
        <v>0.80055883978215214</v>
      </c>
      <c r="DK12" s="12">
        <f>DJ12+預測IC!DK12</f>
        <v>0.83248704811548546</v>
      </c>
      <c r="DL12" s="12">
        <f>DK12+預測IC!DL12</f>
        <v>0.82939740228215209</v>
      </c>
      <c r="DM12" s="12">
        <f>DL12+預測IC!DM12</f>
        <v>0.84863501686548548</v>
      </c>
      <c r="DN12" s="12">
        <f>DM12+預測IC!DN12</f>
        <v>0.8671764603240979</v>
      </c>
      <c r="DO12" s="12">
        <f>DN12+預測IC!DO12</f>
        <v>0.84457672664376926</v>
      </c>
      <c r="DP12" s="12">
        <f>DO12+預測IC!DP12</f>
        <v>0.90398542120042968</v>
      </c>
      <c r="DQ12" s="12">
        <f>DP12+預測IC!DQ12</f>
        <v>0.93784747328376306</v>
      </c>
      <c r="DR12" s="12">
        <f>DQ12+預測IC!DR12</f>
        <v>0.95662641656314995</v>
      </c>
      <c r="DS12" s="12">
        <f>DR12+預測IC!DS12</f>
        <v>1.0262774269798167</v>
      </c>
      <c r="DT12" s="12">
        <f>DS12+預測IC!DT12</f>
        <v>1.0513952915631501</v>
      </c>
      <c r="DU12" s="12">
        <f>DT12+預測IC!DU12</f>
        <v>1.1086255207298168</v>
      </c>
      <c r="DV12" s="12">
        <f>DU12+預測IC!DV12</f>
        <v>1.060074696252286</v>
      </c>
      <c r="DW12" s="12">
        <f>DV12+預測IC!DW12</f>
        <v>1.0151071441689528</v>
      </c>
      <c r="DX12" s="12">
        <f>DW12+預測IC!DX12</f>
        <v>1.0652592247113142</v>
      </c>
      <c r="DY12" s="12">
        <f>DX12+預測IC!DY12</f>
        <v>1.0499019545928192</v>
      </c>
      <c r="DZ12" s="12">
        <f>DY12+預測IC!DZ12</f>
        <v>1.0540376800729967</v>
      </c>
      <c r="EA12" s="12">
        <f>DZ12+預測IC!EA12</f>
        <v>0.99003373874979972</v>
      </c>
      <c r="EB12" s="12">
        <f>EA12+預測IC!EB12</f>
        <v>0.98720541197494693</v>
      </c>
      <c r="EC12" s="12">
        <f>EB12+預測IC!EC12</f>
        <v>1.0020893301044662</v>
      </c>
      <c r="ED12" s="12">
        <f>EC12+預測IC!ED12</f>
        <v>1.0625974829129503</v>
      </c>
      <c r="EE12" s="12">
        <f>ED12+預測IC!EE12</f>
        <v>1.0891041704129503</v>
      </c>
      <c r="EF12" s="12">
        <f>EE12+預測IC!EF12</f>
        <v>1.0498708223741546</v>
      </c>
    </row>
    <row r="13" spans="1:136">
      <c r="A13" s="2">
        <v>20</v>
      </c>
      <c r="B13" s="2">
        <v>48</v>
      </c>
      <c r="C13" s="12">
        <v>0.10411314583333341</v>
      </c>
      <c r="D13" s="12">
        <f>C13+預測IC!D13</f>
        <v>0.13399075643789218</v>
      </c>
      <c r="E13" s="12">
        <f>D13+預測IC!E13</f>
        <v>0.20385204810455884</v>
      </c>
      <c r="F13" s="12">
        <f>E13+預測IC!F13</f>
        <v>0.14386552141163589</v>
      </c>
      <c r="G13" s="12">
        <f>F13+預測IC!G13</f>
        <v>0.13181811711152996</v>
      </c>
      <c r="H13" s="12">
        <f>G13+預測IC!H13</f>
        <v>0.16180847127819661</v>
      </c>
      <c r="I13" s="12">
        <f>H13+預測IC!I13</f>
        <v>0.12912560829347428</v>
      </c>
      <c r="J13" s="12">
        <f>I13+預測IC!J13</f>
        <v>8.5226795793474253E-2</v>
      </c>
      <c r="K13" s="12">
        <f>J13+預測IC!K13</f>
        <v>0.14555293502104438</v>
      </c>
      <c r="L13" s="12">
        <f>K13+預測IC!L13</f>
        <v>0.16753340539976716</v>
      </c>
      <c r="M13" s="12">
        <f>L13+預測IC!M13</f>
        <v>0.15982474913727496</v>
      </c>
      <c r="N13" s="12">
        <f>M13+預測IC!N13</f>
        <v>0.11643233167157817</v>
      </c>
      <c r="O13" s="12">
        <f>N13+預測IC!O13</f>
        <v>0.13385503048252811</v>
      </c>
      <c r="P13" s="12">
        <f>O13+預測IC!P13</f>
        <v>0.12757738282179518</v>
      </c>
      <c r="Q13" s="12">
        <f>P13+預測IC!Q13</f>
        <v>0.11012099832543248</v>
      </c>
      <c r="R13" s="12">
        <f>Q13+預測IC!R13</f>
        <v>0.12663170940826243</v>
      </c>
      <c r="S13" s="12">
        <f>R13+預測IC!S13</f>
        <v>0.24954700741181302</v>
      </c>
      <c r="T13" s="12">
        <f>S13+預測IC!T13</f>
        <v>0.32378108892353563</v>
      </c>
      <c r="U13" s="12">
        <f>T13+預測IC!U13</f>
        <v>0.32537740142353566</v>
      </c>
      <c r="V13" s="12">
        <f>U13+預測IC!V13</f>
        <v>0.32759404132658959</v>
      </c>
      <c r="W13" s="12">
        <f>V13+預測IC!W13</f>
        <v>0.35869712921095948</v>
      </c>
      <c r="X13" s="12">
        <f>W13+預測IC!X13</f>
        <v>0.42844809798001604</v>
      </c>
      <c r="Y13" s="12">
        <f>X13+預測IC!Y13</f>
        <v>0.42176473925347058</v>
      </c>
      <c r="Z13" s="12">
        <f>Y13+預測IC!Z13</f>
        <v>0.34051333713223503</v>
      </c>
      <c r="AA13" s="12">
        <f>Z13+預測IC!AA13</f>
        <v>0.3726328474707063</v>
      </c>
      <c r="AB13" s="12">
        <f>AA13+預測IC!AB13</f>
        <v>0.3876344207996848</v>
      </c>
      <c r="AC13" s="12">
        <f>AB13+預測IC!AC13</f>
        <v>0.32086272041775499</v>
      </c>
      <c r="AD13" s="12">
        <f>AC13+預測IC!AD13</f>
        <v>0.31428367521521422</v>
      </c>
      <c r="AE13" s="12">
        <f>AD13+預測IC!AE13</f>
        <v>0.38000315438188093</v>
      </c>
      <c r="AF13" s="12">
        <f>AE13+預測IC!AF13</f>
        <v>0.41194361821618214</v>
      </c>
      <c r="AG13" s="12">
        <f>AF13+預測IC!AG13</f>
        <v>0.42184882594325623</v>
      </c>
      <c r="AH13" s="12">
        <f>AG13+預測IC!AH13</f>
        <v>0.39689361939338935</v>
      </c>
      <c r="AI13" s="12">
        <f>AH13+預測IC!AI13</f>
        <v>0.41553966577335538</v>
      </c>
      <c r="AJ13" s="12">
        <f>AI13+預測IC!AJ13</f>
        <v>0.43182013576163109</v>
      </c>
      <c r="AK13" s="12">
        <f>AJ13+預測IC!AK13</f>
        <v>0.39346074547875898</v>
      </c>
      <c r="AL13" s="12">
        <f>AK13+預測IC!AL13</f>
        <v>0.41661217407393003</v>
      </c>
      <c r="AM13" s="12">
        <f>AL13+預測IC!AM13</f>
        <v>0.40217806795984101</v>
      </c>
      <c r="AN13" s="12">
        <f>AM13+預測IC!AN13</f>
        <v>0.43215572847976336</v>
      </c>
      <c r="AO13" s="12">
        <f>AN13+預測IC!AO13</f>
        <v>0.44146691637917829</v>
      </c>
      <c r="AP13" s="12">
        <f>AO13+預測IC!AP13</f>
        <v>0.4480547288791783</v>
      </c>
      <c r="AQ13" s="12">
        <f>AP13+預測IC!AQ13</f>
        <v>0.45913662471251165</v>
      </c>
      <c r="AR13" s="12">
        <f>AQ13+預測IC!AR13</f>
        <v>0.43828858091778783</v>
      </c>
      <c r="AS13" s="12">
        <f>AR13+預測IC!AS13</f>
        <v>0.44022499758445449</v>
      </c>
      <c r="AT13" s="12">
        <f>AS13+預測IC!AT13</f>
        <v>0.48068808543889424</v>
      </c>
      <c r="AU13" s="12">
        <f>AT13+預測IC!AU13</f>
        <v>0.52166421191487311</v>
      </c>
      <c r="AV13" s="12">
        <f>AU13+預測IC!AV13</f>
        <v>0.51218873927532005</v>
      </c>
      <c r="AW13" s="12">
        <f>AV13+預測IC!AW13</f>
        <v>0.51626875285838347</v>
      </c>
      <c r="AX13" s="12">
        <f>AW13+預測IC!AX13</f>
        <v>0.58342254064149379</v>
      </c>
      <c r="AY13" s="12">
        <f>AX13+預測IC!AY13</f>
        <v>0.60098688699011871</v>
      </c>
      <c r="AZ13" s="12">
        <f>AY13+預測IC!AZ13</f>
        <v>0.59288341952061929</v>
      </c>
      <c r="BA13" s="12">
        <f>AZ13+預測IC!BA13</f>
        <v>0.59942435712768027</v>
      </c>
      <c r="BB13" s="12">
        <f>BA13+預測IC!BB13</f>
        <v>0.6254703362943469</v>
      </c>
      <c r="BC13" s="12">
        <f>BB13+預測IC!BC13</f>
        <v>0.63675410340600458</v>
      </c>
      <c r="BD13" s="12">
        <f>BC13+預測IC!BD13</f>
        <v>0.67843083257267123</v>
      </c>
      <c r="BE13" s="12">
        <f>BD13+預測IC!BE13</f>
        <v>0.70582263887831276</v>
      </c>
      <c r="BF13" s="12">
        <f>BE13+預測IC!BF13</f>
        <v>0.67952009721164608</v>
      </c>
      <c r="BG13" s="12">
        <f>BF13+預測IC!BG13</f>
        <v>0.72608655955035772</v>
      </c>
      <c r="BH13" s="12">
        <f>BG13+預測IC!BH13</f>
        <v>0.73456228936197676</v>
      </c>
      <c r="BI13" s="12">
        <f>BH13+預測IC!BI13</f>
        <v>0.78697142181867819</v>
      </c>
      <c r="BJ13" s="12">
        <f>BI13+預測IC!BJ13</f>
        <v>0.77012433582841333</v>
      </c>
      <c r="BK13" s="12">
        <f>BJ13+預測IC!BK13</f>
        <v>0.75173331094866391</v>
      </c>
      <c r="BL13" s="12">
        <f>BK13+預測IC!BL13</f>
        <v>0.76535226928199729</v>
      </c>
      <c r="BM13" s="12">
        <f>BL13+預測IC!BM13</f>
        <v>0.73814887344866398</v>
      </c>
      <c r="BN13" s="12">
        <f>BM13+預測IC!BN13</f>
        <v>0.70259616003625669</v>
      </c>
      <c r="BO13" s="12">
        <f>BN13+預測IC!BO13</f>
        <v>0.70600341003625666</v>
      </c>
      <c r="BP13" s="12">
        <f>BO13+預測IC!BP13</f>
        <v>0.71543610573090821</v>
      </c>
      <c r="BQ13" s="12">
        <f>BP13+預測IC!BQ13</f>
        <v>0.757089169520334</v>
      </c>
      <c r="BR13" s="12">
        <f>BQ13+預測IC!BR13</f>
        <v>0.83692062634366693</v>
      </c>
      <c r="BS13" s="12">
        <f>BR13+預測IC!BS13</f>
        <v>0.84434009818388656</v>
      </c>
      <c r="BT13" s="12">
        <f>BS13+預測IC!BT13</f>
        <v>0.81067220235055326</v>
      </c>
      <c r="BU13" s="12">
        <f>BT13+預測IC!BU13</f>
        <v>0.73601403568388657</v>
      </c>
      <c r="BV13" s="12">
        <f>BU13+預測IC!BV13</f>
        <v>0.76745426485055324</v>
      </c>
      <c r="BW13" s="12">
        <f>BV13+預測IC!BW13</f>
        <v>0.85368459818388653</v>
      </c>
      <c r="BX13" s="12">
        <f>BW13+預測IC!BX13</f>
        <v>0.85293895937787645</v>
      </c>
      <c r="BY13" s="12">
        <f>BX13+預測IC!BY13</f>
        <v>0.86745135704836696</v>
      </c>
      <c r="BZ13" s="12">
        <f>BY13+預測IC!BZ13</f>
        <v>0.85369264871503359</v>
      </c>
      <c r="CA13" s="12">
        <f>BZ13+預測IC!CA13</f>
        <v>0.82016108311463676</v>
      </c>
      <c r="CB13" s="12">
        <f>CA13+預測IC!CB13</f>
        <v>0.82675690983985684</v>
      </c>
      <c r="CC13" s="12">
        <f>CB13+預測IC!CC13</f>
        <v>0.94687482650652355</v>
      </c>
      <c r="CD13" s="12">
        <f>CC13+預測IC!CD13</f>
        <v>1.0021306598398569</v>
      </c>
      <c r="CE13" s="12">
        <f>CD13+預測IC!CE13</f>
        <v>1.1859583890065237</v>
      </c>
      <c r="CF13" s="12">
        <f>CE13+預測IC!CF13</f>
        <v>1.204187534839857</v>
      </c>
      <c r="CG13" s="12">
        <f>CF13+預測IC!CG13</f>
        <v>1.2117479306731904</v>
      </c>
      <c r="CH13" s="12">
        <f>CG13+預測IC!CH13</f>
        <v>1.1860901806731905</v>
      </c>
      <c r="CI13" s="12">
        <f>CH13+預測IC!CI13</f>
        <v>1.1781950140065238</v>
      </c>
      <c r="CJ13" s="12">
        <f>CI13+預測IC!CJ13</f>
        <v>1.1813011019784749</v>
      </c>
      <c r="CK13" s="12">
        <f>CJ13+預測IC!CK13</f>
        <v>1.2133463712149388</v>
      </c>
      <c r="CL13" s="12">
        <f>CK13+預測IC!CL13</f>
        <v>1.2947997373171196</v>
      </c>
      <c r="CM13" s="12">
        <f>CL13+預測IC!CM13</f>
        <v>1.1933474039837864</v>
      </c>
      <c r="CN13" s="12">
        <f>CM13+預測IC!CN13</f>
        <v>1.2202349699826387</v>
      </c>
      <c r="CO13" s="12">
        <f>CN13+預測IC!CO13</f>
        <v>1.1849006259019814</v>
      </c>
      <c r="CP13" s="12">
        <f>CO13+預測IC!CP13</f>
        <v>1.2546271661797157</v>
      </c>
      <c r="CQ13" s="12">
        <f>CP13+預測IC!CQ13</f>
        <v>1.2928121163758755</v>
      </c>
      <c r="CR13" s="12">
        <f>CQ13+預測IC!CR13</f>
        <v>1.3571929705425421</v>
      </c>
      <c r="CS13" s="12">
        <f>CR13+預測IC!CS13</f>
        <v>1.3463599194272675</v>
      </c>
      <c r="CT13" s="12">
        <f>CS13+預測IC!CT13</f>
        <v>1.3467684595428837</v>
      </c>
      <c r="CU13" s="12">
        <f>CT13+預測IC!CU13</f>
        <v>1.3096070572605725</v>
      </c>
      <c r="CV13" s="12">
        <f>CU13+預測IC!CV13</f>
        <v>1.3872631085175451</v>
      </c>
      <c r="CW13" s="12">
        <f>CV13+預測IC!CW13</f>
        <v>1.4235722282739784</v>
      </c>
      <c r="CX13" s="12">
        <f>CW13+預測IC!CX13</f>
        <v>1.3635389730339254</v>
      </c>
      <c r="CY13" s="12">
        <f>CX13+預測IC!CY13</f>
        <v>1.3766577131489379</v>
      </c>
      <c r="CZ13" s="12">
        <f>CY13+預測IC!CZ13</f>
        <v>1.3194334927954527</v>
      </c>
      <c r="DA13" s="12">
        <f>CZ13+預測IC!DA13</f>
        <v>1.325017169721274</v>
      </c>
      <c r="DB13" s="12">
        <f>DA13+預測IC!DB13</f>
        <v>1.3863733549585455</v>
      </c>
      <c r="DC13" s="12">
        <f>DB13+預測IC!DC13</f>
        <v>1.3722234881312512</v>
      </c>
      <c r="DD13" s="12">
        <f>DC13+預測IC!DD13</f>
        <v>1.3032464292068677</v>
      </c>
      <c r="DE13" s="12">
        <f>DD13+預測IC!DE13</f>
        <v>1.2606825333735343</v>
      </c>
      <c r="DF13" s="12">
        <f>DE13+預測IC!DF13</f>
        <v>1.1775598458735343</v>
      </c>
      <c r="DG13" s="12">
        <f>DF13+預測IC!DG13</f>
        <v>1.248895606088454</v>
      </c>
      <c r="DH13" s="12">
        <f>DG13+預測IC!DH13</f>
        <v>1.2100890891481657</v>
      </c>
      <c r="DI13" s="12">
        <f>DH13+預測IC!DI13</f>
        <v>1.1805186695137375</v>
      </c>
      <c r="DJ13" s="12">
        <f>DI13+預測IC!DJ13</f>
        <v>1.1745348153470709</v>
      </c>
      <c r="DK13" s="12">
        <f>DJ13+預測IC!DK13</f>
        <v>1.1939212111804043</v>
      </c>
      <c r="DL13" s="12">
        <f>DK13+預測IC!DL13</f>
        <v>1.1667982736804043</v>
      </c>
      <c r="DM13" s="12">
        <f>DL13+預測IC!DM13</f>
        <v>1.1662663153470709</v>
      </c>
      <c r="DN13" s="12">
        <f>DM13+預測IC!DN13</f>
        <v>1.1790422048332743</v>
      </c>
      <c r="DO13" s="12">
        <f>DN13+預測IC!DO13</f>
        <v>1.1321507924451426</v>
      </c>
      <c r="DP13" s="12">
        <f>DO13+預測IC!DP13</f>
        <v>1.1901831013358442</v>
      </c>
      <c r="DQ13" s="12">
        <f>DP13+預測IC!DQ13</f>
        <v>1.2241496430025107</v>
      </c>
      <c r="DR13" s="12">
        <f>DQ13+預測IC!DR13</f>
        <v>1.2379208522748226</v>
      </c>
      <c r="DS13" s="12">
        <f>DR13+預測IC!DS13</f>
        <v>1.3065175397748225</v>
      </c>
      <c r="DT13" s="12">
        <f>DS13+預測IC!DT13</f>
        <v>1.3573488939414893</v>
      </c>
      <c r="DU13" s="12">
        <f>DT13+預測IC!DU13</f>
        <v>1.3903548522748226</v>
      </c>
      <c r="DV13" s="12">
        <f>DU13+預測IC!DV13</f>
        <v>1.310734708250634</v>
      </c>
      <c r="DW13" s="12">
        <f>DV13+預測IC!DW13</f>
        <v>1.2687062290839672</v>
      </c>
      <c r="DX13" s="12">
        <f>DW13+預測IC!DX13</f>
        <v>1.3332296086624633</v>
      </c>
      <c r="DY13" s="12">
        <f>DX13+預測IC!DY13</f>
        <v>1.2978435640086299</v>
      </c>
      <c r="DZ13" s="12">
        <f>DY13+預測IC!DZ13</f>
        <v>1.3124523784958482</v>
      </c>
      <c r="EA13" s="12">
        <f>DZ13+預測IC!EA13</f>
        <v>1.2392095094531661</v>
      </c>
      <c r="EB13" s="12">
        <f>EA13+預測IC!EB13</f>
        <v>1.2178362912537797</v>
      </c>
      <c r="EC13" s="12">
        <f>EB13+預測IC!EC13</f>
        <v>1.2398211437853042</v>
      </c>
      <c r="ED13" s="12">
        <f>EC13+預測IC!ED13</f>
        <v>1.3055032374445392</v>
      </c>
      <c r="EE13" s="12">
        <f>ED13+預測IC!EE13</f>
        <v>1.3467376124445392</v>
      </c>
      <c r="EF13" s="12">
        <f>EE13+預測IC!EF13</f>
        <v>1.2801603970809829</v>
      </c>
    </row>
    <row r="14" spans="1:136">
      <c r="A14" s="2">
        <v>50</v>
      </c>
      <c r="B14" s="2">
        <v>19</v>
      </c>
      <c r="C14" s="12">
        <v>0.1199416315789474</v>
      </c>
      <c r="D14" s="12">
        <f>C14+預測IC!D14</f>
        <v>0.20328894312224877</v>
      </c>
      <c r="E14" s="12">
        <f>D14+預測IC!E14</f>
        <v>0.30205710101698563</v>
      </c>
      <c r="F14" s="12">
        <f>E14+預測IC!F14</f>
        <v>0.24171519611095307</v>
      </c>
      <c r="G14" s="12">
        <f>F14+預測IC!G14</f>
        <v>0.18805856566817239</v>
      </c>
      <c r="H14" s="12">
        <f>G14+預測IC!H14</f>
        <v>0.24764751303659344</v>
      </c>
      <c r="I14" s="12">
        <f>H14+預測IC!I14</f>
        <v>0.20386015321345113</v>
      </c>
      <c r="J14" s="12">
        <f>I14+預測IC!J14</f>
        <v>9.8766574266082735E-2</v>
      </c>
      <c r="K14" s="12">
        <f>J14+預測IC!K14</f>
        <v>0.1495940405269307</v>
      </c>
      <c r="L14" s="12">
        <f>K14+預測IC!L14</f>
        <v>0.20586512550316621</v>
      </c>
      <c r="M14" s="12">
        <f>L14+預測IC!M14</f>
        <v>0.20087060543637847</v>
      </c>
      <c r="N14" s="12">
        <f>M14+預測IC!N14</f>
        <v>0.14350117877935642</v>
      </c>
      <c r="O14" s="12">
        <f>N14+預測IC!O14</f>
        <v>0.14499558671790494</v>
      </c>
      <c r="P14" s="12">
        <f>O14+預測IC!P14</f>
        <v>0.15153700767605535</v>
      </c>
      <c r="Q14" s="12">
        <f>P14+預測IC!Q14</f>
        <v>7.2239350094490895E-2</v>
      </c>
      <c r="R14" s="12">
        <f>Q14+預測IC!R14</f>
        <v>5.4477041465312362E-2</v>
      </c>
      <c r="S14" s="12">
        <f>R14+預測IC!S14</f>
        <v>0.22037026865002107</v>
      </c>
      <c r="T14" s="12">
        <f>S14+預測IC!T14</f>
        <v>0.25538982348442113</v>
      </c>
      <c r="U14" s="12">
        <f>T14+預測IC!U14</f>
        <v>0.29196808664231588</v>
      </c>
      <c r="V14" s="12">
        <f>U14+預測IC!V14</f>
        <v>0.23954678648343081</v>
      </c>
      <c r="W14" s="12">
        <f>V14+預測IC!W14</f>
        <v>0.31355494587168381</v>
      </c>
      <c r="X14" s="12">
        <f>W14+預測IC!X14</f>
        <v>0.4268180541839533</v>
      </c>
      <c r="Y14" s="12">
        <f>X14+預測IC!Y14</f>
        <v>0.37162706277173158</v>
      </c>
      <c r="Z14" s="12">
        <f>Y14+預測IC!Z14</f>
        <v>0.25492303110030279</v>
      </c>
      <c r="AA14" s="12">
        <f>Z14+預測IC!AA14</f>
        <v>0.29437321140238498</v>
      </c>
      <c r="AB14" s="12">
        <f>AA14+預測IC!AB14</f>
        <v>0.32170919000793913</v>
      </c>
      <c r="AC14" s="12">
        <f>AB14+預測IC!AC14</f>
        <v>0.32479575234672842</v>
      </c>
      <c r="AD14" s="12">
        <f>AC14+預測IC!AD14</f>
        <v>0.33771585895794676</v>
      </c>
      <c r="AE14" s="12">
        <f>AD14+預測IC!AE14</f>
        <v>0.34173491158952574</v>
      </c>
      <c r="AF14" s="12">
        <f>AE14+預測IC!AF14</f>
        <v>0.38215561413192484</v>
      </c>
      <c r="AG14" s="12">
        <f>AF14+預測IC!AG14</f>
        <v>0.40748490914287788</v>
      </c>
      <c r="AH14" s="12">
        <f>AG14+預測IC!AH14</f>
        <v>0.32653272471907624</v>
      </c>
      <c r="AI14" s="12">
        <f>AH14+預測IC!AI14</f>
        <v>0.29107008082046432</v>
      </c>
      <c r="AJ14" s="12">
        <f>AI14+預測IC!AJ14</f>
        <v>0.2760110447373133</v>
      </c>
      <c r="AK14" s="12">
        <f>AJ14+預測IC!AK14</f>
        <v>0.19853570571485929</v>
      </c>
      <c r="AL14" s="12">
        <f>AK14+預測IC!AL14</f>
        <v>0.23650489543732001</v>
      </c>
      <c r="AM14" s="12">
        <f>AL14+預測IC!AM14</f>
        <v>0.19404103949994619</v>
      </c>
      <c r="AN14" s="12">
        <f>AM14+預測IC!AN14</f>
        <v>0.2131735627252328</v>
      </c>
      <c r="AO14" s="12">
        <f>AN14+預測IC!AO14</f>
        <v>0.27407926819064277</v>
      </c>
      <c r="AP14" s="12">
        <f>AO14+預測IC!AP14</f>
        <v>0.26702411029590595</v>
      </c>
      <c r="AQ14" s="12">
        <f>AP14+預測IC!AQ14</f>
        <v>0.27515053134853751</v>
      </c>
      <c r="AR14" s="12">
        <f>AQ14+預測IC!AR14</f>
        <v>0.26756783968109865</v>
      </c>
      <c r="AS14" s="12">
        <f>AR14+預測IC!AS14</f>
        <v>0.25831089231267762</v>
      </c>
      <c r="AT14" s="12">
        <f>AS14+預測IC!AT14</f>
        <v>0.2928174719978221</v>
      </c>
      <c r="AU14" s="12">
        <f>AT14+預測IC!AU14</f>
        <v>0.33280912100112592</v>
      </c>
      <c r="AV14" s="12">
        <f>AU14+預測IC!AV14</f>
        <v>0.31412623556750874</v>
      </c>
      <c r="AW14" s="12">
        <f>AV14+預測IC!AW14</f>
        <v>0.29576330406155121</v>
      </c>
      <c r="AX14" s="12">
        <f>AW14+預測IC!AX14</f>
        <v>0.43271433235594392</v>
      </c>
      <c r="AY14" s="12">
        <f>AX14+預測IC!AY14</f>
        <v>0.44778245112770548</v>
      </c>
      <c r="AZ14" s="12">
        <f>AY14+預測IC!AZ14</f>
        <v>0.3944338819555494</v>
      </c>
      <c r="BA14" s="12">
        <f>AZ14+預測IC!BA14</f>
        <v>0.41205552749979252</v>
      </c>
      <c r="BB14" s="12">
        <f>BA14+預測IC!BB14</f>
        <v>0.51395352749979251</v>
      </c>
      <c r="BC14" s="12">
        <f>BB14+預測IC!BC14</f>
        <v>0.50413252854451507</v>
      </c>
      <c r="BD14" s="12">
        <f>BC14+預測IC!BD14</f>
        <v>0.52055142328135717</v>
      </c>
      <c r="BE14" s="12">
        <f>BD14+預測IC!BE14</f>
        <v>0.5643384858168442</v>
      </c>
      <c r="BF14" s="12">
        <f>BE14+預測IC!BF14</f>
        <v>0.55909643318526525</v>
      </c>
      <c r="BG14" s="12">
        <f>BF14+預測IC!BG14</f>
        <v>0.60047069725919799</v>
      </c>
      <c r="BH14" s="12">
        <f>BG14+預測IC!BH14</f>
        <v>0.60581345282779864</v>
      </c>
      <c r="BI14" s="12">
        <f>BH14+預測IC!BI14</f>
        <v>0.6559986657186524</v>
      </c>
      <c r="BJ14" s="12">
        <f>BI14+預測IC!BJ14</f>
        <v>0.63598144204741924</v>
      </c>
      <c r="BK14" s="12">
        <f>BJ14+預測IC!BK14</f>
        <v>0.63038769039034637</v>
      </c>
      <c r="BL14" s="12">
        <f>BK14+預測IC!BL14</f>
        <v>0.64095926933771474</v>
      </c>
      <c r="BM14" s="12">
        <f>BL14+預測IC!BM14</f>
        <v>0.61958463775876738</v>
      </c>
      <c r="BN14" s="12">
        <f>BM14+預測IC!BN14</f>
        <v>0.5934966774831878</v>
      </c>
      <c r="BO14" s="12">
        <f>BN14+預測IC!BO14</f>
        <v>0.60840078274634568</v>
      </c>
      <c r="BP14" s="12">
        <f>BO14+預測IC!BP14</f>
        <v>0.62407451623930488</v>
      </c>
      <c r="BQ14" s="12">
        <f>BP14+預測IC!BQ14</f>
        <v>0.63991804010925568</v>
      </c>
      <c r="BR14" s="12">
        <f>BQ14+預測IC!BR14</f>
        <v>0.7399704631846421</v>
      </c>
      <c r="BS14" s="12">
        <f>BR14+預測IC!BS14</f>
        <v>0.69847650804006423</v>
      </c>
      <c r="BT14" s="12">
        <f>BS14+預測IC!BT14</f>
        <v>0.71376482382953788</v>
      </c>
      <c r="BU14" s="12">
        <f>BT14+預測IC!BU14</f>
        <v>0.60260471856637998</v>
      </c>
      <c r="BV14" s="12">
        <f>BU14+預測IC!BV14</f>
        <v>0.64388692909269574</v>
      </c>
      <c r="BW14" s="12">
        <f>BV14+預測IC!BW14</f>
        <v>0.76229513961901152</v>
      </c>
      <c r="BX14" s="12">
        <f>BW14+預測IC!BX14</f>
        <v>0.77663043489631223</v>
      </c>
      <c r="BY14" s="12">
        <f>BX14+預測IC!BY14</f>
        <v>0.78322672826127726</v>
      </c>
      <c r="BZ14" s="12">
        <f>BY14+預測IC!BZ14</f>
        <v>0.83421251773496141</v>
      </c>
      <c r="CA14" s="12">
        <f>BZ14+預測IC!CA14</f>
        <v>0.80974725162002437</v>
      </c>
      <c r="CB14" s="12">
        <f>CA14+預測IC!CB14</f>
        <v>0.7876196350778496</v>
      </c>
      <c r="CC14" s="12">
        <f>CB14+預測IC!CC14</f>
        <v>0.90821484560416543</v>
      </c>
      <c r="CD14" s="12">
        <f>CC14+預測IC!CD14</f>
        <v>0.95613621402521809</v>
      </c>
      <c r="CE14" s="12">
        <f>CD14+預測IC!CE14</f>
        <v>1.1266910561304813</v>
      </c>
      <c r="CF14" s="12">
        <f>CE14+預測IC!CF14</f>
        <v>1.1063807403410075</v>
      </c>
      <c r="CG14" s="12">
        <f>CF14+預測IC!CG14</f>
        <v>1.2453076350778496</v>
      </c>
      <c r="CH14" s="12">
        <f>CG14+預測IC!CH14</f>
        <v>1.2493611613936391</v>
      </c>
      <c r="CI14" s="12">
        <f>CH14+預測IC!CI14</f>
        <v>1.2455330034989023</v>
      </c>
      <c r="CJ14" s="12">
        <f>CI14+預測IC!CJ14</f>
        <v>1.2742008584430768</v>
      </c>
      <c r="CK14" s="12">
        <f>CJ14+預測IC!CK14</f>
        <v>1.288217222833723</v>
      </c>
      <c r="CL14" s="12">
        <f>CK14+預測IC!CL14</f>
        <v>1.3504871777125596</v>
      </c>
      <c r="CM14" s="12">
        <f>CL14+預測IC!CM14</f>
        <v>1.2404193356072963</v>
      </c>
      <c r="CN14" s="12">
        <f>CM14+預測IC!CN14</f>
        <v>1.2634460242782224</v>
      </c>
      <c r="CO14" s="12">
        <f>CN14+預測IC!CO14</f>
        <v>1.1846822655598983</v>
      </c>
      <c r="CP14" s="12">
        <f>CO14+預測IC!CP14</f>
        <v>1.2844915970416511</v>
      </c>
      <c r="CQ14" s="12">
        <f>CP14+預測IC!CQ14</f>
        <v>1.3377032251333256</v>
      </c>
      <c r="CR14" s="12">
        <f>CQ14+預測IC!CR14</f>
        <v>1.4003442777649044</v>
      </c>
      <c r="CS14" s="12">
        <f>CR14+預測IC!CS14</f>
        <v>1.3413171575012488</v>
      </c>
      <c r="CT14" s="12">
        <f>CS14+預測IC!CT14</f>
        <v>1.3316552712191936</v>
      </c>
      <c r="CU14" s="12">
        <f>CT14+預測IC!CU14</f>
        <v>1.3755723739164083</v>
      </c>
      <c r="CV14" s="12">
        <f>CU14+預測IC!CV14</f>
        <v>1.5269692150740415</v>
      </c>
      <c r="CW14" s="12">
        <f>CV14+預測IC!CW14</f>
        <v>1.5717330995173016</v>
      </c>
      <c r="CX14" s="12">
        <f>CW14+預測IC!CX14</f>
        <v>1.5354336906290624</v>
      </c>
      <c r="CY14" s="12">
        <f>CX14+預測IC!CY14</f>
        <v>1.5641928109205367</v>
      </c>
      <c r="CZ14" s="12">
        <f>CY14+預測IC!CZ14</f>
        <v>1.5001292475701533</v>
      </c>
      <c r="DA14" s="12">
        <f>CZ14+預測IC!DA14</f>
        <v>1.5244335367407378</v>
      </c>
      <c r="DB14" s="12">
        <f>DA14+預測IC!DB14</f>
        <v>1.614672550297539</v>
      </c>
      <c r="DC14" s="12">
        <f>DB14+預測IC!DC14</f>
        <v>1.5716740083173388</v>
      </c>
      <c r="DD14" s="12">
        <f>DC14+預測IC!DD14</f>
        <v>1.4924686564691543</v>
      </c>
      <c r="DE14" s="12">
        <f>DD14+預測IC!DE14</f>
        <v>1.4614110775217859</v>
      </c>
      <c r="DF14" s="12">
        <f>DE14+預測IC!DF14</f>
        <v>1.2598466038375755</v>
      </c>
      <c r="DG14" s="12">
        <f>DF14+預測IC!DG14</f>
        <v>1.3471714095961085</v>
      </c>
      <c r="DH14" s="12">
        <f>DG14+預測IC!DH14</f>
        <v>1.3387581692284383</v>
      </c>
      <c r="DI14" s="12">
        <f>DH14+預測IC!DI14</f>
        <v>1.2980990345928667</v>
      </c>
      <c r="DJ14" s="12">
        <f>DI14+預測IC!DJ14</f>
        <v>1.2822012451191824</v>
      </c>
      <c r="DK14" s="12">
        <f>DJ14+預測IC!DK14</f>
        <v>1.3638229293297088</v>
      </c>
      <c r="DL14" s="12">
        <f>DK14+預測IC!DL14</f>
        <v>1.3730956135402352</v>
      </c>
      <c r="DM14" s="12">
        <f>DL14+預測IC!DM14</f>
        <v>1.3742162977507615</v>
      </c>
      <c r="DN14" s="12">
        <f>DM14+預測IC!DN14</f>
        <v>1.3292805571422659</v>
      </c>
      <c r="DO14" s="12">
        <f>DN14+預測IC!DO14</f>
        <v>1.2879049119794685</v>
      </c>
      <c r="DP14" s="12">
        <f>DO14+預測IC!DP14</f>
        <v>1.3508197200497689</v>
      </c>
      <c r="DQ14" s="12">
        <f>DP14+預測IC!DQ14</f>
        <v>1.4068389305760847</v>
      </c>
      <c r="DR14" s="12">
        <f>DQ14+預測IC!DR14</f>
        <v>1.4594614500350842</v>
      </c>
      <c r="DS14" s="12">
        <f>DR14+預測IC!DS14</f>
        <v>1.5155131342456105</v>
      </c>
      <c r="DT14" s="12">
        <f>DS14+預測IC!DT14</f>
        <v>1.6331854500350842</v>
      </c>
      <c r="DU14" s="12">
        <f>DT14+預測IC!DU14</f>
        <v>1.7019817131929789</v>
      </c>
      <c r="DV14" s="12">
        <f>DU14+預測IC!DV14</f>
        <v>1.5937193586628715</v>
      </c>
      <c r="DW14" s="12">
        <f>DV14+預測IC!DW14</f>
        <v>1.5919094639260294</v>
      </c>
      <c r="DX14" s="12">
        <f>DW14+預測IC!DX14</f>
        <v>1.6938409694784504</v>
      </c>
      <c r="DY14" s="12">
        <f>DX14+預測IC!DY14</f>
        <v>1.6558438895316019</v>
      </c>
      <c r="DZ14" s="12">
        <f>DY14+預測IC!DZ14</f>
        <v>1.6777254628500642</v>
      </c>
      <c r="EA14" s="12">
        <f>DZ14+預測IC!EA14</f>
        <v>1.599620196962128</v>
      </c>
      <c r="EB14" s="12">
        <f>EA14+預測IC!EB14</f>
        <v>1.5664428638495371</v>
      </c>
      <c r="EC14" s="12">
        <f>EB14+預測IC!EC14</f>
        <v>1.6097028813788448</v>
      </c>
      <c r="ED14" s="12">
        <f>EC14+預測IC!ED14</f>
        <v>1.7123325905650317</v>
      </c>
      <c r="EE14" s="12">
        <f>ED14+預測IC!EE14</f>
        <v>1.708933327407137</v>
      </c>
      <c r="EF14" s="12">
        <f>EE14+預測IC!EF14</f>
        <v>1.6389769069085789</v>
      </c>
    </row>
    <row r="15" spans="1:136">
      <c r="A15" s="2">
        <v>100</v>
      </c>
      <c r="B15" s="2">
        <v>10</v>
      </c>
      <c r="C15" s="12">
        <v>0.22764509999999999</v>
      </c>
      <c r="D15" s="12">
        <f>C15+預測IC!D15</f>
        <v>0.24459796479206572</v>
      </c>
      <c r="E15" s="12">
        <f>D15+預測IC!E15</f>
        <v>0.30664256479206575</v>
      </c>
      <c r="F15" s="12">
        <f>E15+預測IC!F15</f>
        <v>0.34156400134876314</v>
      </c>
      <c r="G15" s="12">
        <f>F15+預測IC!G15</f>
        <v>0.3071600803817266</v>
      </c>
      <c r="H15" s="12">
        <f>G15+預測IC!H15</f>
        <v>0.42600448038172661</v>
      </c>
      <c r="I15" s="12">
        <f>H15+預測IC!I15</f>
        <v>0.36757303610186109</v>
      </c>
      <c r="J15" s="12">
        <f>I15+預測IC!J15</f>
        <v>0.30304883610186106</v>
      </c>
      <c r="K15" s="12">
        <f>J15+預測IC!K15</f>
        <v>0.39756363369379194</v>
      </c>
      <c r="L15" s="12">
        <f>K15+預測IC!L15</f>
        <v>0.4787346942624382</v>
      </c>
      <c r="M15" s="12">
        <f>L15+預測IC!M15</f>
        <v>0.45323698478295094</v>
      </c>
      <c r="N15" s="12">
        <f>M15+預測IC!N15</f>
        <v>0.34344079035781722</v>
      </c>
      <c r="O15" s="12">
        <f>N15+預測IC!O15</f>
        <v>0.33116999459866453</v>
      </c>
      <c r="P15" s="12">
        <f>O15+預測IC!P15</f>
        <v>0.35306656444388856</v>
      </c>
      <c r="Q15" s="12">
        <f>P15+預測IC!Q15</f>
        <v>0.30716783299795697</v>
      </c>
      <c r="R15" s="12">
        <f>Q15+預測IC!R15</f>
        <v>0.18047677428814318</v>
      </c>
      <c r="S15" s="12">
        <f>R15+預測IC!S15</f>
        <v>0.45048466937029696</v>
      </c>
      <c r="T15" s="12">
        <f>S15+預測IC!T15</f>
        <v>0.49637574648748117</v>
      </c>
      <c r="U15" s="12">
        <f>T15+預測IC!U15</f>
        <v>0.54316444648748119</v>
      </c>
      <c r="V15" s="12">
        <f>U15+預測IC!V15</f>
        <v>0.4330374401566453</v>
      </c>
      <c r="W15" s="12">
        <f>V15+預測IC!W15</f>
        <v>0.5355810341393884</v>
      </c>
      <c r="X15" s="12">
        <f>W15+預測IC!X15</f>
        <v>0.6624243656030615</v>
      </c>
      <c r="Y15" s="12">
        <f>X15+預測IC!Y15</f>
        <v>0.61039556754591939</v>
      </c>
      <c r="Z15" s="12">
        <f>Y15+預測IC!Z15</f>
        <v>0.54769144821747551</v>
      </c>
      <c r="AA15" s="12">
        <f>Z15+預測IC!AA15</f>
        <v>0.60177259524550919</v>
      </c>
      <c r="AB15" s="12">
        <f>AA15+預測IC!AB15</f>
        <v>0.62393899598644231</v>
      </c>
      <c r="AC15" s="12">
        <f>AB15+預測IC!AC15</f>
        <v>0.61962132713838713</v>
      </c>
      <c r="AD15" s="12">
        <f>AC15+預測IC!AD15</f>
        <v>0.60068504410756873</v>
      </c>
      <c r="AE15" s="12">
        <f>AD15+預測IC!AE15</f>
        <v>0.55339944410756869</v>
      </c>
      <c r="AF15" s="12">
        <f>AE15+預測IC!AF15</f>
        <v>0.61921905660460852</v>
      </c>
      <c r="AG15" s="12">
        <f>AF15+預測IC!AG15</f>
        <v>0.66354360081968433</v>
      </c>
      <c r="AH15" s="12">
        <f>AG15+預測IC!AH15</f>
        <v>0.53057623580996149</v>
      </c>
      <c r="AI15" s="12">
        <f>AH15+預測IC!AI15</f>
        <v>0.50572697867743055</v>
      </c>
      <c r="AJ15" s="12">
        <f>AI15+預測IC!AJ15</f>
        <v>0.49626211870995479</v>
      </c>
      <c r="AK15" s="12">
        <f>AJ15+預測IC!AK15</f>
        <v>0.4269006675180384</v>
      </c>
      <c r="AL15" s="12">
        <f>AK15+預測IC!AL15</f>
        <v>0.47133233001385294</v>
      </c>
      <c r="AM15" s="12">
        <f>AL15+預測IC!AM15</f>
        <v>0.40270112292423432</v>
      </c>
      <c r="AN15" s="12">
        <f>AM15+預測IC!AN15</f>
        <v>0.43820158318943614</v>
      </c>
      <c r="AO15" s="12">
        <f>AN15+預測IC!AO15</f>
        <v>0.50157139565290321</v>
      </c>
      <c r="AP15" s="12">
        <f>AO15+預測IC!AP15</f>
        <v>0.48898919565290322</v>
      </c>
      <c r="AQ15" s="12">
        <f>AP15+預測IC!AQ15</f>
        <v>0.50873649565290324</v>
      </c>
      <c r="AR15" s="12">
        <f>AQ15+預測IC!AR15</f>
        <v>0.49100266989366392</v>
      </c>
      <c r="AS15" s="12">
        <f>AR15+預測IC!AS15</f>
        <v>0.5134334698936639</v>
      </c>
      <c r="AT15" s="12">
        <f>AS15+預測IC!AT15</f>
        <v>0.57868846054609246</v>
      </c>
      <c r="AU15" s="12">
        <f>AT15+預測IC!AU15</f>
        <v>0.6186317216355588</v>
      </c>
      <c r="AV15" s="12">
        <f>AU15+預測IC!AV15</f>
        <v>0.57140490330811988</v>
      </c>
      <c r="AW15" s="12">
        <f>AV15+預測IC!AW15</f>
        <v>0.58706484256270086</v>
      </c>
      <c r="AX15" s="12">
        <f>AW15+預測IC!AX15</f>
        <v>0.71229881973743603</v>
      </c>
      <c r="AY15" s="12">
        <f>AX15+預測IC!AY15</f>
        <v>0.74031588384746894</v>
      </c>
      <c r="AZ15" s="12">
        <f>AY15+預測IC!AZ15</f>
        <v>0.6489926037789655</v>
      </c>
      <c r="BA15" s="12">
        <f>AZ15+預測IC!BA15</f>
        <v>0.65960611858661844</v>
      </c>
      <c r="BB15" s="12">
        <f>BA15+預測IC!BB15</f>
        <v>0.76839461858661839</v>
      </c>
      <c r="BC15" s="12">
        <f>BB15+預測IC!BC15</f>
        <v>0.83054976225444865</v>
      </c>
      <c r="BD15" s="12">
        <f>BC15+預測IC!BD15</f>
        <v>0.83791446225444866</v>
      </c>
      <c r="BE15" s="12">
        <f>BD15+預測IC!BE15</f>
        <v>0.88635718327211177</v>
      </c>
      <c r="BF15" s="12">
        <f>BE15+預測IC!BF15</f>
        <v>0.82937958327211181</v>
      </c>
      <c r="BG15" s="12">
        <f>BF15+預測IC!BG15</f>
        <v>0.83186912200667706</v>
      </c>
      <c r="BH15" s="12">
        <f>BG15+預測IC!BH15</f>
        <v>0.86631096748836656</v>
      </c>
      <c r="BI15" s="12">
        <f>BH15+預測IC!BI15</f>
        <v>0.9348976266033362</v>
      </c>
      <c r="BJ15" s="12">
        <f>BI15+預測IC!BJ15</f>
        <v>0.92363259951589094</v>
      </c>
      <c r="BK15" s="12">
        <f>BJ15+預測IC!BK15</f>
        <v>0.92445635178369701</v>
      </c>
      <c r="BL15" s="12">
        <f>BK15+預測IC!BL15</f>
        <v>0.92453405178369696</v>
      </c>
      <c r="BM15" s="12">
        <f>BL15+預測IC!BM15</f>
        <v>0.86193655178369699</v>
      </c>
      <c r="BN15" s="12">
        <f>BM15+預測IC!BN15</f>
        <v>0.79821582437268535</v>
      </c>
      <c r="BO15" s="12">
        <f>BN15+預測IC!BO15</f>
        <v>0.81480622437268535</v>
      </c>
      <c r="BP15" s="12">
        <f>BO15+預測IC!BP15</f>
        <v>0.82899044508049013</v>
      </c>
      <c r="BQ15" s="12">
        <f>BP15+預測IC!BQ15</f>
        <v>0.84179337637081786</v>
      </c>
      <c r="BR15" s="12">
        <f>BQ15+預測IC!BR15</f>
        <v>0.96555551280727292</v>
      </c>
      <c r="BS15" s="12">
        <f>BR15+預測IC!BS15</f>
        <v>0.94873173535698663</v>
      </c>
      <c r="BT15" s="12">
        <f>BS15+預測IC!BT15</f>
        <v>0.91209913535698661</v>
      </c>
      <c r="BU15" s="12">
        <f>BT15+預測IC!BU15</f>
        <v>0.82655263535698664</v>
      </c>
      <c r="BV15" s="12">
        <f>BU15+預測IC!BV15</f>
        <v>0.91273273535698662</v>
      </c>
      <c r="BW15" s="12">
        <f>BV15+預測IC!BW15</f>
        <v>1.1168782353569866</v>
      </c>
      <c r="BX15" s="12">
        <f>BW15+預測IC!BX15</f>
        <v>1.1707298043014505</v>
      </c>
      <c r="BY15" s="12">
        <f>BX15+預測IC!BY15</f>
        <v>1.2324238957805103</v>
      </c>
      <c r="BZ15" s="12">
        <f>BY15+預測IC!BZ15</f>
        <v>1.2997840957805102</v>
      </c>
      <c r="CA15" s="12">
        <f>BZ15+預測IC!CA15</f>
        <v>1.281192074984068</v>
      </c>
      <c r="CB15" s="12">
        <f>CA15+預測IC!CB15</f>
        <v>1.2661351809722434</v>
      </c>
      <c r="CC15" s="12">
        <f>CB15+預測IC!CC15</f>
        <v>1.4397847809722435</v>
      </c>
      <c r="CD15" s="12">
        <f>CC15+預測IC!CD15</f>
        <v>1.5288783809722435</v>
      </c>
      <c r="CE15" s="12">
        <f>CD15+預測IC!CE15</f>
        <v>1.6022457809722435</v>
      </c>
      <c r="CF15" s="12">
        <f>CE15+預測IC!CF15</f>
        <v>1.5986193809722435</v>
      </c>
      <c r="CG15" s="12">
        <f>CF15+預測IC!CG15</f>
        <v>1.8243510809722436</v>
      </c>
      <c r="CH15" s="12">
        <f>CG15+預測IC!CH15</f>
        <v>1.7843715809722436</v>
      </c>
      <c r="CI15" s="12">
        <f>CH15+預測IC!CI15</f>
        <v>1.7150365809722437</v>
      </c>
      <c r="CJ15" s="12">
        <f>CI15+預測IC!CJ15</f>
        <v>1.8020809370449618</v>
      </c>
      <c r="CK15" s="12">
        <f>CJ15+預測IC!CK15</f>
        <v>1.8587535828170612</v>
      </c>
      <c r="CL15" s="12">
        <f>CK15+預測IC!CL15</f>
        <v>1.8901755578103094</v>
      </c>
      <c r="CM15" s="12">
        <f>CL15+預測IC!CM15</f>
        <v>1.7820576578103093</v>
      </c>
      <c r="CN15" s="12">
        <f>CM15+預測IC!CN15</f>
        <v>1.8246917736094697</v>
      </c>
      <c r="CO15" s="12">
        <f>CN15+預測IC!CO15</f>
        <v>1.7177125294099016</v>
      </c>
      <c r="CP15" s="12">
        <f>CO15+預測IC!CP15</f>
        <v>1.8452483648428513</v>
      </c>
      <c r="CQ15" s="12">
        <f>CP15+預測IC!CQ15</f>
        <v>1.8826263756079802</v>
      </c>
      <c r="CR15" s="12">
        <f>CQ15+預測IC!CR15</f>
        <v>1.9070008756079802</v>
      </c>
      <c r="CS15" s="12">
        <f>CR15+預測IC!CS15</f>
        <v>1.8468157031443855</v>
      </c>
      <c r="CT15" s="12">
        <f>CS15+預測IC!CT15</f>
        <v>1.8517573735099975</v>
      </c>
      <c r="CU15" s="12">
        <f>CT15+預測IC!CU15</f>
        <v>1.9149360334247703</v>
      </c>
      <c r="CV15" s="12">
        <f>CU15+預測IC!CV15</f>
        <v>2.0975475811416864</v>
      </c>
      <c r="CW15" s="12">
        <f>CV15+預測IC!CW15</f>
        <v>2.1236196720448133</v>
      </c>
      <c r="CX15" s="12">
        <f>CW15+預測IC!CX15</f>
        <v>2.0995800649914824</v>
      </c>
      <c r="CY15" s="12">
        <f>CX15+預測IC!CY15</f>
        <v>2.1420507380692446</v>
      </c>
      <c r="CZ15" s="12">
        <f>CY15+預測IC!CZ15</f>
        <v>2.0621637901249024</v>
      </c>
      <c r="DA15" s="12">
        <f>CZ15+預測IC!DA15</f>
        <v>2.0885396255667787</v>
      </c>
      <c r="DB15" s="12">
        <f>DA15+預測IC!DB15</f>
        <v>2.2982030276459944</v>
      </c>
      <c r="DC15" s="12">
        <f>DB15+預測IC!DC15</f>
        <v>2.2305105957008684</v>
      </c>
      <c r="DD15" s="12">
        <f>DC15+預測IC!DD15</f>
        <v>2.216003869569422</v>
      </c>
      <c r="DE15" s="12">
        <f>DD15+預測IC!DE15</f>
        <v>2.1503959695694221</v>
      </c>
      <c r="DF15" s="12">
        <f>DE15+預測IC!DF15</f>
        <v>1.8476743695694222</v>
      </c>
      <c r="DG15" s="12">
        <f>DF15+預測IC!DG15</f>
        <v>1.9607659324097819</v>
      </c>
      <c r="DH15" s="12">
        <f>DG15+預測IC!DH15</f>
        <v>1.9617043471768685</v>
      </c>
      <c r="DI15" s="12">
        <f>DH15+預測IC!DI15</f>
        <v>1.9075960285197382</v>
      </c>
      <c r="DJ15" s="12">
        <f>DI15+預測IC!DJ15</f>
        <v>1.8600295285197381</v>
      </c>
      <c r="DK15" s="12">
        <f>DJ15+預測IC!DK15</f>
        <v>1.960358528519738</v>
      </c>
      <c r="DL15" s="12">
        <f>DK15+預測IC!DL15</f>
        <v>1.952619328519738</v>
      </c>
      <c r="DM15" s="12">
        <f>DL15+預測IC!DM15</f>
        <v>1.9508458285197379</v>
      </c>
      <c r="DN15" s="12">
        <f>DM15+預測IC!DN15</f>
        <v>1.8691151162686088</v>
      </c>
      <c r="DO15" s="12">
        <f>DN15+預測IC!DO15</f>
        <v>1.822818389034808</v>
      </c>
      <c r="DP15" s="12">
        <f>DO15+預測IC!DP15</f>
        <v>1.9571233364001743</v>
      </c>
      <c r="DQ15" s="12">
        <f>DP15+預測IC!DQ15</f>
        <v>2.0300611364001742</v>
      </c>
      <c r="DR15" s="12">
        <f>DQ15+預測IC!DR15</f>
        <v>2.1000717030181124</v>
      </c>
      <c r="DS15" s="12">
        <f>DR15+預測IC!DS15</f>
        <v>2.1376016030181124</v>
      </c>
      <c r="DT15" s="12">
        <f>DS15+預測IC!DT15</f>
        <v>2.1718983030181125</v>
      </c>
      <c r="DU15" s="12">
        <f>DT15+預測IC!DU15</f>
        <v>2.2890268030181127</v>
      </c>
      <c r="DV15" s="12">
        <f>DU15+預測IC!DV15</f>
        <v>2.1492584460772415</v>
      </c>
      <c r="DW15" s="12">
        <f>DV15+預測IC!DW15</f>
        <v>2.2100852460772415</v>
      </c>
      <c r="DX15" s="12">
        <f>DW15+預測IC!DX15</f>
        <v>2.3287014967272279</v>
      </c>
      <c r="DY15" s="12">
        <f>DX15+預測IC!DY15</f>
        <v>2.2221623301262183</v>
      </c>
      <c r="DZ15" s="12">
        <f>DY15+預測IC!DZ15</f>
        <v>2.2410825741956026</v>
      </c>
      <c r="EA15" s="12">
        <f>DZ15+預測IC!EA15</f>
        <v>2.213743847985763</v>
      </c>
      <c r="EB15" s="12">
        <f>EA15+預測IC!EB15</f>
        <v>2.1652252748545182</v>
      </c>
      <c r="EC15" s="12">
        <f>EB15+預測IC!EC15</f>
        <v>2.2413823516511382</v>
      </c>
      <c r="ED15" s="12">
        <f>EC15+預測IC!ED15</f>
        <v>2.3547394075864494</v>
      </c>
      <c r="EE15" s="12">
        <f>ED15+預測IC!EE15</f>
        <v>2.3579296075864495</v>
      </c>
      <c r="EF15" s="12">
        <f>EE15+預測IC!EF15</f>
        <v>2.2922286164476073</v>
      </c>
    </row>
    <row r="16" spans="1:136">
      <c r="A16" s="2">
        <v>107</v>
      </c>
      <c r="B16" s="2">
        <v>9</v>
      </c>
      <c r="C16" s="12">
        <v>0.20787511111111109</v>
      </c>
      <c r="D16" s="12">
        <f>C16+預測IC!D16</f>
        <v>0.20715486244379405</v>
      </c>
      <c r="E16" s="12">
        <f>D16+預測IC!E16</f>
        <v>0.27215975133268294</v>
      </c>
      <c r="F16" s="12">
        <f>E16+預測IC!F16</f>
        <v>0.35087522323701392</v>
      </c>
      <c r="G16" s="12">
        <f>F16+預測IC!G16</f>
        <v>0.34272867257806466</v>
      </c>
      <c r="H16" s="12">
        <f>G16+預測IC!H16</f>
        <v>0.41557745035584243</v>
      </c>
      <c r="I16" s="12">
        <f>H16+預測IC!I16</f>
        <v>0.358046831690221</v>
      </c>
      <c r="J16" s="12">
        <f>I16+預測IC!J16</f>
        <v>0.28935338724577653</v>
      </c>
      <c r="K16" s="12">
        <f>J16+預測IC!K16</f>
        <v>0.37577427882816711</v>
      </c>
      <c r="L16" s="12">
        <f>K16+預測IC!L16</f>
        <v>0.46093588294237853</v>
      </c>
      <c r="M16" s="12">
        <f>L16+預測IC!M16</f>
        <v>0.42060142821713797</v>
      </c>
      <c r="N16" s="12">
        <f>M16+預測IC!N16</f>
        <v>0.30035892993794128</v>
      </c>
      <c r="O16" s="12">
        <f>N16+預測IC!O16</f>
        <v>0.27177185305896207</v>
      </c>
      <c r="P16" s="12">
        <f>O16+預測IC!P16</f>
        <v>0.27996003257329405</v>
      </c>
      <c r="Q16" s="12">
        <f>P16+預測IC!Q16</f>
        <v>0.1984813892673008</v>
      </c>
      <c r="R16" s="12">
        <f>Q16+預測IC!R16</f>
        <v>9.5371695379591601E-2</v>
      </c>
      <c r="S16" s="12">
        <f>R16+預測IC!S16</f>
        <v>0.38243471577838639</v>
      </c>
      <c r="T16" s="12">
        <f>S16+預測IC!T16</f>
        <v>0.42084138907199842</v>
      </c>
      <c r="U16" s="12">
        <f>T16+預測IC!U16</f>
        <v>0.46949105573866506</v>
      </c>
      <c r="V16" s="12">
        <f>U16+預測IC!V16</f>
        <v>0.3939195696297581</v>
      </c>
      <c r="W16" s="12">
        <f>V16+預測IC!W16</f>
        <v>0.4955852456775699</v>
      </c>
      <c r="X16" s="12">
        <f>W16+預測IC!X16</f>
        <v>0.61999502938605666</v>
      </c>
      <c r="Y16" s="12">
        <f>X16+預測IC!Y16</f>
        <v>0.56971619492499403</v>
      </c>
      <c r="Z16" s="12">
        <f>Y16+預測IC!Z16</f>
        <v>0.52670613674123312</v>
      </c>
      <c r="AA16" s="12">
        <f>Z16+預測IC!AA16</f>
        <v>0.57019377257722526</v>
      </c>
      <c r="AB16" s="12">
        <f>AA16+預測IC!AB16</f>
        <v>0.60248918701129306</v>
      </c>
      <c r="AC16" s="12">
        <f>AB16+預測IC!AC16</f>
        <v>0.61525463504670974</v>
      </c>
      <c r="AD16" s="12">
        <f>AC16+預測IC!AD16</f>
        <v>0.61413260919763346</v>
      </c>
      <c r="AE16" s="12">
        <f>AD16+預測IC!AE16</f>
        <v>0.56259860919763349</v>
      </c>
      <c r="AF16" s="12">
        <f>AE16+預測IC!AF16</f>
        <v>0.62628445177922265</v>
      </c>
      <c r="AG16" s="12">
        <f>AF16+預測IC!AG16</f>
        <v>0.67006061151499507</v>
      </c>
      <c r="AH16" s="12">
        <f>AG16+預測IC!AH16</f>
        <v>0.52165898634784258</v>
      </c>
      <c r="AI16" s="12">
        <f>AH16+預測IC!AI16</f>
        <v>0.48827573067619529</v>
      </c>
      <c r="AJ16" s="12">
        <f>AI16+預測IC!AJ16</f>
        <v>0.49530169674807134</v>
      </c>
      <c r="AK16" s="12">
        <f>AJ16+預測IC!AK16</f>
        <v>0.45786824376658347</v>
      </c>
      <c r="AL16" s="12">
        <f>AK16+預測IC!AL16</f>
        <v>0.50655717687110668</v>
      </c>
      <c r="AM16" s="12">
        <f>AL16+預測IC!AM16</f>
        <v>0.45441144439101555</v>
      </c>
      <c r="AN16" s="12">
        <f>AM16+預測IC!AN16</f>
        <v>0.47644396233352965</v>
      </c>
      <c r="AO16" s="12">
        <f>AN16+預測IC!AO16</f>
        <v>0.53786863415944197</v>
      </c>
      <c r="AP16" s="12">
        <f>AO16+預測IC!AP16</f>
        <v>0.53262818971499748</v>
      </c>
      <c r="AQ16" s="12">
        <f>AP16+預測IC!AQ16</f>
        <v>0.55666074527055298</v>
      </c>
      <c r="AR16" s="12">
        <f>AQ16+預測IC!AR16</f>
        <v>0.52228876621028208</v>
      </c>
      <c r="AS16" s="12">
        <f>AR16+預測IC!AS16</f>
        <v>0.55036743287694878</v>
      </c>
      <c r="AT16" s="12">
        <f>AS16+預測IC!AT16</f>
        <v>0.59991458819531884</v>
      </c>
      <c r="AU16" s="12">
        <f>AT16+預測IC!AU16</f>
        <v>0.64174142645021393</v>
      </c>
      <c r="AV16" s="12">
        <f>AU16+預測IC!AV16</f>
        <v>0.63266891967019523</v>
      </c>
      <c r="AW16" s="12">
        <f>AV16+預測IC!AW16</f>
        <v>0.67192184974484592</v>
      </c>
      <c r="AX16" s="12">
        <f>AW16+預測IC!AX16</f>
        <v>0.77275162298881883</v>
      </c>
      <c r="AY16" s="12">
        <f>AX16+預測IC!AY16</f>
        <v>0.80656421283316482</v>
      </c>
      <c r="AZ16" s="12">
        <f>AY16+預測IC!AZ16</f>
        <v>0.7016545776544526</v>
      </c>
      <c r="BA16" s="12">
        <f>AZ16+預測IC!BA16</f>
        <v>0.7165776827120387</v>
      </c>
      <c r="BB16" s="12">
        <f>BA16+預測IC!BB16</f>
        <v>0.84905168271203868</v>
      </c>
      <c r="BC16" s="12">
        <f>BB16+預測IC!BC16</f>
        <v>0.91617314881973055</v>
      </c>
      <c r="BD16" s="12">
        <f>BC16+預測IC!BD16</f>
        <v>0.92245725993084171</v>
      </c>
      <c r="BE16" s="12">
        <f>BD16+預測IC!BE16</f>
        <v>0.97386825432531665</v>
      </c>
      <c r="BF16" s="12">
        <f>BE16+預測IC!BF16</f>
        <v>0.91928392099198331</v>
      </c>
      <c r="BG16" s="12">
        <f>BF16+預測IC!BG16</f>
        <v>0.93275720303993992</v>
      </c>
      <c r="BH16" s="12">
        <f>BG16+預測IC!BH16</f>
        <v>0.91898158855597811</v>
      </c>
      <c r="BI16" s="12">
        <f>BH16+預測IC!BI16</f>
        <v>0.96042539631923995</v>
      </c>
      <c r="BJ16" s="12">
        <f>BI16+預測IC!BJ16</f>
        <v>0.93992158003603232</v>
      </c>
      <c r="BK16" s="12">
        <f>BJ16+預測IC!BK16</f>
        <v>0.94289357033122934</v>
      </c>
      <c r="BL16" s="12">
        <f>BK16+預測IC!BL16</f>
        <v>0.93447901477567374</v>
      </c>
      <c r="BM16" s="12">
        <f>BL16+預測IC!BM16</f>
        <v>0.86467412588678483</v>
      </c>
      <c r="BN16" s="12">
        <f>BM16+預測IC!BN16</f>
        <v>0.80336937597690006</v>
      </c>
      <c r="BO16" s="12">
        <f>BN16+預測IC!BO16</f>
        <v>0.81933070931023344</v>
      </c>
      <c r="BP16" s="12">
        <f>BO16+預測IC!BP16</f>
        <v>0.84017389285781396</v>
      </c>
      <c r="BQ16" s="12">
        <f>BP16+預測IC!BQ16</f>
        <v>0.85665190911274258</v>
      </c>
      <c r="BR16" s="12">
        <f>BQ16+預測IC!BR16</f>
        <v>0.98723487733776416</v>
      </c>
      <c r="BS16" s="12">
        <f>BR16+預測IC!BS16</f>
        <v>0.97404330419029994</v>
      </c>
      <c r="BT16" s="12">
        <f>BS16+預測IC!BT16</f>
        <v>0.93597797085696655</v>
      </c>
      <c r="BU16" s="12">
        <f>BT16+預測IC!BU16</f>
        <v>0.83444074863474438</v>
      </c>
      <c r="BV16" s="12">
        <f>BU16+預測IC!BV16</f>
        <v>0.92895119307918883</v>
      </c>
      <c r="BW16" s="12">
        <f>BV16+預測IC!BW16</f>
        <v>1.1528961930791888</v>
      </c>
      <c r="BX16" s="12">
        <f>BW16+預測IC!BX16</f>
        <v>1.2194557121972718</v>
      </c>
      <c r="BY16" s="12">
        <f>BX16+預測IC!BY16</f>
        <v>1.2700194450445148</v>
      </c>
      <c r="BZ16" s="12">
        <f>BY16+預測IC!BZ16</f>
        <v>1.3626490006000704</v>
      </c>
      <c r="CA16" s="12">
        <f>BZ16+預測IC!CA16</f>
        <v>1.3329346108445073</v>
      </c>
      <c r="CB16" s="12">
        <f>CA16+預測IC!CB16</f>
        <v>1.3343626558337245</v>
      </c>
      <c r="CC16" s="12">
        <f>CB16+預測IC!CC16</f>
        <v>1.3787489891670579</v>
      </c>
      <c r="CD16" s="12">
        <f>CC16+預測IC!CD16</f>
        <v>1.4664989891670579</v>
      </c>
      <c r="CE16" s="12">
        <f>CD16+預測IC!CE16</f>
        <v>1.5601127669448356</v>
      </c>
      <c r="CF16" s="12">
        <f>CE16+預測IC!CF16</f>
        <v>1.5454167669448355</v>
      </c>
      <c r="CG16" s="12">
        <f>CF16+預測IC!CG16</f>
        <v>1.6916134336115023</v>
      </c>
      <c r="CH16" s="12">
        <f>CG16+預測IC!CH16</f>
        <v>1.6730919891670579</v>
      </c>
      <c r="CI16" s="12">
        <f>CH16+預測IC!CI16</f>
        <v>1.6147486558337245</v>
      </c>
      <c r="CJ16" s="12">
        <f>CI16+預測IC!CJ16</f>
        <v>1.6602722066213911</v>
      </c>
      <c r="CK16" s="12">
        <f>CJ16+預測IC!CK16</f>
        <v>1.7367451903390814</v>
      </c>
      <c r="CL16" s="12">
        <f>CK16+預測IC!CL16</f>
        <v>1.7526238726737906</v>
      </c>
      <c r="CM16" s="12">
        <f>CL16+預測IC!CM16</f>
        <v>1.6395695393404572</v>
      </c>
      <c r="CN16" s="12">
        <f>CM16+預測IC!CN16</f>
        <v>1.6726270544814072</v>
      </c>
      <c r="CO16" s="12">
        <f>CN16+預測IC!CO16</f>
        <v>1.5379868456875019</v>
      </c>
      <c r="CP16" s="12">
        <f>CO16+預測IC!CP16</f>
        <v>1.6746185351695932</v>
      </c>
      <c r="CQ16" s="12">
        <f>CP16+預測IC!CQ16</f>
        <v>1.7160541408290038</v>
      </c>
      <c r="CR16" s="12">
        <f>CQ16+預測IC!CR16</f>
        <v>1.7412835852734483</v>
      </c>
      <c r="CS16" s="12">
        <f>CR16+預測IC!CS16</f>
        <v>1.6747244253993745</v>
      </c>
      <c r="CT16" s="12">
        <f>CS16+預測IC!CT16</f>
        <v>1.7002818033602092</v>
      </c>
      <c r="CU16" s="12">
        <f>CT16+預測IC!CU16</f>
        <v>1.7637164577191839</v>
      </c>
      <c r="CV16" s="12">
        <f>CU16+預測IC!CV16</f>
        <v>1.9359679803576704</v>
      </c>
      <c r="CW16" s="12">
        <f>CV16+預測IC!CW16</f>
        <v>1.9833096395319503</v>
      </c>
      <c r="CX16" s="12">
        <f>CW16+預測IC!CX16</f>
        <v>1.9710693547777003</v>
      </c>
      <c r="CY16" s="12">
        <f>CX16+預測IC!CY16</f>
        <v>2.0201864038943258</v>
      </c>
      <c r="CZ16" s="12">
        <f>CY16+預測IC!CZ16</f>
        <v>1.9175531447161933</v>
      </c>
      <c r="DA16" s="12">
        <f>CZ16+預測IC!DA16</f>
        <v>1.9473579386834288</v>
      </c>
      <c r="DB16" s="12">
        <f>DA16+預測IC!DB16</f>
        <v>2.1790232845850728</v>
      </c>
      <c r="DC16" s="12">
        <f>DB16+預測IC!DC16</f>
        <v>2.095759232962088</v>
      </c>
      <c r="DD16" s="12">
        <f>DC16+預測IC!DD16</f>
        <v>2.0640155224748078</v>
      </c>
      <c r="DE16" s="12">
        <f>DD16+預測IC!DE16</f>
        <v>2.0076901891414747</v>
      </c>
      <c r="DF16" s="12">
        <f>DE16+預測IC!DF16</f>
        <v>1.6821093002525858</v>
      </c>
      <c r="DG16" s="12">
        <f>DF16+預測IC!DG16</f>
        <v>1.8084812201030585</v>
      </c>
      <c r="DH16" s="12">
        <f>DG16+預測IC!DH16</f>
        <v>1.8045023881385032</v>
      </c>
      <c r="DI16" s="12">
        <f>DH16+預測IC!DI16</f>
        <v>1.7591028902372419</v>
      </c>
      <c r="DJ16" s="12">
        <f>DI16+預測IC!DJ16</f>
        <v>1.7073497791261307</v>
      </c>
      <c r="DK16" s="12">
        <f>DJ16+預測IC!DK16</f>
        <v>1.8036041124594639</v>
      </c>
      <c r="DL16" s="12">
        <f>DK16+預測IC!DL16</f>
        <v>1.802237223570575</v>
      </c>
      <c r="DM16" s="12">
        <f>DL16+預測IC!DM16</f>
        <v>1.7641018902372416</v>
      </c>
      <c r="DN16" s="12">
        <f>DM16+預測IC!DN16</f>
        <v>1.64821515849225</v>
      </c>
      <c r="DO16" s="12">
        <f>DN16+預測IC!DO16</f>
        <v>1.5949932509361062</v>
      </c>
      <c r="DP16" s="12">
        <f>DO16+預測IC!DP16</f>
        <v>1.7553272454119186</v>
      </c>
      <c r="DQ16" s="12">
        <f>DP16+預測IC!DQ16</f>
        <v>1.8228872454119187</v>
      </c>
      <c r="DR16" s="12">
        <f>DQ16+預測IC!DR16</f>
        <v>1.8780784970614339</v>
      </c>
      <c r="DS16" s="12">
        <f>DR16+預測IC!DS16</f>
        <v>1.8995183859503229</v>
      </c>
      <c r="DT16" s="12">
        <f>DS16+預測IC!DT16</f>
        <v>1.9315777192836561</v>
      </c>
      <c r="DU16" s="12">
        <f>DT16+預測IC!DU16</f>
        <v>2.0543507192836561</v>
      </c>
      <c r="DV16" s="12">
        <f>DU16+預測IC!DV16</f>
        <v>1.9173969872658625</v>
      </c>
      <c r="DW16" s="12">
        <f>DV16+預測IC!DW16</f>
        <v>1.9887000983769736</v>
      </c>
      <c r="DX16" s="12">
        <f>DW16+預測IC!DX16</f>
        <v>2.1139848047009511</v>
      </c>
      <c r="DY16" s="12">
        <f>DX16+預測IC!DY16</f>
        <v>1.9976304697906078</v>
      </c>
      <c r="DZ16" s="12">
        <f>DY16+預測IC!DZ16</f>
        <v>2.0289075496152842</v>
      </c>
      <c r="EA16" s="12">
        <f>DZ16+預測IC!EA16</f>
        <v>1.9822461780595573</v>
      </c>
      <c r="EB16" s="12">
        <f>EA16+預測IC!EB16</f>
        <v>1.9036355393164237</v>
      </c>
      <c r="EC16" s="12">
        <f>EB16+預測IC!EC16</f>
        <v>1.9721370198842627</v>
      </c>
      <c r="ED16" s="12">
        <f>EC16+預測IC!ED16</f>
        <v>2.0875537673831839</v>
      </c>
      <c r="EE16" s="12">
        <f>ED16+預測IC!EE16</f>
        <v>2.0919498784942951</v>
      </c>
      <c r="EF16" s="12">
        <f>EE16+預測IC!EF16</f>
        <v>2.0494754770003878</v>
      </c>
    </row>
    <row r="17" spans="1:136">
      <c r="A17" s="2">
        <v>120</v>
      </c>
      <c r="B17" s="2">
        <v>8</v>
      </c>
      <c r="C17" s="12">
        <v>0.20609237499999999</v>
      </c>
      <c r="D17" s="12">
        <f>C17+預測IC!D17</f>
        <v>0.1887580002669122</v>
      </c>
      <c r="E17" s="12">
        <f>D17+預測IC!E17</f>
        <v>0.26834600026691224</v>
      </c>
      <c r="F17" s="12">
        <f>E17+預測IC!F17</f>
        <v>0.34909816441923136</v>
      </c>
      <c r="G17" s="12">
        <f>F17+預測IC!G17</f>
        <v>0.24371108975550065</v>
      </c>
      <c r="H17" s="12">
        <f>G17+預測IC!H17</f>
        <v>0.34870583975550062</v>
      </c>
      <c r="I17" s="12">
        <f>H17+預測IC!I17</f>
        <v>0.23498081195331311</v>
      </c>
      <c r="J17" s="12">
        <f>I17+預測IC!J17</f>
        <v>0.11968243695331311</v>
      </c>
      <c r="K17" s="12">
        <f>J17+預測IC!K17</f>
        <v>0.221242516675623</v>
      </c>
      <c r="L17" s="12">
        <f>K17+預測IC!L17</f>
        <v>0.26347730782096512</v>
      </c>
      <c r="M17" s="12">
        <f>L17+預測IC!M17</f>
        <v>0.19854527283747894</v>
      </c>
      <c r="N17" s="12">
        <f>M17+預測IC!N17</f>
        <v>8.926744600767314E-2</v>
      </c>
      <c r="O17" s="12">
        <f>N17+預測IC!O17</f>
        <v>7.7960769943540911E-2</v>
      </c>
      <c r="P17" s="12">
        <f>O17+預測IC!P17</f>
        <v>9.1343716686909229E-2</v>
      </c>
      <c r="Q17" s="12">
        <f>P17+預測IC!Q17</f>
        <v>-8.9231116166587771E-3</v>
      </c>
      <c r="R17" s="12">
        <f>Q17+預測IC!R17</f>
        <v>-0.14534955681690498</v>
      </c>
      <c r="S17" s="12">
        <f>R17+預測IC!S17</f>
        <v>0.16530387583839323</v>
      </c>
      <c r="T17" s="12">
        <f>S17+預測IC!T17</f>
        <v>0.18864646134933399</v>
      </c>
      <c r="U17" s="12">
        <f>T17+預測IC!U17</f>
        <v>0.24093483634933399</v>
      </c>
      <c r="V17" s="12">
        <f>U17+預測IC!V17</f>
        <v>0.14367518049673095</v>
      </c>
      <c r="W17" s="12">
        <f>V17+預測IC!W17</f>
        <v>0.26327916450903843</v>
      </c>
      <c r="X17" s="12">
        <f>W17+預測IC!X17</f>
        <v>0.38012536244984202</v>
      </c>
      <c r="Y17" s="12">
        <f>X17+預測IC!Y17</f>
        <v>0.30650223095943441</v>
      </c>
      <c r="Z17" s="12">
        <f>Y17+預測IC!Z17</f>
        <v>0.25817655738777817</v>
      </c>
      <c r="AA17" s="12">
        <f>Z17+預測IC!AA17</f>
        <v>0.29338634696997729</v>
      </c>
      <c r="AB17" s="12">
        <f>AA17+預測IC!AB17</f>
        <v>0.33792465023941692</v>
      </c>
      <c r="AC17" s="12">
        <f>AB17+預測IC!AC17</f>
        <v>0.35801090497743843</v>
      </c>
      <c r="AD17" s="12">
        <f>AC17+預測IC!AD17</f>
        <v>0.33609806080379784</v>
      </c>
      <c r="AE17" s="12">
        <f>AD17+預測IC!AE17</f>
        <v>0.27665481080379783</v>
      </c>
      <c r="AF17" s="12">
        <f>AE17+預測IC!AF17</f>
        <v>0.33808412092573797</v>
      </c>
      <c r="AG17" s="12">
        <f>AF17+預測IC!AG17</f>
        <v>0.40072426249687665</v>
      </c>
      <c r="AH17" s="12">
        <f>AG17+預測IC!AH17</f>
        <v>0.25369937324107206</v>
      </c>
      <c r="AI17" s="12">
        <f>AH17+預測IC!AI17</f>
        <v>0.19666139758558551</v>
      </c>
      <c r="AJ17" s="12">
        <f>AI17+預測IC!AJ17</f>
        <v>0.23926402810454239</v>
      </c>
      <c r="AK17" s="12">
        <f>AJ17+預測IC!AK17</f>
        <v>0.20988813849496715</v>
      </c>
      <c r="AL17" s="12">
        <f>AK17+預測IC!AL17</f>
        <v>0.26061254424352365</v>
      </c>
      <c r="AM17" s="12">
        <f>AL17+預測IC!AM17</f>
        <v>0.16726083421699339</v>
      </c>
      <c r="AN17" s="12">
        <f>AM17+預測IC!AN17</f>
        <v>0.16080469884370502</v>
      </c>
      <c r="AO17" s="12">
        <f>AN17+預測IC!AO17</f>
        <v>0.17343703343942921</v>
      </c>
      <c r="AP17" s="12">
        <f>AO17+預測IC!AP17</f>
        <v>0.16967778343942921</v>
      </c>
      <c r="AQ17" s="12">
        <f>AP17+預測IC!AQ17</f>
        <v>0.1789081584394292</v>
      </c>
      <c r="AR17" s="12">
        <f>AQ17+預測IC!AR17</f>
        <v>0.13310553288212637</v>
      </c>
      <c r="AS17" s="12">
        <f>AR17+預測IC!AS17</f>
        <v>0.16262153288212636</v>
      </c>
      <c r="AT17" s="12">
        <f>AS17+預測IC!AT17</f>
        <v>0.21488933933184856</v>
      </c>
      <c r="AU17" s="12">
        <f>AT17+預測IC!AU17</f>
        <v>0.26944484661853635</v>
      </c>
      <c r="AV17" s="12">
        <f>AU17+預測IC!AV17</f>
        <v>0.24823894383626799</v>
      </c>
      <c r="AW17" s="12">
        <f>AV17+預測IC!AW17</f>
        <v>0.25666083187810479</v>
      </c>
      <c r="AX17" s="12">
        <f>AW17+預測IC!AX17</f>
        <v>0.35290139038690377</v>
      </c>
      <c r="AY17" s="12">
        <f>AX17+預測IC!AY17</f>
        <v>0.38032508707750468</v>
      </c>
      <c r="AZ17" s="12">
        <f>AY17+預測IC!AZ17</f>
        <v>0.25516748481731355</v>
      </c>
      <c r="BA17" s="12">
        <f>AZ17+預測IC!BA17</f>
        <v>0.2649926639244265</v>
      </c>
      <c r="BB17" s="12">
        <f>BA17+預測IC!BB17</f>
        <v>0.41826341392442651</v>
      </c>
      <c r="BC17" s="12">
        <f>BB17+預測IC!BC17</f>
        <v>0.50212660910224016</v>
      </c>
      <c r="BD17" s="12">
        <f>BC17+預測IC!BD17</f>
        <v>0.52154073410224011</v>
      </c>
      <c r="BE17" s="12">
        <f>BD17+預測IC!BE17</f>
        <v>0.59889097634030053</v>
      </c>
      <c r="BF17" s="12">
        <f>BE17+預測IC!BF17</f>
        <v>0.52147397634030046</v>
      </c>
      <c r="BG17" s="12">
        <f>BF17+預測IC!BG17</f>
        <v>0.48607974025226319</v>
      </c>
      <c r="BH17" s="12">
        <f>BG17+預測IC!BH17</f>
        <v>0.49959920110401623</v>
      </c>
      <c r="BI17" s="12">
        <f>BH17+預測IC!BI17</f>
        <v>0.5867111465439635</v>
      </c>
      <c r="BJ17" s="12">
        <f>BI17+預測IC!BJ17</f>
        <v>0.57685308227072707</v>
      </c>
      <c r="BK17" s="12">
        <f>BJ17+預測IC!BK17</f>
        <v>0.56303013020062154</v>
      </c>
      <c r="BL17" s="12">
        <f>BK17+預測IC!BL17</f>
        <v>0.57060338020062151</v>
      </c>
      <c r="BM17" s="12">
        <f>BL17+預測IC!BM17</f>
        <v>0.49263663020062154</v>
      </c>
      <c r="BN17" s="12">
        <f>BM17+預測IC!BN17</f>
        <v>0.43916644925346943</v>
      </c>
      <c r="BO17" s="12">
        <f>BN17+預測IC!BO17</f>
        <v>0.4705179492534694</v>
      </c>
      <c r="BP17" s="12">
        <f>BO17+預測IC!BP17</f>
        <v>0.50651392890795033</v>
      </c>
      <c r="BQ17" s="12">
        <f>BP17+預測IC!BQ17</f>
        <v>0.51789043935440193</v>
      </c>
      <c r="BR17" s="12">
        <f>BQ17+預測IC!BR17</f>
        <v>0.63291279238015374</v>
      </c>
      <c r="BS17" s="12">
        <f>BR17+預測IC!BS17</f>
        <v>0.62880932326954719</v>
      </c>
      <c r="BT17" s="12">
        <f>BS17+預測IC!BT17</f>
        <v>0.59516207326954718</v>
      </c>
      <c r="BU17" s="12">
        <f>BT17+預測IC!BU17</f>
        <v>0.49063769826954717</v>
      </c>
      <c r="BV17" s="12">
        <f>BU17+預測IC!BV17</f>
        <v>0.59728157326954712</v>
      </c>
      <c r="BW17" s="12">
        <f>BV17+預測IC!BW17</f>
        <v>0.82451594826954711</v>
      </c>
      <c r="BX17" s="12">
        <f>BW17+預測IC!BX17</f>
        <v>0.90715693780719553</v>
      </c>
      <c r="BY17" s="12">
        <f>BX17+預測IC!BY17</f>
        <v>0.99140240543588987</v>
      </c>
      <c r="BZ17" s="12">
        <f>BY17+預測IC!BZ17</f>
        <v>1.0983544054358898</v>
      </c>
      <c r="CA17" s="12">
        <f>BZ17+預測IC!CA17</f>
        <v>1.0704195730774002</v>
      </c>
      <c r="CB17" s="12">
        <f>CA17+預測IC!CB17</f>
        <v>1.0808972805693928</v>
      </c>
      <c r="CC17" s="12">
        <f>CB17+預測IC!CC17</f>
        <v>1.1226557805693929</v>
      </c>
      <c r="CD17" s="12">
        <f>CC17+預測IC!CD17</f>
        <v>1.1867604055693928</v>
      </c>
      <c r="CE17" s="12">
        <f>CD17+預測IC!CE17</f>
        <v>1.2824680305693927</v>
      </c>
      <c r="CF17" s="12">
        <f>CE17+預測IC!CF17</f>
        <v>1.1873442805693928</v>
      </c>
      <c r="CG17" s="12">
        <f>CF17+預測IC!CG17</f>
        <v>1.364379655569393</v>
      </c>
      <c r="CH17" s="12">
        <f>CG17+預測IC!CH17</f>
        <v>1.3416250305693931</v>
      </c>
      <c r="CI17" s="12">
        <f>CH17+預測IC!CI17</f>
        <v>1.259173780569393</v>
      </c>
      <c r="CJ17" s="12">
        <f>CI17+預測IC!CJ17</f>
        <v>1.309916102053835</v>
      </c>
      <c r="CK17" s="12">
        <f>CJ17+預測IC!CK17</f>
        <v>1.401654674711748</v>
      </c>
      <c r="CL17" s="12">
        <f>CK17+預測IC!CL17</f>
        <v>1.3922283299427167</v>
      </c>
      <c r="CM17" s="12">
        <f>CL17+預測IC!CM17</f>
        <v>1.2967357049427166</v>
      </c>
      <c r="CN17" s="12">
        <f>CM17+預測IC!CN17</f>
        <v>1.3234537660937036</v>
      </c>
      <c r="CO17" s="12">
        <f>CN17+預測IC!CO17</f>
        <v>1.1860408907641784</v>
      </c>
      <c r="CP17" s="12">
        <f>CO17+預測IC!CP17</f>
        <v>1.3342001599615221</v>
      </c>
      <c r="CQ17" s="12">
        <f>CP17+預測IC!CQ17</f>
        <v>1.3752880931449254</v>
      </c>
      <c r="CR17" s="12">
        <f>CQ17+預測IC!CR17</f>
        <v>1.3982949681449255</v>
      </c>
      <c r="CS17" s="12">
        <f>CR17+預測IC!CS17</f>
        <v>1.3014533368453558</v>
      </c>
      <c r="CT17" s="12">
        <f>CS17+預測IC!CT17</f>
        <v>1.3187926172504465</v>
      </c>
      <c r="CU17" s="12">
        <f>CT17+預測IC!CU17</f>
        <v>1.3932009248337005</v>
      </c>
      <c r="CV17" s="12">
        <f>CU17+預測IC!CV17</f>
        <v>1.544672309695055</v>
      </c>
      <c r="CW17" s="12">
        <f>CV17+預測IC!CW17</f>
        <v>1.6080655284995429</v>
      </c>
      <c r="CX17" s="12">
        <f>CW17+預測IC!CX17</f>
        <v>1.5972931339755951</v>
      </c>
      <c r="CY17" s="12">
        <f>CX17+預測IC!CY17</f>
        <v>1.6466764326916852</v>
      </c>
      <c r="CZ17" s="12">
        <f>CY17+預測IC!CZ17</f>
        <v>1.5224275948440646</v>
      </c>
      <c r="DA17" s="12">
        <f>CZ17+預測IC!DA17</f>
        <v>1.5663234539891988</v>
      </c>
      <c r="DB17" s="12">
        <f>DA17+預測IC!DB17</f>
        <v>1.7906404252842814</v>
      </c>
      <c r="DC17" s="12">
        <f>DB17+預測IC!DC17</f>
        <v>1.6917910327344718</v>
      </c>
      <c r="DD17" s="12">
        <f>DC17+預測IC!DD17</f>
        <v>1.662635611851591</v>
      </c>
      <c r="DE17" s="12">
        <f>DD17+預測IC!DE17</f>
        <v>1.610970236851591</v>
      </c>
      <c r="DF17" s="12">
        <f>DE17+預測IC!DF17</f>
        <v>1.258742861851591</v>
      </c>
      <c r="DG17" s="12">
        <f>DF17+預測IC!DG17</f>
        <v>1.3819553279822303</v>
      </c>
      <c r="DH17" s="12">
        <f>DG17+預測IC!DH17</f>
        <v>1.3693014333197175</v>
      </c>
      <c r="DI17" s="12">
        <f>DH17+預測IC!DI17</f>
        <v>1.3342568972537725</v>
      </c>
      <c r="DJ17" s="12">
        <f>DI17+預測IC!DJ17</f>
        <v>1.2771105222537724</v>
      </c>
      <c r="DK17" s="12">
        <f>DJ17+預測IC!DK17</f>
        <v>1.3798903972537724</v>
      </c>
      <c r="DL17" s="12">
        <f>DK17+預測IC!DL17</f>
        <v>1.3856801472537723</v>
      </c>
      <c r="DM17" s="12">
        <f>DL17+預測IC!DM17</f>
        <v>1.3431166472537723</v>
      </c>
      <c r="DN17" s="12">
        <f>DM17+預測IC!DN17</f>
        <v>1.236636684646486</v>
      </c>
      <c r="DO17" s="12">
        <f>DN17+預測IC!DO17</f>
        <v>1.1831853143065827</v>
      </c>
      <c r="DP17" s="12">
        <f>DO17+預測IC!DP17</f>
        <v>1.3252194725572175</v>
      </c>
      <c r="DQ17" s="12">
        <f>DP17+預測IC!DQ17</f>
        <v>1.3904634725572176</v>
      </c>
      <c r="DR17" s="12">
        <f>DQ17+預測IC!DR17</f>
        <v>1.4463482874335458</v>
      </c>
      <c r="DS17" s="12">
        <f>DR17+預測IC!DS17</f>
        <v>1.4837019124335458</v>
      </c>
      <c r="DT17" s="12">
        <f>DS17+預測IC!DT17</f>
        <v>1.5004449124335457</v>
      </c>
      <c r="DU17" s="12">
        <f>DT17+預測IC!DU17</f>
        <v>1.6299389124335457</v>
      </c>
      <c r="DV17" s="12">
        <f>DU17+預測IC!DV17</f>
        <v>1.5121735143225914</v>
      </c>
      <c r="DW17" s="12">
        <f>DV17+預測IC!DW17</f>
        <v>1.5887732643225914</v>
      </c>
      <c r="DX17" s="12">
        <f>DW17+預測IC!DX17</f>
        <v>1.7183122469190653</v>
      </c>
      <c r="DY17" s="12">
        <f>DX17+預測IC!DY17</f>
        <v>1.6061737921129913</v>
      </c>
      <c r="DZ17" s="12">
        <f>DY17+預測IC!DZ17</f>
        <v>1.6380019647127775</v>
      </c>
      <c r="EA17" s="12">
        <f>DZ17+預測IC!EA17</f>
        <v>1.6261840408470649</v>
      </c>
      <c r="EB17" s="12">
        <f>EA17+預測IC!EB17</f>
        <v>1.5390836916523256</v>
      </c>
      <c r="EC17" s="12">
        <f>EB17+預測IC!EC17</f>
        <v>1.6605957089203487</v>
      </c>
      <c r="ED17" s="12">
        <f>EC17+預測IC!ED17</f>
        <v>1.7889201528492613</v>
      </c>
      <c r="EE17" s="12">
        <f>ED17+預測IC!EE17</f>
        <v>1.7887257778492613</v>
      </c>
      <c r="EF17" s="12">
        <f>EE17+預測IC!EF17</f>
        <v>1.7410160108394095</v>
      </c>
    </row>
    <row r="18" spans="1:136">
      <c r="A18" s="2">
        <v>137</v>
      </c>
      <c r="B18" s="2">
        <v>7</v>
      </c>
      <c r="C18" s="12">
        <v>0.1897511428571429</v>
      </c>
      <c r="D18" s="12">
        <f>C18+預測IC!D18</f>
        <v>0.18156367577575017</v>
      </c>
      <c r="E18" s="12">
        <f>D18+預測IC!E18</f>
        <v>0.23500153291860731</v>
      </c>
      <c r="F18" s="12">
        <f>E18+預測IC!F18</f>
        <v>0.35438449302079711</v>
      </c>
      <c r="G18" s="12">
        <f>F18+預測IC!G18</f>
        <v>0.24606811973571713</v>
      </c>
      <c r="H18" s="12">
        <f>G18+預測IC!H18</f>
        <v>0.37460811973571712</v>
      </c>
      <c r="I18" s="12">
        <f>H18+預測IC!I18</f>
        <v>0.23910793951247603</v>
      </c>
      <c r="J18" s="12">
        <f>I18+預測IC!J18</f>
        <v>0.11394708236961881</v>
      </c>
      <c r="K18" s="12">
        <f>J18+預測IC!K18</f>
        <v>0.2495949711472511</v>
      </c>
      <c r="L18" s="12">
        <f>K18+預測IC!L18</f>
        <v>0.30035317825397012</v>
      </c>
      <c r="M18" s="12">
        <f>L18+預測IC!M18</f>
        <v>0.22065060113999369</v>
      </c>
      <c r="N18" s="12">
        <f>M18+預測IC!N18</f>
        <v>7.9443112643697578E-2</v>
      </c>
      <c r="O18" s="12">
        <f>N18+預測IC!O18</f>
        <v>0.11118105374119577</v>
      </c>
      <c r="P18" s="12">
        <f>O18+預測IC!P18</f>
        <v>0.11950913959510473</v>
      </c>
      <c r="Q18" s="12">
        <f>P18+預測IC!Q18</f>
        <v>2.6449549682198523E-2</v>
      </c>
      <c r="R18" s="12">
        <f>Q18+預測IC!R18</f>
        <v>-0.1277396390518229</v>
      </c>
      <c r="S18" s="12">
        <f>R18+預測IC!S18</f>
        <v>0.25599298988007141</v>
      </c>
      <c r="T18" s="12">
        <f>S18+預測IC!T18</f>
        <v>0.3083026874308023</v>
      </c>
      <c r="U18" s="12">
        <f>T18+預測IC!U18</f>
        <v>0.33643625885937373</v>
      </c>
      <c r="V18" s="12">
        <f>U18+預測IC!V18</f>
        <v>0.21504479743344801</v>
      </c>
      <c r="W18" s="12">
        <f>V18+預測IC!W18</f>
        <v>0.35296203534915421</v>
      </c>
      <c r="X18" s="12">
        <f>W18+預測IC!X18</f>
        <v>0.49641355298399481</v>
      </c>
      <c r="Y18" s="12">
        <f>X18+預測IC!Y18</f>
        <v>0.3925343090751835</v>
      </c>
      <c r="Z18" s="12">
        <f>Y18+預測IC!Z18</f>
        <v>0.34106458332434397</v>
      </c>
      <c r="AA18" s="12">
        <f>Z18+預測IC!AA18</f>
        <v>0.38276982850706803</v>
      </c>
      <c r="AB18" s="12">
        <f>AA18+預測IC!AB18</f>
        <v>0.44541463376972895</v>
      </c>
      <c r="AC18" s="12">
        <f>AB18+預測IC!AC18</f>
        <v>0.44404921329289671</v>
      </c>
      <c r="AD18" s="12">
        <f>AC18+預測IC!AD18</f>
        <v>0.41745362291381649</v>
      </c>
      <c r="AE18" s="12">
        <f>AD18+預測IC!AE18</f>
        <v>0.34025262291381653</v>
      </c>
      <c r="AF18" s="12">
        <f>AE18+預測IC!AF18</f>
        <v>0.37212604107444214</v>
      </c>
      <c r="AG18" s="12">
        <f>AF18+預測IC!AG18</f>
        <v>0.45384602096719573</v>
      </c>
      <c r="AH18" s="12">
        <f>AG18+預測IC!AH18</f>
        <v>0.29077751614234615</v>
      </c>
      <c r="AI18" s="12">
        <f>AH18+預測IC!AI18</f>
        <v>0.20935376609117645</v>
      </c>
      <c r="AJ18" s="12">
        <f>AI18+預測IC!AJ18</f>
        <v>0.25674752225762559</v>
      </c>
      <c r="AK18" s="12">
        <f>AJ18+預測IC!AK18</f>
        <v>0.23391463689562916</v>
      </c>
      <c r="AL18" s="12">
        <f>AK18+預測IC!AL18</f>
        <v>0.28144240052788688</v>
      </c>
      <c r="AM18" s="12">
        <f>AL18+預測IC!AM18</f>
        <v>0.18538937139106887</v>
      </c>
      <c r="AN18" s="12">
        <f>AM18+預測IC!AN18</f>
        <v>0.18818378915100675</v>
      </c>
      <c r="AO18" s="12">
        <f>AN18+預測IC!AO18</f>
        <v>0.19361132411869955</v>
      </c>
      <c r="AP18" s="12">
        <f>AO18+預測IC!AP18</f>
        <v>0.19159560983298526</v>
      </c>
      <c r="AQ18" s="12">
        <f>AP18+預測IC!AQ18</f>
        <v>0.1748074669758424</v>
      </c>
      <c r="AR18" s="12">
        <f>AQ18+預測IC!AR18</f>
        <v>0.13580499291307813</v>
      </c>
      <c r="AS18" s="12">
        <f>AR18+預測IC!AS18</f>
        <v>0.18117827862736383</v>
      </c>
      <c r="AT18" s="12">
        <f>AS18+預測IC!AT18</f>
        <v>0.22450392844794251</v>
      </c>
      <c r="AU18" s="12">
        <f>AT18+預測IC!AU18</f>
        <v>0.28907957252753402</v>
      </c>
      <c r="AV18" s="12">
        <f>AU18+預測IC!AV18</f>
        <v>0.26031081664581684</v>
      </c>
      <c r="AW18" s="12">
        <f>AV18+預測IC!AW18</f>
        <v>0.2848488508869243</v>
      </c>
      <c r="AX18" s="12">
        <f>AW18+預測IC!AX18</f>
        <v>0.3924097191427604</v>
      </c>
      <c r="AY18" s="12">
        <f>AX18+預測IC!AY18</f>
        <v>0.42719299778390846</v>
      </c>
      <c r="AZ18" s="12">
        <f>AY18+預測IC!AZ18</f>
        <v>0.27878391539500935</v>
      </c>
      <c r="BA18" s="12">
        <f>AZ18+預測IC!BA18</f>
        <v>0.27941622631969493</v>
      </c>
      <c r="BB18" s="12">
        <f>BA18+預測IC!BB18</f>
        <v>0.44667351203398065</v>
      </c>
      <c r="BC18" s="12">
        <f>BB18+預測IC!BC18</f>
        <v>0.52987508462730126</v>
      </c>
      <c r="BD18" s="12">
        <f>BC18+預測IC!BD18</f>
        <v>0.55015279891301549</v>
      </c>
      <c r="BE18" s="12">
        <f>BD18+預測IC!BE18</f>
        <v>0.61851401215117829</v>
      </c>
      <c r="BF18" s="12">
        <f>BE18+預測IC!BF18</f>
        <v>0.58037201215117828</v>
      </c>
      <c r="BG18" s="12">
        <f>BF18+預測IC!BG18</f>
        <v>0.56356577092497406</v>
      </c>
      <c r="BH18" s="12">
        <f>BG18+預測IC!BH18</f>
        <v>0.58406962398877948</v>
      </c>
      <c r="BI18" s="12">
        <f>BH18+預測IC!BI18</f>
        <v>0.69306963090744522</v>
      </c>
      <c r="BJ18" s="12">
        <f>BI18+預測IC!BJ18</f>
        <v>0.69902569495790479</v>
      </c>
      <c r="BK18" s="12">
        <f>BJ18+預測IC!BK18</f>
        <v>0.64102245078770215</v>
      </c>
      <c r="BL18" s="12">
        <f>BK18+預測IC!BL18</f>
        <v>0.66737473650198786</v>
      </c>
      <c r="BM18" s="12">
        <f>BL18+預測IC!BM18</f>
        <v>0.59759330793055931</v>
      </c>
      <c r="BN18" s="12">
        <f>BM18+預測IC!BN18</f>
        <v>0.55540171912575576</v>
      </c>
      <c r="BO18" s="12">
        <f>BN18+預測IC!BO18</f>
        <v>0.56380986198289862</v>
      </c>
      <c r="BP18" s="12">
        <f>BO18+預測IC!BP18</f>
        <v>0.61066740231758065</v>
      </c>
      <c r="BQ18" s="12">
        <f>BP18+預測IC!BQ18</f>
        <v>0.61258418642742962</v>
      </c>
      <c r="BR18" s="12">
        <f>BQ18+預測IC!BR18</f>
        <v>0.73354600430990546</v>
      </c>
      <c r="BS18" s="12">
        <f>BR18+預測IC!BS18</f>
        <v>0.72956237921278622</v>
      </c>
      <c r="BT18" s="12">
        <f>BS18+預測IC!BT18</f>
        <v>0.71626352206992905</v>
      </c>
      <c r="BU18" s="12">
        <f>BT18+預測IC!BU18</f>
        <v>0.60480137921278621</v>
      </c>
      <c r="BV18" s="12">
        <f>BU18+預測IC!BV18</f>
        <v>0.72030695064135764</v>
      </c>
      <c r="BW18" s="12">
        <f>BV18+預測IC!BW18</f>
        <v>0.98134623635564333</v>
      </c>
      <c r="BX18" s="12">
        <f>BW18+預測IC!BX18</f>
        <v>1.0559270997702415</v>
      </c>
      <c r="BY18" s="12">
        <f>BX18+預測IC!BY18</f>
        <v>1.1790020755942663</v>
      </c>
      <c r="BZ18" s="12">
        <f>BY18+預測IC!BZ18</f>
        <v>1.2888172184514091</v>
      </c>
      <c r="CA18" s="12">
        <f>BZ18+預測IC!CA18</f>
        <v>1.2727406745585483</v>
      </c>
      <c r="CB18" s="12">
        <f>CA18+預測IC!CB18</f>
        <v>1.2973180311709966</v>
      </c>
      <c r="CC18" s="12">
        <f>CB18+預測IC!CC18</f>
        <v>1.4019777454567111</v>
      </c>
      <c r="CD18" s="12">
        <f>CC18+預測IC!CD18</f>
        <v>1.4524227454567111</v>
      </c>
      <c r="CE18" s="12">
        <f>CD18+預測IC!CE18</f>
        <v>1.5296826025995682</v>
      </c>
      <c r="CF18" s="12">
        <f>CE18+預測IC!CF18</f>
        <v>1.4278236025995683</v>
      </c>
      <c r="CG18" s="12">
        <f>CF18+預測IC!CG18</f>
        <v>1.6544657454567111</v>
      </c>
      <c r="CH18" s="12">
        <f>CG18+預測IC!CH18</f>
        <v>1.6290251740281396</v>
      </c>
      <c r="CI18" s="12">
        <f>CH18+預測IC!CI18</f>
        <v>1.5113016025995683</v>
      </c>
      <c r="CJ18" s="12">
        <f>CI18+預測IC!CJ18</f>
        <v>1.5736152804244778</v>
      </c>
      <c r="CK18" s="12">
        <f>CJ18+預測IC!CK18</f>
        <v>1.6642830647167615</v>
      </c>
      <c r="CL18" s="12">
        <f>CK18+預測IC!CL18</f>
        <v>1.6332935196585683</v>
      </c>
      <c r="CM18" s="12">
        <f>CL18+預測IC!CM18</f>
        <v>1.530524805372854</v>
      </c>
      <c r="CN18" s="12">
        <f>CM18+預測IC!CN18</f>
        <v>1.5656110593510306</v>
      </c>
      <c r="CO18" s="12">
        <f>CN18+預測IC!CO18</f>
        <v>1.4150135497287832</v>
      </c>
      <c r="CP18" s="12">
        <f>CO18+預測IC!CP18</f>
        <v>1.577852658676794</v>
      </c>
      <c r="CQ18" s="12">
        <f>CP18+預測IC!CQ18</f>
        <v>1.6258291950850616</v>
      </c>
      <c r="CR18" s="12">
        <f>CQ18+預測IC!CR18</f>
        <v>1.659573909370776</v>
      </c>
      <c r="CS18" s="12">
        <f>CR18+預測IC!CS18</f>
        <v>1.5815466626388046</v>
      </c>
      <c r="CT18" s="12">
        <f>CS18+預測IC!CT18</f>
        <v>1.5652741684387959</v>
      </c>
      <c r="CU18" s="12">
        <f>CT18+預測IC!CU18</f>
        <v>1.6369228596439058</v>
      </c>
      <c r="CV18" s="12">
        <f>CU18+預測IC!CV18</f>
        <v>1.7639451277769127</v>
      </c>
      <c r="CW18" s="12">
        <f>CV18+預測IC!CW18</f>
        <v>1.8305037022752289</v>
      </c>
      <c r="CX18" s="12">
        <f>CW18+預測IC!CX18</f>
        <v>1.7689435164414509</v>
      </c>
      <c r="CY18" s="12">
        <f>CX18+預測IC!CY18</f>
        <v>1.8203009302162332</v>
      </c>
      <c r="CZ18" s="12">
        <f>CY18+預測IC!CZ18</f>
        <v>1.6874580669144619</v>
      </c>
      <c r="DA18" s="12">
        <f>CZ18+預測IC!DA18</f>
        <v>1.7348390064331554</v>
      </c>
      <c r="DB18" s="12">
        <f>DA18+預測IC!DB18</f>
        <v>1.9572211189565378</v>
      </c>
      <c r="DC18" s="12">
        <f>DB18+預測IC!DC18</f>
        <v>1.8744014117453753</v>
      </c>
      <c r="DD18" s="12">
        <f>DC18+預測IC!DD18</f>
        <v>1.8333872244260414</v>
      </c>
      <c r="DE18" s="12">
        <f>DD18+預測IC!DE18</f>
        <v>1.7940805101403272</v>
      </c>
      <c r="DF18" s="12">
        <f>DE18+預測IC!DF18</f>
        <v>1.4273869387117557</v>
      </c>
      <c r="DG18" s="12">
        <f>DF18+預測IC!DG18</f>
        <v>1.545604031985351</v>
      </c>
      <c r="DH18" s="12">
        <f>DG18+預測IC!DH18</f>
        <v>1.5325539993684225</v>
      </c>
      <c r="DI18" s="12">
        <f>DH18+預測IC!DI18</f>
        <v>1.5139407513380043</v>
      </c>
      <c r="DJ18" s="12">
        <f>DI18+預測IC!DJ18</f>
        <v>1.4632857513380044</v>
      </c>
      <c r="DK18" s="12">
        <f>DJ18+預測IC!DK18</f>
        <v>1.5698116084808615</v>
      </c>
      <c r="DL18" s="12">
        <f>DK18+預測IC!DL18</f>
        <v>1.5932211799094329</v>
      </c>
      <c r="DM18" s="12">
        <f>DL18+預測IC!DM18</f>
        <v>1.5347644656237187</v>
      </c>
      <c r="DN18" s="12">
        <f>DM18+預測IC!DN18</f>
        <v>1.409655782354188</v>
      </c>
      <c r="DO18" s="12">
        <f>DN18+預測IC!DO18</f>
        <v>1.3675508748035574</v>
      </c>
      <c r="DP18" s="12">
        <f>DO18+預測IC!DP18</f>
        <v>1.501037347080638</v>
      </c>
      <c r="DQ18" s="12">
        <f>DP18+預測IC!DQ18</f>
        <v>1.5629920613663522</v>
      </c>
      <c r="DR18" s="12">
        <f>DQ18+預測IC!DR18</f>
        <v>1.6398327161383133</v>
      </c>
      <c r="DS18" s="12">
        <f>DR18+預測IC!DS18</f>
        <v>1.651109858995456</v>
      </c>
      <c r="DT18" s="12">
        <f>DS18+預測IC!DT18</f>
        <v>1.6437021447097417</v>
      </c>
      <c r="DU18" s="12">
        <f>DT18+預測IC!DU18</f>
        <v>1.8024175732811702</v>
      </c>
      <c r="DV18" s="12">
        <f>DU18+預測IC!DV18</f>
        <v>1.6967769644811084</v>
      </c>
      <c r="DW18" s="12">
        <f>DV18+預測IC!DW18</f>
        <v>1.7654148216239656</v>
      </c>
      <c r="DX18" s="12">
        <f>DW18+預測IC!DX18</f>
        <v>1.9190177990864474</v>
      </c>
      <c r="DY18" s="12">
        <f>DX18+預測IC!DY18</f>
        <v>1.8215897621104977</v>
      </c>
      <c r="DZ18" s="12">
        <f>DY18+預測IC!DZ18</f>
        <v>1.8971061214068634</v>
      </c>
      <c r="EA18" s="12">
        <f>DZ18+預測IC!EA18</f>
        <v>1.9034676841508451</v>
      </c>
      <c r="EB18" s="12">
        <f>EA18+預測IC!EB18</f>
        <v>1.8036213061725246</v>
      </c>
      <c r="EC18" s="12">
        <f>EB18+預測IC!EC18</f>
        <v>1.9466615367653102</v>
      </c>
      <c r="ED18" s="12">
        <f>EC18+預測IC!ED18</f>
        <v>2.0571395586310759</v>
      </c>
      <c r="EE18" s="12">
        <f>ED18+預測IC!EE18</f>
        <v>2.0582498443453616</v>
      </c>
      <c r="EF18" s="12">
        <f>EE18+預測IC!EF18</f>
        <v>2.0092948272349451</v>
      </c>
    </row>
    <row r="19" spans="1:136">
      <c r="A19" s="2">
        <v>160</v>
      </c>
      <c r="B19" s="2">
        <v>6</v>
      </c>
      <c r="C19" s="12">
        <v>0.19659983333333331</v>
      </c>
      <c r="D19" s="12">
        <f>C19+預測IC!D19</f>
        <v>0.17642903387913755</v>
      </c>
      <c r="E19" s="12">
        <f>D19+預測IC!E19</f>
        <v>0.24224153387913755</v>
      </c>
      <c r="F19" s="12">
        <f>E19+預測IC!F19</f>
        <v>0.41993019568469803</v>
      </c>
      <c r="G19" s="12">
        <f>F19+預測IC!G19</f>
        <v>0.32386422382752061</v>
      </c>
      <c r="H19" s="12">
        <f>G19+預測IC!H19</f>
        <v>0.50147439049418729</v>
      </c>
      <c r="I19" s="12">
        <f>H19+預測IC!I19</f>
        <v>0.36682005760272079</v>
      </c>
      <c r="J19" s="12">
        <f>I19+預測IC!J19</f>
        <v>0.2105908909360541</v>
      </c>
      <c r="K19" s="12">
        <f>J19+預測IC!K19</f>
        <v>0.44938030565997078</v>
      </c>
      <c r="L19" s="12">
        <f>K19+預測IC!L19</f>
        <v>0.46970695530031586</v>
      </c>
      <c r="M19" s="12">
        <f>L19+預測IC!M19</f>
        <v>0.38349661627419818</v>
      </c>
      <c r="N19" s="12">
        <f>M19+預測IC!N19</f>
        <v>0.23165303512621807</v>
      </c>
      <c r="O19" s="12">
        <f>N19+預測IC!O19</f>
        <v>0.263214909615134</v>
      </c>
      <c r="P19" s="12">
        <f>O19+預測IC!P19</f>
        <v>0.28672807043965404</v>
      </c>
      <c r="Q19" s="12">
        <f>P19+預測IC!Q19</f>
        <v>0.20486195770311322</v>
      </c>
      <c r="R19" s="12">
        <f>Q19+預測IC!R19</f>
        <v>5.9278684900903128E-2</v>
      </c>
      <c r="S19" s="12">
        <f>R19+預測IC!S19</f>
        <v>0.24343880159851114</v>
      </c>
      <c r="T19" s="12">
        <f>S19+預測IC!T19</f>
        <v>0.29490351884382071</v>
      </c>
      <c r="U19" s="12">
        <f>T19+預測IC!U19</f>
        <v>0.3390876855104874</v>
      </c>
      <c r="V19" s="12">
        <f>U19+預測IC!V19</f>
        <v>0.24639936578517424</v>
      </c>
      <c r="W19" s="12">
        <f>V19+預測IC!W19</f>
        <v>0.39302035650268435</v>
      </c>
      <c r="X19" s="12">
        <f>W19+預測IC!X19</f>
        <v>0.50965940176677771</v>
      </c>
      <c r="Y19" s="12">
        <f>X19+預測IC!Y19</f>
        <v>0.40652916283633944</v>
      </c>
      <c r="Z19" s="12">
        <f>Y19+預測IC!Z19</f>
        <v>0.34864043745764012</v>
      </c>
      <c r="AA19" s="12">
        <f>Z19+預測IC!AA19</f>
        <v>0.39021062199579587</v>
      </c>
      <c r="AB19" s="12">
        <f>AA19+預測IC!AB19</f>
        <v>0.44192937480655314</v>
      </c>
      <c r="AC19" s="12">
        <f>AB19+預測IC!AC19</f>
        <v>0.42778783209794335</v>
      </c>
      <c r="AD19" s="12">
        <f>AC19+預測IC!AD19</f>
        <v>0.39269890350999304</v>
      </c>
      <c r="AE19" s="12">
        <f>AD19+預測IC!AE19</f>
        <v>0.27746773684332643</v>
      </c>
      <c r="AF19" s="12">
        <f>AE19+預測IC!AF19</f>
        <v>0.31625340365222621</v>
      </c>
      <c r="AG19" s="12">
        <f>AF19+預測IC!AG19</f>
        <v>0.35774050709653787</v>
      </c>
      <c r="AH19" s="12">
        <f>AG19+預測IC!AH19</f>
        <v>0.15358421993132829</v>
      </c>
      <c r="AI19" s="12">
        <f>AH19+預測IC!AI19</f>
        <v>0.10581786717153192</v>
      </c>
      <c r="AJ19" s="12">
        <f>AI19+預測IC!AJ19</f>
        <v>0.1573631574987942</v>
      </c>
      <c r="AK19" s="12">
        <f>AJ19+預測IC!AK19</f>
        <v>0.11678163438563122</v>
      </c>
      <c r="AL19" s="12">
        <f>AK19+預測IC!AL19</f>
        <v>0.18705258005643677</v>
      </c>
      <c r="AM19" s="12">
        <f>AL19+預測IC!AM19</f>
        <v>0.12592844900259006</v>
      </c>
      <c r="AN19" s="12">
        <f>AM19+預測IC!AN19</f>
        <v>0.1156889007328769</v>
      </c>
      <c r="AO19" s="12">
        <f>AN19+預測IC!AO19</f>
        <v>0.1415818037782913</v>
      </c>
      <c r="AP19" s="12">
        <f>AO19+預測IC!AP19</f>
        <v>0.1318688037782913</v>
      </c>
      <c r="AQ19" s="12">
        <f>AP19+預測IC!AQ19</f>
        <v>7.6940970444957957E-2</v>
      </c>
      <c r="AR19" s="12">
        <f>AQ19+預測IC!AR19</f>
        <v>0.11808548534053376</v>
      </c>
      <c r="AS19" s="12">
        <f>AR19+預測IC!AS19</f>
        <v>0.12177248534053374</v>
      </c>
      <c r="AT19" s="12">
        <f>AS19+預測IC!AT19</f>
        <v>0.17106746710623505</v>
      </c>
      <c r="AU19" s="12">
        <f>AT19+預測IC!AU19</f>
        <v>0.24749618281988922</v>
      </c>
      <c r="AV19" s="12">
        <f>AU19+預測IC!AV19</f>
        <v>0.19746316212291132</v>
      </c>
      <c r="AW19" s="12">
        <f>AV19+預測IC!AW19</f>
        <v>0.21981933027704781</v>
      </c>
      <c r="AX19" s="12">
        <f>AW19+預測IC!AX19</f>
        <v>0.30002574458746067</v>
      </c>
      <c r="AY19" s="12">
        <f>AX19+預測IC!AY19</f>
        <v>0.32955471498084049</v>
      </c>
      <c r="AZ19" s="12">
        <f>AY19+預測IC!AZ19</f>
        <v>0.14267509681266619</v>
      </c>
      <c r="BA19" s="12">
        <f>AZ19+預測IC!BA19</f>
        <v>0.10831121285859316</v>
      </c>
      <c r="BB19" s="12">
        <f>BA19+預測IC!BB19</f>
        <v>0.31011304619192648</v>
      </c>
      <c r="BC19" s="12">
        <f>BB19+預測IC!BC19</f>
        <v>0.37416853253811222</v>
      </c>
      <c r="BD19" s="12">
        <f>BC19+預測IC!BD19</f>
        <v>0.37409769920477887</v>
      </c>
      <c r="BE19" s="12">
        <f>BD19+預測IC!BE19</f>
        <v>0.42522957316844545</v>
      </c>
      <c r="BF19" s="12">
        <f>BE19+預測IC!BF19</f>
        <v>0.3757939065017788</v>
      </c>
      <c r="BG19" s="12">
        <f>BF19+預測IC!BG19</f>
        <v>0.35945024816893661</v>
      </c>
      <c r="BH19" s="12">
        <f>BG19+預測IC!BH19</f>
        <v>0.36146844987036764</v>
      </c>
      <c r="BI19" s="12">
        <f>BH19+預測IC!BI19</f>
        <v>0.4892670786895863</v>
      </c>
      <c r="BJ19" s="12">
        <f>BI19+預測IC!BJ19</f>
        <v>0.51097438022816555</v>
      </c>
      <c r="BK19" s="12">
        <f>BJ19+預測IC!BK19</f>
        <v>0.45922485413617314</v>
      </c>
      <c r="BL19" s="12">
        <f>BK19+預測IC!BL19</f>
        <v>0.48522068746950647</v>
      </c>
      <c r="BM19" s="12">
        <f>BL19+預測IC!BM19</f>
        <v>0.39706485413617315</v>
      </c>
      <c r="BN19" s="12">
        <f>BM19+預測IC!BN19</f>
        <v>0.32487975441367206</v>
      </c>
      <c r="BO19" s="12">
        <f>BN19+預測IC!BO19</f>
        <v>0.30631925441367208</v>
      </c>
      <c r="BP19" s="12">
        <f>BO19+預測IC!BP19</f>
        <v>0.36913806194780424</v>
      </c>
      <c r="BQ19" s="12">
        <f>BP19+預測IC!BQ19</f>
        <v>0.3790721064021273</v>
      </c>
      <c r="BR19" s="12">
        <f>BQ19+預測IC!BR19</f>
        <v>0.51591134194527277</v>
      </c>
      <c r="BS19" s="12">
        <f>BR19+預測IC!BS19</f>
        <v>0.4916550032007907</v>
      </c>
      <c r="BT19" s="12">
        <f>BS19+預測IC!BT19</f>
        <v>0.50484983653412396</v>
      </c>
      <c r="BU19" s="12">
        <f>BT19+預測IC!BU19</f>
        <v>0.37417900320079067</v>
      </c>
      <c r="BV19" s="12">
        <f>BU19+預測IC!BV19</f>
        <v>0.47426433653412398</v>
      </c>
      <c r="BW19" s="12">
        <f>BV19+預測IC!BW19</f>
        <v>0.77024016986745736</v>
      </c>
      <c r="BX19" s="12">
        <f>BW19+預測IC!BX19</f>
        <v>0.82507045142777424</v>
      </c>
      <c r="BY19" s="12">
        <f>BX19+預測IC!BY19</f>
        <v>0.93272018798342249</v>
      </c>
      <c r="BZ19" s="12">
        <f>BY19+預測IC!BZ19</f>
        <v>1.0774628546500891</v>
      </c>
      <c r="CA19" s="12">
        <f>BZ19+預測IC!CA19</f>
        <v>1.0481340994263146</v>
      </c>
      <c r="CB19" s="12">
        <f>CA19+預測IC!CB19</f>
        <v>1.0961752679345595</v>
      </c>
      <c r="CC19" s="12">
        <f>CB19+預測IC!CC19</f>
        <v>1.1186809346012263</v>
      </c>
      <c r="CD19" s="12">
        <f>CC19+預測IC!CD19</f>
        <v>1.206345101267893</v>
      </c>
      <c r="CE19" s="12">
        <f>CD19+預測IC!CE19</f>
        <v>1.2948192679345596</v>
      </c>
      <c r="CF19" s="12">
        <f>CE19+預測IC!CF19</f>
        <v>1.183120601267893</v>
      </c>
      <c r="CG19" s="12">
        <f>CF19+預測IC!CG19</f>
        <v>1.4470146012678931</v>
      </c>
      <c r="CH19" s="12">
        <f>CG19+預測IC!CH19</f>
        <v>1.4394547679345597</v>
      </c>
      <c r="CI19" s="12">
        <f>CH19+預測IC!CI19</f>
        <v>1.274254101267893</v>
      </c>
      <c r="CJ19" s="12">
        <f>CI19+預測IC!CJ19</f>
        <v>1.3361946012339292</v>
      </c>
      <c r="CK19" s="12">
        <f>CJ19+預測IC!CK19</f>
        <v>1.4401623190510273</v>
      </c>
      <c r="CL19" s="12">
        <f>CK19+預測IC!CL19</f>
        <v>1.3969220390762374</v>
      </c>
      <c r="CM19" s="12">
        <f>CL19+預測IC!CM19</f>
        <v>1.2866868724095706</v>
      </c>
      <c r="CN19" s="12">
        <f>CM19+預測IC!CN19</f>
        <v>1.3636195270768741</v>
      </c>
      <c r="CO19" s="12">
        <f>CN19+預測IC!CO19</f>
        <v>1.1974729693015935</v>
      </c>
      <c r="CP19" s="12">
        <f>CO19+預測IC!CP19</f>
        <v>1.3565055682839262</v>
      </c>
      <c r="CQ19" s="12">
        <f>CP19+預測IC!CQ19</f>
        <v>1.3537756601293642</v>
      </c>
      <c r="CR19" s="12">
        <f>CQ19+預測IC!CR19</f>
        <v>1.3780761601293643</v>
      </c>
      <c r="CS19" s="12">
        <f>CR19+預測IC!CS19</f>
        <v>1.3173753092308262</v>
      </c>
      <c r="CT19" s="12">
        <f>CS19+預測IC!CT19</f>
        <v>1.2894346720458294</v>
      </c>
      <c r="CU19" s="12">
        <f>CT19+預測IC!CU19</f>
        <v>1.3728710691597223</v>
      </c>
      <c r="CV19" s="12">
        <f>CU19+預測IC!CV19</f>
        <v>1.4674240771311013</v>
      </c>
      <c r="CW19" s="12">
        <f>CV19+預測IC!CW19</f>
        <v>1.5279399557041387</v>
      </c>
      <c r="CX19" s="12">
        <f>CW19+預測IC!CX19</f>
        <v>1.4703052293359538</v>
      </c>
      <c r="CY19" s="12">
        <f>CX19+預測IC!CY19</f>
        <v>1.5412270989003234</v>
      </c>
      <c r="CZ19" s="12">
        <f>CY19+預測IC!CZ19</f>
        <v>1.4283752702588595</v>
      </c>
      <c r="DA19" s="12">
        <f>CZ19+預測IC!DA19</f>
        <v>1.4865991469620963</v>
      </c>
      <c r="DB19" s="12">
        <f>DA19+預測IC!DB19</f>
        <v>1.7727376008634026</v>
      </c>
      <c r="DC19" s="12">
        <f>DB19+預測IC!DC19</f>
        <v>1.7071500161255058</v>
      </c>
      <c r="DD19" s="12">
        <f>DC19+預測IC!DD19</f>
        <v>1.7009488908706769</v>
      </c>
      <c r="DE19" s="12">
        <f>DD19+預測IC!DE19</f>
        <v>1.694943390870677</v>
      </c>
      <c r="DF19" s="12">
        <f>DE19+預測IC!DF19</f>
        <v>1.4894405575373437</v>
      </c>
      <c r="DG19" s="12">
        <f>DF19+預測IC!DG19</f>
        <v>1.6159313553748651</v>
      </c>
      <c r="DH19" s="12">
        <f>DG19+預測IC!DH19</f>
        <v>1.5727107498916137</v>
      </c>
      <c r="DI19" s="12">
        <f>DH19+預測IC!DI19</f>
        <v>1.5140637168803452</v>
      </c>
      <c r="DJ19" s="12">
        <f>DI19+預測IC!DJ19</f>
        <v>1.4335633835470118</v>
      </c>
      <c r="DK19" s="12">
        <f>DJ19+預測IC!DK19</f>
        <v>1.5550040502136786</v>
      </c>
      <c r="DL19" s="12">
        <f>DK19+預測IC!DL19</f>
        <v>1.5783168835470118</v>
      </c>
      <c r="DM19" s="12">
        <f>DL19+預測IC!DM19</f>
        <v>1.5210170502136786</v>
      </c>
      <c r="DN19" s="12">
        <f>DM19+預測IC!DN19</f>
        <v>1.3470887484851304</v>
      </c>
      <c r="DO19" s="12">
        <f>DN19+預測IC!DO19</f>
        <v>1.2919621850851866</v>
      </c>
      <c r="DP19" s="12">
        <f>DO19+預測IC!DP19</f>
        <v>1.4622303157651486</v>
      </c>
      <c r="DQ19" s="12">
        <f>DP19+預測IC!DQ19</f>
        <v>1.5128528157651486</v>
      </c>
      <c r="DR19" s="12">
        <f>DQ19+預測IC!DR19</f>
        <v>1.5888151690901968</v>
      </c>
      <c r="DS19" s="12">
        <f>DR19+預測IC!DS19</f>
        <v>1.5831368357568636</v>
      </c>
      <c r="DT19" s="12">
        <f>DS19+預測IC!DT19</f>
        <v>1.5800603357568637</v>
      </c>
      <c r="DU19" s="12">
        <f>DT19+預測IC!DU19</f>
        <v>1.7306428357568637</v>
      </c>
      <c r="DV19" s="12">
        <f>DU19+預測IC!DV19</f>
        <v>1.6191181293162593</v>
      </c>
      <c r="DW19" s="12">
        <f>DV19+預測IC!DW19</f>
        <v>1.7204151293162593</v>
      </c>
      <c r="DX19" s="12">
        <f>DW19+預測IC!DX19</f>
        <v>1.858780263554437</v>
      </c>
      <c r="DY19" s="12">
        <f>DX19+預測IC!DY19</f>
        <v>1.788670685866514</v>
      </c>
      <c r="DZ19" s="12">
        <f>DY19+預測IC!DZ19</f>
        <v>1.900591514730507</v>
      </c>
      <c r="EA19" s="12">
        <f>DZ19+預測IC!EA19</f>
        <v>1.9286708682061744</v>
      </c>
      <c r="EB19" s="12">
        <f>EA19+預測IC!EB19</f>
        <v>1.9068980981933958</v>
      </c>
      <c r="EC19" s="12">
        <f>EB19+預測IC!EC19</f>
        <v>2.0506723010184049</v>
      </c>
      <c r="ED19" s="12">
        <f>EC19+預測IC!ED19</f>
        <v>2.2016076180085618</v>
      </c>
      <c r="EE19" s="12">
        <f>ED19+預測IC!EE19</f>
        <v>2.1943012846752286</v>
      </c>
      <c r="EF19" s="12">
        <f>EE19+預測IC!EF19</f>
        <v>2.1773233298004593</v>
      </c>
    </row>
    <row r="20" spans="1:136">
      <c r="A20" s="2">
        <v>192</v>
      </c>
      <c r="B20" s="2">
        <v>5</v>
      </c>
      <c r="C20" s="12">
        <v>0.20155100000000001</v>
      </c>
      <c r="D20" s="12">
        <f>C20+預測IC!D20</f>
        <v>0.20190271826374556</v>
      </c>
      <c r="E20" s="12">
        <f>D20+預測IC!E20</f>
        <v>0.25923791826374554</v>
      </c>
      <c r="F20" s="12">
        <f>E20+預測IC!F20</f>
        <v>0.46476918259691974</v>
      </c>
      <c r="G20" s="12">
        <f>F20+預測IC!G20</f>
        <v>0.34758604130798065</v>
      </c>
      <c r="H20" s="12">
        <f>G20+預測IC!H20</f>
        <v>0.49151824130798066</v>
      </c>
      <c r="I20" s="12">
        <f>H20+預測IC!I20</f>
        <v>0.33336867870687897</v>
      </c>
      <c r="J20" s="12">
        <f>I20+預測IC!J20</f>
        <v>0.20016247870687898</v>
      </c>
      <c r="K20" s="12">
        <f>J20+預測IC!K20</f>
        <v>0.41488698246796074</v>
      </c>
      <c r="L20" s="12">
        <f>K20+預測IC!L20</f>
        <v>0.42388675380914909</v>
      </c>
      <c r="M20" s="12">
        <f>L20+預測IC!M20</f>
        <v>0.32375333944506307</v>
      </c>
      <c r="N20" s="12">
        <f>M20+預測IC!N20</f>
        <v>0.15560975125551918</v>
      </c>
      <c r="O20" s="12">
        <f>N20+預測IC!O20</f>
        <v>0.20547463732479332</v>
      </c>
      <c r="P20" s="12">
        <f>O20+預測IC!P20</f>
        <v>0.24861331621332083</v>
      </c>
      <c r="Q20" s="12">
        <f>P20+預測IC!Q20</f>
        <v>0.14156799476259274</v>
      </c>
      <c r="R20" s="12">
        <f>Q20+預測IC!R20</f>
        <v>-4.9374472226921151E-2</v>
      </c>
      <c r="S20" s="12">
        <f>R20+預測IC!S20</f>
        <v>0.10580814610082145</v>
      </c>
      <c r="T20" s="12">
        <f>S20+預測IC!T20</f>
        <v>0.19127360183863684</v>
      </c>
      <c r="U20" s="12">
        <f>T20+預測IC!U20</f>
        <v>0.22350860183863686</v>
      </c>
      <c r="V20" s="12">
        <f>U20+預測IC!V20</f>
        <v>0.11999099863401935</v>
      </c>
      <c r="W20" s="12">
        <f>V20+預測IC!W20</f>
        <v>0.29307637481160026</v>
      </c>
      <c r="X20" s="12">
        <f>W20+預測IC!X20</f>
        <v>0.44177357606873385</v>
      </c>
      <c r="Y20" s="12">
        <f>X20+預測IC!Y20</f>
        <v>0.31280853718636004</v>
      </c>
      <c r="Z20" s="12">
        <f>Y20+預測IC!Z20</f>
        <v>0.23878136892840546</v>
      </c>
      <c r="AA20" s="12">
        <f>Z20+預測IC!AA20</f>
        <v>0.26037592231570256</v>
      </c>
      <c r="AB20" s="12">
        <f>AA20+預測IC!AB20</f>
        <v>0.29327446763592879</v>
      </c>
      <c r="AC20" s="12">
        <f>AB20+預測IC!AC20</f>
        <v>0.24602620490796132</v>
      </c>
      <c r="AD20" s="12">
        <f>AC20+預測IC!AD20</f>
        <v>0.21157230205613162</v>
      </c>
      <c r="AE20" s="12">
        <f>AD20+預測IC!AE20</f>
        <v>0.19426210205613162</v>
      </c>
      <c r="AF20" s="12">
        <f>AE20+預測IC!AF20</f>
        <v>0.23330678044371159</v>
      </c>
      <c r="AG20" s="12">
        <f>AF20+預測IC!AG20</f>
        <v>0.26547002932538805</v>
      </c>
      <c r="AH20" s="12">
        <f>AG20+預測IC!AH20</f>
        <v>4.8827576677027251E-2</v>
      </c>
      <c r="AI20" s="12">
        <f>AH20+預測IC!AI20</f>
        <v>-3.4451777073696149E-2</v>
      </c>
      <c r="AJ20" s="12">
        <f>AI20+預測IC!AJ20</f>
        <v>2.7538257473851489E-2</v>
      </c>
      <c r="AK20" s="12">
        <f>AJ20+預測IC!AK20</f>
        <v>1.9289742411238535E-2</v>
      </c>
      <c r="AL20" s="12">
        <f>AK20+預測IC!AL20</f>
        <v>9.2183194448215489E-2</v>
      </c>
      <c r="AM20" s="12">
        <f>AL20+預測IC!AM20</f>
        <v>2.465333465988831E-2</v>
      </c>
      <c r="AN20" s="12">
        <f>AM20+預測IC!AN20</f>
        <v>5.9097853648733781E-2</v>
      </c>
      <c r="AO20" s="12">
        <f>AN20+預測IC!AO20</f>
        <v>0.10438293561342217</v>
      </c>
      <c r="AP20" s="12">
        <f>AO20+預測IC!AP20</f>
        <v>9.1777335613422176E-2</v>
      </c>
      <c r="AQ20" s="12">
        <f>AP20+預測IC!AQ20</f>
        <v>0.1646759356134222</v>
      </c>
      <c r="AR20" s="12">
        <f>AQ20+預測IC!AR20</f>
        <v>0.19441493546372318</v>
      </c>
      <c r="AS20" s="12">
        <f>AR20+預測IC!AS20</f>
        <v>0.21155773546372317</v>
      </c>
      <c r="AT20" s="12">
        <f>AS20+預測IC!AT20</f>
        <v>0.21741650922392894</v>
      </c>
      <c r="AU20" s="12">
        <f>AT20+預測IC!AU20</f>
        <v>0.29310889611905477</v>
      </c>
      <c r="AV20" s="12">
        <f>AU20+預測IC!AV20</f>
        <v>0.23848318233657656</v>
      </c>
      <c r="AW20" s="12">
        <f>AV20+預測IC!AW20</f>
        <v>0.24534845051572751</v>
      </c>
      <c r="AX20" s="12">
        <f>AW20+預測IC!AX20</f>
        <v>0.35608099851442909</v>
      </c>
      <c r="AY20" s="12">
        <f>AX20+預測IC!AY20</f>
        <v>0.39475569695733853</v>
      </c>
      <c r="AZ20" s="12">
        <f>AY20+預測IC!AZ20</f>
        <v>0.18095326578024984</v>
      </c>
      <c r="BA20" s="12">
        <f>AZ20+預測IC!BA20</f>
        <v>0.14415440091970932</v>
      </c>
      <c r="BB20" s="12">
        <f>BA20+預測IC!BB20</f>
        <v>0.37536780091970934</v>
      </c>
      <c r="BC20" s="12">
        <f>BB20+預測IC!BC20</f>
        <v>0.44597336859744952</v>
      </c>
      <c r="BD20" s="12">
        <f>BC20+預測IC!BD20</f>
        <v>0.45433696859744954</v>
      </c>
      <c r="BE20" s="12">
        <f>BD20+預測IC!BE20</f>
        <v>0.44839017145818921</v>
      </c>
      <c r="BF20" s="12">
        <f>BE20+預測IC!BF20</f>
        <v>0.39317437145818923</v>
      </c>
      <c r="BG20" s="12">
        <f>BF20+預測IC!BG20</f>
        <v>0.38624822874949583</v>
      </c>
      <c r="BH20" s="12">
        <f>BG20+預測IC!BH20</f>
        <v>0.31464178163538481</v>
      </c>
      <c r="BI20" s="12">
        <f>BH20+預測IC!BI20</f>
        <v>0.44638704872055968</v>
      </c>
      <c r="BJ20" s="12">
        <f>BI20+預測IC!BJ20</f>
        <v>0.4680165605537463</v>
      </c>
      <c r="BK20" s="12">
        <f>BJ20+預測IC!BK20</f>
        <v>0.40878339271091901</v>
      </c>
      <c r="BL20" s="12">
        <f>BK20+預測IC!BL20</f>
        <v>0.42856679271091902</v>
      </c>
      <c r="BM20" s="12">
        <f>BL20+預測IC!BM20</f>
        <v>0.37401139271091904</v>
      </c>
      <c r="BN20" s="12">
        <f>BM20+預測IC!BN20</f>
        <v>0.28834676126973863</v>
      </c>
      <c r="BO20" s="12">
        <f>BN20+預測IC!BO20</f>
        <v>0.28073816126973861</v>
      </c>
      <c r="BP20" s="12">
        <f>BO20+預測IC!BP20</f>
        <v>0.34114568203269358</v>
      </c>
      <c r="BQ20" s="12">
        <f>BP20+預測IC!BQ20</f>
        <v>0.3565973889935366</v>
      </c>
      <c r="BR20" s="12">
        <f>BQ20+預測IC!BR20</f>
        <v>0.53772447046519822</v>
      </c>
      <c r="BS20" s="12">
        <f>BR20+預測IC!BS20</f>
        <v>0.54313197665638935</v>
      </c>
      <c r="BT20" s="12">
        <f>BS20+預測IC!BT20</f>
        <v>0.59560057665638932</v>
      </c>
      <c r="BU20" s="12">
        <f>BT20+預測IC!BU20</f>
        <v>0.44615957665638933</v>
      </c>
      <c r="BV20" s="12">
        <f>BU20+預測IC!BV20</f>
        <v>0.57986937665638938</v>
      </c>
      <c r="BW20" s="12">
        <f>BV20+預測IC!BW20</f>
        <v>0.92191157665638945</v>
      </c>
      <c r="BX20" s="12">
        <f>BW20+預測IC!BX20</f>
        <v>0.97989959493242018</v>
      </c>
      <c r="BY20" s="12">
        <f>BX20+預測IC!BY20</f>
        <v>1.0851335613017237</v>
      </c>
      <c r="BZ20" s="12">
        <f>BY20+預測IC!BZ20</f>
        <v>1.2698593613017237</v>
      </c>
      <c r="CA20" s="12">
        <f>BZ20+預測IC!CA20</f>
        <v>1.2297566332499708</v>
      </c>
      <c r="CB20" s="12">
        <f>CA20+預測IC!CB20</f>
        <v>1.2680085832608987</v>
      </c>
      <c r="CC20" s="12">
        <f>CB20+預測IC!CC20</f>
        <v>1.2809233832608986</v>
      </c>
      <c r="CD20" s="12">
        <f>CC20+預測IC!CD20</f>
        <v>1.3769869832608985</v>
      </c>
      <c r="CE20" s="12">
        <f>CD20+預測IC!CE20</f>
        <v>1.4627643832608985</v>
      </c>
      <c r="CF20" s="12">
        <f>CE20+預測IC!CF20</f>
        <v>1.3315559832608985</v>
      </c>
      <c r="CG20" s="12">
        <f>CF20+預測IC!CG20</f>
        <v>1.6534953832608985</v>
      </c>
      <c r="CH20" s="12">
        <f>CG20+預測IC!CH20</f>
        <v>1.7026891832608986</v>
      </c>
      <c r="CI20" s="12">
        <f>CH20+預測IC!CI20</f>
        <v>1.5712053832608985</v>
      </c>
      <c r="CJ20" s="12">
        <f>CI20+預測IC!CJ20</f>
        <v>1.6946457031482496</v>
      </c>
      <c r="CK20" s="12">
        <f>CJ20+預測IC!CK20</f>
        <v>1.7856240998983561</v>
      </c>
      <c r="CL20" s="12">
        <f>CK20+預測IC!CL20</f>
        <v>1.6934391657092271</v>
      </c>
      <c r="CM20" s="12">
        <f>CL20+預測IC!CM20</f>
        <v>1.5966649657092271</v>
      </c>
      <c r="CN20" s="12">
        <f>CM20+預測IC!CN20</f>
        <v>1.5745055543387425</v>
      </c>
      <c r="CO20" s="12">
        <f>CN20+預測IC!CO20</f>
        <v>1.3459873511572016</v>
      </c>
      <c r="CP20" s="12">
        <f>CO20+預測IC!CP20</f>
        <v>1.538018556266229</v>
      </c>
      <c r="CQ20" s="12">
        <f>CP20+預測IC!CQ20</f>
        <v>1.5441299141952911</v>
      </c>
      <c r="CR20" s="12">
        <f>CQ20+預測IC!CR20</f>
        <v>1.5694941141952912</v>
      </c>
      <c r="CS20" s="12">
        <f>CR20+預測IC!CS20</f>
        <v>1.4811298371830297</v>
      </c>
      <c r="CT20" s="12">
        <f>CS20+預測IC!CT20</f>
        <v>1.4630531264031947</v>
      </c>
      <c r="CU20" s="12">
        <f>CT20+預測IC!CU20</f>
        <v>1.5579207846697072</v>
      </c>
      <c r="CV20" s="12">
        <f>CU20+預測IC!CV20</f>
        <v>1.6771349128823918</v>
      </c>
      <c r="CW20" s="12">
        <f>CV20+預測IC!CW20</f>
        <v>1.7450386210572373</v>
      </c>
      <c r="CX20" s="12">
        <f>CW20+預測IC!CX20</f>
        <v>1.6547400701894728</v>
      </c>
      <c r="CY20" s="12">
        <f>CX20+預測IC!CY20</f>
        <v>1.6672198028577696</v>
      </c>
      <c r="CZ20" s="12">
        <f>CY20+預測IC!CZ20</f>
        <v>1.5120581577085712</v>
      </c>
      <c r="DA20" s="12">
        <f>CZ20+預測IC!DA20</f>
        <v>1.5595300508637489</v>
      </c>
      <c r="DB20" s="12">
        <f>DA20+預測IC!DB20</f>
        <v>1.9420199711301405</v>
      </c>
      <c r="DC20" s="12">
        <f>DB20+預測IC!DC20</f>
        <v>1.9046876599917397</v>
      </c>
      <c r="DD20" s="12">
        <f>DC20+預測IC!DD20</f>
        <v>1.9010904752347895</v>
      </c>
      <c r="DE20" s="12">
        <f>DD20+預測IC!DE20</f>
        <v>1.8706240752347896</v>
      </c>
      <c r="DF20" s="12">
        <f>DE20+預測IC!DF20</f>
        <v>1.6250486752347895</v>
      </c>
      <c r="DG20" s="12">
        <f>DF20+預測IC!DG20</f>
        <v>1.7491219832189107</v>
      </c>
      <c r="DH20" s="12">
        <f>DG20+預測IC!DH20</f>
        <v>1.7010635710334077</v>
      </c>
      <c r="DI20" s="12">
        <f>DH20+預測IC!DI20</f>
        <v>1.6268152354413143</v>
      </c>
      <c r="DJ20" s="12">
        <f>DI20+預測IC!DJ20</f>
        <v>1.5455378354413143</v>
      </c>
      <c r="DK20" s="12">
        <f>DJ20+預測IC!DK20</f>
        <v>1.6307224354413143</v>
      </c>
      <c r="DL20" s="12">
        <f>DK20+預測IC!DL20</f>
        <v>1.6205358354413144</v>
      </c>
      <c r="DM20" s="12">
        <f>DL20+預測IC!DM20</f>
        <v>1.5512000354413145</v>
      </c>
      <c r="DN20" s="12">
        <f>DM20+預測IC!DN20</f>
        <v>1.3679653018201456</v>
      </c>
      <c r="DO20" s="12">
        <f>DN20+預測IC!DO20</f>
        <v>1.3021494999821752</v>
      </c>
      <c r="DP20" s="12">
        <f>DO20+預測IC!DP20</f>
        <v>1.5023049347365645</v>
      </c>
      <c r="DQ20" s="12">
        <f>DP20+預測IC!DQ20</f>
        <v>1.5408439347365643</v>
      </c>
      <c r="DR20" s="12">
        <f>DQ20+預測IC!DR20</f>
        <v>1.6193565947648549</v>
      </c>
      <c r="DS20" s="12">
        <f>DR20+預測IC!DS20</f>
        <v>1.6118645947648549</v>
      </c>
      <c r="DT20" s="12">
        <f>DS20+預測IC!DT20</f>
        <v>1.616693394764855</v>
      </c>
      <c r="DU20" s="12">
        <f>DT20+預測IC!DU20</f>
        <v>1.7930691947648549</v>
      </c>
      <c r="DV20" s="12">
        <f>DU20+預測IC!DV20</f>
        <v>1.6637237229259962</v>
      </c>
      <c r="DW20" s="12">
        <f>DV20+預測IC!DW20</f>
        <v>1.7672703229259963</v>
      </c>
      <c r="DX20" s="12">
        <f>DW20+預測IC!DX20</f>
        <v>1.921136652532311</v>
      </c>
      <c r="DY20" s="12">
        <f>DX20+預測IC!DY20</f>
        <v>1.8675180431806622</v>
      </c>
      <c r="DZ20" s="12">
        <f>DY20+預測IC!DZ20</f>
        <v>1.9519926214903542</v>
      </c>
      <c r="EA20" s="12">
        <f>DZ20+預測IC!EA20</f>
        <v>1.9370755960627304</v>
      </c>
      <c r="EB20" s="12">
        <f>EA20+預測IC!EB20</f>
        <v>1.8980079627117652</v>
      </c>
      <c r="EC20" s="12">
        <f>EB20+預測IC!EC20</f>
        <v>2.0290141084738327</v>
      </c>
      <c r="ED20" s="12">
        <f>EC20+預測IC!ED20</f>
        <v>2.2059329695408429</v>
      </c>
      <c r="EE20" s="12">
        <f>ED20+預測IC!EE20</f>
        <v>2.204191369540843</v>
      </c>
      <c r="EF20" s="12">
        <f>EE20+預測IC!EF20</f>
        <v>2.1839099529249357</v>
      </c>
    </row>
    <row r="21" spans="1:136">
      <c r="A21" s="2">
        <v>241</v>
      </c>
      <c r="B21" s="2">
        <v>4</v>
      </c>
      <c r="C21" s="12">
        <v>0.2146305</v>
      </c>
      <c r="D21" s="12">
        <f>C21+預測IC!D21</f>
        <v>0.21426279060484082</v>
      </c>
      <c r="E21" s="12">
        <f>D21+預測IC!E21</f>
        <v>0.20057129060484083</v>
      </c>
      <c r="F21" s="12">
        <f>E21+預測IC!F21</f>
        <v>0.38460987221097082</v>
      </c>
      <c r="G21" s="12">
        <f>F21+預測IC!G21</f>
        <v>0.24076772109840633</v>
      </c>
      <c r="H21" s="12">
        <f>G21+預測IC!H21</f>
        <v>0.40293172109840636</v>
      </c>
      <c r="I21" s="12">
        <f>H21+預測IC!I21</f>
        <v>0.2556761129709334</v>
      </c>
      <c r="J21" s="12">
        <f>I21+預測IC!J21</f>
        <v>0.11893461297093341</v>
      </c>
      <c r="K21" s="12">
        <f>J21+預測IC!K21</f>
        <v>0.32581463897432894</v>
      </c>
      <c r="L21" s="12">
        <f>K21+預測IC!L21</f>
        <v>0.38304080583927336</v>
      </c>
      <c r="M21" s="12">
        <f>L21+預測IC!M21</f>
        <v>0.30738015591251283</v>
      </c>
      <c r="N21" s="12">
        <f>M21+預測IC!N21</f>
        <v>0.16832948005171303</v>
      </c>
      <c r="O21" s="12">
        <f>N21+預測IC!O21</f>
        <v>0.20268146951240368</v>
      </c>
      <c r="P21" s="12">
        <f>O21+預測IC!P21</f>
        <v>0.24257319237250641</v>
      </c>
      <c r="Q21" s="12">
        <f>P21+預測IC!Q21</f>
        <v>0.16137782335653306</v>
      </c>
      <c r="R21" s="12">
        <f>Q21+預測IC!R21</f>
        <v>1.8685732633211743E-2</v>
      </c>
      <c r="S21" s="12">
        <f>R21+預測IC!S21</f>
        <v>0.14727601808316873</v>
      </c>
      <c r="T21" s="12">
        <f>S21+預測IC!T21</f>
        <v>0.24573769083996616</v>
      </c>
      <c r="U21" s="12">
        <f>T21+預測IC!U21</f>
        <v>0.23591094083996617</v>
      </c>
      <c r="V21" s="12">
        <f>U21+預測IC!V21</f>
        <v>0.13054017045061156</v>
      </c>
      <c r="W21" s="12">
        <f>V21+預測IC!W21</f>
        <v>0.28832865006607417</v>
      </c>
      <c r="X21" s="12">
        <f>W21+預測IC!X21</f>
        <v>0.48566582864972085</v>
      </c>
      <c r="Y21" s="12">
        <f>X21+預測IC!Y21</f>
        <v>0.39293660470351643</v>
      </c>
      <c r="Z21" s="12">
        <f>Y21+預測IC!Z21</f>
        <v>0.28355640355575285</v>
      </c>
      <c r="AA21" s="12">
        <f>Z21+預測IC!AA21</f>
        <v>0.26406536001565889</v>
      </c>
      <c r="AB21" s="12">
        <f>AA21+預測IC!AB21</f>
        <v>0.28602130390479308</v>
      </c>
      <c r="AC21" s="12">
        <f>AB21+預測IC!AC21</f>
        <v>0.26719356719799292</v>
      </c>
      <c r="AD21" s="12">
        <f>AC21+預測IC!AD21</f>
        <v>0.22049614264524731</v>
      </c>
      <c r="AE21" s="12">
        <f>AD21+預測IC!AE21</f>
        <v>0.21018539264524733</v>
      </c>
      <c r="AF21" s="12">
        <f>AE21+預測IC!AF21</f>
        <v>0.26331100253181033</v>
      </c>
      <c r="AG21" s="12">
        <f>AF21+預測IC!AG21</f>
        <v>0.27435757463825422</v>
      </c>
      <c r="AH21" s="12">
        <f>AG21+預測IC!AH21</f>
        <v>3.4006318979487415E-2</v>
      </c>
      <c r="AI21" s="12">
        <f>AH21+預測IC!AI21</f>
        <v>-3.3723361615663611E-2</v>
      </c>
      <c r="AJ21" s="12">
        <f>AI21+預測IC!AJ21</f>
        <v>3.6681980330805081E-2</v>
      </c>
      <c r="AK21" s="12">
        <f>AJ21+預測IC!AK21</f>
        <v>5.500034924011768E-2</v>
      </c>
      <c r="AL21" s="12">
        <f>AK21+預測IC!AL21</f>
        <v>0.12038017197322831</v>
      </c>
      <c r="AM21" s="12">
        <f>AL21+預測IC!AM21</f>
        <v>0.18350588998071177</v>
      </c>
      <c r="AN21" s="12">
        <f>AM21+預測IC!AN21</f>
        <v>0.20529491952653242</v>
      </c>
      <c r="AO21" s="12">
        <f>AN21+預測IC!AO21</f>
        <v>0.25302131517025905</v>
      </c>
      <c r="AP21" s="12">
        <f>AO21+預測IC!AP21</f>
        <v>0.23407756517025904</v>
      </c>
      <c r="AQ21" s="12">
        <f>AP21+預測IC!AQ21</f>
        <v>0.36730156517025903</v>
      </c>
      <c r="AR21" s="12">
        <f>AQ21+預測IC!AR21</f>
        <v>0.40149946580108314</v>
      </c>
      <c r="AS21" s="12">
        <f>AR21+預測IC!AS21</f>
        <v>0.38445146580108314</v>
      </c>
      <c r="AT21" s="12">
        <f>AS21+預測IC!AT21</f>
        <v>0.38195855452392807</v>
      </c>
      <c r="AU21" s="12">
        <f>AT21+預測IC!AU21</f>
        <v>0.42976818603288508</v>
      </c>
      <c r="AV21" s="12">
        <f>AU21+預測IC!AV21</f>
        <v>0.37424740597075135</v>
      </c>
      <c r="AW21" s="12">
        <f>AV21+預測IC!AW21</f>
        <v>0.38403843592484876</v>
      </c>
      <c r="AX21" s="12">
        <f>AW21+預測IC!AX21</f>
        <v>0.52718612339460547</v>
      </c>
      <c r="AY21" s="12">
        <f>AX21+預測IC!AY21</f>
        <v>0.57420741437264344</v>
      </c>
      <c r="AZ21" s="12">
        <f>AY21+預測IC!AZ21</f>
        <v>0.31929614447550703</v>
      </c>
      <c r="BA21" s="12">
        <f>AZ21+預測IC!BA21</f>
        <v>0.24826396282742119</v>
      </c>
      <c r="BB21" s="12">
        <f>BA21+預測IC!BB21</f>
        <v>0.5427772128274212</v>
      </c>
      <c r="BC21" s="12">
        <f>BB21+預測IC!BC21</f>
        <v>0.5810983605526151</v>
      </c>
      <c r="BD21" s="12">
        <f>BC21+預測IC!BD21</f>
        <v>0.61932086055261515</v>
      </c>
      <c r="BE21" s="12">
        <f>BD21+預測IC!BE21</f>
        <v>0.62567139395001659</v>
      </c>
      <c r="BF21" s="12">
        <f>BE21+預測IC!BF21</f>
        <v>0.56338164395001655</v>
      </c>
      <c r="BG21" s="12">
        <f>BF21+預測IC!BG21</f>
        <v>0.60001683316682919</v>
      </c>
      <c r="BH21" s="12">
        <f>BG21+預測IC!BH21</f>
        <v>0.52369547002807393</v>
      </c>
      <c r="BI21" s="12">
        <f>BH21+預測IC!BI21</f>
        <v>0.68966506620646573</v>
      </c>
      <c r="BJ21" s="12">
        <f>BI21+預測IC!BJ21</f>
        <v>0.71324409238818343</v>
      </c>
      <c r="BK21" s="12">
        <f>BJ21+預測IC!BK21</f>
        <v>0.64479421200864862</v>
      </c>
      <c r="BL21" s="12">
        <f>BK21+預測IC!BL21</f>
        <v>0.64854721200864862</v>
      </c>
      <c r="BM21" s="12">
        <f>BL21+預測IC!BM21</f>
        <v>0.55357746200864866</v>
      </c>
      <c r="BN21" s="12">
        <f>BM21+預測IC!BN21</f>
        <v>0.36532995941626067</v>
      </c>
      <c r="BO21" s="12">
        <f>BN21+預測IC!BO21</f>
        <v>0.38033670941626069</v>
      </c>
      <c r="BP21" s="12">
        <f>BO21+預測IC!BP21</f>
        <v>0.484845838835675</v>
      </c>
      <c r="BQ21" s="12">
        <f>BP21+預測IC!BQ21</f>
        <v>0.53938806967017983</v>
      </c>
      <c r="BR21" s="12">
        <f>BQ21+預測IC!BR21</f>
        <v>0.68144952558027527</v>
      </c>
      <c r="BS21" s="12">
        <f>BR21+預測IC!BS21</f>
        <v>0.68730969833545141</v>
      </c>
      <c r="BT21" s="12">
        <f>BS21+預測IC!BT21</f>
        <v>0.74813169833545135</v>
      </c>
      <c r="BU21" s="12">
        <f>BT21+預測IC!BU21</f>
        <v>0.57739369833545129</v>
      </c>
      <c r="BV21" s="12">
        <f>BU21+預測IC!BV21</f>
        <v>0.59663394833545125</v>
      </c>
      <c r="BW21" s="12">
        <f>BV21+預測IC!BW21</f>
        <v>0.99876419833545127</v>
      </c>
      <c r="BX21" s="12">
        <f>BW21+預測IC!BX21</f>
        <v>1.0871435331230899</v>
      </c>
      <c r="BY21" s="12">
        <f>BX21+預測IC!BY21</f>
        <v>1.1375233843412065</v>
      </c>
      <c r="BZ21" s="12">
        <f>BY21+預測IC!BZ21</f>
        <v>1.3889258843412065</v>
      </c>
      <c r="CA21" s="12">
        <f>BZ21+預測IC!CA21</f>
        <v>1.328408281038808</v>
      </c>
      <c r="CB21" s="12">
        <f>CA21+預測IC!CB21</f>
        <v>1.3918296722370662</v>
      </c>
      <c r="CC21" s="12">
        <f>CB21+預測IC!CC21</f>
        <v>1.3838101722370661</v>
      </c>
      <c r="CD21" s="12">
        <f>CC21+預測IC!CD21</f>
        <v>1.4682324222370662</v>
      </c>
      <c r="CE21" s="12">
        <f>CD21+預測IC!CE21</f>
        <v>1.5297469222370661</v>
      </c>
      <c r="CF21" s="12">
        <f>CE21+預測IC!CF21</f>
        <v>1.4025789222370662</v>
      </c>
      <c r="CG21" s="12">
        <f>CF21+預測IC!CG21</f>
        <v>1.7227466722370661</v>
      </c>
      <c r="CH21" s="12">
        <f>CG21+預測IC!CH21</f>
        <v>1.6514081722370662</v>
      </c>
      <c r="CI21" s="12">
        <f>CH21+預測IC!CI21</f>
        <v>1.5281159222370662</v>
      </c>
      <c r="CJ21" s="12">
        <f>CI21+預測IC!CJ21</f>
        <v>1.6137436792535684</v>
      </c>
      <c r="CK21" s="12">
        <f>CJ21+預測IC!CK21</f>
        <v>1.7407942259837026</v>
      </c>
      <c r="CL21" s="12">
        <f>CK21+預測IC!CL21</f>
        <v>1.606903801360738</v>
      </c>
      <c r="CM21" s="12">
        <f>CL21+預測IC!CM21</f>
        <v>1.4906735513607379</v>
      </c>
      <c r="CN21" s="12">
        <f>CM21+預測IC!CN21</f>
        <v>1.4601346611569623</v>
      </c>
      <c r="CO21" s="12">
        <f>CN21+預測IC!CO21</f>
        <v>1.2223426800175698</v>
      </c>
      <c r="CP21" s="12">
        <f>CO21+預測IC!CP21</f>
        <v>1.4450427408954825</v>
      </c>
      <c r="CQ21" s="12">
        <f>CP21+預測IC!CQ21</f>
        <v>1.4483308326205733</v>
      </c>
      <c r="CR21" s="12">
        <f>CQ21+預測IC!CR21</f>
        <v>1.4599478326205733</v>
      </c>
      <c r="CS21" s="12">
        <f>CR21+預測IC!CS21</f>
        <v>1.3903014364738016</v>
      </c>
      <c r="CT21" s="12">
        <f>CS21+預測IC!CT21</f>
        <v>1.3042288796024055</v>
      </c>
      <c r="CU21" s="12">
        <f>CT21+預測IC!CU21</f>
        <v>1.3669024397718967</v>
      </c>
      <c r="CV21" s="12">
        <f>CU21+預測IC!CV21</f>
        <v>1.5212342845464693</v>
      </c>
      <c r="CW21" s="12">
        <f>CV21+預測IC!CW21</f>
        <v>1.5595798014181519</v>
      </c>
      <c r="CX21" s="12">
        <f>CW21+預測IC!CX21</f>
        <v>1.4574576257607448</v>
      </c>
      <c r="CY21" s="12">
        <f>CX21+預測IC!CY21</f>
        <v>1.4659395421646593</v>
      </c>
      <c r="CZ21" s="12">
        <f>CY21+預測IC!CZ21</f>
        <v>1.2284881713388291</v>
      </c>
      <c r="DA21" s="12">
        <f>CZ21+預測IC!DA21</f>
        <v>1.2272959148820974</v>
      </c>
      <c r="DB21" s="12">
        <f>DA21+預測IC!DB21</f>
        <v>1.6996466503527743</v>
      </c>
      <c r="DC21" s="12">
        <f>DB21+預測IC!DC21</f>
        <v>1.5457418549830557</v>
      </c>
      <c r="DD21" s="12">
        <f>DC21+預測IC!DD21</f>
        <v>1.542923060591985</v>
      </c>
      <c r="DE21" s="12">
        <f>DD21+預測IC!DE21</f>
        <v>1.4882040605919851</v>
      </c>
      <c r="DF21" s="12">
        <f>DE21+預測IC!DF21</f>
        <v>1.187052310591985</v>
      </c>
      <c r="DG21" s="12">
        <f>DF21+預測IC!DG21</f>
        <v>1.3352372417237146</v>
      </c>
      <c r="DH21" s="12">
        <f>DG21+預測IC!DH21</f>
        <v>1.3455928132255721</v>
      </c>
      <c r="DI21" s="12">
        <f>DH21+預測IC!DI21</f>
        <v>1.2554436105077516</v>
      </c>
      <c r="DJ21" s="12">
        <f>DI21+預測IC!DJ21</f>
        <v>1.1821403605077516</v>
      </c>
      <c r="DK21" s="12">
        <f>DJ21+預測IC!DK21</f>
        <v>1.2730336105077515</v>
      </c>
      <c r="DL21" s="12">
        <f>DK21+預測IC!DL21</f>
        <v>1.2408258605077516</v>
      </c>
      <c r="DM21" s="12">
        <f>DL21+預測IC!DM21</f>
        <v>1.2158376105077515</v>
      </c>
      <c r="DN21" s="12">
        <f>DM21+預測IC!DN21</f>
        <v>0.99554196964322417</v>
      </c>
      <c r="DO21" s="12">
        <f>DN21+預測IC!DO21</f>
        <v>0.91309617731254444</v>
      </c>
      <c r="DP21" s="12">
        <f>DO21+預測IC!DP21</f>
        <v>1.1421160669927792</v>
      </c>
      <c r="DQ21" s="12">
        <f>DP21+預測IC!DQ21</f>
        <v>1.1703313169927791</v>
      </c>
      <c r="DR21" s="12">
        <f>DQ21+預測IC!DR21</f>
        <v>1.2205021760298598</v>
      </c>
      <c r="DS21" s="12">
        <f>DR21+預測IC!DS21</f>
        <v>1.2188284260298599</v>
      </c>
      <c r="DT21" s="12">
        <f>DS21+預測IC!DT21</f>
        <v>1.2091189260298598</v>
      </c>
      <c r="DU21" s="12">
        <f>DT21+預測IC!DU21</f>
        <v>1.3577336760298597</v>
      </c>
      <c r="DV21" s="12">
        <f>DU21+預測IC!DV21</f>
        <v>1.2174576991599817</v>
      </c>
      <c r="DW21" s="12">
        <f>DV21+預測IC!DW21</f>
        <v>1.3209936991599818</v>
      </c>
      <c r="DX21" s="12">
        <f>DW21+預測IC!DX21</f>
        <v>1.5069599131911651</v>
      </c>
      <c r="DY21" s="12">
        <f>DX21+預測IC!DY21</f>
        <v>1.4823639176531491</v>
      </c>
      <c r="DZ21" s="12">
        <f>DY21+預測IC!DZ21</f>
        <v>1.5352079842134381</v>
      </c>
      <c r="EA21" s="12">
        <f>DZ21+預測IC!EA21</f>
        <v>1.5600735066618663</v>
      </c>
      <c r="EB21" s="12">
        <f>EA21+預測IC!EB21</f>
        <v>1.5516653604912805</v>
      </c>
      <c r="EC21" s="12">
        <f>EB21+預測IC!EC21</f>
        <v>1.6917593784435063</v>
      </c>
      <c r="ED21" s="12">
        <f>EC21+預測IC!ED21</f>
        <v>1.7462582347916871</v>
      </c>
      <c r="EE21" s="12">
        <f>ED21+預測IC!EE21</f>
        <v>1.767568234791687</v>
      </c>
      <c r="EF21" s="12">
        <f>EE21+預測IC!EF21</f>
        <v>1.7863394988338062</v>
      </c>
    </row>
    <row r="22" spans="1:136">
      <c r="A22" s="2">
        <v>321</v>
      </c>
      <c r="B22" s="2">
        <v>3</v>
      </c>
      <c r="C22" s="12">
        <v>0.20528266666666661</v>
      </c>
      <c r="D22" s="12">
        <f>C22+預測IC!D22</f>
        <v>0.16060176976318008</v>
      </c>
      <c r="E22" s="12">
        <f>D22+預測IC!E22</f>
        <v>0.14324510309651342</v>
      </c>
      <c r="F22" s="12">
        <f>E22+預測IC!F22</f>
        <v>0.211076164017791</v>
      </c>
      <c r="G22" s="12">
        <f>F22+預測IC!G22</f>
        <v>0.1071918007274569</v>
      </c>
      <c r="H22" s="12">
        <f>G22+預測IC!H22</f>
        <v>0.23136980072745689</v>
      </c>
      <c r="I22" s="12">
        <f>H22+預測IC!I22</f>
        <v>0.10787663138938709</v>
      </c>
      <c r="J22" s="12">
        <f>I22+預測IC!J22</f>
        <v>3.6246313893870952E-3</v>
      </c>
      <c r="K22" s="12">
        <f>J22+預測IC!K22</f>
        <v>0.2489905440721428</v>
      </c>
      <c r="L22" s="12">
        <f>K22+預測IC!L22</f>
        <v>0.35647771272338458</v>
      </c>
      <c r="M22" s="12">
        <f>L22+預測IC!M22</f>
        <v>0.58163631778696634</v>
      </c>
      <c r="N22" s="12">
        <f>M22+預測IC!N22</f>
        <v>0.48360545697933355</v>
      </c>
      <c r="O22" s="12">
        <f>N22+預測IC!O22</f>
        <v>0.47688957866796605</v>
      </c>
      <c r="P22" s="12">
        <f>O22+預測IC!P22</f>
        <v>0.51974806718695599</v>
      </c>
      <c r="Q22" s="12">
        <f>P22+預測IC!Q22</f>
        <v>0.43046554908310874</v>
      </c>
      <c r="R22" s="12">
        <f>Q22+預測IC!R22</f>
        <v>0.24978581889182414</v>
      </c>
      <c r="S22" s="12">
        <f>R22+預測IC!S22</f>
        <v>0.41943237444976472</v>
      </c>
      <c r="T22" s="12">
        <f>S22+預測IC!T22</f>
        <v>0.54824479643288759</v>
      </c>
      <c r="U22" s="12">
        <f>T22+預測IC!U22</f>
        <v>0.60072912976622095</v>
      </c>
      <c r="V22" s="12">
        <f>U22+預測IC!V22</f>
        <v>0.54370499513193127</v>
      </c>
      <c r="W22" s="12">
        <f>V22+預測IC!W22</f>
        <v>0.75118526215622872</v>
      </c>
      <c r="X22" s="12">
        <f>W22+預測IC!X22</f>
        <v>0.96608530988579377</v>
      </c>
      <c r="Y22" s="12">
        <f>X22+預測IC!Y22</f>
        <v>0.91814697770602549</v>
      </c>
      <c r="Z22" s="12">
        <f>Y22+預測IC!Z22</f>
        <v>0.76799686778645126</v>
      </c>
      <c r="AA22" s="12">
        <f>Z22+預測IC!AA22</f>
        <v>0.76094885089959452</v>
      </c>
      <c r="AB22" s="12">
        <f>AA22+預測IC!AB22</f>
        <v>0.75708362077425506</v>
      </c>
      <c r="AC22" s="12">
        <f>AB22+預測IC!AC22</f>
        <v>0.67130716005882263</v>
      </c>
      <c r="AD22" s="12">
        <f>AC22+預測IC!AD22</f>
        <v>0.65883985738825013</v>
      </c>
      <c r="AE22" s="12">
        <f>AD22+預測IC!AE22</f>
        <v>0.74398885738825016</v>
      </c>
      <c r="AF22" s="12">
        <f>AE22+預測IC!AF22</f>
        <v>0.79117117354627431</v>
      </c>
      <c r="AG22" s="12">
        <f>AF22+預測IC!AG22</f>
        <v>0.80198327411311665</v>
      </c>
      <c r="AH22" s="12">
        <f>AG22+預測IC!AH22</f>
        <v>0.55436102794971531</v>
      </c>
      <c r="AI22" s="12">
        <f>AH22+預測IC!AI22</f>
        <v>0.48696812693852926</v>
      </c>
      <c r="AJ22" s="12">
        <f>AI22+預測IC!AJ22</f>
        <v>0.51866797626493755</v>
      </c>
      <c r="AK22" s="12">
        <f>AJ22+預測IC!AK22</f>
        <v>0.59724374496985178</v>
      </c>
      <c r="AL22" s="12">
        <f>AK22+預測IC!AL22</f>
        <v>0.63758471177675213</v>
      </c>
      <c r="AM22" s="12">
        <f>AL22+預測IC!AM22</f>
        <v>0.6939584661403797</v>
      </c>
      <c r="AN22" s="12">
        <f>AM22+預測IC!AN22</f>
        <v>0.72181903302577555</v>
      </c>
      <c r="AO22" s="12">
        <f>AN22+預測IC!AO22</f>
        <v>0.7965364064194812</v>
      </c>
      <c r="AP22" s="12">
        <f>AO22+預測IC!AP22</f>
        <v>0.77604307308614784</v>
      </c>
      <c r="AQ22" s="12">
        <f>AP22+預測IC!AQ22</f>
        <v>0.88617240641948114</v>
      </c>
      <c r="AR22" s="12">
        <f>AQ22+預測IC!AR22</f>
        <v>0.99435610696771759</v>
      </c>
      <c r="AS22" s="12">
        <f>AR22+預測IC!AS22</f>
        <v>0.82976544030105093</v>
      </c>
      <c r="AT22" s="12">
        <f>AS22+預測IC!AT22</f>
        <v>0.8046290784610246</v>
      </c>
      <c r="AU22" s="12">
        <f>AT22+預測IC!AU22</f>
        <v>0.83812953037189453</v>
      </c>
      <c r="AV22" s="12">
        <f>AU22+預測IC!AV22</f>
        <v>0.7783163536960146</v>
      </c>
      <c r="AW22" s="12">
        <f>AV22+預測IC!AW22</f>
        <v>0.74816696448900566</v>
      </c>
      <c r="AX22" s="12">
        <f>AW22+預測IC!AX22</f>
        <v>0.92193036446902987</v>
      </c>
      <c r="AY22" s="12">
        <f>AX22+預測IC!AY22</f>
        <v>0.99366374980326044</v>
      </c>
      <c r="AZ22" s="12">
        <f>AY22+預測IC!AZ22</f>
        <v>0.83875997148210835</v>
      </c>
      <c r="BA22" s="12">
        <f>AZ22+預測IC!BA22</f>
        <v>0.79316154631464642</v>
      </c>
      <c r="BB22" s="12">
        <f>BA22+預測IC!BB22</f>
        <v>1.1627128796479798</v>
      </c>
      <c r="BC22" s="12">
        <f>BB22+預測IC!BC22</f>
        <v>1.0318759415250245</v>
      </c>
      <c r="BD22" s="12">
        <f>BC22+預測IC!BD22</f>
        <v>1.1111399415250245</v>
      </c>
      <c r="BE22" s="12">
        <f>BD22+預測IC!BE22</f>
        <v>1.133356124919505</v>
      </c>
      <c r="BF22" s="12">
        <f>BE22+預測IC!BF22</f>
        <v>1.078470124919505</v>
      </c>
      <c r="BG22" s="12">
        <f>BF22+預測IC!BG22</f>
        <v>1.1247496370878911</v>
      </c>
      <c r="BH22" s="12">
        <f>BG22+預測IC!BH22</f>
        <v>0.99678909474975919</v>
      </c>
      <c r="BI22" s="12">
        <f>BH22+預測IC!BI22</f>
        <v>1.1078778141596661</v>
      </c>
      <c r="BJ22" s="12">
        <f>BI22+預測IC!BJ22</f>
        <v>1.1628742293103871</v>
      </c>
      <c r="BK22" s="12">
        <f>BJ22+預測IC!BK22</f>
        <v>1.1210345933767218</v>
      </c>
      <c r="BL22" s="12">
        <f>BK22+預測IC!BL22</f>
        <v>1.1388985933767219</v>
      </c>
      <c r="BM22" s="12">
        <f>BL22+預測IC!BM22</f>
        <v>1.0179599267100552</v>
      </c>
      <c r="BN22" s="12">
        <f>BM22+預測IC!BN22</f>
        <v>1.0464787331740304</v>
      </c>
      <c r="BO22" s="12">
        <f>BN22+預測IC!BO22</f>
        <v>1.0848320665073636</v>
      </c>
      <c r="BP22" s="12">
        <f>BO22+預測IC!BP22</f>
        <v>1.15966761666247</v>
      </c>
      <c r="BQ22" s="12">
        <f>BP22+預測IC!BQ22</f>
        <v>1.1874977140607825</v>
      </c>
      <c r="BR22" s="12">
        <f>BQ22+預測IC!BR22</f>
        <v>1.2940644960284726</v>
      </c>
      <c r="BS22" s="12">
        <f>BR22+預測IC!BS22</f>
        <v>1.2776917136516734</v>
      </c>
      <c r="BT22" s="12">
        <f>BS22+預測IC!BT22</f>
        <v>1.18896738031834</v>
      </c>
      <c r="BU22" s="12">
        <f>BT22+預測IC!BU22</f>
        <v>1.08461638031834</v>
      </c>
      <c r="BV22" s="12">
        <f>BU22+預測IC!BV22</f>
        <v>1.0852970469850067</v>
      </c>
      <c r="BW22" s="12">
        <f>BV22+預測IC!BW22</f>
        <v>1.51301238031834</v>
      </c>
      <c r="BX22" s="12">
        <f>BW22+預測IC!BX22</f>
        <v>1.6659497505683318</v>
      </c>
      <c r="BY22" s="12">
        <f>BX22+預測IC!BY22</f>
        <v>1.6706965369710665</v>
      </c>
      <c r="BZ22" s="12">
        <f>BY22+預測IC!BZ22</f>
        <v>1.9503265369710665</v>
      </c>
      <c r="CA22" s="12">
        <f>BZ22+預測IC!CA22</f>
        <v>1.9228364584907429</v>
      </c>
      <c r="CB22" s="12">
        <f>CA22+預測IC!CB22</f>
        <v>2.0718297367366696</v>
      </c>
      <c r="CC22" s="12">
        <f>CB22+預測IC!CC22</f>
        <v>1.9467247367366696</v>
      </c>
      <c r="CD22" s="12">
        <f>CC22+預測IC!CD22</f>
        <v>2.0422430700700027</v>
      </c>
      <c r="CE22" s="12">
        <f>CD22+預測IC!CE22</f>
        <v>2.1090830700700027</v>
      </c>
      <c r="CF22" s="12">
        <f>CE22+預測IC!CF22</f>
        <v>1.9535124034033362</v>
      </c>
      <c r="CG22" s="12">
        <f>CF22+預測IC!CG22</f>
        <v>2.3973130700700027</v>
      </c>
      <c r="CH22" s="12">
        <f>CG22+預測IC!CH22</f>
        <v>2.3705510700700025</v>
      </c>
      <c r="CI22" s="12">
        <f>CH22+預測IC!CI22</f>
        <v>2.1401030700700026</v>
      </c>
      <c r="CJ22" s="12">
        <f>CI22+預測IC!CJ22</f>
        <v>2.2434825751595651</v>
      </c>
      <c r="CK22" s="12">
        <f>CJ22+預測IC!CK22</f>
        <v>2.2796459177642476</v>
      </c>
      <c r="CL22" s="12">
        <f>CK22+預測IC!CL22</f>
        <v>2.0389941191392067</v>
      </c>
      <c r="CM22" s="12">
        <f>CL22+預測IC!CM22</f>
        <v>1.8191641191392067</v>
      </c>
      <c r="CN22" s="12">
        <f>CM22+預測IC!CN22</f>
        <v>1.8277108909601141</v>
      </c>
      <c r="CO22" s="12">
        <f>CN22+預測IC!CO22</f>
        <v>1.6424251330548874</v>
      </c>
      <c r="CP22" s="12">
        <f>CO22+預測IC!CP22</f>
        <v>1.9018336900242898</v>
      </c>
      <c r="CQ22" s="12">
        <f>CP22+預測IC!CQ22</f>
        <v>1.8894999106986252</v>
      </c>
      <c r="CR22" s="12">
        <f>CQ22+預測IC!CR22</f>
        <v>1.8610792440319586</v>
      </c>
      <c r="CS22" s="12">
        <f>CR22+預測IC!CS22</f>
        <v>1.8762814275533815</v>
      </c>
      <c r="CT22" s="12">
        <f>CS22+預測IC!CT22</f>
        <v>1.7501900493646096</v>
      </c>
      <c r="CU22" s="12">
        <f>CT22+預測IC!CU22</f>
        <v>1.8704217613287075</v>
      </c>
      <c r="CV22" s="12">
        <f>CU22+預測IC!CV22</f>
        <v>2.0366444400182617</v>
      </c>
      <c r="CW22" s="12">
        <f>CV22+預測IC!CW22</f>
        <v>2.0595284823502467</v>
      </c>
      <c r="CX22" s="12">
        <f>CW22+預測IC!CX22</f>
        <v>2.0557788890823976</v>
      </c>
      <c r="CY22" s="12">
        <f>CX22+預測IC!CY22</f>
        <v>2.0637677148559068</v>
      </c>
      <c r="CZ22" s="12">
        <f>CY22+預測IC!CZ22</f>
        <v>1.8008472302566676</v>
      </c>
      <c r="DA22" s="12">
        <f>CZ22+預測IC!DA22</f>
        <v>1.8048389841385917</v>
      </c>
      <c r="DB22" s="12">
        <f>DA22+預測IC!DB22</f>
        <v>2.3982141558648236</v>
      </c>
      <c r="DC22" s="12">
        <f>DB22+預測IC!DC22</f>
        <v>2.2570469201455139</v>
      </c>
      <c r="DD22" s="12">
        <f>DC22+預測IC!DD22</f>
        <v>2.2253367510196886</v>
      </c>
      <c r="DE22" s="12">
        <f>DD22+預測IC!DE22</f>
        <v>2.091981084353022</v>
      </c>
      <c r="DF22" s="12">
        <f>DE22+預測IC!DF22</f>
        <v>1.7023130843530221</v>
      </c>
      <c r="DG22" s="12">
        <f>DF22+預測IC!DG22</f>
        <v>1.7904344948560857</v>
      </c>
      <c r="DH22" s="12">
        <f>DG22+預測IC!DH22</f>
        <v>1.7557457424268956</v>
      </c>
      <c r="DI22" s="12">
        <f>DH22+預測IC!DI22</f>
        <v>1.6746401985866255</v>
      </c>
      <c r="DJ22" s="12">
        <f>DI22+預測IC!DJ22</f>
        <v>1.6318625319199589</v>
      </c>
      <c r="DK22" s="12">
        <f>DJ22+預測IC!DK22</f>
        <v>1.7232901985866256</v>
      </c>
      <c r="DL22" s="12">
        <f>DK22+預測IC!DL22</f>
        <v>1.7016098652532923</v>
      </c>
      <c r="DM22" s="12">
        <f>DL22+預測IC!DM22</f>
        <v>1.6697255319199589</v>
      </c>
      <c r="DN22" s="12">
        <f>DM22+預測IC!DN22</f>
        <v>1.3643505036477559</v>
      </c>
      <c r="DO22" s="12">
        <f>DN22+預測IC!DO22</f>
        <v>1.2409130023361177</v>
      </c>
      <c r="DP22" s="12">
        <f>DO22+預測IC!DP22</f>
        <v>1.4104754344768482</v>
      </c>
      <c r="DQ22" s="12">
        <f>DP22+預測IC!DQ22</f>
        <v>1.4623247678101816</v>
      </c>
      <c r="DR22" s="12">
        <f>DQ22+預測IC!DR22</f>
        <v>1.4562322151948637</v>
      </c>
      <c r="DS22" s="12">
        <f>DR22+預測IC!DS22</f>
        <v>1.4198832151948637</v>
      </c>
      <c r="DT22" s="12">
        <f>DS22+預測IC!DT22</f>
        <v>1.3762008818615303</v>
      </c>
      <c r="DU22" s="12">
        <f>DT22+預測IC!DU22</f>
        <v>1.5377465485281969</v>
      </c>
      <c r="DV22" s="12">
        <f>DU22+預測IC!DV22</f>
        <v>1.4120414308500189</v>
      </c>
      <c r="DW22" s="12">
        <f>DV22+預測IC!DW22</f>
        <v>1.4934574308500188</v>
      </c>
      <c r="DX22" s="12">
        <f>DW22+預測IC!DX22</f>
        <v>1.7159000392983135</v>
      </c>
      <c r="DY22" s="12">
        <f>DX22+預測IC!DY22</f>
        <v>1.7240471559238535</v>
      </c>
      <c r="DZ22" s="12">
        <f>DY22+預測IC!DZ22</f>
        <v>1.827795136869411</v>
      </c>
      <c r="EA22" s="12">
        <f>DZ22+預測IC!EA22</f>
        <v>1.8983437857087697</v>
      </c>
      <c r="EB22" s="12">
        <f>EA22+預測IC!EB22</f>
        <v>1.9789405132440876</v>
      </c>
      <c r="EC22" s="12">
        <f>EB22+預測IC!EC22</f>
        <v>1.9505117014660367</v>
      </c>
      <c r="ED22" s="12">
        <f>EC22+預測IC!ED22</f>
        <v>2.027925268523644</v>
      </c>
      <c r="EE22" s="12">
        <f>ED22+預測IC!EE22</f>
        <v>2.0755612685236438</v>
      </c>
      <c r="EF22" s="12">
        <f>EE22+預測IC!EF22</f>
        <v>2.1103515148958163</v>
      </c>
    </row>
    <row r="23" spans="1:136">
      <c r="A23" s="2">
        <v>482</v>
      </c>
      <c r="B23" s="2">
        <v>2</v>
      </c>
      <c r="C23" s="12">
        <v>0.28298899999999988</v>
      </c>
      <c r="D23" s="12">
        <f>C23+預測IC!D23</f>
        <v>0.25317833231457781</v>
      </c>
      <c r="E23" s="12">
        <f>D23+預測IC!E23</f>
        <v>0.3861833323145778</v>
      </c>
      <c r="F23" s="12">
        <f>E23+預測IC!F23</f>
        <v>0.56857940763545645</v>
      </c>
      <c r="G23" s="12">
        <f>F23+預測IC!G23</f>
        <v>0.59555097615982444</v>
      </c>
      <c r="H23" s="12">
        <f>G23+預測IC!H23</f>
        <v>0.57736247615982439</v>
      </c>
      <c r="I23" s="12">
        <f>H23+預測IC!I23</f>
        <v>0.42921044755953042</v>
      </c>
      <c r="J23" s="12">
        <f>I23+預測IC!J23</f>
        <v>0.3143349475595304</v>
      </c>
      <c r="K23" s="12">
        <f>J23+預測IC!K23</f>
        <v>0.45694252268418534</v>
      </c>
      <c r="L23" s="12">
        <f>K23+預測IC!L23</f>
        <v>0.68938688372664747</v>
      </c>
      <c r="M23" s="12">
        <f>L23+預測IC!M23</f>
        <v>0.95195623077398772</v>
      </c>
      <c r="N23" s="12">
        <f>M23+預測IC!N23</f>
        <v>0.8251562170816592</v>
      </c>
      <c r="O23" s="12">
        <f>N23+預測IC!O23</f>
        <v>0.8057485058148901</v>
      </c>
      <c r="P23" s="12">
        <f>O23+預測IC!P23</f>
        <v>0.81643201057463688</v>
      </c>
      <c r="Q23" s="12">
        <f>P23+預測IC!Q23</f>
        <v>0.56558233367383015</v>
      </c>
      <c r="R23" s="12">
        <f>Q23+預測IC!R23</f>
        <v>0.4759543306326855</v>
      </c>
      <c r="S23" s="12">
        <f>R23+預測IC!S23</f>
        <v>0.58967886345994758</v>
      </c>
      <c r="T23" s="12">
        <f>S23+預測IC!T23</f>
        <v>0.74428155678737606</v>
      </c>
      <c r="U23" s="12">
        <f>T23+預測IC!U23</f>
        <v>0.80351805678737609</v>
      </c>
      <c r="V23" s="12">
        <f>U23+預測IC!V23</f>
        <v>0.86687506776644208</v>
      </c>
      <c r="W23" s="12">
        <f>V23+預測IC!W23</f>
        <v>1.1984942180155866</v>
      </c>
      <c r="X23" s="12">
        <f>W23+預測IC!X23</f>
        <v>1.4625799129788839</v>
      </c>
      <c r="Y23" s="12">
        <f>X23+預測IC!Y23</f>
        <v>1.4549911495502057</v>
      </c>
      <c r="Z23" s="12">
        <f>Y23+預測IC!Z23</f>
        <v>1.3073507401069322</v>
      </c>
      <c r="AA23" s="12">
        <f>Z23+預測IC!AA23</f>
        <v>1.3007444481374619</v>
      </c>
      <c r="AB23" s="12">
        <f>AA23+預測IC!AB23</f>
        <v>1.2697530630814697</v>
      </c>
      <c r="AC23" s="12">
        <f>AB23+預測IC!AC23</f>
        <v>1.100998263444557</v>
      </c>
      <c r="AD23" s="12">
        <f>AC23+預測IC!AD23</f>
        <v>1.0859873630875096</v>
      </c>
      <c r="AE23" s="12">
        <f>AD23+預測IC!AE23</f>
        <v>1.3077043630875096</v>
      </c>
      <c r="AF23" s="12">
        <f>AE23+預測IC!AF23</f>
        <v>1.3746106231772608</v>
      </c>
      <c r="AG23" s="12">
        <f>AF23+預測IC!AG23</f>
        <v>1.2287167302375888</v>
      </c>
      <c r="AH23" s="12">
        <f>AG23+預測IC!AH23</f>
        <v>1.364365650588256</v>
      </c>
      <c r="AI23" s="12">
        <f>AH23+預測IC!AI23</f>
        <v>1.2889154808487937</v>
      </c>
      <c r="AJ23" s="12">
        <f>AI23+預測IC!AJ23</f>
        <v>1.2832723430006394</v>
      </c>
      <c r="AK23" s="12">
        <f>AJ23+預測IC!AK23</f>
        <v>1.3744715672758991</v>
      </c>
      <c r="AL23" s="12">
        <f>AK23+預測IC!AL23</f>
        <v>1.5059032804684347</v>
      </c>
      <c r="AM23" s="12">
        <f>AL23+預測IC!AM23</f>
        <v>1.4854327371663487</v>
      </c>
      <c r="AN23" s="12">
        <f>AM23+預測IC!AN23</f>
        <v>1.6459528779286801</v>
      </c>
      <c r="AO23" s="12">
        <f>AN23+預測IC!AO23</f>
        <v>1.6406159257372559</v>
      </c>
      <c r="AP23" s="12">
        <f>AO23+預測IC!AP23</f>
        <v>1.8058824257372559</v>
      </c>
      <c r="AQ23" s="12">
        <f>AP23+預測IC!AQ23</f>
        <v>1.905261425737256</v>
      </c>
      <c r="AR23" s="12">
        <f>AQ23+預測IC!AR23</f>
        <v>2.1587222215175998</v>
      </c>
      <c r="AS23" s="12">
        <f>AR23+預測IC!AS23</f>
        <v>2.1265532215175997</v>
      </c>
      <c r="AT23" s="12">
        <f>AS23+預測IC!AT23</f>
        <v>2.0851254997039499</v>
      </c>
      <c r="AU23" s="12">
        <f>AT23+預測IC!AU23</f>
        <v>2.1182710258324544</v>
      </c>
      <c r="AV23" s="12">
        <f>AU23+預測IC!AV23</f>
        <v>2.0906320316350802</v>
      </c>
      <c r="AW23" s="12">
        <f>AV23+預測IC!AW23</f>
        <v>2.0386051217966772</v>
      </c>
      <c r="AX23" s="12">
        <f>AW23+預測IC!AX23</f>
        <v>2.1084432756237215</v>
      </c>
      <c r="AY23" s="12">
        <f>AX23+預測IC!AY23</f>
        <v>2.2786772564643036</v>
      </c>
      <c r="AZ23" s="12">
        <f>AY23+預測IC!AZ23</f>
        <v>2.2149236390632434</v>
      </c>
      <c r="BA23" s="12">
        <f>AZ23+預測IC!BA23</f>
        <v>2.224570419143344</v>
      </c>
      <c r="BB23" s="12">
        <f>BA23+預測IC!BB23</f>
        <v>2.791397919143344</v>
      </c>
      <c r="BC23" s="12">
        <f>BB23+預測IC!BC23</f>
        <v>2.4905696699702782</v>
      </c>
      <c r="BD23" s="12">
        <f>BC23+預測IC!BD23</f>
        <v>2.6165491699702783</v>
      </c>
      <c r="BE23" s="12">
        <f>BD23+預測IC!BE23</f>
        <v>2.5451184075729816</v>
      </c>
      <c r="BF23" s="12">
        <f>BE23+預測IC!BF23</f>
        <v>2.4851054075729815</v>
      </c>
      <c r="BG23" s="12">
        <f>BF23+預測IC!BG23</f>
        <v>2.5598668787697338</v>
      </c>
      <c r="BH23" s="12">
        <f>BG23+預測IC!BH23</f>
        <v>2.3563828974144467</v>
      </c>
      <c r="BI23" s="12">
        <f>BH23+預測IC!BI23</f>
        <v>2.5474949767376458</v>
      </c>
      <c r="BJ23" s="12">
        <f>BI23+預測IC!BJ23</f>
        <v>2.6514982920055727</v>
      </c>
      <c r="BK23" s="12">
        <f>BJ23+預測IC!BK23</f>
        <v>2.6535324003420504</v>
      </c>
      <c r="BL23" s="12">
        <f>BK23+預測IC!BL23</f>
        <v>2.6001004003420505</v>
      </c>
      <c r="BM23" s="12">
        <f>BL23+預測IC!BM23</f>
        <v>2.4159539003420507</v>
      </c>
      <c r="BN23" s="12">
        <f>BM23+預測IC!BN23</f>
        <v>2.4425573703640282</v>
      </c>
      <c r="BO23" s="12">
        <f>BN23+預測IC!BO23</f>
        <v>2.5043773703640282</v>
      </c>
      <c r="BP23" s="12">
        <f>BO23+預測IC!BP23</f>
        <v>2.6026437695754847</v>
      </c>
      <c r="BQ23" s="12">
        <f>BP23+預測IC!BQ23</f>
        <v>2.6746916710107507</v>
      </c>
      <c r="BR23" s="12">
        <f>BQ23+預測IC!BR23</f>
        <v>2.7775142611911012</v>
      </c>
      <c r="BS23" s="12">
        <f>BR23+預測IC!BS23</f>
        <v>2.7042388725331894</v>
      </c>
      <c r="BT23" s="12">
        <f>BS23+預測IC!BT23</f>
        <v>2.4860533725331893</v>
      </c>
      <c r="BU23" s="12">
        <f>BT23+預測IC!BU23</f>
        <v>2.3803668725331892</v>
      </c>
      <c r="BV23" s="12">
        <f>BU23+預測IC!BV23</f>
        <v>2.3633463725331891</v>
      </c>
      <c r="BW23" s="12">
        <f>BV23+預測IC!BW23</f>
        <v>2.9643443725331893</v>
      </c>
      <c r="BX23" s="12">
        <f>BW23+預測IC!BX23</f>
        <v>3.0885638960778246</v>
      </c>
      <c r="BY23" s="12">
        <f>BX23+預測IC!BY23</f>
        <v>3.0987695887721722</v>
      </c>
      <c r="BZ23" s="12">
        <f>BY23+預測IC!BZ23</f>
        <v>3.4511685887721724</v>
      </c>
      <c r="CA23" s="12">
        <f>BZ23+預測IC!CA23</f>
        <v>3.3755153890255434</v>
      </c>
      <c r="CB23" s="12">
        <f>CA23+預測IC!CB23</f>
        <v>3.5931295920179833</v>
      </c>
      <c r="CC23" s="12">
        <f>CB23+預測IC!CC23</f>
        <v>3.5085845920179835</v>
      </c>
      <c r="CD23" s="12">
        <f>CC23+預測IC!CD23</f>
        <v>3.6498270920179836</v>
      </c>
      <c r="CE23" s="12">
        <f>CD23+預測IC!CE23</f>
        <v>3.7094290920179835</v>
      </c>
      <c r="CF23" s="12">
        <f>CE23+預測IC!CF23</f>
        <v>3.5259985920179835</v>
      </c>
      <c r="CG23" s="12">
        <f>CF23+預測IC!CG23</f>
        <v>3.8189020920179835</v>
      </c>
      <c r="CH23" s="12">
        <f>CG23+預測IC!CH23</f>
        <v>3.8408525920179835</v>
      </c>
      <c r="CI23" s="12">
        <f>CH23+預測IC!CI23</f>
        <v>3.7817300920179835</v>
      </c>
      <c r="CJ23" s="12">
        <f>CI23+預測IC!CJ23</f>
        <v>3.8016054595683939</v>
      </c>
      <c r="CK23" s="12">
        <f>CJ23+預測IC!CK23</f>
        <v>3.8977224542963556</v>
      </c>
      <c r="CL23" s="12">
        <f>CK23+預測IC!CL23</f>
        <v>3.4890614416289374</v>
      </c>
      <c r="CM23" s="12">
        <f>CL23+預測IC!CM23</f>
        <v>3.2543564416289374</v>
      </c>
      <c r="CN23" s="12">
        <f>CM23+預測IC!CN23</f>
        <v>3.3073616199987406</v>
      </c>
      <c r="CO23" s="12">
        <f>CN23+預測IC!CO23</f>
        <v>3.0389106430955914</v>
      </c>
      <c r="CP23" s="12">
        <f>CO23+預測IC!CP23</f>
        <v>3.3502713862583482</v>
      </c>
      <c r="CQ23" s="12">
        <f>CP23+預測IC!CQ23</f>
        <v>3.3410876417585422</v>
      </c>
      <c r="CR23" s="12">
        <f>CQ23+預測IC!CR23</f>
        <v>3.3028571417585422</v>
      </c>
      <c r="CS23" s="12">
        <f>CR23+預測IC!CS23</f>
        <v>3.3398313607498209</v>
      </c>
      <c r="CT23" s="12">
        <f>CS23+預測IC!CT23</f>
        <v>3.3069811367436763</v>
      </c>
      <c r="CU23" s="12">
        <f>CT23+預測IC!CU23</f>
        <v>3.3280377324569632</v>
      </c>
      <c r="CV23" s="12">
        <f>CU23+預測IC!CV23</f>
        <v>3.4813687007285377</v>
      </c>
      <c r="CW23" s="12">
        <f>CV23+預測IC!CW23</f>
        <v>3.4571824129395363</v>
      </c>
      <c r="CX23" s="12">
        <f>CW23+預測IC!CX23</f>
        <v>3.5458994070360625</v>
      </c>
      <c r="CY23" s="12">
        <f>CX23+預測IC!CY23</f>
        <v>3.523852876282684</v>
      </c>
      <c r="CZ23" s="12">
        <f>CY23+預測IC!CZ23</f>
        <v>3.3418540824253329</v>
      </c>
      <c r="DA23" s="12">
        <f>CZ23+預測IC!DA23</f>
        <v>3.3728362186512433</v>
      </c>
      <c r="DB23" s="12">
        <f>DA23+預測IC!DB23</f>
        <v>4.2374117932484543</v>
      </c>
      <c r="DC23" s="12">
        <f>DB23+預測IC!DC23</f>
        <v>4.0794628939302013</v>
      </c>
      <c r="DD23" s="12">
        <f>DC23+預測IC!DD23</f>
        <v>3.9866642192530484</v>
      </c>
      <c r="DE23" s="12">
        <f>DD23+預測IC!DE23</f>
        <v>3.8452197192530484</v>
      </c>
      <c r="DF23" s="12">
        <f>DE23+預測IC!DF23</f>
        <v>3.4364222192530485</v>
      </c>
      <c r="DG23" s="12">
        <f>DF23+預測IC!DG23</f>
        <v>3.5893988735481015</v>
      </c>
      <c r="DH23" s="12">
        <f>DG23+預測IC!DH23</f>
        <v>3.479816675186004</v>
      </c>
      <c r="DI23" s="12">
        <f>DH23+預測IC!DI23</f>
        <v>3.2949039616378988</v>
      </c>
      <c r="DJ23" s="12">
        <f>DI23+預測IC!DJ23</f>
        <v>3.3287269616378987</v>
      </c>
      <c r="DK23" s="12">
        <f>DJ23+預測IC!DK23</f>
        <v>3.4199704616378988</v>
      </c>
      <c r="DL23" s="12">
        <f>DK23+預測IC!DL23</f>
        <v>3.4765764616378987</v>
      </c>
      <c r="DM23" s="12">
        <f>DL23+預測IC!DM23</f>
        <v>3.4300994616378988</v>
      </c>
      <c r="DN23" s="12">
        <f>DM23+預測IC!DN23</f>
        <v>3.1651246051539075</v>
      </c>
      <c r="DO23" s="12">
        <f>DN23+預測IC!DO23</f>
        <v>3.0010333014200734</v>
      </c>
      <c r="DP23" s="12">
        <f>DO23+預測IC!DP23</f>
        <v>3.17787291990498</v>
      </c>
      <c r="DQ23" s="12">
        <f>DP23+預測IC!DQ23</f>
        <v>3.29900341990498</v>
      </c>
      <c r="DR23" s="12">
        <f>DQ23+預測IC!DR23</f>
        <v>3.2091174171736734</v>
      </c>
      <c r="DS23" s="12">
        <f>DR23+預測IC!DS23</f>
        <v>3.0925394171736733</v>
      </c>
      <c r="DT23" s="12">
        <f>DS23+預測IC!DT23</f>
        <v>3.0382889171736731</v>
      </c>
      <c r="DU23" s="12">
        <f>DT23+預測IC!DU23</f>
        <v>3.0939269171736732</v>
      </c>
      <c r="DV23" s="12">
        <f>DU23+預測IC!DV23</f>
        <v>2.8176553088442335</v>
      </c>
      <c r="DW23" s="12">
        <f>DV23+預測IC!DW23</f>
        <v>2.7946028088442336</v>
      </c>
      <c r="DX23" s="12">
        <f>DW23+預測IC!DX23</f>
        <v>3.1080960152231998</v>
      </c>
      <c r="DY23" s="12">
        <f>DX23+預測IC!DY23</f>
        <v>2.9382191865709455</v>
      </c>
      <c r="DZ23" s="12">
        <f>DY23+預測IC!DZ23</f>
        <v>3.041092205197458</v>
      </c>
      <c r="EA23" s="12">
        <f>DZ23+預測IC!EA23</f>
        <v>3.0645411128105775</v>
      </c>
      <c r="EB23" s="12">
        <f>EA23+預測IC!EB23</f>
        <v>3.1272945525212528</v>
      </c>
      <c r="EC23" s="12">
        <f>EB23+預測IC!EC23</f>
        <v>3.0040896095655882</v>
      </c>
      <c r="ED23" s="12">
        <f>EC23+預測IC!ED23</f>
        <v>3.0955155141853692</v>
      </c>
      <c r="EE23" s="12">
        <f>ED23+預測IC!EE23</f>
        <v>3.1647265141853693</v>
      </c>
      <c r="EF23" s="12">
        <f>EE23+預測IC!EF23</f>
        <v>3.2125087927770291</v>
      </c>
    </row>
    <row r="24" spans="1:136">
      <c r="A24" s="2">
        <v>964</v>
      </c>
      <c r="B24" s="2">
        <v>1</v>
      </c>
      <c r="C24" s="12">
        <v>9.9113000000000007E-2</v>
      </c>
      <c r="D24" s="12">
        <f>C24+預測IC!D24</f>
        <v>-4.9360099724128914E-3</v>
      </c>
      <c r="E24" s="12">
        <f>D24+預測IC!E24</f>
        <v>0.2795759900275871</v>
      </c>
      <c r="F24" s="12">
        <f>E24+預測IC!F24</f>
        <v>0.48112170889923334</v>
      </c>
      <c r="G24" s="12">
        <f>F24+預測IC!G24</f>
        <v>0.503744097461851</v>
      </c>
      <c r="H24" s="12">
        <f>G24+預測IC!H24</f>
        <v>0.539600097461851</v>
      </c>
      <c r="I24" s="12">
        <f>H24+預測IC!I24</f>
        <v>0.54171203066499451</v>
      </c>
      <c r="J24" s="12">
        <f>I24+預測IC!J24</f>
        <v>0.42625103066499453</v>
      </c>
      <c r="K24" s="12">
        <f>J24+預測IC!K24</f>
        <v>0.47669536665848322</v>
      </c>
      <c r="L24" s="12">
        <f>K24+預測IC!L24</f>
        <v>0.81045481113412987</v>
      </c>
      <c r="M24" s="12">
        <f>L24+預測IC!M24</f>
        <v>1.2734823553342682</v>
      </c>
      <c r="N24" s="12">
        <f>M24+預測IC!N24</f>
        <v>1.1682906445384229</v>
      </c>
      <c r="O24" s="12">
        <f>N24+預測IC!O24</f>
        <v>1.2049394352779665</v>
      </c>
      <c r="P24" s="12">
        <f>O24+預測IC!P24</f>
        <v>1.2826759211320238</v>
      </c>
      <c r="Q24" s="12">
        <f>P24+預測IC!Q24</f>
        <v>1.3728208699306867</v>
      </c>
      <c r="R24" s="12">
        <f>Q24+預測IC!R24</f>
        <v>1.2644553750184955</v>
      </c>
      <c r="S24" s="12">
        <f>R24+預測IC!S24</f>
        <v>1.6169698360786597</v>
      </c>
      <c r="T24" s="12">
        <f>S24+預測IC!T24</f>
        <v>1.3464831214046424</v>
      </c>
      <c r="U24" s="12">
        <f>T24+預測IC!U24</f>
        <v>1.6323361214046423</v>
      </c>
      <c r="V24" s="12">
        <f>U24+預測IC!V24</f>
        <v>1.7488764381214932</v>
      </c>
      <c r="W24" s="12">
        <f>V24+預測IC!W24</f>
        <v>2.2445884240774356</v>
      </c>
      <c r="X24" s="12">
        <f>W24+預測IC!X24</f>
        <v>2.3626108565834394</v>
      </c>
      <c r="Y24" s="12">
        <f>X24+預測IC!Y24</f>
        <v>2.3332120170030066</v>
      </c>
      <c r="Z24" s="12">
        <f>Y24+預測IC!Z24</f>
        <v>2.1828020913142168</v>
      </c>
      <c r="AA24" s="12">
        <f>Z24+預測IC!AA24</f>
        <v>2.1692543230766397</v>
      </c>
      <c r="AB24" s="12">
        <f>AA24+預測IC!AB24</f>
        <v>1.8688605295196572</v>
      </c>
      <c r="AC24" s="12">
        <f>AB24+預測IC!AC24</f>
        <v>1.4671131956727026</v>
      </c>
      <c r="AD24" s="12">
        <f>AC24+預測IC!AD24</f>
        <v>1.4592913567800729</v>
      </c>
      <c r="AE24" s="12">
        <f>AD24+預測IC!AE24</f>
        <v>1.6345623567800729</v>
      </c>
      <c r="AF24" s="12">
        <f>AE24+預測IC!AF24</f>
        <v>1.6570843668148634</v>
      </c>
      <c r="AG24" s="12">
        <f>AF24+預測IC!AG24</f>
        <v>1.2770289742320673</v>
      </c>
      <c r="AH24" s="12">
        <f>AG24+預測IC!AH24</f>
        <v>1.5791517308386425</v>
      </c>
      <c r="AI24" s="12">
        <f>AH24+預測IC!AI24</f>
        <v>1.4272400560552452</v>
      </c>
      <c r="AJ24" s="12">
        <f>AI24+預測IC!AJ24</f>
        <v>1.5081313000546206</v>
      </c>
      <c r="AK24" s="12">
        <f>AJ24+預測IC!AK24</f>
        <v>1.6213104638302447</v>
      </c>
      <c r="AL24" s="12">
        <f>AK24+預測IC!AL24</f>
        <v>1.5666335283396093</v>
      </c>
      <c r="AM24" s="12">
        <f>AL24+預測IC!AM24</f>
        <v>1.5816000736737332</v>
      </c>
      <c r="AN24" s="12">
        <f>AM24+預測IC!AN24</f>
        <v>1.6922608456092838</v>
      </c>
      <c r="AO24" s="12">
        <f>AN24+預測IC!AO24</f>
        <v>1.7583509574382739</v>
      </c>
      <c r="AP24" s="12">
        <f>AO24+預測IC!AP24</f>
        <v>1.9228359574382738</v>
      </c>
      <c r="AQ24" s="12">
        <f>AP24+預測IC!AQ24</f>
        <v>2.1399599574382737</v>
      </c>
      <c r="AR24" s="12">
        <f>AQ24+預測IC!AR24</f>
        <v>2.1603108019310882</v>
      </c>
      <c r="AS24" s="12">
        <f>AR24+預測IC!AS24</f>
        <v>1.9224788019310881</v>
      </c>
      <c r="AT24" s="12">
        <f>AS24+預測IC!AT24</f>
        <v>1.9529380094157966</v>
      </c>
      <c r="AU24" s="12">
        <f>AT24+預測IC!AU24</f>
        <v>1.997033329281021</v>
      </c>
      <c r="AV24" s="12">
        <f>AU24+預測IC!AV24</f>
        <v>1.909881377094125</v>
      </c>
      <c r="AW24" s="12">
        <f>AV24+預測IC!AW24</f>
        <v>1.9148689186051642</v>
      </c>
      <c r="AX24" s="12">
        <f>AW24+預測IC!AX24</f>
        <v>1.9431751051935886</v>
      </c>
      <c r="AY24" s="12">
        <f>AX24+預測IC!AY24</f>
        <v>2.1113023990784781</v>
      </c>
      <c r="AZ24" s="12">
        <f>AY24+預測IC!AZ24</f>
        <v>2.1491694726781434</v>
      </c>
      <c r="BA24" s="12">
        <f>AZ24+預測IC!BA24</f>
        <v>2.0953747405935101</v>
      </c>
      <c r="BB24" s="12">
        <f>BA24+預測IC!BB24</f>
        <v>2.7861507405935102</v>
      </c>
      <c r="BC24" s="12">
        <f>BB24+預測IC!BC24</f>
        <v>1.9829347275491327</v>
      </c>
      <c r="BD24" s="12">
        <f>BC24+預測IC!BD24</f>
        <v>2.0015747275491327</v>
      </c>
      <c r="BE24" s="12">
        <f>BD24+預測IC!BE24</f>
        <v>1.9555103735174457</v>
      </c>
      <c r="BF24" s="12">
        <f>BE24+預測IC!BF24</f>
        <v>1.8552743735174457</v>
      </c>
      <c r="BG24" s="12">
        <f>BF24+預測IC!BG24</f>
        <v>1.8821103393837566</v>
      </c>
      <c r="BH24" s="12">
        <f>BG24+預測IC!BH24</f>
        <v>1.4958550024702215</v>
      </c>
      <c r="BI24" s="12">
        <f>BH24+預測IC!BI24</f>
        <v>1.7194841085402686</v>
      </c>
      <c r="BJ24" s="12">
        <f>BI24+預測IC!BJ24</f>
        <v>1.7228324242951532</v>
      </c>
      <c r="BK24" s="12">
        <f>BJ24+預測IC!BK24</f>
        <v>1.7268559711894393</v>
      </c>
      <c r="BL24" s="12">
        <f>BK24+預測IC!BL24</f>
        <v>1.6959569711894393</v>
      </c>
      <c r="BM24" s="12">
        <f>BL24+預測IC!BM24</f>
        <v>1.3190439711894393</v>
      </c>
      <c r="BN24" s="12">
        <f>BM24+預測IC!BN24</f>
        <v>1.338934129668659</v>
      </c>
      <c r="BO24" s="12">
        <f>BN24+預測IC!BO24</f>
        <v>1.333314129668659</v>
      </c>
      <c r="BP24" s="12">
        <f>BO24+預測IC!BP24</f>
        <v>1.456665310797981</v>
      </c>
      <c r="BQ24" s="12">
        <f>BP24+預測IC!BQ24</f>
        <v>1.3924956774678661</v>
      </c>
      <c r="BR24" s="12">
        <f>BQ24+預測IC!BR24</f>
        <v>1.4914165666531076</v>
      </c>
      <c r="BS24" s="12">
        <f>BR24+預測IC!BS24</f>
        <v>1.4901318491686506</v>
      </c>
      <c r="BT24" s="12">
        <f>BS24+預測IC!BT24</f>
        <v>1.2134138491686506</v>
      </c>
      <c r="BU24" s="12">
        <f>BT24+預測IC!BU24</f>
        <v>1.2046648491686507</v>
      </c>
      <c r="BV24" s="12">
        <f>BU24+預測IC!BV24</f>
        <v>1.0013578491686508</v>
      </c>
      <c r="BW24" s="12">
        <f>BV24+預測IC!BW24</f>
        <v>2.1103728491686509</v>
      </c>
      <c r="BX24" s="12">
        <f>BW24+預測IC!BX24</f>
        <v>2.1684162188185661</v>
      </c>
      <c r="BY24" s="12">
        <f>BX24+預測IC!BY24</f>
        <v>2.0586705496511488</v>
      </c>
      <c r="BZ24" s="12">
        <f>BY24+預測IC!BZ24</f>
        <v>2.8726285496511488</v>
      </c>
      <c r="CA24" s="12">
        <f>BZ24+預測IC!CA24</f>
        <v>2.7574068688777342</v>
      </c>
      <c r="CB24" s="12">
        <f>CA24+預測IC!CB24</f>
        <v>2.5486448945898652</v>
      </c>
      <c r="CC24" s="12">
        <f>CB24+預測IC!CC24</f>
        <v>2.3661748945898653</v>
      </c>
      <c r="CD24" s="12">
        <f>CC24+預測IC!CD24</f>
        <v>2.3961288945898653</v>
      </c>
      <c r="CE24" s="12">
        <f>CD24+預測IC!CE24</f>
        <v>2.5616938945898653</v>
      </c>
      <c r="CF24" s="12">
        <f>CE24+預測IC!CF24</f>
        <v>2.3965638945898653</v>
      </c>
      <c r="CG24" s="12">
        <f>CF24+預測IC!CG24</f>
        <v>2.6338408945898655</v>
      </c>
      <c r="CH24" s="12">
        <f>CG24+預測IC!CH24</f>
        <v>2.7794838945898657</v>
      </c>
      <c r="CI24" s="12">
        <f>CH24+預測IC!CI24</f>
        <v>2.7209758945898659</v>
      </c>
      <c r="CJ24" s="12">
        <f>CI24+預測IC!CJ24</f>
        <v>2.7078664091704465</v>
      </c>
      <c r="CK24" s="12">
        <f>CJ24+預測IC!CK24</f>
        <v>2.8013964884861431</v>
      </c>
      <c r="CL24" s="12">
        <f>CK24+預測IC!CL24</f>
        <v>2.9431518218586836</v>
      </c>
      <c r="CM24" s="12">
        <f>CL24+預測IC!CM24</f>
        <v>2.3067118218586837</v>
      </c>
      <c r="CN24" s="12">
        <f>CM24+預測IC!CN24</f>
        <v>2.4144505883158969</v>
      </c>
      <c r="CO24" s="12">
        <f>CN24+預測IC!CO24</f>
        <v>1.8420409785812217</v>
      </c>
      <c r="CP24" s="12">
        <f>CO24+預測IC!CP24</f>
        <v>2.002385183396064</v>
      </c>
      <c r="CQ24" s="12">
        <f>CP24+預測IC!CQ24</f>
        <v>2.1170723572593606</v>
      </c>
      <c r="CR24" s="12">
        <f>CQ24+預測IC!CR24</f>
        <v>2.0202583572593604</v>
      </c>
      <c r="CS24" s="12">
        <f>CR24+預測IC!CS24</f>
        <v>2.1061535900061661</v>
      </c>
      <c r="CT24" s="12">
        <f>CS24+預測IC!CT24</f>
        <v>2.2890501772982828</v>
      </c>
      <c r="CU24" s="12">
        <f>CT24+預測IC!CU24</f>
        <v>2.3618015249549926</v>
      </c>
      <c r="CV24" s="12">
        <f>CU24+預測IC!CV24</f>
        <v>2.5446656198622155</v>
      </c>
      <c r="CW24" s="12">
        <f>CV24+預測IC!CW24</f>
        <v>2.3096724045893695</v>
      </c>
      <c r="CX24" s="12">
        <f>CW24+預測IC!CX24</f>
        <v>2.2544652108806824</v>
      </c>
      <c r="CY24" s="12">
        <f>CX24+預測IC!CY24</f>
        <v>2.3345321155175012</v>
      </c>
      <c r="CZ24" s="12">
        <f>CY24+預測IC!CZ24</f>
        <v>2.2223254870729341</v>
      </c>
      <c r="DA24" s="12">
        <f>CZ24+預測IC!DA24</f>
        <v>2.1978142829101794</v>
      </c>
      <c r="DB24" s="12">
        <f>DA24+預測IC!DB24</f>
        <v>3.1459238722901484</v>
      </c>
      <c r="DC24" s="12">
        <f>DB24+預測IC!DC24</f>
        <v>2.86319409356163</v>
      </c>
      <c r="DD24" s="12">
        <f>DC24+預測IC!DD24</f>
        <v>3.0590388157440715</v>
      </c>
      <c r="DE24" s="12">
        <f>DD24+預測IC!DE24</f>
        <v>2.7523998157440714</v>
      </c>
      <c r="DF24" s="12">
        <f>DE24+預測IC!DF24</f>
        <v>2.2268118157440715</v>
      </c>
      <c r="DG24" s="12">
        <f>DF24+預測IC!DG24</f>
        <v>2.4754007984773017</v>
      </c>
      <c r="DH24" s="12">
        <f>DG24+預測IC!DH24</f>
        <v>2.3725679544957869</v>
      </c>
      <c r="DI24" s="12">
        <f>DH24+預測IC!DI24</f>
        <v>1.9494691547674479</v>
      </c>
      <c r="DJ24" s="12">
        <f>DI24+預測IC!DJ24</f>
        <v>1.9283891547674479</v>
      </c>
      <c r="DK24" s="12">
        <f>DJ24+預測IC!DK24</f>
        <v>2.048068154767448</v>
      </c>
      <c r="DL24" s="12">
        <f>DK24+預測IC!DL24</f>
        <v>2.079817154767448</v>
      </c>
      <c r="DM24" s="12">
        <f>DL24+預測IC!DM24</f>
        <v>2.079407154767448</v>
      </c>
      <c r="DN24" s="12">
        <f>DM24+預測IC!DN24</f>
        <v>1.5625592157699157</v>
      </c>
      <c r="DO24" s="12">
        <f>DN24+預測IC!DO24</f>
        <v>1.3771184131372278</v>
      </c>
      <c r="DP24" s="12">
        <f>DO24+預測IC!DP24</f>
        <v>1.6006902366209246</v>
      </c>
      <c r="DQ24" s="12">
        <f>DP24+預測IC!DQ24</f>
        <v>1.6511762366209246</v>
      </c>
      <c r="DR24" s="12">
        <f>DQ24+預測IC!DR24</f>
        <v>1.6306606064088953</v>
      </c>
      <c r="DS24" s="12">
        <f>DR24+預測IC!DS24</f>
        <v>1.5632946064088953</v>
      </c>
      <c r="DT24" s="12">
        <f>DS24+預測IC!DT24</f>
        <v>1.4885616064088953</v>
      </c>
      <c r="DU24" s="12">
        <f>DT24+預測IC!DU24</f>
        <v>1.4667796064088954</v>
      </c>
      <c r="DV24" s="12">
        <f>DU24+預測IC!DV24</f>
        <v>1.3085549077650811</v>
      </c>
      <c r="DW24" s="12">
        <f>DV24+預測IC!DW24</f>
        <v>1.2073719077650811</v>
      </c>
      <c r="DX24" s="12">
        <f>DW24+預測IC!DX24</f>
        <v>1.518965035557585</v>
      </c>
      <c r="DY24" s="12">
        <f>DX24+預測IC!DY24</f>
        <v>1.1751607487593765</v>
      </c>
      <c r="DZ24" s="12">
        <f>DY24+預測IC!DZ24</f>
        <v>1.2256299311624932</v>
      </c>
      <c r="EA24" s="12">
        <f>DZ24+預測IC!EA24</f>
        <v>1.1482790089351573</v>
      </c>
      <c r="EB24" s="12">
        <f>EA24+預測IC!EB24</f>
        <v>1.1778611853004513</v>
      </c>
      <c r="EC24" s="12">
        <f>EB24+預測IC!EC24</f>
        <v>0.92120980533692487</v>
      </c>
      <c r="ED24" s="12">
        <f>EC24+預測IC!ED24</f>
        <v>0.97738265063528695</v>
      </c>
      <c r="EE24" s="12">
        <f>ED24+預測IC!EE24</f>
        <v>1.084864650635287</v>
      </c>
      <c r="EF24" s="12">
        <f>EE24+預測IC!EF24</f>
        <v>1.0175879735913187</v>
      </c>
    </row>
    <row r="25" spans="1:136">
      <c r="A25" s="2" t="s">
        <v>144</v>
      </c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zoomScale="176" zoomScaleNormal="90" workbookViewId="0">
      <selection activeCell="C3" sqref="C3:EF5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2">
        <v>1.7782902345061299E-2</v>
      </c>
      <c r="D3" s="12">
        <v>7.24458247423172E-2</v>
      </c>
      <c r="E3" s="12">
        <v>-1.229359768331051E-2</v>
      </c>
      <c r="F3" s="12">
        <v>1.6895091161131859E-2</v>
      </c>
      <c r="G3" s="12">
        <v>1.759104989469051E-2</v>
      </c>
      <c r="H3" s="12">
        <v>-2.2279582917690281E-2</v>
      </c>
      <c r="I3" s="12">
        <v>-3.8912922143936157E-2</v>
      </c>
      <c r="J3" s="12">
        <v>-2.6365116238594059E-2</v>
      </c>
      <c r="K3" s="12">
        <v>-2.014501765370369E-2</v>
      </c>
      <c r="L3" s="12">
        <v>-1.624567806720734E-2</v>
      </c>
      <c r="M3" s="12">
        <v>-8.2549653947353363E-2</v>
      </c>
      <c r="N3" s="12">
        <v>-1.7867140471935269E-2</v>
      </c>
      <c r="O3" s="12">
        <v>7.6627731323242188E-2</v>
      </c>
      <c r="P3" s="12">
        <v>-3.9154563099145889E-2</v>
      </c>
      <c r="Q3" s="12">
        <v>-4.1649270802736282E-2</v>
      </c>
      <c r="R3" s="12">
        <v>-2.7908530086278919E-2</v>
      </c>
      <c r="S3" s="12">
        <v>-8.0156058073043823E-2</v>
      </c>
      <c r="T3" s="12">
        <v>-3.3881399780511863E-2</v>
      </c>
      <c r="U3" s="12">
        <v>-3.6820832639932632E-2</v>
      </c>
      <c r="V3" s="12">
        <v>-1.9809873774647709E-2</v>
      </c>
      <c r="W3" s="12">
        <v>9.6304804086685181E-2</v>
      </c>
      <c r="X3" s="12">
        <v>0.16748018562793729</v>
      </c>
      <c r="Y3" s="12">
        <v>-1.015750598162413E-2</v>
      </c>
      <c r="Z3" s="12">
        <v>2.5555314496159549E-3</v>
      </c>
      <c r="AA3" s="12">
        <v>-7.8297220170497894E-2</v>
      </c>
      <c r="AB3" s="12">
        <v>-4.162265732884407E-2</v>
      </c>
      <c r="AC3" s="12">
        <v>-1.579752191901207E-2</v>
      </c>
      <c r="AD3" s="12">
        <v>-3.0706796795129779E-2</v>
      </c>
      <c r="AE3" s="12">
        <v>7.2333263233304024E-4</v>
      </c>
      <c r="AF3" s="12">
        <v>6.8843632936477661E-2</v>
      </c>
      <c r="AG3" s="12">
        <v>-5.1157008856534958E-3</v>
      </c>
      <c r="AH3" s="12">
        <v>-1.048196759074926E-2</v>
      </c>
      <c r="AI3" s="12">
        <v>-4.066355898976326E-2</v>
      </c>
      <c r="AJ3" s="12">
        <v>-5.5654104799032211E-2</v>
      </c>
      <c r="AK3" s="12">
        <v>-3.4865595400333398E-2</v>
      </c>
      <c r="AL3" s="12">
        <v>0.14250144362449649</v>
      </c>
      <c r="AM3" s="12">
        <v>4.2415492236614227E-2</v>
      </c>
      <c r="AN3" s="12">
        <v>1.8945284187793732E-2</v>
      </c>
      <c r="AO3" s="12">
        <v>3.6709178239107132E-2</v>
      </c>
      <c r="AP3" s="12">
        <v>-1.1438022367656229E-2</v>
      </c>
      <c r="AQ3" s="12">
        <v>-8.599540451541543E-4</v>
      </c>
      <c r="AR3" s="12">
        <v>8.9694326743483543E-3</v>
      </c>
      <c r="AS3" s="12">
        <v>-2.16217041015625E-2</v>
      </c>
      <c r="AT3" s="12">
        <v>5.6848321110010147E-2</v>
      </c>
      <c r="AU3" s="12">
        <v>3.9384294301271439E-2</v>
      </c>
      <c r="AV3" s="12">
        <v>0.14884805679321289</v>
      </c>
      <c r="AW3" s="12">
        <v>5.9238158166408539E-2</v>
      </c>
      <c r="AX3" s="12">
        <v>8.3451211452484131E-2</v>
      </c>
      <c r="AY3" s="12">
        <v>6.8846635520458221E-2</v>
      </c>
      <c r="AZ3" s="12">
        <v>0.15779311954975131</v>
      </c>
      <c r="BA3" s="12">
        <v>7.3232002556324005E-2</v>
      </c>
      <c r="BB3" s="12">
        <v>1.6600910574197769E-2</v>
      </c>
      <c r="BC3" s="12">
        <v>5.6218259036540992E-2</v>
      </c>
      <c r="BD3" s="12">
        <v>2.0839734002947811E-2</v>
      </c>
      <c r="BE3" s="12">
        <v>8.9553870260715485E-2</v>
      </c>
      <c r="BF3" s="12">
        <v>4.3456017971038818E-2</v>
      </c>
      <c r="BG3" s="12">
        <v>7.1616403758525848E-2</v>
      </c>
      <c r="BH3" s="12">
        <v>7.97300785779953E-2</v>
      </c>
      <c r="BI3" s="12">
        <v>8.7966516613960266E-2</v>
      </c>
      <c r="BJ3" s="12">
        <v>0.1081216707825661</v>
      </c>
      <c r="BK3" s="12">
        <v>0.1129734814167023</v>
      </c>
      <c r="BL3" s="12">
        <v>5.063258484005928E-2</v>
      </c>
      <c r="BM3" s="12">
        <v>7.7567048370838165E-2</v>
      </c>
      <c r="BN3" s="12">
        <v>4.4190812855958939E-2</v>
      </c>
      <c r="BO3" s="12">
        <v>2.8505465015769001E-2</v>
      </c>
      <c r="BP3" s="12">
        <v>0.10330298542976379</v>
      </c>
      <c r="BQ3" s="12">
        <v>7.12384432554245E-2</v>
      </c>
      <c r="BR3" s="12">
        <v>5.2489206194877618E-2</v>
      </c>
      <c r="BS3" s="12">
        <v>4.9339123070240021E-2</v>
      </c>
      <c r="BT3" s="12">
        <v>5.840107798576355E-2</v>
      </c>
      <c r="BU3" s="12">
        <v>2.5098161771893501E-2</v>
      </c>
      <c r="BV3" s="12">
        <v>2.3363580927252769E-2</v>
      </c>
      <c r="BW3" s="12">
        <v>5.6408349424600601E-2</v>
      </c>
      <c r="BX3" s="12">
        <v>3.3264696598052979E-2</v>
      </c>
      <c r="BY3" s="12">
        <v>-2.413135394454002E-2</v>
      </c>
      <c r="BZ3" s="12">
        <v>2.0291766151785851E-2</v>
      </c>
      <c r="CA3" s="12">
        <v>8.7816245853900909E-2</v>
      </c>
      <c r="CB3" s="12">
        <v>-4.3355219066143043E-2</v>
      </c>
      <c r="CC3" s="12">
        <v>6.0557723045349121E-3</v>
      </c>
      <c r="CD3" s="12">
        <v>-6.7888110876083374E-2</v>
      </c>
      <c r="CE3" s="12">
        <v>-4.0715392678976059E-3</v>
      </c>
      <c r="CF3" s="12">
        <v>-8.1548932939767838E-5</v>
      </c>
      <c r="CG3" s="12">
        <v>-3.5091366618871689E-2</v>
      </c>
      <c r="CH3" s="12">
        <v>-9.0038077905774117E-3</v>
      </c>
      <c r="CI3" s="12">
        <v>-2.54166703671217E-2</v>
      </c>
      <c r="CJ3" s="12">
        <v>-0.1101485714316368</v>
      </c>
      <c r="CK3" s="12">
        <v>4.6726226806640618E-2</v>
      </c>
      <c r="CL3" s="12">
        <v>5.5295374244451523E-2</v>
      </c>
      <c r="CM3" s="12">
        <v>-4.3500862084329128E-3</v>
      </c>
      <c r="CN3" s="12">
        <v>-5.8284953236579902E-2</v>
      </c>
      <c r="CO3" s="12">
        <v>-3.2531678676605218E-2</v>
      </c>
      <c r="CP3" s="12">
        <v>3.5830866545438773E-2</v>
      </c>
      <c r="CQ3" s="12">
        <v>2.45636235922575E-2</v>
      </c>
      <c r="CR3" s="12">
        <v>1.170414220541716E-2</v>
      </c>
      <c r="CS3" s="12">
        <v>-0.1024853959679604</v>
      </c>
      <c r="CT3" s="12">
        <v>1.293086330406368E-3</v>
      </c>
      <c r="CU3" s="12">
        <v>-0.1111449897289276</v>
      </c>
      <c r="CV3" s="12">
        <v>-3.1775698065757751E-2</v>
      </c>
      <c r="CW3" s="12">
        <v>-3.6522049456834793E-2</v>
      </c>
      <c r="CX3" s="12">
        <v>-8.237186074256897E-2</v>
      </c>
      <c r="CY3" s="12">
        <v>-4.1168216615915298E-2</v>
      </c>
      <c r="CZ3" s="12">
        <v>-7.4366219341754913E-2</v>
      </c>
      <c r="DA3" s="12">
        <v>-4.7027502208948142E-2</v>
      </c>
      <c r="DB3" s="12">
        <v>7.3655758751556277E-4</v>
      </c>
      <c r="DC3" s="12">
        <v>1.1260370723903179E-2</v>
      </c>
      <c r="DD3" s="12">
        <v>1.315145520493388E-3</v>
      </c>
      <c r="DE3" s="12">
        <v>-1.406966615468264E-2</v>
      </c>
      <c r="DF3" s="12">
        <v>1.287776418030262E-2</v>
      </c>
      <c r="DG3" s="12">
        <v>-8.777957409620285E-3</v>
      </c>
      <c r="DH3" s="12">
        <v>-1.8724145367741581E-2</v>
      </c>
      <c r="DI3" s="12">
        <v>1.5026724431663749E-3</v>
      </c>
      <c r="DJ3" s="12">
        <v>5.74493408203125E-3</v>
      </c>
      <c r="DK3" s="12">
        <v>-3.1418703496456153E-2</v>
      </c>
      <c r="DL3" s="12">
        <v>1.568500883877277E-2</v>
      </c>
      <c r="DM3" s="12">
        <v>-1.7450746148824688E-2</v>
      </c>
      <c r="DN3" s="12">
        <v>2.129724808037281E-2</v>
      </c>
      <c r="DO3" s="12">
        <v>-4.1845731437206268E-2</v>
      </c>
      <c r="DP3" s="12">
        <v>-1.9574053585529332E-3</v>
      </c>
      <c r="DQ3" s="12">
        <v>3.9197877049446106E-3</v>
      </c>
      <c r="DR3" s="12">
        <v>7.5242564082145691E-2</v>
      </c>
      <c r="DS3" s="12">
        <v>4.159560427069664E-2</v>
      </c>
      <c r="DT3" s="12">
        <v>-1.3514737598598E-2</v>
      </c>
      <c r="DU3" s="12">
        <v>1.3495544902980329E-2</v>
      </c>
      <c r="DV3" s="12">
        <v>-3.9159540086984627E-2</v>
      </c>
      <c r="DW3" s="12">
        <v>-2.1635228767991069E-2</v>
      </c>
      <c r="DX3" s="12">
        <v>-2.5841465219855309E-2</v>
      </c>
      <c r="DY3" s="12">
        <v>-2.6736544445157051E-2</v>
      </c>
      <c r="DZ3" s="12">
        <v>-3.2960411161184311E-2</v>
      </c>
      <c r="EA3" s="12">
        <v>-4.8574574291706092E-2</v>
      </c>
      <c r="EB3" s="12">
        <v>-0.1051784828305244</v>
      </c>
      <c r="EC3" s="12">
        <v>-2.840211242437363E-2</v>
      </c>
      <c r="ED3" s="12">
        <v>-0.1028049290180206</v>
      </c>
      <c r="EE3" s="12">
        <v>-4.4087015092372887E-2</v>
      </c>
      <c r="EF3" s="12">
        <v>-3.865974023938179E-2</v>
      </c>
    </row>
    <row r="4" spans="1:136" s="1" customFormat="1">
      <c r="B4" s="2" t="s">
        <v>137</v>
      </c>
      <c r="C4" s="12">
        <v>-3.6521758884191513E-2</v>
      </c>
      <c r="D4" s="12">
        <v>-4.2547494173049927E-2</v>
      </c>
      <c r="E4" s="12">
        <v>-5.0075937062501907E-2</v>
      </c>
      <c r="F4" s="12">
        <v>-2.3984730243682861E-2</v>
      </c>
      <c r="G4" s="12">
        <v>5.823938176035881E-3</v>
      </c>
      <c r="H4" s="12">
        <v>-5.2601419389247887E-2</v>
      </c>
      <c r="I4" s="12">
        <v>1.76677480340004E-2</v>
      </c>
      <c r="J4" s="12">
        <v>-3.2669864594936371E-2</v>
      </c>
      <c r="K4" s="12">
        <v>-1.6252247150987391E-3</v>
      </c>
      <c r="L4" s="12">
        <v>-1.7513863742351529E-2</v>
      </c>
      <c r="M4" s="12">
        <v>1.9140448421239849E-2</v>
      </c>
      <c r="N4" s="12">
        <v>-5.8379219844937316E-3</v>
      </c>
      <c r="O4" s="12">
        <v>-7.4128787964582443E-3</v>
      </c>
      <c r="P4" s="12">
        <v>1.252019684761763E-2</v>
      </c>
      <c r="Q4" s="12">
        <v>-7.0506609976291656E-2</v>
      </c>
      <c r="R4" s="12">
        <v>-1.9896263256669041E-2</v>
      </c>
      <c r="S4" s="12">
        <v>-6.8290457129478455E-2</v>
      </c>
      <c r="T4" s="12">
        <v>-2.8186876326799389E-2</v>
      </c>
      <c r="U4" s="12">
        <v>-9.2675261199474335E-2</v>
      </c>
      <c r="V4" s="12">
        <v>-3.7623911630362268E-3</v>
      </c>
      <c r="W4" s="12">
        <v>-6.7103758454322815E-2</v>
      </c>
      <c r="X4" s="12">
        <v>-8.8999226689338684E-2</v>
      </c>
      <c r="Y4" s="12">
        <v>-5.2372239530086517E-2</v>
      </c>
      <c r="Z4" s="12">
        <v>-5.4307661950588233E-2</v>
      </c>
      <c r="AA4" s="12">
        <v>-5.4428402334451682E-2</v>
      </c>
      <c r="AB4" s="12">
        <v>-2.7171488851308819E-2</v>
      </c>
      <c r="AC4" s="12">
        <v>2.6723876595497131E-2</v>
      </c>
      <c r="AD4" s="12">
        <v>2.4525046348571781E-2</v>
      </c>
      <c r="AE4" s="12">
        <v>4.7622621059417718E-2</v>
      </c>
      <c r="AF4" s="12">
        <v>3.0552491545677189E-2</v>
      </c>
      <c r="AG4" s="12">
        <v>4.2735278606414788E-2</v>
      </c>
      <c r="AH4" s="12">
        <v>1.2865195982158181E-2</v>
      </c>
      <c r="AI4" s="12">
        <v>1.34605560451746E-2</v>
      </c>
      <c r="AJ4" s="12">
        <v>4.8744384199380868E-2</v>
      </c>
      <c r="AK4" s="12">
        <v>-9.5475828275084496E-3</v>
      </c>
      <c r="AL4" s="12">
        <v>-3.1309803016483779E-3</v>
      </c>
      <c r="AM4" s="12">
        <v>3.3569058869034052E-3</v>
      </c>
      <c r="AN4" s="12">
        <v>1.3093852438032631E-2</v>
      </c>
      <c r="AO4" s="12">
        <v>1.4211865141987801E-2</v>
      </c>
      <c r="AP4" s="12">
        <v>4.6501751989126212E-2</v>
      </c>
      <c r="AQ4" s="12">
        <v>4.9757853150367737E-2</v>
      </c>
      <c r="AR4" s="12">
        <v>4.9711927771568298E-2</v>
      </c>
      <c r="AS4" s="12">
        <v>3.4978423267602921E-2</v>
      </c>
      <c r="AT4" s="12">
        <v>-6.4586242660880089E-3</v>
      </c>
      <c r="AU4" s="12">
        <v>3.2456304877996438E-2</v>
      </c>
      <c r="AV4" s="12">
        <v>6.4564580097794533E-3</v>
      </c>
      <c r="AW4" s="12">
        <v>1.8101127352565529E-3</v>
      </c>
      <c r="AX4" s="12">
        <v>-7.6085492037236691E-3</v>
      </c>
      <c r="AY4" s="12">
        <v>-3.6388270556926727E-2</v>
      </c>
      <c r="AZ4" s="12">
        <v>2.9014702886343002E-4</v>
      </c>
      <c r="BA4" s="12">
        <v>-5.6847855448722839E-2</v>
      </c>
      <c r="BB4" s="12">
        <v>-2.2272480651736259E-2</v>
      </c>
      <c r="BC4" s="12">
        <v>-2.9052544385194778E-2</v>
      </c>
      <c r="BD4" s="12">
        <v>-8.3808884024620056E-2</v>
      </c>
      <c r="BE4" s="12">
        <v>-3.9183963090181351E-2</v>
      </c>
      <c r="BF4" s="12">
        <v>-7.6244287192821503E-2</v>
      </c>
      <c r="BG4" s="12">
        <v>-6.157601997256279E-2</v>
      </c>
      <c r="BH4" s="12">
        <v>-7.3015347123146057E-2</v>
      </c>
      <c r="BI4" s="12">
        <v>-2.5757784023880959E-2</v>
      </c>
      <c r="BJ4" s="12">
        <v>-3.5152539610862732E-2</v>
      </c>
      <c r="BK4" s="12">
        <v>-6.5942555665969849E-2</v>
      </c>
      <c r="BL4" s="12">
        <v>-5.3756937384605408E-2</v>
      </c>
      <c r="BM4" s="12">
        <v>-7.9431377351284027E-2</v>
      </c>
      <c r="BN4" s="12">
        <v>-4.1163329035043723E-2</v>
      </c>
      <c r="BO4" s="12">
        <v>-9.4712458550930023E-2</v>
      </c>
      <c r="BP4" s="12">
        <v>-4.3530568480491638E-2</v>
      </c>
      <c r="BQ4" s="12">
        <v>-2.8697127476334568E-2</v>
      </c>
      <c r="BR4" s="12">
        <v>-5.7418853044509888E-2</v>
      </c>
      <c r="BS4" s="12">
        <v>-1.9358741119503971E-2</v>
      </c>
      <c r="BT4" s="12">
        <v>-8.4144026041030884E-2</v>
      </c>
      <c r="BU4" s="12">
        <v>-9.0233713388442993E-2</v>
      </c>
      <c r="BV4" s="12">
        <v>-0.1029478386044502</v>
      </c>
      <c r="BW4" s="12">
        <v>-7.1088537573814392E-2</v>
      </c>
      <c r="BX4" s="12">
        <v>-3.5722147673368447E-2</v>
      </c>
      <c r="BY4" s="12">
        <v>5.9959013015031806E-3</v>
      </c>
      <c r="BZ4" s="12">
        <v>-5.1592431962490082E-2</v>
      </c>
      <c r="CA4" s="12">
        <v>-8.5648052394390106E-2</v>
      </c>
      <c r="CB4" s="12">
        <v>-3.4140449017286301E-2</v>
      </c>
      <c r="CC4" s="12">
        <v>-7.9050444066524506E-2</v>
      </c>
      <c r="CD4" s="12">
        <v>-0.1116790845990181</v>
      </c>
      <c r="CE4" s="12">
        <v>-8.4638349711894989E-2</v>
      </c>
      <c r="CF4" s="12">
        <v>-8.8114269077777863E-2</v>
      </c>
      <c r="CG4" s="12">
        <v>-9.862682968378067E-2</v>
      </c>
      <c r="CH4" s="12">
        <v>-7.5061611831188202E-2</v>
      </c>
      <c r="CI4" s="12">
        <v>-5.5998209863901138E-2</v>
      </c>
      <c r="CJ4" s="12">
        <v>-1.808877848088741E-2</v>
      </c>
      <c r="CK4" s="12">
        <v>-4.2210087180137627E-2</v>
      </c>
      <c r="CL4" s="12">
        <v>8.6977891623973846E-3</v>
      </c>
      <c r="CM4" s="12">
        <v>-2.1875450387597081E-2</v>
      </c>
      <c r="CN4" s="12">
        <v>-4.4229812920093543E-2</v>
      </c>
      <c r="CO4" s="12">
        <v>1.863288693130016E-2</v>
      </c>
      <c r="CP4" s="12">
        <v>-1.35243646800518E-2</v>
      </c>
      <c r="CQ4" s="12">
        <v>-1.276247948408127E-2</v>
      </c>
      <c r="CR4" s="12">
        <v>-4.5928843319416053E-2</v>
      </c>
      <c r="CS4" s="12">
        <v>-8.4556788206100464E-2</v>
      </c>
      <c r="CT4" s="12">
        <v>-2.845652773976326E-2</v>
      </c>
      <c r="CU4" s="12">
        <v>-3.161858394742012E-2</v>
      </c>
      <c r="CV4" s="12">
        <v>-2.4635819718241692E-2</v>
      </c>
      <c r="CW4" s="12">
        <v>4.8304800875484943E-3</v>
      </c>
      <c r="CX4" s="12">
        <v>3.0027653556317091E-3</v>
      </c>
      <c r="CY4" s="12">
        <v>-9.6548935398459435E-3</v>
      </c>
      <c r="CZ4" s="12">
        <v>2.7862859889864922E-2</v>
      </c>
      <c r="DA4" s="12">
        <v>-7.2389086708426484E-3</v>
      </c>
      <c r="DB4" s="12">
        <v>1.481384225189686E-2</v>
      </c>
      <c r="DC4" s="12">
        <v>1.8979338929057121E-2</v>
      </c>
      <c r="DD4" s="12">
        <v>-1.182493194937706E-2</v>
      </c>
      <c r="DE4" s="12">
        <v>-5.5287983268499367E-2</v>
      </c>
      <c r="DF4" s="12">
        <v>3.9528455585241318E-2</v>
      </c>
      <c r="DG4" s="12">
        <v>-3.136556595563889E-3</v>
      </c>
      <c r="DH4" s="12">
        <v>1.8514588009566069E-4</v>
      </c>
      <c r="DI4" s="12">
        <v>-1.5441306866705419E-2</v>
      </c>
      <c r="DJ4" s="12">
        <v>4.8156458884477622E-2</v>
      </c>
      <c r="DK4" s="12">
        <v>3.9779618382453918E-2</v>
      </c>
      <c r="DL4" s="12">
        <v>2.912280336022377E-2</v>
      </c>
      <c r="DM4" s="12">
        <v>5.5858355015516281E-2</v>
      </c>
      <c r="DN4" s="12">
        <v>2.2332454100251201E-2</v>
      </c>
      <c r="DO4" s="12">
        <v>9.3815820291638374E-3</v>
      </c>
      <c r="DP4" s="12">
        <v>-1.1177884414792061E-2</v>
      </c>
      <c r="DQ4" s="12">
        <v>3.2798897475004203E-2</v>
      </c>
      <c r="DR4" s="12">
        <v>3.2948967069387443E-2</v>
      </c>
      <c r="DS4" s="12">
        <v>-6.3791960477828979E-2</v>
      </c>
      <c r="DT4" s="12">
        <v>-2.437188662588596E-2</v>
      </c>
      <c r="DU4" s="12">
        <v>2.8318654745817181E-2</v>
      </c>
      <c r="DV4" s="12">
        <v>-1.027075573801994E-2</v>
      </c>
      <c r="DW4" s="12">
        <v>4.162212461233139E-2</v>
      </c>
      <c r="DX4" s="12">
        <v>1.6859399154782299E-2</v>
      </c>
      <c r="DY4" s="12">
        <v>-1.3820808380842211E-2</v>
      </c>
      <c r="DZ4" s="12">
        <v>2.5562329217791561E-2</v>
      </c>
      <c r="EA4" s="12">
        <v>3.5361301153898239E-2</v>
      </c>
      <c r="EB4" s="12">
        <v>2.7386909350752831E-2</v>
      </c>
      <c r="EC4" s="12">
        <v>4.2391747236251831E-2</v>
      </c>
      <c r="ED4" s="12">
        <v>7.1895502507686615E-2</v>
      </c>
      <c r="EE4" s="12">
        <v>5.7367391884326928E-2</v>
      </c>
      <c r="EF4" s="12">
        <v>2.790111489593983E-2</v>
      </c>
    </row>
    <row r="5" spans="1:136" s="1" customFormat="1">
      <c r="B5" s="2" t="s">
        <v>138</v>
      </c>
      <c r="C5" s="12">
        <v>1.4347599819302561E-2</v>
      </c>
      <c r="D5" s="12">
        <v>-9.652099572122097E-3</v>
      </c>
      <c r="E5" s="12">
        <v>-8.5699288174510002E-3</v>
      </c>
      <c r="F5" s="12">
        <v>3.9053350687026978E-2</v>
      </c>
      <c r="G5" s="12">
        <v>-3.5989873111248023E-2</v>
      </c>
      <c r="H5" s="12">
        <v>1.041566673666239E-2</v>
      </c>
      <c r="I5" s="12">
        <v>-2.0847762003540989E-2</v>
      </c>
      <c r="J5" s="12">
        <v>-1.209943555295467E-2</v>
      </c>
      <c r="K5" s="12">
        <v>2.9407145455479618E-2</v>
      </c>
      <c r="L5" s="12">
        <v>5.8111239224672318E-2</v>
      </c>
      <c r="M5" s="12">
        <v>7.5894221663475037E-2</v>
      </c>
      <c r="N5" s="12">
        <v>6.2360752373933792E-2</v>
      </c>
      <c r="O5" s="12">
        <v>9.9858760833740234E-2</v>
      </c>
      <c r="P5" s="12">
        <v>0.13152122497558591</v>
      </c>
      <c r="Q5" s="12">
        <v>7.957778126001358E-2</v>
      </c>
      <c r="R5" s="12">
        <v>4.847404733300209E-2</v>
      </c>
      <c r="S5" s="12">
        <v>2.7741687372326851E-2</v>
      </c>
      <c r="T5" s="12">
        <v>5.0201687961816788E-2</v>
      </c>
      <c r="U5" s="12">
        <v>6.4513184130191803E-2</v>
      </c>
      <c r="V5" s="12">
        <v>6.3523001968860626E-2</v>
      </c>
      <c r="W5" s="12">
        <v>9.5773497596383095E-3</v>
      </c>
      <c r="X5" s="12">
        <v>6.016424298286438E-2</v>
      </c>
      <c r="Y5" s="12">
        <v>9.0847745537757874E-2</v>
      </c>
      <c r="Z5" s="12">
        <v>0.1071524396538734</v>
      </c>
      <c r="AA5" s="12">
        <v>5.1187384873628623E-2</v>
      </c>
      <c r="AB5" s="12">
        <v>8.0967366695404053E-2</v>
      </c>
      <c r="AC5" s="12">
        <v>3.8304600864648819E-2</v>
      </c>
      <c r="AD5" s="12">
        <v>2.0053833723068241E-2</v>
      </c>
      <c r="AE5" s="12">
        <v>4.644785076379776E-2</v>
      </c>
      <c r="AF5" s="12">
        <v>6.0654930770397193E-2</v>
      </c>
      <c r="AG5" s="12">
        <v>6.7320100963115692E-2</v>
      </c>
      <c r="AH5" s="12">
        <v>1.78289357572794E-2</v>
      </c>
      <c r="AI5" s="12">
        <v>5.6440837681293488E-2</v>
      </c>
      <c r="AJ5" s="12">
        <v>4.2928591370582581E-2</v>
      </c>
      <c r="AK5" s="12">
        <v>7.9053483903408051E-2</v>
      </c>
      <c r="AL5" s="12">
        <v>1.9981823861598969E-2</v>
      </c>
      <c r="AM5" s="12">
        <v>4.9416512250900269E-2</v>
      </c>
      <c r="AN5" s="12">
        <v>4.2488358914852142E-2</v>
      </c>
      <c r="AO5" s="12">
        <v>5.0316029228270054E-3</v>
      </c>
      <c r="AP5" s="12">
        <v>2.6226455345749859E-2</v>
      </c>
      <c r="AQ5" s="12">
        <v>-1.0934568010270601E-2</v>
      </c>
      <c r="AR5" s="12">
        <v>-5.88986836373806E-2</v>
      </c>
      <c r="AS5" s="12">
        <v>1.9943690858781341E-5</v>
      </c>
      <c r="AT5" s="12">
        <v>3.1712550669908517E-2</v>
      </c>
      <c r="AU5" s="12">
        <v>5.4366020485758781E-3</v>
      </c>
      <c r="AV5" s="12">
        <v>-8.6811445653438568E-3</v>
      </c>
      <c r="AW5" s="12">
        <v>2.3753151297569271E-2</v>
      </c>
      <c r="AX5" s="12">
        <v>-1.039000414311886E-2</v>
      </c>
      <c r="AY5" s="12">
        <v>4.2606234550476067E-2</v>
      </c>
      <c r="AZ5" s="12">
        <v>2.2628717124462131E-2</v>
      </c>
      <c r="BA5" s="12">
        <v>1.7847366398200391E-3</v>
      </c>
      <c r="BB5" s="12">
        <v>1.147421263158321E-2</v>
      </c>
      <c r="BC5" s="12">
        <v>-5.5574686266481876E-3</v>
      </c>
      <c r="BD5" s="12">
        <v>1.7132017761468891E-2</v>
      </c>
      <c r="BE5" s="12">
        <v>2.4164538830518719E-2</v>
      </c>
      <c r="BF5" s="12">
        <v>5.6551066227257252E-3</v>
      </c>
      <c r="BG5" s="12">
        <v>2.693047933280468E-2</v>
      </c>
      <c r="BH5" s="12">
        <v>3.3954640384763479E-3</v>
      </c>
      <c r="BI5" s="12">
        <v>2.639448270201683E-2</v>
      </c>
      <c r="BJ5" s="12">
        <v>1.144836191087961E-2</v>
      </c>
      <c r="BK5" s="12">
        <v>2.6191858574748039E-2</v>
      </c>
      <c r="BL5" s="12">
        <v>2.184408716857433E-2</v>
      </c>
      <c r="BM5" s="12">
        <v>3.5668004304170609E-2</v>
      </c>
      <c r="BN5" s="12">
        <v>4.7217939049005508E-2</v>
      </c>
      <c r="BO5" s="12">
        <v>1.5824703499674801E-2</v>
      </c>
      <c r="BP5" s="12">
        <v>4.0294736623764038E-2</v>
      </c>
      <c r="BQ5" s="12">
        <v>5.4744470864534378E-2</v>
      </c>
      <c r="BR5" s="12">
        <v>6.7423462867736816E-2</v>
      </c>
      <c r="BS5" s="12">
        <v>3.5041853785514832E-2</v>
      </c>
      <c r="BT5" s="12">
        <v>-1.695315167307854E-2</v>
      </c>
      <c r="BU5" s="12">
        <v>4.2807679623365402E-2</v>
      </c>
      <c r="BV5" s="12">
        <v>2.4910405278205872E-2</v>
      </c>
      <c r="BW5" s="12">
        <v>3.5352393984794617E-2</v>
      </c>
      <c r="BX5" s="12">
        <v>3.8252223283052438E-2</v>
      </c>
      <c r="BY5" s="12">
        <v>9.0397186577320099E-3</v>
      </c>
      <c r="BZ5" s="12">
        <v>6.5005947835743427E-3</v>
      </c>
      <c r="CA5" s="12">
        <v>1.141073554754257E-2</v>
      </c>
      <c r="CB5" s="12">
        <v>1.485352218151093E-2</v>
      </c>
      <c r="CC5" s="12">
        <v>5.4167184978723533E-2</v>
      </c>
      <c r="CD5" s="12">
        <v>2.3807717487215999E-2</v>
      </c>
      <c r="CE5" s="12">
        <v>7.6829078607261181E-3</v>
      </c>
      <c r="CF5" s="12">
        <v>2.9735062271356578E-3</v>
      </c>
      <c r="CG5" s="12">
        <v>2.4837357923388481E-2</v>
      </c>
      <c r="CH5" s="12">
        <v>4.7171309590339661E-2</v>
      </c>
      <c r="CI5" s="12">
        <v>4.6639894135296336E-3</v>
      </c>
      <c r="CJ5" s="12">
        <v>2.852512896060944E-2</v>
      </c>
      <c r="CK5" s="12">
        <v>-9.7033102065324783E-3</v>
      </c>
      <c r="CL5" s="12">
        <v>1.245168037712574E-2</v>
      </c>
      <c r="CM5" s="12">
        <v>1.4197885990142821E-2</v>
      </c>
      <c r="CN5" s="12">
        <v>3.0705662444233891E-2</v>
      </c>
      <c r="CO5" s="12">
        <v>3.5640694200992577E-2</v>
      </c>
      <c r="CP5" s="12">
        <v>2.5331234559416771E-2</v>
      </c>
      <c r="CQ5" s="12">
        <v>1.1073682690039279E-3</v>
      </c>
      <c r="CR5" s="12">
        <v>1.5654526650905609E-2</v>
      </c>
      <c r="CS5" s="12">
        <v>-1.1859666556119921E-2</v>
      </c>
      <c r="CT5" s="12">
        <v>5.863029882311821E-2</v>
      </c>
      <c r="CU5" s="12">
        <v>-7.8350687399506569E-3</v>
      </c>
      <c r="CV5" s="12">
        <v>4.6454016119241708E-2</v>
      </c>
      <c r="CW5" s="12">
        <v>7.367561012506485E-2</v>
      </c>
      <c r="CX5" s="12">
        <v>-4.4749602675437927E-3</v>
      </c>
      <c r="CY5" s="12">
        <v>2.9276512563228611E-2</v>
      </c>
      <c r="CZ5" s="12">
        <v>3.3731676638126373E-2</v>
      </c>
      <c r="DA5" s="12">
        <v>4.2157959192991257E-2</v>
      </c>
      <c r="DB5" s="12">
        <v>1.5304354019463061E-2</v>
      </c>
      <c r="DC5" s="12">
        <v>3.0327405780553821E-2</v>
      </c>
      <c r="DD5" s="12">
        <v>5.3778979927301407E-2</v>
      </c>
      <c r="DE5" s="12">
        <v>7.7699399553239354E-3</v>
      </c>
      <c r="DF5" s="12">
        <v>9.4073504442349076E-4</v>
      </c>
      <c r="DG5" s="12">
        <v>-8.2107760012149811E-2</v>
      </c>
      <c r="DH5" s="12">
        <v>-5.2850812673568733E-2</v>
      </c>
      <c r="DI5" s="12">
        <v>-7.8471429646015167E-2</v>
      </c>
      <c r="DJ5" s="12">
        <v>-4.0412887930870063E-2</v>
      </c>
      <c r="DK5" s="12">
        <v>-2.3652749136090279E-2</v>
      </c>
      <c r="DL5" s="12">
        <v>-1.795239187777042E-2</v>
      </c>
      <c r="DM5" s="12">
        <v>-3.8529172539710999E-2</v>
      </c>
      <c r="DN5" s="12">
        <v>-6.0538295656442642E-2</v>
      </c>
      <c r="DO5" s="12">
        <v>2.2697450593113899E-2</v>
      </c>
      <c r="DP5" s="12">
        <v>-2.293764241039753E-2</v>
      </c>
      <c r="DQ5" s="12">
        <v>2.235623262822628E-2</v>
      </c>
      <c r="DR5" s="12">
        <v>2.08442397415638E-2</v>
      </c>
      <c r="DS5" s="12">
        <v>-2.133695874363184E-3</v>
      </c>
      <c r="DT5" s="12">
        <v>2.0560766570270061E-3</v>
      </c>
      <c r="DU5" s="12">
        <v>9.2165069654583931E-3</v>
      </c>
      <c r="DV5" s="12">
        <v>-2.4538150057196621E-2</v>
      </c>
      <c r="DW5" s="12">
        <v>-5.4349824786186218E-3</v>
      </c>
      <c r="DX5" s="12">
        <v>-1.1826856061816221E-2</v>
      </c>
      <c r="DY5" s="12">
        <v>-2.4313617497682571E-2</v>
      </c>
      <c r="DZ5" s="12">
        <v>1.7076117917895321E-2</v>
      </c>
      <c r="EA5" s="12">
        <v>2.1494723856449131E-2</v>
      </c>
      <c r="EB5" s="12">
        <v>1.5846351161599159E-2</v>
      </c>
      <c r="EC5" s="12">
        <v>4.5648753643035889E-2</v>
      </c>
      <c r="ED5" s="12">
        <v>1.9599819555878639E-2</v>
      </c>
      <c r="EE5" s="12">
        <v>-1.0369730181992051E-2</v>
      </c>
      <c r="EF5" s="12">
        <v>6.0753826983273029E-3</v>
      </c>
    </row>
    <row r="6" spans="1:136" s="1" customFormat="1">
      <c r="A6" s="2" t="s">
        <v>139</v>
      </c>
      <c r="C6" s="12">
        <f t="array" ref="C6">MATCH(MAX(ABS(C3:C5)),ABS(C3:C5),0)</f>
        <v>2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3</v>
      </c>
      <c r="L6" s="12">
        <f t="array" ref="L6">MATCH(MAX(ABS(L3:L5)),ABS(L3:L5),0)</f>
        <v>3</v>
      </c>
      <c r="M6" s="12">
        <f t="array" ref="M6">MATCH(MAX(ABS(M3:M5)),ABS(M3:M5),0)</f>
        <v>1</v>
      </c>
      <c r="N6" s="12">
        <f t="array" ref="N6">MATCH(MAX(ABS(N3:N5)),ABS(N3:N5),0)</f>
        <v>3</v>
      </c>
      <c r="O6" s="12">
        <f t="array" ref="O6">MATCH(MAX(ABS(O3:O5)),ABS(O3:O5),0)</f>
        <v>3</v>
      </c>
      <c r="P6" s="12">
        <f t="array" ref="P6">MATCH(MAX(ABS(P3:P5)),ABS(P3:P5),0)</f>
        <v>3</v>
      </c>
      <c r="Q6" s="12">
        <f t="array" ref="Q6">MATCH(MAX(ABS(Q3:Q5)),ABS(Q3:Q5),0)</f>
        <v>3</v>
      </c>
      <c r="R6" s="12">
        <f t="array" ref="R6">MATCH(MAX(ABS(R3:R5)),ABS(R3:R5),0)</f>
        <v>3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2</v>
      </c>
      <c r="V6" s="12">
        <f t="array" ref="V6">MATCH(MAX(ABS(V3:V5)),ABS(V3:V5),0)</f>
        <v>3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3</v>
      </c>
      <c r="Z6" s="12">
        <f t="array" ref="Z6">MATCH(MAX(ABS(Z3:Z5)),ABS(Z3:Z5),0)</f>
        <v>3</v>
      </c>
      <c r="AA6" s="12">
        <f t="array" ref="AA6">MATCH(MAX(ABS(AA3:AA5)),ABS(AA3:AA5),0)</f>
        <v>1</v>
      </c>
      <c r="AB6" s="12">
        <f t="array" ref="AB6">MATCH(MAX(ABS(AB3:AB5)),ABS(AB3:AB5),0)</f>
        <v>3</v>
      </c>
      <c r="AC6" s="12">
        <f t="array" ref="AC6">MATCH(MAX(ABS(AC3:AC5)),ABS(AC3:AC5),0)</f>
        <v>3</v>
      </c>
      <c r="AD6" s="12">
        <f t="array" ref="AD6">MATCH(MAX(ABS(AD3:AD5)),ABS(AD3:AD5),0)</f>
        <v>1</v>
      </c>
      <c r="AE6" s="12">
        <f t="array" ref="AE6">MATCH(MAX(ABS(AE3:AE5)),ABS(AE3:AE5),0)</f>
        <v>2</v>
      </c>
      <c r="AF6" s="12">
        <f t="array" ref="AF6">MATCH(MAX(ABS(AF3:AF5)),ABS(AF3:AF5),0)</f>
        <v>1</v>
      </c>
      <c r="AG6" s="12">
        <f t="array" ref="AG6">MATCH(MAX(ABS(AG3:AG5)),ABS(AG3:AG5),0)</f>
        <v>3</v>
      </c>
      <c r="AH6" s="12">
        <f t="array" ref="AH6">MATCH(MAX(ABS(AH3:AH5)),ABS(AH3:AH5),0)</f>
        <v>3</v>
      </c>
      <c r="AI6" s="12">
        <f t="array" ref="AI6">MATCH(MAX(ABS(AI3:AI5)),ABS(AI3:AI5),0)</f>
        <v>3</v>
      </c>
      <c r="AJ6" s="12">
        <f t="array" ref="AJ6">MATCH(MAX(ABS(AJ3:AJ5)),ABS(AJ3:AJ5),0)</f>
        <v>1</v>
      </c>
      <c r="AK6" s="12">
        <f t="array" ref="AK6">MATCH(MAX(ABS(AK3:AK5)),ABS(AK3:AK5),0)</f>
        <v>3</v>
      </c>
      <c r="AL6" s="12">
        <f t="array" ref="AL6">MATCH(MAX(ABS(AL3:AL5)),ABS(AL3:AL5),0)</f>
        <v>1</v>
      </c>
      <c r="AM6" s="12">
        <f t="array" ref="AM6">MATCH(MAX(ABS(AM3:AM5)),ABS(AM3:AM5),0)</f>
        <v>3</v>
      </c>
      <c r="AN6" s="12">
        <f t="array" ref="AN6">MATCH(MAX(ABS(AN3:AN5)),ABS(AN3:AN5),0)</f>
        <v>3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3</v>
      </c>
      <c r="AS6" s="12">
        <f t="array" ref="AS6">MATCH(MAX(ABS(AS3:AS5)),ABS(AS3:AS5),0)</f>
        <v>2</v>
      </c>
      <c r="AT6" s="12">
        <f t="array" ref="AT6">MATCH(MAX(ABS(AT3:AT5)),ABS(AT3:AT5),0)</f>
        <v>1</v>
      </c>
      <c r="AU6" s="12">
        <f t="array" ref="AU6">MATCH(MAX(ABS(AU3:AU5)),ABS(AU3:AU5),0)</f>
        <v>1</v>
      </c>
      <c r="AV6" s="12">
        <f t="array" ref="AV6">MATCH(MAX(ABS(AV3:AV5)),ABS(AV3:AV5),0)</f>
        <v>1</v>
      </c>
      <c r="AW6" s="12">
        <f t="array" ref="AW6">MATCH(MAX(ABS(AW3:AW5)),ABS(AW3:AW5),0)</f>
        <v>1</v>
      </c>
      <c r="AX6" s="12">
        <f t="array" ref="AX6">MATCH(MAX(ABS(AX3:AX5)),ABS(AX3:AX5),0)</f>
        <v>1</v>
      </c>
      <c r="AY6" s="12">
        <f t="array" ref="AY6">MATCH(MAX(ABS(AY3:AY5)),ABS(AY3:AY5),0)</f>
        <v>1</v>
      </c>
      <c r="AZ6" s="12">
        <f t="array" ref="AZ6">MATCH(MAX(ABS(AZ3:AZ5)),ABS(AZ3:AZ5),0)</f>
        <v>1</v>
      </c>
      <c r="BA6" s="12">
        <f t="array" ref="BA6">MATCH(MAX(ABS(BA3:BA5)),ABS(BA3:BA5),0)</f>
        <v>1</v>
      </c>
      <c r="BB6" s="12">
        <f t="array" ref="BB6">MATCH(MAX(ABS(BB3:BB5)),ABS(BB3:BB5),0)</f>
        <v>2</v>
      </c>
      <c r="BC6" s="12">
        <f t="array" ref="BC6">MATCH(MAX(ABS(BC3:BC5)),ABS(BC3:BC5),0)</f>
        <v>1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2</v>
      </c>
      <c r="BG6" s="12">
        <f t="array" ref="BG6">MATCH(MAX(ABS(BG3:BG5)),ABS(BG3:BG5),0)</f>
        <v>1</v>
      </c>
      <c r="BH6" s="12">
        <f t="array" ref="BH6">MATCH(MAX(ABS(BH3:BH5)),ABS(BH3:BH5),0)</f>
        <v>1</v>
      </c>
      <c r="BI6" s="12">
        <f t="array" ref="BI6">MATCH(MAX(ABS(BI3:BI5)),ABS(BI3:BI5),0)</f>
        <v>1</v>
      </c>
      <c r="BJ6" s="12">
        <f t="array" ref="BJ6">MATCH(MAX(ABS(BJ3:BJ5)),ABS(BJ3:BJ5),0)</f>
        <v>1</v>
      </c>
      <c r="BK6" s="12">
        <f t="array" ref="BK6">MATCH(MAX(ABS(BK3:BK5)),ABS(BK3:BK5),0)</f>
        <v>1</v>
      </c>
      <c r="BL6" s="12">
        <f t="array" ref="BL6">MATCH(MAX(ABS(BL3:BL5)),ABS(BL3:BL5),0)</f>
        <v>2</v>
      </c>
      <c r="BM6" s="12">
        <f t="array" ref="BM6">MATCH(MAX(ABS(BM3:BM5)),ABS(BM3:BM5),0)</f>
        <v>2</v>
      </c>
      <c r="BN6" s="12">
        <f t="array" ref="BN6">MATCH(MAX(ABS(BN3:BN5)),ABS(BN3:BN5),0)</f>
        <v>3</v>
      </c>
      <c r="BO6" s="12">
        <f t="array" ref="BO6">MATCH(MAX(ABS(BO3:BO5)),ABS(BO3:BO5),0)</f>
        <v>2</v>
      </c>
      <c r="BP6" s="12">
        <f t="array" ref="BP6">MATCH(MAX(ABS(BP3:BP5)),ABS(BP3:BP5),0)</f>
        <v>1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1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3</v>
      </c>
      <c r="BY6" s="12">
        <f t="array" ref="BY6">MATCH(MAX(ABS(BY3:BY5)),ABS(BY3:BY5),0)</f>
        <v>1</v>
      </c>
      <c r="BZ6" s="12">
        <f t="array" ref="BZ6">MATCH(MAX(ABS(BZ3:BZ5)),ABS(BZ3:BZ5),0)</f>
        <v>2</v>
      </c>
      <c r="CA6" s="12">
        <f t="array" ref="CA6">MATCH(MAX(ABS(CA3:CA5)),ABS(CA3:CA5),0)</f>
        <v>1</v>
      </c>
      <c r="CB6" s="12">
        <f t="array" ref="CB6">MATCH(MAX(ABS(CB3:CB5)),ABS(CB3:CB5),0)</f>
        <v>1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2</v>
      </c>
      <c r="CF6" s="12">
        <f t="array" ref="CF6">MATCH(MAX(ABS(CF3:CF5)),ABS(CF3:CF5),0)</f>
        <v>2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1</v>
      </c>
      <c r="CK6" s="12">
        <f t="array" ref="CK6">MATCH(MAX(ABS(CK3:CK5)),ABS(CK3:CK5),0)</f>
        <v>1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1</v>
      </c>
      <c r="CO6" s="12">
        <f t="array" ref="CO6">MATCH(MAX(ABS(CO3:CO5)),ABS(CO3:CO5),0)</f>
        <v>3</v>
      </c>
      <c r="CP6" s="12">
        <f t="array" ref="CP6">MATCH(MAX(ABS(CP3:CP5)),ABS(CP3:CP5),0)</f>
        <v>1</v>
      </c>
      <c r="CQ6" s="12">
        <f t="array" ref="CQ6">MATCH(MAX(ABS(CQ3:CQ5)),ABS(CQ3:CQ5),0)</f>
        <v>1</v>
      </c>
      <c r="CR6" s="12">
        <f t="array" ref="CR6">MATCH(MAX(ABS(CR3:CR5)),ABS(CR3:CR5),0)</f>
        <v>2</v>
      </c>
      <c r="CS6" s="12">
        <f t="array" ref="CS6">MATCH(MAX(ABS(CS3:CS5)),ABS(CS3:CS5),0)</f>
        <v>1</v>
      </c>
      <c r="CT6" s="12">
        <f t="array" ref="CT6">MATCH(MAX(ABS(CT3:CT5)),ABS(CT3:CT5),0)</f>
        <v>3</v>
      </c>
      <c r="CU6" s="12">
        <f t="array" ref="CU6">MATCH(MAX(ABS(CU3:CU5)),ABS(CU3:CU5),0)</f>
        <v>1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1</v>
      </c>
      <c r="CZ6" s="12">
        <f t="array" ref="CZ6">MATCH(MAX(ABS(CZ3:CZ5)),ABS(CZ3:CZ5),0)</f>
        <v>1</v>
      </c>
      <c r="DA6" s="12">
        <f t="array" ref="DA6">MATCH(MAX(ABS(DA3:DA5)),ABS(DA3:DA5),0)</f>
        <v>1</v>
      </c>
      <c r="DB6" s="12">
        <f t="array" ref="DB6">MATCH(MAX(ABS(DB3:DB5)),ABS(DB3:DB5),0)</f>
        <v>3</v>
      </c>
      <c r="DC6" s="12">
        <f t="array" ref="DC6">MATCH(MAX(ABS(DC3:DC5)),ABS(DC3:DC5),0)</f>
        <v>3</v>
      </c>
      <c r="DD6" s="12">
        <f t="array" ref="DD6">MATCH(MAX(ABS(DD3:DD5)),ABS(DD3:DD5),0)</f>
        <v>3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3</v>
      </c>
      <c r="DH6" s="12">
        <f t="array" ref="DH6">MATCH(MAX(ABS(DH3:DH5)),ABS(DH3:DH5),0)</f>
        <v>3</v>
      </c>
      <c r="DI6" s="12">
        <f t="array" ref="DI6">MATCH(MAX(ABS(DI3:DI5)),ABS(DI3:DI5),0)</f>
        <v>3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3</v>
      </c>
      <c r="DO6" s="12">
        <f t="array" ref="DO6">MATCH(MAX(ABS(DO3:DO5)),ABS(DO3:DO5),0)</f>
        <v>1</v>
      </c>
      <c r="DP6" s="12">
        <f t="array" ref="DP6">MATCH(MAX(ABS(DP3:DP5)),ABS(DP3:DP5),0)</f>
        <v>3</v>
      </c>
      <c r="DQ6" s="12">
        <f t="array" ref="DQ6">MATCH(MAX(ABS(DQ3:DQ5)),ABS(DQ3:DQ5),0)</f>
        <v>2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1</v>
      </c>
      <c r="DZ6" s="12">
        <f t="array" ref="DZ6">MATCH(MAX(ABS(DZ3:DZ5)),ABS(DZ3:DZ5),0)</f>
        <v>1</v>
      </c>
      <c r="EA6" s="12">
        <f t="array" ref="EA6">MATCH(MAX(ABS(EA3:EA5)),ABS(EA3:EA5),0)</f>
        <v>1</v>
      </c>
      <c r="EB6" s="12">
        <f t="array" ref="EB6">MATCH(MAX(ABS(EB3:EB5)),ABS(EB3:EB5),0)</f>
        <v>1</v>
      </c>
      <c r="EC6" s="12">
        <f t="array" ref="EC6">MATCH(MAX(ABS(EC3:EC5)),ABS(EC3:EC5),0)</f>
        <v>3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1</v>
      </c>
    </row>
    <row r="7" spans="1:136">
      <c r="C7" s="13" t="str">
        <f t="shared" ref="C7:BN7" si="0">IF(C6=1,"bm",IF(C6=2,"size",IF(C6=3,"mom")))</f>
        <v>size</v>
      </c>
      <c r="D7" s="13" t="str">
        <f t="shared" si="0"/>
        <v>bm</v>
      </c>
      <c r="E7" s="13" t="str">
        <f t="shared" si="0"/>
        <v>size</v>
      </c>
      <c r="F7" s="13" t="str">
        <f t="shared" si="0"/>
        <v>mom</v>
      </c>
      <c r="G7" s="13" t="str">
        <f t="shared" si="0"/>
        <v>mom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mom</v>
      </c>
      <c r="L7" s="13" t="str">
        <f t="shared" si="0"/>
        <v>mom</v>
      </c>
      <c r="M7" s="13" t="str">
        <f t="shared" si="0"/>
        <v>bm</v>
      </c>
      <c r="N7" s="13" t="str">
        <f t="shared" si="0"/>
        <v>mom</v>
      </c>
      <c r="O7" s="13" t="str">
        <f t="shared" si="0"/>
        <v>mom</v>
      </c>
      <c r="P7" s="13" t="str">
        <f t="shared" si="0"/>
        <v>mom</v>
      </c>
      <c r="Q7" s="13" t="str">
        <f t="shared" si="0"/>
        <v>mom</v>
      </c>
      <c r="R7" s="13" t="str">
        <f t="shared" si="0"/>
        <v>mom</v>
      </c>
      <c r="S7" s="13" t="str">
        <f t="shared" si="0"/>
        <v>bm</v>
      </c>
      <c r="T7" s="13" t="str">
        <f t="shared" si="0"/>
        <v>mom</v>
      </c>
      <c r="U7" s="13" t="str">
        <f t="shared" si="0"/>
        <v>size</v>
      </c>
      <c r="V7" s="13" t="str">
        <f t="shared" si="0"/>
        <v>mom</v>
      </c>
      <c r="W7" s="13" t="str">
        <f t="shared" si="0"/>
        <v>bm</v>
      </c>
      <c r="X7" s="13" t="str">
        <f t="shared" si="0"/>
        <v>bm</v>
      </c>
      <c r="Y7" s="13" t="str">
        <f t="shared" si="0"/>
        <v>mom</v>
      </c>
      <c r="Z7" s="13" t="str">
        <f t="shared" si="0"/>
        <v>mom</v>
      </c>
      <c r="AA7" s="13" t="str">
        <f t="shared" si="0"/>
        <v>bm</v>
      </c>
      <c r="AB7" s="13" t="str">
        <f t="shared" si="0"/>
        <v>mom</v>
      </c>
      <c r="AC7" s="13" t="str">
        <f t="shared" si="0"/>
        <v>mom</v>
      </c>
      <c r="AD7" s="13" t="str">
        <f t="shared" si="0"/>
        <v>bm</v>
      </c>
      <c r="AE7" s="13" t="str">
        <f t="shared" si="0"/>
        <v>size</v>
      </c>
      <c r="AF7" s="13" t="str">
        <f t="shared" si="0"/>
        <v>bm</v>
      </c>
      <c r="AG7" s="13" t="str">
        <f t="shared" si="0"/>
        <v>mom</v>
      </c>
      <c r="AH7" s="13" t="str">
        <f t="shared" si="0"/>
        <v>mom</v>
      </c>
      <c r="AI7" s="13" t="str">
        <f t="shared" si="0"/>
        <v>mom</v>
      </c>
      <c r="AJ7" s="13" t="str">
        <f t="shared" si="0"/>
        <v>bm</v>
      </c>
      <c r="AK7" s="13" t="str">
        <f t="shared" si="0"/>
        <v>mom</v>
      </c>
      <c r="AL7" s="13" t="str">
        <f t="shared" si="0"/>
        <v>bm</v>
      </c>
      <c r="AM7" s="13" t="str">
        <f t="shared" si="0"/>
        <v>mom</v>
      </c>
      <c r="AN7" s="13" t="str">
        <f t="shared" si="0"/>
        <v>mom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mom</v>
      </c>
      <c r="AS7" s="13" t="str">
        <f t="shared" si="0"/>
        <v>size</v>
      </c>
      <c r="AT7" s="13" t="str">
        <f t="shared" si="0"/>
        <v>bm</v>
      </c>
      <c r="AU7" s="13" t="str">
        <f t="shared" si="0"/>
        <v>bm</v>
      </c>
      <c r="AV7" s="13" t="str">
        <f t="shared" si="0"/>
        <v>bm</v>
      </c>
      <c r="AW7" s="13" t="str">
        <f t="shared" si="0"/>
        <v>bm</v>
      </c>
      <c r="AX7" s="13" t="str">
        <f t="shared" si="0"/>
        <v>bm</v>
      </c>
      <c r="AY7" s="13" t="str">
        <f t="shared" si="0"/>
        <v>bm</v>
      </c>
      <c r="AZ7" s="13" t="str">
        <f t="shared" si="0"/>
        <v>bm</v>
      </c>
      <c r="BA7" s="13" t="str">
        <f t="shared" si="0"/>
        <v>bm</v>
      </c>
      <c r="BB7" s="13" t="str">
        <f t="shared" si="0"/>
        <v>size</v>
      </c>
      <c r="BC7" s="13" t="str">
        <f t="shared" si="0"/>
        <v>bm</v>
      </c>
      <c r="BD7" s="13" t="str">
        <f t="shared" si="0"/>
        <v>size</v>
      </c>
      <c r="BE7" s="13" t="str">
        <f t="shared" si="0"/>
        <v>bm</v>
      </c>
      <c r="BF7" s="13" t="str">
        <f t="shared" si="0"/>
        <v>size</v>
      </c>
      <c r="BG7" s="13" t="str">
        <f t="shared" si="0"/>
        <v>bm</v>
      </c>
      <c r="BH7" s="13" t="str">
        <f t="shared" si="0"/>
        <v>bm</v>
      </c>
      <c r="BI7" s="13" t="str">
        <f t="shared" si="0"/>
        <v>bm</v>
      </c>
      <c r="BJ7" s="13" t="str">
        <f t="shared" si="0"/>
        <v>bm</v>
      </c>
      <c r="BK7" s="13" t="str">
        <f t="shared" si="0"/>
        <v>bm</v>
      </c>
      <c r="BL7" s="13" t="str">
        <f t="shared" si="0"/>
        <v>size</v>
      </c>
      <c r="BM7" s="13" t="str">
        <f t="shared" si="0"/>
        <v>size</v>
      </c>
      <c r="BN7" s="13" t="str">
        <f t="shared" si="0"/>
        <v>mom</v>
      </c>
      <c r="BO7" s="13" t="str">
        <f t="shared" ref="BO7:DZ7" si="1">IF(BO6=1,"bm",IF(BO6=2,"size",IF(BO6=3,"mom")))</f>
        <v>size</v>
      </c>
      <c r="BP7" s="13" t="str">
        <f t="shared" si="1"/>
        <v>bm</v>
      </c>
      <c r="BQ7" s="13" t="str">
        <f t="shared" si="1"/>
        <v>bm</v>
      </c>
      <c r="BR7" s="13" t="str">
        <f t="shared" si="1"/>
        <v>mom</v>
      </c>
      <c r="BS7" s="13" t="str">
        <f t="shared" si="1"/>
        <v>bm</v>
      </c>
      <c r="BT7" s="13" t="str">
        <f t="shared" si="1"/>
        <v>size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mom</v>
      </c>
      <c r="BY7" s="13" t="str">
        <f t="shared" si="1"/>
        <v>bm</v>
      </c>
      <c r="BZ7" s="13" t="str">
        <f t="shared" si="1"/>
        <v>size</v>
      </c>
      <c r="CA7" s="13" t="str">
        <f t="shared" si="1"/>
        <v>bm</v>
      </c>
      <c r="CB7" s="13" t="str">
        <f t="shared" si="1"/>
        <v>bm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size</v>
      </c>
      <c r="CF7" s="13" t="str">
        <f t="shared" si="1"/>
        <v>size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bm</v>
      </c>
      <c r="CK7" s="13" t="str">
        <f t="shared" si="1"/>
        <v>bm</v>
      </c>
      <c r="CL7" s="13" t="str">
        <f t="shared" si="1"/>
        <v>bm</v>
      </c>
      <c r="CM7" s="13" t="str">
        <f t="shared" si="1"/>
        <v>size</v>
      </c>
      <c r="CN7" s="13" t="str">
        <f t="shared" si="1"/>
        <v>bm</v>
      </c>
      <c r="CO7" s="13" t="str">
        <f t="shared" si="1"/>
        <v>mom</v>
      </c>
      <c r="CP7" s="13" t="str">
        <f t="shared" si="1"/>
        <v>bm</v>
      </c>
      <c r="CQ7" s="13" t="str">
        <f t="shared" si="1"/>
        <v>bm</v>
      </c>
      <c r="CR7" s="13" t="str">
        <f t="shared" si="1"/>
        <v>size</v>
      </c>
      <c r="CS7" s="13" t="str">
        <f t="shared" si="1"/>
        <v>bm</v>
      </c>
      <c r="CT7" s="13" t="str">
        <f t="shared" si="1"/>
        <v>mom</v>
      </c>
      <c r="CU7" s="13" t="str">
        <f t="shared" si="1"/>
        <v>bm</v>
      </c>
      <c r="CV7" s="13" t="str">
        <f t="shared" si="1"/>
        <v>mom</v>
      </c>
      <c r="CW7" s="13" t="str">
        <f t="shared" si="1"/>
        <v>mom</v>
      </c>
      <c r="CX7" s="13" t="str">
        <f t="shared" si="1"/>
        <v>bm</v>
      </c>
      <c r="CY7" s="13" t="str">
        <f t="shared" si="1"/>
        <v>bm</v>
      </c>
      <c r="CZ7" s="13" t="str">
        <f t="shared" si="1"/>
        <v>bm</v>
      </c>
      <c r="DA7" s="13" t="str">
        <f t="shared" si="1"/>
        <v>bm</v>
      </c>
      <c r="DB7" s="13" t="str">
        <f t="shared" si="1"/>
        <v>mom</v>
      </c>
      <c r="DC7" s="13" t="str">
        <f t="shared" si="1"/>
        <v>mom</v>
      </c>
      <c r="DD7" s="13" t="str">
        <f t="shared" si="1"/>
        <v>mom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mom</v>
      </c>
      <c r="DH7" s="13" t="str">
        <f t="shared" si="1"/>
        <v>mom</v>
      </c>
      <c r="DI7" s="13" t="str">
        <f t="shared" si="1"/>
        <v>mom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mom</v>
      </c>
      <c r="DO7" s="13" t="str">
        <f t="shared" si="1"/>
        <v>bm</v>
      </c>
      <c r="DP7" s="13" t="str">
        <f t="shared" si="1"/>
        <v>mom</v>
      </c>
      <c r="DQ7" s="13" t="str">
        <f t="shared" si="1"/>
        <v>size</v>
      </c>
      <c r="DR7" s="13" t="str">
        <f t="shared" si="1"/>
        <v>bm</v>
      </c>
      <c r="DS7" s="13" t="str">
        <f t="shared" si="1"/>
        <v>size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bm</v>
      </c>
      <c r="DW7" s="13" t="str">
        <f t="shared" si="1"/>
        <v>size</v>
      </c>
      <c r="DX7" s="13" t="str">
        <f t="shared" si="1"/>
        <v>bm</v>
      </c>
      <c r="DY7" s="13" t="str">
        <f t="shared" si="1"/>
        <v>bm</v>
      </c>
      <c r="DZ7" s="13" t="str">
        <f t="shared" si="1"/>
        <v>bm</v>
      </c>
      <c r="EA7" s="13" t="str">
        <f t="shared" ref="EA7:EF7" si="2">IF(EA6=1,"bm",IF(EA6=2,"size",IF(EA6=3,"mom")))</f>
        <v>bm</v>
      </c>
      <c r="EB7" s="13" t="str">
        <f t="shared" si="2"/>
        <v>bm</v>
      </c>
      <c r="EC7" s="13" t="str">
        <f t="shared" si="2"/>
        <v>mom</v>
      </c>
      <c r="ED7" s="13" t="str">
        <f t="shared" si="2"/>
        <v>bm</v>
      </c>
      <c r="EE7" s="13" t="str">
        <f t="shared" si="2"/>
        <v>size</v>
      </c>
      <c r="EF7" s="13" t="str">
        <f t="shared" si="2"/>
        <v>bm</v>
      </c>
    </row>
    <row r="8" spans="1:136">
      <c r="C8" s="12">
        <f t="shared" ref="C8:BN8" si="3">IF(C6=1,C3,IF(C6=2,C4,IF(C6=3,C5)))</f>
        <v>-3.6521758884191513E-2</v>
      </c>
      <c r="D8" s="12">
        <f t="shared" si="3"/>
        <v>7.24458247423172E-2</v>
      </c>
      <c r="E8" s="12">
        <f t="shared" si="3"/>
        <v>-5.0075937062501907E-2</v>
      </c>
      <c r="F8" s="12">
        <f t="shared" si="3"/>
        <v>3.9053350687026978E-2</v>
      </c>
      <c r="G8" s="12">
        <f t="shared" si="3"/>
        <v>-3.5989873111248023E-2</v>
      </c>
      <c r="H8" s="12">
        <f t="shared" si="3"/>
        <v>-5.2601419389247887E-2</v>
      </c>
      <c r="I8" s="12">
        <f t="shared" si="3"/>
        <v>-3.8912922143936157E-2</v>
      </c>
      <c r="J8" s="12">
        <f t="shared" si="3"/>
        <v>-3.2669864594936371E-2</v>
      </c>
      <c r="K8" s="12">
        <f t="shared" si="3"/>
        <v>2.9407145455479618E-2</v>
      </c>
      <c r="L8" s="12">
        <f t="shared" si="3"/>
        <v>5.8111239224672318E-2</v>
      </c>
      <c r="M8" s="12">
        <f t="shared" si="3"/>
        <v>-8.2549653947353363E-2</v>
      </c>
      <c r="N8" s="12">
        <f t="shared" si="3"/>
        <v>6.2360752373933792E-2</v>
      </c>
      <c r="O8" s="12">
        <f t="shared" si="3"/>
        <v>9.9858760833740234E-2</v>
      </c>
      <c r="P8" s="12">
        <f t="shared" si="3"/>
        <v>0.13152122497558591</v>
      </c>
      <c r="Q8" s="12">
        <f t="shared" si="3"/>
        <v>7.957778126001358E-2</v>
      </c>
      <c r="R8" s="12">
        <f t="shared" si="3"/>
        <v>4.847404733300209E-2</v>
      </c>
      <c r="S8" s="12">
        <f t="shared" si="3"/>
        <v>-8.0156058073043823E-2</v>
      </c>
      <c r="T8" s="12">
        <f t="shared" si="3"/>
        <v>5.0201687961816788E-2</v>
      </c>
      <c r="U8" s="12">
        <f t="shared" si="3"/>
        <v>-9.2675261199474335E-2</v>
      </c>
      <c r="V8" s="12">
        <f t="shared" si="3"/>
        <v>6.3523001968860626E-2</v>
      </c>
      <c r="W8" s="12">
        <f t="shared" si="3"/>
        <v>9.6304804086685181E-2</v>
      </c>
      <c r="X8" s="12">
        <f t="shared" si="3"/>
        <v>0.16748018562793729</v>
      </c>
      <c r="Y8" s="12">
        <f t="shared" si="3"/>
        <v>9.0847745537757874E-2</v>
      </c>
      <c r="Z8" s="12">
        <f t="shared" si="3"/>
        <v>0.1071524396538734</v>
      </c>
      <c r="AA8" s="12">
        <f t="shared" si="3"/>
        <v>-7.8297220170497894E-2</v>
      </c>
      <c r="AB8" s="12">
        <f t="shared" si="3"/>
        <v>8.0967366695404053E-2</v>
      </c>
      <c r="AC8" s="12">
        <f t="shared" si="3"/>
        <v>3.8304600864648819E-2</v>
      </c>
      <c r="AD8" s="12">
        <f t="shared" si="3"/>
        <v>-3.0706796795129779E-2</v>
      </c>
      <c r="AE8" s="12">
        <f t="shared" si="3"/>
        <v>4.7622621059417718E-2</v>
      </c>
      <c r="AF8" s="12">
        <f t="shared" si="3"/>
        <v>6.8843632936477661E-2</v>
      </c>
      <c r="AG8" s="12">
        <f t="shared" si="3"/>
        <v>6.7320100963115692E-2</v>
      </c>
      <c r="AH8" s="12">
        <f t="shared" si="3"/>
        <v>1.78289357572794E-2</v>
      </c>
      <c r="AI8" s="12">
        <f t="shared" si="3"/>
        <v>5.6440837681293488E-2</v>
      </c>
      <c r="AJ8" s="12">
        <f t="shared" si="3"/>
        <v>-5.5654104799032211E-2</v>
      </c>
      <c r="AK8" s="12">
        <f t="shared" si="3"/>
        <v>7.9053483903408051E-2</v>
      </c>
      <c r="AL8" s="12">
        <f t="shared" si="3"/>
        <v>0.14250144362449649</v>
      </c>
      <c r="AM8" s="12">
        <f t="shared" si="3"/>
        <v>4.9416512250900269E-2</v>
      </c>
      <c r="AN8" s="12">
        <f t="shared" si="3"/>
        <v>4.2488358914852142E-2</v>
      </c>
      <c r="AO8" s="12">
        <f t="shared" si="3"/>
        <v>3.6709178239107132E-2</v>
      </c>
      <c r="AP8" s="12">
        <f t="shared" si="3"/>
        <v>4.6501751989126212E-2</v>
      </c>
      <c r="AQ8" s="12">
        <f t="shared" si="3"/>
        <v>4.9757853150367737E-2</v>
      </c>
      <c r="AR8" s="12">
        <f t="shared" si="3"/>
        <v>-5.88986836373806E-2</v>
      </c>
      <c r="AS8" s="12">
        <f t="shared" si="3"/>
        <v>3.4978423267602921E-2</v>
      </c>
      <c r="AT8" s="12">
        <f t="shared" si="3"/>
        <v>5.6848321110010147E-2</v>
      </c>
      <c r="AU8" s="12">
        <f t="shared" si="3"/>
        <v>3.9384294301271439E-2</v>
      </c>
      <c r="AV8" s="12">
        <f t="shared" si="3"/>
        <v>0.14884805679321289</v>
      </c>
      <c r="AW8" s="12">
        <f t="shared" si="3"/>
        <v>5.9238158166408539E-2</v>
      </c>
      <c r="AX8" s="12">
        <f t="shared" si="3"/>
        <v>8.3451211452484131E-2</v>
      </c>
      <c r="AY8" s="12">
        <f t="shared" si="3"/>
        <v>6.8846635520458221E-2</v>
      </c>
      <c r="AZ8" s="12">
        <f t="shared" si="3"/>
        <v>0.15779311954975131</v>
      </c>
      <c r="BA8" s="12">
        <f t="shared" si="3"/>
        <v>7.3232002556324005E-2</v>
      </c>
      <c r="BB8" s="12">
        <f t="shared" si="3"/>
        <v>-2.2272480651736259E-2</v>
      </c>
      <c r="BC8" s="12">
        <f t="shared" si="3"/>
        <v>5.6218259036540992E-2</v>
      </c>
      <c r="BD8" s="12">
        <f t="shared" si="3"/>
        <v>-8.3808884024620056E-2</v>
      </c>
      <c r="BE8" s="12">
        <f t="shared" si="3"/>
        <v>8.9553870260715485E-2</v>
      </c>
      <c r="BF8" s="12">
        <f t="shared" si="3"/>
        <v>-7.6244287192821503E-2</v>
      </c>
      <c r="BG8" s="12">
        <f t="shared" si="3"/>
        <v>7.1616403758525848E-2</v>
      </c>
      <c r="BH8" s="12">
        <f t="shared" si="3"/>
        <v>7.97300785779953E-2</v>
      </c>
      <c r="BI8" s="12">
        <f t="shared" si="3"/>
        <v>8.7966516613960266E-2</v>
      </c>
      <c r="BJ8" s="12">
        <f t="shared" si="3"/>
        <v>0.1081216707825661</v>
      </c>
      <c r="BK8" s="12">
        <f t="shared" si="3"/>
        <v>0.1129734814167023</v>
      </c>
      <c r="BL8" s="12">
        <f t="shared" si="3"/>
        <v>-5.3756937384605408E-2</v>
      </c>
      <c r="BM8" s="12">
        <f t="shared" si="3"/>
        <v>-7.9431377351284027E-2</v>
      </c>
      <c r="BN8" s="12">
        <f t="shared" si="3"/>
        <v>4.7217939049005508E-2</v>
      </c>
      <c r="BO8" s="12">
        <f t="shared" ref="BO8:DZ8" si="4">IF(BO6=1,BO3,IF(BO6=2,BO4,IF(BO6=3,BO5)))</f>
        <v>-9.4712458550930023E-2</v>
      </c>
      <c r="BP8" s="12">
        <f t="shared" si="4"/>
        <v>0.10330298542976379</v>
      </c>
      <c r="BQ8" s="12">
        <f t="shared" si="4"/>
        <v>7.12384432554245E-2</v>
      </c>
      <c r="BR8" s="12">
        <f t="shared" si="4"/>
        <v>6.7423462867736816E-2</v>
      </c>
      <c r="BS8" s="12">
        <f t="shared" si="4"/>
        <v>4.9339123070240021E-2</v>
      </c>
      <c r="BT8" s="12">
        <f t="shared" si="4"/>
        <v>-8.4144026041030884E-2</v>
      </c>
      <c r="BU8" s="12">
        <f t="shared" si="4"/>
        <v>-9.0233713388442993E-2</v>
      </c>
      <c r="BV8" s="12">
        <f t="shared" si="4"/>
        <v>-0.1029478386044502</v>
      </c>
      <c r="BW8" s="12">
        <f t="shared" si="4"/>
        <v>-7.1088537573814392E-2</v>
      </c>
      <c r="BX8" s="12">
        <f t="shared" si="4"/>
        <v>3.8252223283052438E-2</v>
      </c>
      <c r="BY8" s="12">
        <f t="shared" si="4"/>
        <v>-2.413135394454002E-2</v>
      </c>
      <c r="BZ8" s="12">
        <f t="shared" si="4"/>
        <v>-5.1592431962490082E-2</v>
      </c>
      <c r="CA8" s="12">
        <f t="shared" si="4"/>
        <v>8.7816245853900909E-2</v>
      </c>
      <c r="CB8" s="12">
        <f t="shared" si="4"/>
        <v>-4.3355219066143043E-2</v>
      </c>
      <c r="CC8" s="12">
        <f t="shared" si="4"/>
        <v>-7.9050444066524506E-2</v>
      </c>
      <c r="CD8" s="12">
        <f t="shared" si="4"/>
        <v>-0.1116790845990181</v>
      </c>
      <c r="CE8" s="12">
        <f t="shared" si="4"/>
        <v>-8.4638349711894989E-2</v>
      </c>
      <c r="CF8" s="12">
        <f t="shared" si="4"/>
        <v>-8.8114269077777863E-2</v>
      </c>
      <c r="CG8" s="12">
        <f t="shared" si="4"/>
        <v>-9.862682968378067E-2</v>
      </c>
      <c r="CH8" s="12">
        <f t="shared" si="4"/>
        <v>-7.5061611831188202E-2</v>
      </c>
      <c r="CI8" s="12">
        <f t="shared" si="4"/>
        <v>-5.5998209863901138E-2</v>
      </c>
      <c r="CJ8" s="12">
        <f t="shared" si="4"/>
        <v>-0.1101485714316368</v>
      </c>
      <c r="CK8" s="12">
        <f t="shared" si="4"/>
        <v>4.6726226806640618E-2</v>
      </c>
      <c r="CL8" s="12">
        <f t="shared" si="4"/>
        <v>5.5295374244451523E-2</v>
      </c>
      <c r="CM8" s="12">
        <f t="shared" si="4"/>
        <v>-2.1875450387597081E-2</v>
      </c>
      <c r="CN8" s="12">
        <f t="shared" si="4"/>
        <v>-5.8284953236579902E-2</v>
      </c>
      <c r="CO8" s="12">
        <f t="shared" si="4"/>
        <v>3.5640694200992577E-2</v>
      </c>
      <c r="CP8" s="12">
        <f t="shared" si="4"/>
        <v>3.5830866545438773E-2</v>
      </c>
      <c r="CQ8" s="12">
        <f t="shared" si="4"/>
        <v>2.45636235922575E-2</v>
      </c>
      <c r="CR8" s="12">
        <f t="shared" si="4"/>
        <v>-4.5928843319416053E-2</v>
      </c>
      <c r="CS8" s="12">
        <f t="shared" si="4"/>
        <v>-0.1024853959679604</v>
      </c>
      <c r="CT8" s="12">
        <f t="shared" si="4"/>
        <v>5.863029882311821E-2</v>
      </c>
      <c r="CU8" s="12">
        <f t="shared" si="4"/>
        <v>-0.1111449897289276</v>
      </c>
      <c r="CV8" s="12">
        <f t="shared" si="4"/>
        <v>4.6454016119241708E-2</v>
      </c>
      <c r="CW8" s="12">
        <f t="shared" si="4"/>
        <v>7.367561012506485E-2</v>
      </c>
      <c r="CX8" s="12">
        <f t="shared" si="4"/>
        <v>-8.237186074256897E-2</v>
      </c>
      <c r="CY8" s="12">
        <f t="shared" si="4"/>
        <v>-4.1168216615915298E-2</v>
      </c>
      <c r="CZ8" s="12">
        <f t="shared" si="4"/>
        <v>-7.4366219341754913E-2</v>
      </c>
      <c r="DA8" s="12">
        <f t="shared" si="4"/>
        <v>-4.7027502208948142E-2</v>
      </c>
      <c r="DB8" s="12">
        <f t="shared" si="4"/>
        <v>1.5304354019463061E-2</v>
      </c>
      <c r="DC8" s="12">
        <f t="shared" si="4"/>
        <v>3.0327405780553821E-2</v>
      </c>
      <c r="DD8" s="12">
        <f t="shared" si="4"/>
        <v>5.3778979927301407E-2</v>
      </c>
      <c r="DE8" s="12">
        <f t="shared" si="4"/>
        <v>-5.5287983268499367E-2</v>
      </c>
      <c r="DF8" s="12">
        <f t="shared" si="4"/>
        <v>3.9528455585241318E-2</v>
      </c>
      <c r="DG8" s="12">
        <f t="shared" si="4"/>
        <v>-8.2107760012149811E-2</v>
      </c>
      <c r="DH8" s="12">
        <f t="shared" si="4"/>
        <v>-5.2850812673568733E-2</v>
      </c>
      <c r="DI8" s="12">
        <f t="shared" si="4"/>
        <v>-7.8471429646015167E-2</v>
      </c>
      <c r="DJ8" s="12">
        <f t="shared" si="4"/>
        <v>4.8156458884477622E-2</v>
      </c>
      <c r="DK8" s="12">
        <f t="shared" si="4"/>
        <v>3.9779618382453918E-2</v>
      </c>
      <c r="DL8" s="12">
        <f t="shared" si="4"/>
        <v>2.912280336022377E-2</v>
      </c>
      <c r="DM8" s="12">
        <f t="shared" si="4"/>
        <v>5.5858355015516281E-2</v>
      </c>
      <c r="DN8" s="12">
        <f t="shared" si="4"/>
        <v>-6.0538295656442642E-2</v>
      </c>
      <c r="DO8" s="12">
        <f t="shared" si="4"/>
        <v>-4.1845731437206268E-2</v>
      </c>
      <c r="DP8" s="12">
        <f t="shared" si="4"/>
        <v>-2.293764241039753E-2</v>
      </c>
      <c r="DQ8" s="12">
        <f t="shared" si="4"/>
        <v>3.2798897475004203E-2</v>
      </c>
      <c r="DR8" s="12">
        <f t="shared" si="4"/>
        <v>7.5242564082145691E-2</v>
      </c>
      <c r="DS8" s="12">
        <f t="shared" si="4"/>
        <v>-6.3791960477828979E-2</v>
      </c>
      <c r="DT8" s="12">
        <f t="shared" si="4"/>
        <v>-2.437188662588596E-2</v>
      </c>
      <c r="DU8" s="12">
        <f t="shared" si="4"/>
        <v>2.8318654745817181E-2</v>
      </c>
      <c r="DV8" s="12">
        <f t="shared" si="4"/>
        <v>-3.9159540086984627E-2</v>
      </c>
      <c r="DW8" s="12">
        <f t="shared" si="4"/>
        <v>4.162212461233139E-2</v>
      </c>
      <c r="DX8" s="12">
        <f t="shared" si="4"/>
        <v>-2.5841465219855309E-2</v>
      </c>
      <c r="DY8" s="12">
        <f t="shared" si="4"/>
        <v>-2.6736544445157051E-2</v>
      </c>
      <c r="DZ8" s="12">
        <f t="shared" si="4"/>
        <v>-3.2960411161184311E-2</v>
      </c>
      <c r="EA8" s="12">
        <f t="shared" ref="EA8:EF8" si="5">IF(EA6=1,EA3,IF(EA6=2,EA4,IF(EA6=3,EA5)))</f>
        <v>-4.8574574291706092E-2</v>
      </c>
      <c r="EB8" s="12">
        <f t="shared" si="5"/>
        <v>-0.1051784828305244</v>
      </c>
      <c r="EC8" s="12">
        <f t="shared" si="5"/>
        <v>4.5648753643035889E-2</v>
      </c>
      <c r="ED8" s="12">
        <f t="shared" si="5"/>
        <v>-0.1028049290180206</v>
      </c>
      <c r="EE8" s="12">
        <f t="shared" si="5"/>
        <v>5.7367391884326928E-2</v>
      </c>
      <c r="EF8" s="12">
        <f t="shared" si="5"/>
        <v>-3.865974023938179E-2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184</v>
      </c>
    </row>
    <row r="12" spans="1:136">
      <c r="A12" s="2"/>
      <c r="B12" s="2" t="s">
        <v>189</v>
      </c>
      <c r="C12" s="12">
        <v>8.4653541666666707E-2</v>
      </c>
      <c r="D12" s="12">
        <f>C12+預測IC!D12</f>
        <v>0.10547533693854501</v>
      </c>
      <c r="E12" s="12">
        <f>D12+預測IC!E12</f>
        <v>0.15350161818854502</v>
      </c>
      <c r="F12" s="12">
        <f>E12+預測IC!F12</f>
        <v>9.7542233404086298E-2</v>
      </c>
      <c r="G12" s="12">
        <f>F12+預測IC!G12</f>
        <v>6.5594784885455837E-2</v>
      </c>
      <c r="H12" s="12">
        <f>G12+預測IC!H12</f>
        <v>0.10412550363545585</v>
      </c>
      <c r="I12" s="12">
        <f>H12+預測IC!I12</f>
        <v>6.7821566786403831E-2</v>
      </c>
      <c r="J12" s="12">
        <f>I12+預測IC!J12</f>
        <v>3.8413764703070494E-2</v>
      </c>
      <c r="K12" s="12">
        <f>J12+預測IC!K12</f>
        <v>6.7601762836769677E-2</v>
      </c>
      <c r="L12" s="12">
        <f>K12+預測IC!L12</f>
        <v>7.6360318800935911E-2</v>
      </c>
      <c r="M12" s="12">
        <f>L12+預測IC!M12</f>
        <v>9.1912123001097037E-2</v>
      </c>
      <c r="N12" s="12">
        <f>M12+預測IC!N12</f>
        <v>5.7208768757634219E-2</v>
      </c>
      <c r="O12" s="12">
        <f>N12+預測IC!O12</f>
        <v>8.5123527824874604E-2</v>
      </c>
      <c r="P12" s="12">
        <f>O12+預測IC!P12</f>
        <v>8.4869199716717497E-2</v>
      </c>
      <c r="Q12" s="12">
        <f>P12+預測IC!Q12</f>
        <v>8.9984883090681547E-2</v>
      </c>
      <c r="R12" s="12">
        <f>Q12+預測IC!R12</f>
        <v>0.10313837175122013</v>
      </c>
      <c r="S12" s="12">
        <f>R12+預測IC!S12</f>
        <v>0.17419226884582717</v>
      </c>
      <c r="T12" s="12">
        <f>S12+預測IC!T12</f>
        <v>0.22205998519135187</v>
      </c>
      <c r="U12" s="12">
        <f>T12+預測IC!U12</f>
        <v>0.20588119352468517</v>
      </c>
      <c r="V12" s="12">
        <f>U12+預測IC!V12</f>
        <v>0.21539214717833338</v>
      </c>
      <c r="W12" s="12">
        <f>V12+預測IC!W12</f>
        <v>0.23767058915164513</v>
      </c>
      <c r="X12" s="12">
        <f>W12+預測IC!X12</f>
        <v>0.28618986393195961</v>
      </c>
      <c r="Y12" s="12">
        <f>X12+預測IC!Y12</f>
        <v>0.30678825745965088</v>
      </c>
      <c r="Z12" s="12">
        <f>Y12+預測IC!Z12</f>
        <v>0.25363617048279002</v>
      </c>
      <c r="AA12" s="12">
        <f>Z12+預測IC!AA12</f>
        <v>0.29303983188390181</v>
      </c>
      <c r="AB12" s="12">
        <f>AA12+預測IC!AB12</f>
        <v>0.30377316148804057</v>
      </c>
      <c r="AC12" s="12">
        <f>AB12+預測IC!AC12</f>
        <v>0.25700021586172933</v>
      </c>
      <c r="AD12" s="12">
        <f>AC12+預測IC!AD12</f>
        <v>0.25115310586249212</v>
      </c>
      <c r="AE12" s="12">
        <f>AD12+預測IC!AE12</f>
        <v>0.30947011627915877</v>
      </c>
      <c r="AF12" s="12">
        <f>AE12+預測IC!AF12</f>
        <v>0.32990226758302371</v>
      </c>
      <c r="AG12" s="12">
        <f>AF12+預測IC!AG12</f>
        <v>0.32608733716221389</v>
      </c>
      <c r="AH12" s="12">
        <f>AG12+預測IC!AH12</f>
        <v>0.31037430339293304</v>
      </c>
      <c r="AI12" s="12">
        <f>AH12+預測IC!AI12</f>
        <v>0.31916809588519462</v>
      </c>
      <c r="AJ12" s="12">
        <f>AI12+預測IC!AJ12</f>
        <v>0.30618434833914004</v>
      </c>
      <c r="AK12" s="12">
        <f>AJ12+預測IC!AK12</f>
        <v>0.28970898011500434</v>
      </c>
      <c r="AL12" s="12">
        <f>AK12+預測IC!AL12</f>
        <v>0.3075679831369264</v>
      </c>
      <c r="AM12" s="12">
        <f>AL12+預測IC!AM12</f>
        <v>0.3242747351432137</v>
      </c>
      <c r="AN12" s="12">
        <f>AM12+預測IC!AN12</f>
        <v>0.35092036394565834</v>
      </c>
      <c r="AO12" s="12">
        <f>AN12+預測IC!AO12</f>
        <v>0.35314915698533139</v>
      </c>
      <c r="AP12" s="12">
        <f>AO12+預測IC!AP12</f>
        <v>0.35778282365199804</v>
      </c>
      <c r="AQ12" s="12">
        <f>AP12+預測IC!AQ12</f>
        <v>0.36446446948533134</v>
      </c>
      <c r="AR12" s="12">
        <f>AQ12+預測IC!AR12</f>
        <v>0.34224144349773916</v>
      </c>
      <c r="AS12" s="12">
        <f>AR12+預測IC!AS12</f>
        <v>0.34808480808107251</v>
      </c>
      <c r="AT12" s="12">
        <f>AS12+預測IC!AT12</f>
        <v>0.36191971278874369</v>
      </c>
      <c r="AU12" s="12">
        <f>AT12+預測IC!AU12</f>
        <v>0.38262837146961914</v>
      </c>
      <c r="AV12" s="12">
        <f>AU12+預測IC!AV12</f>
        <v>0.34126828672459414</v>
      </c>
      <c r="AW12" s="12">
        <f>AV12+預測IC!AW12</f>
        <v>0.34188976374261021</v>
      </c>
      <c r="AX12" s="12">
        <f>AW12+預測IC!AX12</f>
        <v>0.38548823099603302</v>
      </c>
      <c r="AY12" s="12">
        <f>AX12+預測IC!AY12</f>
        <v>0.41044352406370627</v>
      </c>
      <c r="AZ12" s="12">
        <f>AY12+預測IC!AZ12</f>
        <v>0.40814349799204863</v>
      </c>
      <c r="BA12" s="12">
        <f>AZ12+預測IC!BA12</f>
        <v>0.41308138617529044</v>
      </c>
      <c r="BB12" s="12">
        <f>BA12+預測IC!BB12</f>
        <v>0.41886645909195713</v>
      </c>
      <c r="BC12" s="12">
        <f>BB12+預測IC!BC12</f>
        <v>0.43113924813043364</v>
      </c>
      <c r="BD12" s="12">
        <f>BC12+預測IC!BD12</f>
        <v>0.48037319604710033</v>
      </c>
      <c r="BE12" s="12">
        <f>BD12+預測IC!BE12</f>
        <v>0.49898200588648561</v>
      </c>
      <c r="BF12" s="12">
        <f>BE12+預測IC!BF12</f>
        <v>0.47538130796981892</v>
      </c>
      <c r="BG12" s="12">
        <f>BF12+預測IC!BG12</f>
        <v>0.50905217041108175</v>
      </c>
      <c r="BH12" s="12">
        <f>BG12+預測IC!BH12</f>
        <v>0.52327553042240371</v>
      </c>
      <c r="BI12" s="12">
        <f>BH12+預測IC!BI12</f>
        <v>0.57329678345339452</v>
      </c>
      <c r="BJ12" s="12">
        <f>BI12+預測IC!BJ12</f>
        <v>0.57250079013347666</v>
      </c>
      <c r="BK12" s="12">
        <f>BJ12+預測IC!BK12</f>
        <v>0.55121612517334273</v>
      </c>
      <c r="BL12" s="12">
        <f>BK12+預測IC!BL12</f>
        <v>0.56227623975667607</v>
      </c>
      <c r="BM12" s="12">
        <f>BL12+預測IC!BM12</f>
        <v>0.53210469809000938</v>
      </c>
      <c r="BN12" s="12">
        <f>BM12+預測IC!BN12</f>
        <v>0.52052873091706875</v>
      </c>
      <c r="BO12" s="12">
        <f>BN12+預測IC!BO12</f>
        <v>0.53744259550040208</v>
      </c>
      <c r="BP12" s="12">
        <f>BO12+預測IC!BP12</f>
        <v>0.52693361019510798</v>
      </c>
      <c r="BQ12" s="12">
        <f>BP12+預測IC!BQ12</f>
        <v>0.54083035981385463</v>
      </c>
      <c r="BR12" s="12">
        <f>BQ12+預測IC!BR12</f>
        <v>0.60952397496096788</v>
      </c>
      <c r="BS12" s="12">
        <f>BR12+預測IC!BS12</f>
        <v>0.62838726834536385</v>
      </c>
      <c r="BT12" s="12">
        <f>BS12+預測IC!BT12</f>
        <v>0.60709909126203054</v>
      </c>
      <c r="BU12" s="12">
        <f>BT12+預測IC!BU12</f>
        <v>0.55901589334536383</v>
      </c>
      <c r="BV12" s="12">
        <f>BU12+預測IC!BV12</f>
        <v>0.59106920584536382</v>
      </c>
      <c r="BW12" s="12">
        <f>BV12+預測IC!BW12</f>
        <v>0.64655675792869716</v>
      </c>
      <c r="BX12" s="12">
        <f>BW12+預測IC!BX12</f>
        <v>0.63957160407055791</v>
      </c>
      <c r="BY12" s="12">
        <f>BX12+預測IC!BY12</f>
        <v>0.67294240440212938</v>
      </c>
      <c r="BZ12" s="12">
        <f>BY12+預測IC!BZ12</f>
        <v>0.6767197898187961</v>
      </c>
      <c r="CA12" s="12">
        <f>BZ12+預測IC!CA12</f>
        <v>0.64231950237845359</v>
      </c>
      <c r="CB12" s="12">
        <f>CA12+預測IC!CB12</f>
        <v>0.6403762602466907</v>
      </c>
      <c r="CC12" s="12">
        <f>CB12+預測IC!CC12</f>
        <v>0.70594230191335738</v>
      </c>
      <c r="CD12" s="12">
        <f>CC12+預測IC!CD12</f>
        <v>0.75020082274669075</v>
      </c>
      <c r="CE12" s="12">
        <f>CD12+預測IC!CE12</f>
        <v>0.90420797899669081</v>
      </c>
      <c r="CF12" s="12">
        <f>CE12+預測IC!CF12</f>
        <v>0.90828602066335751</v>
      </c>
      <c r="CG12" s="12">
        <f>CF12+預測IC!CG12</f>
        <v>0.9085948227466909</v>
      </c>
      <c r="CH12" s="12">
        <f>CG12+預測IC!CH12</f>
        <v>0.89914203108002422</v>
      </c>
      <c r="CI12" s="12">
        <f>CH12+預測IC!CI12</f>
        <v>0.87480080191335752</v>
      </c>
      <c r="CJ12" s="12">
        <f>CI12+預測IC!CJ12</f>
        <v>0.8593556214346687</v>
      </c>
      <c r="CK12" s="12">
        <f>CJ12+預測IC!CK12</f>
        <v>0.87215876558950356</v>
      </c>
      <c r="CL12" s="12">
        <f>CK12+預測IC!CL12</f>
        <v>0.99017437325911395</v>
      </c>
      <c r="CM12" s="12">
        <f>CL12+預測IC!CM12</f>
        <v>0.91846581075911393</v>
      </c>
      <c r="CN12" s="12">
        <f>CM12+預測IC!CN12</f>
        <v>0.94554951197367332</v>
      </c>
      <c r="CO12" s="12">
        <f>CN12+預測IC!CO12</f>
        <v>0.92072972671846076</v>
      </c>
      <c r="CP12" s="12">
        <f>CO12+預測IC!CP12</f>
        <v>0.96602874818595452</v>
      </c>
      <c r="CQ12" s="12">
        <f>CP12+預測IC!CQ12</f>
        <v>1.002600943095888</v>
      </c>
      <c r="CR12" s="12">
        <f>CQ12+預測IC!CR12</f>
        <v>1.0507479222625546</v>
      </c>
      <c r="CS12" s="12">
        <f>CR12+預測IC!CS12</f>
        <v>1.0659495699496002</v>
      </c>
      <c r="CT12" s="12">
        <f>CS12+預測IC!CT12</f>
        <v>1.0566205067196233</v>
      </c>
      <c r="CU12" s="12">
        <f>CT12+預測IC!CU12</f>
        <v>1.020996791057428</v>
      </c>
      <c r="CV12" s="12">
        <f>CU12+預測IC!CV12</f>
        <v>1.0860300975531167</v>
      </c>
      <c r="CW12" s="12">
        <f>CV12+預測IC!CW12</f>
        <v>1.0990667669316945</v>
      </c>
      <c r="CX12" s="12">
        <f>CW12+預測IC!CX12</f>
        <v>1.0380768843947026</v>
      </c>
      <c r="CY12" s="12">
        <f>CX12+預測IC!CY12</f>
        <v>1.0440598266061931</v>
      </c>
      <c r="CZ12" s="12">
        <f>CY12+預測IC!CZ12</f>
        <v>0.96626749926669253</v>
      </c>
      <c r="DA12" s="12">
        <f>CZ12+預測IC!DA12</f>
        <v>0.96066371519633198</v>
      </c>
      <c r="DB12" s="12">
        <f>DA12+預測IC!DB12</f>
        <v>0.99624899784023546</v>
      </c>
      <c r="DC12" s="12">
        <f>DB12+預測IC!DC12</f>
        <v>0.99174763404769406</v>
      </c>
      <c r="DD12" s="12">
        <f>DC12+預測IC!DD12</f>
        <v>0.92178708831335077</v>
      </c>
      <c r="DE12" s="12">
        <f>DD12+預測IC!DE12</f>
        <v>0.88455160914668418</v>
      </c>
      <c r="DF12" s="12">
        <f>DE12+預測IC!DF12</f>
        <v>0.82906550498001752</v>
      </c>
      <c r="DG12" s="12">
        <f>DF12+預測IC!DG12</f>
        <v>0.87645992660984184</v>
      </c>
      <c r="DH12" s="12">
        <f>DG12+預測IC!DH12</f>
        <v>0.84565677142298523</v>
      </c>
      <c r="DI12" s="12">
        <f>DH12+預測IC!DI12</f>
        <v>0.81567751686548551</v>
      </c>
      <c r="DJ12" s="12">
        <f>DI12+預測IC!DJ12</f>
        <v>0.80055883978215214</v>
      </c>
      <c r="DK12" s="12">
        <f>DJ12+預測IC!DK12</f>
        <v>0.83248704811548546</v>
      </c>
      <c r="DL12" s="12">
        <f>DK12+預測IC!DL12</f>
        <v>0.82939740228215209</v>
      </c>
      <c r="DM12" s="12">
        <f>DL12+預測IC!DM12</f>
        <v>0.84863501686548548</v>
      </c>
      <c r="DN12" s="12">
        <f>DM12+預測IC!DN12</f>
        <v>0.8671764603240979</v>
      </c>
      <c r="DO12" s="12">
        <f>DN12+預測IC!DO12</f>
        <v>0.84457672664376926</v>
      </c>
      <c r="DP12" s="12">
        <f>DO12+預測IC!DP12</f>
        <v>0.90398542120042968</v>
      </c>
      <c r="DQ12" s="12">
        <f>DP12+預測IC!DQ12</f>
        <v>0.93784747328376306</v>
      </c>
      <c r="DR12" s="12">
        <f>DQ12+預測IC!DR12</f>
        <v>0.95662641656314995</v>
      </c>
      <c r="DS12" s="12">
        <f>DR12+預測IC!DS12</f>
        <v>1.0262774269798167</v>
      </c>
      <c r="DT12" s="12">
        <f>DS12+預測IC!DT12</f>
        <v>1.0513952915631501</v>
      </c>
      <c r="DU12" s="12">
        <f>DT12+預測IC!DU12</f>
        <v>1.1086255207298168</v>
      </c>
      <c r="DV12" s="12">
        <f>DU12+預測IC!DV12</f>
        <v>1.060074696252286</v>
      </c>
      <c r="DW12" s="12">
        <f>DV12+預測IC!DW12</f>
        <v>1.0151071441689528</v>
      </c>
      <c r="DX12" s="12">
        <f>DW12+預測IC!DX12</f>
        <v>1.0652592247113142</v>
      </c>
      <c r="DY12" s="12">
        <f>DX12+預測IC!DY12</f>
        <v>1.0499019545928192</v>
      </c>
      <c r="DZ12" s="12">
        <f>DY12+預測IC!DZ12</f>
        <v>1.0540376800729967</v>
      </c>
      <c r="EA12" s="12">
        <f>DZ12+預測IC!EA12</f>
        <v>0.99003373874979972</v>
      </c>
      <c r="EB12" s="12">
        <f>EA12+預測IC!EB12</f>
        <v>0.98720541197494693</v>
      </c>
      <c r="EC12" s="12">
        <f>EB12+預測IC!EC12</f>
        <v>1.0020893301044662</v>
      </c>
      <c r="ED12" s="12">
        <f>EC12+預測IC!ED12</f>
        <v>1.0625974829129503</v>
      </c>
      <c r="EE12" s="12">
        <f>ED12+預測IC!EE12</f>
        <v>1.0891041704129503</v>
      </c>
      <c r="EF12" s="12">
        <f>EE12+預測IC!EF12</f>
        <v>1.0498708223741546</v>
      </c>
    </row>
    <row r="13" spans="1:136">
      <c r="A13" s="2"/>
      <c r="B13" s="2" t="s">
        <v>190</v>
      </c>
      <c r="C13" s="12">
        <v>0.10411314583333341</v>
      </c>
      <c r="D13" s="12">
        <f>C13+預測IC!D13</f>
        <v>0.13399075643789218</v>
      </c>
      <c r="E13" s="12">
        <f>D13+預測IC!E13</f>
        <v>0.20385204810455884</v>
      </c>
      <c r="F13" s="12">
        <f>E13+預測IC!F13</f>
        <v>0.14386552141163589</v>
      </c>
      <c r="G13" s="12">
        <f>F13+預測IC!G13</f>
        <v>0.13181811711152996</v>
      </c>
      <c r="H13" s="12">
        <f>G13+預測IC!H13</f>
        <v>0.16180847127819661</v>
      </c>
      <c r="I13" s="12">
        <f>H13+預測IC!I13</f>
        <v>0.12912560829347428</v>
      </c>
      <c r="J13" s="12">
        <f>I13+預測IC!J13</f>
        <v>8.5226795793474253E-2</v>
      </c>
      <c r="K13" s="12">
        <f>J13+預測IC!K13</f>
        <v>0.14555293502104438</v>
      </c>
      <c r="L13" s="12">
        <f>K13+預測IC!L13</f>
        <v>0.16753340539976716</v>
      </c>
      <c r="M13" s="12">
        <f>L13+預測IC!M13</f>
        <v>0.15982474913727496</v>
      </c>
      <c r="N13" s="12">
        <f>M13+預測IC!N13</f>
        <v>0.11643233167157817</v>
      </c>
      <c r="O13" s="12">
        <f>N13+預測IC!O13</f>
        <v>0.13385503048252811</v>
      </c>
      <c r="P13" s="12">
        <f>O13+預測IC!P13</f>
        <v>0.12757738282179518</v>
      </c>
      <c r="Q13" s="12">
        <f>P13+預測IC!Q13</f>
        <v>0.11012099832543248</v>
      </c>
      <c r="R13" s="12">
        <f>Q13+預測IC!R13</f>
        <v>0.12663170940826243</v>
      </c>
      <c r="S13" s="12">
        <f>R13+預測IC!S13</f>
        <v>0.24954700741181302</v>
      </c>
      <c r="T13" s="12">
        <f>S13+預測IC!T13</f>
        <v>0.32378108892353563</v>
      </c>
      <c r="U13" s="12">
        <f>T13+預測IC!U13</f>
        <v>0.32537740142353566</v>
      </c>
      <c r="V13" s="12">
        <f>U13+預測IC!V13</f>
        <v>0.32759404132658959</v>
      </c>
      <c r="W13" s="12">
        <f>V13+預測IC!W13</f>
        <v>0.35869712921095948</v>
      </c>
      <c r="X13" s="12">
        <f>W13+預測IC!X13</f>
        <v>0.42844809798001604</v>
      </c>
      <c r="Y13" s="12">
        <f>X13+預測IC!Y13</f>
        <v>0.42176473925347058</v>
      </c>
      <c r="Z13" s="12">
        <f>Y13+預測IC!Z13</f>
        <v>0.34051333713223503</v>
      </c>
      <c r="AA13" s="12">
        <f>Z13+預測IC!AA13</f>
        <v>0.3726328474707063</v>
      </c>
      <c r="AB13" s="12">
        <f>AA13+預測IC!AB13</f>
        <v>0.3876344207996848</v>
      </c>
      <c r="AC13" s="12">
        <f>AB13+預測IC!AC13</f>
        <v>0.32086272041775499</v>
      </c>
      <c r="AD13" s="12">
        <f>AC13+預測IC!AD13</f>
        <v>0.31428367521521422</v>
      </c>
      <c r="AE13" s="12">
        <f>AD13+預測IC!AE13</f>
        <v>0.38000315438188093</v>
      </c>
      <c r="AF13" s="12">
        <f>AE13+預測IC!AF13</f>
        <v>0.41194361821618214</v>
      </c>
      <c r="AG13" s="12">
        <f>AF13+預測IC!AG13</f>
        <v>0.42184882594325623</v>
      </c>
      <c r="AH13" s="12">
        <f>AG13+預測IC!AH13</f>
        <v>0.39689361939338935</v>
      </c>
      <c r="AI13" s="12">
        <f>AH13+預測IC!AI13</f>
        <v>0.41553966577335538</v>
      </c>
      <c r="AJ13" s="12">
        <f>AI13+預測IC!AJ13</f>
        <v>0.43182013576163109</v>
      </c>
      <c r="AK13" s="12">
        <f>AJ13+預測IC!AK13</f>
        <v>0.39346074547875898</v>
      </c>
      <c r="AL13" s="12">
        <f>AK13+預測IC!AL13</f>
        <v>0.41661217407393003</v>
      </c>
      <c r="AM13" s="12">
        <f>AL13+預測IC!AM13</f>
        <v>0.40217806795984101</v>
      </c>
      <c r="AN13" s="12">
        <f>AM13+預測IC!AN13</f>
        <v>0.43215572847976336</v>
      </c>
      <c r="AO13" s="12">
        <f>AN13+預測IC!AO13</f>
        <v>0.44146691637917829</v>
      </c>
      <c r="AP13" s="12">
        <f>AO13+預測IC!AP13</f>
        <v>0.4480547288791783</v>
      </c>
      <c r="AQ13" s="12">
        <f>AP13+預測IC!AQ13</f>
        <v>0.45913662471251165</v>
      </c>
      <c r="AR13" s="12">
        <f>AQ13+預測IC!AR13</f>
        <v>0.43828858091778783</v>
      </c>
      <c r="AS13" s="12">
        <f>AR13+預測IC!AS13</f>
        <v>0.44022499758445449</v>
      </c>
      <c r="AT13" s="12">
        <f>AS13+預測IC!AT13</f>
        <v>0.48068808543889424</v>
      </c>
      <c r="AU13" s="12">
        <f>AT13+預測IC!AU13</f>
        <v>0.52166421191487311</v>
      </c>
      <c r="AV13" s="12">
        <f>AU13+預測IC!AV13</f>
        <v>0.51218873927532005</v>
      </c>
      <c r="AW13" s="12">
        <f>AV13+預測IC!AW13</f>
        <v>0.51626875285838347</v>
      </c>
      <c r="AX13" s="12">
        <f>AW13+預測IC!AX13</f>
        <v>0.58342254064149379</v>
      </c>
      <c r="AY13" s="12">
        <f>AX13+預測IC!AY13</f>
        <v>0.60098688699011871</v>
      </c>
      <c r="AZ13" s="12">
        <f>AY13+預測IC!AZ13</f>
        <v>0.59288341952061929</v>
      </c>
      <c r="BA13" s="12">
        <f>AZ13+預測IC!BA13</f>
        <v>0.59942435712768027</v>
      </c>
      <c r="BB13" s="12">
        <f>BA13+預測IC!BB13</f>
        <v>0.6254703362943469</v>
      </c>
      <c r="BC13" s="12">
        <f>BB13+預測IC!BC13</f>
        <v>0.63675410340600458</v>
      </c>
      <c r="BD13" s="12">
        <f>BC13+預測IC!BD13</f>
        <v>0.67843083257267123</v>
      </c>
      <c r="BE13" s="12">
        <f>BD13+預測IC!BE13</f>
        <v>0.70582263887831276</v>
      </c>
      <c r="BF13" s="12">
        <f>BE13+預測IC!BF13</f>
        <v>0.67952009721164608</v>
      </c>
      <c r="BG13" s="12">
        <f>BF13+預測IC!BG13</f>
        <v>0.72608655955035772</v>
      </c>
      <c r="BH13" s="12">
        <f>BG13+預測IC!BH13</f>
        <v>0.73456228936197676</v>
      </c>
      <c r="BI13" s="12">
        <f>BH13+預測IC!BI13</f>
        <v>0.78697142181867819</v>
      </c>
      <c r="BJ13" s="12">
        <f>BI13+預測IC!BJ13</f>
        <v>0.77012433582841333</v>
      </c>
      <c r="BK13" s="12">
        <f>BJ13+預測IC!BK13</f>
        <v>0.75173331094866391</v>
      </c>
      <c r="BL13" s="12">
        <f>BK13+預測IC!BL13</f>
        <v>0.76535226928199729</v>
      </c>
      <c r="BM13" s="12">
        <f>BL13+預測IC!BM13</f>
        <v>0.73814887344866398</v>
      </c>
      <c r="BN13" s="12">
        <f>BM13+預測IC!BN13</f>
        <v>0.70259616003625669</v>
      </c>
      <c r="BO13" s="12">
        <f>BN13+預測IC!BO13</f>
        <v>0.70600341003625666</v>
      </c>
      <c r="BP13" s="12">
        <f>BO13+預測IC!BP13</f>
        <v>0.71543610573090821</v>
      </c>
      <c r="BQ13" s="12">
        <f>BP13+預測IC!BQ13</f>
        <v>0.757089169520334</v>
      </c>
      <c r="BR13" s="12">
        <f>BQ13+預測IC!BR13</f>
        <v>0.83692062634366693</v>
      </c>
      <c r="BS13" s="12">
        <f>BR13+預測IC!BS13</f>
        <v>0.84434009818388656</v>
      </c>
      <c r="BT13" s="12">
        <f>BS13+預測IC!BT13</f>
        <v>0.81067220235055326</v>
      </c>
      <c r="BU13" s="12">
        <f>BT13+預測IC!BU13</f>
        <v>0.73601403568388657</v>
      </c>
      <c r="BV13" s="12">
        <f>BU13+預測IC!BV13</f>
        <v>0.76745426485055324</v>
      </c>
      <c r="BW13" s="12">
        <f>BV13+預測IC!BW13</f>
        <v>0.85368459818388653</v>
      </c>
      <c r="BX13" s="12">
        <f>BW13+預測IC!BX13</f>
        <v>0.85293895937787645</v>
      </c>
      <c r="BY13" s="12">
        <f>BX13+預測IC!BY13</f>
        <v>0.86745135704836696</v>
      </c>
      <c r="BZ13" s="12">
        <f>BY13+預測IC!BZ13</f>
        <v>0.85369264871503359</v>
      </c>
      <c r="CA13" s="12">
        <f>BZ13+預測IC!CA13</f>
        <v>0.82016108311463676</v>
      </c>
      <c r="CB13" s="12">
        <f>CA13+預測IC!CB13</f>
        <v>0.82675690983985684</v>
      </c>
      <c r="CC13" s="12">
        <f>CB13+預測IC!CC13</f>
        <v>0.94687482650652355</v>
      </c>
      <c r="CD13" s="12">
        <f>CC13+預測IC!CD13</f>
        <v>1.0021306598398569</v>
      </c>
      <c r="CE13" s="12">
        <f>CD13+預測IC!CE13</f>
        <v>1.1859583890065237</v>
      </c>
      <c r="CF13" s="12">
        <f>CE13+預測IC!CF13</f>
        <v>1.204187534839857</v>
      </c>
      <c r="CG13" s="12">
        <f>CF13+預測IC!CG13</f>
        <v>1.2117479306731904</v>
      </c>
      <c r="CH13" s="12">
        <f>CG13+預測IC!CH13</f>
        <v>1.1860901806731905</v>
      </c>
      <c r="CI13" s="12">
        <f>CH13+預測IC!CI13</f>
        <v>1.1781950140065238</v>
      </c>
      <c r="CJ13" s="12">
        <f>CI13+預測IC!CJ13</f>
        <v>1.1813011019784749</v>
      </c>
      <c r="CK13" s="12">
        <f>CJ13+預測IC!CK13</f>
        <v>1.2133463712149388</v>
      </c>
      <c r="CL13" s="12">
        <f>CK13+預測IC!CL13</f>
        <v>1.2947997373171196</v>
      </c>
      <c r="CM13" s="12">
        <f>CL13+預測IC!CM13</f>
        <v>1.1933474039837864</v>
      </c>
      <c r="CN13" s="12">
        <f>CM13+預測IC!CN13</f>
        <v>1.2202349699826387</v>
      </c>
      <c r="CO13" s="12">
        <f>CN13+預測IC!CO13</f>
        <v>1.1849006259019814</v>
      </c>
      <c r="CP13" s="12">
        <f>CO13+預測IC!CP13</f>
        <v>1.2546271661797157</v>
      </c>
      <c r="CQ13" s="12">
        <f>CP13+預測IC!CQ13</f>
        <v>1.2928121163758755</v>
      </c>
      <c r="CR13" s="12">
        <f>CQ13+預測IC!CR13</f>
        <v>1.3571929705425421</v>
      </c>
      <c r="CS13" s="12">
        <f>CR13+預測IC!CS13</f>
        <v>1.3463599194272675</v>
      </c>
      <c r="CT13" s="12">
        <f>CS13+預測IC!CT13</f>
        <v>1.3467684595428837</v>
      </c>
      <c r="CU13" s="12">
        <f>CT13+預測IC!CU13</f>
        <v>1.3096070572605725</v>
      </c>
      <c r="CV13" s="12">
        <f>CU13+預測IC!CV13</f>
        <v>1.3872631085175451</v>
      </c>
      <c r="CW13" s="12">
        <f>CV13+預測IC!CW13</f>
        <v>1.4235722282739784</v>
      </c>
      <c r="CX13" s="12">
        <f>CW13+預測IC!CX13</f>
        <v>1.3635389730339254</v>
      </c>
      <c r="CY13" s="12">
        <f>CX13+預測IC!CY13</f>
        <v>1.3766577131489379</v>
      </c>
      <c r="CZ13" s="12">
        <f>CY13+預測IC!CZ13</f>
        <v>1.3194334927954527</v>
      </c>
      <c r="DA13" s="12">
        <f>CZ13+預測IC!DA13</f>
        <v>1.325017169721274</v>
      </c>
      <c r="DB13" s="12">
        <f>DA13+預測IC!DB13</f>
        <v>1.3863733549585455</v>
      </c>
      <c r="DC13" s="12">
        <f>DB13+預測IC!DC13</f>
        <v>1.3722234881312512</v>
      </c>
      <c r="DD13" s="12">
        <f>DC13+預測IC!DD13</f>
        <v>1.3032464292068677</v>
      </c>
      <c r="DE13" s="12">
        <f>DD13+預測IC!DE13</f>
        <v>1.2606825333735343</v>
      </c>
      <c r="DF13" s="12">
        <f>DE13+預測IC!DF13</f>
        <v>1.1775598458735343</v>
      </c>
      <c r="DG13" s="12">
        <f>DF13+預測IC!DG13</f>
        <v>1.248895606088454</v>
      </c>
      <c r="DH13" s="12">
        <f>DG13+預測IC!DH13</f>
        <v>1.2100890891481657</v>
      </c>
      <c r="DI13" s="12">
        <f>DH13+預測IC!DI13</f>
        <v>1.1805186695137375</v>
      </c>
      <c r="DJ13" s="12">
        <f>DI13+預測IC!DJ13</f>
        <v>1.1745348153470709</v>
      </c>
      <c r="DK13" s="12">
        <f>DJ13+預測IC!DK13</f>
        <v>1.1939212111804043</v>
      </c>
      <c r="DL13" s="12">
        <f>DK13+預測IC!DL13</f>
        <v>1.1667982736804043</v>
      </c>
      <c r="DM13" s="12">
        <f>DL13+預測IC!DM13</f>
        <v>1.1662663153470709</v>
      </c>
      <c r="DN13" s="12">
        <f>DM13+預測IC!DN13</f>
        <v>1.1790422048332743</v>
      </c>
      <c r="DO13" s="12">
        <f>DN13+預測IC!DO13</f>
        <v>1.1321507924451426</v>
      </c>
      <c r="DP13" s="12">
        <f>DO13+預測IC!DP13</f>
        <v>1.1901831013358442</v>
      </c>
      <c r="DQ13" s="12">
        <f>DP13+預測IC!DQ13</f>
        <v>1.2241496430025107</v>
      </c>
      <c r="DR13" s="12">
        <f>DQ13+預測IC!DR13</f>
        <v>1.2379208522748226</v>
      </c>
      <c r="DS13" s="12">
        <f>DR13+預測IC!DS13</f>
        <v>1.3065175397748225</v>
      </c>
      <c r="DT13" s="12">
        <f>DS13+預測IC!DT13</f>
        <v>1.3573488939414893</v>
      </c>
      <c r="DU13" s="12">
        <f>DT13+預測IC!DU13</f>
        <v>1.3903548522748226</v>
      </c>
      <c r="DV13" s="12">
        <f>DU13+預測IC!DV13</f>
        <v>1.310734708250634</v>
      </c>
      <c r="DW13" s="12">
        <f>DV13+預測IC!DW13</f>
        <v>1.2687062290839672</v>
      </c>
      <c r="DX13" s="12">
        <f>DW13+預測IC!DX13</f>
        <v>1.3332296086624633</v>
      </c>
      <c r="DY13" s="12">
        <f>DX13+預測IC!DY13</f>
        <v>1.2978435640086299</v>
      </c>
      <c r="DZ13" s="12">
        <f>DY13+預測IC!DZ13</f>
        <v>1.3124523784958482</v>
      </c>
      <c r="EA13" s="12">
        <f>DZ13+預測IC!EA13</f>
        <v>1.2392095094531661</v>
      </c>
      <c r="EB13" s="12">
        <f>EA13+預測IC!EB13</f>
        <v>1.2178362912537797</v>
      </c>
      <c r="EC13" s="12">
        <f>EB13+預測IC!EC13</f>
        <v>1.2398211437853042</v>
      </c>
      <c r="ED13" s="12">
        <f>EC13+預測IC!ED13</f>
        <v>1.3055032374445392</v>
      </c>
      <c r="EE13" s="12">
        <f>ED13+預測IC!EE13</f>
        <v>1.3467376124445392</v>
      </c>
      <c r="EF13" s="12">
        <f>EE13+預測IC!EF13</f>
        <v>1.2801603970809829</v>
      </c>
    </row>
    <row r="14" spans="1:136">
      <c r="A14" s="2"/>
      <c r="B14" s="2" t="s">
        <v>191</v>
      </c>
      <c r="C14" s="12">
        <v>0.1199416315789474</v>
      </c>
      <c r="D14" s="12">
        <f>C14+預測IC!D14</f>
        <v>0.20328894312224877</v>
      </c>
      <c r="E14" s="12">
        <f>D14+預測IC!E14</f>
        <v>0.30205710101698563</v>
      </c>
      <c r="F14" s="12">
        <f>E14+預測IC!F14</f>
        <v>0.24171519611095307</v>
      </c>
      <c r="G14" s="12">
        <f>F14+預測IC!G14</f>
        <v>0.18805856566817239</v>
      </c>
      <c r="H14" s="12">
        <f>G14+預測IC!H14</f>
        <v>0.24764751303659344</v>
      </c>
      <c r="I14" s="12">
        <f>H14+預測IC!I14</f>
        <v>0.20386015321345113</v>
      </c>
      <c r="J14" s="12">
        <f>I14+預測IC!J14</f>
        <v>9.8766574266082735E-2</v>
      </c>
      <c r="K14" s="12">
        <f>J14+預測IC!K14</f>
        <v>0.1495940405269307</v>
      </c>
      <c r="L14" s="12">
        <f>K14+預測IC!L14</f>
        <v>0.20586512550316621</v>
      </c>
      <c r="M14" s="12">
        <f>L14+預測IC!M14</f>
        <v>0.20087060543637847</v>
      </c>
      <c r="N14" s="12">
        <f>M14+預測IC!N14</f>
        <v>0.14350117877935642</v>
      </c>
      <c r="O14" s="12">
        <f>N14+預測IC!O14</f>
        <v>0.14499558671790494</v>
      </c>
      <c r="P14" s="12">
        <f>O14+預測IC!P14</f>
        <v>0.15153700767605535</v>
      </c>
      <c r="Q14" s="12">
        <f>P14+預測IC!Q14</f>
        <v>7.2239350094490895E-2</v>
      </c>
      <c r="R14" s="12">
        <f>Q14+預測IC!R14</f>
        <v>5.4477041465312362E-2</v>
      </c>
      <c r="S14" s="12">
        <f>R14+預測IC!S14</f>
        <v>0.22037026865002107</v>
      </c>
      <c r="T14" s="12">
        <f>S14+預測IC!T14</f>
        <v>0.25538982348442113</v>
      </c>
      <c r="U14" s="12">
        <f>T14+預測IC!U14</f>
        <v>0.29196808664231588</v>
      </c>
      <c r="V14" s="12">
        <f>U14+預測IC!V14</f>
        <v>0.23954678648343081</v>
      </c>
      <c r="W14" s="12">
        <f>V14+預測IC!W14</f>
        <v>0.31355494587168381</v>
      </c>
      <c r="X14" s="12">
        <f>W14+預測IC!X14</f>
        <v>0.4268180541839533</v>
      </c>
      <c r="Y14" s="12">
        <f>X14+預測IC!Y14</f>
        <v>0.37162706277173158</v>
      </c>
      <c r="Z14" s="12">
        <f>Y14+預測IC!Z14</f>
        <v>0.25492303110030279</v>
      </c>
      <c r="AA14" s="12">
        <f>Z14+預測IC!AA14</f>
        <v>0.29437321140238498</v>
      </c>
      <c r="AB14" s="12">
        <f>AA14+預測IC!AB14</f>
        <v>0.32170919000793913</v>
      </c>
      <c r="AC14" s="12">
        <f>AB14+預測IC!AC14</f>
        <v>0.32479575234672842</v>
      </c>
      <c r="AD14" s="12">
        <f>AC14+預測IC!AD14</f>
        <v>0.33771585895794676</v>
      </c>
      <c r="AE14" s="12">
        <f>AD14+預測IC!AE14</f>
        <v>0.34173491158952574</v>
      </c>
      <c r="AF14" s="12">
        <f>AE14+預測IC!AF14</f>
        <v>0.38215561413192484</v>
      </c>
      <c r="AG14" s="12">
        <f>AF14+預測IC!AG14</f>
        <v>0.40748490914287788</v>
      </c>
      <c r="AH14" s="12">
        <f>AG14+預測IC!AH14</f>
        <v>0.32653272471907624</v>
      </c>
      <c r="AI14" s="12">
        <f>AH14+預測IC!AI14</f>
        <v>0.29107008082046432</v>
      </c>
      <c r="AJ14" s="12">
        <f>AI14+預測IC!AJ14</f>
        <v>0.2760110447373133</v>
      </c>
      <c r="AK14" s="12">
        <f>AJ14+預測IC!AK14</f>
        <v>0.19853570571485929</v>
      </c>
      <c r="AL14" s="12">
        <f>AK14+預測IC!AL14</f>
        <v>0.23650489543732001</v>
      </c>
      <c r="AM14" s="12">
        <f>AL14+預測IC!AM14</f>
        <v>0.19404103949994619</v>
      </c>
      <c r="AN14" s="12">
        <f>AM14+預測IC!AN14</f>
        <v>0.2131735627252328</v>
      </c>
      <c r="AO14" s="12">
        <f>AN14+預測IC!AO14</f>
        <v>0.27407926819064277</v>
      </c>
      <c r="AP14" s="12">
        <f>AO14+預測IC!AP14</f>
        <v>0.26702411029590595</v>
      </c>
      <c r="AQ14" s="12">
        <f>AP14+預測IC!AQ14</f>
        <v>0.27515053134853751</v>
      </c>
      <c r="AR14" s="12">
        <f>AQ14+預測IC!AR14</f>
        <v>0.26756783968109865</v>
      </c>
      <c r="AS14" s="12">
        <f>AR14+預測IC!AS14</f>
        <v>0.25831089231267762</v>
      </c>
      <c r="AT14" s="12">
        <f>AS14+預測IC!AT14</f>
        <v>0.2928174719978221</v>
      </c>
      <c r="AU14" s="12">
        <f>AT14+預測IC!AU14</f>
        <v>0.33280912100112592</v>
      </c>
      <c r="AV14" s="12">
        <f>AU14+預測IC!AV14</f>
        <v>0.31412623556750874</v>
      </c>
      <c r="AW14" s="12">
        <f>AV14+預測IC!AW14</f>
        <v>0.29576330406155121</v>
      </c>
      <c r="AX14" s="12">
        <f>AW14+預測IC!AX14</f>
        <v>0.43271433235594392</v>
      </c>
      <c r="AY14" s="12">
        <f>AX14+預測IC!AY14</f>
        <v>0.44778245112770548</v>
      </c>
      <c r="AZ14" s="12">
        <f>AY14+預測IC!AZ14</f>
        <v>0.3944338819555494</v>
      </c>
      <c r="BA14" s="12">
        <f>AZ14+預測IC!BA14</f>
        <v>0.41205552749979252</v>
      </c>
      <c r="BB14" s="12">
        <f>BA14+預測IC!BB14</f>
        <v>0.51395352749979251</v>
      </c>
      <c r="BC14" s="12">
        <f>BB14+預測IC!BC14</f>
        <v>0.50413252854451507</v>
      </c>
      <c r="BD14" s="12">
        <f>BC14+預測IC!BD14</f>
        <v>0.52055142328135717</v>
      </c>
      <c r="BE14" s="12">
        <f>BD14+預測IC!BE14</f>
        <v>0.5643384858168442</v>
      </c>
      <c r="BF14" s="12">
        <f>BE14+預測IC!BF14</f>
        <v>0.55909643318526525</v>
      </c>
      <c r="BG14" s="12">
        <f>BF14+預測IC!BG14</f>
        <v>0.60047069725919799</v>
      </c>
      <c r="BH14" s="12">
        <f>BG14+預測IC!BH14</f>
        <v>0.60581345282779864</v>
      </c>
      <c r="BI14" s="12">
        <f>BH14+預測IC!BI14</f>
        <v>0.6559986657186524</v>
      </c>
      <c r="BJ14" s="12">
        <f>BI14+預測IC!BJ14</f>
        <v>0.63598144204741924</v>
      </c>
      <c r="BK14" s="12">
        <f>BJ14+預測IC!BK14</f>
        <v>0.63038769039034637</v>
      </c>
      <c r="BL14" s="12">
        <f>BK14+預測IC!BL14</f>
        <v>0.64095926933771474</v>
      </c>
      <c r="BM14" s="12">
        <f>BL14+預測IC!BM14</f>
        <v>0.61958463775876738</v>
      </c>
      <c r="BN14" s="12">
        <f>BM14+預測IC!BN14</f>
        <v>0.5934966774831878</v>
      </c>
      <c r="BO14" s="12">
        <f>BN14+預測IC!BO14</f>
        <v>0.60840078274634568</v>
      </c>
      <c r="BP14" s="12">
        <f>BO14+預測IC!BP14</f>
        <v>0.62407451623930488</v>
      </c>
      <c r="BQ14" s="12">
        <f>BP14+預測IC!BQ14</f>
        <v>0.63991804010925568</v>
      </c>
      <c r="BR14" s="12">
        <f>BQ14+預測IC!BR14</f>
        <v>0.7399704631846421</v>
      </c>
      <c r="BS14" s="12">
        <f>BR14+預測IC!BS14</f>
        <v>0.69847650804006423</v>
      </c>
      <c r="BT14" s="12">
        <f>BS14+預測IC!BT14</f>
        <v>0.71376482382953788</v>
      </c>
      <c r="BU14" s="12">
        <f>BT14+預測IC!BU14</f>
        <v>0.60260471856637998</v>
      </c>
      <c r="BV14" s="12">
        <f>BU14+預測IC!BV14</f>
        <v>0.64388692909269574</v>
      </c>
      <c r="BW14" s="12">
        <f>BV14+預測IC!BW14</f>
        <v>0.76229513961901152</v>
      </c>
      <c r="BX14" s="12">
        <f>BW14+預測IC!BX14</f>
        <v>0.77663043489631223</v>
      </c>
      <c r="BY14" s="12">
        <f>BX14+預測IC!BY14</f>
        <v>0.78322672826127726</v>
      </c>
      <c r="BZ14" s="12">
        <f>BY14+預測IC!BZ14</f>
        <v>0.83421251773496141</v>
      </c>
      <c r="CA14" s="12">
        <f>BZ14+預測IC!CA14</f>
        <v>0.80974725162002437</v>
      </c>
      <c r="CB14" s="12">
        <f>CA14+預測IC!CB14</f>
        <v>0.7876196350778496</v>
      </c>
      <c r="CC14" s="12">
        <f>CB14+預測IC!CC14</f>
        <v>0.90821484560416543</v>
      </c>
      <c r="CD14" s="12">
        <f>CC14+預測IC!CD14</f>
        <v>0.95613621402521809</v>
      </c>
      <c r="CE14" s="12">
        <f>CD14+預測IC!CE14</f>
        <v>1.1266910561304813</v>
      </c>
      <c r="CF14" s="12">
        <f>CE14+預測IC!CF14</f>
        <v>1.1063807403410075</v>
      </c>
      <c r="CG14" s="12">
        <f>CF14+預測IC!CG14</f>
        <v>1.2453076350778496</v>
      </c>
      <c r="CH14" s="12">
        <f>CG14+預測IC!CH14</f>
        <v>1.2493611613936391</v>
      </c>
      <c r="CI14" s="12">
        <f>CH14+預測IC!CI14</f>
        <v>1.2455330034989023</v>
      </c>
      <c r="CJ14" s="12">
        <f>CI14+預測IC!CJ14</f>
        <v>1.2742008584430768</v>
      </c>
      <c r="CK14" s="12">
        <f>CJ14+預測IC!CK14</f>
        <v>1.288217222833723</v>
      </c>
      <c r="CL14" s="12">
        <f>CK14+預測IC!CL14</f>
        <v>1.3504871777125596</v>
      </c>
      <c r="CM14" s="12">
        <f>CL14+預測IC!CM14</f>
        <v>1.2404193356072963</v>
      </c>
      <c r="CN14" s="12">
        <f>CM14+預測IC!CN14</f>
        <v>1.2634460242782224</v>
      </c>
      <c r="CO14" s="12">
        <f>CN14+預測IC!CO14</f>
        <v>1.1846822655598983</v>
      </c>
      <c r="CP14" s="12">
        <f>CO14+預測IC!CP14</f>
        <v>1.2844915970416511</v>
      </c>
      <c r="CQ14" s="12">
        <f>CP14+預測IC!CQ14</f>
        <v>1.3377032251333256</v>
      </c>
      <c r="CR14" s="12">
        <f>CQ14+預測IC!CR14</f>
        <v>1.4003442777649044</v>
      </c>
      <c r="CS14" s="12">
        <f>CR14+預測IC!CS14</f>
        <v>1.3413171575012488</v>
      </c>
      <c r="CT14" s="12">
        <f>CS14+預測IC!CT14</f>
        <v>1.3316552712191936</v>
      </c>
      <c r="CU14" s="12">
        <f>CT14+預測IC!CU14</f>
        <v>1.3755723739164083</v>
      </c>
      <c r="CV14" s="12">
        <f>CU14+預測IC!CV14</f>
        <v>1.5269692150740415</v>
      </c>
      <c r="CW14" s="12">
        <f>CV14+預測IC!CW14</f>
        <v>1.5717330995173016</v>
      </c>
      <c r="CX14" s="12">
        <f>CW14+預測IC!CX14</f>
        <v>1.5354336906290624</v>
      </c>
      <c r="CY14" s="12">
        <f>CX14+預測IC!CY14</f>
        <v>1.5641928109205367</v>
      </c>
      <c r="CZ14" s="12">
        <f>CY14+預測IC!CZ14</f>
        <v>1.5001292475701533</v>
      </c>
      <c r="DA14" s="12">
        <f>CZ14+預測IC!DA14</f>
        <v>1.5244335367407378</v>
      </c>
      <c r="DB14" s="12">
        <f>DA14+預測IC!DB14</f>
        <v>1.614672550297539</v>
      </c>
      <c r="DC14" s="12">
        <f>DB14+預測IC!DC14</f>
        <v>1.5716740083173388</v>
      </c>
      <c r="DD14" s="12">
        <f>DC14+預測IC!DD14</f>
        <v>1.4924686564691543</v>
      </c>
      <c r="DE14" s="12">
        <f>DD14+預測IC!DE14</f>
        <v>1.4614110775217859</v>
      </c>
      <c r="DF14" s="12">
        <f>DE14+預測IC!DF14</f>
        <v>1.2598466038375755</v>
      </c>
      <c r="DG14" s="12">
        <f>DF14+預測IC!DG14</f>
        <v>1.3471714095961085</v>
      </c>
      <c r="DH14" s="12">
        <f>DG14+預測IC!DH14</f>
        <v>1.3387581692284383</v>
      </c>
      <c r="DI14" s="12">
        <f>DH14+預測IC!DI14</f>
        <v>1.2980990345928667</v>
      </c>
      <c r="DJ14" s="12">
        <f>DI14+預測IC!DJ14</f>
        <v>1.2822012451191824</v>
      </c>
      <c r="DK14" s="12">
        <f>DJ14+預測IC!DK14</f>
        <v>1.3638229293297088</v>
      </c>
      <c r="DL14" s="12">
        <f>DK14+預測IC!DL14</f>
        <v>1.3730956135402352</v>
      </c>
      <c r="DM14" s="12">
        <f>DL14+預測IC!DM14</f>
        <v>1.3742162977507615</v>
      </c>
      <c r="DN14" s="12">
        <f>DM14+預測IC!DN14</f>
        <v>1.3292805571422659</v>
      </c>
      <c r="DO14" s="12">
        <f>DN14+預測IC!DO14</f>
        <v>1.2879049119794685</v>
      </c>
      <c r="DP14" s="12">
        <f>DO14+預測IC!DP14</f>
        <v>1.3508197200497689</v>
      </c>
      <c r="DQ14" s="12">
        <f>DP14+預測IC!DQ14</f>
        <v>1.4068389305760847</v>
      </c>
      <c r="DR14" s="12">
        <f>DQ14+預測IC!DR14</f>
        <v>1.4594614500350842</v>
      </c>
      <c r="DS14" s="12">
        <f>DR14+預測IC!DS14</f>
        <v>1.5155131342456105</v>
      </c>
      <c r="DT14" s="12">
        <f>DS14+預測IC!DT14</f>
        <v>1.6331854500350842</v>
      </c>
      <c r="DU14" s="12">
        <f>DT14+預測IC!DU14</f>
        <v>1.7019817131929789</v>
      </c>
      <c r="DV14" s="12">
        <f>DU14+預測IC!DV14</f>
        <v>1.5937193586628715</v>
      </c>
      <c r="DW14" s="12">
        <f>DV14+預測IC!DW14</f>
        <v>1.5919094639260294</v>
      </c>
      <c r="DX14" s="12">
        <f>DW14+預測IC!DX14</f>
        <v>1.6938409694784504</v>
      </c>
      <c r="DY14" s="12">
        <f>DX14+預測IC!DY14</f>
        <v>1.6558438895316019</v>
      </c>
      <c r="DZ14" s="12">
        <f>DY14+預測IC!DZ14</f>
        <v>1.6777254628500642</v>
      </c>
      <c r="EA14" s="12">
        <f>DZ14+預測IC!EA14</f>
        <v>1.599620196962128</v>
      </c>
      <c r="EB14" s="12">
        <f>EA14+預測IC!EB14</f>
        <v>1.5664428638495371</v>
      </c>
      <c r="EC14" s="12">
        <f>EB14+預測IC!EC14</f>
        <v>1.6097028813788448</v>
      </c>
      <c r="ED14" s="12">
        <f>EC14+預測IC!ED14</f>
        <v>1.7123325905650317</v>
      </c>
      <c r="EE14" s="12">
        <f>ED14+預測IC!EE14</f>
        <v>1.708933327407137</v>
      </c>
      <c r="EF14" s="12">
        <f>EE14+預測IC!EF14</f>
        <v>1.6389769069085789</v>
      </c>
    </row>
    <row r="15" spans="1:136">
      <c r="A15" s="2"/>
      <c r="B15" s="2" t="s">
        <v>192</v>
      </c>
      <c r="C15" s="12">
        <v>0.22764509999999999</v>
      </c>
      <c r="D15" s="12">
        <f>C15+預測IC!D15</f>
        <v>0.24459796479206572</v>
      </c>
      <c r="E15" s="12">
        <f>D15+預測IC!E15</f>
        <v>0.30664256479206575</v>
      </c>
      <c r="F15" s="12">
        <f>E15+預測IC!F15</f>
        <v>0.34156400134876314</v>
      </c>
      <c r="G15" s="12">
        <f>F15+預測IC!G15</f>
        <v>0.3071600803817266</v>
      </c>
      <c r="H15" s="12">
        <f>G15+預測IC!H15</f>
        <v>0.42600448038172661</v>
      </c>
      <c r="I15" s="12">
        <f>H15+預測IC!I15</f>
        <v>0.36757303610186109</v>
      </c>
      <c r="J15" s="12">
        <f>I15+預測IC!J15</f>
        <v>0.30304883610186106</v>
      </c>
      <c r="K15" s="12">
        <f>J15+預測IC!K15</f>
        <v>0.39756363369379194</v>
      </c>
      <c r="L15" s="12">
        <f>K15+預測IC!L15</f>
        <v>0.4787346942624382</v>
      </c>
      <c r="M15" s="12">
        <f>L15+預測IC!M15</f>
        <v>0.45323698478295094</v>
      </c>
      <c r="N15" s="12">
        <f>M15+預測IC!N15</f>
        <v>0.34344079035781722</v>
      </c>
      <c r="O15" s="12">
        <f>N15+預測IC!O15</f>
        <v>0.33116999459866453</v>
      </c>
      <c r="P15" s="12">
        <f>O15+預測IC!P15</f>
        <v>0.35306656444388856</v>
      </c>
      <c r="Q15" s="12">
        <f>P15+預測IC!Q15</f>
        <v>0.30716783299795697</v>
      </c>
      <c r="R15" s="12">
        <f>Q15+預測IC!R15</f>
        <v>0.18047677428814318</v>
      </c>
      <c r="S15" s="12">
        <f>R15+預測IC!S15</f>
        <v>0.45048466937029696</v>
      </c>
      <c r="T15" s="12">
        <f>S15+預測IC!T15</f>
        <v>0.49637574648748117</v>
      </c>
      <c r="U15" s="12">
        <f>T15+預測IC!U15</f>
        <v>0.54316444648748119</v>
      </c>
      <c r="V15" s="12">
        <f>U15+預測IC!V15</f>
        <v>0.4330374401566453</v>
      </c>
      <c r="W15" s="12">
        <f>V15+預測IC!W15</f>
        <v>0.5355810341393884</v>
      </c>
      <c r="X15" s="12">
        <f>W15+預測IC!X15</f>
        <v>0.6624243656030615</v>
      </c>
      <c r="Y15" s="12">
        <f>X15+預測IC!Y15</f>
        <v>0.61039556754591939</v>
      </c>
      <c r="Z15" s="12">
        <f>Y15+預測IC!Z15</f>
        <v>0.54769144821747551</v>
      </c>
      <c r="AA15" s="12">
        <f>Z15+預測IC!AA15</f>
        <v>0.60177259524550919</v>
      </c>
      <c r="AB15" s="12">
        <f>AA15+預測IC!AB15</f>
        <v>0.62393899598644231</v>
      </c>
      <c r="AC15" s="12">
        <f>AB15+預測IC!AC15</f>
        <v>0.61962132713838713</v>
      </c>
      <c r="AD15" s="12">
        <f>AC15+預測IC!AD15</f>
        <v>0.60068504410756873</v>
      </c>
      <c r="AE15" s="12">
        <f>AD15+預測IC!AE15</f>
        <v>0.55339944410756869</v>
      </c>
      <c r="AF15" s="12">
        <f>AE15+預測IC!AF15</f>
        <v>0.61921905660460852</v>
      </c>
      <c r="AG15" s="12">
        <f>AF15+預測IC!AG15</f>
        <v>0.66354360081968433</v>
      </c>
      <c r="AH15" s="12">
        <f>AG15+預測IC!AH15</f>
        <v>0.53057623580996149</v>
      </c>
      <c r="AI15" s="12">
        <f>AH15+預測IC!AI15</f>
        <v>0.50572697867743055</v>
      </c>
      <c r="AJ15" s="12">
        <f>AI15+預測IC!AJ15</f>
        <v>0.49626211870995479</v>
      </c>
      <c r="AK15" s="12">
        <f>AJ15+預測IC!AK15</f>
        <v>0.4269006675180384</v>
      </c>
      <c r="AL15" s="12">
        <f>AK15+預測IC!AL15</f>
        <v>0.47133233001385294</v>
      </c>
      <c r="AM15" s="12">
        <f>AL15+預測IC!AM15</f>
        <v>0.40270112292423432</v>
      </c>
      <c r="AN15" s="12">
        <f>AM15+預測IC!AN15</f>
        <v>0.43820158318943614</v>
      </c>
      <c r="AO15" s="12">
        <f>AN15+預測IC!AO15</f>
        <v>0.50157139565290321</v>
      </c>
      <c r="AP15" s="12">
        <f>AO15+預測IC!AP15</f>
        <v>0.48898919565290322</v>
      </c>
      <c r="AQ15" s="12">
        <f>AP15+預測IC!AQ15</f>
        <v>0.50873649565290324</v>
      </c>
      <c r="AR15" s="12">
        <f>AQ15+預測IC!AR15</f>
        <v>0.49100266989366392</v>
      </c>
      <c r="AS15" s="12">
        <f>AR15+預測IC!AS15</f>
        <v>0.5134334698936639</v>
      </c>
      <c r="AT15" s="12">
        <f>AS15+預測IC!AT15</f>
        <v>0.57868846054609246</v>
      </c>
      <c r="AU15" s="12">
        <f>AT15+預測IC!AU15</f>
        <v>0.6186317216355588</v>
      </c>
      <c r="AV15" s="12">
        <f>AU15+預測IC!AV15</f>
        <v>0.57140490330811988</v>
      </c>
      <c r="AW15" s="12">
        <f>AV15+預測IC!AW15</f>
        <v>0.58706484256270086</v>
      </c>
      <c r="AX15" s="12">
        <f>AW15+預測IC!AX15</f>
        <v>0.71229881973743603</v>
      </c>
      <c r="AY15" s="12">
        <f>AX15+預測IC!AY15</f>
        <v>0.74031588384746894</v>
      </c>
      <c r="AZ15" s="12">
        <f>AY15+預測IC!AZ15</f>
        <v>0.6489926037789655</v>
      </c>
      <c r="BA15" s="12">
        <f>AZ15+預測IC!BA15</f>
        <v>0.65960611858661844</v>
      </c>
      <c r="BB15" s="12">
        <f>BA15+預測IC!BB15</f>
        <v>0.76839461858661839</v>
      </c>
      <c r="BC15" s="12">
        <f>BB15+預測IC!BC15</f>
        <v>0.83054976225444865</v>
      </c>
      <c r="BD15" s="12">
        <f>BC15+預測IC!BD15</f>
        <v>0.83791446225444866</v>
      </c>
      <c r="BE15" s="12">
        <f>BD15+預測IC!BE15</f>
        <v>0.88635718327211177</v>
      </c>
      <c r="BF15" s="12">
        <f>BE15+預測IC!BF15</f>
        <v>0.82937958327211181</v>
      </c>
      <c r="BG15" s="12">
        <f>BF15+預測IC!BG15</f>
        <v>0.83186912200667706</v>
      </c>
      <c r="BH15" s="12">
        <f>BG15+預測IC!BH15</f>
        <v>0.86631096748836656</v>
      </c>
      <c r="BI15" s="12">
        <f>BH15+預測IC!BI15</f>
        <v>0.9348976266033362</v>
      </c>
      <c r="BJ15" s="12">
        <f>BI15+預測IC!BJ15</f>
        <v>0.92363259951589094</v>
      </c>
      <c r="BK15" s="12">
        <f>BJ15+預測IC!BK15</f>
        <v>0.92445635178369701</v>
      </c>
      <c r="BL15" s="12">
        <f>BK15+預測IC!BL15</f>
        <v>0.92453405178369696</v>
      </c>
      <c r="BM15" s="12">
        <f>BL15+預測IC!BM15</f>
        <v>0.86193655178369699</v>
      </c>
      <c r="BN15" s="12">
        <f>BM15+預測IC!BN15</f>
        <v>0.79821582437268535</v>
      </c>
      <c r="BO15" s="12">
        <f>BN15+預測IC!BO15</f>
        <v>0.81480622437268535</v>
      </c>
      <c r="BP15" s="12">
        <f>BO15+預測IC!BP15</f>
        <v>0.82899044508049013</v>
      </c>
      <c r="BQ15" s="12">
        <f>BP15+預測IC!BQ15</f>
        <v>0.84179337637081786</v>
      </c>
      <c r="BR15" s="12">
        <f>BQ15+預測IC!BR15</f>
        <v>0.96555551280727292</v>
      </c>
      <c r="BS15" s="12">
        <f>BR15+預測IC!BS15</f>
        <v>0.94873173535698663</v>
      </c>
      <c r="BT15" s="12">
        <f>BS15+預測IC!BT15</f>
        <v>0.91209913535698661</v>
      </c>
      <c r="BU15" s="12">
        <f>BT15+預測IC!BU15</f>
        <v>0.82655263535698664</v>
      </c>
      <c r="BV15" s="12">
        <f>BU15+預測IC!BV15</f>
        <v>0.91273273535698662</v>
      </c>
      <c r="BW15" s="12">
        <f>BV15+預測IC!BW15</f>
        <v>1.1168782353569866</v>
      </c>
      <c r="BX15" s="12">
        <f>BW15+預測IC!BX15</f>
        <v>1.1707298043014505</v>
      </c>
      <c r="BY15" s="12">
        <f>BX15+預測IC!BY15</f>
        <v>1.2324238957805103</v>
      </c>
      <c r="BZ15" s="12">
        <f>BY15+預測IC!BZ15</f>
        <v>1.2997840957805102</v>
      </c>
      <c r="CA15" s="12">
        <f>BZ15+預測IC!CA15</f>
        <v>1.281192074984068</v>
      </c>
      <c r="CB15" s="12">
        <f>CA15+預測IC!CB15</f>
        <v>1.2661351809722434</v>
      </c>
      <c r="CC15" s="12">
        <f>CB15+預測IC!CC15</f>
        <v>1.4397847809722435</v>
      </c>
      <c r="CD15" s="12">
        <f>CC15+預測IC!CD15</f>
        <v>1.5288783809722435</v>
      </c>
      <c r="CE15" s="12">
        <f>CD15+預測IC!CE15</f>
        <v>1.6022457809722435</v>
      </c>
      <c r="CF15" s="12">
        <f>CE15+預測IC!CF15</f>
        <v>1.5986193809722435</v>
      </c>
      <c r="CG15" s="12">
        <f>CF15+預測IC!CG15</f>
        <v>1.8243510809722436</v>
      </c>
      <c r="CH15" s="12">
        <f>CG15+預測IC!CH15</f>
        <v>1.7843715809722436</v>
      </c>
      <c r="CI15" s="12">
        <f>CH15+預測IC!CI15</f>
        <v>1.7150365809722437</v>
      </c>
      <c r="CJ15" s="12">
        <f>CI15+預測IC!CJ15</f>
        <v>1.8020809370449618</v>
      </c>
      <c r="CK15" s="12">
        <f>CJ15+預測IC!CK15</f>
        <v>1.8587535828170612</v>
      </c>
      <c r="CL15" s="12">
        <f>CK15+預測IC!CL15</f>
        <v>1.8901755578103094</v>
      </c>
      <c r="CM15" s="12">
        <f>CL15+預測IC!CM15</f>
        <v>1.7820576578103093</v>
      </c>
      <c r="CN15" s="12">
        <f>CM15+預測IC!CN15</f>
        <v>1.8246917736094697</v>
      </c>
      <c r="CO15" s="12">
        <f>CN15+預測IC!CO15</f>
        <v>1.7177125294099016</v>
      </c>
      <c r="CP15" s="12">
        <f>CO15+預測IC!CP15</f>
        <v>1.8452483648428513</v>
      </c>
      <c r="CQ15" s="12">
        <f>CP15+預測IC!CQ15</f>
        <v>1.8826263756079802</v>
      </c>
      <c r="CR15" s="12">
        <f>CQ15+預測IC!CR15</f>
        <v>1.9070008756079802</v>
      </c>
      <c r="CS15" s="12">
        <f>CR15+預測IC!CS15</f>
        <v>1.8468157031443855</v>
      </c>
      <c r="CT15" s="12">
        <f>CS15+預測IC!CT15</f>
        <v>1.8517573735099975</v>
      </c>
      <c r="CU15" s="12">
        <f>CT15+預測IC!CU15</f>
        <v>1.9149360334247703</v>
      </c>
      <c r="CV15" s="12">
        <f>CU15+預測IC!CV15</f>
        <v>2.0975475811416864</v>
      </c>
      <c r="CW15" s="12">
        <f>CV15+預測IC!CW15</f>
        <v>2.1236196720448133</v>
      </c>
      <c r="CX15" s="12">
        <f>CW15+預測IC!CX15</f>
        <v>2.0995800649914824</v>
      </c>
      <c r="CY15" s="12">
        <f>CX15+預測IC!CY15</f>
        <v>2.1420507380692446</v>
      </c>
      <c r="CZ15" s="12">
        <f>CY15+預測IC!CZ15</f>
        <v>2.0621637901249024</v>
      </c>
      <c r="DA15" s="12">
        <f>CZ15+預測IC!DA15</f>
        <v>2.0885396255667787</v>
      </c>
      <c r="DB15" s="12">
        <f>DA15+預測IC!DB15</f>
        <v>2.2982030276459944</v>
      </c>
      <c r="DC15" s="12">
        <f>DB15+預測IC!DC15</f>
        <v>2.2305105957008684</v>
      </c>
      <c r="DD15" s="12">
        <f>DC15+預測IC!DD15</f>
        <v>2.216003869569422</v>
      </c>
      <c r="DE15" s="12">
        <f>DD15+預測IC!DE15</f>
        <v>2.1503959695694221</v>
      </c>
      <c r="DF15" s="12">
        <f>DE15+預測IC!DF15</f>
        <v>1.8476743695694222</v>
      </c>
      <c r="DG15" s="12">
        <f>DF15+預測IC!DG15</f>
        <v>1.9607659324097819</v>
      </c>
      <c r="DH15" s="12">
        <f>DG15+預測IC!DH15</f>
        <v>1.9617043471768685</v>
      </c>
      <c r="DI15" s="12">
        <f>DH15+預測IC!DI15</f>
        <v>1.9075960285197382</v>
      </c>
      <c r="DJ15" s="12">
        <f>DI15+預測IC!DJ15</f>
        <v>1.8600295285197381</v>
      </c>
      <c r="DK15" s="12">
        <f>DJ15+預測IC!DK15</f>
        <v>1.960358528519738</v>
      </c>
      <c r="DL15" s="12">
        <f>DK15+預測IC!DL15</f>
        <v>1.952619328519738</v>
      </c>
      <c r="DM15" s="12">
        <f>DL15+預測IC!DM15</f>
        <v>1.9508458285197379</v>
      </c>
      <c r="DN15" s="12">
        <f>DM15+預測IC!DN15</f>
        <v>1.8691151162686088</v>
      </c>
      <c r="DO15" s="12">
        <f>DN15+預測IC!DO15</f>
        <v>1.822818389034808</v>
      </c>
      <c r="DP15" s="12">
        <f>DO15+預測IC!DP15</f>
        <v>1.9571233364001743</v>
      </c>
      <c r="DQ15" s="12">
        <f>DP15+預測IC!DQ15</f>
        <v>2.0300611364001742</v>
      </c>
      <c r="DR15" s="12">
        <f>DQ15+預測IC!DR15</f>
        <v>2.1000717030181124</v>
      </c>
      <c r="DS15" s="12">
        <f>DR15+預測IC!DS15</f>
        <v>2.1376016030181124</v>
      </c>
      <c r="DT15" s="12">
        <f>DS15+預測IC!DT15</f>
        <v>2.1718983030181125</v>
      </c>
      <c r="DU15" s="12">
        <f>DT15+預測IC!DU15</f>
        <v>2.2890268030181127</v>
      </c>
      <c r="DV15" s="12">
        <f>DU15+預測IC!DV15</f>
        <v>2.1492584460772415</v>
      </c>
      <c r="DW15" s="12">
        <f>DV15+預測IC!DW15</f>
        <v>2.2100852460772415</v>
      </c>
      <c r="DX15" s="12">
        <f>DW15+預測IC!DX15</f>
        <v>2.3287014967272279</v>
      </c>
      <c r="DY15" s="12">
        <f>DX15+預測IC!DY15</f>
        <v>2.2221623301262183</v>
      </c>
      <c r="DZ15" s="12">
        <f>DY15+預測IC!DZ15</f>
        <v>2.2410825741956026</v>
      </c>
      <c r="EA15" s="12">
        <f>DZ15+預測IC!EA15</f>
        <v>2.213743847985763</v>
      </c>
      <c r="EB15" s="12">
        <f>EA15+預測IC!EB15</f>
        <v>2.1652252748545182</v>
      </c>
      <c r="EC15" s="12">
        <f>EB15+預測IC!EC15</f>
        <v>2.2413823516511382</v>
      </c>
      <c r="ED15" s="12">
        <f>EC15+預測IC!ED15</f>
        <v>2.3547394075864494</v>
      </c>
      <c r="EE15" s="12">
        <f>ED15+預測IC!EE15</f>
        <v>2.3579296075864495</v>
      </c>
      <c r="EF15" s="12">
        <f>EE15+預測IC!EF15</f>
        <v>2.2922286164476073</v>
      </c>
    </row>
    <row r="16" spans="1:136">
      <c r="A16" s="2"/>
      <c r="B16" s="2" t="s">
        <v>193</v>
      </c>
      <c r="C16" s="12">
        <v>0.20787511111111109</v>
      </c>
      <c r="D16" s="12">
        <f>C16+預測IC!D16</f>
        <v>0.20715486244379405</v>
      </c>
      <c r="E16" s="12">
        <f>D16+預測IC!E16</f>
        <v>0.27215975133268294</v>
      </c>
      <c r="F16" s="12">
        <f>E16+預測IC!F16</f>
        <v>0.35087522323701392</v>
      </c>
      <c r="G16" s="12">
        <f>F16+預測IC!G16</f>
        <v>0.34272867257806466</v>
      </c>
      <c r="H16" s="12">
        <f>G16+預測IC!H16</f>
        <v>0.41557745035584243</v>
      </c>
      <c r="I16" s="12">
        <f>H16+預測IC!I16</f>
        <v>0.358046831690221</v>
      </c>
      <c r="J16" s="12">
        <f>I16+預測IC!J16</f>
        <v>0.28935338724577653</v>
      </c>
      <c r="K16" s="12">
        <f>J16+預測IC!K16</f>
        <v>0.37577427882816711</v>
      </c>
      <c r="L16" s="12">
        <f>K16+預測IC!L16</f>
        <v>0.46093588294237853</v>
      </c>
      <c r="M16" s="12">
        <f>L16+預測IC!M16</f>
        <v>0.42060142821713797</v>
      </c>
      <c r="N16" s="12">
        <f>M16+預測IC!N16</f>
        <v>0.30035892993794128</v>
      </c>
      <c r="O16" s="12">
        <f>N16+預測IC!O16</f>
        <v>0.27177185305896207</v>
      </c>
      <c r="P16" s="12">
        <f>O16+預測IC!P16</f>
        <v>0.27996003257329405</v>
      </c>
      <c r="Q16" s="12">
        <f>P16+預測IC!Q16</f>
        <v>0.1984813892673008</v>
      </c>
      <c r="R16" s="12">
        <f>Q16+預測IC!R16</f>
        <v>9.5371695379591601E-2</v>
      </c>
      <c r="S16" s="12">
        <f>R16+預測IC!S16</f>
        <v>0.38243471577838639</v>
      </c>
      <c r="T16" s="12">
        <f>S16+預測IC!T16</f>
        <v>0.42084138907199842</v>
      </c>
      <c r="U16" s="12">
        <f>T16+預測IC!U16</f>
        <v>0.46949105573866506</v>
      </c>
      <c r="V16" s="12">
        <f>U16+預測IC!V16</f>
        <v>0.3939195696297581</v>
      </c>
      <c r="W16" s="12">
        <f>V16+預測IC!W16</f>
        <v>0.4955852456775699</v>
      </c>
      <c r="X16" s="12">
        <f>W16+預測IC!X16</f>
        <v>0.61999502938605666</v>
      </c>
      <c r="Y16" s="12">
        <f>X16+預測IC!Y16</f>
        <v>0.56971619492499403</v>
      </c>
      <c r="Z16" s="12">
        <f>Y16+預測IC!Z16</f>
        <v>0.52670613674123312</v>
      </c>
      <c r="AA16" s="12">
        <f>Z16+預測IC!AA16</f>
        <v>0.57019377257722526</v>
      </c>
      <c r="AB16" s="12">
        <f>AA16+預測IC!AB16</f>
        <v>0.60248918701129306</v>
      </c>
      <c r="AC16" s="12">
        <f>AB16+預測IC!AC16</f>
        <v>0.61525463504670974</v>
      </c>
      <c r="AD16" s="12">
        <f>AC16+預測IC!AD16</f>
        <v>0.61413260919763346</v>
      </c>
      <c r="AE16" s="12">
        <f>AD16+預測IC!AE16</f>
        <v>0.56259860919763349</v>
      </c>
      <c r="AF16" s="12">
        <f>AE16+預測IC!AF16</f>
        <v>0.62628445177922265</v>
      </c>
      <c r="AG16" s="12">
        <f>AF16+預測IC!AG16</f>
        <v>0.67006061151499507</v>
      </c>
      <c r="AH16" s="12">
        <f>AG16+預測IC!AH16</f>
        <v>0.52165898634784258</v>
      </c>
      <c r="AI16" s="12">
        <f>AH16+預測IC!AI16</f>
        <v>0.48827573067619529</v>
      </c>
      <c r="AJ16" s="12">
        <f>AI16+預測IC!AJ16</f>
        <v>0.49530169674807134</v>
      </c>
      <c r="AK16" s="12">
        <f>AJ16+預測IC!AK16</f>
        <v>0.45786824376658347</v>
      </c>
      <c r="AL16" s="12">
        <f>AK16+預測IC!AL16</f>
        <v>0.50655717687110668</v>
      </c>
      <c r="AM16" s="12">
        <f>AL16+預測IC!AM16</f>
        <v>0.45441144439101555</v>
      </c>
      <c r="AN16" s="12">
        <f>AM16+預測IC!AN16</f>
        <v>0.47644396233352965</v>
      </c>
      <c r="AO16" s="12">
        <f>AN16+預測IC!AO16</f>
        <v>0.53786863415944197</v>
      </c>
      <c r="AP16" s="12">
        <f>AO16+預測IC!AP16</f>
        <v>0.53262818971499748</v>
      </c>
      <c r="AQ16" s="12">
        <f>AP16+預測IC!AQ16</f>
        <v>0.55666074527055298</v>
      </c>
      <c r="AR16" s="12">
        <f>AQ16+預測IC!AR16</f>
        <v>0.52228876621028208</v>
      </c>
      <c r="AS16" s="12">
        <f>AR16+預測IC!AS16</f>
        <v>0.55036743287694878</v>
      </c>
      <c r="AT16" s="12">
        <f>AS16+預測IC!AT16</f>
        <v>0.59991458819531884</v>
      </c>
      <c r="AU16" s="12">
        <f>AT16+預測IC!AU16</f>
        <v>0.64174142645021393</v>
      </c>
      <c r="AV16" s="12">
        <f>AU16+預測IC!AV16</f>
        <v>0.63266891967019523</v>
      </c>
      <c r="AW16" s="12">
        <f>AV16+預測IC!AW16</f>
        <v>0.67192184974484592</v>
      </c>
      <c r="AX16" s="12">
        <f>AW16+預測IC!AX16</f>
        <v>0.77275162298881883</v>
      </c>
      <c r="AY16" s="12">
        <f>AX16+預測IC!AY16</f>
        <v>0.80656421283316482</v>
      </c>
      <c r="AZ16" s="12">
        <f>AY16+預測IC!AZ16</f>
        <v>0.7016545776544526</v>
      </c>
      <c r="BA16" s="12">
        <f>AZ16+預測IC!BA16</f>
        <v>0.7165776827120387</v>
      </c>
      <c r="BB16" s="12">
        <f>BA16+預測IC!BB16</f>
        <v>0.84905168271203868</v>
      </c>
      <c r="BC16" s="12">
        <f>BB16+預測IC!BC16</f>
        <v>0.91617314881973055</v>
      </c>
      <c r="BD16" s="12">
        <f>BC16+預測IC!BD16</f>
        <v>0.92245725993084171</v>
      </c>
      <c r="BE16" s="12">
        <f>BD16+預測IC!BE16</f>
        <v>0.97386825432531665</v>
      </c>
      <c r="BF16" s="12">
        <f>BE16+預測IC!BF16</f>
        <v>0.91928392099198331</v>
      </c>
      <c r="BG16" s="12">
        <f>BF16+預測IC!BG16</f>
        <v>0.93275720303993992</v>
      </c>
      <c r="BH16" s="12">
        <f>BG16+預測IC!BH16</f>
        <v>0.91898158855597811</v>
      </c>
      <c r="BI16" s="12">
        <f>BH16+預測IC!BI16</f>
        <v>0.96042539631923995</v>
      </c>
      <c r="BJ16" s="12">
        <f>BI16+預測IC!BJ16</f>
        <v>0.93992158003603232</v>
      </c>
      <c r="BK16" s="12">
        <f>BJ16+預測IC!BK16</f>
        <v>0.94289357033122934</v>
      </c>
      <c r="BL16" s="12">
        <f>BK16+預測IC!BL16</f>
        <v>0.93447901477567374</v>
      </c>
      <c r="BM16" s="12">
        <f>BL16+預測IC!BM16</f>
        <v>0.86467412588678483</v>
      </c>
      <c r="BN16" s="12">
        <f>BM16+預測IC!BN16</f>
        <v>0.80336937597690006</v>
      </c>
      <c r="BO16" s="12">
        <f>BN16+預測IC!BO16</f>
        <v>0.81933070931023344</v>
      </c>
      <c r="BP16" s="12">
        <f>BO16+預測IC!BP16</f>
        <v>0.84017389285781396</v>
      </c>
      <c r="BQ16" s="12">
        <f>BP16+預測IC!BQ16</f>
        <v>0.85665190911274258</v>
      </c>
      <c r="BR16" s="12">
        <f>BQ16+預測IC!BR16</f>
        <v>0.98723487733776416</v>
      </c>
      <c r="BS16" s="12">
        <f>BR16+預測IC!BS16</f>
        <v>0.97404330419029994</v>
      </c>
      <c r="BT16" s="12">
        <f>BS16+預測IC!BT16</f>
        <v>0.93597797085696655</v>
      </c>
      <c r="BU16" s="12">
        <f>BT16+預測IC!BU16</f>
        <v>0.83444074863474438</v>
      </c>
      <c r="BV16" s="12">
        <f>BU16+預測IC!BV16</f>
        <v>0.92895119307918883</v>
      </c>
      <c r="BW16" s="12">
        <f>BV16+預測IC!BW16</f>
        <v>1.1528961930791888</v>
      </c>
      <c r="BX16" s="12">
        <f>BW16+預測IC!BX16</f>
        <v>1.2194557121972718</v>
      </c>
      <c r="BY16" s="12">
        <f>BX16+預測IC!BY16</f>
        <v>1.2700194450445148</v>
      </c>
      <c r="BZ16" s="12">
        <f>BY16+預測IC!BZ16</f>
        <v>1.3626490006000704</v>
      </c>
      <c r="CA16" s="12">
        <f>BZ16+預測IC!CA16</f>
        <v>1.3329346108445073</v>
      </c>
      <c r="CB16" s="12">
        <f>CA16+預測IC!CB16</f>
        <v>1.3343626558337245</v>
      </c>
      <c r="CC16" s="12">
        <f>CB16+預測IC!CC16</f>
        <v>1.3787489891670579</v>
      </c>
      <c r="CD16" s="12">
        <f>CC16+預測IC!CD16</f>
        <v>1.4664989891670579</v>
      </c>
      <c r="CE16" s="12">
        <f>CD16+預測IC!CE16</f>
        <v>1.5601127669448356</v>
      </c>
      <c r="CF16" s="12">
        <f>CE16+預測IC!CF16</f>
        <v>1.5454167669448355</v>
      </c>
      <c r="CG16" s="12">
        <f>CF16+預測IC!CG16</f>
        <v>1.6916134336115023</v>
      </c>
      <c r="CH16" s="12">
        <f>CG16+預測IC!CH16</f>
        <v>1.6730919891670579</v>
      </c>
      <c r="CI16" s="12">
        <f>CH16+預測IC!CI16</f>
        <v>1.6147486558337245</v>
      </c>
      <c r="CJ16" s="12">
        <f>CI16+預測IC!CJ16</f>
        <v>1.6602722066213911</v>
      </c>
      <c r="CK16" s="12">
        <f>CJ16+預測IC!CK16</f>
        <v>1.7367451903390814</v>
      </c>
      <c r="CL16" s="12">
        <f>CK16+預測IC!CL16</f>
        <v>1.7526238726737906</v>
      </c>
      <c r="CM16" s="12">
        <f>CL16+預測IC!CM16</f>
        <v>1.6395695393404572</v>
      </c>
      <c r="CN16" s="12">
        <f>CM16+預測IC!CN16</f>
        <v>1.6726270544814072</v>
      </c>
      <c r="CO16" s="12">
        <f>CN16+預測IC!CO16</f>
        <v>1.5379868456875019</v>
      </c>
      <c r="CP16" s="12">
        <f>CO16+預測IC!CP16</f>
        <v>1.6746185351695932</v>
      </c>
      <c r="CQ16" s="12">
        <f>CP16+預測IC!CQ16</f>
        <v>1.7160541408290038</v>
      </c>
      <c r="CR16" s="12">
        <f>CQ16+預測IC!CR16</f>
        <v>1.7412835852734483</v>
      </c>
      <c r="CS16" s="12">
        <f>CR16+預測IC!CS16</f>
        <v>1.6747244253993745</v>
      </c>
      <c r="CT16" s="12">
        <f>CS16+預測IC!CT16</f>
        <v>1.7002818033602092</v>
      </c>
      <c r="CU16" s="12">
        <f>CT16+預測IC!CU16</f>
        <v>1.7637164577191839</v>
      </c>
      <c r="CV16" s="12">
        <f>CU16+預測IC!CV16</f>
        <v>1.9359679803576704</v>
      </c>
      <c r="CW16" s="12">
        <f>CV16+預測IC!CW16</f>
        <v>1.9833096395319503</v>
      </c>
      <c r="CX16" s="12">
        <f>CW16+預測IC!CX16</f>
        <v>1.9710693547777003</v>
      </c>
      <c r="CY16" s="12">
        <f>CX16+預測IC!CY16</f>
        <v>2.0201864038943258</v>
      </c>
      <c r="CZ16" s="12">
        <f>CY16+預測IC!CZ16</f>
        <v>1.9175531447161933</v>
      </c>
      <c r="DA16" s="12">
        <f>CZ16+預測IC!DA16</f>
        <v>1.9473579386834288</v>
      </c>
      <c r="DB16" s="12">
        <f>DA16+預測IC!DB16</f>
        <v>2.1790232845850728</v>
      </c>
      <c r="DC16" s="12">
        <f>DB16+預測IC!DC16</f>
        <v>2.095759232962088</v>
      </c>
      <c r="DD16" s="12">
        <f>DC16+預測IC!DD16</f>
        <v>2.0640155224748078</v>
      </c>
      <c r="DE16" s="12">
        <f>DD16+預測IC!DE16</f>
        <v>2.0076901891414747</v>
      </c>
      <c r="DF16" s="12">
        <f>DE16+預測IC!DF16</f>
        <v>1.6821093002525858</v>
      </c>
      <c r="DG16" s="12">
        <f>DF16+預測IC!DG16</f>
        <v>1.8084812201030585</v>
      </c>
      <c r="DH16" s="12">
        <f>DG16+預測IC!DH16</f>
        <v>1.8045023881385032</v>
      </c>
      <c r="DI16" s="12">
        <f>DH16+預測IC!DI16</f>
        <v>1.7591028902372419</v>
      </c>
      <c r="DJ16" s="12">
        <f>DI16+預測IC!DJ16</f>
        <v>1.7073497791261307</v>
      </c>
      <c r="DK16" s="12">
        <f>DJ16+預測IC!DK16</f>
        <v>1.8036041124594639</v>
      </c>
      <c r="DL16" s="12">
        <f>DK16+預測IC!DL16</f>
        <v>1.802237223570575</v>
      </c>
      <c r="DM16" s="12">
        <f>DL16+預測IC!DM16</f>
        <v>1.7641018902372416</v>
      </c>
      <c r="DN16" s="12">
        <f>DM16+預測IC!DN16</f>
        <v>1.64821515849225</v>
      </c>
      <c r="DO16" s="12">
        <f>DN16+預測IC!DO16</f>
        <v>1.5949932509361062</v>
      </c>
      <c r="DP16" s="12">
        <f>DO16+預測IC!DP16</f>
        <v>1.7553272454119186</v>
      </c>
      <c r="DQ16" s="12">
        <f>DP16+預測IC!DQ16</f>
        <v>1.8228872454119187</v>
      </c>
      <c r="DR16" s="12">
        <f>DQ16+預測IC!DR16</f>
        <v>1.8780784970614339</v>
      </c>
      <c r="DS16" s="12">
        <f>DR16+預測IC!DS16</f>
        <v>1.8995183859503229</v>
      </c>
      <c r="DT16" s="12">
        <f>DS16+預測IC!DT16</f>
        <v>1.9315777192836561</v>
      </c>
      <c r="DU16" s="12">
        <f>DT16+預測IC!DU16</f>
        <v>2.0543507192836561</v>
      </c>
      <c r="DV16" s="12">
        <f>DU16+預測IC!DV16</f>
        <v>1.9173969872658625</v>
      </c>
      <c r="DW16" s="12">
        <f>DV16+預測IC!DW16</f>
        <v>1.9887000983769736</v>
      </c>
      <c r="DX16" s="12">
        <f>DW16+預測IC!DX16</f>
        <v>2.1139848047009511</v>
      </c>
      <c r="DY16" s="12">
        <f>DX16+預測IC!DY16</f>
        <v>1.9976304697906078</v>
      </c>
      <c r="DZ16" s="12">
        <f>DY16+預測IC!DZ16</f>
        <v>2.0289075496152842</v>
      </c>
      <c r="EA16" s="12">
        <f>DZ16+預測IC!EA16</f>
        <v>1.9822461780595573</v>
      </c>
      <c r="EB16" s="12">
        <f>EA16+預測IC!EB16</f>
        <v>1.9036355393164237</v>
      </c>
      <c r="EC16" s="12">
        <f>EB16+預測IC!EC16</f>
        <v>1.9721370198842627</v>
      </c>
      <c r="ED16" s="12">
        <f>EC16+預測IC!ED16</f>
        <v>2.0875537673831839</v>
      </c>
      <c r="EE16" s="12">
        <f>ED16+預測IC!EE16</f>
        <v>2.0919498784942951</v>
      </c>
      <c r="EF16" s="12">
        <f>EE16+預測IC!EF16</f>
        <v>2.0494754770003878</v>
      </c>
    </row>
    <row r="17" spans="1:136">
      <c r="A17" s="2"/>
      <c r="B17" s="2" t="s">
        <v>194</v>
      </c>
      <c r="C17" s="12">
        <v>0.20609237499999999</v>
      </c>
      <c r="D17" s="12">
        <f>C17+預測IC!D17</f>
        <v>0.1887580002669122</v>
      </c>
      <c r="E17" s="12">
        <f>D17+預測IC!E17</f>
        <v>0.26834600026691224</v>
      </c>
      <c r="F17" s="12">
        <f>E17+預測IC!F17</f>
        <v>0.34909816441923136</v>
      </c>
      <c r="G17" s="12">
        <f>F17+預測IC!G17</f>
        <v>0.24371108975550065</v>
      </c>
      <c r="H17" s="12">
        <f>G17+預測IC!H17</f>
        <v>0.34870583975550062</v>
      </c>
      <c r="I17" s="12">
        <f>H17+預測IC!I17</f>
        <v>0.23498081195331311</v>
      </c>
      <c r="J17" s="12">
        <f>I17+預測IC!J17</f>
        <v>0.11968243695331311</v>
      </c>
      <c r="K17" s="12">
        <f>J17+預測IC!K17</f>
        <v>0.221242516675623</v>
      </c>
      <c r="L17" s="12">
        <f>K17+預測IC!L17</f>
        <v>0.26347730782096512</v>
      </c>
      <c r="M17" s="12">
        <f>L17+預測IC!M17</f>
        <v>0.19854527283747894</v>
      </c>
      <c r="N17" s="12">
        <f>M17+預測IC!N17</f>
        <v>8.926744600767314E-2</v>
      </c>
      <c r="O17" s="12">
        <f>N17+預測IC!O17</f>
        <v>7.7960769943540911E-2</v>
      </c>
      <c r="P17" s="12">
        <f>O17+預測IC!P17</f>
        <v>9.1343716686909229E-2</v>
      </c>
      <c r="Q17" s="12">
        <f>P17+預測IC!Q17</f>
        <v>-8.9231116166587771E-3</v>
      </c>
      <c r="R17" s="12">
        <f>Q17+預測IC!R17</f>
        <v>-0.14534955681690498</v>
      </c>
      <c r="S17" s="12">
        <f>R17+預測IC!S17</f>
        <v>0.16530387583839323</v>
      </c>
      <c r="T17" s="12">
        <f>S17+預測IC!T17</f>
        <v>0.18864646134933399</v>
      </c>
      <c r="U17" s="12">
        <f>T17+預測IC!U17</f>
        <v>0.24093483634933399</v>
      </c>
      <c r="V17" s="12">
        <f>U17+預測IC!V17</f>
        <v>0.14367518049673095</v>
      </c>
      <c r="W17" s="12">
        <f>V17+預測IC!W17</f>
        <v>0.26327916450903843</v>
      </c>
      <c r="X17" s="12">
        <f>W17+預測IC!X17</f>
        <v>0.38012536244984202</v>
      </c>
      <c r="Y17" s="12">
        <f>X17+預測IC!Y17</f>
        <v>0.30650223095943441</v>
      </c>
      <c r="Z17" s="12">
        <f>Y17+預測IC!Z17</f>
        <v>0.25817655738777817</v>
      </c>
      <c r="AA17" s="12">
        <f>Z17+預測IC!AA17</f>
        <v>0.29338634696997729</v>
      </c>
      <c r="AB17" s="12">
        <f>AA17+預測IC!AB17</f>
        <v>0.33792465023941692</v>
      </c>
      <c r="AC17" s="12">
        <f>AB17+預測IC!AC17</f>
        <v>0.35801090497743843</v>
      </c>
      <c r="AD17" s="12">
        <f>AC17+預測IC!AD17</f>
        <v>0.33609806080379784</v>
      </c>
      <c r="AE17" s="12">
        <f>AD17+預測IC!AE17</f>
        <v>0.27665481080379783</v>
      </c>
      <c r="AF17" s="12">
        <f>AE17+預測IC!AF17</f>
        <v>0.33808412092573797</v>
      </c>
      <c r="AG17" s="12">
        <f>AF17+預測IC!AG17</f>
        <v>0.40072426249687665</v>
      </c>
      <c r="AH17" s="12">
        <f>AG17+預測IC!AH17</f>
        <v>0.25369937324107206</v>
      </c>
      <c r="AI17" s="12">
        <f>AH17+預測IC!AI17</f>
        <v>0.19666139758558551</v>
      </c>
      <c r="AJ17" s="12">
        <f>AI17+預測IC!AJ17</f>
        <v>0.23926402810454239</v>
      </c>
      <c r="AK17" s="12">
        <f>AJ17+預測IC!AK17</f>
        <v>0.20988813849496715</v>
      </c>
      <c r="AL17" s="12">
        <f>AK17+預測IC!AL17</f>
        <v>0.26061254424352365</v>
      </c>
      <c r="AM17" s="12">
        <f>AL17+預測IC!AM17</f>
        <v>0.16726083421699339</v>
      </c>
      <c r="AN17" s="12">
        <f>AM17+預測IC!AN17</f>
        <v>0.16080469884370502</v>
      </c>
      <c r="AO17" s="12">
        <f>AN17+預測IC!AO17</f>
        <v>0.17343703343942921</v>
      </c>
      <c r="AP17" s="12">
        <f>AO17+預測IC!AP17</f>
        <v>0.16967778343942921</v>
      </c>
      <c r="AQ17" s="12">
        <f>AP17+預測IC!AQ17</f>
        <v>0.1789081584394292</v>
      </c>
      <c r="AR17" s="12">
        <f>AQ17+預測IC!AR17</f>
        <v>0.13310553288212637</v>
      </c>
      <c r="AS17" s="12">
        <f>AR17+預測IC!AS17</f>
        <v>0.16262153288212636</v>
      </c>
      <c r="AT17" s="12">
        <f>AS17+預測IC!AT17</f>
        <v>0.21488933933184856</v>
      </c>
      <c r="AU17" s="12">
        <f>AT17+預測IC!AU17</f>
        <v>0.26944484661853635</v>
      </c>
      <c r="AV17" s="12">
        <f>AU17+預測IC!AV17</f>
        <v>0.24823894383626799</v>
      </c>
      <c r="AW17" s="12">
        <f>AV17+預測IC!AW17</f>
        <v>0.25666083187810479</v>
      </c>
      <c r="AX17" s="12">
        <f>AW17+預測IC!AX17</f>
        <v>0.35290139038690377</v>
      </c>
      <c r="AY17" s="12">
        <f>AX17+預測IC!AY17</f>
        <v>0.38032508707750468</v>
      </c>
      <c r="AZ17" s="12">
        <f>AY17+預測IC!AZ17</f>
        <v>0.25516748481731355</v>
      </c>
      <c r="BA17" s="12">
        <f>AZ17+預測IC!BA17</f>
        <v>0.2649926639244265</v>
      </c>
      <c r="BB17" s="12">
        <f>BA17+預測IC!BB17</f>
        <v>0.41826341392442651</v>
      </c>
      <c r="BC17" s="12">
        <f>BB17+預測IC!BC17</f>
        <v>0.50212660910224016</v>
      </c>
      <c r="BD17" s="12">
        <f>BC17+預測IC!BD17</f>
        <v>0.52154073410224011</v>
      </c>
      <c r="BE17" s="12">
        <f>BD17+預測IC!BE17</f>
        <v>0.59889097634030053</v>
      </c>
      <c r="BF17" s="12">
        <f>BE17+預測IC!BF17</f>
        <v>0.52147397634030046</v>
      </c>
      <c r="BG17" s="12">
        <f>BF17+預測IC!BG17</f>
        <v>0.48607974025226319</v>
      </c>
      <c r="BH17" s="12">
        <f>BG17+預測IC!BH17</f>
        <v>0.49959920110401623</v>
      </c>
      <c r="BI17" s="12">
        <f>BH17+預測IC!BI17</f>
        <v>0.5867111465439635</v>
      </c>
      <c r="BJ17" s="12">
        <f>BI17+預測IC!BJ17</f>
        <v>0.57685308227072707</v>
      </c>
      <c r="BK17" s="12">
        <f>BJ17+預測IC!BK17</f>
        <v>0.56303013020062154</v>
      </c>
      <c r="BL17" s="12">
        <f>BK17+預測IC!BL17</f>
        <v>0.57060338020062151</v>
      </c>
      <c r="BM17" s="12">
        <f>BL17+預測IC!BM17</f>
        <v>0.49263663020062154</v>
      </c>
      <c r="BN17" s="12">
        <f>BM17+預測IC!BN17</f>
        <v>0.43916644925346943</v>
      </c>
      <c r="BO17" s="12">
        <f>BN17+預測IC!BO17</f>
        <v>0.4705179492534694</v>
      </c>
      <c r="BP17" s="12">
        <f>BO17+預測IC!BP17</f>
        <v>0.50651392890795033</v>
      </c>
      <c r="BQ17" s="12">
        <f>BP17+預測IC!BQ17</f>
        <v>0.51789043935440193</v>
      </c>
      <c r="BR17" s="12">
        <f>BQ17+預測IC!BR17</f>
        <v>0.63291279238015374</v>
      </c>
      <c r="BS17" s="12">
        <f>BR17+預測IC!BS17</f>
        <v>0.62880932326954719</v>
      </c>
      <c r="BT17" s="12">
        <f>BS17+預測IC!BT17</f>
        <v>0.59516207326954718</v>
      </c>
      <c r="BU17" s="12">
        <f>BT17+預測IC!BU17</f>
        <v>0.49063769826954717</v>
      </c>
      <c r="BV17" s="12">
        <f>BU17+預測IC!BV17</f>
        <v>0.59728157326954712</v>
      </c>
      <c r="BW17" s="12">
        <f>BV17+預測IC!BW17</f>
        <v>0.82451594826954711</v>
      </c>
      <c r="BX17" s="12">
        <f>BW17+預測IC!BX17</f>
        <v>0.90715693780719553</v>
      </c>
      <c r="BY17" s="12">
        <f>BX17+預測IC!BY17</f>
        <v>0.99140240543588987</v>
      </c>
      <c r="BZ17" s="12">
        <f>BY17+預測IC!BZ17</f>
        <v>1.0983544054358898</v>
      </c>
      <c r="CA17" s="12">
        <f>BZ17+預測IC!CA17</f>
        <v>1.0704195730774002</v>
      </c>
      <c r="CB17" s="12">
        <f>CA17+預測IC!CB17</f>
        <v>1.0808972805693928</v>
      </c>
      <c r="CC17" s="12">
        <f>CB17+預測IC!CC17</f>
        <v>1.1226557805693929</v>
      </c>
      <c r="CD17" s="12">
        <f>CC17+預測IC!CD17</f>
        <v>1.1867604055693928</v>
      </c>
      <c r="CE17" s="12">
        <f>CD17+預測IC!CE17</f>
        <v>1.2824680305693927</v>
      </c>
      <c r="CF17" s="12">
        <f>CE17+預測IC!CF17</f>
        <v>1.1873442805693928</v>
      </c>
      <c r="CG17" s="12">
        <f>CF17+預測IC!CG17</f>
        <v>1.364379655569393</v>
      </c>
      <c r="CH17" s="12">
        <f>CG17+預測IC!CH17</f>
        <v>1.3416250305693931</v>
      </c>
      <c r="CI17" s="12">
        <f>CH17+預測IC!CI17</f>
        <v>1.259173780569393</v>
      </c>
      <c r="CJ17" s="12">
        <f>CI17+預測IC!CJ17</f>
        <v>1.309916102053835</v>
      </c>
      <c r="CK17" s="12">
        <f>CJ17+預測IC!CK17</f>
        <v>1.401654674711748</v>
      </c>
      <c r="CL17" s="12">
        <f>CK17+預測IC!CL17</f>
        <v>1.3922283299427167</v>
      </c>
      <c r="CM17" s="12">
        <f>CL17+預測IC!CM17</f>
        <v>1.2967357049427166</v>
      </c>
      <c r="CN17" s="12">
        <f>CM17+預測IC!CN17</f>
        <v>1.3234537660937036</v>
      </c>
      <c r="CO17" s="12">
        <f>CN17+預測IC!CO17</f>
        <v>1.1860408907641784</v>
      </c>
      <c r="CP17" s="12">
        <f>CO17+預測IC!CP17</f>
        <v>1.3342001599615221</v>
      </c>
      <c r="CQ17" s="12">
        <f>CP17+預測IC!CQ17</f>
        <v>1.3752880931449254</v>
      </c>
      <c r="CR17" s="12">
        <f>CQ17+預測IC!CR17</f>
        <v>1.3982949681449255</v>
      </c>
      <c r="CS17" s="12">
        <f>CR17+預測IC!CS17</f>
        <v>1.3014533368453558</v>
      </c>
      <c r="CT17" s="12">
        <f>CS17+預測IC!CT17</f>
        <v>1.3187926172504465</v>
      </c>
      <c r="CU17" s="12">
        <f>CT17+預測IC!CU17</f>
        <v>1.3932009248337005</v>
      </c>
      <c r="CV17" s="12">
        <f>CU17+預測IC!CV17</f>
        <v>1.544672309695055</v>
      </c>
      <c r="CW17" s="12">
        <f>CV17+預測IC!CW17</f>
        <v>1.6080655284995429</v>
      </c>
      <c r="CX17" s="12">
        <f>CW17+預測IC!CX17</f>
        <v>1.5972931339755951</v>
      </c>
      <c r="CY17" s="12">
        <f>CX17+預測IC!CY17</f>
        <v>1.6466764326916852</v>
      </c>
      <c r="CZ17" s="12">
        <f>CY17+預測IC!CZ17</f>
        <v>1.5224275948440646</v>
      </c>
      <c r="DA17" s="12">
        <f>CZ17+預測IC!DA17</f>
        <v>1.5663234539891988</v>
      </c>
      <c r="DB17" s="12">
        <f>DA17+預測IC!DB17</f>
        <v>1.7906404252842814</v>
      </c>
      <c r="DC17" s="12">
        <f>DB17+預測IC!DC17</f>
        <v>1.6917910327344718</v>
      </c>
      <c r="DD17" s="12">
        <f>DC17+預測IC!DD17</f>
        <v>1.662635611851591</v>
      </c>
      <c r="DE17" s="12">
        <f>DD17+預測IC!DE17</f>
        <v>1.610970236851591</v>
      </c>
      <c r="DF17" s="12">
        <f>DE17+預測IC!DF17</f>
        <v>1.258742861851591</v>
      </c>
      <c r="DG17" s="12">
        <f>DF17+預測IC!DG17</f>
        <v>1.3819553279822303</v>
      </c>
      <c r="DH17" s="12">
        <f>DG17+預測IC!DH17</f>
        <v>1.3693014333197175</v>
      </c>
      <c r="DI17" s="12">
        <f>DH17+預測IC!DI17</f>
        <v>1.3342568972537725</v>
      </c>
      <c r="DJ17" s="12">
        <f>DI17+預測IC!DJ17</f>
        <v>1.2771105222537724</v>
      </c>
      <c r="DK17" s="12">
        <f>DJ17+預測IC!DK17</f>
        <v>1.3798903972537724</v>
      </c>
      <c r="DL17" s="12">
        <f>DK17+預測IC!DL17</f>
        <v>1.3856801472537723</v>
      </c>
      <c r="DM17" s="12">
        <f>DL17+預測IC!DM17</f>
        <v>1.3431166472537723</v>
      </c>
      <c r="DN17" s="12">
        <f>DM17+預測IC!DN17</f>
        <v>1.236636684646486</v>
      </c>
      <c r="DO17" s="12">
        <f>DN17+預測IC!DO17</f>
        <v>1.1831853143065827</v>
      </c>
      <c r="DP17" s="12">
        <f>DO17+預測IC!DP17</f>
        <v>1.3252194725572175</v>
      </c>
      <c r="DQ17" s="12">
        <f>DP17+預測IC!DQ17</f>
        <v>1.3904634725572176</v>
      </c>
      <c r="DR17" s="12">
        <f>DQ17+預測IC!DR17</f>
        <v>1.4463482874335458</v>
      </c>
      <c r="DS17" s="12">
        <f>DR17+預測IC!DS17</f>
        <v>1.4837019124335458</v>
      </c>
      <c r="DT17" s="12">
        <f>DS17+預測IC!DT17</f>
        <v>1.5004449124335457</v>
      </c>
      <c r="DU17" s="12">
        <f>DT17+預測IC!DU17</f>
        <v>1.6299389124335457</v>
      </c>
      <c r="DV17" s="12">
        <f>DU17+預測IC!DV17</f>
        <v>1.5121735143225914</v>
      </c>
      <c r="DW17" s="12">
        <f>DV17+預測IC!DW17</f>
        <v>1.5887732643225914</v>
      </c>
      <c r="DX17" s="12">
        <f>DW17+預測IC!DX17</f>
        <v>1.7183122469190653</v>
      </c>
      <c r="DY17" s="12">
        <f>DX17+預測IC!DY17</f>
        <v>1.6061737921129913</v>
      </c>
      <c r="DZ17" s="12">
        <f>DY17+預測IC!DZ17</f>
        <v>1.6380019647127775</v>
      </c>
      <c r="EA17" s="12">
        <f>DZ17+預測IC!EA17</f>
        <v>1.6261840408470649</v>
      </c>
      <c r="EB17" s="12">
        <f>EA17+預測IC!EB17</f>
        <v>1.5390836916523256</v>
      </c>
      <c r="EC17" s="12">
        <f>EB17+預測IC!EC17</f>
        <v>1.6605957089203487</v>
      </c>
      <c r="ED17" s="12">
        <f>EC17+預測IC!ED17</f>
        <v>1.7889201528492613</v>
      </c>
      <c r="EE17" s="12">
        <f>ED17+預測IC!EE17</f>
        <v>1.7887257778492613</v>
      </c>
      <c r="EF17" s="12">
        <f>EE17+預測IC!EF17</f>
        <v>1.7410160108394095</v>
      </c>
    </row>
    <row r="18" spans="1:136">
      <c r="A18" s="2"/>
      <c r="B18" s="2" t="s">
        <v>195</v>
      </c>
      <c r="C18" s="12">
        <v>0.1897511428571429</v>
      </c>
      <c r="D18" s="12">
        <f>C18+預測IC!D18</f>
        <v>0.18156367577575017</v>
      </c>
      <c r="E18" s="12">
        <f>D18+預測IC!E18</f>
        <v>0.23500153291860731</v>
      </c>
      <c r="F18" s="12">
        <f>E18+預測IC!F18</f>
        <v>0.35438449302079711</v>
      </c>
      <c r="G18" s="12">
        <f>F18+預測IC!G18</f>
        <v>0.24606811973571713</v>
      </c>
      <c r="H18" s="12">
        <f>G18+預測IC!H18</f>
        <v>0.37460811973571712</v>
      </c>
      <c r="I18" s="12">
        <f>H18+預測IC!I18</f>
        <v>0.23910793951247603</v>
      </c>
      <c r="J18" s="12">
        <f>I18+預測IC!J18</f>
        <v>0.11394708236961881</v>
      </c>
      <c r="K18" s="12">
        <f>J18+預測IC!K18</f>
        <v>0.2495949711472511</v>
      </c>
      <c r="L18" s="12">
        <f>K18+預測IC!L18</f>
        <v>0.30035317825397012</v>
      </c>
      <c r="M18" s="12">
        <f>L18+預測IC!M18</f>
        <v>0.22065060113999369</v>
      </c>
      <c r="N18" s="12">
        <f>M18+預測IC!N18</f>
        <v>7.9443112643697578E-2</v>
      </c>
      <c r="O18" s="12">
        <f>N18+預測IC!O18</f>
        <v>0.11118105374119577</v>
      </c>
      <c r="P18" s="12">
        <f>O18+預測IC!P18</f>
        <v>0.11950913959510473</v>
      </c>
      <c r="Q18" s="12">
        <f>P18+預測IC!Q18</f>
        <v>2.6449549682198523E-2</v>
      </c>
      <c r="R18" s="12">
        <f>Q18+預測IC!R18</f>
        <v>-0.1277396390518229</v>
      </c>
      <c r="S18" s="12">
        <f>R18+預測IC!S18</f>
        <v>0.25599298988007141</v>
      </c>
      <c r="T18" s="12">
        <f>S18+預測IC!T18</f>
        <v>0.3083026874308023</v>
      </c>
      <c r="U18" s="12">
        <f>T18+預測IC!U18</f>
        <v>0.33643625885937373</v>
      </c>
      <c r="V18" s="12">
        <f>U18+預測IC!V18</f>
        <v>0.21504479743344801</v>
      </c>
      <c r="W18" s="12">
        <f>V18+預測IC!W18</f>
        <v>0.35296203534915421</v>
      </c>
      <c r="X18" s="12">
        <f>W18+預測IC!X18</f>
        <v>0.49641355298399481</v>
      </c>
      <c r="Y18" s="12">
        <f>X18+預測IC!Y18</f>
        <v>0.3925343090751835</v>
      </c>
      <c r="Z18" s="12">
        <f>Y18+預測IC!Z18</f>
        <v>0.34106458332434397</v>
      </c>
      <c r="AA18" s="12">
        <f>Z18+預測IC!AA18</f>
        <v>0.38276982850706803</v>
      </c>
      <c r="AB18" s="12">
        <f>AA18+預測IC!AB18</f>
        <v>0.44541463376972895</v>
      </c>
      <c r="AC18" s="12">
        <f>AB18+預測IC!AC18</f>
        <v>0.44404921329289671</v>
      </c>
      <c r="AD18" s="12">
        <f>AC18+預測IC!AD18</f>
        <v>0.41745362291381649</v>
      </c>
      <c r="AE18" s="12">
        <f>AD18+預測IC!AE18</f>
        <v>0.34025262291381653</v>
      </c>
      <c r="AF18" s="12">
        <f>AE18+預測IC!AF18</f>
        <v>0.37212604107444214</v>
      </c>
      <c r="AG18" s="12">
        <f>AF18+預測IC!AG18</f>
        <v>0.45384602096719573</v>
      </c>
      <c r="AH18" s="12">
        <f>AG18+預測IC!AH18</f>
        <v>0.29077751614234615</v>
      </c>
      <c r="AI18" s="12">
        <f>AH18+預測IC!AI18</f>
        <v>0.20935376609117645</v>
      </c>
      <c r="AJ18" s="12">
        <f>AI18+預測IC!AJ18</f>
        <v>0.25674752225762559</v>
      </c>
      <c r="AK18" s="12">
        <f>AJ18+預測IC!AK18</f>
        <v>0.23391463689562916</v>
      </c>
      <c r="AL18" s="12">
        <f>AK18+預測IC!AL18</f>
        <v>0.28144240052788688</v>
      </c>
      <c r="AM18" s="12">
        <f>AL18+預測IC!AM18</f>
        <v>0.18538937139106887</v>
      </c>
      <c r="AN18" s="12">
        <f>AM18+預測IC!AN18</f>
        <v>0.18818378915100675</v>
      </c>
      <c r="AO18" s="12">
        <f>AN18+預測IC!AO18</f>
        <v>0.19361132411869955</v>
      </c>
      <c r="AP18" s="12">
        <f>AO18+預測IC!AP18</f>
        <v>0.19159560983298526</v>
      </c>
      <c r="AQ18" s="12">
        <f>AP18+預測IC!AQ18</f>
        <v>0.1748074669758424</v>
      </c>
      <c r="AR18" s="12">
        <f>AQ18+預測IC!AR18</f>
        <v>0.13580499291307813</v>
      </c>
      <c r="AS18" s="12">
        <f>AR18+預測IC!AS18</f>
        <v>0.18117827862736383</v>
      </c>
      <c r="AT18" s="12">
        <f>AS18+預測IC!AT18</f>
        <v>0.22450392844794251</v>
      </c>
      <c r="AU18" s="12">
        <f>AT18+預測IC!AU18</f>
        <v>0.28907957252753402</v>
      </c>
      <c r="AV18" s="12">
        <f>AU18+預測IC!AV18</f>
        <v>0.26031081664581684</v>
      </c>
      <c r="AW18" s="12">
        <f>AV18+預測IC!AW18</f>
        <v>0.2848488508869243</v>
      </c>
      <c r="AX18" s="12">
        <f>AW18+預測IC!AX18</f>
        <v>0.3924097191427604</v>
      </c>
      <c r="AY18" s="12">
        <f>AX18+預測IC!AY18</f>
        <v>0.42719299778390846</v>
      </c>
      <c r="AZ18" s="12">
        <f>AY18+預測IC!AZ18</f>
        <v>0.27878391539500935</v>
      </c>
      <c r="BA18" s="12">
        <f>AZ18+預測IC!BA18</f>
        <v>0.27941622631969493</v>
      </c>
      <c r="BB18" s="12">
        <f>BA18+預測IC!BB18</f>
        <v>0.44667351203398065</v>
      </c>
      <c r="BC18" s="12">
        <f>BB18+預測IC!BC18</f>
        <v>0.52987508462730126</v>
      </c>
      <c r="BD18" s="12">
        <f>BC18+預測IC!BD18</f>
        <v>0.55015279891301549</v>
      </c>
      <c r="BE18" s="12">
        <f>BD18+預測IC!BE18</f>
        <v>0.61851401215117829</v>
      </c>
      <c r="BF18" s="12">
        <f>BE18+預測IC!BF18</f>
        <v>0.58037201215117828</v>
      </c>
      <c r="BG18" s="12">
        <f>BF18+預測IC!BG18</f>
        <v>0.56356577092497406</v>
      </c>
      <c r="BH18" s="12">
        <f>BG18+預測IC!BH18</f>
        <v>0.58406962398877948</v>
      </c>
      <c r="BI18" s="12">
        <f>BH18+預測IC!BI18</f>
        <v>0.69306963090744522</v>
      </c>
      <c r="BJ18" s="12">
        <f>BI18+預測IC!BJ18</f>
        <v>0.69902569495790479</v>
      </c>
      <c r="BK18" s="12">
        <f>BJ18+預測IC!BK18</f>
        <v>0.64102245078770215</v>
      </c>
      <c r="BL18" s="12">
        <f>BK18+預測IC!BL18</f>
        <v>0.66737473650198786</v>
      </c>
      <c r="BM18" s="12">
        <f>BL18+預測IC!BM18</f>
        <v>0.59759330793055931</v>
      </c>
      <c r="BN18" s="12">
        <f>BM18+預測IC!BN18</f>
        <v>0.55540171912575576</v>
      </c>
      <c r="BO18" s="12">
        <f>BN18+預測IC!BO18</f>
        <v>0.56380986198289862</v>
      </c>
      <c r="BP18" s="12">
        <f>BO18+預測IC!BP18</f>
        <v>0.61066740231758065</v>
      </c>
      <c r="BQ18" s="12">
        <f>BP18+預測IC!BQ18</f>
        <v>0.61258418642742962</v>
      </c>
      <c r="BR18" s="12">
        <f>BQ18+預測IC!BR18</f>
        <v>0.73354600430990546</v>
      </c>
      <c r="BS18" s="12">
        <f>BR18+預測IC!BS18</f>
        <v>0.72956237921278622</v>
      </c>
      <c r="BT18" s="12">
        <f>BS18+預測IC!BT18</f>
        <v>0.71626352206992905</v>
      </c>
      <c r="BU18" s="12">
        <f>BT18+預測IC!BU18</f>
        <v>0.60480137921278621</v>
      </c>
      <c r="BV18" s="12">
        <f>BU18+預測IC!BV18</f>
        <v>0.72030695064135764</v>
      </c>
      <c r="BW18" s="12">
        <f>BV18+預測IC!BW18</f>
        <v>0.98134623635564333</v>
      </c>
      <c r="BX18" s="12">
        <f>BW18+預測IC!BX18</f>
        <v>1.0559270997702415</v>
      </c>
      <c r="BY18" s="12">
        <f>BX18+預測IC!BY18</f>
        <v>1.1790020755942663</v>
      </c>
      <c r="BZ18" s="12">
        <f>BY18+預測IC!BZ18</f>
        <v>1.2888172184514091</v>
      </c>
      <c r="CA18" s="12">
        <f>BZ18+預測IC!CA18</f>
        <v>1.2727406745585483</v>
      </c>
      <c r="CB18" s="12">
        <f>CA18+預測IC!CB18</f>
        <v>1.2973180311709966</v>
      </c>
      <c r="CC18" s="12">
        <f>CB18+預測IC!CC18</f>
        <v>1.4019777454567111</v>
      </c>
      <c r="CD18" s="12">
        <f>CC18+預測IC!CD18</f>
        <v>1.4524227454567111</v>
      </c>
      <c r="CE18" s="12">
        <f>CD18+預測IC!CE18</f>
        <v>1.5296826025995682</v>
      </c>
      <c r="CF18" s="12">
        <f>CE18+預測IC!CF18</f>
        <v>1.4278236025995683</v>
      </c>
      <c r="CG18" s="12">
        <f>CF18+預測IC!CG18</f>
        <v>1.6544657454567111</v>
      </c>
      <c r="CH18" s="12">
        <f>CG18+預測IC!CH18</f>
        <v>1.6290251740281396</v>
      </c>
      <c r="CI18" s="12">
        <f>CH18+預測IC!CI18</f>
        <v>1.5113016025995683</v>
      </c>
      <c r="CJ18" s="12">
        <f>CI18+預測IC!CJ18</f>
        <v>1.5736152804244778</v>
      </c>
      <c r="CK18" s="12">
        <f>CJ18+預測IC!CK18</f>
        <v>1.6642830647167615</v>
      </c>
      <c r="CL18" s="12">
        <f>CK18+預測IC!CL18</f>
        <v>1.6332935196585683</v>
      </c>
      <c r="CM18" s="12">
        <f>CL18+預測IC!CM18</f>
        <v>1.530524805372854</v>
      </c>
      <c r="CN18" s="12">
        <f>CM18+預測IC!CN18</f>
        <v>1.5656110593510306</v>
      </c>
      <c r="CO18" s="12">
        <f>CN18+預測IC!CO18</f>
        <v>1.4150135497287832</v>
      </c>
      <c r="CP18" s="12">
        <f>CO18+預測IC!CP18</f>
        <v>1.577852658676794</v>
      </c>
      <c r="CQ18" s="12">
        <f>CP18+預測IC!CQ18</f>
        <v>1.6258291950850616</v>
      </c>
      <c r="CR18" s="12">
        <f>CQ18+預測IC!CR18</f>
        <v>1.659573909370776</v>
      </c>
      <c r="CS18" s="12">
        <f>CR18+預測IC!CS18</f>
        <v>1.5815466626388046</v>
      </c>
      <c r="CT18" s="12">
        <f>CS18+預測IC!CT18</f>
        <v>1.5652741684387959</v>
      </c>
      <c r="CU18" s="12">
        <f>CT18+預測IC!CU18</f>
        <v>1.6369228596439058</v>
      </c>
      <c r="CV18" s="12">
        <f>CU18+預測IC!CV18</f>
        <v>1.7639451277769127</v>
      </c>
      <c r="CW18" s="12">
        <f>CV18+預測IC!CW18</f>
        <v>1.8305037022752289</v>
      </c>
      <c r="CX18" s="12">
        <f>CW18+預測IC!CX18</f>
        <v>1.7689435164414509</v>
      </c>
      <c r="CY18" s="12">
        <f>CX18+預測IC!CY18</f>
        <v>1.8203009302162332</v>
      </c>
      <c r="CZ18" s="12">
        <f>CY18+預測IC!CZ18</f>
        <v>1.6874580669144619</v>
      </c>
      <c r="DA18" s="12">
        <f>CZ18+預測IC!DA18</f>
        <v>1.7348390064331554</v>
      </c>
      <c r="DB18" s="12">
        <f>DA18+預測IC!DB18</f>
        <v>1.9572211189565378</v>
      </c>
      <c r="DC18" s="12">
        <f>DB18+預測IC!DC18</f>
        <v>1.8744014117453753</v>
      </c>
      <c r="DD18" s="12">
        <f>DC18+預測IC!DD18</f>
        <v>1.8333872244260414</v>
      </c>
      <c r="DE18" s="12">
        <f>DD18+預測IC!DE18</f>
        <v>1.7940805101403272</v>
      </c>
      <c r="DF18" s="12">
        <f>DE18+預測IC!DF18</f>
        <v>1.4273869387117557</v>
      </c>
      <c r="DG18" s="12">
        <f>DF18+預測IC!DG18</f>
        <v>1.545604031985351</v>
      </c>
      <c r="DH18" s="12">
        <f>DG18+預測IC!DH18</f>
        <v>1.5325539993684225</v>
      </c>
      <c r="DI18" s="12">
        <f>DH18+預測IC!DI18</f>
        <v>1.5139407513380043</v>
      </c>
      <c r="DJ18" s="12">
        <f>DI18+預測IC!DJ18</f>
        <v>1.4632857513380044</v>
      </c>
      <c r="DK18" s="12">
        <f>DJ18+預測IC!DK18</f>
        <v>1.5698116084808615</v>
      </c>
      <c r="DL18" s="12">
        <f>DK18+預測IC!DL18</f>
        <v>1.5932211799094329</v>
      </c>
      <c r="DM18" s="12">
        <f>DL18+預測IC!DM18</f>
        <v>1.5347644656237187</v>
      </c>
      <c r="DN18" s="12">
        <f>DM18+預測IC!DN18</f>
        <v>1.409655782354188</v>
      </c>
      <c r="DO18" s="12">
        <f>DN18+預測IC!DO18</f>
        <v>1.3675508748035574</v>
      </c>
      <c r="DP18" s="12">
        <f>DO18+預測IC!DP18</f>
        <v>1.501037347080638</v>
      </c>
      <c r="DQ18" s="12">
        <f>DP18+預測IC!DQ18</f>
        <v>1.5629920613663522</v>
      </c>
      <c r="DR18" s="12">
        <f>DQ18+預測IC!DR18</f>
        <v>1.6398327161383133</v>
      </c>
      <c r="DS18" s="12">
        <f>DR18+預測IC!DS18</f>
        <v>1.651109858995456</v>
      </c>
      <c r="DT18" s="12">
        <f>DS18+預測IC!DT18</f>
        <v>1.6437021447097417</v>
      </c>
      <c r="DU18" s="12">
        <f>DT18+預測IC!DU18</f>
        <v>1.8024175732811702</v>
      </c>
      <c r="DV18" s="12">
        <f>DU18+預測IC!DV18</f>
        <v>1.6967769644811084</v>
      </c>
      <c r="DW18" s="12">
        <f>DV18+預測IC!DW18</f>
        <v>1.7654148216239656</v>
      </c>
      <c r="DX18" s="12">
        <f>DW18+預測IC!DX18</f>
        <v>1.9190177990864474</v>
      </c>
      <c r="DY18" s="12">
        <f>DX18+預測IC!DY18</f>
        <v>1.8215897621104977</v>
      </c>
      <c r="DZ18" s="12">
        <f>DY18+預測IC!DZ18</f>
        <v>1.8971061214068634</v>
      </c>
      <c r="EA18" s="12">
        <f>DZ18+預測IC!EA18</f>
        <v>1.9034676841508451</v>
      </c>
      <c r="EB18" s="12">
        <f>EA18+預測IC!EB18</f>
        <v>1.8036213061725246</v>
      </c>
      <c r="EC18" s="12">
        <f>EB18+預測IC!EC18</f>
        <v>1.9466615367653102</v>
      </c>
      <c r="ED18" s="12">
        <f>EC18+預測IC!ED18</f>
        <v>2.0571395586310759</v>
      </c>
      <c r="EE18" s="12">
        <f>ED18+預測IC!EE18</f>
        <v>2.0582498443453616</v>
      </c>
      <c r="EF18" s="12">
        <f>EE18+預測IC!EF18</f>
        <v>2.0092948272349451</v>
      </c>
    </row>
    <row r="19" spans="1:136">
      <c r="A19" s="2"/>
      <c r="B19" s="2" t="s">
        <v>196</v>
      </c>
      <c r="C19" s="12">
        <v>0.19659983333333331</v>
      </c>
      <c r="D19" s="12">
        <f>C19+預測IC!D19</f>
        <v>0.17642903387913755</v>
      </c>
      <c r="E19" s="12">
        <f>D19+預測IC!E19</f>
        <v>0.24224153387913755</v>
      </c>
      <c r="F19" s="12">
        <f>E19+預測IC!F19</f>
        <v>0.41993019568469803</v>
      </c>
      <c r="G19" s="12">
        <f>F19+預測IC!G19</f>
        <v>0.32386422382752061</v>
      </c>
      <c r="H19" s="12">
        <f>G19+預測IC!H19</f>
        <v>0.50147439049418729</v>
      </c>
      <c r="I19" s="12">
        <f>H19+預測IC!I19</f>
        <v>0.36682005760272079</v>
      </c>
      <c r="J19" s="12">
        <f>I19+預測IC!J19</f>
        <v>0.2105908909360541</v>
      </c>
      <c r="K19" s="12">
        <f>J19+預測IC!K19</f>
        <v>0.44938030565997078</v>
      </c>
      <c r="L19" s="12">
        <f>K19+預測IC!L19</f>
        <v>0.46970695530031586</v>
      </c>
      <c r="M19" s="12">
        <f>L19+預測IC!M19</f>
        <v>0.38349661627419818</v>
      </c>
      <c r="N19" s="12">
        <f>M19+預測IC!N19</f>
        <v>0.23165303512621807</v>
      </c>
      <c r="O19" s="12">
        <f>N19+預測IC!O19</f>
        <v>0.263214909615134</v>
      </c>
      <c r="P19" s="12">
        <f>O19+預測IC!P19</f>
        <v>0.28672807043965404</v>
      </c>
      <c r="Q19" s="12">
        <f>P19+預測IC!Q19</f>
        <v>0.20486195770311322</v>
      </c>
      <c r="R19" s="12">
        <f>Q19+預測IC!R19</f>
        <v>5.9278684900903128E-2</v>
      </c>
      <c r="S19" s="12">
        <f>R19+預測IC!S19</f>
        <v>0.24343880159851114</v>
      </c>
      <c r="T19" s="12">
        <f>S19+預測IC!T19</f>
        <v>0.29490351884382071</v>
      </c>
      <c r="U19" s="12">
        <f>T19+預測IC!U19</f>
        <v>0.3390876855104874</v>
      </c>
      <c r="V19" s="12">
        <f>U19+預測IC!V19</f>
        <v>0.24639936578517424</v>
      </c>
      <c r="W19" s="12">
        <f>V19+預測IC!W19</f>
        <v>0.39302035650268435</v>
      </c>
      <c r="X19" s="12">
        <f>W19+預測IC!X19</f>
        <v>0.50965940176677771</v>
      </c>
      <c r="Y19" s="12">
        <f>X19+預測IC!Y19</f>
        <v>0.40652916283633944</v>
      </c>
      <c r="Z19" s="12">
        <f>Y19+預測IC!Z19</f>
        <v>0.34864043745764012</v>
      </c>
      <c r="AA19" s="12">
        <f>Z19+預測IC!AA19</f>
        <v>0.39021062199579587</v>
      </c>
      <c r="AB19" s="12">
        <f>AA19+預測IC!AB19</f>
        <v>0.44192937480655314</v>
      </c>
      <c r="AC19" s="12">
        <f>AB19+預測IC!AC19</f>
        <v>0.42778783209794335</v>
      </c>
      <c r="AD19" s="12">
        <f>AC19+預測IC!AD19</f>
        <v>0.39269890350999304</v>
      </c>
      <c r="AE19" s="12">
        <f>AD19+預測IC!AE19</f>
        <v>0.27746773684332643</v>
      </c>
      <c r="AF19" s="12">
        <f>AE19+預測IC!AF19</f>
        <v>0.31625340365222621</v>
      </c>
      <c r="AG19" s="12">
        <f>AF19+預測IC!AG19</f>
        <v>0.35774050709653787</v>
      </c>
      <c r="AH19" s="12">
        <f>AG19+預測IC!AH19</f>
        <v>0.15358421993132829</v>
      </c>
      <c r="AI19" s="12">
        <f>AH19+預測IC!AI19</f>
        <v>0.10581786717153192</v>
      </c>
      <c r="AJ19" s="12">
        <f>AI19+預測IC!AJ19</f>
        <v>0.1573631574987942</v>
      </c>
      <c r="AK19" s="12">
        <f>AJ19+預測IC!AK19</f>
        <v>0.11678163438563122</v>
      </c>
      <c r="AL19" s="12">
        <f>AK19+預測IC!AL19</f>
        <v>0.18705258005643677</v>
      </c>
      <c r="AM19" s="12">
        <f>AL19+預測IC!AM19</f>
        <v>0.12592844900259006</v>
      </c>
      <c r="AN19" s="12">
        <f>AM19+預測IC!AN19</f>
        <v>0.1156889007328769</v>
      </c>
      <c r="AO19" s="12">
        <f>AN19+預測IC!AO19</f>
        <v>0.1415818037782913</v>
      </c>
      <c r="AP19" s="12">
        <f>AO19+預測IC!AP19</f>
        <v>0.1318688037782913</v>
      </c>
      <c r="AQ19" s="12">
        <f>AP19+預測IC!AQ19</f>
        <v>7.6940970444957957E-2</v>
      </c>
      <c r="AR19" s="12">
        <f>AQ19+預測IC!AR19</f>
        <v>0.11808548534053376</v>
      </c>
      <c r="AS19" s="12">
        <f>AR19+預測IC!AS19</f>
        <v>0.12177248534053374</v>
      </c>
      <c r="AT19" s="12">
        <f>AS19+預測IC!AT19</f>
        <v>0.17106746710623505</v>
      </c>
      <c r="AU19" s="12">
        <f>AT19+預測IC!AU19</f>
        <v>0.24749618281988922</v>
      </c>
      <c r="AV19" s="12">
        <f>AU19+預測IC!AV19</f>
        <v>0.19746316212291132</v>
      </c>
      <c r="AW19" s="12">
        <f>AV19+預測IC!AW19</f>
        <v>0.21981933027704781</v>
      </c>
      <c r="AX19" s="12">
        <f>AW19+預測IC!AX19</f>
        <v>0.30002574458746067</v>
      </c>
      <c r="AY19" s="12">
        <f>AX19+預測IC!AY19</f>
        <v>0.32955471498084049</v>
      </c>
      <c r="AZ19" s="12">
        <f>AY19+預測IC!AZ19</f>
        <v>0.14267509681266619</v>
      </c>
      <c r="BA19" s="12">
        <f>AZ19+預測IC!BA19</f>
        <v>0.10831121285859316</v>
      </c>
      <c r="BB19" s="12">
        <f>BA19+預測IC!BB19</f>
        <v>0.31011304619192648</v>
      </c>
      <c r="BC19" s="12">
        <f>BB19+預測IC!BC19</f>
        <v>0.37416853253811222</v>
      </c>
      <c r="BD19" s="12">
        <f>BC19+預測IC!BD19</f>
        <v>0.37409769920477887</v>
      </c>
      <c r="BE19" s="12">
        <f>BD19+預測IC!BE19</f>
        <v>0.42522957316844545</v>
      </c>
      <c r="BF19" s="12">
        <f>BE19+預測IC!BF19</f>
        <v>0.3757939065017788</v>
      </c>
      <c r="BG19" s="12">
        <f>BF19+預測IC!BG19</f>
        <v>0.35945024816893661</v>
      </c>
      <c r="BH19" s="12">
        <f>BG19+預測IC!BH19</f>
        <v>0.36146844987036764</v>
      </c>
      <c r="BI19" s="12">
        <f>BH19+預測IC!BI19</f>
        <v>0.4892670786895863</v>
      </c>
      <c r="BJ19" s="12">
        <f>BI19+預測IC!BJ19</f>
        <v>0.51097438022816555</v>
      </c>
      <c r="BK19" s="12">
        <f>BJ19+預測IC!BK19</f>
        <v>0.45922485413617314</v>
      </c>
      <c r="BL19" s="12">
        <f>BK19+預測IC!BL19</f>
        <v>0.48522068746950647</v>
      </c>
      <c r="BM19" s="12">
        <f>BL19+預測IC!BM19</f>
        <v>0.39706485413617315</v>
      </c>
      <c r="BN19" s="12">
        <f>BM19+預測IC!BN19</f>
        <v>0.32487975441367206</v>
      </c>
      <c r="BO19" s="12">
        <f>BN19+預測IC!BO19</f>
        <v>0.30631925441367208</v>
      </c>
      <c r="BP19" s="12">
        <f>BO19+預測IC!BP19</f>
        <v>0.36913806194780424</v>
      </c>
      <c r="BQ19" s="12">
        <f>BP19+預測IC!BQ19</f>
        <v>0.3790721064021273</v>
      </c>
      <c r="BR19" s="12">
        <f>BQ19+預測IC!BR19</f>
        <v>0.51591134194527277</v>
      </c>
      <c r="BS19" s="12">
        <f>BR19+預測IC!BS19</f>
        <v>0.4916550032007907</v>
      </c>
      <c r="BT19" s="12">
        <f>BS19+預測IC!BT19</f>
        <v>0.50484983653412396</v>
      </c>
      <c r="BU19" s="12">
        <f>BT19+預測IC!BU19</f>
        <v>0.37417900320079067</v>
      </c>
      <c r="BV19" s="12">
        <f>BU19+預測IC!BV19</f>
        <v>0.47426433653412398</v>
      </c>
      <c r="BW19" s="12">
        <f>BV19+預測IC!BW19</f>
        <v>0.77024016986745736</v>
      </c>
      <c r="BX19" s="12">
        <f>BW19+預測IC!BX19</f>
        <v>0.82507045142777424</v>
      </c>
      <c r="BY19" s="12">
        <f>BX19+預測IC!BY19</f>
        <v>0.93272018798342249</v>
      </c>
      <c r="BZ19" s="12">
        <f>BY19+預測IC!BZ19</f>
        <v>1.0774628546500891</v>
      </c>
      <c r="CA19" s="12">
        <f>BZ19+預測IC!CA19</f>
        <v>1.0481340994263146</v>
      </c>
      <c r="CB19" s="12">
        <f>CA19+預測IC!CB19</f>
        <v>1.0961752679345595</v>
      </c>
      <c r="CC19" s="12">
        <f>CB19+預測IC!CC19</f>
        <v>1.1186809346012263</v>
      </c>
      <c r="CD19" s="12">
        <f>CC19+預測IC!CD19</f>
        <v>1.206345101267893</v>
      </c>
      <c r="CE19" s="12">
        <f>CD19+預測IC!CE19</f>
        <v>1.2948192679345596</v>
      </c>
      <c r="CF19" s="12">
        <f>CE19+預測IC!CF19</f>
        <v>1.183120601267893</v>
      </c>
      <c r="CG19" s="12">
        <f>CF19+預測IC!CG19</f>
        <v>1.4470146012678931</v>
      </c>
      <c r="CH19" s="12">
        <f>CG19+預測IC!CH19</f>
        <v>1.4394547679345597</v>
      </c>
      <c r="CI19" s="12">
        <f>CH19+預測IC!CI19</f>
        <v>1.274254101267893</v>
      </c>
      <c r="CJ19" s="12">
        <f>CI19+預測IC!CJ19</f>
        <v>1.3361946012339292</v>
      </c>
      <c r="CK19" s="12">
        <f>CJ19+預測IC!CK19</f>
        <v>1.4401623190510273</v>
      </c>
      <c r="CL19" s="12">
        <f>CK19+預測IC!CL19</f>
        <v>1.3969220390762374</v>
      </c>
      <c r="CM19" s="12">
        <f>CL19+預測IC!CM19</f>
        <v>1.2866868724095706</v>
      </c>
      <c r="CN19" s="12">
        <f>CM19+預測IC!CN19</f>
        <v>1.3636195270768741</v>
      </c>
      <c r="CO19" s="12">
        <f>CN19+預測IC!CO19</f>
        <v>1.1974729693015935</v>
      </c>
      <c r="CP19" s="12">
        <f>CO19+預測IC!CP19</f>
        <v>1.3565055682839262</v>
      </c>
      <c r="CQ19" s="12">
        <f>CP19+預測IC!CQ19</f>
        <v>1.3537756601293642</v>
      </c>
      <c r="CR19" s="12">
        <f>CQ19+預測IC!CR19</f>
        <v>1.3780761601293643</v>
      </c>
      <c r="CS19" s="12">
        <f>CR19+預測IC!CS19</f>
        <v>1.3173753092308262</v>
      </c>
      <c r="CT19" s="12">
        <f>CS19+預測IC!CT19</f>
        <v>1.2894346720458294</v>
      </c>
      <c r="CU19" s="12">
        <f>CT19+預測IC!CU19</f>
        <v>1.3728710691597223</v>
      </c>
      <c r="CV19" s="12">
        <f>CU19+預測IC!CV19</f>
        <v>1.4674240771311013</v>
      </c>
      <c r="CW19" s="12">
        <f>CV19+預測IC!CW19</f>
        <v>1.5279399557041387</v>
      </c>
      <c r="CX19" s="12">
        <f>CW19+預測IC!CX19</f>
        <v>1.4703052293359538</v>
      </c>
      <c r="CY19" s="12">
        <f>CX19+預測IC!CY19</f>
        <v>1.5412270989003234</v>
      </c>
      <c r="CZ19" s="12">
        <f>CY19+預測IC!CZ19</f>
        <v>1.4283752702588595</v>
      </c>
      <c r="DA19" s="12">
        <f>CZ19+預測IC!DA19</f>
        <v>1.4865991469620963</v>
      </c>
      <c r="DB19" s="12">
        <f>DA19+預測IC!DB19</f>
        <v>1.7727376008634026</v>
      </c>
      <c r="DC19" s="12">
        <f>DB19+預測IC!DC19</f>
        <v>1.7071500161255058</v>
      </c>
      <c r="DD19" s="12">
        <f>DC19+預測IC!DD19</f>
        <v>1.7009488908706769</v>
      </c>
      <c r="DE19" s="12">
        <f>DD19+預測IC!DE19</f>
        <v>1.694943390870677</v>
      </c>
      <c r="DF19" s="12">
        <f>DE19+預測IC!DF19</f>
        <v>1.4894405575373437</v>
      </c>
      <c r="DG19" s="12">
        <f>DF19+預測IC!DG19</f>
        <v>1.6159313553748651</v>
      </c>
      <c r="DH19" s="12">
        <f>DG19+預測IC!DH19</f>
        <v>1.5727107498916137</v>
      </c>
      <c r="DI19" s="12">
        <f>DH19+預測IC!DI19</f>
        <v>1.5140637168803452</v>
      </c>
      <c r="DJ19" s="12">
        <f>DI19+預測IC!DJ19</f>
        <v>1.4335633835470118</v>
      </c>
      <c r="DK19" s="12">
        <f>DJ19+預測IC!DK19</f>
        <v>1.5550040502136786</v>
      </c>
      <c r="DL19" s="12">
        <f>DK19+預測IC!DL19</f>
        <v>1.5783168835470118</v>
      </c>
      <c r="DM19" s="12">
        <f>DL19+預測IC!DM19</f>
        <v>1.5210170502136786</v>
      </c>
      <c r="DN19" s="12">
        <f>DM19+預測IC!DN19</f>
        <v>1.3470887484851304</v>
      </c>
      <c r="DO19" s="12">
        <f>DN19+預測IC!DO19</f>
        <v>1.2919621850851866</v>
      </c>
      <c r="DP19" s="12">
        <f>DO19+預測IC!DP19</f>
        <v>1.4622303157651486</v>
      </c>
      <c r="DQ19" s="12">
        <f>DP19+預測IC!DQ19</f>
        <v>1.5128528157651486</v>
      </c>
      <c r="DR19" s="12">
        <f>DQ19+預測IC!DR19</f>
        <v>1.5888151690901968</v>
      </c>
      <c r="DS19" s="12">
        <f>DR19+預測IC!DS19</f>
        <v>1.5831368357568636</v>
      </c>
      <c r="DT19" s="12">
        <f>DS19+預測IC!DT19</f>
        <v>1.5800603357568637</v>
      </c>
      <c r="DU19" s="12">
        <f>DT19+預測IC!DU19</f>
        <v>1.7306428357568637</v>
      </c>
      <c r="DV19" s="12">
        <f>DU19+預測IC!DV19</f>
        <v>1.6191181293162593</v>
      </c>
      <c r="DW19" s="12">
        <f>DV19+預測IC!DW19</f>
        <v>1.7204151293162593</v>
      </c>
      <c r="DX19" s="12">
        <f>DW19+預測IC!DX19</f>
        <v>1.858780263554437</v>
      </c>
      <c r="DY19" s="12">
        <f>DX19+預測IC!DY19</f>
        <v>1.788670685866514</v>
      </c>
      <c r="DZ19" s="12">
        <f>DY19+預測IC!DZ19</f>
        <v>1.900591514730507</v>
      </c>
      <c r="EA19" s="12">
        <f>DZ19+預測IC!EA19</f>
        <v>1.9286708682061744</v>
      </c>
      <c r="EB19" s="12">
        <f>EA19+預測IC!EB19</f>
        <v>1.9068980981933958</v>
      </c>
      <c r="EC19" s="12">
        <f>EB19+預測IC!EC19</f>
        <v>2.0506723010184049</v>
      </c>
      <c r="ED19" s="12">
        <f>EC19+預測IC!ED19</f>
        <v>2.2016076180085618</v>
      </c>
      <c r="EE19" s="12">
        <f>ED19+預測IC!EE19</f>
        <v>2.1943012846752286</v>
      </c>
      <c r="EF19" s="12">
        <f>EE19+預測IC!EF19</f>
        <v>2.1773233298004593</v>
      </c>
    </row>
    <row r="20" spans="1:136">
      <c r="A20" s="2"/>
      <c r="B20" s="2" t="s">
        <v>197</v>
      </c>
      <c r="C20" s="12">
        <v>0.20155100000000001</v>
      </c>
      <c r="D20" s="12">
        <f>C20+預測IC!D20</f>
        <v>0.20190271826374556</v>
      </c>
      <c r="E20" s="12">
        <f>D20+預測IC!E20</f>
        <v>0.25923791826374554</v>
      </c>
      <c r="F20" s="12">
        <f>E20+預測IC!F20</f>
        <v>0.46476918259691974</v>
      </c>
      <c r="G20" s="12">
        <f>F20+預測IC!G20</f>
        <v>0.34758604130798065</v>
      </c>
      <c r="H20" s="12">
        <f>G20+預測IC!H20</f>
        <v>0.49151824130798066</v>
      </c>
      <c r="I20" s="12">
        <f>H20+預測IC!I20</f>
        <v>0.33336867870687897</v>
      </c>
      <c r="J20" s="12">
        <f>I20+預測IC!J20</f>
        <v>0.20016247870687898</v>
      </c>
      <c r="K20" s="12">
        <f>J20+預測IC!K20</f>
        <v>0.41488698246796074</v>
      </c>
      <c r="L20" s="12">
        <f>K20+預測IC!L20</f>
        <v>0.42388675380914909</v>
      </c>
      <c r="M20" s="12">
        <f>L20+預測IC!M20</f>
        <v>0.32375333944506307</v>
      </c>
      <c r="N20" s="12">
        <f>M20+預測IC!N20</f>
        <v>0.15560975125551918</v>
      </c>
      <c r="O20" s="12">
        <f>N20+預測IC!O20</f>
        <v>0.20547463732479332</v>
      </c>
      <c r="P20" s="12">
        <f>O20+預測IC!P20</f>
        <v>0.24861331621332083</v>
      </c>
      <c r="Q20" s="12">
        <f>P20+預測IC!Q20</f>
        <v>0.14156799476259274</v>
      </c>
      <c r="R20" s="12">
        <f>Q20+預測IC!R20</f>
        <v>-4.9374472226921151E-2</v>
      </c>
      <c r="S20" s="12">
        <f>R20+預測IC!S20</f>
        <v>0.10580814610082145</v>
      </c>
      <c r="T20" s="12">
        <f>S20+預測IC!T20</f>
        <v>0.19127360183863684</v>
      </c>
      <c r="U20" s="12">
        <f>T20+預測IC!U20</f>
        <v>0.22350860183863686</v>
      </c>
      <c r="V20" s="12">
        <f>U20+預測IC!V20</f>
        <v>0.11999099863401935</v>
      </c>
      <c r="W20" s="12">
        <f>V20+預測IC!W20</f>
        <v>0.29307637481160026</v>
      </c>
      <c r="X20" s="12">
        <f>W20+預測IC!X20</f>
        <v>0.44177357606873385</v>
      </c>
      <c r="Y20" s="12">
        <f>X20+預測IC!Y20</f>
        <v>0.31280853718636004</v>
      </c>
      <c r="Z20" s="12">
        <f>Y20+預測IC!Z20</f>
        <v>0.23878136892840546</v>
      </c>
      <c r="AA20" s="12">
        <f>Z20+預測IC!AA20</f>
        <v>0.26037592231570256</v>
      </c>
      <c r="AB20" s="12">
        <f>AA20+預測IC!AB20</f>
        <v>0.29327446763592879</v>
      </c>
      <c r="AC20" s="12">
        <f>AB20+預測IC!AC20</f>
        <v>0.24602620490796132</v>
      </c>
      <c r="AD20" s="12">
        <f>AC20+預測IC!AD20</f>
        <v>0.21157230205613162</v>
      </c>
      <c r="AE20" s="12">
        <f>AD20+預測IC!AE20</f>
        <v>0.19426210205613162</v>
      </c>
      <c r="AF20" s="12">
        <f>AE20+預測IC!AF20</f>
        <v>0.23330678044371159</v>
      </c>
      <c r="AG20" s="12">
        <f>AF20+預測IC!AG20</f>
        <v>0.26547002932538805</v>
      </c>
      <c r="AH20" s="12">
        <f>AG20+預測IC!AH20</f>
        <v>4.8827576677027251E-2</v>
      </c>
      <c r="AI20" s="12">
        <f>AH20+預測IC!AI20</f>
        <v>-3.4451777073696149E-2</v>
      </c>
      <c r="AJ20" s="12">
        <f>AI20+預測IC!AJ20</f>
        <v>2.7538257473851489E-2</v>
      </c>
      <c r="AK20" s="12">
        <f>AJ20+預測IC!AK20</f>
        <v>1.9289742411238535E-2</v>
      </c>
      <c r="AL20" s="12">
        <f>AK20+預測IC!AL20</f>
        <v>9.2183194448215489E-2</v>
      </c>
      <c r="AM20" s="12">
        <f>AL20+預測IC!AM20</f>
        <v>2.465333465988831E-2</v>
      </c>
      <c r="AN20" s="12">
        <f>AM20+預測IC!AN20</f>
        <v>5.9097853648733781E-2</v>
      </c>
      <c r="AO20" s="12">
        <f>AN20+預測IC!AO20</f>
        <v>0.10438293561342217</v>
      </c>
      <c r="AP20" s="12">
        <f>AO20+預測IC!AP20</f>
        <v>9.1777335613422176E-2</v>
      </c>
      <c r="AQ20" s="12">
        <f>AP20+預測IC!AQ20</f>
        <v>0.1646759356134222</v>
      </c>
      <c r="AR20" s="12">
        <f>AQ20+預測IC!AR20</f>
        <v>0.19441493546372318</v>
      </c>
      <c r="AS20" s="12">
        <f>AR20+預測IC!AS20</f>
        <v>0.21155773546372317</v>
      </c>
      <c r="AT20" s="12">
        <f>AS20+預測IC!AT20</f>
        <v>0.21741650922392894</v>
      </c>
      <c r="AU20" s="12">
        <f>AT20+預測IC!AU20</f>
        <v>0.29310889611905477</v>
      </c>
      <c r="AV20" s="12">
        <f>AU20+預測IC!AV20</f>
        <v>0.23848318233657656</v>
      </c>
      <c r="AW20" s="12">
        <f>AV20+預測IC!AW20</f>
        <v>0.24534845051572751</v>
      </c>
      <c r="AX20" s="12">
        <f>AW20+預測IC!AX20</f>
        <v>0.35608099851442909</v>
      </c>
      <c r="AY20" s="12">
        <f>AX20+預測IC!AY20</f>
        <v>0.39475569695733853</v>
      </c>
      <c r="AZ20" s="12">
        <f>AY20+預測IC!AZ20</f>
        <v>0.18095326578024984</v>
      </c>
      <c r="BA20" s="12">
        <f>AZ20+預測IC!BA20</f>
        <v>0.14415440091970932</v>
      </c>
      <c r="BB20" s="12">
        <f>BA20+預測IC!BB20</f>
        <v>0.37536780091970934</v>
      </c>
      <c r="BC20" s="12">
        <f>BB20+預測IC!BC20</f>
        <v>0.44597336859744952</v>
      </c>
      <c r="BD20" s="12">
        <f>BC20+預測IC!BD20</f>
        <v>0.45433696859744954</v>
      </c>
      <c r="BE20" s="12">
        <f>BD20+預測IC!BE20</f>
        <v>0.44839017145818921</v>
      </c>
      <c r="BF20" s="12">
        <f>BE20+預測IC!BF20</f>
        <v>0.39317437145818923</v>
      </c>
      <c r="BG20" s="12">
        <f>BF20+預測IC!BG20</f>
        <v>0.38624822874949583</v>
      </c>
      <c r="BH20" s="12">
        <f>BG20+預測IC!BH20</f>
        <v>0.31464178163538481</v>
      </c>
      <c r="BI20" s="12">
        <f>BH20+預測IC!BI20</f>
        <v>0.44638704872055968</v>
      </c>
      <c r="BJ20" s="12">
        <f>BI20+預測IC!BJ20</f>
        <v>0.4680165605537463</v>
      </c>
      <c r="BK20" s="12">
        <f>BJ20+預測IC!BK20</f>
        <v>0.40878339271091901</v>
      </c>
      <c r="BL20" s="12">
        <f>BK20+預測IC!BL20</f>
        <v>0.42856679271091902</v>
      </c>
      <c r="BM20" s="12">
        <f>BL20+預測IC!BM20</f>
        <v>0.37401139271091904</v>
      </c>
      <c r="BN20" s="12">
        <f>BM20+預測IC!BN20</f>
        <v>0.28834676126973863</v>
      </c>
      <c r="BO20" s="12">
        <f>BN20+預測IC!BO20</f>
        <v>0.28073816126973861</v>
      </c>
      <c r="BP20" s="12">
        <f>BO20+預測IC!BP20</f>
        <v>0.34114568203269358</v>
      </c>
      <c r="BQ20" s="12">
        <f>BP20+預測IC!BQ20</f>
        <v>0.3565973889935366</v>
      </c>
      <c r="BR20" s="12">
        <f>BQ20+預測IC!BR20</f>
        <v>0.53772447046519822</v>
      </c>
      <c r="BS20" s="12">
        <f>BR20+預測IC!BS20</f>
        <v>0.54313197665638935</v>
      </c>
      <c r="BT20" s="12">
        <f>BS20+預測IC!BT20</f>
        <v>0.59560057665638932</v>
      </c>
      <c r="BU20" s="12">
        <f>BT20+預測IC!BU20</f>
        <v>0.44615957665638933</v>
      </c>
      <c r="BV20" s="12">
        <f>BU20+預測IC!BV20</f>
        <v>0.57986937665638938</v>
      </c>
      <c r="BW20" s="12">
        <f>BV20+預測IC!BW20</f>
        <v>0.92191157665638945</v>
      </c>
      <c r="BX20" s="12">
        <f>BW20+預測IC!BX20</f>
        <v>0.97989959493242018</v>
      </c>
      <c r="BY20" s="12">
        <f>BX20+預測IC!BY20</f>
        <v>1.0851335613017237</v>
      </c>
      <c r="BZ20" s="12">
        <f>BY20+預測IC!BZ20</f>
        <v>1.2698593613017237</v>
      </c>
      <c r="CA20" s="12">
        <f>BZ20+預測IC!CA20</f>
        <v>1.2297566332499708</v>
      </c>
      <c r="CB20" s="12">
        <f>CA20+預測IC!CB20</f>
        <v>1.2680085832608987</v>
      </c>
      <c r="CC20" s="12">
        <f>CB20+預測IC!CC20</f>
        <v>1.2809233832608986</v>
      </c>
      <c r="CD20" s="12">
        <f>CC20+預測IC!CD20</f>
        <v>1.3769869832608985</v>
      </c>
      <c r="CE20" s="12">
        <f>CD20+預測IC!CE20</f>
        <v>1.4627643832608985</v>
      </c>
      <c r="CF20" s="12">
        <f>CE20+預測IC!CF20</f>
        <v>1.3315559832608985</v>
      </c>
      <c r="CG20" s="12">
        <f>CF20+預測IC!CG20</f>
        <v>1.6534953832608985</v>
      </c>
      <c r="CH20" s="12">
        <f>CG20+預測IC!CH20</f>
        <v>1.7026891832608986</v>
      </c>
      <c r="CI20" s="12">
        <f>CH20+預測IC!CI20</f>
        <v>1.5712053832608985</v>
      </c>
      <c r="CJ20" s="12">
        <f>CI20+預測IC!CJ20</f>
        <v>1.6946457031482496</v>
      </c>
      <c r="CK20" s="12">
        <f>CJ20+預測IC!CK20</f>
        <v>1.7856240998983561</v>
      </c>
      <c r="CL20" s="12">
        <f>CK20+預測IC!CL20</f>
        <v>1.6934391657092271</v>
      </c>
      <c r="CM20" s="12">
        <f>CL20+預測IC!CM20</f>
        <v>1.5966649657092271</v>
      </c>
      <c r="CN20" s="12">
        <f>CM20+預測IC!CN20</f>
        <v>1.5745055543387425</v>
      </c>
      <c r="CO20" s="12">
        <f>CN20+預測IC!CO20</f>
        <v>1.3459873511572016</v>
      </c>
      <c r="CP20" s="12">
        <f>CO20+預測IC!CP20</f>
        <v>1.538018556266229</v>
      </c>
      <c r="CQ20" s="12">
        <f>CP20+預測IC!CQ20</f>
        <v>1.5441299141952911</v>
      </c>
      <c r="CR20" s="12">
        <f>CQ20+預測IC!CR20</f>
        <v>1.5694941141952912</v>
      </c>
      <c r="CS20" s="12">
        <f>CR20+預測IC!CS20</f>
        <v>1.4811298371830297</v>
      </c>
      <c r="CT20" s="12">
        <f>CS20+預測IC!CT20</f>
        <v>1.4630531264031947</v>
      </c>
      <c r="CU20" s="12">
        <f>CT20+預測IC!CU20</f>
        <v>1.5579207846697072</v>
      </c>
      <c r="CV20" s="12">
        <f>CU20+預測IC!CV20</f>
        <v>1.6771349128823918</v>
      </c>
      <c r="CW20" s="12">
        <f>CV20+預測IC!CW20</f>
        <v>1.7450386210572373</v>
      </c>
      <c r="CX20" s="12">
        <f>CW20+預測IC!CX20</f>
        <v>1.6547400701894728</v>
      </c>
      <c r="CY20" s="12">
        <f>CX20+預測IC!CY20</f>
        <v>1.6672198028577696</v>
      </c>
      <c r="CZ20" s="12">
        <f>CY20+預測IC!CZ20</f>
        <v>1.5120581577085712</v>
      </c>
      <c r="DA20" s="12">
        <f>CZ20+預測IC!DA20</f>
        <v>1.5595300508637489</v>
      </c>
      <c r="DB20" s="12">
        <f>DA20+預測IC!DB20</f>
        <v>1.9420199711301405</v>
      </c>
      <c r="DC20" s="12">
        <f>DB20+預測IC!DC20</f>
        <v>1.9046876599917397</v>
      </c>
      <c r="DD20" s="12">
        <f>DC20+預測IC!DD20</f>
        <v>1.9010904752347895</v>
      </c>
      <c r="DE20" s="12">
        <f>DD20+預測IC!DE20</f>
        <v>1.8706240752347896</v>
      </c>
      <c r="DF20" s="12">
        <f>DE20+預測IC!DF20</f>
        <v>1.6250486752347895</v>
      </c>
      <c r="DG20" s="12">
        <f>DF20+預測IC!DG20</f>
        <v>1.7491219832189107</v>
      </c>
      <c r="DH20" s="12">
        <f>DG20+預測IC!DH20</f>
        <v>1.7010635710334077</v>
      </c>
      <c r="DI20" s="12">
        <f>DH20+預測IC!DI20</f>
        <v>1.6268152354413143</v>
      </c>
      <c r="DJ20" s="12">
        <f>DI20+預測IC!DJ20</f>
        <v>1.5455378354413143</v>
      </c>
      <c r="DK20" s="12">
        <f>DJ20+預測IC!DK20</f>
        <v>1.6307224354413143</v>
      </c>
      <c r="DL20" s="12">
        <f>DK20+預測IC!DL20</f>
        <v>1.6205358354413144</v>
      </c>
      <c r="DM20" s="12">
        <f>DL20+預測IC!DM20</f>
        <v>1.5512000354413145</v>
      </c>
      <c r="DN20" s="12">
        <f>DM20+預測IC!DN20</f>
        <v>1.3679653018201456</v>
      </c>
      <c r="DO20" s="12">
        <f>DN20+預測IC!DO20</f>
        <v>1.3021494999821752</v>
      </c>
      <c r="DP20" s="12">
        <f>DO20+預測IC!DP20</f>
        <v>1.5023049347365645</v>
      </c>
      <c r="DQ20" s="12">
        <f>DP20+預測IC!DQ20</f>
        <v>1.5408439347365643</v>
      </c>
      <c r="DR20" s="12">
        <f>DQ20+預測IC!DR20</f>
        <v>1.6193565947648549</v>
      </c>
      <c r="DS20" s="12">
        <f>DR20+預測IC!DS20</f>
        <v>1.6118645947648549</v>
      </c>
      <c r="DT20" s="12">
        <f>DS20+預測IC!DT20</f>
        <v>1.616693394764855</v>
      </c>
      <c r="DU20" s="12">
        <f>DT20+預測IC!DU20</f>
        <v>1.7930691947648549</v>
      </c>
      <c r="DV20" s="12">
        <f>DU20+預測IC!DV20</f>
        <v>1.6637237229259962</v>
      </c>
      <c r="DW20" s="12">
        <f>DV20+預測IC!DW20</f>
        <v>1.7672703229259963</v>
      </c>
      <c r="DX20" s="12">
        <f>DW20+預測IC!DX20</f>
        <v>1.921136652532311</v>
      </c>
      <c r="DY20" s="12">
        <f>DX20+預測IC!DY20</f>
        <v>1.8675180431806622</v>
      </c>
      <c r="DZ20" s="12">
        <f>DY20+預測IC!DZ20</f>
        <v>1.9519926214903542</v>
      </c>
      <c r="EA20" s="12">
        <f>DZ20+預測IC!EA20</f>
        <v>1.9370755960627304</v>
      </c>
      <c r="EB20" s="12">
        <f>EA20+預測IC!EB20</f>
        <v>1.8980079627117652</v>
      </c>
      <c r="EC20" s="12">
        <f>EB20+預測IC!EC20</f>
        <v>2.0290141084738327</v>
      </c>
      <c r="ED20" s="12">
        <f>EC20+預測IC!ED20</f>
        <v>2.2059329695408429</v>
      </c>
      <c r="EE20" s="12">
        <f>ED20+預測IC!EE20</f>
        <v>2.204191369540843</v>
      </c>
      <c r="EF20" s="12">
        <f>EE20+預測IC!EF20</f>
        <v>2.1839099529249357</v>
      </c>
    </row>
    <row r="21" spans="1:136">
      <c r="A21" s="2"/>
      <c r="B21" s="2" t="s">
        <v>198</v>
      </c>
      <c r="C21" s="12">
        <v>0.2146305</v>
      </c>
      <c r="D21" s="12">
        <f>C21+預測IC!D21</f>
        <v>0.21426279060484082</v>
      </c>
      <c r="E21" s="12">
        <f>D21+預測IC!E21</f>
        <v>0.20057129060484083</v>
      </c>
      <c r="F21" s="12">
        <f>E21+預測IC!F21</f>
        <v>0.38460987221097082</v>
      </c>
      <c r="G21" s="12">
        <f>F21+預測IC!G21</f>
        <v>0.24076772109840633</v>
      </c>
      <c r="H21" s="12">
        <f>G21+預測IC!H21</f>
        <v>0.40293172109840636</v>
      </c>
      <c r="I21" s="12">
        <f>H21+預測IC!I21</f>
        <v>0.2556761129709334</v>
      </c>
      <c r="J21" s="12">
        <f>I21+預測IC!J21</f>
        <v>0.11893461297093341</v>
      </c>
      <c r="K21" s="12">
        <f>J21+預測IC!K21</f>
        <v>0.32581463897432894</v>
      </c>
      <c r="L21" s="12">
        <f>K21+預測IC!L21</f>
        <v>0.38304080583927336</v>
      </c>
      <c r="M21" s="12">
        <f>L21+預測IC!M21</f>
        <v>0.30738015591251283</v>
      </c>
      <c r="N21" s="12">
        <f>M21+預測IC!N21</f>
        <v>0.16832948005171303</v>
      </c>
      <c r="O21" s="12">
        <f>N21+預測IC!O21</f>
        <v>0.20268146951240368</v>
      </c>
      <c r="P21" s="12">
        <f>O21+預測IC!P21</f>
        <v>0.24257319237250641</v>
      </c>
      <c r="Q21" s="12">
        <f>P21+預測IC!Q21</f>
        <v>0.16137782335653306</v>
      </c>
      <c r="R21" s="12">
        <f>Q21+預測IC!R21</f>
        <v>1.8685732633211743E-2</v>
      </c>
      <c r="S21" s="12">
        <f>R21+預測IC!S21</f>
        <v>0.14727601808316873</v>
      </c>
      <c r="T21" s="12">
        <f>S21+預測IC!T21</f>
        <v>0.24573769083996616</v>
      </c>
      <c r="U21" s="12">
        <f>T21+預測IC!U21</f>
        <v>0.23591094083996617</v>
      </c>
      <c r="V21" s="12">
        <f>U21+預測IC!V21</f>
        <v>0.13054017045061156</v>
      </c>
      <c r="W21" s="12">
        <f>V21+預測IC!W21</f>
        <v>0.28832865006607417</v>
      </c>
      <c r="X21" s="12">
        <f>W21+預測IC!X21</f>
        <v>0.48566582864972085</v>
      </c>
      <c r="Y21" s="12">
        <f>X21+預測IC!Y21</f>
        <v>0.39293660470351643</v>
      </c>
      <c r="Z21" s="12">
        <f>Y21+預測IC!Z21</f>
        <v>0.28355640355575285</v>
      </c>
      <c r="AA21" s="12">
        <f>Z21+預測IC!AA21</f>
        <v>0.26406536001565889</v>
      </c>
      <c r="AB21" s="12">
        <f>AA21+預測IC!AB21</f>
        <v>0.28602130390479308</v>
      </c>
      <c r="AC21" s="12">
        <f>AB21+預測IC!AC21</f>
        <v>0.26719356719799292</v>
      </c>
      <c r="AD21" s="12">
        <f>AC21+預測IC!AD21</f>
        <v>0.22049614264524731</v>
      </c>
      <c r="AE21" s="12">
        <f>AD21+預測IC!AE21</f>
        <v>0.21018539264524733</v>
      </c>
      <c r="AF21" s="12">
        <f>AE21+預測IC!AF21</f>
        <v>0.26331100253181033</v>
      </c>
      <c r="AG21" s="12">
        <f>AF21+預測IC!AG21</f>
        <v>0.27435757463825422</v>
      </c>
      <c r="AH21" s="12">
        <f>AG21+預測IC!AH21</f>
        <v>3.4006318979487415E-2</v>
      </c>
      <c r="AI21" s="12">
        <f>AH21+預測IC!AI21</f>
        <v>-3.3723361615663611E-2</v>
      </c>
      <c r="AJ21" s="12">
        <f>AI21+預測IC!AJ21</f>
        <v>3.6681980330805081E-2</v>
      </c>
      <c r="AK21" s="12">
        <f>AJ21+預測IC!AK21</f>
        <v>5.500034924011768E-2</v>
      </c>
      <c r="AL21" s="12">
        <f>AK21+預測IC!AL21</f>
        <v>0.12038017197322831</v>
      </c>
      <c r="AM21" s="12">
        <f>AL21+預測IC!AM21</f>
        <v>0.18350588998071177</v>
      </c>
      <c r="AN21" s="12">
        <f>AM21+預測IC!AN21</f>
        <v>0.20529491952653242</v>
      </c>
      <c r="AO21" s="12">
        <f>AN21+預測IC!AO21</f>
        <v>0.25302131517025905</v>
      </c>
      <c r="AP21" s="12">
        <f>AO21+預測IC!AP21</f>
        <v>0.23407756517025904</v>
      </c>
      <c r="AQ21" s="12">
        <f>AP21+預測IC!AQ21</f>
        <v>0.36730156517025903</v>
      </c>
      <c r="AR21" s="12">
        <f>AQ21+預測IC!AR21</f>
        <v>0.40149946580108314</v>
      </c>
      <c r="AS21" s="12">
        <f>AR21+預測IC!AS21</f>
        <v>0.38445146580108314</v>
      </c>
      <c r="AT21" s="12">
        <f>AS21+預測IC!AT21</f>
        <v>0.38195855452392807</v>
      </c>
      <c r="AU21" s="12">
        <f>AT21+預測IC!AU21</f>
        <v>0.42976818603288508</v>
      </c>
      <c r="AV21" s="12">
        <f>AU21+預測IC!AV21</f>
        <v>0.37424740597075135</v>
      </c>
      <c r="AW21" s="12">
        <f>AV21+預測IC!AW21</f>
        <v>0.38403843592484876</v>
      </c>
      <c r="AX21" s="12">
        <f>AW21+預測IC!AX21</f>
        <v>0.52718612339460547</v>
      </c>
      <c r="AY21" s="12">
        <f>AX21+預測IC!AY21</f>
        <v>0.57420741437264344</v>
      </c>
      <c r="AZ21" s="12">
        <f>AY21+預測IC!AZ21</f>
        <v>0.31929614447550703</v>
      </c>
      <c r="BA21" s="12">
        <f>AZ21+預測IC!BA21</f>
        <v>0.24826396282742119</v>
      </c>
      <c r="BB21" s="12">
        <f>BA21+預測IC!BB21</f>
        <v>0.5427772128274212</v>
      </c>
      <c r="BC21" s="12">
        <f>BB21+預測IC!BC21</f>
        <v>0.5810983605526151</v>
      </c>
      <c r="BD21" s="12">
        <f>BC21+預測IC!BD21</f>
        <v>0.61932086055261515</v>
      </c>
      <c r="BE21" s="12">
        <f>BD21+預測IC!BE21</f>
        <v>0.62567139395001659</v>
      </c>
      <c r="BF21" s="12">
        <f>BE21+預測IC!BF21</f>
        <v>0.56338164395001655</v>
      </c>
      <c r="BG21" s="12">
        <f>BF21+預測IC!BG21</f>
        <v>0.60001683316682919</v>
      </c>
      <c r="BH21" s="12">
        <f>BG21+預測IC!BH21</f>
        <v>0.52369547002807393</v>
      </c>
      <c r="BI21" s="12">
        <f>BH21+預測IC!BI21</f>
        <v>0.68966506620646573</v>
      </c>
      <c r="BJ21" s="12">
        <f>BI21+預測IC!BJ21</f>
        <v>0.71324409238818343</v>
      </c>
      <c r="BK21" s="12">
        <f>BJ21+預測IC!BK21</f>
        <v>0.64479421200864862</v>
      </c>
      <c r="BL21" s="12">
        <f>BK21+預測IC!BL21</f>
        <v>0.64854721200864862</v>
      </c>
      <c r="BM21" s="12">
        <f>BL21+預測IC!BM21</f>
        <v>0.55357746200864866</v>
      </c>
      <c r="BN21" s="12">
        <f>BM21+預測IC!BN21</f>
        <v>0.36532995941626067</v>
      </c>
      <c r="BO21" s="12">
        <f>BN21+預測IC!BO21</f>
        <v>0.38033670941626069</v>
      </c>
      <c r="BP21" s="12">
        <f>BO21+預測IC!BP21</f>
        <v>0.484845838835675</v>
      </c>
      <c r="BQ21" s="12">
        <f>BP21+預測IC!BQ21</f>
        <v>0.53938806967017983</v>
      </c>
      <c r="BR21" s="12">
        <f>BQ21+預測IC!BR21</f>
        <v>0.68144952558027527</v>
      </c>
      <c r="BS21" s="12">
        <f>BR21+預測IC!BS21</f>
        <v>0.68730969833545141</v>
      </c>
      <c r="BT21" s="12">
        <f>BS21+預測IC!BT21</f>
        <v>0.74813169833545135</v>
      </c>
      <c r="BU21" s="12">
        <f>BT21+預測IC!BU21</f>
        <v>0.57739369833545129</v>
      </c>
      <c r="BV21" s="12">
        <f>BU21+預測IC!BV21</f>
        <v>0.59663394833545125</v>
      </c>
      <c r="BW21" s="12">
        <f>BV21+預測IC!BW21</f>
        <v>0.99876419833545127</v>
      </c>
      <c r="BX21" s="12">
        <f>BW21+預測IC!BX21</f>
        <v>1.0871435331230899</v>
      </c>
      <c r="BY21" s="12">
        <f>BX21+預測IC!BY21</f>
        <v>1.1375233843412065</v>
      </c>
      <c r="BZ21" s="12">
        <f>BY21+預測IC!BZ21</f>
        <v>1.3889258843412065</v>
      </c>
      <c r="CA21" s="12">
        <f>BZ21+預測IC!CA21</f>
        <v>1.328408281038808</v>
      </c>
      <c r="CB21" s="12">
        <f>CA21+預測IC!CB21</f>
        <v>1.3918296722370662</v>
      </c>
      <c r="CC21" s="12">
        <f>CB21+預測IC!CC21</f>
        <v>1.3838101722370661</v>
      </c>
      <c r="CD21" s="12">
        <f>CC21+預測IC!CD21</f>
        <v>1.4682324222370662</v>
      </c>
      <c r="CE21" s="12">
        <f>CD21+預測IC!CE21</f>
        <v>1.5297469222370661</v>
      </c>
      <c r="CF21" s="12">
        <f>CE21+預測IC!CF21</f>
        <v>1.4025789222370662</v>
      </c>
      <c r="CG21" s="12">
        <f>CF21+預測IC!CG21</f>
        <v>1.7227466722370661</v>
      </c>
      <c r="CH21" s="12">
        <f>CG21+預測IC!CH21</f>
        <v>1.6514081722370662</v>
      </c>
      <c r="CI21" s="12">
        <f>CH21+預測IC!CI21</f>
        <v>1.5281159222370662</v>
      </c>
      <c r="CJ21" s="12">
        <f>CI21+預測IC!CJ21</f>
        <v>1.6137436792535684</v>
      </c>
      <c r="CK21" s="12">
        <f>CJ21+預測IC!CK21</f>
        <v>1.7407942259837026</v>
      </c>
      <c r="CL21" s="12">
        <f>CK21+預測IC!CL21</f>
        <v>1.606903801360738</v>
      </c>
      <c r="CM21" s="12">
        <f>CL21+預測IC!CM21</f>
        <v>1.4906735513607379</v>
      </c>
      <c r="CN21" s="12">
        <f>CM21+預測IC!CN21</f>
        <v>1.4601346611569623</v>
      </c>
      <c r="CO21" s="12">
        <f>CN21+預測IC!CO21</f>
        <v>1.2223426800175698</v>
      </c>
      <c r="CP21" s="12">
        <f>CO21+預測IC!CP21</f>
        <v>1.4450427408954825</v>
      </c>
      <c r="CQ21" s="12">
        <f>CP21+預測IC!CQ21</f>
        <v>1.4483308326205733</v>
      </c>
      <c r="CR21" s="12">
        <f>CQ21+預測IC!CR21</f>
        <v>1.4599478326205733</v>
      </c>
      <c r="CS21" s="12">
        <f>CR21+預測IC!CS21</f>
        <v>1.3903014364738016</v>
      </c>
      <c r="CT21" s="12">
        <f>CS21+預測IC!CT21</f>
        <v>1.3042288796024055</v>
      </c>
      <c r="CU21" s="12">
        <f>CT21+預測IC!CU21</f>
        <v>1.3669024397718967</v>
      </c>
      <c r="CV21" s="12">
        <f>CU21+預測IC!CV21</f>
        <v>1.5212342845464693</v>
      </c>
      <c r="CW21" s="12">
        <f>CV21+預測IC!CW21</f>
        <v>1.5595798014181519</v>
      </c>
      <c r="CX21" s="12">
        <f>CW21+預測IC!CX21</f>
        <v>1.4574576257607448</v>
      </c>
      <c r="CY21" s="12">
        <f>CX21+預測IC!CY21</f>
        <v>1.4659395421646593</v>
      </c>
      <c r="CZ21" s="12">
        <f>CY21+預測IC!CZ21</f>
        <v>1.2284881713388291</v>
      </c>
      <c r="DA21" s="12">
        <f>CZ21+預測IC!DA21</f>
        <v>1.2272959148820974</v>
      </c>
      <c r="DB21" s="12">
        <f>DA21+預測IC!DB21</f>
        <v>1.6996466503527743</v>
      </c>
      <c r="DC21" s="12">
        <f>DB21+預測IC!DC21</f>
        <v>1.5457418549830557</v>
      </c>
      <c r="DD21" s="12">
        <f>DC21+預測IC!DD21</f>
        <v>1.542923060591985</v>
      </c>
      <c r="DE21" s="12">
        <f>DD21+預測IC!DE21</f>
        <v>1.4882040605919851</v>
      </c>
      <c r="DF21" s="12">
        <f>DE21+預測IC!DF21</f>
        <v>1.187052310591985</v>
      </c>
      <c r="DG21" s="12">
        <f>DF21+預測IC!DG21</f>
        <v>1.3352372417237146</v>
      </c>
      <c r="DH21" s="12">
        <f>DG21+預測IC!DH21</f>
        <v>1.3455928132255721</v>
      </c>
      <c r="DI21" s="12">
        <f>DH21+預測IC!DI21</f>
        <v>1.2554436105077516</v>
      </c>
      <c r="DJ21" s="12">
        <f>DI21+預測IC!DJ21</f>
        <v>1.1821403605077516</v>
      </c>
      <c r="DK21" s="12">
        <f>DJ21+預測IC!DK21</f>
        <v>1.2730336105077515</v>
      </c>
      <c r="DL21" s="12">
        <f>DK21+預測IC!DL21</f>
        <v>1.2408258605077516</v>
      </c>
      <c r="DM21" s="12">
        <f>DL21+預測IC!DM21</f>
        <v>1.2158376105077515</v>
      </c>
      <c r="DN21" s="12">
        <f>DM21+預測IC!DN21</f>
        <v>0.99554196964322417</v>
      </c>
      <c r="DO21" s="12">
        <f>DN21+預測IC!DO21</f>
        <v>0.91309617731254444</v>
      </c>
      <c r="DP21" s="12">
        <f>DO21+預測IC!DP21</f>
        <v>1.1421160669927792</v>
      </c>
      <c r="DQ21" s="12">
        <f>DP21+預測IC!DQ21</f>
        <v>1.1703313169927791</v>
      </c>
      <c r="DR21" s="12">
        <f>DQ21+預測IC!DR21</f>
        <v>1.2205021760298598</v>
      </c>
      <c r="DS21" s="12">
        <f>DR21+預測IC!DS21</f>
        <v>1.2188284260298599</v>
      </c>
      <c r="DT21" s="12">
        <f>DS21+預測IC!DT21</f>
        <v>1.2091189260298598</v>
      </c>
      <c r="DU21" s="12">
        <f>DT21+預測IC!DU21</f>
        <v>1.3577336760298597</v>
      </c>
      <c r="DV21" s="12">
        <f>DU21+預測IC!DV21</f>
        <v>1.2174576991599817</v>
      </c>
      <c r="DW21" s="12">
        <f>DV21+預測IC!DW21</f>
        <v>1.3209936991599818</v>
      </c>
      <c r="DX21" s="12">
        <f>DW21+預測IC!DX21</f>
        <v>1.5069599131911651</v>
      </c>
      <c r="DY21" s="12">
        <f>DX21+預測IC!DY21</f>
        <v>1.4823639176531491</v>
      </c>
      <c r="DZ21" s="12">
        <f>DY21+預測IC!DZ21</f>
        <v>1.5352079842134381</v>
      </c>
      <c r="EA21" s="12">
        <f>DZ21+預測IC!EA21</f>
        <v>1.5600735066618663</v>
      </c>
      <c r="EB21" s="12">
        <f>EA21+預測IC!EB21</f>
        <v>1.5516653604912805</v>
      </c>
      <c r="EC21" s="12">
        <f>EB21+預測IC!EC21</f>
        <v>1.6917593784435063</v>
      </c>
      <c r="ED21" s="12">
        <f>EC21+預測IC!ED21</f>
        <v>1.7462582347916871</v>
      </c>
      <c r="EE21" s="12">
        <f>ED21+預測IC!EE21</f>
        <v>1.767568234791687</v>
      </c>
      <c r="EF21" s="12">
        <f>EE21+預測IC!EF21</f>
        <v>1.7863394988338062</v>
      </c>
    </row>
    <row r="22" spans="1:136">
      <c r="A22" s="2"/>
      <c r="B22" s="2" t="s">
        <v>199</v>
      </c>
      <c r="C22" s="12">
        <v>0.20528266666666661</v>
      </c>
      <c r="D22" s="12">
        <f>C22+預測IC!D22</f>
        <v>0.16060176976318008</v>
      </c>
      <c r="E22" s="12">
        <f>D22+預測IC!E22</f>
        <v>0.14324510309651342</v>
      </c>
      <c r="F22" s="12">
        <f>E22+預測IC!F22</f>
        <v>0.211076164017791</v>
      </c>
      <c r="G22" s="12">
        <f>F22+預測IC!G22</f>
        <v>0.1071918007274569</v>
      </c>
      <c r="H22" s="12">
        <f>G22+預測IC!H22</f>
        <v>0.23136980072745689</v>
      </c>
      <c r="I22" s="12">
        <f>H22+預測IC!I22</f>
        <v>0.10787663138938709</v>
      </c>
      <c r="J22" s="12">
        <f>I22+預測IC!J22</f>
        <v>3.6246313893870952E-3</v>
      </c>
      <c r="K22" s="12">
        <f>J22+預測IC!K22</f>
        <v>0.2489905440721428</v>
      </c>
      <c r="L22" s="12">
        <f>K22+預測IC!L22</f>
        <v>0.35647771272338458</v>
      </c>
      <c r="M22" s="12">
        <f>L22+預測IC!M22</f>
        <v>0.58163631778696634</v>
      </c>
      <c r="N22" s="12">
        <f>M22+預測IC!N22</f>
        <v>0.48360545697933355</v>
      </c>
      <c r="O22" s="12">
        <f>N22+預測IC!O22</f>
        <v>0.47688957866796605</v>
      </c>
      <c r="P22" s="12">
        <f>O22+預測IC!P22</f>
        <v>0.51974806718695599</v>
      </c>
      <c r="Q22" s="12">
        <f>P22+預測IC!Q22</f>
        <v>0.43046554908310874</v>
      </c>
      <c r="R22" s="12">
        <f>Q22+預測IC!R22</f>
        <v>0.24978581889182414</v>
      </c>
      <c r="S22" s="12">
        <f>R22+預測IC!S22</f>
        <v>0.41943237444976472</v>
      </c>
      <c r="T22" s="12">
        <f>S22+預測IC!T22</f>
        <v>0.54824479643288759</v>
      </c>
      <c r="U22" s="12">
        <f>T22+預測IC!U22</f>
        <v>0.60072912976622095</v>
      </c>
      <c r="V22" s="12">
        <f>U22+預測IC!V22</f>
        <v>0.54370499513193127</v>
      </c>
      <c r="W22" s="12">
        <f>V22+預測IC!W22</f>
        <v>0.75118526215622872</v>
      </c>
      <c r="X22" s="12">
        <f>W22+預測IC!X22</f>
        <v>0.96608530988579377</v>
      </c>
      <c r="Y22" s="12">
        <f>X22+預測IC!Y22</f>
        <v>0.91814697770602549</v>
      </c>
      <c r="Z22" s="12">
        <f>Y22+預測IC!Z22</f>
        <v>0.76799686778645126</v>
      </c>
      <c r="AA22" s="12">
        <f>Z22+預測IC!AA22</f>
        <v>0.76094885089959452</v>
      </c>
      <c r="AB22" s="12">
        <f>AA22+預測IC!AB22</f>
        <v>0.75708362077425506</v>
      </c>
      <c r="AC22" s="12">
        <f>AB22+預測IC!AC22</f>
        <v>0.67130716005882263</v>
      </c>
      <c r="AD22" s="12">
        <f>AC22+預測IC!AD22</f>
        <v>0.65883985738825013</v>
      </c>
      <c r="AE22" s="12">
        <f>AD22+預測IC!AE22</f>
        <v>0.74398885738825016</v>
      </c>
      <c r="AF22" s="12">
        <f>AE22+預測IC!AF22</f>
        <v>0.79117117354627431</v>
      </c>
      <c r="AG22" s="12">
        <f>AF22+預測IC!AG22</f>
        <v>0.80198327411311665</v>
      </c>
      <c r="AH22" s="12">
        <f>AG22+預測IC!AH22</f>
        <v>0.55436102794971531</v>
      </c>
      <c r="AI22" s="12">
        <f>AH22+預測IC!AI22</f>
        <v>0.48696812693852926</v>
      </c>
      <c r="AJ22" s="12">
        <f>AI22+預測IC!AJ22</f>
        <v>0.51866797626493755</v>
      </c>
      <c r="AK22" s="12">
        <f>AJ22+預測IC!AK22</f>
        <v>0.59724374496985178</v>
      </c>
      <c r="AL22" s="12">
        <f>AK22+預測IC!AL22</f>
        <v>0.63758471177675213</v>
      </c>
      <c r="AM22" s="12">
        <f>AL22+預測IC!AM22</f>
        <v>0.6939584661403797</v>
      </c>
      <c r="AN22" s="12">
        <f>AM22+預測IC!AN22</f>
        <v>0.72181903302577555</v>
      </c>
      <c r="AO22" s="12">
        <f>AN22+預測IC!AO22</f>
        <v>0.7965364064194812</v>
      </c>
      <c r="AP22" s="12">
        <f>AO22+預測IC!AP22</f>
        <v>0.77604307308614784</v>
      </c>
      <c r="AQ22" s="12">
        <f>AP22+預測IC!AQ22</f>
        <v>0.88617240641948114</v>
      </c>
      <c r="AR22" s="12">
        <f>AQ22+預測IC!AR22</f>
        <v>0.99435610696771759</v>
      </c>
      <c r="AS22" s="12">
        <f>AR22+預測IC!AS22</f>
        <v>0.82976544030105093</v>
      </c>
      <c r="AT22" s="12">
        <f>AS22+預測IC!AT22</f>
        <v>0.8046290784610246</v>
      </c>
      <c r="AU22" s="12">
        <f>AT22+預測IC!AU22</f>
        <v>0.83812953037189453</v>
      </c>
      <c r="AV22" s="12">
        <f>AU22+預測IC!AV22</f>
        <v>0.7783163536960146</v>
      </c>
      <c r="AW22" s="12">
        <f>AV22+預測IC!AW22</f>
        <v>0.74816696448900566</v>
      </c>
      <c r="AX22" s="12">
        <f>AW22+預測IC!AX22</f>
        <v>0.92193036446902987</v>
      </c>
      <c r="AY22" s="12">
        <f>AX22+預測IC!AY22</f>
        <v>0.99366374980326044</v>
      </c>
      <c r="AZ22" s="12">
        <f>AY22+預測IC!AZ22</f>
        <v>0.83875997148210835</v>
      </c>
      <c r="BA22" s="12">
        <f>AZ22+預測IC!BA22</f>
        <v>0.79316154631464642</v>
      </c>
      <c r="BB22" s="12">
        <f>BA22+預測IC!BB22</f>
        <v>1.1627128796479798</v>
      </c>
      <c r="BC22" s="12">
        <f>BB22+預測IC!BC22</f>
        <v>1.0318759415250245</v>
      </c>
      <c r="BD22" s="12">
        <f>BC22+預測IC!BD22</f>
        <v>1.1111399415250245</v>
      </c>
      <c r="BE22" s="12">
        <f>BD22+預測IC!BE22</f>
        <v>1.133356124919505</v>
      </c>
      <c r="BF22" s="12">
        <f>BE22+預測IC!BF22</f>
        <v>1.078470124919505</v>
      </c>
      <c r="BG22" s="12">
        <f>BF22+預測IC!BG22</f>
        <v>1.1247496370878911</v>
      </c>
      <c r="BH22" s="12">
        <f>BG22+預測IC!BH22</f>
        <v>0.99678909474975919</v>
      </c>
      <c r="BI22" s="12">
        <f>BH22+預測IC!BI22</f>
        <v>1.1078778141596661</v>
      </c>
      <c r="BJ22" s="12">
        <f>BI22+預測IC!BJ22</f>
        <v>1.1628742293103871</v>
      </c>
      <c r="BK22" s="12">
        <f>BJ22+預測IC!BK22</f>
        <v>1.1210345933767218</v>
      </c>
      <c r="BL22" s="12">
        <f>BK22+預測IC!BL22</f>
        <v>1.1388985933767219</v>
      </c>
      <c r="BM22" s="12">
        <f>BL22+預測IC!BM22</f>
        <v>1.0179599267100552</v>
      </c>
      <c r="BN22" s="12">
        <f>BM22+預測IC!BN22</f>
        <v>1.0464787331740304</v>
      </c>
      <c r="BO22" s="12">
        <f>BN22+預測IC!BO22</f>
        <v>1.0848320665073636</v>
      </c>
      <c r="BP22" s="12">
        <f>BO22+預測IC!BP22</f>
        <v>1.15966761666247</v>
      </c>
      <c r="BQ22" s="12">
        <f>BP22+預測IC!BQ22</f>
        <v>1.1874977140607825</v>
      </c>
      <c r="BR22" s="12">
        <f>BQ22+預測IC!BR22</f>
        <v>1.2940644960284726</v>
      </c>
      <c r="BS22" s="12">
        <f>BR22+預測IC!BS22</f>
        <v>1.2776917136516734</v>
      </c>
      <c r="BT22" s="12">
        <f>BS22+預測IC!BT22</f>
        <v>1.18896738031834</v>
      </c>
      <c r="BU22" s="12">
        <f>BT22+預測IC!BU22</f>
        <v>1.08461638031834</v>
      </c>
      <c r="BV22" s="12">
        <f>BU22+預測IC!BV22</f>
        <v>1.0852970469850067</v>
      </c>
      <c r="BW22" s="12">
        <f>BV22+預測IC!BW22</f>
        <v>1.51301238031834</v>
      </c>
      <c r="BX22" s="12">
        <f>BW22+預測IC!BX22</f>
        <v>1.6659497505683318</v>
      </c>
      <c r="BY22" s="12">
        <f>BX22+預測IC!BY22</f>
        <v>1.6706965369710665</v>
      </c>
      <c r="BZ22" s="12">
        <f>BY22+預測IC!BZ22</f>
        <v>1.9503265369710665</v>
      </c>
      <c r="CA22" s="12">
        <f>BZ22+預測IC!CA22</f>
        <v>1.9228364584907429</v>
      </c>
      <c r="CB22" s="12">
        <f>CA22+預測IC!CB22</f>
        <v>2.0718297367366696</v>
      </c>
      <c r="CC22" s="12">
        <f>CB22+預測IC!CC22</f>
        <v>1.9467247367366696</v>
      </c>
      <c r="CD22" s="12">
        <f>CC22+預測IC!CD22</f>
        <v>2.0422430700700027</v>
      </c>
      <c r="CE22" s="12">
        <f>CD22+預測IC!CE22</f>
        <v>2.1090830700700027</v>
      </c>
      <c r="CF22" s="12">
        <f>CE22+預測IC!CF22</f>
        <v>1.9535124034033362</v>
      </c>
      <c r="CG22" s="12">
        <f>CF22+預測IC!CG22</f>
        <v>2.3973130700700027</v>
      </c>
      <c r="CH22" s="12">
        <f>CG22+預測IC!CH22</f>
        <v>2.3705510700700025</v>
      </c>
      <c r="CI22" s="12">
        <f>CH22+預測IC!CI22</f>
        <v>2.1401030700700026</v>
      </c>
      <c r="CJ22" s="12">
        <f>CI22+預測IC!CJ22</f>
        <v>2.2434825751595651</v>
      </c>
      <c r="CK22" s="12">
        <f>CJ22+預測IC!CK22</f>
        <v>2.2796459177642476</v>
      </c>
      <c r="CL22" s="12">
        <f>CK22+預測IC!CL22</f>
        <v>2.0389941191392067</v>
      </c>
      <c r="CM22" s="12">
        <f>CL22+預測IC!CM22</f>
        <v>1.8191641191392067</v>
      </c>
      <c r="CN22" s="12">
        <f>CM22+預測IC!CN22</f>
        <v>1.8277108909601141</v>
      </c>
      <c r="CO22" s="12">
        <f>CN22+預測IC!CO22</f>
        <v>1.6424251330548874</v>
      </c>
      <c r="CP22" s="12">
        <f>CO22+預測IC!CP22</f>
        <v>1.9018336900242898</v>
      </c>
      <c r="CQ22" s="12">
        <f>CP22+預測IC!CQ22</f>
        <v>1.8894999106986252</v>
      </c>
      <c r="CR22" s="12">
        <f>CQ22+預測IC!CR22</f>
        <v>1.8610792440319586</v>
      </c>
      <c r="CS22" s="12">
        <f>CR22+預測IC!CS22</f>
        <v>1.8762814275533815</v>
      </c>
      <c r="CT22" s="12">
        <f>CS22+預測IC!CT22</f>
        <v>1.7501900493646096</v>
      </c>
      <c r="CU22" s="12">
        <f>CT22+預測IC!CU22</f>
        <v>1.8704217613287075</v>
      </c>
      <c r="CV22" s="12">
        <f>CU22+預測IC!CV22</f>
        <v>2.0366444400182617</v>
      </c>
      <c r="CW22" s="12">
        <f>CV22+預測IC!CW22</f>
        <v>2.0595284823502467</v>
      </c>
      <c r="CX22" s="12">
        <f>CW22+預測IC!CX22</f>
        <v>2.0557788890823976</v>
      </c>
      <c r="CY22" s="12">
        <f>CX22+預測IC!CY22</f>
        <v>2.0637677148559068</v>
      </c>
      <c r="CZ22" s="12">
        <f>CY22+預測IC!CZ22</f>
        <v>1.8008472302566676</v>
      </c>
      <c r="DA22" s="12">
        <f>CZ22+預測IC!DA22</f>
        <v>1.8048389841385917</v>
      </c>
      <c r="DB22" s="12">
        <f>DA22+預測IC!DB22</f>
        <v>2.3982141558648236</v>
      </c>
      <c r="DC22" s="12">
        <f>DB22+預測IC!DC22</f>
        <v>2.2570469201455139</v>
      </c>
      <c r="DD22" s="12">
        <f>DC22+預測IC!DD22</f>
        <v>2.2253367510196886</v>
      </c>
      <c r="DE22" s="12">
        <f>DD22+預測IC!DE22</f>
        <v>2.091981084353022</v>
      </c>
      <c r="DF22" s="12">
        <f>DE22+預測IC!DF22</f>
        <v>1.7023130843530221</v>
      </c>
      <c r="DG22" s="12">
        <f>DF22+預測IC!DG22</f>
        <v>1.7904344948560857</v>
      </c>
      <c r="DH22" s="12">
        <f>DG22+預測IC!DH22</f>
        <v>1.7557457424268956</v>
      </c>
      <c r="DI22" s="12">
        <f>DH22+預測IC!DI22</f>
        <v>1.6746401985866255</v>
      </c>
      <c r="DJ22" s="12">
        <f>DI22+預測IC!DJ22</f>
        <v>1.6318625319199589</v>
      </c>
      <c r="DK22" s="12">
        <f>DJ22+預測IC!DK22</f>
        <v>1.7232901985866256</v>
      </c>
      <c r="DL22" s="12">
        <f>DK22+預測IC!DL22</f>
        <v>1.7016098652532923</v>
      </c>
      <c r="DM22" s="12">
        <f>DL22+預測IC!DM22</f>
        <v>1.6697255319199589</v>
      </c>
      <c r="DN22" s="12">
        <f>DM22+預測IC!DN22</f>
        <v>1.3643505036477559</v>
      </c>
      <c r="DO22" s="12">
        <f>DN22+預測IC!DO22</f>
        <v>1.2409130023361177</v>
      </c>
      <c r="DP22" s="12">
        <f>DO22+預測IC!DP22</f>
        <v>1.4104754344768482</v>
      </c>
      <c r="DQ22" s="12">
        <f>DP22+預測IC!DQ22</f>
        <v>1.4623247678101816</v>
      </c>
      <c r="DR22" s="12">
        <f>DQ22+預測IC!DR22</f>
        <v>1.4562322151948637</v>
      </c>
      <c r="DS22" s="12">
        <f>DR22+預測IC!DS22</f>
        <v>1.4198832151948637</v>
      </c>
      <c r="DT22" s="12">
        <f>DS22+預測IC!DT22</f>
        <v>1.3762008818615303</v>
      </c>
      <c r="DU22" s="12">
        <f>DT22+預測IC!DU22</f>
        <v>1.5377465485281969</v>
      </c>
      <c r="DV22" s="12">
        <f>DU22+預測IC!DV22</f>
        <v>1.4120414308500189</v>
      </c>
      <c r="DW22" s="12">
        <f>DV22+預測IC!DW22</f>
        <v>1.4934574308500188</v>
      </c>
      <c r="DX22" s="12">
        <f>DW22+預測IC!DX22</f>
        <v>1.7159000392983135</v>
      </c>
      <c r="DY22" s="12">
        <f>DX22+預測IC!DY22</f>
        <v>1.7240471559238535</v>
      </c>
      <c r="DZ22" s="12">
        <f>DY22+預測IC!DZ22</f>
        <v>1.827795136869411</v>
      </c>
      <c r="EA22" s="12">
        <f>DZ22+預測IC!EA22</f>
        <v>1.8983437857087697</v>
      </c>
      <c r="EB22" s="12">
        <f>EA22+預測IC!EB22</f>
        <v>1.9789405132440876</v>
      </c>
      <c r="EC22" s="12">
        <f>EB22+預測IC!EC22</f>
        <v>1.9505117014660367</v>
      </c>
      <c r="ED22" s="12">
        <f>EC22+預測IC!ED22</f>
        <v>2.027925268523644</v>
      </c>
      <c r="EE22" s="12">
        <f>ED22+預測IC!EE22</f>
        <v>2.0755612685236438</v>
      </c>
      <c r="EF22" s="12">
        <f>EE22+預測IC!EF22</f>
        <v>2.1103515148958163</v>
      </c>
    </row>
    <row r="23" spans="1:136">
      <c r="A23" s="2"/>
      <c r="B23" s="2" t="s">
        <v>200</v>
      </c>
      <c r="C23" s="12">
        <v>0.28298899999999988</v>
      </c>
      <c r="D23" s="12">
        <f>C23+預測IC!D23</f>
        <v>0.25317833231457781</v>
      </c>
      <c r="E23" s="12">
        <f>D23+預測IC!E23</f>
        <v>0.3861833323145778</v>
      </c>
      <c r="F23" s="12">
        <f>E23+預測IC!F23</f>
        <v>0.56857940763545645</v>
      </c>
      <c r="G23" s="12">
        <f>F23+預測IC!G23</f>
        <v>0.59555097615982444</v>
      </c>
      <c r="H23" s="12">
        <f>G23+預測IC!H23</f>
        <v>0.57736247615982439</v>
      </c>
      <c r="I23" s="12">
        <f>H23+預測IC!I23</f>
        <v>0.42921044755953042</v>
      </c>
      <c r="J23" s="12">
        <f>I23+預測IC!J23</f>
        <v>0.3143349475595304</v>
      </c>
      <c r="K23" s="12">
        <f>J23+預測IC!K23</f>
        <v>0.45694252268418534</v>
      </c>
      <c r="L23" s="12">
        <f>K23+預測IC!L23</f>
        <v>0.68938688372664747</v>
      </c>
      <c r="M23" s="12">
        <f>L23+預測IC!M23</f>
        <v>0.95195623077398772</v>
      </c>
      <c r="N23" s="12">
        <f>M23+預測IC!N23</f>
        <v>0.8251562170816592</v>
      </c>
      <c r="O23" s="12">
        <f>N23+預測IC!O23</f>
        <v>0.8057485058148901</v>
      </c>
      <c r="P23" s="12">
        <f>O23+預測IC!P23</f>
        <v>0.81643201057463688</v>
      </c>
      <c r="Q23" s="12">
        <f>P23+預測IC!Q23</f>
        <v>0.56558233367383015</v>
      </c>
      <c r="R23" s="12">
        <f>Q23+預測IC!R23</f>
        <v>0.4759543306326855</v>
      </c>
      <c r="S23" s="12">
        <f>R23+預測IC!S23</f>
        <v>0.58967886345994758</v>
      </c>
      <c r="T23" s="12">
        <f>S23+預測IC!T23</f>
        <v>0.74428155678737606</v>
      </c>
      <c r="U23" s="12">
        <f>T23+預測IC!U23</f>
        <v>0.80351805678737609</v>
      </c>
      <c r="V23" s="12">
        <f>U23+預測IC!V23</f>
        <v>0.86687506776644208</v>
      </c>
      <c r="W23" s="12">
        <f>V23+預測IC!W23</f>
        <v>1.1984942180155866</v>
      </c>
      <c r="X23" s="12">
        <f>W23+預測IC!X23</f>
        <v>1.4625799129788839</v>
      </c>
      <c r="Y23" s="12">
        <f>X23+預測IC!Y23</f>
        <v>1.4549911495502057</v>
      </c>
      <c r="Z23" s="12">
        <f>Y23+預測IC!Z23</f>
        <v>1.3073507401069322</v>
      </c>
      <c r="AA23" s="12">
        <f>Z23+預測IC!AA23</f>
        <v>1.3007444481374619</v>
      </c>
      <c r="AB23" s="12">
        <f>AA23+預測IC!AB23</f>
        <v>1.2697530630814697</v>
      </c>
      <c r="AC23" s="12">
        <f>AB23+預測IC!AC23</f>
        <v>1.100998263444557</v>
      </c>
      <c r="AD23" s="12">
        <f>AC23+預測IC!AD23</f>
        <v>1.0859873630875096</v>
      </c>
      <c r="AE23" s="12">
        <f>AD23+預測IC!AE23</f>
        <v>1.3077043630875096</v>
      </c>
      <c r="AF23" s="12">
        <f>AE23+預測IC!AF23</f>
        <v>1.3746106231772608</v>
      </c>
      <c r="AG23" s="12">
        <f>AF23+預測IC!AG23</f>
        <v>1.2287167302375888</v>
      </c>
      <c r="AH23" s="12">
        <f>AG23+預測IC!AH23</f>
        <v>1.364365650588256</v>
      </c>
      <c r="AI23" s="12">
        <f>AH23+預測IC!AI23</f>
        <v>1.2889154808487937</v>
      </c>
      <c r="AJ23" s="12">
        <f>AI23+預測IC!AJ23</f>
        <v>1.2832723430006394</v>
      </c>
      <c r="AK23" s="12">
        <f>AJ23+預測IC!AK23</f>
        <v>1.3744715672758991</v>
      </c>
      <c r="AL23" s="12">
        <f>AK23+預測IC!AL23</f>
        <v>1.5059032804684347</v>
      </c>
      <c r="AM23" s="12">
        <f>AL23+預測IC!AM23</f>
        <v>1.4854327371663487</v>
      </c>
      <c r="AN23" s="12">
        <f>AM23+預測IC!AN23</f>
        <v>1.6459528779286801</v>
      </c>
      <c r="AO23" s="12">
        <f>AN23+預測IC!AO23</f>
        <v>1.6406159257372559</v>
      </c>
      <c r="AP23" s="12">
        <f>AO23+預測IC!AP23</f>
        <v>1.8058824257372559</v>
      </c>
      <c r="AQ23" s="12">
        <f>AP23+預測IC!AQ23</f>
        <v>1.905261425737256</v>
      </c>
      <c r="AR23" s="12">
        <f>AQ23+預測IC!AR23</f>
        <v>2.1587222215175998</v>
      </c>
      <c r="AS23" s="12">
        <f>AR23+預測IC!AS23</f>
        <v>2.1265532215175997</v>
      </c>
      <c r="AT23" s="12">
        <f>AS23+預測IC!AT23</f>
        <v>2.0851254997039499</v>
      </c>
      <c r="AU23" s="12">
        <f>AT23+預測IC!AU23</f>
        <v>2.1182710258324544</v>
      </c>
      <c r="AV23" s="12">
        <f>AU23+預測IC!AV23</f>
        <v>2.0906320316350802</v>
      </c>
      <c r="AW23" s="12">
        <f>AV23+預測IC!AW23</f>
        <v>2.0386051217966772</v>
      </c>
      <c r="AX23" s="12">
        <f>AW23+預測IC!AX23</f>
        <v>2.1084432756237215</v>
      </c>
      <c r="AY23" s="12">
        <f>AX23+預測IC!AY23</f>
        <v>2.2786772564643036</v>
      </c>
      <c r="AZ23" s="12">
        <f>AY23+預測IC!AZ23</f>
        <v>2.2149236390632434</v>
      </c>
      <c r="BA23" s="12">
        <f>AZ23+預測IC!BA23</f>
        <v>2.224570419143344</v>
      </c>
      <c r="BB23" s="12">
        <f>BA23+預測IC!BB23</f>
        <v>2.791397919143344</v>
      </c>
      <c r="BC23" s="12">
        <f>BB23+預測IC!BC23</f>
        <v>2.4905696699702782</v>
      </c>
      <c r="BD23" s="12">
        <f>BC23+預測IC!BD23</f>
        <v>2.6165491699702783</v>
      </c>
      <c r="BE23" s="12">
        <f>BD23+預測IC!BE23</f>
        <v>2.5451184075729816</v>
      </c>
      <c r="BF23" s="12">
        <f>BE23+預測IC!BF23</f>
        <v>2.4851054075729815</v>
      </c>
      <c r="BG23" s="12">
        <f>BF23+預測IC!BG23</f>
        <v>2.5598668787697338</v>
      </c>
      <c r="BH23" s="12">
        <f>BG23+預測IC!BH23</f>
        <v>2.3563828974144467</v>
      </c>
      <c r="BI23" s="12">
        <f>BH23+預測IC!BI23</f>
        <v>2.5474949767376458</v>
      </c>
      <c r="BJ23" s="12">
        <f>BI23+預測IC!BJ23</f>
        <v>2.6514982920055727</v>
      </c>
      <c r="BK23" s="12">
        <f>BJ23+預測IC!BK23</f>
        <v>2.6535324003420504</v>
      </c>
      <c r="BL23" s="12">
        <f>BK23+預測IC!BL23</f>
        <v>2.6001004003420505</v>
      </c>
      <c r="BM23" s="12">
        <f>BL23+預測IC!BM23</f>
        <v>2.4159539003420507</v>
      </c>
      <c r="BN23" s="12">
        <f>BM23+預測IC!BN23</f>
        <v>2.4425573703640282</v>
      </c>
      <c r="BO23" s="12">
        <f>BN23+預測IC!BO23</f>
        <v>2.5043773703640282</v>
      </c>
      <c r="BP23" s="12">
        <f>BO23+預測IC!BP23</f>
        <v>2.6026437695754847</v>
      </c>
      <c r="BQ23" s="12">
        <f>BP23+預測IC!BQ23</f>
        <v>2.6746916710107507</v>
      </c>
      <c r="BR23" s="12">
        <f>BQ23+預測IC!BR23</f>
        <v>2.7775142611911012</v>
      </c>
      <c r="BS23" s="12">
        <f>BR23+預測IC!BS23</f>
        <v>2.7042388725331894</v>
      </c>
      <c r="BT23" s="12">
        <f>BS23+預測IC!BT23</f>
        <v>2.4860533725331893</v>
      </c>
      <c r="BU23" s="12">
        <f>BT23+預測IC!BU23</f>
        <v>2.3803668725331892</v>
      </c>
      <c r="BV23" s="12">
        <f>BU23+預測IC!BV23</f>
        <v>2.3633463725331891</v>
      </c>
      <c r="BW23" s="12">
        <f>BV23+預測IC!BW23</f>
        <v>2.9643443725331893</v>
      </c>
      <c r="BX23" s="12">
        <f>BW23+預測IC!BX23</f>
        <v>3.0885638960778246</v>
      </c>
      <c r="BY23" s="12">
        <f>BX23+預測IC!BY23</f>
        <v>3.0987695887721722</v>
      </c>
      <c r="BZ23" s="12">
        <f>BY23+預測IC!BZ23</f>
        <v>3.4511685887721724</v>
      </c>
      <c r="CA23" s="12">
        <f>BZ23+預測IC!CA23</f>
        <v>3.3755153890255434</v>
      </c>
      <c r="CB23" s="12">
        <f>CA23+預測IC!CB23</f>
        <v>3.5931295920179833</v>
      </c>
      <c r="CC23" s="12">
        <f>CB23+預測IC!CC23</f>
        <v>3.5085845920179835</v>
      </c>
      <c r="CD23" s="12">
        <f>CC23+預測IC!CD23</f>
        <v>3.6498270920179836</v>
      </c>
      <c r="CE23" s="12">
        <f>CD23+預測IC!CE23</f>
        <v>3.7094290920179835</v>
      </c>
      <c r="CF23" s="12">
        <f>CE23+預測IC!CF23</f>
        <v>3.5259985920179835</v>
      </c>
      <c r="CG23" s="12">
        <f>CF23+預測IC!CG23</f>
        <v>3.8189020920179835</v>
      </c>
      <c r="CH23" s="12">
        <f>CG23+預測IC!CH23</f>
        <v>3.8408525920179835</v>
      </c>
      <c r="CI23" s="12">
        <f>CH23+預測IC!CI23</f>
        <v>3.7817300920179835</v>
      </c>
      <c r="CJ23" s="12">
        <f>CI23+預測IC!CJ23</f>
        <v>3.8016054595683939</v>
      </c>
      <c r="CK23" s="12">
        <f>CJ23+預測IC!CK23</f>
        <v>3.8977224542963556</v>
      </c>
      <c r="CL23" s="12">
        <f>CK23+預測IC!CL23</f>
        <v>3.4890614416289374</v>
      </c>
      <c r="CM23" s="12">
        <f>CL23+預測IC!CM23</f>
        <v>3.2543564416289374</v>
      </c>
      <c r="CN23" s="12">
        <f>CM23+預測IC!CN23</f>
        <v>3.3073616199987406</v>
      </c>
      <c r="CO23" s="12">
        <f>CN23+預測IC!CO23</f>
        <v>3.0389106430955914</v>
      </c>
      <c r="CP23" s="12">
        <f>CO23+預測IC!CP23</f>
        <v>3.3502713862583482</v>
      </c>
      <c r="CQ23" s="12">
        <f>CP23+預測IC!CQ23</f>
        <v>3.3410876417585422</v>
      </c>
      <c r="CR23" s="12">
        <f>CQ23+預測IC!CR23</f>
        <v>3.3028571417585422</v>
      </c>
      <c r="CS23" s="12">
        <f>CR23+預測IC!CS23</f>
        <v>3.3398313607498209</v>
      </c>
      <c r="CT23" s="12">
        <f>CS23+預測IC!CT23</f>
        <v>3.3069811367436763</v>
      </c>
      <c r="CU23" s="12">
        <f>CT23+預測IC!CU23</f>
        <v>3.3280377324569632</v>
      </c>
      <c r="CV23" s="12">
        <f>CU23+預測IC!CV23</f>
        <v>3.4813687007285377</v>
      </c>
      <c r="CW23" s="12">
        <f>CV23+預測IC!CW23</f>
        <v>3.4571824129395363</v>
      </c>
      <c r="CX23" s="12">
        <f>CW23+預測IC!CX23</f>
        <v>3.5458994070360625</v>
      </c>
      <c r="CY23" s="12">
        <f>CX23+預測IC!CY23</f>
        <v>3.523852876282684</v>
      </c>
      <c r="CZ23" s="12">
        <f>CY23+預測IC!CZ23</f>
        <v>3.3418540824253329</v>
      </c>
      <c r="DA23" s="12">
        <f>CZ23+預測IC!DA23</f>
        <v>3.3728362186512433</v>
      </c>
      <c r="DB23" s="12">
        <f>DA23+預測IC!DB23</f>
        <v>4.2374117932484543</v>
      </c>
      <c r="DC23" s="12">
        <f>DB23+預測IC!DC23</f>
        <v>4.0794628939302013</v>
      </c>
      <c r="DD23" s="12">
        <f>DC23+預測IC!DD23</f>
        <v>3.9866642192530484</v>
      </c>
      <c r="DE23" s="12">
        <f>DD23+預測IC!DE23</f>
        <v>3.8452197192530484</v>
      </c>
      <c r="DF23" s="12">
        <f>DE23+預測IC!DF23</f>
        <v>3.4364222192530485</v>
      </c>
      <c r="DG23" s="12">
        <f>DF23+預測IC!DG23</f>
        <v>3.5893988735481015</v>
      </c>
      <c r="DH23" s="12">
        <f>DG23+預測IC!DH23</f>
        <v>3.479816675186004</v>
      </c>
      <c r="DI23" s="12">
        <f>DH23+預測IC!DI23</f>
        <v>3.2949039616378988</v>
      </c>
      <c r="DJ23" s="12">
        <f>DI23+預測IC!DJ23</f>
        <v>3.3287269616378987</v>
      </c>
      <c r="DK23" s="12">
        <f>DJ23+預測IC!DK23</f>
        <v>3.4199704616378988</v>
      </c>
      <c r="DL23" s="12">
        <f>DK23+預測IC!DL23</f>
        <v>3.4765764616378987</v>
      </c>
      <c r="DM23" s="12">
        <f>DL23+預測IC!DM23</f>
        <v>3.4300994616378988</v>
      </c>
      <c r="DN23" s="12">
        <f>DM23+預測IC!DN23</f>
        <v>3.1651246051539075</v>
      </c>
      <c r="DO23" s="12">
        <f>DN23+預測IC!DO23</f>
        <v>3.0010333014200734</v>
      </c>
      <c r="DP23" s="12">
        <f>DO23+預測IC!DP23</f>
        <v>3.17787291990498</v>
      </c>
      <c r="DQ23" s="12">
        <f>DP23+預測IC!DQ23</f>
        <v>3.29900341990498</v>
      </c>
      <c r="DR23" s="12">
        <f>DQ23+預測IC!DR23</f>
        <v>3.2091174171736734</v>
      </c>
      <c r="DS23" s="12">
        <f>DR23+預測IC!DS23</f>
        <v>3.0925394171736733</v>
      </c>
      <c r="DT23" s="12">
        <f>DS23+預測IC!DT23</f>
        <v>3.0382889171736731</v>
      </c>
      <c r="DU23" s="12">
        <f>DT23+預測IC!DU23</f>
        <v>3.0939269171736732</v>
      </c>
      <c r="DV23" s="12">
        <f>DU23+預測IC!DV23</f>
        <v>2.8176553088442335</v>
      </c>
      <c r="DW23" s="12">
        <f>DV23+預測IC!DW23</f>
        <v>2.7946028088442336</v>
      </c>
      <c r="DX23" s="12">
        <f>DW23+預測IC!DX23</f>
        <v>3.1080960152231998</v>
      </c>
      <c r="DY23" s="12">
        <f>DX23+預測IC!DY23</f>
        <v>2.9382191865709455</v>
      </c>
      <c r="DZ23" s="12">
        <f>DY23+預測IC!DZ23</f>
        <v>3.041092205197458</v>
      </c>
      <c r="EA23" s="12">
        <f>DZ23+預測IC!EA23</f>
        <v>3.0645411128105775</v>
      </c>
      <c r="EB23" s="12">
        <f>EA23+預測IC!EB23</f>
        <v>3.1272945525212528</v>
      </c>
      <c r="EC23" s="12">
        <f>EB23+預測IC!EC23</f>
        <v>3.0040896095655882</v>
      </c>
      <c r="ED23" s="12">
        <f>EC23+預測IC!ED23</f>
        <v>3.0955155141853692</v>
      </c>
      <c r="EE23" s="12">
        <f>ED23+預測IC!EE23</f>
        <v>3.1647265141853693</v>
      </c>
      <c r="EF23" s="12">
        <f>EE23+預測IC!EF23</f>
        <v>3.2125087927770291</v>
      </c>
    </row>
    <row r="24" spans="1:136">
      <c r="A24" s="2"/>
      <c r="B24" s="2" t="s">
        <v>201</v>
      </c>
      <c r="C24" s="12">
        <v>9.9113000000000007E-2</v>
      </c>
      <c r="D24" s="12">
        <f>C24+預測IC!D24</f>
        <v>-4.9360099724128914E-3</v>
      </c>
      <c r="E24" s="12">
        <f>D24+預測IC!E24</f>
        <v>0.2795759900275871</v>
      </c>
      <c r="F24" s="12">
        <f>E24+預測IC!F24</f>
        <v>0.48112170889923334</v>
      </c>
      <c r="G24" s="12">
        <f>F24+預測IC!G24</f>
        <v>0.503744097461851</v>
      </c>
      <c r="H24" s="12">
        <f>G24+預測IC!H24</f>
        <v>0.539600097461851</v>
      </c>
      <c r="I24" s="12">
        <f>H24+預測IC!I24</f>
        <v>0.54171203066499451</v>
      </c>
      <c r="J24" s="12">
        <f>I24+預測IC!J24</f>
        <v>0.42625103066499453</v>
      </c>
      <c r="K24" s="12">
        <f>J24+預測IC!K24</f>
        <v>0.47669536665848322</v>
      </c>
      <c r="L24" s="12">
        <f>K24+預測IC!L24</f>
        <v>0.81045481113412987</v>
      </c>
      <c r="M24" s="12">
        <f>L24+預測IC!M24</f>
        <v>1.2734823553342682</v>
      </c>
      <c r="N24" s="12">
        <f>M24+預測IC!N24</f>
        <v>1.1682906445384229</v>
      </c>
      <c r="O24" s="12">
        <f>N24+預測IC!O24</f>
        <v>1.2049394352779665</v>
      </c>
      <c r="P24" s="12">
        <f>O24+預測IC!P24</f>
        <v>1.2826759211320238</v>
      </c>
      <c r="Q24" s="12">
        <f>P24+預測IC!Q24</f>
        <v>1.3728208699306867</v>
      </c>
      <c r="R24" s="12">
        <f>Q24+預測IC!R24</f>
        <v>1.2644553750184955</v>
      </c>
      <c r="S24" s="12">
        <f>R24+預測IC!S24</f>
        <v>1.6169698360786597</v>
      </c>
      <c r="T24" s="12">
        <f>S24+預測IC!T24</f>
        <v>1.3464831214046424</v>
      </c>
      <c r="U24" s="12">
        <f>T24+預測IC!U24</f>
        <v>1.6323361214046423</v>
      </c>
      <c r="V24" s="12">
        <f>U24+預測IC!V24</f>
        <v>1.7488764381214932</v>
      </c>
      <c r="W24" s="12">
        <f>V24+預測IC!W24</f>
        <v>2.2445884240774356</v>
      </c>
      <c r="X24" s="12">
        <f>W24+預測IC!X24</f>
        <v>2.3626108565834394</v>
      </c>
      <c r="Y24" s="12">
        <f>X24+預測IC!Y24</f>
        <v>2.3332120170030066</v>
      </c>
      <c r="Z24" s="12">
        <f>Y24+預測IC!Z24</f>
        <v>2.1828020913142168</v>
      </c>
      <c r="AA24" s="12">
        <f>Z24+預測IC!AA24</f>
        <v>2.1692543230766397</v>
      </c>
      <c r="AB24" s="12">
        <f>AA24+預測IC!AB24</f>
        <v>1.8688605295196572</v>
      </c>
      <c r="AC24" s="12">
        <f>AB24+預測IC!AC24</f>
        <v>1.4671131956727026</v>
      </c>
      <c r="AD24" s="12">
        <f>AC24+預測IC!AD24</f>
        <v>1.4592913567800729</v>
      </c>
      <c r="AE24" s="12">
        <f>AD24+預測IC!AE24</f>
        <v>1.6345623567800729</v>
      </c>
      <c r="AF24" s="12">
        <f>AE24+預測IC!AF24</f>
        <v>1.6570843668148634</v>
      </c>
      <c r="AG24" s="12">
        <f>AF24+預測IC!AG24</f>
        <v>1.2770289742320673</v>
      </c>
      <c r="AH24" s="12">
        <f>AG24+預測IC!AH24</f>
        <v>1.5791517308386425</v>
      </c>
      <c r="AI24" s="12">
        <f>AH24+預測IC!AI24</f>
        <v>1.4272400560552452</v>
      </c>
      <c r="AJ24" s="12">
        <f>AI24+預測IC!AJ24</f>
        <v>1.5081313000546206</v>
      </c>
      <c r="AK24" s="12">
        <f>AJ24+預測IC!AK24</f>
        <v>1.6213104638302447</v>
      </c>
      <c r="AL24" s="12">
        <f>AK24+預測IC!AL24</f>
        <v>1.5666335283396093</v>
      </c>
      <c r="AM24" s="12">
        <f>AL24+預測IC!AM24</f>
        <v>1.5816000736737332</v>
      </c>
      <c r="AN24" s="12">
        <f>AM24+預測IC!AN24</f>
        <v>1.6922608456092838</v>
      </c>
      <c r="AO24" s="12">
        <f>AN24+預測IC!AO24</f>
        <v>1.7583509574382739</v>
      </c>
      <c r="AP24" s="12">
        <f>AO24+預測IC!AP24</f>
        <v>1.9228359574382738</v>
      </c>
      <c r="AQ24" s="12">
        <f>AP24+預測IC!AQ24</f>
        <v>2.1399599574382737</v>
      </c>
      <c r="AR24" s="12">
        <f>AQ24+預測IC!AR24</f>
        <v>2.1603108019310882</v>
      </c>
      <c r="AS24" s="12">
        <f>AR24+預測IC!AS24</f>
        <v>1.9224788019310881</v>
      </c>
      <c r="AT24" s="12">
        <f>AS24+預測IC!AT24</f>
        <v>1.9529380094157966</v>
      </c>
      <c r="AU24" s="12">
        <f>AT24+預測IC!AU24</f>
        <v>1.997033329281021</v>
      </c>
      <c r="AV24" s="12">
        <f>AU24+預測IC!AV24</f>
        <v>1.909881377094125</v>
      </c>
      <c r="AW24" s="12">
        <f>AV24+預測IC!AW24</f>
        <v>1.9148689186051642</v>
      </c>
      <c r="AX24" s="12">
        <f>AW24+預測IC!AX24</f>
        <v>1.9431751051935886</v>
      </c>
      <c r="AY24" s="12">
        <f>AX24+預測IC!AY24</f>
        <v>2.1113023990784781</v>
      </c>
      <c r="AZ24" s="12">
        <f>AY24+預測IC!AZ24</f>
        <v>2.1491694726781434</v>
      </c>
      <c r="BA24" s="12">
        <f>AZ24+預測IC!BA24</f>
        <v>2.0953747405935101</v>
      </c>
      <c r="BB24" s="12">
        <f>BA24+預測IC!BB24</f>
        <v>2.7861507405935102</v>
      </c>
      <c r="BC24" s="12">
        <f>BB24+預測IC!BC24</f>
        <v>1.9829347275491327</v>
      </c>
      <c r="BD24" s="12">
        <f>BC24+預測IC!BD24</f>
        <v>2.0015747275491327</v>
      </c>
      <c r="BE24" s="12">
        <f>BD24+預測IC!BE24</f>
        <v>1.9555103735174457</v>
      </c>
      <c r="BF24" s="12">
        <f>BE24+預測IC!BF24</f>
        <v>1.8552743735174457</v>
      </c>
      <c r="BG24" s="12">
        <f>BF24+預測IC!BG24</f>
        <v>1.8821103393837566</v>
      </c>
      <c r="BH24" s="12">
        <f>BG24+預測IC!BH24</f>
        <v>1.4958550024702215</v>
      </c>
      <c r="BI24" s="12">
        <f>BH24+預測IC!BI24</f>
        <v>1.7194841085402686</v>
      </c>
      <c r="BJ24" s="12">
        <f>BI24+預測IC!BJ24</f>
        <v>1.7228324242951532</v>
      </c>
      <c r="BK24" s="12">
        <f>BJ24+預測IC!BK24</f>
        <v>1.7268559711894393</v>
      </c>
      <c r="BL24" s="12">
        <f>BK24+預測IC!BL24</f>
        <v>1.6959569711894393</v>
      </c>
      <c r="BM24" s="12">
        <f>BL24+預測IC!BM24</f>
        <v>1.3190439711894393</v>
      </c>
      <c r="BN24" s="12">
        <f>BM24+預測IC!BN24</f>
        <v>1.338934129668659</v>
      </c>
      <c r="BO24" s="12">
        <f>BN24+預測IC!BO24</f>
        <v>1.333314129668659</v>
      </c>
      <c r="BP24" s="12">
        <f>BO24+預測IC!BP24</f>
        <v>1.456665310797981</v>
      </c>
      <c r="BQ24" s="12">
        <f>BP24+預測IC!BQ24</f>
        <v>1.3924956774678661</v>
      </c>
      <c r="BR24" s="12">
        <f>BQ24+預測IC!BR24</f>
        <v>1.4914165666531076</v>
      </c>
      <c r="BS24" s="12">
        <f>BR24+預測IC!BS24</f>
        <v>1.4901318491686506</v>
      </c>
      <c r="BT24" s="12">
        <f>BS24+預測IC!BT24</f>
        <v>1.2134138491686506</v>
      </c>
      <c r="BU24" s="12">
        <f>BT24+預測IC!BU24</f>
        <v>1.2046648491686507</v>
      </c>
      <c r="BV24" s="12">
        <f>BU24+預測IC!BV24</f>
        <v>1.0013578491686508</v>
      </c>
      <c r="BW24" s="12">
        <f>BV24+預測IC!BW24</f>
        <v>2.1103728491686509</v>
      </c>
      <c r="BX24" s="12">
        <f>BW24+預測IC!BX24</f>
        <v>2.1684162188185661</v>
      </c>
      <c r="BY24" s="12">
        <f>BX24+預測IC!BY24</f>
        <v>2.0586705496511488</v>
      </c>
      <c r="BZ24" s="12">
        <f>BY24+預測IC!BZ24</f>
        <v>2.8726285496511488</v>
      </c>
      <c r="CA24" s="12">
        <f>BZ24+預測IC!CA24</f>
        <v>2.7574068688777342</v>
      </c>
      <c r="CB24" s="12">
        <f>CA24+預測IC!CB24</f>
        <v>2.5486448945898652</v>
      </c>
      <c r="CC24" s="12">
        <f>CB24+預測IC!CC24</f>
        <v>2.3661748945898653</v>
      </c>
      <c r="CD24" s="12">
        <f>CC24+預測IC!CD24</f>
        <v>2.3961288945898653</v>
      </c>
      <c r="CE24" s="12">
        <f>CD24+預測IC!CE24</f>
        <v>2.5616938945898653</v>
      </c>
      <c r="CF24" s="12">
        <f>CE24+預測IC!CF24</f>
        <v>2.3965638945898653</v>
      </c>
      <c r="CG24" s="12">
        <f>CF24+預測IC!CG24</f>
        <v>2.6338408945898655</v>
      </c>
      <c r="CH24" s="12">
        <f>CG24+預測IC!CH24</f>
        <v>2.7794838945898657</v>
      </c>
      <c r="CI24" s="12">
        <f>CH24+預測IC!CI24</f>
        <v>2.7209758945898659</v>
      </c>
      <c r="CJ24" s="12">
        <f>CI24+預測IC!CJ24</f>
        <v>2.7078664091704465</v>
      </c>
      <c r="CK24" s="12">
        <f>CJ24+預測IC!CK24</f>
        <v>2.8013964884861431</v>
      </c>
      <c r="CL24" s="12">
        <f>CK24+預測IC!CL24</f>
        <v>2.9431518218586836</v>
      </c>
      <c r="CM24" s="12">
        <f>CL24+預測IC!CM24</f>
        <v>2.3067118218586837</v>
      </c>
      <c r="CN24" s="12">
        <f>CM24+預測IC!CN24</f>
        <v>2.4144505883158969</v>
      </c>
      <c r="CO24" s="12">
        <f>CN24+預測IC!CO24</f>
        <v>1.8420409785812217</v>
      </c>
      <c r="CP24" s="12">
        <f>CO24+預測IC!CP24</f>
        <v>2.002385183396064</v>
      </c>
      <c r="CQ24" s="12">
        <f>CP24+預測IC!CQ24</f>
        <v>2.1170723572593606</v>
      </c>
      <c r="CR24" s="12">
        <f>CQ24+預測IC!CR24</f>
        <v>2.0202583572593604</v>
      </c>
      <c r="CS24" s="12">
        <f>CR24+預測IC!CS24</f>
        <v>2.1061535900061661</v>
      </c>
      <c r="CT24" s="12">
        <f>CS24+預測IC!CT24</f>
        <v>2.2890501772982828</v>
      </c>
      <c r="CU24" s="12">
        <f>CT24+預測IC!CU24</f>
        <v>2.3618015249549926</v>
      </c>
      <c r="CV24" s="12">
        <f>CU24+預測IC!CV24</f>
        <v>2.5446656198622155</v>
      </c>
      <c r="CW24" s="12">
        <f>CV24+預測IC!CW24</f>
        <v>2.3096724045893695</v>
      </c>
      <c r="CX24" s="12">
        <f>CW24+預測IC!CX24</f>
        <v>2.2544652108806824</v>
      </c>
      <c r="CY24" s="12">
        <f>CX24+預測IC!CY24</f>
        <v>2.3345321155175012</v>
      </c>
      <c r="CZ24" s="12">
        <f>CY24+預測IC!CZ24</f>
        <v>2.2223254870729341</v>
      </c>
      <c r="DA24" s="12">
        <f>CZ24+預測IC!DA24</f>
        <v>2.1978142829101794</v>
      </c>
      <c r="DB24" s="12">
        <f>DA24+預測IC!DB24</f>
        <v>3.1459238722901484</v>
      </c>
      <c r="DC24" s="12">
        <f>DB24+預測IC!DC24</f>
        <v>2.86319409356163</v>
      </c>
      <c r="DD24" s="12">
        <f>DC24+預測IC!DD24</f>
        <v>3.0590388157440715</v>
      </c>
      <c r="DE24" s="12">
        <f>DD24+預測IC!DE24</f>
        <v>2.7523998157440714</v>
      </c>
      <c r="DF24" s="12">
        <f>DE24+預測IC!DF24</f>
        <v>2.2268118157440715</v>
      </c>
      <c r="DG24" s="12">
        <f>DF24+預測IC!DG24</f>
        <v>2.4754007984773017</v>
      </c>
      <c r="DH24" s="12">
        <f>DG24+預測IC!DH24</f>
        <v>2.3725679544957869</v>
      </c>
      <c r="DI24" s="12">
        <f>DH24+預測IC!DI24</f>
        <v>1.9494691547674479</v>
      </c>
      <c r="DJ24" s="12">
        <f>DI24+預測IC!DJ24</f>
        <v>1.9283891547674479</v>
      </c>
      <c r="DK24" s="12">
        <f>DJ24+預測IC!DK24</f>
        <v>2.048068154767448</v>
      </c>
      <c r="DL24" s="12">
        <f>DK24+預測IC!DL24</f>
        <v>2.079817154767448</v>
      </c>
      <c r="DM24" s="12">
        <f>DL24+預測IC!DM24</f>
        <v>2.079407154767448</v>
      </c>
      <c r="DN24" s="12">
        <f>DM24+預測IC!DN24</f>
        <v>1.5625592157699157</v>
      </c>
      <c r="DO24" s="12">
        <f>DN24+預測IC!DO24</f>
        <v>1.3771184131372278</v>
      </c>
      <c r="DP24" s="12">
        <f>DO24+預測IC!DP24</f>
        <v>1.6006902366209246</v>
      </c>
      <c r="DQ24" s="12">
        <f>DP24+預測IC!DQ24</f>
        <v>1.6511762366209246</v>
      </c>
      <c r="DR24" s="12">
        <f>DQ24+預測IC!DR24</f>
        <v>1.6306606064088953</v>
      </c>
      <c r="DS24" s="12">
        <f>DR24+預測IC!DS24</f>
        <v>1.5632946064088953</v>
      </c>
      <c r="DT24" s="12">
        <f>DS24+預測IC!DT24</f>
        <v>1.4885616064088953</v>
      </c>
      <c r="DU24" s="12">
        <f>DT24+預測IC!DU24</f>
        <v>1.4667796064088954</v>
      </c>
      <c r="DV24" s="12">
        <f>DU24+預測IC!DV24</f>
        <v>1.3085549077650811</v>
      </c>
      <c r="DW24" s="12">
        <f>DV24+預測IC!DW24</f>
        <v>1.2073719077650811</v>
      </c>
      <c r="DX24" s="12">
        <f>DW24+預測IC!DX24</f>
        <v>1.518965035557585</v>
      </c>
      <c r="DY24" s="12">
        <f>DX24+預測IC!DY24</f>
        <v>1.1751607487593765</v>
      </c>
      <c r="DZ24" s="12">
        <f>DY24+預測IC!DZ24</f>
        <v>1.2256299311624932</v>
      </c>
      <c r="EA24" s="12">
        <f>DZ24+預測IC!EA24</f>
        <v>1.1482790089351573</v>
      </c>
      <c r="EB24" s="12">
        <f>EA24+預測IC!EB24</f>
        <v>1.1778611853004513</v>
      </c>
      <c r="EC24" s="12">
        <f>EB24+預測IC!EC24</f>
        <v>0.92120980533692487</v>
      </c>
      <c r="ED24" s="12">
        <f>EC24+預測IC!ED24</f>
        <v>0.97738265063528695</v>
      </c>
      <c r="EE24" s="12">
        <f>ED24+預測IC!EE24</f>
        <v>1.084864650635287</v>
      </c>
      <c r="EF24" s="12">
        <f>EE24+預測IC!EF24</f>
        <v>1.0175879735913187</v>
      </c>
    </row>
    <row r="25" spans="1:136">
      <c r="A25" s="2"/>
      <c r="B25" s="2" t="s">
        <v>144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topLeftCell="A10" zoomScale="178" workbookViewId="0">
      <selection activeCell="C22" sqref="C22"/>
    </sheetView>
  </sheetViews>
  <sheetFormatPr baseColWidth="10" defaultColWidth="8.83203125" defaultRowHeight="15"/>
  <cols>
    <col min="1" max="1" width="14.1640625" style="11" customWidth="1"/>
  </cols>
  <sheetData>
    <row r="1" spans="1:136">
      <c r="A1" t="s">
        <v>202</v>
      </c>
    </row>
    <row r="2" spans="1:136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</row>
    <row r="3" spans="1:136">
      <c r="B3" t="s">
        <v>136</v>
      </c>
      <c r="C3" s="6">
        <v>7.9040621616132428E-2</v>
      </c>
      <c r="D3" s="6">
        <v>0.17983518543162419</v>
      </c>
      <c r="E3" s="6">
        <v>1.5558542820582799E-2</v>
      </c>
      <c r="F3" s="6">
        <v>-2.1374203652038289E-2</v>
      </c>
      <c r="G3" s="6">
        <v>-8.0895058721012214E-3</v>
      </c>
      <c r="H3" s="6">
        <v>-1.5424142996262571E-2</v>
      </c>
      <c r="I3" s="6">
        <v>-0.1970079222252091</v>
      </c>
      <c r="J3" s="6">
        <v>0.27879379848666003</v>
      </c>
      <c r="K3" s="6">
        <v>-5.8042552738333253E-3</v>
      </c>
      <c r="L3" s="6">
        <v>-4.7625460802946967E-2</v>
      </c>
      <c r="M3" s="6">
        <v>-5.2692769603885914E-3</v>
      </c>
      <c r="N3" s="6">
        <v>-0.1907915725736046</v>
      </c>
      <c r="O3" s="6">
        <v>0.31104453537531868</v>
      </c>
      <c r="P3" s="6">
        <v>0.1137423411079562</v>
      </c>
      <c r="Q3" s="6">
        <v>-0.12249966541698799</v>
      </c>
      <c r="R3" s="6">
        <v>-0.1125772096752599</v>
      </c>
      <c r="S3" s="6">
        <v>0.1047628479068862</v>
      </c>
      <c r="T3" s="6">
        <v>-0.1451144301876503</v>
      </c>
      <c r="U3" s="6">
        <v>-0.26268964672070189</v>
      </c>
      <c r="V3" s="6">
        <v>2.009334481821196E-3</v>
      </c>
      <c r="W3" s="6">
        <v>0.12943264471598109</v>
      </c>
      <c r="X3" s="6">
        <v>-8.859040691762049E-2</v>
      </c>
      <c r="Y3" s="6">
        <v>0.27865156855692891</v>
      </c>
      <c r="Z3" s="6">
        <v>0.1034271724790103</v>
      </c>
      <c r="AA3" s="6">
        <v>0.48570701238273079</v>
      </c>
      <c r="AB3" s="6">
        <v>-0.23509490687265411</v>
      </c>
      <c r="AC3" s="6">
        <v>1.2145875696980829E-2</v>
      </c>
      <c r="AD3" s="6">
        <v>2.4576879822336362E-2</v>
      </c>
      <c r="AE3" s="6">
        <v>-6.1133662722790971E-3</v>
      </c>
      <c r="AF3" s="6">
        <v>-5.6971515948832707E-2</v>
      </c>
      <c r="AG3" s="6">
        <v>0.1202382386574528</v>
      </c>
      <c r="AH3" s="6">
        <v>4.4012260680666333E-2</v>
      </c>
      <c r="AI3" s="6">
        <v>0.16346824092386009</v>
      </c>
      <c r="AJ3" s="6">
        <v>6.8233888505041862E-2</v>
      </c>
      <c r="AK3" s="6">
        <v>8.7340318019473118E-2</v>
      </c>
      <c r="AL3" s="6">
        <v>0.18601906455501879</v>
      </c>
      <c r="AM3" s="6">
        <v>9.6461005928937582E-2</v>
      </c>
      <c r="AN3" s="6">
        <v>0.20788493486511331</v>
      </c>
      <c r="AO3" s="6">
        <v>0.11987464702588579</v>
      </c>
      <c r="AP3" s="6">
        <v>-2.8675104661629199E-2</v>
      </c>
      <c r="AQ3" s="6">
        <v>-0.2120280442754702</v>
      </c>
      <c r="AR3" s="6">
        <v>-3.2704510357730587E-2</v>
      </c>
      <c r="AS3" s="6">
        <v>0.14122641902805161</v>
      </c>
      <c r="AT3" s="6">
        <v>-3.4747272652197507E-2</v>
      </c>
      <c r="AU3" s="6">
        <v>4.5616594078816568E-2</v>
      </c>
      <c r="AV3" s="6">
        <v>2.2144326545282141E-2</v>
      </c>
      <c r="AW3" s="6">
        <v>-0.17266700355485989</v>
      </c>
      <c r="AX3" s="6">
        <v>7.5979339060004814E-2</v>
      </c>
      <c r="AY3" s="6">
        <v>9.1669895598312512E-3</v>
      </c>
      <c r="AZ3" s="6">
        <v>1.5811638424496791E-2</v>
      </c>
      <c r="BA3" s="6">
        <v>0.1596223887210684</v>
      </c>
      <c r="BB3" s="6">
        <v>-0.12355126364150031</v>
      </c>
      <c r="BC3" s="6">
        <v>0.15614706721655541</v>
      </c>
      <c r="BD3" s="6">
        <v>0.16786712695784009</v>
      </c>
      <c r="BE3" s="6">
        <v>-0.1307095148892152</v>
      </c>
      <c r="BF3" s="6">
        <v>1.004111774608712E-2</v>
      </c>
      <c r="BG3" s="6">
        <v>0.31562101483380489</v>
      </c>
      <c r="BH3" s="6">
        <v>0.27021360932664601</v>
      </c>
      <c r="BI3" s="6">
        <v>5.6087308194300967E-2</v>
      </c>
      <c r="BJ3" s="6">
        <v>-2.428144716888792E-3</v>
      </c>
      <c r="BK3" s="6">
        <v>7.9795011400059179E-2</v>
      </c>
      <c r="BL3" s="6">
        <v>-2.3464502785466301E-2</v>
      </c>
      <c r="BM3" s="6">
        <v>9.4115599855399634E-2</v>
      </c>
      <c r="BN3" s="6">
        <v>1.8770326613512078E-2</v>
      </c>
      <c r="BO3" s="6">
        <v>-0.14839887615687969</v>
      </c>
      <c r="BP3" s="6">
        <v>4.107337954030732E-2</v>
      </c>
      <c r="BQ3" s="6">
        <v>-8.3183003971063707E-2</v>
      </c>
      <c r="BR3" s="6">
        <v>0.21369643032545599</v>
      </c>
      <c r="BS3" s="6">
        <v>-6.8149447486198445E-2</v>
      </c>
      <c r="BT3" s="6">
        <v>0.14424087762590629</v>
      </c>
      <c r="BU3" s="6">
        <v>0.11401522994132141</v>
      </c>
      <c r="BV3" s="6">
        <v>4.801166723024719E-3</v>
      </c>
      <c r="BW3" s="6">
        <v>0.11476889041196631</v>
      </c>
      <c r="BX3" s="6">
        <v>-9.0964923920277552E-2</v>
      </c>
      <c r="BY3" s="6">
        <v>0.11808451667450549</v>
      </c>
      <c r="BZ3" s="6">
        <v>-0.1410200400283034</v>
      </c>
      <c r="CA3" s="6">
        <v>7.4952845793382461E-2</v>
      </c>
      <c r="CB3" s="6">
        <v>-0.17068809420813311</v>
      </c>
      <c r="CC3" s="6">
        <v>8.5908462508696548E-2</v>
      </c>
      <c r="CD3" s="6">
        <v>3.0939148675174891E-2</v>
      </c>
      <c r="CE3" s="6">
        <v>0.21825654845162559</v>
      </c>
      <c r="CF3" s="6">
        <v>-0.1410466608471542</v>
      </c>
      <c r="CG3" s="6">
        <v>0.1002648354568221</v>
      </c>
      <c r="CH3" s="6">
        <v>4.561217918655408E-2</v>
      </c>
      <c r="CI3" s="6">
        <v>9.0372406724707033E-2</v>
      </c>
      <c r="CJ3" s="6">
        <v>-0.39056585729995208</v>
      </c>
      <c r="CK3" s="6">
        <v>-0.1094505841467153</v>
      </c>
      <c r="CL3" s="6">
        <v>-4.349854958948618E-2</v>
      </c>
      <c r="CM3" s="6">
        <v>0.1846143777910941</v>
      </c>
      <c r="CN3" s="6">
        <v>-0.39777868940720429</v>
      </c>
      <c r="CO3" s="6">
        <v>-9.7839711643685545E-2</v>
      </c>
      <c r="CP3" s="6">
        <v>-9.426417275536908E-2</v>
      </c>
      <c r="CQ3" s="6">
        <v>0.1719508179227969</v>
      </c>
      <c r="CR3" s="6">
        <v>6.1937752450725032E-2</v>
      </c>
      <c r="CS3" s="6">
        <v>-4.6146612606264681E-2</v>
      </c>
      <c r="CT3" s="6">
        <v>-1.1541379756887181E-2</v>
      </c>
      <c r="CU3" s="6">
        <v>-3.3298799782413353E-2</v>
      </c>
      <c r="CV3" s="6">
        <v>-2.1859147285423371E-2</v>
      </c>
      <c r="CW3" s="6">
        <v>3.9730772293418759E-2</v>
      </c>
      <c r="CX3" s="6">
        <v>-5.4060803392226853E-2</v>
      </c>
      <c r="CY3" s="6">
        <v>2.687080278938447E-2</v>
      </c>
      <c r="CZ3" s="6">
        <v>9.8156222827321893E-2</v>
      </c>
      <c r="DA3" s="6">
        <v>0.31191401999076479</v>
      </c>
      <c r="DB3" s="6">
        <v>-0.1557252615503073</v>
      </c>
      <c r="DC3" s="6">
        <v>-0.1877698733748154</v>
      </c>
      <c r="DD3" s="6">
        <v>-0.16882595651231219</v>
      </c>
      <c r="DE3" s="6">
        <v>0.16874399575438129</v>
      </c>
      <c r="DF3" s="6">
        <v>-9.1094675706205552E-2</v>
      </c>
      <c r="DG3" s="6">
        <v>-7.6287293877835782E-2</v>
      </c>
      <c r="DH3" s="6">
        <v>7.0221693802381413E-3</v>
      </c>
      <c r="DI3" s="6">
        <v>-2.1000382633728498E-3</v>
      </c>
      <c r="DJ3" s="6">
        <v>-6.8286379709951939E-2</v>
      </c>
      <c r="DK3" s="6">
        <v>4.5815090263610248E-2</v>
      </c>
      <c r="DL3" s="6">
        <v>-5.8209946840535542E-2</v>
      </c>
      <c r="DM3" s="6">
        <v>-7.0753845764884304E-2</v>
      </c>
      <c r="DN3" s="6">
        <v>2.8209852005243619E-2</v>
      </c>
      <c r="DO3" s="6">
        <v>-7.0120490357447773E-2</v>
      </c>
      <c r="DP3" s="6">
        <v>0.1609671486675571</v>
      </c>
      <c r="DQ3" s="6">
        <v>0.15477541257526009</v>
      </c>
      <c r="DR3" s="6">
        <v>-0.1084011796207669</v>
      </c>
      <c r="DS3" s="6">
        <v>0.11315866159628871</v>
      </c>
      <c r="DT3" s="6">
        <v>-9.1924478693107325E-2</v>
      </c>
      <c r="DU3" s="6">
        <v>-6.6151009182965181E-2</v>
      </c>
      <c r="DV3" s="6">
        <v>-7.3979125425596259E-2</v>
      </c>
      <c r="DW3" s="6">
        <v>6.6618381751488459E-2</v>
      </c>
      <c r="DX3" s="6">
        <v>6.9180839339883643E-2</v>
      </c>
      <c r="DY3" s="6">
        <v>-0.1020143752545596</v>
      </c>
      <c r="DZ3" s="6">
        <v>0.26467995828442159</v>
      </c>
      <c r="EA3" s="6">
        <v>-8.9146065677995434E-2</v>
      </c>
      <c r="EB3" s="6">
        <v>0.19478075764446831</v>
      </c>
      <c r="EC3" s="6">
        <v>-2.9992963587027192E-2</v>
      </c>
      <c r="ED3" s="6">
        <v>2.8755087358344141E-2</v>
      </c>
      <c r="EE3" s="6">
        <v>-8.7170363159390307E-2</v>
      </c>
      <c r="EF3" s="6">
        <v>-2.107712607482665E-2</v>
      </c>
    </row>
    <row r="4" spans="1:136">
      <c r="B4" t="s">
        <v>137</v>
      </c>
      <c r="C4" s="6">
        <v>-0.2039249712326647</v>
      </c>
      <c r="D4" s="6">
        <v>-0.1964237658858288</v>
      </c>
      <c r="E4" s="6">
        <v>-0.25001562319789628</v>
      </c>
      <c r="F4" s="6">
        <v>4.6225301858132888E-2</v>
      </c>
      <c r="G4" s="6">
        <v>3.2330243247768557E-2</v>
      </c>
      <c r="H4" s="6">
        <v>-5.1603684781703407E-2</v>
      </c>
      <c r="I4" s="6">
        <v>-7.1932762783788462E-4</v>
      </c>
      <c r="J4" s="6">
        <v>4.7735584517047507E-2</v>
      </c>
      <c r="K4" s="6">
        <v>-0.10000933785236479</v>
      </c>
      <c r="L4" s="6">
        <v>-1.5861567150846408E-2</v>
      </c>
      <c r="M4" s="6">
        <v>-5.3940441895917957E-2</v>
      </c>
      <c r="N4" s="6">
        <v>-3.006128637493433E-2</v>
      </c>
      <c r="O4" s="6">
        <v>-0.1863663761089018</v>
      </c>
      <c r="P4" s="6">
        <v>3.0686804370747112E-2</v>
      </c>
      <c r="Q4" s="6">
        <v>9.6560631213524317E-2</v>
      </c>
      <c r="R4" s="6">
        <v>-9.3806844009220569E-2</v>
      </c>
      <c r="S4" s="6">
        <v>2.384641514176522E-2</v>
      </c>
      <c r="T4" s="6">
        <v>7.3443894560089262E-2</v>
      </c>
      <c r="U4" s="6">
        <v>6.8552151821030796E-3</v>
      </c>
      <c r="V4" s="6">
        <v>-2.2154839675355479E-2</v>
      </c>
      <c r="W4" s="6">
        <v>-7.0055171589089582E-3</v>
      </c>
      <c r="X4" s="6">
        <v>-0.1692982319172103</v>
      </c>
      <c r="Y4" s="6">
        <v>-0.23320259238128571</v>
      </c>
      <c r="Z4" s="6">
        <v>-1.0288574917018071E-2</v>
      </c>
      <c r="AA4" s="6">
        <v>-2.5866334724611311E-3</v>
      </c>
      <c r="AB4" s="6">
        <v>-0.1637843756315753</v>
      </c>
      <c r="AC4" s="6">
        <v>-6.4688800973662808E-2</v>
      </c>
      <c r="AD4" s="6">
        <v>-5.3477424616254148E-2</v>
      </c>
      <c r="AE4" s="6">
        <v>4.309073895244353E-2</v>
      </c>
      <c r="AF4" s="6">
        <v>8.0218323830894889E-2</v>
      </c>
      <c r="AG4" s="6">
        <v>-0.1002521131150758</v>
      </c>
      <c r="AH4" s="6">
        <v>0.1185404057803101</v>
      </c>
      <c r="AI4" s="6">
        <v>-8.6514098466683009E-2</v>
      </c>
      <c r="AJ4" s="6">
        <v>-9.6720591922766275E-2</v>
      </c>
      <c r="AK4" s="6">
        <v>7.714821270149308E-2</v>
      </c>
      <c r="AL4" s="6">
        <v>2.0174232134641201E-2</v>
      </c>
      <c r="AM4" s="6">
        <v>-6.7241324666724722E-3</v>
      </c>
      <c r="AN4" s="6">
        <v>1.122578986331213E-2</v>
      </c>
      <c r="AO4" s="6">
        <v>-4.4498439328666713E-2</v>
      </c>
      <c r="AP4" s="6">
        <v>7.9516907835369466E-2</v>
      </c>
      <c r="AQ4" s="6">
        <v>-9.1550116191305264E-2</v>
      </c>
      <c r="AR4" s="6">
        <v>0.1142424157596746</v>
      </c>
      <c r="AS4" s="6">
        <v>8.2448436759978705E-2</v>
      </c>
      <c r="AT4" s="6">
        <v>9.7249827762322383E-3</v>
      </c>
      <c r="AU4" s="6">
        <v>-3.4605903137480347E-2</v>
      </c>
      <c r="AV4" s="6">
        <v>-0.2174533789678712</v>
      </c>
      <c r="AW4" s="6">
        <v>5.2334484190899033E-2</v>
      </c>
      <c r="AX4" s="6">
        <v>1.384542021274626E-2</v>
      </c>
      <c r="AY4" s="6">
        <v>0.106382535700245</v>
      </c>
      <c r="AZ4" s="6">
        <v>1.573201072361563E-2</v>
      </c>
      <c r="BA4" s="6">
        <v>-0.15377072052847751</v>
      </c>
      <c r="BB4" s="6">
        <v>-0.25244423454125631</v>
      </c>
      <c r="BC4" s="6">
        <v>-0.14982873402575869</v>
      </c>
      <c r="BD4" s="6">
        <v>-2.2554321715718469E-2</v>
      </c>
      <c r="BE4" s="6">
        <v>-3.1285268658100662E-2</v>
      </c>
      <c r="BF4" s="6">
        <v>0.1240869826657605</v>
      </c>
      <c r="BG4" s="6">
        <v>-7.4642493295524304E-2</v>
      </c>
      <c r="BH4" s="6">
        <v>-6.4841754756111314E-2</v>
      </c>
      <c r="BI4" s="6">
        <v>1.8201446010561281E-2</v>
      </c>
      <c r="BJ4" s="6">
        <v>-0.15018846614211159</v>
      </c>
      <c r="BK4" s="6">
        <v>-5.9172596101159769E-2</v>
      </c>
      <c r="BL4" s="6">
        <v>-4.7948186331197462E-2</v>
      </c>
      <c r="BM4" s="6">
        <v>2.052177888404572E-2</v>
      </c>
      <c r="BN4" s="6">
        <v>4.0184826284235697E-2</v>
      </c>
      <c r="BO4" s="6">
        <v>4.4253141477314628E-2</v>
      </c>
      <c r="BP4" s="6">
        <v>8.2144881969639982E-2</v>
      </c>
      <c r="BQ4" s="6">
        <v>3.034994243067857E-2</v>
      </c>
      <c r="BR4" s="6">
        <v>-0.1178677152142722</v>
      </c>
      <c r="BS4" s="6">
        <v>-1.7435734218624429E-2</v>
      </c>
      <c r="BT4" s="6">
        <v>-3.4138675888959469E-2</v>
      </c>
      <c r="BU4" s="6">
        <v>-4.6293256972850472E-2</v>
      </c>
      <c r="BV4" s="6">
        <v>0.17074793581774189</v>
      </c>
      <c r="BW4" s="6">
        <v>-0.1002724725514543</v>
      </c>
      <c r="BX4" s="6">
        <v>-7.1039208889066785E-2</v>
      </c>
      <c r="BY4" s="6">
        <v>-0.17569208578460399</v>
      </c>
      <c r="BZ4" s="6">
        <v>8.5263289590539415E-2</v>
      </c>
      <c r="CA4" s="6">
        <v>1.455569009171143E-2</v>
      </c>
      <c r="CB4" s="6">
        <v>0.19268600459385959</v>
      </c>
      <c r="CC4" s="6">
        <v>-0.29881238545137911</v>
      </c>
      <c r="CD4" s="6">
        <v>-0.1349379461871649</v>
      </c>
      <c r="CE4" s="6">
        <v>-5.6657895268028113E-2</v>
      </c>
      <c r="CF4" s="6">
        <v>-0.11375971139280951</v>
      </c>
      <c r="CG4" s="6">
        <v>5.7622067517158371E-2</v>
      </c>
      <c r="CH4" s="6">
        <v>-4.001254466679427E-3</v>
      </c>
      <c r="CI4" s="6">
        <v>7.7424647921532141E-2</v>
      </c>
      <c r="CJ4" s="6">
        <v>2.6114056760381029E-2</v>
      </c>
      <c r="CK4" s="6">
        <v>-2.240001723672691E-2</v>
      </c>
      <c r="CL4" s="6">
        <v>-7.0095624035594994E-2</v>
      </c>
      <c r="CM4" s="6">
        <v>4.3436542483707541E-2</v>
      </c>
      <c r="CN4" s="6">
        <v>0.18690672157174859</v>
      </c>
      <c r="CO4" s="6">
        <v>4.446453202920253E-3</v>
      </c>
      <c r="CP4" s="6">
        <v>2.4151386485087301E-2</v>
      </c>
      <c r="CQ4" s="6">
        <v>-3.1460764321860069E-2</v>
      </c>
      <c r="CR4" s="6">
        <v>-0.29662338596077831</v>
      </c>
      <c r="CS4" s="6">
        <v>-0.27970336465505241</v>
      </c>
      <c r="CT4" s="6">
        <v>7.8684619263164279E-2</v>
      </c>
      <c r="CU4" s="6">
        <v>-0.11218630160750109</v>
      </c>
      <c r="CV4" s="6">
        <v>0.11296132499189331</v>
      </c>
      <c r="CW4" s="6">
        <v>-4.1031038792660013E-2</v>
      </c>
      <c r="CX4" s="6">
        <v>6.6400736315959108E-2</v>
      </c>
      <c r="CY4" s="6">
        <v>-0.17738472354507101</v>
      </c>
      <c r="CZ4" s="6">
        <v>-0.14025649491331291</v>
      </c>
      <c r="DA4" s="6">
        <v>-0.22065215831468171</v>
      </c>
      <c r="DB4" s="6">
        <v>-4.7530422130282801E-2</v>
      </c>
      <c r="DC4" s="6">
        <v>-0.1384211204142467</v>
      </c>
      <c r="DD4" s="6">
        <v>0.10113629887646169</v>
      </c>
      <c r="DE4" s="6">
        <v>4.5885478784697398E-2</v>
      </c>
      <c r="DF4" s="6">
        <v>4.9743559277015237E-2</v>
      </c>
      <c r="DG4" s="6">
        <v>-0.137130303806142</v>
      </c>
      <c r="DH4" s="6">
        <v>0.15813722836365329</v>
      </c>
      <c r="DI4" s="6">
        <v>-5.8844921242510402E-2</v>
      </c>
      <c r="DJ4" s="6">
        <v>-0.1256585188069437</v>
      </c>
      <c r="DK4" s="6">
        <v>-0.17054839142057079</v>
      </c>
      <c r="DL4" s="6">
        <v>8.7111231199973105E-2</v>
      </c>
      <c r="DM4" s="6">
        <v>0.22121757588715951</v>
      </c>
      <c r="DN4" s="6">
        <v>8.2980876911495471E-2</v>
      </c>
      <c r="DO4" s="6">
        <v>-3.4106922891275808E-2</v>
      </c>
      <c r="DP4" s="6">
        <v>-7.2756652210209438E-2</v>
      </c>
      <c r="DQ4" s="6">
        <v>-0.1680556719972266</v>
      </c>
      <c r="DR4" s="6">
        <v>-0.12816572962436371</v>
      </c>
      <c r="DS4" s="6">
        <v>-7.759167425624014E-2</v>
      </c>
      <c r="DT4" s="6">
        <v>-0.20203504768606001</v>
      </c>
      <c r="DU4" s="6">
        <v>-5.5486709118024891E-2</v>
      </c>
      <c r="DV4" s="6">
        <v>8.2663101688531526E-3</v>
      </c>
      <c r="DW4" s="6">
        <v>-1.40933401356591E-2</v>
      </c>
      <c r="DX4" s="6">
        <v>-9.0217886051373597E-2</v>
      </c>
      <c r="DY4" s="6">
        <v>9.7821812382289153E-2</v>
      </c>
      <c r="DZ4" s="6">
        <v>-0.12757008956569391</v>
      </c>
      <c r="EA4" s="6">
        <v>-0.1945089543306722</v>
      </c>
      <c r="EB4" s="6">
        <v>-0.31627292637508481</v>
      </c>
      <c r="EC4" s="6">
        <v>4.5255164501341483E-2</v>
      </c>
      <c r="ED4" s="6">
        <v>5.6017206552507297E-2</v>
      </c>
      <c r="EE4" s="6">
        <v>0.1196917374403057</v>
      </c>
      <c r="EF4" s="6">
        <v>0.24309353172991879</v>
      </c>
    </row>
    <row r="5" spans="1:136">
      <c r="B5" t="s">
        <v>138</v>
      </c>
      <c r="C5" s="6">
        <v>-0.20935361149472831</v>
      </c>
      <c r="D5" s="6">
        <v>-0.1072455023751924</v>
      </c>
      <c r="E5" s="6">
        <v>0.52501530683772435</v>
      </c>
      <c r="F5" s="6">
        <v>4.6823768151851013E-2</v>
      </c>
      <c r="G5" s="6">
        <v>-0.21046493626235849</v>
      </c>
      <c r="H5" s="6">
        <v>0.47449114813492221</v>
      </c>
      <c r="I5" s="6">
        <v>0.14680892480266791</v>
      </c>
      <c r="J5" s="6">
        <v>-5.6142242586696901E-2</v>
      </c>
      <c r="K5" s="6">
        <v>0.27557732059741852</v>
      </c>
      <c r="L5" s="6">
        <v>-0.429803895577967</v>
      </c>
      <c r="M5" s="6">
        <v>0.32349590077241003</v>
      </c>
      <c r="N5" s="6">
        <v>-0.34825072939559049</v>
      </c>
      <c r="O5" s="6">
        <v>-9.75267647927303E-2</v>
      </c>
      <c r="P5" s="6">
        <v>0.39540466236699251</v>
      </c>
      <c r="Q5" s="6">
        <v>4.8478108376362662E-2</v>
      </c>
      <c r="R5" s="6">
        <v>-9.8985600985133329E-2</v>
      </c>
      <c r="S5" s="6">
        <v>0.305793727896155</v>
      </c>
      <c r="T5" s="6">
        <v>7.2165930759538061E-2</v>
      </c>
      <c r="U5" s="6">
        <v>-4.9009230430883954E-4</v>
      </c>
      <c r="V5" s="6">
        <v>-0.13929554545575701</v>
      </c>
      <c r="W5" s="6">
        <v>-0.39469257513977751</v>
      </c>
      <c r="X5" s="6">
        <v>-0.12931156060545229</v>
      </c>
      <c r="Y5" s="6">
        <v>-0.68125891047001907</v>
      </c>
      <c r="Z5" s="6">
        <v>-4.1938156243548769E-3</v>
      </c>
      <c r="AA5" s="6">
        <v>1.8560125119517271E-2</v>
      </c>
      <c r="AB5" s="6">
        <v>0.20113094605220941</v>
      </c>
      <c r="AC5" s="6">
        <v>-8.9483378930757945E-2</v>
      </c>
      <c r="AD5" s="6">
        <v>0.1451410860629446</v>
      </c>
      <c r="AE5" s="6">
        <v>7.4624119096799141E-2</v>
      </c>
      <c r="AF5" s="6">
        <v>0.17580443763613759</v>
      </c>
      <c r="AG5" s="6">
        <v>-0.30331265835277282</v>
      </c>
      <c r="AH5" s="6">
        <v>-0.3483397071352336</v>
      </c>
      <c r="AI5" s="6">
        <v>0.25873608106819568</v>
      </c>
      <c r="AJ5" s="6">
        <v>-0.48879761544229228</v>
      </c>
      <c r="AK5" s="6">
        <v>0.13252874976468179</v>
      </c>
      <c r="AL5" s="6">
        <v>-2.3800153911279789E-2</v>
      </c>
      <c r="AM5" s="6">
        <v>1.173620113508929E-2</v>
      </c>
      <c r="AN5" s="6">
        <v>-7.4812103146932943E-2</v>
      </c>
      <c r="AO5" s="6">
        <v>0.1844777721646908</v>
      </c>
      <c r="AP5" s="6">
        <v>3.2454138263480981E-2</v>
      </c>
      <c r="AQ5" s="6">
        <v>0.15120275047085749</v>
      </c>
      <c r="AR5" s="6">
        <v>-9.5283188802216146E-2</v>
      </c>
      <c r="AS5" s="6">
        <v>-0.1260032609462903</v>
      </c>
      <c r="AT5" s="6">
        <v>0.1516753034210738</v>
      </c>
      <c r="AU5" s="6">
        <v>-0.2007889112295945</v>
      </c>
      <c r="AV5" s="6">
        <v>7.8901861222600136E-2</v>
      </c>
      <c r="AW5" s="6">
        <v>6.6907089587781021E-4</v>
      </c>
      <c r="AX5" s="6">
        <v>0.1123518508204545</v>
      </c>
      <c r="AY5" s="6">
        <v>-0.11800901394968941</v>
      </c>
      <c r="AZ5" s="6">
        <v>0.20623475003072961</v>
      </c>
      <c r="BA5" s="6">
        <v>-3.97937801882461E-2</v>
      </c>
      <c r="BB5" s="6">
        <v>8.3008355637714748E-2</v>
      </c>
      <c r="BC5" s="6">
        <v>-0.13000300529739819</v>
      </c>
      <c r="BD5" s="6">
        <v>-0.1064312900594583</v>
      </c>
      <c r="BE5" s="6">
        <v>0.1158849362838152</v>
      </c>
      <c r="BF5" s="6">
        <v>-0.28526717215295749</v>
      </c>
      <c r="BG5" s="6">
        <v>-0.1509842362786851</v>
      </c>
      <c r="BH5" s="6">
        <v>2.9341057503422599E-3</v>
      </c>
      <c r="BI5" s="6">
        <v>5.8262514508516133E-2</v>
      </c>
      <c r="BJ5" s="6">
        <v>-0.25989264623200092</v>
      </c>
      <c r="BK5" s="6">
        <v>0.18474040199136449</v>
      </c>
      <c r="BL5" s="6">
        <v>-0.26914540554674848</v>
      </c>
      <c r="BM5" s="6">
        <v>0.17150836470177749</v>
      </c>
      <c r="BN5" s="6">
        <v>-0.18088850446581761</v>
      </c>
      <c r="BO5" s="6">
        <v>-6.3206745350197338E-2</v>
      </c>
      <c r="BP5" s="6">
        <v>7.1774957077323495E-2</v>
      </c>
      <c r="BQ5" s="6">
        <v>-0.1686195689897588</v>
      </c>
      <c r="BR5" s="6">
        <v>-2.545873273363362E-2</v>
      </c>
      <c r="BS5" s="6">
        <v>0.1245446019666267</v>
      </c>
      <c r="BT5" s="6">
        <v>0.20782503929497201</v>
      </c>
      <c r="BU5" s="6">
        <v>-6.0037446829220693E-2</v>
      </c>
      <c r="BV5" s="6">
        <v>-5.1905003051803483E-2</v>
      </c>
      <c r="BW5" s="6">
        <v>-0.12680819125864681</v>
      </c>
      <c r="BX5" s="6">
        <v>-0.1052510446788132</v>
      </c>
      <c r="BY5" s="6">
        <v>5.3601773045040088E-2</v>
      </c>
      <c r="BZ5" s="6">
        <v>-3.4388144014312297E-2</v>
      </c>
      <c r="CA5" s="6">
        <v>-2.0069736378605839E-2</v>
      </c>
      <c r="CB5" s="6">
        <v>8.4300430524421641E-2</v>
      </c>
      <c r="CC5" s="6">
        <v>-0.110410835022124</v>
      </c>
      <c r="CD5" s="6">
        <v>0.32740031270766617</v>
      </c>
      <c r="CE5" s="6">
        <v>-1.5012168586274939E-2</v>
      </c>
      <c r="CF5" s="6">
        <v>-0.14937021175902551</v>
      </c>
      <c r="CG5" s="6">
        <v>0.16297301454092969</v>
      </c>
      <c r="CH5" s="6">
        <v>-6.896103144523659E-2</v>
      </c>
      <c r="CI5" s="6">
        <v>-0.11541146458518491</v>
      </c>
      <c r="CJ5" s="6">
        <v>-0.26303527345610228</v>
      </c>
      <c r="CK5" s="6">
        <v>0.37924960384624179</v>
      </c>
      <c r="CL5" s="6">
        <v>-7.6790699983737498E-2</v>
      </c>
      <c r="CM5" s="6">
        <v>4.2652506298582429E-2</v>
      </c>
      <c r="CN5" s="6">
        <v>-0.1516858867131603</v>
      </c>
      <c r="CO5" s="6">
        <v>0.43724307982140581</v>
      </c>
      <c r="CP5" s="6">
        <v>-3.9926150423868351E-3</v>
      </c>
      <c r="CQ5" s="6">
        <v>-0.49916489273431458</v>
      </c>
      <c r="CR5" s="6">
        <v>0.33988683275055442</v>
      </c>
      <c r="CS5" s="6">
        <v>-0.18986441617449731</v>
      </c>
      <c r="CT5" s="6">
        <v>0.2246321236344469</v>
      </c>
      <c r="CU5" s="6">
        <v>-0.25170889936125151</v>
      </c>
      <c r="CV5" s="6">
        <v>-6.0592355965027593E-2</v>
      </c>
      <c r="CW5" s="6">
        <v>0.2109010090070762</v>
      </c>
      <c r="CX5" s="6">
        <v>0.25025019061541082</v>
      </c>
      <c r="CY5" s="6">
        <v>-0.52414963758384503</v>
      </c>
      <c r="CZ5" s="6">
        <v>0.82142749669553927</v>
      </c>
      <c r="DA5" s="6">
        <v>-0.17651348566266811</v>
      </c>
      <c r="DB5" s="6">
        <v>0.13125649202051129</v>
      </c>
      <c r="DC5" s="6">
        <v>0.17576145031796331</v>
      </c>
      <c r="DD5" s="6">
        <v>-0.42086343262939768</v>
      </c>
      <c r="DE5" s="6">
        <v>-0.22795497779214821</v>
      </c>
      <c r="DF5" s="6">
        <v>-0.3368819221783515</v>
      </c>
      <c r="DG5" s="6">
        <v>-0.44413532346609758</v>
      </c>
      <c r="DH5" s="6">
        <v>-4.27982998765781E-2</v>
      </c>
      <c r="DI5" s="6">
        <v>0.30948159020781918</v>
      </c>
      <c r="DJ5" s="6">
        <v>-0.28667223643824391</v>
      </c>
      <c r="DK5" s="6">
        <v>0.84630493967791443</v>
      </c>
      <c r="DL5" s="6">
        <v>-0.1693329876927529</v>
      </c>
      <c r="DM5" s="6">
        <v>-0.4391099461359883</v>
      </c>
      <c r="DN5" s="6">
        <v>0.74761868532509412</v>
      </c>
      <c r="DO5" s="6">
        <v>-0.40009342240963602</v>
      </c>
      <c r="DP5" s="6">
        <v>-4.4799489944027257E-2</v>
      </c>
      <c r="DQ5" s="6">
        <v>-0.58861281581662461</v>
      </c>
      <c r="DR5" s="6">
        <v>-6.4257074862891627E-3</v>
      </c>
      <c r="DS5" s="6">
        <v>-0.19880266564910609</v>
      </c>
      <c r="DT5" s="6">
        <v>0.41307307328401038</v>
      </c>
      <c r="DU5" s="6">
        <v>-0.17063643177968549</v>
      </c>
      <c r="DV5" s="6">
        <v>0.68807702540912619</v>
      </c>
      <c r="DW5" s="6">
        <v>4.0827356191794333E-2</v>
      </c>
      <c r="DX5" s="6">
        <v>-0.1999673354250954</v>
      </c>
      <c r="DY5" s="6">
        <v>0.56631330445582462</v>
      </c>
      <c r="DZ5" s="6">
        <v>0.47368914822135011</v>
      </c>
      <c r="EA5" s="6">
        <v>9.5631863057402539E-2</v>
      </c>
      <c r="EB5" s="6">
        <v>-1.0762939402606311</v>
      </c>
      <c r="EC5" s="6">
        <v>-0.13598026508787489</v>
      </c>
      <c r="ED5" s="6">
        <v>-0.2734944373108647</v>
      </c>
      <c r="EE5" s="6">
        <v>0.6014180383447254</v>
      </c>
      <c r="EF5" s="6">
        <v>6.7940871428030583E-3</v>
      </c>
    </row>
    <row r="7" spans="1:136">
      <c r="A7" t="s">
        <v>203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8">
        <v>0.109105830631824</v>
      </c>
      <c r="D9" s="8">
        <v>1.4576582608432649E-2</v>
      </c>
      <c r="E9" s="8">
        <v>-3.6154356576976902E-2</v>
      </c>
      <c r="F9" s="8">
        <v>-4.742600977062153E-3</v>
      </c>
      <c r="G9" s="8">
        <v>-5.7477531385562736E-3</v>
      </c>
      <c r="H9" s="8">
        <v>4.9378023156909527E-2</v>
      </c>
      <c r="I9" s="8">
        <v>0.18325176920476779</v>
      </c>
      <c r="J9" s="8">
        <v>0.1164863088741452</v>
      </c>
      <c r="K9" s="8">
        <v>-3.0594945598924051E-2</v>
      </c>
      <c r="L9" s="8">
        <v>1.9828051430277011E-2</v>
      </c>
      <c r="M9" s="8">
        <v>-2.0999006362740089E-2</v>
      </c>
      <c r="N9" s="8">
        <v>0.1497794247734946</v>
      </c>
      <c r="O9" s="8">
        <v>1.5463406170905081E-2</v>
      </c>
      <c r="P9" s="8">
        <v>-9.1792321477913982E-2</v>
      </c>
      <c r="Q9" s="8">
        <v>-7.7409013100986537E-2</v>
      </c>
      <c r="R9" s="8">
        <v>5.4776596014220982E-2</v>
      </c>
      <c r="S9" s="8">
        <v>-0.12533438670858049</v>
      </c>
      <c r="T9" s="8">
        <v>-0.1190534205538864</v>
      </c>
      <c r="U9" s="8">
        <v>-3.777005083138045E-2</v>
      </c>
      <c r="V9" s="8">
        <v>8.1183823152198617E-2</v>
      </c>
      <c r="W9" s="8">
        <v>8.4008967865119855E-2</v>
      </c>
      <c r="X9" s="8">
        <v>0.14701135657134901</v>
      </c>
      <c r="Y9" s="8">
        <v>-0.12536053701812139</v>
      </c>
      <c r="Z9" s="8">
        <v>0.1919535535452612</v>
      </c>
      <c r="AA9" s="8">
        <v>-8.4370782422902996E-2</v>
      </c>
      <c r="AB9" s="8">
        <v>7.2897613803716274E-2</v>
      </c>
      <c r="AC9" s="8">
        <v>0.10260456025692451</v>
      </c>
      <c r="AD9" s="8">
        <v>1.5770167253116588E-2</v>
      </c>
      <c r="AE9" s="8">
        <v>-0.15200716210156701</v>
      </c>
      <c r="AF9" s="8">
        <v>5.9250251506559243E-2</v>
      </c>
      <c r="AG9" s="8">
        <v>0.13005883770177931</v>
      </c>
      <c r="AH9" s="8">
        <v>0.11525639530312259</v>
      </c>
      <c r="AI9" s="8">
        <v>3.2606621901195412E-2</v>
      </c>
      <c r="AJ9" s="8">
        <v>2.79991148643382E-2</v>
      </c>
      <c r="AK9" s="8">
        <v>0.14657041796408479</v>
      </c>
      <c r="AL9" s="8">
        <v>4.0841921466891577E-2</v>
      </c>
      <c r="AM9" s="8">
        <v>0.13137636706820099</v>
      </c>
      <c r="AN9" s="8">
        <v>0.22143295930140211</v>
      </c>
      <c r="AO9" s="8">
        <v>-2.0941038924054418E-2</v>
      </c>
      <c r="AP9" s="8">
        <v>-0.13715995040864579</v>
      </c>
      <c r="AQ9" s="8">
        <v>-2.4882854865750599E-2</v>
      </c>
      <c r="AR9" s="8">
        <v>1.551397070984222E-2</v>
      </c>
      <c r="AS9" s="8">
        <v>3.4373036510765703E-2</v>
      </c>
      <c r="AT9" s="8">
        <v>6.3095686135752824E-2</v>
      </c>
      <c r="AU9" s="8">
        <v>4.3237695395113553E-2</v>
      </c>
      <c r="AV9" s="8">
        <v>-7.4230367380587331E-2</v>
      </c>
      <c r="AW9" s="8">
        <v>2.7994827208502701E-2</v>
      </c>
      <c r="AX9" s="8">
        <v>0.1198644178103629</v>
      </c>
      <c r="AY9" s="8">
        <v>7.6559571245744709E-2</v>
      </c>
      <c r="AZ9" s="8">
        <v>-2.1730386111293399E-2</v>
      </c>
      <c r="BA9" s="8">
        <v>-1.2464632784982711E-3</v>
      </c>
      <c r="BB9" s="8">
        <v>0.10099582217884891</v>
      </c>
      <c r="BC9" s="8">
        <v>2.9826929857085831E-2</v>
      </c>
      <c r="BD9" s="8">
        <v>8.6757683796749117E-3</v>
      </c>
      <c r="BE9" s="8">
        <v>6.8557206018591665E-2</v>
      </c>
      <c r="BF9" s="8">
        <v>0.15691259652648329</v>
      </c>
      <c r="BG9" s="8">
        <v>0.1592037331379933</v>
      </c>
      <c r="BH9" s="8">
        <v>6.1121667651573217E-2</v>
      </c>
      <c r="BI9" s="8">
        <v>9.6912851275401127E-2</v>
      </c>
      <c r="BJ9" s="8">
        <v>-5.4746248471514068E-2</v>
      </c>
      <c r="BK9" s="8">
        <v>-8.7492963132843785E-2</v>
      </c>
      <c r="BL9" s="8">
        <v>9.4426745861656128E-2</v>
      </c>
      <c r="BM9" s="8">
        <v>-2.2191058729398399E-2</v>
      </c>
      <c r="BN9" s="8">
        <v>1.562861243910833E-2</v>
      </c>
      <c r="BO9" s="8">
        <v>8.1418240100881306E-2</v>
      </c>
      <c r="BP9" s="8">
        <v>-1.8508942424783719E-2</v>
      </c>
      <c r="BQ9" s="8">
        <v>6.8729568027927734E-2</v>
      </c>
      <c r="BR9" s="8">
        <v>3.1023605185006549E-3</v>
      </c>
      <c r="BS9" s="8">
        <v>7.4964417651561921E-2</v>
      </c>
      <c r="BT9" s="8">
        <v>4.5201587698112312E-2</v>
      </c>
      <c r="BU9" s="8">
        <v>2.5677329398223779E-2</v>
      </c>
      <c r="BV9" s="8">
        <v>9.180403106274436E-2</v>
      </c>
      <c r="BW9" s="8">
        <v>-2.6353999034970911E-2</v>
      </c>
      <c r="BX9" s="8">
        <v>1.9394832235212069E-2</v>
      </c>
      <c r="BY9" s="8">
        <v>-7.6838899317359197E-2</v>
      </c>
      <c r="BZ9" s="8">
        <v>0.1133093139289441</v>
      </c>
      <c r="CA9" s="8">
        <v>-0.10735493495839039</v>
      </c>
      <c r="CB9" s="8">
        <v>4.0844788501696747E-2</v>
      </c>
      <c r="CC9" s="8">
        <v>-1.9801708972640539E-2</v>
      </c>
      <c r="CD9" s="8">
        <v>0.1883770899619405</v>
      </c>
      <c r="CE9" s="8">
        <v>5.5574905720929421E-2</v>
      </c>
      <c r="CF9" s="8">
        <v>7.4872074365934668E-2</v>
      </c>
      <c r="CG9" s="8">
        <v>0.1000001919024945</v>
      </c>
      <c r="CH9" s="8">
        <v>0.1360217220005796</v>
      </c>
      <c r="CI9" s="8">
        <v>-9.3741014702459921E-2</v>
      </c>
      <c r="CJ9" s="8">
        <v>3.9305991202356373E-3</v>
      </c>
      <c r="CK9" s="8">
        <v>5.6507776574398372E-2</v>
      </c>
      <c r="CL9" s="8">
        <v>0.26354577822564818</v>
      </c>
      <c r="CM9" s="8">
        <v>-9.5554349157474378E-3</v>
      </c>
      <c r="CN9" s="8">
        <v>-3.1511899508967982E-2</v>
      </c>
      <c r="CO9" s="8">
        <v>-2.2619031528730349E-2</v>
      </c>
      <c r="CP9" s="8">
        <v>0.13265560934539161</v>
      </c>
      <c r="CQ9" s="8">
        <v>0.1330727797426777</v>
      </c>
      <c r="CR9" s="8">
        <v>-1.4956408370414089E-2</v>
      </c>
      <c r="CS9" s="8">
        <v>-3.3419937997587537E-2</v>
      </c>
      <c r="CT9" s="8">
        <v>1.228120855821169E-2</v>
      </c>
      <c r="CU9" s="8">
        <v>0.11681498356736621</v>
      </c>
      <c r="CV9" s="8">
        <v>-3.1589453565969692E-3</v>
      </c>
      <c r="CW9" s="8">
        <v>3.8217758352757383E-2</v>
      </c>
      <c r="CX9" s="8">
        <v>0.13917409482071269</v>
      </c>
      <c r="CY9" s="8">
        <v>-2.3712287606589749E-2</v>
      </c>
      <c r="CZ9" s="8">
        <v>0.21835291106172269</v>
      </c>
      <c r="DA9" s="8">
        <v>-5.796736233046404E-2</v>
      </c>
      <c r="DB9" s="8">
        <v>-1.410421852050941E-2</v>
      </c>
      <c r="DC9" s="8">
        <v>0.11395608079284369</v>
      </c>
      <c r="DD9" s="8">
        <v>7.4472261891957006E-2</v>
      </c>
      <c r="DE9" s="8">
        <v>-8.9969275376677231E-4</v>
      </c>
      <c r="DF9" s="8">
        <v>9.7707180382245536E-4</v>
      </c>
      <c r="DG9" s="8">
        <v>-7.2980095070914866E-2</v>
      </c>
      <c r="DH9" s="8">
        <v>-2.384528684741952E-2</v>
      </c>
      <c r="DI9" s="8">
        <v>-0.101530671996864</v>
      </c>
      <c r="DJ9" s="8">
        <v>2.7692536462605249E-2</v>
      </c>
      <c r="DK9" s="8">
        <v>-4.9335152901351147E-2</v>
      </c>
      <c r="DL9" s="8">
        <v>-5.6993575669654463E-3</v>
      </c>
      <c r="DM9" s="8">
        <v>-3.698176006290884E-2</v>
      </c>
      <c r="DN9" s="8">
        <v>0.1098129862949979</v>
      </c>
      <c r="DO9" s="8">
        <v>4.2036825231170707E-2</v>
      </c>
      <c r="DP9" s="8">
        <v>8.4566668006112469E-2</v>
      </c>
      <c r="DQ9" s="8">
        <v>-0.11027981086457481</v>
      </c>
      <c r="DR9" s="8">
        <v>9.4328709127723676E-2</v>
      </c>
      <c r="DS9" s="8">
        <v>-7.1906912609422696E-2</v>
      </c>
      <c r="DT9" s="8">
        <v>-9.6236429507091506E-2</v>
      </c>
      <c r="DU9" s="8">
        <v>2.3455494098847921E-3</v>
      </c>
      <c r="DV9" s="8">
        <v>0.13401742358239299</v>
      </c>
      <c r="DW9" s="8">
        <v>9.4732519114383587E-2</v>
      </c>
      <c r="DX9" s="8">
        <v>-0.1037731978548066</v>
      </c>
      <c r="DY9" s="8">
        <v>7.5762154171076845E-2</v>
      </c>
      <c r="DZ9" s="8">
        <v>-3.1829720434029513E-2</v>
      </c>
      <c r="EA9" s="8">
        <v>0.16130801932992569</v>
      </c>
      <c r="EB9" s="8">
        <v>1.020353315832318E-2</v>
      </c>
      <c r="EC9" s="8">
        <v>7.3988425168607055E-2</v>
      </c>
      <c r="ED9" s="8">
        <v>-0.15737687498945321</v>
      </c>
      <c r="EE9" s="8">
        <v>7.9137553498671423E-2</v>
      </c>
      <c r="EF9" s="8">
        <v>7.252854687485949E-2</v>
      </c>
    </row>
    <row r="10" spans="1:136">
      <c r="B10" t="s">
        <v>137</v>
      </c>
      <c r="C10" s="8">
        <v>-0.24758870953733739</v>
      </c>
      <c r="D10" s="8">
        <v>-0.27469330301591988</v>
      </c>
      <c r="E10" s="8">
        <v>-8.4648385226775952E-2</v>
      </c>
      <c r="F10" s="8">
        <v>2.264463125499239E-2</v>
      </c>
      <c r="G10" s="8">
        <v>-4.968000079578011E-2</v>
      </c>
      <c r="H10" s="8">
        <v>-0.100759633161552</v>
      </c>
      <c r="I10" s="8">
        <v>-1.2522721374844691E-2</v>
      </c>
      <c r="J10" s="8">
        <v>7.8736550465264579E-2</v>
      </c>
      <c r="K10" s="8">
        <v>-3.418510024326199E-2</v>
      </c>
      <c r="L10" s="8">
        <v>8.8406797789969321E-2</v>
      </c>
      <c r="M10" s="8">
        <v>-3.063454560011507E-3</v>
      </c>
      <c r="N10" s="8">
        <v>-0.21221799304980321</v>
      </c>
      <c r="O10" s="8">
        <v>-3.6805388582279122E-2</v>
      </c>
      <c r="P10" s="8">
        <v>7.1033118877316462E-2</v>
      </c>
      <c r="Q10" s="8">
        <v>-7.1261132998910126E-2</v>
      </c>
      <c r="R10" s="8">
        <v>2.1560446706208151E-2</v>
      </c>
      <c r="S10" s="8">
        <v>0.10111125807516751</v>
      </c>
      <c r="T10" s="8">
        <v>4.3224739792793003E-2</v>
      </c>
      <c r="U10" s="8">
        <v>1.488194958969411E-2</v>
      </c>
      <c r="V10" s="8">
        <v>6.3260243037239986E-3</v>
      </c>
      <c r="W10" s="8">
        <v>-0.1435529784595129</v>
      </c>
      <c r="X10" s="8">
        <v>-6.4282172013507929E-2</v>
      </c>
      <c r="Y10" s="8">
        <v>-1.9034202878042191E-2</v>
      </c>
      <c r="Z10" s="8">
        <v>-2.0644556245472189E-2</v>
      </c>
      <c r="AA10" s="8">
        <v>3.3059540377865217E-2</v>
      </c>
      <c r="AB10" s="8">
        <v>-1.9418226776777941E-2</v>
      </c>
      <c r="AC10" s="8">
        <v>-6.3126838764061721E-2</v>
      </c>
      <c r="AD10" s="8">
        <v>-6.5629712146108229E-2</v>
      </c>
      <c r="AE10" s="8">
        <v>0.1379956892668254</v>
      </c>
      <c r="AF10" s="8">
        <v>-0.1005679184552228</v>
      </c>
      <c r="AG10" s="8">
        <v>-3.7969091150733998E-2</v>
      </c>
      <c r="AH10" s="8">
        <v>-4.5839537807496208E-2</v>
      </c>
      <c r="AI10" s="8">
        <v>-5.1034095516539722E-2</v>
      </c>
      <c r="AJ10" s="8">
        <v>-3.2204408877165632E-3</v>
      </c>
      <c r="AK10" s="8">
        <v>4.8952958975013116E-4</v>
      </c>
      <c r="AL10" s="8">
        <v>-0.1064467536119352</v>
      </c>
      <c r="AM10" s="8">
        <v>-1.3723973583554899E-2</v>
      </c>
      <c r="AN10" s="8">
        <v>-0.1219647076543238</v>
      </c>
      <c r="AO10" s="8">
        <v>-4.858966597382592E-2</v>
      </c>
      <c r="AP10" s="8">
        <v>-1.903150433663008E-3</v>
      </c>
      <c r="AQ10" s="8">
        <v>2.9067484813314101E-2</v>
      </c>
      <c r="AR10" s="8">
        <v>5.2635776863899968E-2</v>
      </c>
      <c r="AS10" s="8">
        <v>-1.289325857571229E-2</v>
      </c>
      <c r="AT10" s="8">
        <v>-2.131134772842519E-3</v>
      </c>
      <c r="AU10" s="8">
        <v>-0.15538438197178719</v>
      </c>
      <c r="AV10" s="8">
        <v>1.268178414302561E-2</v>
      </c>
      <c r="AW10" s="8">
        <v>-1.1942321618877561E-2</v>
      </c>
      <c r="AX10" s="8">
        <v>-4.2537914968475456E-3</v>
      </c>
      <c r="AY10" s="8">
        <v>2.930087158954232E-2</v>
      </c>
      <c r="AZ10" s="8">
        <v>-0.13412750113921701</v>
      </c>
      <c r="BA10" s="8">
        <v>-0.13711152966130111</v>
      </c>
      <c r="BB10" s="8">
        <v>1.7546605068716691E-3</v>
      </c>
      <c r="BC10" s="8">
        <v>2.5117126105990401E-2</v>
      </c>
      <c r="BD10" s="8">
        <v>-0.11960190660895841</v>
      </c>
      <c r="BE10" s="8">
        <v>0.1357616496399312</v>
      </c>
      <c r="BF10" s="8">
        <v>4.7091161676368357E-2</v>
      </c>
      <c r="BG10" s="8">
        <v>-2.605004393557599E-2</v>
      </c>
      <c r="BH10" s="8">
        <v>4.3752773670266483E-2</v>
      </c>
      <c r="BI10" s="8">
        <v>-8.1391827895093402E-2</v>
      </c>
      <c r="BJ10" s="8">
        <v>-0.10060082155953699</v>
      </c>
      <c r="BK10" s="8">
        <v>9.0490079041763594E-2</v>
      </c>
      <c r="BL10" s="8">
        <v>-3.0898458704964389E-2</v>
      </c>
      <c r="BM10" s="8">
        <v>5.8814186622603987E-2</v>
      </c>
      <c r="BN10" s="8">
        <v>8.1345639246770615E-2</v>
      </c>
      <c r="BO10" s="8">
        <v>-7.7164168976593351E-3</v>
      </c>
      <c r="BP10" s="8">
        <v>0.1067348704344353</v>
      </c>
      <c r="BQ10" s="8">
        <v>-2.7156341096342261E-2</v>
      </c>
      <c r="BR10" s="8">
        <v>-5.4431018659150447E-2</v>
      </c>
      <c r="BS10" s="8">
        <v>-6.822927751511014E-2</v>
      </c>
      <c r="BT10" s="8">
        <v>9.8612222991557266E-2</v>
      </c>
      <c r="BU10" s="8">
        <v>0.1283985422991091</v>
      </c>
      <c r="BV10" s="8">
        <v>-7.8402519476778718E-2</v>
      </c>
      <c r="BW10" s="8">
        <v>-0.1191337216524913</v>
      </c>
      <c r="BX10" s="8">
        <v>-4.6890096077604589E-2</v>
      </c>
      <c r="BY10" s="8">
        <v>0.10169834364209621</v>
      </c>
      <c r="BZ10" s="8">
        <v>-2.5680084240218899E-2</v>
      </c>
      <c r="CA10" s="8">
        <v>-8.3301790010408508E-2</v>
      </c>
      <c r="CB10" s="8">
        <v>-0.15782764847875469</v>
      </c>
      <c r="CC10" s="8">
        <v>-7.1052571704280934E-2</v>
      </c>
      <c r="CD10" s="8">
        <v>-7.3875492145199798E-2</v>
      </c>
      <c r="CE10" s="8">
        <v>-0.23678647002516851</v>
      </c>
      <c r="CF10" s="8">
        <v>3.2627706277002622E-2</v>
      </c>
      <c r="CG10" s="8">
        <v>1.3423084626575861E-2</v>
      </c>
      <c r="CH10" s="8">
        <v>-2.7966658799032269E-3</v>
      </c>
      <c r="CI10" s="8">
        <v>4.7925699911805238E-2</v>
      </c>
      <c r="CJ10" s="8">
        <v>-3.2520192681292038E-3</v>
      </c>
      <c r="CK10" s="8">
        <v>-7.570819035307215E-2</v>
      </c>
      <c r="CL10" s="8">
        <v>-4.439725585073561E-2</v>
      </c>
      <c r="CM10" s="8">
        <v>0.17898858319392719</v>
      </c>
      <c r="CN10" s="8">
        <v>5.799426642317386E-2</v>
      </c>
      <c r="CO10" s="8">
        <v>-0.13939018969183081</v>
      </c>
      <c r="CP10" s="8">
        <v>6.4714670503515537E-2</v>
      </c>
      <c r="CQ10" s="8">
        <v>-0.18118788880647541</v>
      </c>
      <c r="CR10" s="8">
        <v>-8.8633532328162568E-2</v>
      </c>
      <c r="CS10" s="8">
        <v>-2.532177470861038E-2</v>
      </c>
      <c r="CT10" s="8">
        <v>-0.11307907407472829</v>
      </c>
      <c r="CU10" s="8">
        <v>8.095957294189474E-3</v>
      </c>
      <c r="CV10" s="8">
        <v>-4.5200208394220349E-2</v>
      </c>
      <c r="CW10" s="8">
        <v>-5.8941225467328592E-2</v>
      </c>
      <c r="CX10" s="8">
        <v>-0.1077283016776811</v>
      </c>
      <c r="CY10" s="8">
        <v>-9.6503499496267492E-2</v>
      </c>
      <c r="CZ10" s="8">
        <v>-0.2103543453191653</v>
      </c>
      <c r="DA10" s="8">
        <v>-0.10996113735654101</v>
      </c>
      <c r="DB10" s="8">
        <v>-0.1908204716293295</v>
      </c>
      <c r="DC10" s="8">
        <v>-2.0727272402408872E-2</v>
      </c>
      <c r="DD10" s="8">
        <v>8.7029095351123936E-2</v>
      </c>
      <c r="DE10" s="8">
        <v>8.2024592921593045E-2</v>
      </c>
      <c r="DF10" s="8">
        <v>-0.166876664789437</v>
      </c>
      <c r="DG10" s="8">
        <v>0.22243808581717431</v>
      </c>
      <c r="DH10" s="8">
        <v>-0.144297746243673</v>
      </c>
      <c r="DI10" s="8">
        <v>-0.1196199522370443</v>
      </c>
      <c r="DJ10" s="8">
        <v>-0.10159274396951661</v>
      </c>
      <c r="DK10" s="8">
        <v>9.2855058740681395E-2</v>
      </c>
      <c r="DL10" s="8">
        <v>-4.2630490096108087E-2</v>
      </c>
      <c r="DM10" s="8">
        <v>8.2732072899953643E-2</v>
      </c>
      <c r="DN10" s="8">
        <v>-3.1049452465540091E-2</v>
      </c>
      <c r="DO10" s="8">
        <v>-9.8141990492640205E-2</v>
      </c>
      <c r="DP10" s="8">
        <v>-0.13058888143944061</v>
      </c>
      <c r="DQ10" s="8">
        <v>4.8655718251279387E-2</v>
      </c>
      <c r="DR10" s="8">
        <v>-3.9251909935401189E-2</v>
      </c>
      <c r="DS10" s="8">
        <v>-0.1610301993932845</v>
      </c>
      <c r="DT10" s="8">
        <v>-7.8883966483063367E-2</v>
      </c>
      <c r="DU10" s="8">
        <v>0.16407715854109439</v>
      </c>
      <c r="DV10" s="8">
        <v>7.5052515397744431E-3</v>
      </c>
      <c r="DW10" s="8">
        <v>-0.1016452501185193</v>
      </c>
      <c r="DX10" s="8">
        <v>-5.6040292492535823E-2</v>
      </c>
      <c r="DY10" s="8">
        <v>-0.1066566396478186</v>
      </c>
      <c r="DZ10" s="8">
        <v>-6.9186575508287662E-2</v>
      </c>
      <c r="EA10" s="8">
        <v>-0.12618865773840809</v>
      </c>
      <c r="EB10" s="8">
        <v>-6.4737118328050736E-2</v>
      </c>
      <c r="EC10" s="8">
        <v>5.142607344157852E-2</v>
      </c>
      <c r="ED10" s="8">
        <v>3.4496728436731378E-2</v>
      </c>
      <c r="EE10" s="8">
        <v>0.15767759835539891</v>
      </c>
      <c r="EF10" s="8">
        <v>-0.12718001699129389</v>
      </c>
    </row>
    <row r="11" spans="1:136">
      <c r="B11" t="s">
        <v>138</v>
      </c>
      <c r="C11" s="8">
        <v>-5.4244781267602057E-2</v>
      </c>
      <c r="D11" s="8">
        <v>4.5377022463556939E-2</v>
      </c>
      <c r="E11" s="8">
        <v>-1.7752272607948309E-2</v>
      </c>
      <c r="F11" s="8">
        <v>-8.7687354470119203E-2</v>
      </c>
      <c r="G11" s="8">
        <v>0.1027592597916023</v>
      </c>
      <c r="H11" s="8">
        <v>2.5113717342445511E-3</v>
      </c>
      <c r="I11" s="8">
        <v>-1.8303552483615069E-2</v>
      </c>
      <c r="J11" s="8">
        <v>2.2110525104917209E-2</v>
      </c>
      <c r="K11" s="8">
        <v>7.7258045731841044E-2</v>
      </c>
      <c r="L11" s="8">
        <v>9.3440783982297517E-3</v>
      </c>
      <c r="M11" s="8">
        <v>5.3602181204841143E-2</v>
      </c>
      <c r="N11" s="8">
        <v>-6.7877357290963961E-2</v>
      </c>
      <c r="O11" s="8">
        <v>6.4929886491987929E-2</v>
      </c>
      <c r="P11" s="8">
        <v>4.8806817542238106E-3</v>
      </c>
      <c r="Q11" s="8">
        <v>1.919781824762783E-2</v>
      </c>
      <c r="R11" s="8">
        <v>-5.4653492448842392E-3</v>
      </c>
      <c r="S11" s="8">
        <v>3.6551467134004201E-2</v>
      </c>
      <c r="T11" s="8">
        <v>0.12918506866843241</v>
      </c>
      <c r="U11" s="8">
        <v>1.369240766293847E-2</v>
      </c>
      <c r="V11" s="8">
        <v>1.529525194063162E-2</v>
      </c>
      <c r="W11" s="8">
        <v>-0.10468571910271469</v>
      </c>
      <c r="X11" s="8">
        <v>-0.29384805056845642</v>
      </c>
      <c r="Y11" s="8">
        <v>5.9212485033458218E-2</v>
      </c>
      <c r="Z11" s="8">
        <v>-0.18494831245363619</v>
      </c>
      <c r="AA11" s="8">
        <v>9.8247438772127521E-2</v>
      </c>
      <c r="AB11" s="8">
        <v>-6.5734107189282197E-4</v>
      </c>
      <c r="AC11" s="8">
        <v>-0.1036861156532312</v>
      </c>
      <c r="AD11" s="8">
        <v>3.5450938075395509E-3</v>
      </c>
      <c r="AE11" s="8">
        <v>0.17560148677061019</v>
      </c>
      <c r="AF11" s="8">
        <v>-0.1550331010885124</v>
      </c>
      <c r="AG11" s="8">
        <v>-2.6328625232284051E-2</v>
      </c>
      <c r="AH11" s="8">
        <v>-4.9988101579694936E-3</v>
      </c>
      <c r="AI11" s="8">
        <v>2.8067714594873169E-2</v>
      </c>
      <c r="AJ11" s="8">
        <v>-2.2384193940381401E-2</v>
      </c>
      <c r="AK11" s="8">
        <v>-4.7020825392250949E-2</v>
      </c>
      <c r="AL11" s="8">
        <v>-0.10156151199043489</v>
      </c>
      <c r="AM11" s="8">
        <v>2.3525148704495701E-2</v>
      </c>
      <c r="AN11" s="8">
        <v>5.2525230105422573E-2</v>
      </c>
      <c r="AO11" s="8">
        <v>5.8502893637957562E-2</v>
      </c>
      <c r="AP11" s="8">
        <v>3.3447356041428761E-2</v>
      </c>
      <c r="AQ11" s="8">
        <v>1.430036545094069E-2</v>
      </c>
      <c r="AR11" s="8">
        <v>3.5903594729592501E-2</v>
      </c>
      <c r="AS11" s="8">
        <v>3.9782285287992311E-2</v>
      </c>
      <c r="AT11" s="8">
        <v>0.1484561956282951</v>
      </c>
      <c r="AU11" s="8">
        <v>-4.078729487218978E-2</v>
      </c>
      <c r="AV11" s="8">
        <v>0.13895895413073689</v>
      </c>
      <c r="AW11" s="8">
        <v>5.9863283397122782E-2</v>
      </c>
      <c r="AX11" s="8">
        <v>-0.1497898129881709</v>
      </c>
      <c r="AY11" s="8">
        <v>6.1595851435820623E-2</v>
      </c>
      <c r="AZ11" s="8">
        <v>-6.1949751488506538E-2</v>
      </c>
      <c r="BA11" s="8">
        <v>-2.389264381020083E-3</v>
      </c>
      <c r="BB11" s="8">
        <v>-0.14887029613688371</v>
      </c>
      <c r="BC11" s="8">
        <v>6.0350517971681748E-2</v>
      </c>
      <c r="BD11" s="8">
        <v>-1.468575255625916E-2</v>
      </c>
      <c r="BE11" s="8">
        <v>-0.14651529968819679</v>
      </c>
      <c r="BF11" s="8">
        <v>-0.2087626486148127</v>
      </c>
      <c r="BG11" s="8">
        <v>-0.20144325578474859</v>
      </c>
      <c r="BH11" s="8">
        <v>-0.11804991677814031</v>
      </c>
      <c r="BI11" s="8">
        <v>-7.7026576071686378E-2</v>
      </c>
      <c r="BJ11" s="8">
        <v>-3.6220317042829728E-2</v>
      </c>
      <c r="BK11" s="8">
        <v>-1.8907268725092598E-2</v>
      </c>
      <c r="BL11" s="8">
        <v>-0.17125563757433929</v>
      </c>
      <c r="BM11" s="8">
        <v>0.13291749710961351</v>
      </c>
      <c r="BN11" s="8">
        <v>-3.5907701607395578E-2</v>
      </c>
      <c r="BO11" s="8">
        <v>2.1344518209370389E-2</v>
      </c>
      <c r="BP11" s="8">
        <v>4.9634822871427897E-2</v>
      </c>
      <c r="BQ11" s="8">
        <v>-1.7211216417584319E-2</v>
      </c>
      <c r="BR11" s="8">
        <v>0.18982724311105359</v>
      </c>
      <c r="BS11" s="8">
        <v>-9.7605037382284945E-2</v>
      </c>
      <c r="BT11" s="8">
        <v>3.7831444138355132E-2</v>
      </c>
      <c r="BU11" s="8">
        <v>5.6008305208474198E-2</v>
      </c>
      <c r="BV11" s="8">
        <v>-0.1167370363031352</v>
      </c>
      <c r="BW11" s="8">
        <v>-0.1413229882478122</v>
      </c>
      <c r="BX11" s="8">
        <v>-3.3770258788579869E-3</v>
      </c>
      <c r="BY11" s="8">
        <v>0.13033606071126891</v>
      </c>
      <c r="BZ11" s="8">
        <v>3.1697731081681189E-2</v>
      </c>
      <c r="CA11" s="8">
        <v>4.0555037474470507E-2</v>
      </c>
      <c r="CB11" s="8">
        <v>-4.2037331365292897E-2</v>
      </c>
      <c r="CC11" s="8">
        <v>5.0013723389441531E-2</v>
      </c>
      <c r="CD11" s="8">
        <v>-6.8456279312897411E-2</v>
      </c>
      <c r="CE11" s="8">
        <v>-8.0832090081974353E-2</v>
      </c>
      <c r="CF11" s="8">
        <v>-1.948310790200239E-3</v>
      </c>
      <c r="CG11" s="8">
        <v>-0.1182090018050031</v>
      </c>
      <c r="CH11" s="8">
        <v>-3.67198859644461E-2</v>
      </c>
      <c r="CI11" s="8">
        <v>-8.3332793120616616E-2</v>
      </c>
      <c r="CJ11" s="8">
        <v>0.23067286701975129</v>
      </c>
      <c r="CK11" s="8">
        <v>0.1327785225954993</v>
      </c>
      <c r="CL11" s="8">
        <v>0.1412873189704931</v>
      </c>
      <c r="CM11" s="8">
        <v>-0.11268938730850959</v>
      </c>
      <c r="CN11" s="8">
        <v>0.22348855763592371</v>
      </c>
      <c r="CO11" s="8">
        <v>-0.10441916957268479</v>
      </c>
      <c r="CP11" s="8">
        <v>-1.442822447791231E-2</v>
      </c>
      <c r="CQ11" s="8">
        <v>-0.20723337326778599</v>
      </c>
      <c r="CR11" s="8">
        <v>-0.1348638695123113</v>
      </c>
      <c r="CS11" s="8">
        <v>7.3007738807373504E-2</v>
      </c>
      <c r="CT11" s="8">
        <v>-3.0218378407130288E-2</v>
      </c>
      <c r="CU11" s="8">
        <v>-0.28688917437274702</v>
      </c>
      <c r="CV11" s="8">
        <v>0.2307305381875536</v>
      </c>
      <c r="CW11" s="8">
        <v>9.1075698514216888E-2</v>
      </c>
      <c r="CX11" s="8">
        <v>-0.1224857321642277</v>
      </c>
      <c r="CY11" s="8">
        <v>7.8381925305362449E-2</v>
      </c>
      <c r="CZ11" s="8">
        <v>-4.5950103566863888E-2</v>
      </c>
      <c r="DA11" s="8">
        <v>8.2670164530151122E-2</v>
      </c>
      <c r="DB11" s="8">
        <v>0.14934927010032351</v>
      </c>
      <c r="DC11" s="8">
        <v>-4.7798705164587528E-2</v>
      </c>
      <c r="DD11" s="8">
        <v>-0.1645134604307108</v>
      </c>
      <c r="DE11" s="8">
        <v>-0.1105683533423189</v>
      </c>
      <c r="DF11" s="8">
        <v>5.7416867202733347E-2</v>
      </c>
      <c r="DG11" s="8">
        <v>-0.21489021548963169</v>
      </c>
      <c r="DH11" s="8">
        <v>6.2997155047871164E-2</v>
      </c>
      <c r="DI11" s="8">
        <v>6.7721109014009601E-2</v>
      </c>
      <c r="DJ11" s="8">
        <v>0.1188020770386063</v>
      </c>
      <c r="DK11" s="8">
        <v>7.2827306455158416E-3</v>
      </c>
      <c r="DL11" s="8">
        <v>7.1320599005857979E-2</v>
      </c>
      <c r="DM11" s="8">
        <v>2.1021900655620821E-2</v>
      </c>
      <c r="DN11" s="8">
        <v>-3.0403223939335849E-2</v>
      </c>
      <c r="DO11" s="8">
        <v>-9.694965661135331E-2</v>
      </c>
      <c r="DP11" s="8">
        <v>-0.23067649178859881</v>
      </c>
      <c r="DQ11" s="8">
        <v>0.238184312236043</v>
      </c>
      <c r="DR11" s="8">
        <v>3.5748752036958448E-3</v>
      </c>
      <c r="DS11" s="8">
        <v>0.13395561672683809</v>
      </c>
      <c r="DT11" s="8">
        <v>0.11510609642796051</v>
      </c>
      <c r="DU11" s="8">
        <v>0.1040797891887878</v>
      </c>
      <c r="DV11" s="8">
        <v>-5.4611063064875308E-2</v>
      </c>
      <c r="DW11" s="8">
        <v>-3.3290193961398547E-2</v>
      </c>
      <c r="DX11" s="8">
        <v>5.5094916778075383E-2</v>
      </c>
      <c r="DY11" s="8">
        <v>6.8793773385234666E-2</v>
      </c>
      <c r="DZ11" s="8">
        <v>1.4480773118257949E-2</v>
      </c>
      <c r="EA11" s="8">
        <v>-0.29313654086030699</v>
      </c>
      <c r="EB11" s="8">
        <v>-0.14097501940218221</v>
      </c>
      <c r="EC11" s="8">
        <v>-1.2209361583162239E-2</v>
      </c>
      <c r="ED11" s="8">
        <v>5.816768758959897E-2</v>
      </c>
      <c r="EE11" s="8">
        <v>-0.14440301349005499</v>
      </c>
      <c r="EF11" s="8">
        <v>-9.7009034240055067E-2</v>
      </c>
    </row>
    <row r="13" spans="1:136">
      <c r="A13" s="9" t="s">
        <v>204</v>
      </c>
      <c r="B13" s="9" t="s">
        <v>136</v>
      </c>
      <c r="C13" s="6">
        <f t="shared" ref="C13:AH13" si="0">(C3-C9)^2</f>
        <v>9.0391679315722159E-4</v>
      </c>
      <c r="D13" s="6">
        <f t="shared" si="0"/>
        <v>2.7310405807073373E-2</v>
      </c>
      <c r="E13" s="6">
        <f t="shared" si="0"/>
        <v>2.6742239641021305E-3</v>
      </c>
      <c r="F13" s="6">
        <f t="shared" si="0"/>
        <v>2.7661020753827335E-4</v>
      </c>
      <c r="G13" s="6">
        <f t="shared" si="0"/>
        <v>5.4838058650652354E-6</v>
      </c>
      <c r="H13" s="6">
        <f t="shared" si="0"/>
        <v>4.1993207381433228E-3</v>
      </c>
      <c r="I13" s="6">
        <f t="shared" si="0"/>
        <v>0.14459743292642124</v>
      </c>
      <c r="J13" s="6">
        <f t="shared" si="0"/>
        <v>2.6343721184316615E-2</v>
      </c>
      <c r="K13" s="6">
        <f t="shared" si="0"/>
        <v>6.1457832679454689E-4</v>
      </c>
      <c r="L13" s="6">
        <f t="shared" si="0"/>
        <v>4.5499763125976967E-3</v>
      </c>
      <c r="M13" s="6">
        <f t="shared" si="0"/>
        <v>2.474243870712012E-4</v>
      </c>
      <c r="N13" s="6">
        <f t="shared" si="0"/>
        <v>0.11598860423399783</v>
      </c>
      <c r="O13" s="6">
        <f t="shared" si="0"/>
        <v>8.7368203941756248E-2</v>
      </c>
      <c r="P13" s="6">
        <f t="shared" si="0"/>
        <v>4.2244497524287494E-2</v>
      </c>
      <c r="Q13" s="6">
        <f t="shared" si="0"/>
        <v>2.0331669262825276E-3</v>
      </c>
      <c r="R13" s="6">
        <f t="shared" si="0"/>
        <v>2.8007296278752526E-2</v>
      </c>
      <c r="S13" s="6">
        <f t="shared" si="0"/>
        <v>5.2944737377685125E-2</v>
      </c>
      <c r="T13" s="6">
        <f t="shared" si="0"/>
        <v>6.7917622313113475E-4</v>
      </c>
      <c r="U13" s="6">
        <f t="shared" si="0"/>
        <v>5.0588824615015654E-2</v>
      </c>
      <c r="V13" s="6">
        <f t="shared" si="0"/>
        <v>6.268599656215723E-3</v>
      </c>
      <c r="W13" s="6">
        <f t="shared" si="0"/>
        <v>2.0633104186514673E-3</v>
      </c>
      <c r="X13" s="6">
        <f t="shared" si="0"/>
        <v>5.5508190959112316E-2</v>
      </c>
      <c r="Y13" s="6">
        <f t="shared" si="0"/>
        <v>0.16322578145118558</v>
      </c>
      <c r="Z13" s="6">
        <f t="shared" si="0"/>
        <v>7.8369201446870651E-3</v>
      </c>
      <c r="AA13" s="6">
        <f t="shared" si="0"/>
        <v>0.32498869213045434</v>
      </c>
      <c r="AB13" s="6">
        <f t="shared" si="0"/>
        <v>9.4859392792584443E-2</v>
      </c>
      <c r="AC13" s="6">
        <f t="shared" si="0"/>
        <v>8.1827736123153919E-3</v>
      </c>
      <c r="AD13" s="6">
        <f t="shared" si="0"/>
        <v>7.7558186276853539E-5</v>
      </c>
      <c r="AE13" s="6">
        <f t="shared" si="0"/>
        <v>2.1284999661477948E-2</v>
      </c>
      <c r="AF13" s="6">
        <f t="shared" si="0"/>
        <v>1.3507499230455203E-2</v>
      </c>
      <c r="AG13" s="6">
        <f t="shared" si="0"/>
        <v>9.6444165589426841E-5</v>
      </c>
      <c r="AH13" s="6">
        <f t="shared" si="0"/>
        <v>5.075726718102672E-3</v>
      </c>
      <c r="AI13" s="6">
        <f t="shared" ref="AI13:BN13" si="1">(AI3-AI9)^2</f>
        <v>1.7124763333233036E-2</v>
      </c>
      <c r="AJ13" s="6">
        <f t="shared" si="1"/>
        <v>1.618837009918662E-3</v>
      </c>
      <c r="AK13" s="6">
        <f t="shared" si="1"/>
        <v>3.5082047394486881E-3</v>
      </c>
      <c r="AL13" s="6">
        <f t="shared" si="1"/>
        <v>2.1076402875230563E-2</v>
      </c>
      <c r="AM13" s="6">
        <f t="shared" si="1"/>
        <v>1.2190824434851857E-3</v>
      </c>
      <c r="AN13" s="6">
        <f t="shared" si="1"/>
        <v>1.8354896612627852E-4</v>
      </c>
      <c r="AO13" s="6">
        <f t="shared" si="1"/>
        <v>1.9829057409552188E-2</v>
      </c>
      <c r="AP13" s="6">
        <f t="shared" si="1"/>
        <v>1.1768961756753982E-2</v>
      </c>
      <c r="AQ13" s="6">
        <f t="shared" si="1"/>
        <v>3.502332191919983E-2</v>
      </c>
      <c r="AR13" s="6">
        <f t="shared" si="1"/>
        <v>2.3250219164638775E-3</v>
      </c>
      <c r="AS13" s="6">
        <f t="shared" si="1"/>
        <v>1.1417645355385421E-2</v>
      </c>
      <c r="AT13" s="6">
        <f t="shared" si="1"/>
        <v>9.5732445843805455E-3</v>
      </c>
      <c r="AU13" s="6">
        <f t="shared" si="1"/>
        <v>5.6591589473239378E-6</v>
      </c>
      <c r="AV13" s="6">
        <f t="shared" si="1"/>
        <v>9.2880816293050231E-3</v>
      </c>
      <c r="AW13" s="6">
        <f t="shared" si="1"/>
        <v>4.0265170325304363E-2</v>
      </c>
      <c r="AX13" s="6">
        <f t="shared" si="1"/>
        <v>1.9259001369251311E-3</v>
      </c>
      <c r="AY13" s="6">
        <f t="shared" si="1"/>
        <v>4.5417600662925181E-3</v>
      </c>
      <c r="AZ13" s="6">
        <f t="shared" si="1"/>
        <v>1.4094036062458726E-3</v>
      </c>
      <c r="BA13" s="6">
        <f t="shared" si="1"/>
        <v>2.587878754365849E-2</v>
      </c>
      <c r="BB13" s="6">
        <f t="shared" si="1"/>
        <v>5.0421393750411277E-2</v>
      </c>
      <c r="BC13" s="6">
        <f t="shared" si="1"/>
        <v>1.5956777102515265E-2</v>
      </c>
      <c r="BD13" s="6">
        <f t="shared" si="1"/>
        <v>2.5341888645961968E-2</v>
      </c>
      <c r="BE13" s="6">
        <f t="shared" si="1"/>
        <v>3.9707226061349792E-2</v>
      </c>
      <c r="BF13" s="6">
        <f t="shared" si="1"/>
        <v>2.157123127914036E-2</v>
      </c>
      <c r="BG13" s="6">
        <f t="shared" si="1"/>
        <v>2.4466366013106877E-2</v>
      </c>
      <c r="BH13" s="6">
        <f t="shared" si="1"/>
        <v>4.3719440073452034E-2</v>
      </c>
      <c r="BI13" s="6">
        <f t="shared" si="1"/>
        <v>1.6667249678667651E-3</v>
      </c>
      <c r="BJ13" s="6">
        <f t="shared" si="1"/>
        <v>2.7371839804797354E-3</v>
      </c>
      <c r="BK13" s="6">
        <f t="shared" si="1"/>
        <v>2.7985266423321185E-2</v>
      </c>
      <c r="BL13" s="6">
        <f t="shared" si="1"/>
        <v>1.3898346507577646E-2</v>
      </c>
      <c r="BM13" s="6">
        <f t="shared" si="1"/>
        <v>1.3527238831160774E-2</v>
      </c>
      <c r="BN13" s="6">
        <f t="shared" si="1"/>
        <v>9.8703679536494291E-6</v>
      </c>
      <c r="BO13" s="6">
        <f t="shared" ref="BO13:CT13" si="2">(BO3-BO9)^2</f>
        <v>5.2815906925033233E-2</v>
      </c>
      <c r="BP13" s="6">
        <f t="shared" si="2"/>
        <v>3.5500530907517703E-3</v>
      </c>
      <c r="BQ13" s="6">
        <f t="shared" si="2"/>
        <v>2.307742953134876E-2</v>
      </c>
      <c r="BR13" s="6">
        <f t="shared" si="2"/>
        <v>4.4349862237856773E-2</v>
      </c>
      <c r="BS13" s="6">
        <f t="shared" si="2"/>
        <v>2.0481578394669062E-2</v>
      </c>
      <c r="BT13" s="6">
        <f t="shared" si="2"/>
        <v>9.808780949401635E-3</v>
      </c>
      <c r="BU13" s="6">
        <f t="shared" si="2"/>
        <v>7.8035846723622064E-3</v>
      </c>
      <c r="BV13" s="6">
        <f t="shared" si="2"/>
        <v>7.5694984033156595E-3</v>
      </c>
      <c r="BW13" s="6">
        <f t="shared" si="2"/>
        <v>1.9915669925852461E-2</v>
      </c>
      <c r="BX13" s="6">
        <f t="shared" si="2"/>
        <v>1.2179275778699129E-2</v>
      </c>
      <c r="BY13" s="6">
        <f t="shared" si="2"/>
        <v>3.7995138101937533E-2</v>
      </c>
      <c r="BZ13" s="6">
        <f t="shared" si="2"/>
        <v>6.4683420284310872E-2</v>
      </c>
      <c r="CA13" s="6">
        <f t="shared" si="2"/>
        <v>3.3236126922636479E-2</v>
      </c>
      <c r="CB13" s="6">
        <f t="shared" si="2"/>
        <v>4.4746160467530625E-2</v>
      </c>
      <c r="CC13" s="6">
        <f t="shared" si="2"/>
        <v>1.1174640354613692E-2</v>
      </c>
      <c r="CD13" s="6">
        <f t="shared" si="2"/>
        <v>2.4786705356615056E-2</v>
      </c>
      <c r="CE13" s="6">
        <f t="shared" si="2"/>
        <v>2.6465316881557874E-2</v>
      </c>
      <c r="CF13" s="6">
        <f t="shared" si="2"/>
        <v>4.662090021601998E-2</v>
      </c>
      <c r="CG13" s="6">
        <f t="shared" si="2"/>
        <v>7.0036210847148845E-8</v>
      </c>
      <c r="CH13" s="6">
        <f t="shared" si="2"/>
        <v>8.1738854318411137E-3</v>
      </c>
      <c r="CI13" s="6">
        <f t="shared" si="2"/>
        <v>3.3897751949617583E-2</v>
      </c>
      <c r="CJ13" s="6">
        <f t="shared" si="2"/>
        <v>0.15562745412808507</v>
      </c>
      <c r="CK13" s="6">
        <f t="shared" si="2"/>
        <v>2.7542177493239284E-2</v>
      </c>
      <c r="CL13" s="6">
        <f t="shared" si="2"/>
        <v>9.4276219243447687E-2</v>
      </c>
      <c r="CM13" s="6">
        <f t="shared" si="2"/>
        <v>3.7701916166609915E-2</v>
      </c>
      <c r="CN13" s="6">
        <f t="shared" si="2"/>
        <v>0.13415136138235878</v>
      </c>
      <c r="CO13" s="6">
        <f t="shared" si="2"/>
        <v>5.6581507169564159E-3</v>
      </c>
      <c r="CP13" s="6">
        <f t="shared" si="2"/>
        <v>5.1492587508656713E-2</v>
      </c>
      <c r="CQ13" s="6">
        <f t="shared" si="2"/>
        <v>1.5115018527348063E-3</v>
      </c>
      <c r="CR13" s="6">
        <f t="shared" si="2"/>
        <v>5.9127119683872065E-3</v>
      </c>
      <c r="CS13" s="6">
        <f t="shared" si="2"/>
        <v>1.6196824659514753E-4</v>
      </c>
      <c r="CT13" s="6">
        <f t="shared" si="2"/>
        <v>5.6751571403068515E-4</v>
      </c>
      <c r="CU13" s="6">
        <f t="shared" ref="CU13:DZ13" si="3">(CU3-CU9)^2</f>
        <v>2.2534147951584559E-2</v>
      </c>
      <c r="CV13" s="6">
        <f t="shared" si="3"/>
        <v>3.4969755217888264E-4</v>
      </c>
      <c r="CW13" s="6">
        <f t="shared" si="3"/>
        <v>2.2892111846356651E-6</v>
      </c>
      <c r="CX13" s="6">
        <f t="shared" si="3"/>
        <v>3.7339725887365109E-2</v>
      </c>
      <c r="CY13" s="6">
        <f t="shared" si="3"/>
        <v>2.5586490340072997E-3</v>
      </c>
      <c r="CZ13" s="6">
        <f t="shared" si="3"/>
        <v>1.4447243862517743E-2</v>
      </c>
      <c r="DA13" s="6">
        <f t="shared" si="3"/>
        <v>0.13681223698786302</v>
      </c>
      <c r="DB13" s="6">
        <f t="shared" si="3"/>
        <v>2.0056519828847864E-2</v>
      </c>
      <c r="DC13" s="6">
        <f t="shared" si="3"/>
        <v>9.1038551418384336E-2</v>
      </c>
      <c r="DD13" s="6">
        <f t="shared" si="3"/>
        <v>5.9194023078691468E-2</v>
      </c>
      <c r="DE13" s="6">
        <f t="shared" si="3"/>
        <v>2.877898105064957E-2</v>
      </c>
      <c r="DF13" s="6">
        <f t="shared" si="3"/>
        <v>8.4772066895503467E-3</v>
      </c>
      <c r="DG13" s="6">
        <f t="shared" si="3"/>
        <v>1.0937563948499131E-5</v>
      </c>
      <c r="DH13" s="6">
        <f t="shared" si="3"/>
        <v>9.5279985396636176E-4</v>
      </c>
      <c r="DI13" s="6">
        <f t="shared" si="3"/>
        <v>9.8864509246436669E-3</v>
      </c>
      <c r="DJ13" s="6">
        <f t="shared" si="3"/>
        <v>9.2119523496587592E-3</v>
      </c>
      <c r="DK13" s="6">
        <f t="shared" si="3"/>
        <v>9.0535687743512842E-3</v>
      </c>
      <c r="DL13" s="6">
        <f t="shared" si="3"/>
        <v>2.7573619858575747E-3</v>
      </c>
      <c r="DM13" s="6">
        <f t="shared" si="3"/>
        <v>1.1405537726615757E-3</v>
      </c>
      <c r="DN13" s="6">
        <f t="shared" si="3"/>
        <v>6.6590715259116718E-3</v>
      </c>
      <c r="DO13" s="6">
        <f t="shared" si="3"/>
        <v>1.2579263440044963E-2</v>
      </c>
      <c r="DP13" s="6">
        <f t="shared" si="3"/>
        <v>5.8370334452997746E-3</v>
      </c>
      <c r="DQ13" s="6">
        <f t="shared" si="3"/>
        <v>7.0254271472740798E-2</v>
      </c>
      <c r="DR13" s="6">
        <f t="shared" si="3"/>
        <v>4.1099407791975365E-2</v>
      </c>
      <c r="DS13" s="6">
        <f t="shared" si="3"/>
        <v>3.424926675608967E-2</v>
      </c>
      <c r="DT13" s="6">
        <f t="shared" si="3"/>
        <v>1.8592919822218837E-5</v>
      </c>
      <c r="DU13" s="6">
        <f t="shared" si="3"/>
        <v>4.69177853906373E-3</v>
      </c>
      <c r="DV13" s="6">
        <f t="shared" si="3"/>
        <v>4.3262564399232872E-2</v>
      </c>
      <c r="DW13" s="6">
        <f t="shared" si="3"/>
        <v>7.9040471965973586E-4</v>
      </c>
      <c r="DX13" s="6">
        <f t="shared" si="3"/>
        <v>2.9913098981942294E-2</v>
      </c>
      <c r="DY13" s="6">
        <f t="shared" si="3"/>
        <v>3.1604494414624179E-2</v>
      </c>
      <c r="DZ13" s="6">
        <f t="shared" si="3"/>
        <v>8.7917989573719116E-2</v>
      </c>
      <c r="EA13" s="6">
        <f t="shared" ref="EA13:EF13" si="4">(EA3-EA9)^2</f>
        <v>6.2727248697154972E-2</v>
      </c>
      <c r="EB13" s="6">
        <f t="shared" si="4"/>
        <v>3.4068751799008819E-2</v>
      </c>
      <c r="EC13" s="6">
        <f t="shared" si="4"/>
        <v>1.081212920755034E-2</v>
      </c>
      <c r="ED13" s="6">
        <f t="shared" si="4"/>
        <v>3.4645107407441852E-2</v>
      </c>
      <c r="EE13" s="6">
        <f t="shared" si="4"/>
        <v>2.76583231431448E-2</v>
      </c>
      <c r="EF13" s="6">
        <f t="shared" si="4"/>
        <v>8.7620220083636027E-3</v>
      </c>
    </row>
    <row r="14" spans="1:136">
      <c r="A14" s="9"/>
      <c r="B14" s="9" t="s">
        <v>137</v>
      </c>
      <c r="C14" s="6">
        <f t="shared" ref="C14:AH14" si="5">(C4-C10)^2</f>
        <v>1.9065220427389405E-3</v>
      </c>
      <c r="D14" s="6">
        <f t="shared" si="5"/>
        <v>6.1261204425587055E-3</v>
      </c>
      <c r="E14" s="6">
        <f t="shared" si="5"/>
        <v>2.7346323394197139E-2</v>
      </c>
      <c r="F14" s="6">
        <f t="shared" si="5"/>
        <v>5.5604802609381446E-4</v>
      </c>
      <c r="G14" s="6">
        <f t="shared" si="5"/>
        <v>6.7256801280824105E-3</v>
      </c>
      <c r="H14" s="6">
        <f t="shared" si="5"/>
        <v>2.4163072611223389E-3</v>
      </c>
      <c r="I14" s="6">
        <f t="shared" si="5"/>
        <v>1.3932010394687936E-4</v>
      </c>
      <c r="J14" s="6">
        <f t="shared" si="5"/>
        <v>9.6105988972251442E-4</v>
      </c>
      <c r="K14" s="6">
        <f t="shared" si="5"/>
        <v>4.3328302568196239E-3</v>
      </c>
      <c r="L14" s="6">
        <f t="shared" si="5"/>
        <v>1.0871891927431132E-2</v>
      </c>
      <c r="M14" s="6">
        <f t="shared" si="5"/>
        <v>2.5884678403779852E-3</v>
      </c>
      <c r="N14" s="6">
        <f t="shared" si="5"/>
        <v>3.3181065786634226E-2</v>
      </c>
      <c r="O14" s="6">
        <f t="shared" si="5"/>
        <v>2.2368488989938581E-2</v>
      </c>
      <c r="P14" s="6">
        <f t="shared" si="5"/>
        <v>1.6278250942630085E-3</v>
      </c>
      <c r="Q14" s="6">
        <f t="shared" si="5"/>
        <v>2.8164144543373942E-2</v>
      </c>
      <c r="R14" s="6">
        <f t="shared" si="5"/>
        <v>1.3309611767018248E-2</v>
      </c>
      <c r="S14" s="6">
        <f t="shared" si="5"/>
        <v>5.969855953523325E-3</v>
      </c>
      <c r="T14" s="6">
        <f t="shared" si="5"/>
        <v>9.1319731484980425E-4</v>
      </c>
      <c r="U14" s="6">
        <f t="shared" si="5"/>
        <v>6.4428465250005744E-5</v>
      </c>
      <c r="V14" s="6">
        <f t="shared" si="5"/>
        <v>8.1115961299482698E-4</v>
      </c>
      <c r="W14" s="6">
        <f t="shared" si="5"/>
        <v>1.8645209187639931E-2</v>
      </c>
      <c r="X14" s="6">
        <f t="shared" si="5"/>
        <v>1.1028372837698005E-2</v>
      </c>
      <c r="Y14" s="6">
        <f t="shared" si="5"/>
        <v>4.5868099062413029E-2</v>
      </c>
      <c r="Z14" s="6">
        <f t="shared" si="5"/>
        <v>1.0724634927529033E-4</v>
      </c>
      <c r="AA14" s="6">
        <f t="shared" si="5"/>
        <v>1.2706497101676898E-3</v>
      </c>
      <c r="AB14" s="6">
        <f t="shared" si="5"/>
        <v>2.0841584935165511E-2</v>
      </c>
      <c r="AC14" s="6">
        <f t="shared" si="5"/>
        <v>2.4397259442219089E-6</v>
      </c>
      <c r="AD14" s="6">
        <f t="shared" si="5"/>
        <v>1.4767809220824702E-4</v>
      </c>
      <c r="AE14" s="6">
        <f t="shared" si="5"/>
        <v>9.0069495941752908E-3</v>
      </c>
      <c r="AF14" s="6">
        <f t="shared" si="5"/>
        <v>3.2683665399934843E-2</v>
      </c>
      <c r="AG14" s="6">
        <f t="shared" si="5"/>
        <v>3.8791748250106835E-3</v>
      </c>
      <c r="AH14" s="6">
        <f t="shared" si="5"/>
        <v>2.7020765853930383E-2</v>
      </c>
      <c r="AI14" s="6">
        <f t="shared" ref="AI14:BN14" si="6">(AI4-AI10)^2</f>
        <v>1.2588306093421764E-3</v>
      </c>
      <c r="AJ14" s="6">
        <f t="shared" si="6"/>
        <v>8.742278243577109E-3</v>
      </c>
      <c r="AK14" s="6">
        <f t="shared" si="6"/>
        <v>5.8765536964266243E-3</v>
      </c>
      <c r="AL14" s="6">
        <f t="shared" si="6"/>
        <v>1.6032874031434705E-2</v>
      </c>
      <c r="AM14" s="6">
        <f t="shared" si="6"/>
        <v>4.8997775661597823E-5</v>
      </c>
      <c r="AN14" s="6">
        <f t="shared" si="6"/>
        <v>1.773970862899538E-2</v>
      </c>
      <c r="AO14" s="6">
        <f t="shared" si="6"/>
        <v>1.6738135462060661E-5</v>
      </c>
      <c r="AP14" s="6">
        <f t="shared" si="6"/>
        <v>6.629225888532644E-3</v>
      </c>
      <c r="AQ14" s="6">
        <f t="shared" si="6"/>
        <v>1.4548605672109555E-2</v>
      </c>
      <c r="AR14" s="6">
        <f t="shared" si="6"/>
        <v>3.7953779560343718E-3</v>
      </c>
      <c r="AS14" s="6">
        <f t="shared" si="6"/>
        <v>9.0900388694837211E-3</v>
      </c>
      <c r="AT14" s="6">
        <f t="shared" si="6"/>
        <v>1.4056752333747844E-4</v>
      </c>
      <c r="AU14" s="6">
        <f t="shared" si="6"/>
        <v>1.4587440949529105E-2</v>
      </c>
      <c r="AV14" s="6">
        <f t="shared" si="6"/>
        <v>5.2962193300079084E-2</v>
      </c>
      <c r="AW14" s="6">
        <f t="shared" si="6"/>
        <v>4.1315077651077311E-3</v>
      </c>
      <c r="AX14" s="6">
        <f t="shared" si="6"/>
        <v>3.2758146450869748E-4</v>
      </c>
      <c r="AY14" s="6">
        <f t="shared" si="6"/>
        <v>5.9415829420751895E-3</v>
      </c>
      <c r="AZ14" s="6">
        <f t="shared" si="6"/>
        <v>2.2457873295766477E-2</v>
      </c>
      <c r="BA14" s="6">
        <f t="shared" si="6"/>
        <v>2.775286403490137E-4</v>
      </c>
      <c r="BB14" s="6">
        <f t="shared" si="6"/>
        <v>6.4617078243689188E-2</v>
      </c>
      <c r="BC14" s="6">
        <f t="shared" si="6"/>
        <v>3.0606053977237518E-2</v>
      </c>
      <c r="BD14" s="6">
        <f t="shared" si="6"/>
        <v>9.4182337336106113E-3</v>
      </c>
      <c r="BE14" s="6">
        <f t="shared" si="6"/>
        <v>2.7904672912869334E-2</v>
      </c>
      <c r="BF14" s="6">
        <f t="shared" si="6"/>
        <v>5.9283564498305201E-3</v>
      </c>
      <c r="BG14" s="6">
        <f t="shared" si="6"/>
        <v>2.3612261347991416E-3</v>
      </c>
      <c r="BH14" s="6">
        <f t="shared" si="6"/>
        <v>1.1792771604147373E-2</v>
      </c>
      <c r="BI14" s="6">
        <f t="shared" si="6"/>
        <v>9.918820207246758E-3</v>
      </c>
      <c r="BJ14" s="6">
        <f t="shared" si="6"/>
        <v>2.4589344952477402E-3</v>
      </c>
      <c r="BK14" s="6">
        <f t="shared" si="6"/>
        <v>2.239891633093621E-2</v>
      </c>
      <c r="BL14" s="6">
        <f t="shared" si="6"/>
        <v>2.9069321212873528E-4</v>
      </c>
      <c r="BM14" s="6">
        <f t="shared" si="6"/>
        <v>1.4663084904159972E-3</v>
      </c>
      <c r="BN14" s="6">
        <f t="shared" si="6"/>
        <v>1.6942125237367825E-3</v>
      </c>
      <c r="BO14" s="6">
        <f t="shared" ref="BO14:CT14" si="7">(BO4-BO10)^2</f>
        <v>2.7008349976898262E-3</v>
      </c>
      <c r="BP14" s="6">
        <f t="shared" si="7"/>
        <v>6.0466753269876696E-4</v>
      </c>
      <c r="BQ14" s="6">
        <f t="shared" si="7"/>
        <v>3.3069726450901077E-3</v>
      </c>
      <c r="BR14" s="6">
        <f t="shared" si="7"/>
        <v>4.0242144698265942E-3</v>
      </c>
      <c r="BS14" s="6">
        <f t="shared" si="7"/>
        <v>2.5799840406119682E-3</v>
      </c>
      <c r="BT14" s="6">
        <f t="shared" si="7"/>
        <v>1.7622801153585176E-2</v>
      </c>
      <c r="BU14" s="6">
        <f t="shared" si="7"/>
        <v>3.0517224732874614E-2</v>
      </c>
      <c r="BV14" s="6">
        <f t="shared" si="7"/>
        <v>6.2075949373466922E-2</v>
      </c>
      <c r="BW14" s="6">
        <f t="shared" si="7"/>
        <v>3.5574671765136882E-4</v>
      </c>
      <c r="BX14" s="6">
        <f t="shared" si="7"/>
        <v>5.8317964958072761E-4</v>
      </c>
      <c r="BY14" s="6">
        <f t="shared" si="7"/>
        <v>7.6945450337529156E-2</v>
      </c>
      <c r="BZ14" s="6">
        <f t="shared" si="7"/>
        <v>1.2308432196951387E-2</v>
      </c>
      <c r="CA14" s="6">
        <f t="shared" si="7"/>
        <v>9.5760864119367982E-3</v>
      </c>
      <c r="CB14" s="6">
        <f t="shared" si="7"/>
        <v>0.12285982099030901</v>
      </c>
      <c r="CC14" s="6">
        <f t="shared" si="7"/>
        <v>5.1874532758112858E-2</v>
      </c>
      <c r="CD14" s="6">
        <f t="shared" si="7"/>
        <v>3.7286232936271E-3</v>
      </c>
      <c r="CE14" s="6">
        <f t="shared" si="7"/>
        <v>3.2446303444038711E-2</v>
      </c>
      <c r="CF14" s="6">
        <f t="shared" si="7"/>
        <v>2.1429276052036018E-2</v>
      </c>
      <c r="CG14" s="6">
        <f t="shared" si="7"/>
        <v>1.9535500885620055E-3</v>
      </c>
      <c r="CH14" s="6">
        <f t="shared" si="7"/>
        <v>1.4510336633914827E-6</v>
      </c>
      <c r="CI14" s="6">
        <f t="shared" si="7"/>
        <v>8.7018793368057081E-4</v>
      </c>
      <c r="CJ14" s="6">
        <f t="shared" si="7"/>
        <v>8.6236642131224338E-4</v>
      </c>
      <c r="CK14" s="6">
        <f t="shared" si="7"/>
        <v>2.8417613210022334E-3</v>
      </c>
      <c r="CL14" s="6">
        <f t="shared" si="7"/>
        <v>6.6040612736459304E-4</v>
      </c>
      <c r="CM14" s="6">
        <f t="shared" si="7"/>
        <v>1.8374355740705044E-2</v>
      </c>
      <c r="CN14" s="6">
        <f t="shared" si="7"/>
        <v>1.6618421092433295E-2</v>
      </c>
      <c r="CO14" s="6">
        <f t="shared" si="7"/>
        <v>2.0688979839232142E-2</v>
      </c>
      <c r="CP14" s="6">
        <f t="shared" si="7"/>
        <v>1.6453800103596755E-3</v>
      </c>
      <c r="CQ14" s="6">
        <f t="shared" si="7"/>
        <v>2.2418211806431498E-2</v>
      </c>
      <c r="CR14" s="6">
        <f t="shared" si="7"/>
        <v>4.3259779214116917E-2</v>
      </c>
      <c r="CS14" s="6">
        <f t="shared" si="7"/>
        <v>6.4709993303679783E-2</v>
      </c>
      <c r="CT14" s="6">
        <f t="shared" si="7"/>
        <v>3.6773314082589298E-2</v>
      </c>
      <c r="CU14" s="6">
        <f t="shared" ref="CU14:DZ14" si="8">(CU4-CU10)^2</f>
        <v>1.4467821806493321E-2</v>
      </c>
      <c r="CV14" s="6">
        <f t="shared" si="8"/>
        <v>2.5015070643046748E-2</v>
      </c>
      <c r="CW14" s="6">
        <f t="shared" si="8"/>
        <v>3.2077478672147596E-4</v>
      </c>
      <c r="CX14" s="6">
        <f t="shared" si="8"/>
        <v>3.0320921872590598E-2</v>
      </c>
      <c r="CY14" s="6">
        <f t="shared" si="8"/>
        <v>6.5417724036327526E-3</v>
      </c>
      <c r="CZ14" s="6">
        <f t="shared" si="8"/>
        <v>4.9137086315212608E-3</v>
      </c>
      <c r="DA14" s="6">
        <f t="shared" si="8"/>
        <v>1.2252502120755545E-2</v>
      </c>
      <c r="DB14" s="6">
        <f t="shared" si="8"/>
        <v>2.0532038285439251E-2</v>
      </c>
      <c r="DC14" s="6">
        <f t="shared" si="8"/>
        <v>1.3851841859833583E-2</v>
      </c>
      <c r="DD14" s="6">
        <f t="shared" si="8"/>
        <v>1.9901319130530206E-4</v>
      </c>
      <c r="DE14" s="6">
        <f t="shared" si="8"/>
        <v>1.3060355705995709E-3</v>
      </c>
      <c r="DF14" s="6">
        <f t="shared" si="8"/>
        <v>4.6924321474599968E-2</v>
      </c>
      <c r="DG14" s="6">
        <f t="shared" si="8"/>
        <v>0.12928942681630498</v>
      </c>
      <c r="DH14" s="6">
        <f t="shared" si="8"/>
        <v>9.1466913865734079E-2</v>
      </c>
      <c r="DI14" s="6">
        <f t="shared" si="8"/>
        <v>3.693604392386556E-3</v>
      </c>
      <c r="DJ14" s="6">
        <f t="shared" si="8"/>
        <v>5.7916151852573929E-4</v>
      </c>
      <c r="DK14" s="6">
        <f t="shared" si="8"/>
        <v>6.9381377556851281E-2</v>
      </c>
      <c r="DL14" s="6">
        <f t="shared" si="8"/>
        <v>1.6832914244870007E-2</v>
      </c>
      <c r="DM14" s="6">
        <f t="shared" si="8"/>
        <v>1.9178234537619403E-2</v>
      </c>
      <c r="DN14" s="6">
        <f t="shared" si="8"/>
        <v>1.3002916017835217E-2</v>
      </c>
      <c r="DO14" s="6">
        <f t="shared" si="8"/>
        <v>4.1004898827113091E-3</v>
      </c>
      <c r="DP14" s="6">
        <f t="shared" si="8"/>
        <v>3.3445667376223406E-3</v>
      </c>
      <c r="DQ14" s="6">
        <f t="shared" si="8"/>
        <v>4.6963826663440261E-2</v>
      </c>
      <c r="DR14" s="6">
        <f t="shared" si="8"/>
        <v>7.9056673316813385E-3</v>
      </c>
      <c r="DS14" s="6">
        <f t="shared" si="8"/>
        <v>6.9619874770451839E-3</v>
      </c>
      <c r="DT14" s="6">
        <f t="shared" si="8"/>
        <v>1.5166188801467074E-2</v>
      </c>
      <c r="DU14" s="6">
        <f t="shared" si="8"/>
        <v>4.8208291981431249E-2</v>
      </c>
      <c r="DV14" s="6">
        <f t="shared" si="8"/>
        <v>5.7921023689516471E-7</v>
      </c>
      <c r="DW14" s="6">
        <f t="shared" si="8"/>
        <v>7.6653369416468543E-3</v>
      </c>
      <c r="DX14" s="6">
        <f t="shared" si="8"/>
        <v>1.1681079014731093E-3</v>
      </c>
      <c r="DY14" s="6">
        <f t="shared" si="8"/>
        <v>4.1811437344629075E-2</v>
      </c>
      <c r="DZ14" s="6">
        <f t="shared" si="8"/>
        <v>3.4086347136913523E-3</v>
      </c>
      <c r="EA14" s="6">
        <f t="shared" ref="EA14:EF14" si="9">(EA4-EA10)^2</f>
        <v>4.667662926454934E-3</v>
      </c>
      <c r="EB14" s="6">
        <f t="shared" si="9"/>
        <v>6.3270262729874363E-2</v>
      </c>
      <c r="EC14" s="6">
        <f t="shared" si="9"/>
        <v>3.8080117148697387E-5</v>
      </c>
      <c r="ED14" s="6">
        <f t="shared" si="9"/>
        <v>4.6313097833159024E-4</v>
      </c>
      <c r="EE14" s="6">
        <f t="shared" si="9"/>
        <v>1.4429256294608056E-3</v>
      </c>
      <c r="EF14" s="6">
        <f t="shared" si="9"/>
        <v>0.13710250088260023</v>
      </c>
    </row>
    <row r="15" spans="1:136">
      <c r="A15" s="9"/>
      <c r="B15" s="9" t="s">
        <v>138</v>
      </c>
      <c r="C15" s="6">
        <f t="shared" ref="C15:AH15" si="10">(C5-C11)^2</f>
        <v>2.405874921442747E-2</v>
      </c>
      <c r="D15" s="6">
        <f t="shared" si="10"/>
        <v>2.3293635088154657E-2</v>
      </c>
      <c r="E15" s="6">
        <f t="shared" si="10"/>
        <v>0.29459664529731461</v>
      </c>
      <c r="F15" s="6">
        <f t="shared" si="10"/>
        <v>1.8093242109022706E-2</v>
      </c>
      <c r="G15" s="6">
        <f t="shared" si="10"/>
        <v>9.8109396993650066E-2</v>
      </c>
      <c r="H15" s="6">
        <f t="shared" si="10"/>
        <v>0.22276490933123369</v>
      </c>
      <c r="I15" s="6">
        <f t="shared" si="10"/>
        <v>2.7262130155613313E-2</v>
      </c>
      <c r="J15" s="6">
        <f t="shared" si="10"/>
        <v>6.1234956513977253E-3</v>
      </c>
      <c r="K15" s="6">
        <f t="shared" si="10"/>
        <v>3.9330534783208478E-2</v>
      </c>
      <c r="L15" s="6">
        <f t="shared" si="10"/>
        <v>0.19285094304739839</v>
      </c>
      <c r="M15" s="6">
        <f t="shared" si="10"/>
        <v>7.2842619862017524E-2</v>
      </c>
      <c r="N15" s="6">
        <f t="shared" si="10"/>
        <v>7.8609227785319369E-2</v>
      </c>
      <c r="O15" s="6">
        <f t="shared" si="10"/>
        <v>2.6392163546644542E-2</v>
      </c>
      <c r="P15" s="6">
        <f t="shared" si="10"/>
        <v>0.15250897943364217</v>
      </c>
      <c r="Q15" s="6">
        <f t="shared" si="10"/>
        <v>8.5733539002288647E-4</v>
      </c>
      <c r="R15" s="6">
        <f t="shared" si="10"/>
        <v>8.7460374855595612E-3</v>
      </c>
      <c r="S15" s="6">
        <f t="shared" si="10"/>
        <v>7.2491394980314011E-2</v>
      </c>
      <c r="T15" s="6">
        <f t="shared" si="10"/>
        <v>3.2511820878735123E-3</v>
      </c>
      <c r="U15" s="6">
        <f t="shared" si="10"/>
        <v>2.0114330532096993E-4</v>
      </c>
      <c r="V15" s="6">
        <f t="shared" si="10"/>
        <v>2.3898314639651273E-2</v>
      </c>
      <c r="W15" s="6">
        <f t="shared" si="10"/>
        <v>8.4103976548501685E-2</v>
      </c>
      <c r="X15" s="6">
        <f t="shared" si="10"/>
        <v>2.7072256529345758E-2</v>
      </c>
      <c r="Y15" s="6">
        <f t="shared" si="10"/>
        <v>0.5482978875588671</v>
      </c>
      <c r="Z15" s="6">
        <f t="shared" si="10"/>
        <v>3.2672188124006664E-2</v>
      </c>
      <c r="AA15" s="6">
        <f t="shared" si="10"/>
        <v>6.3500679571694843E-3</v>
      </c>
      <c r="AB15" s="6">
        <f t="shared" si="10"/>
        <v>4.0718512820479127E-2</v>
      </c>
      <c r="AC15" s="6">
        <f t="shared" si="10"/>
        <v>2.0171773040789036E-4</v>
      </c>
      <c r="AD15" s="6">
        <f t="shared" si="10"/>
        <v>2.0049425022792722E-2</v>
      </c>
      <c r="AE15" s="6">
        <f t="shared" si="10"/>
        <v>1.0196428782332021E-2</v>
      </c>
      <c r="AF15" s="6">
        <f t="shared" si="10"/>
        <v>0.10945347702938428</v>
      </c>
      <c r="AG15" s="6">
        <f t="shared" si="10"/>
        <v>7.6720154603692012E-2</v>
      </c>
      <c r="AH15" s="6">
        <f t="shared" si="10"/>
        <v>0.11788297153715228</v>
      </c>
      <c r="AI15" s="6">
        <f t="shared" ref="AI15:BN15" si="11">(AI5-AI11)^2</f>
        <v>5.3207895291471012E-2</v>
      </c>
      <c r="AJ15" s="6">
        <f t="shared" si="11"/>
        <v>0.21754147975711921</v>
      </c>
      <c r="AK15" s="6">
        <f t="shared" si="11"/>
        <v>3.2238049939035035E-2</v>
      </c>
      <c r="AL15" s="6">
        <f t="shared" si="11"/>
        <v>6.0468288103145808E-3</v>
      </c>
      <c r="AM15" s="6">
        <f t="shared" si="11"/>
        <v>1.3897928479421332E-4</v>
      </c>
      <c r="AN15" s="6">
        <f t="shared" si="11"/>
        <v>1.6214796439821447E-2</v>
      </c>
      <c r="AO15" s="6">
        <f t="shared" si="11"/>
        <v>1.5869670019825192E-2</v>
      </c>
      <c r="AP15" s="6">
        <f t="shared" si="11"/>
        <v>9.8648155443152602E-7</v>
      </c>
      <c r="AQ15" s="6">
        <f t="shared" si="11"/>
        <v>1.8742263024141542E-2</v>
      </c>
      <c r="AR15" s="6">
        <f t="shared" si="11"/>
        <v>1.7209972173421621E-2</v>
      </c>
      <c r="AS15" s="6">
        <f t="shared" si="11"/>
        <v>2.7484847340199452E-2</v>
      </c>
      <c r="AT15" s="6">
        <f t="shared" si="11"/>
        <v>1.0362654981528571E-5</v>
      </c>
      <c r="AU15" s="6">
        <f t="shared" si="11"/>
        <v>2.5600517236982125E-2</v>
      </c>
      <c r="AV15" s="6">
        <f t="shared" si="11"/>
        <v>3.6068544085765698E-3</v>
      </c>
      <c r="AW15" s="6">
        <f t="shared" si="11"/>
        <v>3.5039547936425467E-3</v>
      </c>
      <c r="AX15" s="6">
        <f t="shared" si="11"/>
        <v>6.8718251904354391E-2</v>
      </c>
      <c r="AY15" s="6">
        <f t="shared" si="11"/>
        <v>3.2257907670147176E-2</v>
      </c>
      <c r="AZ15" s="6">
        <f t="shared" si="11"/>
        <v>7.1922926855121166E-2</v>
      </c>
      <c r="BA15" s="6">
        <f t="shared" si="11"/>
        <v>1.3990978027730208E-3</v>
      </c>
      <c r="BB15" s="6">
        <f t="shared" si="11"/>
        <v>5.3767709148805493E-2</v>
      </c>
      <c r="BC15" s="6">
        <f t="shared" si="11"/>
        <v>3.6234463820952162E-2</v>
      </c>
      <c r="BD15" s="6">
        <f t="shared" si="11"/>
        <v>8.4172436517509202E-3</v>
      </c>
      <c r="BE15" s="6">
        <f t="shared" si="11"/>
        <v>6.8853883838167582E-2</v>
      </c>
      <c r="BF15" s="6">
        <f t="shared" si="11"/>
        <v>5.8529421217985511E-3</v>
      </c>
      <c r="BG15" s="6">
        <f t="shared" si="11"/>
        <v>2.5461126495132957E-3</v>
      </c>
      <c r="BH15" s="6">
        <f t="shared" si="11"/>
        <v>1.4637133707172376E-2</v>
      </c>
      <c r="BI15" s="6">
        <f t="shared" si="11"/>
        <v>1.8303138030018238E-2</v>
      </c>
      <c r="BJ15" s="6">
        <f t="shared" si="11"/>
        <v>5.0029310844908956E-2</v>
      </c>
      <c r="BK15" s="6">
        <f t="shared" si="11"/>
        <v>4.1472373788238537E-2</v>
      </c>
      <c r="BL15" s="6">
        <f t="shared" si="11"/>
        <v>9.582406673692109E-3</v>
      </c>
      <c r="BM15" s="6">
        <f t="shared" si="11"/>
        <v>1.4892550615159326E-3</v>
      </c>
      <c r="BN15" s="6">
        <f t="shared" si="11"/>
        <v>2.1019433197472629E-2</v>
      </c>
      <c r="BO15" s="6">
        <f t="shared" ref="BO15:CT15" si="12">(BO5-BO11)^2</f>
        <v>7.1489161695194852E-3</v>
      </c>
      <c r="BP15" s="6">
        <f t="shared" si="12"/>
        <v>4.9018554265506831E-4</v>
      </c>
      <c r="BQ15" s="6">
        <f t="shared" si="12"/>
        <v>2.2924489228619893E-2</v>
      </c>
      <c r="BR15" s="6">
        <f t="shared" si="12"/>
        <v>4.6348051395399242E-2</v>
      </c>
      <c r="BS15" s="6">
        <f t="shared" si="12"/>
        <v>4.9350462262851509E-2</v>
      </c>
      <c r="BT15" s="6">
        <f t="shared" si="12"/>
        <v>2.8897822394271758E-2</v>
      </c>
      <c r="BU15" s="6">
        <f t="shared" si="12"/>
        <v>1.3466616565994167E-2</v>
      </c>
      <c r="BV15" s="6">
        <f t="shared" si="12"/>
        <v>4.2031925355017815E-3</v>
      </c>
      <c r="BW15" s="6">
        <f t="shared" si="12"/>
        <v>2.1067933163668452E-4</v>
      </c>
      <c r="BX15" s="6">
        <f t="shared" si="12"/>
        <v>1.0378315706453627E-2</v>
      </c>
      <c r="BY15" s="6">
        <f t="shared" si="12"/>
        <v>5.8881509036435567E-3</v>
      </c>
      <c r="BZ15" s="6">
        <f t="shared" si="12"/>
        <v>4.3673428872032516E-3</v>
      </c>
      <c r="CA15" s="6">
        <f t="shared" si="12"/>
        <v>3.6753632047366491E-3</v>
      </c>
      <c r="CB15" s="6">
        <f t="shared" si="12"/>
        <v>1.596123007930221E-2</v>
      </c>
      <c r="CC15" s="6">
        <f t="shared" si="12"/>
        <v>2.5736038941545799E-2</v>
      </c>
      <c r="CD15" s="6">
        <f t="shared" si="12"/>
        <v>0.1567024414461349</v>
      </c>
      <c r="CE15" s="6">
        <f t="shared" si="12"/>
        <v>4.3322620657000339E-3</v>
      </c>
      <c r="CF15" s="6">
        <f t="shared" si="12"/>
        <v>2.1733216885262124E-2</v>
      </c>
      <c r="CG15" s="6">
        <f t="shared" si="12"/>
        <v>7.9063326316364396E-2</v>
      </c>
      <c r="CH15" s="6">
        <f t="shared" si="12"/>
        <v>1.0394914619134971E-3</v>
      </c>
      <c r="CI15" s="6">
        <f t="shared" si="12"/>
        <v>1.0290411629317079E-3</v>
      </c>
      <c r="CJ15" s="6">
        <f t="shared" si="12"/>
        <v>0.24374772797212513</v>
      </c>
      <c r="CK15" s="6">
        <f t="shared" si="12"/>
        <v>6.0747993892910107E-2</v>
      </c>
      <c r="CL15" s="6">
        <f t="shared" si="12"/>
        <v>4.7558022351001761E-2</v>
      </c>
      <c r="CM15" s="6">
        <f t="shared" si="12"/>
        <v>2.41311039094371E-2</v>
      </c>
      <c r="CN15" s="6">
        <f t="shared" si="12"/>
        <v>0.14075586369264392</v>
      </c>
      <c r="CO15" s="6">
        <f t="shared" si="12"/>
        <v>0.29339799241866599</v>
      </c>
      <c r="CP15" s="6">
        <f t="shared" si="12"/>
        <v>1.0890194429082833E-4</v>
      </c>
      <c r="CQ15" s="6">
        <f t="shared" si="12"/>
        <v>8.5224012058036175E-2</v>
      </c>
      <c r="CR15" s="6">
        <f t="shared" si="12"/>
        <v>0.2253882292990842</v>
      </c>
      <c r="CS15" s="6">
        <f t="shared" si="12"/>
        <v>6.9101769864812715E-2</v>
      </c>
      <c r="CT15" s="6">
        <f t="shared" si="12"/>
        <v>6.4948778390843925E-2</v>
      </c>
      <c r="CU15" s="6">
        <f t="shared" ref="CU15:DZ15" si="13">(CU5-CU11)^2</f>
        <v>1.2376517498844553E-3</v>
      </c>
      <c r="CV15" s="6">
        <f t="shared" si="13"/>
        <v>8.4869028657436008E-2</v>
      </c>
      <c r="CW15" s="6">
        <f t="shared" si="13"/>
        <v>1.435810503471014E-2</v>
      </c>
      <c r="CX15" s="6">
        <f t="shared" si="13"/>
        <v>0.13893206813038864</v>
      </c>
      <c r="CY15" s="6">
        <f t="shared" si="13"/>
        <v>0.36304428427771102</v>
      </c>
      <c r="CZ15" s="6">
        <f t="shared" si="13"/>
        <v>0.75234390143696528</v>
      </c>
      <c r="DA15" s="6">
        <f t="shared" si="13"/>
        <v>6.7176164527273693E-2</v>
      </c>
      <c r="DB15" s="6">
        <f t="shared" si="13"/>
        <v>3.273486186453334E-4</v>
      </c>
      <c r="DC15" s="6">
        <f t="shared" si="13"/>
        <v>4.9979143119382306E-2</v>
      </c>
      <c r="DD15" s="6">
        <f t="shared" si="13"/>
        <v>6.5715308246267534E-2</v>
      </c>
      <c r="DE15" s="6">
        <f t="shared" si="13"/>
        <v>1.3779619599725264E-2</v>
      </c>
      <c r="DF15" s="6">
        <f t="shared" si="13"/>
        <v>0.15547153530738914</v>
      </c>
      <c r="DG15" s="6">
        <f t="shared" si="13"/>
        <v>5.25533195311415E-2</v>
      </c>
      <c r="DH15" s="6">
        <f t="shared" si="13"/>
        <v>1.1192678282671176E-2</v>
      </c>
      <c r="DI15" s="6">
        <f t="shared" si="13"/>
        <v>5.8448130267062352E-2</v>
      </c>
      <c r="DJ15" s="6">
        <f t="shared" si="13"/>
        <v>0.16440941888952298</v>
      </c>
      <c r="DK15" s="6">
        <f t="shared" si="13"/>
        <v>0.70395826724960586</v>
      </c>
      <c r="DL15" s="6">
        <f t="shared" si="13"/>
        <v>5.7914148790905819E-2</v>
      </c>
      <c r="DM15" s="6">
        <f t="shared" si="13"/>
        <v>0.21172131643185685</v>
      </c>
      <c r="DN15" s="6">
        <f t="shared" si="13"/>
        <v>0.60531809129546887</v>
      </c>
      <c r="DO15" s="6">
        <f t="shared" si="13"/>
        <v>9.1896142742364087E-2</v>
      </c>
      <c r="DP15" s="6">
        <f t="shared" si="13"/>
        <v>3.4550259814726862E-2</v>
      </c>
      <c r="DQ15" s="6">
        <f t="shared" si="13"/>
        <v>0.68359349095613919</v>
      </c>
      <c r="DR15" s="6">
        <f t="shared" si="13"/>
        <v>1.0001165413922777E-4</v>
      </c>
      <c r="DS15" s="6">
        <f t="shared" si="13"/>
        <v>0.11072807448978861</v>
      </c>
      <c r="DT15" s="6">
        <f t="shared" si="13"/>
        <v>8.8784319296733777E-2</v>
      </c>
      <c r="DU15" s="6">
        <f t="shared" si="13"/>
        <v>7.5469002063199023E-2</v>
      </c>
      <c r="DV15" s="6">
        <f t="shared" si="13"/>
        <v>0.55158559676116625</v>
      </c>
      <c r="DW15" s="6">
        <f t="shared" si="13"/>
        <v>5.4934112407110615E-3</v>
      </c>
      <c r="DX15" s="6">
        <f t="shared" si="13"/>
        <v>6.5056752498953915E-2</v>
      </c>
      <c r="DY15" s="6">
        <f t="shared" si="13"/>
        <v>0.2475256837966997</v>
      </c>
      <c r="DZ15" s="6">
        <f t="shared" si="13"/>
        <v>0.21087233176482217</v>
      </c>
      <c r="EA15" s="6">
        <f t="shared" ref="EA15:EF15" si="14">(EA5-EA11)^2</f>
        <v>0.15114087188472333</v>
      </c>
      <c r="EB15" s="6">
        <f t="shared" si="14"/>
        <v>0.87482148371581347</v>
      </c>
      <c r="EC15" s="6">
        <f t="shared" si="14"/>
        <v>1.531923655437289E-2</v>
      </c>
      <c r="ED15" s="6">
        <f t="shared" si="14"/>
        <v>0.10999976509349076</v>
      </c>
      <c r="EE15" s="6">
        <f t="shared" si="14"/>
        <v>0.55624904135993825</v>
      </c>
      <c r="EF15" s="6">
        <f t="shared" si="14"/>
        <v>1.0775088008824379E-2</v>
      </c>
    </row>
    <row r="17" spans="1:136">
      <c r="A17" t="s">
        <v>205</v>
      </c>
      <c r="B17" t="s">
        <v>136</v>
      </c>
      <c r="C17" s="6">
        <f t="shared" ref="C17:AH17" si="15">C9^2</f>
        <v>1.1904082277860264E-2</v>
      </c>
      <c r="D17" s="6">
        <f t="shared" si="15"/>
        <v>2.1247676054046116E-4</v>
      </c>
      <c r="E17" s="6">
        <f t="shared" si="15"/>
        <v>1.3071374994951929E-3</v>
      </c>
      <c r="F17" s="6">
        <f t="shared" si="15"/>
        <v>2.2492264027630889E-5</v>
      </c>
      <c r="G17" s="6">
        <f t="shared" si="15"/>
        <v>3.3036666141783492E-5</v>
      </c>
      <c r="H17" s="6">
        <f t="shared" si="15"/>
        <v>2.4381891708842936E-3</v>
      </c>
      <c r="I17" s="6">
        <f t="shared" si="15"/>
        <v>3.3581210916677484E-2</v>
      </c>
      <c r="J17" s="6">
        <f t="shared" si="15"/>
        <v>1.3569060155122757E-2</v>
      </c>
      <c r="K17" s="6">
        <f t="shared" si="15"/>
        <v>9.3605069620112215E-4</v>
      </c>
      <c r="L17" s="6">
        <f t="shared" si="15"/>
        <v>3.9315162352171023E-4</v>
      </c>
      <c r="M17" s="6">
        <f t="shared" si="15"/>
        <v>4.4095826822239875E-4</v>
      </c>
      <c r="N17" s="6">
        <f t="shared" si="15"/>
        <v>2.2433876085478928E-2</v>
      </c>
      <c r="O17" s="6">
        <f t="shared" si="15"/>
        <v>2.3911693040638534E-4</v>
      </c>
      <c r="P17" s="6">
        <f t="shared" si="15"/>
        <v>8.4258302823047079E-3</v>
      </c>
      <c r="Q17" s="6">
        <f t="shared" si="15"/>
        <v>5.9921553092687051E-3</v>
      </c>
      <c r="R17" s="6">
        <f t="shared" si="15"/>
        <v>3.0004754709051702E-3</v>
      </c>
      <c r="S17" s="6">
        <f t="shared" si="15"/>
        <v>1.5708708491616E-2</v>
      </c>
      <c r="T17" s="6">
        <f t="shared" si="15"/>
        <v>1.4173716945580542E-2</v>
      </c>
      <c r="U17" s="6">
        <f t="shared" si="15"/>
        <v>1.4265767398050631E-3</v>
      </c>
      <c r="V17" s="6">
        <f t="shared" si="15"/>
        <v>6.5908131416074602E-3</v>
      </c>
      <c r="W17" s="6">
        <f t="shared" si="15"/>
        <v>7.0575066817627407E-3</v>
      </c>
      <c r="X17" s="6">
        <f t="shared" si="15"/>
        <v>2.1612338960948319E-2</v>
      </c>
      <c r="Y17" s="6">
        <f t="shared" si="15"/>
        <v>1.5715264241471783E-2</v>
      </c>
      <c r="Z17" s="6">
        <f t="shared" si="15"/>
        <v>3.6846166718653456E-2</v>
      </c>
      <c r="AA17" s="6">
        <f t="shared" si="15"/>
        <v>7.1184289266528374E-3</v>
      </c>
      <c r="AB17" s="6">
        <f t="shared" si="15"/>
        <v>5.3140620982757656E-3</v>
      </c>
      <c r="AC17" s="6">
        <f t="shared" si="15"/>
        <v>1.0527695785516851E-2</v>
      </c>
      <c r="AD17" s="6">
        <f t="shared" si="15"/>
        <v>2.4869817519127077E-4</v>
      </c>
      <c r="AE17" s="6">
        <f t="shared" si="15"/>
        <v>2.3106177330172069E-2</v>
      </c>
      <c r="AF17" s="6">
        <f t="shared" si="15"/>
        <v>3.5105923035905259E-3</v>
      </c>
      <c r="AG17" s="6">
        <f t="shared" si="15"/>
        <v>1.6915301264337771E-2</v>
      </c>
      <c r="AH17" s="6">
        <f t="shared" si="15"/>
        <v>1.328403665826966E-2</v>
      </c>
      <c r="AI17" s="6">
        <f t="shared" ref="AI17:BN17" si="16">AI9^2</f>
        <v>1.0631917918075163E-3</v>
      </c>
      <c r="AJ17" s="6">
        <f t="shared" si="16"/>
        <v>7.8395043318640434E-4</v>
      </c>
      <c r="AK17" s="6">
        <f t="shared" si="16"/>
        <v>2.1482887422166509E-2</v>
      </c>
      <c r="AL17" s="6">
        <f t="shared" si="16"/>
        <v>1.668062549107739E-3</v>
      </c>
      <c r="AM17" s="6">
        <f t="shared" si="16"/>
        <v>1.7259749824038686E-2</v>
      </c>
      <c r="AN17" s="6">
        <f t="shared" si="16"/>
        <v>4.9032555464976403E-2</v>
      </c>
      <c r="AO17" s="6">
        <f t="shared" si="16"/>
        <v>4.3852711121876225E-4</v>
      </c>
      <c r="AP17" s="6">
        <f t="shared" si="16"/>
        <v>1.8812851996102171E-2</v>
      </c>
      <c r="AQ17" s="6">
        <f t="shared" si="16"/>
        <v>6.1915646627000822E-4</v>
      </c>
      <c r="AR17" s="6">
        <f t="shared" si="16"/>
        <v>2.4068328718584233E-4</v>
      </c>
      <c r="AS17" s="6">
        <f t="shared" si="16"/>
        <v>1.1815056389704321E-3</v>
      </c>
      <c r="AT17" s="6">
        <f t="shared" si="16"/>
        <v>3.9810656089414309E-3</v>
      </c>
      <c r="AU17" s="6">
        <f t="shared" si="16"/>
        <v>1.8694983030806238E-3</v>
      </c>
      <c r="AV17" s="6">
        <f t="shared" si="16"/>
        <v>5.5101474414569638E-3</v>
      </c>
      <c r="AW17" s="6">
        <f t="shared" si="16"/>
        <v>7.8371035043392316E-4</v>
      </c>
      <c r="AX17" s="6">
        <f t="shared" si="16"/>
        <v>1.4367478657017244E-2</v>
      </c>
      <c r="AY17" s="6">
        <f t="shared" si="16"/>
        <v>5.8613679493322605E-3</v>
      </c>
      <c r="AZ17" s="6">
        <f t="shared" si="16"/>
        <v>4.7220968054589304E-4</v>
      </c>
      <c r="BA17" s="6">
        <f t="shared" si="16"/>
        <v>1.5536707046446584E-6</v>
      </c>
      <c r="BB17" s="6">
        <f t="shared" si="16"/>
        <v>1.0200156097581669E-2</v>
      </c>
      <c r="BC17" s="6">
        <f t="shared" si="16"/>
        <v>8.8964574469951819E-4</v>
      </c>
      <c r="BD17" s="6">
        <f t="shared" si="16"/>
        <v>7.5268956977767048E-5</v>
      </c>
      <c r="BE17" s="6">
        <f t="shared" si="16"/>
        <v>4.7000904970756216E-3</v>
      </c>
      <c r="BF17" s="6">
        <f t="shared" si="16"/>
        <v>2.4621562948682934E-2</v>
      </c>
      <c r="BG17" s="6">
        <f t="shared" si="16"/>
        <v>2.5345828645073384E-2</v>
      </c>
      <c r="BH17" s="6">
        <f t="shared" si="16"/>
        <v>3.7358582565093718E-3</v>
      </c>
      <c r="BI17" s="6">
        <f t="shared" si="16"/>
        <v>9.3921007423280172E-3</v>
      </c>
      <c r="BJ17" s="6">
        <f t="shared" si="16"/>
        <v>2.9971517217047563E-3</v>
      </c>
      <c r="BK17" s="6">
        <f t="shared" si="16"/>
        <v>7.6550185977651616E-3</v>
      </c>
      <c r="BL17" s="6">
        <f t="shared" si="16"/>
        <v>8.9164103340217925E-3</v>
      </c>
      <c r="BM17" s="6">
        <f t="shared" si="16"/>
        <v>4.9244308753160887E-4</v>
      </c>
      <c r="BN17" s="6">
        <f t="shared" si="16"/>
        <v>2.4425352677185161E-4</v>
      </c>
      <c r="BO17" s="6">
        <f t="shared" ref="BO17:CT17" si="17">BO9^2</f>
        <v>6.6289298211247571E-3</v>
      </c>
      <c r="BP17" s="6">
        <f t="shared" si="17"/>
        <v>3.4258094968395863E-4</v>
      </c>
      <c r="BQ17" s="6">
        <f t="shared" si="17"/>
        <v>4.7237535213055463E-3</v>
      </c>
      <c r="BR17" s="6">
        <f t="shared" si="17"/>
        <v>9.6246407867516525E-6</v>
      </c>
      <c r="BS17" s="6">
        <f t="shared" si="17"/>
        <v>5.6196639138378088E-3</v>
      </c>
      <c r="BT17" s="6">
        <f t="shared" si="17"/>
        <v>2.0431835304301382E-3</v>
      </c>
      <c r="BU17" s="6">
        <f t="shared" si="17"/>
        <v>6.5932524502488709E-4</v>
      </c>
      <c r="BV17" s="6">
        <f t="shared" si="17"/>
        <v>8.427980119369332E-3</v>
      </c>
      <c r="BW17" s="6">
        <f t="shared" si="17"/>
        <v>6.9453326513524774E-4</v>
      </c>
      <c r="BX17" s="6">
        <f t="shared" si="17"/>
        <v>3.7615951743202121E-4</v>
      </c>
      <c r="BY17" s="6">
        <f t="shared" si="17"/>
        <v>5.9042164483032638E-3</v>
      </c>
      <c r="BZ17" s="6">
        <f t="shared" si="17"/>
        <v>1.2839000623048005E-2</v>
      </c>
      <c r="CA17" s="6">
        <f t="shared" si="17"/>
        <v>1.1525082059920233E-2</v>
      </c>
      <c r="CB17" s="6">
        <f t="shared" si="17"/>
        <v>1.6682967477483388E-3</v>
      </c>
      <c r="CC17" s="6">
        <f t="shared" si="17"/>
        <v>3.9210767823715285E-4</v>
      </c>
      <c r="CD17" s="6">
        <f t="shared" si="17"/>
        <v>3.548592802252902E-2</v>
      </c>
      <c r="CE17" s="6">
        <f t="shared" si="17"/>
        <v>3.0885701458901937E-3</v>
      </c>
      <c r="CF17" s="6">
        <f t="shared" si="17"/>
        <v>5.6058275198580514E-3</v>
      </c>
      <c r="CG17" s="6">
        <f t="shared" si="17"/>
        <v>1.0000038380535725E-2</v>
      </c>
      <c r="CH17" s="6">
        <f t="shared" si="17"/>
        <v>1.850190885600296E-2</v>
      </c>
      <c r="CI17" s="6">
        <f t="shared" si="17"/>
        <v>8.7873778374468071E-3</v>
      </c>
      <c r="CJ17" s="6">
        <f t="shared" si="17"/>
        <v>1.5449609443997168E-5</v>
      </c>
      <c r="CK17" s="6">
        <f t="shared" si="17"/>
        <v>3.1931288133821255E-3</v>
      </c>
      <c r="CL17" s="6">
        <f t="shared" si="17"/>
        <v>6.9456377220562526E-2</v>
      </c>
      <c r="CM17" s="6">
        <f t="shared" si="17"/>
        <v>9.1306336429085243E-5</v>
      </c>
      <c r="CN17" s="6">
        <f t="shared" si="17"/>
        <v>9.9299981066329653E-4</v>
      </c>
      <c r="CO17" s="6">
        <f t="shared" si="17"/>
        <v>5.1162058729769763E-4</v>
      </c>
      <c r="CP17" s="6">
        <f t="shared" si="17"/>
        <v>1.7597510690797149E-2</v>
      </c>
      <c r="CQ17" s="6">
        <f t="shared" si="17"/>
        <v>1.7708364708443211E-2</v>
      </c>
      <c r="CR17" s="6">
        <f t="shared" si="17"/>
        <v>2.2369415134259262E-4</v>
      </c>
      <c r="CS17" s="6">
        <f t="shared" si="17"/>
        <v>1.1168922557625953E-3</v>
      </c>
      <c r="CT17" s="6">
        <f t="shared" si="17"/>
        <v>1.5082808365029206E-4</v>
      </c>
      <c r="CU17" s="6">
        <f t="shared" ref="CU17:DZ17" si="18">CU9^2</f>
        <v>1.3645740385844037E-2</v>
      </c>
      <c r="CV17" s="6">
        <f t="shared" si="18"/>
        <v>9.9789357659655527E-6</v>
      </c>
      <c r="CW17" s="6">
        <f t="shared" si="18"/>
        <v>1.4605970535097568E-3</v>
      </c>
      <c r="CX17" s="6">
        <f t="shared" si="18"/>
        <v>1.9369428669164728E-2</v>
      </c>
      <c r="CY17" s="6">
        <f t="shared" si="18"/>
        <v>5.6227258353762984E-4</v>
      </c>
      <c r="CZ17" s="6">
        <f t="shared" si="18"/>
        <v>4.7677993769128582E-2</v>
      </c>
      <c r="DA17" s="6">
        <f t="shared" si="18"/>
        <v>3.3602150955513014E-3</v>
      </c>
      <c r="DB17" s="6">
        <f t="shared" si="18"/>
        <v>1.9892898007428065E-4</v>
      </c>
      <c r="DC17" s="6">
        <f t="shared" si="18"/>
        <v>1.298598834966512E-2</v>
      </c>
      <c r="DD17" s="6">
        <f t="shared" si="18"/>
        <v>5.5461177913042319E-3</v>
      </c>
      <c r="DE17" s="6">
        <f t="shared" si="18"/>
        <v>8.0944705118043796E-7</v>
      </c>
      <c r="DF17" s="6">
        <f t="shared" si="18"/>
        <v>9.5466930982486662E-7</v>
      </c>
      <c r="DG17" s="6">
        <f t="shared" si="18"/>
        <v>5.3260942765597724E-3</v>
      </c>
      <c r="DH17" s="6">
        <f t="shared" si="18"/>
        <v>5.6859770483571833E-4</v>
      </c>
      <c r="DI17" s="6">
        <f t="shared" si="18"/>
        <v>1.0308477356134783E-2</v>
      </c>
      <c r="DJ17" s="6">
        <f t="shared" si="18"/>
        <v>7.6687657573272126E-4</v>
      </c>
      <c r="DK17" s="6">
        <f t="shared" si="18"/>
        <v>2.4339573117996964E-3</v>
      </c>
      <c r="DL17" s="6">
        <f t="shared" si="18"/>
        <v>3.248267667612629E-5</v>
      </c>
      <c r="DM17" s="6">
        <f t="shared" si="18"/>
        <v>1.3676505773505593E-3</v>
      </c>
      <c r="DN17" s="6">
        <f t="shared" si="18"/>
        <v>1.2058891959025398E-2</v>
      </c>
      <c r="DO17" s="6">
        <f t="shared" si="18"/>
        <v>1.7670946755159902E-3</v>
      </c>
      <c r="DP17" s="6">
        <f t="shared" si="18"/>
        <v>7.1515213376560464E-3</v>
      </c>
      <c r="DQ17" s="6">
        <f t="shared" si="18"/>
        <v>1.2161636684326392E-2</v>
      </c>
      <c r="DR17" s="6">
        <f t="shared" si="18"/>
        <v>8.8979053657027001E-3</v>
      </c>
      <c r="DS17" s="6">
        <f t="shared" si="18"/>
        <v>5.1706040810191528E-3</v>
      </c>
      <c r="DT17" s="6">
        <f t="shared" si="18"/>
        <v>9.2614503642733919E-3</v>
      </c>
      <c r="DU17" s="6">
        <f t="shared" si="18"/>
        <v>5.5016020342108963E-6</v>
      </c>
      <c r="DV17" s="6">
        <f t="shared" si="18"/>
        <v>1.7960669823662546E-2</v>
      </c>
      <c r="DW17" s="6">
        <f t="shared" si="18"/>
        <v>8.9742501777570517E-3</v>
      </c>
      <c r="DX17" s="6">
        <f t="shared" si="18"/>
        <v>1.0768876593012837E-2</v>
      </c>
      <c r="DY17" s="6">
        <f t="shared" si="18"/>
        <v>5.7399040046420165E-3</v>
      </c>
      <c r="DZ17" s="6">
        <f t="shared" si="18"/>
        <v>1.0131311029084758E-3</v>
      </c>
      <c r="EA17" s="6">
        <f t="shared" ref="EA17:EF17" si="19">EA9^2</f>
        <v>2.6020277100143683E-2</v>
      </c>
      <c r="EB17" s="6">
        <f t="shared" si="19"/>
        <v>1.0411208891300061E-4</v>
      </c>
      <c r="EC17" s="6">
        <f t="shared" si="19"/>
        <v>5.4742870589305657E-3</v>
      </c>
      <c r="ED17" s="6">
        <f t="shared" si="19"/>
        <v>2.4767480781445986E-2</v>
      </c>
      <c r="EE17" s="6">
        <f t="shared" si="19"/>
        <v>6.2627523737550815E-3</v>
      </c>
      <c r="EF17" s="6">
        <f t="shared" si="19"/>
        <v>5.2603901117786907E-3</v>
      </c>
    </row>
    <row r="18" spans="1:136">
      <c r="B18" t="s">
        <v>137</v>
      </c>
      <c r="C18" s="6">
        <f t="shared" ref="C18:AH18" si="20">C10^2</f>
        <v>6.1300169090364023E-2</v>
      </c>
      <c r="D18" s="6">
        <f t="shared" si="20"/>
        <v>7.5456410721795972E-2</v>
      </c>
      <c r="E18" s="6">
        <f t="shared" si="20"/>
        <v>7.1653491215006608E-3</v>
      </c>
      <c r="F18" s="6">
        <f t="shared" si="20"/>
        <v>5.1277932467457823E-4</v>
      </c>
      <c r="G18" s="6">
        <f t="shared" si="20"/>
        <v>2.4681024790687124E-3</v>
      </c>
      <c r="H18" s="6">
        <f t="shared" si="20"/>
        <v>1.0152503674850528E-2</v>
      </c>
      <c r="I18" s="6">
        <f t="shared" si="20"/>
        <v>1.568185506319921E-4</v>
      </c>
      <c r="J18" s="6">
        <f t="shared" si="20"/>
        <v>6.1994443791691554E-3</v>
      </c>
      <c r="K18" s="6">
        <f t="shared" si="20"/>
        <v>1.1686210786418709E-3</v>
      </c>
      <c r="L18" s="6">
        <f t="shared" si="20"/>
        <v>7.8157618954765237E-3</v>
      </c>
      <c r="M18" s="6">
        <f t="shared" si="20"/>
        <v>9.384753841255295E-6</v>
      </c>
      <c r="N18" s="6">
        <f t="shared" si="20"/>
        <v>4.5036476574086326E-2</v>
      </c>
      <c r="O18" s="6">
        <f t="shared" si="20"/>
        <v>1.3546366286925624E-3</v>
      </c>
      <c r="P18" s="6">
        <f t="shared" si="20"/>
        <v>5.0457039774389721E-3</v>
      </c>
      <c r="Q18" s="6">
        <f t="shared" si="20"/>
        <v>5.0781490762883581E-3</v>
      </c>
      <c r="R18" s="6">
        <f t="shared" si="20"/>
        <v>4.6485286217124193E-4</v>
      </c>
      <c r="S18" s="6">
        <f t="shared" si="20"/>
        <v>1.0223486509543127E-2</v>
      </c>
      <c r="T18" s="6">
        <f t="shared" si="20"/>
        <v>1.8683781301546628E-3</v>
      </c>
      <c r="U18" s="6">
        <f t="shared" si="20"/>
        <v>2.2147242359019667E-4</v>
      </c>
      <c r="V18" s="6">
        <f t="shared" si="20"/>
        <v>4.0018583491306699E-5</v>
      </c>
      <c r="W18" s="6">
        <f t="shared" si="20"/>
        <v>2.0607457624597373E-2</v>
      </c>
      <c r="X18" s="6">
        <f t="shared" si="20"/>
        <v>4.1321976387742217E-3</v>
      </c>
      <c r="Y18" s="6">
        <f t="shared" si="20"/>
        <v>3.6230087920246964E-4</v>
      </c>
      <c r="Z18" s="6">
        <f t="shared" si="20"/>
        <v>4.2619770257246479E-4</v>
      </c>
      <c r="AA18" s="6">
        <f t="shared" si="20"/>
        <v>1.0929332099957007E-3</v>
      </c>
      <c r="AB18" s="6">
        <f t="shared" si="20"/>
        <v>3.7706753115437583E-4</v>
      </c>
      <c r="AC18" s="6">
        <f t="shared" si="20"/>
        <v>3.9849977723438457E-3</v>
      </c>
      <c r="AD18" s="6">
        <f t="shared" si="20"/>
        <v>4.3072591163810263E-3</v>
      </c>
      <c r="AE18" s="6">
        <f t="shared" si="20"/>
        <v>1.9042810256226231E-2</v>
      </c>
      <c r="AF18" s="6">
        <f t="shared" si="20"/>
        <v>1.0113906222416341E-2</v>
      </c>
      <c r="AG18" s="6">
        <f t="shared" si="20"/>
        <v>1.4416518828127469E-3</v>
      </c>
      <c r="AH18" s="6">
        <f t="shared" si="20"/>
        <v>2.1012632264048744E-3</v>
      </c>
      <c r="AI18" s="6">
        <f t="shared" ref="AI18:BN18" si="21">AI10^2</f>
        <v>2.6044789051912999E-3</v>
      </c>
      <c r="AJ18" s="6">
        <f t="shared" si="21"/>
        <v>1.0371239511276646E-5</v>
      </c>
      <c r="AK18" s="6">
        <f t="shared" si="21"/>
        <v>2.3963921924093171E-7</v>
      </c>
      <c r="AL18" s="6">
        <f t="shared" si="21"/>
        <v>1.1330911354520039E-2</v>
      </c>
      <c r="AM18" s="6">
        <f t="shared" si="21"/>
        <v>1.883474509221127E-4</v>
      </c>
      <c r="AN18" s="6">
        <f t="shared" si="21"/>
        <v>1.4875389913204669E-2</v>
      </c>
      <c r="AO18" s="6">
        <f t="shared" si="21"/>
        <v>2.3609556394479764E-3</v>
      </c>
      <c r="AP18" s="6">
        <f t="shared" si="21"/>
        <v>3.6219815731516953E-6</v>
      </c>
      <c r="AQ18" s="6">
        <f t="shared" si="21"/>
        <v>8.4491867337224593E-4</v>
      </c>
      <c r="AR18" s="6">
        <f t="shared" si="21"/>
        <v>2.7705250060662671E-3</v>
      </c>
      <c r="AS18" s="6">
        <f t="shared" si="21"/>
        <v>1.6623611670017849E-4</v>
      </c>
      <c r="AT18" s="6">
        <f t="shared" si="21"/>
        <v>4.541735420018535E-6</v>
      </c>
      <c r="AU18" s="6">
        <f t="shared" si="21"/>
        <v>2.4144306160754265E-2</v>
      </c>
      <c r="AV18" s="6">
        <f t="shared" si="21"/>
        <v>1.6082764905029582E-4</v>
      </c>
      <c r="AW18" s="6">
        <f t="shared" si="21"/>
        <v>1.4261904564871037E-4</v>
      </c>
      <c r="AX18" s="6">
        <f t="shared" si="21"/>
        <v>1.8094742098652484E-5</v>
      </c>
      <c r="AY18" s="6">
        <f t="shared" si="21"/>
        <v>8.5854107590684829E-4</v>
      </c>
      <c r="AZ18" s="6">
        <f t="shared" si="21"/>
        <v>1.7990186561850662E-2</v>
      </c>
      <c r="BA18" s="6">
        <f t="shared" si="21"/>
        <v>1.8799571566061855E-2</v>
      </c>
      <c r="BB18" s="6">
        <f t="shared" si="21"/>
        <v>3.0788334943751427E-6</v>
      </c>
      <c r="BC18" s="6">
        <f t="shared" si="21"/>
        <v>6.3087002382422445E-4</v>
      </c>
      <c r="BD18" s="6">
        <f t="shared" si="21"/>
        <v>1.4304616064498009E-2</v>
      </c>
      <c r="BE18" s="6">
        <f t="shared" si="21"/>
        <v>1.8431225512955431E-2</v>
      </c>
      <c r="BF18" s="6">
        <f t="shared" si="21"/>
        <v>2.2175775080298639E-3</v>
      </c>
      <c r="BG18" s="6">
        <f t="shared" si="21"/>
        <v>6.7860478904543942E-4</v>
      </c>
      <c r="BH18" s="6">
        <f t="shared" si="21"/>
        <v>1.9143052038415641E-3</v>
      </c>
      <c r="BI18" s="6">
        <f t="shared" si="21"/>
        <v>6.6246296481045049E-3</v>
      </c>
      <c r="BJ18" s="6">
        <f t="shared" si="21"/>
        <v>1.0120525298453803E-2</v>
      </c>
      <c r="BK18" s="6">
        <f t="shared" si="21"/>
        <v>8.1884544049846235E-3</v>
      </c>
      <c r="BL18" s="6">
        <f t="shared" si="21"/>
        <v>9.5471475034238963E-4</v>
      </c>
      <c r="BM18" s="6">
        <f t="shared" si="21"/>
        <v>3.4591085480784899E-3</v>
      </c>
      <c r="BN18" s="6">
        <f t="shared" si="21"/>
        <v>6.617113024465748E-3</v>
      </c>
      <c r="BO18" s="6">
        <f t="shared" ref="BO18:CT18" si="22">BO10^2</f>
        <v>5.9543089738482516E-5</v>
      </c>
      <c r="BP18" s="6">
        <f t="shared" si="22"/>
        <v>1.1392332566655691E-2</v>
      </c>
      <c r="BQ18" s="6">
        <f t="shared" si="22"/>
        <v>7.3746686174088762E-4</v>
      </c>
      <c r="BR18" s="6">
        <f t="shared" si="22"/>
        <v>2.962735792272784E-3</v>
      </c>
      <c r="BS18" s="6">
        <f t="shared" si="22"/>
        <v>4.6552343102339144E-3</v>
      </c>
      <c r="BT18" s="6">
        <f t="shared" si="22"/>
        <v>9.7243705233366149E-3</v>
      </c>
      <c r="BU18" s="6">
        <f t="shared" si="22"/>
        <v>1.6486185664536111E-2</v>
      </c>
      <c r="BV18" s="6">
        <f t="shared" si="22"/>
        <v>6.1469550603066659E-3</v>
      </c>
      <c r="BW18" s="6">
        <f t="shared" si="22"/>
        <v>1.4192843634773274E-2</v>
      </c>
      <c r="BX18" s="6">
        <f t="shared" si="22"/>
        <v>2.1986811101669893E-3</v>
      </c>
      <c r="BY18" s="6">
        <f t="shared" si="22"/>
        <v>1.034255309954589E-2</v>
      </c>
      <c r="BZ18" s="6">
        <f t="shared" si="22"/>
        <v>6.5946672658473903E-4</v>
      </c>
      <c r="CA18" s="6">
        <f t="shared" si="22"/>
        <v>6.9391882189381946E-3</v>
      </c>
      <c r="CB18" s="6">
        <f t="shared" si="22"/>
        <v>2.4909566624333357E-2</v>
      </c>
      <c r="CC18" s="6">
        <f t="shared" si="22"/>
        <v>5.0484679457919839E-3</v>
      </c>
      <c r="CD18" s="6">
        <f t="shared" si="22"/>
        <v>5.4575883396954768E-3</v>
      </c>
      <c r="CE18" s="6">
        <f t="shared" si="22"/>
        <v>5.6067832386980022E-2</v>
      </c>
      <c r="CF18" s="6">
        <f t="shared" si="22"/>
        <v>1.0645672168983563E-3</v>
      </c>
      <c r="CG18" s="6">
        <f t="shared" si="22"/>
        <v>1.8017920089221721E-4</v>
      </c>
      <c r="CH18" s="6">
        <f t="shared" si="22"/>
        <v>7.8213400438148902E-6</v>
      </c>
      <c r="CI18" s="6">
        <f t="shared" si="22"/>
        <v>2.2968727120364087E-3</v>
      </c>
      <c r="CJ18" s="6">
        <f t="shared" si="22"/>
        <v>1.0575629320283603E-5</v>
      </c>
      <c r="CK18" s="6">
        <f t="shared" si="22"/>
        <v>5.7317300865370067E-3</v>
      </c>
      <c r="CL18" s="6">
        <f t="shared" si="22"/>
        <v>1.9711163270756775E-3</v>
      </c>
      <c r="CM18" s="6">
        <f t="shared" si="22"/>
        <v>3.2036912913769394E-2</v>
      </c>
      <c r="CN18" s="6">
        <f t="shared" si="22"/>
        <v>3.3633349379620708E-3</v>
      </c>
      <c r="CO18" s="6">
        <f t="shared" si="22"/>
        <v>1.9429624982324575E-2</v>
      </c>
      <c r="CP18" s="6">
        <f t="shared" si="22"/>
        <v>4.1879885783785839E-3</v>
      </c>
      <c r="CQ18" s="6">
        <f t="shared" si="22"/>
        <v>3.2829051050147696E-2</v>
      </c>
      <c r="CR18" s="6">
        <f t="shared" si="22"/>
        <v>7.8559030529674386E-3</v>
      </c>
      <c r="CS18" s="6">
        <f t="shared" si="22"/>
        <v>6.411922743936203E-4</v>
      </c>
      <c r="CT18" s="6">
        <f t="shared" si="22"/>
        <v>1.2786876993597889E-2</v>
      </c>
      <c r="CU18" s="6">
        <f t="shared" ref="CU18:DZ18" si="23">CU10^2</f>
        <v>6.5544524509339751E-5</v>
      </c>
      <c r="CV18" s="6">
        <f t="shared" si="23"/>
        <v>2.0430588388809477E-3</v>
      </c>
      <c r="CW18" s="6">
        <f t="shared" si="23"/>
        <v>3.4740680595904648E-3</v>
      </c>
      <c r="CX18" s="6">
        <f t="shared" si="23"/>
        <v>1.160538698235747E-2</v>
      </c>
      <c r="CY18" s="6">
        <f t="shared" si="23"/>
        <v>9.3129254150261E-3</v>
      </c>
      <c r="CZ18" s="6">
        <f t="shared" si="23"/>
        <v>4.424895059465464E-2</v>
      </c>
      <c r="DA18" s="6">
        <f t="shared" si="23"/>
        <v>1.2091451728744079E-2</v>
      </c>
      <c r="DB18" s="6">
        <f t="shared" si="23"/>
        <v>3.6412452392839745E-2</v>
      </c>
      <c r="DC18" s="6">
        <f t="shared" si="23"/>
        <v>4.2961982124366043E-4</v>
      </c>
      <c r="DD18" s="6">
        <f t="shared" si="23"/>
        <v>7.5740634376350218E-3</v>
      </c>
      <c r="DE18" s="6">
        <f t="shared" si="23"/>
        <v>6.728033843953052E-3</v>
      </c>
      <c r="DF18" s="6">
        <f t="shared" si="23"/>
        <v>2.7847821251246123E-2</v>
      </c>
      <c r="DG18" s="6">
        <f t="shared" si="23"/>
        <v>4.9478702022008603E-2</v>
      </c>
      <c r="DH18" s="6">
        <f t="shared" si="23"/>
        <v>2.0821839571003448E-2</v>
      </c>
      <c r="DI18" s="6">
        <f t="shared" si="23"/>
        <v>1.4308932973192761E-2</v>
      </c>
      <c r="DJ18" s="6">
        <f t="shared" si="23"/>
        <v>1.0321085627255753E-2</v>
      </c>
      <c r="DK18" s="6">
        <f t="shared" si="23"/>
        <v>8.6220619337353931E-3</v>
      </c>
      <c r="DL18" s="6">
        <f t="shared" si="23"/>
        <v>1.8173586858343696E-3</v>
      </c>
      <c r="DM18" s="6">
        <f t="shared" si="23"/>
        <v>6.8445958863232442E-3</v>
      </c>
      <c r="DN18" s="6">
        <f t="shared" si="23"/>
        <v>9.6406849840983359E-4</v>
      </c>
      <c r="DO18" s="6">
        <f t="shared" si="23"/>
        <v>9.6318502978574808E-3</v>
      </c>
      <c r="DP18" s="6">
        <f t="shared" si="23"/>
        <v>1.7053455955604278E-2</v>
      </c>
      <c r="DQ18" s="6">
        <f t="shared" si="23"/>
        <v>2.3673789185478821E-3</v>
      </c>
      <c r="DR18" s="6">
        <f t="shared" si="23"/>
        <v>1.5407124335768466E-3</v>
      </c>
      <c r="DS18" s="6">
        <f t="shared" si="23"/>
        <v>2.5930725116640962E-2</v>
      </c>
      <c r="DT18" s="6">
        <f t="shared" si="23"/>
        <v>6.2226801681010647E-3</v>
      </c>
      <c r="DU18" s="6">
        <f t="shared" si="23"/>
        <v>2.6921313954919424E-2</v>
      </c>
      <c r="DV18" s="6">
        <f t="shared" si="23"/>
        <v>5.6328800675286651E-5</v>
      </c>
      <c r="DW18" s="6">
        <f t="shared" si="23"/>
        <v>1.0331756871656347E-2</v>
      </c>
      <c r="DX18" s="6">
        <f t="shared" si="23"/>
        <v>3.1405143826489668E-3</v>
      </c>
      <c r="DY18" s="6">
        <f t="shared" si="23"/>
        <v>1.137563878096463E-2</v>
      </c>
      <c r="DZ18" s="6">
        <f t="shared" si="23"/>
        <v>4.7867822305639905E-3</v>
      </c>
      <c r="EA18" s="6">
        <f t="shared" ref="EA18:EF18" si="24">EA10^2</f>
        <v>1.59235773418211E-2</v>
      </c>
      <c r="EB18" s="6">
        <f t="shared" si="24"/>
        <v>4.1908944894200424E-3</v>
      </c>
      <c r="EC18" s="6">
        <f t="shared" si="24"/>
        <v>2.6446410296186275E-3</v>
      </c>
      <c r="ED18" s="6">
        <f t="shared" si="24"/>
        <v>1.1900242728375913E-3</v>
      </c>
      <c r="EE18" s="6">
        <f t="shared" si="24"/>
        <v>2.4862225023126495E-2</v>
      </c>
      <c r="EF18" s="6">
        <f t="shared" si="24"/>
        <v>1.6174756721905801E-2</v>
      </c>
    </row>
    <row r="19" spans="1:136">
      <c r="B19" t="s">
        <v>138</v>
      </c>
      <c r="C19" s="6">
        <f t="shared" ref="C19:AH19" si="25">C11^2</f>
        <v>2.9424962947699911E-3</v>
      </c>
      <c r="D19" s="6">
        <f t="shared" si="25"/>
        <v>2.059074167658151E-3</v>
      </c>
      <c r="E19" s="6">
        <f t="shared" si="25"/>
        <v>3.1514318274691188E-4</v>
      </c>
      <c r="F19" s="6">
        <f t="shared" si="25"/>
        <v>7.6890721339683337E-3</v>
      </c>
      <c r="G19" s="6">
        <f t="shared" si="25"/>
        <v>1.0559465472918014E-2</v>
      </c>
      <c r="H19" s="6">
        <f t="shared" si="25"/>
        <v>6.3069879875624846E-6</v>
      </c>
      <c r="I19" s="6">
        <f t="shared" si="25"/>
        <v>3.3502003352045134E-4</v>
      </c>
      <c r="J19" s="6">
        <f t="shared" si="25"/>
        <v>4.8887532041517415E-4</v>
      </c>
      <c r="K19" s="6">
        <f t="shared" si="25"/>
        <v>5.9688056303032417E-3</v>
      </c>
      <c r="L19" s="6">
        <f t="shared" si="25"/>
        <v>8.7311801112263879E-5</v>
      </c>
      <c r="M19" s="6">
        <f t="shared" si="25"/>
        <v>2.873193829916625E-3</v>
      </c>
      <c r="N19" s="6">
        <f t="shared" si="25"/>
        <v>4.6073356328051786E-3</v>
      </c>
      <c r="O19" s="6">
        <f t="shared" si="25"/>
        <v>4.2158901598624366E-3</v>
      </c>
      <c r="P19" s="6">
        <f t="shared" si="25"/>
        <v>2.3821054386013211E-5</v>
      </c>
      <c r="Q19" s="6">
        <f t="shared" si="25"/>
        <v>3.6855622546895207E-4</v>
      </c>
      <c r="R19" s="6">
        <f t="shared" si="25"/>
        <v>2.9870042368556722E-5</v>
      </c>
      <c r="S19" s="6">
        <f t="shared" si="25"/>
        <v>1.3360097496481892E-3</v>
      </c>
      <c r="T19" s="6">
        <f t="shared" si="25"/>
        <v>1.6688781966867596E-2</v>
      </c>
      <c r="U19" s="6">
        <f t="shared" si="25"/>
        <v>1.8748202760809614E-4</v>
      </c>
      <c r="V19" s="6">
        <f t="shared" si="25"/>
        <v>2.3394473192739536E-4</v>
      </c>
      <c r="W19" s="6">
        <f t="shared" si="25"/>
        <v>1.0959099784052484E-2</v>
      </c>
      <c r="X19" s="6">
        <f t="shared" si="25"/>
        <v>8.6346676822882121E-2</v>
      </c>
      <c r="Y19" s="6">
        <f t="shared" si="25"/>
        <v>3.5061183838375133E-3</v>
      </c>
      <c r="Z19" s="6">
        <f t="shared" si="25"/>
        <v>3.4205878279447842E-2</v>
      </c>
      <c r="AA19" s="6">
        <f t="shared" si="25"/>
        <v>9.6525592252829466E-3</v>
      </c>
      <c r="AB19" s="6">
        <f t="shared" si="25"/>
        <v>4.3209728479720412E-7</v>
      </c>
      <c r="AC19" s="6">
        <f t="shared" si="25"/>
        <v>1.0750810579255237E-2</v>
      </c>
      <c r="AD19" s="6">
        <f t="shared" si="25"/>
        <v>1.2567690104255271E-5</v>
      </c>
      <c r="AE19" s="6">
        <f t="shared" si="25"/>
        <v>3.0835882156048783E-2</v>
      </c>
      <c r="AF19" s="6">
        <f t="shared" si="25"/>
        <v>2.4035262433120905E-2</v>
      </c>
      <c r="AG19" s="6">
        <f t="shared" si="25"/>
        <v>6.9319650662206438E-4</v>
      </c>
      <c r="AH19" s="6">
        <f t="shared" si="25"/>
        <v>2.4988102995418992E-5</v>
      </c>
      <c r="AI19" s="6">
        <f t="shared" ref="AI19:BN19" si="26">AI11^2</f>
        <v>7.8779660257925624E-4</v>
      </c>
      <c r="AJ19" s="6">
        <f t="shared" si="26"/>
        <v>5.0105213836060746E-4</v>
      </c>
      <c r="AK19" s="6">
        <f t="shared" si="26"/>
        <v>2.2109580205685515E-3</v>
      </c>
      <c r="AL19" s="6">
        <f t="shared" si="26"/>
        <v>1.0314740717783251E-2</v>
      </c>
      <c r="AM19" s="6">
        <f t="shared" si="26"/>
        <v>5.5343262156863572E-4</v>
      </c>
      <c r="AN19" s="6">
        <f t="shared" si="26"/>
        <v>2.7588997976275898E-3</v>
      </c>
      <c r="AO19" s="6">
        <f t="shared" si="26"/>
        <v>3.4225885640141755E-3</v>
      </c>
      <c r="AP19" s="6">
        <f t="shared" si="26"/>
        <v>1.118725626162101E-3</v>
      </c>
      <c r="AQ19" s="6">
        <f t="shared" si="26"/>
        <v>2.0450045203045813E-4</v>
      </c>
      <c r="AR19" s="6">
        <f t="shared" si="26"/>
        <v>1.2890681145068224E-3</v>
      </c>
      <c r="AS19" s="6">
        <f t="shared" si="26"/>
        <v>1.5826302227352094E-3</v>
      </c>
      <c r="AT19" s="6">
        <f t="shared" si="26"/>
        <v>2.2039242020426623E-2</v>
      </c>
      <c r="AU19" s="6">
        <f t="shared" si="26"/>
        <v>1.6636034229909587E-3</v>
      </c>
      <c r="AV19" s="6">
        <f t="shared" si="26"/>
        <v>1.9309590933108238E-2</v>
      </c>
      <c r="AW19" s="6">
        <f t="shared" si="26"/>
        <v>3.5836126990842362E-3</v>
      </c>
      <c r="AX19" s="6">
        <f t="shared" si="26"/>
        <v>2.2436988075031212E-2</v>
      </c>
      <c r="AY19" s="6">
        <f t="shared" si="26"/>
        <v>3.7940489141036855E-3</v>
      </c>
      <c r="AZ19" s="6">
        <f t="shared" si="26"/>
        <v>3.8377717094877179E-3</v>
      </c>
      <c r="BA19" s="6">
        <f t="shared" si="26"/>
        <v>5.7085842824112805E-6</v>
      </c>
      <c r="BB19" s="6">
        <f t="shared" si="26"/>
        <v>2.2162365071883454E-2</v>
      </c>
      <c r="BC19" s="6">
        <f t="shared" si="26"/>
        <v>3.6421850194502817E-3</v>
      </c>
      <c r="BD19" s="6">
        <f t="shared" si="26"/>
        <v>2.1567132814367246E-4</v>
      </c>
      <c r="BE19" s="6">
        <f t="shared" si="26"/>
        <v>2.1466733042722119E-2</v>
      </c>
      <c r="BF19" s="6">
        <f t="shared" si="26"/>
        <v>4.3581843456671758E-2</v>
      </c>
      <c r="BG19" s="6">
        <f t="shared" si="26"/>
        <v>4.0579385301159648E-2</v>
      </c>
      <c r="BH19" s="6">
        <f t="shared" si="26"/>
        <v>1.3935782851325853E-2</v>
      </c>
      <c r="BI19" s="6">
        <f t="shared" si="26"/>
        <v>5.9330934213272886E-3</v>
      </c>
      <c r="BJ19" s="6">
        <f t="shared" si="26"/>
        <v>1.3119113666831017E-3</v>
      </c>
      <c r="BK19" s="6">
        <f t="shared" si="26"/>
        <v>3.5748481064286472E-4</v>
      </c>
      <c r="BL19" s="6">
        <f t="shared" si="26"/>
        <v>2.9328493400993451E-2</v>
      </c>
      <c r="BM19" s="6">
        <f t="shared" si="26"/>
        <v>1.7667061037884114E-2</v>
      </c>
      <c r="BN19" s="6">
        <f t="shared" si="26"/>
        <v>1.2893630347257589E-3</v>
      </c>
      <c r="BO19" s="6">
        <f t="shared" ref="BO19:CT19" si="27">BO11^2</f>
        <v>4.555884575901441E-4</v>
      </c>
      <c r="BP19" s="6">
        <f t="shared" si="27"/>
        <v>2.4636156414780219E-3</v>
      </c>
      <c r="BQ19" s="6">
        <f t="shared" si="27"/>
        <v>2.9622597057292401E-4</v>
      </c>
      <c r="BR19" s="6">
        <f t="shared" si="27"/>
        <v>3.6034382227143044E-2</v>
      </c>
      <c r="BS19" s="6">
        <f t="shared" si="27"/>
        <v>9.5267433223972416E-3</v>
      </c>
      <c r="BT19" s="6">
        <f t="shared" si="27"/>
        <v>1.4312181655934848E-3</v>
      </c>
      <c r="BU19" s="6">
        <f t="shared" si="27"/>
        <v>3.1369302523255979E-3</v>
      </c>
      <c r="BV19" s="6">
        <f t="shared" si="27"/>
        <v>1.3627535644839506E-2</v>
      </c>
      <c r="BW19" s="6">
        <f t="shared" si="27"/>
        <v>1.9972187007291264E-2</v>
      </c>
      <c r="BX19" s="6">
        <f t="shared" si="27"/>
        <v>1.140430378647656E-5</v>
      </c>
      <c r="BY19" s="6">
        <f t="shared" si="27"/>
        <v>1.6987488721731576E-2</v>
      </c>
      <c r="BZ19" s="6">
        <f t="shared" si="27"/>
        <v>1.0047461557265778E-3</v>
      </c>
      <c r="CA19" s="6">
        <f t="shared" si="27"/>
        <v>1.6447110645557072E-3</v>
      </c>
      <c r="CB19" s="6">
        <f t="shared" si="27"/>
        <v>1.767137228315438E-3</v>
      </c>
      <c r="CC19" s="6">
        <f t="shared" si="27"/>
        <v>2.5013725272755708E-3</v>
      </c>
      <c r="CD19" s="6">
        <f t="shared" si="27"/>
        <v>4.6862621773654262E-3</v>
      </c>
      <c r="CE19" s="6">
        <f t="shared" si="27"/>
        <v>6.5338267870204162E-3</v>
      </c>
      <c r="CF19" s="6">
        <f t="shared" si="27"/>
        <v>3.7959149352106796E-6</v>
      </c>
      <c r="CG19" s="6">
        <f t="shared" si="27"/>
        <v>1.3973368107735227E-2</v>
      </c>
      <c r="CH19" s="6">
        <f t="shared" si="27"/>
        <v>1.3483500252419256E-3</v>
      </c>
      <c r="CI19" s="6">
        <f t="shared" si="27"/>
        <v>6.944354409283488E-3</v>
      </c>
      <c r="CJ19" s="6">
        <f t="shared" si="27"/>
        <v>5.3209971579111864E-2</v>
      </c>
      <c r="CK19" s="6">
        <f t="shared" si="27"/>
        <v>1.7630136062643516E-2</v>
      </c>
      <c r="CL19" s="6">
        <f t="shared" si="27"/>
        <v>1.9962106501869858E-2</v>
      </c>
      <c r="CM19" s="6">
        <f t="shared" si="27"/>
        <v>1.2698898011967283E-2</v>
      </c>
      <c r="CN19" s="6">
        <f t="shared" si="27"/>
        <v>4.9947135394185591E-2</v>
      </c>
      <c r="CO19" s="6">
        <f t="shared" si="27"/>
        <v>1.0903362974249101E-2</v>
      </c>
      <c r="CP19" s="6">
        <f t="shared" si="27"/>
        <v>2.0817366158502797E-4</v>
      </c>
      <c r="CQ19" s="6">
        <f t="shared" si="27"/>
        <v>4.2945670995945519E-2</v>
      </c>
      <c r="CR19" s="6">
        <f t="shared" si="27"/>
        <v>1.818826329983373E-2</v>
      </c>
      <c r="CS19" s="6">
        <f t="shared" si="27"/>
        <v>5.330129925765671E-3</v>
      </c>
      <c r="CT19" s="6">
        <f t="shared" si="27"/>
        <v>9.1315039355651805E-4</v>
      </c>
      <c r="CU19" s="6">
        <f t="shared" ref="CU19:DZ19" si="28">CU11^2</f>
        <v>8.2305398372276448E-2</v>
      </c>
      <c r="CV19" s="6">
        <f t="shared" si="28"/>
        <v>5.323658125231813E-2</v>
      </c>
      <c r="CW19" s="6">
        <f t="shared" si="28"/>
        <v>8.2947828598525283E-3</v>
      </c>
      <c r="CX19" s="6">
        <f t="shared" si="28"/>
        <v>1.5002754583806925E-2</v>
      </c>
      <c r="CY19" s="6">
        <f t="shared" si="28"/>
        <v>6.1437262145754186E-3</v>
      </c>
      <c r="CZ19" s="6">
        <f t="shared" si="28"/>
        <v>2.1114120178055175E-3</v>
      </c>
      <c r="DA19" s="6">
        <f t="shared" si="28"/>
        <v>6.8343561034422563E-3</v>
      </c>
      <c r="DB19" s="6">
        <f t="shared" si="28"/>
        <v>2.2305204479499383E-2</v>
      </c>
      <c r="DC19" s="6">
        <f t="shared" si="28"/>
        <v>2.2847162154111663E-3</v>
      </c>
      <c r="DD19" s="6">
        <f t="shared" si="28"/>
        <v>2.7064678662887049E-2</v>
      </c>
      <c r="DE19" s="6">
        <f t="shared" si="28"/>
        <v>1.2225360760831885E-2</v>
      </c>
      <c r="DF19" s="6">
        <f t="shared" si="28"/>
        <v>3.2966966393763162E-3</v>
      </c>
      <c r="DG19" s="6">
        <f t="shared" si="28"/>
        <v>4.6177804713180344E-2</v>
      </c>
      <c r="DH19" s="6">
        <f t="shared" si="28"/>
        <v>3.9686415441255191E-3</v>
      </c>
      <c r="DI19" s="6">
        <f t="shared" si="28"/>
        <v>4.5861486060873721E-3</v>
      </c>
      <c r="DJ19" s="6">
        <f t="shared" si="28"/>
        <v>1.4113933508686947E-2</v>
      </c>
      <c r="DK19" s="6">
        <f t="shared" si="28"/>
        <v>5.3038165655135587E-5</v>
      </c>
      <c r="DL19" s="6">
        <f t="shared" si="28"/>
        <v>5.0866278425543898E-3</v>
      </c>
      <c r="DM19" s="6">
        <f t="shared" si="28"/>
        <v>4.4192030717479113E-4</v>
      </c>
      <c r="DN19" s="6">
        <f t="shared" si="28"/>
        <v>9.2435602590540443E-4</v>
      </c>
      <c r="DO19" s="6">
        <f t="shared" si="28"/>
        <v>9.3992359170593232E-3</v>
      </c>
      <c r="DP19" s="6">
        <f t="shared" si="28"/>
        <v>5.3211643863895493E-2</v>
      </c>
      <c r="DQ19" s="6">
        <f t="shared" si="28"/>
        <v>5.6731766595356822E-2</v>
      </c>
      <c r="DR19" s="6">
        <f t="shared" si="28"/>
        <v>1.2779732721999408E-5</v>
      </c>
      <c r="DS19" s="6">
        <f t="shared" si="28"/>
        <v>1.7944107252667544E-2</v>
      </c>
      <c r="DT19" s="6">
        <f t="shared" si="28"/>
        <v>1.3249413434882942E-2</v>
      </c>
      <c r="DU19" s="6">
        <f t="shared" si="28"/>
        <v>1.0832602517582508E-2</v>
      </c>
      <c r="DV19" s="6">
        <f t="shared" si="28"/>
        <v>2.9823682090757879E-3</v>
      </c>
      <c r="DW19" s="6">
        <f t="shared" si="28"/>
        <v>1.1082370139875364E-3</v>
      </c>
      <c r="DX19" s="6">
        <f t="shared" si="28"/>
        <v>3.0354498547830525E-3</v>
      </c>
      <c r="DY19" s="6">
        <f t="shared" si="28"/>
        <v>4.7325832565790213E-3</v>
      </c>
      <c r="DZ19" s="6">
        <f t="shared" si="28"/>
        <v>2.0969279010246204E-4</v>
      </c>
      <c r="EA19" s="6">
        <f t="shared" ref="EA19:EF19" si="29">EA11^2</f>
        <v>8.5929031587546431E-2</v>
      </c>
      <c r="EB19" s="6">
        <f t="shared" si="29"/>
        <v>1.987395609544565E-2</v>
      </c>
      <c r="EC19" s="6">
        <f t="shared" si="29"/>
        <v>1.4906851026839793E-4</v>
      </c>
      <c r="ED19" s="6">
        <f t="shared" si="29"/>
        <v>3.3834798795211859E-3</v>
      </c>
      <c r="EE19" s="6">
        <f t="shared" si="29"/>
        <v>2.0852230305009004E-2</v>
      </c>
      <c r="EF19" s="6">
        <f t="shared" si="29"/>
        <v>9.4107527241881761E-3</v>
      </c>
    </row>
    <row r="21" spans="1:136">
      <c r="A21" t="s">
        <v>206</v>
      </c>
      <c r="B21" s="10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tabSelected="1" zoomScale="163" workbookViewId="0">
      <selection activeCell="D7" sqref="D7"/>
    </sheetView>
  </sheetViews>
  <sheetFormatPr baseColWidth="10" defaultColWidth="8.83203125" defaultRowHeight="15"/>
  <cols>
    <col min="1" max="1" width="13.83203125" style="11" customWidth="1"/>
  </cols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2">
        <v>1.7782902345061299E-2</v>
      </c>
      <c r="D3" s="12">
        <v>7.24458247423172E-2</v>
      </c>
      <c r="E3" s="12">
        <v>-1.229359768331051E-2</v>
      </c>
      <c r="F3" s="12">
        <v>1.6895091161131859E-2</v>
      </c>
      <c r="G3" s="12">
        <v>1.759104989469051E-2</v>
      </c>
      <c r="H3" s="12">
        <v>-2.2279582917690281E-2</v>
      </c>
      <c r="I3" s="12">
        <v>-3.8912922143936157E-2</v>
      </c>
      <c r="J3" s="12">
        <v>-2.6365116238594059E-2</v>
      </c>
      <c r="K3" s="12">
        <v>-2.014501765370369E-2</v>
      </c>
      <c r="L3" s="12">
        <v>-1.624567806720734E-2</v>
      </c>
      <c r="M3" s="12">
        <v>-8.2549653947353363E-2</v>
      </c>
      <c r="N3" s="12">
        <v>-1.7867140471935269E-2</v>
      </c>
      <c r="O3" s="12">
        <v>7.6627731323242188E-2</v>
      </c>
      <c r="P3" s="12">
        <v>-3.9154563099145889E-2</v>
      </c>
      <c r="Q3" s="12">
        <v>-4.1649270802736282E-2</v>
      </c>
      <c r="R3" s="12">
        <v>-2.7908530086278919E-2</v>
      </c>
      <c r="S3" s="12">
        <v>-8.0156058073043823E-2</v>
      </c>
      <c r="T3" s="12">
        <v>-3.3881399780511863E-2</v>
      </c>
      <c r="U3" s="12">
        <v>-3.6820832639932632E-2</v>
      </c>
      <c r="V3" s="12">
        <v>-1.9809873774647709E-2</v>
      </c>
      <c r="W3" s="12">
        <v>9.6304804086685181E-2</v>
      </c>
      <c r="X3" s="12">
        <v>0.16748018562793729</v>
      </c>
      <c r="Y3" s="12">
        <v>-1.015750598162413E-2</v>
      </c>
      <c r="Z3" s="12">
        <v>2.5555314496159549E-3</v>
      </c>
      <c r="AA3" s="12">
        <v>-7.8297220170497894E-2</v>
      </c>
      <c r="AB3" s="12">
        <v>-4.162265732884407E-2</v>
      </c>
      <c r="AC3" s="12">
        <v>-1.579752191901207E-2</v>
      </c>
      <c r="AD3" s="12">
        <v>-3.0706796795129779E-2</v>
      </c>
      <c r="AE3" s="12">
        <v>7.2333263233304024E-4</v>
      </c>
      <c r="AF3" s="12">
        <v>6.8843632936477661E-2</v>
      </c>
      <c r="AG3" s="12">
        <v>-5.1157008856534958E-3</v>
      </c>
      <c r="AH3" s="12">
        <v>-1.048196759074926E-2</v>
      </c>
      <c r="AI3" s="12">
        <v>-4.066355898976326E-2</v>
      </c>
      <c r="AJ3" s="12">
        <v>-5.5654104799032211E-2</v>
      </c>
      <c r="AK3" s="12">
        <v>-3.4865595400333398E-2</v>
      </c>
      <c r="AL3" s="12">
        <v>0.14250144362449649</v>
      </c>
      <c r="AM3" s="12">
        <v>4.2415492236614227E-2</v>
      </c>
      <c r="AN3" s="12">
        <v>1.8945284187793732E-2</v>
      </c>
      <c r="AO3" s="12">
        <v>3.6709178239107132E-2</v>
      </c>
      <c r="AP3" s="12">
        <v>-1.1438022367656229E-2</v>
      </c>
      <c r="AQ3" s="12">
        <v>-8.599540451541543E-4</v>
      </c>
      <c r="AR3" s="12">
        <v>8.9694326743483543E-3</v>
      </c>
      <c r="AS3" s="12">
        <v>-2.16217041015625E-2</v>
      </c>
      <c r="AT3" s="12">
        <v>5.6848321110010147E-2</v>
      </c>
      <c r="AU3" s="12">
        <v>3.9384294301271439E-2</v>
      </c>
      <c r="AV3" s="12">
        <v>0.14884805679321289</v>
      </c>
      <c r="AW3" s="12">
        <v>5.9238158166408539E-2</v>
      </c>
      <c r="AX3" s="12">
        <v>8.3451211452484131E-2</v>
      </c>
      <c r="AY3" s="12">
        <v>6.8846635520458221E-2</v>
      </c>
      <c r="AZ3" s="12">
        <v>0.15779311954975131</v>
      </c>
      <c r="BA3" s="12">
        <v>7.3232002556324005E-2</v>
      </c>
      <c r="BB3" s="12">
        <v>1.6600910574197769E-2</v>
      </c>
      <c r="BC3" s="12">
        <v>5.6218259036540992E-2</v>
      </c>
      <c r="BD3" s="12">
        <v>2.0839734002947811E-2</v>
      </c>
      <c r="BE3" s="12">
        <v>8.9553870260715485E-2</v>
      </c>
      <c r="BF3" s="12">
        <v>4.3456017971038818E-2</v>
      </c>
      <c r="BG3" s="12">
        <v>7.1616403758525848E-2</v>
      </c>
      <c r="BH3" s="12">
        <v>7.97300785779953E-2</v>
      </c>
      <c r="BI3" s="12">
        <v>8.7966516613960266E-2</v>
      </c>
      <c r="BJ3" s="12">
        <v>0.1081216707825661</v>
      </c>
      <c r="BK3" s="12">
        <v>0.1129734814167023</v>
      </c>
      <c r="BL3" s="12">
        <v>5.063258484005928E-2</v>
      </c>
      <c r="BM3" s="12">
        <v>7.7567048370838165E-2</v>
      </c>
      <c r="BN3" s="12">
        <v>4.4190812855958939E-2</v>
      </c>
      <c r="BO3" s="12">
        <v>2.8505465015769001E-2</v>
      </c>
      <c r="BP3" s="12">
        <v>0.10330298542976379</v>
      </c>
      <c r="BQ3" s="12">
        <v>7.12384432554245E-2</v>
      </c>
      <c r="BR3" s="12">
        <v>5.2489206194877618E-2</v>
      </c>
      <c r="BS3" s="12">
        <v>4.9339123070240021E-2</v>
      </c>
      <c r="BT3" s="12">
        <v>5.840107798576355E-2</v>
      </c>
      <c r="BU3" s="12">
        <v>2.5098161771893501E-2</v>
      </c>
      <c r="BV3" s="12">
        <v>2.3363580927252769E-2</v>
      </c>
      <c r="BW3" s="12">
        <v>5.6408349424600601E-2</v>
      </c>
      <c r="BX3" s="12">
        <v>3.3264696598052979E-2</v>
      </c>
      <c r="BY3" s="12">
        <v>-2.413135394454002E-2</v>
      </c>
      <c r="BZ3" s="12">
        <v>2.0291766151785851E-2</v>
      </c>
      <c r="CA3" s="12">
        <v>8.7816245853900909E-2</v>
      </c>
      <c r="CB3" s="12">
        <v>-4.3355219066143043E-2</v>
      </c>
      <c r="CC3" s="12">
        <v>6.0557723045349121E-3</v>
      </c>
      <c r="CD3" s="12">
        <v>-6.7888110876083374E-2</v>
      </c>
      <c r="CE3" s="12">
        <v>-4.0715392678976059E-3</v>
      </c>
      <c r="CF3" s="12">
        <v>-8.1548932939767838E-5</v>
      </c>
      <c r="CG3" s="12">
        <v>-3.5091366618871689E-2</v>
      </c>
      <c r="CH3" s="12">
        <v>-9.0038077905774117E-3</v>
      </c>
      <c r="CI3" s="12">
        <v>-2.54166703671217E-2</v>
      </c>
      <c r="CJ3" s="12">
        <v>-0.1101485714316368</v>
      </c>
      <c r="CK3" s="12">
        <v>4.6726226806640618E-2</v>
      </c>
      <c r="CL3" s="12">
        <v>5.5295374244451523E-2</v>
      </c>
      <c r="CM3" s="12">
        <v>-4.3500862084329128E-3</v>
      </c>
      <c r="CN3" s="12">
        <v>-5.8284953236579902E-2</v>
      </c>
      <c r="CO3" s="12">
        <v>-3.2531678676605218E-2</v>
      </c>
      <c r="CP3" s="12">
        <v>3.5830866545438773E-2</v>
      </c>
      <c r="CQ3" s="12">
        <v>2.45636235922575E-2</v>
      </c>
      <c r="CR3" s="12">
        <v>1.170414220541716E-2</v>
      </c>
      <c r="CS3" s="12">
        <v>-0.1024853959679604</v>
      </c>
      <c r="CT3" s="12">
        <v>1.293086330406368E-3</v>
      </c>
      <c r="CU3" s="12">
        <v>-0.1111449897289276</v>
      </c>
      <c r="CV3" s="12">
        <v>-3.1775698065757751E-2</v>
      </c>
      <c r="CW3" s="12">
        <v>-3.6522049456834793E-2</v>
      </c>
      <c r="CX3" s="12">
        <v>-8.237186074256897E-2</v>
      </c>
      <c r="CY3" s="12">
        <v>-4.1168216615915298E-2</v>
      </c>
      <c r="CZ3" s="12">
        <v>-7.4366219341754913E-2</v>
      </c>
      <c r="DA3" s="12">
        <v>-4.7027502208948142E-2</v>
      </c>
      <c r="DB3" s="12">
        <v>7.3655758751556277E-4</v>
      </c>
      <c r="DC3" s="12">
        <v>1.1260370723903179E-2</v>
      </c>
      <c r="DD3" s="12">
        <v>1.315145520493388E-3</v>
      </c>
      <c r="DE3" s="12">
        <v>-1.406966615468264E-2</v>
      </c>
      <c r="DF3" s="12">
        <v>1.287776418030262E-2</v>
      </c>
      <c r="DG3" s="12">
        <v>-8.777957409620285E-3</v>
      </c>
      <c r="DH3" s="12">
        <v>-1.8724145367741581E-2</v>
      </c>
      <c r="DI3" s="12">
        <v>1.5026724431663749E-3</v>
      </c>
      <c r="DJ3" s="12">
        <v>5.74493408203125E-3</v>
      </c>
      <c r="DK3" s="12">
        <v>-3.1418703496456153E-2</v>
      </c>
      <c r="DL3" s="12">
        <v>1.568500883877277E-2</v>
      </c>
      <c r="DM3" s="12">
        <v>-1.7450746148824688E-2</v>
      </c>
      <c r="DN3" s="12">
        <v>2.129724808037281E-2</v>
      </c>
      <c r="DO3" s="12">
        <v>-4.1845731437206268E-2</v>
      </c>
      <c r="DP3" s="12">
        <v>-1.9574053585529332E-3</v>
      </c>
      <c r="DQ3" s="12">
        <v>3.9197877049446106E-3</v>
      </c>
      <c r="DR3" s="12">
        <v>7.5242564082145691E-2</v>
      </c>
      <c r="DS3" s="12">
        <v>4.159560427069664E-2</v>
      </c>
      <c r="DT3" s="12">
        <v>-1.3514737598598E-2</v>
      </c>
      <c r="DU3" s="12">
        <v>1.3495544902980329E-2</v>
      </c>
      <c r="DV3" s="12">
        <v>-3.9159540086984627E-2</v>
      </c>
      <c r="DW3" s="12">
        <v>-2.1635228767991069E-2</v>
      </c>
      <c r="DX3" s="12">
        <v>-2.5841465219855309E-2</v>
      </c>
      <c r="DY3" s="12">
        <v>-2.6736544445157051E-2</v>
      </c>
      <c r="DZ3" s="12">
        <v>-3.2960411161184311E-2</v>
      </c>
      <c r="EA3" s="12">
        <v>-4.8574574291706092E-2</v>
      </c>
      <c r="EB3" s="12">
        <v>-0.1051784828305244</v>
      </c>
      <c r="EC3" s="12">
        <v>-2.840211242437363E-2</v>
      </c>
      <c r="ED3" s="12">
        <v>-0.1028049290180206</v>
      </c>
      <c r="EE3" s="12">
        <v>-4.4087015092372887E-2</v>
      </c>
      <c r="EF3" s="12">
        <v>-3.865974023938179E-2</v>
      </c>
    </row>
    <row r="4" spans="1:136">
      <c r="A4" s="1"/>
      <c r="B4" s="2" t="s">
        <v>137</v>
      </c>
      <c r="C4" s="12">
        <v>-3.6521758884191513E-2</v>
      </c>
      <c r="D4" s="12">
        <v>-4.2547494173049927E-2</v>
      </c>
      <c r="E4" s="12">
        <v>-5.0075937062501907E-2</v>
      </c>
      <c r="F4" s="12">
        <v>-2.3984730243682861E-2</v>
      </c>
      <c r="G4" s="12">
        <v>5.823938176035881E-3</v>
      </c>
      <c r="H4" s="12">
        <v>-5.2601419389247887E-2</v>
      </c>
      <c r="I4" s="12">
        <v>1.76677480340004E-2</v>
      </c>
      <c r="J4" s="12">
        <v>-3.2669864594936371E-2</v>
      </c>
      <c r="K4" s="12">
        <v>-1.6252247150987391E-3</v>
      </c>
      <c r="L4" s="12">
        <v>-1.7513863742351529E-2</v>
      </c>
      <c r="M4" s="12">
        <v>1.9140448421239849E-2</v>
      </c>
      <c r="N4" s="12">
        <v>-5.8379219844937316E-3</v>
      </c>
      <c r="O4" s="12">
        <v>-7.4128787964582443E-3</v>
      </c>
      <c r="P4" s="12">
        <v>1.252019684761763E-2</v>
      </c>
      <c r="Q4" s="12">
        <v>-7.0506609976291656E-2</v>
      </c>
      <c r="R4" s="12">
        <v>-1.9896263256669041E-2</v>
      </c>
      <c r="S4" s="12">
        <v>-6.8290457129478455E-2</v>
      </c>
      <c r="T4" s="12">
        <v>-2.8186876326799389E-2</v>
      </c>
      <c r="U4" s="12">
        <v>-9.2675261199474335E-2</v>
      </c>
      <c r="V4" s="12">
        <v>-3.7623911630362268E-3</v>
      </c>
      <c r="W4" s="12">
        <v>-6.7103758454322815E-2</v>
      </c>
      <c r="X4" s="12">
        <v>-8.8999226689338684E-2</v>
      </c>
      <c r="Y4" s="12">
        <v>-5.2372239530086517E-2</v>
      </c>
      <c r="Z4" s="12">
        <v>-5.4307661950588233E-2</v>
      </c>
      <c r="AA4" s="12">
        <v>-5.4428402334451682E-2</v>
      </c>
      <c r="AB4" s="12">
        <v>-2.7171488851308819E-2</v>
      </c>
      <c r="AC4" s="12">
        <v>2.6723876595497131E-2</v>
      </c>
      <c r="AD4" s="12">
        <v>2.4525046348571781E-2</v>
      </c>
      <c r="AE4" s="12">
        <v>4.7622621059417718E-2</v>
      </c>
      <c r="AF4" s="12">
        <v>3.0552491545677189E-2</v>
      </c>
      <c r="AG4" s="12">
        <v>4.2735278606414788E-2</v>
      </c>
      <c r="AH4" s="12">
        <v>1.2865195982158181E-2</v>
      </c>
      <c r="AI4" s="12">
        <v>1.34605560451746E-2</v>
      </c>
      <c r="AJ4" s="12">
        <v>4.8744384199380868E-2</v>
      </c>
      <c r="AK4" s="12">
        <v>-9.5475828275084496E-3</v>
      </c>
      <c r="AL4" s="12">
        <v>-3.1309803016483779E-3</v>
      </c>
      <c r="AM4" s="12">
        <v>3.3569058869034052E-3</v>
      </c>
      <c r="AN4" s="12">
        <v>1.3093852438032631E-2</v>
      </c>
      <c r="AO4" s="12">
        <v>1.4211865141987801E-2</v>
      </c>
      <c r="AP4" s="12">
        <v>4.6501751989126212E-2</v>
      </c>
      <c r="AQ4" s="12">
        <v>4.9757853150367737E-2</v>
      </c>
      <c r="AR4" s="12">
        <v>4.9711927771568298E-2</v>
      </c>
      <c r="AS4" s="12">
        <v>3.4978423267602921E-2</v>
      </c>
      <c r="AT4" s="12">
        <v>-6.4586242660880089E-3</v>
      </c>
      <c r="AU4" s="12">
        <v>3.2456304877996438E-2</v>
      </c>
      <c r="AV4" s="12">
        <v>6.4564580097794533E-3</v>
      </c>
      <c r="AW4" s="12">
        <v>1.8101127352565529E-3</v>
      </c>
      <c r="AX4" s="12">
        <v>-7.6085492037236691E-3</v>
      </c>
      <c r="AY4" s="12">
        <v>-3.6388270556926727E-2</v>
      </c>
      <c r="AZ4" s="12">
        <v>2.9014702886343002E-4</v>
      </c>
      <c r="BA4" s="12">
        <v>-5.6847855448722839E-2</v>
      </c>
      <c r="BB4" s="12">
        <v>-2.2272480651736259E-2</v>
      </c>
      <c r="BC4" s="12">
        <v>-2.9052544385194778E-2</v>
      </c>
      <c r="BD4" s="12">
        <v>-8.3808884024620056E-2</v>
      </c>
      <c r="BE4" s="12">
        <v>-3.9183963090181351E-2</v>
      </c>
      <c r="BF4" s="12">
        <v>-7.6244287192821503E-2</v>
      </c>
      <c r="BG4" s="12">
        <v>-6.157601997256279E-2</v>
      </c>
      <c r="BH4" s="12">
        <v>-7.3015347123146057E-2</v>
      </c>
      <c r="BI4" s="12">
        <v>-2.5757784023880959E-2</v>
      </c>
      <c r="BJ4" s="12">
        <v>-3.5152539610862732E-2</v>
      </c>
      <c r="BK4" s="12">
        <v>-6.5942555665969849E-2</v>
      </c>
      <c r="BL4" s="12">
        <v>-5.3756937384605408E-2</v>
      </c>
      <c r="BM4" s="12">
        <v>-7.9431377351284027E-2</v>
      </c>
      <c r="BN4" s="12">
        <v>-4.1163329035043723E-2</v>
      </c>
      <c r="BO4" s="12">
        <v>-9.4712458550930023E-2</v>
      </c>
      <c r="BP4" s="12">
        <v>-4.3530568480491638E-2</v>
      </c>
      <c r="BQ4" s="12">
        <v>-2.8697127476334568E-2</v>
      </c>
      <c r="BR4" s="12">
        <v>-5.7418853044509888E-2</v>
      </c>
      <c r="BS4" s="12">
        <v>-1.9358741119503971E-2</v>
      </c>
      <c r="BT4" s="12">
        <v>-8.4144026041030884E-2</v>
      </c>
      <c r="BU4" s="12">
        <v>-9.0233713388442993E-2</v>
      </c>
      <c r="BV4" s="12">
        <v>-0.1029478386044502</v>
      </c>
      <c r="BW4" s="12">
        <v>-7.1088537573814392E-2</v>
      </c>
      <c r="BX4" s="12">
        <v>-3.5722147673368447E-2</v>
      </c>
      <c r="BY4" s="12">
        <v>5.9959013015031806E-3</v>
      </c>
      <c r="BZ4" s="12">
        <v>-5.1592431962490082E-2</v>
      </c>
      <c r="CA4" s="12">
        <v>-8.5648052394390106E-2</v>
      </c>
      <c r="CB4" s="12">
        <v>-3.4140449017286301E-2</v>
      </c>
      <c r="CC4" s="12">
        <v>-7.9050444066524506E-2</v>
      </c>
      <c r="CD4" s="12">
        <v>-0.1116790845990181</v>
      </c>
      <c r="CE4" s="12">
        <v>-8.4638349711894989E-2</v>
      </c>
      <c r="CF4" s="12">
        <v>-8.8114269077777863E-2</v>
      </c>
      <c r="CG4" s="12">
        <v>-9.862682968378067E-2</v>
      </c>
      <c r="CH4" s="12">
        <v>-7.5061611831188202E-2</v>
      </c>
      <c r="CI4" s="12">
        <v>-5.5998209863901138E-2</v>
      </c>
      <c r="CJ4" s="12">
        <v>-1.808877848088741E-2</v>
      </c>
      <c r="CK4" s="12">
        <v>-4.2210087180137627E-2</v>
      </c>
      <c r="CL4" s="12">
        <v>8.6977891623973846E-3</v>
      </c>
      <c r="CM4" s="12">
        <v>-2.1875450387597081E-2</v>
      </c>
      <c r="CN4" s="12">
        <v>-4.4229812920093543E-2</v>
      </c>
      <c r="CO4" s="12">
        <v>1.863288693130016E-2</v>
      </c>
      <c r="CP4" s="12">
        <v>-1.35243646800518E-2</v>
      </c>
      <c r="CQ4" s="12">
        <v>-1.276247948408127E-2</v>
      </c>
      <c r="CR4" s="12">
        <v>-4.5928843319416053E-2</v>
      </c>
      <c r="CS4" s="12">
        <v>-8.4556788206100464E-2</v>
      </c>
      <c r="CT4" s="12">
        <v>-2.845652773976326E-2</v>
      </c>
      <c r="CU4" s="12">
        <v>-3.161858394742012E-2</v>
      </c>
      <c r="CV4" s="12">
        <v>-2.4635819718241692E-2</v>
      </c>
      <c r="CW4" s="12">
        <v>4.8304800875484943E-3</v>
      </c>
      <c r="CX4" s="12">
        <v>3.0027653556317091E-3</v>
      </c>
      <c r="CY4" s="12">
        <v>-9.6548935398459435E-3</v>
      </c>
      <c r="CZ4" s="12">
        <v>2.7862859889864922E-2</v>
      </c>
      <c r="DA4" s="12">
        <v>-7.2389086708426484E-3</v>
      </c>
      <c r="DB4" s="12">
        <v>1.481384225189686E-2</v>
      </c>
      <c r="DC4" s="12">
        <v>1.8979338929057121E-2</v>
      </c>
      <c r="DD4" s="12">
        <v>-1.182493194937706E-2</v>
      </c>
      <c r="DE4" s="12">
        <v>-5.5287983268499367E-2</v>
      </c>
      <c r="DF4" s="12">
        <v>3.9528455585241318E-2</v>
      </c>
      <c r="DG4" s="12">
        <v>-3.136556595563889E-3</v>
      </c>
      <c r="DH4" s="12">
        <v>1.8514588009566069E-4</v>
      </c>
      <c r="DI4" s="12">
        <v>-1.5441306866705419E-2</v>
      </c>
      <c r="DJ4" s="12">
        <v>4.8156458884477622E-2</v>
      </c>
      <c r="DK4" s="12">
        <v>3.9779618382453918E-2</v>
      </c>
      <c r="DL4" s="12">
        <v>2.912280336022377E-2</v>
      </c>
      <c r="DM4" s="12">
        <v>5.5858355015516281E-2</v>
      </c>
      <c r="DN4" s="12">
        <v>2.2332454100251201E-2</v>
      </c>
      <c r="DO4" s="12">
        <v>9.3815820291638374E-3</v>
      </c>
      <c r="DP4" s="12">
        <v>-1.1177884414792061E-2</v>
      </c>
      <c r="DQ4" s="12">
        <v>3.2798897475004203E-2</v>
      </c>
      <c r="DR4" s="12">
        <v>3.2948967069387443E-2</v>
      </c>
      <c r="DS4" s="12">
        <v>-6.3791960477828979E-2</v>
      </c>
      <c r="DT4" s="12">
        <v>-2.437188662588596E-2</v>
      </c>
      <c r="DU4" s="12">
        <v>2.8318654745817181E-2</v>
      </c>
      <c r="DV4" s="12">
        <v>-1.027075573801994E-2</v>
      </c>
      <c r="DW4" s="12">
        <v>4.162212461233139E-2</v>
      </c>
      <c r="DX4" s="12">
        <v>1.6859399154782299E-2</v>
      </c>
      <c r="DY4" s="12">
        <v>-1.3820808380842211E-2</v>
      </c>
      <c r="DZ4" s="12">
        <v>2.5562329217791561E-2</v>
      </c>
      <c r="EA4" s="12">
        <v>3.5361301153898239E-2</v>
      </c>
      <c r="EB4" s="12">
        <v>2.7386909350752831E-2</v>
      </c>
      <c r="EC4" s="12">
        <v>4.2391747236251831E-2</v>
      </c>
      <c r="ED4" s="12">
        <v>7.1895502507686615E-2</v>
      </c>
      <c r="EE4" s="12">
        <v>5.7367391884326928E-2</v>
      </c>
      <c r="EF4" s="12">
        <v>2.790111489593983E-2</v>
      </c>
    </row>
    <row r="5" spans="1:136">
      <c r="A5" s="1"/>
      <c r="B5" s="2" t="s">
        <v>138</v>
      </c>
      <c r="C5" s="12">
        <v>1.4347599819302561E-2</v>
      </c>
      <c r="D5" s="12">
        <v>-9.652099572122097E-3</v>
      </c>
      <c r="E5" s="12">
        <v>-8.5699288174510002E-3</v>
      </c>
      <c r="F5" s="12">
        <v>3.9053350687026978E-2</v>
      </c>
      <c r="G5" s="12">
        <v>-3.5989873111248023E-2</v>
      </c>
      <c r="H5" s="12">
        <v>1.041566673666239E-2</v>
      </c>
      <c r="I5" s="12">
        <v>-2.0847762003540989E-2</v>
      </c>
      <c r="J5" s="12">
        <v>-1.209943555295467E-2</v>
      </c>
      <c r="K5" s="12">
        <v>2.9407145455479618E-2</v>
      </c>
      <c r="L5" s="12">
        <v>5.8111239224672318E-2</v>
      </c>
      <c r="M5" s="12">
        <v>7.5894221663475037E-2</v>
      </c>
      <c r="N5" s="12">
        <v>6.2360752373933792E-2</v>
      </c>
      <c r="O5" s="12">
        <v>9.9858760833740234E-2</v>
      </c>
      <c r="P5" s="12">
        <v>0.13152122497558591</v>
      </c>
      <c r="Q5" s="12">
        <v>7.957778126001358E-2</v>
      </c>
      <c r="R5" s="12">
        <v>4.847404733300209E-2</v>
      </c>
      <c r="S5" s="12">
        <v>2.7741687372326851E-2</v>
      </c>
      <c r="T5" s="12">
        <v>5.0201687961816788E-2</v>
      </c>
      <c r="U5" s="12">
        <v>6.4513184130191803E-2</v>
      </c>
      <c r="V5" s="12">
        <v>6.3523001968860626E-2</v>
      </c>
      <c r="W5" s="12">
        <v>9.5773497596383095E-3</v>
      </c>
      <c r="X5" s="12">
        <v>6.016424298286438E-2</v>
      </c>
      <c r="Y5" s="12">
        <v>9.0847745537757874E-2</v>
      </c>
      <c r="Z5" s="12">
        <v>0.1071524396538734</v>
      </c>
      <c r="AA5" s="12">
        <v>5.1187384873628623E-2</v>
      </c>
      <c r="AB5" s="12">
        <v>8.0967366695404053E-2</v>
      </c>
      <c r="AC5" s="12">
        <v>3.8304600864648819E-2</v>
      </c>
      <c r="AD5" s="12">
        <v>2.0053833723068241E-2</v>
      </c>
      <c r="AE5" s="12">
        <v>4.644785076379776E-2</v>
      </c>
      <c r="AF5" s="12">
        <v>6.0654930770397193E-2</v>
      </c>
      <c r="AG5" s="12">
        <v>6.7320100963115692E-2</v>
      </c>
      <c r="AH5" s="12">
        <v>1.78289357572794E-2</v>
      </c>
      <c r="AI5" s="12">
        <v>5.6440837681293488E-2</v>
      </c>
      <c r="AJ5" s="12">
        <v>4.2928591370582581E-2</v>
      </c>
      <c r="AK5" s="12">
        <v>7.9053483903408051E-2</v>
      </c>
      <c r="AL5" s="12">
        <v>1.9981823861598969E-2</v>
      </c>
      <c r="AM5" s="12">
        <v>4.9416512250900269E-2</v>
      </c>
      <c r="AN5" s="12">
        <v>4.2488358914852142E-2</v>
      </c>
      <c r="AO5" s="12">
        <v>5.0316029228270054E-3</v>
      </c>
      <c r="AP5" s="12">
        <v>2.6226455345749859E-2</v>
      </c>
      <c r="AQ5" s="12">
        <v>-1.0934568010270601E-2</v>
      </c>
      <c r="AR5" s="12">
        <v>-5.88986836373806E-2</v>
      </c>
      <c r="AS5" s="12">
        <v>1.9943690858781341E-5</v>
      </c>
      <c r="AT5" s="12">
        <v>3.1712550669908517E-2</v>
      </c>
      <c r="AU5" s="12">
        <v>5.4366020485758781E-3</v>
      </c>
      <c r="AV5" s="12">
        <v>-8.6811445653438568E-3</v>
      </c>
      <c r="AW5" s="12">
        <v>2.3753151297569271E-2</v>
      </c>
      <c r="AX5" s="12">
        <v>-1.039000414311886E-2</v>
      </c>
      <c r="AY5" s="12">
        <v>4.2606234550476067E-2</v>
      </c>
      <c r="AZ5" s="12">
        <v>2.2628717124462131E-2</v>
      </c>
      <c r="BA5" s="12">
        <v>1.7847366398200391E-3</v>
      </c>
      <c r="BB5" s="12">
        <v>1.147421263158321E-2</v>
      </c>
      <c r="BC5" s="12">
        <v>-5.5574686266481876E-3</v>
      </c>
      <c r="BD5" s="12">
        <v>1.7132017761468891E-2</v>
      </c>
      <c r="BE5" s="12">
        <v>2.4164538830518719E-2</v>
      </c>
      <c r="BF5" s="12">
        <v>5.6551066227257252E-3</v>
      </c>
      <c r="BG5" s="12">
        <v>2.693047933280468E-2</v>
      </c>
      <c r="BH5" s="12">
        <v>3.3954640384763479E-3</v>
      </c>
      <c r="BI5" s="12">
        <v>2.639448270201683E-2</v>
      </c>
      <c r="BJ5" s="12">
        <v>1.144836191087961E-2</v>
      </c>
      <c r="BK5" s="12">
        <v>2.6191858574748039E-2</v>
      </c>
      <c r="BL5" s="12">
        <v>2.184408716857433E-2</v>
      </c>
      <c r="BM5" s="12">
        <v>3.5668004304170609E-2</v>
      </c>
      <c r="BN5" s="12">
        <v>4.7217939049005508E-2</v>
      </c>
      <c r="BO5" s="12">
        <v>1.5824703499674801E-2</v>
      </c>
      <c r="BP5" s="12">
        <v>4.0294736623764038E-2</v>
      </c>
      <c r="BQ5" s="12">
        <v>5.4744470864534378E-2</v>
      </c>
      <c r="BR5" s="12">
        <v>6.7423462867736816E-2</v>
      </c>
      <c r="BS5" s="12">
        <v>3.5041853785514832E-2</v>
      </c>
      <c r="BT5" s="12">
        <v>-1.695315167307854E-2</v>
      </c>
      <c r="BU5" s="12">
        <v>4.2807679623365402E-2</v>
      </c>
      <c r="BV5" s="12">
        <v>2.4910405278205872E-2</v>
      </c>
      <c r="BW5" s="12">
        <v>3.5352393984794617E-2</v>
      </c>
      <c r="BX5" s="12">
        <v>3.8252223283052438E-2</v>
      </c>
      <c r="BY5" s="12">
        <v>9.0397186577320099E-3</v>
      </c>
      <c r="BZ5" s="12">
        <v>6.5005947835743427E-3</v>
      </c>
      <c r="CA5" s="12">
        <v>1.141073554754257E-2</v>
      </c>
      <c r="CB5" s="12">
        <v>1.485352218151093E-2</v>
      </c>
      <c r="CC5" s="12">
        <v>5.4167184978723533E-2</v>
      </c>
      <c r="CD5" s="12">
        <v>2.3807717487215999E-2</v>
      </c>
      <c r="CE5" s="12">
        <v>7.6829078607261181E-3</v>
      </c>
      <c r="CF5" s="12">
        <v>2.9735062271356578E-3</v>
      </c>
      <c r="CG5" s="12">
        <v>2.4837357923388481E-2</v>
      </c>
      <c r="CH5" s="12">
        <v>4.7171309590339661E-2</v>
      </c>
      <c r="CI5" s="12">
        <v>4.6639894135296336E-3</v>
      </c>
      <c r="CJ5" s="12">
        <v>2.852512896060944E-2</v>
      </c>
      <c r="CK5" s="12">
        <v>-9.7033102065324783E-3</v>
      </c>
      <c r="CL5" s="12">
        <v>1.245168037712574E-2</v>
      </c>
      <c r="CM5" s="12">
        <v>1.4197885990142821E-2</v>
      </c>
      <c r="CN5" s="12">
        <v>3.0705662444233891E-2</v>
      </c>
      <c r="CO5" s="12">
        <v>3.5640694200992577E-2</v>
      </c>
      <c r="CP5" s="12">
        <v>2.5331234559416771E-2</v>
      </c>
      <c r="CQ5" s="12">
        <v>1.1073682690039279E-3</v>
      </c>
      <c r="CR5" s="12">
        <v>1.5654526650905609E-2</v>
      </c>
      <c r="CS5" s="12">
        <v>-1.1859666556119921E-2</v>
      </c>
      <c r="CT5" s="12">
        <v>5.863029882311821E-2</v>
      </c>
      <c r="CU5" s="12">
        <v>-7.8350687399506569E-3</v>
      </c>
      <c r="CV5" s="12">
        <v>4.6454016119241708E-2</v>
      </c>
      <c r="CW5" s="12">
        <v>7.367561012506485E-2</v>
      </c>
      <c r="CX5" s="12">
        <v>-4.4749602675437927E-3</v>
      </c>
      <c r="CY5" s="12">
        <v>2.9276512563228611E-2</v>
      </c>
      <c r="CZ5" s="12">
        <v>3.3731676638126373E-2</v>
      </c>
      <c r="DA5" s="12">
        <v>4.2157959192991257E-2</v>
      </c>
      <c r="DB5" s="12">
        <v>1.5304354019463061E-2</v>
      </c>
      <c r="DC5" s="12">
        <v>3.0327405780553821E-2</v>
      </c>
      <c r="DD5" s="12">
        <v>5.3778979927301407E-2</v>
      </c>
      <c r="DE5" s="12">
        <v>7.7699399553239354E-3</v>
      </c>
      <c r="DF5" s="12">
        <v>9.4073504442349076E-4</v>
      </c>
      <c r="DG5" s="12">
        <v>-8.2107760012149811E-2</v>
      </c>
      <c r="DH5" s="12">
        <v>-5.2850812673568733E-2</v>
      </c>
      <c r="DI5" s="12">
        <v>-7.8471429646015167E-2</v>
      </c>
      <c r="DJ5" s="12">
        <v>-4.0412887930870063E-2</v>
      </c>
      <c r="DK5" s="12">
        <v>-2.3652749136090279E-2</v>
      </c>
      <c r="DL5" s="12">
        <v>-1.795239187777042E-2</v>
      </c>
      <c r="DM5" s="12">
        <v>-3.8529172539710999E-2</v>
      </c>
      <c r="DN5" s="12">
        <v>-6.0538295656442642E-2</v>
      </c>
      <c r="DO5" s="12">
        <v>2.2697450593113899E-2</v>
      </c>
      <c r="DP5" s="12">
        <v>-2.293764241039753E-2</v>
      </c>
      <c r="DQ5" s="12">
        <v>2.235623262822628E-2</v>
      </c>
      <c r="DR5" s="12">
        <v>2.08442397415638E-2</v>
      </c>
      <c r="DS5" s="12">
        <v>-2.133695874363184E-3</v>
      </c>
      <c r="DT5" s="12">
        <v>2.0560766570270061E-3</v>
      </c>
      <c r="DU5" s="12">
        <v>9.2165069654583931E-3</v>
      </c>
      <c r="DV5" s="12">
        <v>-2.4538150057196621E-2</v>
      </c>
      <c r="DW5" s="12">
        <v>-5.4349824786186218E-3</v>
      </c>
      <c r="DX5" s="12">
        <v>-1.1826856061816221E-2</v>
      </c>
      <c r="DY5" s="12">
        <v>-2.4313617497682571E-2</v>
      </c>
      <c r="DZ5" s="12">
        <v>1.7076117917895321E-2</v>
      </c>
      <c r="EA5" s="12">
        <v>2.1494723856449131E-2</v>
      </c>
      <c r="EB5" s="12">
        <v>1.5846351161599159E-2</v>
      </c>
      <c r="EC5" s="12">
        <v>4.5648753643035889E-2</v>
      </c>
      <c r="ED5" s="12">
        <v>1.9599819555878639E-2</v>
      </c>
      <c r="EE5" s="12">
        <v>-1.0369730181992051E-2</v>
      </c>
      <c r="EF5" s="12">
        <v>6.0753826983273029E-3</v>
      </c>
    </row>
    <row r="7" spans="1:136">
      <c r="A7" t="s">
        <v>203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15">
        <v>0.109105830631824</v>
      </c>
      <c r="D9" s="15">
        <v>1.4576582608432649E-2</v>
      </c>
      <c r="E9" s="15">
        <v>-3.6154356576976902E-2</v>
      </c>
      <c r="F9" s="15">
        <v>-4.742600977062153E-3</v>
      </c>
      <c r="G9" s="15">
        <v>-5.7477531385562736E-3</v>
      </c>
      <c r="H9" s="15">
        <v>4.9378023156909527E-2</v>
      </c>
      <c r="I9" s="15">
        <v>0.18325176920476779</v>
      </c>
      <c r="J9" s="15">
        <v>0.1164863088741452</v>
      </c>
      <c r="K9" s="15">
        <v>-3.0594945598924051E-2</v>
      </c>
      <c r="L9" s="15">
        <v>1.9828051430277011E-2</v>
      </c>
      <c r="M9" s="15">
        <v>-2.0999006362740089E-2</v>
      </c>
      <c r="N9" s="15">
        <v>0.1497794247734946</v>
      </c>
      <c r="O9" s="15">
        <v>1.5463406170905081E-2</v>
      </c>
      <c r="P9" s="15">
        <v>-9.1792321477913982E-2</v>
      </c>
      <c r="Q9" s="15">
        <v>-7.7409013100986537E-2</v>
      </c>
      <c r="R9" s="15">
        <v>5.4776596014220982E-2</v>
      </c>
      <c r="S9" s="15">
        <v>-0.12533438670858049</v>
      </c>
      <c r="T9" s="15">
        <v>-0.1190534205538864</v>
      </c>
      <c r="U9" s="15">
        <v>-3.777005083138045E-2</v>
      </c>
      <c r="V9" s="15">
        <v>8.1183823152198617E-2</v>
      </c>
      <c r="W9" s="15">
        <v>8.4008967865119855E-2</v>
      </c>
      <c r="X9" s="15">
        <v>0.14701135657134901</v>
      </c>
      <c r="Y9" s="15">
        <v>-0.12536053701812139</v>
      </c>
      <c r="Z9" s="15">
        <v>0.1919535535452612</v>
      </c>
      <c r="AA9" s="15">
        <v>-8.4370782422902996E-2</v>
      </c>
      <c r="AB9" s="15">
        <v>7.2897613803716274E-2</v>
      </c>
      <c r="AC9" s="15">
        <v>0.10260456025692451</v>
      </c>
      <c r="AD9" s="15">
        <v>1.5770167253116588E-2</v>
      </c>
      <c r="AE9" s="15">
        <v>-0.15200716210156701</v>
      </c>
      <c r="AF9" s="15">
        <v>5.9250251506559243E-2</v>
      </c>
      <c r="AG9" s="15">
        <v>0.13005883770177931</v>
      </c>
      <c r="AH9" s="15">
        <v>0.11525639530312259</v>
      </c>
      <c r="AI9" s="15">
        <v>3.2606621901195412E-2</v>
      </c>
      <c r="AJ9" s="15">
        <v>2.79991148643382E-2</v>
      </c>
      <c r="AK9" s="15">
        <v>0.14657041796408479</v>
      </c>
      <c r="AL9" s="15">
        <v>4.0841921466891577E-2</v>
      </c>
      <c r="AM9" s="15">
        <v>0.13137636706820099</v>
      </c>
      <c r="AN9" s="15">
        <v>0.22143295930140211</v>
      </c>
      <c r="AO9" s="15">
        <v>-2.0941038924054418E-2</v>
      </c>
      <c r="AP9" s="15">
        <v>-0.13715995040864579</v>
      </c>
      <c r="AQ9" s="15">
        <v>-2.4882854865750599E-2</v>
      </c>
      <c r="AR9" s="15">
        <v>1.551397070984222E-2</v>
      </c>
      <c r="AS9" s="15">
        <v>3.4373036510765703E-2</v>
      </c>
      <c r="AT9" s="15">
        <v>6.3095686135752824E-2</v>
      </c>
      <c r="AU9" s="15">
        <v>4.3237695395113553E-2</v>
      </c>
      <c r="AV9" s="15">
        <v>-7.4230367380587331E-2</v>
      </c>
      <c r="AW9" s="15">
        <v>2.7994827208502701E-2</v>
      </c>
      <c r="AX9" s="15">
        <v>0.1198644178103629</v>
      </c>
      <c r="AY9" s="15">
        <v>7.6559571245744709E-2</v>
      </c>
      <c r="AZ9" s="15">
        <v>-2.1730386111293399E-2</v>
      </c>
      <c r="BA9" s="15">
        <v>-1.2464632784982711E-3</v>
      </c>
      <c r="BB9" s="15">
        <v>0.10099582217884891</v>
      </c>
      <c r="BC9" s="15">
        <v>2.9826929857085831E-2</v>
      </c>
      <c r="BD9" s="15">
        <v>8.6757683796749117E-3</v>
      </c>
      <c r="BE9" s="15">
        <v>6.8557206018591665E-2</v>
      </c>
      <c r="BF9" s="15">
        <v>0.15691259652648329</v>
      </c>
      <c r="BG9" s="15">
        <v>0.1592037331379933</v>
      </c>
      <c r="BH9" s="15">
        <v>6.1121667651573217E-2</v>
      </c>
      <c r="BI9" s="15">
        <v>9.6912851275401127E-2</v>
      </c>
      <c r="BJ9" s="15">
        <v>-5.4746248471514068E-2</v>
      </c>
      <c r="BK9" s="15">
        <v>-8.7492963132843785E-2</v>
      </c>
      <c r="BL9" s="15">
        <v>9.4426745861656128E-2</v>
      </c>
      <c r="BM9" s="15">
        <v>-2.2191058729398399E-2</v>
      </c>
      <c r="BN9" s="15">
        <v>1.562861243910833E-2</v>
      </c>
      <c r="BO9" s="15">
        <v>8.1418240100881306E-2</v>
      </c>
      <c r="BP9" s="15">
        <v>-1.8508942424783719E-2</v>
      </c>
      <c r="BQ9" s="15">
        <v>6.8729568027927734E-2</v>
      </c>
      <c r="BR9" s="15">
        <v>3.1023605185006549E-3</v>
      </c>
      <c r="BS9" s="15">
        <v>7.4964417651561921E-2</v>
      </c>
      <c r="BT9" s="15">
        <v>4.5201587698112312E-2</v>
      </c>
      <c r="BU9" s="15">
        <v>2.5677329398223779E-2</v>
      </c>
      <c r="BV9" s="15">
        <v>9.180403106274436E-2</v>
      </c>
      <c r="BW9" s="15">
        <v>-2.6353999034970911E-2</v>
      </c>
      <c r="BX9" s="15">
        <v>1.9394832235212069E-2</v>
      </c>
      <c r="BY9" s="15">
        <v>-7.6838899317359197E-2</v>
      </c>
      <c r="BZ9" s="15">
        <v>0.1133093139289441</v>
      </c>
      <c r="CA9" s="15">
        <v>-0.10735493495839039</v>
      </c>
      <c r="CB9" s="15">
        <v>4.0844788501696747E-2</v>
      </c>
      <c r="CC9" s="15">
        <v>-1.9801708972640539E-2</v>
      </c>
      <c r="CD9" s="15">
        <v>0.1883770899619405</v>
      </c>
      <c r="CE9" s="15">
        <v>5.5574905720929421E-2</v>
      </c>
      <c r="CF9" s="15">
        <v>7.4872074365934668E-2</v>
      </c>
      <c r="CG9" s="15">
        <v>0.1000001919024945</v>
      </c>
      <c r="CH9" s="15">
        <v>0.1360217220005796</v>
      </c>
      <c r="CI9" s="15">
        <v>-9.3741014702459921E-2</v>
      </c>
      <c r="CJ9" s="15">
        <v>3.9305991202356373E-3</v>
      </c>
      <c r="CK9" s="15">
        <v>5.6507776574398372E-2</v>
      </c>
      <c r="CL9" s="15">
        <v>0.26354577822564818</v>
      </c>
      <c r="CM9" s="15">
        <v>-9.5554349157474378E-3</v>
      </c>
      <c r="CN9" s="15">
        <v>-3.1511899508967982E-2</v>
      </c>
      <c r="CO9" s="15">
        <v>-2.2619031528730349E-2</v>
      </c>
      <c r="CP9" s="15">
        <v>0.13265560934539161</v>
      </c>
      <c r="CQ9" s="15">
        <v>0.1330727797426777</v>
      </c>
      <c r="CR9" s="15">
        <v>-1.4956408370414089E-2</v>
      </c>
      <c r="CS9" s="15">
        <v>-3.3419937997587537E-2</v>
      </c>
      <c r="CT9" s="15">
        <v>1.228120855821169E-2</v>
      </c>
      <c r="CU9" s="15">
        <v>0.11681498356736621</v>
      </c>
      <c r="CV9" s="15">
        <v>-3.1589453565969692E-3</v>
      </c>
      <c r="CW9" s="15">
        <v>3.8217758352757383E-2</v>
      </c>
      <c r="CX9" s="15">
        <v>0.13917409482071269</v>
      </c>
      <c r="CY9" s="15">
        <v>-2.3712287606589749E-2</v>
      </c>
      <c r="CZ9" s="15">
        <v>0.21835291106172269</v>
      </c>
      <c r="DA9" s="15">
        <v>-5.796736233046404E-2</v>
      </c>
      <c r="DB9" s="15">
        <v>-1.410421852050941E-2</v>
      </c>
      <c r="DC9" s="15">
        <v>0.11395608079284369</v>
      </c>
      <c r="DD9" s="15">
        <v>7.4472261891957006E-2</v>
      </c>
      <c r="DE9" s="15">
        <v>-8.9969275376677231E-4</v>
      </c>
      <c r="DF9" s="15">
        <v>9.7707180382245536E-4</v>
      </c>
      <c r="DG9" s="15">
        <v>-7.2980095070914866E-2</v>
      </c>
      <c r="DH9" s="15">
        <v>-2.384528684741952E-2</v>
      </c>
      <c r="DI9" s="15">
        <v>-0.101530671996864</v>
      </c>
      <c r="DJ9" s="15">
        <v>2.7692536462605249E-2</v>
      </c>
      <c r="DK9" s="15">
        <v>-4.9335152901351147E-2</v>
      </c>
      <c r="DL9" s="15">
        <v>-5.6993575669654463E-3</v>
      </c>
      <c r="DM9" s="15">
        <v>-3.698176006290884E-2</v>
      </c>
      <c r="DN9" s="15">
        <v>0.1098129862949979</v>
      </c>
      <c r="DO9" s="15">
        <v>4.2036825231170707E-2</v>
      </c>
      <c r="DP9" s="15">
        <v>8.4566668006112469E-2</v>
      </c>
      <c r="DQ9" s="15">
        <v>-0.11027981086457481</v>
      </c>
      <c r="DR9" s="15">
        <v>9.4328709127723676E-2</v>
      </c>
      <c r="DS9" s="15">
        <v>-7.1906912609422696E-2</v>
      </c>
      <c r="DT9" s="15">
        <v>-9.6236429507091506E-2</v>
      </c>
      <c r="DU9" s="15">
        <v>2.3455494098847921E-3</v>
      </c>
      <c r="DV9" s="15">
        <v>0.13401742358239299</v>
      </c>
      <c r="DW9" s="15">
        <v>9.4732519114383587E-2</v>
      </c>
      <c r="DX9" s="15">
        <v>-0.1037731978548066</v>
      </c>
      <c r="DY9" s="15">
        <v>7.5762154171076845E-2</v>
      </c>
      <c r="DZ9" s="15">
        <v>-3.1829720434029513E-2</v>
      </c>
      <c r="EA9" s="15">
        <v>0.16130801932992569</v>
      </c>
      <c r="EB9" s="15">
        <v>1.020353315832318E-2</v>
      </c>
      <c r="EC9" s="15">
        <v>7.3988425168607055E-2</v>
      </c>
      <c r="ED9" s="15">
        <v>-0.15737687498945321</v>
      </c>
      <c r="EE9" s="15">
        <v>7.9137553498671423E-2</v>
      </c>
      <c r="EF9" s="15">
        <v>7.252854687485949E-2</v>
      </c>
    </row>
    <row r="10" spans="1:136">
      <c r="B10" t="s">
        <v>137</v>
      </c>
      <c r="C10" s="15">
        <v>-0.24758870953733739</v>
      </c>
      <c r="D10" s="15">
        <v>-0.27469330301591988</v>
      </c>
      <c r="E10" s="15">
        <v>-8.4648385226775952E-2</v>
      </c>
      <c r="F10" s="15">
        <v>2.264463125499239E-2</v>
      </c>
      <c r="G10" s="15">
        <v>-4.968000079578011E-2</v>
      </c>
      <c r="H10" s="15">
        <v>-0.100759633161552</v>
      </c>
      <c r="I10" s="15">
        <v>-1.2522721374844691E-2</v>
      </c>
      <c r="J10" s="15">
        <v>7.8736550465264579E-2</v>
      </c>
      <c r="K10" s="15">
        <v>-3.418510024326199E-2</v>
      </c>
      <c r="L10" s="15">
        <v>8.8406797789969321E-2</v>
      </c>
      <c r="M10" s="15">
        <v>-3.063454560011507E-3</v>
      </c>
      <c r="N10" s="15">
        <v>-0.21221799304980321</v>
      </c>
      <c r="O10" s="15">
        <v>-3.6805388582279122E-2</v>
      </c>
      <c r="P10" s="15">
        <v>7.1033118877316462E-2</v>
      </c>
      <c r="Q10" s="15">
        <v>-7.1261132998910126E-2</v>
      </c>
      <c r="R10" s="15">
        <v>2.1560446706208151E-2</v>
      </c>
      <c r="S10" s="15">
        <v>0.10111125807516751</v>
      </c>
      <c r="T10" s="15">
        <v>4.3224739792793003E-2</v>
      </c>
      <c r="U10" s="15">
        <v>1.488194958969411E-2</v>
      </c>
      <c r="V10" s="15">
        <v>6.3260243037239986E-3</v>
      </c>
      <c r="W10" s="15">
        <v>-0.1435529784595129</v>
      </c>
      <c r="X10" s="15">
        <v>-6.4282172013507929E-2</v>
      </c>
      <c r="Y10" s="15">
        <v>-1.9034202878042191E-2</v>
      </c>
      <c r="Z10" s="15">
        <v>-2.0644556245472189E-2</v>
      </c>
      <c r="AA10" s="15">
        <v>3.3059540377865217E-2</v>
      </c>
      <c r="AB10" s="15">
        <v>-1.9418226776777941E-2</v>
      </c>
      <c r="AC10" s="15">
        <v>-6.3126838764061721E-2</v>
      </c>
      <c r="AD10" s="15">
        <v>-6.5629712146108229E-2</v>
      </c>
      <c r="AE10" s="15">
        <v>0.1379956892668254</v>
      </c>
      <c r="AF10" s="15">
        <v>-0.1005679184552228</v>
      </c>
      <c r="AG10" s="15">
        <v>-3.7969091150733998E-2</v>
      </c>
      <c r="AH10" s="15">
        <v>-4.5839537807496208E-2</v>
      </c>
      <c r="AI10" s="15">
        <v>-5.1034095516539722E-2</v>
      </c>
      <c r="AJ10" s="15">
        <v>-3.2204408877165632E-3</v>
      </c>
      <c r="AK10" s="15">
        <v>4.8952958975013116E-4</v>
      </c>
      <c r="AL10" s="15">
        <v>-0.1064467536119352</v>
      </c>
      <c r="AM10" s="15">
        <v>-1.3723973583554899E-2</v>
      </c>
      <c r="AN10" s="15">
        <v>-0.1219647076543238</v>
      </c>
      <c r="AO10" s="15">
        <v>-4.858966597382592E-2</v>
      </c>
      <c r="AP10" s="15">
        <v>-1.903150433663008E-3</v>
      </c>
      <c r="AQ10" s="15">
        <v>2.9067484813314101E-2</v>
      </c>
      <c r="AR10" s="15">
        <v>5.2635776863899968E-2</v>
      </c>
      <c r="AS10" s="15">
        <v>-1.289325857571229E-2</v>
      </c>
      <c r="AT10" s="15">
        <v>-2.131134772842519E-3</v>
      </c>
      <c r="AU10" s="15">
        <v>-0.15538438197178719</v>
      </c>
      <c r="AV10" s="15">
        <v>1.268178414302561E-2</v>
      </c>
      <c r="AW10" s="15">
        <v>-1.1942321618877561E-2</v>
      </c>
      <c r="AX10" s="15">
        <v>-4.2537914968475456E-3</v>
      </c>
      <c r="AY10" s="15">
        <v>2.930087158954232E-2</v>
      </c>
      <c r="AZ10" s="15">
        <v>-0.13412750113921701</v>
      </c>
      <c r="BA10" s="15">
        <v>-0.13711152966130111</v>
      </c>
      <c r="BB10" s="15">
        <v>1.7546605068716691E-3</v>
      </c>
      <c r="BC10" s="15">
        <v>2.5117126105990401E-2</v>
      </c>
      <c r="BD10" s="15">
        <v>-0.11960190660895841</v>
      </c>
      <c r="BE10" s="15">
        <v>0.1357616496399312</v>
      </c>
      <c r="BF10" s="15">
        <v>4.7091161676368357E-2</v>
      </c>
      <c r="BG10" s="15">
        <v>-2.605004393557599E-2</v>
      </c>
      <c r="BH10" s="15">
        <v>4.3752773670266483E-2</v>
      </c>
      <c r="BI10" s="15">
        <v>-8.1391827895093402E-2</v>
      </c>
      <c r="BJ10" s="15">
        <v>-0.10060082155953699</v>
      </c>
      <c r="BK10" s="15">
        <v>9.0490079041763594E-2</v>
      </c>
      <c r="BL10" s="15">
        <v>-3.0898458704964389E-2</v>
      </c>
      <c r="BM10" s="15">
        <v>5.8814186622603987E-2</v>
      </c>
      <c r="BN10" s="15">
        <v>8.1345639246770615E-2</v>
      </c>
      <c r="BO10" s="15">
        <v>-7.7164168976593351E-3</v>
      </c>
      <c r="BP10" s="15">
        <v>0.1067348704344353</v>
      </c>
      <c r="BQ10" s="15">
        <v>-2.7156341096342261E-2</v>
      </c>
      <c r="BR10" s="15">
        <v>-5.4431018659150447E-2</v>
      </c>
      <c r="BS10" s="15">
        <v>-6.822927751511014E-2</v>
      </c>
      <c r="BT10" s="15">
        <v>9.8612222991557266E-2</v>
      </c>
      <c r="BU10" s="15">
        <v>0.1283985422991091</v>
      </c>
      <c r="BV10" s="15">
        <v>-7.8402519476778718E-2</v>
      </c>
      <c r="BW10" s="15">
        <v>-0.1191337216524913</v>
      </c>
      <c r="BX10" s="15">
        <v>-4.6890096077604589E-2</v>
      </c>
      <c r="BY10" s="15">
        <v>0.10169834364209621</v>
      </c>
      <c r="BZ10" s="15">
        <v>-2.5680084240218899E-2</v>
      </c>
      <c r="CA10" s="15">
        <v>-8.3301790010408508E-2</v>
      </c>
      <c r="CB10" s="15">
        <v>-0.15782764847875469</v>
      </c>
      <c r="CC10" s="15">
        <v>-7.1052571704280934E-2</v>
      </c>
      <c r="CD10" s="15">
        <v>-7.3875492145199798E-2</v>
      </c>
      <c r="CE10" s="15">
        <v>-0.23678647002516851</v>
      </c>
      <c r="CF10" s="15">
        <v>3.2627706277002622E-2</v>
      </c>
      <c r="CG10" s="15">
        <v>1.3423084626575861E-2</v>
      </c>
      <c r="CH10" s="15">
        <v>-2.7966658799032269E-3</v>
      </c>
      <c r="CI10" s="15">
        <v>4.7925699911805238E-2</v>
      </c>
      <c r="CJ10" s="15">
        <v>-3.2520192681292038E-3</v>
      </c>
      <c r="CK10" s="15">
        <v>-7.570819035307215E-2</v>
      </c>
      <c r="CL10" s="15">
        <v>-4.439725585073561E-2</v>
      </c>
      <c r="CM10" s="15">
        <v>0.17898858319392719</v>
      </c>
      <c r="CN10" s="15">
        <v>5.799426642317386E-2</v>
      </c>
      <c r="CO10" s="15">
        <v>-0.13939018969183081</v>
      </c>
      <c r="CP10" s="15">
        <v>6.4714670503515537E-2</v>
      </c>
      <c r="CQ10" s="15">
        <v>-0.18118788880647541</v>
      </c>
      <c r="CR10" s="15">
        <v>-8.8633532328162568E-2</v>
      </c>
      <c r="CS10" s="15">
        <v>-2.532177470861038E-2</v>
      </c>
      <c r="CT10" s="15">
        <v>-0.11307907407472829</v>
      </c>
      <c r="CU10" s="15">
        <v>8.095957294189474E-3</v>
      </c>
      <c r="CV10" s="15">
        <v>-4.5200208394220349E-2</v>
      </c>
      <c r="CW10" s="15">
        <v>-5.8941225467328592E-2</v>
      </c>
      <c r="CX10" s="15">
        <v>-0.1077283016776811</v>
      </c>
      <c r="CY10" s="15">
        <v>-9.6503499496267492E-2</v>
      </c>
      <c r="CZ10" s="15">
        <v>-0.2103543453191653</v>
      </c>
      <c r="DA10" s="15">
        <v>-0.10996113735654101</v>
      </c>
      <c r="DB10" s="15">
        <v>-0.1908204716293295</v>
      </c>
      <c r="DC10" s="15">
        <v>-2.0727272402408872E-2</v>
      </c>
      <c r="DD10" s="15">
        <v>8.7029095351123936E-2</v>
      </c>
      <c r="DE10" s="15">
        <v>8.2024592921593045E-2</v>
      </c>
      <c r="DF10" s="15">
        <v>-0.166876664789437</v>
      </c>
      <c r="DG10" s="15">
        <v>0.22243808581717431</v>
      </c>
      <c r="DH10" s="15">
        <v>-0.144297746243673</v>
      </c>
      <c r="DI10" s="15">
        <v>-0.1196199522370443</v>
      </c>
      <c r="DJ10" s="15">
        <v>-0.10159274396951661</v>
      </c>
      <c r="DK10" s="15">
        <v>9.2855058740681395E-2</v>
      </c>
      <c r="DL10" s="15">
        <v>-4.2630490096108087E-2</v>
      </c>
      <c r="DM10" s="15">
        <v>8.2732072899953643E-2</v>
      </c>
      <c r="DN10" s="15">
        <v>-3.1049452465540091E-2</v>
      </c>
      <c r="DO10" s="15">
        <v>-9.8141990492640205E-2</v>
      </c>
      <c r="DP10" s="15">
        <v>-0.13058888143944061</v>
      </c>
      <c r="DQ10" s="15">
        <v>4.8655718251279387E-2</v>
      </c>
      <c r="DR10" s="15">
        <v>-3.9251909935401189E-2</v>
      </c>
      <c r="DS10" s="15">
        <v>-0.1610301993932845</v>
      </c>
      <c r="DT10" s="15">
        <v>-7.8883966483063367E-2</v>
      </c>
      <c r="DU10" s="15">
        <v>0.16407715854109439</v>
      </c>
      <c r="DV10" s="15">
        <v>7.5052515397744431E-3</v>
      </c>
      <c r="DW10" s="15">
        <v>-0.1016452501185193</v>
      </c>
      <c r="DX10" s="15">
        <v>-5.6040292492535823E-2</v>
      </c>
      <c r="DY10" s="15">
        <v>-0.1066566396478186</v>
      </c>
      <c r="DZ10" s="15">
        <v>-6.9186575508287662E-2</v>
      </c>
      <c r="EA10" s="15">
        <v>-0.12618865773840809</v>
      </c>
      <c r="EB10" s="15">
        <v>-6.4737118328050736E-2</v>
      </c>
      <c r="EC10" s="15">
        <v>5.142607344157852E-2</v>
      </c>
      <c r="ED10" s="15">
        <v>3.4496728436731378E-2</v>
      </c>
      <c r="EE10" s="15">
        <v>0.15767759835539891</v>
      </c>
      <c r="EF10" s="15">
        <v>-0.12718001699129389</v>
      </c>
    </row>
    <row r="11" spans="1:136">
      <c r="B11" t="s">
        <v>138</v>
      </c>
      <c r="C11" s="15">
        <v>-5.4244781267602057E-2</v>
      </c>
      <c r="D11" s="15">
        <v>4.5377022463556939E-2</v>
      </c>
      <c r="E11" s="15">
        <v>-1.7752272607948309E-2</v>
      </c>
      <c r="F11" s="15">
        <v>-8.7687354470119203E-2</v>
      </c>
      <c r="G11" s="15">
        <v>0.1027592597916023</v>
      </c>
      <c r="H11" s="15">
        <v>2.5113717342445511E-3</v>
      </c>
      <c r="I11" s="15">
        <v>-1.8303552483615069E-2</v>
      </c>
      <c r="J11" s="15">
        <v>2.2110525104917209E-2</v>
      </c>
      <c r="K11" s="15">
        <v>7.7258045731841044E-2</v>
      </c>
      <c r="L11" s="15">
        <v>9.3440783982297517E-3</v>
      </c>
      <c r="M11" s="15">
        <v>5.3602181204841143E-2</v>
      </c>
      <c r="N11" s="15">
        <v>-6.7877357290963961E-2</v>
      </c>
      <c r="O11" s="15">
        <v>6.4929886491987929E-2</v>
      </c>
      <c r="P11" s="15">
        <v>4.8806817542238106E-3</v>
      </c>
      <c r="Q11" s="15">
        <v>1.919781824762783E-2</v>
      </c>
      <c r="R11" s="15">
        <v>-5.4653492448842392E-3</v>
      </c>
      <c r="S11" s="15">
        <v>3.6551467134004201E-2</v>
      </c>
      <c r="T11" s="15">
        <v>0.12918506866843241</v>
      </c>
      <c r="U11" s="15">
        <v>1.369240766293847E-2</v>
      </c>
      <c r="V11" s="15">
        <v>1.529525194063162E-2</v>
      </c>
      <c r="W11" s="15">
        <v>-0.10468571910271469</v>
      </c>
      <c r="X11" s="15">
        <v>-0.29384805056845642</v>
      </c>
      <c r="Y11" s="15">
        <v>5.9212485033458218E-2</v>
      </c>
      <c r="Z11" s="15">
        <v>-0.18494831245363619</v>
      </c>
      <c r="AA11" s="15">
        <v>9.8247438772127521E-2</v>
      </c>
      <c r="AB11" s="15">
        <v>-6.5734107189282197E-4</v>
      </c>
      <c r="AC11" s="15">
        <v>-0.1036861156532312</v>
      </c>
      <c r="AD11" s="15">
        <v>3.5450938075395509E-3</v>
      </c>
      <c r="AE11" s="15">
        <v>0.17560148677061019</v>
      </c>
      <c r="AF11" s="15">
        <v>-0.1550331010885124</v>
      </c>
      <c r="AG11" s="15">
        <v>-2.6328625232284051E-2</v>
      </c>
      <c r="AH11" s="15">
        <v>-4.9988101579694936E-3</v>
      </c>
      <c r="AI11" s="15">
        <v>2.8067714594873169E-2</v>
      </c>
      <c r="AJ11" s="15">
        <v>-2.2384193940381401E-2</v>
      </c>
      <c r="AK11" s="15">
        <v>-4.7020825392250949E-2</v>
      </c>
      <c r="AL11" s="15">
        <v>-0.10156151199043489</v>
      </c>
      <c r="AM11" s="15">
        <v>2.3525148704495701E-2</v>
      </c>
      <c r="AN11" s="15">
        <v>5.2525230105422573E-2</v>
      </c>
      <c r="AO11" s="15">
        <v>5.8502893637957562E-2</v>
      </c>
      <c r="AP11" s="15">
        <v>3.3447356041428761E-2</v>
      </c>
      <c r="AQ11" s="15">
        <v>1.430036545094069E-2</v>
      </c>
      <c r="AR11" s="15">
        <v>3.5903594729592501E-2</v>
      </c>
      <c r="AS11" s="15">
        <v>3.9782285287992311E-2</v>
      </c>
      <c r="AT11" s="15">
        <v>0.1484561956282951</v>
      </c>
      <c r="AU11" s="15">
        <v>-4.078729487218978E-2</v>
      </c>
      <c r="AV11" s="15">
        <v>0.13895895413073689</v>
      </c>
      <c r="AW11" s="15">
        <v>5.9863283397122782E-2</v>
      </c>
      <c r="AX11" s="15">
        <v>-0.1497898129881709</v>
      </c>
      <c r="AY11" s="15">
        <v>6.1595851435820623E-2</v>
      </c>
      <c r="AZ11" s="15">
        <v>-6.1949751488506538E-2</v>
      </c>
      <c r="BA11" s="15">
        <v>-2.389264381020083E-3</v>
      </c>
      <c r="BB11" s="15">
        <v>-0.14887029613688371</v>
      </c>
      <c r="BC11" s="15">
        <v>6.0350517971681748E-2</v>
      </c>
      <c r="BD11" s="15">
        <v>-1.468575255625916E-2</v>
      </c>
      <c r="BE11" s="15">
        <v>-0.14651529968819679</v>
      </c>
      <c r="BF11" s="15">
        <v>-0.2087626486148127</v>
      </c>
      <c r="BG11" s="15">
        <v>-0.20144325578474859</v>
      </c>
      <c r="BH11" s="15">
        <v>-0.11804991677814031</v>
      </c>
      <c r="BI11" s="15">
        <v>-7.7026576071686378E-2</v>
      </c>
      <c r="BJ11" s="15">
        <v>-3.6220317042829728E-2</v>
      </c>
      <c r="BK11" s="15">
        <v>-1.8907268725092598E-2</v>
      </c>
      <c r="BL11" s="15">
        <v>-0.17125563757433929</v>
      </c>
      <c r="BM11" s="15">
        <v>0.13291749710961351</v>
      </c>
      <c r="BN11" s="15">
        <v>-3.5907701607395578E-2</v>
      </c>
      <c r="BO11" s="15">
        <v>2.1344518209370389E-2</v>
      </c>
      <c r="BP11" s="15">
        <v>4.9634822871427897E-2</v>
      </c>
      <c r="BQ11" s="15">
        <v>-1.7211216417584319E-2</v>
      </c>
      <c r="BR11" s="15">
        <v>0.18982724311105359</v>
      </c>
      <c r="BS11" s="15">
        <v>-9.7605037382284945E-2</v>
      </c>
      <c r="BT11" s="15">
        <v>3.7831444138355132E-2</v>
      </c>
      <c r="BU11" s="15">
        <v>5.6008305208474198E-2</v>
      </c>
      <c r="BV11" s="15">
        <v>-0.1167370363031352</v>
      </c>
      <c r="BW11" s="15">
        <v>-0.1413229882478122</v>
      </c>
      <c r="BX11" s="15">
        <v>-3.3770258788579869E-3</v>
      </c>
      <c r="BY11" s="15">
        <v>0.13033606071126891</v>
      </c>
      <c r="BZ11" s="15">
        <v>3.1697731081681189E-2</v>
      </c>
      <c r="CA11" s="15">
        <v>4.0555037474470507E-2</v>
      </c>
      <c r="CB11" s="15">
        <v>-4.2037331365292897E-2</v>
      </c>
      <c r="CC11" s="15">
        <v>5.0013723389441531E-2</v>
      </c>
      <c r="CD11" s="15">
        <v>-6.8456279312897411E-2</v>
      </c>
      <c r="CE11" s="15">
        <v>-8.0832090081974353E-2</v>
      </c>
      <c r="CF11" s="15">
        <v>-1.948310790200239E-3</v>
      </c>
      <c r="CG11" s="15">
        <v>-0.1182090018050031</v>
      </c>
      <c r="CH11" s="15">
        <v>-3.67198859644461E-2</v>
      </c>
      <c r="CI11" s="15">
        <v>-8.3332793120616616E-2</v>
      </c>
      <c r="CJ11" s="15">
        <v>0.23067286701975129</v>
      </c>
      <c r="CK11" s="15">
        <v>0.1327785225954993</v>
      </c>
      <c r="CL11" s="15">
        <v>0.1412873189704931</v>
      </c>
      <c r="CM11" s="15">
        <v>-0.11268938730850959</v>
      </c>
      <c r="CN11" s="15">
        <v>0.22348855763592371</v>
      </c>
      <c r="CO11" s="15">
        <v>-0.10441916957268479</v>
      </c>
      <c r="CP11" s="15">
        <v>-1.442822447791231E-2</v>
      </c>
      <c r="CQ11" s="15">
        <v>-0.20723337326778599</v>
      </c>
      <c r="CR11" s="15">
        <v>-0.1348638695123113</v>
      </c>
      <c r="CS11" s="15">
        <v>7.3007738807373504E-2</v>
      </c>
      <c r="CT11" s="15">
        <v>-3.0218378407130288E-2</v>
      </c>
      <c r="CU11" s="15">
        <v>-0.28688917437274702</v>
      </c>
      <c r="CV11" s="15">
        <v>0.2307305381875536</v>
      </c>
      <c r="CW11" s="15">
        <v>9.1075698514216888E-2</v>
      </c>
      <c r="CX11" s="15">
        <v>-0.1224857321642277</v>
      </c>
      <c r="CY11" s="15">
        <v>7.8381925305362449E-2</v>
      </c>
      <c r="CZ11" s="15">
        <v>-4.5950103566863888E-2</v>
      </c>
      <c r="DA11" s="15">
        <v>8.2670164530151122E-2</v>
      </c>
      <c r="DB11" s="15">
        <v>0.14934927010032351</v>
      </c>
      <c r="DC11" s="15">
        <v>-4.7798705164587528E-2</v>
      </c>
      <c r="DD11" s="15">
        <v>-0.1645134604307108</v>
      </c>
      <c r="DE11" s="15">
        <v>-0.1105683533423189</v>
      </c>
      <c r="DF11" s="15">
        <v>5.7416867202733347E-2</v>
      </c>
      <c r="DG11" s="15">
        <v>-0.21489021548963169</v>
      </c>
      <c r="DH11" s="15">
        <v>6.2997155047871164E-2</v>
      </c>
      <c r="DI11" s="15">
        <v>6.7721109014009601E-2</v>
      </c>
      <c r="DJ11" s="15">
        <v>0.1188020770386063</v>
      </c>
      <c r="DK11" s="15">
        <v>7.2827306455158416E-3</v>
      </c>
      <c r="DL11" s="15">
        <v>7.1320599005857979E-2</v>
      </c>
      <c r="DM11" s="15">
        <v>2.1021900655620821E-2</v>
      </c>
      <c r="DN11" s="15">
        <v>-3.0403223939335849E-2</v>
      </c>
      <c r="DO11" s="15">
        <v>-9.694965661135331E-2</v>
      </c>
      <c r="DP11" s="15">
        <v>-0.23067649178859881</v>
      </c>
      <c r="DQ11" s="15">
        <v>0.238184312236043</v>
      </c>
      <c r="DR11" s="15">
        <v>3.5748752036958448E-3</v>
      </c>
      <c r="DS11" s="15">
        <v>0.13395561672683809</v>
      </c>
      <c r="DT11" s="15">
        <v>0.11510609642796051</v>
      </c>
      <c r="DU11" s="15">
        <v>0.1040797891887878</v>
      </c>
      <c r="DV11" s="15">
        <v>-5.4611063064875308E-2</v>
      </c>
      <c r="DW11" s="15">
        <v>-3.3290193961398547E-2</v>
      </c>
      <c r="DX11" s="15">
        <v>5.5094916778075383E-2</v>
      </c>
      <c r="DY11" s="15">
        <v>6.8793773385234666E-2</v>
      </c>
      <c r="DZ11" s="15">
        <v>1.4480773118257949E-2</v>
      </c>
      <c r="EA11" s="15">
        <v>-0.29313654086030699</v>
      </c>
      <c r="EB11" s="15">
        <v>-0.14097501940218221</v>
      </c>
      <c r="EC11" s="15">
        <v>-1.2209361583162239E-2</v>
      </c>
      <c r="ED11" s="15">
        <v>5.816768758959897E-2</v>
      </c>
      <c r="EE11" s="15">
        <v>-0.14440301349005499</v>
      </c>
      <c r="EF11" s="15">
        <v>-9.7009034240055067E-2</v>
      </c>
    </row>
    <row r="13" spans="1:136">
      <c r="A13" t="s">
        <v>204</v>
      </c>
      <c r="B13" t="s">
        <v>136</v>
      </c>
      <c r="C13" s="14">
        <f t="shared" ref="C13:AH13" si="0">(C3-C9)^2</f>
        <v>8.3398772308692012E-3</v>
      </c>
      <c r="D13" s="14">
        <f t="shared" si="0"/>
        <v>3.3488491851501588E-3</v>
      </c>
      <c r="E13" s="14">
        <f t="shared" si="0"/>
        <v>5.6933581498167993E-4</v>
      </c>
      <c r="F13" s="14">
        <f t="shared" si="0"/>
        <v>4.6818972106726296E-4</v>
      </c>
      <c r="G13" s="14">
        <f t="shared" si="0"/>
        <v>5.4469972702468931E-4</v>
      </c>
      <c r="H13" s="14">
        <f t="shared" si="0"/>
        <v>5.1348125083425233E-3</v>
      </c>
      <c r="I13" s="14">
        <f t="shared" si="0"/>
        <v>4.9357150082064892E-2</v>
      </c>
      <c r="J13" s="14">
        <f t="shared" si="0"/>
        <v>2.0406529656740554E-2</v>
      </c>
      <c r="K13" s="14">
        <f t="shared" si="0"/>
        <v>1.0920099406029745E-4</v>
      </c>
      <c r="L13" s="14">
        <f t="shared" si="0"/>
        <v>1.3013139598576726E-3</v>
      </c>
      <c r="M13" s="14">
        <f t="shared" si="0"/>
        <v>3.7884822180852601E-3</v>
      </c>
      <c r="N13" s="14">
        <f t="shared" si="0"/>
        <v>2.8105370838590174E-2</v>
      </c>
      <c r="O13" s="14">
        <f t="shared" si="0"/>
        <v>3.7410746713408176E-3</v>
      </c>
      <c r="P13" s="14">
        <f t="shared" si="0"/>
        <v>2.7707336071415706E-3</v>
      </c>
      <c r="Q13" s="14">
        <f t="shared" si="0"/>
        <v>1.2787591692372685E-3</v>
      </c>
      <c r="R13" s="14">
        <f t="shared" si="0"/>
        <v>6.836830078255569E-3</v>
      </c>
      <c r="S13" s="14">
        <f t="shared" si="0"/>
        <v>2.0410813783005525E-3</v>
      </c>
      <c r="T13" s="14">
        <f t="shared" si="0"/>
        <v>7.2542731226201453E-3</v>
      </c>
      <c r="U13" s="14">
        <f t="shared" si="0"/>
        <v>9.0101517497546572E-7</v>
      </c>
      <c r="V13" s="14">
        <f t="shared" si="0"/>
        <v>1.019972681895169E-2</v>
      </c>
      <c r="W13" s="14">
        <f t="shared" si="0"/>
        <v>1.5118758838755786E-4</v>
      </c>
      <c r="X13" s="14">
        <f t="shared" si="0"/>
        <v>4.1897296294783279E-4</v>
      </c>
      <c r="Y13" s="14">
        <f t="shared" si="0"/>
        <v>1.3271738359996151E-2</v>
      </c>
      <c r="Z13" s="14">
        <f t="shared" si="0"/>
        <v>3.587161077374252E-2</v>
      </c>
      <c r="AA13" s="14">
        <f t="shared" si="0"/>
        <v>3.6888158433840127E-5</v>
      </c>
      <c r="AB13" s="14">
        <f t="shared" si="0"/>
        <v>1.3114892500275133E-2</v>
      </c>
      <c r="AC13" s="14">
        <f t="shared" si="0"/>
        <v>1.4019053063597239E-2</v>
      </c>
      <c r="AD13" s="14">
        <f t="shared" si="0"/>
        <v>2.1601081871419855E-3</v>
      </c>
      <c r="AE13" s="14">
        <f t="shared" si="0"/>
        <v>2.3326604021661871E-2</v>
      </c>
      <c r="AF13" s="14">
        <f t="shared" si="0"/>
        <v>9.2032967259903563E-5</v>
      </c>
      <c r="AG13" s="14">
        <f t="shared" si="0"/>
        <v>1.827215588232536E-2</v>
      </c>
      <c r="AH13" s="14">
        <f t="shared" si="0"/>
        <v>1.581013590323101E-2</v>
      </c>
      <c r="AI13" s="14">
        <f t="shared" ref="AI13:BN13" si="1">(AI3-AI9)^2</f>
        <v>5.3685194077938052E-3</v>
      </c>
      <c r="AJ13" s="14">
        <f t="shared" si="1"/>
        <v>6.9978611600481026E-3</v>
      </c>
      <c r="AK13" s="14">
        <f t="shared" si="1"/>
        <v>3.2919026945573339E-2</v>
      </c>
      <c r="AL13" s="14">
        <f t="shared" si="1"/>
        <v>1.0334658445312563E-2</v>
      </c>
      <c r="AM13" s="14">
        <f t="shared" si="1"/>
        <v>7.9140372508012483E-3</v>
      </c>
      <c r="AN13" s="14">
        <f t="shared" si="1"/>
        <v>4.1001258572914215E-2</v>
      </c>
      <c r="AO13" s="14">
        <f t="shared" si="1"/>
        <v>3.3235475389596864E-3</v>
      </c>
      <c r="AP13" s="14">
        <f t="shared" si="1"/>
        <v>1.5806003190343757E-2</v>
      </c>
      <c r="AQ13" s="14">
        <f t="shared" si="1"/>
        <v>5.7709976383621333E-4</v>
      </c>
      <c r="AR13" s="14">
        <f t="shared" si="1"/>
        <v>4.2830978098025907E-5</v>
      </c>
      <c r="AS13" s="14">
        <f t="shared" si="1"/>
        <v>3.1354109762419175E-3</v>
      </c>
      <c r="AT13" s="14">
        <f t="shared" si="1"/>
        <v>3.9029569764872796E-5</v>
      </c>
      <c r="AU13" s="14">
        <f t="shared" si="1"/>
        <v>1.4848699990023601E-5</v>
      </c>
      <c r="AV13" s="14">
        <f t="shared" si="1"/>
        <v>4.9763983331865935E-2</v>
      </c>
      <c r="AW13" s="14">
        <f t="shared" si="1"/>
        <v>9.7614572934523729E-4</v>
      </c>
      <c r="AX13" s="14">
        <f t="shared" si="1"/>
        <v>1.325921597261463E-3</v>
      </c>
      <c r="AY13" s="14">
        <f t="shared" si="1"/>
        <v>5.9489377502400602E-5</v>
      </c>
      <c r="AZ13" s="14">
        <f t="shared" si="1"/>
        <v>3.2228689084831154E-2</v>
      </c>
      <c r="BA13" s="14">
        <f t="shared" si="1"/>
        <v>5.5470418731087892E-3</v>
      </c>
      <c r="BB13" s="14">
        <f t="shared" si="1"/>
        <v>7.1225011047568792E-3</v>
      </c>
      <c r="BC13" s="14">
        <f t="shared" si="1"/>
        <v>6.965022558583614E-4</v>
      </c>
      <c r="BD13" s="14">
        <f t="shared" si="1"/>
        <v>1.4796205968416485E-4</v>
      </c>
      <c r="BE13" s="14">
        <f t="shared" si="1"/>
        <v>4.4085990929648104E-4</v>
      </c>
      <c r="BF13" s="14">
        <f t="shared" si="1"/>
        <v>1.2872395217507743E-2</v>
      </c>
      <c r="BG13" s="14">
        <f t="shared" si="1"/>
        <v>7.6715402678273221E-3</v>
      </c>
      <c r="BH13" s="14">
        <f t="shared" si="1"/>
        <v>3.4627295720658478E-4</v>
      </c>
      <c r="BI13" s="14">
        <f t="shared" si="1"/>
        <v>8.0036903874498161E-5</v>
      </c>
      <c r="BJ13" s="14">
        <f t="shared" si="1"/>
        <v>2.6525959122153581E-2</v>
      </c>
      <c r="BK13" s="14">
        <f t="shared" si="1"/>
        <v>4.018679539033624E-2</v>
      </c>
      <c r="BL13" s="14">
        <f t="shared" si="1"/>
        <v>1.9179285395855526E-3</v>
      </c>
      <c r="BM13" s="14">
        <f t="shared" si="1"/>
        <v>9.9516799322222696E-3</v>
      </c>
      <c r="BN13" s="14">
        <f t="shared" si="1"/>
        <v>8.1579929265234114E-4</v>
      </c>
      <c r="BO13" s="14">
        <f t="shared" ref="BO13:CT13" si="2">(BO3-BO9)^2</f>
        <v>2.7997617672076811E-3</v>
      </c>
      <c r="BP13" s="14">
        <f t="shared" si="2"/>
        <v>1.4838145767641489E-2</v>
      </c>
      <c r="BQ13" s="14">
        <f t="shared" si="2"/>
        <v>6.2944549071469454E-6</v>
      </c>
      <c r="BR13" s="14">
        <f t="shared" si="2"/>
        <v>2.4390605258622737E-3</v>
      </c>
      <c r="BS13" s="14">
        <f t="shared" si="2"/>
        <v>6.5665572237952558E-4</v>
      </c>
      <c r="BT13" s="14">
        <f t="shared" si="2"/>
        <v>1.7422654385379935E-4</v>
      </c>
      <c r="BU13" s="14">
        <f t="shared" si="2"/>
        <v>3.3543513938904831E-7</v>
      </c>
      <c r="BV13" s="14">
        <f t="shared" si="2"/>
        <v>4.6840952147487111E-3</v>
      </c>
      <c r="BW13" s="14">
        <f t="shared" si="2"/>
        <v>6.8496063225435382E-3</v>
      </c>
      <c r="BX13" s="14">
        <f t="shared" si="2"/>
        <v>1.9237313744360426E-4</v>
      </c>
      <c r="BY13" s="14">
        <f t="shared" si="2"/>
        <v>2.7780853392277917E-3</v>
      </c>
      <c r="BZ13" s="14">
        <f t="shared" si="2"/>
        <v>8.6522641944759178E-3</v>
      </c>
      <c r="CA13" s="14">
        <f t="shared" si="2"/>
        <v>3.8091789819664101E-2</v>
      </c>
      <c r="CB13" s="14">
        <f t="shared" si="2"/>
        <v>7.0896412744242791E-3</v>
      </c>
      <c r="CC13" s="14">
        <f t="shared" si="2"/>
        <v>6.6860933799947901E-4</v>
      </c>
      <c r="CD13" s="14">
        <f t="shared" si="2"/>
        <v>6.5671853160552698E-2</v>
      </c>
      <c r="CE13" s="14">
        <f t="shared" si="2"/>
        <v>3.5576983998051688E-3</v>
      </c>
      <c r="CF13" s="14">
        <f t="shared" si="2"/>
        <v>5.6180456456295727E-3</v>
      </c>
      <c r="CG13" s="14">
        <f t="shared" si="2"/>
        <v>1.8249729183731703E-2</v>
      </c>
      <c r="CH13" s="14">
        <f t="shared" si="2"/>
        <v>2.1032404291205772E-2</v>
      </c>
      <c r="CI13" s="14">
        <f t="shared" si="2"/>
        <v>4.6682160288538648E-3</v>
      </c>
      <c r="CJ13" s="14">
        <f t="shared" si="2"/>
        <v>1.3014057153803198E-2</v>
      </c>
      <c r="CK13" s="14">
        <f t="shared" si="2"/>
        <v>9.5678715859121765E-5</v>
      </c>
      <c r="CL13" s="14">
        <f t="shared" si="2"/>
        <v>4.3368230758331607E-2</v>
      </c>
      <c r="CM13" s="14">
        <f t="shared" si="2"/>
        <v>2.7095655164740995E-5</v>
      </c>
      <c r="CN13" s="14">
        <f t="shared" si="2"/>
        <v>7.1679640590159458E-4</v>
      </c>
      <c r="CO13" s="14">
        <f t="shared" si="2"/>
        <v>9.8260573478271772E-5</v>
      </c>
      <c r="CP13" s="14">
        <f t="shared" si="2"/>
        <v>9.3750308182770203E-3</v>
      </c>
      <c r="CQ13" s="14">
        <f t="shared" si="2"/>
        <v>1.1774236968476274E-2</v>
      </c>
      <c r="CR13" s="14">
        <f t="shared" si="2"/>
        <v>7.1078495700645596E-4</v>
      </c>
      <c r="CS13" s="14">
        <f t="shared" si="2"/>
        <v>4.7700374846573407E-3</v>
      </c>
      <c r="CT13" s="14">
        <f t="shared" si="2"/>
        <v>1.2073883009318941E-4</v>
      </c>
      <c r="CU13" s="14">
        <f t="shared" ref="CU13:DZ13" si="3">(CU3-CU9)^2</f>
        <v>5.1965749425246982E-2</v>
      </c>
      <c r="CV13" s="14">
        <f t="shared" si="3"/>
        <v>8.1891853561726091E-4</v>
      </c>
      <c r="CW13" s="14">
        <f t="shared" si="3"/>
        <v>5.586038871414776E-3</v>
      </c>
      <c r="CX13" s="14">
        <f t="shared" si="3"/>
        <v>4.908261042644757E-2</v>
      </c>
      <c r="CY13" s="14">
        <f t="shared" si="3"/>
        <v>3.0470945757861325E-4</v>
      </c>
      <c r="CZ13" s="14">
        <f t="shared" si="3"/>
        <v>8.5684489304168138E-2</v>
      </c>
      <c r="DA13" s="14">
        <f t="shared" si="3"/>
        <v>1.1968053947833382E-4</v>
      </c>
      <c r="DB13" s="14">
        <f t="shared" si="3"/>
        <v>2.2024863548852485E-4</v>
      </c>
      <c r="DC13" s="14">
        <f t="shared" si="3"/>
        <v>1.054640886656389E-2</v>
      </c>
      <c r="DD13" s="14">
        <f t="shared" si="3"/>
        <v>5.3519636757878705E-3</v>
      </c>
      <c r="DE13" s="14">
        <f t="shared" si="3"/>
        <v>1.7344819938083146E-4</v>
      </c>
      <c r="DF13" s="14">
        <f t="shared" si="3"/>
        <v>1.416264790396131E-4</v>
      </c>
      <c r="DG13" s="14">
        <f t="shared" si="3"/>
        <v>4.1219144802798202E-3</v>
      </c>
      <c r="DH13" s="14">
        <f t="shared" si="3"/>
        <v>2.6226090054877949E-5</v>
      </c>
      <c r="DI13" s="14">
        <f t="shared" si="3"/>
        <v>1.0615870066497937E-2</v>
      </c>
      <c r="DJ13" s="14">
        <f t="shared" si="3"/>
        <v>4.8169725025577748E-4</v>
      </c>
      <c r="DK13" s="14">
        <f t="shared" si="3"/>
        <v>3.2099915927816215E-4</v>
      </c>
      <c r="DL13" s="14">
        <f t="shared" si="3"/>
        <v>4.572911265748652E-4</v>
      </c>
      <c r="DM13" s="14">
        <f t="shared" si="3"/>
        <v>3.8146050451214877E-4</v>
      </c>
      <c r="DN13" s="14">
        <f t="shared" si="3"/>
        <v>7.8350359116800411E-3</v>
      </c>
      <c r="DO13" s="14">
        <f t="shared" si="3"/>
        <v>7.0362833132234749E-3</v>
      </c>
      <c r="DP13" s="14">
        <f t="shared" si="3"/>
        <v>7.486415271614001E-3</v>
      </c>
      <c r="DQ13" s="14">
        <f t="shared" si="3"/>
        <v>1.3041548313439382E-2</v>
      </c>
      <c r="DR13" s="14">
        <f t="shared" si="3"/>
        <v>3.6428093270084107E-4</v>
      </c>
      <c r="DS13" s="14">
        <f t="shared" si="3"/>
        <v>1.2882821338121775E-2</v>
      </c>
      <c r="DT13" s="14">
        <f t="shared" si="3"/>
        <v>6.8428783122037196E-3</v>
      </c>
      <c r="DU13" s="14">
        <f t="shared" si="3"/>
        <v>1.243223994960508E-4</v>
      </c>
      <c r="DV13" s="14">
        <f t="shared" si="3"/>
        <v>2.9990260745744939E-2</v>
      </c>
      <c r="DW13" s="14">
        <f t="shared" si="3"/>
        <v>1.3541452747215911E-2</v>
      </c>
      <c r="DX13" s="14">
        <f t="shared" si="3"/>
        <v>6.0733549514855323E-3</v>
      </c>
      <c r="DY13" s="14">
        <f t="shared" si="3"/>
        <v>1.0505983218021549E-2</v>
      </c>
      <c r="DZ13" s="14">
        <f t="shared" si="3"/>
        <v>1.2784615204738466E-6</v>
      </c>
      <c r="EA13" s="14">
        <f t="shared" ref="EA13:EF13" si="4">(EA3-EA9)^2</f>
        <v>4.405070310534303E-2</v>
      </c>
      <c r="EB13" s="14">
        <f t="shared" si="4"/>
        <v>1.3313009613650678E-2</v>
      </c>
      <c r="EC13" s="14">
        <f t="shared" si="4"/>
        <v>1.048382218857959E-2</v>
      </c>
      <c r="ED13" s="14">
        <f t="shared" si="4"/>
        <v>2.9780972871089602E-3</v>
      </c>
      <c r="EE13" s="14">
        <f t="shared" si="4"/>
        <v>1.5184294304448983E-2</v>
      </c>
      <c r="EF13" s="14">
        <f t="shared" si="4"/>
        <v>1.2362835191398953E-2</v>
      </c>
    </row>
    <row r="14" spans="1:136">
      <c r="B14" t="s">
        <v>137</v>
      </c>
      <c r="C14" s="14">
        <f t="shared" ref="C14:AH14" si="5">(C4-C10)^2</f>
        <v>4.4549257658017517E-2</v>
      </c>
      <c r="D14" s="14">
        <f t="shared" si="5"/>
        <v>5.3891676563310315E-2</v>
      </c>
      <c r="E14" s="14">
        <f t="shared" si="5"/>
        <v>1.1952541720714157E-3</v>
      </c>
      <c r="F14" s="14">
        <f t="shared" si="5"/>
        <v>2.1742973537741375E-3</v>
      </c>
      <c r="G14" s="14">
        <f t="shared" si="5"/>
        <v>3.0806872413870739E-3</v>
      </c>
      <c r="H14" s="14">
        <f t="shared" si="5"/>
        <v>2.3192135537389411E-3</v>
      </c>
      <c r="I14" s="14">
        <f t="shared" si="5"/>
        <v>9.1146444312641128E-4</v>
      </c>
      <c r="J14" s="14">
        <f t="shared" si="5"/>
        <v>1.2411389316565768E-2</v>
      </c>
      <c r="K14" s="14">
        <f t="shared" si="5"/>
        <v>1.0601454944094842E-3</v>
      </c>
      <c r="L14" s="14">
        <f t="shared" si="5"/>
        <v>1.1219186539444474E-2</v>
      </c>
      <c r="M14" s="14">
        <f t="shared" si="5"/>
        <v>4.9301330760082279E-4</v>
      </c>
      <c r="N14" s="14">
        <f t="shared" si="5"/>
        <v>4.2592733732922189E-2</v>
      </c>
      <c r="O14" s="14">
        <f t="shared" si="5"/>
        <v>8.6391963150957607E-4</v>
      </c>
      <c r="P14" s="14">
        <f t="shared" si="5"/>
        <v>3.4237620444536152E-3</v>
      </c>
      <c r="Q14" s="14">
        <f t="shared" si="5"/>
        <v>5.6930499166131155E-7</v>
      </c>
      <c r="R14" s="14">
        <f t="shared" si="5"/>
        <v>1.7186588009461207E-3</v>
      </c>
      <c r="S14" s="14">
        <f t="shared" si="5"/>
        <v>2.8696941114275985E-2</v>
      </c>
      <c r="T14" s="14">
        <f t="shared" si="5"/>
        <v>5.0996189168120275E-3</v>
      </c>
      <c r="U14" s="14">
        <f t="shared" si="5"/>
        <v>1.1568553592745612E-2</v>
      </c>
      <c r="V14" s="14">
        <f t="shared" si="5"/>
        <v>1.0177612662996695E-4</v>
      </c>
      <c r="W14" s="14">
        <f t="shared" si="5"/>
        <v>5.8444832394019559E-3</v>
      </c>
      <c r="X14" s="14">
        <f t="shared" si="5"/>
        <v>6.1093279184800699E-4</v>
      </c>
      <c r="Y14" s="14">
        <f t="shared" si="5"/>
        <v>1.1114246878130506E-3</v>
      </c>
      <c r="Z14" s="14">
        <f t="shared" si="5"/>
        <v>1.1332046857138165E-3</v>
      </c>
      <c r="AA14" s="14">
        <f t="shared" si="5"/>
        <v>7.6541401200336439E-3</v>
      </c>
      <c r="AB14" s="14">
        <f t="shared" si="5"/>
        <v>6.0113072796358858E-5</v>
      </c>
      <c r="AC14" s="14">
        <f t="shared" si="5"/>
        <v>8.0731510506244653E-3</v>
      </c>
      <c r="AD14" s="14">
        <f t="shared" si="5"/>
        <v>8.1278804792340766E-3</v>
      </c>
      <c r="AE14" s="14">
        <f t="shared" si="5"/>
        <v>8.1672914572207597E-3</v>
      </c>
      <c r="AF14" s="14">
        <f t="shared" si="5"/>
        <v>1.7192561918804115E-2</v>
      </c>
      <c r="AG14" s="14">
        <f t="shared" si="5"/>
        <v>6.5131952978985915E-3</v>
      </c>
      <c r="AH14" s="14">
        <f t="shared" si="5"/>
        <v>3.4462457693141902E-3</v>
      </c>
      <c r="AI14" s="14">
        <f t="shared" ref="AI14:BN14" si="6">(AI4-AI10)^2</f>
        <v>4.1595600800669406E-3</v>
      </c>
      <c r="AJ14" s="14">
        <f t="shared" si="6"/>
        <v>2.7003430463326309E-3</v>
      </c>
      <c r="AK14" s="14">
        <f t="shared" si="6"/>
        <v>1.007436256766864E-4</v>
      </c>
      <c r="AL14" s="14">
        <f t="shared" si="6"/>
        <v>1.0674149014702575E-2</v>
      </c>
      <c r="AM14" s="14">
        <f t="shared" si="6"/>
        <v>2.9175644348432397E-4</v>
      </c>
      <c r="AN14" s="14">
        <f t="shared" si="6"/>
        <v>1.8240814654220651E-2</v>
      </c>
      <c r="AO14" s="14">
        <f t="shared" si="6"/>
        <v>3.9440323104905179E-3</v>
      </c>
      <c r="AP14" s="14">
        <f t="shared" si="6"/>
        <v>2.3430345785597456E-3</v>
      </c>
      <c r="AQ14" s="14">
        <f t="shared" si="6"/>
        <v>4.2809134192295161E-4</v>
      </c>
      <c r="AR14" s="14">
        <f t="shared" si="6"/>
        <v>8.5488935147287266E-6</v>
      </c>
      <c r="AS14" s="14">
        <f t="shared" si="6"/>
        <v>2.2916979225075951E-3</v>
      </c>
      <c r="AT14" s="14">
        <f t="shared" si="6"/>
        <v>1.8727165314150107E-5</v>
      </c>
      <c r="AU14" s="14">
        <f t="shared" si="6"/>
        <v>3.5284123636198483E-2</v>
      </c>
      <c r="AV14" s="14">
        <f t="shared" si="6"/>
        <v>3.8754685465277545E-5</v>
      </c>
      <c r="AW14" s="14">
        <f t="shared" si="6"/>
        <v>1.8912945066476818E-4</v>
      </c>
      <c r="AX14" s="14">
        <f t="shared" si="6"/>
        <v>1.1254399271844746E-5</v>
      </c>
      <c r="AY14" s="14">
        <f t="shared" si="6"/>
        <v>4.3150633959390169E-3</v>
      </c>
      <c r="AZ14" s="14">
        <f t="shared" si="6"/>
        <v>1.8068104139037859E-2</v>
      </c>
      <c r="BA14" s="14">
        <f t="shared" si="6"/>
        <v>6.4422573981029012E-3</v>
      </c>
      <c r="BB14" s="14">
        <f t="shared" si="6"/>
        <v>5.7730351225567108E-4</v>
      </c>
      <c r="BC14" s="14">
        <f t="shared" si="6"/>
        <v>2.9343532011235785E-3</v>
      </c>
      <c r="BD14" s="14">
        <f t="shared" si="6"/>
        <v>1.281140465722955E-3</v>
      </c>
      <c r="BE14" s="14">
        <f t="shared" si="6"/>
        <v>3.0605967413514519E-2</v>
      </c>
      <c r="BF14" s="14">
        <f t="shared" si="6"/>
        <v>1.5211632947764547E-2</v>
      </c>
      <c r="BG14" s="14">
        <f t="shared" si="6"/>
        <v>1.2620949733805607E-3</v>
      </c>
      <c r="BH14" s="14">
        <f t="shared" si="6"/>
        <v>1.363479403362498E-2</v>
      </c>
      <c r="BI14" s="14">
        <f t="shared" si="6"/>
        <v>3.095146837463991E-3</v>
      </c>
      <c r="BJ14" s="14">
        <f t="shared" si="6"/>
        <v>4.2834776100331611E-3</v>
      </c>
      <c r="BK14" s="14">
        <f t="shared" si="6"/>
        <v>2.4471169201603169E-2</v>
      </c>
      <c r="BL14" s="14">
        <f t="shared" si="6"/>
        <v>5.2251004754760302E-4</v>
      </c>
      <c r="BM14" s="14">
        <f t="shared" si="6"/>
        <v>1.9111835958458362E-2</v>
      </c>
      <c r="BN14" s="14">
        <f t="shared" si="6"/>
        <v>1.5008447309474593E-2</v>
      </c>
      <c r="BO14" s="14">
        <f t="shared" ref="BO14:CT14" si="7">(BO4-BO10)^2</f>
        <v>7.5683112633376081E-3</v>
      </c>
      <c r="BP14" s="14">
        <f t="shared" si="7"/>
        <v>2.257970213229564E-2</v>
      </c>
      <c r="BQ14" s="14">
        <f t="shared" si="7"/>
        <v>2.3740226687697989E-6</v>
      </c>
      <c r="BR14" s="14">
        <f t="shared" si="7"/>
        <v>8.9271543143362263E-6</v>
      </c>
      <c r="BS14" s="14">
        <f t="shared" si="7"/>
        <v>2.3883293275942666E-3</v>
      </c>
      <c r="BT14" s="14">
        <f t="shared" si="7"/>
        <v>3.3399846560461369E-2</v>
      </c>
      <c r="BU14" s="14">
        <f t="shared" si="7"/>
        <v>4.7800063227027158E-2</v>
      </c>
      <c r="BV14" s="14">
        <f t="shared" si="7"/>
        <v>6.0247269107923545E-4</v>
      </c>
      <c r="BW14" s="14">
        <f t="shared" si="7"/>
        <v>2.3083397131539486E-3</v>
      </c>
      <c r="BX14" s="14">
        <f t="shared" si="7"/>
        <v>1.2472307155968058E-4</v>
      </c>
      <c r="BY14" s="14">
        <f t="shared" si="7"/>
        <v>9.1589574699545324E-3</v>
      </c>
      <c r="BZ14" s="14">
        <f t="shared" si="7"/>
        <v>6.7144976447989255E-4</v>
      </c>
      <c r="CA14" s="14">
        <f t="shared" si="7"/>
        <v>5.5049471744870124E-6</v>
      </c>
      <c r="CB14" s="14">
        <f t="shared" si="7"/>
        <v>1.5298523310621067E-2</v>
      </c>
      <c r="CC14" s="14">
        <f t="shared" si="7"/>
        <v>6.3965962322739563E-5</v>
      </c>
      <c r="CD14" s="14">
        <f t="shared" si="7"/>
        <v>1.429111602414388E-3</v>
      </c>
      <c r="CE14" s="14">
        <f t="shared" si="7"/>
        <v>2.3149050514862352E-2</v>
      </c>
      <c r="CF14" s="14">
        <f t="shared" si="7"/>
        <v>1.4578624612574418E-2</v>
      </c>
      <c r="CG14" s="14">
        <f t="shared" si="7"/>
        <v>1.2555183296958242E-2</v>
      </c>
      <c r="CH14" s="14">
        <f t="shared" si="7"/>
        <v>5.2222224133421395E-3</v>
      </c>
      <c r="CI14" s="14">
        <f t="shared" si="7"/>
        <v>1.0800179023069158E-2</v>
      </c>
      <c r="CJ14" s="14">
        <f t="shared" si="7"/>
        <v>2.2012942393736547E-4</v>
      </c>
      <c r="CK14" s="14">
        <f t="shared" si="7"/>
        <v>1.1221229161845659E-3</v>
      </c>
      <c r="CL14" s="14">
        <f t="shared" si="7"/>
        <v>2.8190838049466189E-3</v>
      </c>
      <c r="CM14" s="14">
        <f t="shared" si="7"/>
        <v>4.0346359986639713E-2</v>
      </c>
      <c r="CN14" s="14">
        <f t="shared" si="7"/>
        <v>1.0449762397578631E-2</v>
      </c>
      <c r="CO14" s="14">
        <f t="shared" si="7"/>
        <v>2.4971292745439924E-2</v>
      </c>
      <c r="CP14" s="14">
        <f t="shared" si="7"/>
        <v>6.1213466264554879E-3</v>
      </c>
      <c r="CQ14" s="14">
        <f t="shared" si="7"/>
        <v>2.8367118505416011E-2</v>
      </c>
      <c r="CR14" s="14">
        <f t="shared" si="7"/>
        <v>1.8236904633337555E-3</v>
      </c>
      <c r="CS14" s="14">
        <f t="shared" si="7"/>
        <v>3.508786824047832E-3</v>
      </c>
      <c r="CT14" s="14">
        <f t="shared" si="7"/>
        <v>7.1609753482133045E-3</v>
      </c>
      <c r="CU14" s="14">
        <f t="shared" ref="CU14:DZ14" si="8">(CU4-CU10)^2</f>
        <v>1.5772447860315092E-3</v>
      </c>
      <c r="CV14" s="14">
        <f t="shared" si="8"/>
        <v>4.2289408161671924E-4</v>
      </c>
      <c r="CW14" s="14">
        <f t="shared" si="8"/>
        <v>4.0668304293779408E-3</v>
      </c>
      <c r="CX14" s="14">
        <f t="shared" si="8"/>
        <v>1.2261369206336015E-2</v>
      </c>
      <c r="CY14" s="14">
        <f t="shared" si="8"/>
        <v>7.5426803565737804E-3</v>
      </c>
      <c r="CZ14" s="14">
        <f t="shared" si="8"/>
        <v>5.6747436857601218E-2</v>
      </c>
      <c r="DA14" s="14">
        <f t="shared" si="8"/>
        <v>1.0551856266156911E-2</v>
      </c>
      <c r="DB14" s="14">
        <f t="shared" si="8"/>
        <v>4.2285471045402721E-2</v>
      </c>
      <c r="DC14" s="14">
        <f t="shared" si="8"/>
        <v>1.5766149834281038E-3</v>
      </c>
      <c r="DD14" s="14">
        <f t="shared" si="8"/>
        <v>9.7721187135281964E-3</v>
      </c>
      <c r="DE14" s="14">
        <f t="shared" si="8"/>
        <v>1.8854743579959931E-2</v>
      </c>
      <c r="DF14" s="14">
        <f t="shared" si="8"/>
        <v>4.2603073716885445E-2</v>
      </c>
      <c r="DG14" s="14">
        <f t="shared" si="8"/>
        <v>5.0883919299634706E-2</v>
      </c>
      <c r="DH14" s="14">
        <f t="shared" si="8"/>
        <v>2.0875306116448573E-2</v>
      </c>
      <c r="DI14" s="14">
        <f t="shared" si="8"/>
        <v>1.0853190151198832E-2</v>
      </c>
      <c r="DJ14" s="14">
        <f t="shared" si="8"/>
        <v>2.2424823755406716E-2</v>
      </c>
      <c r="DK14" s="14">
        <f t="shared" si="8"/>
        <v>2.8170023692197618E-3</v>
      </c>
      <c r="DL14" s="14">
        <f t="shared" si="8"/>
        <v>5.1485351218304764E-3</v>
      </c>
      <c r="DM14" s="14">
        <f t="shared" si="8"/>
        <v>7.2219671293232855E-4</v>
      </c>
      <c r="DN14" s="14">
        <f t="shared" si="8"/>
        <v>2.8496279485988717E-3</v>
      </c>
      <c r="DO14" s="14">
        <f t="shared" si="8"/>
        <v>1.1561318647851654E-2</v>
      </c>
      <c r="DP14" s="14">
        <f t="shared" si="8"/>
        <v>1.4258986210420625E-2</v>
      </c>
      <c r="DQ14" s="14">
        <f t="shared" si="8"/>
        <v>2.5143876513091234E-4</v>
      </c>
      <c r="DR14" s="14">
        <f t="shared" si="8"/>
        <v>5.2129666402606165E-3</v>
      </c>
      <c r="DS14" s="14">
        <f t="shared" si="8"/>
        <v>9.4552751073792088E-3</v>
      </c>
      <c r="DT14" s="14">
        <f t="shared" si="8"/>
        <v>2.9715668503552863E-3</v>
      </c>
      <c r="DU14" s="14">
        <f t="shared" si="8"/>
        <v>1.8430371352732296E-2</v>
      </c>
      <c r="DV14" s="14">
        <f t="shared" si="8"/>
        <v>3.1598643474019879E-4</v>
      </c>
      <c r="DW14" s="14">
        <f t="shared" si="8"/>
        <v>2.0525540662269994E-2</v>
      </c>
      <c r="DX14" s="14">
        <f t="shared" si="8"/>
        <v>5.3143650422740633E-3</v>
      </c>
      <c r="DY14" s="14">
        <f t="shared" si="8"/>
        <v>8.6184915670305118E-3</v>
      </c>
      <c r="DZ14" s="14">
        <f t="shared" si="8"/>
        <v>8.9773549467916363E-3</v>
      </c>
      <c r="EA14" s="14">
        <f t="shared" ref="EA14:EF14" si="9">(EA4-EA10)^2</f>
        <v>2.6098389218105866E-2</v>
      </c>
      <c r="EB14" s="14">
        <f t="shared" si="9"/>
        <v>8.486836475764965E-3</v>
      </c>
      <c r="EC14" s="14">
        <f t="shared" si="9"/>
        <v>8.1619049984252528E-5</v>
      </c>
      <c r="ED14" s="14">
        <f t="shared" si="9"/>
        <v>1.3986683020103538E-3</v>
      </c>
      <c r="EE14" s="14">
        <f t="shared" si="9"/>
        <v>1.006213752226909E-2</v>
      </c>
      <c r="EF14" s="14">
        <f t="shared" si="9"/>
        <v>2.4050157467425577E-2</v>
      </c>
    </row>
    <row r="15" spans="1:136">
      <c r="B15" t="s">
        <v>138</v>
      </c>
      <c r="C15" s="14">
        <f t="shared" ref="C15:AH15" si="10">(C5-C11)^2</f>
        <v>4.7049147431711498E-3</v>
      </c>
      <c r="D15" s="14">
        <f t="shared" si="10"/>
        <v>3.0282042720176558E-3</v>
      </c>
      <c r="E15" s="14">
        <f t="shared" si="10"/>
        <v>8.4315437486884483E-5</v>
      </c>
      <c r="F15" s="14">
        <f t="shared" si="10"/>
        <v>1.6063206343730665E-2</v>
      </c>
      <c r="G15" s="14">
        <f t="shared" si="10"/>
        <v>1.9251321881292822E-2</v>
      </c>
      <c r="H15" s="14">
        <f t="shared" si="10"/>
        <v>6.2477879485247628E-5</v>
      </c>
      <c r="I15" s="14">
        <f t="shared" si="10"/>
        <v>6.4730020812816824E-6</v>
      </c>
      <c r="J15" s="14">
        <f t="shared" si="10"/>
        <v>1.1703214082131419E-3</v>
      </c>
      <c r="K15" s="14">
        <f t="shared" si="10"/>
        <v>2.2897086572582857E-3</v>
      </c>
      <c r="L15" s="14">
        <f t="shared" si="10"/>
        <v>2.378235975072114E-3</v>
      </c>
      <c r="M15" s="14">
        <f t="shared" si="10"/>
        <v>4.9693506780937042E-4</v>
      </c>
      <c r="N15" s="14">
        <f t="shared" si="10"/>
        <v>1.6961965209085928E-2</v>
      </c>
      <c r="O15" s="14">
        <f t="shared" si="10"/>
        <v>1.2200262627819227E-3</v>
      </c>
      <c r="P15" s="14">
        <f t="shared" si="10"/>
        <v>1.6037827187401679E-2</v>
      </c>
      <c r="Q15" s="14">
        <f t="shared" si="10"/>
        <v>3.6457399333770717E-3</v>
      </c>
      <c r="R15" s="14">
        <f t="shared" si="10"/>
        <v>2.9094585031864957E-3</v>
      </c>
      <c r="S15" s="14">
        <f t="shared" si="10"/>
        <v>7.7612219449259818E-5</v>
      </c>
      <c r="T15" s="14">
        <f t="shared" si="10"/>
        <v>6.23837442784618E-3</v>
      </c>
      <c r="U15" s="14">
        <f t="shared" si="10"/>
        <v>2.58275132073453E-3</v>
      </c>
      <c r="V15" s="14">
        <f t="shared" si="10"/>
        <v>2.3259158727853427E-3</v>
      </c>
      <c r="W15" s="14">
        <f t="shared" si="10"/>
        <v>1.3056048905842825E-2</v>
      </c>
      <c r="X15" s="14">
        <f t="shared" si="10"/>
        <v>0.12532470398546652</v>
      </c>
      <c r="Y15" s="14">
        <f t="shared" si="10"/>
        <v>1.0007897071749017E-3</v>
      </c>
      <c r="Z15" s="14">
        <f t="shared" si="10"/>
        <v>8.5322849381772758E-2</v>
      </c>
      <c r="AA15" s="14">
        <f t="shared" si="10"/>
        <v>2.2146486729296214E-3</v>
      </c>
      <c r="AB15" s="14">
        <f t="shared" si="10"/>
        <v>6.6625929180966137E-3</v>
      </c>
      <c r="AC15" s="14">
        <f t="shared" si="10"/>
        <v>2.016136357726097E-2</v>
      </c>
      <c r="AD15" s="14">
        <f t="shared" si="10"/>
        <v>2.7253849359857018E-4</v>
      </c>
      <c r="AE15" s="14">
        <f t="shared" si="10"/>
        <v>1.6680661693780196E-2</v>
      </c>
      <c r="AF15" s="14">
        <f t="shared" si="10"/>
        <v>4.6521327087169995E-2</v>
      </c>
      <c r="AG15" s="14">
        <f t="shared" si="10"/>
        <v>8.7700839180209489E-3</v>
      </c>
      <c r="AH15" s="14">
        <f t="shared" si="10"/>
        <v>5.2110598357116256E-4</v>
      </c>
      <c r="AI15" s="14">
        <f t="shared" ref="AI15:BN15" si="11">(AI5-AI11)^2</f>
        <v>8.0503411367715768E-4</v>
      </c>
      <c r="AJ15" s="14">
        <f t="shared" si="11"/>
        <v>4.2657599250760731E-3</v>
      </c>
      <c r="AK15" s="14">
        <f t="shared" si="11"/>
        <v>1.5894731464377487E-2</v>
      </c>
      <c r="AL15" s="14">
        <f t="shared" si="11"/>
        <v>1.47727824900403E-2</v>
      </c>
      <c r="AM15" s="14">
        <f t="shared" si="11"/>
        <v>6.7036270629208729E-4</v>
      </c>
      <c r="AN15" s="14">
        <f t="shared" si="11"/>
        <v>1.0073878329610269E-4</v>
      </c>
      <c r="AO15" s="14">
        <f t="shared" si="11"/>
        <v>2.8591789307420073E-3</v>
      </c>
      <c r="AP15" s="14">
        <f t="shared" si="11"/>
        <v>5.2141406856856054E-5</v>
      </c>
      <c r="AQ15" s="14">
        <f t="shared" si="11"/>
        <v>6.368018667917613E-4</v>
      </c>
      <c r="AR15" s="14">
        <f t="shared" si="11"/>
        <v>8.9874719835690581E-3</v>
      </c>
      <c r="AS15" s="14">
        <f t="shared" si="11"/>
        <v>1.5810438092871354E-3</v>
      </c>
      <c r="AT15" s="14">
        <f t="shared" si="11"/>
        <v>1.3629078638169818E-2</v>
      </c>
      <c r="AU15" s="14">
        <f t="shared" si="11"/>
        <v>2.1366486465415691E-3</v>
      </c>
      <c r="AV15" s="14">
        <f t="shared" si="11"/>
        <v>2.1797598742988464E-2</v>
      </c>
      <c r="AW15" s="14">
        <f t="shared" si="11"/>
        <v>1.3039416402472045E-3</v>
      </c>
      <c r="AX15" s="14">
        <f t="shared" si="11"/>
        <v>1.9432306706037048E-2</v>
      </c>
      <c r="AY15" s="14">
        <f t="shared" si="11"/>
        <v>3.6060554945216303E-4</v>
      </c>
      <c r="AZ15" s="14">
        <f t="shared" si="11"/>
        <v>7.1535173529149254E-3</v>
      </c>
      <c r="BA15" s="14">
        <f t="shared" si="11"/>
        <v>1.7422284521974381E-5</v>
      </c>
      <c r="BB15" s="14">
        <f t="shared" si="11"/>
        <v>2.5710361492200969E-2</v>
      </c>
      <c r="BC15" s="14">
        <f t="shared" si="11"/>
        <v>4.343862697445639E-3</v>
      </c>
      <c r="BD15" s="14">
        <f t="shared" si="11"/>
        <v>1.0123705079916959E-3</v>
      </c>
      <c r="BE15" s="14">
        <f t="shared" si="11"/>
        <v>2.9131607276774805E-2</v>
      </c>
      <c r="BF15" s="14">
        <f t="shared" si="11"/>
        <v>4.5974973761104938E-2</v>
      </c>
      <c r="BG15" s="14">
        <f t="shared" si="11"/>
        <v>5.2154562891542383E-2</v>
      </c>
      <c r="BH15" s="14">
        <f t="shared" si="11"/>
        <v>1.4748980521693041E-2</v>
      </c>
      <c r="BI15" s="14">
        <f t="shared" si="11"/>
        <v>1.0695915397873774E-2</v>
      </c>
      <c r="BJ15" s="14">
        <f t="shared" si="11"/>
        <v>2.2723029531918119E-3</v>
      </c>
      <c r="BK15" s="14">
        <f t="shared" si="11"/>
        <v>2.0339312832072312E-3</v>
      </c>
      <c r="BL15" s="14">
        <f t="shared" si="11"/>
        <v>3.7287503695789009E-2</v>
      </c>
      <c r="BM15" s="14">
        <f t="shared" si="11"/>
        <v>9.4574638509158909E-3</v>
      </c>
      <c r="BN15" s="14">
        <f t="shared" si="11"/>
        <v>6.9098721345371211E-3</v>
      </c>
      <c r="BO15" s="14">
        <f t="shared" ref="BO15:CT15" si="12">(BO5-BO11)^2</f>
        <v>3.0468354429371794E-5</v>
      </c>
      <c r="BP15" s="14">
        <f t="shared" si="12"/>
        <v>8.7237211113799543E-5</v>
      </c>
      <c r="BQ15" s="14">
        <f t="shared" si="12"/>
        <v>5.1776209322420578E-3</v>
      </c>
      <c r="BR15" s="14">
        <f t="shared" si="12"/>
        <v>1.4982685417854186E-2</v>
      </c>
      <c r="BS15" s="14">
        <f t="shared" si="12"/>
        <v>1.7595197736482115E-2</v>
      </c>
      <c r="BT15" s="14">
        <f t="shared" si="12"/>
        <v>3.0013519382221564E-3</v>
      </c>
      <c r="BU15" s="14">
        <f t="shared" si="12"/>
        <v>1.7425651583822892E-4</v>
      </c>
      <c r="BV15" s="14">
        <f t="shared" si="12"/>
        <v>2.0063997706539431E-2</v>
      </c>
      <c r="BW15" s="14">
        <f t="shared" si="12"/>
        <v>3.1214190687037721E-2</v>
      </c>
      <c r="BX15" s="14">
        <f t="shared" si="12"/>
        <v>1.7329943857844197E-3</v>
      </c>
      <c r="BY15" s="14">
        <f t="shared" si="12"/>
        <v>1.4712802595568624E-2</v>
      </c>
      <c r="BZ15" s="14">
        <f t="shared" si="12"/>
        <v>6.3489567762537358E-4</v>
      </c>
      <c r="CA15" s="14">
        <f t="shared" si="12"/>
        <v>8.4939033480793528E-4</v>
      </c>
      <c r="CB15" s="14">
        <f t="shared" si="12"/>
        <v>3.2365692172838818E-3</v>
      </c>
      <c r="CC15" s="14">
        <f t="shared" si="12"/>
        <v>1.7251243173640978E-5</v>
      </c>
      <c r="CD15" s="14">
        <f t="shared" si="12"/>
        <v>8.5126451055313364E-3</v>
      </c>
      <c r="CE15" s="14">
        <f t="shared" si="12"/>
        <v>7.8349048607962695E-3</v>
      </c>
      <c r="CF15" s="14">
        <f t="shared" si="12"/>
        <v>2.4224282752137222E-5</v>
      </c>
      <c r="CG15" s="14">
        <f t="shared" si="12"/>
        <v>2.0462261031544408E-2</v>
      </c>
      <c r="CH15" s="14">
        <f t="shared" si="12"/>
        <v>7.0377326916113061E-3</v>
      </c>
      <c r="CI15" s="14">
        <f t="shared" si="12"/>
        <v>7.7434337363618266E-3</v>
      </c>
      <c r="CJ15" s="14">
        <f t="shared" si="12"/>
        <v>4.0863708002427425E-2</v>
      </c>
      <c r="CK15" s="14">
        <f t="shared" si="12"/>
        <v>2.0301072678626138E-2</v>
      </c>
      <c r="CL15" s="14">
        <f t="shared" si="12"/>
        <v>1.6598621771760767E-2</v>
      </c>
      <c r="CM15" s="14">
        <f t="shared" si="12"/>
        <v>1.6100380125166906E-2</v>
      </c>
      <c r="CN15" s="14">
        <f t="shared" si="12"/>
        <v>3.7165244678490056E-2</v>
      </c>
      <c r="CO15" s="14">
        <f t="shared" si="12"/>
        <v>1.9616765440301064E-2</v>
      </c>
      <c r="CP15" s="14">
        <f t="shared" si="12"/>
        <v>1.5808145829410492E-3</v>
      </c>
      <c r="CQ15" s="14">
        <f t="shared" si="12"/>
        <v>4.34058645840995E-2</v>
      </c>
      <c r="CR15" s="14">
        <f t="shared" si="12"/>
        <v>2.265578758354711E-2</v>
      </c>
      <c r="CS15" s="14">
        <f t="shared" si="12"/>
        <v>7.2024764931315124E-3</v>
      </c>
      <c r="CT15" s="14">
        <f t="shared" si="12"/>
        <v>7.8940874455648794E-3</v>
      </c>
      <c r="CU15" s="14">
        <f t="shared" ref="CU15:DZ15" si="13">(CU5-CU11)^2</f>
        <v>7.787119387051987E-2</v>
      </c>
      <c r="CV15" s="14">
        <f t="shared" si="13"/>
        <v>3.3957836585593038E-2</v>
      </c>
      <c r="CW15" s="14">
        <f t="shared" si="13"/>
        <v>3.0276307595030356E-4</v>
      </c>
      <c r="CX15" s="14">
        <f t="shared" si="13"/>
        <v>1.392654228365116E-2</v>
      </c>
      <c r="CY15" s="14">
        <f t="shared" si="13"/>
        <v>2.4113415605753205E-3</v>
      </c>
      <c r="CZ15" s="14">
        <f t="shared" si="13"/>
        <v>6.3491860966363766E-3</v>
      </c>
      <c r="DA15" s="14">
        <f t="shared" si="13"/>
        <v>1.6412387812802043E-3</v>
      </c>
      <c r="DB15" s="14">
        <f t="shared" si="13"/>
        <v>1.7968039527124918E-2</v>
      </c>
      <c r="DC15" s="14">
        <f t="shared" si="13"/>
        <v>6.1036892114125357E-3</v>
      </c>
      <c r="DD15" s="14">
        <f t="shared" si="13"/>
        <v>4.7651589517456315E-2</v>
      </c>
      <c r="DE15" s="14">
        <f t="shared" si="13"/>
        <v>1.4003951660598941E-2</v>
      </c>
      <c r="DF15" s="14">
        <f t="shared" si="13"/>
        <v>3.1895535035628805E-3</v>
      </c>
      <c r="DG15" s="14">
        <f t="shared" si="13"/>
        <v>1.7631180482629457E-2</v>
      </c>
      <c r="DH15" s="14">
        <f t="shared" si="13"/>
        <v>1.3420751625187782E-2</v>
      </c>
      <c r="DI15" s="14">
        <f t="shared" si="13"/>
        <v>2.1372258359862836E-2</v>
      </c>
      <c r="DJ15" s="14">
        <f t="shared" si="13"/>
        <v>2.534940507023159E-2</v>
      </c>
      <c r="DK15" s="14">
        <f t="shared" si="13"/>
        <v>9.5700390931816113E-4</v>
      </c>
      <c r="DL15" s="14">
        <f t="shared" si="13"/>
        <v>7.9696669013083997E-3</v>
      </c>
      <c r="DM15" s="14">
        <f t="shared" si="13"/>
        <v>3.5463303187157676E-3</v>
      </c>
      <c r="DN15" s="14">
        <f t="shared" si="13"/>
        <v>9.081225473951698E-4</v>
      </c>
      <c r="DO15" s="14">
        <f t="shared" si="13"/>
        <v>1.4315430262397269E-2</v>
      </c>
      <c r="DP15" s="14">
        <f t="shared" si="13"/>
        <v>4.3155429540979E-2</v>
      </c>
      <c r="DQ15" s="14">
        <f t="shared" si="13"/>
        <v>4.658175994719807E-2</v>
      </c>
      <c r="DR15" s="14">
        <f t="shared" si="13"/>
        <v>2.9823095154177124E-4</v>
      </c>
      <c r="DS15" s="14">
        <f t="shared" si="13"/>
        <v>1.8520301004267478E-2</v>
      </c>
      <c r="DT15" s="14">
        <f t="shared" si="13"/>
        <v>1.2780306970208455E-2</v>
      </c>
      <c r="DU15" s="14">
        <f t="shared" si="13"/>
        <v>8.9990423141830447E-3</v>
      </c>
      <c r="DV15" s="14">
        <f t="shared" si="13"/>
        <v>9.0438009676741004E-4</v>
      </c>
      <c r="DW15" s="14">
        <f t="shared" si="13"/>
        <v>7.7591280675039459E-4</v>
      </c>
      <c r="DX15" s="14">
        <f t="shared" si="13"/>
        <v>4.4785236800340541E-3</v>
      </c>
      <c r="DY15" s="14">
        <f t="shared" si="13"/>
        <v>8.6689862370243394E-3</v>
      </c>
      <c r="DZ15" s="14">
        <f t="shared" si="13"/>
        <v>6.7358146290047472E-6</v>
      </c>
      <c r="EA15" s="14">
        <f t="shared" ref="EA15:EF15" si="14">(EA5-EA11)^2</f>
        <v>9.899283273726546E-2</v>
      </c>
      <c r="EB15" s="14">
        <f t="shared" si="14"/>
        <v>2.4592942265502835E-2</v>
      </c>
      <c r="EC15" s="14">
        <f t="shared" si="14"/>
        <v>3.3475614975280199E-3</v>
      </c>
      <c r="ED15" s="14">
        <f t="shared" si="14"/>
        <v>1.4874804446664664E-3</v>
      </c>
      <c r="EE15" s="14">
        <f t="shared" si="14"/>
        <v>1.7964921034339464E-2</v>
      </c>
      <c r="EF15" s="14">
        <f t="shared" si="14"/>
        <v>1.0626397015526255E-2</v>
      </c>
    </row>
    <row r="17" spans="1:136">
      <c r="A17" t="s">
        <v>205</v>
      </c>
      <c r="B17" t="s">
        <v>136</v>
      </c>
      <c r="C17" s="14">
        <f t="shared" ref="C17:AH17" si="15">C9^2</f>
        <v>1.1904082277860264E-2</v>
      </c>
      <c r="D17" s="14">
        <f t="shared" si="15"/>
        <v>2.1247676054046116E-4</v>
      </c>
      <c r="E17" s="14">
        <f t="shared" si="15"/>
        <v>1.3071374994951929E-3</v>
      </c>
      <c r="F17" s="14">
        <f t="shared" si="15"/>
        <v>2.2492264027630889E-5</v>
      </c>
      <c r="G17" s="14">
        <f t="shared" si="15"/>
        <v>3.3036666141783492E-5</v>
      </c>
      <c r="H17" s="14">
        <f t="shared" si="15"/>
        <v>2.4381891708842936E-3</v>
      </c>
      <c r="I17" s="14">
        <f t="shared" si="15"/>
        <v>3.3581210916677484E-2</v>
      </c>
      <c r="J17" s="14">
        <f t="shared" si="15"/>
        <v>1.3569060155122757E-2</v>
      </c>
      <c r="K17" s="14">
        <f t="shared" si="15"/>
        <v>9.3605069620112215E-4</v>
      </c>
      <c r="L17" s="14">
        <f t="shared" si="15"/>
        <v>3.9315162352171023E-4</v>
      </c>
      <c r="M17" s="14">
        <f t="shared" si="15"/>
        <v>4.4095826822239875E-4</v>
      </c>
      <c r="N17" s="14">
        <f t="shared" si="15"/>
        <v>2.2433876085478928E-2</v>
      </c>
      <c r="O17" s="14">
        <f t="shared" si="15"/>
        <v>2.3911693040638534E-4</v>
      </c>
      <c r="P17" s="14">
        <f t="shared" si="15"/>
        <v>8.4258302823047079E-3</v>
      </c>
      <c r="Q17" s="14">
        <f t="shared" si="15"/>
        <v>5.9921553092687051E-3</v>
      </c>
      <c r="R17" s="14">
        <f t="shared" si="15"/>
        <v>3.0004754709051702E-3</v>
      </c>
      <c r="S17" s="14">
        <f t="shared" si="15"/>
        <v>1.5708708491616E-2</v>
      </c>
      <c r="T17" s="14">
        <f t="shared" si="15"/>
        <v>1.4173716945580542E-2</v>
      </c>
      <c r="U17" s="14">
        <f t="shared" si="15"/>
        <v>1.4265767398050631E-3</v>
      </c>
      <c r="V17" s="14">
        <f t="shared" si="15"/>
        <v>6.5908131416074602E-3</v>
      </c>
      <c r="W17" s="14">
        <f t="shared" si="15"/>
        <v>7.0575066817627407E-3</v>
      </c>
      <c r="X17" s="14">
        <f t="shared" si="15"/>
        <v>2.1612338960948319E-2</v>
      </c>
      <c r="Y17" s="14">
        <f t="shared" si="15"/>
        <v>1.5715264241471783E-2</v>
      </c>
      <c r="Z17" s="14">
        <f t="shared" si="15"/>
        <v>3.6846166718653456E-2</v>
      </c>
      <c r="AA17" s="14">
        <f t="shared" si="15"/>
        <v>7.1184289266528374E-3</v>
      </c>
      <c r="AB17" s="14">
        <f t="shared" si="15"/>
        <v>5.3140620982757656E-3</v>
      </c>
      <c r="AC17" s="14">
        <f t="shared" si="15"/>
        <v>1.0527695785516851E-2</v>
      </c>
      <c r="AD17" s="14">
        <f t="shared" si="15"/>
        <v>2.4869817519127077E-4</v>
      </c>
      <c r="AE17" s="14">
        <f t="shared" si="15"/>
        <v>2.3106177330172069E-2</v>
      </c>
      <c r="AF17" s="14">
        <f t="shared" si="15"/>
        <v>3.5105923035905259E-3</v>
      </c>
      <c r="AG17" s="14">
        <f t="shared" si="15"/>
        <v>1.6915301264337771E-2</v>
      </c>
      <c r="AH17" s="14">
        <f t="shared" si="15"/>
        <v>1.328403665826966E-2</v>
      </c>
      <c r="AI17" s="14">
        <f t="shared" ref="AI17:BN17" si="16">AI9^2</f>
        <v>1.0631917918075163E-3</v>
      </c>
      <c r="AJ17" s="14">
        <f t="shared" si="16"/>
        <v>7.8395043318640434E-4</v>
      </c>
      <c r="AK17" s="14">
        <f t="shared" si="16"/>
        <v>2.1482887422166509E-2</v>
      </c>
      <c r="AL17" s="14">
        <f t="shared" si="16"/>
        <v>1.668062549107739E-3</v>
      </c>
      <c r="AM17" s="14">
        <f t="shared" si="16"/>
        <v>1.7259749824038686E-2</v>
      </c>
      <c r="AN17" s="14">
        <f t="shared" si="16"/>
        <v>4.9032555464976403E-2</v>
      </c>
      <c r="AO17" s="14">
        <f t="shared" si="16"/>
        <v>4.3852711121876225E-4</v>
      </c>
      <c r="AP17" s="14">
        <f t="shared" si="16"/>
        <v>1.8812851996102171E-2</v>
      </c>
      <c r="AQ17" s="14">
        <f t="shared" si="16"/>
        <v>6.1915646627000822E-4</v>
      </c>
      <c r="AR17" s="14">
        <f t="shared" si="16"/>
        <v>2.4068328718584233E-4</v>
      </c>
      <c r="AS17" s="14">
        <f t="shared" si="16"/>
        <v>1.1815056389704321E-3</v>
      </c>
      <c r="AT17" s="14">
        <f t="shared" si="16"/>
        <v>3.9810656089414309E-3</v>
      </c>
      <c r="AU17" s="14">
        <f t="shared" si="16"/>
        <v>1.8694983030806238E-3</v>
      </c>
      <c r="AV17" s="14">
        <f t="shared" si="16"/>
        <v>5.5101474414569638E-3</v>
      </c>
      <c r="AW17" s="14">
        <f t="shared" si="16"/>
        <v>7.8371035043392316E-4</v>
      </c>
      <c r="AX17" s="14">
        <f t="shared" si="16"/>
        <v>1.4367478657017244E-2</v>
      </c>
      <c r="AY17" s="14">
        <f t="shared" si="16"/>
        <v>5.8613679493322605E-3</v>
      </c>
      <c r="AZ17" s="14">
        <f t="shared" si="16"/>
        <v>4.7220968054589304E-4</v>
      </c>
      <c r="BA17" s="14">
        <f t="shared" si="16"/>
        <v>1.5536707046446584E-6</v>
      </c>
      <c r="BB17" s="14">
        <f t="shared" si="16"/>
        <v>1.0200156097581669E-2</v>
      </c>
      <c r="BC17" s="14">
        <f t="shared" si="16"/>
        <v>8.8964574469951819E-4</v>
      </c>
      <c r="BD17" s="14">
        <f t="shared" si="16"/>
        <v>7.5268956977767048E-5</v>
      </c>
      <c r="BE17" s="14">
        <f t="shared" si="16"/>
        <v>4.7000904970756216E-3</v>
      </c>
      <c r="BF17" s="14">
        <f t="shared" si="16"/>
        <v>2.4621562948682934E-2</v>
      </c>
      <c r="BG17" s="14">
        <f t="shared" si="16"/>
        <v>2.5345828645073384E-2</v>
      </c>
      <c r="BH17" s="14">
        <f t="shared" si="16"/>
        <v>3.7358582565093718E-3</v>
      </c>
      <c r="BI17" s="14">
        <f t="shared" si="16"/>
        <v>9.3921007423280172E-3</v>
      </c>
      <c r="BJ17" s="14">
        <f t="shared" si="16"/>
        <v>2.9971517217047563E-3</v>
      </c>
      <c r="BK17" s="14">
        <f t="shared" si="16"/>
        <v>7.6550185977651616E-3</v>
      </c>
      <c r="BL17" s="14">
        <f t="shared" si="16"/>
        <v>8.9164103340217925E-3</v>
      </c>
      <c r="BM17" s="14">
        <f t="shared" si="16"/>
        <v>4.9244308753160887E-4</v>
      </c>
      <c r="BN17" s="14">
        <f t="shared" si="16"/>
        <v>2.4425352677185161E-4</v>
      </c>
      <c r="BO17" s="14">
        <f t="shared" ref="BO17:CT17" si="17">BO9^2</f>
        <v>6.6289298211247571E-3</v>
      </c>
      <c r="BP17" s="14">
        <f t="shared" si="17"/>
        <v>3.4258094968395863E-4</v>
      </c>
      <c r="BQ17" s="14">
        <f t="shared" si="17"/>
        <v>4.7237535213055463E-3</v>
      </c>
      <c r="BR17" s="14">
        <f t="shared" si="17"/>
        <v>9.6246407867516525E-6</v>
      </c>
      <c r="BS17" s="14">
        <f t="shared" si="17"/>
        <v>5.6196639138378088E-3</v>
      </c>
      <c r="BT17" s="14">
        <f t="shared" si="17"/>
        <v>2.0431835304301382E-3</v>
      </c>
      <c r="BU17" s="14">
        <f t="shared" si="17"/>
        <v>6.5932524502488709E-4</v>
      </c>
      <c r="BV17" s="14">
        <f t="shared" si="17"/>
        <v>8.427980119369332E-3</v>
      </c>
      <c r="BW17" s="14">
        <f t="shared" si="17"/>
        <v>6.9453326513524774E-4</v>
      </c>
      <c r="BX17" s="14">
        <f t="shared" si="17"/>
        <v>3.7615951743202121E-4</v>
      </c>
      <c r="BY17" s="14">
        <f t="shared" si="17"/>
        <v>5.9042164483032638E-3</v>
      </c>
      <c r="BZ17" s="14">
        <f t="shared" si="17"/>
        <v>1.2839000623048005E-2</v>
      </c>
      <c r="CA17" s="14">
        <f t="shared" si="17"/>
        <v>1.1525082059920233E-2</v>
      </c>
      <c r="CB17" s="14">
        <f t="shared" si="17"/>
        <v>1.6682967477483388E-3</v>
      </c>
      <c r="CC17" s="14">
        <f t="shared" si="17"/>
        <v>3.9210767823715285E-4</v>
      </c>
      <c r="CD17" s="14">
        <f t="shared" si="17"/>
        <v>3.548592802252902E-2</v>
      </c>
      <c r="CE17" s="14">
        <f t="shared" si="17"/>
        <v>3.0885701458901937E-3</v>
      </c>
      <c r="CF17" s="14">
        <f t="shared" si="17"/>
        <v>5.6058275198580514E-3</v>
      </c>
      <c r="CG17" s="14">
        <f t="shared" si="17"/>
        <v>1.0000038380535725E-2</v>
      </c>
      <c r="CH17" s="14">
        <f t="shared" si="17"/>
        <v>1.850190885600296E-2</v>
      </c>
      <c r="CI17" s="14">
        <f t="shared" si="17"/>
        <v>8.7873778374468071E-3</v>
      </c>
      <c r="CJ17" s="14">
        <f t="shared" si="17"/>
        <v>1.5449609443997168E-5</v>
      </c>
      <c r="CK17" s="14">
        <f t="shared" si="17"/>
        <v>3.1931288133821255E-3</v>
      </c>
      <c r="CL17" s="14">
        <f t="shared" si="17"/>
        <v>6.9456377220562526E-2</v>
      </c>
      <c r="CM17" s="14">
        <f t="shared" si="17"/>
        <v>9.1306336429085243E-5</v>
      </c>
      <c r="CN17" s="14">
        <f t="shared" si="17"/>
        <v>9.9299981066329653E-4</v>
      </c>
      <c r="CO17" s="14">
        <f t="shared" si="17"/>
        <v>5.1162058729769763E-4</v>
      </c>
      <c r="CP17" s="14">
        <f t="shared" si="17"/>
        <v>1.7597510690797149E-2</v>
      </c>
      <c r="CQ17" s="14">
        <f t="shared" si="17"/>
        <v>1.7708364708443211E-2</v>
      </c>
      <c r="CR17" s="14">
        <f t="shared" si="17"/>
        <v>2.2369415134259262E-4</v>
      </c>
      <c r="CS17" s="14">
        <f t="shared" si="17"/>
        <v>1.1168922557625953E-3</v>
      </c>
      <c r="CT17" s="14">
        <f t="shared" si="17"/>
        <v>1.5082808365029206E-4</v>
      </c>
      <c r="CU17" s="14">
        <f t="shared" ref="CU17:DZ17" si="18">CU9^2</f>
        <v>1.3645740385844037E-2</v>
      </c>
      <c r="CV17" s="14">
        <f t="shared" si="18"/>
        <v>9.9789357659655527E-6</v>
      </c>
      <c r="CW17" s="14">
        <f t="shared" si="18"/>
        <v>1.4605970535097568E-3</v>
      </c>
      <c r="CX17" s="14">
        <f t="shared" si="18"/>
        <v>1.9369428669164728E-2</v>
      </c>
      <c r="CY17" s="14">
        <f t="shared" si="18"/>
        <v>5.6227258353762984E-4</v>
      </c>
      <c r="CZ17" s="14">
        <f t="shared" si="18"/>
        <v>4.7677993769128582E-2</v>
      </c>
      <c r="DA17" s="14">
        <f t="shared" si="18"/>
        <v>3.3602150955513014E-3</v>
      </c>
      <c r="DB17" s="14">
        <f t="shared" si="18"/>
        <v>1.9892898007428065E-4</v>
      </c>
      <c r="DC17" s="14">
        <f t="shared" si="18"/>
        <v>1.298598834966512E-2</v>
      </c>
      <c r="DD17" s="14">
        <f t="shared" si="18"/>
        <v>5.5461177913042319E-3</v>
      </c>
      <c r="DE17" s="14">
        <f t="shared" si="18"/>
        <v>8.0944705118043796E-7</v>
      </c>
      <c r="DF17" s="14">
        <f t="shared" si="18"/>
        <v>9.5466930982486662E-7</v>
      </c>
      <c r="DG17" s="14">
        <f t="shared" si="18"/>
        <v>5.3260942765597724E-3</v>
      </c>
      <c r="DH17" s="14">
        <f t="shared" si="18"/>
        <v>5.6859770483571833E-4</v>
      </c>
      <c r="DI17" s="14">
        <f t="shared" si="18"/>
        <v>1.0308477356134783E-2</v>
      </c>
      <c r="DJ17" s="14">
        <f t="shared" si="18"/>
        <v>7.6687657573272126E-4</v>
      </c>
      <c r="DK17" s="14">
        <f t="shared" si="18"/>
        <v>2.4339573117996964E-3</v>
      </c>
      <c r="DL17" s="14">
        <f t="shared" si="18"/>
        <v>3.248267667612629E-5</v>
      </c>
      <c r="DM17" s="14">
        <f t="shared" si="18"/>
        <v>1.3676505773505593E-3</v>
      </c>
      <c r="DN17" s="14">
        <f t="shared" si="18"/>
        <v>1.2058891959025398E-2</v>
      </c>
      <c r="DO17" s="14">
        <f t="shared" si="18"/>
        <v>1.7670946755159902E-3</v>
      </c>
      <c r="DP17" s="14">
        <f t="shared" si="18"/>
        <v>7.1515213376560464E-3</v>
      </c>
      <c r="DQ17" s="14">
        <f t="shared" si="18"/>
        <v>1.2161636684326392E-2</v>
      </c>
      <c r="DR17" s="14">
        <f t="shared" si="18"/>
        <v>8.8979053657027001E-3</v>
      </c>
      <c r="DS17" s="14">
        <f t="shared" si="18"/>
        <v>5.1706040810191528E-3</v>
      </c>
      <c r="DT17" s="14">
        <f t="shared" si="18"/>
        <v>9.2614503642733919E-3</v>
      </c>
      <c r="DU17" s="14">
        <f t="shared" si="18"/>
        <v>5.5016020342108963E-6</v>
      </c>
      <c r="DV17" s="14">
        <f t="shared" si="18"/>
        <v>1.7960669823662546E-2</v>
      </c>
      <c r="DW17" s="14">
        <f t="shared" si="18"/>
        <v>8.9742501777570517E-3</v>
      </c>
      <c r="DX17" s="14">
        <f t="shared" si="18"/>
        <v>1.0768876593012837E-2</v>
      </c>
      <c r="DY17" s="14">
        <f t="shared" si="18"/>
        <v>5.7399040046420165E-3</v>
      </c>
      <c r="DZ17" s="14">
        <f t="shared" si="18"/>
        <v>1.0131311029084758E-3</v>
      </c>
      <c r="EA17" s="14">
        <f t="shared" ref="EA17:EF17" si="19">EA9^2</f>
        <v>2.6020277100143683E-2</v>
      </c>
      <c r="EB17" s="14">
        <f t="shared" si="19"/>
        <v>1.0411208891300061E-4</v>
      </c>
      <c r="EC17" s="14">
        <f t="shared" si="19"/>
        <v>5.4742870589305657E-3</v>
      </c>
      <c r="ED17" s="14">
        <f t="shared" si="19"/>
        <v>2.4767480781445986E-2</v>
      </c>
      <c r="EE17" s="14">
        <f t="shared" si="19"/>
        <v>6.2627523737550815E-3</v>
      </c>
      <c r="EF17" s="14">
        <f t="shared" si="19"/>
        <v>5.2603901117786907E-3</v>
      </c>
    </row>
    <row r="18" spans="1:136">
      <c r="B18" t="s">
        <v>137</v>
      </c>
      <c r="C18" s="14">
        <f t="shared" ref="C18:AH18" si="20">C10^2</f>
        <v>6.1300169090364023E-2</v>
      </c>
      <c r="D18" s="14">
        <f t="shared" si="20"/>
        <v>7.5456410721795972E-2</v>
      </c>
      <c r="E18" s="14">
        <f t="shared" si="20"/>
        <v>7.1653491215006608E-3</v>
      </c>
      <c r="F18" s="14">
        <f t="shared" si="20"/>
        <v>5.1277932467457823E-4</v>
      </c>
      <c r="G18" s="14">
        <f t="shared" si="20"/>
        <v>2.4681024790687124E-3</v>
      </c>
      <c r="H18" s="14">
        <f t="shared" si="20"/>
        <v>1.0152503674850528E-2</v>
      </c>
      <c r="I18" s="14">
        <f t="shared" si="20"/>
        <v>1.568185506319921E-4</v>
      </c>
      <c r="J18" s="14">
        <f t="shared" si="20"/>
        <v>6.1994443791691554E-3</v>
      </c>
      <c r="K18" s="14">
        <f t="shared" si="20"/>
        <v>1.1686210786418709E-3</v>
      </c>
      <c r="L18" s="14">
        <f t="shared" si="20"/>
        <v>7.8157618954765237E-3</v>
      </c>
      <c r="M18" s="14">
        <f t="shared" si="20"/>
        <v>9.384753841255295E-6</v>
      </c>
      <c r="N18" s="14">
        <f t="shared" si="20"/>
        <v>4.5036476574086326E-2</v>
      </c>
      <c r="O18" s="14">
        <f t="shared" si="20"/>
        <v>1.3546366286925624E-3</v>
      </c>
      <c r="P18" s="14">
        <f t="shared" si="20"/>
        <v>5.0457039774389721E-3</v>
      </c>
      <c r="Q18" s="14">
        <f t="shared" si="20"/>
        <v>5.0781490762883581E-3</v>
      </c>
      <c r="R18" s="14">
        <f t="shared" si="20"/>
        <v>4.6485286217124193E-4</v>
      </c>
      <c r="S18" s="14">
        <f t="shared" si="20"/>
        <v>1.0223486509543127E-2</v>
      </c>
      <c r="T18" s="14">
        <f t="shared" si="20"/>
        <v>1.8683781301546628E-3</v>
      </c>
      <c r="U18" s="14">
        <f t="shared" si="20"/>
        <v>2.2147242359019667E-4</v>
      </c>
      <c r="V18" s="14">
        <f t="shared" si="20"/>
        <v>4.0018583491306699E-5</v>
      </c>
      <c r="W18" s="14">
        <f t="shared" si="20"/>
        <v>2.0607457624597373E-2</v>
      </c>
      <c r="X18" s="14">
        <f t="shared" si="20"/>
        <v>4.1321976387742217E-3</v>
      </c>
      <c r="Y18" s="14">
        <f t="shared" si="20"/>
        <v>3.6230087920246964E-4</v>
      </c>
      <c r="Z18" s="14">
        <f t="shared" si="20"/>
        <v>4.2619770257246479E-4</v>
      </c>
      <c r="AA18" s="14">
        <f t="shared" si="20"/>
        <v>1.0929332099957007E-3</v>
      </c>
      <c r="AB18" s="14">
        <f t="shared" si="20"/>
        <v>3.7706753115437583E-4</v>
      </c>
      <c r="AC18" s="14">
        <f t="shared" si="20"/>
        <v>3.9849977723438457E-3</v>
      </c>
      <c r="AD18" s="14">
        <f t="shared" si="20"/>
        <v>4.3072591163810263E-3</v>
      </c>
      <c r="AE18" s="14">
        <f t="shared" si="20"/>
        <v>1.9042810256226231E-2</v>
      </c>
      <c r="AF18" s="14">
        <f t="shared" si="20"/>
        <v>1.0113906222416341E-2</v>
      </c>
      <c r="AG18" s="14">
        <f t="shared" si="20"/>
        <v>1.4416518828127469E-3</v>
      </c>
      <c r="AH18" s="14">
        <f t="shared" si="20"/>
        <v>2.1012632264048744E-3</v>
      </c>
      <c r="AI18" s="14">
        <f t="shared" ref="AI18:BN18" si="21">AI10^2</f>
        <v>2.6044789051912999E-3</v>
      </c>
      <c r="AJ18" s="14">
        <f t="shared" si="21"/>
        <v>1.0371239511276646E-5</v>
      </c>
      <c r="AK18" s="14">
        <f t="shared" si="21"/>
        <v>2.3963921924093171E-7</v>
      </c>
      <c r="AL18" s="14">
        <f t="shared" si="21"/>
        <v>1.1330911354520039E-2</v>
      </c>
      <c r="AM18" s="14">
        <f t="shared" si="21"/>
        <v>1.883474509221127E-4</v>
      </c>
      <c r="AN18" s="14">
        <f t="shared" si="21"/>
        <v>1.4875389913204669E-2</v>
      </c>
      <c r="AO18" s="14">
        <f t="shared" si="21"/>
        <v>2.3609556394479764E-3</v>
      </c>
      <c r="AP18" s="14">
        <f t="shared" si="21"/>
        <v>3.6219815731516953E-6</v>
      </c>
      <c r="AQ18" s="14">
        <f t="shared" si="21"/>
        <v>8.4491867337224593E-4</v>
      </c>
      <c r="AR18" s="14">
        <f t="shared" si="21"/>
        <v>2.7705250060662671E-3</v>
      </c>
      <c r="AS18" s="14">
        <f t="shared" si="21"/>
        <v>1.6623611670017849E-4</v>
      </c>
      <c r="AT18" s="14">
        <f t="shared" si="21"/>
        <v>4.541735420018535E-6</v>
      </c>
      <c r="AU18" s="14">
        <f t="shared" si="21"/>
        <v>2.4144306160754265E-2</v>
      </c>
      <c r="AV18" s="14">
        <f t="shared" si="21"/>
        <v>1.6082764905029582E-4</v>
      </c>
      <c r="AW18" s="14">
        <f t="shared" si="21"/>
        <v>1.4261904564871037E-4</v>
      </c>
      <c r="AX18" s="14">
        <f t="shared" si="21"/>
        <v>1.8094742098652484E-5</v>
      </c>
      <c r="AY18" s="14">
        <f t="shared" si="21"/>
        <v>8.5854107590684829E-4</v>
      </c>
      <c r="AZ18" s="14">
        <f t="shared" si="21"/>
        <v>1.7990186561850662E-2</v>
      </c>
      <c r="BA18" s="14">
        <f t="shared" si="21"/>
        <v>1.8799571566061855E-2</v>
      </c>
      <c r="BB18" s="14">
        <f t="shared" si="21"/>
        <v>3.0788334943751427E-6</v>
      </c>
      <c r="BC18" s="14">
        <f t="shared" si="21"/>
        <v>6.3087002382422445E-4</v>
      </c>
      <c r="BD18" s="14">
        <f t="shared" si="21"/>
        <v>1.4304616064498009E-2</v>
      </c>
      <c r="BE18" s="14">
        <f t="shared" si="21"/>
        <v>1.8431225512955431E-2</v>
      </c>
      <c r="BF18" s="14">
        <f t="shared" si="21"/>
        <v>2.2175775080298639E-3</v>
      </c>
      <c r="BG18" s="14">
        <f t="shared" si="21"/>
        <v>6.7860478904543942E-4</v>
      </c>
      <c r="BH18" s="14">
        <f t="shared" si="21"/>
        <v>1.9143052038415641E-3</v>
      </c>
      <c r="BI18" s="14">
        <f t="shared" si="21"/>
        <v>6.6246296481045049E-3</v>
      </c>
      <c r="BJ18" s="14">
        <f t="shared" si="21"/>
        <v>1.0120525298453803E-2</v>
      </c>
      <c r="BK18" s="14">
        <f t="shared" si="21"/>
        <v>8.1884544049846235E-3</v>
      </c>
      <c r="BL18" s="14">
        <f t="shared" si="21"/>
        <v>9.5471475034238963E-4</v>
      </c>
      <c r="BM18" s="14">
        <f t="shared" si="21"/>
        <v>3.4591085480784899E-3</v>
      </c>
      <c r="BN18" s="14">
        <f t="shared" si="21"/>
        <v>6.617113024465748E-3</v>
      </c>
      <c r="BO18" s="14">
        <f t="shared" ref="BO18:CT18" si="22">BO10^2</f>
        <v>5.9543089738482516E-5</v>
      </c>
      <c r="BP18" s="14">
        <f t="shared" si="22"/>
        <v>1.1392332566655691E-2</v>
      </c>
      <c r="BQ18" s="14">
        <f t="shared" si="22"/>
        <v>7.3746686174088762E-4</v>
      </c>
      <c r="BR18" s="14">
        <f t="shared" si="22"/>
        <v>2.962735792272784E-3</v>
      </c>
      <c r="BS18" s="14">
        <f t="shared" si="22"/>
        <v>4.6552343102339144E-3</v>
      </c>
      <c r="BT18" s="14">
        <f t="shared" si="22"/>
        <v>9.7243705233366149E-3</v>
      </c>
      <c r="BU18" s="14">
        <f t="shared" si="22"/>
        <v>1.6486185664536111E-2</v>
      </c>
      <c r="BV18" s="14">
        <f t="shared" si="22"/>
        <v>6.1469550603066659E-3</v>
      </c>
      <c r="BW18" s="14">
        <f t="shared" si="22"/>
        <v>1.4192843634773274E-2</v>
      </c>
      <c r="BX18" s="14">
        <f t="shared" si="22"/>
        <v>2.1986811101669893E-3</v>
      </c>
      <c r="BY18" s="14">
        <f t="shared" si="22"/>
        <v>1.034255309954589E-2</v>
      </c>
      <c r="BZ18" s="14">
        <f t="shared" si="22"/>
        <v>6.5946672658473903E-4</v>
      </c>
      <c r="CA18" s="14">
        <f t="shared" si="22"/>
        <v>6.9391882189381946E-3</v>
      </c>
      <c r="CB18" s="14">
        <f t="shared" si="22"/>
        <v>2.4909566624333357E-2</v>
      </c>
      <c r="CC18" s="14">
        <f t="shared" si="22"/>
        <v>5.0484679457919839E-3</v>
      </c>
      <c r="CD18" s="14">
        <f t="shared" si="22"/>
        <v>5.4575883396954768E-3</v>
      </c>
      <c r="CE18" s="14">
        <f t="shared" si="22"/>
        <v>5.6067832386980022E-2</v>
      </c>
      <c r="CF18" s="14">
        <f t="shared" si="22"/>
        <v>1.0645672168983563E-3</v>
      </c>
      <c r="CG18" s="14">
        <f t="shared" si="22"/>
        <v>1.8017920089221721E-4</v>
      </c>
      <c r="CH18" s="14">
        <f t="shared" si="22"/>
        <v>7.8213400438148902E-6</v>
      </c>
      <c r="CI18" s="14">
        <f t="shared" si="22"/>
        <v>2.2968727120364087E-3</v>
      </c>
      <c r="CJ18" s="14">
        <f t="shared" si="22"/>
        <v>1.0575629320283603E-5</v>
      </c>
      <c r="CK18" s="14">
        <f t="shared" si="22"/>
        <v>5.7317300865370067E-3</v>
      </c>
      <c r="CL18" s="14">
        <f t="shared" si="22"/>
        <v>1.9711163270756775E-3</v>
      </c>
      <c r="CM18" s="14">
        <f t="shared" si="22"/>
        <v>3.2036912913769394E-2</v>
      </c>
      <c r="CN18" s="14">
        <f t="shared" si="22"/>
        <v>3.3633349379620708E-3</v>
      </c>
      <c r="CO18" s="14">
        <f t="shared" si="22"/>
        <v>1.9429624982324575E-2</v>
      </c>
      <c r="CP18" s="14">
        <f t="shared" si="22"/>
        <v>4.1879885783785839E-3</v>
      </c>
      <c r="CQ18" s="14">
        <f t="shared" si="22"/>
        <v>3.2829051050147696E-2</v>
      </c>
      <c r="CR18" s="14">
        <f t="shared" si="22"/>
        <v>7.8559030529674386E-3</v>
      </c>
      <c r="CS18" s="14">
        <f t="shared" si="22"/>
        <v>6.411922743936203E-4</v>
      </c>
      <c r="CT18" s="14">
        <f t="shared" si="22"/>
        <v>1.2786876993597889E-2</v>
      </c>
      <c r="CU18" s="14">
        <f t="shared" ref="CU18:DZ18" si="23">CU10^2</f>
        <v>6.5544524509339751E-5</v>
      </c>
      <c r="CV18" s="14">
        <f t="shared" si="23"/>
        <v>2.0430588388809477E-3</v>
      </c>
      <c r="CW18" s="14">
        <f t="shared" si="23"/>
        <v>3.4740680595904648E-3</v>
      </c>
      <c r="CX18" s="14">
        <f t="shared" si="23"/>
        <v>1.160538698235747E-2</v>
      </c>
      <c r="CY18" s="14">
        <f t="shared" si="23"/>
        <v>9.3129254150261E-3</v>
      </c>
      <c r="CZ18" s="14">
        <f t="shared" si="23"/>
        <v>4.424895059465464E-2</v>
      </c>
      <c r="DA18" s="14">
        <f t="shared" si="23"/>
        <v>1.2091451728744079E-2</v>
      </c>
      <c r="DB18" s="14">
        <f t="shared" si="23"/>
        <v>3.6412452392839745E-2</v>
      </c>
      <c r="DC18" s="14">
        <f t="shared" si="23"/>
        <v>4.2961982124366043E-4</v>
      </c>
      <c r="DD18" s="14">
        <f t="shared" si="23"/>
        <v>7.5740634376350218E-3</v>
      </c>
      <c r="DE18" s="14">
        <f t="shared" si="23"/>
        <v>6.728033843953052E-3</v>
      </c>
      <c r="DF18" s="14">
        <f t="shared" si="23"/>
        <v>2.7847821251246123E-2</v>
      </c>
      <c r="DG18" s="14">
        <f t="shared" si="23"/>
        <v>4.9478702022008603E-2</v>
      </c>
      <c r="DH18" s="14">
        <f t="shared" si="23"/>
        <v>2.0821839571003448E-2</v>
      </c>
      <c r="DI18" s="14">
        <f t="shared" si="23"/>
        <v>1.4308932973192761E-2</v>
      </c>
      <c r="DJ18" s="14">
        <f t="shared" si="23"/>
        <v>1.0321085627255753E-2</v>
      </c>
      <c r="DK18" s="14">
        <f t="shared" si="23"/>
        <v>8.6220619337353931E-3</v>
      </c>
      <c r="DL18" s="14">
        <f t="shared" si="23"/>
        <v>1.8173586858343696E-3</v>
      </c>
      <c r="DM18" s="14">
        <f t="shared" si="23"/>
        <v>6.8445958863232442E-3</v>
      </c>
      <c r="DN18" s="14">
        <f t="shared" si="23"/>
        <v>9.6406849840983359E-4</v>
      </c>
      <c r="DO18" s="14">
        <f t="shared" si="23"/>
        <v>9.6318502978574808E-3</v>
      </c>
      <c r="DP18" s="14">
        <f t="shared" si="23"/>
        <v>1.7053455955604278E-2</v>
      </c>
      <c r="DQ18" s="14">
        <f t="shared" si="23"/>
        <v>2.3673789185478821E-3</v>
      </c>
      <c r="DR18" s="14">
        <f t="shared" si="23"/>
        <v>1.5407124335768466E-3</v>
      </c>
      <c r="DS18" s="14">
        <f t="shared" si="23"/>
        <v>2.5930725116640962E-2</v>
      </c>
      <c r="DT18" s="14">
        <f t="shared" si="23"/>
        <v>6.2226801681010647E-3</v>
      </c>
      <c r="DU18" s="14">
        <f t="shared" si="23"/>
        <v>2.6921313954919424E-2</v>
      </c>
      <c r="DV18" s="14">
        <f t="shared" si="23"/>
        <v>5.6328800675286651E-5</v>
      </c>
      <c r="DW18" s="14">
        <f t="shared" si="23"/>
        <v>1.0331756871656347E-2</v>
      </c>
      <c r="DX18" s="14">
        <f t="shared" si="23"/>
        <v>3.1405143826489668E-3</v>
      </c>
      <c r="DY18" s="14">
        <f t="shared" si="23"/>
        <v>1.137563878096463E-2</v>
      </c>
      <c r="DZ18" s="14">
        <f t="shared" si="23"/>
        <v>4.7867822305639905E-3</v>
      </c>
      <c r="EA18" s="14">
        <f t="shared" ref="EA18:EF18" si="24">EA10^2</f>
        <v>1.59235773418211E-2</v>
      </c>
      <c r="EB18" s="14">
        <f t="shared" si="24"/>
        <v>4.1908944894200424E-3</v>
      </c>
      <c r="EC18" s="14">
        <f t="shared" si="24"/>
        <v>2.6446410296186275E-3</v>
      </c>
      <c r="ED18" s="14">
        <f t="shared" si="24"/>
        <v>1.1900242728375913E-3</v>
      </c>
      <c r="EE18" s="14">
        <f t="shared" si="24"/>
        <v>2.4862225023126495E-2</v>
      </c>
      <c r="EF18" s="14">
        <f t="shared" si="24"/>
        <v>1.6174756721905801E-2</v>
      </c>
    </row>
    <row r="19" spans="1:136">
      <c r="B19" t="s">
        <v>138</v>
      </c>
      <c r="C19" s="14">
        <f t="shared" ref="C19:AH19" si="25">C11^2</f>
        <v>2.9424962947699911E-3</v>
      </c>
      <c r="D19" s="14">
        <f t="shared" si="25"/>
        <v>2.059074167658151E-3</v>
      </c>
      <c r="E19" s="14">
        <f t="shared" si="25"/>
        <v>3.1514318274691188E-4</v>
      </c>
      <c r="F19" s="14">
        <f t="shared" si="25"/>
        <v>7.6890721339683337E-3</v>
      </c>
      <c r="G19" s="14">
        <f t="shared" si="25"/>
        <v>1.0559465472918014E-2</v>
      </c>
      <c r="H19" s="14">
        <f t="shared" si="25"/>
        <v>6.3069879875624846E-6</v>
      </c>
      <c r="I19" s="14">
        <f t="shared" si="25"/>
        <v>3.3502003352045134E-4</v>
      </c>
      <c r="J19" s="14">
        <f t="shared" si="25"/>
        <v>4.8887532041517415E-4</v>
      </c>
      <c r="K19" s="14">
        <f t="shared" si="25"/>
        <v>5.9688056303032417E-3</v>
      </c>
      <c r="L19" s="14">
        <f t="shared" si="25"/>
        <v>8.7311801112263879E-5</v>
      </c>
      <c r="M19" s="14">
        <f t="shared" si="25"/>
        <v>2.873193829916625E-3</v>
      </c>
      <c r="N19" s="14">
        <f t="shared" si="25"/>
        <v>4.6073356328051786E-3</v>
      </c>
      <c r="O19" s="14">
        <f t="shared" si="25"/>
        <v>4.2158901598624366E-3</v>
      </c>
      <c r="P19" s="14">
        <f t="shared" si="25"/>
        <v>2.3821054386013211E-5</v>
      </c>
      <c r="Q19" s="14">
        <f t="shared" si="25"/>
        <v>3.6855622546895207E-4</v>
      </c>
      <c r="R19" s="14">
        <f t="shared" si="25"/>
        <v>2.9870042368556722E-5</v>
      </c>
      <c r="S19" s="14">
        <f t="shared" si="25"/>
        <v>1.3360097496481892E-3</v>
      </c>
      <c r="T19" s="14">
        <f t="shared" si="25"/>
        <v>1.6688781966867596E-2</v>
      </c>
      <c r="U19" s="14">
        <f t="shared" si="25"/>
        <v>1.8748202760809614E-4</v>
      </c>
      <c r="V19" s="14">
        <f t="shared" si="25"/>
        <v>2.3394473192739536E-4</v>
      </c>
      <c r="W19" s="14">
        <f t="shared" si="25"/>
        <v>1.0959099784052484E-2</v>
      </c>
      <c r="X19" s="14">
        <f t="shared" si="25"/>
        <v>8.6346676822882121E-2</v>
      </c>
      <c r="Y19" s="14">
        <f t="shared" si="25"/>
        <v>3.5061183838375133E-3</v>
      </c>
      <c r="Z19" s="14">
        <f t="shared" si="25"/>
        <v>3.4205878279447842E-2</v>
      </c>
      <c r="AA19" s="14">
        <f t="shared" si="25"/>
        <v>9.6525592252829466E-3</v>
      </c>
      <c r="AB19" s="14">
        <f t="shared" si="25"/>
        <v>4.3209728479720412E-7</v>
      </c>
      <c r="AC19" s="14">
        <f t="shared" si="25"/>
        <v>1.0750810579255237E-2</v>
      </c>
      <c r="AD19" s="14">
        <f t="shared" si="25"/>
        <v>1.2567690104255271E-5</v>
      </c>
      <c r="AE19" s="14">
        <f t="shared" si="25"/>
        <v>3.0835882156048783E-2</v>
      </c>
      <c r="AF19" s="14">
        <f t="shared" si="25"/>
        <v>2.4035262433120905E-2</v>
      </c>
      <c r="AG19" s="14">
        <f t="shared" si="25"/>
        <v>6.9319650662206438E-4</v>
      </c>
      <c r="AH19" s="14">
        <f t="shared" si="25"/>
        <v>2.4988102995418992E-5</v>
      </c>
      <c r="AI19" s="14">
        <f t="shared" ref="AI19:BN19" si="26">AI11^2</f>
        <v>7.8779660257925624E-4</v>
      </c>
      <c r="AJ19" s="14">
        <f t="shared" si="26"/>
        <v>5.0105213836060746E-4</v>
      </c>
      <c r="AK19" s="14">
        <f t="shared" si="26"/>
        <v>2.2109580205685515E-3</v>
      </c>
      <c r="AL19" s="14">
        <f t="shared" si="26"/>
        <v>1.0314740717783251E-2</v>
      </c>
      <c r="AM19" s="14">
        <f t="shared" si="26"/>
        <v>5.5343262156863572E-4</v>
      </c>
      <c r="AN19" s="14">
        <f t="shared" si="26"/>
        <v>2.7588997976275898E-3</v>
      </c>
      <c r="AO19" s="14">
        <f t="shared" si="26"/>
        <v>3.4225885640141755E-3</v>
      </c>
      <c r="AP19" s="14">
        <f t="shared" si="26"/>
        <v>1.118725626162101E-3</v>
      </c>
      <c r="AQ19" s="14">
        <f t="shared" si="26"/>
        <v>2.0450045203045813E-4</v>
      </c>
      <c r="AR19" s="14">
        <f t="shared" si="26"/>
        <v>1.2890681145068224E-3</v>
      </c>
      <c r="AS19" s="14">
        <f t="shared" si="26"/>
        <v>1.5826302227352094E-3</v>
      </c>
      <c r="AT19" s="14">
        <f t="shared" si="26"/>
        <v>2.2039242020426623E-2</v>
      </c>
      <c r="AU19" s="14">
        <f t="shared" si="26"/>
        <v>1.6636034229909587E-3</v>
      </c>
      <c r="AV19" s="14">
        <f t="shared" si="26"/>
        <v>1.9309590933108238E-2</v>
      </c>
      <c r="AW19" s="14">
        <f t="shared" si="26"/>
        <v>3.5836126990842362E-3</v>
      </c>
      <c r="AX19" s="14">
        <f t="shared" si="26"/>
        <v>2.2436988075031212E-2</v>
      </c>
      <c r="AY19" s="14">
        <f t="shared" si="26"/>
        <v>3.7940489141036855E-3</v>
      </c>
      <c r="AZ19" s="14">
        <f t="shared" si="26"/>
        <v>3.8377717094877179E-3</v>
      </c>
      <c r="BA19" s="14">
        <f t="shared" si="26"/>
        <v>5.7085842824112805E-6</v>
      </c>
      <c r="BB19" s="14">
        <f t="shared" si="26"/>
        <v>2.2162365071883454E-2</v>
      </c>
      <c r="BC19" s="14">
        <f t="shared" si="26"/>
        <v>3.6421850194502817E-3</v>
      </c>
      <c r="BD19" s="14">
        <f t="shared" si="26"/>
        <v>2.1567132814367246E-4</v>
      </c>
      <c r="BE19" s="14">
        <f t="shared" si="26"/>
        <v>2.1466733042722119E-2</v>
      </c>
      <c r="BF19" s="14">
        <f t="shared" si="26"/>
        <v>4.3581843456671758E-2</v>
      </c>
      <c r="BG19" s="14">
        <f t="shared" si="26"/>
        <v>4.0579385301159648E-2</v>
      </c>
      <c r="BH19" s="14">
        <f t="shared" si="26"/>
        <v>1.3935782851325853E-2</v>
      </c>
      <c r="BI19" s="14">
        <f t="shared" si="26"/>
        <v>5.9330934213272886E-3</v>
      </c>
      <c r="BJ19" s="14">
        <f t="shared" si="26"/>
        <v>1.3119113666831017E-3</v>
      </c>
      <c r="BK19" s="14">
        <f t="shared" si="26"/>
        <v>3.5748481064286472E-4</v>
      </c>
      <c r="BL19" s="14">
        <f t="shared" si="26"/>
        <v>2.9328493400993451E-2</v>
      </c>
      <c r="BM19" s="14">
        <f t="shared" si="26"/>
        <v>1.7667061037884114E-2</v>
      </c>
      <c r="BN19" s="14">
        <f t="shared" si="26"/>
        <v>1.2893630347257589E-3</v>
      </c>
      <c r="BO19" s="14">
        <f t="shared" ref="BO19:CT19" si="27">BO11^2</f>
        <v>4.555884575901441E-4</v>
      </c>
      <c r="BP19" s="14">
        <f t="shared" si="27"/>
        <v>2.4636156414780219E-3</v>
      </c>
      <c r="BQ19" s="14">
        <f t="shared" si="27"/>
        <v>2.9622597057292401E-4</v>
      </c>
      <c r="BR19" s="14">
        <f t="shared" si="27"/>
        <v>3.6034382227143044E-2</v>
      </c>
      <c r="BS19" s="14">
        <f t="shared" si="27"/>
        <v>9.5267433223972416E-3</v>
      </c>
      <c r="BT19" s="14">
        <f t="shared" si="27"/>
        <v>1.4312181655934848E-3</v>
      </c>
      <c r="BU19" s="14">
        <f t="shared" si="27"/>
        <v>3.1369302523255979E-3</v>
      </c>
      <c r="BV19" s="14">
        <f t="shared" si="27"/>
        <v>1.3627535644839506E-2</v>
      </c>
      <c r="BW19" s="14">
        <f t="shared" si="27"/>
        <v>1.9972187007291264E-2</v>
      </c>
      <c r="BX19" s="14">
        <f t="shared" si="27"/>
        <v>1.140430378647656E-5</v>
      </c>
      <c r="BY19" s="14">
        <f t="shared" si="27"/>
        <v>1.6987488721731576E-2</v>
      </c>
      <c r="BZ19" s="14">
        <f t="shared" si="27"/>
        <v>1.0047461557265778E-3</v>
      </c>
      <c r="CA19" s="14">
        <f t="shared" si="27"/>
        <v>1.6447110645557072E-3</v>
      </c>
      <c r="CB19" s="14">
        <f t="shared" si="27"/>
        <v>1.767137228315438E-3</v>
      </c>
      <c r="CC19" s="14">
        <f t="shared" si="27"/>
        <v>2.5013725272755708E-3</v>
      </c>
      <c r="CD19" s="14">
        <f t="shared" si="27"/>
        <v>4.6862621773654262E-3</v>
      </c>
      <c r="CE19" s="14">
        <f t="shared" si="27"/>
        <v>6.5338267870204162E-3</v>
      </c>
      <c r="CF19" s="14">
        <f t="shared" si="27"/>
        <v>3.7959149352106796E-6</v>
      </c>
      <c r="CG19" s="14">
        <f t="shared" si="27"/>
        <v>1.3973368107735227E-2</v>
      </c>
      <c r="CH19" s="14">
        <f t="shared" si="27"/>
        <v>1.3483500252419256E-3</v>
      </c>
      <c r="CI19" s="14">
        <f t="shared" si="27"/>
        <v>6.944354409283488E-3</v>
      </c>
      <c r="CJ19" s="14">
        <f t="shared" si="27"/>
        <v>5.3209971579111864E-2</v>
      </c>
      <c r="CK19" s="14">
        <f t="shared" si="27"/>
        <v>1.7630136062643516E-2</v>
      </c>
      <c r="CL19" s="14">
        <f t="shared" si="27"/>
        <v>1.9962106501869858E-2</v>
      </c>
      <c r="CM19" s="14">
        <f t="shared" si="27"/>
        <v>1.2698898011967283E-2</v>
      </c>
      <c r="CN19" s="14">
        <f t="shared" si="27"/>
        <v>4.9947135394185591E-2</v>
      </c>
      <c r="CO19" s="14">
        <f t="shared" si="27"/>
        <v>1.0903362974249101E-2</v>
      </c>
      <c r="CP19" s="14">
        <f t="shared" si="27"/>
        <v>2.0817366158502797E-4</v>
      </c>
      <c r="CQ19" s="14">
        <f t="shared" si="27"/>
        <v>4.2945670995945519E-2</v>
      </c>
      <c r="CR19" s="14">
        <f t="shared" si="27"/>
        <v>1.818826329983373E-2</v>
      </c>
      <c r="CS19" s="14">
        <f t="shared" si="27"/>
        <v>5.330129925765671E-3</v>
      </c>
      <c r="CT19" s="14">
        <f t="shared" si="27"/>
        <v>9.1315039355651805E-4</v>
      </c>
      <c r="CU19" s="14">
        <f t="shared" ref="CU19:DZ19" si="28">CU11^2</f>
        <v>8.2305398372276448E-2</v>
      </c>
      <c r="CV19" s="14">
        <f t="shared" si="28"/>
        <v>5.323658125231813E-2</v>
      </c>
      <c r="CW19" s="14">
        <f t="shared" si="28"/>
        <v>8.2947828598525283E-3</v>
      </c>
      <c r="CX19" s="14">
        <f t="shared" si="28"/>
        <v>1.5002754583806925E-2</v>
      </c>
      <c r="CY19" s="14">
        <f t="shared" si="28"/>
        <v>6.1437262145754186E-3</v>
      </c>
      <c r="CZ19" s="14">
        <f t="shared" si="28"/>
        <v>2.1114120178055175E-3</v>
      </c>
      <c r="DA19" s="14">
        <f t="shared" si="28"/>
        <v>6.8343561034422563E-3</v>
      </c>
      <c r="DB19" s="14">
        <f t="shared" si="28"/>
        <v>2.2305204479499383E-2</v>
      </c>
      <c r="DC19" s="14">
        <f t="shared" si="28"/>
        <v>2.2847162154111663E-3</v>
      </c>
      <c r="DD19" s="14">
        <f t="shared" si="28"/>
        <v>2.7064678662887049E-2</v>
      </c>
      <c r="DE19" s="14">
        <f t="shared" si="28"/>
        <v>1.2225360760831885E-2</v>
      </c>
      <c r="DF19" s="14">
        <f t="shared" si="28"/>
        <v>3.2966966393763162E-3</v>
      </c>
      <c r="DG19" s="14">
        <f t="shared" si="28"/>
        <v>4.6177804713180344E-2</v>
      </c>
      <c r="DH19" s="14">
        <f t="shared" si="28"/>
        <v>3.9686415441255191E-3</v>
      </c>
      <c r="DI19" s="14">
        <f t="shared" si="28"/>
        <v>4.5861486060873721E-3</v>
      </c>
      <c r="DJ19" s="14">
        <f t="shared" si="28"/>
        <v>1.4113933508686947E-2</v>
      </c>
      <c r="DK19" s="14">
        <f t="shared" si="28"/>
        <v>5.3038165655135587E-5</v>
      </c>
      <c r="DL19" s="14">
        <f t="shared" si="28"/>
        <v>5.0866278425543898E-3</v>
      </c>
      <c r="DM19" s="14">
        <f t="shared" si="28"/>
        <v>4.4192030717479113E-4</v>
      </c>
      <c r="DN19" s="14">
        <f t="shared" si="28"/>
        <v>9.2435602590540443E-4</v>
      </c>
      <c r="DO19" s="14">
        <f t="shared" si="28"/>
        <v>9.3992359170593232E-3</v>
      </c>
      <c r="DP19" s="14">
        <f t="shared" si="28"/>
        <v>5.3211643863895493E-2</v>
      </c>
      <c r="DQ19" s="14">
        <f t="shared" si="28"/>
        <v>5.6731766595356822E-2</v>
      </c>
      <c r="DR19" s="14">
        <f t="shared" si="28"/>
        <v>1.2779732721999408E-5</v>
      </c>
      <c r="DS19" s="14">
        <f t="shared" si="28"/>
        <v>1.7944107252667544E-2</v>
      </c>
      <c r="DT19" s="14">
        <f t="shared" si="28"/>
        <v>1.3249413434882942E-2</v>
      </c>
      <c r="DU19" s="14">
        <f t="shared" si="28"/>
        <v>1.0832602517582508E-2</v>
      </c>
      <c r="DV19" s="14">
        <f t="shared" si="28"/>
        <v>2.9823682090757879E-3</v>
      </c>
      <c r="DW19" s="14">
        <f t="shared" si="28"/>
        <v>1.1082370139875364E-3</v>
      </c>
      <c r="DX19" s="14">
        <f t="shared" si="28"/>
        <v>3.0354498547830525E-3</v>
      </c>
      <c r="DY19" s="14">
        <f t="shared" si="28"/>
        <v>4.7325832565790213E-3</v>
      </c>
      <c r="DZ19" s="14">
        <f t="shared" si="28"/>
        <v>2.0969279010246204E-4</v>
      </c>
      <c r="EA19" s="14">
        <f t="shared" ref="EA19:EF19" si="29">EA11^2</f>
        <v>8.5929031587546431E-2</v>
      </c>
      <c r="EB19" s="14">
        <f t="shared" si="29"/>
        <v>1.987395609544565E-2</v>
      </c>
      <c r="EC19" s="14">
        <f t="shared" si="29"/>
        <v>1.4906851026839793E-4</v>
      </c>
      <c r="ED19" s="14">
        <f t="shared" si="29"/>
        <v>3.3834798795211859E-3</v>
      </c>
      <c r="EE19" s="14">
        <f t="shared" si="29"/>
        <v>2.0852230305009004E-2</v>
      </c>
      <c r="EF19" s="14">
        <f t="shared" si="29"/>
        <v>9.4107527241881761E-3</v>
      </c>
    </row>
    <row r="21" spans="1:136">
      <c r="A21" t="s">
        <v>206</v>
      </c>
      <c r="B21" s="10">
        <f>1-SUM(C13:EF15)/SUM(C17:EF19)</f>
        <v>-0.15876286240122006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topLeftCell="DJ8" zoomScale="84" zoomScaleNormal="50" workbookViewId="0">
      <selection activeCell="E15" sqref="E15"/>
    </sheetView>
  </sheetViews>
  <sheetFormatPr baseColWidth="10" defaultRowHeight="15"/>
  <sheetData>
    <row r="1" spans="1:136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2">
        <v>1.7782902345061299E-2</v>
      </c>
      <c r="D3" s="12">
        <v>7.24458247423172E-2</v>
      </c>
      <c r="E3" s="12">
        <v>-1.229359768331051E-2</v>
      </c>
      <c r="F3" s="12">
        <v>1.6895091161131859E-2</v>
      </c>
      <c r="G3" s="12">
        <v>1.759104989469051E-2</v>
      </c>
      <c r="H3" s="12">
        <v>-2.2279582917690281E-2</v>
      </c>
      <c r="I3" s="12">
        <v>-3.8912922143936157E-2</v>
      </c>
      <c r="J3" s="12">
        <v>-2.6365116238594059E-2</v>
      </c>
      <c r="K3" s="12">
        <v>-2.014501765370369E-2</v>
      </c>
      <c r="L3" s="12">
        <v>-1.624567806720734E-2</v>
      </c>
      <c r="M3" s="12">
        <v>-8.2549653947353363E-2</v>
      </c>
      <c r="N3" s="12">
        <v>-1.7867140471935269E-2</v>
      </c>
      <c r="O3" s="12">
        <v>7.6627731323242188E-2</v>
      </c>
      <c r="P3" s="12">
        <v>-3.9154563099145889E-2</v>
      </c>
      <c r="Q3" s="12">
        <v>-4.1649270802736282E-2</v>
      </c>
      <c r="R3" s="12">
        <v>-2.7908530086278919E-2</v>
      </c>
      <c r="S3" s="12">
        <v>-8.0156058073043823E-2</v>
      </c>
      <c r="T3" s="12">
        <v>-3.3881399780511863E-2</v>
      </c>
      <c r="U3" s="12">
        <v>-3.6820832639932632E-2</v>
      </c>
      <c r="V3" s="12">
        <v>-1.9809873774647709E-2</v>
      </c>
      <c r="W3" s="12">
        <v>9.6304804086685181E-2</v>
      </c>
      <c r="X3" s="12">
        <v>0.16748018562793729</v>
      </c>
      <c r="Y3" s="12">
        <v>-1.015750598162413E-2</v>
      </c>
      <c r="Z3" s="12">
        <v>2.5555314496159549E-3</v>
      </c>
      <c r="AA3" s="12">
        <v>-7.8297220170497894E-2</v>
      </c>
      <c r="AB3" s="12">
        <v>-4.162265732884407E-2</v>
      </c>
      <c r="AC3" s="12">
        <v>-1.579752191901207E-2</v>
      </c>
      <c r="AD3" s="12">
        <v>-3.0706796795129779E-2</v>
      </c>
      <c r="AE3" s="12">
        <v>7.2333263233304024E-4</v>
      </c>
      <c r="AF3" s="12">
        <v>6.8843632936477661E-2</v>
      </c>
      <c r="AG3" s="12">
        <v>-5.1157008856534958E-3</v>
      </c>
      <c r="AH3" s="12">
        <v>-1.048196759074926E-2</v>
      </c>
      <c r="AI3" s="12">
        <v>-4.066355898976326E-2</v>
      </c>
      <c r="AJ3" s="12">
        <v>-5.5654104799032211E-2</v>
      </c>
      <c r="AK3" s="12">
        <v>-3.4865595400333398E-2</v>
      </c>
      <c r="AL3" s="12">
        <v>0.14250144362449649</v>
      </c>
      <c r="AM3" s="12">
        <v>4.2415492236614227E-2</v>
      </c>
      <c r="AN3" s="12">
        <v>1.8945284187793732E-2</v>
      </c>
      <c r="AO3" s="12">
        <v>3.6709178239107132E-2</v>
      </c>
      <c r="AP3" s="12">
        <v>-1.1438022367656229E-2</v>
      </c>
      <c r="AQ3" s="12">
        <v>-8.599540451541543E-4</v>
      </c>
      <c r="AR3" s="12">
        <v>8.9694326743483543E-3</v>
      </c>
      <c r="AS3" s="12">
        <v>-2.16217041015625E-2</v>
      </c>
      <c r="AT3" s="12">
        <v>5.6848321110010147E-2</v>
      </c>
      <c r="AU3" s="12">
        <v>3.9384294301271439E-2</v>
      </c>
      <c r="AV3" s="12">
        <v>0.14884805679321289</v>
      </c>
      <c r="AW3" s="12">
        <v>5.9238158166408539E-2</v>
      </c>
      <c r="AX3" s="12">
        <v>8.3451211452484131E-2</v>
      </c>
      <c r="AY3" s="12">
        <v>6.8846635520458221E-2</v>
      </c>
      <c r="AZ3" s="12">
        <v>0.15779311954975131</v>
      </c>
      <c r="BA3" s="12">
        <v>7.3232002556324005E-2</v>
      </c>
      <c r="BB3" s="12">
        <v>1.6600910574197769E-2</v>
      </c>
      <c r="BC3" s="12">
        <v>5.6218259036540992E-2</v>
      </c>
      <c r="BD3" s="12">
        <v>2.0839734002947811E-2</v>
      </c>
      <c r="BE3" s="12">
        <v>8.9553870260715485E-2</v>
      </c>
      <c r="BF3" s="12">
        <v>4.3456017971038818E-2</v>
      </c>
      <c r="BG3" s="12">
        <v>7.1616403758525848E-2</v>
      </c>
      <c r="BH3" s="12">
        <v>7.97300785779953E-2</v>
      </c>
      <c r="BI3" s="12">
        <v>8.7966516613960266E-2</v>
      </c>
      <c r="BJ3" s="12">
        <v>0.1081216707825661</v>
      </c>
      <c r="BK3" s="12">
        <v>0.1129734814167023</v>
      </c>
      <c r="BL3" s="12">
        <v>5.063258484005928E-2</v>
      </c>
      <c r="BM3" s="12">
        <v>7.7567048370838165E-2</v>
      </c>
      <c r="BN3" s="12">
        <v>4.4190812855958939E-2</v>
      </c>
      <c r="BO3" s="12">
        <v>2.8505465015769001E-2</v>
      </c>
      <c r="BP3" s="12">
        <v>0.10330298542976379</v>
      </c>
      <c r="BQ3" s="12">
        <v>7.12384432554245E-2</v>
      </c>
      <c r="BR3" s="12">
        <v>5.2489206194877618E-2</v>
      </c>
      <c r="BS3" s="12">
        <v>4.9339123070240021E-2</v>
      </c>
      <c r="BT3" s="12">
        <v>5.840107798576355E-2</v>
      </c>
      <c r="BU3" s="12">
        <v>2.5098161771893501E-2</v>
      </c>
      <c r="BV3" s="12">
        <v>2.3363580927252769E-2</v>
      </c>
      <c r="BW3" s="12">
        <v>5.6408349424600601E-2</v>
      </c>
      <c r="BX3" s="12">
        <v>3.3264696598052979E-2</v>
      </c>
      <c r="BY3" s="12">
        <v>-2.413135394454002E-2</v>
      </c>
      <c r="BZ3" s="12">
        <v>2.0291766151785851E-2</v>
      </c>
      <c r="CA3" s="12">
        <v>8.7816245853900909E-2</v>
      </c>
      <c r="CB3" s="12">
        <v>-4.3355219066143043E-2</v>
      </c>
      <c r="CC3" s="12">
        <v>6.0557723045349121E-3</v>
      </c>
      <c r="CD3" s="12">
        <v>-6.7888110876083374E-2</v>
      </c>
      <c r="CE3" s="12">
        <v>-4.0715392678976059E-3</v>
      </c>
      <c r="CF3" s="12">
        <v>-8.1548932939767838E-5</v>
      </c>
      <c r="CG3" s="12">
        <v>-3.5091366618871689E-2</v>
      </c>
      <c r="CH3" s="12">
        <v>-9.0038077905774117E-3</v>
      </c>
      <c r="CI3" s="12">
        <v>-2.54166703671217E-2</v>
      </c>
      <c r="CJ3" s="12">
        <v>-0.1101485714316368</v>
      </c>
      <c r="CK3" s="12">
        <v>4.6726226806640618E-2</v>
      </c>
      <c r="CL3" s="12">
        <v>5.5295374244451523E-2</v>
      </c>
      <c r="CM3" s="12">
        <v>-4.3500862084329128E-3</v>
      </c>
      <c r="CN3" s="12">
        <v>-5.8284953236579902E-2</v>
      </c>
      <c r="CO3" s="12">
        <v>-3.2531678676605218E-2</v>
      </c>
      <c r="CP3" s="12">
        <v>3.5830866545438773E-2</v>
      </c>
      <c r="CQ3" s="12">
        <v>2.45636235922575E-2</v>
      </c>
      <c r="CR3" s="12">
        <v>1.170414220541716E-2</v>
      </c>
      <c r="CS3" s="12">
        <v>-0.1024853959679604</v>
      </c>
      <c r="CT3" s="12">
        <v>1.293086330406368E-3</v>
      </c>
      <c r="CU3" s="12">
        <v>-0.1111449897289276</v>
      </c>
      <c r="CV3" s="12">
        <v>-3.1775698065757751E-2</v>
      </c>
      <c r="CW3" s="12">
        <v>-3.6522049456834793E-2</v>
      </c>
      <c r="CX3" s="12">
        <v>-8.237186074256897E-2</v>
      </c>
      <c r="CY3" s="12">
        <v>-4.1168216615915298E-2</v>
      </c>
      <c r="CZ3" s="12">
        <v>-7.4366219341754913E-2</v>
      </c>
      <c r="DA3" s="12">
        <v>-4.7027502208948142E-2</v>
      </c>
      <c r="DB3" s="12">
        <v>7.3655758751556277E-4</v>
      </c>
      <c r="DC3" s="12">
        <v>1.1260370723903179E-2</v>
      </c>
      <c r="DD3" s="12">
        <v>1.315145520493388E-3</v>
      </c>
      <c r="DE3" s="12">
        <v>-1.406966615468264E-2</v>
      </c>
      <c r="DF3" s="12">
        <v>1.287776418030262E-2</v>
      </c>
      <c r="DG3" s="12">
        <v>-8.777957409620285E-3</v>
      </c>
      <c r="DH3" s="12">
        <v>-1.8724145367741581E-2</v>
      </c>
      <c r="DI3" s="12">
        <v>1.5026724431663749E-3</v>
      </c>
      <c r="DJ3" s="12">
        <v>5.74493408203125E-3</v>
      </c>
      <c r="DK3" s="12">
        <v>-3.1418703496456153E-2</v>
      </c>
      <c r="DL3" s="12">
        <v>1.568500883877277E-2</v>
      </c>
      <c r="DM3" s="12">
        <v>-1.7450746148824688E-2</v>
      </c>
      <c r="DN3" s="12">
        <v>2.129724808037281E-2</v>
      </c>
      <c r="DO3" s="12">
        <v>-4.1845731437206268E-2</v>
      </c>
      <c r="DP3" s="12">
        <v>-1.9574053585529332E-3</v>
      </c>
      <c r="DQ3" s="12">
        <v>3.9197877049446106E-3</v>
      </c>
      <c r="DR3" s="12">
        <v>7.5242564082145691E-2</v>
      </c>
      <c r="DS3" s="12">
        <v>4.159560427069664E-2</v>
      </c>
      <c r="DT3" s="12">
        <v>-1.3514737598598E-2</v>
      </c>
      <c r="DU3" s="12">
        <v>1.3495544902980329E-2</v>
      </c>
      <c r="DV3" s="12">
        <v>-3.9159540086984627E-2</v>
      </c>
      <c r="DW3" s="12">
        <v>-2.1635228767991069E-2</v>
      </c>
      <c r="DX3" s="12">
        <v>-2.5841465219855309E-2</v>
      </c>
      <c r="DY3" s="12">
        <v>-2.6736544445157051E-2</v>
      </c>
      <c r="DZ3" s="12">
        <v>-3.2960411161184311E-2</v>
      </c>
      <c r="EA3" s="12">
        <v>-4.8574574291706092E-2</v>
      </c>
      <c r="EB3" s="12">
        <v>-0.1051784828305244</v>
      </c>
      <c r="EC3" s="12">
        <v>-2.840211242437363E-2</v>
      </c>
      <c r="ED3" s="12">
        <v>-0.1028049290180206</v>
      </c>
      <c r="EE3" s="12">
        <v>-4.4087015092372887E-2</v>
      </c>
      <c r="EF3" s="12">
        <v>-3.865974023938179E-2</v>
      </c>
    </row>
    <row r="4" spans="1:136">
      <c r="A4" s="1"/>
      <c r="B4" s="2" t="s">
        <v>137</v>
      </c>
      <c r="C4" s="12">
        <v>-3.6521758884191513E-2</v>
      </c>
      <c r="D4" s="12">
        <v>-4.2547494173049927E-2</v>
      </c>
      <c r="E4" s="12">
        <v>-5.0075937062501907E-2</v>
      </c>
      <c r="F4" s="12">
        <v>-2.3984730243682861E-2</v>
      </c>
      <c r="G4" s="12">
        <v>5.823938176035881E-3</v>
      </c>
      <c r="H4" s="12">
        <v>-5.2601419389247887E-2</v>
      </c>
      <c r="I4" s="12">
        <v>1.76677480340004E-2</v>
      </c>
      <c r="J4" s="12">
        <v>-3.2669864594936371E-2</v>
      </c>
      <c r="K4" s="12">
        <v>-1.6252247150987391E-3</v>
      </c>
      <c r="L4" s="12">
        <v>-1.7513863742351529E-2</v>
      </c>
      <c r="M4" s="12">
        <v>1.9140448421239849E-2</v>
      </c>
      <c r="N4" s="12">
        <v>-5.8379219844937316E-3</v>
      </c>
      <c r="O4" s="12">
        <v>-7.4128787964582443E-3</v>
      </c>
      <c r="P4" s="12">
        <v>1.252019684761763E-2</v>
      </c>
      <c r="Q4" s="12">
        <v>-7.0506609976291656E-2</v>
      </c>
      <c r="R4" s="12">
        <v>-1.9896263256669041E-2</v>
      </c>
      <c r="S4" s="12">
        <v>-6.8290457129478455E-2</v>
      </c>
      <c r="T4" s="12">
        <v>-2.8186876326799389E-2</v>
      </c>
      <c r="U4" s="12">
        <v>-9.2675261199474335E-2</v>
      </c>
      <c r="V4" s="12">
        <v>-3.7623911630362268E-3</v>
      </c>
      <c r="W4" s="12">
        <v>-6.7103758454322815E-2</v>
      </c>
      <c r="X4" s="12">
        <v>-8.8999226689338684E-2</v>
      </c>
      <c r="Y4" s="12">
        <v>-5.2372239530086517E-2</v>
      </c>
      <c r="Z4" s="12">
        <v>-5.4307661950588233E-2</v>
      </c>
      <c r="AA4" s="12">
        <v>-5.4428402334451682E-2</v>
      </c>
      <c r="AB4" s="12">
        <v>-2.7171488851308819E-2</v>
      </c>
      <c r="AC4" s="12">
        <v>2.6723876595497131E-2</v>
      </c>
      <c r="AD4" s="12">
        <v>2.4525046348571781E-2</v>
      </c>
      <c r="AE4" s="12">
        <v>4.7622621059417718E-2</v>
      </c>
      <c r="AF4" s="12">
        <v>3.0552491545677189E-2</v>
      </c>
      <c r="AG4" s="12">
        <v>4.2735278606414788E-2</v>
      </c>
      <c r="AH4" s="12">
        <v>1.2865195982158181E-2</v>
      </c>
      <c r="AI4" s="12">
        <v>1.34605560451746E-2</v>
      </c>
      <c r="AJ4" s="12">
        <v>4.8744384199380868E-2</v>
      </c>
      <c r="AK4" s="12">
        <v>-9.5475828275084496E-3</v>
      </c>
      <c r="AL4" s="12">
        <v>-3.1309803016483779E-3</v>
      </c>
      <c r="AM4" s="12">
        <v>3.3569058869034052E-3</v>
      </c>
      <c r="AN4" s="12">
        <v>1.3093852438032631E-2</v>
      </c>
      <c r="AO4" s="12">
        <v>1.4211865141987801E-2</v>
      </c>
      <c r="AP4" s="12">
        <v>4.6501751989126212E-2</v>
      </c>
      <c r="AQ4" s="12">
        <v>4.9757853150367737E-2</v>
      </c>
      <c r="AR4" s="12">
        <v>4.9711927771568298E-2</v>
      </c>
      <c r="AS4" s="12">
        <v>3.4978423267602921E-2</v>
      </c>
      <c r="AT4" s="12">
        <v>-6.4586242660880089E-3</v>
      </c>
      <c r="AU4" s="12">
        <v>3.2456304877996438E-2</v>
      </c>
      <c r="AV4" s="12">
        <v>6.4564580097794533E-3</v>
      </c>
      <c r="AW4" s="12">
        <v>1.8101127352565529E-3</v>
      </c>
      <c r="AX4" s="12">
        <v>-7.6085492037236691E-3</v>
      </c>
      <c r="AY4" s="12">
        <v>-3.6388270556926727E-2</v>
      </c>
      <c r="AZ4" s="12">
        <v>2.9014702886343002E-4</v>
      </c>
      <c r="BA4" s="12">
        <v>-5.6847855448722839E-2</v>
      </c>
      <c r="BB4" s="12">
        <v>-2.2272480651736259E-2</v>
      </c>
      <c r="BC4" s="12">
        <v>-2.9052544385194778E-2</v>
      </c>
      <c r="BD4" s="12">
        <v>-8.3808884024620056E-2</v>
      </c>
      <c r="BE4" s="12">
        <v>-3.9183963090181351E-2</v>
      </c>
      <c r="BF4" s="12">
        <v>-7.6244287192821503E-2</v>
      </c>
      <c r="BG4" s="12">
        <v>-6.157601997256279E-2</v>
      </c>
      <c r="BH4" s="12">
        <v>-7.3015347123146057E-2</v>
      </c>
      <c r="BI4" s="12">
        <v>-2.5757784023880959E-2</v>
      </c>
      <c r="BJ4" s="12">
        <v>-3.5152539610862732E-2</v>
      </c>
      <c r="BK4" s="12">
        <v>-6.5942555665969849E-2</v>
      </c>
      <c r="BL4" s="12">
        <v>-5.3756937384605408E-2</v>
      </c>
      <c r="BM4" s="12">
        <v>-7.9431377351284027E-2</v>
      </c>
      <c r="BN4" s="12">
        <v>-4.1163329035043723E-2</v>
      </c>
      <c r="BO4" s="12">
        <v>-9.4712458550930023E-2</v>
      </c>
      <c r="BP4" s="12">
        <v>-4.3530568480491638E-2</v>
      </c>
      <c r="BQ4" s="12">
        <v>-2.8697127476334568E-2</v>
      </c>
      <c r="BR4" s="12">
        <v>-5.7418853044509888E-2</v>
      </c>
      <c r="BS4" s="12">
        <v>-1.9358741119503971E-2</v>
      </c>
      <c r="BT4" s="12">
        <v>-8.4144026041030884E-2</v>
      </c>
      <c r="BU4" s="12">
        <v>-9.0233713388442993E-2</v>
      </c>
      <c r="BV4" s="12">
        <v>-0.1029478386044502</v>
      </c>
      <c r="BW4" s="12">
        <v>-7.1088537573814392E-2</v>
      </c>
      <c r="BX4" s="12">
        <v>-3.5722147673368447E-2</v>
      </c>
      <c r="BY4" s="12">
        <v>5.9959013015031806E-3</v>
      </c>
      <c r="BZ4" s="12">
        <v>-5.1592431962490082E-2</v>
      </c>
      <c r="CA4" s="12">
        <v>-8.5648052394390106E-2</v>
      </c>
      <c r="CB4" s="12">
        <v>-3.4140449017286301E-2</v>
      </c>
      <c r="CC4" s="12">
        <v>-7.9050444066524506E-2</v>
      </c>
      <c r="CD4" s="12">
        <v>-0.1116790845990181</v>
      </c>
      <c r="CE4" s="12">
        <v>-8.4638349711894989E-2</v>
      </c>
      <c r="CF4" s="12">
        <v>-8.8114269077777863E-2</v>
      </c>
      <c r="CG4" s="12">
        <v>-9.862682968378067E-2</v>
      </c>
      <c r="CH4" s="12">
        <v>-7.5061611831188202E-2</v>
      </c>
      <c r="CI4" s="12">
        <v>-5.5998209863901138E-2</v>
      </c>
      <c r="CJ4" s="12">
        <v>-1.808877848088741E-2</v>
      </c>
      <c r="CK4" s="12">
        <v>-4.2210087180137627E-2</v>
      </c>
      <c r="CL4" s="12">
        <v>8.6977891623973846E-3</v>
      </c>
      <c r="CM4" s="12">
        <v>-2.1875450387597081E-2</v>
      </c>
      <c r="CN4" s="12">
        <v>-4.4229812920093543E-2</v>
      </c>
      <c r="CO4" s="12">
        <v>1.863288693130016E-2</v>
      </c>
      <c r="CP4" s="12">
        <v>-1.35243646800518E-2</v>
      </c>
      <c r="CQ4" s="12">
        <v>-1.276247948408127E-2</v>
      </c>
      <c r="CR4" s="12">
        <v>-4.5928843319416053E-2</v>
      </c>
      <c r="CS4" s="12">
        <v>-8.4556788206100464E-2</v>
      </c>
      <c r="CT4" s="12">
        <v>-2.845652773976326E-2</v>
      </c>
      <c r="CU4" s="12">
        <v>-3.161858394742012E-2</v>
      </c>
      <c r="CV4" s="12">
        <v>-2.4635819718241692E-2</v>
      </c>
      <c r="CW4" s="12">
        <v>4.8304800875484943E-3</v>
      </c>
      <c r="CX4" s="12">
        <v>3.0027653556317091E-3</v>
      </c>
      <c r="CY4" s="12">
        <v>-9.6548935398459435E-3</v>
      </c>
      <c r="CZ4" s="12">
        <v>2.7862859889864922E-2</v>
      </c>
      <c r="DA4" s="12">
        <v>-7.2389086708426484E-3</v>
      </c>
      <c r="DB4" s="12">
        <v>1.481384225189686E-2</v>
      </c>
      <c r="DC4" s="12">
        <v>1.8979338929057121E-2</v>
      </c>
      <c r="DD4" s="12">
        <v>-1.182493194937706E-2</v>
      </c>
      <c r="DE4" s="12">
        <v>-5.5287983268499367E-2</v>
      </c>
      <c r="DF4" s="12">
        <v>3.9528455585241318E-2</v>
      </c>
      <c r="DG4" s="12">
        <v>-3.136556595563889E-3</v>
      </c>
      <c r="DH4" s="12">
        <v>1.8514588009566069E-4</v>
      </c>
      <c r="DI4" s="12">
        <v>-1.5441306866705419E-2</v>
      </c>
      <c r="DJ4" s="12">
        <v>4.8156458884477622E-2</v>
      </c>
      <c r="DK4" s="12">
        <v>3.9779618382453918E-2</v>
      </c>
      <c r="DL4" s="12">
        <v>2.912280336022377E-2</v>
      </c>
      <c r="DM4" s="12">
        <v>5.5858355015516281E-2</v>
      </c>
      <c r="DN4" s="12">
        <v>2.2332454100251201E-2</v>
      </c>
      <c r="DO4" s="12">
        <v>9.3815820291638374E-3</v>
      </c>
      <c r="DP4" s="12">
        <v>-1.1177884414792061E-2</v>
      </c>
      <c r="DQ4" s="12">
        <v>3.2798897475004203E-2</v>
      </c>
      <c r="DR4" s="12">
        <v>3.2948967069387443E-2</v>
      </c>
      <c r="DS4" s="12">
        <v>-6.3791960477828979E-2</v>
      </c>
      <c r="DT4" s="12">
        <v>-2.437188662588596E-2</v>
      </c>
      <c r="DU4" s="12">
        <v>2.8318654745817181E-2</v>
      </c>
      <c r="DV4" s="12">
        <v>-1.027075573801994E-2</v>
      </c>
      <c r="DW4" s="12">
        <v>4.162212461233139E-2</v>
      </c>
      <c r="DX4" s="12">
        <v>1.6859399154782299E-2</v>
      </c>
      <c r="DY4" s="12">
        <v>-1.3820808380842211E-2</v>
      </c>
      <c r="DZ4" s="12">
        <v>2.5562329217791561E-2</v>
      </c>
      <c r="EA4" s="12">
        <v>3.5361301153898239E-2</v>
      </c>
      <c r="EB4" s="12">
        <v>2.7386909350752831E-2</v>
      </c>
      <c r="EC4" s="12">
        <v>4.2391747236251831E-2</v>
      </c>
      <c r="ED4" s="12">
        <v>7.1895502507686615E-2</v>
      </c>
      <c r="EE4" s="12">
        <v>5.7367391884326928E-2</v>
      </c>
      <c r="EF4" s="12">
        <v>2.790111489593983E-2</v>
      </c>
    </row>
    <row r="5" spans="1:136">
      <c r="A5" s="1"/>
      <c r="B5" s="2" t="s">
        <v>138</v>
      </c>
      <c r="C5" s="12">
        <v>1.4347599819302561E-2</v>
      </c>
      <c r="D5" s="12">
        <v>-9.652099572122097E-3</v>
      </c>
      <c r="E5" s="12">
        <v>-8.5699288174510002E-3</v>
      </c>
      <c r="F5" s="12">
        <v>3.9053350687026978E-2</v>
      </c>
      <c r="G5" s="12">
        <v>-3.5989873111248023E-2</v>
      </c>
      <c r="H5" s="12">
        <v>1.041566673666239E-2</v>
      </c>
      <c r="I5" s="12">
        <v>-2.0847762003540989E-2</v>
      </c>
      <c r="J5" s="12">
        <v>-1.209943555295467E-2</v>
      </c>
      <c r="K5" s="12">
        <v>2.9407145455479618E-2</v>
      </c>
      <c r="L5" s="12">
        <v>5.8111239224672318E-2</v>
      </c>
      <c r="M5" s="12">
        <v>7.5894221663475037E-2</v>
      </c>
      <c r="N5" s="12">
        <v>6.2360752373933792E-2</v>
      </c>
      <c r="O5" s="12">
        <v>9.9858760833740234E-2</v>
      </c>
      <c r="P5" s="12">
        <v>0.13152122497558591</v>
      </c>
      <c r="Q5" s="12">
        <v>7.957778126001358E-2</v>
      </c>
      <c r="R5" s="12">
        <v>4.847404733300209E-2</v>
      </c>
      <c r="S5" s="12">
        <v>2.7741687372326851E-2</v>
      </c>
      <c r="T5" s="12">
        <v>5.0201687961816788E-2</v>
      </c>
      <c r="U5" s="12">
        <v>6.4513184130191803E-2</v>
      </c>
      <c r="V5" s="12">
        <v>6.3523001968860626E-2</v>
      </c>
      <c r="W5" s="12">
        <v>9.5773497596383095E-3</v>
      </c>
      <c r="X5" s="12">
        <v>6.016424298286438E-2</v>
      </c>
      <c r="Y5" s="12">
        <v>9.0847745537757874E-2</v>
      </c>
      <c r="Z5" s="12">
        <v>0.1071524396538734</v>
      </c>
      <c r="AA5" s="12">
        <v>5.1187384873628623E-2</v>
      </c>
      <c r="AB5" s="12">
        <v>8.0967366695404053E-2</v>
      </c>
      <c r="AC5" s="12">
        <v>3.8304600864648819E-2</v>
      </c>
      <c r="AD5" s="12">
        <v>2.0053833723068241E-2</v>
      </c>
      <c r="AE5" s="12">
        <v>4.644785076379776E-2</v>
      </c>
      <c r="AF5" s="12">
        <v>6.0654930770397193E-2</v>
      </c>
      <c r="AG5" s="12">
        <v>6.7320100963115692E-2</v>
      </c>
      <c r="AH5" s="12">
        <v>1.78289357572794E-2</v>
      </c>
      <c r="AI5" s="12">
        <v>5.6440837681293488E-2</v>
      </c>
      <c r="AJ5" s="12">
        <v>4.2928591370582581E-2</v>
      </c>
      <c r="AK5" s="12">
        <v>7.9053483903408051E-2</v>
      </c>
      <c r="AL5" s="12">
        <v>1.9981823861598969E-2</v>
      </c>
      <c r="AM5" s="12">
        <v>4.9416512250900269E-2</v>
      </c>
      <c r="AN5" s="12">
        <v>4.2488358914852142E-2</v>
      </c>
      <c r="AO5" s="12">
        <v>5.0316029228270054E-3</v>
      </c>
      <c r="AP5" s="12">
        <v>2.6226455345749859E-2</v>
      </c>
      <c r="AQ5" s="12">
        <v>-1.0934568010270601E-2</v>
      </c>
      <c r="AR5" s="12">
        <v>-5.88986836373806E-2</v>
      </c>
      <c r="AS5" s="12">
        <v>1.9943690858781341E-5</v>
      </c>
      <c r="AT5" s="12">
        <v>3.1712550669908517E-2</v>
      </c>
      <c r="AU5" s="12">
        <v>5.4366020485758781E-3</v>
      </c>
      <c r="AV5" s="12">
        <v>-8.6811445653438568E-3</v>
      </c>
      <c r="AW5" s="12">
        <v>2.3753151297569271E-2</v>
      </c>
      <c r="AX5" s="12">
        <v>-1.039000414311886E-2</v>
      </c>
      <c r="AY5" s="12">
        <v>4.2606234550476067E-2</v>
      </c>
      <c r="AZ5" s="12">
        <v>2.2628717124462131E-2</v>
      </c>
      <c r="BA5" s="12">
        <v>1.7847366398200391E-3</v>
      </c>
      <c r="BB5" s="12">
        <v>1.147421263158321E-2</v>
      </c>
      <c r="BC5" s="12">
        <v>-5.5574686266481876E-3</v>
      </c>
      <c r="BD5" s="12">
        <v>1.7132017761468891E-2</v>
      </c>
      <c r="BE5" s="12">
        <v>2.4164538830518719E-2</v>
      </c>
      <c r="BF5" s="12">
        <v>5.6551066227257252E-3</v>
      </c>
      <c r="BG5" s="12">
        <v>2.693047933280468E-2</v>
      </c>
      <c r="BH5" s="12">
        <v>3.3954640384763479E-3</v>
      </c>
      <c r="BI5" s="12">
        <v>2.639448270201683E-2</v>
      </c>
      <c r="BJ5" s="12">
        <v>1.144836191087961E-2</v>
      </c>
      <c r="BK5" s="12">
        <v>2.6191858574748039E-2</v>
      </c>
      <c r="BL5" s="12">
        <v>2.184408716857433E-2</v>
      </c>
      <c r="BM5" s="12">
        <v>3.5668004304170609E-2</v>
      </c>
      <c r="BN5" s="12">
        <v>4.7217939049005508E-2</v>
      </c>
      <c r="BO5" s="12">
        <v>1.5824703499674801E-2</v>
      </c>
      <c r="BP5" s="12">
        <v>4.0294736623764038E-2</v>
      </c>
      <c r="BQ5" s="12">
        <v>5.4744470864534378E-2</v>
      </c>
      <c r="BR5" s="12">
        <v>6.7423462867736816E-2</v>
      </c>
      <c r="BS5" s="12">
        <v>3.5041853785514832E-2</v>
      </c>
      <c r="BT5" s="12">
        <v>-1.695315167307854E-2</v>
      </c>
      <c r="BU5" s="12">
        <v>4.2807679623365402E-2</v>
      </c>
      <c r="BV5" s="12">
        <v>2.4910405278205872E-2</v>
      </c>
      <c r="BW5" s="12">
        <v>3.5352393984794617E-2</v>
      </c>
      <c r="BX5" s="12">
        <v>3.8252223283052438E-2</v>
      </c>
      <c r="BY5" s="12">
        <v>9.0397186577320099E-3</v>
      </c>
      <c r="BZ5" s="12">
        <v>6.5005947835743427E-3</v>
      </c>
      <c r="CA5" s="12">
        <v>1.141073554754257E-2</v>
      </c>
      <c r="CB5" s="12">
        <v>1.485352218151093E-2</v>
      </c>
      <c r="CC5" s="12">
        <v>5.4167184978723533E-2</v>
      </c>
      <c r="CD5" s="12">
        <v>2.3807717487215999E-2</v>
      </c>
      <c r="CE5" s="12">
        <v>7.6829078607261181E-3</v>
      </c>
      <c r="CF5" s="12">
        <v>2.9735062271356578E-3</v>
      </c>
      <c r="CG5" s="12">
        <v>2.4837357923388481E-2</v>
      </c>
      <c r="CH5" s="12">
        <v>4.7171309590339661E-2</v>
      </c>
      <c r="CI5" s="12">
        <v>4.6639894135296336E-3</v>
      </c>
      <c r="CJ5" s="12">
        <v>2.852512896060944E-2</v>
      </c>
      <c r="CK5" s="12">
        <v>-9.7033102065324783E-3</v>
      </c>
      <c r="CL5" s="12">
        <v>1.245168037712574E-2</v>
      </c>
      <c r="CM5" s="12">
        <v>1.4197885990142821E-2</v>
      </c>
      <c r="CN5" s="12">
        <v>3.0705662444233891E-2</v>
      </c>
      <c r="CO5" s="12">
        <v>3.5640694200992577E-2</v>
      </c>
      <c r="CP5" s="12">
        <v>2.5331234559416771E-2</v>
      </c>
      <c r="CQ5" s="12">
        <v>1.1073682690039279E-3</v>
      </c>
      <c r="CR5" s="12">
        <v>1.5654526650905609E-2</v>
      </c>
      <c r="CS5" s="12">
        <v>-1.1859666556119921E-2</v>
      </c>
      <c r="CT5" s="12">
        <v>5.863029882311821E-2</v>
      </c>
      <c r="CU5" s="12">
        <v>-7.8350687399506569E-3</v>
      </c>
      <c r="CV5" s="12">
        <v>4.6454016119241708E-2</v>
      </c>
      <c r="CW5" s="12">
        <v>7.367561012506485E-2</v>
      </c>
      <c r="CX5" s="12">
        <v>-4.4749602675437927E-3</v>
      </c>
      <c r="CY5" s="12">
        <v>2.9276512563228611E-2</v>
      </c>
      <c r="CZ5" s="12">
        <v>3.3731676638126373E-2</v>
      </c>
      <c r="DA5" s="12">
        <v>4.2157959192991257E-2</v>
      </c>
      <c r="DB5" s="12">
        <v>1.5304354019463061E-2</v>
      </c>
      <c r="DC5" s="12">
        <v>3.0327405780553821E-2</v>
      </c>
      <c r="DD5" s="12">
        <v>5.3778979927301407E-2</v>
      </c>
      <c r="DE5" s="12">
        <v>7.7699399553239354E-3</v>
      </c>
      <c r="DF5" s="12">
        <v>9.4073504442349076E-4</v>
      </c>
      <c r="DG5" s="12">
        <v>-8.2107760012149811E-2</v>
      </c>
      <c r="DH5" s="12">
        <v>-5.2850812673568733E-2</v>
      </c>
      <c r="DI5" s="12">
        <v>-7.8471429646015167E-2</v>
      </c>
      <c r="DJ5" s="12">
        <v>-4.0412887930870063E-2</v>
      </c>
      <c r="DK5" s="12">
        <v>-2.3652749136090279E-2</v>
      </c>
      <c r="DL5" s="12">
        <v>-1.795239187777042E-2</v>
      </c>
      <c r="DM5" s="12">
        <v>-3.8529172539710999E-2</v>
      </c>
      <c r="DN5" s="12">
        <v>-6.0538295656442642E-2</v>
      </c>
      <c r="DO5" s="12">
        <v>2.2697450593113899E-2</v>
      </c>
      <c r="DP5" s="12">
        <v>-2.293764241039753E-2</v>
      </c>
      <c r="DQ5" s="12">
        <v>2.235623262822628E-2</v>
      </c>
      <c r="DR5" s="12">
        <v>2.08442397415638E-2</v>
      </c>
      <c r="DS5" s="12">
        <v>-2.133695874363184E-3</v>
      </c>
      <c r="DT5" s="12">
        <v>2.0560766570270061E-3</v>
      </c>
      <c r="DU5" s="12">
        <v>9.2165069654583931E-3</v>
      </c>
      <c r="DV5" s="12">
        <v>-2.4538150057196621E-2</v>
      </c>
      <c r="DW5" s="12">
        <v>-5.4349824786186218E-3</v>
      </c>
      <c r="DX5" s="12">
        <v>-1.1826856061816221E-2</v>
      </c>
      <c r="DY5" s="12">
        <v>-2.4313617497682571E-2</v>
      </c>
      <c r="DZ5" s="12">
        <v>1.7076117917895321E-2</v>
      </c>
      <c r="EA5" s="12">
        <v>2.1494723856449131E-2</v>
      </c>
      <c r="EB5" s="12">
        <v>1.5846351161599159E-2</v>
      </c>
      <c r="EC5" s="12">
        <v>4.5648753643035889E-2</v>
      </c>
      <c r="ED5" s="12">
        <v>1.9599819555878639E-2</v>
      </c>
      <c r="EE5" s="12">
        <v>-1.0369730181992051E-2</v>
      </c>
      <c r="EF5" s="12">
        <v>6.0753826983273029E-3</v>
      </c>
    </row>
    <row r="6" spans="1:136">
      <c r="A6" s="2" t="s">
        <v>139</v>
      </c>
      <c r="B6" s="1"/>
      <c r="C6" s="12">
        <f t="array" ref="C6">MATCH(MAX(ABS(C3:C5)),ABS(C3:C5),0)</f>
        <v>2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3</v>
      </c>
      <c r="L6" s="12">
        <f t="array" ref="L6">MATCH(MAX(ABS(L3:L5)),ABS(L3:L5),0)</f>
        <v>3</v>
      </c>
      <c r="M6" s="12">
        <f t="array" ref="M6">MATCH(MAX(ABS(M3:M5)),ABS(M3:M5),0)</f>
        <v>1</v>
      </c>
      <c r="N6" s="12">
        <f t="array" ref="N6">MATCH(MAX(ABS(N3:N5)),ABS(N3:N5),0)</f>
        <v>3</v>
      </c>
      <c r="O6" s="12">
        <f t="array" ref="O6">MATCH(MAX(ABS(O3:O5)),ABS(O3:O5),0)</f>
        <v>3</v>
      </c>
      <c r="P6" s="12">
        <f t="array" ref="P6">MATCH(MAX(ABS(P3:P5)),ABS(P3:P5),0)</f>
        <v>3</v>
      </c>
      <c r="Q6" s="12">
        <f t="array" ref="Q6">MATCH(MAX(ABS(Q3:Q5)),ABS(Q3:Q5),0)</f>
        <v>3</v>
      </c>
      <c r="R6" s="12">
        <f t="array" ref="R6">MATCH(MAX(ABS(R3:R5)),ABS(R3:R5),0)</f>
        <v>3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2</v>
      </c>
      <c r="V6" s="12">
        <f t="array" ref="V6">MATCH(MAX(ABS(V3:V5)),ABS(V3:V5),0)</f>
        <v>3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3</v>
      </c>
      <c r="Z6" s="12">
        <f t="array" ref="Z6">MATCH(MAX(ABS(Z3:Z5)),ABS(Z3:Z5),0)</f>
        <v>3</v>
      </c>
      <c r="AA6" s="12">
        <f t="array" ref="AA6">MATCH(MAX(ABS(AA3:AA5)),ABS(AA3:AA5),0)</f>
        <v>1</v>
      </c>
      <c r="AB6" s="12">
        <f t="array" ref="AB6">MATCH(MAX(ABS(AB3:AB5)),ABS(AB3:AB5),0)</f>
        <v>3</v>
      </c>
      <c r="AC6" s="12">
        <f t="array" ref="AC6">MATCH(MAX(ABS(AC3:AC5)),ABS(AC3:AC5),0)</f>
        <v>3</v>
      </c>
      <c r="AD6" s="12">
        <f t="array" ref="AD6">MATCH(MAX(ABS(AD3:AD5)),ABS(AD3:AD5),0)</f>
        <v>1</v>
      </c>
      <c r="AE6" s="12">
        <f t="array" ref="AE6">MATCH(MAX(ABS(AE3:AE5)),ABS(AE3:AE5),0)</f>
        <v>2</v>
      </c>
      <c r="AF6" s="12">
        <f t="array" ref="AF6">MATCH(MAX(ABS(AF3:AF5)),ABS(AF3:AF5),0)</f>
        <v>1</v>
      </c>
      <c r="AG6" s="12">
        <f t="array" ref="AG6">MATCH(MAX(ABS(AG3:AG5)),ABS(AG3:AG5),0)</f>
        <v>3</v>
      </c>
      <c r="AH6" s="12">
        <f t="array" ref="AH6">MATCH(MAX(ABS(AH3:AH5)),ABS(AH3:AH5),0)</f>
        <v>3</v>
      </c>
      <c r="AI6" s="12">
        <f t="array" ref="AI6">MATCH(MAX(ABS(AI3:AI5)),ABS(AI3:AI5),0)</f>
        <v>3</v>
      </c>
      <c r="AJ6" s="12">
        <f t="array" ref="AJ6">MATCH(MAX(ABS(AJ3:AJ5)),ABS(AJ3:AJ5),0)</f>
        <v>1</v>
      </c>
      <c r="AK6" s="12">
        <f t="array" ref="AK6">MATCH(MAX(ABS(AK3:AK5)),ABS(AK3:AK5),0)</f>
        <v>3</v>
      </c>
      <c r="AL6" s="12">
        <f t="array" ref="AL6">MATCH(MAX(ABS(AL3:AL5)),ABS(AL3:AL5),0)</f>
        <v>1</v>
      </c>
      <c r="AM6" s="12">
        <f t="array" ref="AM6">MATCH(MAX(ABS(AM3:AM5)),ABS(AM3:AM5),0)</f>
        <v>3</v>
      </c>
      <c r="AN6" s="12">
        <f t="array" ref="AN6">MATCH(MAX(ABS(AN3:AN5)),ABS(AN3:AN5),0)</f>
        <v>3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3</v>
      </c>
      <c r="AS6" s="12">
        <f t="array" ref="AS6">MATCH(MAX(ABS(AS3:AS5)),ABS(AS3:AS5),0)</f>
        <v>2</v>
      </c>
      <c r="AT6" s="12">
        <f t="array" ref="AT6">MATCH(MAX(ABS(AT3:AT5)),ABS(AT3:AT5),0)</f>
        <v>1</v>
      </c>
      <c r="AU6" s="12">
        <f t="array" ref="AU6">MATCH(MAX(ABS(AU3:AU5)),ABS(AU3:AU5),0)</f>
        <v>1</v>
      </c>
      <c r="AV6" s="12">
        <f t="array" ref="AV6">MATCH(MAX(ABS(AV3:AV5)),ABS(AV3:AV5),0)</f>
        <v>1</v>
      </c>
      <c r="AW6" s="12">
        <f t="array" ref="AW6">MATCH(MAX(ABS(AW3:AW5)),ABS(AW3:AW5),0)</f>
        <v>1</v>
      </c>
      <c r="AX6" s="12">
        <f t="array" ref="AX6">MATCH(MAX(ABS(AX3:AX5)),ABS(AX3:AX5),0)</f>
        <v>1</v>
      </c>
      <c r="AY6" s="12">
        <f t="array" ref="AY6">MATCH(MAX(ABS(AY3:AY5)),ABS(AY3:AY5),0)</f>
        <v>1</v>
      </c>
      <c r="AZ6" s="12">
        <f t="array" ref="AZ6">MATCH(MAX(ABS(AZ3:AZ5)),ABS(AZ3:AZ5),0)</f>
        <v>1</v>
      </c>
      <c r="BA6" s="12">
        <f t="array" ref="BA6">MATCH(MAX(ABS(BA3:BA5)),ABS(BA3:BA5),0)</f>
        <v>1</v>
      </c>
      <c r="BB6" s="12">
        <f t="array" ref="BB6">MATCH(MAX(ABS(BB3:BB5)),ABS(BB3:BB5),0)</f>
        <v>2</v>
      </c>
      <c r="BC6" s="12">
        <f t="array" ref="BC6">MATCH(MAX(ABS(BC3:BC5)),ABS(BC3:BC5),0)</f>
        <v>1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2</v>
      </c>
      <c r="BG6" s="12">
        <f t="array" ref="BG6">MATCH(MAX(ABS(BG3:BG5)),ABS(BG3:BG5),0)</f>
        <v>1</v>
      </c>
      <c r="BH6" s="12">
        <f t="array" ref="BH6">MATCH(MAX(ABS(BH3:BH5)),ABS(BH3:BH5),0)</f>
        <v>1</v>
      </c>
      <c r="BI6" s="12">
        <f t="array" ref="BI6">MATCH(MAX(ABS(BI3:BI5)),ABS(BI3:BI5),0)</f>
        <v>1</v>
      </c>
      <c r="BJ6" s="12">
        <f t="array" ref="BJ6">MATCH(MAX(ABS(BJ3:BJ5)),ABS(BJ3:BJ5),0)</f>
        <v>1</v>
      </c>
      <c r="BK6" s="12">
        <f t="array" ref="BK6">MATCH(MAX(ABS(BK3:BK5)),ABS(BK3:BK5),0)</f>
        <v>1</v>
      </c>
      <c r="BL6" s="12">
        <f t="array" ref="BL6">MATCH(MAX(ABS(BL3:BL5)),ABS(BL3:BL5),0)</f>
        <v>2</v>
      </c>
      <c r="BM6" s="12">
        <f t="array" ref="BM6">MATCH(MAX(ABS(BM3:BM5)),ABS(BM3:BM5),0)</f>
        <v>2</v>
      </c>
      <c r="BN6" s="12">
        <f t="array" ref="BN6">MATCH(MAX(ABS(BN3:BN5)),ABS(BN3:BN5),0)</f>
        <v>3</v>
      </c>
      <c r="BO6" s="12">
        <f t="array" ref="BO6">MATCH(MAX(ABS(BO3:BO5)),ABS(BO3:BO5),0)</f>
        <v>2</v>
      </c>
      <c r="BP6" s="12">
        <f t="array" ref="BP6">MATCH(MAX(ABS(BP3:BP5)),ABS(BP3:BP5),0)</f>
        <v>1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1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3</v>
      </c>
      <c r="BY6" s="12">
        <f t="array" ref="BY6">MATCH(MAX(ABS(BY3:BY5)),ABS(BY3:BY5),0)</f>
        <v>1</v>
      </c>
      <c r="BZ6" s="12">
        <f t="array" ref="BZ6">MATCH(MAX(ABS(BZ3:BZ5)),ABS(BZ3:BZ5),0)</f>
        <v>2</v>
      </c>
      <c r="CA6" s="12">
        <f t="array" ref="CA6">MATCH(MAX(ABS(CA3:CA5)),ABS(CA3:CA5),0)</f>
        <v>1</v>
      </c>
      <c r="CB6" s="12">
        <f t="array" ref="CB6">MATCH(MAX(ABS(CB3:CB5)),ABS(CB3:CB5),0)</f>
        <v>1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2</v>
      </c>
      <c r="CF6" s="12">
        <f t="array" ref="CF6">MATCH(MAX(ABS(CF3:CF5)),ABS(CF3:CF5),0)</f>
        <v>2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1</v>
      </c>
      <c r="CK6" s="12">
        <f t="array" ref="CK6">MATCH(MAX(ABS(CK3:CK5)),ABS(CK3:CK5),0)</f>
        <v>1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1</v>
      </c>
      <c r="CO6" s="12">
        <f t="array" ref="CO6">MATCH(MAX(ABS(CO3:CO5)),ABS(CO3:CO5),0)</f>
        <v>3</v>
      </c>
      <c r="CP6" s="12">
        <f t="array" ref="CP6">MATCH(MAX(ABS(CP3:CP5)),ABS(CP3:CP5),0)</f>
        <v>1</v>
      </c>
      <c r="CQ6" s="12">
        <f t="array" ref="CQ6">MATCH(MAX(ABS(CQ3:CQ5)),ABS(CQ3:CQ5),0)</f>
        <v>1</v>
      </c>
      <c r="CR6" s="12">
        <f t="array" ref="CR6">MATCH(MAX(ABS(CR3:CR5)),ABS(CR3:CR5),0)</f>
        <v>2</v>
      </c>
      <c r="CS6" s="12">
        <f t="array" ref="CS6">MATCH(MAX(ABS(CS3:CS5)),ABS(CS3:CS5),0)</f>
        <v>1</v>
      </c>
      <c r="CT6" s="12">
        <f t="array" ref="CT6">MATCH(MAX(ABS(CT3:CT5)),ABS(CT3:CT5),0)</f>
        <v>3</v>
      </c>
      <c r="CU6" s="12">
        <f t="array" ref="CU6">MATCH(MAX(ABS(CU3:CU5)),ABS(CU3:CU5),0)</f>
        <v>1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1</v>
      </c>
      <c r="CZ6" s="12">
        <f t="array" ref="CZ6">MATCH(MAX(ABS(CZ3:CZ5)),ABS(CZ3:CZ5),0)</f>
        <v>1</v>
      </c>
      <c r="DA6" s="12">
        <f t="array" ref="DA6">MATCH(MAX(ABS(DA3:DA5)),ABS(DA3:DA5),0)</f>
        <v>1</v>
      </c>
      <c r="DB6" s="12">
        <f t="array" ref="DB6">MATCH(MAX(ABS(DB3:DB5)),ABS(DB3:DB5),0)</f>
        <v>3</v>
      </c>
      <c r="DC6" s="12">
        <f t="array" ref="DC6">MATCH(MAX(ABS(DC3:DC5)),ABS(DC3:DC5),0)</f>
        <v>3</v>
      </c>
      <c r="DD6" s="12">
        <f t="array" ref="DD6">MATCH(MAX(ABS(DD3:DD5)),ABS(DD3:DD5),0)</f>
        <v>3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3</v>
      </c>
      <c r="DH6" s="12">
        <f t="array" ref="DH6">MATCH(MAX(ABS(DH3:DH5)),ABS(DH3:DH5),0)</f>
        <v>3</v>
      </c>
      <c r="DI6" s="12">
        <f t="array" ref="DI6">MATCH(MAX(ABS(DI3:DI5)),ABS(DI3:DI5),0)</f>
        <v>3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3</v>
      </c>
      <c r="DO6" s="12">
        <f t="array" ref="DO6">MATCH(MAX(ABS(DO3:DO5)),ABS(DO3:DO5),0)</f>
        <v>1</v>
      </c>
      <c r="DP6" s="12">
        <f t="array" ref="DP6">MATCH(MAX(ABS(DP3:DP5)),ABS(DP3:DP5),0)</f>
        <v>3</v>
      </c>
      <c r="DQ6" s="12">
        <f t="array" ref="DQ6">MATCH(MAX(ABS(DQ3:DQ5)),ABS(DQ3:DQ5),0)</f>
        <v>2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1</v>
      </c>
      <c r="DZ6" s="12">
        <f t="array" ref="DZ6">MATCH(MAX(ABS(DZ3:DZ5)),ABS(DZ3:DZ5),0)</f>
        <v>1</v>
      </c>
      <c r="EA6" s="12">
        <f t="array" ref="EA6">MATCH(MAX(ABS(EA3:EA5)),ABS(EA3:EA5),0)</f>
        <v>1</v>
      </c>
      <c r="EB6" s="12">
        <f t="array" ref="EB6">MATCH(MAX(ABS(EB3:EB5)),ABS(EB3:EB5),0)</f>
        <v>1</v>
      </c>
      <c r="EC6" s="12">
        <f t="array" ref="EC6">MATCH(MAX(ABS(EC3:EC5)),ABS(EC3:EC5),0)</f>
        <v>3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1</v>
      </c>
    </row>
    <row r="7" spans="1:136">
      <c r="C7" s="13" t="str">
        <f t="shared" ref="C7:BN7" si="0">IF(C6=1,"bm",IF(C6=2,"size",IF(C6=3,"mom")))</f>
        <v>size</v>
      </c>
      <c r="D7" s="13" t="str">
        <f t="shared" si="0"/>
        <v>bm</v>
      </c>
      <c r="E7" s="13" t="str">
        <f t="shared" si="0"/>
        <v>size</v>
      </c>
      <c r="F7" s="13" t="str">
        <f t="shared" si="0"/>
        <v>mom</v>
      </c>
      <c r="G7" s="13" t="str">
        <f t="shared" si="0"/>
        <v>mom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mom</v>
      </c>
      <c r="L7" s="13" t="str">
        <f t="shared" si="0"/>
        <v>mom</v>
      </c>
      <c r="M7" s="13" t="str">
        <f t="shared" si="0"/>
        <v>bm</v>
      </c>
      <c r="N7" s="13" t="str">
        <f t="shared" si="0"/>
        <v>mom</v>
      </c>
      <c r="O7" s="13" t="str">
        <f t="shared" si="0"/>
        <v>mom</v>
      </c>
      <c r="P7" s="13" t="str">
        <f t="shared" si="0"/>
        <v>mom</v>
      </c>
      <c r="Q7" s="13" t="str">
        <f t="shared" si="0"/>
        <v>mom</v>
      </c>
      <c r="R7" s="13" t="str">
        <f t="shared" si="0"/>
        <v>mom</v>
      </c>
      <c r="S7" s="13" t="str">
        <f t="shared" si="0"/>
        <v>bm</v>
      </c>
      <c r="T7" s="13" t="str">
        <f t="shared" si="0"/>
        <v>mom</v>
      </c>
      <c r="U7" s="13" t="str">
        <f t="shared" si="0"/>
        <v>size</v>
      </c>
      <c r="V7" s="13" t="str">
        <f t="shared" si="0"/>
        <v>mom</v>
      </c>
      <c r="W7" s="13" t="str">
        <f t="shared" si="0"/>
        <v>bm</v>
      </c>
      <c r="X7" s="13" t="str">
        <f t="shared" si="0"/>
        <v>bm</v>
      </c>
      <c r="Y7" s="13" t="str">
        <f t="shared" si="0"/>
        <v>mom</v>
      </c>
      <c r="Z7" s="13" t="str">
        <f t="shared" si="0"/>
        <v>mom</v>
      </c>
      <c r="AA7" s="13" t="str">
        <f t="shared" si="0"/>
        <v>bm</v>
      </c>
      <c r="AB7" s="13" t="str">
        <f t="shared" si="0"/>
        <v>mom</v>
      </c>
      <c r="AC7" s="13" t="str">
        <f t="shared" si="0"/>
        <v>mom</v>
      </c>
      <c r="AD7" s="13" t="str">
        <f t="shared" si="0"/>
        <v>bm</v>
      </c>
      <c r="AE7" s="13" t="str">
        <f t="shared" si="0"/>
        <v>size</v>
      </c>
      <c r="AF7" s="13" t="str">
        <f t="shared" si="0"/>
        <v>bm</v>
      </c>
      <c r="AG7" s="13" t="str">
        <f t="shared" si="0"/>
        <v>mom</v>
      </c>
      <c r="AH7" s="13" t="str">
        <f t="shared" si="0"/>
        <v>mom</v>
      </c>
      <c r="AI7" s="13" t="str">
        <f t="shared" si="0"/>
        <v>mom</v>
      </c>
      <c r="AJ7" s="13" t="str">
        <f t="shared" si="0"/>
        <v>bm</v>
      </c>
      <c r="AK7" s="13" t="str">
        <f t="shared" si="0"/>
        <v>mom</v>
      </c>
      <c r="AL7" s="13" t="str">
        <f t="shared" si="0"/>
        <v>bm</v>
      </c>
      <c r="AM7" s="13" t="str">
        <f t="shared" si="0"/>
        <v>mom</v>
      </c>
      <c r="AN7" s="13" t="str">
        <f t="shared" si="0"/>
        <v>mom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mom</v>
      </c>
      <c r="AS7" s="13" t="str">
        <f t="shared" si="0"/>
        <v>size</v>
      </c>
      <c r="AT7" s="13" t="str">
        <f t="shared" si="0"/>
        <v>bm</v>
      </c>
      <c r="AU7" s="13" t="str">
        <f t="shared" si="0"/>
        <v>bm</v>
      </c>
      <c r="AV7" s="13" t="str">
        <f t="shared" si="0"/>
        <v>bm</v>
      </c>
      <c r="AW7" s="13" t="str">
        <f t="shared" si="0"/>
        <v>bm</v>
      </c>
      <c r="AX7" s="13" t="str">
        <f t="shared" si="0"/>
        <v>bm</v>
      </c>
      <c r="AY7" s="13" t="str">
        <f t="shared" si="0"/>
        <v>bm</v>
      </c>
      <c r="AZ7" s="13" t="str">
        <f t="shared" si="0"/>
        <v>bm</v>
      </c>
      <c r="BA7" s="13" t="str">
        <f t="shared" si="0"/>
        <v>bm</v>
      </c>
      <c r="BB7" s="13" t="str">
        <f t="shared" si="0"/>
        <v>size</v>
      </c>
      <c r="BC7" s="13" t="str">
        <f t="shared" si="0"/>
        <v>bm</v>
      </c>
      <c r="BD7" s="13" t="str">
        <f t="shared" si="0"/>
        <v>size</v>
      </c>
      <c r="BE7" s="13" t="str">
        <f t="shared" si="0"/>
        <v>bm</v>
      </c>
      <c r="BF7" s="13" t="str">
        <f t="shared" si="0"/>
        <v>size</v>
      </c>
      <c r="BG7" s="13" t="str">
        <f t="shared" si="0"/>
        <v>bm</v>
      </c>
      <c r="BH7" s="13" t="str">
        <f t="shared" si="0"/>
        <v>bm</v>
      </c>
      <c r="BI7" s="13" t="str">
        <f t="shared" si="0"/>
        <v>bm</v>
      </c>
      <c r="BJ7" s="13" t="str">
        <f t="shared" si="0"/>
        <v>bm</v>
      </c>
      <c r="BK7" s="13" t="str">
        <f t="shared" si="0"/>
        <v>bm</v>
      </c>
      <c r="BL7" s="13" t="str">
        <f t="shared" si="0"/>
        <v>size</v>
      </c>
      <c r="BM7" s="13" t="str">
        <f t="shared" si="0"/>
        <v>size</v>
      </c>
      <c r="BN7" s="13" t="str">
        <f t="shared" si="0"/>
        <v>mom</v>
      </c>
      <c r="BO7" s="13" t="str">
        <f t="shared" ref="BO7:DZ7" si="1">IF(BO6=1,"bm",IF(BO6=2,"size",IF(BO6=3,"mom")))</f>
        <v>size</v>
      </c>
      <c r="BP7" s="13" t="str">
        <f t="shared" si="1"/>
        <v>bm</v>
      </c>
      <c r="BQ7" s="13" t="str">
        <f t="shared" si="1"/>
        <v>bm</v>
      </c>
      <c r="BR7" s="13" t="str">
        <f t="shared" si="1"/>
        <v>mom</v>
      </c>
      <c r="BS7" s="13" t="str">
        <f t="shared" si="1"/>
        <v>bm</v>
      </c>
      <c r="BT7" s="13" t="str">
        <f t="shared" si="1"/>
        <v>size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mom</v>
      </c>
      <c r="BY7" s="13" t="str">
        <f t="shared" si="1"/>
        <v>bm</v>
      </c>
      <c r="BZ7" s="13" t="str">
        <f t="shared" si="1"/>
        <v>size</v>
      </c>
      <c r="CA7" s="13" t="str">
        <f t="shared" si="1"/>
        <v>bm</v>
      </c>
      <c r="CB7" s="13" t="str">
        <f t="shared" si="1"/>
        <v>bm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size</v>
      </c>
      <c r="CF7" s="13" t="str">
        <f t="shared" si="1"/>
        <v>size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bm</v>
      </c>
      <c r="CK7" s="13" t="str">
        <f t="shared" si="1"/>
        <v>bm</v>
      </c>
      <c r="CL7" s="13" t="str">
        <f t="shared" si="1"/>
        <v>bm</v>
      </c>
      <c r="CM7" s="13" t="str">
        <f t="shared" si="1"/>
        <v>size</v>
      </c>
      <c r="CN7" s="13" t="str">
        <f t="shared" si="1"/>
        <v>bm</v>
      </c>
      <c r="CO7" s="13" t="str">
        <f t="shared" si="1"/>
        <v>mom</v>
      </c>
      <c r="CP7" s="13" t="str">
        <f t="shared" si="1"/>
        <v>bm</v>
      </c>
      <c r="CQ7" s="13" t="str">
        <f t="shared" si="1"/>
        <v>bm</v>
      </c>
      <c r="CR7" s="13" t="str">
        <f t="shared" si="1"/>
        <v>size</v>
      </c>
      <c r="CS7" s="13" t="str">
        <f t="shared" si="1"/>
        <v>bm</v>
      </c>
      <c r="CT7" s="13" t="str">
        <f t="shared" si="1"/>
        <v>mom</v>
      </c>
      <c r="CU7" s="13" t="str">
        <f t="shared" si="1"/>
        <v>bm</v>
      </c>
      <c r="CV7" s="13" t="str">
        <f t="shared" si="1"/>
        <v>mom</v>
      </c>
      <c r="CW7" s="13" t="str">
        <f t="shared" si="1"/>
        <v>mom</v>
      </c>
      <c r="CX7" s="13" t="str">
        <f t="shared" si="1"/>
        <v>bm</v>
      </c>
      <c r="CY7" s="13" t="str">
        <f t="shared" si="1"/>
        <v>bm</v>
      </c>
      <c r="CZ7" s="13" t="str">
        <f t="shared" si="1"/>
        <v>bm</v>
      </c>
      <c r="DA7" s="13" t="str">
        <f t="shared" si="1"/>
        <v>bm</v>
      </c>
      <c r="DB7" s="13" t="str">
        <f t="shared" si="1"/>
        <v>mom</v>
      </c>
      <c r="DC7" s="13" t="str">
        <f t="shared" si="1"/>
        <v>mom</v>
      </c>
      <c r="DD7" s="13" t="str">
        <f t="shared" si="1"/>
        <v>mom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mom</v>
      </c>
      <c r="DH7" s="13" t="str">
        <f t="shared" si="1"/>
        <v>mom</v>
      </c>
      <c r="DI7" s="13" t="str">
        <f t="shared" si="1"/>
        <v>mom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mom</v>
      </c>
      <c r="DO7" s="13" t="str">
        <f t="shared" si="1"/>
        <v>bm</v>
      </c>
      <c r="DP7" s="13" t="str">
        <f t="shared" si="1"/>
        <v>mom</v>
      </c>
      <c r="DQ7" s="13" t="str">
        <f t="shared" si="1"/>
        <v>size</v>
      </c>
      <c r="DR7" s="13" t="str">
        <f t="shared" si="1"/>
        <v>bm</v>
      </c>
      <c r="DS7" s="13" t="str">
        <f t="shared" si="1"/>
        <v>size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bm</v>
      </c>
      <c r="DW7" s="13" t="str">
        <f t="shared" si="1"/>
        <v>size</v>
      </c>
      <c r="DX7" s="13" t="str">
        <f t="shared" si="1"/>
        <v>bm</v>
      </c>
      <c r="DY7" s="13" t="str">
        <f t="shared" si="1"/>
        <v>bm</v>
      </c>
      <c r="DZ7" s="13" t="str">
        <f t="shared" si="1"/>
        <v>bm</v>
      </c>
      <c r="EA7" s="13" t="str">
        <f t="shared" ref="EA7:EF7" si="2">IF(EA6=1,"bm",IF(EA6=2,"size",IF(EA6=3,"mom")))</f>
        <v>bm</v>
      </c>
      <c r="EB7" s="13" t="str">
        <f t="shared" si="2"/>
        <v>bm</v>
      </c>
      <c r="EC7" s="13" t="str">
        <f t="shared" si="2"/>
        <v>mom</v>
      </c>
      <c r="ED7" s="13" t="str">
        <f t="shared" si="2"/>
        <v>bm</v>
      </c>
      <c r="EE7" s="13" t="str">
        <f t="shared" si="2"/>
        <v>size</v>
      </c>
      <c r="EF7" s="13" t="str">
        <f t="shared" si="2"/>
        <v>bm</v>
      </c>
    </row>
    <row r="8" spans="1:136">
      <c r="C8" s="12">
        <f t="shared" ref="C8:BN8" si="3">IF(C6=1,C3,IF(C6=2,C4,IF(C6=3,C5)))</f>
        <v>-3.6521758884191513E-2</v>
      </c>
      <c r="D8" s="12">
        <f t="shared" si="3"/>
        <v>7.24458247423172E-2</v>
      </c>
      <c r="E8" s="12">
        <f t="shared" si="3"/>
        <v>-5.0075937062501907E-2</v>
      </c>
      <c r="F8" s="12">
        <f t="shared" si="3"/>
        <v>3.9053350687026978E-2</v>
      </c>
      <c r="G8" s="12">
        <f t="shared" si="3"/>
        <v>-3.5989873111248023E-2</v>
      </c>
      <c r="H8" s="12">
        <f t="shared" si="3"/>
        <v>-5.2601419389247887E-2</v>
      </c>
      <c r="I8" s="12">
        <f t="shared" si="3"/>
        <v>-3.8912922143936157E-2</v>
      </c>
      <c r="J8" s="12">
        <f t="shared" si="3"/>
        <v>-3.2669864594936371E-2</v>
      </c>
      <c r="K8" s="12">
        <f t="shared" si="3"/>
        <v>2.9407145455479618E-2</v>
      </c>
      <c r="L8" s="12">
        <f t="shared" si="3"/>
        <v>5.8111239224672318E-2</v>
      </c>
      <c r="M8" s="12">
        <f t="shared" si="3"/>
        <v>-8.2549653947353363E-2</v>
      </c>
      <c r="N8" s="12">
        <f t="shared" si="3"/>
        <v>6.2360752373933792E-2</v>
      </c>
      <c r="O8" s="12">
        <f t="shared" si="3"/>
        <v>9.9858760833740234E-2</v>
      </c>
      <c r="P8" s="12">
        <f t="shared" si="3"/>
        <v>0.13152122497558591</v>
      </c>
      <c r="Q8" s="12">
        <f t="shared" si="3"/>
        <v>7.957778126001358E-2</v>
      </c>
      <c r="R8" s="12">
        <f t="shared" si="3"/>
        <v>4.847404733300209E-2</v>
      </c>
      <c r="S8" s="12">
        <f t="shared" si="3"/>
        <v>-8.0156058073043823E-2</v>
      </c>
      <c r="T8" s="12">
        <f t="shared" si="3"/>
        <v>5.0201687961816788E-2</v>
      </c>
      <c r="U8" s="12">
        <f t="shared" si="3"/>
        <v>-9.2675261199474335E-2</v>
      </c>
      <c r="V8" s="12">
        <f t="shared" si="3"/>
        <v>6.3523001968860626E-2</v>
      </c>
      <c r="W8" s="12">
        <f t="shared" si="3"/>
        <v>9.6304804086685181E-2</v>
      </c>
      <c r="X8" s="12">
        <f t="shared" si="3"/>
        <v>0.16748018562793729</v>
      </c>
      <c r="Y8" s="12">
        <f t="shared" si="3"/>
        <v>9.0847745537757874E-2</v>
      </c>
      <c r="Z8" s="12">
        <f t="shared" si="3"/>
        <v>0.1071524396538734</v>
      </c>
      <c r="AA8" s="12">
        <f t="shared" si="3"/>
        <v>-7.8297220170497894E-2</v>
      </c>
      <c r="AB8" s="12">
        <f t="shared" si="3"/>
        <v>8.0967366695404053E-2</v>
      </c>
      <c r="AC8" s="12">
        <f t="shared" si="3"/>
        <v>3.8304600864648819E-2</v>
      </c>
      <c r="AD8" s="12">
        <f t="shared" si="3"/>
        <v>-3.0706796795129779E-2</v>
      </c>
      <c r="AE8" s="12">
        <f t="shared" si="3"/>
        <v>4.7622621059417718E-2</v>
      </c>
      <c r="AF8" s="12">
        <f t="shared" si="3"/>
        <v>6.8843632936477661E-2</v>
      </c>
      <c r="AG8" s="12">
        <f t="shared" si="3"/>
        <v>6.7320100963115692E-2</v>
      </c>
      <c r="AH8" s="12">
        <f t="shared" si="3"/>
        <v>1.78289357572794E-2</v>
      </c>
      <c r="AI8" s="12">
        <f t="shared" si="3"/>
        <v>5.6440837681293488E-2</v>
      </c>
      <c r="AJ8" s="12">
        <f t="shared" si="3"/>
        <v>-5.5654104799032211E-2</v>
      </c>
      <c r="AK8" s="12">
        <f t="shared" si="3"/>
        <v>7.9053483903408051E-2</v>
      </c>
      <c r="AL8" s="12">
        <f t="shared" si="3"/>
        <v>0.14250144362449649</v>
      </c>
      <c r="AM8" s="12">
        <f t="shared" si="3"/>
        <v>4.9416512250900269E-2</v>
      </c>
      <c r="AN8" s="12">
        <f t="shared" si="3"/>
        <v>4.2488358914852142E-2</v>
      </c>
      <c r="AO8" s="12">
        <f t="shared" si="3"/>
        <v>3.6709178239107132E-2</v>
      </c>
      <c r="AP8" s="12">
        <f t="shared" si="3"/>
        <v>4.6501751989126212E-2</v>
      </c>
      <c r="AQ8" s="12">
        <f t="shared" si="3"/>
        <v>4.9757853150367737E-2</v>
      </c>
      <c r="AR8" s="12">
        <f t="shared" si="3"/>
        <v>-5.88986836373806E-2</v>
      </c>
      <c r="AS8" s="12">
        <f t="shared" si="3"/>
        <v>3.4978423267602921E-2</v>
      </c>
      <c r="AT8" s="12">
        <f t="shared" si="3"/>
        <v>5.6848321110010147E-2</v>
      </c>
      <c r="AU8" s="12">
        <f t="shared" si="3"/>
        <v>3.9384294301271439E-2</v>
      </c>
      <c r="AV8" s="12">
        <f t="shared" si="3"/>
        <v>0.14884805679321289</v>
      </c>
      <c r="AW8" s="12">
        <f t="shared" si="3"/>
        <v>5.9238158166408539E-2</v>
      </c>
      <c r="AX8" s="12">
        <f t="shared" si="3"/>
        <v>8.3451211452484131E-2</v>
      </c>
      <c r="AY8" s="12">
        <f t="shared" si="3"/>
        <v>6.8846635520458221E-2</v>
      </c>
      <c r="AZ8" s="12">
        <f t="shared" si="3"/>
        <v>0.15779311954975131</v>
      </c>
      <c r="BA8" s="12">
        <f t="shared" si="3"/>
        <v>7.3232002556324005E-2</v>
      </c>
      <c r="BB8" s="12">
        <f t="shared" si="3"/>
        <v>-2.2272480651736259E-2</v>
      </c>
      <c r="BC8" s="12">
        <f t="shared" si="3"/>
        <v>5.6218259036540992E-2</v>
      </c>
      <c r="BD8" s="12">
        <f t="shared" si="3"/>
        <v>-8.3808884024620056E-2</v>
      </c>
      <c r="BE8" s="12">
        <f t="shared" si="3"/>
        <v>8.9553870260715485E-2</v>
      </c>
      <c r="BF8" s="12">
        <f t="shared" si="3"/>
        <v>-7.6244287192821503E-2</v>
      </c>
      <c r="BG8" s="12">
        <f t="shared" si="3"/>
        <v>7.1616403758525848E-2</v>
      </c>
      <c r="BH8" s="12">
        <f t="shared" si="3"/>
        <v>7.97300785779953E-2</v>
      </c>
      <c r="BI8" s="12">
        <f t="shared" si="3"/>
        <v>8.7966516613960266E-2</v>
      </c>
      <c r="BJ8" s="12">
        <f t="shared" si="3"/>
        <v>0.1081216707825661</v>
      </c>
      <c r="BK8" s="12">
        <f t="shared" si="3"/>
        <v>0.1129734814167023</v>
      </c>
      <c r="BL8" s="12">
        <f t="shared" si="3"/>
        <v>-5.3756937384605408E-2</v>
      </c>
      <c r="BM8" s="12">
        <f t="shared" si="3"/>
        <v>-7.9431377351284027E-2</v>
      </c>
      <c r="BN8" s="12">
        <f t="shared" si="3"/>
        <v>4.7217939049005508E-2</v>
      </c>
      <c r="BO8" s="12">
        <f t="shared" ref="BO8:DZ8" si="4">IF(BO6=1,BO3,IF(BO6=2,BO4,IF(BO6=3,BO5)))</f>
        <v>-9.4712458550930023E-2</v>
      </c>
      <c r="BP8" s="12">
        <f t="shared" si="4"/>
        <v>0.10330298542976379</v>
      </c>
      <c r="BQ8" s="12">
        <f t="shared" si="4"/>
        <v>7.12384432554245E-2</v>
      </c>
      <c r="BR8" s="12">
        <f t="shared" si="4"/>
        <v>6.7423462867736816E-2</v>
      </c>
      <c r="BS8" s="12">
        <f t="shared" si="4"/>
        <v>4.9339123070240021E-2</v>
      </c>
      <c r="BT8" s="12">
        <f t="shared" si="4"/>
        <v>-8.4144026041030884E-2</v>
      </c>
      <c r="BU8" s="12">
        <f t="shared" si="4"/>
        <v>-9.0233713388442993E-2</v>
      </c>
      <c r="BV8" s="12">
        <f t="shared" si="4"/>
        <v>-0.1029478386044502</v>
      </c>
      <c r="BW8" s="12">
        <f t="shared" si="4"/>
        <v>-7.1088537573814392E-2</v>
      </c>
      <c r="BX8" s="12">
        <f t="shared" si="4"/>
        <v>3.8252223283052438E-2</v>
      </c>
      <c r="BY8" s="12">
        <f t="shared" si="4"/>
        <v>-2.413135394454002E-2</v>
      </c>
      <c r="BZ8" s="12">
        <f t="shared" si="4"/>
        <v>-5.1592431962490082E-2</v>
      </c>
      <c r="CA8" s="12">
        <f t="shared" si="4"/>
        <v>8.7816245853900909E-2</v>
      </c>
      <c r="CB8" s="12">
        <f t="shared" si="4"/>
        <v>-4.3355219066143043E-2</v>
      </c>
      <c r="CC8" s="12">
        <f t="shared" si="4"/>
        <v>-7.9050444066524506E-2</v>
      </c>
      <c r="CD8" s="12">
        <f t="shared" si="4"/>
        <v>-0.1116790845990181</v>
      </c>
      <c r="CE8" s="12">
        <f t="shared" si="4"/>
        <v>-8.4638349711894989E-2</v>
      </c>
      <c r="CF8" s="12">
        <f t="shared" si="4"/>
        <v>-8.8114269077777863E-2</v>
      </c>
      <c r="CG8" s="12">
        <f t="shared" si="4"/>
        <v>-9.862682968378067E-2</v>
      </c>
      <c r="CH8" s="12">
        <f t="shared" si="4"/>
        <v>-7.5061611831188202E-2</v>
      </c>
      <c r="CI8" s="12">
        <f t="shared" si="4"/>
        <v>-5.5998209863901138E-2</v>
      </c>
      <c r="CJ8" s="12">
        <f t="shared" si="4"/>
        <v>-0.1101485714316368</v>
      </c>
      <c r="CK8" s="12">
        <f t="shared" si="4"/>
        <v>4.6726226806640618E-2</v>
      </c>
      <c r="CL8" s="12">
        <f t="shared" si="4"/>
        <v>5.5295374244451523E-2</v>
      </c>
      <c r="CM8" s="12">
        <f t="shared" si="4"/>
        <v>-2.1875450387597081E-2</v>
      </c>
      <c r="CN8" s="12">
        <f t="shared" si="4"/>
        <v>-5.8284953236579902E-2</v>
      </c>
      <c r="CO8" s="12">
        <f t="shared" si="4"/>
        <v>3.5640694200992577E-2</v>
      </c>
      <c r="CP8" s="12">
        <f t="shared" si="4"/>
        <v>3.5830866545438773E-2</v>
      </c>
      <c r="CQ8" s="12">
        <f t="shared" si="4"/>
        <v>2.45636235922575E-2</v>
      </c>
      <c r="CR8" s="12">
        <f t="shared" si="4"/>
        <v>-4.5928843319416053E-2</v>
      </c>
      <c r="CS8" s="12">
        <f t="shared" si="4"/>
        <v>-0.1024853959679604</v>
      </c>
      <c r="CT8" s="12">
        <f t="shared" si="4"/>
        <v>5.863029882311821E-2</v>
      </c>
      <c r="CU8" s="12">
        <f t="shared" si="4"/>
        <v>-0.1111449897289276</v>
      </c>
      <c r="CV8" s="12">
        <f t="shared" si="4"/>
        <v>4.6454016119241708E-2</v>
      </c>
      <c r="CW8" s="12">
        <f t="shared" si="4"/>
        <v>7.367561012506485E-2</v>
      </c>
      <c r="CX8" s="12">
        <f t="shared" si="4"/>
        <v>-8.237186074256897E-2</v>
      </c>
      <c r="CY8" s="12">
        <f t="shared" si="4"/>
        <v>-4.1168216615915298E-2</v>
      </c>
      <c r="CZ8" s="12">
        <f t="shared" si="4"/>
        <v>-7.4366219341754913E-2</v>
      </c>
      <c r="DA8" s="12">
        <f t="shared" si="4"/>
        <v>-4.7027502208948142E-2</v>
      </c>
      <c r="DB8" s="12">
        <f t="shared" si="4"/>
        <v>1.5304354019463061E-2</v>
      </c>
      <c r="DC8" s="12">
        <f t="shared" si="4"/>
        <v>3.0327405780553821E-2</v>
      </c>
      <c r="DD8" s="12">
        <f t="shared" si="4"/>
        <v>5.3778979927301407E-2</v>
      </c>
      <c r="DE8" s="12">
        <f t="shared" si="4"/>
        <v>-5.5287983268499367E-2</v>
      </c>
      <c r="DF8" s="12">
        <f t="shared" si="4"/>
        <v>3.9528455585241318E-2</v>
      </c>
      <c r="DG8" s="12">
        <f t="shared" si="4"/>
        <v>-8.2107760012149811E-2</v>
      </c>
      <c r="DH8" s="12">
        <f t="shared" si="4"/>
        <v>-5.2850812673568733E-2</v>
      </c>
      <c r="DI8" s="12">
        <f t="shared" si="4"/>
        <v>-7.8471429646015167E-2</v>
      </c>
      <c r="DJ8" s="12">
        <f t="shared" si="4"/>
        <v>4.8156458884477622E-2</v>
      </c>
      <c r="DK8" s="12">
        <f t="shared" si="4"/>
        <v>3.9779618382453918E-2</v>
      </c>
      <c r="DL8" s="12">
        <f t="shared" si="4"/>
        <v>2.912280336022377E-2</v>
      </c>
      <c r="DM8" s="12">
        <f t="shared" si="4"/>
        <v>5.5858355015516281E-2</v>
      </c>
      <c r="DN8" s="12">
        <f t="shared" si="4"/>
        <v>-6.0538295656442642E-2</v>
      </c>
      <c r="DO8" s="12">
        <f t="shared" si="4"/>
        <v>-4.1845731437206268E-2</v>
      </c>
      <c r="DP8" s="12">
        <f t="shared" si="4"/>
        <v>-2.293764241039753E-2</v>
      </c>
      <c r="DQ8" s="12">
        <f t="shared" si="4"/>
        <v>3.2798897475004203E-2</v>
      </c>
      <c r="DR8" s="12">
        <f t="shared" si="4"/>
        <v>7.5242564082145691E-2</v>
      </c>
      <c r="DS8" s="12">
        <f t="shared" si="4"/>
        <v>-6.3791960477828979E-2</v>
      </c>
      <c r="DT8" s="12">
        <f t="shared" si="4"/>
        <v>-2.437188662588596E-2</v>
      </c>
      <c r="DU8" s="12">
        <f t="shared" si="4"/>
        <v>2.8318654745817181E-2</v>
      </c>
      <c r="DV8" s="12">
        <f t="shared" si="4"/>
        <v>-3.9159540086984627E-2</v>
      </c>
      <c r="DW8" s="12">
        <f t="shared" si="4"/>
        <v>4.162212461233139E-2</v>
      </c>
      <c r="DX8" s="12">
        <f t="shared" si="4"/>
        <v>-2.5841465219855309E-2</v>
      </c>
      <c r="DY8" s="12">
        <f t="shared" si="4"/>
        <v>-2.6736544445157051E-2</v>
      </c>
      <c r="DZ8" s="12">
        <f t="shared" si="4"/>
        <v>-3.2960411161184311E-2</v>
      </c>
      <c r="EA8" s="12">
        <f t="shared" ref="EA8:EF8" si="5">IF(EA6=1,EA3,IF(EA6=2,EA4,IF(EA6=3,EA5)))</f>
        <v>-4.8574574291706092E-2</v>
      </c>
      <c r="EB8" s="12">
        <f t="shared" si="5"/>
        <v>-0.1051784828305244</v>
      </c>
      <c r="EC8" s="12">
        <f t="shared" si="5"/>
        <v>4.5648753643035889E-2</v>
      </c>
      <c r="ED8" s="12">
        <f t="shared" si="5"/>
        <v>-0.1028049290180206</v>
      </c>
      <c r="EE8" s="12">
        <f t="shared" si="5"/>
        <v>5.7367391884326928E-2</v>
      </c>
      <c r="EF8" s="12">
        <f t="shared" si="5"/>
        <v>-3.865974023938179E-2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207</v>
      </c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184</v>
      </c>
    </row>
    <row r="12" spans="1:136">
      <c r="A12" s="2">
        <v>96</v>
      </c>
      <c r="B12" s="2" t="s">
        <v>189</v>
      </c>
      <c r="C12" s="12">
        <f t="array" ref="C12">PRODUCT(1+預測IC!$C12:C12)-1</f>
        <v>8.4653541666666721E-2</v>
      </c>
      <c r="D12" s="12">
        <f t="array" ref="D12">PRODUCT(1+預測IC!$C12:D12)-1</f>
        <v>0.10723797565216775</v>
      </c>
      <c r="E12" s="12">
        <f t="array" ref="E12">PRODUCT(1+預測IC!$C12:E12)-1</f>
        <v>0.16041449808151942</v>
      </c>
      <c r="F12" s="12">
        <f t="array" ref="F12">PRODUCT(1+預測IC!$C12:F12)-1</f>
        <v>9.5478416673911104E-2</v>
      </c>
      <c r="G12" s="12">
        <f t="array" ref="G12">PRODUCT(1+預測IC!$C12:G12)-1</f>
        <v>6.0480676353950491E-2</v>
      </c>
      <c r="H12" s="12">
        <f t="array" ref="H12">PRODUCT(1+預測IC!$C12:H12)-1</f>
        <v>0.10134175903435416</v>
      </c>
      <c r="I12" s="12">
        <f t="array" ref="I12">PRODUCT(1+預測IC!$C12:I12)-1</f>
        <v>6.1358717365147086E-2</v>
      </c>
      <c r="J12" s="12">
        <f t="array" ref="J12">PRODUCT(1+預測IC!$C12:J12)-1</f>
        <v>3.0146490265452242E-2</v>
      </c>
      <c r="K12" s="12">
        <f t="array" ref="K12">PRODUCT(1+預測IC!$C12:K12)-1</f>
        <v>6.0214404100756846E-2</v>
      </c>
      <c r="L12" s="12">
        <f t="array" ref="L12">PRODUCT(1+預測IC!$C12:L12)-1</f>
        <v>6.9500351293088514E-2</v>
      </c>
      <c r="M12" s="12">
        <f t="array" ref="M12">PRODUCT(1+預測IC!$C12:M12)-1</f>
        <v>8.6133011348402233E-2</v>
      </c>
      <c r="N12" s="12">
        <f t="array" ref="N12">PRODUCT(1+預測IC!$C12:N12)-1</f>
        <v>4.8440552700059536E-2</v>
      </c>
      <c r="O12" s="12">
        <f t="array" ref="O12">PRODUCT(1+預測IC!$C12:O12)-1</f>
        <v>7.7707518125005981E-2</v>
      </c>
      <c r="P12" s="12">
        <f t="array" ref="P12">PRODUCT(1+預測IC!$C12:P12)-1</f>
        <v>7.7433426810774586E-2</v>
      </c>
      <c r="Q12" s="12">
        <f t="array" ref="Q12">PRODUCT(1+預測IC!$C12:Q12)-1</f>
        <v>8.2945235078863533E-2</v>
      </c>
      <c r="R12" s="12">
        <f t="array" ref="R12">PRODUCT(1+預測IC!$C12:R12)-1</f>
        <v>9.7189742948457836E-2</v>
      </c>
      <c r="S12" s="12">
        <f t="array" ref="S12">PRODUCT(1+預測IC!$C12:S12)-1</f>
        <v>0.17514935003717591</v>
      </c>
      <c r="T12" s="12">
        <f t="array" ref="T12">PRODUCT(1+預測IC!$C12:T12)-1</f>
        <v>0.23140106578838315</v>
      </c>
      <c r="U12" s="12">
        <f t="array" ref="U12">PRODUCT(1+預測IC!$C12:U12)-1</f>
        <v>0.21147848448688156</v>
      </c>
      <c r="V12" s="12">
        <f t="array" ref="V12">PRODUCT(1+預測IC!$C12:V12)-1</f>
        <v>0.22300080020522817</v>
      </c>
      <c r="W12" s="12">
        <f t="array" ref="W12">PRODUCT(1+預測IC!$C12:W12)-1</f>
        <v>0.25024735256591413</v>
      </c>
      <c r="X12" s="12">
        <f t="array" ref="X12">PRODUCT(1+預測IC!$C12:X12)-1</f>
        <v>0.3109084474084205</v>
      </c>
      <c r="Y12" s="12">
        <f t="array" ref="Y12">PRODUCT(1+預測IC!$C12:Y12)-1</f>
        <v>0.3379110554869138</v>
      </c>
      <c r="Z12" s="12">
        <f t="array" ref="Z12">PRODUCT(1+預測IC!$C12:Z12)-1</f>
        <v>0.26679829069836947</v>
      </c>
      <c r="AA12" s="12">
        <f t="array" ref="AA12">PRODUCT(1+預測IC!$C12:AA12)-1</f>
        <v>0.31671478160855515</v>
      </c>
      <c r="AB12" s="12">
        <f t="array" ref="AB12">PRODUCT(1+預測IC!$C12:AB12)-1</f>
        <v>0.33084751535420143</v>
      </c>
      <c r="AC12" s="12">
        <f t="array" ref="AC12">PRODUCT(1+預測IC!$C12:AC12)-1</f>
        <v>0.26859985688162791</v>
      </c>
      <c r="AD12" s="12">
        <f t="array" ref="AD12">PRODUCT(1+預測IC!$C12:AD12)-1</f>
        <v>0.26118221397342434</v>
      </c>
      <c r="AE12" s="12">
        <f t="array" ref="AE12">PRODUCT(1+預測IC!$C12:AE12)-1</f>
        <v>0.3347305902830271</v>
      </c>
      <c r="AF12" s="12">
        <f t="array" ref="AF12">PRODUCT(1+預測IC!$C12:AF12)-1</f>
        <v>0.36200200765358703</v>
      </c>
      <c r="AG12" s="12">
        <f t="array" ref="AG12">PRODUCT(1+預測IC!$C12:AG12)-1</f>
        <v>0.35680606476138532</v>
      </c>
      <c r="AH12" s="12">
        <f t="array" ref="AH12">PRODUCT(1+預測IC!$C12:AH12)-1</f>
        <v>0.33548652524742462</v>
      </c>
      <c r="AI12" s="12">
        <f t="array" ref="AI12">PRODUCT(1+預測IC!$C12:AI12)-1</f>
        <v>0.34723051662666204</v>
      </c>
      <c r="AJ12" s="12">
        <f t="array" ref="AJ12">PRODUCT(1+預測IC!$C12:AJ12)-1</f>
        <v>0.32973841571244078</v>
      </c>
      <c r="AK12" s="12">
        <f t="array" ref="AK12">PRODUCT(1+預測IC!$C12:AK12)-1</f>
        <v>0.30783048567179949</v>
      </c>
      <c r="AL12" s="12">
        <f t="array" ref="AL12">PRODUCT(1+預測IC!$C12:AL12)-1</f>
        <v>0.33118703426757401</v>
      </c>
      <c r="AM12" s="12">
        <f t="array" ref="AM12">PRODUCT(1+預測IC!$C12:AM12)-1</f>
        <v>0.35342684592306761</v>
      </c>
      <c r="AN12" s="12">
        <f t="array" ref="AN12">PRODUCT(1+預測IC!$C12:AN12)-1</f>
        <v>0.38948975527079699</v>
      </c>
      <c r="AO12" s="12">
        <f t="array" ref="AO12">PRODUCT(1+預測IC!$C12:AO12)-1</f>
        <v>0.39258664036604163</v>
      </c>
      <c r="AP12" s="12">
        <f t="array" ref="AP12">PRODUCT(1+預測IC!$C12:AP12)-1</f>
        <v>0.39903942266195114</v>
      </c>
      <c r="AQ12" s="12">
        <f t="array" ref="AQ12">PRODUCT(1+預測IC!$C12:AQ12)-1</f>
        <v>0.40838730859104966</v>
      </c>
      <c r="AR12" s="12">
        <f t="array" ref="AR12">PRODUCT(1+預測IC!$C12:AR12)-1</f>
        <v>0.37708868083163583</v>
      </c>
      <c r="AS12" s="12">
        <f t="array" ref="AS12">PRODUCT(1+預測IC!$C12:AS12)-1</f>
        <v>0.38513551205731655</v>
      </c>
      <c r="AT12" s="12">
        <f t="array" ref="AT12">PRODUCT(1+預測IC!$C12:AT12)-1</f>
        <v>0.40429872987384075</v>
      </c>
      <c r="AU12" s="12">
        <f t="array" ref="AU12">PRODUCT(1+預測IC!$C12:AU12)-1</f>
        <v>0.43337987295678482</v>
      </c>
      <c r="AV12" s="12">
        <f t="array" ref="AV12">PRODUCT(1+預測IC!$C12:AV12)-1</f>
        <v>0.37409515993947884</v>
      </c>
      <c r="AW12" s="12">
        <f t="array" ref="AW12">PRODUCT(1+預測IC!$C12:AW12)-1</f>
        <v>0.37494912850194839</v>
      </c>
      <c r="AX12" s="12">
        <f t="array" ref="AX12">PRODUCT(1+預測IC!$C12:AX12)-1</f>
        <v>0.43489480305606287</v>
      </c>
      <c r="AY12" s="12">
        <f t="array" ref="AY12">PRODUCT(1+預測IC!$C12:AY12)-1</f>
        <v>0.47070302338760839</v>
      </c>
      <c r="AZ12" s="12">
        <f t="array" ref="AZ12">PRODUCT(1+預測IC!$C12:AZ12)-1</f>
        <v>0.46732036809015121</v>
      </c>
      <c r="BA12" s="12">
        <f t="array" ref="BA12">PRODUCT(1+預測IC!$C12:BA12)-1</f>
        <v>0.4745658319967736</v>
      </c>
      <c r="BB12" s="12">
        <f t="array" ref="BB12">PRODUCT(1+預測IC!$C12:BB12)-1</f>
        <v>0.48309630285530014</v>
      </c>
      <c r="BC12" s="12">
        <f t="array" ref="BC12">PRODUCT(1+預測IC!$C12:BC12)-1</f>
        <v>0.50129803090398761</v>
      </c>
      <c r="BD12" s="12">
        <f t="array" ref="BD12">PRODUCT(1+預測IC!$C12:BD12)-1</f>
        <v>0.57521285996490867</v>
      </c>
      <c r="BE12" s="12">
        <f t="array" ref="BE12">PRODUCT(1+預測IC!$C12:BE12)-1</f>
        <v>0.60452569653254984</v>
      </c>
      <c r="BF12" s="12">
        <f t="array" ref="BF12">PRODUCT(1+預測IC!$C12:BF12)-1</f>
        <v>0.56665777026915598</v>
      </c>
      <c r="BG12" s="12">
        <f t="array" ref="BG12">PRODUCT(1+預測IC!$C12:BG12)-1</f>
        <v>0.61940848854442421</v>
      </c>
      <c r="BH12" s="12">
        <f t="array" ref="BH12">PRODUCT(1+預測IC!$C12:BH12)-1</f>
        <v>0.64244191848238241</v>
      </c>
      <c r="BI12" s="12">
        <f t="array" ref="BI12">PRODUCT(1+預測IC!$C12:BI12)-1</f>
        <v>0.72459892127549552</v>
      </c>
      <c r="BJ12" s="12">
        <f t="array" ref="BJ12">PRODUCT(1+預測IC!$C12:BJ12)-1</f>
        <v>0.7232261520546226</v>
      </c>
      <c r="BK12" s="12">
        <f t="array" ref="BK12">PRODUCT(1+預測IC!$C12:BK12)-1</f>
        <v>0.68654786075759922</v>
      </c>
      <c r="BL12" s="12">
        <f t="array" ref="BL12">PRODUCT(1+預測IC!$C12:BL12)-1</f>
        <v>0.70520127334785387</v>
      </c>
      <c r="BM12" s="12">
        <f t="array" ref="BM12">PRODUCT(1+預測IC!$C12:BM12)-1</f>
        <v>0.65375272207898605</v>
      </c>
      <c r="BN12" s="12">
        <f t="array" ref="BN12">PRODUCT(1+預測IC!$C12:BN12)-1</f>
        <v>0.63460893485603842</v>
      </c>
      <c r="BO12" s="12">
        <f t="array" ref="BO12">PRODUCT(1+預測IC!$C12:BO12)-1</f>
        <v>0.66225648902690026</v>
      </c>
      <c r="BP12" s="12">
        <f t="array" ref="BP12">PRODUCT(1+預測IC!$C12:BP12)-1</f>
        <v>0.64478786001008692</v>
      </c>
      <c r="BQ12" s="12">
        <f t="array" ref="BQ12">PRODUCT(1+預測IC!$C12:BQ12)-1</f>
        <v>0.66764506507660148</v>
      </c>
      <c r="BR12" s="12">
        <f t="array" ref="BR12">PRODUCT(1+預測IC!$C12:BR12)-1</f>
        <v>0.7822016333789561</v>
      </c>
      <c r="BS12" s="12">
        <f t="array" ref="BS12">PRODUCT(1+預測IC!$C12:BS12)-1</f>
        <v>0.81581982565953304</v>
      </c>
      <c r="BT12" s="12">
        <f t="array" ref="BT12">PRODUCT(1+預測IC!$C12:BT12)-1</f>
        <v>0.77716433165946541</v>
      </c>
      <c r="BU12" s="12">
        <f t="array" ref="BU12">PRODUCT(1+預測IC!$C12:BU12)-1</f>
        <v>0.69171258736984265</v>
      </c>
      <c r="BV12" s="12">
        <f t="array" ref="BV12">PRODUCT(1+預測IC!$C12:BV12)-1</f>
        <v>0.74593757959299167</v>
      </c>
      <c r="BW12" s="12">
        <f t="array" ref="BW12">PRODUCT(1+預測IC!$C12:BW12)-1</f>
        <v>0.84281538197490669</v>
      </c>
      <c r="BX12" s="12">
        <f t="array" ref="BX12">PRODUCT(1+預測IC!$C12:BX12)-1</f>
        <v>0.82994303299966621</v>
      </c>
      <c r="BY12" s="12">
        <f t="array" ref="BY12">PRODUCT(1+預測IC!$C12:BY12)-1</f>
        <v>0.8910096965720482</v>
      </c>
      <c r="BZ12" s="12">
        <f t="array" ref="BZ12">PRODUCT(1+預測IC!$C12:BZ12)-1</f>
        <v>0.89815276902265473</v>
      </c>
      <c r="CA12" s="12">
        <f t="array" ref="CA12">PRODUCT(1+預測IC!$C12:CA12)-1</f>
        <v>0.83285576816259344</v>
      </c>
      <c r="CB12" s="12">
        <f t="array" ref="CB12">PRODUCT(1+預測IC!$C12:CB12)-1</f>
        <v>0.82929408561245532</v>
      </c>
      <c r="CC12" s="12">
        <f t="array" ref="CC12">PRODUCT(1+預測IC!$C12:CC12)-1</f>
        <v>0.94923365785030822</v>
      </c>
      <c r="CD12" s="12">
        <f t="array" ref="CD12">PRODUCT(1+預測IC!$C12:CD12)-1</f>
        <v>1.0355038563053105</v>
      </c>
      <c r="CE12" s="12">
        <f t="array" ref="CE12">PRODUCT(1+預測IC!$C12:CE12)-1</f>
        <v>1.3489860167508003</v>
      </c>
      <c r="CF12" s="12">
        <f t="array" ref="CF12">PRODUCT(1+預測IC!$C12:CF12)-1</f>
        <v>1.3585652796015273</v>
      </c>
      <c r="CG12" s="12">
        <f t="array" ref="CG12">PRODUCT(1+預測IC!$C12:CG12)-1</f>
        <v>1.3592936094735459</v>
      </c>
      <c r="CH12" s="12">
        <f t="array" ref="CH12">PRODUCT(1+預測IC!$C12:CH12)-1</f>
        <v>1.3369916985026946</v>
      </c>
      <c r="CI12" s="12">
        <f t="array" ref="CI12">PRODUCT(1+預測IC!$C12:CI12)-1</f>
        <v>1.2801064480088429</v>
      </c>
      <c r="CJ12" s="12">
        <f t="array" ref="CJ12">PRODUCT(1+預測IC!$C12:CJ12)-1</f>
        <v>1.2448897924087241</v>
      </c>
      <c r="CK12" s="12">
        <f t="array" ref="CK12">PRODUCT(1+預測IC!$C12:CK12)-1</f>
        <v>1.2736314400326503</v>
      </c>
      <c r="CL12" s="12">
        <f t="array" ref="CL12">PRODUCT(1+預測IC!$C12:CL12)-1</f>
        <v>1.5419554360448346</v>
      </c>
      <c r="CM12" s="12">
        <f t="array" ref="CM12">PRODUCT(1+預測IC!$C12:CM12)-1</f>
        <v>1.3596754657869989</v>
      </c>
      <c r="CN12" s="12">
        <f t="array" ref="CN12">PRODUCT(1+預測IC!$C12:CN12)-1</f>
        <v>1.4235842110657</v>
      </c>
      <c r="CO12" s="12">
        <f t="array" ref="CO12">PRODUCT(1+預測IC!$C12:CO12)-1</f>
        <v>1.3634313713991255</v>
      </c>
      <c r="CP12" s="12">
        <f t="array" ref="CP12">PRODUCT(1+預測IC!$C12:CP12)-1</f>
        <v>1.4704924998290827</v>
      </c>
      <c r="CQ12" s="12">
        <f t="array" ref="CQ12">PRODUCT(1+預測IC!$C12:CQ12)-1</f>
        <v>1.560843833056361</v>
      </c>
      <c r="CR12" s="12">
        <f t="array" ref="CR12">PRODUCT(1+預測IC!$C12:CR12)-1</f>
        <v>1.6841407277356124</v>
      </c>
      <c r="CS12" s="12">
        <f t="array" ref="CS12">PRODUCT(1+預測IC!$C12:CS12)-1</f>
        <v>1.7249440894210992</v>
      </c>
      <c r="CT12" s="12">
        <f t="array" ref="CT12">PRODUCT(1+預測IC!$C12:CT12)-1</f>
        <v>1.6995229137127383</v>
      </c>
      <c r="CU12" s="12">
        <f t="array" ref="CU12">PRODUCT(1+預測IC!$C12:CU12)-1</f>
        <v>1.603355877011055</v>
      </c>
      <c r="CV12" s="12">
        <f t="array" ref="CV12">PRODUCT(1+預測IC!$C12:CV12)-1</f>
        <v>1.7726607176780673</v>
      </c>
      <c r="CW12" s="12">
        <f t="array" ref="CW12">PRODUCT(1+預測IC!$C12:CW12)-1</f>
        <v>1.8088069787534065</v>
      </c>
      <c r="CX12" s="12">
        <f t="array" ref="CX12">PRODUCT(1+預測IC!$C12:CX12)-1</f>
        <v>1.6374981710501535</v>
      </c>
      <c r="CY12" s="12">
        <f t="array" ref="CY12">PRODUCT(1+預測IC!$C12:CY12)-1</f>
        <v>1.6532781701904584</v>
      </c>
      <c r="CZ12" s="12">
        <f t="array" ref="CZ12">PRODUCT(1+預測IC!$C12:CZ12)-1</f>
        <v>1.446873486252251</v>
      </c>
      <c r="DA12" s="12">
        <f t="array" ref="DA12">PRODUCT(1+預測IC!$C12:DA12)-1</f>
        <v>1.4331617355878032</v>
      </c>
      <c r="DB12" s="12">
        <f t="array" ref="DB12">PRODUCT(1+預測IC!$C12:DB12)-1</f>
        <v>1.5197464836670256</v>
      </c>
      <c r="DC12" s="12">
        <f t="array" ref="DC12">PRODUCT(1+預測IC!$C12:DC12)-1</f>
        <v>1.5084041880790631</v>
      </c>
      <c r="DD12" s="12">
        <f t="array" ref="DD12">PRODUCT(1+預測IC!$C12:DD12)-1</f>
        <v>1.3329148621587397</v>
      </c>
      <c r="DE12" s="12">
        <f t="array" ref="DE12">PRODUCT(1+預測IC!$C12:DE12)-1</f>
        <v>1.2460476594112211</v>
      </c>
      <c r="DF12" s="12">
        <f t="array" ref="DF12">PRODUCT(1+預測IC!$C12:DF12)-1</f>
        <v>1.1214232250178324</v>
      </c>
      <c r="DG12" s="12">
        <f t="array" ref="DG12">PRODUCT(1+預測IC!$C12:DG12)-1</f>
        <v>1.2219668517996292</v>
      </c>
      <c r="DH12" s="12">
        <f t="array" ref="DH12">PRODUCT(1+預測IC!$C12:DH12)-1</f>
        <v>1.1535232620435938</v>
      </c>
      <c r="DI12" s="12">
        <f t="array" ref="DI12">PRODUCT(1+預測IC!$C12:DI12)-1</f>
        <v>1.0889622399752916</v>
      </c>
      <c r="DJ12" s="12">
        <f t="array" ref="DJ12">PRODUCT(1+預測IC!$C12:DJ12)-1</f>
        <v>1.0573798944298285</v>
      </c>
      <c r="DK12" s="12">
        <f t="array" ref="DK12">PRODUCT(1+預測IC!$C12:DK12)-1</f>
        <v>1.1230683483199955</v>
      </c>
      <c r="DL12" s="12">
        <f t="array" ref="DL12">PRODUCT(1+預測IC!$C12:DL12)-1</f>
        <v>1.1165088190437267</v>
      </c>
      <c r="DM12" s="12">
        <f t="array" ref="DM12">PRODUCT(1+預測IC!$C12:DM12)-1</f>
        <v>1.1572253999667157</v>
      </c>
      <c r="DN12" s="12">
        <f t="array" ref="DN12">PRODUCT(1+預測IC!$C12:DN12)-1</f>
        <v>1.1972234727476811</v>
      </c>
      <c r="DO12" s="12">
        <f t="array" ref="DO12">PRODUCT(1+預測IC!$C12:DO12)-1</f>
        <v>1.1475668074274168</v>
      </c>
      <c r="DP12" s="12">
        <f t="array" ref="DP12">PRODUCT(1+預測IC!$C12:DP12)-1</f>
        <v>1.275150947929895</v>
      </c>
      <c r="DQ12" s="12">
        <f t="array" ref="DQ12">PRODUCT(1+預測IC!$C12:DQ12)-1</f>
        <v>1.3521922278261429</v>
      </c>
      <c r="DR12" s="12">
        <f t="array" ref="DR12">PRODUCT(1+預測IC!$C12:DR12)-1</f>
        <v>1.3963639122547051</v>
      </c>
      <c r="DS12" s="12">
        <f t="array" ref="DS12">PRODUCT(1+預測IC!$C12:DS12)-1</f>
        <v>1.563273080069282</v>
      </c>
      <c r="DT12" s="12">
        <f t="array" ref="DT12">PRODUCT(1+預測IC!$C12:DT12)-1</f>
        <v>1.6276570261845662</v>
      </c>
      <c r="DU12" s="12">
        <f t="array" ref="DU12">PRODUCT(1+預測IC!$C12:DU12)-1</f>
        <v>1.7780384399645106</v>
      </c>
      <c r="DV12" s="12">
        <f t="array" ref="DV12">PRODUCT(1+預測IC!$C12:DV12)-1</f>
        <v>1.6431623832739604</v>
      </c>
      <c r="DW12" s="12">
        <f t="array" ref="DW12">PRODUCT(1+預測IC!$C12:DW12)-1</f>
        <v>1.5243058411393808</v>
      </c>
      <c r="DX12" s="12">
        <f t="array" ref="DX12">PRODUCT(1+預測IC!$C12:DX12)-1</f>
        <v>1.6509050309977567</v>
      </c>
      <c r="DY12" s="12">
        <f t="array" ref="DY12">PRODUCT(1+預測IC!$C12:DY12)-1</f>
        <v>1.6101943663782472</v>
      </c>
      <c r="DZ12" s="12">
        <f t="array" ref="DZ12">PRODUCT(1+預測IC!$C12:DZ12)-1</f>
        <v>1.6209894137274934</v>
      </c>
      <c r="EA12" s="12">
        <f t="array" ref="EA12">PRODUCT(1+預測IC!$C12:EA12)-1</f>
        <v>1.4532357610825586</v>
      </c>
      <c r="EB12" s="12">
        <f t="array" ref="EB12">PRODUCT(1+預測IC!$C12:EB12)-1</f>
        <v>1.4462972086944625</v>
      </c>
      <c r="EC12" s="12">
        <f t="array" ref="EC12">PRODUCT(1+預測IC!$C12:EC12)-1</f>
        <v>1.4827076960691423</v>
      </c>
      <c r="ED12" s="12">
        <f t="array" ref="ED12">PRODUCT(1+預測IC!$C12:ED12)-1</f>
        <v>1.6329317527216936</v>
      </c>
      <c r="EE12" s="12">
        <f t="array" ref="EE12">PRODUCT(1+預測IC!$C12:EE12)-1</f>
        <v>1.7027220518999147</v>
      </c>
      <c r="EF12" s="12">
        <f t="array" ref="EF12">PRODUCT(1+預測IC!$C12:EF12)-1</f>
        <v>1.5966852169855974</v>
      </c>
    </row>
    <row r="13" spans="1:136">
      <c r="A13" s="2">
        <v>48</v>
      </c>
      <c r="B13" s="2" t="s">
        <v>190</v>
      </c>
      <c r="C13" s="12">
        <f t="array" ref="C13">PRODUCT(1+預測IC!$C13:C13)-1</f>
        <v>0.10411314583333331</v>
      </c>
      <c r="D13" s="12">
        <f t="array" ref="D13">PRODUCT(1+預測IC!$C13:D13)-1</f>
        <v>0.13710140846791607</v>
      </c>
      <c r="E13" s="12">
        <f t="array" ref="E13">PRODUCT(1+預測IC!$C13:E13)-1</f>
        <v>0.21654078161947066</v>
      </c>
      <c r="F13" s="12">
        <f t="array" ref="F13">PRODUCT(1+預測IC!$C13:F13)-1</f>
        <v>0.14356472554982491</v>
      </c>
      <c r="G13" s="12">
        <f t="array" ref="G13">PRODUCT(1+預測IC!$C13:G13)-1</f>
        <v>0.12978773895778639</v>
      </c>
      <c r="H13" s="12">
        <f t="array" ref="H13">PRODUCT(1+預測IC!$C13:H13)-1</f>
        <v>0.1636704733822878</v>
      </c>
      <c r="I13" s="12">
        <f t="array" ref="I13">PRODUCT(1+預測IC!$C13:I13)-1</f>
        <v>0.1256383907413674</v>
      </c>
      <c r="J13" s="12">
        <f t="array" ref="J13">PRODUCT(1+預測IC!$C13:J13)-1</f>
        <v>7.6224202083410297E-2</v>
      </c>
      <c r="K13" s="12">
        <f t="array" ref="K13">PRODUCT(1+預測IC!$C13:K13)-1</f>
        <v>0.14114865313837477</v>
      </c>
      <c r="L13" s="12">
        <f t="array" ref="L13">PRODUCT(1+預測IC!$C13:L13)-1</f>
        <v>0.16623163730640211</v>
      </c>
      <c r="M13" s="12">
        <f t="array" ref="M13">PRODUCT(1+預測IC!$C13:M13)-1</f>
        <v>0.15724155849196353</v>
      </c>
      <c r="N13" s="12">
        <f t="array" ref="N13">PRODUCT(1+預測IC!$C13:N13)-1</f>
        <v>0.10702604967722662</v>
      </c>
      <c r="O13" s="12">
        <f t="array" ref="O13">PRODUCT(1+預測IC!$C13:O13)-1</f>
        <v>0.12631343111662874</v>
      </c>
      <c r="P13" s="12">
        <f t="array" ref="P13">PRODUCT(1+預測IC!$C13:P13)-1</f>
        <v>0.11924283224052745</v>
      </c>
      <c r="Q13" s="12">
        <f t="array" ref="Q13">PRODUCT(1+預測IC!$C13:Q13)-1</f>
        <v>9.9704899016138882E-2</v>
      </c>
      <c r="R13" s="12">
        <f t="array" ref="R13">PRODUCT(1+預測IC!$C13:R13)-1</f>
        <v>0.11786180888016706</v>
      </c>
      <c r="S13" s="12">
        <f t="array" ref="S13">PRODUCT(1+預測IC!$C13:S13)-1</f>
        <v>0.25526412624546091</v>
      </c>
      <c r="T13" s="12">
        <f t="array" ref="T13">PRODUCT(1+預測IC!$C13:T13)-1</f>
        <v>0.34844750571190763</v>
      </c>
      <c r="U13" s="12">
        <f t="array" ref="U13">PRODUCT(1+預測IC!$C13:U13)-1</f>
        <v>0.35060004932086941</v>
      </c>
      <c r="V13" s="12">
        <f t="array" ref="V13">PRODUCT(1+預測IC!$C13:V13)-1</f>
        <v>0.3535938432832606</v>
      </c>
      <c r="W13" s="12">
        <f t="array" ref="W13">PRODUCT(1+預測IC!$C13:W13)-1</f>
        <v>0.39569479155064191</v>
      </c>
      <c r="X13" s="12">
        <f t="array" ref="X13">PRODUCT(1+預測IC!$C13:X13)-1</f>
        <v>0.49304585536722567</v>
      </c>
      <c r="Y13" s="12">
        <f t="array" ref="Y13">PRODUCT(1+預測IC!$C13:Y13)-1</f>
        <v>0.48306729432062467</v>
      </c>
      <c r="Z13" s="12">
        <f t="array" ref="Z13">PRODUCT(1+預測IC!$C13:Z13)-1</f>
        <v>0.36256599721692662</v>
      </c>
      <c r="AA13" s="12">
        <f t="array" ref="AA13">PRODUCT(1+預測IC!$C13:AA13)-1</f>
        <v>0.40633094985138518</v>
      </c>
      <c r="AB13" s="12">
        <f t="array" ref="AB13">PRODUCT(1+預測IC!$C13:AB13)-1</f>
        <v>0.42742812672039276</v>
      </c>
      <c r="AC13" s="12">
        <f t="array" ref="AC13">PRODUCT(1+預測IC!$C13:AC13)-1</f>
        <v>0.3321163235262794</v>
      </c>
      <c r="AD13" s="12">
        <f t="array" ref="AD13">PRODUCT(1+預測IC!$C13:AD13)-1</f>
        <v>0.32335227001875744</v>
      </c>
      <c r="AE13" s="12">
        <f t="array" ref="AE13">PRODUCT(1+預測IC!$C13:AE13)-1</f>
        <v>0.41032229195841619</v>
      </c>
      <c r="AF13" s="12">
        <f t="array" ref="AF13">PRODUCT(1+預測IC!$C13:AF13)-1</f>
        <v>0.4553686401194228</v>
      </c>
      <c r="AG13" s="12">
        <f t="array" ref="AG13">PRODUCT(1+預測IC!$C13:AG13)-1</f>
        <v>0.46978436881927488</v>
      </c>
      <c r="AH13" s="12">
        <f t="array" ref="AH13">PRODUCT(1+預測IC!$C13:AH13)-1</f>
        <v>0.43310559631162415</v>
      </c>
      <c r="AI13" s="12">
        <f t="array" ref="AI13">PRODUCT(1+預測IC!$C13:AI13)-1</f>
        <v>0.45982734972783956</v>
      </c>
      <c r="AJ13" s="12">
        <f t="array" ref="AJ13">PRODUCT(1+預測IC!$C13:AJ13)-1</f>
        <v>0.48359402508314764</v>
      </c>
      <c r="AK13" s="12">
        <f t="array" ref="AK13">PRODUCT(1+預測IC!$C13:AK13)-1</f>
        <v>0.42668426285364602</v>
      </c>
      <c r="AL13" s="12">
        <f t="array" ref="AL13">PRODUCT(1+預測IC!$C13:AL13)-1</f>
        <v>0.45971404169295638</v>
      </c>
      <c r="AM13" s="12">
        <f t="array" ref="AM13">PRODUCT(1+預測IC!$C13:AM13)-1</f>
        <v>0.43864437431893455</v>
      </c>
      <c r="AN13" s="12">
        <f t="array" ref="AN13">PRODUCT(1+預測IC!$C13:AN13)-1</f>
        <v>0.48177156698116375</v>
      </c>
      <c r="AO13" s="12">
        <f t="array" ref="AO13">PRODUCT(1+預測IC!$C13:AO13)-1</f>
        <v>0.49556862046533601</v>
      </c>
      <c r="AP13" s="12">
        <f t="array" ref="AP13">PRODUCT(1+預測IC!$C13:AP13)-1</f>
        <v>0.5054211461178455</v>
      </c>
      <c r="AQ13" s="12">
        <f t="array" ref="AQ13">PRODUCT(1+預測IC!$C13:AQ13)-1</f>
        <v>0.52210406644442076</v>
      </c>
      <c r="AR13" s="12">
        <f t="array" ref="AR13">PRODUCT(1+預測IC!$C13:AR13)-1</f>
        <v>0.49037117420706022</v>
      </c>
      <c r="AS13" s="12">
        <f t="array" ref="AS13">PRODUCT(1+預測IC!$C13:AS13)-1</f>
        <v>0.49325715378831436</v>
      </c>
      <c r="AT13" s="12">
        <f t="array" ref="AT13">PRODUCT(1+預測IC!$C13:AT13)-1</f>
        <v>0.55367894919132143</v>
      </c>
      <c r="AU13" s="12">
        <f t="array" ref="AU13">PRODUCT(1+預測IC!$C13:AU13)-1</f>
        <v>0.61734269431645106</v>
      </c>
      <c r="AV13" s="12">
        <f t="array" ref="AV13">PRODUCT(1+預測IC!$C13:AV13)-1</f>
        <v>0.60201760786767444</v>
      </c>
      <c r="AW13" s="12">
        <f t="array" ref="AW13">PRODUCT(1+預測IC!$C13:AW13)-1</f>
        <v>0.60855386146808144</v>
      </c>
      <c r="AX13" s="12">
        <f t="array" ref="AX13">PRODUCT(1+預測IC!$C13:AX13)-1</f>
        <v>0.71657434611881166</v>
      </c>
      <c r="AY13" s="12">
        <f t="array" ref="AY13">PRODUCT(1+預測IC!$C13:AY13)-1</f>
        <v>0.74672485246720699</v>
      </c>
      <c r="AZ13" s="12">
        <f t="array" ref="AZ13">PRODUCT(1+預測IC!$C13:AZ13)-1</f>
        <v>0.73257032444707271</v>
      </c>
      <c r="BA13" s="12">
        <f t="array" ref="BA13">PRODUCT(1+預測IC!$C13:BA13)-1</f>
        <v>0.7439029588391266</v>
      </c>
      <c r="BB13" s="12">
        <f t="array" ref="BB13">PRODUCT(1+預測IC!$C13:BB13)-1</f>
        <v>0.78932461897373907</v>
      </c>
      <c r="BC13" s="12">
        <f t="array" ref="BC13">PRODUCT(1+預測IC!$C13:BC13)-1</f>
        <v>0.80951494126139445</v>
      </c>
      <c r="BD13" s="12">
        <f t="array" ref="BD13">PRODUCT(1+預測IC!$C13:BD13)-1</f>
        <v>0.88492960539138221</v>
      </c>
      <c r="BE13" s="12">
        <f t="array" ref="BE13">PRODUCT(1+預測IC!$C13:BE13)-1</f>
        <v>0.93656123204203223</v>
      </c>
      <c r="BF13" s="12">
        <f t="array" ref="BF13">PRODUCT(1+預測IC!$C13:BF13)-1</f>
        <v>0.8856247495461953</v>
      </c>
      <c r="BG13" s="12">
        <f t="array" ref="BG13">PRODUCT(1+預測IC!$C13:BG13)-1</f>
        <v>0.97343162343088085</v>
      </c>
      <c r="BH13" s="12">
        <f t="array" ref="BH13">PRODUCT(1+預測IC!$C13:BH13)-1</f>
        <v>0.99015789667278553</v>
      </c>
      <c r="BI13" s="12">
        <f t="array" ref="BI13">PRODUCT(1+預測IC!$C13:BI13)-1</f>
        <v>1.0944603454892596</v>
      </c>
      <c r="BJ13" s="12">
        <f t="array" ref="BJ13">PRODUCT(1+預測IC!$C13:BJ13)-1</f>
        <v>1.059174791945602</v>
      </c>
      <c r="BK13" s="12">
        <f t="array" ref="BK13">PRODUCT(1+預測IC!$C13:BK13)-1</f>
        <v>1.0213044571151775</v>
      </c>
      <c r="BL13" s="12">
        <f t="array" ref="BL13">PRODUCT(1+預測IC!$C13:BL13)-1</f>
        <v>1.04883251829561</v>
      </c>
      <c r="BM13" s="12">
        <f t="array" ref="BM13">PRODUCT(1+預測IC!$C13:BM13)-1</f>
        <v>0.99309731630420939</v>
      </c>
      <c r="BN13" s="12">
        <f t="array" ref="BN13">PRODUCT(1+預測IC!$C13:BN13)-1</f>
        <v>0.92223729861460768</v>
      </c>
      <c r="BO13" s="12">
        <f t="array" ref="BO13">PRODUCT(1+預測IC!$C13:BO13)-1</f>
        <v>0.92878684165031222</v>
      </c>
      <c r="BP13" s="12">
        <f t="array" ref="BP13">PRODUCT(1+預測IC!$C13:BP13)-1</f>
        <v>0.94698050098744768</v>
      </c>
      <c r="BQ13" s="12">
        <f t="array" ref="BQ13">PRODUCT(1+預測IC!$C13:BQ13)-1</f>
        <v>1.0280782039918459</v>
      </c>
      <c r="BR13" s="12">
        <f t="array" ref="BR13">PRODUCT(1+預測IC!$C13:BR13)-1</f>
        <v>1.1899826415681636</v>
      </c>
      <c r="BS13" s="12">
        <f t="array" ref="BS13">PRODUCT(1+預測IC!$C13:BS13)-1</f>
        <v>1.2062311561078483</v>
      </c>
      <c r="BT13" s="12">
        <f t="array" ref="BT13">PRODUCT(1+預測IC!$C13:BT13)-1</f>
        <v>1.1319519953597545</v>
      </c>
      <c r="BU13" s="12">
        <f t="array" ref="BU13">PRODUCT(1+預測IC!$C13:BU13)-1</f>
        <v>0.97278436796485335</v>
      </c>
      <c r="BV13" s="12">
        <f t="array" ref="BV13">PRODUCT(1+預測IC!$C13:BV13)-1</f>
        <v>1.0348091605900862</v>
      </c>
      <c r="BW13" s="12">
        <f t="array" ref="BW13">PRODUCT(1+預測IC!$C13:BW13)-1</f>
        <v>1.2102714327774895</v>
      </c>
      <c r="BX13" s="12">
        <f t="array" ref="BX13">PRODUCT(1+預測IC!$C13:BX13)-1</f>
        <v>1.2086233686253949</v>
      </c>
      <c r="BY13" s="12">
        <f t="array" ref="BY13">PRODUCT(1+預測IC!$C13:BY13)-1</f>
        <v>1.2406757892552247</v>
      </c>
      <c r="BZ13" s="12">
        <f t="array" ref="BZ13">PRODUCT(1+預測IC!$C13:BZ13)-1</f>
        <v>1.2098469846013007</v>
      </c>
      <c r="CA13" s="12">
        <f t="array" ref="CA13">PRODUCT(1+預測IC!$C13:CA13)-1</f>
        <v>1.1357473554703033</v>
      </c>
      <c r="CB13" s="12">
        <f t="array" ref="CB13">PRODUCT(1+預測IC!$C13:CB13)-1</f>
        <v>1.1498343749558324</v>
      </c>
      <c r="CC13" s="12">
        <f t="array" ref="CC13">PRODUCT(1+預測IC!$C13:CC13)-1</f>
        <v>1.4080680012539122</v>
      </c>
      <c r="CD13" s="12">
        <f t="array" ref="CD13">PRODUCT(1+預測IC!$C13:CD13)-1</f>
        <v>1.5411278053865312</v>
      </c>
      <c r="CE13" s="12">
        <f t="array" ref="CE13">PRODUCT(1+預測IC!$C13:CE13)-1</f>
        <v>2.0082575593730128</v>
      </c>
      <c r="CF13" s="12">
        <f t="array" ref="CF13">PRODUCT(1+預測IC!$C13:CF13)-1</f>
        <v>2.0630955251270504</v>
      </c>
      <c r="CG13" s="12">
        <f t="array" ref="CG13">PRODUCT(1+預測IC!$C13:CG13)-1</f>
        <v>2.0862537397723235</v>
      </c>
      <c r="CH13" s="12">
        <f t="array" ref="CH13">PRODUCT(1+預測IC!$C13:CH13)-1</f>
        <v>2.00706741288068</v>
      </c>
      <c r="CI13" s="12">
        <f t="array" ref="CI13">PRODUCT(1+預測IC!$C13:CI13)-1</f>
        <v>1.9833261144780847</v>
      </c>
      <c r="CJ13" s="12">
        <f t="array" ref="CJ13">PRODUCT(1+預測IC!$C13:CJ13)-1</f>
        <v>1.9925925878386725</v>
      </c>
      <c r="CK13" s="12">
        <f t="array" ref="CK13">PRODUCT(1+預測IC!$C13:CK13)-1</f>
        <v>2.088491023031009</v>
      </c>
      <c r="CL13" s="12">
        <f t="array" ref="CL13">PRODUCT(1+預測IC!$C13:CL13)-1</f>
        <v>2.3400590130332528</v>
      </c>
      <c r="CM13" s="12">
        <f t="array" ref="CM13">PRODUCT(1+預測IC!$C13:CM13)-1</f>
        <v>2.001202232689999</v>
      </c>
      <c r="CN13" s="12">
        <f t="array" ref="CN13">PRODUCT(1+預測IC!$C13:CN13)-1</f>
        <v>2.0818972557973545</v>
      </c>
      <c r="CO13" s="12">
        <f t="array" ref="CO13">PRODUCT(1+預測IC!$C13:CO13)-1</f>
        <v>1.9730004377397772</v>
      </c>
      <c r="CP13" s="12">
        <f t="array" ref="CP13">PRODUCT(1+預測IC!$C13:CP13)-1</f>
        <v>2.1802974725075615</v>
      </c>
      <c r="CQ13" s="12">
        <f t="array" ref="CQ13">PRODUCT(1+預測IC!$C13:CQ13)-1</f>
        <v>2.3017369731042354</v>
      </c>
      <c r="CR13" s="12">
        <f t="array" ref="CR13">PRODUCT(1+預測IC!$C13:CR13)-1</f>
        <v>2.5143056196663505</v>
      </c>
      <c r="CS13" s="12">
        <f t="array" ref="CS13">PRODUCT(1+預測IC!$C13:CS13)-1</f>
        <v>2.476234967253808</v>
      </c>
      <c r="CT13" s="12">
        <f t="array" ref="CT13">PRODUCT(1+預測IC!$C13:CT13)-1</f>
        <v>2.4776551486892391</v>
      </c>
      <c r="CU13" s="12">
        <f t="array" ref="CU13">PRODUCT(1+預測IC!$C13:CU13)-1</f>
        <v>2.3484206067096474</v>
      </c>
      <c r="CV13" s="12">
        <f t="array" ref="CV13">PRODUCT(1+預測IC!$C13:CV13)-1</f>
        <v>2.6084457289741949</v>
      </c>
      <c r="CW13" s="12">
        <f t="array" ref="CW13">PRODUCT(1+預測IC!$C13:CW13)-1</f>
        <v>2.7394652170821092</v>
      </c>
      <c r="CX13" s="12">
        <f t="array" ref="CX13">PRODUCT(1+預測IC!$C13:CX13)-1</f>
        <v>2.5149729472437188</v>
      </c>
      <c r="CY13" s="12">
        <f t="array" ref="CY13">PRODUCT(1+預測IC!$C13:CY13)-1</f>
        <v>2.5610849638499089</v>
      </c>
      <c r="CZ13" s="12">
        <f t="array" ref="CZ13">PRODUCT(1+預測IC!$C13:CZ13)-1</f>
        <v>2.3573046531810791</v>
      </c>
      <c r="DA13" s="12">
        <f t="array" ref="DA13">PRODUCT(1+預測IC!$C13:DA13)-1</f>
        <v>2.3760507577059986</v>
      </c>
      <c r="DB13" s="12">
        <f t="array" ref="DB13">PRODUCT(1+預測IC!$C13:DB13)-1</f>
        <v>2.5831923533662384</v>
      </c>
      <c r="DC13" s="12">
        <f t="array" ref="DC13">PRODUCT(1+預測IC!$C13:DC13)-1</f>
        <v>2.5324906587495266</v>
      </c>
      <c r="DD13" s="12">
        <f t="array" ref="DD13">PRODUCT(1+預測IC!$C13:DD13)-1</f>
        <v>2.2888298424311264</v>
      </c>
      <c r="DE13" s="12">
        <f t="array" ref="DE13">PRODUCT(1+預測IC!$C13:DE13)-1</f>
        <v>2.1488444316043296</v>
      </c>
      <c r="DF13" s="12">
        <f t="array" ref="DF13">PRODUCT(1+預測IC!$C13:DF13)-1</f>
        <v>1.8871040199299678</v>
      </c>
      <c r="DG13" s="12">
        <f t="array" ref="DG13">PRODUCT(1+預測IC!$C13:DG13)-1</f>
        <v>2.0930577800112227</v>
      </c>
      <c r="DH13" s="12">
        <f t="array" ref="DH13">PRODUCT(1+預測IC!$C13:DH13)-1</f>
        <v>1.9730269808739269</v>
      </c>
      <c r="DI13" s="12">
        <f t="array" ref="DI13">PRODUCT(1+預測IC!$C13:DI13)-1</f>
        <v>1.8851133254650079</v>
      </c>
      <c r="DJ13" s="12">
        <f t="array" ref="DJ13">PRODUCT(1+預測IC!$C13:DJ13)-1</f>
        <v>1.8678492280711185</v>
      </c>
      <c r="DK13" s="12">
        <f t="array" ref="DK13">PRODUCT(1+預測IC!$C13:DK13)-1</f>
        <v>1.9234464883968245</v>
      </c>
      <c r="DL13" s="12">
        <f t="array" ref="DL13">PRODUCT(1+預測IC!$C13:DL13)-1</f>
        <v>1.844154032007443</v>
      </c>
      <c r="DM13" s="12">
        <f t="array" ref="DM13">PRODUCT(1+預測IC!$C13:DM13)-1</f>
        <v>1.842641060568833</v>
      </c>
      <c r="DN13" s="12">
        <f t="array" ref="DN13">PRODUCT(1+預測IC!$C13:DN13)-1</f>
        <v>1.8789583286076041</v>
      </c>
      <c r="DO13" s="12">
        <f t="array" ref="DO13">PRODUCT(1+預測IC!$C13:DO13)-1</f>
        <v>1.7439599063726186</v>
      </c>
      <c r="DP13" s="12">
        <f t="array" ref="DP13">PRODUCT(1+預測IC!$C13:DP13)-1</f>
        <v>1.9031982352429346</v>
      </c>
      <c r="DQ13" s="12">
        <f t="array" ref="DQ13">PRODUCT(1+預測IC!$C13:DQ13)-1</f>
        <v>2.0018098390669068</v>
      </c>
      <c r="DR13" s="12">
        <f t="array" ref="DR13">PRODUCT(1+預測IC!$C13:DR13)-1</f>
        <v>2.0431483905563819</v>
      </c>
      <c r="DS13" s="12">
        <f t="array" ref="DS13">PRODUCT(1+預測IC!$C13:DS13)-1</f>
        <v>2.2518982897195059</v>
      </c>
      <c r="DT13" s="12">
        <f t="array" ref="DT13">PRODUCT(1+預測IC!$C13:DT13)-1</f>
        <v>2.4171966833982159</v>
      </c>
      <c r="DU13" s="12">
        <f t="array" ref="DU13">PRODUCT(1+預測IC!$C13:DU13)-1</f>
        <v>2.5299845347472623</v>
      </c>
      <c r="DV13" s="12">
        <f t="array" ref="DV13">PRODUCT(1+預測IC!$C13:DV13)-1</f>
        <v>2.2489266576875266</v>
      </c>
      <c r="DW13" s="12">
        <f t="array" ref="DW13">PRODUCT(1+預測IC!$C13:DW13)-1</f>
        <v>2.1123792113408784</v>
      </c>
      <c r="DX13" s="12">
        <f t="array" ref="DX13">PRODUCT(1+預測IC!$C13:DX13)-1</f>
        <v>2.3132004365864463</v>
      </c>
      <c r="DY13" s="12">
        <f t="array" ref="DY13">PRODUCT(1+預測IC!$C13:DY13)-1</f>
        <v>2.1959593779902984</v>
      </c>
      <c r="DZ13" s="12">
        <f t="array" ref="DZ13">PRODUCT(1+預測IC!$C13:DZ13)-1</f>
        <v>2.2426485556520444</v>
      </c>
      <c r="EA13" s="12">
        <f t="array" ref="EA13">PRODUCT(1+預測IC!$C13:EA13)-1</f>
        <v>2.0051476721389792</v>
      </c>
      <c r="EB13" s="12">
        <f t="array" ref="EB13">PRODUCT(1+預測IC!$C13:EB13)-1</f>
        <v>1.9409179952209747</v>
      </c>
      <c r="EC13" s="12">
        <f t="array" ref="EC13">PRODUCT(1+預測IC!$C13:EC13)-1</f>
        <v>2.0055736436532143</v>
      </c>
      <c r="ED13" s="12">
        <f t="array" ref="ED13">PRODUCT(1+預測IC!$C13:ED13)-1</f>
        <v>2.2029860132153729</v>
      </c>
      <c r="EE13" s="12">
        <f t="array" ref="EE13">PRODUCT(1+預測IC!$C13:EE13)-1</f>
        <v>2.3350591396040503</v>
      </c>
      <c r="EF13" s="12">
        <f t="array" ref="EF13">PRODUCT(1+預測IC!$C13:EF13)-1</f>
        <v>2.1130201890164351</v>
      </c>
    </row>
    <row r="14" spans="1:136">
      <c r="A14" s="2">
        <v>19</v>
      </c>
      <c r="B14" s="2" t="s">
        <v>191</v>
      </c>
      <c r="C14" s="12">
        <f t="array" ref="C14">PRODUCT(1+預測IC!$C14:C14)-1</f>
        <v>0.11994163157894744</v>
      </c>
      <c r="D14" s="12">
        <f t="array" ref="D14">PRODUCT(1+預測IC!$C14:D14)-1</f>
        <v>0.21328575565647134</v>
      </c>
      <c r="E14" s="12">
        <f t="array" ref="E14">PRODUCT(1+預測IC!$C14:E14)-1</f>
        <v>0.33311975474258482</v>
      </c>
      <c r="F14" s="12">
        <f t="array" ref="F14">PRODUCT(1+預測IC!$C14:F14)-1</f>
        <v>0.25267676927355431</v>
      </c>
      <c r="G14" s="12">
        <f t="array" ref="G14">PRODUCT(1+預測IC!$C14:G14)-1</f>
        <v>0.18546235480038686</v>
      </c>
      <c r="H14" s="12">
        <f t="array" ref="H14">PRODUCT(1+預測IC!$C14:H14)-1</f>
        <v>0.25610280866783164</v>
      </c>
      <c r="I14" s="12">
        <f t="array" ref="I14">PRODUCT(1+預測IC!$C14:I14)-1</f>
        <v>0.2011013830098336</v>
      </c>
      <c r="J14" s="12">
        <f t="array" ref="J14">PRODUCT(1+預測IC!$C14:J14)-1</f>
        <v>7.487333999069623E-2</v>
      </c>
      <c r="K14" s="12">
        <f t="array" ref="K14">PRODUCT(1+預測IC!$C14:K14)-1</f>
        <v>0.12950642841375815</v>
      </c>
      <c r="L14" s="12">
        <f t="array" ref="L14">PRODUCT(1+預測IC!$C14:L14)-1</f>
        <v>0.19306498062823296</v>
      </c>
      <c r="M14" s="12">
        <f t="array" ref="M14">PRODUCT(1+預測IC!$C14:M14)-1</f>
        <v>0.18710619364150349</v>
      </c>
      <c r="N14" s="12">
        <f t="array" ref="N14">PRODUCT(1+預測IC!$C14:N14)-1</f>
        <v>0.1190025919312907</v>
      </c>
      <c r="O14" s="12">
        <f t="array" ref="O14">PRODUCT(1+預測IC!$C14:O14)-1</f>
        <v>0.12067483828792924</v>
      </c>
      <c r="P14" s="12">
        <f t="array" ref="P14">PRODUCT(1+預測IC!$C14:P14)-1</f>
        <v>0.12800564416237781</v>
      </c>
      <c r="Q14" s="12">
        <f t="array" ref="Q14">PRODUCT(1+預測IC!$C14:Q14)-1</f>
        <v>3.8557438841517522E-2</v>
      </c>
      <c r="R14" s="12">
        <f t="array" ref="R14">PRODUCT(1+預測IC!$C14:R14)-1</f>
        <v>2.011026108368541E-2</v>
      </c>
      <c r="S14" s="12">
        <f t="array" ref="S14">PRODUCT(1+預測IC!$C14:S14)-1</f>
        <v>0.18933964437909379</v>
      </c>
      <c r="T14" s="12">
        <f t="array" ref="T14">PRODUCT(1+預測IC!$C14:T14)-1</f>
        <v>0.2309897892721533</v>
      </c>
      <c r="U14" s="12">
        <f t="array" ref="U14">PRODUCT(1+預測IC!$C14:U14)-1</f>
        <v>0.27601725772883157</v>
      </c>
      <c r="V14" s="12">
        <f t="array" ref="V14">PRODUCT(1+預測IC!$C14:V14)-1</f>
        <v>0.20912677405351099</v>
      </c>
      <c r="W14" s="12">
        <f t="array" ref="W14">PRODUCT(1+預測IC!$C14:W14)-1</f>
        <v>0.29861202106826723</v>
      </c>
      <c r="X14" s="12">
        <f t="array" ref="X14">PRODUCT(1+預測IC!$C14:X14)-1</f>
        <v>0.44569685506613754</v>
      </c>
      <c r="Y14" s="12">
        <f t="array" ref="Y14">PRODUCT(1+預測IC!$C14:Y14)-1</f>
        <v>0.36590741235350643</v>
      </c>
      <c r="Z14" s="12">
        <f t="array" ref="Z14">PRODUCT(1+預測IC!$C14:Z14)-1</f>
        <v>0.20650051044196349</v>
      </c>
      <c r="AA14" s="12">
        <f t="array" ref="AA14">PRODUCT(1+預測IC!$C14:AA14)-1</f>
        <v>0.25409717311345315</v>
      </c>
      <c r="AB14" s="12">
        <f t="array" ref="AB14">PRODUCT(1+預測IC!$C14:AB14)-1</f>
        <v>0.28837914660696828</v>
      </c>
      <c r="AC14" s="12">
        <f t="array" ref="AC14">PRODUCT(1+預測IC!$C14:AC14)-1</f>
        <v>0.29235580915896686</v>
      </c>
      <c r="AD14" s="12">
        <f t="array" ref="AD14">PRODUCT(1+預測IC!$C14:AD14)-1</f>
        <v>0.30905318399292803</v>
      </c>
      <c r="AE14" s="12">
        <f t="array" ref="AE14">PRODUCT(1+預測IC!$C14:AE14)-1</f>
        <v>0.31431433763693151</v>
      </c>
      <c r="AF14" s="12">
        <f t="array" ref="AF14">PRODUCT(1+預測IC!$C14:AF14)-1</f>
        <v>0.36743984652576422</v>
      </c>
      <c r="AG14" s="12">
        <f t="array" ref="AG14">PRODUCT(1+預測IC!$C14:AG14)-1</f>
        <v>0.40207613380814777</v>
      </c>
      <c r="AH14" s="12">
        <f t="array" ref="AH14">PRODUCT(1+預測IC!$C14:AH14)-1</f>
        <v>0.28857500804789971</v>
      </c>
      <c r="AI14" s="12">
        <f t="array" ref="AI14">PRODUCT(1+預測IC!$C14:AI14)-1</f>
        <v>0.24287873140084604</v>
      </c>
      <c r="AJ14" s="12">
        <f t="array" ref="AJ14">PRODUCT(1+預測IC!$C14:AJ14)-1</f>
        <v>0.22416217573769992</v>
      </c>
      <c r="AK14" s="12">
        <f t="array" ref="AK14">PRODUCT(1+預測IC!$C14:AK14)-1</f>
        <v>0.12931979615395672</v>
      </c>
      <c r="AL14" s="12">
        <f t="array" ref="AL14">PRODUCT(1+預測IC!$C14:AL14)-1</f>
        <v>0.17219915375145711</v>
      </c>
      <c r="AM14" s="12">
        <f t="array" ref="AM14">PRODUCT(1+預測IC!$C14:AM14)-1</f>
        <v>0.12242305775664386</v>
      </c>
      <c r="AN14" s="12">
        <f t="array" ref="AN14">PRODUCT(1+預測IC!$C14:AN14)-1</f>
        <v>0.14389784297776997</v>
      </c>
      <c r="AO14" s="12">
        <f t="array" ref="AO14">PRODUCT(1+預測IC!$C14:AO14)-1</f>
        <v>0.21356774808469159</v>
      </c>
      <c r="AP14" s="12">
        <f t="array" ref="AP14">PRODUCT(1+預測IC!$C14:AP14)-1</f>
        <v>0.20500583600599387</v>
      </c>
      <c r="AQ14" s="12">
        <f t="array" ref="AQ14">PRODUCT(1+預測IC!$C14:AQ14)-1</f>
        <v>0.21479822080025679</v>
      </c>
      <c r="AR14" s="12">
        <f t="array" ref="AR14">PRODUCT(1+預測IC!$C14:AR14)-1</f>
        <v>0.20558678045377521</v>
      </c>
      <c r="AS14" s="12">
        <f t="array" ref="AS14">PRODUCT(1+預測IC!$C14:AS14)-1</f>
        <v>0.19442672707905029</v>
      </c>
      <c r="AT14" s="12">
        <f t="array" ref="AT14">PRODUCT(1+預測IC!$C14:AT14)-1</f>
        <v>0.23564230811506981</v>
      </c>
      <c r="AU14" s="12">
        <f t="array" ref="AU14">PRODUCT(1+預測IC!$C14:AU14)-1</f>
        <v>0.28505768159484002</v>
      </c>
      <c r="AV14" s="12">
        <f t="array" ref="AV14">PRODUCT(1+預測IC!$C14:AV14)-1</f>
        <v>0.26104909615401395</v>
      </c>
      <c r="AW14" s="12">
        <f t="array" ref="AW14">PRODUCT(1+預測IC!$C14:AW14)-1</f>
        <v>0.23789253797568821</v>
      </c>
      <c r="AX14" s="12">
        <f t="array" ref="AX14">PRODUCT(1+預測IC!$C14:AX14)-1</f>
        <v>0.40742319396941418</v>
      </c>
      <c r="AY14" s="12">
        <f t="array" ref="AY14">PRODUCT(1+預測IC!$C14:AY14)-1</f>
        <v>0.42863041381827749</v>
      </c>
      <c r="AZ14" s="12">
        <f t="array" ref="AZ14">PRODUCT(1+預測IC!$C14:AZ14)-1</f>
        <v>0.35241502536524716</v>
      </c>
      <c r="BA14" s="12">
        <f t="array" ref="BA14">PRODUCT(1+預測IC!$C14:BA14)-1</f>
        <v>0.37624680357094209</v>
      </c>
      <c r="BB14" s="12">
        <f t="array" ref="BB14">PRODUCT(1+預測IC!$C14:BB14)-1</f>
        <v>0.5164836003612141</v>
      </c>
      <c r="BC14" s="12">
        <f t="array" ref="BC14">PRODUCT(1+預測IC!$C14:BC14)-1</f>
        <v>0.50159021650637126</v>
      </c>
      <c r="BD14" s="12">
        <f t="array" ref="BD14">PRODUCT(1+預測IC!$C14:BD14)-1</f>
        <v>0.52624466820906157</v>
      </c>
      <c r="BE14" s="12">
        <f t="array" ref="BE14">PRODUCT(1+預測IC!$C14:BE14)-1</f>
        <v>0.59307443894038547</v>
      </c>
      <c r="BF14" s="12">
        <f t="array" ref="BF14">PRODUCT(1+預測IC!$C14:BF14)-1</f>
        <v>0.58472345888543686</v>
      </c>
      <c r="BG14" s="12">
        <f t="array" ref="BG14">PRODUCT(1+預測IC!$C14:BG14)-1</f>
        <v>0.65029022575751894</v>
      </c>
      <c r="BH14" s="12">
        <f t="array" ref="BH14">PRODUCT(1+預測IC!$C14:BH14)-1</f>
        <v>0.65910732305099229</v>
      </c>
      <c r="BI14" s="12">
        <f t="array" ref="BI14">PRODUCT(1+預測IC!$C14:BI14)-1</f>
        <v>0.74236997726708087</v>
      </c>
      <c r="BJ14" s="12">
        <f t="array" ref="BJ14">PRODUCT(1+預測IC!$C14:BJ14)-1</f>
        <v>0.7074925677140842</v>
      </c>
      <c r="BK14" s="12">
        <f t="array" ref="BK14">PRODUCT(1+預測IC!$C14:BK14)-1</f>
        <v>0.697941278333994</v>
      </c>
      <c r="BL14" s="12">
        <f t="array" ref="BL14">PRODUCT(1+預測IC!$C14:BL14)-1</f>
        <v>0.71589119860589734</v>
      </c>
      <c r="BM14" s="12">
        <f t="array" ref="BM14">PRODUCT(1+預測IC!$C14:BM14)-1</f>
        <v>0.67921465640613787</v>
      </c>
      <c r="BN14" s="12">
        <f t="array" ref="BN14">PRODUCT(1+預測IC!$C14:BN14)-1</f>
        <v>0.63540737115564361</v>
      </c>
      <c r="BO14" s="12">
        <f t="array" ref="BO14">PRODUCT(1+預測IC!$C14:BO14)-1</f>
        <v>0.65978165476349182</v>
      </c>
      <c r="BP14" s="12">
        <f t="array" ref="BP14">PRODUCT(1+預測IC!$C14:BP14)-1</f>
        <v>0.68579663007675751</v>
      </c>
      <c r="BQ14" s="12">
        <f t="array" ref="BQ14">PRODUCT(1+預測IC!$C14:BQ14)-1</f>
        <v>0.71250558922526119</v>
      </c>
      <c r="BR14" s="12">
        <f t="array" ref="BR14">PRODUCT(1+預測IC!$C14:BR14)-1</f>
        <v>0.88384592295739073</v>
      </c>
      <c r="BS14" s="12">
        <f t="array" ref="BS14">PRODUCT(1+預測IC!$C14:BS14)-1</f>
        <v>0.80567770473090095</v>
      </c>
      <c r="BT14" s="12">
        <f t="array" ref="BT14">PRODUCT(1+預測IC!$C14:BT14)-1</f>
        <v>0.83328347569483885</v>
      </c>
      <c r="BU14" s="12">
        <f t="array" ref="BU14">PRODUCT(1+預測IC!$C14:BU14)-1</f>
        <v>0.62949549155939266</v>
      </c>
      <c r="BV14" s="12">
        <f t="array" ref="BV14">PRODUCT(1+預測IC!$C14:BV14)-1</f>
        <v>0.69676466749362986</v>
      </c>
      <c r="BW14" s="12">
        <f t="array" ref="BW14">PRODUCT(1+預測IC!$C14:BW14)-1</f>
        <v>0.89767553545582968</v>
      </c>
      <c r="BX14" s="12">
        <f t="array" ref="BX14">PRODUCT(1+預測IC!$C14:BX14)-1</f>
        <v>0.92487927459709862</v>
      </c>
      <c r="BY14" s="12">
        <f t="array" ref="BY14">PRODUCT(1+預測IC!$C14:BY14)-1</f>
        <v>0.93757634298448211</v>
      </c>
      <c r="BZ14" s="12">
        <f t="array" ref="BZ14">PRODUCT(1+預測IC!$C14:BZ14)-1</f>
        <v>1.03636520249708</v>
      </c>
      <c r="CA14" s="12">
        <f t="array" ref="CA14">PRODUCT(1+預測IC!$C14:CA14)-1</f>
        <v>0.98654498591079132</v>
      </c>
      <c r="CB14" s="12">
        <f t="array" ref="CB14">PRODUCT(1+預測IC!$C14:CB14)-1</f>
        <v>0.94258748021877725</v>
      </c>
      <c r="CC14" s="12">
        <f t="array" ref="CC14">PRODUCT(1+預測IC!$C14:CC14)-1</f>
        <v>1.176854226361546</v>
      </c>
      <c r="CD14" s="12">
        <f t="array" ref="CD14">PRODUCT(1+預測IC!$C14:CD14)-1</f>
        <v>1.2811720597419431</v>
      </c>
      <c r="CE14" s="12">
        <f t="array" ref="CE14">PRODUCT(1+預測IC!$C14:CE14)-1</f>
        <v>1.6702370002061682</v>
      </c>
      <c r="CF14" s="12">
        <f t="array" ref="CF14">PRODUCT(1+預測IC!$C14:CF14)-1</f>
        <v>1.6160036434992437</v>
      </c>
      <c r="CG14" s="12">
        <f t="array" ref="CG14">PRODUCT(1+預測IC!$C14:CG14)-1</f>
        <v>1.9794369063108586</v>
      </c>
      <c r="CH14" s="12">
        <f t="array" ref="CH14">PRODUCT(1+預測IC!$C14:CH14)-1</f>
        <v>1.9915141322168242</v>
      </c>
      <c r="CI14" s="12">
        <f t="array" ref="CI14">PRODUCT(1+預測IC!$C14:CI14)-1</f>
        <v>1.9800621437743615</v>
      </c>
      <c r="CJ14" s="12">
        <f t="array" ref="CJ14">PRODUCT(1+預測IC!$C14:CJ14)-1</f>
        <v>2.0654941330367107</v>
      </c>
      <c r="CK14" s="12">
        <f t="array" ref="CK14">PRODUCT(1+預測IC!$C14:CK14)-1</f>
        <v>2.1084612158427412</v>
      </c>
      <c r="CL14" s="12">
        <f t="array" ref="CL14">PRODUCT(1+預測IC!$C14:CL14)-1</f>
        <v>2.3020249554958823</v>
      </c>
      <c r="CM14" s="12">
        <f t="array" ref="CM14">PRODUCT(1+預測IC!$C14:CM14)-1</f>
        <v>1.9385781940667233</v>
      </c>
      <c r="CN14" s="12">
        <f t="array" ref="CN14">PRODUCT(1+預測IC!$C14:CN14)-1</f>
        <v>2.0062439192766699</v>
      </c>
      <c r="CO14" s="12">
        <f t="array" ref="CO14">PRODUCT(1+預測IC!$C14:CO14)-1</f>
        <v>1.7694608485703331</v>
      </c>
      <c r="CP14" s="12">
        <f t="array" ref="CP14">PRODUCT(1+預測IC!$C14:CP14)-1</f>
        <v>2.0458788844310258</v>
      </c>
      <c r="CQ14" s="12">
        <f t="array" ref="CQ14">PRODUCT(1+預測IC!$C14:CQ14)-1</f>
        <v>2.2079550588416543</v>
      </c>
      <c r="CR14" s="12">
        <f t="array" ref="CR14">PRODUCT(1+預測IC!$C14:CR14)-1</f>
        <v>2.4089047405222939</v>
      </c>
      <c r="CS14" s="12">
        <f t="array" ref="CS14">PRODUCT(1+預測IC!$C14:CS14)-1</f>
        <v>2.2076869104361383</v>
      </c>
      <c r="CT14" s="12">
        <f t="array" ref="CT14">PRODUCT(1+預測IC!$C14:CT14)-1</f>
        <v>2.1766946042790671</v>
      </c>
      <c r="CU14" s="12">
        <f t="array" ref="CU14">PRODUCT(1+預測IC!$C14:CU14)-1</f>
        <v>2.3162058274528787</v>
      </c>
      <c r="CV14" s="12">
        <f t="array" ref="CV14">PRODUCT(1+預測IC!$C14:CV14)-1</f>
        <v>2.8182689143577804</v>
      </c>
      <c r="CW14" s="12">
        <f t="array" ref="CW14">PRODUCT(1+預測IC!$C14:CW14)-1</f>
        <v>2.9891894628133842</v>
      </c>
      <c r="CX14" s="12">
        <f t="array" ref="CX14">PRODUCT(1+預測IC!$C14:CX14)-1</f>
        <v>2.8443842433700661</v>
      </c>
      <c r="CY14" s="12">
        <f t="array" ref="CY14">PRODUCT(1+預測IC!$C14:CY14)-1</f>
        <v>2.9549453522717943</v>
      </c>
      <c r="CZ14" s="12">
        <f t="array" ref="CZ14">PRODUCT(1+預測IC!$C14:CZ14)-1</f>
        <v>2.7015774601492262</v>
      </c>
      <c r="DA14" s="12">
        <f t="array" ref="DA14">PRODUCT(1+預測IC!$C14:DA14)-1</f>
        <v>2.7915416691280104</v>
      </c>
      <c r="DB14" s="12">
        <f t="array" ref="DB14">PRODUCT(1+預測IC!$C14:DB14)-1</f>
        <v>3.1336866492096291</v>
      </c>
      <c r="DC14" s="12">
        <f t="array" ref="DC14">PRODUCT(1+預測IC!$C14:DC14)-1</f>
        <v>2.9559441502905961</v>
      </c>
      <c r="DD14" s="12">
        <f t="array" ref="DD14">PRODUCT(1+預測IC!$C14:DD14)-1</f>
        <v>2.6426122019750617</v>
      </c>
      <c r="DE14" s="12">
        <f t="array" ref="DE14">PRODUCT(1+預測IC!$C14:DE14)-1</f>
        <v>2.5294814859375738</v>
      </c>
      <c r="DF14" s="12">
        <f t="array" ref="DF14">PRODUCT(1+預測IC!$C14:DF14)-1</f>
        <v>1.8180634078464015</v>
      </c>
      <c r="DG14" s="12">
        <f t="array" ref="DG14">PRODUCT(1+預測IC!$C14:DG14)-1</f>
        <v>2.0641502475518179</v>
      </c>
      <c r="DH14" s="12">
        <f t="array" ref="DH14">PRODUCT(1+預測IC!$C14:DH14)-1</f>
        <v>2.0383708149965081</v>
      </c>
      <c r="DI14" s="12">
        <f t="array" ref="DI14">PRODUCT(1+預測IC!$C14:DI14)-1</f>
        <v>1.9148332869567737</v>
      </c>
      <c r="DJ14" s="12">
        <f t="array" ref="DJ14">PRODUCT(1+預測IC!$C14:DJ14)-1</f>
        <v>1.8684938810098477</v>
      </c>
      <c r="DK14" s="12">
        <f t="array" ref="DK14">PRODUCT(1+預測IC!$C14:DK14)-1</f>
        <v>2.1026251827254607</v>
      </c>
      <c r="DL14" s="12">
        <f t="array" ref="DL14">PRODUCT(1+預測IC!$C14:DL14)-1</f>
        <v>2.1313948462685008</v>
      </c>
      <c r="DM14" s="12">
        <f t="array" ref="DM14">PRODUCT(1+預測IC!$C14:DM14)-1</f>
        <v>2.1349041510296374</v>
      </c>
      <c r="DN14" s="12">
        <f t="array" ref="DN14">PRODUCT(1+預測IC!$C14:DN14)-1</f>
        <v>1.9940349112664735</v>
      </c>
      <c r="DO14" s="12">
        <f t="array" ref="DO14">PRODUCT(1+預測IC!$C14:DO14)-1</f>
        <v>1.8701547851728844</v>
      </c>
      <c r="DP14" s="12">
        <f t="array" ref="DP14">PRODUCT(1+預測IC!$C14:DP14)-1</f>
        <v>2.0507300226140908</v>
      </c>
      <c r="DQ14" s="12">
        <f t="array" ref="DQ14">PRODUCT(1+預測IC!$C14:DQ14)-1</f>
        <v>2.2216295100098615</v>
      </c>
      <c r="DR14" s="12">
        <f t="array" ref="DR14">PRODUCT(1+預測IC!$C14:DR14)-1</f>
        <v>2.3911597715900426</v>
      </c>
      <c r="DS14" s="12">
        <f t="array" ref="DS14">PRODUCT(1+預測IC!$C14:DS14)-1</f>
        <v>2.581239988214648</v>
      </c>
      <c r="DT14" s="12">
        <f t="array" ref="DT14">PRODUCT(1+預測IC!$C14:DT14)-1</f>
        <v>3.0026527910257332</v>
      </c>
      <c r="DU14" s="12">
        <f t="array" ref="DU14">PRODUCT(1+預測IC!$C14:DU14)-1</f>
        <v>3.2780203457668211</v>
      </c>
      <c r="DV14" s="12">
        <f t="array" ref="DV14">PRODUCT(1+預測IC!$C14:DV14)-1</f>
        <v>2.8148717904064009</v>
      </c>
      <c r="DW14" s="12">
        <f t="array" ref="DW14">PRODUCT(1+預測IC!$C14:DW14)-1</f>
        <v>2.8079672740312169</v>
      </c>
      <c r="DX14" s="12">
        <f t="array" ref="DX14">PRODUCT(1+預測IC!$C14:DX14)-1</f>
        <v>3.1961191113675671</v>
      </c>
      <c r="DY14" s="12">
        <f t="array" ref="DY14">PRODUCT(1+預測IC!$C14:DY14)-1</f>
        <v>3.0366788380264342</v>
      </c>
      <c r="DZ14" s="12">
        <f t="array" ref="DZ14">PRODUCT(1+預測IC!$C14:DZ14)-1</f>
        <v>3.1250077219837946</v>
      </c>
      <c r="EA14" s="12">
        <f t="array" ref="EA14">PRODUCT(1+預測IC!$C14:EA14)-1</f>
        <v>2.8028228970684603</v>
      </c>
      <c r="EB14" s="12">
        <f t="array" ref="EB14">PRODUCT(1+預測IC!$C14:EB14)-1</f>
        <v>2.6766553750442323</v>
      </c>
      <c r="EC14" s="12">
        <f t="array" ref="EC14">PRODUCT(1+預測IC!$C14:EC14)-1</f>
        <v>2.8357075510178689</v>
      </c>
      <c r="ED14" s="12">
        <f t="array" ref="ED14">PRODUCT(1+預測IC!$C14:ED14)-1</f>
        <v>3.2293651015020943</v>
      </c>
      <c r="EE14" s="12">
        <f t="array" ref="EE14">PRODUCT(1+預測IC!$C14:EE14)-1</f>
        <v>3.2149883765312728</v>
      </c>
      <c r="EF14" s="12">
        <f t="array" ref="EF14">PRODUCT(1+預測IC!$C14:EF14)-1</f>
        <v>2.9201228772661163</v>
      </c>
    </row>
    <row r="15" spans="1:136">
      <c r="A15" s="2">
        <v>10</v>
      </c>
      <c r="B15" s="2" t="s">
        <v>192</v>
      </c>
      <c r="C15" s="12">
        <f t="array" ref="C15">PRODUCT(1+預測IC!$C15:C15)-1</f>
        <v>0.22764509999999993</v>
      </c>
      <c r="D15" s="12">
        <f t="array" ref="D15">PRODUCT(1+預測IC!$C15:D15)-1</f>
        <v>0.24845720139294203</v>
      </c>
      <c r="E15" s="12">
        <f t="array" ref="E15">PRODUCT(1+預測IC!$C15:E15)-1</f>
        <v>0.32591722907048681</v>
      </c>
      <c r="F15" s="12">
        <f t="array" ref="F15">PRODUCT(1+預測IC!$C15:F15)-1</f>
        <v>0.37222016346490383</v>
      </c>
      <c r="G15" s="12">
        <f t="array" ref="G15">PRODUCT(1+預測IC!$C15:G15)-1</f>
        <v>0.32501040941168347</v>
      </c>
      <c r="H15" s="12">
        <f t="array" ref="H15">PRODUCT(1+預測IC!$C15:H15)-1</f>
        <v>0.48248047651196924</v>
      </c>
      <c r="I15" s="12">
        <f t="array" ref="I15">PRODUCT(1+預測IC!$C15:I15)-1</f>
        <v>0.39585700115267164</v>
      </c>
      <c r="J15" s="12">
        <f t="array" ref="J15">PRODUCT(1+預測IC!$C15:J15)-1</f>
        <v>0.30579044483889639</v>
      </c>
      <c r="K15" s="12">
        <f t="array" ref="K15">PRODUCT(1+預測IC!$C15:K15)-1</f>
        <v>0.42920696443032225</v>
      </c>
      <c r="L15" s="12">
        <f t="array" ref="L15">PRODUCT(1+預測IC!$C15:L15)-1</f>
        <v>0.54521720950522701</v>
      </c>
      <c r="M15" s="12">
        <f t="array" ref="M15">PRODUCT(1+預測IC!$C15:M15)-1</f>
        <v>0.50581771001455866</v>
      </c>
      <c r="N15" s="12">
        <f t="array" ref="N15">PRODUCT(1+預測IC!$C15:N15)-1</f>
        <v>0.34048465595699073</v>
      </c>
      <c r="O15" s="12">
        <f t="array" ref="O15">PRODUCT(1+預測IC!$C15:O15)-1</f>
        <v>0.32403584252546436</v>
      </c>
      <c r="P15" s="12">
        <f t="array" ref="P15">PRODUCT(1+預測IC!$C15:P15)-1</f>
        <v>0.3530276858289032</v>
      </c>
      <c r="Q15" s="12">
        <f t="array" ref="Q15">PRODUCT(1+預測IC!$C15:Q15)-1</f>
        <v>0.29092543143813199</v>
      </c>
      <c r="R15" s="12">
        <f t="array" ref="R15">PRODUCT(1+預測IC!$C15:R15)-1</f>
        <v>0.12737672181381199</v>
      </c>
      <c r="S15" s="12">
        <f t="array" ref="S15">PRODUCT(1+預測IC!$C15:S15)-1</f>
        <v>0.43177733743537816</v>
      </c>
      <c r="T15" s="12">
        <f t="array" ref="T15">PRODUCT(1+預測IC!$C15:T15)-1</f>
        <v>0.49748314164226204</v>
      </c>
      <c r="U15" s="12">
        <f t="array" ref="U15">PRODUCT(1+預測IC!$C15:U15)-1</f>
        <v>0.56754843111161946</v>
      </c>
      <c r="V15" s="12">
        <f t="array" ref="V15">PRODUCT(1+預測IC!$C15:V15)-1</f>
        <v>0.39491901511469818</v>
      </c>
      <c r="W15" s="12">
        <f t="array" ref="W15">PRODUCT(1+預測IC!$C15:W15)-1</f>
        <v>0.53795902423942765</v>
      </c>
      <c r="X15" s="12">
        <f t="array" ref="X15">PRODUCT(1+預測IC!$C15:X15)-1</f>
        <v>0.73303887052857641</v>
      </c>
      <c r="Y15" s="12">
        <f t="array" ref="Y15">PRODUCT(1+預測IC!$C15:Y15)-1</f>
        <v>0.64287094110866749</v>
      </c>
      <c r="Z15" s="12">
        <f t="array" ref="Z15">PRODUCT(1+預測IC!$C15:Z15)-1</f>
        <v>0.53985616557615668</v>
      </c>
      <c r="AA15" s="12">
        <f t="array" ref="AA15">PRODUCT(1+預測IC!$C15:AA15)-1</f>
        <v>0.62313335326870489</v>
      </c>
      <c r="AB15" s="12">
        <f t="array" ref="AB15">PRODUCT(1+預測IC!$C15:AB15)-1</f>
        <v>0.65911237763323349</v>
      </c>
      <c r="AC15" s="12">
        <f t="array" ref="AC15">PRODUCT(1+預測IC!$C15:AC15)-1</f>
        <v>0.65194887980490379</v>
      </c>
      <c r="AD15" s="12">
        <f t="array" ref="AD15">PRODUCT(1+預測IC!$C15:AD15)-1</f>
        <v>0.6206671082644748</v>
      </c>
      <c r="AE15" s="12">
        <f t="array" ref="AE15">PRODUCT(1+預測IC!$C15:AE15)-1</f>
        <v>0.54403289164992419</v>
      </c>
      <c r="AF15" s="12">
        <f t="array" ref="AF15">PRODUCT(1+預測IC!$C15:AF15)-1</f>
        <v>0.64566053826100611</v>
      </c>
      <c r="AG15" s="12">
        <f t="array" ref="AG15">PRODUCT(1+預測IC!$C15:AG15)-1</f>
        <v>0.71860369155216164</v>
      </c>
      <c r="AH15" s="12">
        <f t="array" ref="AH15">PRODUCT(1+預測IC!$C15:AH15)-1</f>
        <v>0.49008548719048828</v>
      </c>
      <c r="AI15" s="12">
        <f t="array" ref="AI15">PRODUCT(1+預測IC!$C15:AI15)-1</f>
        <v>0.45305796976983914</v>
      </c>
      <c r="AJ15" s="12">
        <f t="array" ref="AJ15">PRODUCT(1+預測IC!$C15:AJ15)-1</f>
        <v>0.43930497956134307</v>
      </c>
      <c r="AK15" s="12">
        <f t="array" ref="AK15">PRODUCT(1+預測IC!$C15:AK15)-1</f>
        <v>0.33947269747121678</v>
      </c>
      <c r="AL15" s="12">
        <f t="array" ref="AL15">PRODUCT(1+預測IC!$C15:AL15)-1</f>
        <v>0.39898769628761621</v>
      </c>
      <c r="AM15" s="12">
        <f t="array" ref="AM15">PRODUCT(1+預測IC!$C15:AM15)-1</f>
        <v>0.30297348198787244</v>
      </c>
      <c r="AN15" s="12">
        <f t="array" ref="AN15">PRODUCT(1+預測IC!$C15:AN15)-1</f>
        <v>0.34922964031179449</v>
      </c>
      <c r="AO15" s="12">
        <f t="array" ref="AO15">PRODUCT(1+預測IC!$C15:AO15)-1</f>
        <v>0.43473006958850413</v>
      </c>
      <c r="AP15" s="12">
        <f t="array" ref="AP15">PRODUCT(1+預測IC!$C15:AP15)-1</f>
        <v>0.41667800890692774</v>
      </c>
      <c r="AQ15" s="12">
        <f t="array" ref="AQ15">PRODUCT(1+預測IC!$C15:AQ15)-1</f>
        <v>0.44465357455221532</v>
      </c>
      <c r="AR15" s="12">
        <f t="array" ref="AR15">PRODUCT(1+預測IC!$C15:AR15)-1</f>
        <v>0.41903433977864402</v>
      </c>
      <c r="AS15" s="12">
        <f t="array" ref="AS15">PRODUCT(1+預測IC!$C15:AS15)-1</f>
        <v>0.45086441524735088</v>
      </c>
      <c r="AT15" s="12">
        <f t="array" ref="AT15">PRODUCT(1+預測IC!$C15:AT15)-1</f>
        <v>0.54554055910225774</v>
      </c>
      <c r="AU15" s="12">
        <f t="array" ref="AU15">PRODUCT(1+預測IC!$C15:AU15)-1</f>
        <v>0.60727448917883908</v>
      </c>
      <c r="AV15" s="12">
        <f t="array" ref="AV15">PRODUCT(1+預測IC!$C15:AV15)-1</f>
        <v>0.53136802887606294</v>
      </c>
      <c r="AW15" s="12">
        <f t="array" ref="AW15">PRODUCT(1+預測IC!$C15:AW15)-1</f>
        <v>0.55534915918466932</v>
      </c>
      <c r="AX15" s="12">
        <f t="array" ref="AX15">PRODUCT(1+預測IC!$C15:AX15)-1</f>
        <v>0.75013172028474595</v>
      </c>
      <c r="AY15" s="12">
        <f t="array" ref="AY15">PRODUCT(1+預測IC!$C15:AY15)-1</f>
        <v>0.79916527289296613</v>
      </c>
      <c r="AZ15" s="12">
        <f t="array" ref="AZ15">PRODUCT(1+預測IC!$C15:AZ15)-1</f>
        <v>0.63485959878703624</v>
      </c>
      <c r="BA15" s="12">
        <f t="array" ref="BA15">PRODUCT(1+預測IC!$C15:BA15)-1</f>
        <v>0.65221120534719601</v>
      </c>
      <c r="BB15" s="12">
        <f t="array" ref="BB15">PRODUCT(1+預測IC!$C15:BB15)-1</f>
        <v>0.83195278406010931</v>
      </c>
      <c r="BC15" s="12">
        <f t="array" ref="BC15">PRODUCT(1+預測IC!$C15:BC15)-1</f>
        <v>0.945818072546047</v>
      </c>
      <c r="BD15" s="12">
        <f t="array" ref="BD15">PRODUCT(1+預測IC!$C15:BD15)-1</f>
        <v>0.96014843890492707</v>
      </c>
      <c r="BE15" s="12">
        <f t="array" ref="BE15">PRODUCT(1+預測IC!$C15:BE15)-1</f>
        <v>1.0551033628840067</v>
      </c>
      <c r="BF15" s="12">
        <f t="array" ref="BF15">PRODUCT(1+預測IC!$C15:BF15)-1</f>
        <v>0.93800850551494697</v>
      </c>
      <c r="BG15" s="12">
        <f t="array" ref="BG15">PRODUCT(1+預測IC!$C15:BG15)-1</f>
        <v>0.94283325275734309</v>
      </c>
      <c r="BH15" s="12">
        <f t="array" ref="BH15">PRODUCT(1+預測IC!$C15:BH15)-1</f>
        <v>1.0097480154454996</v>
      </c>
      <c r="BI15" s="12">
        <f t="array" ref="BI15">PRODUCT(1+預測IC!$C15:BI15)-1</f>
        <v>1.1475899174878466</v>
      </c>
      <c r="BJ15" s="12">
        <f t="array" ref="BJ15">PRODUCT(1+預測IC!$C15:BJ15)-1</f>
        <v>1.1233972588946215</v>
      </c>
      <c r="BK15" s="12">
        <f t="array" ref="BK15">PRODUCT(1+預測IC!$C15:BK15)-1</f>
        <v>1.1251464122020893</v>
      </c>
      <c r="BL15" s="12">
        <f t="array" ref="BL15">PRODUCT(1+預測IC!$C15:BL15)-1</f>
        <v>1.1253115360783177</v>
      </c>
      <c r="BM15" s="12">
        <f t="array" ref="BM15">PRODUCT(1+預測IC!$C15:BM15)-1</f>
        <v>0.9922723471986552</v>
      </c>
      <c r="BN15" s="12">
        <f t="array" ref="BN15">PRODUCT(1+預測IC!$C15:BN15)-1</f>
        <v>0.86532330403431335</v>
      </c>
      <c r="BO15" s="12">
        <f t="array" ref="BO15">PRODUCT(1+預測IC!$C15:BO15)-1</f>
        <v>0.89626976377756451</v>
      </c>
      <c r="BP15" s="12">
        <f t="array" ref="BP15">PRODUCT(1+預測IC!$C15:BP15)-1</f>
        <v>0.92316687262852204</v>
      </c>
      <c r="BQ15" s="12">
        <f t="array" ref="BQ15">PRODUCT(1+預測IC!$C15:BQ15)-1</f>
        <v>0.94778904595861935</v>
      </c>
      <c r="BR15" s="12">
        <f t="array" ref="BR15">PRODUCT(1+預測IC!$C15:BR15)-1</f>
        <v>1.1888515796139827</v>
      </c>
      <c r="BS15" s="12">
        <f t="array" ref="BS15">PRODUCT(1+預測IC!$C15:BS15)-1</f>
        <v>1.1520268277668495</v>
      </c>
      <c r="BT15" s="12">
        <f t="array" ref="BT15">PRODUCT(1+預測IC!$C15:BT15)-1</f>
        <v>1.0731924897959977</v>
      </c>
      <c r="BU15" s="12">
        <f t="array" ref="BU15">PRODUCT(1+預測IC!$C15:BU15)-1</f>
        <v>0.89583812846766442</v>
      </c>
      <c r="BV15" s="12">
        <f t="array" ref="BV15">PRODUCT(1+預測IC!$C15:BV15)-1</f>
        <v>1.0592216479628207</v>
      </c>
      <c r="BW15" s="12">
        <f t="array" ref="BW15">PRODUCT(1+預測IC!$C15:BW15)-1</f>
        <v>1.479602480897015</v>
      </c>
      <c r="BX15" s="12">
        <f t="array" ref="BX15">PRODUCT(1+預測IC!$C15:BX15)-1</f>
        <v>1.6131329648519044</v>
      </c>
      <c r="BY15" s="12">
        <f t="array" ref="BY15">PRODUCT(1+預測IC!$C15:BY15)-1</f>
        <v>1.7743478290324246</v>
      </c>
      <c r="BZ15" s="12">
        <f t="array" ref="BZ15">PRODUCT(1+預測IC!$C15:BZ15)-1</f>
        <v>1.9612284536656146</v>
      </c>
      <c r="CA15" s="12">
        <f t="array" ref="CA15">PRODUCT(1+預測IC!$C15:CA15)-1</f>
        <v>1.9061732326720469</v>
      </c>
      <c r="CB15" s="12">
        <f t="array" ref="CB15">PRODUCT(1+預測IC!$C15:CB15)-1</f>
        <v>1.8624152903277023</v>
      </c>
      <c r="CC15" s="12">
        <f t="array" ref="CC15">PRODUCT(1+預測IC!$C15:CC15)-1</f>
        <v>2.3594725605269917</v>
      </c>
      <c r="CD15" s="12">
        <f t="array" ref="CD15">PRODUCT(1+預測IC!$C15:CD15)-1</f>
        <v>2.6587800650455593</v>
      </c>
      <c r="CE15" s="12">
        <f t="array" ref="CE15">PRODUCT(1+預測IC!$C15:CE15)-1</f>
        <v>2.9272152455897826</v>
      </c>
      <c r="CF15" s="12">
        <f t="array" ref="CF15">PRODUCT(1+預測IC!$C15:CF15)-1</f>
        <v>2.9129735922231759</v>
      </c>
      <c r="CG15" s="12">
        <f t="array" ref="CG15">PRODUCT(1+預測IC!$C15:CG15)-1</f>
        <v>3.7962557732508202</v>
      </c>
      <c r="CH15" s="12">
        <f t="array" ref="CH15">PRODUCT(1+預測IC!$C15:CH15)-1</f>
        <v>3.6045038655641397</v>
      </c>
      <c r="CI15" s="12">
        <f t="array" ref="CI15">PRODUCT(1+預測IC!$C15:CI15)-1</f>
        <v>3.2852505900452496</v>
      </c>
      <c r="CJ15" s="12">
        <f t="array" ref="CJ15">PRODUCT(1+預測IC!$C15:CJ15)-1</f>
        <v>3.6582574682659734</v>
      </c>
      <c r="CK15" s="12">
        <f t="array" ref="CK15">PRODUCT(1+預測IC!$C15:CK15)-1</f>
        <v>3.9222532436802471</v>
      </c>
      <c r="CL15" s="12">
        <f t="array" ref="CL15">PRODUCT(1+預測IC!$C15:CL15)-1</f>
        <v>4.0769201620136029</v>
      </c>
      <c r="CM15" s="12">
        <f t="array" ref="CM15">PRODUCT(1+預測IC!$C15:CM15)-1</f>
        <v>3.5280142156290326</v>
      </c>
      <c r="CN15" s="12">
        <f t="array" ref="CN15">PRODUCT(1+預測IC!$C15:CN15)-1</f>
        <v>3.7210620980384048</v>
      </c>
      <c r="CO15" s="12">
        <f t="array" ref="CO15">PRODUCT(1+預測IC!$C15:CO15)-1</f>
        <v>3.2160064429710289</v>
      </c>
      <c r="CP15" s="12">
        <f t="array" ref="CP15">PRODUCT(1+預測IC!$C15:CP15)-1</f>
        <v>3.7536983468660372</v>
      </c>
      <c r="CQ15" s="12">
        <f t="array" ref="CQ15">PRODUCT(1+預測IC!$C15:CQ15)-1</f>
        <v>3.9313821348493718</v>
      </c>
      <c r="CR15" s="12">
        <f t="array" ref="CR15">PRODUCT(1+預測IC!$C15:CR15)-1</f>
        <v>4.0515821086952579</v>
      </c>
      <c r="CS15" s="12">
        <f t="array" ref="CS15">PRODUCT(1+預測IC!$C15:CS15)-1</f>
        <v>3.7475517682694246</v>
      </c>
      <c r="CT15" s="12">
        <f t="array" ref="CT15">PRODUCT(1+預測IC!$C15:CT15)-1</f>
        <v>3.7710126041518901</v>
      </c>
      <c r="CU15" s="12">
        <f t="array" ref="CU15">PRODUCT(1+預測IC!$C15:CU15)-1</f>
        <v>4.0724387869186964</v>
      </c>
      <c r="CV15" s="12">
        <f t="array" ref="CV15">PRODUCT(1+預測IC!$C15:CV15)-1</f>
        <v>4.9987246844972368</v>
      </c>
      <c r="CW15" s="12">
        <f t="array" ref="CW15">PRODUCT(1+預測IC!$C15:CW15)-1</f>
        <v>5.1551239797742783</v>
      </c>
      <c r="CX15" s="12">
        <f t="array" ref="CX15">PRODUCT(1+預測IC!$C15:CX15)-1</f>
        <v>5.00715721793597</v>
      </c>
      <c r="CY15" s="12">
        <f t="array" ref="CY15">PRODUCT(1+預測IC!$C15:CY15)-1</f>
        <v>5.2622852282656494</v>
      </c>
      <c r="CZ15" s="12">
        <f t="array" ref="CZ15">PRODUCT(1+預測IC!$C15:CZ15)-1</f>
        <v>4.7620103742225677</v>
      </c>
      <c r="DA15" s="12">
        <f t="array" ref="DA15">PRODUCT(1+預測IC!$C15:DA15)-1</f>
        <v>4.9139882116674478</v>
      </c>
      <c r="DB15" s="12">
        <f t="array" ref="DB15">PRODUCT(1+預測IC!$C15:DB15)-1</f>
        <v>6.1539350999820215</v>
      </c>
      <c r="DC15" s="12">
        <f t="array" ref="DC15">PRODUCT(1+預測IC!$C15:DC15)-1</f>
        <v>5.6696678350866403</v>
      </c>
      <c r="DD15" s="12">
        <f t="array" ref="DD15">PRODUCT(1+預測IC!$C15:DD15)-1</f>
        <v>5.5729127904153222</v>
      </c>
      <c r="DE15" s="12">
        <f t="array" ref="DE15">PRODUCT(1+預測IC!$C15:DE15)-1</f>
        <v>5.141677785353032</v>
      </c>
      <c r="DF15" s="12">
        <f t="array" ref="DF15">PRODUCT(1+預測IC!$C15:DF15)-1</f>
        <v>3.2824592594865063</v>
      </c>
      <c r="DG15" s="12">
        <f t="array" ref="DG15">PRODUCT(1+預測IC!$C15:DG15)-1</f>
        <v>3.7667692699420048</v>
      </c>
      <c r="DH15" s="12">
        <f t="array" ref="DH15">PRODUCT(1+預測IC!$C15:DH15)-1</f>
        <v>3.7712424766162131</v>
      </c>
      <c r="DI15" s="12">
        <f t="array" ref="DI15">PRODUCT(1+預測IC!$C15:DI15)-1</f>
        <v>3.5130785683010277</v>
      </c>
      <c r="DJ15" s="12">
        <f t="array" ref="DJ15">PRODUCT(1+預測IC!$C15:DJ15)-1</f>
        <v>3.2984072165819374</v>
      </c>
      <c r="DK15" s="12">
        <f t="array" ref="DK15">PRODUCT(1+預測IC!$C15:DK15)-1</f>
        <v>3.7296621142143858</v>
      </c>
      <c r="DL15" s="12">
        <f t="array" ref="DL15">PRODUCT(1+預測IC!$C15:DL15)-1</f>
        <v>3.6930583131800576</v>
      </c>
      <c r="DM15" s="12">
        <f t="array" ref="DM15">PRODUCT(1+預測IC!$C15:DM15)-1</f>
        <v>3.6847351742616326</v>
      </c>
      <c r="DN15" s="12">
        <f t="array" ref="DN15">PRODUCT(1+預測IC!$C15:DN15)-1</f>
        <v>3.3018484317613117</v>
      </c>
      <c r="DO15" s="12">
        <f t="array" ref="DO15">PRODUCT(1+預測IC!$C15:DO15)-1</f>
        <v>3.1026869283149043</v>
      </c>
      <c r="DP15" s="12">
        <f t="array" ref="DP15">PRODUCT(1+預測IC!$C15:DP15)-1</f>
        <v>3.6536980802788142</v>
      </c>
      <c r="DQ15" s="12">
        <f t="array" ref="DQ15">PRODUCT(1+預測IC!$C15:DQ15)-1</f>
        <v>3.9931285801185741</v>
      </c>
      <c r="DR15" s="12">
        <f t="array" ref="DR15">PRODUCT(1+預測IC!$C15:DR15)-1</f>
        <v>4.3427003412088983</v>
      </c>
      <c r="DS15" s="12">
        <f t="array" ref="DS15">PRODUCT(1+預測IC!$C15:DS15)-1</f>
        <v>4.5432113507444338</v>
      </c>
      <c r="DT15" s="12">
        <f t="array" ref="DT15">PRODUCT(1+預測IC!$C15:DT15)-1</f>
        <v>4.7333252074775105</v>
      </c>
      <c r="DU15" s="12">
        <f t="array" ref="DU15">PRODUCT(1+預測IC!$C15:DU15)-1</f>
        <v>5.4048609890415396</v>
      </c>
      <c r="DV15" s="12">
        <f t="array" ref="DV15">PRODUCT(1+預測IC!$C15:DV15)-1</f>
        <v>4.5096640921685189</v>
      </c>
      <c r="DW15" s="12">
        <f t="array" ref="DW15">PRODUCT(1+預測IC!$C15:DW15)-1</f>
        <v>4.8447993279700352</v>
      </c>
      <c r="DX15" s="12">
        <f t="array" ref="DX15">PRODUCT(1+預測IC!$C15:DX15)-1</f>
        <v>5.5380875100554006</v>
      </c>
      <c r="DY15" s="12">
        <f t="array" ref="DY15">PRODUCT(1+預測IC!$C15:DY15)-1</f>
        <v>4.8415251155696284</v>
      </c>
      <c r="DZ15" s="12">
        <f t="array" ref="DZ15">PRODUCT(1+預測IC!$C15:DZ15)-1</f>
        <v>4.952048196493644</v>
      </c>
      <c r="EA15" s="12">
        <f t="array" ref="EA15">PRODUCT(1+預測IC!$C15:EA15)-1</f>
        <v>4.7893267804619351</v>
      </c>
      <c r="EB15" s="12">
        <f t="array" ref="EB15">PRODUCT(1+預測IC!$C15:EB15)-1</f>
        <v>4.5084369056834177</v>
      </c>
      <c r="EC15" s="12">
        <f t="array" ref="EC15">PRODUCT(1+預測IC!$C15:EC15)-1</f>
        <v>4.9279433581388838</v>
      </c>
      <c r="ED15" s="12">
        <f t="array" ref="ED15">PRODUCT(1+預測IC!$C15:ED15)-1</f>
        <v>5.5999175649687913</v>
      </c>
      <c r="EE15" s="12">
        <f t="array" ref="EE15">PRODUCT(1+預測IC!$C15:EE15)-1</f>
        <v>5.6209726219845546</v>
      </c>
      <c r="EF15" s="12">
        <f t="array" ref="EF15">PRODUCT(1+預測IC!$C15:EF15)-1</f>
        <v>5.1859681584170305</v>
      </c>
    </row>
    <row r="16" spans="1:136">
      <c r="A16" s="2">
        <v>9</v>
      </c>
      <c r="B16" s="2" t="s">
        <v>193</v>
      </c>
      <c r="C16" s="12">
        <f t="array" ref="C16">PRODUCT(1+預測IC!$C16:C16)-1</f>
        <v>0.20787511111111101</v>
      </c>
      <c r="D16" s="12">
        <f t="array" ref="D16">PRODUCT(1+預測IC!$C16:D16)-1</f>
        <v>0.20700514067204789</v>
      </c>
      <c r="E16" s="12">
        <f t="array" ref="E16">PRODUCT(1+預測IC!$C16:E16)-1</f>
        <v>0.2854663757297522</v>
      </c>
      <c r="F16" s="12">
        <f t="array" ref="F16">PRODUCT(1+預測IC!$C16:F16)-1</f>
        <v>0.38665246811246967</v>
      </c>
      <c r="G16" s="12">
        <f t="array" ref="G16">PRODUCT(1+預測IC!$C16:G16)-1</f>
        <v>0.37535603353463443</v>
      </c>
      <c r="H16" s="12">
        <f t="array" ref="H16">PRODUCT(1+預測IC!$C16:H16)-1</f>
        <v>0.47554903958692485</v>
      </c>
      <c r="I16" s="12">
        <f t="array" ref="I16">PRODUCT(1+預測IC!$C16:I16)-1</f>
        <v>0.39065979046802557</v>
      </c>
      <c r="J16" s="12">
        <f t="array" ref="J16">PRODUCT(1+預測IC!$C16:J16)-1</f>
        <v>0.29513057941038756</v>
      </c>
      <c r="K16" s="12">
        <f t="array" ref="K16">PRODUCT(1+預測IC!$C16:K16)-1</f>
        <v>0.40705691879865125</v>
      </c>
      <c r="L16" s="12">
        <f t="array" ref="L16">PRODUCT(1+預測IC!$C16:L16)-1</f>
        <v>0.52688414308354403</v>
      </c>
      <c r="M16" s="12">
        <f t="array" ref="M16">PRODUCT(1+預測IC!$C16:M16)-1</f>
        <v>0.46529810374365321</v>
      </c>
      <c r="N16" s="12">
        <f t="array" ref="N16">PRODUCT(1+預測IC!$C16:N16)-1</f>
        <v>0.28910699902574666</v>
      </c>
      <c r="O16" s="12">
        <f t="array" ref="O16">PRODUCT(1+預測IC!$C16:O16)-1</f>
        <v>0.25225519813936748</v>
      </c>
      <c r="P16" s="12">
        <f t="array" ref="P16">PRODUCT(1+預測IC!$C16:P16)-1</f>
        <v>0.26250888849948795</v>
      </c>
      <c r="Q16" s="12">
        <f t="array" ref="Q16">PRODUCT(1+預測IC!$C16:Q16)-1</f>
        <v>0.15964137710279203</v>
      </c>
      <c r="R16" s="12">
        <f t="array" ref="R16">PRODUCT(1+預測IC!$C16:R16)-1</f>
        <v>4.0071109690201556E-2</v>
      </c>
      <c r="S16" s="12">
        <f t="array" ref="S16">PRODUCT(1+預測IC!$C16:S16)-1</f>
        <v>0.338637063867397</v>
      </c>
      <c r="T16" s="12">
        <f t="array" ref="T16">PRODUCT(1+預測IC!$C16:T16)-1</f>
        <v>0.39004966023807208</v>
      </c>
      <c r="U16" s="12">
        <f t="array" ref="U16">PRODUCT(1+預測IC!$C16:U16)-1</f>
        <v>0.4576751128587675</v>
      </c>
      <c r="V16" s="12">
        <f t="array" ref="V16">PRODUCT(1+預測IC!$C16:V16)-1</f>
        <v>0.34751643831606183</v>
      </c>
      <c r="W16" s="12">
        <f t="array" ref="W16">PRODUCT(1+預測IC!$C16:W16)-1</f>
        <v>0.48451260800300378</v>
      </c>
      <c r="X16" s="12">
        <f t="array" ref="X16">PRODUCT(1+預測IC!$C16:X16)-1</f>
        <v>0.66920050047717905</v>
      </c>
      <c r="Y16" s="12">
        <f t="array" ref="Y16">PRODUCT(1+預測IC!$C16:Y16)-1</f>
        <v>0.58527504483136417</v>
      </c>
      <c r="Z16" s="12">
        <f t="array" ref="Z16">PRODUCT(1+預測IC!$C16:Z16)-1</f>
        <v>0.5170922729159031</v>
      </c>
      <c r="AA16" s="12">
        <f t="array" ref="AA16">PRODUCT(1+預測IC!$C16:AA16)-1</f>
        <v>0.58306702921006748</v>
      </c>
      <c r="AB16" s="12">
        <f t="array" ref="AB16">PRODUCT(1+預測IC!$C16:AB16)-1</f>
        <v>0.63419283499531498</v>
      </c>
      <c r="AC16" s="12">
        <f t="array" ref="AC16">PRODUCT(1+預測IC!$C16:AC16)-1</f>
        <v>0.65505403871029788</v>
      </c>
      <c r="AD16" s="12">
        <f t="array" ref="AD16">PRODUCT(1+預測IC!$C16:AD16)-1</f>
        <v>0.65319702529724677</v>
      </c>
      <c r="AE16" s="12">
        <f t="array" ref="AE16">PRODUCT(1+預測IC!$C16:AE16)-1</f>
        <v>0.56800116979557846</v>
      </c>
      <c r="AF16" s="12">
        <f t="array" ref="AF16">PRODUCT(1+預測IC!$C16:AF16)-1</f>
        <v>0.66786064546292723</v>
      </c>
      <c r="AG16" s="12">
        <f t="array" ref="AG16">PRODUCT(1+預測IC!$C16:AG16)-1</f>
        <v>0.74087317949572085</v>
      </c>
      <c r="AH16" s="12">
        <f t="array" ref="AH16">PRODUCT(1+預測IC!$C16:AH16)-1</f>
        <v>0.48252477044864794</v>
      </c>
      <c r="AI16" s="12">
        <f t="array" ref="AI16">PRODUCT(1+預測IC!$C16:AI16)-1</f>
        <v>0.43303326699721034</v>
      </c>
      <c r="AJ16" s="12">
        <f t="array" ref="AJ16">PRODUCT(1+預測IC!$C16:AJ16)-1</f>
        <v>0.44310171011100241</v>
      </c>
      <c r="AK16" s="12">
        <f t="array" ref="AK16">PRODUCT(1+預測IC!$C16:AK16)-1</f>
        <v>0.3890814300980574</v>
      </c>
      <c r="AL16" s="12">
        <f t="array" ref="AL16">PRODUCT(1+預測IC!$C16:AL16)-1</f>
        <v>0.45671432292483716</v>
      </c>
      <c r="AM16" s="12">
        <f t="array" ref="AM16">PRODUCT(1+預測IC!$C16:AM16)-1</f>
        <v>0.38075288754168146</v>
      </c>
      <c r="AN16" s="12">
        <f t="array" ref="AN16">PRODUCT(1+預測IC!$C16:AN16)-1</f>
        <v>0.41117435031062155</v>
      </c>
      <c r="AO16" s="12">
        <f t="array" ref="AO16">PRODUCT(1+預測IC!$C16:AO16)-1</f>
        <v>0.49785527166759658</v>
      </c>
      <c r="AP16" s="12">
        <f t="array" ref="AP16">PRODUCT(1+預測IC!$C16:AP16)-1</f>
        <v>0.49000584433060412</v>
      </c>
      <c r="AQ16" s="12">
        <f t="array" ref="AQ16">PRODUCT(1+預測IC!$C16:AQ16)-1</f>
        <v>0.52581449256258184</v>
      </c>
      <c r="AR16" s="12">
        <f t="array" ref="AR16">PRODUCT(1+預測IC!$C16:AR16)-1</f>
        <v>0.47336922877436294</v>
      </c>
      <c r="AS16" s="12">
        <f t="array" ref="AS16">PRODUCT(1+預測IC!$C16:AS16)-1</f>
        <v>0.51473947222604188</v>
      </c>
      <c r="AT16" s="12">
        <f t="array" ref="AT16">PRODUCT(1+預測IC!$C16:AT16)-1</f>
        <v>0.58979050412329137</v>
      </c>
      <c r="AU16" s="12">
        <f t="array" ref="AU16">PRODUCT(1+預測IC!$C16:AU16)-1</f>
        <v>0.65628641439842461</v>
      </c>
      <c r="AV16" s="12">
        <f t="array" ref="AV16">PRODUCT(1+預測IC!$C16:AV16)-1</f>
        <v>0.64125974467414215</v>
      </c>
      <c r="AW16" s="12">
        <f t="array" ref="AW16">PRODUCT(1+預測IC!$C16:AW16)-1</f>
        <v>0.70568399866617537</v>
      </c>
      <c r="AX16" s="12">
        <f t="array" ref="AX16">PRODUCT(1+預測IC!$C16:AX16)-1</f>
        <v>0.87766772947755878</v>
      </c>
      <c r="AY16" s="12">
        <f t="array" ref="AY16">PRODUCT(1+預測IC!$C16:AY16)-1</f>
        <v>0.94115653827834778</v>
      </c>
      <c r="AZ16" s="12">
        <f t="array" ref="AZ16">PRODUCT(1+預測IC!$C16:AZ16)-1</f>
        <v>0.73751051402279444</v>
      </c>
      <c r="BA16" s="12">
        <f t="array" ref="BA16">PRODUCT(1+預測IC!$C16:BA16)-1</f>
        <v>0.76343956596221685</v>
      </c>
      <c r="BB16" s="12">
        <f t="array" ref="BB16">PRODUCT(1+預測IC!$C16:BB16)-1</f>
        <v>0.99704945902349551</v>
      </c>
      <c r="BC16" s="12">
        <f t="array" ref="BC16">PRODUCT(1+預測IC!$C16:BC16)-1</f>
        <v>1.1310943466027252</v>
      </c>
      <c r="BD16" s="12">
        <f t="array" ref="BD16">PRODUCT(1+預測IC!$C16:BD16)-1</f>
        <v>1.1444863802650378</v>
      </c>
      <c r="BE16" s="12">
        <f t="array" ref="BE16">PRODUCT(1+預測IC!$C16:BE16)-1</f>
        <v>1.2547365575398715</v>
      </c>
      <c r="BF16" s="12">
        <f t="array" ref="BF16">PRODUCT(1+預測IC!$C16:BF16)-1</f>
        <v>1.1316632657042627</v>
      </c>
      <c r="BG16" s="12">
        <f t="array" ref="BG16">PRODUCT(1+預測IC!$C16:BG16)-1</f>
        <v>1.1603837661143643</v>
      </c>
      <c r="BH16" s="12">
        <f t="array" ref="BH16">PRODUCT(1+預測IC!$C16:BH16)-1</f>
        <v>1.1306231522149632</v>
      </c>
      <c r="BI16" s="12">
        <f t="array" ref="BI16">PRODUCT(1+預測IC!$C16:BI16)-1</f>
        <v>1.2189242885513152</v>
      </c>
      <c r="BJ16" s="12">
        <f t="array" ref="BJ16">PRODUCT(1+預測IC!$C16:BJ16)-1</f>
        <v>1.1734278725925118</v>
      </c>
      <c r="BK16" s="12">
        <f t="array" ref="BK16">PRODUCT(1+預測IC!$C16:BK16)-1</f>
        <v>1.1798872791371675</v>
      </c>
      <c r="BL16" s="12">
        <f t="array" ref="BL16">PRODUCT(1+預測IC!$C16:BL16)-1</f>
        <v>1.1615444965220187</v>
      </c>
      <c r="BM16" s="12">
        <f t="array" ref="BM16">PRODUCT(1+預測IC!$C16:BM16)-1</f>
        <v>1.01065812311391</v>
      </c>
      <c r="BN16" s="12">
        <f t="array" ref="BN16">PRODUCT(1+預測IC!$C16:BN16)-1</f>
        <v>0.88739522972213347</v>
      </c>
      <c r="BO16" s="12">
        <f t="array" ref="BO16">PRODUCT(1+預測IC!$C16:BO16)-1</f>
        <v>0.9175205741154715</v>
      </c>
      <c r="BP16" s="12">
        <f t="array" ref="BP16">PRODUCT(1+預測IC!$C16:BP16)-1</f>
        <v>0.95748780739802242</v>
      </c>
      <c r="BQ16" s="12">
        <f t="array" ref="BQ16">PRODUCT(1+預測IC!$C16:BQ16)-1</f>
        <v>0.98974332330715131</v>
      </c>
      <c r="BR16" s="12">
        <f t="array" ref="BR16">PRODUCT(1+預測IC!$C16:BR16)-1</f>
        <v>1.249569912470518</v>
      </c>
      <c r="BS16" s="12">
        <f t="array" ref="BS16">PRODUCT(1+預測IC!$C16:BS16)-1</f>
        <v>1.2198945464198285</v>
      </c>
      <c r="BT16" s="12">
        <f t="array" ref="BT16">PRODUCT(1+預測IC!$C16:BT16)-1</f>
        <v>1.135393520545509</v>
      </c>
      <c r="BU16" s="12">
        <f t="array" ref="BU16">PRODUCT(1+預測IC!$C16:BU16)-1</f>
        <v>0.91857159411798639</v>
      </c>
      <c r="BV16" s="12">
        <f t="array" ref="BV16">PRODUCT(1+預測IC!$C16:BV16)-1</f>
        <v>1.0998966481765637</v>
      </c>
      <c r="BW16" s="12">
        <f t="array" ref="BW16">PRODUCT(1+預測IC!$C16:BW16)-1</f>
        <v>1.5701580030524642</v>
      </c>
      <c r="BX16" s="12">
        <f t="array" ref="BX16">PRODUCT(1+預測IC!$C16:BX16)-1</f>
        <v>1.7412264837931288</v>
      </c>
      <c r="BY16" s="12">
        <f t="array" ref="BY16">PRODUCT(1+預測IC!$C16:BY16)-1</f>
        <v>1.8798331273934319</v>
      </c>
      <c r="BZ16" s="12">
        <f t="array" ref="BZ16">PRODUCT(1+預測IC!$C16:BZ16)-1</f>
        <v>2.1465907900580512</v>
      </c>
      <c r="CA16" s="12">
        <f t="array" ref="CA16">PRODUCT(1+預測IC!$C16:CA16)-1</f>
        <v>2.053091764921001</v>
      </c>
      <c r="CB16" s="12">
        <f t="array" ref="CB16">PRODUCT(1+預測IC!$C16:CB16)-1</f>
        <v>2.0574517173175169</v>
      </c>
      <c r="CC16" s="12">
        <f t="array" ref="CC16">PRODUCT(1+預測IC!$C16:CC16)-1</f>
        <v>2.1931607883929449</v>
      </c>
      <c r="CD16" s="12">
        <f t="array" ref="CD16">PRODUCT(1+預測IC!$C16:CD16)-1</f>
        <v>2.4733606475744256</v>
      </c>
      <c r="CE16" s="12">
        <f t="array" ref="CE16">PRODUCT(1+預測IC!$C16:CE16)-1</f>
        <v>2.798515059378536</v>
      </c>
      <c r="CF16" s="12">
        <f t="array" ref="CF16">PRODUCT(1+預測IC!$C16:CF16)-1</f>
        <v>2.7426920820659086</v>
      </c>
      <c r="CG16" s="12">
        <f t="array" ref="CG16">PRODUCT(1+預測IC!$C16:CG16)-1</f>
        <v>3.2898611888236715</v>
      </c>
      <c r="CH16" s="12">
        <f t="array" ref="CH16">PRODUCT(1+預測IC!$C16:CH16)-1</f>
        <v>3.2104067631404956</v>
      </c>
      <c r="CI16" s="12">
        <f t="array" ref="CI16">PRODUCT(1+預測IC!$C16:CI16)-1</f>
        <v>2.9647575978896685</v>
      </c>
      <c r="CJ16" s="12">
        <f t="array" ref="CJ16">PRODUCT(1+預測IC!$C16:CJ16)-1</f>
        <v>3.1452474417579861</v>
      </c>
      <c r="CK16" s="12">
        <f t="array" ref="CK16">PRODUCT(1+預測IC!$C16:CK16)-1</f>
        <v>3.4622468818773422</v>
      </c>
      <c r="CL16" s="12">
        <f t="array" ref="CL16">PRODUCT(1+預測IC!$C16:CL16)-1</f>
        <v>3.533101482613719</v>
      </c>
      <c r="CM16" s="12">
        <f t="array" ref="CM16">PRODUCT(1+預測IC!$C16:CM16)-1</f>
        <v>3.0206147165644808</v>
      </c>
      <c r="CN16" s="12">
        <f t="array" ref="CN16">PRODUCT(1+預測IC!$C16:CN16)-1</f>
        <v>3.1535262484332378</v>
      </c>
      <c r="CO16" s="12">
        <f t="array" ref="CO16">PRODUCT(1+預測IC!$C16:CO16)-1</f>
        <v>2.5942946071132202</v>
      </c>
      <c r="CP16" s="12">
        <f t="array" ref="CP16">PRODUCT(1+預測IC!$C16:CP16)-1</f>
        <v>3.0853891517794692</v>
      </c>
      <c r="CQ16" s="12">
        <f t="array" ref="CQ16">PRODUCT(1+預測IC!$C16:CQ16)-1</f>
        <v>3.2546697256378367</v>
      </c>
      <c r="CR16" s="12">
        <f t="array" ref="CR16">PRODUCT(1+預測IC!$C16:CR16)-1</f>
        <v>3.3620126791102765</v>
      </c>
      <c r="CS16" s="12">
        <f t="array" ref="CS16">PRODUCT(1+預測IC!$C16:CS16)-1</f>
        <v>3.0716807798286387</v>
      </c>
      <c r="CT16" s="12">
        <f t="array" ref="CT16">PRODUCT(1+預測IC!$C16:CT16)-1</f>
        <v>3.175742264454585</v>
      </c>
      <c r="CU16" s="12">
        <f t="array" ref="CU16">PRODUCT(1+預測IC!$C16:CU16)-1</f>
        <v>3.4406290316924242</v>
      </c>
      <c r="CV16" s="12">
        <f t="array" ref="CV16">PRODUCT(1+預測IC!$C16:CV16)-1</f>
        <v>4.2055341438741118</v>
      </c>
      <c r="CW16" s="12">
        <f t="array" ref="CW16">PRODUCT(1+預測IC!$C16:CW16)-1</f>
        <v>4.4519727671334772</v>
      </c>
      <c r="CX16" s="12">
        <f t="array" ref="CX16">PRODUCT(1+預測IC!$C16:CX16)-1</f>
        <v>4.3852390679913471</v>
      </c>
      <c r="CY16" s="12">
        <f t="array" ref="CY16">PRODUCT(1+預測IC!$C16:CY16)-1</f>
        <v>4.6497461197986487</v>
      </c>
      <c r="CZ16" s="12">
        <f t="array" ref="CZ16">PRODUCT(1+預測IC!$C16:CZ16)-1</f>
        <v>4.0698942619947056</v>
      </c>
      <c r="DA16" s="12">
        <f t="array" ref="DA16">PRODUCT(1+預測IC!$C16:DA16)-1</f>
        <v>4.2210014159091269</v>
      </c>
      <c r="DB16" s="12">
        <f t="array" ref="DB16">PRODUCT(1+預測IC!$C16:DB16)-1</f>
        <v>5.4305265148786868</v>
      </c>
      <c r="DC16" s="12">
        <f t="array" ref="DC16">PRODUCT(1+預測IC!$C16:DC16)-1</f>
        <v>4.8950948231808562</v>
      </c>
      <c r="DD16" s="12">
        <f t="array" ref="DD16">PRODUCT(1+預測IC!$C16:DD16)-1</f>
        <v>4.7079626398187404</v>
      </c>
      <c r="DE16" s="12">
        <f t="array" ref="DE16">PRODUCT(1+預測IC!$C16:DE16)-1</f>
        <v>4.3864597414767363</v>
      </c>
      <c r="DF16" s="12">
        <f t="array" ref="DF16">PRODUCT(1+預測IC!$C16:DF16)-1</f>
        <v>2.6327313908825256</v>
      </c>
      <c r="DG16" s="12">
        <f t="array" ref="DG16">PRODUCT(1+預測IC!$C16:DG16)-1</f>
        <v>3.0918066310494279</v>
      </c>
      <c r="DH16" s="12">
        <f t="array" ref="DH16">PRODUCT(1+預測IC!$C16:DH16)-1</f>
        <v>3.0755260200330294</v>
      </c>
      <c r="DI16" s="12">
        <f t="array" ref="DI16">PRODUCT(1+預測IC!$C16:DI16)-1</f>
        <v>2.8904991850400044</v>
      </c>
      <c r="DJ16" s="12">
        <f t="array" ref="DJ16">PRODUCT(1+預測IC!$C16:DJ16)-1</f>
        <v>2.6891537484389416</v>
      </c>
      <c r="DK16" s="12">
        <f t="array" ref="DK16">PRODUCT(1+預測IC!$C16:DK16)-1</f>
        <v>3.0442507830591001</v>
      </c>
      <c r="DL16" s="12">
        <f t="array" ref="DL16">PRODUCT(1+預測IC!$C16:DL16)-1</f>
        <v>3.0387227415998561</v>
      </c>
      <c r="DM16" s="12">
        <f t="array" ref="DM16">PRODUCT(1+預測IC!$C16:DM16)-1</f>
        <v>2.884704703608032</v>
      </c>
      <c r="DN16" s="12">
        <f t="array" ref="DN16">PRODUCT(1+預測IC!$C16:DN16)-1</f>
        <v>2.4345189717125009</v>
      </c>
      <c r="DO16" s="12">
        <f t="array" ref="DO16">PRODUCT(1+預測IC!$C16:DO16)-1</f>
        <v>2.2517273205001964</v>
      </c>
      <c r="DP16" s="12">
        <f t="array" ref="DP16">PRODUCT(1+預測IC!$C16:DP16)-1</f>
        <v>2.7730897507421233</v>
      </c>
      <c r="DQ16" s="12">
        <f t="array" ref="DQ16">PRODUCT(1+預測IC!$C16:DQ16)-1</f>
        <v>3.0279996943022613</v>
      </c>
      <c r="DR16" s="12">
        <f t="array" ref="DR16">PRODUCT(1+預測IC!$C16:DR16)-1</f>
        <v>3.2503100390746678</v>
      </c>
      <c r="DS16" s="12">
        <f t="array" ref="DS16">PRODUCT(1+預測IC!$C16:DS16)-1</f>
        <v>3.3414362140557579</v>
      </c>
      <c r="DT16" s="12">
        <f t="array" ref="DT16">PRODUCT(1+預測IC!$C16:DT16)-1</f>
        <v>3.4806197647875754</v>
      </c>
      <c r="DU16" s="12">
        <f t="array" ref="DU16">PRODUCT(1+預測IC!$C16:DU16)-1</f>
        <v>4.0307188951698407</v>
      </c>
      <c r="DV16" s="12">
        <f t="array" ref="DV16">PRODUCT(1+預測IC!$C16:DV16)-1</f>
        <v>3.3417431677439007</v>
      </c>
      <c r="DW16" s="12">
        <f t="array" ref="DW16">PRODUCT(1+預測IC!$C16:DW16)-1</f>
        <v>3.6513229632494513</v>
      </c>
      <c r="DX16" s="12">
        <f t="array" ref="DX16">PRODUCT(1+預測IC!$C16:DX16)-1</f>
        <v>4.2340625947181314</v>
      </c>
      <c r="DY16" s="12">
        <f t="array" ref="DY16">PRODUCT(1+預測IC!$C16:DY16)-1</f>
        <v>3.6250567226305979</v>
      </c>
      <c r="DZ16" s="12">
        <f t="array" ref="DZ16">PRODUCT(1+預測IC!$C16:DZ16)-1</f>
        <v>3.7697149909379712</v>
      </c>
      <c r="EA16" s="12">
        <f t="array" ref="EA16">PRODUCT(1+預測IC!$C16:EA16)-1</f>
        <v>3.5471535475308942</v>
      </c>
      <c r="EB16" s="12">
        <f t="array" ref="EB16">PRODUCT(1+預測IC!$C16:EB16)-1</f>
        <v>3.1896989026963851</v>
      </c>
      <c r="EC16" s="12">
        <f t="array" ref="EC16">PRODUCT(1+預測IC!$C16:EC16)-1</f>
        <v>3.4766994806645375</v>
      </c>
      <c r="ED16" s="12">
        <f t="array" ref="ED16">PRODUCT(1+預測IC!$C16:ED16)-1</f>
        <v>3.9933855742529483</v>
      </c>
      <c r="EE16" s="12">
        <f t="array" ref="EE16">PRODUCT(1+預測IC!$C16:EE16)-1</f>
        <v>4.0153370520579834</v>
      </c>
      <c r="EF16" s="12">
        <f t="array" ref="EF16">PRODUCT(1+預測IC!$C16:EF16)-1</f>
        <v>3.802313612481603</v>
      </c>
    </row>
    <row r="17" spans="1:136">
      <c r="A17" s="2">
        <v>8</v>
      </c>
      <c r="B17" s="2" t="s">
        <v>194</v>
      </c>
      <c r="C17" s="12">
        <f t="array" ref="C17">PRODUCT(1+預測IC!$C17:C17)-1</f>
        <v>0.20609237499999988</v>
      </c>
      <c r="D17" s="12">
        <f t="array" ref="D17">PRODUCT(1+預測IC!$C17:D17)-1</f>
        <v>0.18518551780903003</v>
      </c>
      <c r="E17" s="12">
        <f t="array" ref="E17">PRODUCT(1+預測IC!$C17:E17)-1</f>
        <v>0.27951206280041507</v>
      </c>
      <c r="F17" s="12">
        <f t="array" ref="F17">PRODUCT(1+預測IC!$C17:F17)-1</f>
        <v>0.38283543093054639</v>
      </c>
      <c r="G17" s="12">
        <f t="array" ref="G17">PRODUCT(1+預測IC!$C17:G17)-1</f>
        <v>0.23710245012341669</v>
      </c>
      <c r="H17" s="12">
        <f t="array" ref="H17">PRODUCT(1+預測IC!$C17:H17)-1</f>
        <v>0.36699171259851227</v>
      </c>
      <c r="I17" s="12">
        <f t="array" ref="I17">PRODUCT(1+預測IC!$C17:I17)-1</f>
        <v>0.21153054207788657</v>
      </c>
      <c r="J17" s="12">
        <f t="array" ref="J17">PRODUCT(1+預測IC!$C17:J17)-1</f>
        <v>7.1843039313437274E-2</v>
      </c>
      <c r="K17" s="12">
        <f t="array" ref="K17">PRODUCT(1+預測IC!$C17:K17)-1</f>
        <v>0.18069950383591293</v>
      </c>
      <c r="L17" s="12">
        <f t="array" ref="L17">PRODUCT(1+預測IC!$C17:L17)-1</f>
        <v>0.23056610078583195</v>
      </c>
      <c r="M17" s="12">
        <f t="array" ref="M17">PRODUCT(1+預測IC!$C17:M17)-1</f>
        <v>0.15066293968011402</v>
      </c>
      <c r="N17" s="12">
        <f t="array" ref="N17">PRODUCT(1+預測IC!$C17:N17)-1</f>
        <v>2.4920994218275316E-2</v>
      </c>
      <c r="O17" s="12">
        <f t="array" ref="O17">PRODUCT(1+預測IC!$C17:O17)-1</f>
        <v>1.3332544545320957E-2</v>
      </c>
      <c r="P17" s="12">
        <f t="array" ref="P17">PRODUCT(1+預測IC!$C17:P17)-1</f>
        <v>2.689392002229285E-2</v>
      </c>
      <c r="Q17" s="12">
        <f t="array" ref="Q17">PRODUCT(1+預測IC!$C17:Q17)-1</f>
        <v>-7.6069476342560338E-2</v>
      </c>
      <c r="R17" s="12">
        <f t="array" ref="R17">PRODUCT(1+預測IC!$C17:R17)-1</f>
        <v>-0.20211803329714673</v>
      </c>
      <c r="S17" s="12">
        <f t="array" ref="S17">PRODUCT(1+預測IC!$C17:S17)-1</f>
        <v>4.5746738512854934E-2</v>
      </c>
      <c r="T17" s="12">
        <f t="array" ref="T17">PRODUCT(1+預測IC!$C17:T17)-1</f>
        <v>7.0157171179378697E-2</v>
      </c>
      <c r="U17" s="12">
        <f t="array" ref="U17">PRODUCT(1+預測IC!$C17:U17)-1</f>
        <v>0.12611395065494535</v>
      </c>
      <c r="V17" s="12">
        <f t="array" ref="V17">PRODUCT(1+預測IC!$C17:V17)-1</f>
        <v>1.65884953634301E-2</v>
      </c>
      <c r="W17" s="12">
        <f t="array" ref="W17">PRODUCT(1+預測IC!$C17:W17)-1</f>
        <v>0.1381765295099735</v>
      </c>
      <c r="X17" s="12">
        <f t="array" ref="X17">PRODUCT(1+預測IC!$C17:X17)-1</f>
        <v>0.27116812956867276</v>
      </c>
      <c r="Y17" s="12">
        <f t="array" ref="Y17">PRODUCT(1+預測IC!$C17:Y17)-1</f>
        <v>0.17758075121902284</v>
      </c>
      <c r="Z17" s="12">
        <f t="array" ref="Z17">PRODUCT(1+預測IC!$C17:Z17)-1</f>
        <v>0.12067336823134656</v>
      </c>
      <c r="AA17" s="12">
        <f t="array" ref="AA17">PRODUCT(1+預測IC!$C17:AA17)-1</f>
        <v>0.16013204171714657</v>
      </c>
      <c r="AB17" s="12">
        <f t="array" ref="AB17">PRODUCT(1+預測IC!$C17:AB17)-1</f>
        <v>0.21180235442373885</v>
      </c>
      <c r="AC17" s="12">
        <f t="array" ref="AC17">PRODUCT(1+預測IC!$C17:AC17)-1</f>
        <v>0.23614292520682834</v>
      </c>
      <c r="AD17" s="12">
        <f t="array" ref="AD17">PRODUCT(1+預測IC!$C17:AD17)-1</f>
        <v>0.20905551791042276</v>
      </c>
      <c r="AE17" s="12">
        <f t="array" ref="AE17">PRODUCT(1+預測IC!$C17:AE17)-1</f>
        <v>0.13718532849539411</v>
      </c>
      <c r="AF17" s="12">
        <f t="array" ref="AF17">PRODUCT(1+預測IC!$C17:AF17)-1</f>
        <v>0.20704183870565807</v>
      </c>
      <c r="AG17" s="12">
        <f t="array" ref="AG17">PRODUCT(1+預測IC!$C17:AG17)-1</f>
        <v>0.28265111036446799</v>
      </c>
      <c r="AH17" s="12">
        <f t="array" ref="AH17">PRODUCT(1+預測IC!$C17:AH17)-1</f>
        <v>9.4069472909297236E-2</v>
      </c>
      <c r="AI17" s="12">
        <f t="array" ref="AI17">PRODUCT(1+預測IC!$C17:AI17)-1</f>
        <v>3.1665964948085712E-2</v>
      </c>
      <c r="AJ17" s="12">
        <f t="array" ref="AJ17">PRODUCT(1+預測IC!$C17:AJ17)-1</f>
        <v>7.5617648871752152E-2</v>
      </c>
      <c r="AK17" s="12">
        <f t="array" ref="AK17">PRODUCT(1+預測IC!$C17:AK17)-1</f>
        <v>4.402042355638458E-2</v>
      </c>
      <c r="AL17" s="12">
        <f t="array" ref="AL17">PRODUCT(1+預測IC!$C17:AL17)-1</f>
        <v>9.6977739130638563E-2</v>
      </c>
      <c r="AM17" s="12">
        <f t="array" ref="AM17">PRODUCT(1+預測IC!$C17:AM17)-1</f>
        <v>-5.4270086782436389E-3</v>
      </c>
      <c r="AN17" s="12">
        <f t="array" ref="AN17">PRODUCT(1+預測IC!$C17:AN17)-1</f>
        <v>-1.1848106548833282E-2</v>
      </c>
      <c r="AO17" s="12">
        <f t="array" ref="AO17">PRODUCT(1+預測IC!$C17:AO17)-1</f>
        <v>6.3455880064022807E-4</v>
      </c>
      <c r="AP17" s="12">
        <f t="array" ref="AP17">PRODUCT(1+預測IC!$C17:AP17)-1</f>
        <v>-3.1270766645310477E-3</v>
      </c>
      <c r="AQ17" s="12">
        <f t="array" ref="AQ17">PRODUCT(1+預測IC!$C17:AQ17)-1</f>
        <v>6.0744342452014877E-3</v>
      </c>
      <c r="AR17" s="12">
        <f t="array" ref="AR17">PRODUCT(1+預測IC!$C17:AR17)-1</f>
        <v>-4.0006416349306795E-2</v>
      </c>
      <c r="AS17" s="12">
        <f t="array" ref="AS17">PRODUCT(1+預測IC!$C17:AS17)-1</f>
        <v>-1.1671245734272806E-2</v>
      </c>
      <c r="AT17" s="12">
        <f t="array" ref="AT17">PRODUCT(1+預測IC!$C17:AT17)-1</f>
        <v>3.9986530302383194E-2</v>
      </c>
      <c r="AU17" s="12">
        <f t="array" ref="AU17">PRODUCT(1+預測IC!$C17:AU17)-1</f>
        <v>9.6723523034352166E-2</v>
      </c>
      <c r="AV17" s="12">
        <f t="array" ref="AV17">PRODUCT(1+預測IC!$C17:AV17)-1</f>
        <v>7.3466510625858739E-2</v>
      </c>
      <c r="AW17" s="12">
        <f t="array" ref="AW17">PRODUCT(1+預測IC!$C17:AW17)-1</f>
        <v>8.2507125395010927E-2</v>
      </c>
      <c r="AX17" s="12">
        <f t="array" ref="AX17">PRODUCT(1+預測IC!$C17:AX17)-1</f>
        <v>0.18668821573278138</v>
      </c>
      <c r="AY17" s="12">
        <f t="array" ref="AY17">PRODUCT(1+預測IC!$C17:AY17)-1</f>
        <v>0.21923159342734766</v>
      </c>
      <c r="AZ17" s="12">
        <f t="array" ref="AZ17">PRODUCT(1+預測IC!$C17:AZ17)-1</f>
        <v>6.6635490594108671E-2</v>
      </c>
      <c r="BA17" s="12">
        <f t="array" ref="BA17">PRODUCT(1+預測IC!$C17:BA17)-1</f>
        <v>7.7115375331199054E-2</v>
      </c>
      <c r="BB17" s="12">
        <f t="array" ref="BB17">PRODUCT(1+預測IC!$C17:BB17)-1</f>
        <v>0.24220565674474326</v>
      </c>
      <c r="BC17" s="12">
        <f t="array" ref="BC17">PRODUCT(1+預測IC!$C17:BC17)-1</f>
        <v>0.346380992187312</v>
      </c>
      <c r="BD17" s="12">
        <f t="array" ref="BD17">PRODUCT(1+預測IC!$C17:BD17)-1</f>
        <v>0.37251980106726035</v>
      </c>
      <c r="BE17" s="12">
        <f t="array" ref="BE17">PRODUCT(1+預測IC!$C17:BE17)-1</f>
        <v>0.47868454015634732</v>
      </c>
      <c r="BF17" s="12">
        <f t="array" ref="BF17">PRODUCT(1+預測IC!$C17:BF17)-1</f>
        <v>0.3642092191110633</v>
      </c>
      <c r="BG17" s="12">
        <f t="array" ref="BG17">PRODUCT(1+預測IC!$C17:BG17)-1</f>
        <v>0.31592407593636929</v>
      </c>
      <c r="BH17" s="12">
        <f t="array" ref="BH17">PRODUCT(1+預測IC!$C17:BH17)-1</f>
        <v>0.33371465996487037</v>
      </c>
      <c r="BI17" s="12">
        <f t="array" ref="BI17">PRODUCT(1+預測IC!$C17:BI17)-1</f>
        <v>0.44989713865618786</v>
      </c>
      <c r="BJ17" s="12">
        <f t="array" ref="BJ17">PRODUCT(1+預測IC!$C17:BJ17)-1</f>
        <v>0.43560395947373354</v>
      </c>
      <c r="BK17" s="12">
        <f t="array" ref="BK17">PRODUCT(1+預測IC!$C17:BK17)-1</f>
        <v>0.41575967475027431</v>
      </c>
      <c r="BL17" s="12">
        <f t="array" ref="BL17">PRODUCT(1+預測IC!$C17:BL17)-1</f>
        <v>0.42648157670707687</v>
      </c>
      <c r="BM17" s="12">
        <f t="array" ref="BM17">PRODUCT(1+預測IC!$C17:BM17)-1</f>
        <v>0.31526344423635044</v>
      </c>
      <c r="BN17" s="12">
        <f t="array" ref="BN17">PRODUCT(1+預測IC!$C17:BN17)-1</f>
        <v>0.24493606987985816</v>
      </c>
      <c r="BO17" s="12">
        <f t="array" ref="BO17">PRODUCT(1+預測IC!$C17:BO17)-1</f>
        <v>0.28396668307469652</v>
      </c>
      <c r="BP17" s="12">
        <f t="array" ref="BP17">PRODUCT(1+預測IC!$C17:BP17)-1</f>
        <v>0.33018432167568457</v>
      </c>
      <c r="BQ17" s="12">
        <f t="array" ref="BQ17">PRODUCT(1+預測IC!$C17:BQ17)-1</f>
        <v>0.34531717750693414</v>
      </c>
      <c r="BR17" s="12">
        <f t="array" ref="BR17">PRODUCT(1+預測IC!$C17:BR17)-1</f>
        <v>0.50005872482974456</v>
      </c>
      <c r="BS17" s="12">
        <f t="array" ref="BS17">PRODUCT(1+預測IC!$C17:BS17)-1</f>
        <v>0.49390328018830987</v>
      </c>
      <c r="BT17" s="12">
        <f t="array" ref="BT17">PRODUCT(1+預測IC!$C17:BT17)-1</f>
        <v>0.44363754304399383</v>
      </c>
      <c r="BU17" s="12">
        <f t="array" ref="BU17">PRODUCT(1+預測IC!$C17:BU17)-1</f>
        <v>0.29274223113078479</v>
      </c>
      <c r="BV17" s="12">
        <f t="array" ref="BV17">PRODUCT(1+預測IC!$C17:BV17)-1</f>
        <v>0.43060527203471732</v>
      </c>
      <c r="BW17" s="12">
        <f t="array" ref="BW17">PRODUCT(1+預測IC!$C17:BW17)-1</f>
        <v>0.75568796689723139</v>
      </c>
      <c r="BX17" s="12">
        <f t="array" ref="BX17">PRODUCT(1+預測IC!$C17:BX17)-1</f>
        <v>0.90077975780096042</v>
      </c>
      <c r="BY17" s="12">
        <f t="array" ref="BY17">PRODUCT(1+預測IC!$C17:BY17)-1</f>
        <v>1.0609118373560587</v>
      </c>
      <c r="BZ17" s="12">
        <f t="array" ref="BZ17">PRODUCT(1+預測IC!$C17:BZ17)-1</f>
        <v>1.2813304801849639</v>
      </c>
      <c r="CA17" s="12">
        <f t="array" ref="CA17">PRODUCT(1+預測IC!$C17:CA17)-1</f>
        <v>1.2176018956666845</v>
      </c>
      <c r="CB17" s="12">
        <f t="array" ref="CB17">PRODUCT(1+預測IC!$C17:CB17)-1</f>
        <v>1.2408372796631686</v>
      </c>
      <c r="CC17" s="12">
        <f t="array" ref="CC17">PRODUCT(1+預測IC!$C17:CC17)-1</f>
        <v>1.3344112832059829</v>
      </c>
      <c r="CD17" s="12">
        <f t="array" ref="CD17">PRODUCT(1+預測IC!$C17:CD17)-1</f>
        <v>1.4840578431116711</v>
      </c>
      <c r="CE17" s="12">
        <f t="array" ref="CE17">PRODUCT(1+預測IC!$C17:CE17)-1</f>
        <v>1.7218011196385117</v>
      </c>
      <c r="CF17" s="12">
        <f t="array" ref="CF17">PRODUCT(1+預測IC!$C17:CF17)-1</f>
        <v>1.4628931903842979</v>
      </c>
      <c r="CG17" s="12">
        <f t="array" ref="CG17">PRODUCT(1+預測IC!$C17:CG17)-1</f>
        <v>1.8989124099289283</v>
      </c>
      <c r="CH17" s="12">
        <f t="array" ref="CH17">PRODUCT(1+預測IC!$C17:CH17)-1</f>
        <v>1.832948745133149</v>
      </c>
      <c r="CI17" s="12">
        <f t="array" ref="CI17">PRODUCT(1+預測IC!$C17:CI17)-1</f>
        <v>1.5993685799109896</v>
      </c>
      <c r="CJ17" s="12">
        <f t="array" ref="CJ17">PRODUCT(1+預測IC!$C17:CJ17)-1</f>
        <v>1.7312665760493906</v>
      </c>
      <c r="CK17" s="12">
        <f t="array" ref="CK17">PRODUCT(1+預測IC!$C17:CK17)-1</f>
        <v>1.9818290732844268</v>
      </c>
      <c r="CL17" s="12">
        <f t="array" ref="CL17">PRODUCT(1+預測IC!$C17:CL17)-1</f>
        <v>1.953721324397327</v>
      </c>
      <c r="CM17" s="12">
        <f t="array" ref="CM17">PRODUCT(1+預測IC!$C17:CM17)-1</f>
        <v>1.6716627216121496</v>
      </c>
      <c r="CN17" s="12">
        <f t="array" ref="CN17">PRODUCT(1+預測IC!$C17:CN17)-1</f>
        <v>1.7430443695829951</v>
      </c>
      <c r="CO17" s="12">
        <f t="array" ref="CO17">PRODUCT(1+預測IC!$C17:CO17)-1</f>
        <v>1.3661147556021311</v>
      </c>
      <c r="CP17" s="12">
        <f t="array" ref="CP17">PRODUCT(1+預測IC!$C17:CP17)-1</f>
        <v>1.7166765886291944</v>
      </c>
      <c r="CQ17" s="12">
        <f t="array" ref="CQ17">PRODUCT(1+預測IC!$C17:CQ17)-1</f>
        <v>1.8282992147837067</v>
      </c>
      <c r="CR17" s="12">
        <f t="array" ref="CR17">PRODUCT(1+預測IC!$C17:CR17)-1</f>
        <v>1.8933695412808338</v>
      </c>
      <c r="CS17" s="12">
        <f t="array" ref="CS17">PRODUCT(1+預測IC!$C17:CS17)-1</f>
        <v>1.6131709149507101</v>
      </c>
      <c r="CT17" s="12">
        <f t="array" ref="CT17">PRODUCT(1+預測IC!$C17:CT17)-1</f>
        <v>1.6584814181914678</v>
      </c>
      <c r="CU17" s="12">
        <f t="array" ref="CU17">PRODUCT(1+預測IC!$C17:CU17)-1</f>
        <v>1.8562945212606237</v>
      </c>
      <c r="CV17" s="12">
        <f t="array" ref="CV17">PRODUCT(1+預測IC!$C17:CV17)-1</f>
        <v>2.2889414079678696</v>
      </c>
      <c r="CW17" s="12">
        <f t="array" ref="CW17">PRODUCT(1+預測IC!$C17:CW17)-1</f>
        <v>2.4974379902783173</v>
      </c>
      <c r="CX17" s="12">
        <f t="array" ref="CX17">PRODUCT(1+預測IC!$C17:CX17)-1</f>
        <v>2.4597622084239958</v>
      </c>
      <c r="CY17" s="12">
        <f t="array" ref="CY17">PRODUCT(1+預測IC!$C17:CY17)-1</f>
        <v>2.6306166790492376</v>
      </c>
      <c r="CZ17" s="12">
        <f t="array" ref="CZ17">PRODUCT(1+預測IC!$C17:CZ17)-1</f>
        <v>2.1795167760071825</v>
      </c>
      <c r="DA17" s="12">
        <f t="array" ref="DA17">PRODUCT(1+預測IC!$C17:DA17)-1</f>
        <v>2.3190843965563848</v>
      </c>
      <c r="DB17" s="12">
        <f t="array" ref="DB17">PRODUCT(1+預測IC!$C17:DB17)-1</f>
        <v>3.0636113558646798</v>
      </c>
      <c r="DC17" s="12">
        <f t="array" ref="DC17">PRODUCT(1+預測IC!$C17:DC17)-1</f>
        <v>2.6619258417789484</v>
      </c>
      <c r="DD17" s="12">
        <f t="array" ref="DD17">PRODUCT(1+預測IC!$C17:DD17)-1</f>
        <v>2.555160852619986</v>
      </c>
      <c r="DE17" s="12">
        <f t="array" ref="DE17">PRODUCT(1+預測IC!$C17:DE17)-1</f>
        <v>2.3714821339840548</v>
      </c>
      <c r="DF17" s="12">
        <f t="array" ref="DF17">PRODUCT(1+預測IC!$C17:DF17)-1</f>
        <v>1.1839538320714529</v>
      </c>
      <c r="DG17" s="12">
        <f t="array" ref="DG17">PRODUCT(1+預測IC!$C17:DG17)-1</f>
        <v>1.4530441696364367</v>
      </c>
      <c r="DH17" s="12">
        <f t="array" ref="DH17">PRODUCT(1+預測IC!$C17:DH17)-1</f>
        <v>1.4220036071113662</v>
      </c>
      <c r="DI17" s="12">
        <f t="array" ref="DI17">PRODUCT(1+預測IC!$C17:DI17)-1</f>
        <v>1.3371256143501031</v>
      </c>
      <c r="DJ17" s="12">
        <f t="array" ref="DJ17">PRODUCT(1+預測IC!$C17:DJ17)-1</f>
        <v>1.2035673575703467</v>
      </c>
      <c r="DK17" s="12">
        <f t="array" ref="DK17">PRODUCT(1+預測IC!$C17:DK17)-1</f>
        <v>1.430049735135507</v>
      </c>
      <c r="DL17" s="12">
        <f t="array" ref="DL17">PRODUCT(1+預測IC!$C17:DL17)-1</f>
        <v>1.4441191155895075</v>
      </c>
      <c r="DM17" s="12">
        <f t="array" ref="DM17">PRODUCT(1+預測IC!$C17:DM17)-1</f>
        <v>1.3400888516131135</v>
      </c>
      <c r="DN17" s="12">
        <f t="array" ref="DN17">PRODUCT(1+預測IC!$C17:DN17)-1</f>
        <v>1.0909162781956212</v>
      </c>
      <c r="DO17" s="12">
        <f t="array" ref="DO17">PRODUCT(1+預測IC!$C17:DO17)-1</f>
        <v>0.97915393786005445</v>
      </c>
      <c r="DP17" s="12">
        <f t="array" ref="DP17">PRODUCT(1+預測IC!$C17:DP17)-1</f>
        <v>1.2602614014724365</v>
      </c>
      <c r="DQ17" s="12">
        <f t="array" ref="DQ17">PRODUCT(1+預測IC!$C17:DQ17)-1</f>
        <v>1.4077298963501041</v>
      </c>
      <c r="DR17" s="12">
        <f t="array" ref="DR17">PRODUCT(1+預測IC!$C17:DR17)-1</f>
        <v>1.5422854358798306</v>
      </c>
      <c r="DS17" s="12">
        <f t="array" ref="DS17">PRODUCT(1+預測IC!$C17:DS17)-1</f>
        <v>1.6372490126946473</v>
      </c>
      <c r="DT17" s="12">
        <f t="array" ref="DT17">PRODUCT(1+預測IC!$C17:DT17)-1</f>
        <v>1.6814044729141937</v>
      </c>
      <c r="DU17" s="12">
        <f t="array" ref="DU17">PRODUCT(1+預測IC!$C17:DU17)-1</f>
        <v>2.0286302637297444</v>
      </c>
      <c r="DV17" s="12">
        <f t="array" ref="DV17">PRODUCT(1+預測IC!$C17:DV17)-1</f>
        <v>1.6719624149907264</v>
      </c>
      <c r="DW17" s="12">
        <f t="array" ref="DW17">PRODUCT(1+預測IC!$C17:DW17)-1</f>
        <v>1.8766340679884124</v>
      </c>
      <c r="DX17" s="12">
        <f t="array" ref="DX17">PRODUCT(1+預測IC!$C17:DX17)-1</f>
        <v>2.2492703184579881</v>
      </c>
      <c r="DY17" s="12">
        <f t="array" ref="DY17">PRODUCT(1+預測IC!$C17:DY17)-1</f>
        <v>1.8849021656988691</v>
      </c>
      <c r="DZ17" s="12">
        <f t="array" ref="DZ17">PRODUCT(1+預測IC!$C17:DZ17)-1</f>
        <v>1.9767233297622298</v>
      </c>
      <c r="EA17" s="12">
        <f t="array" ref="EA17">PRODUCT(1+預測IC!$C17:EA17)-1</f>
        <v>1.9415446400818093</v>
      </c>
      <c r="EB17" s="12">
        <f t="array" ref="EB17">PRODUCT(1+預測IC!$C17:EB17)-1</f>
        <v>1.6853350747587701</v>
      </c>
      <c r="EC17" s="12">
        <f t="array" ref="EC17">PRODUCT(1+預測IC!$C17:EC17)-1</f>
        <v>2.0116355567332858</v>
      </c>
      <c r="ED17" s="12">
        <f t="array" ref="ED17">PRODUCT(1+預測IC!$C17:ED17)-1</f>
        <v>2.398102014867626</v>
      </c>
      <c r="EE17" s="12">
        <f t="array" ref="EE17">PRODUCT(1+預測IC!$C17:EE17)-1</f>
        <v>2.3974415087884862</v>
      </c>
      <c r="EF17" s="12">
        <f t="array" ref="EF17">PRODUCT(1+預測IC!$C17:EF17)-1</f>
        <v>2.2353503659745879</v>
      </c>
    </row>
    <row r="18" spans="1:136">
      <c r="A18" s="2">
        <v>7</v>
      </c>
      <c r="B18" s="2" t="s">
        <v>195</v>
      </c>
      <c r="C18" s="12">
        <f t="array" ref="C18">PRODUCT(1+預測IC!$C18:C18)-1</f>
        <v>0.18975114285714278</v>
      </c>
      <c r="D18" s="12">
        <f t="array" ref="D18">PRODUCT(1+預測IC!$C18:D18)-1</f>
        <v>0.18001009453995054</v>
      </c>
      <c r="E18" s="12">
        <f t="array" ref="E18">PRODUCT(1+預測IC!$C18:E18)-1</f>
        <v>0.2430673053991057</v>
      </c>
      <c r="F18" s="12">
        <f t="array" ref="F18">PRODUCT(1+預測IC!$C18:F18)-1</f>
        <v>0.39146835992390372</v>
      </c>
      <c r="G18" s="12">
        <f t="array" ref="G18">PRODUCT(1+預測IC!$C18:G18)-1</f>
        <v>0.24074955363600803</v>
      </c>
      <c r="H18" s="12">
        <f t="array" ref="H18">PRODUCT(1+預測IC!$C18:H18)-1</f>
        <v>0.40023550126038065</v>
      </c>
      <c r="I18" s="12">
        <f t="array" ref="I18">PRODUCT(1+預測IC!$C18:I18)-1</f>
        <v>0.21050333848461888</v>
      </c>
      <c r="J18" s="12">
        <f t="array" ref="J18">PRODUCT(1+預測IC!$C18:J18)-1</f>
        <v>5.8995703065593874E-2</v>
      </c>
      <c r="K18" s="12">
        <f t="array" ref="K18">PRODUCT(1+預測IC!$C18:K18)-1</f>
        <v>0.20264623441102603</v>
      </c>
      <c r="L18" s="12">
        <f t="array" ref="L18">PRODUCT(1+預測IC!$C18:L18)-1</f>
        <v>0.26369040105337649</v>
      </c>
      <c r="M18" s="12">
        <f t="array" ref="M18">PRODUCT(1+預測IC!$C18:M18)-1</f>
        <v>0.16297101941522785</v>
      </c>
      <c r="N18" s="12">
        <f t="array" ref="N18">PRODUCT(1+預測IC!$C18:N18)-1</f>
        <v>-1.2491974303737718E-3</v>
      </c>
      <c r="O18" s="12">
        <f t="array" ref="O18">PRODUCT(1+預測IC!$C18:O18)-1</f>
        <v>3.0449096712660051E-2</v>
      </c>
      <c r="P18" s="12">
        <f t="array" ref="P18">PRODUCT(1+預測IC!$C18:P18)-1</f>
        <v>3.9030765258166067E-2</v>
      </c>
      <c r="Q18" s="12">
        <f t="array" ref="Q18">PRODUCT(1+預測IC!$C18:Q18)-1</f>
        <v>-5.7661011663652006E-2</v>
      </c>
      <c r="R18" s="12">
        <f t="array" ref="R18">PRODUCT(1+預測IC!$C18:R18)-1</f>
        <v>-0.20295949578767203</v>
      </c>
      <c r="S18" s="12">
        <f t="array" ref="S18">PRODUCT(1+預測IC!$C18:S18)-1</f>
        <v>0.10289095225892719</v>
      </c>
      <c r="T18" s="12">
        <f t="array" ref="T18">PRODUCT(1+預測IC!$C18:T18)-1</f>
        <v>0.16058284440302928</v>
      </c>
      <c r="U18" s="12">
        <f t="array" ref="U18">PRODUCT(1+預測IC!$C18:U18)-1</f>
        <v>0.19323418475481668</v>
      </c>
      <c r="V18" s="12">
        <f t="array" ref="V18">PRODUCT(1+預測IC!$C18:V18)-1</f>
        <v>4.8385743244056423E-2</v>
      </c>
      <c r="W18" s="12">
        <f t="array" ref="W18">PRODUCT(1+預測IC!$C18:W18)-1</f>
        <v>0.19297620922248138</v>
      </c>
      <c r="X18" s="12">
        <f t="array" ref="X18">PRODUCT(1+預測IC!$C18:X18)-1</f>
        <v>0.36411045693770538</v>
      </c>
      <c r="Y18" s="12">
        <f t="array" ref="Y18">PRODUCT(1+預測IC!$C18:Y18)-1</f>
        <v>0.22240769406291339</v>
      </c>
      <c r="Z18" s="12">
        <f t="array" ref="Z18">PRODUCT(1+預測IC!$C18:Z18)-1</f>
        <v>0.15949070529377907</v>
      </c>
      <c r="AA18" s="12">
        <f t="array" ref="AA18">PRODUCT(1+預測IC!$C18:AA18)-1</f>
        <v>0.20784754944514572</v>
      </c>
      <c r="AB18" s="12">
        <f t="array" ref="AB18">PRODUCT(1+預測IC!$C18:AB18)-1</f>
        <v>0.28351292396711902</v>
      </c>
      <c r="AC18" s="12">
        <f t="array" ref="AC18">PRODUCT(1+預測IC!$C18:AC18)-1</f>
        <v>0.28176038913845547</v>
      </c>
      <c r="AD18" s="12">
        <f t="array" ref="AD18">PRODUCT(1+預測IC!$C18:AD18)-1</f>
        <v>0.24767121486479859</v>
      </c>
      <c r="AE18" s="12">
        <f t="array" ref="AE18">PRODUCT(1+預測IC!$C18:AE18)-1</f>
        <v>0.15134974940602142</v>
      </c>
      <c r="AF18" s="12">
        <f t="array" ref="AF18">PRODUCT(1+預測IC!$C18:AF18)-1</f>
        <v>0.18804720141797082</v>
      </c>
      <c r="AG18" s="12">
        <f t="array" ref="AG18">PRODUCT(1+預測IC!$C18:AG18)-1</f>
        <v>0.28513439482948977</v>
      </c>
      <c r="AH18" s="12">
        <f t="array" ref="AH18">PRODUCT(1+預測IC!$C18:AH18)-1</f>
        <v>7.5569450565657004E-2</v>
      </c>
      <c r="AI18" s="12">
        <f t="array" ref="AI18">PRODUCT(1+預測IC!$C18:AI18)-1</f>
        <v>-1.2007447539874927E-2</v>
      </c>
      <c r="AJ18" s="12">
        <f t="array" ref="AJ18">PRODUCT(1+預測IC!$C18:AJ18)-1</f>
        <v>3.4817230585687753E-2</v>
      </c>
      <c r="AK18" s="12">
        <f t="array" ref="AK18">PRODUCT(1+預測IC!$C18:AK18)-1</f>
        <v>1.1189367389106142E-2</v>
      </c>
      <c r="AL18" s="12">
        <f t="array" ref="AL18">PRODUCT(1+預測IC!$C18:AL18)-1</f>
        <v>5.9248936629827886E-2</v>
      </c>
      <c r="AM18" s="12">
        <f t="array" ref="AM18">PRODUCT(1+預測IC!$C18:AM18)-1</f>
        <v>-4.2495132343420505E-2</v>
      </c>
      <c r="AN18" s="12">
        <f t="array" ref="AN18">PRODUCT(1+預測IC!$C18:AN18)-1</f>
        <v>-3.9819463736013971E-2</v>
      </c>
      <c r="AO18" s="12">
        <f t="array" ref="AO18">PRODUCT(1+預測IC!$C18:AO18)-1</f>
        <v>-3.4608050300143134E-2</v>
      </c>
      <c r="AP18" s="12">
        <f t="array" ref="AP18">PRODUCT(1+預測IC!$C18:AP18)-1</f>
        <v>-3.6554004644466676E-2</v>
      </c>
      <c r="AQ18" s="12">
        <f t="array" ref="AQ18">PRODUCT(1+預測IC!$C18:AQ18)-1</f>
        <v>-5.2728473649637508E-2</v>
      </c>
      <c r="AR18" s="12">
        <f t="array" ref="AR18">PRODUCT(1+預測IC!$C18:AR18)-1</f>
        <v>-8.9674406786512617E-2</v>
      </c>
      <c r="AS18" s="12">
        <f t="array" ref="AS18">PRODUCT(1+預測IC!$C18:AS18)-1</f>
        <v>-4.8369943552610484E-2</v>
      </c>
      <c r="AT18" s="12">
        <f t="array" ref="AT18">PRODUCT(1+預測IC!$C18:AT18)-1</f>
        <v>-7.1399529682333318E-3</v>
      </c>
      <c r="AU18" s="12">
        <f t="array" ref="AU18">PRODUCT(1+預測IC!$C18:AU18)-1</f>
        <v>5.6974624049736411E-2</v>
      </c>
      <c r="AV18" s="12">
        <f t="array" ref="AV18">PRODUCT(1+預測IC!$C18:AV18)-1</f>
        <v>2.6566779117279671E-2</v>
      </c>
      <c r="AW18" s="12">
        <f t="array" ref="AW18">PRODUCT(1+預測IC!$C18:AW18)-1</f>
        <v>5.1756709894042796E-2</v>
      </c>
      <c r="AX18" s="12">
        <f t="array" ref="AX18">PRODUCT(1+預測IC!$C18:AX18)-1</f>
        <v>0.16488457480414742</v>
      </c>
      <c r="AY18" s="12">
        <f t="array" ref="AY18">PRODUCT(1+預測IC!$C18:AY18)-1</f>
        <v>0.20540307955433557</v>
      </c>
      <c r="AZ18" s="12">
        <f t="array" ref="AZ18">PRODUCT(1+預測IC!$C18:AZ18)-1</f>
        <v>2.6510314608923613E-2</v>
      </c>
      <c r="BA18" s="12">
        <f t="array" ref="BA18">PRODUCT(1+預測IC!$C18:BA18)-1</f>
        <v>2.7159388295153297E-2</v>
      </c>
      <c r="BB18" s="12">
        <f t="array" ref="BB18">PRODUCT(1+預測IC!$C18:BB18)-1</f>
        <v>0.19895927957734671</v>
      </c>
      <c r="BC18" s="12">
        <f t="array" ref="BC18">PRODUCT(1+預測IC!$C18:BC18)-1</f>
        <v>0.29871457711353666</v>
      </c>
      <c r="BD18" s="12">
        <f t="array" ref="BD18">PRODUCT(1+預測IC!$C18:BD18)-1</f>
        <v>0.32504954024693711</v>
      </c>
      <c r="BE18" s="12">
        <f t="array" ref="BE18">PRODUCT(1+預測IC!$C18:BE18)-1</f>
        <v>0.41563153441888745</v>
      </c>
      <c r="BF18" s="12">
        <f t="array" ref="BF18">PRODUCT(1+預測IC!$C18:BF18)-1</f>
        <v>0.36163651643308214</v>
      </c>
      <c r="BG18" s="12">
        <f t="array" ref="BG18">PRODUCT(1+預測IC!$C18:BG18)-1</f>
        <v>0.33875252467549943</v>
      </c>
      <c r="BH18" s="12">
        <f t="array" ref="BH18">PRODUCT(1+預測IC!$C18:BH18)-1</f>
        <v>0.36620210973024458</v>
      </c>
      <c r="BI18" s="12">
        <f t="array" ref="BI18">PRODUCT(1+預測IC!$C18:BI18)-1</f>
        <v>0.51511814914313692</v>
      </c>
      <c r="BJ18" s="12">
        <f t="array" ref="BJ18">PRODUCT(1+預測IC!$C18:BJ18)-1</f>
        <v>0.52414228988344691</v>
      </c>
      <c r="BK18" s="12">
        <f t="array" ref="BK18">PRODUCT(1+預測IC!$C18:BK18)-1</f>
        <v>0.43573709249320558</v>
      </c>
      <c r="BL18" s="12">
        <f t="array" ref="BL18">PRODUCT(1+預測IC!$C18:BL18)-1</f>
        <v>0.47357204656518448</v>
      </c>
      <c r="BM18" s="12">
        <f t="array" ref="BM18">PRODUCT(1+預測IC!$C18:BM18)-1</f>
        <v>0.37074408405294235</v>
      </c>
      <c r="BN18" s="12">
        <f t="array" ref="BN18">PRODUCT(1+預測IC!$C18:BN18)-1</f>
        <v>0.31291021330196345</v>
      </c>
      <c r="BO18" s="12">
        <f t="array" ref="BO18">PRODUCT(1+預測IC!$C18:BO18)-1</f>
        <v>0.32394934993400804</v>
      </c>
      <c r="BP18" s="12">
        <f t="array" ref="BP18">PRODUCT(1+預測IC!$C18:BP18)-1</f>
        <v>0.38598635999961695</v>
      </c>
      <c r="BQ18" s="12">
        <f t="array" ref="BQ18">PRODUCT(1+預測IC!$C18:BQ18)-1</f>
        <v>0.38864299663093171</v>
      </c>
      <c r="BR18" s="12">
        <f t="array" ref="BR18">PRODUCT(1+預測IC!$C18:BR18)-1</f>
        <v>0.55661577789317795</v>
      </c>
      <c r="BS18" s="12">
        <f t="array" ref="BS18">PRODUCT(1+預測IC!$C18:BS18)-1</f>
        <v>0.55041480421379085</v>
      </c>
      <c r="BT18" s="12">
        <f t="array" ref="BT18">PRODUCT(1+預測IC!$C18:BT18)-1</f>
        <v>0.52979605922038076</v>
      </c>
      <c r="BU18" s="12">
        <f t="array" ref="BU18">PRODUCT(1+預測IC!$C18:BU18)-1</f>
        <v>0.35928171232526451</v>
      </c>
      <c r="BV18" s="12">
        <f t="array" ref="BV18">PRODUCT(1+預測IC!$C18:BV18)-1</f>
        <v>0.51628632323980117</v>
      </c>
      <c r="BW18" s="12">
        <f t="array" ref="BW18">PRODUCT(1+預測IC!$C18:BW18)-1</f>
        <v>0.91209662199665953</v>
      </c>
      <c r="BX18" s="12">
        <f t="array" ref="BX18">PRODUCT(1+預測IC!$C18:BX18)-1</f>
        <v>1.0547024389973068</v>
      </c>
      <c r="BY18" s="12">
        <f t="array" ref="BY18">PRODUCT(1+預測IC!$C18:BY18)-1</f>
        <v>1.3075848920024651</v>
      </c>
      <c r="BZ18" s="12">
        <f t="array" ref="BZ18">PRODUCT(1+預測IC!$C18:BZ18)-1</f>
        <v>1.5609926565727004</v>
      </c>
      <c r="CA18" s="12">
        <f t="array" ref="CA18">PRODUCT(1+預測IC!$C18:CA18)-1</f>
        <v>1.5198207457200152</v>
      </c>
      <c r="CB18" s="12">
        <f t="array" ref="CB18">PRODUCT(1+預測IC!$C18:CB18)-1</f>
        <v>1.5817512787870216</v>
      </c>
      <c r="CC18" s="12">
        <f t="array" ref="CC18">PRODUCT(1+預測IC!$C18:CC18)-1</f>
        <v>1.851956629981649</v>
      </c>
      <c r="CD18" s="12">
        <f t="array" ref="CD18">PRODUCT(1+預測IC!$C18:CD18)-1</f>
        <v>1.9958235821810737</v>
      </c>
      <c r="CE18" s="12">
        <f t="array" ref="CE18">PRODUCT(1+預測IC!$C18:CE18)-1</f>
        <v>2.2272804841655858</v>
      </c>
      <c r="CF18" s="12">
        <f t="array" ref="CF18">PRODUCT(1+預測IC!$C18:CF18)-1</f>
        <v>1.8985529213289634</v>
      </c>
      <c r="CG18" s="12">
        <f t="array" ref="CG18">PRODUCT(1+預測IC!$C18:CG18)-1</f>
        <v>2.5554871666037915</v>
      </c>
      <c r="CH18" s="12">
        <f t="array" ref="CH18">PRODUCT(1+預測IC!$C18:CH18)-1</f>
        <v>2.4650335413784386</v>
      </c>
      <c r="CI18" s="12">
        <f t="array" ref="CI18">PRODUCT(1+預測IC!$C18:CI18)-1</f>
        <v>2.0571174177675782</v>
      </c>
      <c r="CJ18" s="12">
        <f t="array" ref="CJ18">PRODUCT(1+預測IC!$C18:CJ18)-1</f>
        <v>2.2476176476112668</v>
      </c>
      <c r="CK18" s="12">
        <f t="array" ref="CK18">PRODUCT(1+預測IC!$C18:CK18)-1</f>
        <v>2.5420719439486996</v>
      </c>
      <c r="CL18" s="12">
        <f t="array" ref="CL18">PRODUCT(1+預測IC!$C18:CL18)-1</f>
        <v>2.4323047458423397</v>
      </c>
      <c r="CM18" s="12">
        <f t="array" ref="CM18">PRODUCT(1+預測IC!$C18:CM18)-1</f>
        <v>2.079571200075367</v>
      </c>
      <c r="CN18" s="12">
        <f t="array" ref="CN18">PRODUCT(1+預測IC!$C18:CN18)-1</f>
        <v>2.1876218173450894</v>
      </c>
      <c r="CO18" s="12">
        <f t="array" ref="CO18">PRODUCT(1+預測IC!$C18:CO18)-1</f>
        <v>1.7075739100353768</v>
      </c>
      <c r="CP18" s="12">
        <f t="array" ref="CP18">PRODUCT(1+預測IC!$C18:CP18)-1</f>
        <v>2.1484728329564193</v>
      </c>
      <c r="CQ18" s="12">
        <f t="array" ref="CQ18">PRODUCT(1+預測IC!$C18:CQ18)-1</f>
        <v>2.2995256544571943</v>
      </c>
      <c r="CR18" s="12">
        <f t="array" ref="CR18">PRODUCT(1+預測IC!$C18:CR18)-1</f>
        <v>2.4108672049452369</v>
      </c>
      <c r="CS18" s="12">
        <f t="array" ref="CS18">PRODUCT(1+預測IC!$C18:CS18)-1</f>
        <v>2.1447266279749857</v>
      </c>
      <c r="CT18" s="12">
        <f t="array" ref="CT18">PRODUCT(1+預測IC!$C18:CT18)-1</f>
        <v>2.0935540821606491</v>
      </c>
      <c r="CU18" s="12">
        <f t="array" ref="CU18">PRODUCT(1+預測IC!$C18:CU18)-1</f>
        <v>2.3152031833196847</v>
      </c>
      <c r="CV18" s="12">
        <f t="array" ref="CV18">PRODUCT(1+預測IC!$C18:CV18)-1</f>
        <v>2.7363078109867156</v>
      </c>
      <c r="CW18" s="12">
        <f t="array" ref="CW18">PRODUCT(1+預測IC!$C18:CW18)-1</f>
        <v>2.9849911327729153</v>
      </c>
      <c r="CX18" s="12">
        <f t="array" ref="CX18">PRODUCT(1+預測IC!$C18:CX18)-1</f>
        <v>2.7396743380934567</v>
      </c>
      <c r="CY18" s="12">
        <f t="array" ref="CY18">PRODUCT(1+預測IC!$C18:CY18)-1</f>
        <v>2.9317343404578575</v>
      </c>
      <c r="CZ18" s="12">
        <f t="array" ref="CZ18">PRODUCT(1+預測IC!$C18:CZ18)-1</f>
        <v>2.4094314929295337</v>
      </c>
      <c r="DA18" s="12">
        <f t="array" ref="DA18">PRODUCT(1+預測IC!$C18:DA18)-1</f>
        <v>2.5709735602891568</v>
      </c>
      <c r="DB18" s="12">
        <f t="array" ref="DB18">PRODUCT(1+預測IC!$C18:DB18)-1</f>
        <v>3.3650942043914034</v>
      </c>
      <c r="DC18" s="12">
        <f t="array" ref="DC18">PRODUCT(1+預測IC!$C18:DC18)-1</f>
        <v>3.0035783804345648</v>
      </c>
      <c r="DD18" s="12">
        <f t="array" ref="DD18">PRODUCT(1+預測IC!$C18:DD18)-1</f>
        <v>2.8393748667917862</v>
      </c>
      <c r="DE18" s="12">
        <f t="array" ref="DE18">PRODUCT(1+預測IC!$C18:DE18)-1</f>
        <v>2.6884616558670489</v>
      </c>
      <c r="DF18" s="12">
        <f t="array" ref="DF18">PRODUCT(1+預測IC!$C18:DF18)-1</f>
        <v>1.3359264781998181</v>
      </c>
      <c r="DG18" s="12">
        <f t="array" ref="DG18">PRODUCT(1+預測IC!$C18:DG18)-1</f>
        <v>1.6120729165534269</v>
      </c>
      <c r="DH18" s="12">
        <f t="array" ref="DH18">PRODUCT(1+預測IC!$C18:DH18)-1</f>
        <v>1.5779852797946092</v>
      </c>
      <c r="DI18" s="12">
        <f t="array" ref="DI18">PRODUCT(1+預測IC!$C18:DI18)-1</f>
        <v>1.5300006003630253</v>
      </c>
      <c r="DJ18" s="12">
        <f t="array" ref="DJ18">PRODUCT(1+預測IC!$C18:DJ18)-1</f>
        <v>1.4018434199516361</v>
      </c>
      <c r="DK18" s="12">
        <f t="array" ref="DK18">PRODUCT(1+預測IC!$C18:DK18)-1</f>
        <v>1.6577018489849156</v>
      </c>
      <c r="DL18" s="12">
        <f t="array" ref="DL18">PRODUCT(1+預測IC!$C18:DL18)-1</f>
        <v>1.7199175102545743</v>
      </c>
      <c r="DM18" s="12">
        <f t="array" ref="DM18">PRODUCT(1+預測IC!$C18:DM18)-1</f>
        <v>1.5609200694769112</v>
      </c>
      <c r="DN18" s="12">
        <f t="array" ref="DN18">PRODUCT(1+預測IC!$C18:DN18)-1</f>
        <v>1.2405267316261397</v>
      </c>
      <c r="DO18" s="12">
        <f t="array" ref="DO18">PRODUCT(1+預測IC!$C18:DO18)-1</f>
        <v>1.1461895607263046</v>
      </c>
      <c r="DP18" s="12">
        <f t="array" ref="DP18">PRODUCT(1+預測IC!$C18:DP18)-1</f>
        <v>1.432676834025556</v>
      </c>
      <c r="DQ18" s="12">
        <f t="array" ref="DQ18">PRODUCT(1+預測IC!$C18:DQ18)-1</f>
        <v>1.5833926322270853</v>
      </c>
      <c r="DR18" s="12">
        <f t="array" ref="DR18">PRODUCT(1+預測IC!$C18:DR18)-1</f>
        <v>1.7819022136204747</v>
      </c>
      <c r="DS18" s="12">
        <f t="array" ref="DS18">PRODUCT(1+預測IC!$C18:DS18)-1</f>
        <v>1.8132741222980746</v>
      </c>
      <c r="DT18" s="12">
        <f t="array" ref="DT18">PRODUCT(1+預測IC!$C18:DT18)-1</f>
        <v>1.7924341913926969</v>
      </c>
      <c r="DU18" s="12">
        <f t="array" ref="DU18">PRODUCT(1+預測IC!$C18:DU18)-1</f>
        <v>2.2356365808370993</v>
      </c>
      <c r="DV18" s="12">
        <f t="array" ref="DV18">PRODUCT(1+預測IC!$C18:DV18)-1</f>
        <v>1.8938219625817174</v>
      </c>
      <c r="DW18" s="12">
        <f t="array" ref="DW18">PRODUCT(1+預測IC!$C18:DW18)-1</f>
        <v>2.0924477010462641</v>
      </c>
      <c r="DX18" s="12">
        <f t="array" ref="DX18">PRODUCT(1+預測IC!$C18:DX18)-1</f>
        <v>2.5674568755739773</v>
      </c>
      <c r="DY18" s="12">
        <f t="array" ref="DY18">PRODUCT(1+預測IC!$C18:DY18)-1</f>
        <v>2.2198865551904503</v>
      </c>
      <c r="DZ18" s="12">
        <f t="array" ref="DZ18">PRODUCT(1+預測IC!$C18:DZ18)-1</f>
        <v>2.4630406651857495</v>
      </c>
      <c r="EA18" s="12">
        <f t="array" ref="EA18">PRODUCT(1+預測IC!$C18:EA18)-1</f>
        <v>2.4850710156622888</v>
      </c>
      <c r="EB18" s="12">
        <f t="array" ref="EB18">PRODUCT(1+預測IC!$C18:EB18)-1</f>
        <v>2.137099297751182</v>
      </c>
      <c r="EC18" s="12">
        <f t="array" ref="EC18">PRODUCT(1+預測IC!$C18:EC18)-1</f>
        <v>2.585830704693977</v>
      </c>
      <c r="ED18" s="12">
        <f t="array" ref="ED18">PRODUCT(1+預測IC!$C18:ED18)-1</f>
        <v>2.9819861876940914</v>
      </c>
      <c r="EE18" s="12">
        <f t="array" ref="EE18">PRODUCT(1+預測IC!$C18:EE18)-1</f>
        <v>2.9864073300727711</v>
      </c>
      <c r="EF18" s="12">
        <f t="array" ref="EF18">PRODUCT(1+預測IC!$C18:EF18)-1</f>
        <v>2.7912526910199689</v>
      </c>
    </row>
    <row r="19" spans="1:136">
      <c r="A19" s="2">
        <v>6</v>
      </c>
      <c r="B19" s="2" t="s">
        <v>196</v>
      </c>
      <c r="C19" s="12">
        <f t="array" ref="C19">PRODUCT(1+預測IC!$C19:C19)-1</f>
        <v>0.19659983333333342</v>
      </c>
      <c r="D19" s="12">
        <f t="array" ref="D19">PRODUCT(1+預測IC!$C19:D19)-1</f>
        <v>0.1724634580682427</v>
      </c>
      <c r="E19" s="12">
        <f t="array" ref="E19">PRODUCT(1+預測IC!$C19:E19)-1</f>
        <v>0.24962620940235891</v>
      </c>
      <c r="F19" s="12">
        <f t="array" ref="F19">PRODUCT(1+預測IC!$C19:F19)-1</f>
        <v>0.4716706183082191</v>
      </c>
      <c r="G19" s="12">
        <f t="array" ref="G19">PRODUCT(1+預測IC!$C19:G19)-1</f>
        <v>0.33029315010678673</v>
      </c>
      <c r="H19" s="12">
        <f t="array" ref="H19">PRODUCT(1+預測IC!$C19:H19)-1</f>
        <v>0.56656673821277814</v>
      </c>
      <c r="I19" s="12">
        <f t="array" ref="I19">PRODUCT(1+預測IC!$C19:I19)-1</f>
        <v>0.35562173914877593</v>
      </c>
      <c r="J19" s="12">
        <f t="array" ref="J19">PRODUCT(1+預測IC!$C19:J19)-1</f>
        <v>0.14383408452634527</v>
      </c>
      <c r="K19" s="12">
        <f t="array" ref="K19">PRODUCT(1+預測IC!$C19:K19)-1</f>
        <v>0.4169695561116582</v>
      </c>
      <c r="L19" s="12">
        <f t="array" ref="L19">PRODUCT(1+預測IC!$C19:L19)-1</f>
        <v>0.44577179982977522</v>
      </c>
      <c r="M19" s="12">
        <f t="array" ref="M19">PRODUCT(1+預測IC!$C19:M19)-1</f>
        <v>0.32113132281204981</v>
      </c>
      <c r="N19" s="12">
        <f t="array" ref="N19">PRODUCT(1+預測IC!$C19:N19)-1</f>
        <v>0.12052601158949994</v>
      </c>
      <c r="O19" s="12">
        <f t="array" ref="O19">PRODUCT(1+預測IC!$C19:O19)-1</f>
        <v>0.15589191292885318</v>
      </c>
      <c r="P19" s="12">
        <f t="array" ref="P19">PRODUCT(1+預測IC!$C19:P19)-1</f>
        <v>0.18307058537331145</v>
      </c>
      <c r="Q19" s="12">
        <f t="array" ref="Q19">PRODUCT(1+預測IC!$C19:Q19)-1</f>
        <v>8.6217195455854601E-2</v>
      </c>
      <c r="R19" s="12">
        <f t="array" ref="R19">PRODUCT(1+預測IC!$C19:R19)-1</f>
        <v>-7.1917858832646564E-2</v>
      </c>
      <c r="S19" s="12">
        <f t="array" ref="S19">PRODUCT(1+預測IC!$C19:S19)-1</f>
        <v>9.8997856589698952E-2</v>
      </c>
      <c r="T19" s="12">
        <f t="array" ref="T19">PRODUCT(1+預測IC!$C19:T19)-1</f>
        <v>0.15555747053228908</v>
      </c>
      <c r="U19" s="12">
        <f t="array" ref="U19">PRODUCT(1+預測IC!$C19:U19)-1</f>
        <v>0.20661481440319962</v>
      </c>
      <c r="V19" s="12">
        <f t="array" ref="V19">PRODUCT(1+預測IC!$C19:V19)-1</f>
        <v>9.4775714700496616E-2</v>
      </c>
      <c r="W19" s="12">
        <f t="array" ref="W19">PRODUCT(1+預測IC!$C19:W19)-1</f>
        <v>0.25529281460335373</v>
      </c>
      <c r="X19" s="12">
        <f t="array" ref="X19">PRODUCT(1+預測IC!$C19:X19)-1</f>
        <v>0.40170897002556538</v>
      </c>
      <c r="Y19" s="12">
        <f t="array" ref="Y19">PRODUCT(1+預測IC!$C19:Y19)-1</f>
        <v>0.25715038903589038</v>
      </c>
      <c r="Z19" s="12">
        <f t="array" ref="Z19">PRODUCT(1+預測IC!$C19:Z19)-1</f>
        <v>0.18437555540526662</v>
      </c>
      <c r="AA19" s="12">
        <f t="array" ref="AA19">PRODUCT(1+預測IC!$C19:AA19)-1</f>
        <v>0.23361026580594424</v>
      </c>
      <c r="AB19" s="12">
        <f t="array" ref="AB19">PRODUCT(1+預測IC!$C19:AB19)-1</f>
        <v>0.29741105020797431</v>
      </c>
      <c r="AC19" s="12">
        <f t="array" ref="AC19">PRODUCT(1+預測IC!$C19:AC19)-1</f>
        <v>0.27906365643083597</v>
      </c>
      <c r="AD19" s="12">
        <f t="array" ref="AD19">PRODUCT(1+預測IC!$C19:AD19)-1</f>
        <v>0.23418268313089174</v>
      </c>
      <c r="AE19" s="12">
        <f t="array" ref="AE19">PRODUCT(1+預測IC!$C19:AE19)-1</f>
        <v>9.1966372673922159E-2</v>
      </c>
      <c r="AF19" s="12">
        <f t="array" ref="AF19">PRODUCT(1+預測IC!$C19:AF19)-1</f>
        <v>0.13431901657097578</v>
      </c>
      <c r="AG19" s="12">
        <f t="array" ref="AG19">PRODUCT(1+預測IC!$C19:AG19)-1</f>
        <v>0.18137862695030571</v>
      </c>
      <c r="AH19" s="12">
        <f t="array" ref="AH19">PRODUCT(1+預測IC!$C19:AH19)-1</f>
        <v>-5.9807247264201946E-2</v>
      </c>
      <c r="AI19" s="12">
        <f t="array" ref="AI19">PRODUCT(1+預測IC!$C19:AI19)-1</f>
        <v>-0.10471682595358411</v>
      </c>
      <c r="AJ19" s="12">
        <f t="array" ref="AJ19">PRODUCT(1+預測IC!$C19:AJ19)-1</f>
        <v>-5.856919482224876E-2</v>
      </c>
      <c r="AK19" s="12">
        <f t="array" ref="AK19">PRODUCT(1+預測IC!$C19:AK19)-1</f>
        <v>-9.6773890802013263E-2</v>
      </c>
      <c r="AL19" s="12">
        <f t="array" ref="AL19">PRODUCT(1+預測IC!$C19:AL19)-1</f>
        <v>-3.3303337954108558E-2</v>
      </c>
      <c r="AM19" s="12">
        <f t="array" ref="AM19">PRODUCT(1+預測IC!$C19:AM19)-1</f>
        <v>-9.2391831414317838E-2</v>
      </c>
      <c r="AN19" s="12">
        <f t="array" ref="AN19">PRODUCT(1+預測IC!$C19:AN19)-1</f>
        <v>-0.10168532906653693</v>
      </c>
      <c r="AO19" s="12">
        <f t="array" ref="AO19">PRODUCT(1+預測IC!$C19:AO19)-1</f>
        <v>-7.8425354387783419E-2</v>
      </c>
      <c r="AP19" s="12">
        <f t="array" ref="AP19">PRODUCT(1+預測IC!$C19:AP19)-1</f>
        <v>-8.7376608920614829E-2</v>
      </c>
      <c r="AQ19" s="12">
        <f t="array" ref="AQ19">PRODUCT(1+預測IC!$C19:AQ19)-1</f>
        <v>-0.13750503444192486</v>
      </c>
      <c r="AR19" s="12">
        <f t="array" ref="AR19">PRODUCT(1+預測IC!$C19:AR19)-1</f>
        <v>-0.10201809748416146</v>
      </c>
      <c r="AS19" s="12">
        <f t="array" ref="AS19">PRODUCT(1+預測IC!$C19:AS19)-1</f>
        <v>-9.8707238209585602E-2</v>
      </c>
      <c r="AT19" s="12">
        <f t="array" ref="AT19">PRODUCT(1+預測IC!$C19:AT19)-1</f>
        <v>-5.4278027951568553E-2</v>
      </c>
      <c r="AU19" s="12">
        <f t="array" ref="AU19">PRODUCT(1+預測IC!$C19:AU19)-1</f>
        <v>1.8002287794277372E-2</v>
      </c>
      <c r="AV19" s="12">
        <f t="array" ref="AV19">PRODUCT(1+預測IC!$C19:AV19)-1</f>
        <v>-3.2931441740504552E-2</v>
      </c>
      <c r="AW19" s="12">
        <f t="array" ref="AW19">PRODUCT(1+預測IC!$C19:AW19)-1</f>
        <v>-1.1311494435476965E-2</v>
      </c>
      <c r="AX19" s="12">
        <f t="array" ref="AX19">PRODUCT(1+預測IC!$C19:AX19)-1</f>
        <v>6.7987665465774061E-2</v>
      </c>
      <c r="AY19" s="12">
        <f t="array" ref="AY19">PRODUCT(1+預測IC!$C19:AY19)-1</f>
        <v>9.9524241619807885E-2</v>
      </c>
      <c r="AZ19" s="12">
        <f t="array" ref="AZ19">PRODUCT(1+預測IC!$C19:AZ19)-1</f>
        <v>-0.10595442882075323</v>
      </c>
      <c r="BA19" s="12">
        <f t="array" ref="BA19">PRODUCT(1+預測IC!$C19:BA19)-1</f>
        <v>-0.13667730707840975</v>
      </c>
      <c r="BB19" s="12">
        <f t="array" ref="BB19">PRODUCT(1+預測IC!$C19:BB19)-1</f>
        <v>3.7542795111437544E-2</v>
      </c>
      <c r="BC19" s="12">
        <f t="array" ref="BC19">PRODUCT(1+預測IC!$C19:BC19)-1</f>
        <v>0.1040031034572817</v>
      </c>
      <c r="BD19" s="12">
        <f t="array" ref="BD19">PRODUCT(1+預測IC!$C19:BD19)-1</f>
        <v>0.1039249032374534</v>
      </c>
      <c r="BE19" s="12">
        <f t="array" ref="BE19">PRODUCT(1+預測IC!$C19:BE19)-1</f>
        <v>0.1603706522551438</v>
      </c>
      <c r="BF19" s="12">
        <f t="array" ref="BF19">PRODUCT(1+預測IC!$C19:BF19)-1</f>
        <v>0.103006955480476</v>
      </c>
      <c r="BG19" s="12">
        <f t="array" ref="BG19">PRODUCT(1+預測IC!$C19:BG19)-1</f>
        <v>8.4979786661354639E-2</v>
      </c>
      <c r="BH19" s="12">
        <f t="array" ref="BH19">PRODUCT(1+預測IC!$C19:BH19)-1</f>
        <v>8.7169494712812767E-2</v>
      </c>
      <c r="BI19" s="12">
        <f t="array" ref="BI19">PRODUCT(1+預測IC!$C19:BI19)-1</f>
        <v>0.22610826543119322</v>
      </c>
      <c r="BJ19" s="12">
        <f t="array" ref="BJ19">PRODUCT(1+預測IC!$C19:BJ19)-1</f>
        <v>0.25272376726785239</v>
      </c>
      <c r="BK19" s="12">
        <f t="array" ref="BK19">PRODUCT(1+預測IC!$C19:BK19)-1</f>
        <v>0.18789590598756578</v>
      </c>
      <c r="BL19" s="12">
        <f t="array" ref="BL19">PRODUCT(1+預測IC!$C19:BL19)-1</f>
        <v>0.21877624997696765</v>
      </c>
      <c r="BM19" s="12">
        <f t="array" ref="BM19">PRODUCT(1+預測IC!$C19:BM19)-1</f>
        <v>0.11133401401337317</v>
      </c>
      <c r="BN19" s="12">
        <f t="array" ref="BN19">PRODUCT(1+預測IC!$C19:BN19)-1</f>
        <v>3.1112257386810338E-2</v>
      </c>
      <c r="BO19" s="12">
        <f t="array" ref="BO19">PRODUCT(1+預測IC!$C19:BO19)-1</f>
        <v>1.1974298333582434E-2</v>
      </c>
      <c r="BP19" s="12">
        <f t="array" ref="BP19">PRODUCT(1+預測IC!$C19:BP19)-1</f>
        <v>7.5545317010088153E-2</v>
      </c>
      <c r="BQ19" s="12">
        <f t="array" ref="BQ19">PRODUCT(1+預測IC!$C19:BQ19)-1</f>
        <v>8.622983200190526E-2</v>
      </c>
      <c r="BR19" s="12">
        <f t="array" ref="BR19">PRODUCT(1+預測IC!$C19:BR19)-1</f>
        <v>0.23486869183720538</v>
      </c>
      <c r="BS19" s="12">
        <f t="array" ref="BS19">PRODUCT(1+預測IC!$C19:BS19)-1</f>
        <v>0.20491529854304669</v>
      </c>
      <c r="BT19" s="12">
        <f t="array" ref="BT19">PRODUCT(1+預測IC!$C19:BT19)-1</f>
        <v>0.22081395508810586</v>
      </c>
      <c r="BU19" s="12">
        <f t="array" ref="BU19">PRODUCT(1+預測IC!$C19:BU19)-1</f>
        <v>6.1289178231780594E-2</v>
      </c>
      <c r="BV19" s="12">
        <f t="array" ref="BV19">PRODUCT(1+預測IC!$C19:BV19)-1</f>
        <v>0.16750865939816784</v>
      </c>
      <c r="BW19" s="12">
        <f t="array" ref="BW19">PRODUCT(1+預測IC!$C19:BW19)-1</f>
        <v>0.51306300778742342</v>
      </c>
      <c r="BX19" s="12">
        <f t="array" ref="BX19">PRODUCT(1+預測IC!$C19:BX19)-1</f>
        <v>0.59602467852290753</v>
      </c>
      <c r="BY19" s="12">
        <f t="array" ref="BY19">PRODUCT(1+預測IC!$C19:BY19)-1</f>
        <v>0.76783631470221159</v>
      </c>
      <c r="BZ19" s="12">
        <f t="array" ref="BZ19">PRODUCT(1+預測IC!$C19:BZ19)-1</f>
        <v>1.0237176571223823</v>
      </c>
      <c r="CA19" s="12">
        <f t="array" ref="CA19">PRODUCT(1+預測IC!$C19:CA19)-1</f>
        <v>0.96436453731460947</v>
      </c>
      <c r="CB19" s="12">
        <f t="array" ref="CB19">PRODUCT(1+預測IC!$C19:CB19)-1</f>
        <v>1.058734905063361</v>
      </c>
      <c r="CC19" s="12">
        <f t="array" ref="CC19">PRODUCT(1+預測IC!$C19:CC19)-1</f>
        <v>1.1050681065917489</v>
      </c>
      <c r="CD19" s="12">
        <f t="array" ref="CD19">PRODUCT(1+預測IC!$C19:CD19)-1</f>
        <v>1.2896071479326925</v>
      </c>
      <c r="CE19" s="12">
        <f t="array" ref="CE19">PRODUCT(1+預測IC!$C19:CE19)-1</f>
        <v>1.492178232340081</v>
      </c>
      <c r="CF19" s="12">
        <f t="array" ref="CF19">PRODUCT(1+預測IC!$C19:CF19)-1</f>
        <v>1.2138052466920035</v>
      </c>
      <c r="CG19" s="12">
        <f t="array" ref="CG19">PRODUCT(1+預測IC!$C19:CG19)-1</f>
        <v>1.7980151684625434</v>
      </c>
      <c r="CH19" s="12">
        <f t="array" ref="CH19">PRODUCT(1+預測IC!$C19:CH19)-1</f>
        <v>1.7768626401248282</v>
      </c>
      <c r="CI19" s="12">
        <f t="array" ref="CI19">PRODUCT(1+預測IC!$C19:CI19)-1</f>
        <v>1.3181230807344466</v>
      </c>
      <c r="CJ19" s="12">
        <f t="array" ref="CJ19">PRODUCT(1+預測IC!$C19:CJ19)-1</f>
        <v>1.4617087833379463</v>
      </c>
      <c r="CK19" s="12">
        <f t="array" ref="CK19">PRODUCT(1+預測IC!$C19:CK19)-1</f>
        <v>1.717647027471898</v>
      </c>
      <c r="CL19" s="12">
        <f t="array" ref="CL19">PRODUCT(1+預測IC!$C19:CL19)-1</f>
        <v>1.6001352091313574</v>
      </c>
      <c r="CM19" s="12">
        <f t="array" ref="CM19">PRODUCT(1+預測IC!$C19:CM19)-1</f>
        <v>1.3135088709968943</v>
      </c>
      <c r="CN19" s="12">
        <f t="array" ref="CN19">PRODUCT(1+預測IC!$C19:CN19)-1</f>
        <v>1.4914932500390417</v>
      </c>
      <c r="CO19" s="12">
        <f t="array" ref="CO19">PRODUCT(1+預測IC!$C19:CO19)-1</f>
        <v>1.0775402228247084</v>
      </c>
      <c r="CP19" s="12">
        <f t="array" ref="CP19">PRODUCT(1+預測IC!$C19:CP19)-1</f>
        <v>1.4079368439508562</v>
      </c>
      <c r="CQ19" s="12">
        <f t="array" ref="CQ19">PRODUCT(1+預測IC!$C19:CQ19)-1</f>
        <v>1.4013633975248845</v>
      </c>
      <c r="CR19" s="12">
        <f t="array" ref="CR19">PRODUCT(1+預測IC!$C19:CR19)-1</f>
        <v>1.4597177287664382</v>
      </c>
      <c r="CS19" s="12">
        <f t="array" ref="CS19">PRODUCT(1+預測IC!$C19:CS19)-1</f>
        <v>1.3104107696600957</v>
      </c>
      <c r="CT19" s="12">
        <f t="array" ref="CT19">PRODUCT(1+預測IC!$C19:CT19)-1</f>
        <v>1.2458564205967138</v>
      </c>
      <c r="CU19" s="12">
        <f t="array" ref="CU19">PRODUCT(1+預測IC!$C19:CU19)-1</f>
        <v>1.4332425887664075</v>
      </c>
      <c r="CV19" s="12">
        <f t="array" ref="CV19">PRODUCT(1+預測IC!$C19:CV19)-1</f>
        <v>1.6633129946583365</v>
      </c>
      <c r="CW19" s="12">
        <f t="array" ref="CW19">PRODUCT(1+預測IC!$C19:CW19)-1</f>
        <v>1.8244857204450726</v>
      </c>
      <c r="CX19" s="12">
        <f t="array" ref="CX19">PRODUCT(1+預測IC!$C19:CX19)-1</f>
        <v>1.6616972588163752</v>
      </c>
      <c r="CY19" s="12">
        <f t="array" ref="CY19">PRODUCT(1+預測IC!$C19:CY19)-1</f>
        <v>1.8504698046259902</v>
      </c>
      <c r="CZ19" s="12">
        <f t="array" ref="CZ19">PRODUCT(1+預測IC!$C19:CZ19)-1</f>
        <v>1.5287890746866704</v>
      </c>
      <c r="DA19" s="12">
        <f t="array" ref="DA19">PRODUCT(1+預測IC!$C19:DA19)-1</f>
        <v>1.6760249779797194</v>
      </c>
      <c r="DB19" s="12">
        <f t="array" ref="DB19">PRODUCT(1+預測IC!$C19:DB19)-1</f>
        <v>2.4417386277801136</v>
      </c>
      <c r="DC19" s="12">
        <f t="array" ref="DC19">PRODUCT(1+預測IC!$C19:DC19)-1</f>
        <v>2.2160033038848925</v>
      </c>
      <c r="DD19" s="12">
        <f t="array" ref="DD19">PRODUCT(1+預測IC!$C19:DD19)-1</f>
        <v>2.1960604645775583</v>
      </c>
      <c r="DE19" s="12">
        <f t="array" ref="DE19">PRODUCT(1+預測IC!$C19:DE19)-1</f>
        <v>2.1768665234575377</v>
      </c>
      <c r="DF19" s="12">
        <f t="array" ref="DF19">PRODUCT(1+預測IC!$C19:DF19)-1</f>
        <v>1.5240114517651975</v>
      </c>
      <c r="DG19" s="12">
        <f t="array" ref="DG19">PRODUCT(1+預測IC!$C19:DG19)-1</f>
        <v>1.8432756740500178</v>
      </c>
      <c r="DH19" s="12">
        <f t="array" ref="DH19">PRODUCT(1+預測IC!$C19:DH19)-1</f>
        <v>1.7203875778617763</v>
      </c>
      <c r="DI19" s="12">
        <f t="array" ref="DI19">PRODUCT(1+預測IC!$C19:DI19)-1</f>
        <v>1.5608449177794719</v>
      </c>
      <c r="DJ19" s="12">
        <f t="array" ref="DJ19">PRODUCT(1+預測IC!$C19:DJ19)-1</f>
        <v>1.3546960482832517</v>
      </c>
      <c r="DK19" s="12">
        <f t="array" ref="DK19">PRODUCT(1+預測IC!$C19:DK19)-1</f>
        <v>1.6406519061841354</v>
      </c>
      <c r="DL19" s="12">
        <f t="array" ref="DL19">PRODUCT(1+預測IC!$C19:DL19)-1</f>
        <v>1.7022129839643547</v>
      </c>
      <c r="DM19" s="12">
        <f t="array" ref="DM19">PRODUCT(1+預測IC!$C19:DM19)-1</f>
        <v>1.5473766303520278</v>
      </c>
      <c r="DN19" s="12">
        <f t="array" ref="DN19">PRODUCT(1+預測IC!$C19:DN19)-1</f>
        <v>1.1043157391719074</v>
      </c>
      <c r="DO19" s="12">
        <f t="array" ref="DO19">PRODUCT(1+預測IC!$C19:DO19)-1</f>
        <v>0.9883120441629476</v>
      </c>
      <c r="DP19" s="12">
        <f t="array" ref="DP19">PRODUCT(1+預測IC!$C19:DP19)-1</f>
        <v>1.3268582191310268</v>
      </c>
      <c r="DQ19" s="12">
        <f t="array" ref="DQ19">PRODUCT(1+預測IC!$C19:DQ19)-1</f>
        <v>1.4446495993289874</v>
      </c>
      <c r="DR19" s="12">
        <f t="array" ref="DR19">PRODUCT(1+預測IC!$C19:DR19)-1</f>
        <v>1.6303509359491533</v>
      </c>
      <c r="DS19" s="12">
        <f t="array" ref="DS19">PRODUCT(1+預測IC!$C19:DS19)-1</f>
        <v>1.6154149265511886</v>
      </c>
      <c r="DT19" s="12">
        <f t="array" ref="DT19">PRODUCT(1+預測IC!$C19:DT19)-1</f>
        <v>1.6073686025296539</v>
      </c>
      <c r="DU19" s="12">
        <f t="array" ref="DU19">PRODUCT(1+預測IC!$C19:DU19)-1</f>
        <v>1.9999926851200756</v>
      </c>
      <c r="DV19" s="12">
        <f t="array" ref="DV19">PRODUCT(1+預測IC!$C19:DV19)-1</f>
        <v>1.665419381588098</v>
      </c>
      <c r="DW19" s="12">
        <f t="array" ref="DW19">PRODUCT(1+預測IC!$C19:DW19)-1</f>
        <v>1.9354183686848274</v>
      </c>
      <c r="DX19" s="12">
        <f t="array" ref="DX19">PRODUCT(1+預測IC!$C19:DX19)-1</f>
        <v>2.3415779253131164</v>
      </c>
      <c r="DY19" s="12">
        <f t="array" ref="DY19">PRODUCT(1+預測IC!$C19:DY19)-1</f>
        <v>2.1073013081581276</v>
      </c>
      <c r="DZ19" s="12">
        <f t="array" ref="DZ19">PRODUCT(1+預測IC!$C19:DZ19)-1</f>
        <v>2.4550730460973549</v>
      </c>
      <c r="EA19" s="12">
        <f t="array" ref="EA19">PRODUCT(1+預測IC!$C19:EA19)-1</f>
        <v>2.5520892634429733</v>
      </c>
      <c r="EB19" s="12">
        <f t="array" ref="EB19">PRODUCT(1+預測IC!$C19:EB19)-1</f>
        <v>2.4747504408451695</v>
      </c>
      <c r="EC19" s="12">
        <f t="array" ref="EC19">PRODUCT(1+預測IC!$C19:EC19)-1</f>
        <v>2.9743299154935325</v>
      </c>
      <c r="ED19" s="12">
        <f t="array" ref="ED19">PRODUCT(1+預測IC!$C19:ED19)-1</f>
        <v>3.574196661112012</v>
      </c>
      <c r="EE19" s="12">
        <f t="array" ref="EE19">PRODUCT(1+預測IC!$C19:EE19)-1</f>
        <v>3.5407760555737076</v>
      </c>
      <c r="EF19" s="12">
        <f t="array" ref="EF19">PRODUCT(1+預測IC!$C19:EF19)-1</f>
        <v>3.463682964605745</v>
      </c>
    </row>
    <row r="20" spans="1:136">
      <c r="A20" s="2">
        <v>5</v>
      </c>
      <c r="B20" s="2" t="s">
        <v>197</v>
      </c>
      <c r="C20" s="12">
        <f t="array" ref="C20">PRODUCT(1+預測IC!$C20:C20)-1</f>
        <v>0.20155100000000004</v>
      </c>
      <c r="D20" s="12">
        <f t="array" ref="D20">PRODUCT(1+預測IC!$C20:D20)-1</f>
        <v>0.20197360743152171</v>
      </c>
      <c r="E20" s="12">
        <f t="array" ref="E20">PRODUCT(1+預測IC!$C20:E20)-1</f>
        <v>0.27088900460832943</v>
      </c>
      <c r="F20" s="12">
        <f t="array" ref="F20">PRODUCT(1+預測IC!$C20:F20)-1</f>
        <v>0.53209642855260864</v>
      </c>
      <c r="G20" s="12">
        <f t="array" ref="G20">PRODUCT(1+預測IC!$C20:G20)-1</f>
        <v>0.35256055629724914</v>
      </c>
      <c r="H20" s="12">
        <f t="array" ref="H20">PRODUCT(1+預測IC!$C20:H20)-1</f>
        <v>0.54723757279833607</v>
      </c>
      <c r="I20" s="12">
        <f t="array" ref="I20">PRODUCT(1+預測IC!$C20:I20)-1</f>
        <v>0.30254262742028892</v>
      </c>
      <c r="J20" s="12">
        <f t="array" ref="J20">PRODUCT(1+預測IC!$C20:J20)-1</f>
        <v>0.12903587368361635</v>
      </c>
      <c r="K20" s="12">
        <f t="array" ref="K20">PRODUCT(1+預測IC!$C20:K20)-1</f>
        <v>0.37146754138879046</v>
      </c>
      <c r="L20" s="12">
        <f t="array" ref="L20">PRODUCT(1+預測IC!$C20:L20)-1</f>
        <v>0.38381043566315154</v>
      </c>
      <c r="M20" s="12">
        <f t="array" ref="M20">PRODUCT(1+預測IC!$C20:M20)-1</f>
        <v>0.24524477190754679</v>
      </c>
      <c r="N20" s="12">
        <f t="array" ref="N20">PRODUCT(1+預測IC!$C20:N20)-1</f>
        <v>3.5864847784741638E-2</v>
      </c>
      <c r="O20" s="12">
        <f t="array" ref="O20">PRODUCT(1+預測IC!$C20:O20)-1</f>
        <v>8.7518130402693739E-2</v>
      </c>
      <c r="P20" s="12">
        <f t="array" ref="P20">PRODUCT(1+預測IC!$C20:P20)-1</f>
        <v>0.13443222581558745</v>
      </c>
      <c r="Q20" s="12">
        <f t="array" ref="Q20">PRODUCT(1+預測IC!$C20:Q20)-1</f>
        <v>1.2996563539092953E-2</v>
      </c>
      <c r="R20" s="12">
        <f t="array" ref="R20">PRODUCT(1+預測IC!$C20:R20)-1</f>
        <v>-0.18042749935496127</v>
      </c>
      <c r="S20" s="12">
        <f t="array" ref="S20">PRODUCT(1+預測IC!$C20:S20)-1</f>
        <v>-5.3244092795448505E-2</v>
      </c>
      <c r="T20" s="12">
        <f t="array" ref="T20">PRODUCT(1+預測IC!$C20:T20)-1</f>
        <v>2.767083228625733E-2</v>
      </c>
      <c r="U20" s="12">
        <f t="array" ref="U20">PRODUCT(1+預測IC!$C20:U20)-1</f>
        <v>6.0797801565004805E-2</v>
      </c>
      <c r="V20" s="12">
        <f t="array" ref="V20">PRODUCT(1+預測IC!$C20:V20)-1</f>
        <v>-4.9013444337731915E-2</v>
      </c>
      <c r="W20" s="12">
        <f t="array" ref="W20">PRODUCT(1+預測IC!$C20:W20)-1</f>
        <v>0.1155884213888938</v>
      </c>
      <c r="X20" s="12">
        <f t="array" ref="X20">PRODUCT(1+預測IC!$C20:X20)-1</f>
        <v>0.28147329740428595</v>
      </c>
      <c r="Y20" s="12">
        <f t="array" ref="Y20">PRODUCT(1+預測IC!$C20:Y20)-1</f>
        <v>0.11620804377781857</v>
      </c>
      <c r="Z20" s="12">
        <f t="array" ref="Z20">PRODUCT(1+預測IC!$C20:Z20)-1</f>
        <v>3.3578323110195818E-2</v>
      </c>
      <c r="AA20" s="12">
        <f t="array" ref="AA20">PRODUCT(1+預測IC!$C20:AA20)-1</f>
        <v>5.5897985388552174E-2</v>
      </c>
      <c r="AB20" s="12">
        <f t="array" ref="AB20">PRODUCT(1+預測IC!$C20:AB20)-1</f>
        <v>9.0635493114392895E-2</v>
      </c>
      <c r="AC20" s="12">
        <f t="array" ref="AC20">PRODUCT(1+預測IC!$C20:AC20)-1</f>
        <v>3.9104860795277752E-2</v>
      </c>
      <c r="AD20" s="12">
        <f t="array" ref="AD20">PRODUCT(1+預測IC!$C20:AD20)-1</f>
        <v>3.3036428685733199E-3</v>
      </c>
      <c r="AE20" s="12">
        <f t="array" ref="AE20">PRODUCT(1+預測IC!$C20:AE20)-1</f>
        <v>-1.4063743850210364E-2</v>
      </c>
      <c r="AF20" s="12">
        <f t="array" ref="AF20">PRODUCT(1+預測IC!$C20:AF20)-1</f>
        <v>2.443182018181278E-2</v>
      </c>
      <c r="AG20" s="12">
        <f t="array" ref="AG20">PRODUCT(1+預測IC!$C20:AG20)-1</f>
        <v>5.7380875776629425E-2</v>
      </c>
      <c r="AH20" s="12">
        <f t="array" ref="AH20">PRODUCT(1+預測IC!$C20:AH20)-1</f>
        <v>-0.17169271053509128</v>
      </c>
      <c r="AI20" s="12">
        <f t="array" ref="AI20">PRODUCT(1+預測IC!$C20:AI20)-1</f>
        <v>-0.24067360630874224</v>
      </c>
      <c r="AJ20" s="12">
        <f t="array" ref="AJ20">PRODUCT(1+預測IC!$C20:AJ20)-1</f>
        <v>-0.19360293693095632</v>
      </c>
      <c r="AK20" s="12">
        <f t="array" ref="AK20">PRODUCT(1+預測IC!$C20:AK20)-1</f>
        <v>-0.20025451525212812</v>
      </c>
      <c r="AL20" s="12">
        <f t="array" ref="AL20">PRODUCT(1+預測IC!$C20:AL20)-1</f>
        <v>-0.1419583061178703</v>
      </c>
      <c r="AM20" s="12">
        <f t="array" ref="AM20">PRODUCT(1+預測IC!$C20:AM20)-1</f>
        <v>-0.19990174139826922</v>
      </c>
      <c r="AN20" s="12">
        <f t="array" ref="AN20">PRODUCT(1+預測IC!$C20:AN20)-1</f>
        <v>-0.17234274173691977</v>
      </c>
      <c r="AO20" s="12">
        <f t="array" ref="AO20">PRODUCT(1+預測IC!$C20:AO20)-1</f>
        <v>-0.13486221495780693</v>
      </c>
      <c r="AP20" s="12">
        <f t="array" ref="AP20">PRODUCT(1+預測IC!$C20:AP20)-1</f>
        <v>-0.1457677958209348</v>
      </c>
      <c r="AQ20" s="12">
        <f t="array" ref="AQ20">PRODUCT(1+預測IC!$C20:AQ20)-1</f>
        <v>-8.3495464061366764E-2</v>
      </c>
      <c r="AR20" s="12">
        <f t="array" ref="AR20">PRODUCT(1+預測IC!$C20:AR20)-1</f>
        <v>-5.6239535804287533E-2</v>
      </c>
      <c r="AS20" s="12">
        <f t="array" ref="AS20">PRODUCT(1+預測IC!$C20:AS20)-1</f>
        <v>-4.0060838918673292E-2</v>
      </c>
      <c r="AT20" s="12">
        <f t="array" ref="AT20">PRODUCT(1+預測IC!$C20:AT20)-1</f>
        <v>-3.4436772550336059E-2</v>
      </c>
      <c r="AU20" s="12">
        <f t="array" ref="AU20">PRODUCT(1+預測IC!$C20:AU20)-1</f>
        <v>3.8649012833490204E-2</v>
      </c>
      <c r="AV20" s="12">
        <f t="array" ref="AV20">PRODUCT(1+預測IC!$C20:AV20)-1</f>
        <v>-1.8087930862005552E-2</v>
      </c>
      <c r="AW20" s="12">
        <f t="array" ref="AW20">PRODUCT(1+預測IC!$C20:AW20)-1</f>
        <v>-1.1346841179028178E-2</v>
      </c>
      <c r="AX20" s="12">
        <f t="array" ref="AX20">PRODUCT(1+預測IC!$C20:AX20)-1</f>
        <v>9.8129242184183063E-2</v>
      </c>
      <c r="AY20" s="12">
        <f t="array" ref="AY20">PRODUCT(1+預測IC!$C20:AY20)-1</f>
        <v>0.14059905947699702</v>
      </c>
      <c r="AZ20" s="12">
        <f t="array" ref="AZ20">PRODUCT(1+預測IC!$C20:AZ20)-1</f>
        <v>-0.10326379243748574</v>
      </c>
      <c r="BA20" s="12">
        <f t="array" ref="BA20">PRODUCT(1+預測IC!$C20:BA20)-1</f>
        <v>-0.13626266695513234</v>
      </c>
      <c r="BB20" s="12">
        <f t="array" ref="BB20">PRODUCT(1+預測IC!$C20:BB20)-1</f>
        <v>6.344497852510389E-2</v>
      </c>
      <c r="BC20" s="12">
        <f t="array" ref="BC20">PRODUCT(1+預測IC!$C20:BC20)-1</f>
        <v>0.13853011492791101</v>
      </c>
      <c r="BD20" s="12">
        <f t="array" ref="BD20">PRODUCT(1+預測IC!$C20:BD20)-1</f>
        <v>0.14805232539712221</v>
      </c>
      <c r="BE20" s="12">
        <f t="array" ref="BE20">PRODUCT(1+預測IC!$C20:BE20)-1</f>
        <v>0.1412250911127293</v>
      </c>
      <c r="BF20" s="12">
        <f t="array" ref="BF20">PRODUCT(1+預測IC!$C20:BF20)-1</f>
        <v>7.821143472686698E-2</v>
      </c>
      <c r="BG20" s="12">
        <f t="array" ref="BG20">PRODUCT(1+預測IC!$C20:BG20)-1</f>
        <v>7.0743588459803552E-2</v>
      </c>
      <c r="BH20" s="12">
        <f t="array" ref="BH20">PRODUCT(1+預測IC!$C20:BH20)-1</f>
        <v>-5.9285556800168226E-3</v>
      </c>
      <c r="BI20" s="12">
        <f t="array" ref="BI20">PRODUCT(1+預測IC!$C20:BI20)-1</f>
        <v>0.12503565225366486</v>
      </c>
      <c r="BJ20" s="12">
        <f t="array" ref="BJ20">PRODUCT(1+預測IC!$C20:BJ20)-1</f>
        <v>0.1493696242068423</v>
      </c>
      <c r="BK20" s="12">
        <f t="array" ref="BK20">PRODUCT(1+預測IC!$C20:BK20)-1</f>
        <v>8.1288820342751089E-2</v>
      </c>
      <c r="BL20" s="12">
        <f t="array" ref="BL20">PRODUCT(1+預測IC!$C20:BL20)-1</f>
        <v>0.10268038959111991</v>
      </c>
      <c r="BM20" s="12">
        <f t="array" ref="BM20">PRODUCT(1+預測IC!$C20:BM20)-1</f>
        <v>4.2523219864820438E-2</v>
      </c>
      <c r="BN20" s="12">
        <f t="array" ref="BN20">PRODUCT(1+預測IC!$C20:BN20)-1</f>
        <v>-4.6784147533772136E-2</v>
      </c>
      <c r="BO20" s="12">
        <f t="array" ref="BO20">PRODUCT(1+預測IC!$C20:BO20)-1</f>
        <v>-5.4036785668846621E-2</v>
      </c>
      <c r="BP20" s="12">
        <f t="array" ref="BP20">PRODUCT(1+預測IC!$C20:BP20)-1</f>
        <v>3.1065068418543174E-3</v>
      </c>
      <c r="BQ20" s="12">
        <f t="array" ref="BQ20">PRODUCT(1+預測IC!$C20:BQ20)-1</f>
        <v>1.8606214636089691E-2</v>
      </c>
      <c r="BR20" s="12">
        <f t="array" ref="BR20">PRODUCT(1+預測IC!$C20:BR20)-1</f>
        <v>0.20310338546202167</v>
      </c>
      <c r="BS20" s="12">
        <f t="array" ref="BS20">PRODUCT(1+預測IC!$C20:BS20)-1</f>
        <v>0.20960917446755056</v>
      </c>
      <c r="BT20" s="12">
        <f t="array" ref="BT20">PRODUCT(1+預測IC!$C20:BT20)-1</f>
        <v>0.27307567439901881</v>
      </c>
      <c r="BU20" s="12">
        <f t="array" ref="BU20">PRODUCT(1+預測IC!$C20:BU20)-1</f>
        <v>8.2825972541155091E-2</v>
      </c>
      <c r="BV20" s="12">
        <f t="array" ref="BV20">PRODUCT(1+預測IC!$C20:BV20)-1</f>
        <v>0.22761041676443861</v>
      </c>
      <c r="BW20" s="12">
        <f t="array" ref="BW20">PRODUCT(1+預測IC!$C20:BW20)-1</f>
        <v>0.64750498445746407</v>
      </c>
      <c r="BX20" s="12">
        <f t="array" ref="BX20">PRODUCT(1+預測IC!$C20:BX20)-1</f>
        <v>0.7430405336060355</v>
      </c>
      <c r="BY20" s="12">
        <f t="array" ref="BY20">PRODUCT(1+預測IC!$C20:BY20)-1</f>
        <v>0.92646760249986571</v>
      </c>
      <c r="BZ20" s="12">
        <f t="array" ref="BZ20">PRODUCT(1+預測IC!$C20:BZ20)-1</f>
        <v>1.2823358715457354</v>
      </c>
      <c r="CA20" s="12">
        <f t="array" ref="CA20">PRODUCT(1+預測IC!$C20:CA20)-1</f>
        <v>1.1908079767663762</v>
      </c>
      <c r="CB20" s="12">
        <f t="array" ref="CB20">PRODUCT(1+預測IC!$C20:CB20)-1</f>
        <v>1.2746106539771858</v>
      </c>
      <c r="CC20" s="12">
        <f t="array" ref="CC20">PRODUCT(1+預測IC!$C20:CC20)-1</f>
        <v>1.3039867956511699</v>
      </c>
      <c r="CD20" s="12">
        <f t="array" ref="CD20">PRODUCT(1+預測IC!$C20:CD20)-1</f>
        <v>1.5253160615938857</v>
      </c>
      <c r="CE20" s="12">
        <f t="array" ref="CE20">PRODUCT(1+預測IC!$C20:CE20)-1</f>
        <v>1.7419311075356489</v>
      </c>
      <c r="CF20" s="12">
        <f t="array" ref="CF20">PRODUCT(1+預測IC!$C20:CF20)-1</f>
        <v>1.3821667140056686</v>
      </c>
      <c r="CG20" s="12">
        <f t="array" ref="CG20">PRODUCT(1+預測IC!$C20:CG20)-1</f>
        <v>2.149080036612625</v>
      </c>
      <c r="CH20" s="12">
        <f t="array" ref="CH20">PRODUCT(1+預測IC!$C20:CH20)-1</f>
        <v>2.3039952501177394</v>
      </c>
      <c r="CI20" s="12">
        <f t="array" ref="CI20">PRODUCT(1+預測IC!$C20:CI20)-1</f>
        <v>1.8695733994503083</v>
      </c>
      <c r="CJ20" s="12">
        <f t="array" ref="CJ20">PRODUCT(1+預測IC!$C20:CJ20)-1</f>
        <v>2.2237944578186877</v>
      </c>
      <c r="CK20" s="12">
        <f t="array" ref="CK20">PRODUCT(1+預測IC!$C20:CK20)-1</f>
        <v>2.5170901090429108</v>
      </c>
      <c r="CL20" s="12">
        <f t="array" ref="CL20">PRODUCT(1+預測IC!$C20:CL20)-1</f>
        <v>2.1928673888035535</v>
      </c>
      <c r="CM20" s="12">
        <f t="array" ref="CM20">PRODUCT(1+預測IC!$C20:CM20)-1</f>
        <v>1.8838802015460003</v>
      </c>
      <c r="CN20" s="12">
        <f t="array" ref="CN20">PRODUCT(1+預測IC!$C20:CN20)-1</f>
        <v>1.8199751138167466</v>
      </c>
      <c r="CO20" s="12">
        <f t="array" ref="CO20">PRODUCT(1+預測IC!$C20:CO20)-1</f>
        <v>1.175559467790682</v>
      </c>
      <c r="CP20" s="12">
        <f t="array" ref="CP20">PRODUCT(1+預測IC!$C20:CP20)-1</f>
        <v>1.5933347741768809</v>
      </c>
      <c r="CQ20" s="12">
        <f t="array" ref="CQ20">PRODUCT(1+預測IC!$C20:CQ20)-1</f>
        <v>1.6091835712117595</v>
      </c>
      <c r="CR20" s="12">
        <f t="array" ref="CR20">PRODUCT(1+預測IC!$C20:CR20)-1</f>
        <v>1.6753634251486891</v>
      </c>
      <c r="CS20" s="12">
        <f t="array" ref="CS20">PRODUCT(1+預測IC!$C20:CS20)-1</f>
        <v>1.4389568703403777</v>
      </c>
      <c r="CT20" s="12">
        <f t="array" ref="CT20">PRODUCT(1+預測IC!$C20:CT20)-1</f>
        <v>1.3948685523907431</v>
      </c>
      <c r="CU20" s="12">
        <f t="array" ref="CU20">PRODUCT(1+預測IC!$C20:CU20)-1</f>
        <v>1.6220641238121654</v>
      </c>
      <c r="CV20" s="12">
        <f t="array" ref="CV20">PRODUCT(1+預測IC!$C20:CV20)-1</f>
        <v>1.9346512124501896</v>
      </c>
      <c r="CW20" s="12">
        <f t="array" ref="CW20">PRODUCT(1+預測IC!$C20:CW20)-1</f>
        <v>2.1339249119753636</v>
      </c>
      <c r="CX20" s="12">
        <f t="array" ref="CX20">PRODUCT(1+預測IC!$C20:CX20)-1</f>
        <v>1.8509360338956018</v>
      </c>
      <c r="CY20" s="12">
        <f t="array" ref="CY20">PRODUCT(1+預測IC!$C20:CY20)-1</f>
        <v>1.8865149534530334</v>
      </c>
      <c r="CZ20" s="12">
        <f t="array" ref="CZ20">PRODUCT(1+預測IC!$C20:CZ20)-1</f>
        <v>1.4386385445274992</v>
      </c>
      <c r="DA20" s="12">
        <f t="array" ref="DA20">PRODUCT(1+預測IC!$C20:DA20)-1</f>
        <v>1.5544053329574066</v>
      </c>
      <c r="DB20" s="12">
        <f t="array" ref="DB20">PRODUCT(1+預測IC!$C20:DB20)-1</f>
        <v>2.5314396250883306</v>
      </c>
      <c r="DC20" s="12">
        <f t="array" ref="DC20">PRODUCT(1+預測IC!$C20:DC20)-1</f>
        <v>2.3996028222380557</v>
      </c>
      <c r="DD20" s="12">
        <f t="array" ref="DD20">PRODUCT(1+預測IC!$C20:DD20)-1</f>
        <v>2.3873738227862153</v>
      </c>
      <c r="DE20" s="12">
        <f t="array" ref="DE20">PRODUCT(1+預測IC!$C20:DE20)-1</f>
        <v>2.2841727369516813</v>
      </c>
      <c r="DF20" s="12">
        <f t="array" ref="DF20">PRODUCT(1+預測IC!$C20:DF20)-1</f>
        <v>1.4776607034056775</v>
      </c>
      <c r="DG20" s="12">
        <f t="array" ref="DG20">PRODUCT(1+預測IC!$C20:DG20)-1</f>
        <v>1.7850722629394844</v>
      </c>
      <c r="DH20" s="12">
        <f t="array" ref="DH20">PRODUCT(1+預測IC!$C20:DH20)-1</f>
        <v>1.6512261121607268</v>
      </c>
      <c r="DI20" s="12">
        <f t="array" ref="DI20">PRODUCT(1+預測IC!$C20:DI20)-1</f>
        <v>1.4543769860544962</v>
      </c>
      <c r="DJ20" s="12">
        <f t="array" ref="DJ20">PRODUCT(1+預測IC!$C20:DJ20)-1</f>
        <v>1.2548916060081505</v>
      </c>
      <c r="DK20" s="12">
        <f t="array" ref="DK20">PRODUCT(1+預測IC!$C20:DK20)-1</f>
        <v>1.4469736455093125</v>
      </c>
      <c r="DL20" s="12">
        <f t="array" ref="DL20">PRODUCT(1+預測IC!$C20:DL20)-1</f>
        <v>1.4220473037719672</v>
      </c>
      <c r="DM20" s="12">
        <f t="array" ref="DM20">PRODUCT(1+預測IC!$C20:DM20)-1</f>
        <v>1.2541127163270951</v>
      </c>
      <c r="DN20" s="12">
        <f t="array" ref="DN20">PRODUCT(1+預測IC!$C20:DN20)-1</f>
        <v>0.84108097319881048</v>
      </c>
      <c r="DO20" s="12">
        <f t="array" ref="DO20">PRODUCT(1+預測IC!$C20:DO20)-1</f>
        <v>0.71990875269909993</v>
      </c>
      <c r="DP20" s="12">
        <f t="array" ref="DP20">PRODUCT(1+預測IC!$C20:DP20)-1</f>
        <v>1.0641578368334677</v>
      </c>
      <c r="DQ20" s="12">
        <f t="array" ref="DQ20">PRODUCT(1+預測IC!$C20:DQ20)-1</f>
        <v>1.1437084157071928</v>
      </c>
      <c r="DR20" s="12">
        <f t="array" ref="DR20">PRODUCT(1+預測IC!$C20:DR20)-1</f>
        <v>1.3120166657493972</v>
      </c>
      <c r="DS20" s="12">
        <f t="array" ref="DS20">PRODUCT(1+預測IC!$C20:DS20)-1</f>
        <v>1.2946950368896024</v>
      </c>
      <c r="DT20" s="12">
        <f t="array" ref="DT20">PRODUCT(1+預測IC!$C20:DT20)-1</f>
        <v>1.3057756602837349</v>
      </c>
      <c r="DU20" s="12">
        <f t="array" ref="DU20">PRODUCT(1+預測IC!$C20:DU20)-1</f>
        <v>1.7124586869868068</v>
      </c>
      <c r="DV20" s="12">
        <f t="array" ref="DV20">PRODUCT(1+預測IC!$C20:DV20)-1</f>
        <v>1.3616144382750872</v>
      </c>
      <c r="DW20" s="12">
        <f t="array" ref="DW20">PRODUCT(1+預測IC!$C20:DW20)-1</f>
        <v>1.6061515838693823</v>
      </c>
      <c r="DX20" s="12">
        <f t="array" ref="DX20">PRODUCT(1+預測IC!$C20:DX20)-1</f>
        <v>2.0071505624770478</v>
      </c>
      <c r="DY20" s="12">
        <f t="array" ref="DY20">PRODUCT(1+預測IC!$C20:DY20)-1</f>
        <v>1.845911331206</v>
      </c>
      <c r="DZ20" s="12">
        <f t="array" ref="DZ20">PRODUCT(1+預測IC!$C20:DZ20)-1</f>
        <v>2.0863184908164012</v>
      </c>
      <c r="EA20" s="12">
        <f t="array" ref="EA20">PRODUCT(1+預測IC!$C20:EA20)-1</f>
        <v>2.0402797994111475</v>
      </c>
      <c r="EB20" s="12">
        <f t="array" ref="EB20">PRODUCT(1+預測IC!$C20:EB20)-1</f>
        <v>1.9215032629234066</v>
      </c>
      <c r="EC20" s="12">
        <f t="array" ref="EC20">PRODUCT(1+預測IC!$C20:EC20)-1</f>
        <v>2.3042381452303062</v>
      </c>
      <c r="ED20" s="12">
        <f t="array" ref="ED20">PRODUCT(1+預測IC!$C20:ED20)-1</f>
        <v>2.8888201945786225</v>
      </c>
      <c r="EE20" s="12">
        <f t="array" ref="EE20">PRODUCT(1+預測IC!$C20:EE20)-1</f>
        <v>2.8820474253277442</v>
      </c>
      <c r="EF20" s="12">
        <f t="array" ref="EF20">PRODUCT(1+預測IC!$C20:EF20)-1</f>
        <v>2.8033140041719622</v>
      </c>
    </row>
    <row r="21" spans="1:136">
      <c r="A21" s="2">
        <v>4</v>
      </c>
      <c r="B21" s="2" t="s">
        <v>198</v>
      </c>
      <c r="C21" s="12">
        <f t="array" ref="C21">PRODUCT(1+預測IC!$C21:C21)-1</f>
        <v>0.21463049999999995</v>
      </c>
      <c r="D21" s="12">
        <f t="array" ref="D21">PRODUCT(1+預測IC!$C21:D21)-1</f>
        <v>0.21418386895350316</v>
      </c>
      <c r="E21" s="12">
        <f t="array" ref="E21">PRODUCT(1+預測IC!$C21:E21)-1</f>
        <v>0.1975598705117263</v>
      </c>
      <c r="F21" s="12">
        <f t="array" ref="F21">PRODUCT(1+預測IC!$C21:F21)-1</f>
        <v>0.41795709046912521</v>
      </c>
      <c r="G21" s="12">
        <f t="array" ref="G21">PRODUCT(1+預測IC!$C21:G21)-1</f>
        <v>0.213995092390733</v>
      </c>
      <c r="H21" s="12">
        <f t="array" ref="H21">PRODUCT(1+預測IC!$C21:H21)-1</f>
        <v>0.41086139255318388</v>
      </c>
      <c r="I21" s="12">
        <f t="array" ref="I21">PRODUCT(1+預測IC!$C21:I21)-1</f>
        <v>0.20310414020919154</v>
      </c>
      <c r="J21" s="12">
        <f t="array" ref="J21">PRODUCT(1+預測IC!$C21:J21)-1</f>
        <v>3.858987542077652E-2</v>
      </c>
      <c r="K21" s="12">
        <f t="array" ref="K21">PRODUCT(1+預測IC!$C21:K21)-1</f>
        <v>0.25345337585468997</v>
      </c>
      <c r="L21" s="12">
        <f t="array" ref="L21">PRODUCT(1+預測IC!$C21:L21)-1</f>
        <v>0.32518370789877826</v>
      </c>
      <c r="M21" s="12">
        <f t="array" ref="M21">PRODUCT(1+預測IC!$C21:M21)-1</f>
        <v>0.22491944728680235</v>
      </c>
      <c r="N21" s="12">
        <f t="array" ref="N21">PRODUCT(1+預測IC!$C21:N21)-1</f>
        <v>5.4593570266535218E-2</v>
      </c>
      <c r="O21" s="12">
        <f t="array" ref="O21">PRODUCT(1+預測IC!$C21:O21)-1</f>
        <v>9.0820957477643516E-2</v>
      </c>
      <c r="P21" s="12">
        <f t="array" ref="P21">PRODUCT(1+預測IC!$C21:P21)-1</f>
        <v>0.13433568480333369</v>
      </c>
      <c r="Q21" s="12">
        <f t="array" ref="Q21">PRODUCT(1+預測IC!$C21:Q21)-1</f>
        <v>4.2232880287740082E-2</v>
      </c>
      <c r="R21" s="12">
        <f t="array" ref="R21">PRODUCT(1+預測IC!$C21:R21)-1</f>
        <v>-0.1064855084211066</v>
      </c>
      <c r="S21" s="12">
        <f t="array" ref="S21">PRODUCT(1+預測IC!$C21:S21)-1</f>
        <v>8.411775104696595E-3</v>
      </c>
      <c r="T21" s="12">
        <f t="array" ref="T21">PRODUCT(1+預測IC!$C21:T21)-1</f>
        <v>0.10770168530915658</v>
      </c>
      <c r="U21" s="12">
        <f t="array" ref="U21">PRODUCT(1+預測IC!$C21:U21)-1</f>
        <v>9.6816577773044754E-2</v>
      </c>
      <c r="V21" s="12">
        <f t="array" ref="V21">PRODUCT(1+預測IC!$C21:V21)-1</f>
        <v>-1.8755830002716412E-2</v>
      </c>
      <c r="W21" s="12">
        <f t="array" ref="W21">PRODUCT(1+預測IC!$C21:W21)-1</f>
        <v>0.13607319571269128</v>
      </c>
      <c r="X21" s="12">
        <f t="array" ref="X21">PRODUCT(1+預測IC!$C21:X21)-1</f>
        <v>0.36026267481914087</v>
      </c>
      <c r="Y21" s="12">
        <f t="array" ref="Y21">PRODUCT(1+預測IC!$C21:Y21)-1</f>
        <v>0.23412657262017378</v>
      </c>
      <c r="Z21" s="12">
        <f t="array" ref="Z21">PRODUCT(1+預測IC!$C21:Z21)-1</f>
        <v>9.9137559865179137E-2</v>
      </c>
      <c r="AA21" s="12">
        <f t="array" ref="AA21">PRODUCT(1+預測IC!$C21:AA21)-1</f>
        <v>7.7714221829294328E-2</v>
      </c>
      <c r="AB21" s="12">
        <f t="array" ref="AB21">PRODUCT(1+預測IC!$C21:AB21)-1</f>
        <v>0.10137645481230018</v>
      </c>
      <c r="AC21" s="12">
        <f t="array" ref="AC21">PRODUCT(1+預測IC!$C21:AC21)-1</f>
        <v>8.0640028906025174E-2</v>
      </c>
      <c r="AD21" s="12">
        <f t="array" ref="AD21">PRODUCT(1+預測IC!$C21:AD21)-1</f>
        <v>3.0176922687509267E-2</v>
      </c>
      <c r="AE21" s="12">
        <f t="array" ref="AE21">PRODUCT(1+預測IC!$C21:AE21)-1</f>
        <v>1.9555025981909058E-2</v>
      </c>
      <c r="AF21" s="12">
        <f t="array" ref="AF21">PRODUCT(1+預測IC!$C21:AF21)-1</f>
        <v>7.3719508550108559E-2</v>
      </c>
      <c r="AG21" s="12">
        <f t="array" ref="AG21">PRODUCT(1+預測IC!$C21:AG21)-1</f>
        <v>8.5580428523402752E-2</v>
      </c>
      <c r="AH21" s="12">
        <f t="array" ref="AH21">PRODUCT(1+預測IC!$C21:AH21)-1</f>
        <v>-0.17534019059077921</v>
      </c>
      <c r="AI21" s="12">
        <f t="array" ref="AI21">PRODUCT(1+預測IC!$C21:AI21)-1</f>
        <v>-0.2311941360817239</v>
      </c>
      <c r="AJ21" s="12">
        <f t="array" ref="AJ21">PRODUCT(1+預測IC!$C21:AJ21)-1</f>
        <v>-0.17706609634210735</v>
      </c>
      <c r="AK21" s="12">
        <f t="array" ref="AK21">PRODUCT(1+預測IC!$C21:AK21)-1</f>
        <v>-0.16199128950692132</v>
      </c>
      <c r="AL21" s="12">
        <f t="array" ref="AL21">PRODUCT(1+預測IC!$C21:AL21)-1</f>
        <v>-0.1072024285660812</v>
      </c>
      <c r="AM21" s="12">
        <f t="array" ref="AM21">PRODUCT(1+預測IC!$C21:AM21)-1</f>
        <v>-5.0843940833977475E-2</v>
      </c>
      <c r="AN21" s="12">
        <f t="array" ref="AN21">PRODUCT(1+預測IC!$C21:AN21)-1</f>
        <v>-3.0162751417214251E-2</v>
      </c>
      <c r="AO21" s="12">
        <f t="array" ref="AO21">PRODUCT(1+預測IC!$C21:AO21)-1</f>
        <v>1.6124084818671003E-2</v>
      </c>
      <c r="AP21" s="12">
        <f t="array" ref="AP21">PRODUCT(1+預測IC!$C21:AP21)-1</f>
        <v>-3.1251158131126999E-3</v>
      </c>
      <c r="AQ21" s="12">
        <f t="array" ref="AQ21">PRODUCT(1+預測IC!$C21:AQ21)-1</f>
        <v>0.12968254375780108</v>
      </c>
      <c r="AR21" s="12">
        <f t="array" ref="AR21">PRODUCT(1+預測IC!$C21:AR21)-1</f>
        <v>0.16831531513360698</v>
      </c>
      <c r="AS21" s="12">
        <f t="array" ref="AS21">PRODUCT(1+預測IC!$C21:AS21)-1</f>
        <v>0.14839787564120921</v>
      </c>
      <c r="AT21" s="12">
        <f t="array" ref="AT21">PRODUCT(1+預測IC!$C21:AT21)-1</f>
        <v>0.14553502162636245</v>
      </c>
      <c r="AU21" s="12">
        <f t="array" ref="AU21">PRODUCT(1+預測IC!$C21:AU21)-1</f>
        <v>0.20030262889092398</v>
      </c>
      <c r="AV21" s="12">
        <f t="array" ref="AV21">PRODUCT(1+預測IC!$C21:AV21)-1</f>
        <v>0.13366089062427022</v>
      </c>
      <c r="AW21" s="12">
        <f t="array" ref="AW21">PRODUCT(1+預測IC!$C21:AW21)-1</f>
        <v>0.14476059836216115</v>
      </c>
      <c r="AX21" s="12">
        <f t="array" ref="AX21">PRODUCT(1+預測IC!$C21:AX21)-1</f>
        <v>0.30863043072419938</v>
      </c>
      <c r="AY21" s="12">
        <f t="array" ref="AY21">PRODUCT(1+預測IC!$C21:AY21)-1</f>
        <v>0.37016392298999734</v>
      </c>
      <c r="AZ21" s="12">
        <f t="array" ref="AZ21">PRODUCT(1+預測IC!$C21:AZ21)-1</f>
        <v>2.0893697413374879E-2</v>
      </c>
      <c r="BA21" s="12">
        <f t="array" ref="BA21">PRODUCT(1+預測IC!$C21:BA21)-1</f>
        <v>-5.1622609144677978E-2</v>
      </c>
      <c r="BB21" s="12">
        <f t="array" ref="BB21">PRODUCT(1+預測IC!$C21:BB21)-1</f>
        <v>0.22768709846264334</v>
      </c>
      <c r="BC21" s="12">
        <f t="array" ref="BC21">PRODUCT(1+預測IC!$C21:BC21)-1</f>
        <v>0.27473347712314489</v>
      </c>
      <c r="BD21" s="12">
        <f t="array" ref="BD21">PRODUCT(1+預測IC!$C21:BD21)-1</f>
        <v>0.32345697745248425</v>
      </c>
      <c r="BE21" s="12">
        <f t="array" ref="BE21">PRODUCT(1+預測IC!$C21:BE21)-1</f>
        <v>0.3318616351878203</v>
      </c>
      <c r="BF21" s="12">
        <f t="array" ref="BF21">PRODUCT(1+預測IC!$C21:BF21)-1</f>
        <v>0.24890030689737963</v>
      </c>
      <c r="BG21" s="12">
        <f t="array" ref="BG21">PRODUCT(1+預測IC!$C21:BG21)-1</f>
        <v>0.29465400595350055</v>
      </c>
      <c r="BH21" s="12">
        <f t="array" ref="BH21">PRODUCT(1+預測IC!$C21:BH21)-1</f>
        <v>0.19584424742607931</v>
      </c>
      <c r="BI21" s="12">
        <f t="array" ref="BI21">PRODUCT(1+預測IC!$C21:BI21)-1</f>
        <v>0.39431803426363854</v>
      </c>
      <c r="BJ21" s="12">
        <f t="array" ref="BJ21">PRODUCT(1+預測IC!$C21:BJ21)-1</f>
        <v>0.42719469569918211</v>
      </c>
      <c r="BK21" s="12">
        <f t="array" ref="BK21">PRODUCT(1+預測IC!$C21:BK21)-1</f>
        <v>0.32950338950026659</v>
      </c>
      <c r="BL21" s="12">
        <f t="array" ref="BL21">PRODUCT(1+預測IC!$C21:BL21)-1</f>
        <v>0.33449301572106105</v>
      </c>
      <c r="BM21" s="12">
        <f t="array" ref="BM21">PRODUCT(1+預測IC!$C21:BM21)-1</f>
        <v>0.20775654764128593</v>
      </c>
      <c r="BN21" s="12">
        <f t="array" ref="BN21">PRODUCT(1+預測IC!$C21:BN21)-1</f>
        <v>-1.9600606191790604E-2</v>
      </c>
      <c r="BO21" s="12">
        <f t="array" ref="BO21">PRODUCT(1+預測IC!$C21:BO21)-1</f>
        <v>-4.8879975887593519E-3</v>
      </c>
      <c r="BP21" s="12">
        <f t="array" ref="BP21">PRODUCT(1+預測IC!$C21:BP21)-1</f>
        <v>9.9110291458049504E-2</v>
      </c>
      <c r="BQ21" s="12">
        <f t="array" ref="BQ21">PRODUCT(1+預測IC!$C21:BQ21)-1</f>
        <v>0.15905821868733439</v>
      </c>
      <c r="BR21" s="12">
        <f t="array" ref="BR21">PRODUCT(1+預測IC!$C21:BR21)-1</f>
        <v>0.32371571671861887</v>
      </c>
      <c r="BS21" s="12">
        <f t="array" ref="BS21">PRODUCT(1+預測IC!$C21:BS21)-1</f>
        <v>0.33147291949733182</v>
      </c>
      <c r="BT21" s="12">
        <f t="array" ref="BT21">PRODUCT(1+預測IC!$C21:BT21)-1</f>
        <v>0.41245576540699846</v>
      </c>
      <c r="BU21" s="12">
        <f t="array" ref="BU21">PRODUCT(1+預測IC!$C21:BU21)-1</f>
        <v>0.17129589293293823</v>
      </c>
      <c r="BV21" s="12">
        <f t="array" ref="BV21">PRODUCT(1+預測IC!$C21:BV21)-1</f>
        <v>0.19383191873694106</v>
      </c>
      <c r="BW21" s="12">
        <f t="array" ref="BW21">PRODUCT(1+預測IC!$C21:BW21)-1</f>
        <v>0.67390784667660664</v>
      </c>
      <c r="BX21" s="12">
        <f t="array" ref="BX21">PRODUCT(1+預測IC!$C21:BX21)-1</f>
        <v>0.8218467086616934</v>
      </c>
      <c r="BY21" s="12">
        <f t="array" ref="BY21">PRODUCT(1+預測IC!$C21:BY21)-1</f>
        <v>0.91363107478628502</v>
      </c>
      <c r="BZ21" s="12">
        <f t="array" ref="BZ21">PRODUCT(1+預測IC!$C21:BZ21)-1</f>
        <v>1.3947227110652438</v>
      </c>
      <c r="CA21" s="12">
        <f t="array" ref="CA21">PRODUCT(1+預測IC!$C21:CA21)-1</f>
        <v>1.2497998320177532</v>
      </c>
      <c r="CB21" s="12">
        <f t="array" ref="CB21">PRODUCT(1+預測IC!$C21:CB21)-1</f>
        <v>1.3924852672819266</v>
      </c>
      <c r="CC21" s="12">
        <f t="array" ref="CC21">PRODUCT(1+預測IC!$C21:CC21)-1</f>
        <v>1.3732987316809591</v>
      </c>
      <c r="CD21" s="12">
        <f t="array" ref="CD21">PRODUCT(1+預測IC!$C21:CD21)-1</f>
        <v>1.5736579505316119</v>
      </c>
      <c r="CE21" s="12">
        <f t="array" ref="CE21">PRODUCT(1+預測IC!$C21:CE21)-1</f>
        <v>1.7319752325295887</v>
      </c>
      <c r="CF21" s="12">
        <f t="array" ref="CF21">PRODUCT(1+預測IC!$C21:CF21)-1</f>
        <v>1.384555406159266</v>
      </c>
      <c r="CG21" s="12">
        <f t="array" ref="CG21">PRODUCT(1+預測IC!$C21:CG21)-1</f>
        <v>2.1480131452996143</v>
      </c>
      <c r="CH21" s="12">
        <f t="array" ref="CH21">PRODUCT(1+預測IC!$C21:CH21)-1</f>
        <v>1.9234386095336578</v>
      </c>
      <c r="CI21" s="12">
        <f t="array" ref="CI21">PRODUCT(1+預測IC!$C21:CI21)-1</f>
        <v>1.5630012856273816</v>
      </c>
      <c r="CJ21" s="12">
        <f t="array" ref="CJ21">PRODUCT(1+預測IC!$C21:CJ21)-1</f>
        <v>1.7824653369460659</v>
      </c>
      <c r="CK21" s="12">
        <f t="array" ref="CK21">PRODUCT(1+預測IC!$C21:CK21)-1</f>
        <v>2.1359790792627105</v>
      </c>
      <c r="CL21" s="12">
        <f t="array" ref="CL21">PRODUCT(1+預測IC!$C21:CL21)-1</f>
        <v>1.7161015087314926</v>
      </c>
      <c r="CM21" s="12">
        <f t="array" ref="CM21">PRODUCT(1+預測IC!$C21:CM21)-1</f>
        <v>1.400408351346254</v>
      </c>
      <c r="CN21" s="12">
        <f t="array" ref="CN21">PRODUCT(1+預測IC!$C21:CN21)-1</f>
        <v>1.3271025442602644</v>
      </c>
      <c r="CO21" s="12">
        <f t="array" ref="CO21">PRODUCT(1+預測IC!$C21:CO21)-1</f>
        <v>0.77373621994609532</v>
      </c>
      <c r="CP21" s="12">
        <f t="array" ref="CP21">PRODUCT(1+預測IC!$C21:CP21)-1</f>
        <v>1.1687473841094493</v>
      </c>
      <c r="CQ21" s="12">
        <f t="array" ref="CQ21">PRODUCT(1+預測IC!$C21:CQ21)-1</f>
        <v>1.1758784244369518</v>
      </c>
      <c r="CR21" s="12">
        <f t="array" ref="CR21">PRODUCT(1+預測IC!$C21:CR21)-1</f>
        <v>1.201155604093636</v>
      </c>
      <c r="CS21" s="12">
        <f t="array" ref="CS21">PRODUCT(1+預測IC!$C21:CS21)-1</f>
        <v>1.0478530489102442</v>
      </c>
      <c r="CT21" s="12">
        <f t="array" ref="CT21">PRODUCT(1+預測IC!$C21:CT21)-1</f>
        <v>0.87158910089365538</v>
      </c>
      <c r="CU21" s="12">
        <f t="array" ref="CU21">PRODUCT(1+預測IC!$C21:CU21)-1</f>
        <v>0.98888825302107786</v>
      </c>
      <c r="CV21" s="12">
        <f t="array" ref="CV21">PRODUCT(1+預測IC!$C21:CV21)-1</f>
        <v>1.2958370461602975</v>
      </c>
      <c r="CW21" s="12">
        <f t="array" ref="CW21">PRODUCT(1+預測IC!$C21:CW21)-1</f>
        <v>1.3838721043484714</v>
      </c>
      <c r="CX21" s="12">
        <f t="array" ref="CX21">PRODUCT(1+預測IC!$C21:CX21)-1</f>
        <v>1.1404258985634042</v>
      </c>
      <c r="CY21" s="12">
        <f t="array" ref="CY21">PRODUCT(1+預測IC!$C21:CY21)-1</f>
        <v>1.1585808121037924</v>
      </c>
      <c r="CZ21" s="12">
        <f t="array" ref="CZ21">PRODUCT(1+預測IC!$C21:CZ21)-1</f>
        <v>0.6460228392314129</v>
      </c>
      <c r="DA21" s="12">
        <f t="array" ref="DA21">PRODUCT(1+預測IC!$C21:DA21)-1</f>
        <v>0.64406035787341143</v>
      </c>
      <c r="DB21" s="12">
        <f t="array" ref="DB21">PRODUCT(1+預測IC!$C21:DB21)-1</f>
        <v>1.4206334770731015</v>
      </c>
      <c r="DC21" s="12">
        <f t="array" ref="DC21">PRODUCT(1+預測IC!$C21:DC21)-1</f>
        <v>1.0480863771190756</v>
      </c>
      <c r="DD21" s="12">
        <f t="array" ref="DD21">PRODUCT(1+預測IC!$C21:DD21)-1</f>
        <v>1.042313242726824</v>
      </c>
      <c r="DE21" s="12">
        <f t="array" ref="DE21">PRODUCT(1+預測IC!$C21:DE21)-1</f>
        <v>0.93055990439805503</v>
      </c>
      <c r="DF21" s="12">
        <f t="array" ref="DF21">PRODUCT(1+預測IC!$C21:DF21)-1</f>
        <v>0.34916841070874804</v>
      </c>
      <c r="DG21" s="12">
        <f t="array" ref="DG21">PRODUCT(1+預測IC!$C21:DG21)-1</f>
        <v>0.54909483873472897</v>
      </c>
      <c r="DH21" s="12">
        <f t="array" ref="DH21">PRODUCT(1+預測IC!$C21:DH21)-1</f>
        <v>0.56513660110040487</v>
      </c>
      <c r="DI21" s="12">
        <f t="array" ref="DI21">PRODUCT(1+預測IC!$C21:DI21)-1</f>
        <v>0.42404078436672354</v>
      </c>
      <c r="DJ21" s="12">
        <f t="array" ref="DJ21">PRODUCT(1+預測IC!$C21:DJ21)-1</f>
        <v>0.3196539667400935</v>
      </c>
      <c r="DK21" s="12">
        <f t="array" ref="DK21">PRODUCT(1+預測IC!$C21:DK21)-1</f>
        <v>0.43960160465249243</v>
      </c>
      <c r="DL21" s="12">
        <f t="array" ref="DL21">PRODUCT(1+預測IC!$C21:DL21)-1</f>
        <v>0.39323527607024622</v>
      </c>
      <c r="DM21" s="12">
        <f t="array" ref="DM21">PRODUCT(1+預測IC!$C21:DM21)-1</f>
        <v>0.35842076468298378</v>
      </c>
      <c r="DN21" s="12">
        <f t="array" ref="DN21">PRODUCT(1+預測IC!$C21:DN21)-1</f>
        <v>5.9166591763464504E-2</v>
      </c>
      <c r="DO21" s="12">
        <f t="array" ref="DO21">PRODUCT(1+預測IC!$C21:DO21)-1</f>
        <v>-2.8157237104659893E-2</v>
      </c>
      <c r="DP21" s="12">
        <f t="array" ref="DP21">PRODUCT(1+預測IC!$C21:DP21)-1</f>
        <v>0.19441408524016546</v>
      </c>
      <c r="DQ21" s="12">
        <f t="array" ref="DQ21">PRODUCT(1+預測IC!$C21:DQ21)-1</f>
        <v>0.22811477725873797</v>
      </c>
      <c r="DR21" s="12">
        <f t="array" ref="DR21">PRODUCT(1+預測IC!$C21:DR21)-1</f>
        <v>0.28973035062994179</v>
      </c>
      <c r="DS21" s="12">
        <f t="array" ref="DS21">PRODUCT(1+預測IC!$C21:DS21)-1</f>
        <v>0.2875716644555748</v>
      </c>
      <c r="DT21" s="12">
        <f t="array" ref="DT21">PRODUCT(1+預測IC!$C21:DT21)-1</f>
        <v>0.27506998737954325</v>
      </c>
      <c r="DU21" s="12">
        <f t="array" ref="DU21">PRODUCT(1+預測IC!$C21:DU21)-1</f>
        <v>0.46456419478645716</v>
      </c>
      <c r="DV21" s="12">
        <f t="array" ref="DV21">PRODUCT(1+預測IC!$C21:DV21)-1</f>
        <v>0.25912102167414064</v>
      </c>
      <c r="DW21" s="12">
        <f t="array" ref="DW21">PRODUCT(1+預測IC!$C21:DW21)-1</f>
        <v>0.38948537577419451</v>
      </c>
      <c r="DX21" s="12">
        <f t="array" ref="DX21">PRODUCT(1+預測IC!$C21:DX21)-1</f>
        <v>0.64788271055861779</v>
      </c>
      <c r="DY21" s="12">
        <f t="array" ref="DY21">PRODUCT(1+預測IC!$C21:DY21)-1</f>
        <v>0.60735139476254418</v>
      </c>
      <c r="DZ21" s="12">
        <f t="array" ref="DZ21">PRODUCT(1+預測IC!$C21:DZ21)-1</f>
        <v>0.69229037885314937</v>
      </c>
      <c r="EA21" s="12">
        <f t="array" ref="EA21">PRODUCT(1+預測IC!$C21:EA21)-1</f>
        <v>0.73437006325778142</v>
      </c>
      <c r="EB21" s="12">
        <f t="array" ref="EB21">PRODUCT(1+預測IC!$C21:EB21)-1</f>
        <v>0.71978722625202152</v>
      </c>
      <c r="EC21" s="12">
        <f t="array" ref="EC21">PRODUCT(1+預測IC!$C21:EC21)-1</f>
        <v>0.96071912880058097</v>
      </c>
      <c r="ED21" s="12">
        <f t="array" ref="ED21">PRODUCT(1+預測IC!$C21:ED21)-1</f>
        <v>1.0675760789402138</v>
      </c>
      <c r="EE21" s="12">
        <f t="array" ref="EE21">PRODUCT(1+預測IC!$C21:EE21)-1</f>
        <v>1.1116361251824296</v>
      </c>
      <c r="EF21" s="12">
        <f t="array" ref="EF21">PRODUCT(1+預測IC!$C21:EF21)-1</f>
        <v>1.1512742044491064</v>
      </c>
    </row>
    <row r="22" spans="1:136">
      <c r="A22" s="2">
        <v>3</v>
      </c>
      <c r="B22" s="2" t="s">
        <v>199</v>
      </c>
      <c r="C22" s="12">
        <f t="array" ref="C22">PRODUCT(1+預測IC!$C22:C22)-1</f>
        <v>0.20528266666666672</v>
      </c>
      <c r="D22" s="12">
        <f t="array" ref="D22">PRODUCT(1+預測IC!$C22:D22)-1</f>
        <v>0.15142955609777409</v>
      </c>
      <c r="E22" s="12">
        <f t="array" ref="E22">PRODUCT(1+預測IC!$C22:E22)-1</f>
        <v>0.13144457710243707</v>
      </c>
      <c r="F22" s="12">
        <f t="array" ref="F22">PRODUCT(1+預測IC!$C22:F22)-1</f>
        <v>0.20819166314092152</v>
      </c>
      <c r="G22" s="12">
        <f t="array" ref="G22">PRODUCT(1+預測IC!$C22:G22)-1</f>
        <v>8.2679441482837124E-2</v>
      </c>
      <c r="H22" s="12">
        <f t="array" ref="H22">PRODUCT(1+預測IC!$C22:H22)-1</f>
        <v>0.21712440916729281</v>
      </c>
      <c r="I22" s="12">
        <f t="array" ref="I22">PRODUCT(1+預測IC!$C22:I22)-1</f>
        <v>6.6817858400498142E-2</v>
      </c>
      <c r="J22" s="12">
        <f t="array" ref="J22">PRODUCT(1+預測IC!$C22:J22)-1</f>
        <v>-4.4400036973470614E-2</v>
      </c>
      <c r="K22" s="12">
        <f t="array" ref="K22">PRODUCT(1+預測IC!$C22:K22)-1</f>
        <v>0.19007162011414125</v>
      </c>
      <c r="L22" s="12">
        <f t="array" ref="L22">PRODUCT(1+預測IC!$C22:L22)-1</f>
        <v>0.31798904905240644</v>
      </c>
      <c r="M22" s="12">
        <f t="array" ref="M22">PRODUCT(1+預測IC!$C22:M22)-1</f>
        <v>0.61474562482612272</v>
      </c>
      <c r="N22" s="12">
        <f t="array" ref="N22">PRODUCT(1+預測IC!$C22:N22)-1</f>
        <v>0.45645072123905894</v>
      </c>
      <c r="O22" s="12">
        <f t="array" ref="O22">PRODUCT(1+預測IC!$C22:O22)-1</f>
        <v>0.4466693754287141</v>
      </c>
      <c r="P22" s="12">
        <f t="array" ref="P22">PRODUCT(1+預測IC!$C22:P22)-1</f>
        <v>0.50867143824630001</v>
      </c>
      <c r="Q22" s="12">
        <f t="array" ref="Q22">PRODUCT(1+預測IC!$C22:Q22)-1</f>
        <v>0.37397345324831743</v>
      </c>
      <c r="R22" s="12">
        <f t="array" ref="R22">PRODUCT(1+預測IC!$C22:R22)-1</f>
        <v>0.12572430042542382</v>
      </c>
      <c r="S22" s="12">
        <f t="array" ref="S22">PRODUCT(1+預測IC!$C22:S22)-1</f>
        <v>0.31669955050046927</v>
      </c>
      <c r="T22" s="12">
        <f t="array" ref="T22">PRODUCT(1+預測IC!$C22:T22)-1</f>
        <v>0.48630680862452391</v>
      </c>
      <c r="U22" s="12">
        <f t="array" ref="U22">PRODUCT(1+預測IC!$C22:U22)-1</f>
        <v>0.56431463060397635</v>
      </c>
      <c r="V22" s="12">
        <f t="array" ref="V22">PRODUCT(1+預測IC!$C22:V22)-1</f>
        <v>0.47511094249802599</v>
      </c>
      <c r="W22" s="12">
        <f t="array" ref="W22">PRODUCT(1+預測IC!$C22:W22)-1</f>
        <v>0.7811673547379796</v>
      </c>
      <c r="X22" s="12">
        <f t="array" ref="X22">PRODUCT(1+預測IC!$C22:X22)-1</f>
        <v>1.1639403042855148</v>
      </c>
      <c r="Y22" s="12">
        <f t="array" ref="Y22">PRODUCT(1+預測IC!$C22:Y22)-1</f>
        <v>1.0602046151614868</v>
      </c>
      <c r="Z22" s="12">
        <f t="array" ref="Z22">PRODUCT(1+預測IC!$C22:Z22)-1</f>
        <v>0.75086466573817545</v>
      </c>
      <c r="AA22" s="12">
        <f t="array" ref="AA22">PRODUCT(1+預測IC!$C22:AA22)-1</f>
        <v>0.73852454200745199</v>
      </c>
      <c r="AB22" s="12">
        <f t="array" ref="AB22">PRODUCT(1+預測IC!$C22:AB22)-1</f>
        <v>0.73180474457404276</v>
      </c>
      <c r="AC22" s="12">
        <f t="array" ref="AC22">PRODUCT(1+預測IC!$C22:AC22)-1</f>
        <v>0.58325666293428791</v>
      </c>
      <c r="AD22" s="12">
        <f t="array" ref="AD22">PRODUCT(1+預測IC!$C22:AD22)-1</f>
        <v>0.56351772291228563</v>
      </c>
      <c r="AE22" s="12">
        <f t="array" ref="AE22">PRODUCT(1+預測IC!$C22:AE22)-1</f>
        <v>0.69664969350054373</v>
      </c>
      <c r="AF22" s="12">
        <f t="array" ref="AF22">PRODUCT(1+預測IC!$C22:AF22)-1</f>
        <v>0.77670155574870092</v>
      </c>
      <c r="AG22" s="12">
        <f t="array" ref="AG22">PRODUCT(1+預測IC!$C22:AG22)-1</f>
        <v>0.79591143164672085</v>
      </c>
      <c r="AH22" s="12">
        <f t="array" ref="AH22">PRODUCT(1+預測IC!$C22:AH22)-1</f>
        <v>0.35120380903183013</v>
      </c>
      <c r="AI22" s="12">
        <f t="array" ref="AI22">PRODUCT(1+預測IC!$C22:AI22)-1</f>
        <v>0.2601422644838105</v>
      </c>
      <c r="AJ22" s="12">
        <f t="array" ref="AJ22">PRODUCT(1+預測IC!$C22:AJ22)-1</f>
        <v>0.30008858439778607</v>
      </c>
      <c r="AK22" s="12">
        <f t="array" ref="AK22">PRODUCT(1+預測IC!$C22:AK22)-1</f>
        <v>0.40224404430132576</v>
      </c>
      <c r="AL22" s="12">
        <f t="array" ref="AL22">PRODUCT(1+預測IC!$C22:AL22)-1</f>
        <v>0.45881192474765919</v>
      </c>
      <c r="AM22" s="12">
        <f t="array" ref="AM22">PRODUCT(1+預測IC!$C22:AM22)-1</f>
        <v>0.54105062985611441</v>
      </c>
      <c r="AN22" s="12">
        <f t="array" ref="AN22">PRODUCT(1+預測IC!$C22:AN22)-1</f>
        <v>0.58398517400300221</v>
      </c>
      <c r="AO22" s="12">
        <f t="array" ref="AO22">PRODUCT(1+預測IC!$C22:AO22)-1</f>
        <v>0.7023363856990783</v>
      </c>
      <c r="AP22" s="12">
        <f t="array" ref="AP22">PRODUCT(1+預測IC!$C22:AP22)-1</f>
        <v>0.66744983870148511</v>
      </c>
      <c r="AQ22" s="12">
        <f t="array" ref="AQ22">PRODUCT(1+預測IC!$C22:AQ22)-1</f>
        <v>0.8510849778044538</v>
      </c>
      <c r="AR22" s="12">
        <f t="array" ref="AR22">PRODUCT(1+預測IC!$C22:AR22)-1</f>
        <v>1.0513422007325897</v>
      </c>
      <c r="AS22" s="12">
        <f t="array" ref="AS22">PRODUCT(1+預測IC!$C22:AS22)-1</f>
        <v>0.7137104203525455</v>
      </c>
      <c r="AT22" s="12">
        <f t="array" ref="AT22">PRODUCT(1+預測IC!$C22:AT22)-1</f>
        <v>0.67063397513754031</v>
      </c>
      <c r="AU22" s="12">
        <f t="array" ref="AU22">PRODUCT(1+預測IC!$C22:AU22)-1</f>
        <v>0.72660096828230092</v>
      </c>
      <c r="AV22" s="12">
        <f t="array" ref="AV22">PRODUCT(1+預測IC!$C22:AV22)-1</f>
        <v>0.62332747951768619</v>
      </c>
      <c r="AW22" s="12">
        <f t="array" ref="AW22">PRODUCT(1+預測IC!$C22:AW22)-1</f>
        <v>0.57438514752727454</v>
      </c>
      <c r="AX22" s="12">
        <f t="array" ref="AX22">PRODUCT(1+預測IC!$C22:AX22)-1</f>
        <v>0.8479556636396659</v>
      </c>
      <c r="AY22" s="12">
        <f t="array" ref="AY22">PRODUCT(1+預測IC!$C22:AY22)-1</f>
        <v>0.98051577934010381</v>
      </c>
      <c r="AZ22" s="12">
        <f t="array" ref="AZ22">PRODUCT(1+預測IC!$C22:AZ22)-1</f>
        <v>0.67372640209566059</v>
      </c>
      <c r="BA22" s="12">
        <f t="array" ref="BA22">PRODUCT(1+預測IC!$C22:BA22)-1</f>
        <v>0.59740711399889634</v>
      </c>
      <c r="BB22" s="12">
        <f t="array" ref="BB22">PRODUCT(1+預測IC!$C22:BB22)-1</f>
        <v>1.1877310428533403</v>
      </c>
      <c r="BC22" s="12">
        <f t="array" ref="BC22">PRODUCT(1+預測IC!$C22:BC22)-1</f>
        <v>0.90149501176986968</v>
      </c>
      <c r="BD22" s="12">
        <f t="array" ref="BD22">PRODUCT(1+預測IC!$C22:BD22)-1</f>
        <v>1.0522151123827967</v>
      </c>
      <c r="BE22" s="12">
        <f t="array" ref="BE22">PRODUCT(1+預測IC!$C22:BE22)-1</f>
        <v>1.0978074996844174</v>
      </c>
      <c r="BF22" s="12">
        <f t="array" ref="BF22">PRODUCT(1+預測IC!$C22:BF22)-1</f>
        <v>0.98266723725673844</v>
      </c>
      <c r="BG22" s="12">
        <f t="array" ref="BG22">PRODUCT(1+預測IC!$C22:BG22)-1</f>
        <v>1.0744241097892222</v>
      </c>
      <c r="BH22" s="12">
        <f t="array" ref="BH22">PRODUCT(1+預測IC!$C22:BH22)-1</f>
        <v>0.8089796756612968</v>
      </c>
      <c r="BI22" s="12">
        <f t="array" ref="BI22">PRODUCT(1+預測IC!$C22:BI22)-1</f>
        <v>1.0099369112690595</v>
      </c>
      <c r="BJ22" s="12">
        <f t="array" ref="BJ22">PRODUCT(1+預測IC!$C22:BJ22)-1</f>
        <v>1.1204762360679705</v>
      </c>
      <c r="BK22" s="12">
        <f t="array" ref="BK22">PRODUCT(1+預測IC!$C22:BK22)-1</f>
        <v>1.0317562823448982</v>
      </c>
      <c r="BL22" s="12">
        <f t="array" ref="BL22">PRODUCT(1+預測IC!$C22:BL22)-1</f>
        <v>1.0680515765727079</v>
      </c>
      <c r="BM22" s="12">
        <f t="array" ref="BM22">PRODUCT(1+預測IC!$C22:BM22)-1</f>
        <v>0.81794417630410643</v>
      </c>
      <c r="BN22" s="12">
        <f t="array" ref="BN22">PRODUCT(1+預測IC!$C22:BN22)-1</f>
        <v>0.86978977443043415</v>
      </c>
      <c r="BO22" s="12">
        <f t="array" ref="BO22">PRODUCT(1+預測IC!$C22:BO22)-1</f>
        <v>0.94150244491242252</v>
      </c>
      <c r="BP22" s="12">
        <f t="array" ref="BP22">PRODUCT(1+預測IC!$C22:BP22)-1</f>
        <v>1.0867958485049276</v>
      </c>
      <c r="BQ22" s="12">
        <f t="array" ref="BQ22">PRODUCT(1+預測IC!$C22:BQ22)-1</f>
        <v>1.1448715802192142</v>
      </c>
      <c r="BR22" s="12">
        <f t="array" ref="BR22">PRODUCT(1+預測IC!$C22:BR22)-1</f>
        <v>1.3734436422571301</v>
      </c>
      <c r="BS22" s="12">
        <f t="array" ref="BS22">PRODUCT(1+預測IC!$C22:BS22)-1</f>
        <v>1.3345837660188566</v>
      </c>
      <c r="BT22" s="12">
        <f t="array" ref="BT22">PRODUCT(1+預測IC!$C22:BT22)-1</f>
        <v>1.127449377768011</v>
      </c>
      <c r="BU22" s="12">
        <f t="array" ref="BU22">PRODUCT(1+預測IC!$C22:BU22)-1</f>
        <v>0.90544790774854134</v>
      </c>
      <c r="BV22" s="12">
        <f t="array" ref="BV22">PRODUCT(1+預測IC!$C22:BV22)-1</f>
        <v>0.90674488262441577</v>
      </c>
      <c r="BW22" s="12">
        <f t="array" ref="BW22">PRODUCT(1+預測IC!$C22:BW22)-1</f>
        <v>1.7222889056777451</v>
      </c>
      <c r="BX22" s="12">
        <f t="array" ref="BX22">PRODUCT(1+預測IC!$C22:BX22)-1</f>
        <v>2.1386286119728282</v>
      </c>
      <c r="BY22" s="12">
        <f t="array" ref="BY22">PRODUCT(1+預測IC!$C22:BY22)-1</f>
        <v>2.1535270115913745</v>
      </c>
      <c r="BZ22" s="12">
        <f t="array" ref="BZ22">PRODUCT(1+預測IC!$C22:BZ22)-1</f>
        <v>3.0353477698426703</v>
      </c>
      <c r="CA22" s="12">
        <f t="array" ref="CA22">PRODUCT(1+預測IC!$C22:CA22)-1</f>
        <v>2.924415742954297</v>
      </c>
      <c r="CB22" s="12">
        <f t="array" ref="CB22">PRODUCT(1+預測IC!$C22:CB22)-1</f>
        <v>3.5091273096969813</v>
      </c>
      <c r="CC22" s="12">
        <f t="array" ref="CC22">PRODUCT(1+預測IC!$C22:CC22)-1</f>
        <v>2.9450129376173404</v>
      </c>
      <c r="CD22" s="12">
        <f t="array" ref="CD22">PRODUCT(1+預測IC!$C22:CD22)-1</f>
        <v>3.3218339983969862</v>
      </c>
      <c r="CE22" s="12">
        <f t="array" ref="CE22">PRODUCT(1+預測IC!$C22:CE22)-1</f>
        <v>3.610705382849841</v>
      </c>
      <c r="CF22" s="12">
        <f t="array" ref="CF22">PRODUCT(1+預測IC!$C22:CF22)-1</f>
        <v>2.8934148726363027</v>
      </c>
      <c r="CG22" s="12">
        <f t="array" ref="CG22">PRODUCT(1+預測IC!$C22:CG22)-1</f>
        <v>4.6213149887222089</v>
      </c>
      <c r="CH22" s="12">
        <f t="array" ref="CH22">PRODUCT(1+預測IC!$C22:CH22)-1</f>
        <v>4.4708773569940252</v>
      </c>
      <c r="CI22" s="12">
        <f t="array" ref="CI22">PRODUCT(1+預測IC!$C22:CI22)-1</f>
        <v>3.2101246118294657</v>
      </c>
      <c r="CJ22" s="12">
        <f t="array" ref="CJ22">PRODUCT(1+預測IC!$C22:CJ22)-1</f>
        <v>3.6453652105657834</v>
      </c>
      <c r="CK22" s="12">
        <f t="array" ref="CK22">PRODUCT(1+預測IC!$C22:CK22)-1</f>
        <v>3.8133571441993466</v>
      </c>
      <c r="CL22" s="12">
        <f t="array" ref="CL22">PRODUCT(1+預測IC!$C22:CL22)-1</f>
        <v>2.6550140900230836</v>
      </c>
      <c r="CM22" s="12">
        <f t="array" ref="CM22">PRODUCT(1+預測IC!$C22:CM22)-1</f>
        <v>1.8515323426133095</v>
      </c>
      <c r="CN22" s="12">
        <f t="array" ref="CN22">PRODUCT(1+預測IC!$C22:CN22)-1</f>
        <v>1.8759037388855626</v>
      </c>
      <c r="CO22" s="12">
        <f t="array" ref="CO22">PRODUCT(1+預測IC!$C22:CO22)-1</f>
        <v>1.3430397349636758</v>
      </c>
      <c r="CP22" s="12">
        <f t="array" ref="CP22">PRODUCT(1+預測IC!$C22:CP22)-1</f>
        <v>1.9508442915325741</v>
      </c>
      <c r="CQ22" s="12">
        <f t="array" ref="CQ22">PRODUCT(1+預測IC!$C22:CQ22)-1</f>
        <v>1.9144492292164141</v>
      </c>
      <c r="CR22" s="12">
        <f t="array" ref="CR22">PRODUCT(1+預測IC!$C22:CR22)-1</f>
        <v>1.831618639155931</v>
      </c>
      <c r="CS22" s="12">
        <f t="array" ref="CS22">PRODUCT(1+預測IC!$C22:CS22)-1</f>
        <v>1.8746654253710613</v>
      </c>
      <c r="CT22" s="12">
        <f t="array" ref="CT22">PRODUCT(1+預測IC!$C22:CT22)-1</f>
        <v>1.5121949000544124</v>
      </c>
      <c r="CU22" s="12">
        <f t="array" ref="CU22">PRODUCT(1+預測IC!$C22:CU22)-1</f>
        <v>1.8142403936754303</v>
      </c>
      <c r="CV22" s="12">
        <f t="array" ref="CV22">PRODUCT(1+預測IC!$C22:CV22)-1</f>
        <v>2.2820309703885058</v>
      </c>
      <c r="CW22" s="12">
        <f t="array" ref="CW22">PRODUCT(1+預測IC!$C22:CW22)-1</f>
        <v>2.3571371060497612</v>
      </c>
      <c r="CX22" s="12">
        <f t="array" ref="CX22">PRODUCT(1+預測IC!$C22:CX22)-1</f>
        <v>2.3445492073576712</v>
      </c>
      <c r="CY22" s="12">
        <f t="array" ref="CY22">PRODUCT(1+預測IC!$C22:CY22)-1</f>
        <v>2.3712682282661799</v>
      </c>
      <c r="CZ22" s="12">
        <f t="array" ref="CZ22">PRODUCT(1+預測IC!$C22:CZ22)-1</f>
        <v>1.4848927519764175</v>
      </c>
      <c r="DA22" s="12">
        <f t="array" ref="DA22">PRODUCT(1+預測IC!$C22:DA22)-1</f>
        <v>1.4948118322652841</v>
      </c>
      <c r="DB22" s="12">
        <f t="array" ref="DB22">PRODUCT(1+預測IC!$C22:DB22)-1</f>
        <v>2.9751712316603318</v>
      </c>
      <c r="DC22" s="12">
        <f t="array" ref="DC22">PRODUCT(1+預測IC!$C22:DC22)-1</f>
        <v>2.4140072973759197</v>
      </c>
      <c r="DD22" s="12">
        <f t="array" ref="DD22">PRODUCT(1+預測IC!$C22:DD22)-1</f>
        <v>2.3057485485793272</v>
      </c>
      <c r="DE22" s="12">
        <f t="array" ref="DE22">PRODUCT(1+預測IC!$C22:DE22)-1</f>
        <v>1.8649082470511655</v>
      </c>
      <c r="DF22" s="12">
        <f t="array" ref="DF22">PRODUCT(1+預測IC!$C22:DF22)-1</f>
        <v>0.748545180239232</v>
      </c>
      <c r="DG22" s="12">
        <f t="array" ref="DG22">PRODUCT(1+預測IC!$C22:DG22)-1</f>
        <v>0.90262944785024679</v>
      </c>
      <c r="DH22" s="12">
        <f t="array" ref="DH22">PRODUCT(1+預測IC!$C22:DH22)-1</f>
        <v>0.83662960596928282</v>
      </c>
      <c r="DI22" s="12">
        <f t="array" ref="DI22">PRODUCT(1+預測IC!$C22:DI22)-1</f>
        <v>0.68766876294400303</v>
      </c>
      <c r="DJ22" s="12">
        <f t="array" ref="DJ22">PRODUCT(1+預測IC!$C22:DJ22)-1</f>
        <v>0.61547423115903865</v>
      </c>
      <c r="DK22" s="12">
        <f t="array" ref="DK22">PRODUCT(1+預測IC!$C22:DK22)-1</f>
        <v>0.76317327067403684</v>
      </c>
      <c r="DL22" s="12">
        <f t="array" ref="DL22">PRODUCT(1+預測IC!$C22:DL22)-1</f>
        <v>0.72494708644140027</v>
      </c>
      <c r="DM22" s="12">
        <f t="array" ref="DM22">PRODUCT(1+預測IC!$C22:DM22)-1</f>
        <v>0.66994829855494054</v>
      </c>
      <c r="DN22" s="12">
        <f t="array" ref="DN22">PRODUCT(1+預測IC!$C22:DN22)-1</f>
        <v>0.15998778967060812</v>
      </c>
      <c r="DO22" s="12">
        <f t="array" ref="DO22">PRODUCT(1+預測IC!$C22:DO22)-1</f>
        <v>1.6801795361658156E-2</v>
      </c>
      <c r="DP22" s="12">
        <f t="array" ref="DP22">PRODUCT(1+預測IC!$C22:DP22)-1</f>
        <v>0.18921318078824201</v>
      </c>
      <c r="DQ22" s="12">
        <f t="array" ref="DQ22">PRODUCT(1+預測IC!$C22:DQ22)-1</f>
        <v>0.25087309140332525</v>
      </c>
      <c r="DR22" s="12">
        <f t="array" ref="DR22">PRODUCT(1+預測IC!$C22:DR22)-1</f>
        <v>0.243252081278865</v>
      </c>
      <c r="DS22" s="12">
        <f t="array" ref="DS22">PRODUCT(1+預測IC!$C22:DS22)-1</f>
        <v>0.19806111137645965</v>
      </c>
      <c r="DT22" s="12">
        <f t="array" ref="DT22">PRODUCT(1+預測IC!$C22:DT22)-1</f>
        <v>0.14572700655560933</v>
      </c>
      <c r="DU22" s="12">
        <f t="array" ref="DU22">PRODUCT(1+預測IC!$C22:DU22)-1</f>
        <v>0.33081423964763945</v>
      </c>
      <c r="DV22" s="12">
        <f t="array" ref="DV22">PRODUCT(1+預測IC!$C22:DV22)-1</f>
        <v>0.16352407904493793</v>
      </c>
      <c r="DW22" s="12">
        <f t="array" ref="DW22">PRODUCT(1+預測IC!$C22:DW22)-1</f>
        <v>0.25825355546446049</v>
      </c>
      <c r="DX22" s="12">
        <f t="array" ref="DX22">PRODUCT(1+預測IC!$C22:DX22)-1</f>
        <v>0.53814275843131609</v>
      </c>
      <c r="DY22" s="12">
        <f t="array" ref="DY22">PRODUCT(1+預測IC!$C22:DY22)-1</f>
        <v>0.5506741868709859</v>
      </c>
      <c r="DZ22" s="12">
        <f t="array" ref="DZ22">PRODUCT(1+預測IC!$C22:DZ22)-1</f>
        <v>0.7115535028632447</v>
      </c>
      <c r="EA22" s="12">
        <f t="array" ref="EA22">PRODUCT(1+預測IC!$C22:EA22)-1</f>
        <v>0.83230128990651808</v>
      </c>
      <c r="EB22" s="12">
        <f t="array" ref="EB22">PRODUCT(1+預測IC!$C22:EB22)-1</f>
        <v>0.97997877773172526</v>
      </c>
      <c r="EC22" s="12">
        <f t="array" ref="EC22">PRODUCT(1+預測IC!$C22:EC22)-1</f>
        <v>0.92369033373505482</v>
      </c>
      <c r="ED22" s="12">
        <f t="array" ref="ED22">PRODUCT(1+預測IC!$C22:ED22)-1</f>
        <v>1.0726100643837246</v>
      </c>
      <c r="EE22" s="12">
        <f t="array" ref="EE22">PRODUCT(1+預測IC!$C22:EE22)-1</f>
        <v>1.1713409174107077</v>
      </c>
      <c r="EF22" s="12">
        <f t="array" ref="EF22">PRODUCT(1+預測IC!$C22:EF22)-1</f>
        <v>1.2468824028854049</v>
      </c>
    </row>
    <row r="23" spans="1:136">
      <c r="A23" s="2">
        <v>2</v>
      </c>
      <c r="B23" s="2" t="s">
        <v>200</v>
      </c>
      <c r="C23" s="12">
        <f t="array" ref="C23">PRODUCT(1+預測IC!$C23:C23)-1</f>
        <v>0.28298899999999994</v>
      </c>
      <c r="D23" s="12">
        <f t="array" ref="D23">PRODUCT(1+預測IC!$C23:D23)-1</f>
        <v>0.24474224127694799</v>
      </c>
      <c r="E23" s="12">
        <f t="array" ref="E23">PRODUCT(1+預測IC!$C23:E23)-1</f>
        <v>0.41029918307798852</v>
      </c>
      <c r="F23" s="12">
        <f t="array" ref="F23">PRODUCT(1+預測IC!$C23:F23)-1</f>
        <v>0.66753221909965488</v>
      </c>
      <c r="G23" s="12">
        <f t="array" ref="G23">PRODUCT(1+預測IC!$C23:G23)-1</f>
        <v>0.71250817861369287</v>
      </c>
      <c r="H23" s="12">
        <f t="array" ref="H23">PRODUCT(1+預測IC!$C23:H23)-1</f>
        <v>0.68136022360697757</v>
      </c>
      <c r="I23" s="12">
        <f t="array" ref="I23">PRODUCT(1+預測IC!$C23:I23)-1</f>
        <v>0.43226329567176003</v>
      </c>
      <c r="J23" s="12">
        <f t="array" ref="J23">PRODUCT(1+預測IC!$C23:J23)-1</f>
        <v>0.26773133344981881</v>
      </c>
      <c r="K23" s="12">
        <f t="array" ref="K23">PRODUCT(1+預測IC!$C23:K23)-1</f>
        <v>0.44851942482264273</v>
      </c>
      <c r="L23" s="12">
        <f t="array" ref="L23">PRODUCT(1+預測IC!$C23:L23)-1</f>
        <v>0.78521959698313681</v>
      </c>
      <c r="M23" s="12">
        <f t="array" ref="M23">PRODUCT(1+預測IC!$C23:M23)-1</f>
        <v>1.253963540899115</v>
      </c>
      <c r="N23" s="12">
        <f t="array" ref="N23">PRODUCT(1+預測IC!$C23:N23)-1</f>
        <v>0.96816093305109785</v>
      </c>
      <c r="O23" s="12">
        <f t="array" ref="O23">PRODUCT(1+預測IC!$C23:O23)-1</f>
        <v>0.9299634339359073</v>
      </c>
      <c r="P23" s="12">
        <f t="array" ref="P23">PRODUCT(1+預測IC!$C23:P23)-1</f>
        <v>0.95058220746849864</v>
      </c>
      <c r="Q23" s="12">
        <f t="array" ref="Q23">PRODUCT(1+預測IC!$C23:Q23)-1</f>
        <v>0.46127929095656328</v>
      </c>
      <c r="R23" s="12">
        <f t="array" ref="R23">PRODUCT(1+預測IC!$C23:R23)-1</f>
        <v>0.33030774622274661</v>
      </c>
      <c r="S23" s="12">
        <f t="array" ref="S23">PRODUCT(1+預測IC!$C23:S23)-1</f>
        <v>0.4815963731784163</v>
      </c>
      <c r="T23" s="12">
        <f t="array" ref="T23">PRODUCT(1+預測IC!$C23:T23)-1</f>
        <v>0.71065516289594921</v>
      </c>
      <c r="U23" s="12">
        <f t="array" ref="U23">PRODUCT(1+預測IC!$C23:U23)-1</f>
        <v>0.81198838745283486</v>
      </c>
      <c r="V23" s="12">
        <f t="array" ref="V23">PRODUCT(1+預測IC!$C23:V23)-1</f>
        <v>0.92679055561062418</v>
      </c>
      <c r="W23" s="12">
        <f t="array" ref="W23">PRODUCT(1+預測IC!$C23:W23)-1</f>
        <v>1.5657512023702966</v>
      </c>
      <c r="X23" s="12">
        <f t="array" ref="X23">PRODUCT(1+預測IC!$C23:X23)-1</f>
        <v>2.2433293917511721</v>
      </c>
      <c r="Y23" s="12">
        <f t="array" ref="Y23">PRODUCT(1+預測IC!$C23:Y23)-1</f>
        <v>2.2187165322758937</v>
      </c>
      <c r="Z23" s="12">
        <f t="array" ref="Z23">PRODUCT(1+預測IC!$C23:Z23)-1</f>
        <v>1.743503905568847</v>
      </c>
      <c r="AA23" s="12">
        <f t="array" ref="AA23">PRODUCT(1+預測IC!$C23:AA23)-1</f>
        <v>1.7253795177492774</v>
      </c>
      <c r="AB23" s="12">
        <f t="array" ref="AB23">PRODUCT(1+預測IC!$C23:AB23)-1</f>
        <v>1.6409162316909955</v>
      </c>
      <c r="AC23" s="12">
        <f t="array" ref="AC23">PRODUCT(1+預測IC!$C23:AC23)-1</f>
        <v>1.195248942154111</v>
      </c>
      <c r="AD23" s="12">
        <f t="array" ref="AD23">PRODUCT(1+預測IC!$C23:AD23)-1</f>
        <v>1.1622962790245217</v>
      </c>
      <c r="AE23" s="12">
        <f t="array" ref="AE23">PRODUCT(1+預測IC!$C23:AE23)-1</f>
        <v>1.6417141231210013</v>
      </c>
      <c r="AF23" s="12">
        <f t="array" ref="AF23">PRODUCT(1+預測IC!$C23:AF23)-1</f>
        <v>1.8184613353253041</v>
      </c>
      <c r="AG23" s="12">
        <f t="array" ref="AG23">PRODUCT(1+預測IC!$C23:AG23)-1</f>
        <v>1.407265039014749</v>
      </c>
      <c r="AH23" s="12">
        <f t="array" ref="AH23">PRODUCT(1+預測IC!$C23:AH23)-1</f>
        <v>1.7338079425550066</v>
      </c>
      <c r="AI23" s="12">
        <f t="array" ref="AI23">PRODUCT(1+預測IC!$C23:AI23)-1</f>
        <v>1.5275416692541413</v>
      </c>
      <c r="AJ23" s="12">
        <f t="array" ref="AJ23">PRODUCT(1+預測IC!$C23:AJ23)-1</f>
        <v>1.5132784031975866</v>
      </c>
      <c r="AK23" s="12">
        <f t="array" ref="AK23">PRODUCT(1+預測IC!$C23:AK23)-1</f>
        <v>1.74248744395697</v>
      </c>
      <c r="AL23" s="12">
        <f t="array" ref="AL23">PRODUCT(1+預測IC!$C23:AL23)-1</f>
        <v>2.1029372671252524</v>
      </c>
      <c r="AM23" s="12">
        <f t="array" ref="AM23">PRODUCT(1+預測IC!$C23:AM23)-1</f>
        <v>2.0394184554349084</v>
      </c>
      <c r="AN23" s="12">
        <f t="array" ref="AN23">PRODUCT(1+預測IC!$C23:AN23)-1</f>
        <v>2.5273063337369477</v>
      </c>
      <c r="AO23" s="12">
        <f t="array" ref="AO23">PRODUCT(1+預測IC!$C23:AO23)-1</f>
        <v>2.5084812684692865</v>
      </c>
      <c r="AP23" s="12">
        <f t="array" ref="AP23">PRODUCT(1+預測IC!$C23:AP23)-1</f>
        <v>3.0883156880247657</v>
      </c>
      <c r="AQ23" s="12">
        <f t="array" ref="AQ23">PRODUCT(1+預測IC!$C23:AQ23)-1</f>
        <v>3.494608412784979</v>
      </c>
      <c r="AR23" s="12">
        <f t="array" ref="AR23">PRODUCT(1+預測IC!$C23:AR23)-1</f>
        <v>4.6338154378104894</v>
      </c>
      <c r="AS23" s="12">
        <f t="array" ref="AS23">PRODUCT(1+預測IC!$C23:AS23)-1</f>
        <v>4.4525812289915638</v>
      </c>
      <c r="AT23" s="12">
        <f t="array" ref="AT23">PRODUCT(1+預測IC!$C23:AT23)-1</f>
        <v>4.2266932106705735</v>
      </c>
      <c r="AU23" s="12">
        <f t="array" ref="AU23">PRODUCT(1+預測IC!$C23:AU23)-1</f>
        <v>4.399934707050531</v>
      </c>
      <c r="AV23" s="12">
        <f t="array" ref="AV23">PRODUCT(1+預測IC!$C23:AV23)-1</f>
        <v>4.2506859430161628</v>
      </c>
      <c r="AW23" s="12">
        <f t="array" ref="AW23">PRODUCT(1+預測IC!$C23:AW23)-1</f>
        <v>3.9775089788690918</v>
      </c>
      <c r="AX23" s="12">
        <f t="array" ref="AX23">PRODUCT(1+預測IC!$C23:AX23)-1</f>
        <v>4.3251290166108447</v>
      </c>
      <c r="AY23" s="12">
        <f t="array" ref="AY23">PRODUCT(1+預測IC!$C23:AY23)-1</f>
        <v>5.2316469275982032</v>
      </c>
      <c r="AZ23" s="12">
        <f t="array" ref="AZ23">PRODUCT(1+預測IC!$C23:AZ23)-1</f>
        <v>4.8343568935976151</v>
      </c>
      <c r="BA23" s="12">
        <f t="array" ref="BA23">PRODUCT(1+預測IC!$C23:BA23)-1</f>
        <v>4.8906396514589714</v>
      </c>
      <c r="BB23" s="12">
        <f t="array" ref="BB23">PRODUCT(1+預測IC!$C23:BB23)-1</f>
        <v>8.2296161984963323</v>
      </c>
      <c r="BC23" s="12">
        <f t="array" ref="BC23">PRODUCT(1+預測IC!$C23:BC23)-1</f>
        <v>5.4530869169633132</v>
      </c>
      <c r="BD23" s="12">
        <f t="array" ref="BD23">PRODUCT(1+預測IC!$C23:BD23)-1</f>
        <v>6.2660435802188923</v>
      </c>
      <c r="BE23" s="12">
        <f t="array" ref="BE23">PRODUCT(1+預測IC!$C23:BE23)-1</f>
        <v>5.7470245476718738</v>
      </c>
      <c r="BF23" s="12">
        <f t="array" ref="BF23">PRODUCT(1+預測IC!$C23:BF23)-1</f>
        <v>5.3421153634924421</v>
      </c>
      <c r="BG23" s="12">
        <f t="array" ref="BG23">PRODUCT(1+預測IC!$C23:BG23)-1</f>
        <v>5.8162612385666641</v>
      </c>
      <c r="BH23" s="12">
        <f t="array" ref="BH23">PRODUCT(1+預測IC!$C23:BH23)-1</f>
        <v>4.4292612637853983</v>
      </c>
      <c r="BI23" s="12">
        <f t="array" ref="BI23">PRODUCT(1+預測IC!$C23:BI23)-1</f>
        <v>5.4668586730963256</v>
      </c>
      <c r="BJ23" s="12">
        <f t="array" ref="BJ23">PRODUCT(1+預測IC!$C23:BJ23)-1</f>
        <v>6.13943341446749</v>
      </c>
      <c r="BK23" s="12">
        <f t="array" ref="BK23">PRODUCT(1+預測IC!$C23:BK23)-1</f>
        <v>6.1539557954935837</v>
      </c>
      <c r="BL23" s="12">
        <f t="array" ref="BL23">PRODUCT(1+預測IC!$C23:BL23)-1</f>
        <v>5.7717056294287703</v>
      </c>
      <c r="BM23" s="12">
        <f t="array" ref="BM23">PRODUCT(1+預測IC!$C23:BM23)-1</f>
        <v>4.5247197387391651</v>
      </c>
      <c r="BN23" s="12">
        <f t="array" ref="BN23">PRODUCT(1+預測IC!$C23:BN23)-1</f>
        <v>4.67169645468854</v>
      </c>
      <c r="BO23" s="12">
        <f t="array" ref="BO23">PRODUCT(1+預測IC!$C23:BO23)-1</f>
        <v>5.0223207295173857</v>
      </c>
      <c r="BP23" s="12">
        <f t="array" ref="BP23">PRODUCT(1+預測IC!$C23:BP23)-1</f>
        <v>5.6141125025035716</v>
      </c>
      <c r="BQ23" s="12">
        <f t="array" ref="BQ23">PRODUCT(1+預測IC!$C23:BQ23)-1</f>
        <v>6.0906454281657103</v>
      </c>
      <c r="BR23" s="12">
        <f t="array" ref="BR23">PRODUCT(1+預測IC!$C23:BR23)-1</f>
        <v>6.8197239571401713</v>
      </c>
      <c r="BS23" s="12">
        <f t="array" ref="BS23">PRODUCT(1+預測IC!$C23:BS23)-1</f>
        <v>6.246730644983141</v>
      </c>
      <c r="BT23" s="12">
        <f t="array" ref="BT23">PRODUCT(1+預測IC!$C23:BT23)-1</f>
        <v>4.6655990958421718</v>
      </c>
      <c r="BU23" s="12">
        <f t="array" ref="BU23">PRODUCT(1+預測IC!$C23:BU23)-1</f>
        <v>4.066821756999448</v>
      </c>
      <c r="BV23" s="12">
        <f t="array" ref="BV23">PRODUCT(1+預測IC!$C23:BV23)-1</f>
        <v>3.9805819172844386</v>
      </c>
      <c r="BW23" s="12">
        <f t="array" ref="BW23">PRODUCT(1+預測IC!$C23:BW23)-1</f>
        <v>6.9739016884085521</v>
      </c>
      <c r="BX23" s="12">
        <f t="array" ref="BX23">PRODUCT(1+預測IC!$C23:BX23)-1</f>
        <v>7.9644159569344239</v>
      </c>
      <c r="BY23" s="12">
        <f t="array" ref="BY23">PRODUCT(1+預測IC!$C23:BY23)-1</f>
        <v>8.0559040313752028</v>
      </c>
      <c r="BZ23" s="12">
        <f t="array" ref="BZ23">PRODUCT(1+預測IC!$C23:BZ23)-1</f>
        <v>11.247195556127794</v>
      </c>
      <c r="CA23" s="12">
        <f t="array" ref="CA23">PRODUCT(1+預測IC!$C23:CA23)-1</f>
        <v>10.32065602438403</v>
      </c>
      <c r="CB23" s="12">
        <f t="array" ref="CB23">PRODUCT(1+預測IC!$C23:CB23)-1</f>
        <v>12.784191562481926</v>
      </c>
      <c r="CC23" s="12">
        <f t="array" ref="CC23">PRODUCT(1+預測IC!$C23:CC23)-1</f>
        <v>11.618807086831891</v>
      </c>
      <c r="CD23" s="12">
        <f t="array" ref="CD23">PRODUCT(1+預測IC!$C23:CD23)-1</f>
        <v>13.401118946793744</v>
      </c>
      <c r="CE23" s="12">
        <f t="array" ref="CE23">PRODUCT(1+預測IC!$C23:CE23)-1</f>
        <v>14.259454438260544</v>
      </c>
      <c r="CF23" s="12">
        <f t="array" ref="CF23">PRODUCT(1+預測IC!$C23:CF23)-1</f>
        <v>11.460405080923193</v>
      </c>
      <c r="CG23" s="12">
        <f t="array" ref="CG23">PRODUCT(1+預測IC!$C23:CG23)-1</f>
        <v>15.11010134054338</v>
      </c>
      <c r="CH23" s="12">
        <f t="array" ref="CH23">PRODUCT(1+預測IC!$C23:CH23)-1</f>
        <v>15.463726120018979</v>
      </c>
      <c r="CI23" s="12">
        <f t="array" ref="CI23">PRODUCT(1+預測IC!$C23:CI23)-1</f>
        <v>14.490349472488157</v>
      </c>
      <c r="CJ23" s="12">
        <f t="array" ref="CJ23">PRODUCT(1+預測IC!$C23:CJ23)-1</f>
        <v>14.798225861738169</v>
      </c>
      <c r="CK23" s="12">
        <f t="array" ref="CK23">PRODUCT(1+預測IC!$C23:CK23)-1</f>
        <v>16.316703853602004</v>
      </c>
      <c r="CL23" s="12">
        <f t="array" ref="CL23">PRODUCT(1+預測IC!$C23:CL23)-1</f>
        <v>9.2400421207272228</v>
      </c>
      <c r="CM23" s="12">
        <f t="array" ref="CM23">PRODUCT(1+預測IC!$C23:CM23)-1</f>
        <v>6.836653034781941</v>
      </c>
      <c r="CN23" s="12">
        <f t="array" ref="CN23">PRODUCT(1+預測IC!$C23:CN23)-1</f>
        <v>7.2520362267128178</v>
      </c>
      <c r="CO23" s="12">
        <f t="array" ref="CO23">PRODUCT(1+預測IC!$C23:CO23)-1</f>
        <v>5.0367690402115857</v>
      </c>
      <c r="CP23" s="12">
        <f t="array" ref="CP23">PRODUCT(1+預測IC!$C23:CP23)-1</f>
        <v>6.9163819348737867</v>
      </c>
      <c r="CQ23" s="12">
        <f t="array" ref="CQ23">PRODUCT(1+預測IC!$C23:CQ23)-1</f>
        <v>6.8436799058210269</v>
      </c>
      <c r="CR23" s="12">
        <f t="array" ref="CR23">PRODUCT(1+預測IC!$C23:CR23)-1</f>
        <v>6.543812101181536</v>
      </c>
      <c r="CS23" s="12">
        <f t="array" ref="CS23">PRODUCT(1+預測IC!$C23:CS23)-1</f>
        <v>6.8227386618396793</v>
      </c>
      <c r="CT23" s="12">
        <f t="array" ref="CT23">PRODUCT(1+預測IC!$C23:CT23)-1</f>
        <v>6.5657599444567163</v>
      </c>
      <c r="CU23" s="12">
        <f t="array" ref="CU23">PRODUCT(1+預測IC!$C23:CU23)-1</f>
        <v>6.7250690928709229</v>
      </c>
      <c r="CV23" s="12">
        <f t="array" ref="CV23">PRODUCT(1+預測IC!$C23:CV23)-1</f>
        <v>7.9095614168456372</v>
      </c>
      <c r="CW23" s="12">
        <f t="array" ref="CW23">PRODUCT(1+預測IC!$C23:CW23)-1</f>
        <v>7.6940722003440278</v>
      </c>
      <c r="CX23" s="12">
        <f t="array" ref="CX23">PRODUCT(1+預測IC!$C23:CX23)-1</f>
        <v>8.4653841524167213</v>
      </c>
      <c r="CY23" s="12">
        <f t="array" ref="CY23">PRODUCT(1+預測IC!$C23:CY23)-1</f>
        <v>8.2567052696079255</v>
      </c>
      <c r="CZ23" s="12">
        <f t="array" ref="CZ23">PRODUCT(1+預測IC!$C23:CZ23)-1</f>
        <v>6.5719960754462967</v>
      </c>
      <c r="DA23" s="12">
        <f t="array" ref="DA23">PRODUCT(1+預測IC!$C23:DA23)-1</f>
        <v>6.8065926893578323</v>
      </c>
      <c r="DB23" s="12">
        <f t="array" ref="DB23">PRODUCT(1+預測IC!$C23:DB23)-1</f>
        <v>13.555982049405767</v>
      </c>
      <c r="DC23" s="12">
        <f t="array" ref="DC23">PRODUCT(1+預測IC!$C23:DC23)-1</f>
        <v>11.256880706205877</v>
      </c>
      <c r="DD23" s="12">
        <f t="array" ref="DD23">PRODUCT(1+預測IC!$C23:DD23)-1</f>
        <v>10.119458420994004</v>
      </c>
      <c r="DE23" s="12">
        <f t="array" ref="DE23">PRODUCT(1+預測IC!$C23:DE23)-1</f>
        <v>8.5466721843657183</v>
      </c>
      <c r="DF23" s="12">
        <f t="array" ref="DF23">PRODUCT(1+預測IC!$C23:DF23)-1</f>
        <v>4.6440164620774746</v>
      </c>
      <c r="DG23" s="12">
        <f t="array" ref="DG23">PRODUCT(1+預測IC!$C23:DG23)-1</f>
        <v>5.5074192172322878</v>
      </c>
      <c r="DH23" s="12">
        <f t="array" ref="DH23">PRODUCT(1+預測IC!$C23:DH23)-1</f>
        <v>4.7943219137442146</v>
      </c>
      <c r="DI23" s="12">
        <f t="array" ref="DI23">PRODUCT(1+預測IC!$C23:DI23)-1</f>
        <v>3.7228781255025218</v>
      </c>
      <c r="DJ23" s="12">
        <f t="array" ref="DJ23">PRODUCT(1+預測IC!$C23:DJ23)-1</f>
        <v>3.8826200323413937</v>
      </c>
      <c r="DK23" s="12">
        <f t="array" ref="DK23">PRODUCT(1+預測IC!$C23:DK23)-1</f>
        <v>4.328127373262336</v>
      </c>
      <c r="DL23" s="12">
        <f t="array" ref="DL23">PRODUCT(1+預測IC!$C23:DL23)-1</f>
        <v>4.6297313513532234</v>
      </c>
      <c r="DM23" s="12">
        <f t="array" ref="DM23">PRODUCT(1+預測IC!$C23:DM23)-1</f>
        <v>4.3680783273363799</v>
      </c>
      <c r="DN23" s="12">
        <f t="array" ref="DN23">PRODUCT(1+預測IC!$C23:DN23)-1</f>
        <v>2.9456725429555983</v>
      </c>
      <c r="DO23" s="12">
        <f t="array" ref="DO23">PRODUCT(1+預測IC!$C23:DO23)-1</f>
        <v>2.2982219912752222</v>
      </c>
      <c r="DP23" s="12">
        <f t="array" ref="DP23">PRODUCT(1+預測IC!$C23:DP23)-1</f>
        <v>2.8814783098908614</v>
      </c>
      <c r="DQ23" s="12">
        <f t="array" ref="DQ23">PRODUCT(1+預測IC!$C23:DQ23)-1</f>
        <v>3.3516437183070966</v>
      </c>
      <c r="DR23" s="12">
        <f t="array" ref="DR23">PRODUCT(1+預測IC!$C23:DR23)-1</f>
        <v>2.960491859157671</v>
      </c>
      <c r="DS23" s="12">
        <f t="array" ref="DS23">PRODUCT(1+預測IC!$C23:DS23)-1</f>
        <v>2.4987856392007881</v>
      </c>
      <c r="DT23" s="12">
        <f t="array" ref="DT23">PRODUCT(1+預測IC!$C23:DT23)-1</f>
        <v>2.3089747688813258</v>
      </c>
      <c r="DU23" s="12">
        <f t="array" ref="DU23">PRODUCT(1+預測IC!$C23:DU23)-1</f>
        <v>2.4930795070723453</v>
      </c>
      <c r="DV23" s="12">
        <f t="array" ref="DV23">PRODUCT(1+預測IC!$C23:DV23)-1</f>
        <v>1.5280408136308621</v>
      </c>
      <c r="DW23" s="12">
        <f t="array" ref="DW23">PRODUCT(1+預測IC!$C23:DW23)-1</f>
        <v>1.4697631527746364</v>
      </c>
      <c r="DX23" s="12">
        <f t="array" ref="DX23">PRODUCT(1+預測IC!$C23:DX23)-1</f>
        <v>2.2440171225345815</v>
      </c>
      <c r="DY23" s="12">
        <f t="array" ref="DY23">PRODUCT(1+預測IC!$C23:DY23)-1</f>
        <v>1.692933781664796</v>
      </c>
      <c r="DZ23" s="12">
        <f t="array" ref="DZ23">PRODUCT(1+預測IC!$C23:DZ23)-1</f>
        <v>1.9699640087459636</v>
      </c>
      <c r="EA23" s="12">
        <f t="array" ref="EA23">PRODUCT(1+預測IC!$C23:EA23)-1</f>
        <v>2.0396064204013378</v>
      </c>
      <c r="EB23" s="12">
        <f t="array" ref="EB23">PRODUCT(1+預測IC!$C23:EB23)-1</f>
        <v>2.2303521786481739</v>
      </c>
      <c r="EC23" s="12">
        <f t="array" ref="EC23">PRODUCT(1+預測IC!$C23:EC23)-1</f>
        <v>1.8323568227511182</v>
      </c>
      <c r="ED23" s="12">
        <f t="array" ref="ED23">PRODUCT(1+預測IC!$C23:ED23)-1</f>
        <v>2.0913076074771477</v>
      </c>
      <c r="EE23" s="12">
        <f t="array" ref="EE23">PRODUCT(1+預測IC!$C23:EE23)-1</f>
        <v>2.3052600982982483</v>
      </c>
      <c r="EF23" s="12">
        <f t="array" ref="EF23">PRODUCT(1+預測IC!$C23:EF23)-1</f>
        <v>2.4631929571330318</v>
      </c>
    </row>
    <row r="24" spans="1:136">
      <c r="A24" s="2">
        <v>1</v>
      </c>
      <c r="B24" s="2" t="s">
        <v>201</v>
      </c>
      <c r="C24" s="12">
        <f t="array" ref="C24">PRODUCT(1+預測IC!$C24:C24)-1</f>
        <v>9.9113000000000007E-2</v>
      </c>
      <c r="D24" s="12">
        <f t="array" ref="D24">PRODUCT(1+預測IC!$C24:D24)-1</f>
        <v>-1.5248619497808757E-2</v>
      </c>
      <c r="E24" s="12">
        <f t="array" ref="E24">PRODUCT(1+預測IC!$C24:E24)-1</f>
        <v>0.26492496527163056</v>
      </c>
      <c r="F24" s="12">
        <f t="array" ref="F24">PRODUCT(1+預測IC!$C24:F24)-1</f>
        <v>0.51986517671599364</v>
      </c>
      <c r="G24" s="12">
        <f t="array" ref="G24">PRODUCT(1+預測IC!$C24:G24)-1</f>
        <v>0.55424815730645416</v>
      </c>
      <c r="H24" s="12">
        <f t="array" ref="H24">PRODUCT(1+預測IC!$C24:H24)-1</f>
        <v>0.60997727923483458</v>
      </c>
      <c r="I24" s="12">
        <f t="array" ref="I24">PRODUCT(1+預測IC!$C24:I24)-1</f>
        <v>0.61337744370715708</v>
      </c>
      <c r="J24" s="12">
        <f t="array" ref="J24">PRODUCT(1+預測IC!$C24:J24)-1</f>
        <v>0.42709527067928499</v>
      </c>
      <c r="K24" s="12">
        <f t="array" ref="K24">PRODUCT(1+預測IC!$C24:K24)-1</f>
        <v>0.49908414400814971</v>
      </c>
      <c r="L24" s="12">
        <f t="array" ref="L24">PRODUCT(1+預測IC!$C24:L24)-1</f>
        <v>0.99941763513456006</v>
      </c>
      <c r="M24" s="12">
        <f t="array" ref="M24">PRODUCT(1+預測IC!$C24:M24)-1</f>
        <v>1.9252030725613642</v>
      </c>
      <c r="N24" s="12">
        <f t="array" ref="N24">PRODUCT(1+預測IC!$C24:N24)-1</f>
        <v>1.6174959569333707</v>
      </c>
      <c r="O24" s="12">
        <f t="array" ref="O24">PRODUCT(1+預測IC!$C24:O24)-1</f>
        <v>1.7134240185206231</v>
      </c>
      <c r="P24" s="12">
        <f t="array" ref="P24">PRODUCT(1+預測IC!$C24:P24)-1</f>
        <v>1.9243560663524106</v>
      </c>
      <c r="Q24" s="12">
        <f t="array" ref="Q24">PRODUCT(1+預測IC!$C24:Q24)-1</f>
        <v>2.1879719942228082</v>
      </c>
      <c r="R24" s="12">
        <f t="array" ref="R24">PRODUCT(1+預測IC!$C24:R24)-1</f>
        <v>1.8425058313026486</v>
      </c>
      <c r="S24" s="12">
        <f t="array" ref="S24">PRODUCT(1+預測IC!$C24:S24)-1</f>
        <v>2.8445302424846766</v>
      </c>
      <c r="T24" s="12">
        <f t="array" ref="T24">PRODUCT(1+預測IC!$C24:T24)-1</f>
        <v>1.8046358877300928</v>
      </c>
      <c r="U24" s="12">
        <f t="array" ref="U24">PRODUCT(1+預測IC!$C24:U24)-1</f>
        <v>2.6063494701454029</v>
      </c>
      <c r="V24" s="12">
        <f t="array" ref="V24">PRODUCT(1+預測IC!$C24:V24)-1</f>
        <v>3.0266345795877951</v>
      </c>
      <c r="W24" s="12">
        <f t="array" ref="W24">PRODUCT(1+預測IC!$C24:W24)-1</f>
        <v>5.022685603754133</v>
      </c>
      <c r="X24" s="12">
        <f t="array" ref="X24">PRODUCT(1+預測IC!$C24:X24)-1</f>
        <v>5.7334976089280874</v>
      </c>
      <c r="Y24" s="12">
        <f t="array" ref="Y24">PRODUCT(1+預測IC!$C24:Y24)-1</f>
        <v>5.5355405929079833</v>
      </c>
      <c r="Z24" s="12">
        <f t="array" ref="Z24">PRODUCT(1+預測IC!$C24:Z24)-1</f>
        <v>4.5525304179926254</v>
      </c>
      <c r="AA24" s="12">
        <f t="array" ref="AA24">PRODUCT(1+預測IC!$C24:AA24)-1</f>
        <v>4.4773060227575634</v>
      </c>
      <c r="AB24" s="12">
        <f t="array" ref="AB24">PRODUCT(1+預測IC!$C24:AB24)-1</f>
        <v>2.831957288108911</v>
      </c>
      <c r="AC24" s="12">
        <f t="array" ref="AC24">PRODUCT(1+預測IC!$C24:AC24)-1</f>
        <v>1.2924786641957495</v>
      </c>
      <c r="AD24" s="12">
        <f t="array" ref="AD24">PRODUCT(1+預測IC!$C24:AD24)-1</f>
        <v>1.2745472654196197</v>
      </c>
      <c r="AE24" s="12">
        <f t="array" ref="AE24">PRODUCT(1+預測IC!$C24:AE24)-1</f>
        <v>1.6732094391769818</v>
      </c>
      <c r="AF24" s="12">
        <f t="array" ref="AF24">PRODUCT(1+預測IC!$C24:AF24)-1</f>
        <v>1.7334154889912226</v>
      </c>
      <c r="AG24" s="12">
        <f t="array" ref="AG24">PRODUCT(1+預測IC!$C24:AG24)-1</f>
        <v>0.69456619223076799</v>
      </c>
      <c r="AH24" s="12">
        <f t="array" ref="AH24">PRODUCT(1+預測IC!$C24:AH24)-1</f>
        <v>1.2065332014798353</v>
      </c>
      <c r="AI24" s="12">
        <f t="array" ref="AI24">PRODUCT(1+預測IC!$C24:AI24)-1</f>
        <v>0.87133504737786205</v>
      </c>
      <c r="AJ24" s="12">
        <f t="array" ref="AJ24">PRODUCT(1+預測IC!$C24:AJ24)-1</f>
        <v>1.0227096672998877</v>
      </c>
      <c r="AK24" s="12">
        <f t="array" ref="AK24">PRODUCT(1+預測IC!$C24:AK24)-1</f>
        <v>1.25163825600576</v>
      </c>
      <c r="AL24" s="12">
        <f t="array" ref="AL24">PRODUCT(1+預測IC!$C24:AL24)-1</f>
        <v>1.1285255763338862</v>
      </c>
      <c r="AM24" s="12">
        <f t="array" ref="AM24">PRODUCT(1+預測IC!$C24:AM24)-1</f>
        <v>1.1603822508669293</v>
      </c>
      <c r="AN24" s="12">
        <f t="array" ref="AN24">PRODUCT(1+預測IC!$C24:AN24)-1</f>
        <v>1.3994518184237261</v>
      </c>
      <c r="AO24" s="12">
        <f t="array" ref="AO24">PRODUCT(1+預測IC!$C24:AO24)-1</f>
        <v>1.5580318574316236</v>
      </c>
      <c r="AP24" s="12">
        <f t="array" ref="AP24">PRODUCT(1+預測IC!$C24:AP24)-1</f>
        <v>1.978789727501264</v>
      </c>
      <c r="AQ24" s="12">
        <f t="array" ref="AQ24">PRODUCT(1+預測IC!$C24:AQ24)-1</f>
        <v>2.6255564682952488</v>
      </c>
      <c r="AR24" s="12">
        <f t="array" ref="AR24">PRODUCT(1+預測IC!$C24:AR24)-1</f>
        <v>2.6993396041814428</v>
      </c>
      <c r="AS24" s="12">
        <f t="array" ref="AS24">PRODUCT(1+預測IC!$C24:AS24)-1</f>
        <v>1.8195182674397619</v>
      </c>
      <c r="AT24" s="12">
        <f t="array" ref="AT24">PRODUCT(1+預測IC!$C24:AT24)-1</f>
        <v>1.9053985593546354</v>
      </c>
      <c r="AU24" s="12">
        <f t="array" ref="AU24">PRODUCT(1+預測IC!$C24:AU24)-1</f>
        <v>2.0335130381653399</v>
      </c>
      <c r="AV24" s="12">
        <f t="array" ref="AV24">PRODUCT(1+預測IC!$C24:AV24)-1</f>
        <v>1.769136454904829</v>
      </c>
      <c r="AW24" s="12">
        <f t="array" ref="AW24">PRODUCT(1+預測IC!$C24:AW24)-1</f>
        <v>1.7829476379233986</v>
      </c>
      <c r="AX24" s="12">
        <f t="array" ref="AX24">PRODUCT(1+預測IC!$C24:AX24)-1</f>
        <v>1.8617222730282732</v>
      </c>
      <c r="AY24" s="12">
        <f t="array" ref="AY24">PRODUCT(1+預測IC!$C24:AY24)-1</f>
        <v>2.3428558946426317</v>
      </c>
      <c r="AZ24" s="12">
        <f t="array" ref="AZ24">PRODUCT(1+預測IC!$C24:AZ24)-1</f>
        <v>2.4694400648381385</v>
      </c>
      <c r="BA24" s="12">
        <f t="array" ref="BA24">PRODUCT(1+預測IC!$C24:BA24)-1</f>
        <v>2.2828024660664785</v>
      </c>
      <c r="BB24" s="12">
        <f t="array" ref="BB24">PRODUCT(1+預測IC!$C24:BB24)-1</f>
        <v>4.5504836223660163</v>
      </c>
      <c r="BC24" s="12">
        <f t="array" ref="BC24">PRODUCT(1+預測IC!$C24:BC24)-1</f>
        <v>9.2246296741071099E-2</v>
      </c>
      <c r="BD24" s="12">
        <f t="array" ref="BD24">PRODUCT(1+預測IC!$C24:BD24)-1</f>
        <v>0.11260576771232467</v>
      </c>
      <c r="BE24" s="12">
        <f t="array" ref="BE24">PRODUCT(1+預測IC!$C24:BE24)-1</f>
        <v>6.1354301730727423E-2</v>
      </c>
      <c r="BF24" s="12">
        <f t="array" ref="BF24">PRODUCT(1+預測IC!$C24:BF24)-1</f>
        <v>-4.5031608057553796E-2</v>
      </c>
      <c r="BG24" s="12">
        <f t="array" ref="BG24">PRODUCT(1+預測IC!$C24:BG24)-1</f>
        <v>-1.9404108887980498E-2</v>
      </c>
      <c r="BH24" s="12">
        <f t="array" ref="BH24">PRODUCT(1+預測IC!$C24:BH24)-1</f>
        <v>-0.39816450518548163</v>
      </c>
      <c r="BI24" s="12">
        <f t="array" ref="BI24">PRODUCT(1+預測IC!$C24:BI24)-1</f>
        <v>-0.26357657147888647</v>
      </c>
      <c r="BJ24" s="12">
        <f t="array" ref="BJ24">PRODUCT(1+預測IC!$C24:BJ24)-1</f>
        <v>-0.26111079331090314</v>
      </c>
      <c r="BK24" s="12">
        <f t="array" ref="BK24">PRODUCT(1+預測IC!$C24:BK24)-1</f>
        <v>-0.25813783793810763</v>
      </c>
      <c r="BL24" s="12">
        <f t="array" ref="BL24">PRODUCT(1+預測IC!$C24:BL24)-1</f>
        <v>-0.28106063688365801</v>
      </c>
      <c r="BM24" s="12">
        <f t="array" ref="BM24">PRODUCT(1+預測IC!$C24:BM24)-1</f>
        <v>-0.55203822905392785</v>
      </c>
      <c r="BN24" s="12">
        <f t="array" ref="BN24">PRODUCT(1+預測IC!$C24:BN24)-1</f>
        <v>-0.54312819843717852</v>
      </c>
      <c r="BO24" s="12">
        <f t="array" ref="BO24">PRODUCT(1+預測IC!$C24:BO24)-1</f>
        <v>-0.54569581796196154</v>
      </c>
      <c r="BP24" s="12">
        <f t="array" ref="BP24">PRODUCT(1+預測IC!$C24:BP24)-1</f>
        <v>-0.48965686051557911</v>
      </c>
      <c r="BQ24" s="12">
        <f t="array" ref="BQ24">PRODUCT(1+預測IC!$C24:BQ24)-1</f>
        <v>-0.52240539264883412</v>
      </c>
      <c r="BR24" s="12">
        <f t="array" ref="BR24">PRODUCT(1+預測IC!$C24:BR24)-1</f>
        <v>-0.47516130941958057</v>
      </c>
      <c r="BS24" s="12">
        <f t="array" ref="BS24">PRODUCT(1+預測IC!$C24:BS24)-1</f>
        <v>-0.47583557886188865</v>
      </c>
      <c r="BT24" s="12">
        <f t="array" ref="BT24">PRODUCT(1+預測IC!$C24:BT24)-1</f>
        <v>-0.62088130915038464</v>
      </c>
      <c r="BU24" s="12">
        <f t="array" ref="BU24">PRODUCT(1+預測IC!$C24:BU24)-1</f>
        <v>-0.62419821857662794</v>
      </c>
      <c r="BV24" s="12">
        <f t="array" ref="BV24">PRODUCT(1+預測IC!$C24:BV24)-1</f>
        <v>-0.70060135135246937</v>
      </c>
      <c r="BW24" s="12">
        <f t="array" ref="BW24">PRODUCT(1+預測IC!$C24:BW24)-1</f>
        <v>-0.36856375902262817</v>
      </c>
      <c r="BX24" s="12">
        <f t="array" ref="BX24">PRODUCT(1+預測IC!$C24:BX24)-1</f>
        <v>-0.33191307187722563</v>
      </c>
      <c r="BY24" s="12">
        <f t="array" ref="BY24">PRODUCT(1+預測IC!$C24:BY24)-1</f>
        <v>-0.40523271886606371</v>
      </c>
      <c r="BZ24" s="12">
        <f t="array" ref="BZ24">PRODUCT(1+預測IC!$C24:BZ24)-1</f>
        <v>7.888286775115283E-2</v>
      </c>
      <c r="CA24" s="12">
        <f t="array" ref="CA24">PRODUCT(1+預測IC!$C24:CA24)-1</f>
        <v>-4.5427829628776673E-2</v>
      </c>
      <c r="CB24" s="12">
        <f t="array" ref="CB24">PRODUCT(1+預測IC!$C24:CB24)-1</f>
        <v>-0.24470620051572944</v>
      </c>
      <c r="CC24" s="12">
        <f t="array" ref="CC24">PRODUCT(1+預測IC!$C24:CC24)-1</f>
        <v>-0.38252466010762431</v>
      </c>
      <c r="CD24" s="12">
        <f t="array" ref="CD24">PRODUCT(1+預測IC!$C24:CD24)-1</f>
        <v>-0.36402880377648805</v>
      </c>
      <c r="CE24" s="12">
        <f t="array" ref="CE24">PRODUCT(1+預測IC!$C24:CE24)-1</f>
        <v>-0.25873423267374229</v>
      </c>
      <c r="CF24" s="12">
        <f t="array" ref="CF24">PRODUCT(1+預測IC!$C24:CF24)-1</f>
        <v>-0.3811394488323272</v>
      </c>
      <c r="CG24" s="12">
        <f t="array" ref="CG24">PRODUCT(1+預測IC!$C24:CG24)-1</f>
        <v>-0.23429807383291534</v>
      </c>
      <c r="CH24" s="12">
        <f t="array" ref="CH24">PRODUCT(1+預測IC!$C24:CH24)-1</f>
        <v>-0.12277894820016266</v>
      </c>
      <c r="CI24" s="12">
        <f t="array" ref="CI24">PRODUCT(1+預測IC!$C24:CI24)-1</f>
        <v>-0.1741033974988675</v>
      </c>
      <c r="CJ24" s="12">
        <f t="array" ref="CJ24">PRODUCT(1+預測IC!$C24:CJ24)-1</f>
        <v>-0.18493047696730425</v>
      </c>
      <c r="CK24" s="12">
        <f t="array" ref="CK24">PRODUCT(1+預測IC!$C24:CK24)-1</f>
        <v>-0.1086969598302493</v>
      </c>
      <c r="CL24" s="12">
        <f t="array" ref="CL24">PRODUCT(1+預測IC!$C24:CL24)-1</f>
        <v>1.7649999764972835E-2</v>
      </c>
      <c r="CM24" s="12">
        <f t="array" ref="CM24">PRODUCT(1+預測IC!$C24:CM24)-1</f>
        <v>-0.63002316608544651</v>
      </c>
      <c r="CN24" s="12">
        <f t="array" ref="CN24">PRODUCT(1+預測IC!$C24:CN24)-1</f>
        <v>-0.59016231838174726</v>
      </c>
      <c r="CO24" s="12">
        <f t="array" ref="CO24">PRODUCT(1+預測IC!$C24:CO24)-1</f>
        <v>-0.82475734577141535</v>
      </c>
      <c r="CP24" s="12">
        <f t="array" ref="CP24">PRODUCT(1+預測IC!$C24:CP24)-1</f>
        <v>-0.79665820172949053</v>
      </c>
      <c r="CQ24" s="12">
        <f t="array" ref="CQ24">PRODUCT(1+預測IC!$C24:CQ24)-1</f>
        <v>-0.77333750555756531</v>
      </c>
      <c r="CR24" s="12">
        <f t="array" ref="CR24">PRODUCT(1+預測IC!$C24:CR24)-1</f>
        <v>-0.79528160829451511</v>
      </c>
      <c r="CS24" s="12">
        <f t="array" ref="CS24">PRODUCT(1+預測IC!$C24:CS24)-1</f>
        <v>-0.77769727439142067</v>
      </c>
      <c r="CT24" s="12">
        <f t="array" ref="CT24">PRODUCT(1+預測IC!$C24:CT24)-1</f>
        <v>-0.73703886453187573</v>
      </c>
      <c r="CU24" s="12">
        <f t="array" ref="CU24">PRODUCT(1+預測IC!$C24:CU24)-1</f>
        <v>-0.71790808754523106</v>
      </c>
      <c r="CV24" s="12">
        <f t="array" ref="CV24">PRODUCT(1+預測IC!$C24:CV24)-1</f>
        <v>-0.66632360529354218</v>
      </c>
      <c r="CW24" s="12">
        <f t="array" ref="CW24">PRODUCT(1+預測IC!$C24:CW24)-1</f>
        <v>-0.74473529414626394</v>
      </c>
      <c r="CX24" s="12">
        <f t="array" ref="CX24">PRODUCT(1+預測IC!$C24:CX24)-1</f>
        <v>-0.75882774220932214</v>
      </c>
      <c r="CY24" s="12">
        <f t="array" ref="CY24">PRODUCT(1+預測IC!$C24:CY24)-1</f>
        <v>-0.7395178260437496</v>
      </c>
      <c r="CZ24" s="12">
        <f t="array" ref="CZ24">PRODUCT(1+預測IC!$C24:CZ24)-1</f>
        <v>-0.76874565255329175</v>
      </c>
      <c r="DA24" s="12">
        <f t="array" ref="DA24">PRODUCT(1+預測IC!$C24:DA24)-1</f>
        <v>-0.77441397507708265</v>
      </c>
      <c r="DB24" s="12">
        <f t="array" ref="DB24">PRODUCT(1+預測IC!$C24:DB24)-1</f>
        <v>-0.560533701617556</v>
      </c>
      <c r="DC24" s="12">
        <f t="array" ref="DC24">PRODUCT(1+預測IC!$C24:DC24)-1</f>
        <v>-0.68478391091786528</v>
      </c>
      <c r="DD24" s="12">
        <f t="array" ref="DD24">PRODUCT(1+預測IC!$C24:DD24)-1</f>
        <v>-0.62305050352413893</v>
      </c>
      <c r="DE24" s="12">
        <f t="array" ref="DE24">PRODUCT(1+預測IC!$C24:DE24)-1</f>
        <v>-0.73863792017400054</v>
      </c>
      <c r="DF24" s="12">
        <f t="array" ref="DF24">PRODUCT(1+預測IC!$C24:DF24)-1</f>
        <v>-0.87600669298558798</v>
      </c>
      <c r="DG24" s="12">
        <f t="array" ref="DG24">PRODUCT(1+預測IC!$C24:DG24)-1</f>
        <v>-0.84518332292914611</v>
      </c>
      <c r="DH24" s="12">
        <f t="array" ref="DH24">PRODUCT(1+預測IC!$C24:DH24)-1</f>
        <v>-0.86110356212810979</v>
      </c>
      <c r="DI24" s="12">
        <f t="array" ref="DI24">PRODUCT(1+預測IC!$C24:DI24)-1</f>
        <v>-0.9198704782782483</v>
      </c>
      <c r="DJ24" s="12">
        <f t="array" ref="DJ24">PRODUCT(1+預測IC!$C24:DJ24)-1</f>
        <v>-0.92155960859614283</v>
      </c>
      <c r="DK24" s="12">
        <f t="array" ref="DK24">PRODUCT(1+預測IC!$C24:DK24)-1</f>
        <v>-0.91217194099332066</v>
      </c>
      <c r="DL24" s="12">
        <f t="array" ref="DL24">PRODUCT(1+預測IC!$C24:DL24)-1</f>
        <v>-0.90938348794791757</v>
      </c>
      <c r="DM24" s="12">
        <f t="array" ref="DM24">PRODUCT(1+預測IC!$C24:DM24)-1</f>
        <v>-0.909420640717859</v>
      </c>
      <c r="DN24" s="12">
        <f t="array" ref="DN24">PRODUCT(1+預測IC!$C24:DN24)-1</f>
        <v>-0.95623639587855058</v>
      </c>
      <c r="DO24" s="12">
        <f t="array" ref="DO24">PRODUCT(1+預測IC!$C24:DO24)-1</f>
        <v>-0.96435195375293137</v>
      </c>
      <c r="DP24" s="12">
        <f t="array" ref="DP24">PRODUCT(1+預測IC!$C24:DP24)-1</f>
        <v>-0.95638205504984308</v>
      </c>
      <c r="DQ24" s="12">
        <f t="array" ref="DQ24">PRODUCT(1+預測IC!$C24:DQ24)-1</f>
        <v>-0.95417995948108947</v>
      </c>
      <c r="DR24" s="12">
        <f t="array" ref="DR24">PRODUCT(1+預測IC!$C24:DR24)-1</f>
        <v>-0.95511998648867558</v>
      </c>
      <c r="DS24" s="12">
        <f t="array" ref="DS24">PRODUCT(1+預測IC!$C24:DS24)-1</f>
        <v>-0.95814337347887946</v>
      </c>
      <c r="DT24" s="12">
        <f t="array" ref="DT24">PRODUCT(1+預測IC!$C24:DT24)-1</f>
        <v>-0.96127144474868231</v>
      </c>
      <c r="DU24" s="12">
        <f t="array" ref="DU24">PRODUCT(1+預測IC!$C24:DU24)-1</f>
        <v>-0.96211503013916655</v>
      </c>
      <c r="DV24" s="12">
        <f t="array" ref="DV24">PRODUCT(1+預測IC!$C24:DV24)-1</f>
        <v>-0.96810936807852688</v>
      </c>
      <c r="DW24" s="12">
        <f t="array" ref="DW24">PRODUCT(1+預測IC!$C24:DW24)-1</f>
        <v>-0.97133615788823735</v>
      </c>
      <c r="DX24" s="12">
        <f t="array" ref="DX24">PRODUCT(1+預測IC!$C24:DX24)-1</f>
        <v>-0.96240470167008274</v>
      </c>
      <c r="DY24" s="12">
        <f t="array" ref="DY24">PRODUCT(1+預測IC!$C24:DY24)-1</f>
        <v>-0.97533012639936578</v>
      </c>
      <c r="DZ24" s="12">
        <f t="array" ref="DZ24">PRODUCT(1+預測IC!$C24:DZ24)-1</f>
        <v>-0.97408505804875356</v>
      </c>
      <c r="EA24" s="12">
        <f t="array" ref="EA24">PRODUCT(1+預測IC!$C24:EA24)-1</f>
        <v>-0.97608960270815037</v>
      </c>
      <c r="EB24" s="12">
        <f t="array" ref="EB24">PRODUCT(1+預測IC!$C24:EB24)-1</f>
        <v>-0.97538228111849856</v>
      </c>
      <c r="EC24" s="12">
        <f t="array" ref="EC24">PRODUCT(1+預測IC!$C24:EC24)-1</f>
        <v>-0.98170045264099015</v>
      </c>
      <c r="ED24" s="12">
        <f t="array" ref="ED24">PRODUCT(1+預測IC!$C24:ED24)-1</f>
        <v>-0.98067251499816244</v>
      </c>
      <c r="EE24" s="12">
        <f t="array" ref="EE24">PRODUCT(1+預測IC!$C24:EE24)-1</f>
        <v>-0.97859515825519483</v>
      </c>
      <c r="EF24" s="12">
        <f t="array" ref="EF24">PRODUCT(1+預測IC!$C24:EF24)-1</f>
        <v>-0.98003520488043738</v>
      </c>
    </row>
    <row r="25" spans="1:136">
      <c r="A25" s="2" t="s">
        <v>144</v>
      </c>
      <c r="B25" s="2" t="s">
        <v>145</v>
      </c>
      <c r="C25" s="12">
        <f t="array" ref="C25">PRODUCT(1+預測IC!$C26:C26)-1</f>
        <v>-1.7446770539390366E-2</v>
      </c>
      <c r="D25" s="12">
        <f t="array" ref="D25">PRODUCT(1+預測IC!$C26:D26)-1</f>
        <v>2.893123339404724E-3</v>
      </c>
      <c r="E25" s="12">
        <f t="array" ref="E25">PRODUCT(1+預測IC!$C26:E26)-1</f>
        <v>2.6944635852046872E-2</v>
      </c>
      <c r="F25" s="12">
        <f t="array" ref="F25">PRODUCT(1+預測IC!$C26:F26)-1</f>
        <v>2.0210365301730038E-2</v>
      </c>
      <c r="G25" s="12">
        <f t="array" ref="G25">PRODUCT(1+預測IC!$C26:G26)-1</f>
        <v>5.269909680859941E-2</v>
      </c>
      <c r="H25" s="12">
        <f t="array" ref="H25">PRODUCT(1+預測IC!$C26:H26)-1</f>
        <v>8.8857766197530053E-2</v>
      </c>
      <c r="I25" s="12">
        <f t="array" ref="I25">PRODUCT(1+預測IC!$C26:I26)-1</f>
        <v>7.9869318529145472E-2</v>
      </c>
      <c r="J25" s="12">
        <f t="array" ref="J25">PRODUCT(1+預測IC!$C26:J26)-1</f>
        <v>9.3738646464063713E-2</v>
      </c>
      <c r="K25" s="12">
        <f t="array" ref="K25">PRODUCT(1+預測IC!$C26:K26)-1</f>
        <v>3.7937714394164157E-2</v>
      </c>
      <c r="L25" s="12">
        <f t="array" ref="L25">PRODUCT(1+預測IC!$C26:L26)-1</f>
        <v>3.8844812525307137E-2</v>
      </c>
      <c r="M25" s="12">
        <f t="array" ref="M25">PRODUCT(1+預測IC!$C26:M26)-1</f>
        <v>6.3142951706360639E-2</v>
      </c>
      <c r="N25" s="12">
        <f t="array" ref="N25">PRODUCT(1+預測IC!$C26:N26)-1</f>
        <v>7.6952085951054405E-2</v>
      </c>
      <c r="O25" s="12">
        <f t="array" ref="O25">PRODUCT(1+預測IC!$C26:O26)-1</f>
        <v>8.3257197491512391E-2</v>
      </c>
      <c r="P25" s="12">
        <f t="array" ref="P25">PRODUCT(1+預測IC!$C26:P26)-1</f>
        <v>0.11295275081672607</v>
      </c>
      <c r="Q25" s="12">
        <f t="array" ref="Q25">PRODUCT(1+預測IC!$C26:Q26)-1</f>
        <v>0.10882042835093308</v>
      </c>
      <c r="R25" s="12">
        <f t="array" ref="R25">PRODUCT(1+預測IC!$C26:R26)-1</f>
        <v>0.13551706985268064</v>
      </c>
      <c r="S25" s="12">
        <f t="array" ref="S25">PRODUCT(1+預測IC!$C26:S26)-1</f>
        <v>0.12167508804368476</v>
      </c>
      <c r="T25" s="12">
        <f t="array" ref="T25">PRODUCT(1+預測IC!$C26:T26)-1</f>
        <v>7.7088976461827885E-2</v>
      </c>
      <c r="U25" s="12">
        <f t="array" ref="U25">PRODUCT(1+預測IC!$C26:U26)-1</f>
        <v>-1.7059521199481731E-3</v>
      </c>
      <c r="V25" s="12">
        <f t="array" ref="V25">PRODUCT(1+預測IC!$C26:V26)-1</f>
        <v>-5.9866792867339091E-2</v>
      </c>
      <c r="W25" s="12">
        <f t="array" ref="W25">PRODUCT(1+預測IC!$C26:W26)-1</f>
        <v>-5.9140260213613516E-2</v>
      </c>
      <c r="X25" s="12">
        <f t="array" ref="X25">PRODUCT(1+預測IC!$C26:X26)-1</f>
        <v>-1.7185893241652206E-2</v>
      </c>
      <c r="Y25" s="12">
        <f t="array" ref="Y25">PRODUCT(1+預測IC!$C26:Y26)-1</f>
        <v>-4.4409529547694393E-2</v>
      </c>
      <c r="Z25" s="12">
        <f t="array" ref="Z25">PRODUCT(1+預測IC!$C26:Z26)-1</f>
        <v>-4.2407561826578566E-2</v>
      </c>
      <c r="AA25" s="12">
        <f t="array" ref="AA25">PRODUCT(1+預測IC!$C26:AA26)-1</f>
        <v>-6.481575250614946E-2</v>
      </c>
      <c r="AB25" s="12">
        <f t="array" ref="AB25">PRODUCT(1+預測IC!$C26:AB26)-1</f>
        <v>-3.4768870774049443E-2</v>
      </c>
      <c r="AC25" s="12">
        <f t="array" ref="AC25">PRODUCT(1+預測IC!$C26:AC26)-1</f>
        <v>2.7817794451217015E-3</v>
      </c>
      <c r="AD25" s="12">
        <f t="array" ref="AD25">PRODUCT(1+預測IC!$C26:AD26)-1</f>
        <v>-4.0202844765013457E-2</v>
      </c>
      <c r="AE25" s="12">
        <f t="array" ref="AE25">PRODUCT(1+預測IC!$C26:AE26)-1</f>
        <v>-2.2305320482664204E-2</v>
      </c>
      <c r="AF25" s="12">
        <f t="array" ref="AF25">PRODUCT(1+預測IC!$C26:AF26)-1</f>
        <v>-7.4152570234460313E-3</v>
      </c>
      <c r="AG25" s="12">
        <f t="array" ref="AG25">PRODUCT(1+預測IC!$C26:AG26)-1</f>
        <v>2.8334274381314417E-2</v>
      </c>
      <c r="AH25" s="12">
        <f t="array" ref="AH25">PRODUCT(1+預測IC!$C26:AH26)-1</f>
        <v>3.7953941892352683E-2</v>
      </c>
      <c r="AI25" s="12">
        <f t="array" ref="AI25">PRODUCT(1+預測IC!$C26:AI26)-1</f>
        <v>4.9110131735873752E-2</v>
      </c>
      <c r="AJ25" s="12">
        <f t="array" ref="AJ25">PRODUCT(1+預測IC!$C26:AJ26)-1</f>
        <v>6.3123886850196875E-2</v>
      </c>
      <c r="AK25" s="12">
        <f t="array" ref="AK25">PRODUCT(1+預測IC!$C26:AK26)-1</f>
        <v>5.7454515782098925E-2</v>
      </c>
      <c r="AL25" s="12">
        <f t="array" ref="AL25">PRODUCT(1+預測IC!$C26:AL26)-1</f>
        <v>5.8917118987427575E-2</v>
      </c>
      <c r="AM25" s="12">
        <f t="array" ref="AM25">PRODUCT(1+預測IC!$C26:AM26)-1</f>
        <v>8.0938283596681648E-2</v>
      </c>
      <c r="AN25" s="12">
        <f t="array" ref="AN25">PRODUCT(1+預測IC!$C26:AN26)-1</f>
        <v>0.11500697453770203</v>
      </c>
      <c r="AO25" s="12">
        <f t="array" ref="AO25">PRODUCT(1+預測IC!$C26:AO26)-1</f>
        <v>0.12196653200545171</v>
      </c>
      <c r="AP25" s="12">
        <f t="array" ref="AP25">PRODUCT(1+預測IC!$C26:AP26)-1</f>
        <v>0.12886130991117528</v>
      </c>
      <c r="AQ25" s="12">
        <f t="array" ref="AQ25">PRODUCT(1+預測IC!$C26:AQ26)-1</f>
        <v>0.14799139743631429</v>
      </c>
      <c r="AR25" s="12">
        <f t="array" ref="AR25">PRODUCT(1+預測IC!$C26:AR26)-1</f>
        <v>0.18780698843660248</v>
      </c>
      <c r="AS25" s="12">
        <f t="array" ref="AS25">PRODUCT(1+預測IC!$C26:AS26)-1</f>
        <v>0.19148751365039929</v>
      </c>
      <c r="AT25" s="12">
        <f t="array" ref="AT25">PRODUCT(1+預測IC!$C26:AT26)-1</f>
        <v>0.20945675046088996</v>
      </c>
      <c r="AU25" s="12">
        <f t="array" ref="AU25">PRODUCT(1+預測IC!$C26:AU26)-1</f>
        <v>0.18617324550329584</v>
      </c>
      <c r="AV25" s="12">
        <f t="array" ref="AV25">PRODUCT(1+預測IC!$C26:AV26)-1</f>
        <v>0.23209180697664689</v>
      </c>
      <c r="AW25" s="12">
        <f t="array" ref="AW25">PRODUCT(1+預測IC!$C26:AW26)-1</f>
        <v>0.20516203655681697</v>
      </c>
      <c r="AX25" s="12">
        <f t="array" ref="AX25">PRODUCT(1+預測IC!$C26:AX26)-1</f>
        <v>0.21453132863303215</v>
      </c>
      <c r="AY25" s="12">
        <f t="array" ref="AY25">PRODUCT(1+預測IC!$C26:AY26)-1</f>
        <v>0.2660241129922889</v>
      </c>
      <c r="AZ25" s="12">
        <f t="array" ref="AZ25">PRODUCT(1+預測IC!$C26:AZ26)-1</f>
        <v>0.23271631642995261</v>
      </c>
      <c r="BA25" s="12">
        <f t="array" ref="BA25">PRODUCT(1+預測IC!$C26:BA26)-1</f>
        <v>0.24451556797958407</v>
      </c>
      <c r="BB25" s="12">
        <f t="array" ref="BB25">PRODUCT(1+預測IC!$C26:BB26)-1</f>
        <v>0.21433638745422812</v>
      </c>
      <c r="BC25" s="12">
        <f t="array" ref="BC25">PRODUCT(1+預測IC!$C26:BC26)-1</f>
        <v>0.23882150637103883</v>
      </c>
      <c r="BD25" s="12">
        <f t="array" ref="BD25">PRODUCT(1+預測IC!$C26:BD26)-1</f>
        <v>0.23447943849994912</v>
      </c>
      <c r="BE25" s="12">
        <f t="array" ref="BE25">PRODUCT(1+預測IC!$C26:BE26)-1</f>
        <v>0.25935658802508499</v>
      </c>
      <c r="BF25" s="12">
        <f t="array" ref="BF25">PRODUCT(1+預測IC!$C26:BF26)-1</f>
        <v>0.26008869763716325</v>
      </c>
      <c r="BG25" s="12">
        <f t="array" ref="BG25">PRODUCT(1+預測IC!$C26:BG26)-1</f>
        <v>0.2535114114609236</v>
      </c>
      <c r="BH25" s="12">
        <f t="array" ref="BH25">PRODUCT(1+預測IC!$C26:BH26)-1</f>
        <v>0.10826483627727623</v>
      </c>
      <c r="BI25" s="12">
        <f t="array" ref="BI25">PRODUCT(1+預測IC!$C26:BI26)-1</f>
        <v>0.11793469710078752</v>
      </c>
      <c r="BJ25" s="12">
        <f t="array" ref="BJ25">PRODUCT(1+預測IC!$C26:BJ26)-1</f>
        <v>9.9625988810205346E-2</v>
      </c>
      <c r="BK25" s="12">
        <f t="array" ref="BK25">PRODUCT(1+預測IC!$C26:BK26)-1</f>
        <v>0.12254260303831388</v>
      </c>
      <c r="BL25" s="12">
        <f t="array" ref="BL25">PRODUCT(1+預測IC!$C26:BL26)-1</f>
        <v>0.17302993558173996</v>
      </c>
      <c r="BM25" s="12">
        <f t="array" ref="BM25">PRODUCT(1+預測IC!$C26:BM26)-1</f>
        <v>0.20112905370185397</v>
      </c>
      <c r="BN25" s="12">
        <f t="array" ref="BN25">PRODUCT(1+預測IC!$C26:BN26)-1</f>
        <v>0.23745011694095197</v>
      </c>
      <c r="BO25" s="12">
        <f t="array" ref="BO25">PRODUCT(1+預測IC!$C26:BO26)-1</f>
        <v>0.18334151222801376</v>
      </c>
      <c r="BP25" s="12">
        <f t="array" ref="BP25">PRODUCT(1+預測IC!$C26:BP26)-1</f>
        <v>0.20924423024871497</v>
      </c>
      <c r="BQ25" s="12">
        <f t="array" ref="BQ25">PRODUCT(1+預測IC!$C26:BQ26)-1</f>
        <v>0.21967690051673561</v>
      </c>
      <c r="BR25" s="12">
        <f t="array" ref="BR25">PRODUCT(1+預測IC!$C26:BR26)-1</f>
        <v>0.1962676978767699</v>
      </c>
      <c r="BS25" s="12">
        <f t="array" ref="BS25">PRODUCT(1+預測IC!$C26:BS26)-1</f>
        <v>0.21987619627534571</v>
      </c>
      <c r="BT25" s="12">
        <f t="array" ref="BT25">PRODUCT(1+預測IC!$C26:BT26)-1</f>
        <v>0.27805738326883356</v>
      </c>
      <c r="BU25" s="12">
        <f t="array" ref="BU25">PRODUCT(1+預測IC!$C26:BU26)-1</f>
        <v>0.29269729646247922</v>
      </c>
      <c r="BV25" s="12">
        <f t="array" ref="BV25">PRODUCT(1+預測IC!$C26:BV26)-1</f>
        <v>0.34857881761669129</v>
      </c>
      <c r="BW25" s="12">
        <f t="array" ref="BW25">PRODUCT(1+預測IC!$C26:BW26)-1</f>
        <v>0.2909305384219143</v>
      </c>
      <c r="BX25" s="12">
        <f t="array" ref="BX25">PRODUCT(1+預測IC!$C26:BX26)-1</f>
        <v>0.26793739709811137</v>
      </c>
      <c r="BY25" s="12">
        <f t="array" ref="BY25">PRODUCT(1+預測IC!$C26:BY26)-1</f>
        <v>7.628473289061688E-2</v>
      </c>
      <c r="BZ25" s="12">
        <f t="array" ref="BZ25">PRODUCT(1+預測IC!$C26:BZ26)-1</f>
        <v>0.20998513144491437</v>
      </c>
      <c r="CA25" s="12">
        <f t="array" ref="CA25">PRODUCT(1+預測IC!$C26:CA26)-1</f>
        <v>0.20447092205281336</v>
      </c>
      <c r="CB25" s="12">
        <f t="array" ref="CB25">PRODUCT(1+預測IC!$C26:CB26)-1</f>
        <v>0.27699361006036605</v>
      </c>
      <c r="CC25" s="12">
        <f t="array" ref="CC25">PRODUCT(1+預測IC!$C26:CC26)-1</f>
        <v>0.38680488733361829</v>
      </c>
      <c r="CD25" s="12">
        <f t="array" ref="CD25">PRODUCT(1+預測IC!$C26:CD26)-1</f>
        <v>0.37874965946081551</v>
      </c>
      <c r="CE25" s="12">
        <f t="array" ref="CE25">PRODUCT(1+預測IC!$C26:CE26)-1</f>
        <v>0.37042015435709108</v>
      </c>
      <c r="CF25" s="12">
        <f t="array" ref="CF25">PRODUCT(1+預測IC!$C26:CF26)-1</f>
        <v>0.37378086910184649</v>
      </c>
      <c r="CG25" s="12">
        <f t="array" ref="CG25">PRODUCT(1+預測IC!$C26:CG26)-1</f>
        <v>0.49692143719092186</v>
      </c>
      <c r="CH25" s="12">
        <f t="array" ref="CH25">PRODUCT(1+預測IC!$C26:CH26)-1</f>
        <v>0.603191980394987</v>
      </c>
      <c r="CI25" s="12">
        <f t="array" ref="CI25">PRODUCT(1+預測IC!$C26:CI26)-1</f>
        <v>0.64675173719730239</v>
      </c>
      <c r="CJ25" s="12">
        <f t="array" ref="CJ25">PRODUCT(1+預測IC!$C26:CJ26)-1</f>
        <v>0.73315421285472704</v>
      </c>
      <c r="CK25" s="12">
        <f t="array" ref="CK25">PRODUCT(1+預測IC!$C26:CK26)-1</f>
        <v>0.7842487445659152</v>
      </c>
      <c r="CL25" s="12">
        <f t="array" ref="CL25">PRODUCT(1+預測IC!$C26:CL26)-1</f>
        <v>0.90348131155309508</v>
      </c>
      <c r="CM25" s="12">
        <f t="array" ref="CM25">PRODUCT(1+預測IC!$C26:CM26)-1</f>
        <v>0.8487139113221478</v>
      </c>
      <c r="CN25" s="12">
        <f t="array" ref="CN25">PRODUCT(1+預測IC!$C26:CN26)-1</f>
        <v>0.92166881344527685</v>
      </c>
      <c r="CO25" s="12">
        <f t="array" ref="CO25">PRODUCT(1+預測IC!$C26:CO26)-1</f>
        <v>0.86588067898046694</v>
      </c>
      <c r="CP25" s="12">
        <f t="array" ref="CP25">PRODUCT(1+預測IC!$C26:CP26)-1</f>
        <v>0.89197293519067467</v>
      </c>
      <c r="CQ25" s="12">
        <f t="array" ref="CQ25">PRODUCT(1+預測IC!$C26:CQ26)-1</f>
        <v>0.83090579105751727</v>
      </c>
      <c r="CR25" s="12">
        <f t="array" ref="CR25">PRODUCT(1+預測IC!$C26:CR26)-1</f>
        <v>0.83658814745105547</v>
      </c>
      <c r="CS25" s="12">
        <f t="array" ref="CS25">PRODUCT(1+預測IC!$C26:CS26)-1</f>
        <v>0.88358984642415717</v>
      </c>
      <c r="CT25" s="12">
        <f t="array" ref="CT25">PRODUCT(1+預測IC!$C26:CT26)-1</f>
        <v>0.9672059526983301</v>
      </c>
      <c r="CU25" s="12">
        <f t="array" ref="CU25">PRODUCT(1+預測IC!$C26:CU26)-1</f>
        <v>0.90752297284093331</v>
      </c>
      <c r="CV25" s="12">
        <f t="array" ref="CV25">PRODUCT(1+預測IC!$C26:CV26)-1</f>
        <v>0.90512335385454468</v>
      </c>
      <c r="CW25" s="12">
        <f t="array" ref="CW25">PRODUCT(1+預測IC!$C26:CW26)-1</f>
        <v>0.90957440110152876</v>
      </c>
      <c r="CX25" s="12">
        <f t="array" ref="CX25">PRODUCT(1+預測IC!$C26:CX26)-1</f>
        <v>0.78685723504233995</v>
      </c>
      <c r="CY25" s="12">
        <f t="array" ref="CY25">PRODUCT(1+預測IC!$C26:CY26)-1</f>
        <v>0.80992516787144164</v>
      </c>
      <c r="CZ25" s="12">
        <f t="array" ref="CZ25">PRODUCT(1+預測IC!$C26:CZ26)-1</f>
        <v>0.58282101623526672</v>
      </c>
      <c r="DA25" s="12">
        <f t="array" ref="DA25">PRODUCT(1+預測IC!$C26:DA26)-1</f>
        <v>0.60132527488651344</v>
      </c>
      <c r="DB25" s="12">
        <f t="array" ref="DB25">PRODUCT(1+預測IC!$C26:DB26)-1</f>
        <v>0.61147422419279152</v>
      </c>
      <c r="DC25" s="12">
        <f t="array" ref="DC25">PRODUCT(1+預測IC!$C26:DC26)-1</f>
        <v>0.42243966588262949</v>
      </c>
      <c r="DD25" s="12">
        <f t="array" ref="DD25">PRODUCT(1+預測IC!$C26:DD26)-1</f>
        <v>0.37121637307647259</v>
      </c>
      <c r="DE25" s="12">
        <f t="array" ref="DE25">PRODUCT(1+預測IC!$C26:DE26)-1</f>
        <v>0.5616938276257708</v>
      </c>
      <c r="DF25" s="12">
        <f t="array" ref="DF25">PRODUCT(1+預測IC!$C26:DF26)-1</f>
        <v>0.48182332962932128</v>
      </c>
      <c r="DG25" s="12">
        <f t="array" ref="DG25">PRODUCT(1+預測IC!$C26:DG26)-1</f>
        <v>0.59552577817978314</v>
      </c>
      <c r="DH25" s="12">
        <f t="array" ref="DH25">PRODUCT(1+預測IC!$C26:DH26)-1</f>
        <v>0.62027043996328524</v>
      </c>
      <c r="DI25" s="12">
        <f t="array" ref="DI25">PRODUCT(1+預測IC!$C26:DI26)-1</f>
        <v>0.65789923395288952</v>
      </c>
      <c r="DJ25" s="12">
        <f t="array" ref="DJ25">PRODUCT(1+預測IC!$C26:DJ26)-1</f>
        <v>0.62743885630809859</v>
      </c>
      <c r="DK25" s="12">
        <f t="array" ref="DK25">PRODUCT(1+預測IC!$C26:DK26)-1</f>
        <v>0.72866394865424411</v>
      </c>
      <c r="DL25" s="12">
        <f t="array" ref="DL25">PRODUCT(1+預測IC!$C26:DL26)-1</f>
        <v>0.76340716304992284</v>
      </c>
      <c r="DM25" s="12">
        <f t="array" ref="DM25">PRODUCT(1+預測IC!$C26:DM26)-1</f>
        <v>0.78721129009524526</v>
      </c>
      <c r="DN25" s="12">
        <f t="array" ref="DN25">PRODUCT(1+預測IC!$C26:DN26)-1</f>
        <v>0.73314419395664854</v>
      </c>
      <c r="DO25" s="12">
        <f t="array" ref="DO25">PRODUCT(1+預測IC!$C26:DO26)-1</f>
        <v>0.7036411650845571</v>
      </c>
      <c r="DP25" s="12">
        <f t="array" ref="DP25">PRODUCT(1+預測IC!$C26:DP26)-1</f>
        <v>0.666521339911188</v>
      </c>
      <c r="DQ25" s="12">
        <f t="array" ref="DQ25">PRODUCT(1+預測IC!$C26:DQ26)-1</f>
        <v>0.80941825308633253</v>
      </c>
      <c r="DR25" s="12">
        <f t="array" ref="DR25">PRODUCT(1+預測IC!$C26:DR26)-1</f>
        <v>0.86027510799998974</v>
      </c>
      <c r="DS25" s="12">
        <f t="array" ref="DS25">PRODUCT(1+預測IC!$C26:DS26)-1</f>
        <v>0.85599059714061299</v>
      </c>
      <c r="DT25" s="12">
        <f t="array" ref="DT25">PRODUCT(1+預測IC!$C26:DT26)-1</f>
        <v>0.9645125910761998</v>
      </c>
      <c r="DU25" s="12">
        <f t="array" ref="DU25">PRODUCT(1+預測IC!$C26:DU26)-1</f>
        <v>1.0974294483812512</v>
      </c>
      <c r="DV25" s="12">
        <f t="array" ref="DV25">PRODUCT(1+預測IC!$C26:DV26)-1</f>
        <v>1.1079601605760616</v>
      </c>
      <c r="DW25" s="12">
        <f t="array" ref="DW25">PRODUCT(1+預測IC!$C26:DW26)-1</f>
        <v>1.1868319851241949</v>
      </c>
      <c r="DX25" s="12">
        <f t="array" ref="DX25">PRODUCT(1+預測IC!$C26:DX26)-1</f>
        <v>1.3707686184169408</v>
      </c>
      <c r="DY25" s="12">
        <f t="array" ref="DY25">PRODUCT(1+預測IC!$C26:DY26)-1</f>
        <v>1.2834475238077694</v>
      </c>
      <c r="DZ25" s="12">
        <f t="array" ref="DZ25">PRODUCT(1+預測IC!$C26:DZ26)-1</f>
        <v>1.2905072649494538</v>
      </c>
      <c r="EA25" s="12">
        <f t="array" ref="EA25">PRODUCT(1+預測IC!$C26:EA26)-1</f>
        <v>1.2860233033025419</v>
      </c>
      <c r="EB25" s="12">
        <f t="array" ref="EB25">PRODUCT(1+預測IC!$C26:EB26)-1</f>
        <v>1.3465094307246845</v>
      </c>
      <c r="EC25" s="12">
        <f t="array" ref="EC25">PRODUCT(1+預測IC!$C26:EC26)-1</f>
        <v>1.2884273650883467</v>
      </c>
      <c r="ED25" s="12">
        <f t="array" ref="ED25">PRODUCT(1+預測IC!$C26:ED26)-1</f>
        <v>1.3664981882262612</v>
      </c>
      <c r="EE25" s="12">
        <f t="array" ref="EE25">PRODUCT(1+預測IC!$C26:EE26)-1</f>
        <v>1.4163413115117764</v>
      </c>
      <c r="EF25" s="12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NN5樣本外R2</vt:lpstr>
      <vt:lpstr>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2025-06-05T15:24:49Z</dcterms:modified>
</cp:coreProperties>
</file>