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1490E1FC-44EE-B14E-A8A7-87384A203121}" xr6:coauthVersionLast="47" xr6:coauthVersionMax="47" xr10:uidLastSave="{00000000-0000-0000-0000-000000000000}"/>
  <bookViews>
    <workbookView xWindow="0" yWindow="760" windowWidth="30240" windowHeight="17940" activeTab="1" xr2:uid="{00000000-000D-0000-FFFF-FFFF00000000}"/>
  </bookViews>
  <sheets>
    <sheet name="預測IC" sheetId="1" r:id="rId1"/>
    <sheet name="夏普比率" sheetId="2" r:id="rId2"/>
    <sheet name="勝率" sheetId="3" r:id="rId3"/>
    <sheet name="累積報酬" sheetId="4" r:id="rId4"/>
    <sheet name="預測累積畫圖" sheetId="5" r:id="rId5"/>
    <sheet name="OLS樣本外R2" sheetId="6" r:id="rId6"/>
    <sheet name="NN2樣本外R2" sheetId="7" r:id="rId7"/>
    <sheet name="NN2再投資累積報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25" i="8" l="1" a="1"/>
  <c r="EF25" i="8" s="1"/>
  <c r="EE25" i="8" a="1"/>
  <c r="EE25" i="8" s="1"/>
  <c r="ED25" i="8" a="1"/>
  <c r="ED25" i="8" s="1"/>
  <c r="EC25" i="8" a="1"/>
  <c r="EC25" i="8" s="1"/>
  <c r="EB25" i="8" a="1"/>
  <c r="EB25" i="8" s="1"/>
  <c r="EA25" i="8" a="1"/>
  <c r="EA25" i="8" s="1"/>
  <c r="DZ25" i="8" a="1"/>
  <c r="DZ25" i="8" s="1"/>
  <c r="DY25" i="8" a="1"/>
  <c r="DY25" i="8" s="1"/>
  <c r="DX25" i="8" a="1"/>
  <c r="DX25" i="8" s="1"/>
  <c r="DW25" i="8" a="1"/>
  <c r="DW25" i="8" s="1"/>
  <c r="DV25" i="8" a="1"/>
  <c r="DV25" i="8" s="1"/>
  <c r="DU25" i="8" a="1"/>
  <c r="DU25" i="8" s="1"/>
  <c r="DT25" i="8" a="1"/>
  <c r="DT25" i="8" s="1"/>
  <c r="DS25" i="8" a="1"/>
  <c r="DS25" i="8" s="1"/>
  <c r="DR25" i="8" a="1"/>
  <c r="DR25" i="8" s="1"/>
  <c r="DQ25" i="8" a="1"/>
  <c r="DQ25" i="8" s="1"/>
  <c r="DP25" i="8" a="1"/>
  <c r="DP25" i="8" s="1"/>
  <c r="DO25" i="8" a="1"/>
  <c r="DO25" i="8" s="1"/>
  <c r="DN25" i="8" a="1"/>
  <c r="DN25" i="8" s="1"/>
  <c r="DM25" i="8" a="1"/>
  <c r="DM25" i="8" s="1"/>
  <c r="DL25" i="8" a="1"/>
  <c r="DL25" i="8" s="1"/>
  <c r="DK25" i="8" a="1"/>
  <c r="DK25" i="8" s="1"/>
  <c r="DJ25" i="8" a="1"/>
  <c r="DJ25" i="8" s="1"/>
  <c r="DI25" i="8" a="1"/>
  <c r="DI25" i="8" s="1"/>
  <c r="DH25" i="8" a="1"/>
  <c r="DH25" i="8" s="1"/>
  <c r="DG25" i="8" a="1"/>
  <c r="DG25" i="8" s="1"/>
  <c r="DF25" i="8" a="1"/>
  <c r="DF25" i="8" s="1"/>
  <c r="DE25" i="8" a="1"/>
  <c r="DE25" i="8" s="1"/>
  <c r="DD25" i="8" a="1"/>
  <c r="DD25" i="8" s="1"/>
  <c r="DC25" i="8" a="1"/>
  <c r="DC25" i="8" s="1"/>
  <c r="DB25" i="8" a="1"/>
  <c r="DB25" i="8" s="1"/>
  <c r="DA25" i="8" a="1"/>
  <c r="DA25" i="8" s="1"/>
  <c r="CZ25" i="8" a="1"/>
  <c r="CZ25" i="8" s="1"/>
  <c r="CY25" i="8" a="1"/>
  <c r="CY25" i="8" s="1"/>
  <c r="CX25" i="8" a="1"/>
  <c r="CX25" i="8" s="1"/>
  <c r="CW25" i="8" a="1"/>
  <c r="CW25" i="8" s="1"/>
  <c r="CV25" i="8" a="1"/>
  <c r="CV25" i="8" s="1"/>
  <c r="CU25" i="8" a="1"/>
  <c r="CU25" i="8" s="1"/>
  <c r="CT25" i="8" a="1"/>
  <c r="CT25" i="8" s="1"/>
  <c r="CS25" i="8" a="1"/>
  <c r="CS25" i="8" s="1"/>
  <c r="CR25" i="8" a="1"/>
  <c r="CR25" i="8"/>
  <c r="CQ25" i="8" a="1"/>
  <c r="CQ25" i="8" s="1"/>
  <c r="CP25" i="8" a="1"/>
  <c r="CP25" i="8" s="1"/>
  <c r="CO25" i="8" a="1"/>
  <c r="CO25" i="8" s="1"/>
  <c r="CN25" i="8" a="1"/>
  <c r="CN25" i="8" s="1"/>
  <c r="CM25" i="8" a="1"/>
  <c r="CM25" i="8" s="1"/>
  <c r="CL25" i="8" a="1"/>
  <c r="CL25" i="8" s="1"/>
  <c r="CK25" i="8" a="1"/>
  <c r="CK25" i="8" s="1"/>
  <c r="CJ25" i="8" a="1"/>
  <c r="CJ25" i="8"/>
  <c r="CI25" i="8" a="1"/>
  <c r="CI25" i="8" s="1"/>
  <c r="CH25" i="8" a="1"/>
  <c r="CH25" i="8" s="1"/>
  <c r="CG25" i="8" a="1"/>
  <c r="CG25" i="8"/>
  <c r="CF25" i="8" a="1"/>
  <c r="CF25" i="8" s="1"/>
  <c r="CE25" i="8" a="1"/>
  <c r="CE25" i="8" s="1"/>
  <c r="CD25" i="8" a="1"/>
  <c r="CD25" i="8" s="1"/>
  <c r="CC25" i="8" a="1"/>
  <c r="CC25" i="8" s="1"/>
  <c r="CB25" i="8" a="1"/>
  <c r="CB25" i="8" s="1"/>
  <c r="CA25" i="8" a="1"/>
  <c r="CA25" i="8" s="1"/>
  <c r="BZ25" i="8" a="1"/>
  <c r="BZ25" i="8"/>
  <c r="BY25" i="8" a="1"/>
  <c r="BY25" i="8"/>
  <c r="BX25" i="8" a="1"/>
  <c r="BX25" i="8" s="1"/>
  <c r="BW25" i="8" a="1"/>
  <c r="BW25" i="8" s="1"/>
  <c r="BV25" i="8" a="1"/>
  <c r="BV25" i="8" s="1"/>
  <c r="BU25" i="8" a="1"/>
  <c r="BU25" i="8" s="1"/>
  <c r="BT25" i="8" a="1"/>
  <c r="BT25" i="8" s="1"/>
  <c r="BS25" i="8" a="1"/>
  <c r="BS25" i="8" s="1"/>
  <c r="BR25" i="8" a="1"/>
  <c r="BR25" i="8" s="1"/>
  <c r="BQ25" i="8" a="1"/>
  <c r="BQ25" i="8" s="1"/>
  <c r="BP25" i="8" a="1"/>
  <c r="BP25" i="8" s="1"/>
  <c r="BO25" i="8" a="1"/>
  <c r="BO25" i="8"/>
  <c r="BN25" i="8" a="1"/>
  <c r="BN25" i="8" s="1"/>
  <c r="BM25" i="8" a="1"/>
  <c r="BM25" i="8" s="1"/>
  <c r="BL25" i="8" a="1"/>
  <c r="BL25" i="8" s="1"/>
  <c r="BK25" i="8" a="1"/>
  <c r="BK25" i="8" s="1"/>
  <c r="BJ25" i="8" a="1"/>
  <c r="BJ25" i="8" s="1"/>
  <c r="BI25" i="8" a="1"/>
  <c r="BI25" i="8" s="1"/>
  <c r="BH25" i="8" a="1"/>
  <c r="BH25" i="8" s="1"/>
  <c r="BG25" i="8" a="1"/>
  <c r="BG25" i="8"/>
  <c r="BF25" i="8" a="1"/>
  <c r="BF25" i="8" s="1"/>
  <c r="BE25" i="8" a="1"/>
  <c r="BE25" i="8" s="1"/>
  <c r="BD25" i="8" a="1"/>
  <c r="BD25" i="8" s="1"/>
  <c r="BC25" i="8" a="1"/>
  <c r="BC25" i="8" s="1"/>
  <c r="BB25" i="8" a="1"/>
  <c r="BB25" i="8" s="1"/>
  <c r="BA25" i="8" a="1"/>
  <c r="BA25" i="8" s="1"/>
  <c r="AZ25" i="8" a="1"/>
  <c r="AZ25" i="8" s="1"/>
  <c r="AY25" i="8" a="1"/>
  <c r="AY25" i="8" s="1"/>
  <c r="AX25" i="8" a="1"/>
  <c r="AX25" i="8" s="1"/>
  <c r="AW25" i="8" a="1"/>
  <c r="AW25" i="8" s="1"/>
  <c r="AV25" i="8" a="1"/>
  <c r="AV25" i="8" s="1"/>
  <c r="AU25" i="8" a="1"/>
  <c r="AU25" i="8" s="1"/>
  <c r="AT25" i="8" a="1"/>
  <c r="AT25" i="8" s="1"/>
  <c r="AS25" i="8" a="1"/>
  <c r="AS25" i="8" s="1"/>
  <c r="AR25" i="8" a="1"/>
  <c r="AR25" i="8" s="1"/>
  <c r="AQ25" i="8" a="1"/>
  <c r="AQ25" i="8" s="1"/>
  <c r="AP25" i="8" a="1"/>
  <c r="AP25" i="8" s="1"/>
  <c r="AO25" i="8" a="1"/>
  <c r="AO25" i="8" s="1"/>
  <c r="AN25" i="8" a="1"/>
  <c r="AN25" i="8" s="1"/>
  <c r="AM25" i="8" a="1"/>
  <c r="AM25" i="8" s="1"/>
  <c r="AL25" i="8" a="1"/>
  <c r="AL25" i="8" s="1"/>
  <c r="AK25" i="8" a="1"/>
  <c r="AK25" i="8" s="1"/>
  <c r="AJ25" i="8" a="1"/>
  <c r="AJ25" i="8" s="1"/>
  <c r="AI25" i="8" a="1"/>
  <c r="AI25" i="8" s="1"/>
  <c r="AH25" i="8" a="1"/>
  <c r="AH25" i="8" s="1"/>
  <c r="AG25" i="8" a="1"/>
  <c r="AG25" i="8" s="1"/>
  <c r="AF25" i="8" a="1"/>
  <c r="AF25" i="8" s="1"/>
  <c r="AE25" i="8" a="1"/>
  <c r="AE25" i="8" s="1"/>
  <c r="AD25" i="8" a="1"/>
  <c r="AD25" i="8" s="1"/>
  <c r="AC25" i="8" a="1"/>
  <c r="AC25" i="8" s="1"/>
  <c r="AB25" i="8" a="1"/>
  <c r="AB25" i="8" s="1"/>
  <c r="AA25" i="8" a="1"/>
  <c r="AA25" i="8" s="1"/>
  <c r="Z25" i="8" a="1"/>
  <c r="Z25" i="8" s="1"/>
  <c r="Y25" i="8" a="1"/>
  <c r="Y25" i="8" s="1"/>
  <c r="X25" i="8" a="1"/>
  <c r="X25" i="8" s="1"/>
  <c r="W25" i="8" a="1"/>
  <c r="W25" i="8"/>
  <c r="V25" i="8" a="1"/>
  <c r="V25" i="8" s="1"/>
  <c r="U25" i="8" a="1"/>
  <c r="U25" i="8" s="1"/>
  <c r="T25" i="8" a="1"/>
  <c r="T25" i="8" s="1"/>
  <c r="S25" i="8" a="1"/>
  <c r="S25" i="8"/>
  <c r="R25" i="8" a="1"/>
  <c r="R25" i="8" s="1"/>
  <c r="Q25" i="8" a="1"/>
  <c r="Q25" i="8" s="1"/>
  <c r="P25" i="8" a="1"/>
  <c r="P25" i="8" s="1"/>
  <c r="O25" i="8" a="1"/>
  <c r="O25" i="8"/>
  <c r="N25" i="8" a="1"/>
  <c r="N25" i="8" s="1"/>
  <c r="M25" i="8" a="1"/>
  <c r="M25" i="8" s="1"/>
  <c r="L25" i="8" a="1"/>
  <c r="L25" i="8"/>
  <c r="K25" i="8" a="1"/>
  <c r="K25" i="8"/>
  <c r="J25" i="8" a="1"/>
  <c r="J25" i="8" s="1"/>
  <c r="I25" i="8" a="1"/>
  <c r="I25" i="8" s="1"/>
  <c r="H25" i="8" a="1"/>
  <c r="H25" i="8" s="1"/>
  <c r="G25" i="8" a="1"/>
  <c r="G25" i="8" s="1"/>
  <c r="F25" i="8" a="1"/>
  <c r="F25" i="8" s="1"/>
  <c r="E25" i="8" a="1"/>
  <c r="E25" i="8" s="1"/>
  <c r="D25" i="8" a="1"/>
  <c r="D25" i="8"/>
  <c r="C25" i="8" a="1"/>
  <c r="C25" i="8" s="1"/>
  <c r="EF24" i="8" a="1"/>
  <c r="EF24" i="8" s="1"/>
  <c r="EE24" i="8" a="1"/>
  <c r="EE24" i="8" s="1"/>
  <c r="ED24" i="8" a="1"/>
  <c r="ED24" i="8" s="1"/>
  <c r="EC24" i="8" a="1"/>
  <c r="EC24" i="8" s="1"/>
  <c r="EB24" i="8" a="1"/>
  <c r="EB24" i="8" s="1"/>
  <c r="EA24" i="8" a="1"/>
  <c r="EA24" i="8" s="1"/>
  <c r="DZ24" i="8" a="1"/>
  <c r="DZ24" i="8" s="1"/>
  <c r="DY24" i="8" a="1"/>
  <c r="DY24" i="8" s="1"/>
  <c r="DX24" i="8" a="1"/>
  <c r="DX24" i="8" s="1"/>
  <c r="DW24" i="8" a="1"/>
  <c r="DW24" i="8" s="1"/>
  <c r="DV24" i="8" a="1"/>
  <c r="DV24" i="8" s="1"/>
  <c r="DU24" i="8" a="1"/>
  <c r="DU24" i="8" s="1"/>
  <c r="DT24" i="8" a="1"/>
  <c r="DT24" i="8" s="1"/>
  <c r="DS24" i="8" a="1"/>
  <c r="DS24" i="8" s="1"/>
  <c r="DR24" i="8" a="1"/>
  <c r="DR24" i="8" s="1"/>
  <c r="DQ24" i="8" a="1"/>
  <c r="DQ24" i="8" s="1"/>
  <c r="DP24" i="8" a="1"/>
  <c r="DP24" i="8" s="1"/>
  <c r="DO24" i="8" a="1"/>
  <c r="DO24" i="8" s="1"/>
  <c r="DN24" i="8" a="1"/>
  <c r="DN24" i="8" s="1"/>
  <c r="DM24" i="8" a="1"/>
  <c r="DM24" i="8" s="1"/>
  <c r="DL24" i="8" a="1"/>
  <c r="DL24" i="8" s="1"/>
  <c r="DK24" i="8" a="1"/>
  <c r="DK24" i="8" s="1"/>
  <c r="DJ24" i="8" a="1"/>
  <c r="DJ24" i="8" s="1"/>
  <c r="DI24" i="8" a="1"/>
  <c r="DI24" i="8" s="1"/>
  <c r="DH24" i="8" a="1"/>
  <c r="DH24" i="8" s="1"/>
  <c r="DG24" i="8" a="1"/>
  <c r="DG24" i="8" s="1"/>
  <c r="DF24" i="8" a="1"/>
  <c r="DF24" i="8" s="1"/>
  <c r="DE24" i="8" a="1"/>
  <c r="DE24" i="8"/>
  <c r="DD24" i="8" a="1"/>
  <c r="DD24" i="8" s="1"/>
  <c r="DC24" i="8" a="1"/>
  <c r="DC24" i="8" s="1"/>
  <c r="DB24" i="8" a="1"/>
  <c r="DB24" i="8" s="1"/>
  <c r="DA24" i="8" a="1"/>
  <c r="DA24" i="8" s="1"/>
  <c r="CZ24" i="8" a="1"/>
  <c r="CZ24" i="8" s="1"/>
  <c r="CY24" i="8" a="1"/>
  <c r="CY24" i="8" s="1"/>
  <c r="CX24" i="8" a="1"/>
  <c r="CX24" i="8"/>
  <c r="CW24" i="8" a="1"/>
  <c r="CW24" i="8"/>
  <c r="CV24" i="8" a="1"/>
  <c r="CV24" i="8" s="1"/>
  <c r="CU24" i="8" a="1"/>
  <c r="CU24" i="8" s="1"/>
  <c r="CT24" i="8" a="1"/>
  <c r="CT24" i="8"/>
  <c r="CS24" i="8" a="1"/>
  <c r="CS24" i="8" s="1"/>
  <c r="CR24" i="8" a="1"/>
  <c r="CR24" i="8" s="1"/>
  <c r="CQ24" i="8" a="1"/>
  <c r="CQ24" i="8" s="1"/>
  <c r="CP24" i="8" a="1"/>
  <c r="CP24" i="8" s="1"/>
  <c r="CO24" i="8" a="1"/>
  <c r="CO24" i="8" s="1"/>
  <c r="CN24" i="8" a="1"/>
  <c r="CN24" i="8" s="1"/>
  <c r="CM24" i="8" a="1"/>
  <c r="CM24" i="8"/>
  <c r="CL24" i="8" a="1"/>
  <c r="CL24" i="8"/>
  <c r="CK24" i="8" a="1"/>
  <c r="CK24" i="8" s="1"/>
  <c r="CJ24" i="8" a="1"/>
  <c r="CJ24" i="8" s="1"/>
  <c r="CI24" i="8" a="1"/>
  <c r="CI24" i="8" s="1"/>
  <c r="CH24" i="8" a="1"/>
  <c r="CH24" i="8" s="1"/>
  <c r="CG24" i="8" a="1"/>
  <c r="CG24" i="8" s="1"/>
  <c r="CF24" i="8" a="1"/>
  <c r="CF24" i="8" s="1"/>
  <c r="CE24" i="8" a="1"/>
  <c r="CE24" i="8" s="1"/>
  <c r="CD24" i="8" a="1"/>
  <c r="CD24" i="8"/>
  <c r="CC24" i="8" a="1"/>
  <c r="CC24" i="8" s="1"/>
  <c r="CB24" i="8" a="1"/>
  <c r="CB24" i="8" s="1"/>
  <c r="CA24" i="8" a="1"/>
  <c r="CA24" i="8" s="1"/>
  <c r="BZ24" i="8" a="1"/>
  <c r="BZ24" i="8" s="1"/>
  <c r="BY24" i="8" a="1"/>
  <c r="BY24" i="8" s="1"/>
  <c r="BX24" i="8" a="1"/>
  <c r="BX24" i="8" s="1"/>
  <c r="BW24" i="8" a="1"/>
  <c r="BW24" i="8" s="1"/>
  <c r="BV24" i="8" a="1"/>
  <c r="BV24" i="8" s="1"/>
  <c r="BU24" i="8" a="1"/>
  <c r="BU24" i="8" s="1"/>
  <c r="BT24" i="8" a="1"/>
  <c r="BT24" i="8" s="1"/>
  <c r="BS24" i="8" a="1"/>
  <c r="BS24" i="8" s="1"/>
  <c r="BR24" i="8" a="1"/>
  <c r="BR24" i="8" s="1"/>
  <c r="BQ24" i="8" a="1"/>
  <c r="BQ24" i="8" s="1"/>
  <c r="BP24" i="8" a="1"/>
  <c r="BP24" i="8"/>
  <c r="BO24" i="8" a="1"/>
  <c r="BO24" i="8" s="1"/>
  <c r="BN24" i="8" a="1"/>
  <c r="BN24" i="8" s="1"/>
  <c r="BM24" i="8" a="1"/>
  <c r="BM24" i="8" s="1"/>
  <c r="BL24" i="8" a="1"/>
  <c r="BL24" i="8" s="1"/>
  <c r="BK24" i="8" a="1"/>
  <c r="BK24" i="8" s="1"/>
  <c r="BJ24" i="8" a="1"/>
  <c r="BJ24" i="8" s="1"/>
  <c r="BI24" i="8" a="1"/>
  <c r="BI24" i="8" s="1"/>
  <c r="BH24" i="8" a="1"/>
  <c r="BH24" i="8" s="1"/>
  <c r="BG24" i="8" a="1"/>
  <c r="BG24" i="8" s="1"/>
  <c r="BF24" i="8" a="1"/>
  <c r="BF24" i="8"/>
  <c r="BE24" i="8" a="1"/>
  <c r="BE24" i="8"/>
  <c r="BD24" i="8" a="1"/>
  <c r="BD24" i="8" s="1"/>
  <c r="BC24" i="8" a="1"/>
  <c r="BC24" i="8" s="1"/>
  <c r="BB24" i="8" a="1"/>
  <c r="BB24" i="8" s="1"/>
  <c r="BA24" i="8" a="1"/>
  <c r="BA24" i="8" s="1"/>
  <c r="AZ24" i="8" a="1"/>
  <c r="AZ24" i="8" s="1"/>
  <c r="AY24" i="8" a="1"/>
  <c r="AY24" i="8" s="1"/>
  <c r="AX24" i="8" a="1"/>
  <c r="AX24" i="8"/>
  <c r="AW24" i="8" a="1"/>
  <c r="AW24" i="8" s="1"/>
  <c r="AV24" i="8" a="1"/>
  <c r="AV24" i="8" s="1"/>
  <c r="AU24" i="8" a="1"/>
  <c r="AU24" i="8"/>
  <c r="AT24" i="8" a="1"/>
  <c r="AT24" i="8"/>
  <c r="AS24" i="8" a="1"/>
  <c r="AS24" i="8" s="1"/>
  <c r="AR24" i="8" a="1"/>
  <c r="AR24" i="8" s="1"/>
  <c r="AQ24" i="8" a="1"/>
  <c r="AQ24" i="8"/>
  <c r="AP24" i="8" a="1"/>
  <c r="AP24" i="8" s="1"/>
  <c r="AO24" i="8" a="1"/>
  <c r="AO24" i="8" s="1"/>
  <c r="AN24" i="8" a="1"/>
  <c r="AN24" i="8" s="1"/>
  <c r="AM24" i="8" a="1"/>
  <c r="AM24" i="8"/>
  <c r="AL24" i="8" a="1"/>
  <c r="AL24" i="8" s="1"/>
  <c r="AK24" i="8" a="1"/>
  <c r="AK24" i="8" s="1"/>
  <c r="AJ24" i="8" a="1"/>
  <c r="AJ24" i="8" s="1"/>
  <c r="AI24" i="8" a="1"/>
  <c r="AI24" i="8" s="1"/>
  <c r="AH24" i="8" a="1"/>
  <c r="AH24" i="8" s="1"/>
  <c r="AG24" i="8" a="1"/>
  <c r="AG24" i="8" s="1"/>
  <c r="AF24" i="8" a="1"/>
  <c r="AF24" i="8"/>
  <c r="AE24" i="8" a="1"/>
  <c r="AE24" i="8" s="1"/>
  <c r="AD24" i="8" a="1"/>
  <c r="AD24" i="8" s="1"/>
  <c r="AC24" i="8" a="1"/>
  <c r="AC24" i="8" s="1"/>
  <c r="AB24" i="8" a="1"/>
  <c r="AB24" i="8" s="1"/>
  <c r="AA24" i="8" a="1"/>
  <c r="AA24" i="8" s="1"/>
  <c r="Z24" i="8" a="1"/>
  <c r="Z24" i="8" s="1"/>
  <c r="Y24" i="8" a="1"/>
  <c r="Y24" i="8" s="1"/>
  <c r="X24" i="8" a="1"/>
  <c r="X24" i="8" s="1"/>
  <c r="W24" i="8" a="1"/>
  <c r="W24" i="8" s="1"/>
  <c r="V24" i="8" a="1"/>
  <c r="V24" i="8" s="1"/>
  <c r="U24" i="8" a="1"/>
  <c r="U24" i="8" s="1"/>
  <c r="T24" i="8" a="1"/>
  <c r="T24" i="8" s="1"/>
  <c r="S24" i="8" a="1"/>
  <c r="S24" i="8" s="1"/>
  <c r="R24" i="8" a="1"/>
  <c r="R24" i="8" s="1"/>
  <c r="Q24" i="8" a="1"/>
  <c r="Q24" i="8" s="1"/>
  <c r="P24" i="8" a="1"/>
  <c r="P24" i="8" s="1"/>
  <c r="O24" i="8" a="1"/>
  <c r="O24" i="8" s="1"/>
  <c r="N24" i="8" a="1"/>
  <c r="N24" i="8"/>
  <c r="M24" i="8" a="1"/>
  <c r="M24" i="8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G24" i="8" a="1"/>
  <c r="G24" i="8" s="1"/>
  <c r="F24" i="8" a="1"/>
  <c r="F24" i="8"/>
  <c r="E24" i="8" a="1"/>
  <c r="E24" i="8"/>
  <c r="D24" i="8" a="1"/>
  <c r="D24" i="8" s="1"/>
  <c r="C24" i="8" a="1"/>
  <c r="C24" i="8" s="1"/>
  <c r="EF23" i="8" a="1"/>
  <c r="EF23" i="8"/>
  <c r="EE23" i="8" a="1"/>
  <c r="EE23" i="8" s="1"/>
  <c r="ED23" i="8" a="1"/>
  <c r="ED23" i="8" s="1"/>
  <c r="EC23" i="8" a="1"/>
  <c r="EC23" i="8"/>
  <c r="EB23" i="8" a="1"/>
  <c r="EB23" i="8" s="1"/>
  <c r="EA23" i="8" a="1"/>
  <c r="EA23" i="8" s="1"/>
  <c r="DZ23" i="8" a="1"/>
  <c r="DZ23" i="8" s="1"/>
  <c r="DY23" i="8" a="1"/>
  <c r="DY23" i="8" s="1"/>
  <c r="DX23" i="8" a="1"/>
  <c r="DX23" i="8"/>
  <c r="DW23" i="8" a="1"/>
  <c r="DW23" i="8" s="1"/>
  <c r="DV23" i="8" a="1"/>
  <c r="DV23" i="8" s="1"/>
  <c r="DU23" i="8" a="1"/>
  <c r="DU23" i="8" s="1"/>
  <c r="DT23" i="8" a="1"/>
  <c r="DT23" i="8" s="1"/>
  <c r="DS23" i="8" a="1"/>
  <c r="DS23" i="8" s="1"/>
  <c r="DR23" i="8" a="1"/>
  <c r="DR23" i="8" s="1"/>
  <c r="DQ23" i="8" a="1"/>
  <c r="DQ23" i="8" s="1"/>
  <c r="DP23" i="8" a="1"/>
  <c r="DP23" i="8" s="1"/>
  <c r="DO23" i="8" a="1"/>
  <c r="DO23" i="8" s="1"/>
  <c r="DN23" i="8" a="1"/>
  <c r="DN23" i="8" s="1"/>
  <c r="DM23" i="8" a="1"/>
  <c r="DM23" i="8" s="1"/>
  <c r="DL23" i="8" a="1"/>
  <c r="DL23" i="8" s="1"/>
  <c r="DK23" i="8" a="1"/>
  <c r="DK23" i="8" s="1"/>
  <c r="DJ23" i="8" a="1"/>
  <c r="DJ23" i="8" s="1"/>
  <c r="DI23" i="8" a="1"/>
  <c r="DI23" i="8" s="1"/>
  <c r="DH23" i="8" a="1"/>
  <c r="DH23" i="8" s="1"/>
  <c r="DG23" i="8" a="1"/>
  <c r="DG23" i="8" s="1"/>
  <c r="DF23" i="8" a="1"/>
  <c r="DF23" i="8" s="1"/>
  <c r="DE23" i="8" a="1"/>
  <c r="DE23" i="8" s="1"/>
  <c r="DD23" i="8" a="1"/>
  <c r="DD23" i="8" s="1"/>
  <c r="DC23" i="8" a="1"/>
  <c r="DC23" i="8" s="1"/>
  <c r="DB23" i="8" a="1"/>
  <c r="DB23" i="8" s="1"/>
  <c r="DA23" i="8" a="1"/>
  <c r="DA23" i="8" s="1"/>
  <c r="CZ23" i="8" a="1"/>
  <c r="CZ23" i="8" s="1"/>
  <c r="CY23" i="8" a="1"/>
  <c r="CY23" i="8"/>
  <c r="CX23" i="8" a="1"/>
  <c r="CX23" i="8"/>
  <c r="CW23" i="8" a="1"/>
  <c r="CW23" i="8" s="1"/>
  <c r="CV23" i="8" a="1"/>
  <c r="CV23" i="8" s="1"/>
  <c r="CU23" i="8" a="1"/>
  <c r="CU23" i="8" s="1"/>
  <c r="CT23" i="8" a="1"/>
  <c r="CT23" i="8" s="1"/>
  <c r="CS23" i="8" a="1"/>
  <c r="CS23" i="8" s="1"/>
  <c r="CR23" i="8" a="1"/>
  <c r="CR23" i="8" s="1"/>
  <c r="CQ23" i="8" a="1"/>
  <c r="CQ23" i="8" s="1"/>
  <c r="CP23" i="8" a="1"/>
  <c r="CP23" i="8" s="1"/>
  <c r="CO23" i="8" a="1"/>
  <c r="CO23" i="8" s="1"/>
  <c r="CN23" i="8" a="1"/>
  <c r="CN23" i="8" s="1"/>
  <c r="CM23" i="8" a="1"/>
  <c r="CM23" i="8" s="1"/>
  <c r="CL23" i="8" a="1"/>
  <c r="CL23" i="8" s="1"/>
  <c r="CK23" i="8" a="1"/>
  <c r="CK23" i="8"/>
  <c r="CJ23" i="8" a="1"/>
  <c r="CJ23" i="8" s="1"/>
  <c r="CI23" i="8" a="1"/>
  <c r="CI23" i="8" s="1"/>
  <c r="CH23" i="8" a="1"/>
  <c r="CH23" i="8" s="1"/>
  <c r="CG23" i="8" a="1"/>
  <c r="CG23" i="8" s="1"/>
  <c r="CF23" i="8" a="1"/>
  <c r="CF23" i="8"/>
  <c r="CE23" i="8" a="1"/>
  <c r="CE23" i="8" s="1"/>
  <c r="CD23" i="8" a="1"/>
  <c r="CD23" i="8" s="1"/>
  <c r="CC23" i="8" a="1"/>
  <c r="CC23" i="8" s="1"/>
  <c r="CB23" i="8" a="1"/>
  <c r="CB23" i="8" s="1"/>
  <c r="CA23" i="8" a="1"/>
  <c r="CA23" i="8" s="1"/>
  <c r="BZ23" i="8" a="1"/>
  <c r="BZ23" i="8" s="1"/>
  <c r="BY23" i="8" a="1"/>
  <c r="BY23" i="8" s="1"/>
  <c r="BX23" i="8" a="1"/>
  <c r="BX23" i="8" s="1"/>
  <c r="BW23" i="8" a="1"/>
  <c r="BW23" i="8" s="1"/>
  <c r="BV23" i="8" a="1"/>
  <c r="BV23" i="8"/>
  <c r="BU23" i="8" a="1"/>
  <c r="BU23" i="8"/>
  <c r="BT23" i="8" a="1"/>
  <c r="BT23" i="8" s="1"/>
  <c r="BS23" i="8" a="1"/>
  <c r="BS23" i="8" s="1"/>
  <c r="BR23" i="8" a="1"/>
  <c r="BR23" i="8"/>
  <c r="BQ23" i="8" a="1"/>
  <c r="BQ23" i="8" s="1"/>
  <c r="BP23" i="8" a="1"/>
  <c r="BP23" i="8" s="1"/>
  <c r="BO23" i="8" a="1"/>
  <c r="BO23" i="8" s="1"/>
  <c r="BN23" i="8" a="1"/>
  <c r="BN23" i="8" s="1"/>
  <c r="BM23" i="8" a="1"/>
  <c r="BM23" i="8" s="1"/>
  <c r="BL23" i="8" a="1"/>
  <c r="BL23" i="8" s="1"/>
  <c r="BK23" i="8" a="1"/>
  <c r="BK23" i="8" s="1"/>
  <c r="BJ23" i="8" a="1"/>
  <c r="BJ23" i="8" s="1"/>
  <c r="BI23" i="8" a="1"/>
  <c r="BI23" i="8" s="1"/>
  <c r="BH23" i="8" a="1"/>
  <c r="BH23" i="8"/>
  <c r="BG23" i="8" a="1"/>
  <c r="BG23" i="8"/>
  <c r="BF23" i="8" a="1"/>
  <c r="BF23" i="8" s="1"/>
  <c r="BE23" i="8" a="1"/>
  <c r="BE23" i="8" s="1"/>
  <c r="BD23" i="8" a="1"/>
  <c r="BD23" i="8"/>
  <c r="BC23" i="8" a="1"/>
  <c r="BC23" i="8" s="1"/>
  <c r="BB23" i="8" a="1"/>
  <c r="BB23" i="8" s="1"/>
  <c r="BA23" i="8" a="1"/>
  <c r="BA23" i="8" s="1"/>
  <c r="AZ23" i="8" a="1"/>
  <c r="AZ23" i="8" s="1"/>
  <c r="AY23" i="8" a="1"/>
  <c r="AY23" i="8" s="1"/>
  <c r="AX23" i="8" a="1"/>
  <c r="AX23" i="8" s="1"/>
  <c r="AW23" i="8" a="1"/>
  <c r="AW23" i="8" s="1"/>
  <c r="AV23" i="8" a="1"/>
  <c r="AV23" i="8" s="1"/>
  <c r="AU23" i="8" a="1"/>
  <c r="AU23" i="8" s="1"/>
  <c r="AT23" i="8" a="1"/>
  <c r="AT23" i="8" s="1"/>
  <c r="AS23" i="8" a="1"/>
  <c r="AS23" i="8"/>
  <c r="AR23" i="8" a="1"/>
  <c r="AR23" i="8" s="1"/>
  <c r="AQ23" i="8" a="1"/>
  <c r="AQ23" i="8" s="1"/>
  <c r="AP23" i="8" a="1"/>
  <c r="AP23" i="8" s="1"/>
  <c r="AO23" i="8" a="1"/>
  <c r="AO23" i="8"/>
  <c r="AN23" i="8" a="1"/>
  <c r="AN23" i="8" s="1"/>
  <c r="AM23" i="8" a="1"/>
  <c r="AM23" i="8" s="1"/>
  <c r="AL23" i="8" a="1"/>
  <c r="AL23" i="8" s="1"/>
  <c r="AK23" i="8" a="1"/>
  <c r="AK23" i="8" s="1"/>
  <c r="AJ23" i="8" a="1"/>
  <c r="AJ23" i="8" s="1"/>
  <c r="AI23" i="8" a="1"/>
  <c r="AI23" i="8" s="1"/>
  <c r="AH23" i="8" a="1"/>
  <c r="AH23" i="8" s="1"/>
  <c r="AG23" i="8" a="1"/>
  <c r="AG23" i="8" s="1"/>
  <c r="AF23" i="8" a="1"/>
  <c r="AF23" i="8" s="1"/>
  <c r="AE23" i="8" a="1"/>
  <c r="AE23" i="8" s="1"/>
  <c r="AD23" i="8" a="1"/>
  <c r="AD23" i="8"/>
  <c r="AC23" i="8" a="1"/>
  <c r="AC23" i="8" s="1"/>
  <c r="AB23" i="8" a="1"/>
  <c r="AB23" i="8" s="1"/>
  <c r="AA23" i="8" a="1"/>
  <c r="AA23" i="8"/>
  <c r="Z23" i="8" a="1"/>
  <c r="Z23" i="8" s="1"/>
  <c r="Y23" i="8" a="1"/>
  <c r="Y23" i="8"/>
  <c r="X23" i="8" a="1"/>
  <c r="X23" i="8" s="1"/>
  <c r="W23" i="8" a="1"/>
  <c r="W23" i="8" s="1"/>
  <c r="V23" i="8" a="1"/>
  <c r="V23" i="8" s="1"/>
  <c r="U23" i="8" a="1"/>
  <c r="U23" i="8" s="1"/>
  <c r="T23" i="8" a="1"/>
  <c r="T23" i="8" s="1"/>
  <c r="S23" i="8" a="1"/>
  <c r="S23" i="8" s="1"/>
  <c r="R23" i="8" a="1"/>
  <c r="R23" i="8" s="1"/>
  <c r="Q23" i="8" a="1"/>
  <c r="Q23" i="8" s="1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/>
  <c r="G23" i="8" a="1"/>
  <c r="G23" i="8" s="1"/>
  <c r="F23" i="8" a="1"/>
  <c r="F23" i="8" s="1"/>
  <c r="E23" i="8" a="1"/>
  <c r="E23" i="8" s="1"/>
  <c r="D23" i="8" a="1"/>
  <c r="D23" i="8"/>
  <c r="C23" i="8" a="1"/>
  <c r="C23" i="8"/>
  <c r="EF22" i="8" a="1"/>
  <c r="EF22" i="8" s="1"/>
  <c r="EE22" i="8" a="1"/>
  <c r="EE22" i="8" s="1"/>
  <c r="ED22" i="8" a="1"/>
  <c r="ED22" i="8" s="1"/>
  <c r="EC22" i="8" a="1"/>
  <c r="EC22" i="8" s="1"/>
  <c r="EB22" i="8" a="1"/>
  <c r="EB22" i="8" s="1"/>
  <c r="EA22" i="8" a="1"/>
  <c r="EA22" i="8" s="1"/>
  <c r="DZ22" i="8" a="1"/>
  <c r="DZ22" i="8" s="1"/>
  <c r="DY22" i="8" a="1"/>
  <c r="DY22" i="8" s="1"/>
  <c r="DX22" i="8" a="1"/>
  <c r="DX22" i="8" s="1"/>
  <c r="DW22" i="8" a="1"/>
  <c r="DW22" i="8" s="1"/>
  <c r="DV22" i="8" a="1"/>
  <c r="DV22" i="8" s="1"/>
  <c r="DU22" i="8" a="1"/>
  <c r="DU22" i="8" s="1"/>
  <c r="DT22" i="8" a="1"/>
  <c r="DT22" i="8" s="1"/>
  <c r="DS22" i="8" a="1"/>
  <c r="DS22" i="8" s="1"/>
  <c r="DR22" i="8" a="1"/>
  <c r="DR22" i="8" s="1"/>
  <c r="DQ22" i="8" a="1"/>
  <c r="DQ22" i="8" s="1"/>
  <c r="DP22" i="8" a="1"/>
  <c r="DP22" i="8"/>
  <c r="DO22" i="8" a="1"/>
  <c r="DO22" i="8"/>
  <c r="DN22" i="8" a="1"/>
  <c r="DN22" i="8" s="1"/>
  <c r="DM22" i="8" a="1"/>
  <c r="DM22" i="8" s="1"/>
  <c r="DL22" i="8" a="1"/>
  <c r="DL22" i="8" s="1"/>
  <c r="DK22" i="8" a="1"/>
  <c r="DK22" i="8" s="1"/>
  <c r="DJ22" i="8" a="1"/>
  <c r="DJ22" i="8" s="1"/>
  <c r="DI22" i="8" a="1"/>
  <c r="DI22" i="8"/>
  <c r="DH22" i="8" a="1"/>
  <c r="DH22" i="8" s="1"/>
  <c r="DG22" i="8" a="1"/>
  <c r="DG22" i="8" s="1"/>
  <c r="DF22" i="8" a="1"/>
  <c r="DF22" i="8" s="1"/>
  <c r="DE22" i="8" a="1"/>
  <c r="DE22" i="8"/>
  <c r="DD22" i="8" a="1"/>
  <c r="DD22" i="8"/>
  <c r="DC22" i="8" a="1"/>
  <c r="DC22" i="8" s="1"/>
  <c r="DB22" i="8" a="1"/>
  <c r="DB22" i="8" s="1"/>
  <c r="DA22" i="8" a="1"/>
  <c r="DA22" i="8"/>
  <c r="CZ22" i="8" a="1"/>
  <c r="CZ22" i="8" s="1"/>
  <c r="CY22" i="8" a="1"/>
  <c r="CY22" i="8" s="1"/>
  <c r="CX22" i="8" a="1"/>
  <c r="CX22" i="8"/>
  <c r="CW22" i="8" a="1"/>
  <c r="CW22" i="8" s="1"/>
  <c r="CV22" i="8" a="1"/>
  <c r="CV22" i="8" s="1"/>
  <c r="CU22" i="8" a="1"/>
  <c r="CU22" i="8" s="1"/>
  <c r="CT22" i="8" a="1"/>
  <c r="CT22" i="8" s="1"/>
  <c r="CS22" i="8" a="1"/>
  <c r="CS22" i="8" s="1"/>
  <c r="CR22" i="8" a="1"/>
  <c r="CR22" i="8" s="1"/>
  <c r="CQ22" i="8" a="1"/>
  <c r="CQ22" i="8" s="1"/>
  <c r="CP22" i="8" a="1"/>
  <c r="CP22" i="8"/>
  <c r="CO22" i="8" a="1"/>
  <c r="CO22" i="8"/>
  <c r="CN22" i="8" a="1"/>
  <c r="CN22" i="8" s="1"/>
  <c r="CM22" i="8" a="1"/>
  <c r="CM22" i="8" s="1"/>
  <c r="CL22" i="8" a="1"/>
  <c r="CL22" i="8" s="1"/>
  <c r="CK22" i="8" a="1"/>
  <c r="CK22" i="8" s="1"/>
  <c r="CJ22" i="8" a="1"/>
  <c r="CJ22" i="8" s="1"/>
  <c r="CI22" i="8" a="1"/>
  <c r="CI22" i="8" s="1"/>
  <c r="CH22" i="8" a="1"/>
  <c r="CH22" i="8" s="1"/>
  <c r="CG22" i="8" a="1"/>
  <c r="CG22" i="8" s="1"/>
  <c r="CF22" i="8" a="1"/>
  <c r="CF22" i="8" s="1"/>
  <c r="CE22" i="8" a="1"/>
  <c r="CE22" i="8"/>
  <c r="CD22" i="8" a="1"/>
  <c r="CD22" i="8" s="1"/>
  <c r="CC22" i="8" a="1"/>
  <c r="CC22" i="8" s="1"/>
  <c r="CB22" i="8" a="1"/>
  <c r="CB22" i="8"/>
  <c r="CA22" i="8" a="1"/>
  <c r="CA22" i="8" s="1"/>
  <c r="BZ22" i="8" a="1"/>
  <c r="BZ22" i="8" s="1"/>
  <c r="BY22" i="8" a="1"/>
  <c r="BY22" i="8" s="1"/>
  <c r="BX22" i="8" a="1"/>
  <c r="BX22" i="8" s="1"/>
  <c r="BW22" i="8" a="1"/>
  <c r="BW22" i="8" s="1"/>
  <c r="BV22" i="8" a="1"/>
  <c r="BV22" i="8"/>
  <c r="BU22" i="8" a="1"/>
  <c r="BU22" i="8" s="1"/>
  <c r="BT22" i="8" a="1"/>
  <c r="BT22" i="8" s="1"/>
  <c r="BS22" i="8" a="1"/>
  <c r="BS22" i="8" s="1"/>
  <c r="BR22" i="8" a="1"/>
  <c r="BR22" i="8" s="1"/>
  <c r="BQ22" i="8" a="1"/>
  <c r="BQ22" i="8"/>
  <c r="BP22" i="8" a="1"/>
  <c r="BP22" i="8" s="1"/>
  <c r="BO22" i="8" a="1"/>
  <c r="BO22" i="8" s="1"/>
  <c r="BN22" i="8" a="1"/>
  <c r="BN22" i="8" s="1"/>
  <c r="BM22" i="8" a="1"/>
  <c r="BM22" i="8"/>
  <c r="BL22" i="8" a="1"/>
  <c r="BL22" i="8"/>
  <c r="BK22" i="8" a="1"/>
  <c r="BK22" i="8" s="1"/>
  <c r="BJ22" i="8" a="1"/>
  <c r="BJ22" i="8" s="1"/>
  <c r="BI22" i="8" a="1"/>
  <c r="BI22" i="8"/>
  <c r="BH22" i="8" a="1"/>
  <c r="BH22" i="8" s="1"/>
  <c r="BG22" i="8" a="1"/>
  <c r="BG22" i="8" s="1"/>
  <c r="BF22" i="8" a="1"/>
  <c r="BF22" i="8"/>
  <c r="BE22" i="8" a="1"/>
  <c r="BE22" i="8" s="1"/>
  <c r="BD22" i="8" a="1"/>
  <c r="BD22" i="8" s="1"/>
  <c r="BC22" i="8" a="1"/>
  <c r="BC22" i="8" s="1"/>
  <c r="BB22" i="8" a="1"/>
  <c r="BB22" i="8" s="1"/>
  <c r="BA22" i="8" a="1"/>
  <c r="BA22" i="8" s="1"/>
  <c r="AZ22" i="8" a="1"/>
  <c r="AZ22" i="8"/>
  <c r="AY22" i="8" a="1"/>
  <c r="AY22" i="8" s="1"/>
  <c r="AX22" i="8" a="1"/>
  <c r="AX22" i="8" s="1"/>
  <c r="AW22" i="8" a="1"/>
  <c r="AW22" i="8" s="1"/>
  <c r="AV22" i="8" a="1"/>
  <c r="AV22" i="8" s="1"/>
  <c r="AU22" i="8" a="1"/>
  <c r="AU22" i="8"/>
  <c r="AT22" i="8" a="1"/>
  <c r="AT22" i="8" s="1"/>
  <c r="AS22" i="8" a="1"/>
  <c r="AS22" i="8" s="1"/>
  <c r="AR22" i="8" a="1"/>
  <c r="AR22" i="8" s="1"/>
  <c r="AQ22" i="8" a="1"/>
  <c r="AQ22" i="8"/>
  <c r="AP22" i="8" a="1"/>
  <c r="AP22" i="8" s="1"/>
  <c r="AO22" i="8" a="1"/>
  <c r="AO22" i="8" s="1"/>
  <c r="AN22" i="8" a="1"/>
  <c r="AN22" i="8" s="1"/>
  <c r="AM22" i="8" a="1"/>
  <c r="AM22" i="8"/>
  <c r="AL22" i="8" a="1"/>
  <c r="AL22" i="8" s="1"/>
  <c r="AK22" i="8" a="1"/>
  <c r="AK22" i="8" s="1"/>
  <c r="AJ22" i="8" a="1"/>
  <c r="AJ22" i="8"/>
  <c r="AI22" i="8" a="1"/>
  <c r="AI22" i="8" s="1"/>
  <c r="AH22" i="8" a="1"/>
  <c r="AH22" i="8" s="1"/>
  <c r="AG22" i="8" a="1"/>
  <c r="AG22" i="8" s="1"/>
  <c r="AF22" i="8" a="1"/>
  <c r="AF22" i="8" s="1"/>
  <c r="AE22" i="8" a="1"/>
  <c r="AE22" i="8" s="1"/>
  <c r="AD22" i="8" a="1"/>
  <c r="AD22" i="8" s="1"/>
  <c r="AC22" i="8" a="1"/>
  <c r="AC22" i="8" s="1"/>
  <c r="AB22" i="8" a="1"/>
  <c r="AB22" i="8"/>
  <c r="AA22" i="8" a="1"/>
  <c r="AA22" i="8" s="1"/>
  <c r="Z22" i="8" a="1"/>
  <c r="Z22" i="8" s="1"/>
  <c r="Y22" i="8" a="1"/>
  <c r="Y22" i="8" s="1"/>
  <c r="X22" i="8" a="1"/>
  <c r="X22" i="8" s="1"/>
  <c r="W22" i="8" a="1"/>
  <c r="W22" i="8" s="1"/>
  <c r="V22" i="8" a="1"/>
  <c r="V22" i="8" s="1"/>
  <c r="U22" i="8" a="1"/>
  <c r="U22" i="8" s="1"/>
  <c r="T22" i="8" a="1"/>
  <c r="T22" i="8" s="1"/>
  <c r="S22" i="8" a="1"/>
  <c r="S22" i="8"/>
  <c r="R22" i="8" a="1"/>
  <c r="R22" i="8" s="1"/>
  <c r="Q22" i="8" a="1"/>
  <c r="Q22" i="8"/>
  <c r="P22" i="8" a="1"/>
  <c r="P22" i="8" s="1"/>
  <c r="O22" i="8" a="1"/>
  <c r="O22" i="8" s="1"/>
  <c r="N22" i="8" a="1"/>
  <c r="N22" i="8"/>
  <c r="M22" i="8" a="1"/>
  <c r="M22" i="8" s="1"/>
  <c r="L22" i="8" a="1"/>
  <c r="L22" i="8" s="1"/>
  <c r="K22" i="8" a="1"/>
  <c r="K22" i="8" s="1"/>
  <c r="J22" i="8" a="1"/>
  <c r="J22" i="8"/>
  <c r="I22" i="8" a="1"/>
  <c r="I22" i="8" s="1"/>
  <c r="H22" i="8" a="1"/>
  <c r="H22" i="8" s="1"/>
  <c r="G22" i="8" a="1"/>
  <c r="G22" i="8" s="1"/>
  <c r="F22" i="8" a="1"/>
  <c r="F22" i="8" s="1"/>
  <c r="E22" i="8" a="1"/>
  <c r="E22" i="8" s="1"/>
  <c r="D22" i="8" a="1"/>
  <c r="D22" i="8" s="1"/>
  <c r="C22" i="8" a="1"/>
  <c r="C22" i="8"/>
  <c r="EF21" i="8" a="1"/>
  <c r="EF21" i="8" s="1"/>
  <c r="EE21" i="8" a="1"/>
  <c r="EE21" i="8" s="1"/>
  <c r="ED21" i="8" a="1"/>
  <c r="ED21" i="8" s="1"/>
  <c r="EC21" i="8" a="1"/>
  <c r="EC21" i="8"/>
  <c r="EB21" i="8" a="1"/>
  <c r="EB21" i="8" s="1"/>
  <c r="EA21" i="8" a="1"/>
  <c r="EA21" i="8" s="1"/>
  <c r="DZ21" i="8" a="1"/>
  <c r="DZ21" i="8" s="1"/>
  <c r="DY21" i="8" a="1"/>
  <c r="DY21" i="8"/>
  <c r="DX21" i="8" a="1"/>
  <c r="DX21" i="8" s="1"/>
  <c r="DW21" i="8" a="1"/>
  <c r="DW21" i="8" s="1"/>
  <c r="DV21" i="8" a="1"/>
  <c r="DV21" i="8"/>
  <c r="DU21" i="8" a="1"/>
  <c r="DU21" i="8" s="1"/>
  <c r="DT21" i="8" a="1"/>
  <c r="DT21" i="8" s="1"/>
  <c r="DS21" i="8" a="1"/>
  <c r="DS21" i="8" s="1"/>
  <c r="DR21" i="8" a="1"/>
  <c r="DR21" i="8" s="1"/>
  <c r="DQ21" i="8" a="1"/>
  <c r="DQ21" i="8" s="1"/>
  <c r="DP21" i="8" a="1"/>
  <c r="DP21" i="8"/>
  <c r="DO21" i="8" a="1"/>
  <c r="DO21" i="8" s="1"/>
  <c r="DN21" i="8" a="1"/>
  <c r="DN21" i="8" s="1"/>
  <c r="DM21" i="8" a="1"/>
  <c r="DM21" i="8" s="1"/>
  <c r="DL21" i="8" a="1"/>
  <c r="DL21" i="8" s="1"/>
  <c r="DK21" i="8" a="1"/>
  <c r="DK21" i="8"/>
  <c r="DJ21" i="8" a="1"/>
  <c r="DJ21" i="8" s="1"/>
  <c r="DI21" i="8" a="1"/>
  <c r="DI21" i="8" s="1"/>
  <c r="DH21" i="8" a="1"/>
  <c r="DH21" i="8" s="1"/>
  <c r="DG21" i="8" a="1"/>
  <c r="DG21" i="8"/>
  <c r="DF21" i="8" a="1"/>
  <c r="DF21" i="8" s="1"/>
  <c r="DE21" i="8" a="1"/>
  <c r="DE21" i="8"/>
  <c r="DD21" i="8" a="1"/>
  <c r="DD21" i="8" s="1"/>
  <c r="DC21" i="8" a="1"/>
  <c r="DC21" i="8" s="1"/>
  <c r="DB21" i="8" a="1"/>
  <c r="DB21" i="8"/>
  <c r="DA21" i="8" a="1"/>
  <c r="DA21" i="8" s="1"/>
  <c r="CZ21" i="8" a="1"/>
  <c r="CZ21" i="8" s="1"/>
  <c r="CY21" i="8" a="1"/>
  <c r="CY21" i="8" s="1"/>
  <c r="CX21" i="8" a="1"/>
  <c r="CX21" i="8" s="1"/>
  <c r="CW21" i="8" a="1"/>
  <c r="CW21" i="8" s="1"/>
  <c r="CV21" i="8" a="1"/>
  <c r="CV21" i="8"/>
  <c r="CU21" i="8" a="1"/>
  <c r="CU21" i="8" s="1"/>
  <c r="CT21" i="8" a="1"/>
  <c r="CT21" i="8" s="1"/>
  <c r="CS21" i="8" a="1"/>
  <c r="CS21" i="8" s="1"/>
  <c r="CR21" i="8" a="1"/>
  <c r="CR21" i="8" s="1"/>
  <c r="CQ21" i="8" a="1"/>
  <c r="CQ21" i="8" s="1"/>
  <c r="CP21" i="8" a="1"/>
  <c r="CP21" i="8" s="1"/>
  <c r="CO21" i="8" a="1"/>
  <c r="CO21" i="8"/>
  <c r="CN21" i="8" a="1"/>
  <c r="CN21" i="8" s="1"/>
  <c r="CM21" i="8" a="1"/>
  <c r="CM21" i="8" s="1"/>
  <c r="CL21" i="8" a="1"/>
  <c r="CL21" i="8" s="1"/>
  <c r="CK21" i="8" a="1"/>
  <c r="CK21" i="8"/>
  <c r="CJ21" i="8" a="1"/>
  <c r="CJ21" i="8" s="1"/>
  <c r="CI21" i="8" a="1"/>
  <c r="CI21" i="8" s="1"/>
  <c r="CH21" i="8" a="1"/>
  <c r="CH21" i="8" s="1"/>
  <c r="CG21" i="8" a="1"/>
  <c r="CG21" i="8"/>
  <c r="CF21" i="8" a="1"/>
  <c r="CF21" i="8" s="1"/>
  <c r="CE21" i="8" a="1"/>
  <c r="CE21" i="8" s="1"/>
  <c r="CD21" i="8" a="1"/>
  <c r="CD21" i="8"/>
  <c r="CC21" i="8" a="1"/>
  <c r="CC21" i="8" s="1"/>
  <c r="CB21" i="8" a="1"/>
  <c r="CB21" i="8" s="1"/>
  <c r="CA21" i="8" a="1"/>
  <c r="CA21" i="8" s="1"/>
  <c r="BZ21" i="8" a="1"/>
  <c r="BZ21" i="8" s="1"/>
  <c r="BY21" i="8" a="1"/>
  <c r="BY21" i="8" s="1"/>
  <c r="BX21" i="8" a="1"/>
  <c r="BX21" i="8" s="1"/>
  <c r="BW21" i="8" a="1"/>
  <c r="BW21" i="8" s="1"/>
  <c r="BV21" i="8" a="1"/>
  <c r="BV21" i="8"/>
  <c r="BU21" i="8" a="1"/>
  <c r="BU21" i="8" s="1"/>
  <c r="BT21" i="8" a="1"/>
  <c r="BT21" i="8" s="1"/>
  <c r="BS21" i="8" a="1"/>
  <c r="BS21" i="8" s="1"/>
  <c r="BR21" i="8" a="1"/>
  <c r="BR21" i="8" s="1"/>
  <c r="BQ21" i="8" a="1"/>
  <c r="BQ21" i="8" s="1"/>
  <c r="BP21" i="8" a="1"/>
  <c r="BP21" i="8" s="1"/>
  <c r="BO21" i="8" a="1"/>
  <c r="BO21" i="8" s="1"/>
  <c r="BN21" i="8" a="1"/>
  <c r="BN21" i="8" s="1"/>
  <c r="BM21" i="8" a="1"/>
  <c r="BM21" i="8"/>
  <c r="BL21" i="8" a="1"/>
  <c r="BL21" i="8" s="1"/>
  <c r="BK21" i="8" a="1"/>
  <c r="BK21" i="8"/>
  <c r="BJ21" i="8" a="1"/>
  <c r="BJ21" i="8" s="1"/>
  <c r="BI21" i="8" a="1"/>
  <c r="BI21" i="8" s="1"/>
  <c r="BH21" i="8" a="1"/>
  <c r="BH21" i="8"/>
  <c r="BG21" i="8" a="1"/>
  <c r="BG21" i="8" s="1"/>
  <c r="BF21" i="8" a="1"/>
  <c r="BF21" i="8" s="1"/>
  <c r="BE21" i="8" a="1"/>
  <c r="BE21" i="8" s="1"/>
  <c r="BD21" i="8" a="1"/>
  <c r="BD21" i="8"/>
  <c r="BC21" i="8" a="1"/>
  <c r="BC21" i="8" s="1"/>
  <c r="BB21" i="8" a="1"/>
  <c r="BB21" i="8" s="1"/>
  <c r="BA21" i="8" a="1"/>
  <c r="BA21" i="8" s="1"/>
  <c r="AZ21" i="8" a="1"/>
  <c r="AZ21" i="8" s="1"/>
  <c r="AY21" i="8" a="1"/>
  <c r="AY21" i="8"/>
  <c r="AX21" i="8" a="1"/>
  <c r="AX21" i="8" s="1"/>
  <c r="AW21" i="8" a="1"/>
  <c r="AW21" i="8" s="1"/>
  <c r="AV21" i="8" a="1"/>
  <c r="AV21" i="8" s="1"/>
  <c r="AU21" i="8" a="1"/>
  <c r="AU21" i="8" s="1"/>
  <c r="AT21" i="8" a="1"/>
  <c r="AT21" i="8" s="1"/>
  <c r="AS21" i="8" a="1"/>
  <c r="AS21" i="8"/>
  <c r="AR21" i="8" a="1"/>
  <c r="AR21" i="8" s="1"/>
  <c r="AQ21" i="8" a="1"/>
  <c r="AQ21" i="8"/>
  <c r="AP21" i="8" a="1"/>
  <c r="AP21" i="8" s="1"/>
  <c r="AO21" i="8" a="1"/>
  <c r="AO21" i="8" s="1"/>
  <c r="AN21" i="8" a="1"/>
  <c r="AN21" i="8"/>
  <c r="AM21" i="8" a="1"/>
  <c r="AM21" i="8" s="1"/>
  <c r="AL21" i="8" a="1"/>
  <c r="AL21" i="8" s="1"/>
  <c r="AK21" i="8" a="1"/>
  <c r="AK21" i="8" s="1"/>
  <c r="AJ21" i="8" a="1"/>
  <c r="AJ21" i="8" s="1"/>
  <c r="AI21" i="8" a="1"/>
  <c r="AI21" i="8" s="1"/>
  <c r="AH21" i="8" a="1"/>
  <c r="AH21" i="8" s="1"/>
  <c r="AG21" i="8" a="1"/>
  <c r="AG21" i="8"/>
  <c r="AF21" i="8" a="1"/>
  <c r="AF21" i="8" s="1"/>
  <c r="AE21" i="8" a="1"/>
  <c r="AE21" i="8" s="1"/>
  <c r="AD21" i="8" a="1"/>
  <c r="AD21" i="8"/>
  <c r="AC21" i="8" a="1"/>
  <c r="AC21" i="8" s="1"/>
  <c r="AB21" i="8" a="1"/>
  <c r="AB21" i="8" s="1"/>
  <c r="AA21" i="8" a="1"/>
  <c r="AA21" i="8" s="1"/>
  <c r="Z21" i="8" a="1"/>
  <c r="Z21" i="8" s="1"/>
  <c r="Y21" i="8" a="1"/>
  <c r="Y21" i="8" s="1"/>
  <c r="X21" i="8" a="1"/>
  <c r="X21" i="8" s="1"/>
  <c r="W21" i="8" a="1"/>
  <c r="W21" i="8" s="1"/>
  <c r="V21" i="8" a="1"/>
  <c r="V21" i="8" s="1"/>
  <c r="U21" i="8" a="1"/>
  <c r="U21" i="8" s="1"/>
  <c r="T21" i="8" a="1"/>
  <c r="T21" i="8" s="1"/>
  <c r="S21" i="8" a="1"/>
  <c r="S21" i="8" s="1"/>
  <c r="R21" i="8" a="1"/>
  <c r="R21" i="8" s="1"/>
  <c r="Q21" i="8" a="1"/>
  <c r="Q21" i="8" s="1"/>
  <c r="P21" i="8" a="1"/>
  <c r="P21" i="8" s="1"/>
  <c r="O21" i="8" a="1"/>
  <c r="O21" i="8" s="1"/>
  <c r="N21" i="8" a="1"/>
  <c r="N21" i="8" s="1"/>
  <c r="M21" i="8" a="1"/>
  <c r="M21" i="8" s="1"/>
  <c r="L21" i="8" a="1"/>
  <c r="L21" i="8"/>
  <c r="K21" i="8" a="1"/>
  <c r="K21" i="8" s="1"/>
  <c r="J21" i="8" a="1"/>
  <c r="J21" i="8" s="1"/>
  <c r="I21" i="8" a="1"/>
  <c r="I21" i="8" s="1"/>
  <c r="H21" i="8" a="1"/>
  <c r="H21" i="8"/>
  <c r="G21" i="8" a="1"/>
  <c r="G21" i="8"/>
  <c r="F21" i="8" a="1"/>
  <c r="F21" i="8" s="1"/>
  <c r="E21" i="8" a="1"/>
  <c r="E21" i="8" s="1"/>
  <c r="D21" i="8" a="1"/>
  <c r="D21" i="8" s="1"/>
  <c r="C21" i="8" a="1"/>
  <c r="C21" i="8" s="1"/>
  <c r="EF20" i="8" a="1"/>
  <c r="EF20" i="8" s="1"/>
  <c r="EE20" i="8" a="1"/>
  <c r="EE20" i="8"/>
  <c r="ED20" i="8" a="1"/>
  <c r="ED20" i="8"/>
  <c r="EC20" i="8" a="1"/>
  <c r="EC20" i="8" s="1"/>
  <c r="EB20" i="8" a="1"/>
  <c r="EB20" i="8" s="1"/>
  <c r="EA20" i="8" a="1"/>
  <c r="EA20" i="8" s="1"/>
  <c r="DZ20" i="8" a="1"/>
  <c r="DZ20" i="8" s="1"/>
  <c r="DY20" i="8" a="1"/>
  <c r="DY20" i="8" s="1"/>
  <c r="DX20" i="8" a="1"/>
  <c r="DX20" i="8" s="1"/>
  <c r="DW20" i="8" a="1"/>
  <c r="DW20" i="8" s="1"/>
  <c r="DV20" i="8" a="1"/>
  <c r="DV20" i="8" s="1"/>
  <c r="DU20" i="8" a="1"/>
  <c r="DU20" i="8" s="1"/>
  <c r="DT20" i="8" a="1"/>
  <c r="DT20" i="8" s="1"/>
  <c r="DS20" i="8" a="1"/>
  <c r="DS20" i="8" s="1"/>
  <c r="DR20" i="8" a="1"/>
  <c r="DR20" i="8"/>
  <c r="DQ20" i="8" a="1"/>
  <c r="DQ20" i="8" s="1"/>
  <c r="DP20" i="8" a="1"/>
  <c r="DP20" i="8" s="1"/>
  <c r="DO20" i="8" a="1"/>
  <c r="DO20" i="8" s="1"/>
  <c r="DN20" i="8" a="1"/>
  <c r="DN20" i="8" s="1"/>
  <c r="DM20" i="8" a="1"/>
  <c r="DM20" i="8" s="1"/>
  <c r="DL20" i="8" a="1"/>
  <c r="DL20" i="8" s="1"/>
  <c r="DK20" i="8" a="1"/>
  <c r="DK20" i="8" s="1"/>
  <c r="DJ20" i="8" a="1"/>
  <c r="DJ20" i="8" s="1"/>
  <c r="DI20" i="8" a="1"/>
  <c r="DI20" i="8"/>
  <c r="DH20" i="8" a="1"/>
  <c r="DH20" i="8" s="1"/>
  <c r="DG20" i="8" a="1"/>
  <c r="DG20" i="8" s="1"/>
  <c r="DF20" i="8" a="1"/>
  <c r="DF20" i="8" s="1"/>
  <c r="DE20" i="8" a="1"/>
  <c r="DE20" i="8" s="1"/>
  <c r="DD20" i="8" a="1"/>
  <c r="DD20" i="8"/>
  <c r="DC20" i="8" a="1"/>
  <c r="DC20" i="8" s="1"/>
  <c r="DB20" i="8" a="1"/>
  <c r="DB20" i="8"/>
  <c r="DA20" i="8" a="1"/>
  <c r="DA20" i="8" s="1"/>
  <c r="CZ20" i="8" a="1"/>
  <c r="CZ20" i="8" s="1"/>
  <c r="CY20" i="8" a="1"/>
  <c r="CY20" i="8" s="1"/>
  <c r="CX20" i="8" a="1"/>
  <c r="CX20" i="8"/>
  <c r="CW20" i="8" a="1"/>
  <c r="CW20" i="8"/>
  <c r="CV20" i="8" a="1"/>
  <c r="CV20" i="8" s="1"/>
  <c r="CU20" i="8" a="1"/>
  <c r="CU20" i="8" s="1"/>
  <c r="CT20" i="8" a="1"/>
  <c r="CT20" i="8" s="1"/>
  <c r="CS20" i="8" a="1"/>
  <c r="CS20" i="8" s="1"/>
  <c r="CR20" i="8" a="1"/>
  <c r="CR20" i="8" s="1"/>
  <c r="CQ20" i="8" a="1"/>
  <c r="CQ20" i="8"/>
  <c r="CP20" i="8" a="1"/>
  <c r="CP20" i="8" s="1"/>
  <c r="CO20" i="8" a="1"/>
  <c r="CO20" i="8" s="1"/>
  <c r="CN20" i="8" a="1"/>
  <c r="CN20" i="8" s="1"/>
  <c r="CM20" i="8" a="1"/>
  <c r="CM20" i="8"/>
  <c r="CL20" i="8" a="1"/>
  <c r="CL20" i="8" s="1"/>
  <c r="CK20" i="8" a="1"/>
  <c r="CK20" i="8"/>
  <c r="CJ20" i="8" a="1"/>
  <c r="CJ20" i="8" s="1"/>
  <c r="CI20" i="8" a="1"/>
  <c r="CI20" i="8" s="1"/>
  <c r="CH20" i="8" a="1"/>
  <c r="CH20" i="8" s="1"/>
  <c r="CG20" i="8" a="1"/>
  <c r="CG20" i="8" s="1"/>
  <c r="CF20" i="8" a="1"/>
  <c r="CF20" i="8"/>
  <c r="CE20" i="8" a="1"/>
  <c r="CE20" i="8" s="1"/>
  <c r="CD20" i="8" a="1"/>
  <c r="CD20" i="8" s="1"/>
  <c r="CC20" i="8" a="1"/>
  <c r="CC20" i="8" s="1"/>
  <c r="CB20" i="8" a="1"/>
  <c r="CB20" i="8" s="1"/>
  <c r="CA20" i="8" a="1"/>
  <c r="CA20" i="8"/>
  <c r="BZ20" i="8" a="1"/>
  <c r="BZ20" i="8" s="1"/>
  <c r="BY20" i="8" a="1"/>
  <c r="BY20" i="8" s="1"/>
  <c r="BX20" i="8" a="1"/>
  <c r="BX20" i="8" s="1"/>
  <c r="BW20" i="8" a="1"/>
  <c r="BW20" i="8" s="1"/>
  <c r="BV20" i="8" a="1"/>
  <c r="BV20" i="8" s="1"/>
  <c r="BU20" i="8" a="1"/>
  <c r="BU20" i="8"/>
  <c r="BT20" i="8" a="1"/>
  <c r="BT20" i="8" s="1"/>
  <c r="BS20" i="8" a="1"/>
  <c r="BS20" i="8" s="1"/>
  <c r="BR20" i="8" a="1"/>
  <c r="BR20" i="8" s="1"/>
  <c r="BQ20" i="8" a="1"/>
  <c r="BQ20" i="8" s="1"/>
  <c r="BP20" i="8" a="1"/>
  <c r="BP20" i="8" s="1"/>
  <c r="BO20" i="8" a="1"/>
  <c r="BO20" i="8" s="1"/>
  <c r="BN20" i="8" a="1"/>
  <c r="BN20" i="8" s="1"/>
  <c r="BM20" i="8" a="1"/>
  <c r="BM20" i="8" s="1"/>
  <c r="BL20" i="8" a="1"/>
  <c r="BL20" i="8" s="1"/>
  <c r="BK20" i="8" a="1"/>
  <c r="BK20" i="8" s="1"/>
  <c r="BJ20" i="8" a="1"/>
  <c r="BJ20" i="8" s="1"/>
  <c r="BI20" i="8" a="1"/>
  <c r="BI20" i="8" s="1"/>
  <c r="BH20" i="8" a="1"/>
  <c r="BH20" i="8" s="1"/>
  <c r="BG20" i="8" a="1"/>
  <c r="BG20" i="8" s="1"/>
  <c r="BF20" i="8" a="1"/>
  <c r="BF20" i="8"/>
  <c r="BE20" i="8" a="1"/>
  <c r="BE20" i="8" s="1"/>
  <c r="BD20" i="8" a="1"/>
  <c r="BD20" i="8" s="1"/>
  <c r="BC20" i="8" a="1"/>
  <c r="BC20" i="8"/>
  <c r="BB20" i="8" a="1"/>
  <c r="BB20" i="8"/>
  <c r="BA20" i="8" a="1"/>
  <c r="BA20" i="8"/>
  <c r="AZ20" i="8" a="1"/>
  <c r="AZ20" i="8" s="1"/>
  <c r="AY20" i="8" a="1"/>
  <c r="AY20" i="8" s="1"/>
  <c r="AX20" i="8" a="1"/>
  <c r="AX20" i="8" s="1"/>
  <c r="AW20" i="8" a="1"/>
  <c r="AW20" i="8" s="1"/>
  <c r="AV20" i="8" a="1"/>
  <c r="AV20" i="8" s="1"/>
  <c r="AU20" i="8" a="1"/>
  <c r="AU20" i="8"/>
  <c r="AT20" i="8" a="1"/>
  <c r="AT20" i="8"/>
  <c r="AS20" i="8" a="1"/>
  <c r="AS20" i="8" s="1"/>
  <c r="AR20" i="8" a="1"/>
  <c r="AR20" i="8" s="1"/>
  <c r="AQ20" i="8" a="1"/>
  <c r="AQ20" i="8" s="1"/>
  <c r="AP20" i="8" a="1"/>
  <c r="AP20" i="8"/>
  <c r="AO20" i="8" a="1"/>
  <c r="AO20" i="8" s="1"/>
  <c r="AN20" i="8" a="1"/>
  <c r="AN20" i="8" s="1"/>
  <c r="AM20" i="8" a="1"/>
  <c r="AM20" i="8"/>
  <c r="AL20" i="8" a="1"/>
  <c r="AL20" i="8" s="1"/>
  <c r="AK20" i="8" a="1"/>
  <c r="AK20" i="8" s="1"/>
  <c r="AJ20" i="8" a="1"/>
  <c r="AJ20" i="8" s="1"/>
  <c r="AI20" i="8" a="1"/>
  <c r="AI20" i="8" s="1"/>
  <c r="AH20" i="8" a="1"/>
  <c r="AH20" i="8" s="1"/>
  <c r="AG20" i="8" a="1"/>
  <c r="AG20" i="8" s="1"/>
  <c r="AF20" i="8" a="1"/>
  <c r="AF20" i="8" s="1"/>
  <c r="AE20" i="8" a="1"/>
  <c r="AE20" i="8"/>
  <c r="AD20" i="8" a="1"/>
  <c r="AD20" i="8" s="1"/>
  <c r="AC20" i="8" a="1"/>
  <c r="AC20" i="8" s="1"/>
  <c r="AB20" i="8" a="1"/>
  <c r="AB20" i="8"/>
  <c r="AA20" i="8" a="1"/>
  <c r="AA20" i="8"/>
  <c r="Z20" i="8" a="1"/>
  <c r="Z20" i="8" s="1"/>
  <c r="Y20" i="8" a="1"/>
  <c r="Y20" i="8" s="1"/>
  <c r="X20" i="8" a="1"/>
  <c r="X20" i="8"/>
  <c r="W20" i="8" a="1"/>
  <c r="W20" i="8" s="1"/>
  <c r="V20" i="8" a="1"/>
  <c r="V20" i="8"/>
  <c r="U20" i="8" a="1"/>
  <c r="U20" i="8" s="1"/>
  <c r="T20" i="8" a="1"/>
  <c r="T20" i="8"/>
  <c r="S20" i="8" a="1"/>
  <c r="S20" i="8" s="1"/>
  <c r="R20" i="8" a="1"/>
  <c r="R20" i="8" s="1"/>
  <c r="Q20" i="8" a="1"/>
  <c r="Q20" i="8"/>
  <c r="P20" i="8" a="1"/>
  <c r="P20" i="8" s="1"/>
  <c r="O20" i="8" a="1"/>
  <c r="O20" i="8" s="1"/>
  <c r="N20" i="8" a="1"/>
  <c r="N20" i="8" s="1"/>
  <c r="M20" i="8" a="1"/>
  <c r="M20" i="8" s="1"/>
  <c r="L20" i="8" a="1"/>
  <c r="L20" i="8" s="1"/>
  <c r="K20" i="8" a="1"/>
  <c r="K20" i="8" s="1"/>
  <c r="J20" i="8" a="1"/>
  <c r="J20" i="8" s="1"/>
  <c r="I20" i="8" a="1"/>
  <c r="I20" i="8" s="1"/>
  <c r="H20" i="8" a="1"/>
  <c r="H20" i="8" s="1"/>
  <c r="G20" i="8" a="1"/>
  <c r="G20" i="8" s="1"/>
  <c r="F20" i="8" a="1"/>
  <c r="F20" i="8" s="1"/>
  <c r="E20" i="8" a="1"/>
  <c r="E20" i="8" s="1"/>
  <c r="D20" i="8" a="1"/>
  <c r="D20" i="8" s="1"/>
  <c r="C20" i="8" a="1"/>
  <c r="C20" i="8" s="1"/>
  <c r="EF19" i="8" a="1"/>
  <c r="EF19" i="8" s="1"/>
  <c r="EE19" i="8" a="1"/>
  <c r="EE19" i="8" s="1"/>
  <c r="ED19" i="8" a="1"/>
  <c r="ED19" i="8" s="1"/>
  <c r="EC19" i="8" a="1"/>
  <c r="EC19" i="8"/>
  <c r="EB19" i="8" a="1"/>
  <c r="EB19" i="8" s="1"/>
  <c r="EA19" i="8" a="1"/>
  <c r="EA19" i="8" s="1"/>
  <c r="DZ19" i="8" a="1"/>
  <c r="DZ19" i="8" s="1"/>
  <c r="DY19" i="8" a="1"/>
  <c r="DY19" i="8" s="1"/>
  <c r="DX19" i="8" a="1"/>
  <c r="DX19" i="8" s="1"/>
  <c r="DW19" i="8" a="1"/>
  <c r="DW19" i="8" s="1"/>
  <c r="DV19" i="8" a="1"/>
  <c r="DV19" i="8" s="1"/>
  <c r="DU19" i="8" a="1"/>
  <c r="DU19" i="8" s="1"/>
  <c r="DT19" i="8" a="1"/>
  <c r="DT19" i="8" s="1"/>
  <c r="DS19" i="8" a="1"/>
  <c r="DS19" i="8" s="1"/>
  <c r="DR19" i="8" a="1"/>
  <c r="DR19" i="8" s="1"/>
  <c r="DQ19" i="8" a="1"/>
  <c r="DQ19" i="8"/>
  <c r="DP19" i="8" a="1"/>
  <c r="DP19" i="8" s="1"/>
  <c r="DO19" i="8" a="1"/>
  <c r="DO19" i="8" s="1"/>
  <c r="DN19" i="8" a="1"/>
  <c r="DN19" i="8" s="1"/>
  <c r="DM19" i="8" a="1"/>
  <c r="DM19" i="8" s="1"/>
  <c r="DL19" i="8" a="1"/>
  <c r="DL19" i="8" s="1"/>
  <c r="DK19" i="8" a="1"/>
  <c r="DK19" i="8" s="1"/>
  <c r="DJ19" i="8" a="1"/>
  <c r="DJ19" i="8"/>
  <c r="DI19" i="8" a="1"/>
  <c r="DI19" i="8" s="1"/>
  <c r="DH19" i="8" a="1"/>
  <c r="DH19" i="8" s="1"/>
  <c r="DG19" i="8" a="1"/>
  <c r="DG19" i="8"/>
  <c r="DF19" i="8" a="1"/>
  <c r="DF19" i="8" s="1"/>
  <c r="DE19" i="8" a="1"/>
  <c r="DE19" i="8" s="1"/>
  <c r="DD19" i="8" a="1"/>
  <c r="DD19" i="8" s="1"/>
  <c r="DC19" i="8" a="1"/>
  <c r="DC19" i="8" s="1"/>
  <c r="DB19" i="8" a="1"/>
  <c r="DB19" i="8" s="1"/>
  <c r="DA19" i="8" a="1"/>
  <c r="DA19" i="8" s="1"/>
  <c r="CZ19" i="8" a="1"/>
  <c r="CZ19" i="8" s="1"/>
  <c r="CY19" i="8" a="1"/>
  <c r="CY19" i="8" s="1"/>
  <c r="CX19" i="8" a="1"/>
  <c r="CX19" i="8" s="1"/>
  <c r="CW19" i="8" a="1"/>
  <c r="CW19" i="8" s="1"/>
  <c r="CV19" i="8" a="1"/>
  <c r="CV19" i="8" s="1"/>
  <c r="CU19" i="8" a="1"/>
  <c r="CU19" i="8"/>
  <c r="CT19" i="8" a="1"/>
  <c r="CT19" i="8" s="1"/>
  <c r="CS19" i="8" a="1"/>
  <c r="CS19" i="8" s="1"/>
  <c r="CR19" i="8" a="1"/>
  <c r="CR19" i="8" s="1"/>
  <c r="CQ19" i="8" a="1"/>
  <c r="CQ19" i="8" s="1"/>
  <c r="CP19" i="8" a="1"/>
  <c r="CP19" i="8" s="1"/>
  <c r="CO19" i="8" a="1"/>
  <c r="CO19" i="8" s="1"/>
  <c r="CN19" i="8" a="1"/>
  <c r="CN19" i="8" s="1"/>
  <c r="CM19" i="8" a="1"/>
  <c r="CM19" i="8" s="1"/>
  <c r="CL19" i="8" a="1"/>
  <c r="CL19" i="8" s="1"/>
  <c r="CK19" i="8" a="1"/>
  <c r="CK19" i="8" s="1"/>
  <c r="CJ19" i="8" a="1"/>
  <c r="CJ19" i="8" s="1"/>
  <c r="CI19" i="8" a="1"/>
  <c r="CI19" i="8" s="1"/>
  <c r="CH19" i="8" a="1"/>
  <c r="CH19" i="8" s="1"/>
  <c r="CG19" i="8" a="1"/>
  <c r="CG19" i="8"/>
  <c r="CF19" i="8" a="1"/>
  <c r="CF19" i="8"/>
  <c r="CE19" i="8" a="1"/>
  <c r="CE19" i="8" s="1"/>
  <c r="CD19" i="8" a="1"/>
  <c r="CD19" i="8" s="1"/>
  <c r="CC19" i="8" a="1"/>
  <c r="CC19" i="8"/>
  <c r="CB19" i="8" a="1"/>
  <c r="CB19" i="8" s="1"/>
  <c r="CA19" i="8" a="1"/>
  <c r="CA19" i="8" s="1"/>
  <c r="BZ19" i="8" a="1"/>
  <c r="BZ19" i="8" s="1"/>
  <c r="BY19" i="8" a="1"/>
  <c r="BY19" i="8" s="1"/>
  <c r="BX19" i="8" a="1"/>
  <c r="BX19" i="8" s="1"/>
  <c r="BW19" i="8" a="1"/>
  <c r="BW19" i="8" s="1"/>
  <c r="BV19" i="8" a="1"/>
  <c r="BV19" i="8" s="1"/>
  <c r="BU19" i="8" a="1"/>
  <c r="BU19" i="8" s="1"/>
  <c r="BT19" i="8" a="1"/>
  <c r="BT19" i="8" s="1"/>
  <c r="BS19" i="8" a="1"/>
  <c r="BS19" i="8" s="1"/>
  <c r="BR19" i="8" a="1"/>
  <c r="BR19" i="8" s="1"/>
  <c r="BQ19" i="8" a="1"/>
  <c r="BQ19" i="8" s="1"/>
  <c r="BP19" i="8" a="1"/>
  <c r="BP19" i="8"/>
  <c r="BO19" i="8" a="1"/>
  <c r="BO19" i="8" s="1"/>
  <c r="BN19" i="8" a="1"/>
  <c r="BN19" i="8"/>
  <c r="BM19" i="8" a="1"/>
  <c r="BM19" i="8" s="1"/>
  <c r="BL19" i="8" a="1"/>
  <c r="BL19" i="8" s="1"/>
  <c r="BK19" i="8" a="1"/>
  <c r="BK19" i="8" s="1"/>
  <c r="BJ19" i="8" a="1"/>
  <c r="BJ19" i="8" s="1"/>
  <c r="BI19" i="8" a="1"/>
  <c r="BI19" i="8" s="1"/>
  <c r="BH19" i="8" a="1"/>
  <c r="BH19" i="8" s="1"/>
  <c r="BG19" i="8" a="1"/>
  <c r="BG19" i="8" s="1"/>
  <c r="BF19" i="8" a="1"/>
  <c r="BF19" i="8"/>
  <c r="BE19" i="8" a="1"/>
  <c r="BE19" i="8" s="1"/>
  <c r="BD19" i="8" a="1"/>
  <c r="BD19" i="8" s="1"/>
  <c r="BC19" i="8" a="1"/>
  <c r="BC19" i="8" s="1"/>
  <c r="BB19" i="8" a="1"/>
  <c r="BB19" i="8" s="1"/>
  <c r="BA19" i="8" a="1"/>
  <c r="BA19" i="8"/>
  <c r="AZ19" i="8" a="1"/>
  <c r="AZ19" i="8"/>
  <c r="AY19" i="8" a="1"/>
  <c r="AY19" i="8" s="1"/>
  <c r="AX19" i="8" a="1"/>
  <c r="AX19" i="8" s="1"/>
  <c r="AW19" i="8" a="1"/>
  <c r="AW19" i="8" s="1"/>
  <c r="AV19" i="8" a="1"/>
  <c r="AV19" i="8" s="1"/>
  <c r="AU19" i="8" a="1"/>
  <c r="AU19" i="8"/>
  <c r="AT19" i="8" a="1"/>
  <c r="AT19" i="8" s="1"/>
  <c r="AS19" i="8" a="1"/>
  <c r="AS19" i="8" s="1"/>
  <c r="AR19" i="8" a="1"/>
  <c r="AR19" i="8"/>
  <c r="AQ19" i="8" a="1"/>
  <c r="AQ19" i="8" s="1"/>
  <c r="AP19" i="8" a="1"/>
  <c r="AP19" i="8" s="1"/>
  <c r="AO19" i="8" a="1"/>
  <c r="AO19" i="8" s="1"/>
  <c r="AN19" i="8" a="1"/>
  <c r="AN19" i="8" s="1"/>
  <c r="AM19" i="8" a="1"/>
  <c r="AM19" i="8" s="1"/>
  <c r="AL19" i="8" a="1"/>
  <c r="AL19" i="8" s="1"/>
  <c r="AK19" i="8" a="1"/>
  <c r="AK19" i="8" s="1"/>
  <c r="AJ19" i="8" a="1"/>
  <c r="AJ19" i="8" s="1"/>
  <c r="AI19" i="8" a="1"/>
  <c r="AI19" i="8" s="1"/>
  <c r="AH19" i="8" a="1"/>
  <c r="AH19" i="8" s="1"/>
  <c r="AG19" i="8" a="1"/>
  <c r="AG19" i="8" s="1"/>
  <c r="AF19" i="8" a="1"/>
  <c r="AF19" i="8" s="1"/>
  <c r="AE19" i="8" a="1"/>
  <c r="AE19" i="8" s="1"/>
  <c r="AD19" i="8" a="1"/>
  <c r="AD19" i="8"/>
  <c r="AC19" i="8" a="1"/>
  <c r="AC19" i="8"/>
  <c r="AB19" i="8" a="1"/>
  <c r="AB19" i="8"/>
  <c r="AA19" i="8" a="1"/>
  <c r="AA19" i="8" s="1"/>
  <c r="Z19" i="8" a="1"/>
  <c r="Z19" i="8" s="1"/>
  <c r="Y19" i="8" a="1"/>
  <c r="Y19" i="8"/>
  <c r="X19" i="8" a="1"/>
  <c r="X19" i="8" s="1"/>
  <c r="W19" i="8" a="1"/>
  <c r="W19" i="8" s="1"/>
  <c r="V19" i="8" a="1"/>
  <c r="V19" i="8" s="1"/>
  <c r="U19" i="8" a="1"/>
  <c r="U19" i="8" s="1"/>
  <c r="T19" i="8" a="1"/>
  <c r="T19" i="8"/>
  <c r="S19" i="8" a="1"/>
  <c r="S19" i="8"/>
  <c r="R19" i="8" a="1"/>
  <c r="R19" i="8" s="1"/>
  <c r="Q19" i="8" a="1"/>
  <c r="Q19" i="8" s="1"/>
  <c r="P19" i="8" a="1"/>
  <c r="P19" i="8" s="1"/>
  <c r="O19" i="8" a="1"/>
  <c r="O19" i="8"/>
  <c r="N19" i="8" a="1"/>
  <c r="N19" i="8" s="1"/>
  <c r="M19" i="8" a="1"/>
  <c r="M19" i="8" s="1"/>
  <c r="L19" i="8" a="1"/>
  <c r="L19" i="8" s="1"/>
  <c r="K19" i="8" a="1"/>
  <c r="K19" i="8"/>
  <c r="J19" i="8" a="1"/>
  <c r="J19" i="8" s="1"/>
  <c r="I19" i="8" a="1"/>
  <c r="I19" i="8" s="1"/>
  <c r="H19" i="8" a="1"/>
  <c r="H19" i="8" s="1"/>
  <c r="G19" i="8" a="1"/>
  <c r="G19" i="8" s="1"/>
  <c r="F19" i="8" a="1"/>
  <c r="F19" i="8"/>
  <c r="E19" i="8" a="1"/>
  <c r="E19" i="8"/>
  <c r="D19" i="8" a="1"/>
  <c r="D19" i="8" s="1"/>
  <c r="C19" i="8" a="1"/>
  <c r="C19" i="8"/>
  <c r="EF18" i="8" a="1"/>
  <c r="EF18" i="8"/>
  <c r="EE18" i="8" a="1"/>
  <c r="EE18" i="8" s="1"/>
  <c r="ED18" i="8" a="1"/>
  <c r="ED18" i="8" s="1"/>
  <c r="EC18" i="8" a="1"/>
  <c r="EC18" i="8" s="1"/>
  <c r="EB18" i="8" a="1"/>
  <c r="EB18" i="8" s="1"/>
  <c r="EA18" i="8" a="1"/>
  <c r="EA18" i="8" s="1"/>
  <c r="DZ18" i="8" a="1"/>
  <c r="DZ18" i="8" s="1"/>
  <c r="DY18" i="8" a="1"/>
  <c r="DY18" i="8" s="1"/>
  <c r="DX18" i="8" a="1"/>
  <c r="DX18" i="8" s="1"/>
  <c r="DW18" i="8" a="1"/>
  <c r="DW18" i="8" s="1"/>
  <c r="DV18" i="8" a="1"/>
  <c r="DV18" i="8"/>
  <c r="DU18" i="8" a="1"/>
  <c r="DU18" i="8"/>
  <c r="DT18" i="8" a="1"/>
  <c r="DT18" i="8" s="1"/>
  <c r="DS18" i="8" a="1"/>
  <c r="DS18" i="8" s="1"/>
  <c r="DR18" i="8" a="1"/>
  <c r="DR18" i="8" s="1"/>
  <c r="DQ18" i="8" a="1"/>
  <c r="DQ18" i="8"/>
  <c r="DP18" i="8" a="1"/>
  <c r="DP18" i="8" s="1"/>
  <c r="DO18" i="8" a="1"/>
  <c r="DO18" i="8" s="1"/>
  <c r="DN18" i="8" a="1"/>
  <c r="DN18" i="8" s="1"/>
  <c r="DM18" i="8" a="1"/>
  <c r="DM18" i="8"/>
  <c r="DL18" i="8" a="1"/>
  <c r="DL18" i="8" s="1"/>
  <c r="DK18" i="8" a="1"/>
  <c r="DK18" i="8" s="1"/>
  <c r="DJ18" i="8" a="1"/>
  <c r="DJ18" i="8" s="1"/>
  <c r="DI18" i="8" a="1"/>
  <c r="DI18" i="8" s="1"/>
  <c r="DH18" i="8" a="1"/>
  <c r="DH18" i="8" s="1"/>
  <c r="DG18" i="8" a="1"/>
  <c r="DG18" i="8" s="1"/>
  <c r="DF18" i="8" a="1"/>
  <c r="DF18" i="8" s="1"/>
  <c r="DE18" i="8" a="1"/>
  <c r="DE18" i="8" s="1"/>
  <c r="DD18" i="8" a="1"/>
  <c r="DD18" i="8"/>
  <c r="DC18" i="8" a="1"/>
  <c r="DC18" i="8"/>
  <c r="DB18" i="8" a="1"/>
  <c r="DB18" i="8"/>
  <c r="DA18" i="8" a="1"/>
  <c r="DA18" i="8" s="1"/>
  <c r="CZ18" i="8" a="1"/>
  <c r="CZ18" i="8" s="1"/>
  <c r="CY18" i="8" a="1"/>
  <c r="CY18" i="8" s="1"/>
  <c r="CX18" i="8" a="1"/>
  <c r="CX18" i="8" s="1"/>
  <c r="CW18" i="8" a="1"/>
  <c r="CW18" i="8" s="1"/>
  <c r="CV18" i="8" a="1"/>
  <c r="CV18" i="8" s="1"/>
  <c r="CU18" i="8" a="1"/>
  <c r="CU18" i="8" s="1"/>
  <c r="CT18" i="8" a="1"/>
  <c r="CT18" i="8" s="1"/>
  <c r="CS18" i="8" a="1"/>
  <c r="CS18" i="8"/>
  <c r="CR18" i="8" a="1"/>
  <c r="CR18" i="8" s="1"/>
  <c r="CQ18" i="8" a="1"/>
  <c r="CQ18" i="8" s="1"/>
  <c r="CP18" i="8" a="1"/>
  <c r="CP18" i="8" s="1"/>
  <c r="CO18" i="8" a="1"/>
  <c r="CO18" i="8"/>
  <c r="CN18" i="8" a="1"/>
  <c r="CN18" i="8"/>
  <c r="CM18" i="8" a="1"/>
  <c r="CM18" i="8" s="1"/>
  <c r="CL18" i="8" a="1"/>
  <c r="CL18" i="8" s="1"/>
  <c r="CK18" i="8" a="1"/>
  <c r="CK18" i="8" s="1"/>
  <c r="CJ18" i="8" a="1"/>
  <c r="CJ18" i="8"/>
  <c r="CI18" i="8" a="1"/>
  <c r="CI18" i="8" s="1"/>
  <c r="CH18" i="8" a="1"/>
  <c r="CH18" i="8" s="1"/>
  <c r="CG18" i="8" a="1"/>
  <c r="CG18" i="8" s="1"/>
  <c r="CF18" i="8" a="1"/>
  <c r="CF18" i="8"/>
  <c r="CE18" i="8" a="1"/>
  <c r="CE18" i="8" s="1"/>
  <c r="CD18" i="8" a="1"/>
  <c r="CD18" i="8"/>
  <c r="CC18" i="8" a="1"/>
  <c r="CC18" i="8" s="1"/>
  <c r="CB18" i="8" a="1"/>
  <c r="CB18" i="8" s="1"/>
  <c r="CA18" i="8" a="1"/>
  <c r="CA18" i="8" s="1"/>
  <c r="BZ18" i="8" a="1"/>
  <c r="BZ18" i="8" s="1"/>
  <c r="BY18" i="8" a="1"/>
  <c r="BY18" i="8"/>
  <c r="BX18" i="8" a="1"/>
  <c r="BX18" i="8" s="1"/>
  <c r="BW18" i="8" a="1"/>
  <c r="BW18" i="8" s="1"/>
  <c r="BV18" i="8" a="1"/>
  <c r="BV18" i="8"/>
  <c r="BU18" i="8" a="1"/>
  <c r="BU18" i="8"/>
  <c r="BT18" i="8" a="1"/>
  <c r="BT18" i="8" s="1"/>
  <c r="BS18" i="8" a="1"/>
  <c r="BS18" i="8" s="1"/>
  <c r="BR18" i="8" a="1"/>
  <c r="BR18" i="8"/>
  <c r="BQ18" i="8" a="1"/>
  <c r="BQ18" i="8" s="1"/>
  <c r="BP18" i="8" a="1"/>
  <c r="BP18" i="8" s="1"/>
  <c r="BO18" i="8" a="1"/>
  <c r="BO18" i="8" s="1"/>
  <c r="BN18" i="8" a="1"/>
  <c r="BN18" i="8"/>
  <c r="BM18" i="8" a="1"/>
  <c r="BM18" i="8" s="1"/>
  <c r="BL18" i="8" a="1"/>
  <c r="BL18" i="8"/>
  <c r="BK18" i="8" a="1"/>
  <c r="BK18" i="8"/>
  <c r="BJ18" i="8" a="1"/>
  <c r="BJ18" i="8"/>
  <c r="BI18" i="8" a="1"/>
  <c r="BI18" i="8" s="1"/>
  <c r="BH18" i="8" a="1"/>
  <c r="BH18" i="8"/>
  <c r="BG18" i="8" a="1"/>
  <c r="BG18" i="8" s="1"/>
  <c r="BF18" i="8" a="1"/>
  <c r="BF18" i="8" s="1"/>
  <c r="BE18" i="8" a="1"/>
  <c r="BE18" i="8" s="1"/>
  <c r="BD18" i="8" a="1"/>
  <c r="BD18" i="8" s="1"/>
  <c r="BC18" i="8" a="1"/>
  <c r="BC18" i="8"/>
  <c r="BB18" i="8" a="1"/>
  <c r="BB18" i="8" s="1"/>
  <c r="BA18" i="8" a="1"/>
  <c r="BA18" i="8" s="1"/>
  <c r="AZ18" i="8" a="1"/>
  <c r="AZ18" i="8"/>
  <c r="AY18" i="8" a="1"/>
  <c r="AY18" i="8" s="1"/>
  <c r="AX18" i="8" a="1"/>
  <c r="AX18" i="8" s="1"/>
  <c r="AW18" i="8" a="1"/>
  <c r="AW18" i="8" s="1"/>
  <c r="AV18" i="8" a="1"/>
  <c r="AV18" i="8"/>
  <c r="AU18" i="8" a="1"/>
  <c r="AU18" i="8" s="1"/>
  <c r="AT18" i="8" a="1"/>
  <c r="AT18" i="8" s="1"/>
  <c r="AS18" i="8" a="1"/>
  <c r="AS18" i="8" s="1"/>
  <c r="AR18" i="8" a="1"/>
  <c r="AR18" i="8"/>
  <c r="AQ18" i="8" a="1"/>
  <c r="AQ18" i="8" s="1"/>
  <c r="AP18" i="8" a="1"/>
  <c r="AP18" i="8" s="1"/>
  <c r="AO18" i="8" a="1"/>
  <c r="AO18" i="8"/>
  <c r="AN18" i="8" a="1"/>
  <c r="AN18" i="8" s="1"/>
  <c r="AM18" i="8" a="1"/>
  <c r="AM18" i="8" s="1"/>
  <c r="AL18" i="8" a="1"/>
  <c r="AL18" i="8" s="1"/>
  <c r="AK18" i="8" a="1"/>
  <c r="AK18" i="8" s="1"/>
  <c r="AJ18" i="8" a="1"/>
  <c r="AJ18" i="8" s="1"/>
  <c r="AI18" i="8" a="1"/>
  <c r="AI18" i="8" s="1"/>
  <c r="AH18" i="8" a="1"/>
  <c r="AH18" i="8" s="1"/>
  <c r="AG18" i="8" a="1"/>
  <c r="AG18" i="8"/>
  <c r="AF18" i="8" a="1"/>
  <c r="AF18" i="8" s="1"/>
  <c r="AE18" i="8" a="1"/>
  <c r="AE18" i="8" s="1"/>
  <c r="AD18" i="8" a="1"/>
  <c r="AD18" i="8" s="1"/>
  <c r="AC18" i="8" a="1"/>
  <c r="AC18" i="8"/>
  <c r="AB18" i="8" a="1"/>
  <c r="AB18" i="8" s="1"/>
  <c r="AA18" i="8" a="1"/>
  <c r="AA18" i="8" s="1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/>
  <c r="R18" i="8" a="1"/>
  <c r="R18" i="8" s="1"/>
  <c r="Q18" i="8" a="1"/>
  <c r="Q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/>
  <c r="J18" i="8" a="1"/>
  <c r="J18" i="8" s="1"/>
  <c r="I18" i="8" a="1"/>
  <c r="I18" i="8" s="1"/>
  <c r="H18" i="8" a="1"/>
  <c r="H18" i="8" s="1"/>
  <c r="G18" i="8" a="1"/>
  <c r="G18" i="8"/>
  <c r="F18" i="8" a="1"/>
  <c r="F18" i="8" s="1"/>
  <c r="E18" i="8" a="1"/>
  <c r="E18" i="8" s="1"/>
  <c r="D18" i="8" a="1"/>
  <c r="D18" i="8"/>
  <c r="C18" i="8" a="1"/>
  <c r="C18" i="8" s="1"/>
  <c r="EF17" i="8" a="1"/>
  <c r="EF17" i="8" s="1"/>
  <c r="EE17" i="8" a="1"/>
  <c r="EE17" i="8" s="1"/>
  <c r="ED17" i="8" a="1"/>
  <c r="ED17" i="8" s="1"/>
  <c r="EC17" i="8" a="1"/>
  <c r="EC17" i="8" s="1"/>
  <c r="EB17" i="8" a="1"/>
  <c r="EB17" i="8" s="1"/>
  <c r="EA17" i="8" a="1"/>
  <c r="EA17" i="8" s="1"/>
  <c r="DZ17" i="8" a="1"/>
  <c r="DZ17" i="8" s="1"/>
  <c r="DY17" i="8" a="1"/>
  <c r="DY17" i="8" s="1"/>
  <c r="DX17" i="8" a="1"/>
  <c r="DX17" i="8" s="1"/>
  <c r="DW17" i="8" a="1"/>
  <c r="DW17" i="8" s="1"/>
  <c r="DV17" i="8" a="1"/>
  <c r="DV17" i="8" s="1"/>
  <c r="DU17" i="8" a="1"/>
  <c r="DU17" i="8" s="1"/>
  <c r="DT17" i="8" a="1"/>
  <c r="DT17" i="8" s="1"/>
  <c r="DS17" i="8" a="1"/>
  <c r="DS17" i="8"/>
  <c r="DR17" i="8" a="1"/>
  <c r="DR17" i="8" s="1"/>
  <c r="DQ17" i="8" a="1"/>
  <c r="DQ17" i="8"/>
  <c r="DP17" i="8" a="1"/>
  <c r="DP17" i="8" s="1"/>
  <c r="DO17" i="8" a="1"/>
  <c r="DO17" i="8" s="1"/>
  <c r="DN17" i="8" a="1"/>
  <c r="DN17" i="8" s="1"/>
  <c r="DM17" i="8" a="1"/>
  <c r="DM17" i="8" s="1"/>
  <c r="DL17" i="8" a="1"/>
  <c r="DL17" i="8" s="1"/>
  <c r="DK17" i="8" a="1"/>
  <c r="DK17" i="8" s="1"/>
  <c r="DJ17" i="8" a="1"/>
  <c r="DJ17" i="8" s="1"/>
  <c r="DI17" i="8" a="1"/>
  <c r="DI17" i="8" s="1"/>
  <c r="DH17" i="8" a="1"/>
  <c r="DH17" i="8"/>
  <c r="DG17" i="8" a="1"/>
  <c r="DG17" i="8" s="1"/>
  <c r="DF17" i="8" a="1"/>
  <c r="DF17" i="8" s="1"/>
  <c r="DE17" i="8" a="1"/>
  <c r="DE17" i="8" s="1"/>
  <c r="DD17" i="8" a="1"/>
  <c r="DD17" i="8" s="1"/>
  <c r="DC17" i="8" a="1"/>
  <c r="DC17" i="8" s="1"/>
  <c r="DB17" i="8" a="1"/>
  <c r="DB17" i="8" s="1"/>
  <c r="DA17" i="8" a="1"/>
  <c r="DA17" i="8" s="1"/>
  <c r="CZ17" i="8" a="1"/>
  <c r="CZ17" i="8" s="1"/>
  <c r="CY17" i="8" a="1"/>
  <c r="CY17" i="8" s="1"/>
  <c r="CX17" i="8" a="1"/>
  <c r="CX17" i="8" s="1"/>
  <c r="CW17" i="8" a="1"/>
  <c r="CW17" i="8" s="1"/>
  <c r="CV17" i="8" a="1"/>
  <c r="CV17" i="8" s="1"/>
  <c r="CU17" i="8" a="1"/>
  <c r="CU17" i="8" s="1"/>
  <c r="CT17" i="8" a="1"/>
  <c r="CT17" i="8" s="1"/>
  <c r="CS17" i="8" a="1"/>
  <c r="CS17" i="8" s="1"/>
  <c r="CR17" i="8" a="1"/>
  <c r="CR17" i="8" s="1"/>
  <c r="CQ17" i="8" a="1"/>
  <c r="CQ17" i="8" s="1"/>
  <c r="CP17" i="8" a="1"/>
  <c r="CP17" i="8"/>
  <c r="CO17" i="8" a="1"/>
  <c r="CO17" i="8" s="1"/>
  <c r="CN17" i="8" a="1"/>
  <c r="CN17" i="8" s="1"/>
  <c r="CM17" i="8" a="1"/>
  <c r="CM17" i="8" s="1"/>
  <c r="CL17" i="8" a="1"/>
  <c r="CL17" i="8" s="1"/>
  <c r="CK17" i="8" a="1"/>
  <c r="CK17" i="8" s="1"/>
  <c r="CJ17" i="8" a="1"/>
  <c r="CJ17" i="8"/>
  <c r="CI17" i="8" a="1"/>
  <c r="CI17" i="8"/>
  <c r="CH17" i="8" a="1"/>
  <c r="CH17" i="8" s="1"/>
  <c r="CG17" i="8" a="1"/>
  <c r="CG17" i="8" s="1"/>
  <c r="CF17" i="8" a="1"/>
  <c r="CF17" i="8" s="1"/>
  <c r="CE17" i="8" a="1"/>
  <c r="CE17" i="8" s="1"/>
  <c r="CD17" i="8" a="1"/>
  <c r="CD17" i="8" s="1"/>
  <c r="CC17" i="8" a="1"/>
  <c r="CC17" i="8"/>
  <c r="CB17" i="8" a="1"/>
  <c r="CB17" i="8" s="1"/>
  <c r="CA17" i="8" a="1"/>
  <c r="CA17" i="8" s="1"/>
  <c r="BZ17" i="8" a="1"/>
  <c r="BZ17" i="8" s="1"/>
  <c r="BY17" i="8" a="1"/>
  <c r="BY17" i="8"/>
  <c r="BX17" i="8" a="1"/>
  <c r="BX17" i="8" s="1"/>
  <c r="BW17" i="8" a="1"/>
  <c r="BW17" i="8" s="1"/>
  <c r="BV17" i="8" a="1"/>
  <c r="BV17" i="8" s="1"/>
  <c r="BU17" i="8" a="1"/>
  <c r="BU17" i="8" s="1"/>
  <c r="BT17" i="8" a="1"/>
  <c r="BT17" i="8" s="1"/>
  <c r="BS17" i="8" a="1"/>
  <c r="BS17" i="8" s="1"/>
  <c r="BR17" i="8" a="1"/>
  <c r="BR17" i="8"/>
  <c r="BQ17" i="8" a="1"/>
  <c r="BQ17" i="8" s="1"/>
  <c r="BP17" i="8" a="1"/>
  <c r="BP17" i="8"/>
  <c r="BO17" i="8" a="1"/>
  <c r="BO17" i="8" s="1"/>
  <c r="BN17" i="8" a="1"/>
  <c r="BN17" i="8" s="1"/>
  <c r="BM17" i="8" a="1"/>
  <c r="BM17" i="8" s="1"/>
  <c r="BL17" i="8" a="1"/>
  <c r="BL17" i="8" s="1"/>
  <c r="BK17" i="8" a="1"/>
  <c r="BK17" i="8" s="1"/>
  <c r="BJ17" i="8" a="1"/>
  <c r="BJ17" i="8" s="1"/>
  <c r="BI17" i="8" a="1"/>
  <c r="BI17" i="8" s="1"/>
  <c r="BH17" i="8" a="1"/>
  <c r="BH17" i="8" s="1"/>
  <c r="BG17" i="8" a="1"/>
  <c r="BG17" i="8" s="1"/>
  <c r="BF17" i="8" a="1"/>
  <c r="BF17" i="8" s="1"/>
  <c r="BE17" i="8" a="1"/>
  <c r="BE17" i="8" s="1"/>
  <c r="BD17" i="8" a="1"/>
  <c r="BD17" i="8" s="1"/>
  <c r="BC17" i="8" a="1"/>
  <c r="BC17" i="8"/>
  <c r="BB17" i="8" a="1"/>
  <c r="BB17" i="8" s="1"/>
  <c r="BA17" i="8" a="1"/>
  <c r="BA17" i="8" s="1"/>
  <c r="AZ17" i="8" a="1"/>
  <c r="AZ17" i="8" s="1"/>
  <c r="AY17" i="8" a="1"/>
  <c r="AY17" i="8" s="1"/>
  <c r="AX17" i="8" a="1"/>
  <c r="AX17" i="8" s="1"/>
  <c r="AW17" i="8" a="1"/>
  <c r="AW17" i="8" s="1"/>
  <c r="AV17" i="8" a="1"/>
  <c r="AV17" i="8" s="1"/>
  <c r="AU17" i="8" a="1"/>
  <c r="AU17" i="8" s="1"/>
  <c r="AT17" i="8" a="1"/>
  <c r="AT17" i="8" s="1"/>
  <c r="AS17" i="8" a="1"/>
  <c r="AS17" i="8" s="1"/>
  <c r="AR17" i="8" a="1"/>
  <c r="AR17" i="8" s="1"/>
  <c r="AQ17" i="8" a="1"/>
  <c r="AQ17" i="8"/>
  <c r="AP17" i="8" a="1"/>
  <c r="AP17" i="8" s="1"/>
  <c r="AO17" i="8" a="1"/>
  <c r="AO17" i="8" s="1"/>
  <c r="AN17" i="8" a="1"/>
  <c r="AN17" i="8" s="1"/>
  <c r="AM17" i="8" a="1"/>
  <c r="AM17" i="8"/>
  <c r="AL17" i="8" a="1"/>
  <c r="AL17" i="8" s="1"/>
  <c r="AK17" i="8" a="1"/>
  <c r="AK17" i="8" s="1"/>
  <c r="AJ17" i="8" a="1"/>
  <c r="AJ17" i="8" s="1"/>
  <c r="AI17" i="8" a="1"/>
  <c r="AI17" i="8"/>
  <c r="AH17" i="8" a="1"/>
  <c r="AH17" i="8" s="1"/>
  <c r="AG17" i="8" a="1"/>
  <c r="AG17" i="8" s="1"/>
  <c r="AF17" i="8" a="1"/>
  <c r="AF17" i="8" s="1"/>
  <c r="AE17" i="8" a="1"/>
  <c r="AE17" i="8" s="1"/>
  <c r="AD17" i="8" a="1"/>
  <c r="AD17" i="8" s="1"/>
  <c r="AC17" i="8" a="1"/>
  <c r="AC17" i="8" s="1"/>
  <c r="AB17" i="8" a="1"/>
  <c r="AB17" i="8" s="1"/>
  <c r="AA17" i="8" a="1"/>
  <c r="AA17" i="8" s="1"/>
  <c r="Z17" i="8" a="1"/>
  <c r="Z17" i="8" s="1"/>
  <c r="Y17" i="8" a="1"/>
  <c r="Y17" i="8" s="1"/>
  <c r="X17" i="8" a="1"/>
  <c r="X17" i="8"/>
  <c r="W17" i="8" a="1"/>
  <c r="W17" i="8" s="1"/>
  <c r="V17" i="8" a="1"/>
  <c r="V17" i="8"/>
  <c r="U17" i="8" a="1"/>
  <c r="U17" i="8" s="1"/>
  <c r="T17" i="8" a="1"/>
  <c r="T17" i="8" s="1"/>
  <c r="S17" i="8" a="1"/>
  <c r="S17" i="8" s="1"/>
  <c r="R17" i="8" a="1"/>
  <c r="R17" i="8" s="1"/>
  <c r="Q17" i="8" a="1"/>
  <c r="Q17" i="8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/>
  <c r="J17" i="8" a="1"/>
  <c r="J17" i="8"/>
  <c r="I17" i="8" a="1"/>
  <c r="I17" i="8" s="1"/>
  <c r="H17" i="8" a="1"/>
  <c r="H17" i="8" s="1"/>
  <c r="G17" i="8" a="1"/>
  <c r="G17" i="8" s="1"/>
  <c r="F17" i="8" a="1"/>
  <c r="F17" i="8" s="1"/>
  <c r="E17" i="8" a="1"/>
  <c r="E17" i="8" s="1"/>
  <c r="D17" i="8" a="1"/>
  <c r="D17" i="8" s="1"/>
  <c r="C17" i="8" a="1"/>
  <c r="C17" i="8" s="1"/>
  <c r="EF16" i="8" a="1"/>
  <c r="EF16" i="8" s="1"/>
  <c r="EE16" i="8" a="1"/>
  <c r="EE16" i="8" s="1"/>
  <c r="ED16" i="8" a="1"/>
  <c r="ED16" i="8" s="1"/>
  <c r="EC16" i="8" a="1"/>
  <c r="EC16" i="8" s="1"/>
  <c r="EB16" i="8" a="1"/>
  <c r="EB16" i="8" s="1"/>
  <c r="EA16" i="8" a="1"/>
  <c r="EA16" i="8" s="1"/>
  <c r="DZ16" i="8" a="1"/>
  <c r="DZ16" i="8" s="1"/>
  <c r="DY16" i="8" a="1"/>
  <c r="DY16" i="8"/>
  <c r="DX16" i="8" a="1"/>
  <c r="DX16" i="8" s="1"/>
  <c r="DW16" i="8" a="1"/>
  <c r="DW16" i="8" s="1"/>
  <c r="DV16" i="8" a="1"/>
  <c r="DV16" i="8" s="1"/>
  <c r="DU16" i="8" a="1"/>
  <c r="DU16" i="8"/>
  <c r="DT16" i="8" a="1"/>
  <c r="DT16" i="8" s="1"/>
  <c r="DS16" i="8" a="1"/>
  <c r="DS16" i="8" s="1"/>
  <c r="DR16" i="8" a="1"/>
  <c r="DR16" i="8" s="1"/>
  <c r="DQ16" i="8" a="1"/>
  <c r="DQ16" i="8" s="1"/>
  <c r="DP16" i="8" a="1"/>
  <c r="DP16" i="8" s="1"/>
  <c r="DO16" i="8" a="1"/>
  <c r="DO16" i="8" s="1"/>
  <c r="DN16" i="8" a="1"/>
  <c r="DN16" i="8" s="1"/>
  <c r="DM16" i="8" a="1"/>
  <c r="DM16" i="8" s="1"/>
  <c r="DL16" i="8" a="1"/>
  <c r="DL16" i="8"/>
  <c r="DK16" i="8" a="1"/>
  <c r="DK16" i="8"/>
  <c r="DJ16" i="8" a="1"/>
  <c r="DJ16" i="8"/>
  <c r="DI16" i="8" a="1"/>
  <c r="DI16" i="8" s="1"/>
  <c r="DH16" i="8" a="1"/>
  <c r="DH16" i="8"/>
  <c r="DG16" i="8" a="1"/>
  <c r="DG16" i="8"/>
  <c r="DF16" i="8" a="1"/>
  <c r="DF16" i="8"/>
  <c r="DE16" i="8" a="1"/>
  <c r="DE16" i="8" s="1"/>
  <c r="DD16" i="8" a="1"/>
  <c r="DD16" i="8" s="1"/>
  <c r="DC16" i="8" a="1"/>
  <c r="DC16" i="8" s="1"/>
  <c r="DB16" i="8" a="1"/>
  <c r="DB16" i="8" s="1"/>
  <c r="DA16" i="8" a="1"/>
  <c r="DA16" i="8" s="1"/>
  <c r="CZ16" i="8" a="1"/>
  <c r="CZ16" i="8" s="1"/>
  <c r="CY16" i="8" a="1"/>
  <c r="CY16" i="8"/>
  <c r="CX16" i="8" a="1"/>
  <c r="CX16" i="8" s="1"/>
  <c r="CW16" i="8" a="1"/>
  <c r="CW16" i="8" s="1"/>
  <c r="CV16" i="8" a="1"/>
  <c r="CV16" i="8"/>
  <c r="CU16" i="8" a="1"/>
  <c r="CU16" i="8"/>
  <c r="CT16" i="8" a="1"/>
  <c r="CT16" i="8" s="1"/>
  <c r="CS16" i="8" a="1"/>
  <c r="CS16" i="8" s="1"/>
  <c r="CR16" i="8" a="1"/>
  <c r="CR16" i="8"/>
  <c r="CQ16" i="8" a="1"/>
  <c r="CQ16" i="8" s="1"/>
  <c r="CP16" i="8" a="1"/>
  <c r="CP16" i="8" s="1"/>
  <c r="CO16" i="8" a="1"/>
  <c r="CO16" i="8" s="1"/>
  <c r="CN16" i="8" a="1"/>
  <c r="CN16" i="8" s="1"/>
  <c r="CM16" i="8" a="1"/>
  <c r="CM16" i="8" s="1"/>
  <c r="CL16" i="8" a="1"/>
  <c r="CL16" i="8"/>
  <c r="CK16" i="8" a="1"/>
  <c r="CK16" i="8"/>
  <c r="CJ16" i="8" a="1"/>
  <c r="CJ16" i="8" s="1"/>
  <c r="CI16" i="8" a="1"/>
  <c r="CI16" i="8" s="1"/>
  <c r="CH16" i="8" a="1"/>
  <c r="CH16" i="8" s="1"/>
  <c r="CG16" i="8" a="1"/>
  <c r="CG16" i="8" s="1"/>
  <c r="CF16" i="8" a="1"/>
  <c r="CF16" i="8" s="1"/>
  <c r="CE16" i="8" a="1"/>
  <c r="CE16" i="8"/>
  <c r="CD16" i="8" a="1"/>
  <c r="CD16" i="8" s="1"/>
  <c r="CC16" i="8" a="1"/>
  <c r="CC16" i="8"/>
  <c r="CB16" i="8" a="1"/>
  <c r="CB16" i="8" s="1"/>
  <c r="CA16" i="8" a="1"/>
  <c r="CA16" i="8" s="1"/>
  <c r="BZ16" i="8" a="1"/>
  <c r="BZ16" i="8" s="1"/>
  <c r="BY16" i="8" a="1"/>
  <c r="BY16" i="8" s="1"/>
  <c r="BX16" i="8" a="1"/>
  <c r="BX16" i="8" s="1"/>
  <c r="BW16" i="8" a="1"/>
  <c r="BW16" i="8" s="1"/>
  <c r="BV16" i="8" a="1"/>
  <c r="BV16" i="8" s="1"/>
  <c r="BU16" i="8" a="1"/>
  <c r="BU16" i="8" s="1"/>
  <c r="BT16" i="8" a="1"/>
  <c r="BT16" i="8" s="1"/>
  <c r="BS16" i="8" a="1"/>
  <c r="BS16" i="8" s="1"/>
  <c r="BR16" i="8" a="1"/>
  <c r="BR16" i="8" s="1"/>
  <c r="BQ16" i="8" a="1"/>
  <c r="BQ16" i="8" s="1"/>
  <c r="BP16" i="8" a="1"/>
  <c r="BP16" i="8"/>
  <c r="BO16" i="8" a="1"/>
  <c r="BO16" i="8"/>
  <c r="BN16" i="8" a="1"/>
  <c r="BN16" i="8" s="1"/>
  <c r="BM16" i="8" a="1"/>
  <c r="BM16" i="8" s="1"/>
  <c r="BL16" i="8" a="1"/>
  <c r="BL16" i="8"/>
  <c r="BK16" i="8" a="1"/>
  <c r="BK16" i="8" s="1"/>
  <c r="BJ16" i="8" a="1"/>
  <c r="BJ16" i="8" s="1"/>
  <c r="BI16" i="8" a="1"/>
  <c r="BI16" i="8" s="1"/>
  <c r="BH16" i="8" a="1"/>
  <c r="BH16" i="8" s="1"/>
  <c r="BG16" i="8" a="1"/>
  <c r="BG16" i="8"/>
  <c r="BF16" i="8" a="1"/>
  <c r="BF16" i="8" s="1"/>
  <c r="BE16" i="8" a="1"/>
  <c r="BE16" i="8" s="1"/>
  <c r="BD16" i="8" a="1"/>
  <c r="BD16" i="8"/>
  <c r="BC16" i="8" a="1"/>
  <c r="BC16" i="8" s="1"/>
  <c r="BB16" i="8" a="1"/>
  <c r="BB16" i="8" s="1"/>
  <c r="BA16" i="8" a="1"/>
  <c r="BA16" i="8" s="1"/>
  <c r="AZ16" i="8" a="1"/>
  <c r="AZ16" i="8" s="1"/>
  <c r="AY16" i="8" a="1"/>
  <c r="AY16" i="8" s="1"/>
  <c r="AX16" i="8" a="1"/>
  <c r="AX16" i="8" s="1"/>
  <c r="AW16" i="8" a="1"/>
  <c r="AW16" i="8" s="1"/>
  <c r="AV16" i="8" a="1"/>
  <c r="AV16" i="8"/>
  <c r="AU16" i="8" a="1"/>
  <c r="AU16" i="8" s="1"/>
  <c r="AT16" i="8" a="1"/>
  <c r="AT16" i="8" s="1"/>
  <c r="AS16" i="8" a="1"/>
  <c r="AS16" i="8" s="1"/>
  <c r="AR16" i="8" a="1"/>
  <c r="AR16" i="8" s="1"/>
  <c r="AQ16" i="8" a="1"/>
  <c r="AQ16" i="8" s="1"/>
  <c r="AP16" i="8" a="1"/>
  <c r="AP16" i="8" s="1"/>
  <c r="AO16" i="8" a="1"/>
  <c r="AO16" i="8" s="1"/>
  <c r="AN16" i="8" a="1"/>
  <c r="AN16" i="8" s="1"/>
  <c r="AM16" i="8" a="1"/>
  <c r="AM16" i="8" s="1"/>
  <c r="AL16" i="8" a="1"/>
  <c r="AL16" i="8" s="1"/>
  <c r="AK16" i="8" a="1"/>
  <c r="AK16" i="8" s="1"/>
  <c r="AJ16" i="8" a="1"/>
  <c r="AJ16" i="8" s="1"/>
  <c r="AI16" i="8" a="1"/>
  <c r="AI16" i="8"/>
  <c r="AH16" i="8" a="1"/>
  <c r="AH16" i="8" s="1"/>
  <c r="AG16" i="8" a="1"/>
  <c r="AG16" i="8" s="1"/>
  <c r="AF16" i="8" a="1"/>
  <c r="AF16" i="8" s="1"/>
  <c r="AE16" i="8" a="1"/>
  <c r="AE16" i="8"/>
  <c r="AD16" i="8" a="1"/>
  <c r="AD16" i="8" s="1"/>
  <c r="AC16" i="8" a="1"/>
  <c r="AC16" i="8" s="1"/>
  <c r="AB16" i="8" a="1"/>
  <c r="AB16" i="8" s="1"/>
  <c r="AA16" i="8" a="1"/>
  <c r="AA16" i="8" s="1"/>
  <c r="Z16" i="8" a="1"/>
  <c r="Z16" i="8" s="1"/>
  <c r="Y16" i="8" a="1"/>
  <c r="Y16" i="8" s="1"/>
  <c r="X16" i="8" a="1"/>
  <c r="X16" i="8"/>
  <c r="W16" i="8" a="1"/>
  <c r="W16" i="8" s="1"/>
  <c r="V16" i="8" a="1"/>
  <c r="V16" i="8" s="1"/>
  <c r="U16" i="8" a="1"/>
  <c r="U16" i="8" s="1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 s="1"/>
  <c r="M16" i="8" a="1"/>
  <c r="M16" i="8"/>
  <c r="L16" i="8" a="1"/>
  <c r="L16" i="8" s="1"/>
  <c r="K16" i="8" a="1"/>
  <c r="K16" i="8" s="1"/>
  <c r="J16" i="8" a="1"/>
  <c r="J16" i="8" s="1"/>
  <c r="I16" i="8" a="1"/>
  <c r="I16" i="8"/>
  <c r="H16" i="8" a="1"/>
  <c r="H16" i="8" s="1"/>
  <c r="G16" i="8" a="1"/>
  <c r="G16" i="8" s="1"/>
  <c r="F16" i="8" a="1"/>
  <c r="F16" i="8" s="1"/>
  <c r="E16" i="8" a="1"/>
  <c r="E16" i="8" s="1"/>
  <c r="D16" i="8" a="1"/>
  <c r="D16" i="8" s="1"/>
  <c r="C16" i="8" a="1"/>
  <c r="C16" i="8" s="1"/>
  <c r="EF15" i="8" a="1"/>
  <c r="EF15" i="8"/>
  <c r="EE15" i="8" a="1"/>
  <c r="EE15" i="8"/>
  <c r="ED15" i="8" a="1"/>
  <c r="ED15" i="8" s="1"/>
  <c r="EC15" i="8" a="1"/>
  <c r="EC15" i="8" s="1"/>
  <c r="EB15" i="8" a="1"/>
  <c r="EB15" i="8"/>
  <c r="EA15" i="8" a="1"/>
  <c r="EA15" i="8" s="1"/>
  <c r="DZ15" i="8" a="1"/>
  <c r="DZ15" i="8" s="1"/>
  <c r="DY15" i="8" a="1"/>
  <c r="DY15" i="8" s="1"/>
  <c r="DX15" i="8" a="1"/>
  <c r="DX15" i="8" s="1"/>
  <c r="DW15" i="8" a="1"/>
  <c r="DW15" i="8" s="1"/>
  <c r="DV15" i="8" a="1"/>
  <c r="DV15" i="8" s="1"/>
  <c r="DU15" i="8" a="1"/>
  <c r="DU15" i="8"/>
  <c r="DT15" i="8" a="1"/>
  <c r="DT15" i="8" s="1"/>
  <c r="DS15" i="8" a="1"/>
  <c r="DS15" i="8" s="1"/>
  <c r="DR15" i="8" a="1"/>
  <c r="DR15" i="8" s="1"/>
  <c r="DQ15" i="8" a="1"/>
  <c r="DQ15" i="8" s="1"/>
  <c r="DP15" i="8" a="1"/>
  <c r="DP15" i="8" s="1"/>
  <c r="DO15" i="8" a="1"/>
  <c r="DO15" i="8" s="1"/>
  <c r="DN15" i="8" a="1"/>
  <c r="DN15" i="8" s="1"/>
  <c r="DM15" i="8" a="1"/>
  <c r="DM15" i="8" s="1"/>
  <c r="DL15" i="8" a="1"/>
  <c r="DL15" i="8" s="1"/>
  <c r="DK15" i="8" a="1"/>
  <c r="DK15" i="8" s="1"/>
  <c r="DJ15" i="8" a="1"/>
  <c r="DJ15" i="8" s="1"/>
  <c r="DI15" i="8" a="1"/>
  <c r="DI15" i="8" s="1"/>
  <c r="DH15" i="8" a="1"/>
  <c r="DH15" i="8" s="1"/>
  <c r="DG15" i="8" a="1"/>
  <c r="DG15" i="8" s="1"/>
  <c r="DF15" i="8" a="1"/>
  <c r="DF15" i="8" s="1"/>
  <c r="DE15" i="8" a="1"/>
  <c r="DE15" i="8" s="1"/>
  <c r="DD15" i="8" a="1"/>
  <c r="DD15" i="8" s="1"/>
  <c r="DC15" i="8" a="1"/>
  <c r="DC15" i="8" s="1"/>
  <c r="DB15" i="8" a="1"/>
  <c r="DB15" i="8" s="1"/>
  <c r="DA15" i="8" a="1"/>
  <c r="DA15" i="8" s="1"/>
  <c r="CZ15" i="8" a="1"/>
  <c r="CZ15" i="8" s="1"/>
  <c r="CY15" i="8" a="1"/>
  <c r="CY15" i="8" s="1"/>
  <c r="CX15" i="8" a="1"/>
  <c r="CX15" i="8" s="1"/>
  <c r="CW15" i="8" a="1"/>
  <c r="CW15" i="8" s="1"/>
  <c r="CV15" i="8" a="1"/>
  <c r="CV15" i="8"/>
  <c r="CU15" i="8" a="1"/>
  <c r="CU15" i="8" s="1"/>
  <c r="CT15" i="8" a="1"/>
  <c r="CT15" i="8" s="1"/>
  <c r="CS15" i="8" a="1"/>
  <c r="CS15" i="8" s="1"/>
  <c r="CR15" i="8" a="1"/>
  <c r="CR15" i="8" s="1"/>
  <c r="CQ15" i="8" a="1"/>
  <c r="CQ15" i="8" s="1"/>
  <c r="CP15" i="8" a="1"/>
  <c r="CP15" i="8" s="1"/>
  <c r="CO15" i="8" a="1"/>
  <c r="CO15" i="8" s="1"/>
  <c r="CN15" i="8" a="1"/>
  <c r="CN15" i="8" s="1"/>
  <c r="CM15" i="8" a="1"/>
  <c r="CM15" i="8"/>
  <c r="CL15" i="8" a="1"/>
  <c r="CL15" i="8" s="1"/>
  <c r="CK15" i="8" a="1"/>
  <c r="CK15" i="8" s="1"/>
  <c r="CJ15" i="8" a="1"/>
  <c r="CJ15" i="8" s="1"/>
  <c r="CI15" i="8" a="1"/>
  <c r="CI15" i="8" s="1"/>
  <c r="CH15" i="8" a="1"/>
  <c r="CH15" i="8" s="1"/>
  <c r="CG15" i="8" a="1"/>
  <c r="CG15" i="8" s="1"/>
  <c r="CF15" i="8" a="1"/>
  <c r="CF15" i="8" s="1"/>
  <c r="CE15" i="8" a="1"/>
  <c r="CE15" i="8" s="1"/>
  <c r="CD15" i="8" a="1"/>
  <c r="CD15" i="8" s="1"/>
  <c r="CC15" i="8" a="1"/>
  <c r="CC15" i="8" s="1"/>
  <c r="CB15" i="8" a="1"/>
  <c r="CB15" i="8" s="1"/>
  <c r="CA15" i="8" a="1"/>
  <c r="CA15" i="8" s="1"/>
  <c r="BZ15" i="8" a="1"/>
  <c r="BZ15" i="8"/>
  <c r="BY15" i="8" a="1"/>
  <c r="BY15" i="8" s="1"/>
  <c r="BX15" i="8" a="1"/>
  <c r="BX15" i="8" s="1"/>
  <c r="BW15" i="8" a="1"/>
  <c r="BW15" i="8" s="1"/>
  <c r="BV15" i="8" a="1"/>
  <c r="BV15" i="8" s="1"/>
  <c r="BU15" i="8" a="1"/>
  <c r="BU15" i="8" s="1"/>
  <c r="BT15" i="8" a="1"/>
  <c r="BT15" i="8"/>
  <c r="BS15" i="8" a="1"/>
  <c r="BS15" i="8" s="1"/>
  <c r="BR15" i="8" a="1"/>
  <c r="BR15" i="8" s="1"/>
  <c r="BQ15" i="8" a="1"/>
  <c r="BQ15" i="8" s="1"/>
  <c r="BP15" i="8" a="1"/>
  <c r="BP15" i="8" s="1"/>
  <c r="BO15" i="8" a="1"/>
  <c r="BO15" i="8" s="1"/>
  <c r="BN15" i="8" a="1"/>
  <c r="BN15" i="8" s="1"/>
  <c r="BM15" i="8" a="1"/>
  <c r="BM15" i="8" s="1"/>
  <c r="BL15" i="8" a="1"/>
  <c r="BL15" i="8" s="1"/>
  <c r="BK15" i="8" a="1"/>
  <c r="BK15" i="8" s="1"/>
  <c r="BJ15" i="8" a="1"/>
  <c r="BJ15" i="8" s="1"/>
  <c r="BI15" i="8" a="1"/>
  <c r="BI15" i="8" s="1"/>
  <c r="BH15" i="8" a="1"/>
  <c r="BH15" i="8" s="1"/>
  <c r="BG15" i="8" a="1"/>
  <c r="BG15" i="8"/>
  <c r="BF15" i="8" a="1"/>
  <c r="BF15" i="8"/>
  <c r="BE15" i="8" a="1"/>
  <c r="BE15" i="8" s="1"/>
  <c r="BD15" i="8" a="1"/>
  <c r="BD15" i="8" s="1"/>
  <c r="BC15" i="8" a="1"/>
  <c r="BC15" i="8" s="1"/>
  <c r="BB15" i="8" a="1"/>
  <c r="BB15" i="8" s="1"/>
  <c r="BA15" i="8" a="1"/>
  <c r="BA15" i="8" s="1"/>
  <c r="AZ15" i="8" a="1"/>
  <c r="AZ15" i="8"/>
  <c r="AY15" i="8" a="1"/>
  <c r="AY15" i="8"/>
  <c r="AX15" i="8" a="1"/>
  <c r="AX15" i="8" s="1"/>
  <c r="AW15" i="8" a="1"/>
  <c r="AW15" i="8" s="1"/>
  <c r="AV15" i="8" a="1"/>
  <c r="AV15" i="8"/>
  <c r="AU15" i="8" a="1"/>
  <c r="AU15" i="8" s="1"/>
  <c r="AT15" i="8" a="1"/>
  <c r="AT15" i="8" s="1"/>
  <c r="AS15" i="8" a="1"/>
  <c r="AS15" i="8" s="1"/>
  <c r="AR15" i="8" a="1"/>
  <c r="AR15" i="8" s="1"/>
  <c r="AQ15" i="8" a="1"/>
  <c r="AQ15" i="8"/>
  <c r="AP15" i="8" a="1"/>
  <c r="AP15" i="8" s="1"/>
  <c r="AO15" i="8" a="1"/>
  <c r="AO15" i="8" s="1"/>
  <c r="AN15" i="8" a="1"/>
  <c r="AN15" i="8" s="1"/>
  <c r="AM15" i="8" a="1"/>
  <c r="AM15" i="8" s="1"/>
  <c r="AL15" i="8" a="1"/>
  <c r="AL15" i="8" s="1"/>
  <c r="AK15" i="8" a="1"/>
  <c r="AK15" i="8"/>
  <c r="AJ15" i="8" a="1"/>
  <c r="AJ15" i="8"/>
  <c r="AI15" i="8" a="1"/>
  <c r="AI15" i="8" s="1"/>
  <c r="AH15" i="8" a="1"/>
  <c r="AH15" i="8" s="1"/>
  <c r="AG15" i="8" a="1"/>
  <c r="AG15" i="8" s="1"/>
  <c r="AF15" i="8" a="1"/>
  <c r="AF15" i="8" s="1"/>
  <c r="AE15" i="8" a="1"/>
  <c r="AE15" i="8" s="1"/>
  <c r="AD15" i="8" a="1"/>
  <c r="AD15" i="8" s="1"/>
  <c r="AC15" i="8" a="1"/>
  <c r="AC15" i="8" s="1"/>
  <c r="AB15" i="8" a="1"/>
  <c r="AB15" i="8" s="1"/>
  <c r="AA15" i="8" a="1"/>
  <c r="AA15" i="8" s="1"/>
  <c r="Z15" i="8" a="1"/>
  <c r="Z15" i="8"/>
  <c r="Y15" i="8" a="1"/>
  <c r="Y15" i="8" s="1"/>
  <c r="X15" i="8" a="1"/>
  <c r="X15" i="8" s="1"/>
  <c r="W15" i="8" a="1"/>
  <c r="W15" i="8" s="1"/>
  <c r="V15" i="8" a="1"/>
  <c r="V15" i="8" s="1"/>
  <c r="U15" i="8" a="1"/>
  <c r="U15" i="8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I15" i="8" a="1"/>
  <c r="I15" i="8" s="1"/>
  <c r="H15" i="8" a="1"/>
  <c r="H15" i="8" s="1"/>
  <c r="G15" i="8" a="1"/>
  <c r="G15" i="8" s="1"/>
  <c r="F15" i="8" a="1"/>
  <c r="F15" i="8" s="1"/>
  <c r="E15" i="8" a="1"/>
  <c r="E15" i="8" s="1"/>
  <c r="D15" i="8" a="1"/>
  <c r="D15" i="8" s="1"/>
  <c r="C15" i="8" a="1"/>
  <c r="C15" i="8"/>
  <c r="EF14" i="8" a="1"/>
  <c r="EF14" i="8"/>
  <c r="EE14" i="8" a="1"/>
  <c r="EE14" i="8"/>
  <c r="ED14" i="8" a="1"/>
  <c r="ED14" i="8" s="1"/>
  <c r="EC14" i="8" a="1"/>
  <c r="EC14" i="8" s="1"/>
  <c r="EB14" i="8" a="1"/>
  <c r="EB14" i="8" s="1"/>
  <c r="EA14" i="8" a="1"/>
  <c r="EA14" i="8" s="1"/>
  <c r="DZ14" i="8" a="1"/>
  <c r="DZ14" i="8" s="1"/>
  <c r="DY14" i="8" a="1"/>
  <c r="DY14" i="8" s="1"/>
  <c r="DX14" i="8" a="1"/>
  <c r="DX14" i="8" s="1"/>
  <c r="DW14" i="8" a="1"/>
  <c r="DW14" i="8" s="1"/>
  <c r="DV14" i="8" a="1"/>
  <c r="DV14" i="8" s="1"/>
  <c r="DU14" i="8" a="1"/>
  <c r="DU14" i="8" s="1"/>
  <c r="DT14" i="8" a="1"/>
  <c r="DT14" i="8"/>
  <c r="DS14" i="8" a="1"/>
  <c r="DS14" i="8" s="1"/>
  <c r="DR14" i="8" a="1"/>
  <c r="DR14" i="8" s="1"/>
  <c r="DQ14" i="8" a="1"/>
  <c r="DQ14" i="8" s="1"/>
  <c r="DP14" i="8" a="1"/>
  <c r="DP14" i="8"/>
  <c r="DO14" i="8" a="1"/>
  <c r="DO14" i="8" s="1"/>
  <c r="DN14" i="8" a="1"/>
  <c r="DN14" i="8" s="1"/>
  <c r="DM14" i="8" a="1"/>
  <c r="DM14" i="8" s="1"/>
  <c r="DL14" i="8" a="1"/>
  <c r="DL14" i="8" s="1"/>
  <c r="DK14" i="8" a="1"/>
  <c r="DK14" i="8" s="1"/>
  <c r="DJ14" i="8" a="1"/>
  <c r="DJ14" i="8" s="1"/>
  <c r="DI14" i="8" a="1"/>
  <c r="DI14" i="8" s="1"/>
  <c r="DH14" i="8" a="1"/>
  <c r="DH14" i="8" s="1"/>
  <c r="DG14" i="8" a="1"/>
  <c r="DG14" i="8" s="1"/>
  <c r="DF14" i="8" a="1"/>
  <c r="DF14" i="8" s="1"/>
  <c r="DE14" i="8" a="1"/>
  <c r="DE14" i="8"/>
  <c r="DD14" i="8" a="1"/>
  <c r="DD14" i="8" s="1"/>
  <c r="DC14" i="8" a="1"/>
  <c r="DC14" i="8" s="1"/>
  <c r="DB14" i="8" a="1"/>
  <c r="DB14" i="8" s="1"/>
  <c r="DA14" i="8" a="1"/>
  <c r="DA14" i="8" s="1"/>
  <c r="CZ14" i="8" a="1"/>
  <c r="CZ14" i="8"/>
  <c r="CY14" i="8" a="1"/>
  <c r="CY14" i="8"/>
  <c r="CX14" i="8" a="1"/>
  <c r="CX14" i="8" s="1"/>
  <c r="CW14" i="8" a="1"/>
  <c r="CW14" i="8" s="1"/>
  <c r="CV14" i="8" a="1"/>
  <c r="CV14" i="8" s="1"/>
  <c r="CU14" i="8" a="1"/>
  <c r="CU14" i="8" s="1"/>
  <c r="CT14" i="8" a="1"/>
  <c r="CT14" i="8" s="1"/>
  <c r="CS14" i="8" a="1"/>
  <c r="CS14" i="8" s="1"/>
  <c r="CR14" i="8" a="1"/>
  <c r="CR14" i="8"/>
  <c r="CQ14" i="8" a="1"/>
  <c r="CQ14" i="8" s="1"/>
  <c r="CP14" i="8" a="1"/>
  <c r="CP14" i="8" s="1"/>
  <c r="CO14" i="8" a="1"/>
  <c r="CO14" i="8"/>
  <c r="CN14" i="8" a="1"/>
  <c r="CN14" i="8"/>
  <c r="CM14" i="8" a="1"/>
  <c r="CM14" i="8" s="1"/>
  <c r="CL14" i="8" a="1"/>
  <c r="CL14" i="8" s="1"/>
  <c r="CK14" i="8" a="1"/>
  <c r="CK14" i="8" s="1"/>
  <c r="CJ14" i="8" a="1"/>
  <c r="CJ14" i="8" s="1"/>
  <c r="CI14" i="8" a="1"/>
  <c r="CI14" i="8" s="1"/>
  <c r="CH14" i="8" a="1"/>
  <c r="CH14" i="8" s="1"/>
  <c r="CG14" i="8" a="1"/>
  <c r="CG14" i="8" s="1"/>
  <c r="CF14" i="8" a="1"/>
  <c r="CF14" i="8" s="1"/>
  <c r="CE14" i="8" a="1"/>
  <c r="CE14" i="8" s="1"/>
  <c r="CD14" i="8" a="1"/>
  <c r="CD14" i="8" s="1"/>
  <c r="CC14" i="8" a="1"/>
  <c r="CC14" i="8" s="1"/>
  <c r="CB14" i="8" a="1"/>
  <c r="CB14" i="8" s="1"/>
  <c r="CA14" i="8" a="1"/>
  <c r="CA14" i="8" s="1"/>
  <c r="BZ14" i="8" a="1"/>
  <c r="BZ14" i="8" s="1"/>
  <c r="BY14" i="8" a="1"/>
  <c r="BY14" i="8" s="1"/>
  <c r="BX14" i="8" a="1"/>
  <c r="BX14" i="8" s="1"/>
  <c r="BW14" i="8" a="1"/>
  <c r="BW14" i="8" s="1"/>
  <c r="BV14" i="8" a="1"/>
  <c r="BV14" i="8" s="1"/>
  <c r="BU14" i="8" a="1"/>
  <c r="BU14" i="8" s="1"/>
  <c r="BT14" i="8" a="1"/>
  <c r="BT14" i="8"/>
  <c r="BS14" i="8" a="1"/>
  <c r="BS14" i="8"/>
  <c r="BR14" i="8" a="1"/>
  <c r="BR14" i="8" s="1"/>
  <c r="BQ14" i="8" a="1"/>
  <c r="BQ14" i="8" s="1"/>
  <c r="BP14" i="8" a="1"/>
  <c r="BP14" i="8" s="1"/>
  <c r="BO14" i="8" a="1"/>
  <c r="BO14" i="8" s="1"/>
  <c r="BN14" i="8" a="1"/>
  <c r="BN14" i="8" s="1"/>
  <c r="BM14" i="8" a="1"/>
  <c r="BM14" i="8" s="1"/>
  <c r="BL14" i="8" a="1"/>
  <c r="BL14" i="8" s="1"/>
  <c r="BK14" i="8" a="1"/>
  <c r="BK14" i="8" s="1"/>
  <c r="BJ14" i="8" a="1"/>
  <c r="BJ14" i="8" s="1"/>
  <c r="BI14" i="8" a="1"/>
  <c r="BI14" i="8"/>
  <c r="BH14" i="8" a="1"/>
  <c r="BH14" i="8"/>
  <c r="BG14" i="8" a="1"/>
  <c r="BG14" i="8" s="1"/>
  <c r="BF14" i="8" a="1"/>
  <c r="BF14" i="8" s="1"/>
  <c r="BE14" i="8" a="1"/>
  <c r="BE14" i="8"/>
  <c r="BD14" i="8" a="1"/>
  <c r="BD14" i="8" s="1"/>
  <c r="BC14" i="8" a="1"/>
  <c r="BC14" i="8" s="1"/>
  <c r="BB14" i="8" a="1"/>
  <c r="BB14" i="8" s="1"/>
  <c r="BA14" i="8" a="1"/>
  <c r="BA14" i="8" s="1"/>
  <c r="AZ14" i="8" a="1"/>
  <c r="AZ14" i="8" s="1"/>
  <c r="AY14" i="8" a="1"/>
  <c r="AY14" i="8" s="1"/>
  <c r="AX14" i="8" a="1"/>
  <c r="AX14" i="8" s="1"/>
  <c r="AW14" i="8" a="1"/>
  <c r="AW14" i="8" s="1"/>
  <c r="AV14" i="8" a="1"/>
  <c r="AV14" i="8" s="1"/>
  <c r="AU14" i="8" a="1"/>
  <c r="AU14" i="8"/>
  <c r="AT14" i="8" a="1"/>
  <c r="AT14" i="8" s="1"/>
  <c r="AS14" i="8" a="1"/>
  <c r="AS14" i="8" s="1"/>
  <c r="AR14" i="8" a="1"/>
  <c r="AR14" i="8" s="1"/>
  <c r="AQ14" i="8" a="1"/>
  <c r="AQ14" i="8" s="1"/>
  <c r="AP14" i="8" a="1"/>
  <c r="AP14" i="8" s="1"/>
  <c r="AO14" i="8" a="1"/>
  <c r="AO14" i="8" s="1"/>
  <c r="AN14" i="8" a="1"/>
  <c r="AN14" i="8" s="1"/>
  <c r="AM14" i="8" a="1"/>
  <c r="AM14" i="8"/>
  <c r="AL14" i="8" a="1"/>
  <c r="AL14" i="8" s="1"/>
  <c r="AK14" i="8" a="1"/>
  <c r="AK14" i="8" s="1"/>
  <c r="AJ14" i="8" a="1"/>
  <c r="AJ14" i="8" s="1"/>
  <c r="AI14" i="8" a="1"/>
  <c r="AI14" i="8" s="1"/>
  <c r="AH14" i="8" a="1"/>
  <c r="AH14" i="8" s="1"/>
  <c r="AG14" i="8" a="1"/>
  <c r="AG14" i="8" s="1"/>
  <c r="AF14" i="8" a="1"/>
  <c r="AF14" i="8" s="1"/>
  <c r="AE14" i="8" a="1"/>
  <c r="AE14" i="8" s="1"/>
  <c r="AD14" i="8" a="1"/>
  <c r="AD14" i="8" s="1"/>
  <c r="AC14" i="8" a="1"/>
  <c r="AC14" i="8" s="1"/>
  <c r="AB14" i="8" a="1"/>
  <c r="AB14" i="8" s="1"/>
  <c r="AA14" i="8" a="1"/>
  <c r="AA14" i="8"/>
  <c r="Z14" i="8" a="1"/>
  <c r="Z14" i="8"/>
  <c r="Y14" i="8" a="1"/>
  <c r="Y14" i="8"/>
  <c r="X14" i="8" a="1"/>
  <c r="X14" i="8" s="1"/>
  <c r="W14" i="8" a="1"/>
  <c r="W14" i="8" s="1"/>
  <c r="V14" i="8" a="1"/>
  <c r="V14" i="8" s="1"/>
  <c r="U14" i="8" a="1"/>
  <c r="U14" i="8" s="1"/>
  <c r="T14" i="8" a="1"/>
  <c r="T14" i="8"/>
  <c r="S14" i="8" a="1"/>
  <c r="S14" i="8" s="1"/>
  <c r="R14" i="8" a="1"/>
  <c r="R14" i="8" s="1"/>
  <c r="Q14" i="8" a="1"/>
  <c r="Q14" i="8"/>
  <c r="P14" i="8" a="1"/>
  <c r="P14" i="8" s="1"/>
  <c r="O14" i="8" a="1"/>
  <c r="O14" i="8" s="1"/>
  <c r="N14" i="8" a="1"/>
  <c r="N14" i="8" s="1"/>
  <c r="M14" i="8" a="1"/>
  <c r="M14" i="8" s="1"/>
  <c r="L14" i="8" a="1"/>
  <c r="L14" i="8"/>
  <c r="K14" i="8" a="1"/>
  <c r="K14" i="8" s="1"/>
  <c r="J14" i="8" a="1"/>
  <c r="J14" i="8" s="1"/>
  <c r="I14" i="8" a="1"/>
  <c r="I14" i="8" s="1"/>
  <c r="H14" i="8" a="1"/>
  <c r="H14" i="8" s="1"/>
  <c r="G14" i="8" a="1"/>
  <c r="G14" i="8" s="1"/>
  <c r="F14" i="8" a="1"/>
  <c r="F14" i="8"/>
  <c r="E14" i="8" a="1"/>
  <c r="E14" i="8"/>
  <c r="D14" i="8" a="1"/>
  <c r="D14" i="8" s="1"/>
  <c r="C14" i="8" a="1"/>
  <c r="C14" i="8"/>
  <c r="EF13" i="8" a="1"/>
  <c r="EF13" i="8" s="1"/>
  <c r="EE13" i="8" a="1"/>
  <c r="EE13" i="8" s="1"/>
  <c r="ED13" i="8" a="1"/>
  <c r="ED13" i="8" s="1"/>
  <c r="EC13" i="8" a="1"/>
  <c r="EC13" i="8" s="1"/>
  <c r="EB13" i="8" a="1"/>
  <c r="EB13" i="8" s="1"/>
  <c r="EA13" i="8" a="1"/>
  <c r="EA13" i="8" s="1"/>
  <c r="DZ13" i="8" a="1"/>
  <c r="DZ13" i="8" s="1"/>
  <c r="DY13" i="8" a="1"/>
  <c r="DY13" i="8" s="1"/>
  <c r="DX13" i="8" a="1"/>
  <c r="DX13" i="8" s="1"/>
  <c r="DW13" i="8" a="1"/>
  <c r="DW13" i="8" s="1"/>
  <c r="DV13" i="8" a="1"/>
  <c r="DV13" i="8" s="1"/>
  <c r="DU13" i="8" a="1"/>
  <c r="DU13" i="8" s="1"/>
  <c r="DT13" i="8" a="1"/>
  <c r="DT13" i="8" s="1"/>
  <c r="DS13" i="8" a="1"/>
  <c r="DS13" i="8" s="1"/>
  <c r="DR13" i="8" a="1"/>
  <c r="DR13" i="8" s="1"/>
  <c r="DQ13" i="8" a="1"/>
  <c r="DQ13" i="8" s="1"/>
  <c r="DP13" i="8" a="1"/>
  <c r="DP13" i="8" s="1"/>
  <c r="DO13" i="8" a="1"/>
  <c r="DO13" i="8" s="1"/>
  <c r="DN13" i="8" a="1"/>
  <c r="DN13" i="8"/>
  <c r="DM13" i="8" a="1"/>
  <c r="DM13" i="8"/>
  <c r="DL13" i="8" a="1"/>
  <c r="DL13" i="8" s="1"/>
  <c r="DK13" i="8" a="1"/>
  <c r="DK13" i="8" s="1"/>
  <c r="DJ13" i="8" a="1"/>
  <c r="DJ13" i="8" s="1"/>
  <c r="DI13" i="8" a="1"/>
  <c r="DI13" i="8" s="1"/>
  <c r="DH13" i="8" a="1"/>
  <c r="DH13" i="8" s="1"/>
  <c r="DG13" i="8" a="1"/>
  <c r="DG13" i="8" s="1"/>
  <c r="DF13" i="8" a="1"/>
  <c r="DF13" i="8" s="1"/>
  <c r="DE13" i="8" a="1"/>
  <c r="DE13" i="8" s="1"/>
  <c r="DD13" i="8" a="1"/>
  <c r="DD13" i="8" s="1"/>
  <c r="DC13" i="8" a="1"/>
  <c r="DC13" i="8"/>
  <c r="DB13" i="8" a="1"/>
  <c r="DB13" i="8" s="1"/>
  <c r="DA13" i="8" a="1"/>
  <c r="DA13" i="8"/>
  <c r="CZ13" i="8" a="1"/>
  <c r="CZ13" i="8" s="1"/>
  <c r="CY13" i="8" a="1"/>
  <c r="CY13" i="8" s="1"/>
  <c r="CX13" i="8" a="1"/>
  <c r="CX13" i="8" s="1"/>
  <c r="CW13" i="8" a="1"/>
  <c r="CW13" i="8" s="1"/>
  <c r="CV13" i="8" a="1"/>
  <c r="CV13" i="8" s="1"/>
  <c r="CU13" i="8" a="1"/>
  <c r="CU13" i="8"/>
  <c r="CT13" i="8" a="1"/>
  <c r="CT13" i="8" s="1"/>
  <c r="CS13" i="8" a="1"/>
  <c r="CS13" i="8" s="1"/>
  <c r="CR13" i="8" a="1"/>
  <c r="CR13" i="8"/>
  <c r="CQ13" i="8" a="1"/>
  <c r="CQ13" i="8" s="1"/>
  <c r="CP13" i="8" a="1"/>
  <c r="CP13" i="8" s="1"/>
  <c r="CO13" i="8" a="1"/>
  <c r="CO13" i="8" s="1"/>
  <c r="CN13" i="8" a="1"/>
  <c r="CN13" i="8" s="1"/>
  <c r="CM13" i="8" a="1"/>
  <c r="CM13" i="8" s="1"/>
  <c r="CL13" i="8" a="1"/>
  <c r="CL13" i="8" s="1"/>
  <c r="CK13" i="8" a="1"/>
  <c r="CK13" i="8" s="1"/>
  <c r="CJ13" i="8" a="1"/>
  <c r="CJ13" i="8" s="1"/>
  <c r="CI13" i="8" a="1"/>
  <c r="CI13" i="8" s="1"/>
  <c r="CH13" i="8" a="1"/>
  <c r="CH13" i="8" s="1"/>
  <c r="CG13" i="8" a="1"/>
  <c r="CG13" i="8"/>
  <c r="CF13" i="8" a="1"/>
  <c r="CF13" i="8"/>
  <c r="CE13" i="8" a="1"/>
  <c r="CE13" i="8"/>
  <c r="CD13" i="8" a="1"/>
  <c r="CD13" i="8" s="1"/>
  <c r="CC13" i="8" a="1"/>
  <c r="CC13" i="8" s="1"/>
  <c r="CB13" i="8" a="1"/>
  <c r="CB13" i="8"/>
  <c r="CA13" i="8" a="1"/>
  <c r="CA13" i="8" s="1"/>
  <c r="BZ13" i="8" a="1"/>
  <c r="BZ13" i="8" s="1"/>
  <c r="BY13" i="8" a="1"/>
  <c r="BY13" i="8" s="1"/>
  <c r="BX13" i="8" a="1"/>
  <c r="BX13" i="8" s="1"/>
  <c r="BW13" i="8" a="1"/>
  <c r="BW13" i="8" s="1"/>
  <c r="BV13" i="8" a="1"/>
  <c r="BV13" i="8" s="1"/>
  <c r="BU13" i="8" a="1"/>
  <c r="BU13" i="8" s="1"/>
  <c r="BT13" i="8" a="1"/>
  <c r="BT13" i="8"/>
  <c r="BS13" i="8" a="1"/>
  <c r="BS13" i="8" s="1"/>
  <c r="BR13" i="8" a="1"/>
  <c r="BR13" i="8" s="1"/>
  <c r="BQ13" i="8" a="1"/>
  <c r="BQ13" i="8" s="1"/>
  <c r="BP13" i="8" a="1"/>
  <c r="BP13" i="8" s="1"/>
  <c r="BO13" i="8" a="1"/>
  <c r="BO13" i="8" s="1"/>
  <c r="BN13" i="8" a="1"/>
  <c r="BN13" i="8" s="1"/>
  <c r="BM13" i="8" a="1"/>
  <c r="BM13" i="8" s="1"/>
  <c r="BL13" i="8" a="1"/>
  <c r="BL13" i="8" s="1"/>
  <c r="BK13" i="8" a="1"/>
  <c r="BK13" i="8" s="1"/>
  <c r="BJ13" i="8" a="1"/>
  <c r="BJ13" i="8" s="1"/>
  <c r="BI13" i="8" a="1"/>
  <c r="BI13" i="8" s="1"/>
  <c r="BH13" i="8" a="1"/>
  <c r="BH13" i="8" s="1"/>
  <c r="BG13" i="8" a="1"/>
  <c r="BG13" i="8" s="1"/>
  <c r="BF13" i="8" a="1"/>
  <c r="BF13" i="8" s="1"/>
  <c r="BE13" i="8" a="1"/>
  <c r="BE13" i="8" s="1"/>
  <c r="BD13" i="8" a="1"/>
  <c r="BD13" i="8" s="1"/>
  <c r="BC13" i="8" a="1"/>
  <c r="BC13" i="8" s="1"/>
  <c r="BB13" i="8" a="1"/>
  <c r="BB13" i="8" s="1"/>
  <c r="BA13" i="8" a="1"/>
  <c r="BA13" i="8" s="1"/>
  <c r="AZ13" i="8" a="1"/>
  <c r="AZ13" i="8" s="1"/>
  <c r="AY13" i="8" a="1"/>
  <c r="AY13" i="8"/>
  <c r="AX13" i="8" a="1"/>
  <c r="AX13" i="8" s="1"/>
  <c r="AW13" i="8" a="1"/>
  <c r="AW13" i="8" s="1"/>
  <c r="AV13" i="8" a="1"/>
  <c r="AV13" i="8" s="1"/>
  <c r="AU13" i="8" a="1"/>
  <c r="AU13" i="8" s="1"/>
  <c r="AT13" i="8" a="1"/>
  <c r="AT13" i="8" s="1"/>
  <c r="AS13" i="8" a="1"/>
  <c r="AS13" i="8" s="1"/>
  <c r="AR13" i="8" a="1"/>
  <c r="AR13" i="8" s="1"/>
  <c r="AQ13" i="8" a="1"/>
  <c r="AQ13" i="8" s="1"/>
  <c r="AP13" i="8" a="1"/>
  <c r="AP13" i="8"/>
  <c r="AO13" i="8" a="1"/>
  <c r="AO13" i="8" s="1"/>
  <c r="AN13" i="8" a="1"/>
  <c r="AN13" i="8" s="1"/>
  <c r="AM13" i="8" a="1"/>
  <c r="AM13" i="8" s="1"/>
  <c r="AL13" i="8" a="1"/>
  <c r="AL13" i="8" s="1"/>
  <c r="AK13" i="8" a="1"/>
  <c r="AK13" i="8" s="1"/>
  <c r="AJ13" i="8" a="1"/>
  <c r="AJ13" i="8" s="1"/>
  <c r="AI13" i="8" a="1"/>
  <c r="AI13" i="8" s="1"/>
  <c r="AH13" i="8" a="1"/>
  <c r="AH13" i="8" s="1"/>
  <c r="AG13" i="8" a="1"/>
  <c r="AG13" i="8" s="1"/>
  <c r="AF13" i="8" a="1"/>
  <c r="AF13" i="8" s="1"/>
  <c r="AE13" i="8" a="1"/>
  <c r="AE13" i="8" s="1"/>
  <c r="AD13" i="8" a="1"/>
  <c r="AD13" i="8" s="1"/>
  <c r="AC13" i="8" a="1"/>
  <c r="AC13" i="8"/>
  <c r="AB13" i="8" a="1"/>
  <c r="AB13" i="8" s="1"/>
  <c r="AA13" i="8" a="1"/>
  <c r="AA13" i="8" s="1"/>
  <c r="Z13" i="8" a="1"/>
  <c r="Z13" i="8" s="1"/>
  <c r="Y13" i="8" a="1"/>
  <c r="Y13" i="8" s="1"/>
  <c r="X13" i="8" a="1"/>
  <c r="X13" i="8" s="1"/>
  <c r="W13" i="8" a="1"/>
  <c r="W13" i="8" s="1"/>
  <c r="V13" i="8" a="1"/>
  <c r="V13" i="8" s="1"/>
  <c r="U13" i="8" a="1"/>
  <c r="U13" i="8" s="1"/>
  <c r="T13" i="8" a="1"/>
  <c r="T13" i="8" s="1"/>
  <c r="S13" i="8" a="1"/>
  <c r="S13" i="8" s="1"/>
  <c r="R13" i="8" a="1"/>
  <c r="R13" i="8"/>
  <c r="Q13" i="8" a="1"/>
  <c r="Q13" i="8"/>
  <c r="P13" i="8" a="1"/>
  <c r="P13" i="8" s="1"/>
  <c r="O13" i="8" a="1"/>
  <c r="O13" i="8" s="1"/>
  <c r="N13" i="8" a="1"/>
  <c r="N13" i="8" s="1"/>
  <c r="M13" i="8" a="1"/>
  <c r="M13" i="8" s="1"/>
  <c r="L13" i="8" a="1"/>
  <c r="L13" i="8" s="1"/>
  <c r="K13" i="8" a="1"/>
  <c r="K13" i="8" s="1"/>
  <c r="J13" i="8" a="1"/>
  <c r="J13" i="8" s="1"/>
  <c r="I13" i="8" a="1"/>
  <c r="I13" i="8" s="1"/>
  <c r="H13" i="8" a="1"/>
  <c r="H13" i="8" s="1"/>
  <c r="G13" i="8" a="1"/>
  <c r="G13" i="8"/>
  <c r="F13" i="8" a="1"/>
  <c r="F13" i="8" s="1"/>
  <c r="E13" i="8" a="1"/>
  <c r="E13" i="8" s="1"/>
  <c r="D13" i="8" a="1"/>
  <c r="D13" i="8" s="1"/>
  <c r="C13" i="8" a="1"/>
  <c r="C13" i="8" s="1"/>
  <c r="EF12" i="8" a="1"/>
  <c r="EF12" i="8" s="1"/>
  <c r="EE12" i="8" a="1"/>
  <c r="EE12" i="8" s="1"/>
  <c r="ED12" i="8" a="1"/>
  <c r="ED12" i="8" s="1"/>
  <c r="EC12" i="8" a="1"/>
  <c r="EC12" i="8" s="1"/>
  <c r="EB12" i="8" a="1"/>
  <c r="EB12" i="8"/>
  <c r="EA12" i="8" a="1"/>
  <c r="EA12" i="8" s="1"/>
  <c r="DZ12" i="8" a="1"/>
  <c r="DZ12" i="8" s="1"/>
  <c r="DY12" i="8" a="1"/>
  <c r="DY12" i="8" s="1"/>
  <c r="DX12" i="8" a="1"/>
  <c r="DX12" i="8" s="1"/>
  <c r="DW12" i="8" a="1"/>
  <c r="DW12" i="8" s="1"/>
  <c r="DV12" i="8" a="1"/>
  <c r="DV12" i="8" s="1"/>
  <c r="DU12" i="8" a="1"/>
  <c r="DU12" i="8" s="1"/>
  <c r="DT12" i="8" a="1"/>
  <c r="DT12" i="8" s="1"/>
  <c r="DS12" i="8" a="1"/>
  <c r="DS12" i="8" s="1"/>
  <c r="DR12" i="8" a="1"/>
  <c r="DR12" i="8" s="1"/>
  <c r="DQ12" i="8" a="1"/>
  <c r="DQ12" i="8" s="1"/>
  <c r="DP12" i="8" a="1"/>
  <c r="DP12" i="8" s="1"/>
  <c r="DO12" i="8" a="1"/>
  <c r="DO12" i="8" s="1"/>
  <c r="DN12" i="8" a="1"/>
  <c r="DN12" i="8" s="1"/>
  <c r="DM12" i="8" a="1"/>
  <c r="DM12" i="8" s="1"/>
  <c r="DL12" i="8" a="1"/>
  <c r="DL12" i="8" s="1"/>
  <c r="DK12" i="8" a="1"/>
  <c r="DK12" i="8" s="1"/>
  <c r="DJ12" i="8" a="1"/>
  <c r="DJ12" i="8" s="1"/>
  <c r="DI12" i="8" a="1"/>
  <c r="DI12" i="8" s="1"/>
  <c r="DH12" i="8" a="1"/>
  <c r="DH12" i="8" s="1"/>
  <c r="DG12" i="8" a="1"/>
  <c r="DG12" i="8" s="1"/>
  <c r="DF12" i="8" a="1"/>
  <c r="DF12" i="8" s="1"/>
  <c r="DE12" i="8" a="1"/>
  <c r="DE12" i="8" s="1"/>
  <c r="DD12" i="8" a="1"/>
  <c r="DD12" i="8" s="1"/>
  <c r="DC12" i="8" a="1"/>
  <c r="DC12" i="8" s="1"/>
  <c r="DB12" i="8" a="1"/>
  <c r="DB12" i="8" s="1"/>
  <c r="DA12" i="8" a="1"/>
  <c r="DA12" i="8" s="1"/>
  <c r="CZ12" i="8" a="1"/>
  <c r="CZ12" i="8"/>
  <c r="CY12" i="8" a="1"/>
  <c r="CY12" i="8" s="1"/>
  <c r="CX12" i="8" a="1"/>
  <c r="CX12" i="8" s="1"/>
  <c r="CW12" i="8" a="1"/>
  <c r="CW12" i="8" s="1"/>
  <c r="CV12" i="8" a="1"/>
  <c r="CV12" i="8" s="1"/>
  <c r="CU12" i="8" a="1"/>
  <c r="CU12" i="8" s="1"/>
  <c r="CT12" i="8" a="1"/>
  <c r="CT12" i="8" s="1"/>
  <c r="CS12" i="8" a="1"/>
  <c r="CS12" i="8" s="1"/>
  <c r="CR12" i="8" a="1"/>
  <c r="CR12" i="8" s="1"/>
  <c r="CQ12" i="8" a="1"/>
  <c r="CQ12" i="8" s="1"/>
  <c r="CP12" i="8" a="1"/>
  <c r="CP12" i="8" s="1"/>
  <c r="CO12" i="8" a="1"/>
  <c r="CO12" i="8" s="1"/>
  <c r="CN12" i="8" a="1"/>
  <c r="CN12" i="8" s="1"/>
  <c r="CM12" i="8" a="1"/>
  <c r="CM12" i="8" s="1"/>
  <c r="CL12" i="8" a="1"/>
  <c r="CL12" i="8" s="1"/>
  <c r="CK12" i="8" a="1"/>
  <c r="CK12" i="8" s="1"/>
  <c r="CJ12" i="8" a="1"/>
  <c r="CJ12" i="8"/>
  <c r="CI12" i="8" a="1"/>
  <c r="CI12" i="8" s="1"/>
  <c r="CH12" i="8" a="1"/>
  <c r="CH12" i="8"/>
  <c r="CG12" i="8" a="1"/>
  <c r="CG12" i="8" s="1"/>
  <c r="CF12" i="8" a="1"/>
  <c r="CF12" i="8" s="1"/>
  <c r="CE12" i="8" a="1"/>
  <c r="CE12" i="8" s="1"/>
  <c r="CD12" i="8" a="1"/>
  <c r="CD12" i="8" s="1"/>
  <c r="CC12" i="8" a="1"/>
  <c r="CC12" i="8" s="1"/>
  <c r="CB12" i="8" a="1"/>
  <c r="CB12" i="8" s="1"/>
  <c r="CA12" i="8" a="1"/>
  <c r="CA12" i="8" s="1"/>
  <c r="BZ12" i="8" a="1"/>
  <c r="BZ12" i="8" s="1"/>
  <c r="BY12" i="8" a="1"/>
  <c r="BY12" i="8" s="1"/>
  <c r="BX12" i="8" a="1"/>
  <c r="BX12" i="8" s="1"/>
  <c r="BW12" i="8" a="1"/>
  <c r="BW12" i="8" s="1"/>
  <c r="BV12" i="8" a="1"/>
  <c r="BV12" i="8" s="1"/>
  <c r="BU12" i="8" a="1"/>
  <c r="BU12" i="8" s="1"/>
  <c r="BT12" i="8" a="1"/>
  <c r="BT12" i="8" s="1"/>
  <c r="BS12" i="8" a="1"/>
  <c r="BS12" i="8" s="1"/>
  <c r="BR12" i="8" a="1"/>
  <c r="BR12" i="8" s="1"/>
  <c r="BQ12" i="8" a="1"/>
  <c r="BQ12" i="8" s="1"/>
  <c r="BP12" i="8" a="1"/>
  <c r="BP12" i="8" s="1"/>
  <c r="BO12" i="8" a="1"/>
  <c r="BO12" i="8" s="1"/>
  <c r="BN12" i="8" a="1"/>
  <c r="BN12" i="8" s="1"/>
  <c r="BM12" i="8" a="1"/>
  <c r="BM12" i="8" s="1"/>
  <c r="BL12" i="8" a="1"/>
  <c r="BL12" i="8" s="1"/>
  <c r="BK12" i="8" a="1"/>
  <c r="BK12" i="8" s="1"/>
  <c r="BJ12" i="8" a="1"/>
  <c r="BJ12" i="8" s="1"/>
  <c r="BI12" i="8" a="1"/>
  <c r="BI12" i="8" s="1"/>
  <c r="BH12" i="8" a="1"/>
  <c r="BH12" i="8" s="1"/>
  <c r="BG12" i="8" a="1"/>
  <c r="BG12" i="8" s="1"/>
  <c r="BF12" i="8" a="1"/>
  <c r="BF12" i="8" s="1"/>
  <c r="BE12" i="8" a="1"/>
  <c r="BE12" i="8" s="1"/>
  <c r="BD12" i="8" a="1"/>
  <c r="BD12" i="8" s="1"/>
  <c r="BC12" i="8" a="1"/>
  <c r="BC12" i="8" s="1"/>
  <c r="BB12" i="8" a="1"/>
  <c r="BB12" i="8" s="1"/>
  <c r="BA12" i="8" a="1"/>
  <c r="BA12" i="8" s="1"/>
  <c r="AZ12" i="8" a="1"/>
  <c r="AZ12" i="8"/>
  <c r="AY12" i="8" a="1"/>
  <c r="AY12" i="8" s="1"/>
  <c r="AX12" i="8" a="1"/>
  <c r="AX12" i="8" s="1"/>
  <c r="AW12" i="8" a="1"/>
  <c r="AW12" i="8" s="1"/>
  <c r="AV12" i="8" a="1"/>
  <c r="AV12" i="8" s="1"/>
  <c r="AU12" i="8" a="1"/>
  <c r="AU12" i="8" s="1"/>
  <c r="AT12" i="8" a="1"/>
  <c r="AT12" i="8" s="1"/>
  <c r="AS12" i="8" a="1"/>
  <c r="AS12" i="8" s="1"/>
  <c r="AR12" i="8" a="1"/>
  <c r="AR12" i="8" s="1"/>
  <c r="AQ12" i="8" a="1"/>
  <c r="AQ12" i="8" s="1"/>
  <c r="AP12" i="8" a="1"/>
  <c r="AP12" i="8" s="1"/>
  <c r="AO12" i="8" a="1"/>
  <c r="AO12" i="8"/>
  <c r="AN12" i="8" a="1"/>
  <c r="AN12" i="8" s="1"/>
  <c r="AM12" i="8" a="1"/>
  <c r="AM12" i="8" s="1"/>
  <c r="AL12" i="8" a="1"/>
  <c r="AL12" i="8" s="1"/>
  <c r="AK12" i="8" a="1"/>
  <c r="AK12" i="8" s="1"/>
  <c r="AJ12" i="8" a="1"/>
  <c r="AJ12" i="8" s="1"/>
  <c r="AI12" i="8" a="1"/>
  <c r="AI12" i="8" s="1"/>
  <c r="AH12" i="8" a="1"/>
  <c r="AH12" i="8" s="1"/>
  <c r="AG12" i="8" a="1"/>
  <c r="AG12" i="8" s="1"/>
  <c r="AF12" i="8" a="1"/>
  <c r="AF12" i="8" s="1"/>
  <c r="AE12" i="8" a="1"/>
  <c r="AE12" i="8" s="1"/>
  <c r="AD12" i="8" a="1"/>
  <c r="AD12" i="8" s="1"/>
  <c r="AC12" i="8" a="1"/>
  <c r="AC12" i="8" s="1"/>
  <c r="AB12" i="8" a="1"/>
  <c r="AB12" i="8" s="1"/>
  <c r="AA12" i="8" a="1"/>
  <c r="AA12" i="8" s="1"/>
  <c r="Z12" i="8" a="1"/>
  <c r="Z12" i="8" s="1"/>
  <c r="Y12" i="8" a="1"/>
  <c r="Y12" i="8"/>
  <c r="X12" i="8" a="1"/>
  <c r="X12" i="8" s="1"/>
  <c r="W12" i="8" a="1"/>
  <c r="W12" i="8" s="1"/>
  <c r="V12" i="8" a="1"/>
  <c r="V12" i="8"/>
  <c r="U12" i="8" a="1"/>
  <c r="U12" i="8" s="1"/>
  <c r="T12" i="8" a="1"/>
  <c r="T12" i="8" s="1"/>
  <c r="S12" i="8" a="1"/>
  <c r="S12" i="8" s="1"/>
  <c r="R12" i="8" a="1"/>
  <c r="R12" i="8" s="1"/>
  <c r="Q12" i="8" a="1"/>
  <c r="Q12" i="8" s="1"/>
  <c r="P12" i="8" a="1"/>
  <c r="P12" i="8" s="1"/>
  <c r="O12" i="8" a="1"/>
  <c r="O12" i="8" s="1"/>
  <c r="N12" i="8" a="1"/>
  <c r="N12" i="8" s="1"/>
  <c r="M12" i="8" a="1"/>
  <c r="M12" i="8"/>
  <c r="L12" i="8" a="1"/>
  <c r="L12" i="8" s="1"/>
  <c r="K12" i="8" a="1"/>
  <c r="K12" i="8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 s="1"/>
  <c r="D12" i="8" a="1"/>
  <c r="D12" i="8" s="1"/>
  <c r="C12" i="8" a="1"/>
  <c r="C12" i="8"/>
  <c r="EA8" i="8"/>
  <c r="DU8" i="8"/>
  <c r="DS8" i="8"/>
  <c r="DR8" i="8"/>
  <c r="DG8" i="8"/>
  <c r="DE8" i="8"/>
  <c r="CY8" i="8"/>
  <c r="CX8" i="8"/>
  <c r="CW8" i="8"/>
  <c r="CL8" i="8"/>
  <c r="CK8" i="8"/>
  <c r="BR8" i="8"/>
  <c r="BQ8" i="8"/>
  <c r="BP8" i="8"/>
  <c r="BE8" i="8"/>
  <c r="AT8" i="8"/>
  <c r="AI8" i="8"/>
  <c r="AE8" i="8"/>
  <c r="Y8" i="8"/>
  <c r="X8" i="8"/>
  <c r="M8" i="8"/>
  <c r="L8" i="8"/>
  <c r="EF7" i="8"/>
  <c r="EE7" i="8"/>
  <c r="DU7" i="8"/>
  <c r="DR7" i="8"/>
  <c r="CY7" i="8"/>
  <c r="CX7" i="8"/>
  <c r="CW7" i="8"/>
  <c r="CE7" i="8"/>
  <c r="BE7" i="8"/>
  <c r="AT7" i="8"/>
  <c r="AR7" i="8"/>
  <c r="AI7" i="8"/>
  <c r="Y7" i="8"/>
  <c r="X7" i="8"/>
  <c r="M7" i="8"/>
  <c r="L7" i="8"/>
  <c r="EF6" i="8" a="1"/>
  <c r="EF6" i="8"/>
  <c r="EF8" i="8" s="1"/>
  <c r="EE6" i="8" a="1"/>
  <c r="EE6" i="8" s="1"/>
  <c r="EE8" i="8" s="1"/>
  <c r="ED6" i="8" a="1"/>
  <c r="ED6" i="8" s="1"/>
  <c r="ED7" i="8" s="1"/>
  <c r="EC6" i="8" a="1"/>
  <c r="EC6" i="8"/>
  <c r="EC7" i="8" s="1"/>
  <c r="EB6" i="8" a="1"/>
  <c r="EB6" i="8" s="1"/>
  <c r="EA6" i="8" a="1"/>
  <c r="EA6" i="8" s="1"/>
  <c r="EA7" i="8" s="1"/>
  <c r="DZ6" i="8" a="1"/>
  <c r="DZ6" i="8" s="1"/>
  <c r="DY6" i="8" a="1"/>
  <c r="DY6" i="8" s="1"/>
  <c r="DX6" i="8" a="1"/>
  <c r="DX6" i="8"/>
  <c r="DX8" i="8" s="1"/>
  <c r="DW6" i="8" a="1"/>
  <c r="DW6" i="8" s="1"/>
  <c r="DV6" i="8" a="1"/>
  <c r="DV6" i="8" s="1"/>
  <c r="DU6" i="8" a="1"/>
  <c r="DU6" i="8"/>
  <c r="DT6" i="8" a="1"/>
  <c r="DT6" i="8" s="1"/>
  <c r="DT7" i="8" s="1"/>
  <c r="DS6" i="8" a="1"/>
  <c r="DS6" i="8" s="1"/>
  <c r="DS7" i="8" s="1"/>
  <c r="DR6" i="8" a="1"/>
  <c r="DR6" i="8"/>
  <c r="DQ6" i="8" a="1"/>
  <c r="DQ6" i="8"/>
  <c r="DQ8" i="8" s="1"/>
  <c r="DP6" i="8" a="1"/>
  <c r="DP6" i="8" s="1"/>
  <c r="DP7" i="8" s="1"/>
  <c r="DO6" i="8" a="1"/>
  <c r="DO6" i="8" s="1"/>
  <c r="DN6" i="8" a="1"/>
  <c r="DN6" i="8" s="1"/>
  <c r="DM6" i="8" a="1"/>
  <c r="DM6" i="8"/>
  <c r="DM8" i="8" s="1"/>
  <c r="DL6" i="8" a="1"/>
  <c r="DL6" i="8" s="1"/>
  <c r="DK6" i="8" a="1"/>
  <c r="DK6" i="8" s="1"/>
  <c r="DJ6" i="8" a="1"/>
  <c r="DJ6" i="8"/>
  <c r="DJ8" i="8" s="1"/>
  <c r="DI6" i="8" a="1"/>
  <c r="DI6" i="8" s="1"/>
  <c r="DI7" i="8" s="1"/>
  <c r="DH6" i="8" a="1"/>
  <c r="DH6" i="8" s="1"/>
  <c r="DH7" i="8" s="1"/>
  <c r="DG6" i="8" a="1"/>
  <c r="DG6" i="8"/>
  <c r="DG7" i="8" s="1"/>
  <c r="DF6" i="8" a="1"/>
  <c r="DF6" i="8" s="1"/>
  <c r="DE6" i="8" a="1"/>
  <c r="DE6" i="8" s="1"/>
  <c r="DE7" i="8" s="1"/>
  <c r="DD6" i="8" a="1"/>
  <c r="DD6" i="8" s="1"/>
  <c r="DC6" i="8" a="1"/>
  <c r="DC6" i="8" s="1"/>
  <c r="DB6" i="8" a="1"/>
  <c r="DB6" i="8"/>
  <c r="DB8" i="8" s="1"/>
  <c r="DA6" i="8" a="1"/>
  <c r="DA6" i="8" s="1"/>
  <c r="CZ6" i="8" a="1"/>
  <c r="CZ6" i="8"/>
  <c r="CZ8" i="8" s="1"/>
  <c r="CY6" i="8" a="1"/>
  <c r="CY6" i="8"/>
  <c r="CX6" i="8" a="1"/>
  <c r="CX6" i="8" s="1"/>
  <c r="CW6" i="8" a="1"/>
  <c r="CW6" i="8"/>
  <c r="CV6" i="8" a="1"/>
  <c r="CV6" i="8"/>
  <c r="CV8" i="8" s="1"/>
  <c r="CU6" i="8" a="1"/>
  <c r="CU6" i="8" s="1"/>
  <c r="CT6" i="8" a="1"/>
  <c r="CT6" i="8" s="1"/>
  <c r="CT7" i="8" s="1"/>
  <c r="CS6" i="8" a="1"/>
  <c r="CS6" i="8" s="1"/>
  <c r="CR6" i="8" a="1"/>
  <c r="CR6" i="8" s="1"/>
  <c r="CQ6" i="8" a="1"/>
  <c r="CQ6" i="8"/>
  <c r="CQ8" i="8" s="1"/>
  <c r="CP6" i="8" a="1"/>
  <c r="CP6" i="8" s="1"/>
  <c r="CO6" i="8" a="1"/>
  <c r="CO6" i="8" s="1"/>
  <c r="CN6" i="8" a="1"/>
  <c r="CN6" i="8"/>
  <c r="CN7" i="8" s="1"/>
  <c r="CM6" i="8" a="1"/>
  <c r="CM6" i="8" s="1"/>
  <c r="CM7" i="8" s="1"/>
  <c r="CL6" i="8" a="1"/>
  <c r="CL6" i="8" s="1"/>
  <c r="CL7" i="8" s="1"/>
  <c r="CK6" i="8" a="1"/>
  <c r="CK6" i="8"/>
  <c r="CK7" i="8" s="1"/>
  <c r="CJ6" i="8" a="1"/>
  <c r="CJ6" i="8"/>
  <c r="CJ8" i="8" s="1"/>
  <c r="CI6" i="8" a="1"/>
  <c r="CI6" i="8" s="1"/>
  <c r="CI7" i="8" s="1"/>
  <c r="CH6" i="8" a="1"/>
  <c r="CH6" i="8" s="1"/>
  <c r="CG6" i="8" a="1"/>
  <c r="CG6" i="8" s="1"/>
  <c r="CF6" i="8" a="1"/>
  <c r="CF6" i="8"/>
  <c r="CF8" i="8" s="1"/>
  <c r="CE6" i="8" a="1"/>
  <c r="CE6" i="8"/>
  <c r="CE8" i="8" s="1"/>
  <c r="CD6" i="8" a="1"/>
  <c r="CD6" i="8" s="1"/>
  <c r="CC6" i="8" a="1"/>
  <c r="CC6" i="8"/>
  <c r="CC7" i="8" s="1"/>
  <c r="CB6" i="8" a="1"/>
  <c r="CB6" i="8" s="1"/>
  <c r="CB7" i="8" s="1"/>
  <c r="CA6" i="8" a="1"/>
  <c r="CA6" i="8" s="1"/>
  <c r="CA7" i="8" s="1"/>
  <c r="BZ6" i="8" a="1"/>
  <c r="BZ6" i="8"/>
  <c r="BZ8" i="8" s="1"/>
  <c r="BY6" i="8" a="1"/>
  <c r="BY6" i="8" s="1"/>
  <c r="BX6" i="8" a="1"/>
  <c r="BX6" i="8" s="1"/>
  <c r="BX7" i="8" s="1"/>
  <c r="BW6" i="8" a="1"/>
  <c r="BW6" i="8" s="1"/>
  <c r="BV6" i="8" a="1"/>
  <c r="BV6" i="8" s="1"/>
  <c r="BU6" i="8" a="1"/>
  <c r="BU6" i="8"/>
  <c r="BU8" i="8" s="1"/>
  <c r="BT6" i="8" a="1"/>
  <c r="BT6" i="8" s="1"/>
  <c r="BS6" i="8" a="1"/>
  <c r="BS6" i="8"/>
  <c r="BS8" i="8" s="1"/>
  <c r="BR6" i="8" a="1"/>
  <c r="BR6" i="8"/>
  <c r="BR7" i="8" s="1"/>
  <c r="BQ6" i="8" a="1"/>
  <c r="BQ6" i="8" s="1"/>
  <c r="BQ7" i="8" s="1"/>
  <c r="BP6" i="8" a="1"/>
  <c r="BP6" i="8" s="1"/>
  <c r="BP7" i="8" s="1"/>
  <c r="BO6" i="8" a="1"/>
  <c r="BO6" i="8"/>
  <c r="BO7" i="8" s="1"/>
  <c r="BN6" i="8" a="1"/>
  <c r="BN6" i="8" s="1"/>
  <c r="BM6" i="8" a="1"/>
  <c r="BM6" i="8" s="1"/>
  <c r="BM7" i="8" s="1"/>
  <c r="BL6" i="8" a="1"/>
  <c r="BL6" i="8"/>
  <c r="BL7" i="8" s="1"/>
  <c r="BK6" i="8" a="1"/>
  <c r="BK6" i="8" s="1"/>
  <c r="BJ6" i="8" a="1"/>
  <c r="BJ6" i="8"/>
  <c r="BJ8" i="8" s="1"/>
  <c r="BI6" i="8" a="1"/>
  <c r="BI6" i="8"/>
  <c r="BI8" i="8" s="1"/>
  <c r="BH6" i="8" a="1"/>
  <c r="BH6" i="8"/>
  <c r="BH8" i="8" s="1"/>
  <c r="BG6" i="8" a="1"/>
  <c r="BG6" i="8"/>
  <c r="BG7" i="8" s="1"/>
  <c r="BF6" i="8" a="1"/>
  <c r="BF6" i="8" s="1"/>
  <c r="BF8" i="8" s="1"/>
  <c r="BE6" i="8" a="1"/>
  <c r="BE6" i="8"/>
  <c r="BD6" i="8" a="1"/>
  <c r="BD6" i="8"/>
  <c r="BD7" i="8" s="1"/>
  <c r="BC6" i="8" a="1"/>
  <c r="BC6" i="8"/>
  <c r="BC8" i="8" s="1"/>
  <c r="BB6" i="8" a="1"/>
  <c r="BB6" i="8" s="1"/>
  <c r="BB7" i="8" s="1"/>
  <c r="BA6" i="8" a="1"/>
  <c r="BA6" i="8" s="1"/>
  <c r="AZ6" i="8" a="1"/>
  <c r="AZ6" i="8" s="1"/>
  <c r="AY6" i="8" a="1"/>
  <c r="AY6" i="8"/>
  <c r="AY8" i="8" s="1"/>
  <c r="AX6" i="8" a="1"/>
  <c r="AX6" i="8"/>
  <c r="AX8" i="8" s="1"/>
  <c r="AW6" i="8" a="1"/>
  <c r="AW6" i="8" s="1"/>
  <c r="AV6" i="8" a="1"/>
  <c r="AV6" i="8"/>
  <c r="AV7" i="8" s="1"/>
  <c r="AU6" i="8" a="1"/>
  <c r="AU6" i="8" s="1"/>
  <c r="AU7" i="8" s="1"/>
  <c r="AT6" i="8" a="1"/>
  <c r="AT6" i="8"/>
  <c r="AS6" i="8" a="1"/>
  <c r="AS6" i="8"/>
  <c r="AS7" i="8" s="1"/>
  <c r="AR6" i="8" a="1"/>
  <c r="AR6" i="8"/>
  <c r="AR8" i="8" s="1"/>
  <c r="AQ6" i="8" a="1"/>
  <c r="AQ6" i="8" s="1"/>
  <c r="AQ7" i="8" s="1"/>
  <c r="AP6" i="8" a="1"/>
  <c r="AP6" i="8"/>
  <c r="AP7" i="8" s="1"/>
  <c r="AO6" i="8" a="1"/>
  <c r="AO6" i="8" s="1"/>
  <c r="AN6" i="8" a="1"/>
  <c r="AN6" i="8"/>
  <c r="AN8" i="8" s="1"/>
  <c r="AM6" i="8" a="1"/>
  <c r="AM6" i="8" s="1"/>
  <c r="AL6" i="8" a="1"/>
  <c r="AL6" i="8" s="1"/>
  <c r="AK6" i="8" a="1"/>
  <c r="AK6" i="8"/>
  <c r="AK8" i="8" s="1"/>
  <c r="AJ6" i="8" a="1"/>
  <c r="AJ6" i="8" s="1"/>
  <c r="AJ8" i="8" s="1"/>
  <c r="AI6" i="8" a="1"/>
  <c r="AI6" i="8"/>
  <c r="AH6" i="8" a="1"/>
  <c r="AH6" i="8"/>
  <c r="AH8" i="8" s="1"/>
  <c r="AG6" i="8" a="1"/>
  <c r="AG6" i="8" s="1"/>
  <c r="AF6" i="8" a="1"/>
  <c r="AF6" i="8" s="1"/>
  <c r="AF7" i="8" s="1"/>
  <c r="AE6" i="8" a="1"/>
  <c r="AE6" i="8"/>
  <c r="AE7" i="8" s="1"/>
  <c r="AD6" i="8" a="1"/>
  <c r="AD6" i="8" s="1"/>
  <c r="AC6" i="8" a="1"/>
  <c r="AC6" i="8"/>
  <c r="AC8" i="8" s="1"/>
  <c r="AB6" i="8" a="1"/>
  <c r="AB6" i="8"/>
  <c r="AB8" i="8" s="1"/>
  <c r="AA6" i="8" a="1"/>
  <c r="AA6" i="8" s="1"/>
  <c r="Z6" i="8" a="1"/>
  <c r="Z6" i="8"/>
  <c r="Z8" i="8" s="1"/>
  <c r="Y6" i="8" a="1"/>
  <c r="Y6" i="8" s="1"/>
  <c r="X6" i="8" a="1"/>
  <c r="X6" i="8"/>
  <c r="W6" i="8" a="1"/>
  <c r="W6" i="8"/>
  <c r="W8" i="8" s="1"/>
  <c r="V6" i="8" a="1"/>
  <c r="V6" i="8"/>
  <c r="V8" i="8" s="1"/>
  <c r="U6" i="8" a="1"/>
  <c r="U6" i="8" s="1"/>
  <c r="U7" i="8" s="1"/>
  <c r="T6" i="8" a="1"/>
  <c r="T6" i="8" s="1"/>
  <c r="S6" i="8" a="1"/>
  <c r="S6" i="8" s="1"/>
  <c r="R6" i="8" a="1"/>
  <c r="R6" i="8"/>
  <c r="R8" i="8" s="1"/>
  <c r="Q6" i="8" a="1"/>
  <c r="Q6" i="8" s="1"/>
  <c r="P6" i="8" a="1"/>
  <c r="P6" i="8"/>
  <c r="P8" i="8" s="1"/>
  <c r="O6" i="8" a="1"/>
  <c r="O6" i="8"/>
  <c r="O8" i="8" s="1"/>
  <c r="N6" i="8" a="1"/>
  <c r="N6" i="8" s="1"/>
  <c r="N8" i="8" s="1"/>
  <c r="M6" i="8" a="1"/>
  <c r="M6" i="8"/>
  <c r="L6" i="8" a="1"/>
  <c r="L6" i="8"/>
  <c r="K6" i="8" a="1"/>
  <c r="K6" i="8" s="1"/>
  <c r="J6" i="8" a="1"/>
  <c r="J6" i="8" s="1"/>
  <c r="J7" i="8" s="1"/>
  <c r="I6" i="8" a="1"/>
  <c r="I6" i="8"/>
  <c r="I7" i="8" s="1"/>
  <c r="H6" i="8" a="1"/>
  <c r="H6" i="8" s="1"/>
  <c r="G6" i="8" a="1"/>
  <c r="G6" i="8"/>
  <c r="G8" i="8" s="1"/>
  <c r="F6" i="8" a="1"/>
  <c r="F6" i="8" s="1"/>
  <c r="E6" i="8" a="1"/>
  <c r="E6" i="8"/>
  <c r="E8" i="8" s="1"/>
  <c r="D6" i="8" a="1"/>
  <c r="D6" i="8"/>
  <c r="D8" i="8" s="1"/>
  <c r="C6" i="8" a="1"/>
  <c r="C6" i="8" s="1"/>
  <c r="C7" i="8" s="1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21" i="7" s="1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EF8" i="5"/>
  <c r="EE8" i="5"/>
  <c r="DW8" i="5"/>
  <c r="DN8" i="5"/>
  <c r="DG8" i="5"/>
  <c r="DF8" i="5"/>
  <c r="DE8" i="5"/>
  <c r="DB8" i="5"/>
  <c r="CU8" i="5"/>
  <c r="CM8" i="5"/>
  <c r="CL8" i="5"/>
  <c r="CK8" i="5"/>
  <c r="CJ8" i="5"/>
  <c r="BY8" i="5"/>
  <c r="BT8" i="5"/>
  <c r="BB8" i="5"/>
  <c r="AZ8" i="5"/>
  <c r="AY8" i="5"/>
  <c r="AX8" i="5"/>
  <c r="AR8" i="5"/>
  <c r="AM8" i="5"/>
  <c r="AH8" i="5"/>
  <c r="U8" i="5"/>
  <c r="T8" i="5"/>
  <c r="J8" i="5"/>
  <c r="D8" i="5"/>
  <c r="EF7" i="5"/>
  <c r="DY7" i="5"/>
  <c r="DT7" i="5"/>
  <c r="DS7" i="5"/>
  <c r="DQ7" i="5"/>
  <c r="DG7" i="5"/>
  <c r="DF7" i="5"/>
  <c r="CY7" i="5"/>
  <c r="CX7" i="5"/>
  <c r="CV7" i="5"/>
  <c r="CU7" i="5"/>
  <c r="CS7" i="5"/>
  <c r="CM7" i="5"/>
  <c r="CJ7" i="5"/>
  <c r="BZ7" i="5"/>
  <c r="BX7" i="5"/>
  <c r="BW7" i="5"/>
  <c r="BT7" i="5"/>
  <c r="BK7" i="5"/>
  <c r="BF7" i="5"/>
  <c r="BB7" i="5"/>
  <c r="AX7" i="5"/>
  <c r="AT7" i="5"/>
  <c r="AS7" i="5"/>
  <c r="AR7" i="5"/>
  <c r="AQ7" i="5"/>
  <c r="Z7" i="5"/>
  <c r="U7" i="5"/>
  <c r="J7" i="5"/>
  <c r="D7" i="5"/>
  <c r="EF6" i="5" a="1"/>
  <c r="EF6" i="5" s="1"/>
  <c r="EE6" i="5" a="1"/>
  <c r="EE6" i="5" s="1"/>
  <c r="EE7" i="5" s="1"/>
  <c r="ED6" i="5" a="1"/>
  <c r="ED6" i="5"/>
  <c r="EC6" i="5" a="1"/>
  <c r="EC6" i="5"/>
  <c r="EB6" i="5" a="1"/>
  <c r="EB6" i="5"/>
  <c r="EA6" i="5" a="1"/>
  <c r="EA6" i="5"/>
  <c r="DZ6" i="5" a="1"/>
  <c r="DZ6" i="5"/>
  <c r="DZ8" i="5" s="1"/>
  <c r="DY6" i="5" a="1"/>
  <c r="DY6" i="5"/>
  <c r="DY8" i="5" s="1"/>
  <c r="DX6" i="5" a="1"/>
  <c r="DX6" i="5" s="1"/>
  <c r="DW6" i="5" a="1"/>
  <c r="DW6" i="5" s="1"/>
  <c r="DW7" i="5" s="1"/>
  <c r="DV6" i="5" a="1"/>
  <c r="DV6" i="5"/>
  <c r="DU6" i="5" a="1"/>
  <c r="DU6" i="5" s="1"/>
  <c r="DT6" i="5" a="1"/>
  <c r="DT6" i="5" s="1"/>
  <c r="DT8" i="5" s="1"/>
  <c r="DS6" i="5" a="1"/>
  <c r="DS6" i="5" s="1"/>
  <c r="DS8" i="5" s="1"/>
  <c r="DR6" i="5" a="1"/>
  <c r="DR6" i="5"/>
  <c r="DR7" i="5" s="1"/>
  <c r="DQ6" i="5" a="1"/>
  <c r="DQ6" i="5"/>
  <c r="DQ8" i="5" s="1"/>
  <c r="DP6" i="5" a="1"/>
  <c r="DP6" i="5"/>
  <c r="DO6" i="5" a="1"/>
  <c r="DO6" i="5" s="1"/>
  <c r="DN6" i="5" a="1"/>
  <c r="DN6" i="5"/>
  <c r="DN7" i="5" s="1"/>
  <c r="DM6" i="5" a="1"/>
  <c r="DM6" i="5" s="1"/>
  <c r="DL6" i="5" a="1"/>
  <c r="DL6" i="5" s="1"/>
  <c r="DL8" i="5" s="1"/>
  <c r="DK6" i="5" a="1"/>
  <c r="DK6" i="5" s="1"/>
  <c r="DJ6" i="5" a="1"/>
  <c r="DJ6" i="5" s="1"/>
  <c r="DI6" i="5" a="1"/>
  <c r="DI6" i="5" s="1"/>
  <c r="DH6" i="5" a="1"/>
  <c r="DH6" i="5" s="1"/>
  <c r="DG6" i="5" a="1"/>
  <c r="DG6" i="5"/>
  <c r="DF6" i="5" a="1"/>
  <c r="DF6" i="5"/>
  <c r="DE6" i="5" a="1"/>
  <c r="DE6" i="5" s="1"/>
  <c r="DE7" i="5" s="1"/>
  <c r="DD6" i="5" a="1"/>
  <c r="DD6" i="5" s="1"/>
  <c r="DC6" i="5" a="1"/>
  <c r="DC6" i="5" s="1"/>
  <c r="DB6" i="5" a="1"/>
  <c r="DB6" i="5" s="1"/>
  <c r="DB7" i="5" s="1"/>
  <c r="DA6" i="5" a="1"/>
  <c r="DA6" i="5" s="1"/>
  <c r="CZ6" i="5" a="1"/>
  <c r="CZ6" i="5"/>
  <c r="CY6" i="5" a="1"/>
  <c r="CY6" i="5"/>
  <c r="CY8" i="5" s="1"/>
  <c r="CX6" i="5" a="1"/>
  <c r="CX6" i="5"/>
  <c r="CX8" i="5" s="1"/>
  <c r="CW6" i="5" a="1"/>
  <c r="CW6" i="5"/>
  <c r="CV6" i="5" a="1"/>
  <c r="CV6" i="5"/>
  <c r="CV8" i="5" s="1"/>
  <c r="CU6" i="5" a="1"/>
  <c r="CU6" i="5"/>
  <c r="CT6" i="5" a="1"/>
  <c r="CT6" i="5" s="1"/>
  <c r="CS6" i="5" a="1"/>
  <c r="CS6" i="5" s="1"/>
  <c r="CS8" i="5" s="1"/>
  <c r="CR6" i="5" a="1"/>
  <c r="CR6" i="5" s="1"/>
  <c r="CR7" i="5" s="1"/>
  <c r="CQ6" i="5" a="1"/>
  <c r="CQ6" i="5" s="1"/>
  <c r="CP6" i="5" a="1"/>
  <c r="CP6" i="5" s="1"/>
  <c r="CO6" i="5" a="1"/>
  <c r="CO6" i="5"/>
  <c r="CN6" i="5" a="1"/>
  <c r="CN6" i="5"/>
  <c r="CM6" i="5" a="1"/>
  <c r="CM6" i="5"/>
  <c r="CL6" i="5" a="1"/>
  <c r="CL6" i="5"/>
  <c r="CL7" i="5" s="1"/>
  <c r="CK6" i="5" a="1"/>
  <c r="CK6" i="5"/>
  <c r="CK7" i="5" s="1"/>
  <c r="CJ6" i="5" a="1"/>
  <c r="CJ6" i="5"/>
  <c r="CI6" i="5" a="1"/>
  <c r="CI6" i="5" s="1"/>
  <c r="CH6" i="5" a="1"/>
  <c r="CH6" i="5" s="1"/>
  <c r="CG6" i="5" a="1"/>
  <c r="CG6" i="5"/>
  <c r="CG8" i="5" s="1"/>
  <c r="CF6" i="5" a="1"/>
  <c r="CF6" i="5" s="1"/>
  <c r="CE6" i="5" a="1"/>
  <c r="CE6" i="5" s="1"/>
  <c r="CD6" i="5" a="1"/>
  <c r="CD6" i="5"/>
  <c r="CC6" i="5" a="1"/>
  <c r="CC6" i="5"/>
  <c r="CB6" i="5" a="1"/>
  <c r="CB6" i="5"/>
  <c r="CA6" i="5" a="1"/>
  <c r="CA6" i="5" s="1"/>
  <c r="BZ6" i="5" a="1"/>
  <c r="BZ6" i="5"/>
  <c r="BZ8" i="5" s="1"/>
  <c r="BY6" i="5" a="1"/>
  <c r="BY6" i="5"/>
  <c r="BY7" i="5" s="1"/>
  <c r="BX6" i="5" a="1"/>
  <c r="BX6" i="5" s="1"/>
  <c r="BX8" i="5" s="1"/>
  <c r="BW6" i="5" a="1"/>
  <c r="BW6" i="5" s="1"/>
  <c r="BW8" i="5" s="1"/>
  <c r="BV6" i="5" a="1"/>
  <c r="BV6" i="5" s="1"/>
  <c r="BV7" i="5" s="1"/>
  <c r="BU6" i="5" a="1"/>
  <c r="BU6" i="5" s="1"/>
  <c r="BU7" i="5" s="1"/>
  <c r="BT6" i="5" a="1"/>
  <c r="BT6" i="5" s="1"/>
  <c r="BS6" i="5" a="1"/>
  <c r="BS6" i="5"/>
  <c r="BR6" i="5" a="1"/>
  <c r="BR6" i="5"/>
  <c r="BQ6" i="5" a="1"/>
  <c r="BQ6" i="5"/>
  <c r="BP6" i="5" a="1"/>
  <c r="BP6" i="5"/>
  <c r="BO6" i="5" a="1"/>
  <c r="BO6" i="5"/>
  <c r="BN6" i="5" a="1"/>
  <c r="BN6" i="5"/>
  <c r="BM6" i="5" a="1"/>
  <c r="BM6" i="5" s="1"/>
  <c r="BL6" i="5" a="1"/>
  <c r="BL6" i="5" s="1"/>
  <c r="BK6" i="5" a="1"/>
  <c r="BK6" i="5" s="1"/>
  <c r="BK8" i="5" s="1"/>
  <c r="BJ6" i="5" a="1"/>
  <c r="BJ6" i="5" s="1"/>
  <c r="BI6" i="5" a="1"/>
  <c r="BI6" i="5" s="1"/>
  <c r="BI7" i="5" s="1"/>
  <c r="BH6" i="5" a="1"/>
  <c r="BH6" i="5"/>
  <c r="BG6" i="5" a="1"/>
  <c r="BG6" i="5" s="1"/>
  <c r="BG8" i="5" s="1"/>
  <c r="BF6" i="5" a="1"/>
  <c r="BF6" i="5"/>
  <c r="BF8" i="5" s="1"/>
  <c r="BE6" i="5" a="1"/>
  <c r="BE6" i="5"/>
  <c r="BD6" i="5" a="1"/>
  <c r="BD6" i="5"/>
  <c r="BC6" i="5" a="1"/>
  <c r="BC6" i="5"/>
  <c r="BB6" i="5" a="1"/>
  <c r="BB6" i="5"/>
  <c r="BA6" i="5" a="1"/>
  <c r="BA6" i="5" s="1"/>
  <c r="AZ6" i="5" a="1"/>
  <c r="AZ6" i="5" s="1"/>
  <c r="AZ7" i="5" s="1"/>
  <c r="AY6" i="5" a="1"/>
  <c r="AY6" i="5" s="1"/>
  <c r="AY7" i="5" s="1"/>
  <c r="AX6" i="5" a="1"/>
  <c r="AX6" i="5" s="1"/>
  <c r="AW6" i="5" a="1"/>
  <c r="AW6" i="5"/>
  <c r="AV6" i="5" a="1"/>
  <c r="AV6" i="5" s="1"/>
  <c r="AU6" i="5" a="1"/>
  <c r="AU6" i="5"/>
  <c r="AT6" i="5" a="1"/>
  <c r="AT6" i="5" s="1"/>
  <c r="AT8" i="5" s="1"/>
  <c r="AS6" i="5" a="1"/>
  <c r="AS6" i="5"/>
  <c r="AS8" i="5" s="1"/>
  <c r="AR6" i="5" a="1"/>
  <c r="AR6" i="5"/>
  <c r="AQ6" i="5" a="1"/>
  <c r="AQ6" i="5" s="1"/>
  <c r="AQ8" i="5" s="1"/>
  <c r="AP6" i="5" a="1"/>
  <c r="AP6" i="5"/>
  <c r="AO6" i="5" a="1"/>
  <c r="AO6" i="5" s="1"/>
  <c r="AO8" i="5" s="1"/>
  <c r="AN6" i="5" a="1"/>
  <c r="AN6" i="5" s="1"/>
  <c r="AM6" i="5" a="1"/>
  <c r="AM6" i="5"/>
  <c r="AM7" i="5" s="1"/>
  <c r="AL6" i="5" a="1"/>
  <c r="AL6" i="5"/>
  <c r="AK6" i="5" a="1"/>
  <c r="AK6" i="5"/>
  <c r="AJ6" i="5" a="1"/>
  <c r="AJ6" i="5"/>
  <c r="AI6" i="5" a="1"/>
  <c r="AI6" i="5" s="1"/>
  <c r="AH6" i="5" a="1"/>
  <c r="AH6" i="5"/>
  <c r="AH7" i="5" s="1"/>
  <c r="AG6" i="5" a="1"/>
  <c r="AG6" i="5" s="1"/>
  <c r="AG8" i="5" s="1"/>
  <c r="AF6" i="5" a="1"/>
  <c r="AF6" i="5" s="1"/>
  <c r="AE6" i="5" a="1"/>
  <c r="AE6" i="5"/>
  <c r="AD6" i="5" a="1"/>
  <c r="AD6" i="5"/>
  <c r="AC6" i="5" a="1"/>
  <c r="AC6" i="5" s="1"/>
  <c r="AB6" i="5" a="1"/>
  <c r="AB6" i="5" s="1"/>
  <c r="AA6" i="5" a="1"/>
  <c r="AA6" i="5" s="1"/>
  <c r="Z6" i="5" a="1"/>
  <c r="Z6" i="5"/>
  <c r="Z8" i="5" s="1"/>
  <c r="Y6" i="5" a="1"/>
  <c r="Y6" i="5"/>
  <c r="X6" i="5" a="1"/>
  <c r="X6" i="5"/>
  <c r="X8" i="5" s="1"/>
  <c r="W6" i="5" a="1"/>
  <c r="W6" i="5"/>
  <c r="V6" i="5" a="1"/>
  <c r="V6" i="5" s="1"/>
  <c r="V8" i="5" s="1"/>
  <c r="U6" i="5" a="1"/>
  <c r="U6" i="5"/>
  <c r="T6" i="5" a="1"/>
  <c r="T6" i="5" s="1"/>
  <c r="T7" i="5" s="1"/>
  <c r="S6" i="5" a="1"/>
  <c r="S6" i="5" s="1"/>
  <c r="S7" i="5" s="1"/>
  <c r="R6" i="5" a="1"/>
  <c r="R6" i="5" s="1"/>
  <c r="Q6" i="5" a="1"/>
  <c r="Q6" i="5"/>
  <c r="P6" i="5" a="1"/>
  <c r="P6" i="5" s="1"/>
  <c r="O6" i="5" a="1"/>
  <c r="O6" i="5"/>
  <c r="O8" i="5" s="1"/>
  <c r="N6" i="5" a="1"/>
  <c r="N6" i="5" s="1"/>
  <c r="M6" i="5" a="1"/>
  <c r="M6" i="5" s="1"/>
  <c r="L6" i="5" a="1"/>
  <c r="L6" i="5"/>
  <c r="K6" i="5" a="1"/>
  <c r="K6" i="5" s="1"/>
  <c r="J6" i="5" a="1"/>
  <c r="J6" i="5" s="1"/>
  <c r="I6" i="5" a="1"/>
  <c r="I6" i="5" s="1"/>
  <c r="H6" i="5" a="1"/>
  <c r="H6" i="5"/>
  <c r="G6" i="5" a="1"/>
  <c r="G6" i="5" s="1"/>
  <c r="F6" i="5" a="1"/>
  <c r="F6" i="5" s="1"/>
  <c r="E6" i="5" a="1"/>
  <c r="E6" i="5"/>
  <c r="D6" i="5" a="1"/>
  <c r="D6" i="5" s="1"/>
  <c r="C6" i="5" a="1"/>
  <c r="C6" i="5"/>
  <c r="C8" i="5" s="1"/>
  <c r="I25" i="4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H25" i="4"/>
  <c r="D25" i="4"/>
  <c r="E25" i="4" s="1"/>
  <c r="F25" i="4" s="1"/>
  <c r="G25" i="4" s="1"/>
  <c r="K24" i="4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D24" i="4"/>
  <c r="E24" i="4" s="1"/>
  <c r="F24" i="4" s="1"/>
  <c r="G24" i="4" s="1"/>
  <c r="H24" i="4" s="1"/>
  <c r="I24" i="4" s="1"/>
  <c r="J24" i="4" s="1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3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13" i="4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3" i="4"/>
  <c r="L12" i="4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K12" i="4"/>
  <c r="D12" i="4"/>
  <c r="E12" i="4" s="1"/>
  <c r="F12" i="4" s="1"/>
  <c r="G12" i="4" s="1"/>
  <c r="H12" i="4" s="1"/>
  <c r="I12" i="4" s="1"/>
  <c r="J12" i="4" s="1"/>
  <c r="EC8" i="4"/>
  <c r="DS8" i="4"/>
  <c r="DR8" i="4"/>
  <c r="DP8" i="4"/>
  <c r="DO8" i="4"/>
  <c r="DG8" i="4"/>
  <c r="CV8" i="4"/>
  <c r="CU8" i="4"/>
  <c r="CJ8" i="4"/>
  <c r="BN8" i="4"/>
  <c r="BM8" i="4"/>
  <c r="BC8" i="4"/>
  <c r="AG8" i="4"/>
  <c r="V8" i="4"/>
  <c r="U8" i="4"/>
  <c r="ED7" i="4"/>
  <c r="EC7" i="4"/>
  <c r="EA7" i="4"/>
  <c r="DR7" i="4"/>
  <c r="DP7" i="4"/>
  <c r="DI7" i="4"/>
  <c r="DH7" i="4"/>
  <c r="DG7" i="4"/>
  <c r="CU7" i="4"/>
  <c r="CO7" i="4"/>
  <c r="CJ7" i="4"/>
  <c r="CD7" i="4"/>
  <c r="BN7" i="4"/>
  <c r="BH7" i="4"/>
  <c r="AW7" i="4"/>
  <c r="AV7" i="4"/>
  <c r="AT7" i="4"/>
  <c r="AR7" i="4"/>
  <c r="AG7" i="4"/>
  <c r="AA7" i="4"/>
  <c r="V7" i="4"/>
  <c r="U7" i="4"/>
  <c r="P7" i="4"/>
  <c r="O7" i="4"/>
  <c r="E7" i="4"/>
  <c r="EF6" i="4" a="1"/>
  <c r="EF6" i="4"/>
  <c r="EF8" i="4" s="1"/>
  <c r="EE6" i="4" a="1"/>
  <c r="EE6" i="4" s="1"/>
  <c r="ED6" i="4" a="1"/>
  <c r="ED6" i="4"/>
  <c r="ED8" i="4" s="1"/>
  <c r="EC6" i="4" a="1"/>
  <c r="EC6" i="4"/>
  <c r="EB6" i="4" a="1"/>
  <c r="EB6" i="4" s="1"/>
  <c r="EA6" i="4" a="1"/>
  <c r="EA6" i="4" s="1"/>
  <c r="EA8" i="4" s="1"/>
  <c r="DZ6" i="4" a="1"/>
  <c r="DZ6" i="4"/>
  <c r="DY6" i="4" a="1"/>
  <c r="DY6" i="4" s="1"/>
  <c r="DX6" i="4" a="1"/>
  <c r="DX6" i="4" s="1"/>
  <c r="DW6" i="4" a="1"/>
  <c r="DW6" i="4"/>
  <c r="DV6" i="4" a="1"/>
  <c r="DV6" i="4"/>
  <c r="DU6" i="4" a="1"/>
  <c r="DU6" i="4" s="1"/>
  <c r="DT6" i="4" a="1"/>
  <c r="DT6" i="4"/>
  <c r="DT7" i="4" s="1"/>
  <c r="DS6" i="4" a="1"/>
  <c r="DS6" i="4"/>
  <c r="DS7" i="4" s="1"/>
  <c r="DR6" i="4" a="1"/>
  <c r="DR6" i="4"/>
  <c r="DQ6" i="4" a="1"/>
  <c r="DQ6" i="4" s="1"/>
  <c r="DQ7" i="4" s="1"/>
  <c r="DP6" i="4" a="1"/>
  <c r="DP6" i="4"/>
  <c r="DO6" i="4" a="1"/>
  <c r="DO6" i="4" s="1"/>
  <c r="DO7" i="4" s="1"/>
  <c r="DN6" i="4" a="1"/>
  <c r="DN6" i="4"/>
  <c r="DM6" i="4" a="1"/>
  <c r="DM6" i="4" s="1"/>
  <c r="DL6" i="4" a="1"/>
  <c r="DL6" i="4"/>
  <c r="DK6" i="4" a="1"/>
  <c r="DK6" i="4" s="1"/>
  <c r="DJ6" i="4" a="1"/>
  <c r="DJ6" i="4" s="1"/>
  <c r="DI6" i="4" a="1"/>
  <c r="DI6" i="4" s="1"/>
  <c r="DI8" i="4" s="1"/>
  <c r="DH6" i="4" a="1"/>
  <c r="DH6" i="4"/>
  <c r="DH8" i="4" s="1"/>
  <c r="DG6" i="4" a="1"/>
  <c r="DG6" i="4"/>
  <c r="DF6" i="4" a="1"/>
  <c r="DF6" i="4"/>
  <c r="DF7" i="4" s="1"/>
  <c r="DE6" i="4" a="1"/>
  <c r="DE6" i="4"/>
  <c r="DE7" i="4" s="1"/>
  <c r="DD6" i="4" a="1"/>
  <c r="DD6" i="4" s="1"/>
  <c r="DC6" i="4" a="1"/>
  <c r="DC6" i="4" s="1"/>
  <c r="DB6" i="4" a="1"/>
  <c r="DB6" i="4" s="1"/>
  <c r="DA6" i="4" a="1"/>
  <c r="DA6" i="4"/>
  <c r="CZ6" i="4" a="1"/>
  <c r="CZ6" i="4"/>
  <c r="CZ8" i="4" s="1"/>
  <c r="CY6" i="4" a="1"/>
  <c r="CY6" i="4"/>
  <c r="CY8" i="4" s="1"/>
  <c r="CX6" i="4" a="1"/>
  <c r="CX6" i="4" s="1"/>
  <c r="CW6" i="4" a="1"/>
  <c r="CW6" i="4" s="1"/>
  <c r="CV6" i="4" a="1"/>
  <c r="CV6" i="4"/>
  <c r="CV7" i="4" s="1"/>
  <c r="CU6" i="4" a="1"/>
  <c r="CU6" i="4"/>
  <c r="CT6" i="4" a="1"/>
  <c r="CT6" i="4" s="1"/>
  <c r="CT8" i="4" s="1"/>
  <c r="CS6" i="4" a="1"/>
  <c r="CS6" i="4" s="1"/>
  <c r="CR6" i="4" a="1"/>
  <c r="CR6" i="4" s="1"/>
  <c r="CQ6" i="4" a="1"/>
  <c r="CQ6" i="4" s="1"/>
  <c r="CP6" i="4" a="1"/>
  <c r="CP6" i="4" s="1"/>
  <c r="CO6" i="4" a="1"/>
  <c r="CO6" i="4"/>
  <c r="CO8" i="4" s="1"/>
  <c r="CN6" i="4" a="1"/>
  <c r="CN6" i="4"/>
  <c r="CM6" i="4" a="1"/>
  <c r="CM6" i="4" s="1"/>
  <c r="CL6" i="4" a="1"/>
  <c r="CL6" i="4" s="1"/>
  <c r="CK6" i="4" a="1"/>
  <c r="CK6" i="4" s="1"/>
  <c r="CJ6" i="4" a="1"/>
  <c r="CJ6" i="4"/>
  <c r="CI6" i="4" a="1"/>
  <c r="CI6" i="4" s="1"/>
  <c r="CI8" i="4" s="1"/>
  <c r="CH6" i="4" a="1"/>
  <c r="CH6" i="4"/>
  <c r="CH7" i="4" s="1"/>
  <c r="CG6" i="4" a="1"/>
  <c r="CG6" i="4" s="1"/>
  <c r="CF6" i="4" a="1"/>
  <c r="CF6" i="4" s="1"/>
  <c r="CE6" i="4" a="1"/>
  <c r="CE6" i="4" s="1"/>
  <c r="CD6" i="4" a="1"/>
  <c r="CD6" i="4"/>
  <c r="CD8" i="4" s="1"/>
  <c r="CC6" i="4" a="1"/>
  <c r="CC6" i="4"/>
  <c r="CB6" i="4" a="1"/>
  <c r="CB6" i="4"/>
  <c r="CB8" i="4" s="1"/>
  <c r="CA6" i="4" a="1"/>
  <c r="CA6" i="4" s="1"/>
  <c r="BZ6" i="4" a="1"/>
  <c r="BZ6" i="4" s="1"/>
  <c r="BY6" i="4" a="1"/>
  <c r="BY6" i="4"/>
  <c r="BY7" i="4" s="1"/>
  <c r="BX6" i="4" a="1"/>
  <c r="BX6" i="4" s="1"/>
  <c r="BW6" i="4" a="1"/>
  <c r="BW6" i="4"/>
  <c r="BW7" i="4" s="1"/>
  <c r="BV6" i="4" a="1"/>
  <c r="BV6" i="4"/>
  <c r="BV7" i="4" s="1"/>
  <c r="BU6" i="4" a="1"/>
  <c r="BU6" i="4" s="1"/>
  <c r="BT6" i="4" a="1"/>
  <c r="BT6" i="4" s="1"/>
  <c r="BS6" i="4" a="1"/>
  <c r="BS6" i="4"/>
  <c r="BS8" i="4" s="1"/>
  <c r="BR6" i="4" a="1"/>
  <c r="BR6" i="4"/>
  <c r="BQ6" i="4" a="1"/>
  <c r="BQ6" i="4"/>
  <c r="BQ8" i="4" s="1"/>
  <c r="BP6" i="4" a="1"/>
  <c r="BP6" i="4"/>
  <c r="BP8" i="4" s="1"/>
  <c r="BO6" i="4" a="1"/>
  <c r="BO6" i="4" s="1"/>
  <c r="BN6" i="4" a="1"/>
  <c r="BN6" i="4"/>
  <c r="BM6" i="4" a="1"/>
  <c r="BM6" i="4" s="1"/>
  <c r="BM7" i="4" s="1"/>
  <c r="BL6" i="4" a="1"/>
  <c r="BL6" i="4"/>
  <c r="BK6" i="4" a="1"/>
  <c r="BK6" i="4"/>
  <c r="BJ6" i="4" a="1"/>
  <c r="BJ6" i="4"/>
  <c r="BI6" i="4" a="1"/>
  <c r="BI6" i="4" s="1"/>
  <c r="BH6" i="4" a="1"/>
  <c r="BH6" i="4"/>
  <c r="BH8" i="4" s="1"/>
  <c r="BG6" i="4" a="1"/>
  <c r="BG6" i="4"/>
  <c r="BG8" i="4" s="1"/>
  <c r="BF6" i="4" a="1"/>
  <c r="BF6" i="4"/>
  <c r="BE6" i="4" a="1"/>
  <c r="BE6" i="4"/>
  <c r="BD6" i="4" a="1"/>
  <c r="BD6" i="4"/>
  <c r="BD7" i="4" s="1"/>
  <c r="BC6" i="4" a="1"/>
  <c r="BC6" i="4"/>
  <c r="BC7" i="4" s="1"/>
  <c r="BB6" i="4" a="1"/>
  <c r="BB6" i="4" s="1"/>
  <c r="BB7" i="4" s="1"/>
  <c r="BA6" i="4" a="1"/>
  <c r="BA6" i="4" s="1"/>
  <c r="AZ6" i="4" a="1"/>
  <c r="AZ6" i="4"/>
  <c r="AZ7" i="4" s="1"/>
  <c r="AY6" i="4" a="1"/>
  <c r="AY6" i="4"/>
  <c r="AX6" i="4" a="1"/>
  <c r="AX6" i="4" s="1"/>
  <c r="AW6" i="4" a="1"/>
  <c r="AW6" i="4"/>
  <c r="AW8" i="4" s="1"/>
  <c r="AV6" i="4" a="1"/>
  <c r="AV6" i="4"/>
  <c r="AV8" i="4" s="1"/>
  <c r="AU6" i="4" a="1"/>
  <c r="AU6" i="4" s="1"/>
  <c r="AT6" i="4" a="1"/>
  <c r="AT6" i="4"/>
  <c r="AT8" i="4" s="1"/>
  <c r="AS6" i="4" a="1"/>
  <c r="AS6" i="4"/>
  <c r="AS8" i="4" s="1"/>
  <c r="AR6" i="4" a="1"/>
  <c r="AR6" i="4"/>
  <c r="AR8" i="4" s="1"/>
  <c r="AQ6" i="4" a="1"/>
  <c r="AQ6" i="4" s="1"/>
  <c r="AP6" i="4" a="1"/>
  <c r="AP6" i="4"/>
  <c r="AO6" i="4" a="1"/>
  <c r="AO6" i="4" s="1"/>
  <c r="AN6" i="4" a="1"/>
  <c r="AN6" i="4"/>
  <c r="AM6" i="4" a="1"/>
  <c r="AM6" i="4" s="1"/>
  <c r="AL6" i="4" a="1"/>
  <c r="AL6" i="4"/>
  <c r="AL8" i="4" s="1"/>
  <c r="AK6" i="4" a="1"/>
  <c r="AK6" i="4"/>
  <c r="AJ6" i="4" a="1"/>
  <c r="AJ6" i="4"/>
  <c r="AJ8" i="4" s="1"/>
  <c r="AI6" i="4" a="1"/>
  <c r="AI6" i="4" s="1"/>
  <c r="AH6" i="4" a="1"/>
  <c r="AH6" i="4"/>
  <c r="AH8" i="4" s="1"/>
  <c r="AG6" i="4" a="1"/>
  <c r="AG6" i="4"/>
  <c r="AF6" i="4" a="1"/>
  <c r="AF6" i="4" s="1"/>
  <c r="AF7" i="4" s="1"/>
  <c r="AE6" i="4" a="1"/>
  <c r="AE6" i="4" s="1"/>
  <c r="AD6" i="4" a="1"/>
  <c r="AD6" i="4"/>
  <c r="AD8" i="4" s="1"/>
  <c r="AC6" i="4" a="1"/>
  <c r="AC6" i="4" s="1"/>
  <c r="AB6" i="4" a="1"/>
  <c r="AB6" i="4" s="1"/>
  <c r="AA6" i="4" a="1"/>
  <c r="AA6" i="4"/>
  <c r="AA8" i="4" s="1"/>
  <c r="Z6" i="4" a="1"/>
  <c r="Z6" i="4"/>
  <c r="Y6" i="4" a="1"/>
  <c r="Y6" i="4" s="1"/>
  <c r="X6" i="4" a="1"/>
  <c r="X6" i="4"/>
  <c r="W6" i="4" a="1"/>
  <c r="W6" i="4" s="1"/>
  <c r="V6" i="4" a="1"/>
  <c r="V6" i="4"/>
  <c r="U6" i="4" a="1"/>
  <c r="U6" i="4" s="1"/>
  <c r="T6" i="4" a="1"/>
  <c r="T6" i="4"/>
  <c r="T7" i="4" s="1"/>
  <c r="S6" i="4" a="1"/>
  <c r="S6" i="4" s="1"/>
  <c r="R6" i="4" a="1"/>
  <c r="R6" i="4"/>
  <c r="Q6" i="4" a="1"/>
  <c r="Q6" i="4" s="1"/>
  <c r="P6" i="4" a="1"/>
  <c r="P6" i="4"/>
  <c r="P8" i="4" s="1"/>
  <c r="O6" i="4" a="1"/>
  <c r="O6" i="4"/>
  <c r="O8" i="4" s="1"/>
  <c r="N6" i="4" a="1"/>
  <c r="N6" i="4"/>
  <c r="N7" i="4" s="1"/>
  <c r="M6" i="4" a="1"/>
  <c r="M6" i="4" s="1"/>
  <c r="L6" i="4" a="1"/>
  <c r="L6" i="4"/>
  <c r="L7" i="4" s="1"/>
  <c r="K6" i="4" a="1"/>
  <c r="K6" i="4"/>
  <c r="K8" i="4" s="1"/>
  <c r="J6" i="4" a="1"/>
  <c r="J6" i="4" s="1"/>
  <c r="I6" i="4" a="1"/>
  <c r="I6" i="4" s="1"/>
  <c r="H6" i="4" a="1"/>
  <c r="H6" i="4"/>
  <c r="G6" i="4" a="1"/>
  <c r="G6" i="4" s="1"/>
  <c r="F6" i="4" a="1"/>
  <c r="F6" i="4" s="1"/>
  <c r="E6" i="4" a="1"/>
  <c r="E6" i="4"/>
  <c r="E8" i="4" s="1"/>
  <c r="D6" i="4" a="1"/>
  <c r="D6" i="4"/>
  <c r="D8" i="4" s="1"/>
  <c r="C6" i="4" a="1"/>
  <c r="C6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H22" i="3" s="1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H18" i="3" s="1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EG17" i="3" s="1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DV8" i="3"/>
  <c r="DP8" i="3"/>
  <c r="DO8" i="3"/>
  <c r="DM8" i="3"/>
  <c r="DK8" i="3"/>
  <c r="CZ8" i="3"/>
  <c r="CT8" i="3"/>
  <c r="CQ8" i="3"/>
  <c r="CO8" i="3"/>
  <c r="CI8" i="3"/>
  <c r="CD8" i="3"/>
  <c r="CC8" i="3"/>
  <c r="BV8" i="3"/>
  <c r="BS8" i="3"/>
  <c r="BH8" i="3"/>
  <c r="BG8" i="3"/>
  <c r="BB8" i="3"/>
  <c r="BA8" i="3"/>
  <c r="AW8" i="3"/>
  <c r="AV8" i="3"/>
  <c r="AN8" i="3"/>
  <c r="AL8" i="3"/>
  <c r="AF8" i="3"/>
  <c r="Z8" i="3"/>
  <c r="U8" i="3"/>
  <c r="T8" i="3"/>
  <c r="S8" i="3"/>
  <c r="O8" i="3"/>
  <c r="H8" i="3"/>
  <c r="EC7" i="3"/>
  <c r="EB7" i="3"/>
  <c r="EA7" i="3"/>
  <c r="DX7" i="3"/>
  <c r="DV7" i="3"/>
  <c r="DP7" i="3"/>
  <c r="DO7" i="3"/>
  <c r="DL7" i="3"/>
  <c r="DK7" i="3"/>
  <c r="DF7" i="3"/>
  <c r="CZ7" i="3"/>
  <c r="CU7" i="3"/>
  <c r="CT7" i="3"/>
  <c r="CQ7" i="3"/>
  <c r="CP7" i="3"/>
  <c r="CO7" i="3"/>
  <c r="CJ7" i="3"/>
  <c r="CD7" i="3"/>
  <c r="BZ7" i="3"/>
  <c r="BX7" i="3"/>
  <c r="BU7" i="3"/>
  <c r="BS7" i="3"/>
  <c r="BO7" i="3"/>
  <c r="BN7" i="3"/>
  <c r="BM7" i="3"/>
  <c r="BL7" i="3"/>
  <c r="BI7" i="3"/>
  <c r="BH7" i="3"/>
  <c r="BB7" i="3"/>
  <c r="AW7" i="3"/>
  <c r="AS7" i="3"/>
  <c r="AR7" i="3"/>
  <c r="AP7" i="3"/>
  <c r="AH7" i="3"/>
  <c r="AF7" i="3"/>
  <c r="U7" i="3"/>
  <c r="F7" i="3"/>
  <c r="EF6" i="3" a="1"/>
  <c r="EF6" i="3"/>
  <c r="EF7" i="3" s="1"/>
  <c r="EE6" i="3" a="1"/>
  <c r="EE6" i="3"/>
  <c r="ED6" i="3" a="1"/>
  <c r="ED6" i="3" s="1"/>
  <c r="EC6" i="3" a="1"/>
  <c r="EC6" i="3"/>
  <c r="EC8" i="3" s="1"/>
  <c r="EB6" i="3" a="1"/>
  <c r="EB6" i="3" s="1"/>
  <c r="EB8" i="3" s="1"/>
  <c r="EA6" i="3" a="1"/>
  <c r="EA6" i="3" s="1"/>
  <c r="EA8" i="3" s="1"/>
  <c r="DZ6" i="3" a="1"/>
  <c r="DZ6" i="3" s="1"/>
  <c r="DY6" i="3" a="1"/>
  <c r="DY6" i="3"/>
  <c r="DY7" i="3" s="1"/>
  <c r="DX6" i="3" a="1"/>
  <c r="DX6" i="3"/>
  <c r="DX8" i="3" s="1"/>
  <c r="DW6" i="3" a="1"/>
  <c r="DW6" i="3" s="1"/>
  <c r="DW8" i="3" s="1"/>
  <c r="DV6" i="3" a="1"/>
  <c r="DV6" i="3"/>
  <c r="DU6" i="3" a="1"/>
  <c r="DU6" i="3"/>
  <c r="DU7" i="3" s="1"/>
  <c r="DT6" i="3" a="1"/>
  <c r="DT6" i="3" s="1"/>
  <c r="DS6" i="3" a="1"/>
  <c r="DS6" i="3" s="1"/>
  <c r="DR6" i="3" a="1"/>
  <c r="DR6" i="3" s="1"/>
  <c r="DQ6" i="3" a="1"/>
  <c r="DQ6" i="3" s="1"/>
  <c r="DQ8" i="3" s="1"/>
  <c r="DP6" i="3" a="1"/>
  <c r="DP6" i="3" s="1"/>
  <c r="DO6" i="3" a="1"/>
  <c r="DO6" i="3"/>
  <c r="DN6" i="3" a="1"/>
  <c r="DN6" i="3"/>
  <c r="DN7" i="3" s="1"/>
  <c r="DM6" i="3" a="1"/>
  <c r="DM6" i="3"/>
  <c r="DM7" i="3" s="1"/>
  <c r="DL6" i="3" a="1"/>
  <c r="DL6" i="3" s="1"/>
  <c r="DL8" i="3" s="1"/>
  <c r="DK6" i="3" a="1"/>
  <c r="DK6" i="3"/>
  <c r="DJ6" i="3" a="1"/>
  <c r="DJ6" i="3"/>
  <c r="DJ7" i="3" s="1"/>
  <c r="DI6" i="3" a="1"/>
  <c r="DI6" i="3"/>
  <c r="DH6" i="3" a="1"/>
  <c r="DH6" i="3" s="1"/>
  <c r="DG6" i="3" a="1"/>
  <c r="DG6" i="3"/>
  <c r="DG8" i="3" s="1"/>
  <c r="DF6" i="3" a="1"/>
  <c r="DF6" i="3" s="1"/>
  <c r="DF8" i="3" s="1"/>
  <c r="DE6" i="3" a="1"/>
  <c r="DE6" i="3" s="1"/>
  <c r="DE7" i="3" s="1"/>
  <c r="DD6" i="3" a="1"/>
  <c r="DD6" i="3" s="1"/>
  <c r="DC6" i="3" a="1"/>
  <c r="DC6" i="3"/>
  <c r="DC7" i="3" s="1"/>
  <c r="DB6" i="3" a="1"/>
  <c r="DB6" i="3"/>
  <c r="DB7" i="3" s="1"/>
  <c r="DA6" i="3" a="1"/>
  <c r="DA6" i="3" s="1"/>
  <c r="DA8" i="3" s="1"/>
  <c r="CZ6" i="3" a="1"/>
  <c r="CZ6" i="3"/>
  <c r="CY6" i="3" a="1"/>
  <c r="CY6" i="3"/>
  <c r="CY7" i="3" s="1"/>
  <c r="CX6" i="3" a="1"/>
  <c r="CX6" i="3" s="1"/>
  <c r="CW6" i="3" a="1"/>
  <c r="CW6" i="3" s="1"/>
  <c r="CV6" i="3" a="1"/>
  <c r="CV6" i="3" s="1"/>
  <c r="CU6" i="3" a="1"/>
  <c r="CU6" i="3" s="1"/>
  <c r="CU8" i="3" s="1"/>
  <c r="CT6" i="3" a="1"/>
  <c r="CT6" i="3" s="1"/>
  <c r="CS6" i="3" a="1"/>
  <c r="CS6" i="3"/>
  <c r="CS8" i="3" s="1"/>
  <c r="CR6" i="3" a="1"/>
  <c r="CR6" i="3"/>
  <c r="CR7" i="3" s="1"/>
  <c r="CQ6" i="3" a="1"/>
  <c r="CQ6" i="3"/>
  <c r="CP6" i="3" a="1"/>
  <c r="CP6" i="3" s="1"/>
  <c r="CP8" i="3" s="1"/>
  <c r="CO6" i="3" a="1"/>
  <c r="CO6" i="3"/>
  <c r="CN6" i="3" a="1"/>
  <c r="CN6" i="3"/>
  <c r="CN7" i="3" s="1"/>
  <c r="CM6" i="3" a="1"/>
  <c r="CM6" i="3"/>
  <c r="CL6" i="3" a="1"/>
  <c r="CL6" i="3" s="1"/>
  <c r="CK6" i="3" a="1"/>
  <c r="CK6" i="3"/>
  <c r="CK8" i="3" s="1"/>
  <c r="CJ6" i="3" a="1"/>
  <c r="CJ6" i="3" s="1"/>
  <c r="CJ8" i="3" s="1"/>
  <c r="CI6" i="3" a="1"/>
  <c r="CI6" i="3" s="1"/>
  <c r="CI7" i="3" s="1"/>
  <c r="CH6" i="3" a="1"/>
  <c r="CH6" i="3" s="1"/>
  <c r="CG6" i="3" a="1"/>
  <c r="CG6" i="3"/>
  <c r="CG7" i="3" s="1"/>
  <c r="CF6" i="3" a="1"/>
  <c r="CF6" i="3"/>
  <c r="CF8" i="3" s="1"/>
  <c r="CE6" i="3" a="1"/>
  <c r="CE6" i="3" s="1"/>
  <c r="CE8" i="3" s="1"/>
  <c r="CD6" i="3" a="1"/>
  <c r="CD6" i="3"/>
  <c r="CC6" i="3" a="1"/>
  <c r="CC6" i="3"/>
  <c r="CC7" i="3" s="1"/>
  <c r="CB6" i="3" a="1"/>
  <c r="CB6" i="3" s="1"/>
  <c r="CA6" i="3" a="1"/>
  <c r="CA6" i="3" s="1"/>
  <c r="BZ6" i="3" a="1"/>
  <c r="BZ6" i="3"/>
  <c r="BZ8" i="3" s="1"/>
  <c r="BY6" i="3" a="1"/>
  <c r="BY6" i="3" s="1"/>
  <c r="BY8" i="3" s="1"/>
  <c r="BX6" i="3" a="1"/>
  <c r="BX6" i="3" s="1"/>
  <c r="BX8" i="3" s="1"/>
  <c r="BW6" i="3" a="1"/>
  <c r="BW6" i="3"/>
  <c r="BW7" i="3" s="1"/>
  <c r="BV6" i="3" a="1"/>
  <c r="BV6" i="3"/>
  <c r="BV7" i="3" s="1"/>
  <c r="BU6" i="3" a="1"/>
  <c r="BU6" i="3"/>
  <c r="BU8" i="3" s="1"/>
  <c r="BT6" i="3" a="1"/>
  <c r="BT6" i="3" s="1"/>
  <c r="BT8" i="3" s="1"/>
  <c r="BS6" i="3" a="1"/>
  <c r="BS6" i="3"/>
  <c r="BR6" i="3" a="1"/>
  <c r="BR6" i="3"/>
  <c r="BR7" i="3" s="1"/>
  <c r="BQ6" i="3" a="1"/>
  <c r="BQ6" i="3"/>
  <c r="BP6" i="3" a="1"/>
  <c r="BP6" i="3" s="1"/>
  <c r="BO6" i="3" a="1"/>
  <c r="BO6" i="3"/>
  <c r="BO8" i="3" s="1"/>
  <c r="BN6" i="3" a="1"/>
  <c r="BN6" i="3" s="1"/>
  <c r="BN8" i="3" s="1"/>
  <c r="BM6" i="3" a="1"/>
  <c r="BM6" i="3" s="1"/>
  <c r="BM8" i="3" s="1"/>
  <c r="BL6" i="3" a="1"/>
  <c r="BL6" i="3"/>
  <c r="BL8" i="3" s="1"/>
  <c r="BK6" i="3" a="1"/>
  <c r="BK6" i="3" s="1"/>
  <c r="BJ6" i="3" a="1"/>
  <c r="BJ6" i="3"/>
  <c r="BJ8" i="3" s="1"/>
  <c r="BI6" i="3" a="1"/>
  <c r="BI6" i="3" s="1"/>
  <c r="BI8" i="3" s="1"/>
  <c r="BH6" i="3" a="1"/>
  <c r="BH6" i="3"/>
  <c r="BG6" i="3" a="1"/>
  <c r="BG6" i="3"/>
  <c r="BG7" i="3" s="1"/>
  <c r="BF6" i="3" a="1"/>
  <c r="BF6" i="3"/>
  <c r="BE6" i="3" a="1"/>
  <c r="BE6" i="3" s="1"/>
  <c r="BD6" i="3" a="1"/>
  <c r="BD6" i="3"/>
  <c r="BD8" i="3" s="1"/>
  <c r="BC6" i="3" a="1"/>
  <c r="BC6" i="3" s="1"/>
  <c r="BC8" i="3" s="1"/>
  <c r="BB6" i="3" a="1"/>
  <c r="BB6" i="3" s="1"/>
  <c r="BA6" i="3" a="1"/>
  <c r="BA6" i="3"/>
  <c r="BA7" i="3" s="1"/>
  <c r="AZ6" i="3" a="1"/>
  <c r="AZ6" i="3"/>
  <c r="AZ7" i="3" s="1"/>
  <c r="AY6" i="3" a="1"/>
  <c r="AY6" i="3"/>
  <c r="AY8" i="3" s="1"/>
  <c r="AX6" i="3" a="1"/>
  <c r="AX6" i="3" s="1"/>
  <c r="AX8" i="3" s="1"/>
  <c r="AW6" i="3" a="1"/>
  <c r="AW6" i="3"/>
  <c r="AV6" i="3" a="1"/>
  <c r="AV6" i="3"/>
  <c r="AV7" i="3" s="1"/>
  <c r="AU6" i="3" a="1"/>
  <c r="AU6" i="3"/>
  <c r="AT6" i="3" a="1"/>
  <c r="AT6" i="3" s="1"/>
  <c r="AS6" i="3" a="1"/>
  <c r="AS6" i="3"/>
  <c r="AS8" i="3" s="1"/>
  <c r="AR6" i="3" a="1"/>
  <c r="AR6" i="3" s="1"/>
  <c r="AR8" i="3" s="1"/>
  <c r="AQ6" i="3" a="1"/>
  <c r="AQ6" i="3" s="1"/>
  <c r="AQ8" i="3" s="1"/>
  <c r="AP6" i="3" a="1"/>
  <c r="AP6" i="3"/>
  <c r="AP8" i="3" s="1"/>
  <c r="AO6" i="3" a="1"/>
  <c r="AO6" i="3" s="1"/>
  <c r="AN6" i="3" a="1"/>
  <c r="AN6" i="3"/>
  <c r="AN7" i="3" s="1"/>
  <c r="AM6" i="3" a="1"/>
  <c r="AM6" i="3"/>
  <c r="AM8" i="3" s="1"/>
  <c r="AL6" i="3" a="1"/>
  <c r="AL6" i="3" s="1"/>
  <c r="AL7" i="3" s="1"/>
  <c r="AK6" i="3" a="1"/>
  <c r="AK6" i="3"/>
  <c r="AK7" i="3" s="1"/>
  <c r="AJ6" i="3" a="1"/>
  <c r="AJ6" i="3"/>
  <c r="AI6" i="3" a="1"/>
  <c r="AI6" i="3" s="1"/>
  <c r="AH6" i="3" a="1"/>
  <c r="AH6" i="3"/>
  <c r="AH8" i="3" s="1"/>
  <c r="AG6" i="3" a="1"/>
  <c r="AG6" i="3" s="1"/>
  <c r="AG8" i="3" s="1"/>
  <c r="AF6" i="3" a="1"/>
  <c r="AF6" i="3" s="1"/>
  <c r="AE6" i="3" a="1"/>
  <c r="AE6" i="3"/>
  <c r="AE8" i="3" s="1"/>
  <c r="AD6" i="3" a="1"/>
  <c r="AD6" i="3"/>
  <c r="AD7" i="3" s="1"/>
  <c r="AC6" i="3" a="1"/>
  <c r="AC6" i="3"/>
  <c r="AC8" i="3" s="1"/>
  <c r="AB6" i="3" a="1"/>
  <c r="AB6" i="3" s="1"/>
  <c r="AA6" i="3" a="1"/>
  <c r="AA6" i="3" s="1"/>
  <c r="AA7" i="3" s="1"/>
  <c r="Z6" i="3" a="1"/>
  <c r="Z6" i="3"/>
  <c r="Z7" i="3" s="1"/>
  <c r="Y6" i="3" a="1"/>
  <c r="Y6" i="3"/>
  <c r="X6" i="3" a="1"/>
  <c r="X6" i="3"/>
  <c r="W6" i="3" a="1"/>
  <c r="W6" i="3"/>
  <c r="W8" i="3" s="1"/>
  <c r="V6" i="3" a="1"/>
  <c r="V6" i="3" s="1"/>
  <c r="V8" i="3" s="1"/>
  <c r="U6" i="3" a="1"/>
  <c r="U6" i="3" s="1"/>
  <c r="T6" i="3" a="1"/>
  <c r="T6" i="3"/>
  <c r="T7" i="3" s="1"/>
  <c r="S6" i="3" a="1"/>
  <c r="S6" i="3"/>
  <c r="S7" i="3" s="1"/>
  <c r="R6" i="3" a="1"/>
  <c r="R6" i="3"/>
  <c r="R7" i="3" s="1"/>
  <c r="Q6" i="3" a="1"/>
  <c r="Q6" i="3" s="1"/>
  <c r="P6" i="3" a="1"/>
  <c r="P6" i="3" s="1"/>
  <c r="P7" i="3" s="1"/>
  <c r="O6" i="3" a="1"/>
  <c r="O6" i="3"/>
  <c r="O7" i="3" s="1"/>
  <c r="N6" i="3" a="1"/>
  <c r="N6" i="3"/>
  <c r="M6" i="3" a="1"/>
  <c r="M6" i="3"/>
  <c r="L6" i="3" a="1"/>
  <c r="L6" i="3"/>
  <c r="L8" i="3" s="1"/>
  <c r="K6" i="3" a="1"/>
  <c r="K6" i="3" s="1"/>
  <c r="K8" i="3" s="1"/>
  <c r="J6" i="3" a="1"/>
  <c r="J6" i="3" s="1"/>
  <c r="J8" i="3" s="1"/>
  <c r="I6" i="3" a="1"/>
  <c r="I6" i="3"/>
  <c r="I8" i="3" s="1"/>
  <c r="H6" i="3" a="1"/>
  <c r="H6" i="3"/>
  <c r="H7" i="3" s="1"/>
  <c r="G6" i="3" a="1"/>
  <c r="G6" i="3" s="1"/>
  <c r="F6" i="3" a="1"/>
  <c r="F6" i="3"/>
  <c r="F8" i="3" s="1"/>
  <c r="E6" i="3" a="1"/>
  <c r="E6" i="3" s="1"/>
  <c r="E7" i="3" s="1"/>
  <c r="D6" i="3" a="1"/>
  <c r="D6" i="3"/>
  <c r="D7" i="3" s="1"/>
  <c r="C6" i="3" a="1"/>
  <c r="C6" i="3"/>
  <c r="EH26" i="2"/>
  <c r="EG26" i="2"/>
  <c r="EI26" i="2" s="1"/>
  <c r="EH24" i="2"/>
  <c r="EI24" i="2" s="1"/>
  <c r="EG24" i="2"/>
  <c r="EH23" i="2"/>
  <c r="EG23" i="2"/>
  <c r="EI23" i="2" s="1"/>
  <c r="EH22" i="2"/>
  <c r="EG22" i="2"/>
  <c r="EI22" i="2" s="1"/>
  <c r="EH21" i="2"/>
  <c r="EG21" i="2"/>
  <c r="EI21" i="2" s="1"/>
  <c r="EI20" i="2"/>
  <c r="EH20" i="2"/>
  <c r="EG20" i="2"/>
  <c r="EH19" i="2"/>
  <c r="EG19" i="2"/>
  <c r="EI19" i="2" s="1"/>
  <c r="EH18" i="2"/>
  <c r="EG18" i="2"/>
  <c r="EI18" i="2" s="1"/>
  <c r="EH17" i="2"/>
  <c r="EG17" i="2"/>
  <c r="EI17" i="2" s="1"/>
  <c r="EI16" i="2"/>
  <c r="EH16" i="2"/>
  <c r="EG16" i="2"/>
  <c r="EH15" i="2"/>
  <c r="EG15" i="2"/>
  <c r="EI15" i="2" s="1"/>
  <c r="EH14" i="2"/>
  <c r="EI14" i="2" s="1"/>
  <c r="EG14" i="2"/>
  <c r="EH13" i="2"/>
  <c r="EI13" i="2" s="1"/>
  <c r="EG13" i="2"/>
  <c r="EH12" i="2"/>
  <c r="EG12" i="2"/>
  <c r="EI12" i="2" s="1"/>
  <c r="EF8" i="2"/>
  <c r="EE8" i="2"/>
  <c r="DT8" i="2"/>
  <c r="DS8" i="2"/>
  <c r="DO8" i="2"/>
  <c r="DI8" i="2"/>
  <c r="DH8" i="2"/>
  <c r="CZ8" i="2"/>
  <c r="CX8" i="2"/>
  <c r="CW8" i="2"/>
  <c r="CO8" i="2"/>
  <c r="CN8" i="2"/>
  <c r="CM8" i="2"/>
  <c r="CL8" i="2"/>
  <c r="CI8" i="2"/>
  <c r="CC8" i="2"/>
  <c r="CA8" i="2"/>
  <c r="BX8" i="2"/>
  <c r="BR8" i="2"/>
  <c r="BP8" i="2"/>
  <c r="BH8" i="2"/>
  <c r="BG8" i="2"/>
  <c r="BE8" i="2"/>
  <c r="AU8" i="2"/>
  <c r="AT8" i="2"/>
  <c r="AP8" i="2"/>
  <c r="AJ8" i="2"/>
  <c r="AA8" i="2"/>
  <c r="Y8" i="2"/>
  <c r="O8" i="2"/>
  <c r="N8" i="2"/>
  <c r="C8" i="2"/>
  <c r="DX7" i="2"/>
  <c r="DM7" i="2"/>
  <c r="DL7" i="2"/>
  <c r="DB7" i="2"/>
  <c r="CZ7" i="2"/>
  <c r="CF7" i="2"/>
  <c r="BU7" i="2"/>
  <c r="BT7" i="2"/>
  <c r="BJ7" i="2"/>
  <c r="BI7" i="2"/>
  <c r="BH7" i="2"/>
  <c r="BC7" i="2"/>
  <c r="AW7" i="2"/>
  <c r="AR7" i="2"/>
  <c r="AN7" i="2"/>
  <c r="AL7" i="2"/>
  <c r="AC7" i="2"/>
  <c r="AB7" i="2"/>
  <c r="AA7" i="2"/>
  <c r="G7" i="2"/>
  <c r="EF6" i="2" a="1"/>
  <c r="EF6" i="2"/>
  <c r="EF7" i="2" s="1"/>
  <c r="EE6" i="2" a="1"/>
  <c r="EE6" i="2" s="1"/>
  <c r="EE7" i="2" s="1"/>
  <c r="ED6" i="2" a="1"/>
  <c r="ED6" i="2" s="1"/>
  <c r="ED7" i="2" s="1"/>
  <c r="EC6" i="2" a="1"/>
  <c r="EC6" i="2"/>
  <c r="EC7" i="2" s="1"/>
  <c r="EB6" i="2" a="1"/>
  <c r="EB6" i="2" s="1"/>
  <c r="EA6" i="2" a="1"/>
  <c r="EA6" i="2"/>
  <c r="EA7" i="2" s="1"/>
  <c r="DZ6" i="2" a="1"/>
  <c r="DZ6" i="2"/>
  <c r="DZ7" i="2" s="1"/>
  <c r="DY6" i="2" a="1"/>
  <c r="DY6" i="2" s="1"/>
  <c r="DX6" i="2" a="1"/>
  <c r="DX6" i="2"/>
  <c r="DX8" i="2" s="1"/>
  <c r="DW6" i="2" a="1"/>
  <c r="DW6" i="2"/>
  <c r="DW8" i="2" s="1"/>
  <c r="DV6" i="2" a="1"/>
  <c r="DV6" i="2" s="1"/>
  <c r="DU6" i="2" a="1"/>
  <c r="DU6" i="2"/>
  <c r="DU7" i="2" s="1"/>
  <c r="DT6" i="2" a="1"/>
  <c r="DT6" i="2" s="1"/>
  <c r="DT7" i="2" s="1"/>
  <c r="DS6" i="2" a="1"/>
  <c r="DS6" i="2" s="1"/>
  <c r="DS7" i="2" s="1"/>
  <c r="DR6" i="2" a="1"/>
  <c r="DR6" i="2"/>
  <c r="DR7" i="2" s="1"/>
  <c r="DQ6" i="2" a="1"/>
  <c r="DQ6" i="2" s="1"/>
  <c r="DP6" i="2" a="1"/>
  <c r="DP6" i="2"/>
  <c r="DP7" i="2" s="1"/>
  <c r="DO6" i="2" a="1"/>
  <c r="DO6" i="2"/>
  <c r="DO7" i="2" s="1"/>
  <c r="DN6" i="2" a="1"/>
  <c r="DN6" i="2" s="1"/>
  <c r="DM6" i="2" a="1"/>
  <c r="DM6" i="2"/>
  <c r="DM8" i="2" s="1"/>
  <c r="DL6" i="2" a="1"/>
  <c r="DL6" i="2"/>
  <c r="DL8" i="2" s="1"/>
  <c r="DK6" i="2" a="1"/>
  <c r="DK6" i="2" s="1"/>
  <c r="DJ6" i="2" a="1"/>
  <c r="DJ6" i="2"/>
  <c r="DJ8" i="2" s="1"/>
  <c r="DI6" i="2" a="1"/>
  <c r="DI6" i="2" s="1"/>
  <c r="DI7" i="2" s="1"/>
  <c r="DH6" i="2" a="1"/>
  <c r="DH6" i="2" s="1"/>
  <c r="DH7" i="2" s="1"/>
  <c r="DG6" i="2" a="1"/>
  <c r="DG6" i="2" s="1"/>
  <c r="DF6" i="2" a="1"/>
  <c r="DF6" i="2"/>
  <c r="DF8" i="2" s="1"/>
  <c r="DE6" i="2" a="1"/>
  <c r="DE6" i="2"/>
  <c r="DE7" i="2" s="1"/>
  <c r="DD6" i="2" a="1"/>
  <c r="DD6" i="2"/>
  <c r="DD7" i="2" s="1"/>
  <c r="DC6" i="2" a="1"/>
  <c r="DC6" i="2" s="1"/>
  <c r="DB6" i="2" a="1"/>
  <c r="DB6" i="2"/>
  <c r="DB8" i="2" s="1"/>
  <c r="DA6" i="2" a="1"/>
  <c r="DA6" i="2" s="1"/>
  <c r="CZ6" i="2" a="1"/>
  <c r="CZ6" i="2"/>
  <c r="CY6" i="2" a="1"/>
  <c r="CY6" i="2"/>
  <c r="CY7" i="2" s="1"/>
  <c r="CX6" i="2" a="1"/>
  <c r="CX6" i="2" s="1"/>
  <c r="CX7" i="2" s="1"/>
  <c r="CW6" i="2" a="1"/>
  <c r="CW6" i="2" s="1"/>
  <c r="CW7" i="2" s="1"/>
  <c r="CV6" i="2" a="1"/>
  <c r="CV6" i="2" s="1"/>
  <c r="CU6" i="2" a="1"/>
  <c r="CU6" i="2"/>
  <c r="CU7" i="2" s="1"/>
  <c r="CT6" i="2" a="1"/>
  <c r="CT6" i="2"/>
  <c r="CT7" i="2" s="1"/>
  <c r="CS6" i="2" a="1"/>
  <c r="CS6" i="2"/>
  <c r="CS7" i="2" s="1"/>
  <c r="CR6" i="2" a="1"/>
  <c r="CR6" i="2" s="1"/>
  <c r="CQ6" i="2" a="1"/>
  <c r="CQ6" i="2"/>
  <c r="CQ8" i="2" s="1"/>
  <c r="CP6" i="2" a="1"/>
  <c r="CP6" i="2" s="1"/>
  <c r="CO6" i="2" a="1"/>
  <c r="CO6" i="2"/>
  <c r="CO7" i="2" s="1"/>
  <c r="CN6" i="2" a="1"/>
  <c r="CN6" i="2"/>
  <c r="CN7" i="2" s="1"/>
  <c r="CM6" i="2" a="1"/>
  <c r="CM6" i="2" s="1"/>
  <c r="CM7" i="2" s="1"/>
  <c r="CL6" i="2" a="1"/>
  <c r="CL6" i="2" s="1"/>
  <c r="CL7" i="2" s="1"/>
  <c r="CK6" i="2" a="1"/>
  <c r="CK6" i="2" s="1"/>
  <c r="CJ6" i="2" a="1"/>
  <c r="CJ6" i="2"/>
  <c r="CJ7" i="2" s="1"/>
  <c r="CI6" i="2" a="1"/>
  <c r="CI6" i="2"/>
  <c r="CI7" i="2" s="1"/>
  <c r="CH6" i="2" a="1"/>
  <c r="CH6" i="2" s="1"/>
  <c r="CG6" i="2" a="1"/>
  <c r="CG6" i="2" s="1"/>
  <c r="CF6" i="2" a="1"/>
  <c r="CF6" i="2"/>
  <c r="CF8" i="2" s="1"/>
  <c r="CE6" i="2" a="1"/>
  <c r="CE6" i="2" s="1"/>
  <c r="CD6" i="2" a="1"/>
  <c r="CD6" i="2"/>
  <c r="CD7" i="2" s="1"/>
  <c r="CC6" i="2" a="1"/>
  <c r="CC6" i="2"/>
  <c r="CC7" i="2" s="1"/>
  <c r="CB6" i="2" a="1"/>
  <c r="CB6" i="2" s="1"/>
  <c r="CB7" i="2" s="1"/>
  <c r="CA6" i="2" a="1"/>
  <c r="CA6" i="2" s="1"/>
  <c r="CA7" i="2" s="1"/>
  <c r="BZ6" i="2" a="1"/>
  <c r="BZ6" i="2"/>
  <c r="BZ7" i="2" s="1"/>
  <c r="BY6" i="2" a="1"/>
  <c r="BY6" i="2"/>
  <c r="BY8" i="2" s="1"/>
  <c r="BX6" i="2" a="1"/>
  <c r="BX6" i="2"/>
  <c r="BX7" i="2" s="1"/>
  <c r="BW6" i="2" a="1"/>
  <c r="BW6" i="2" s="1"/>
  <c r="BV6" i="2" a="1"/>
  <c r="BV6" i="2" s="1"/>
  <c r="BU6" i="2" a="1"/>
  <c r="BU6" i="2"/>
  <c r="BU8" i="2" s="1"/>
  <c r="BT6" i="2" a="1"/>
  <c r="BT6" i="2"/>
  <c r="BT8" i="2" s="1"/>
  <c r="BS6" i="2" a="1"/>
  <c r="BS6" i="2"/>
  <c r="BS7" i="2" s="1"/>
  <c r="BR6" i="2" a="1"/>
  <c r="BR6" i="2"/>
  <c r="BR7" i="2" s="1"/>
  <c r="BQ6" i="2" a="1"/>
  <c r="BQ6" i="2" s="1"/>
  <c r="BQ8" i="2" s="1"/>
  <c r="BP6" i="2" a="1"/>
  <c r="BP6" i="2" s="1"/>
  <c r="BP7" i="2" s="1"/>
  <c r="BO6" i="2" a="1"/>
  <c r="BO6" i="2"/>
  <c r="BO7" i="2" s="1"/>
  <c r="BN6" i="2" a="1"/>
  <c r="BN6" i="2"/>
  <c r="BN7" i="2" s="1"/>
  <c r="BM6" i="2" a="1"/>
  <c r="BM6" i="2"/>
  <c r="BM7" i="2" s="1"/>
  <c r="BL6" i="2" a="1"/>
  <c r="BL6" i="2" s="1"/>
  <c r="BK6" i="2" a="1"/>
  <c r="BK6" i="2" s="1"/>
  <c r="BJ6" i="2" a="1"/>
  <c r="BJ6" i="2"/>
  <c r="BJ8" i="2" s="1"/>
  <c r="BI6" i="2" a="1"/>
  <c r="BI6" i="2"/>
  <c r="BI8" i="2" s="1"/>
  <c r="BH6" i="2" a="1"/>
  <c r="BH6" i="2"/>
  <c r="BG6" i="2" a="1"/>
  <c r="BG6" i="2"/>
  <c r="BG7" i="2" s="1"/>
  <c r="BF6" i="2" a="1"/>
  <c r="BF6" i="2" s="1"/>
  <c r="BF7" i="2" s="1"/>
  <c r="BE6" i="2" a="1"/>
  <c r="BE6" i="2" s="1"/>
  <c r="BE7" i="2" s="1"/>
  <c r="BD6" i="2" a="1"/>
  <c r="BD6" i="2"/>
  <c r="BD7" i="2" s="1"/>
  <c r="BC6" i="2" a="1"/>
  <c r="BC6" i="2"/>
  <c r="BC8" i="2" s="1"/>
  <c r="BB6" i="2" a="1"/>
  <c r="BB6" i="2" s="1"/>
  <c r="BA6" i="2" a="1"/>
  <c r="BA6" i="2"/>
  <c r="BA7" i="2" s="1"/>
  <c r="AZ6" i="2" a="1"/>
  <c r="AZ6" i="2" s="1"/>
  <c r="AY6" i="2" a="1"/>
  <c r="AY6" i="2"/>
  <c r="AY8" i="2" s="1"/>
  <c r="AX6" i="2" a="1"/>
  <c r="AX6" i="2"/>
  <c r="AX8" i="2" s="1"/>
  <c r="AW6" i="2" a="1"/>
  <c r="AW6" i="2"/>
  <c r="AW8" i="2" s="1"/>
  <c r="AV6" i="2" a="1"/>
  <c r="AV6" i="2" s="1"/>
  <c r="AU6" i="2" a="1"/>
  <c r="AU6" i="2" s="1"/>
  <c r="AU7" i="2" s="1"/>
  <c r="AT6" i="2" a="1"/>
  <c r="AT6" i="2" s="1"/>
  <c r="AT7" i="2" s="1"/>
  <c r="AS6" i="2" a="1"/>
  <c r="AS6" i="2"/>
  <c r="AS7" i="2" s="1"/>
  <c r="AR6" i="2" a="1"/>
  <c r="AR6" i="2"/>
  <c r="AR8" i="2" s="1"/>
  <c r="AQ6" i="2" a="1"/>
  <c r="AQ6" i="2" s="1"/>
  <c r="AP6" i="2" a="1"/>
  <c r="AP6" i="2"/>
  <c r="AP7" i="2" s="1"/>
  <c r="AO6" i="2" a="1"/>
  <c r="AO6" i="2" s="1"/>
  <c r="AN6" i="2" a="1"/>
  <c r="AN6" i="2"/>
  <c r="AN8" i="2" s="1"/>
  <c r="AM6" i="2" a="1"/>
  <c r="AM6" i="2"/>
  <c r="AM8" i="2" s="1"/>
  <c r="AL6" i="2" a="1"/>
  <c r="AL6" i="2"/>
  <c r="AL8" i="2" s="1"/>
  <c r="AK6" i="2" a="1"/>
  <c r="AK6" i="2" s="1"/>
  <c r="AJ6" i="2" a="1"/>
  <c r="AJ6" i="2" s="1"/>
  <c r="AJ7" i="2" s="1"/>
  <c r="AI6" i="2" a="1"/>
  <c r="AI6" i="2" s="1"/>
  <c r="AI7" i="2" s="1"/>
  <c r="AH6" i="2" a="1"/>
  <c r="AH6" i="2"/>
  <c r="AH7" i="2" s="1"/>
  <c r="AG6" i="2" a="1"/>
  <c r="AG6" i="2"/>
  <c r="AG8" i="2" s="1"/>
  <c r="AF6" i="2" a="1"/>
  <c r="AF6" i="2" s="1"/>
  <c r="AE6" i="2" a="1"/>
  <c r="AE6" i="2"/>
  <c r="AE7" i="2" s="1"/>
  <c r="AD6" i="2" a="1"/>
  <c r="AD6" i="2" s="1"/>
  <c r="AC6" i="2" a="1"/>
  <c r="AC6" i="2"/>
  <c r="AC8" i="2" s="1"/>
  <c r="AB6" i="2" a="1"/>
  <c r="AB6" i="2"/>
  <c r="AB8" i="2" s="1"/>
  <c r="AA6" i="2" a="1"/>
  <c r="AA6" i="2"/>
  <c r="Z6" i="2" a="1"/>
  <c r="Z6" i="2" s="1"/>
  <c r="Y6" i="2" a="1"/>
  <c r="Y6" i="2" s="1"/>
  <c r="Y7" i="2" s="1"/>
  <c r="X6" i="2" a="1"/>
  <c r="X6" i="2" s="1"/>
  <c r="X8" i="2" s="1"/>
  <c r="W6" i="2" a="1"/>
  <c r="W6" i="2"/>
  <c r="W7" i="2" s="1"/>
  <c r="V6" i="2" a="1"/>
  <c r="V6" i="2" s="1"/>
  <c r="U6" i="2" a="1"/>
  <c r="U6" i="2"/>
  <c r="U7" i="2" s="1"/>
  <c r="T6" i="2" a="1"/>
  <c r="T6" i="2"/>
  <c r="T7" i="2" s="1"/>
  <c r="S6" i="2" a="1"/>
  <c r="S6" i="2" s="1"/>
  <c r="R6" i="2" a="1"/>
  <c r="R6" i="2"/>
  <c r="R8" i="2" s="1"/>
  <c r="Q6" i="2" a="1"/>
  <c r="Q6" i="2"/>
  <c r="Q8" i="2" s="1"/>
  <c r="P6" i="2" a="1"/>
  <c r="P6" i="2" s="1"/>
  <c r="O6" i="2" a="1"/>
  <c r="O6" i="2"/>
  <c r="O7" i="2" s="1"/>
  <c r="N6" i="2" a="1"/>
  <c r="N6" i="2" s="1"/>
  <c r="N7" i="2" s="1"/>
  <c r="M6" i="2" a="1"/>
  <c r="M6" i="2" s="1"/>
  <c r="M7" i="2" s="1"/>
  <c r="L6" i="2" a="1"/>
  <c r="L6" i="2"/>
  <c r="L7" i="2" s="1"/>
  <c r="K6" i="2" a="1"/>
  <c r="K6" i="2" s="1"/>
  <c r="J6" i="2" a="1"/>
  <c r="J6" i="2"/>
  <c r="J7" i="2" s="1"/>
  <c r="I6" i="2" a="1"/>
  <c r="I6" i="2"/>
  <c r="I7" i="2" s="1"/>
  <c r="H6" i="2" a="1"/>
  <c r="H6" i="2" s="1"/>
  <c r="G6" i="2" a="1"/>
  <c r="G6" i="2"/>
  <c r="G8" i="2" s="1"/>
  <c r="F6" i="2" a="1"/>
  <c r="F6" i="2"/>
  <c r="F8" i="2" s="1"/>
  <c r="E6" i="2" a="1"/>
  <c r="E6" i="2" s="1"/>
  <c r="D6" i="2" a="1"/>
  <c r="D6" i="2"/>
  <c r="D7" i="2" s="1"/>
  <c r="C6" i="2" a="1"/>
  <c r="C6" i="2" s="1"/>
  <c r="C7" i="2" s="1"/>
  <c r="DZ8" i="1"/>
  <c r="DX8" i="1"/>
  <c r="DR8" i="1"/>
  <c r="DM8" i="1"/>
  <c r="DL8" i="1"/>
  <c r="DG8" i="1"/>
  <c r="CV8" i="1"/>
  <c r="CT8" i="1"/>
  <c r="CG8" i="1"/>
  <c r="CF8" i="1"/>
  <c r="CE8" i="1"/>
  <c r="BU8" i="1"/>
  <c r="BT8" i="1"/>
  <c r="BN8" i="1"/>
  <c r="BA8" i="1"/>
  <c r="AZ8" i="1"/>
  <c r="AO8" i="1"/>
  <c r="AN8" i="1"/>
  <c r="AM8" i="1"/>
  <c r="AG8" i="1"/>
  <c r="AB8" i="1"/>
  <c r="V8" i="1"/>
  <c r="U8" i="1"/>
  <c r="I8" i="1"/>
  <c r="G8" i="1"/>
  <c r="DZ7" i="1"/>
  <c r="DR7" i="1"/>
  <c r="DG7" i="1"/>
  <c r="DF7" i="1"/>
  <c r="CT7" i="1"/>
  <c r="CR7" i="1"/>
  <c r="CG7" i="1"/>
  <c r="CA7" i="1"/>
  <c r="BN7" i="1"/>
  <c r="BA7" i="1"/>
  <c r="AZ7" i="1"/>
  <c r="AO7" i="1"/>
  <c r="AH7" i="1"/>
  <c r="V7" i="1"/>
  <c r="U7" i="1"/>
  <c r="T7" i="1"/>
  <c r="I7" i="1"/>
  <c r="EF6" i="1" a="1"/>
  <c r="EF6" i="1"/>
  <c r="EF8" i="1" s="1"/>
  <c r="EE6" i="1" a="1"/>
  <c r="EE6" i="1" s="1"/>
  <c r="ED6" i="1" a="1"/>
  <c r="ED6" i="1"/>
  <c r="ED8" i="1" s="1"/>
  <c r="EC6" i="1" a="1"/>
  <c r="EC6" i="1" s="1"/>
  <c r="EC7" i="1" s="1"/>
  <c r="EB6" i="1" a="1"/>
  <c r="EB6" i="1"/>
  <c r="EB8" i="1" s="1"/>
  <c r="EA6" i="1" a="1"/>
  <c r="EA6" i="1"/>
  <c r="EA7" i="1" s="1"/>
  <c r="DZ6" i="1" a="1"/>
  <c r="DZ6" i="1"/>
  <c r="DY6" i="1" a="1"/>
  <c r="DY6" i="1" s="1"/>
  <c r="DX6" i="1" a="1"/>
  <c r="DX6" i="1" s="1"/>
  <c r="DX7" i="1" s="1"/>
  <c r="DW6" i="1" a="1"/>
  <c r="DW6" i="1" s="1"/>
  <c r="DW7" i="1" s="1"/>
  <c r="DV6" i="1" a="1"/>
  <c r="DV6" i="1"/>
  <c r="DU6" i="1" a="1"/>
  <c r="DU6" i="1"/>
  <c r="DU8" i="1" s="1"/>
  <c r="DT6" i="1" a="1"/>
  <c r="DT6" i="1" s="1"/>
  <c r="DS6" i="1" a="1"/>
  <c r="DS6" i="1"/>
  <c r="DS7" i="1" s="1"/>
  <c r="DR6" i="1" a="1"/>
  <c r="DR6" i="1" s="1"/>
  <c r="DQ6" i="1" a="1"/>
  <c r="DQ6" i="1"/>
  <c r="DQ7" i="1" s="1"/>
  <c r="DP6" i="1" a="1"/>
  <c r="DP6" i="1"/>
  <c r="DP8" i="1" s="1"/>
  <c r="DO6" i="1" a="1"/>
  <c r="DO6" i="1"/>
  <c r="DO7" i="1" s="1"/>
  <c r="DN6" i="1" a="1"/>
  <c r="DN6" i="1" s="1"/>
  <c r="DM6" i="1" a="1"/>
  <c r="DM6" i="1" s="1"/>
  <c r="DM7" i="1" s="1"/>
  <c r="DL6" i="1" a="1"/>
  <c r="DL6" i="1" s="1"/>
  <c r="DL7" i="1" s="1"/>
  <c r="DK6" i="1" a="1"/>
  <c r="DK6" i="1"/>
  <c r="DJ6" i="1" a="1"/>
  <c r="DJ6" i="1"/>
  <c r="DJ8" i="1" s="1"/>
  <c r="DI6" i="1" a="1"/>
  <c r="DI6" i="1" s="1"/>
  <c r="DH6" i="1" a="1"/>
  <c r="DH6" i="1"/>
  <c r="DH7" i="1" s="1"/>
  <c r="DG6" i="1" a="1"/>
  <c r="DG6" i="1" s="1"/>
  <c r="DF6" i="1" a="1"/>
  <c r="DF6" i="1"/>
  <c r="DF8" i="1" s="1"/>
  <c r="DE6" i="1" a="1"/>
  <c r="DE6" i="1"/>
  <c r="DE7" i="1" s="1"/>
  <c r="DD6" i="1" a="1"/>
  <c r="DD6" i="1"/>
  <c r="DD7" i="1" s="1"/>
  <c r="DC6" i="1" a="1"/>
  <c r="DC6" i="1" s="1"/>
  <c r="DB6" i="1" a="1"/>
  <c r="DB6" i="1" s="1"/>
  <c r="DB7" i="1" s="1"/>
  <c r="DA6" i="1" a="1"/>
  <c r="DA6" i="1" s="1"/>
  <c r="DA7" i="1" s="1"/>
  <c r="CZ6" i="1" a="1"/>
  <c r="CZ6" i="1"/>
  <c r="CY6" i="1" a="1"/>
  <c r="CY6" i="1" s="1"/>
  <c r="CX6" i="1" a="1"/>
  <c r="CX6" i="1"/>
  <c r="CX8" i="1" s="1"/>
  <c r="CW6" i="1" a="1"/>
  <c r="CW6" i="1"/>
  <c r="CW7" i="1" s="1"/>
  <c r="CV6" i="1" a="1"/>
  <c r="CV6" i="1" s="1"/>
  <c r="CV7" i="1" s="1"/>
  <c r="CU6" i="1" a="1"/>
  <c r="CU6" i="1"/>
  <c r="CU7" i="1" s="1"/>
  <c r="CT6" i="1" a="1"/>
  <c r="CT6" i="1"/>
  <c r="CS6" i="1" a="1"/>
  <c r="CS6" i="1" s="1"/>
  <c r="CR6" i="1" a="1"/>
  <c r="CR6" i="1"/>
  <c r="CR8" i="1" s="1"/>
  <c r="CQ6" i="1" a="1"/>
  <c r="CQ6" i="1" s="1"/>
  <c r="CQ7" i="1" s="1"/>
  <c r="CP6" i="1" a="1"/>
  <c r="CP6" i="1" s="1"/>
  <c r="CP7" i="1" s="1"/>
  <c r="CO6" i="1" a="1"/>
  <c r="CO6" i="1"/>
  <c r="CN6" i="1" a="1"/>
  <c r="CN6" i="1" s="1"/>
  <c r="CM6" i="1" a="1"/>
  <c r="CM6" i="1"/>
  <c r="CM8" i="1" s="1"/>
  <c r="CL6" i="1" a="1"/>
  <c r="CL6" i="1"/>
  <c r="CL7" i="1" s="1"/>
  <c r="CK6" i="1" a="1"/>
  <c r="CK6" i="1" s="1"/>
  <c r="CK8" i="1" s="1"/>
  <c r="CJ6" i="1" a="1"/>
  <c r="CJ6" i="1"/>
  <c r="CJ7" i="1" s="1"/>
  <c r="CI6" i="1" a="1"/>
  <c r="CI6" i="1"/>
  <c r="CI7" i="1" s="1"/>
  <c r="CH6" i="1" a="1"/>
  <c r="CH6" i="1" s="1"/>
  <c r="CG6" i="1" a="1"/>
  <c r="CG6" i="1"/>
  <c r="CF6" i="1" a="1"/>
  <c r="CF6" i="1" s="1"/>
  <c r="CF7" i="1" s="1"/>
  <c r="CE6" i="1" a="1"/>
  <c r="CE6" i="1" s="1"/>
  <c r="CE7" i="1" s="1"/>
  <c r="CD6" i="1" a="1"/>
  <c r="CD6" i="1"/>
  <c r="CC6" i="1" a="1"/>
  <c r="CC6" i="1" s="1"/>
  <c r="CB6" i="1" a="1"/>
  <c r="CB6" i="1"/>
  <c r="CB8" i="1" s="1"/>
  <c r="CA6" i="1" a="1"/>
  <c r="CA6" i="1"/>
  <c r="CA8" i="1" s="1"/>
  <c r="BZ6" i="1" a="1"/>
  <c r="BZ6" i="1" s="1"/>
  <c r="BZ7" i="1" s="1"/>
  <c r="BY6" i="1" a="1"/>
  <c r="BY6" i="1"/>
  <c r="BY7" i="1" s="1"/>
  <c r="BX6" i="1" a="1"/>
  <c r="BX6" i="1"/>
  <c r="BX7" i="1" s="1"/>
  <c r="BW6" i="1" a="1"/>
  <c r="BW6" i="1" s="1"/>
  <c r="BV6" i="1" a="1"/>
  <c r="BV6" i="1"/>
  <c r="BV7" i="1" s="1"/>
  <c r="BU6" i="1" a="1"/>
  <c r="BU6" i="1" s="1"/>
  <c r="BU7" i="1" s="1"/>
  <c r="BT6" i="1" a="1"/>
  <c r="BT6" i="1" s="1"/>
  <c r="BT7" i="1" s="1"/>
  <c r="BS6" i="1" a="1"/>
  <c r="BS6" i="1" s="1"/>
  <c r="BR6" i="1" a="1"/>
  <c r="BR6" i="1"/>
  <c r="BR8" i="1" s="1"/>
  <c r="BQ6" i="1" a="1"/>
  <c r="BQ6" i="1"/>
  <c r="BQ8" i="1" s="1"/>
  <c r="BP6" i="1" a="1"/>
  <c r="BP6" i="1"/>
  <c r="BP7" i="1" s="1"/>
  <c r="BO6" i="1" a="1"/>
  <c r="BO6" i="1" s="1"/>
  <c r="BO7" i="1" s="1"/>
  <c r="BN6" i="1" a="1"/>
  <c r="BN6" i="1"/>
  <c r="BM6" i="1" a="1"/>
  <c r="BM6" i="1" s="1"/>
  <c r="BL6" i="1" a="1"/>
  <c r="BL6" i="1"/>
  <c r="BL7" i="1" s="1"/>
  <c r="BK6" i="1" a="1"/>
  <c r="BK6" i="1"/>
  <c r="BK7" i="1" s="1"/>
  <c r="BJ6" i="1" a="1"/>
  <c r="BJ6" i="1" s="1"/>
  <c r="BJ7" i="1" s="1"/>
  <c r="BI6" i="1" a="1"/>
  <c r="BI6" i="1" s="1"/>
  <c r="BI7" i="1" s="1"/>
  <c r="BH6" i="1" a="1"/>
  <c r="BH6" i="1" s="1"/>
  <c r="BG6" i="1" a="1"/>
  <c r="BG6" i="1"/>
  <c r="BG8" i="1" s="1"/>
  <c r="BF6" i="1" a="1"/>
  <c r="BF6" i="1"/>
  <c r="BF8" i="1" s="1"/>
  <c r="BE6" i="1" a="1"/>
  <c r="BE6" i="1"/>
  <c r="BE7" i="1" s="1"/>
  <c r="BD6" i="1" a="1"/>
  <c r="BD6" i="1" s="1"/>
  <c r="BD7" i="1" s="1"/>
  <c r="BC6" i="1" a="1"/>
  <c r="BC6" i="1"/>
  <c r="BC7" i="1" s="1"/>
  <c r="BB6" i="1" a="1"/>
  <c r="BB6" i="1" s="1"/>
  <c r="BA6" i="1" a="1"/>
  <c r="BA6" i="1"/>
  <c r="AZ6" i="1" a="1"/>
  <c r="AZ6" i="1"/>
  <c r="AY6" i="1" a="1"/>
  <c r="AY6" i="1" s="1"/>
  <c r="AY7" i="1" s="1"/>
  <c r="AX6" i="1" a="1"/>
  <c r="AX6" i="1" s="1"/>
  <c r="AX7" i="1" s="1"/>
  <c r="AW6" i="1" a="1"/>
  <c r="AW6" i="1" s="1"/>
  <c r="AV6" i="1" a="1"/>
  <c r="AV6" i="1"/>
  <c r="AV8" i="1" s="1"/>
  <c r="AU6" i="1" a="1"/>
  <c r="AU6" i="1"/>
  <c r="AU8" i="1" s="1"/>
  <c r="AT6" i="1" a="1"/>
  <c r="AT6" i="1" s="1"/>
  <c r="AS6" i="1" a="1"/>
  <c r="AS6" i="1" s="1"/>
  <c r="AS7" i="1" s="1"/>
  <c r="AR6" i="1" a="1"/>
  <c r="AR6" i="1"/>
  <c r="AR8" i="1" s="1"/>
  <c r="AQ6" i="1" a="1"/>
  <c r="AQ6" i="1" s="1"/>
  <c r="AP6" i="1" a="1"/>
  <c r="AP6" i="1"/>
  <c r="AP8" i="1" s="1"/>
  <c r="AO6" i="1" a="1"/>
  <c r="AO6" i="1"/>
  <c r="AN6" i="1" a="1"/>
  <c r="AN6" i="1" s="1"/>
  <c r="AN7" i="1" s="1"/>
  <c r="AM6" i="1" a="1"/>
  <c r="AM6" i="1" s="1"/>
  <c r="AM7" i="1" s="1"/>
  <c r="AL6" i="1" a="1"/>
  <c r="AL6" i="1"/>
  <c r="AK6" i="1" a="1"/>
  <c r="AK6" i="1"/>
  <c r="AK8" i="1" s="1"/>
  <c r="AJ6" i="1" a="1"/>
  <c r="AJ6" i="1"/>
  <c r="AJ8" i="1" s="1"/>
  <c r="AI6" i="1" a="1"/>
  <c r="AI6" i="1" s="1"/>
  <c r="AH6" i="1" a="1"/>
  <c r="AH6" i="1" s="1"/>
  <c r="AH8" i="1" s="1"/>
  <c r="AG6" i="1" a="1"/>
  <c r="AG6" i="1"/>
  <c r="AG7" i="1" s="1"/>
  <c r="AF6" i="1" a="1"/>
  <c r="AF6" i="1"/>
  <c r="AF7" i="1" s="1"/>
  <c r="AE6" i="1" a="1"/>
  <c r="AE6" i="1"/>
  <c r="AE7" i="1" s="1"/>
  <c r="AD6" i="1" a="1"/>
  <c r="AD6" i="1"/>
  <c r="AD8" i="1" s="1"/>
  <c r="AC6" i="1" a="1"/>
  <c r="AC6" i="1" s="1"/>
  <c r="AC7" i="1" s="1"/>
  <c r="AB6" i="1" a="1"/>
  <c r="AB6" i="1" s="1"/>
  <c r="AB7" i="1" s="1"/>
  <c r="AA6" i="1" a="1"/>
  <c r="AA6" i="1"/>
  <c r="Z6" i="1" a="1"/>
  <c r="Z6" i="1"/>
  <c r="Z8" i="1" s="1"/>
  <c r="Y6" i="1" a="1"/>
  <c r="Y6" i="1"/>
  <c r="Y8" i="1" s="1"/>
  <c r="X6" i="1" a="1"/>
  <c r="X6" i="1" s="1"/>
  <c r="W6" i="1" a="1"/>
  <c r="W6" i="1" s="1"/>
  <c r="W7" i="1" s="1"/>
  <c r="V6" i="1" a="1"/>
  <c r="V6" i="1"/>
  <c r="U6" i="1" a="1"/>
  <c r="U6" i="1"/>
  <c r="T6" i="1" a="1"/>
  <c r="T6" i="1"/>
  <c r="T8" i="1" s="1"/>
  <c r="S6" i="1" a="1"/>
  <c r="S6" i="1"/>
  <c r="S7" i="1" s="1"/>
  <c r="R6" i="1" a="1"/>
  <c r="R6" i="1" s="1"/>
  <c r="R7" i="1" s="1"/>
  <c r="Q6" i="1" a="1"/>
  <c r="Q6" i="1" s="1"/>
  <c r="Q7" i="1" s="1"/>
  <c r="P6" i="1" a="1"/>
  <c r="P6" i="1"/>
  <c r="O6" i="1" a="1"/>
  <c r="O6" i="1"/>
  <c r="O8" i="1" s="1"/>
  <c r="N6" i="1" a="1"/>
  <c r="N6" i="1" s="1"/>
  <c r="M6" i="1" a="1"/>
  <c r="M6" i="1"/>
  <c r="M8" i="1" s="1"/>
  <c r="L6" i="1" a="1"/>
  <c r="L6" i="1" s="1"/>
  <c r="L7" i="1" s="1"/>
  <c r="K6" i="1" a="1"/>
  <c r="K6" i="1"/>
  <c r="K8" i="1" s="1"/>
  <c r="J6" i="1" a="1"/>
  <c r="J6" i="1"/>
  <c r="J7" i="1" s="1"/>
  <c r="I6" i="1" a="1"/>
  <c r="I6" i="1"/>
  <c r="H6" i="1" a="1"/>
  <c r="H6" i="1" s="1"/>
  <c r="G6" i="1" a="1"/>
  <c r="G6" i="1" s="1"/>
  <c r="G7" i="1" s="1"/>
  <c r="F6" i="1" a="1"/>
  <c r="F6" i="1" s="1"/>
  <c r="F7" i="1" s="1"/>
  <c r="E6" i="1" a="1"/>
  <c r="E6" i="1"/>
  <c r="D6" i="1" a="1"/>
  <c r="D6" i="1"/>
  <c r="D8" i="1" s="1"/>
  <c r="C6" i="1" a="1"/>
  <c r="C6" i="1" s="1"/>
  <c r="EH16" i="3" l="1"/>
  <c r="EG22" i="3"/>
  <c r="EH12" i="3"/>
  <c r="EH17" i="3"/>
  <c r="EG12" i="3"/>
  <c r="EH24" i="3"/>
  <c r="EH19" i="3"/>
  <c r="EG20" i="3"/>
  <c r="EH20" i="3"/>
  <c r="EH15" i="3"/>
  <c r="EH21" i="3"/>
  <c r="H7" i="1"/>
  <c r="H8" i="1"/>
  <c r="AI7" i="1"/>
  <c r="AI8" i="1"/>
  <c r="AW8" i="1"/>
  <c r="AW7" i="1"/>
  <c r="CN8" i="1"/>
  <c r="CN7" i="1"/>
  <c r="DC7" i="1"/>
  <c r="DC8" i="1"/>
  <c r="EE8" i="1"/>
  <c r="EE7" i="1"/>
  <c r="CP8" i="2"/>
  <c r="CP7" i="2"/>
  <c r="BS8" i="1"/>
  <c r="BS7" i="1"/>
  <c r="CH7" i="1"/>
  <c r="CH8" i="1"/>
  <c r="DY7" i="1"/>
  <c r="DY8" i="1"/>
  <c r="G8" i="3"/>
  <c r="G7" i="3"/>
  <c r="AO7" i="3"/>
  <c r="AO8" i="3"/>
  <c r="AQ7" i="1"/>
  <c r="AQ8" i="1"/>
  <c r="BM8" i="1"/>
  <c r="BM7" i="1"/>
  <c r="AF7" i="2"/>
  <c r="AF8" i="2"/>
  <c r="AB8" i="3"/>
  <c r="AB7" i="3"/>
  <c r="K7" i="2"/>
  <c r="K8" i="2"/>
  <c r="Z7" i="2"/>
  <c r="Z8" i="2"/>
  <c r="BB7" i="2"/>
  <c r="BB8" i="2"/>
  <c r="BK7" i="3"/>
  <c r="BK8" i="3"/>
  <c r="C8" i="1"/>
  <c r="C7" i="1"/>
  <c r="X8" i="1"/>
  <c r="X7" i="1"/>
  <c r="E7" i="2"/>
  <c r="E8" i="2"/>
  <c r="AV8" i="2"/>
  <c r="AV7" i="2"/>
  <c r="BW7" i="2"/>
  <c r="BW8" i="2"/>
  <c r="CK7" i="2"/>
  <c r="CK8" i="2"/>
  <c r="EB7" i="2"/>
  <c r="EB8" i="2"/>
  <c r="CC8" i="1"/>
  <c r="CC7" i="1"/>
  <c r="DT8" i="1"/>
  <c r="DT7" i="1"/>
  <c r="CV8" i="3"/>
  <c r="CV7" i="3"/>
  <c r="DR8" i="3"/>
  <c r="DR7" i="3"/>
  <c r="AT7" i="1"/>
  <c r="AT8" i="1"/>
  <c r="BH8" i="1"/>
  <c r="BH7" i="1"/>
  <c r="BW7" i="1"/>
  <c r="BW8" i="1"/>
  <c r="CY8" i="1"/>
  <c r="CY7" i="1"/>
  <c r="DN8" i="1"/>
  <c r="DN7" i="1"/>
  <c r="CE8" i="2"/>
  <c r="CE7" i="2"/>
  <c r="DA8" i="2"/>
  <c r="DA7" i="2"/>
  <c r="Q8" i="3"/>
  <c r="Q7" i="3"/>
  <c r="CH7" i="3"/>
  <c r="CH8" i="3"/>
  <c r="DD7" i="3"/>
  <c r="DD8" i="3"/>
  <c r="DZ8" i="3"/>
  <c r="DZ7" i="3"/>
  <c r="BB7" i="1"/>
  <c r="BB8" i="1"/>
  <c r="CS7" i="1"/>
  <c r="CS8" i="1"/>
  <c r="CB8" i="3"/>
  <c r="CB7" i="3"/>
  <c r="CX8" i="3"/>
  <c r="CX7" i="3"/>
  <c r="DT8" i="3"/>
  <c r="DT7" i="3"/>
  <c r="DG7" i="2"/>
  <c r="DG8" i="2"/>
  <c r="AQ7" i="2"/>
  <c r="AQ8" i="2"/>
  <c r="BL7" i="2"/>
  <c r="BL8" i="2"/>
  <c r="DV7" i="2"/>
  <c r="DV8" i="2"/>
  <c r="V7" i="2"/>
  <c r="V8" i="2"/>
  <c r="AK7" i="2"/>
  <c r="AK8" i="2"/>
  <c r="DQ7" i="2"/>
  <c r="DQ8" i="2"/>
  <c r="N8" i="1"/>
  <c r="N7" i="1"/>
  <c r="DI8" i="1"/>
  <c r="DI7" i="1"/>
  <c r="P7" i="2"/>
  <c r="P8" i="2"/>
  <c r="CH7" i="2"/>
  <c r="CH8" i="2"/>
  <c r="CV8" i="2"/>
  <c r="CV7" i="2"/>
  <c r="DK7" i="2"/>
  <c r="DK8" i="2"/>
  <c r="AV7" i="1"/>
  <c r="DC8" i="2"/>
  <c r="DC7" i="2"/>
  <c r="X7" i="2"/>
  <c r="BQ7" i="2"/>
  <c r="DJ7" i="2"/>
  <c r="BD8" i="2"/>
  <c r="C8" i="3"/>
  <c r="C7" i="3"/>
  <c r="AI8" i="3"/>
  <c r="AI7" i="3"/>
  <c r="BQ8" i="3"/>
  <c r="BQ7" i="3"/>
  <c r="EF8" i="3"/>
  <c r="BA7" i="4"/>
  <c r="BA8" i="4"/>
  <c r="CQ8" i="4"/>
  <c r="CQ7" i="4"/>
  <c r="EB8" i="4"/>
  <c r="EB7" i="4"/>
  <c r="CO8" i="1"/>
  <c r="CO7" i="1"/>
  <c r="D7" i="1"/>
  <c r="CB7" i="1"/>
  <c r="DU7" i="1"/>
  <c r="BO8" i="1"/>
  <c r="DH8" i="1"/>
  <c r="BK8" i="2"/>
  <c r="BK7" i="2"/>
  <c r="AM7" i="2"/>
  <c r="L8" i="2"/>
  <c r="BS8" i="2"/>
  <c r="CJ8" i="2"/>
  <c r="EC8" i="2"/>
  <c r="AJ8" i="3"/>
  <c r="AJ7" i="3"/>
  <c r="DS8" i="3"/>
  <c r="DS7" i="3"/>
  <c r="V7" i="3"/>
  <c r="AQ7" i="3"/>
  <c r="BY7" i="3"/>
  <c r="DG7" i="3"/>
  <c r="P8" i="3"/>
  <c r="AK8" i="3"/>
  <c r="BW8" i="3"/>
  <c r="CR8" i="3"/>
  <c r="S8" i="4"/>
  <c r="S7" i="4"/>
  <c r="AU7" i="4"/>
  <c r="AU8" i="4"/>
  <c r="BU8" i="4"/>
  <c r="BU7" i="4"/>
  <c r="CR7" i="4"/>
  <c r="CR8" i="4"/>
  <c r="DU7" i="4"/>
  <c r="DU8" i="4"/>
  <c r="AJ7" i="1"/>
  <c r="W8" i="1"/>
  <c r="BP8" i="1"/>
  <c r="CU8" i="1"/>
  <c r="S8" i="2"/>
  <c r="S7" i="2"/>
  <c r="M8" i="2"/>
  <c r="BF8" i="2"/>
  <c r="CY8" i="2"/>
  <c r="DP8" i="2"/>
  <c r="ED8" i="2"/>
  <c r="CL8" i="3"/>
  <c r="CL7" i="3"/>
  <c r="W7" i="3"/>
  <c r="BJ7" i="3"/>
  <c r="CS7" i="3"/>
  <c r="R8" i="3"/>
  <c r="DN8" i="3"/>
  <c r="M7" i="4"/>
  <c r="M8" i="4"/>
  <c r="AO7" i="4"/>
  <c r="AO8" i="4"/>
  <c r="BO8" i="4"/>
  <c r="BO7" i="4"/>
  <c r="CS7" i="4"/>
  <c r="CS8" i="4"/>
  <c r="P8" i="1"/>
  <c r="P7" i="1"/>
  <c r="AE8" i="2"/>
  <c r="AS8" i="2"/>
  <c r="X8" i="3"/>
  <c r="X7" i="3"/>
  <c r="BE8" i="3"/>
  <c r="BE7" i="3"/>
  <c r="CM8" i="3"/>
  <c r="CM7" i="3"/>
  <c r="AI7" i="4"/>
  <c r="AI8" i="4"/>
  <c r="CK7" i="4"/>
  <c r="CK8" i="4"/>
  <c r="CW8" i="1"/>
  <c r="G8" i="4"/>
  <c r="G7" i="4"/>
  <c r="CL7" i="4"/>
  <c r="CL8" i="4"/>
  <c r="CD8" i="1"/>
  <c r="CD7" i="1"/>
  <c r="CI8" i="1"/>
  <c r="AZ8" i="2"/>
  <c r="AZ7" i="2"/>
  <c r="K7" i="1"/>
  <c r="AP7" i="1"/>
  <c r="BR7" i="1"/>
  <c r="EB7" i="1"/>
  <c r="AC8" i="1"/>
  <c r="BE8" i="1"/>
  <c r="BV8" i="1"/>
  <c r="DA8" i="1"/>
  <c r="EC8" i="1"/>
  <c r="H8" i="2"/>
  <c r="H7" i="2"/>
  <c r="DY8" i="2"/>
  <c r="DY7" i="2"/>
  <c r="BZ8" i="2"/>
  <c r="DE8" i="2"/>
  <c r="J7" i="3"/>
  <c r="EH13" i="3"/>
  <c r="EG13" i="3"/>
  <c r="AC8" i="4"/>
  <c r="AC7" i="4"/>
  <c r="CG8" i="2"/>
  <c r="CG7" i="2"/>
  <c r="AG7" i="2"/>
  <c r="AH8" i="2"/>
  <c r="M8" i="3"/>
  <c r="M7" i="3"/>
  <c r="DI8" i="3"/>
  <c r="DI7" i="3"/>
  <c r="K7" i="3"/>
  <c r="AY7" i="3"/>
  <c r="E8" i="3"/>
  <c r="CG8" i="3"/>
  <c r="DB8" i="3"/>
  <c r="DC7" i="4"/>
  <c r="DC8" i="4"/>
  <c r="DJ8" i="4"/>
  <c r="DJ7" i="4"/>
  <c r="AK7" i="1"/>
  <c r="BC8" i="1"/>
  <c r="M7" i="1"/>
  <c r="AD7" i="1"/>
  <c r="AR7" i="1"/>
  <c r="BF7" i="1"/>
  <c r="CK7" i="1"/>
  <c r="DP7" i="1"/>
  <c r="ED7" i="1"/>
  <c r="Q8" i="1"/>
  <c r="AE8" i="1"/>
  <c r="AS8" i="1"/>
  <c r="BJ8" i="1"/>
  <c r="BX8" i="1"/>
  <c r="CL8" i="1"/>
  <c r="DQ8" i="1"/>
  <c r="AO8" i="2"/>
  <c r="AO7" i="2"/>
  <c r="Q7" i="2"/>
  <c r="DF7" i="2"/>
  <c r="D8" i="2"/>
  <c r="U8" i="2"/>
  <c r="AI8" i="2"/>
  <c r="BN8" i="2"/>
  <c r="CB8" i="2"/>
  <c r="CS8" i="2"/>
  <c r="DU8" i="2"/>
  <c r="AT8" i="3"/>
  <c r="AT7" i="3"/>
  <c r="L7" i="3"/>
  <c r="AG7" i="3"/>
  <c r="DA7" i="3"/>
  <c r="DQ7" i="3"/>
  <c r="AA8" i="3"/>
  <c r="DC8" i="3"/>
  <c r="I7" i="4"/>
  <c r="I8" i="4"/>
  <c r="W8" i="4"/>
  <c r="W7" i="4"/>
  <c r="CF8" i="4"/>
  <c r="CF7" i="4"/>
  <c r="DD7" i="4"/>
  <c r="DD8" i="4"/>
  <c r="DI8" i="5"/>
  <c r="DI7" i="5"/>
  <c r="DV8" i="1"/>
  <c r="DV7" i="1"/>
  <c r="J8" i="1"/>
  <c r="EA8" i="1"/>
  <c r="BD8" i="1"/>
  <c r="DD8" i="2"/>
  <c r="DR8" i="2"/>
  <c r="BF8" i="3"/>
  <c r="BF7" i="3"/>
  <c r="I7" i="3"/>
  <c r="AC7" i="3"/>
  <c r="AL8" i="1"/>
  <c r="AL7" i="1"/>
  <c r="CJ8" i="1"/>
  <c r="BY7" i="2"/>
  <c r="AV8" i="5"/>
  <c r="AV7" i="5"/>
  <c r="CR8" i="2"/>
  <c r="CR7" i="2"/>
  <c r="BQ7" i="1"/>
  <c r="DJ7" i="1"/>
  <c r="CE7" i="3"/>
  <c r="CY8" i="3"/>
  <c r="Y7" i="1"/>
  <c r="L8" i="1"/>
  <c r="DO8" i="1"/>
  <c r="Y8" i="3"/>
  <c r="Y7" i="3"/>
  <c r="DH8" i="3"/>
  <c r="DH7" i="3"/>
  <c r="AE7" i="3"/>
  <c r="AX7" i="3"/>
  <c r="CF7" i="3"/>
  <c r="D8" i="3"/>
  <c r="DU8" i="3"/>
  <c r="CM7" i="4"/>
  <c r="CM8" i="4"/>
  <c r="EE8" i="4"/>
  <c r="EE7" i="4"/>
  <c r="DK8" i="1"/>
  <c r="DK7" i="1"/>
  <c r="CX7" i="1"/>
  <c r="BI8" i="1"/>
  <c r="DB8" i="1"/>
  <c r="AA8" i="1"/>
  <c r="AA7" i="1"/>
  <c r="BG7" i="1"/>
  <c r="R8" i="1"/>
  <c r="AF8" i="1"/>
  <c r="BK8" i="1"/>
  <c r="BY8" i="1"/>
  <c r="CP8" i="1"/>
  <c r="DD8" i="1"/>
  <c r="DN8" i="2"/>
  <c r="DN7" i="2"/>
  <c r="R7" i="2"/>
  <c r="BO8" i="2"/>
  <c r="N8" i="3"/>
  <c r="N7" i="3"/>
  <c r="AU8" i="3"/>
  <c r="AU7" i="3"/>
  <c r="ED8" i="3"/>
  <c r="ED7" i="3"/>
  <c r="E8" i="1"/>
  <c r="E7" i="1"/>
  <c r="Z7" i="1"/>
  <c r="T8" i="2"/>
  <c r="BM8" i="2"/>
  <c r="CA8" i="3"/>
  <c r="CA7" i="3"/>
  <c r="BA8" i="2"/>
  <c r="CT8" i="2"/>
  <c r="BT7" i="3"/>
  <c r="BR8" i="3"/>
  <c r="DY8" i="3"/>
  <c r="AE7" i="4"/>
  <c r="AE8" i="4"/>
  <c r="CG7" i="4"/>
  <c r="CG8" i="4"/>
  <c r="CW8" i="4"/>
  <c r="CW7" i="4"/>
  <c r="CZ8" i="1"/>
  <c r="CZ7" i="1"/>
  <c r="O7" i="1"/>
  <c r="CM7" i="1"/>
  <c r="EF7" i="1"/>
  <c r="S8" i="1"/>
  <c r="AX8" i="1"/>
  <c r="BL8" i="1"/>
  <c r="BZ8" i="1"/>
  <c r="CQ8" i="1"/>
  <c r="DE8" i="1"/>
  <c r="DS8" i="1"/>
  <c r="BV8" i="2"/>
  <c r="BV7" i="2"/>
  <c r="AX7" i="2"/>
  <c r="CQ7" i="2"/>
  <c r="I8" i="2"/>
  <c r="W8" i="2"/>
  <c r="CD8" i="2"/>
  <c r="CU8" i="2"/>
  <c r="DZ8" i="2"/>
  <c r="CW8" i="3"/>
  <c r="CW7" i="3"/>
  <c r="EE8" i="3"/>
  <c r="EE7" i="3"/>
  <c r="AM7" i="3"/>
  <c r="BC7" i="3"/>
  <c r="CK7" i="3"/>
  <c r="AD8" i="3"/>
  <c r="CN8" i="3"/>
  <c r="DE8" i="3"/>
  <c r="EG14" i="3"/>
  <c r="EH14" i="3"/>
  <c r="C8" i="4"/>
  <c r="C7" i="4"/>
  <c r="BZ8" i="4"/>
  <c r="BZ7" i="4"/>
  <c r="CX8" i="4"/>
  <c r="CX7" i="4"/>
  <c r="AU7" i="1"/>
  <c r="F8" i="1"/>
  <c r="AY8" i="1"/>
  <c r="DW8" i="1"/>
  <c r="AD8" i="2"/>
  <c r="AD7" i="2"/>
  <c r="F7" i="2"/>
  <c r="AY7" i="2"/>
  <c r="DW7" i="2"/>
  <c r="J8" i="2"/>
  <c r="EA8" i="2"/>
  <c r="BP8" i="3"/>
  <c r="BP7" i="3"/>
  <c r="BD7" i="3"/>
  <c r="DW7" i="3"/>
  <c r="AZ8" i="3"/>
  <c r="DJ8" i="3"/>
  <c r="Y8" i="4"/>
  <c r="Y7" i="4"/>
  <c r="CA8" i="4"/>
  <c r="CA7" i="4"/>
  <c r="Q8" i="4"/>
  <c r="Q7" i="4"/>
  <c r="AJ7" i="4"/>
  <c r="BB8" i="4"/>
  <c r="CH8" i="4"/>
  <c r="B21" i="6"/>
  <c r="EH23" i="3"/>
  <c r="EG23" i="3"/>
  <c r="R8" i="4"/>
  <c r="R7" i="4"/>
  <c r="X8" i="4"/>
  <c r="X7" i="4"/>
  <c r="AP7" i="4"/>
  <c r="AP8" i="4"/>
  <c r="BT8" i="4"/>
  <c r="BT7" i="4"/>
  <c r="BP7" i="4"/>
  <c r="F8" i="4"/>
  <c r="F7" i="4"/>
  <c r="DK8" i="4"/>
  <c r="DK7" i="4"/>
  <c r="AS7" i="4"/>
  <c r="BQ7" i="4"/>
  <c r="BD8" i="4"/>
  <c r="DQ8" i="4"/>
  <c r="AK8" i="4"/>
  <c r="AK7" i="4"/>
  <c r="AQ7" i="4"/>
  <c r="AQ8" i="4"/>
  <c r="BI8" i="4"/>
  <c r="BI7" i="4"/>
  <c r="DY8" i="4"/>
  <c r="DY7" i="4"/>
  <c r="CY7" i="4"/>
  <c r="AF8" i="4"/>
  <c r="EG15" i="3"/>
  <c r="BJ8" i="4"/>
  <c r="BJ7" i="4"/>
  <c r="CN8" i="4"/>
  <c r="CN7" i="4"/>
  <c r="DZ8" i="4"/>
  <c r="DZ7" i="4"/>
  <c r="CE8" i="5"/>
  <c r="CE7" i="5"/>
  <c r="CT8" i="5"/>
  <c r="CT7" i="5"/>
  <c r="DH7" i="5"/>
  <c r="DH8" i="5"/>
  <c r="DX7" i="5"/>
  <c r="DX8" i="5"/>
  <c r="ED8" i="5"/>
  <c r="ED7" i="5"/>
  <c r="EG18" i="3"/>
  <c r="EG24" i="3"/>
  <c r="H8" i="4"/>
  <c r="H7" i="4"/>
  <c r="Z8" i="4"/>
  <c r="Z7" i="4"/>
  <c r="AX8" i="4"/>
  <c r="AX7" i="4"/>
  <c r="DM8" i="4"/>
  <c r="DM7" i="4"/>
  <c r="CB7" i="4"/>
  <c r="EF7" i="4"/>
  <c r="DT8" i="4"/>
  <c r="BJ7" i="5"/>
  <c r="BJ8" i="5"/>
  <c r="EG21" i="3"/>
  <c r="AY8" i="4"/>
  <c r="AY7" i="4"/>
  <c r="BE7" i="4"/>
  <c r="BE8" i="4"/>
  <c r="BK7" i="4"/>
  <c r="BK8" i="4"/>
  <c r="CC8" i="4"/>
  <c r="CC7" i="4"/>
  <c r="DN8" i="4"/>
  <c r="DN7" i="4"/>
  <c r="AD7" i="4"/>
  <c r="AI7" i="5"/>
  <c r="AI8" i="5"/>
  <c r="AP8" i="5"/>
  <c r="AP7" i="5"/>
  <c r="BD7" i="5"/>
  <c r="BD8" i="5"/>
  <c r="BR8" i="5"/>
  <c r="BR7" i="5"/>
  <c r="DA8" i="5"/>
  <c r="DA7" i="5"/>
  <c r="AM8" i="4"/>
  <c r="AM7" i="4"/>
  <c r="D7" i="4"/>
  <c r="BG7" i="4"/>
  <c r="CI7" i="4"/>
  <c r="L8" i="4"/>
  <c r="BV8" i="4"/>
  <c r="M8" i="5"/>
  <c r="M7" i="5"/>
  <c r="AB7" i="5"/>
  <c r="AB8" i="5"/>
  <c r="AJ8" i="5"/>
  <c r="AJ7" i="5"/>
  <c r="EG16" i="3"/>
  <c r="AN8" i="4"/>
  <c r="AN7" i="4"/>
  <c r="BF7" i="4"/>
  <c r="BF8" i="4"/>
  <c r="BL7" i="4"/>
  <c r="BL8" i="4"/>
  <c r="BR8" i="4"/>
  <c r="BR7" i="4"/>
  <c r="BX7" i="4"/>
  <c r="BX8" i="4"/>
  <c r="CP8" i="4"/>
  <c r="CP7" i="4"/>
  <c r="DB8" i="4"/>
  <c r="DB7" i="4"/>
  <c r="BW8" i="4"/>
  <c r="BE7" i="5"/>
  <c r="BE8" i="5"/>
  <c r="BM8" i="5"/>
  <c r="BM7" i="5"/>
  <c r="DC8" i="5"/>
  <c r="DC7" i="5"/>
  <c r="DK7" i="5"/>
  <c r="DK8" i="5"/>
  <c r="EG19" i="3"/>
  <c r="J8" i="4"/>
  <c r="J7" i="4"/>
  <c r="AB8" i="4"/>
  <c r="AB7" i="4"/>
  <c r="DV8" i="4"/>
  <c r="DV7" i="4"/>
  <c r="AH7" i="4"/>
  <c r="N8" i="4"/>
  <c r="DE8" i="4"/>
  <c r="F7" i="5"/>
  <c r="F8" i="5"/>
  <c r="W8" i="5"/>
  <c r="W7" i="5"/>
  <c r="AD8" i="5"/>
  <c r="AD7" i="5"/>
  <c r="AK7" i="5"/>
  <c r="AK8" i="5"/>
  <c r="CB8" i="5"/>
  <c r="CB7" i="5"/>
  <c r="CI7" i="5"/>
  <c r="CI8" i="5"/>
  <c r="CE8" i="4"/>
  <c r="CE7" i="4"/>
  <c r="CT7" i="4"/>
  <c r="T8" i="4"/>
  <c r="AZ8" i="4"/>
  <c r="G7" i="5"/>
  <c r="G8" i="5"/>
  <c r="N8" i="5"/>
  <c r="N7" i="5"/>
  <c r="AC7" i="5"/>
  <c r="AC8" i="5"/>
  <c r="AW8" i="5"/>
  <c r="AW7" i="5"/>
  <c r="BL8" i="5"/>
  <c r="BL7" i="5"/>
  <c r="CO8" i="5"/>
  <c r="CO7" i="5"/>
  <c r="CW7" i="5"/>
  <c r="CW8" i="5"/>
  <c r="DD8" i="5"/>
  <c r="DD7" i="5"/>
  <c r="H8" i="5"/>
  <c r="H7" i="5"/>
  <c r="AE8" i="5"/>
  <c r="AE7" i="5"/>
  <c r="CZ7" i="4"/>
  <c r="DF8" i="4"/>
  <c r="Q8" i="5"/>
  <c r="Q7" i="5"/>
  <c r="BO7" i="5"/>
  <c r="BO8" i="5"/>
  <c r="DU8" i="5"/>
  <c r="DU7" i="5"/>
  <c r="DW8" i="4"/>
  <c r="DW7" i="4"/>
  <c r="AL7" i="4"/>
  <c r="BS7" i="4"/>
  <c r="BY8" i="4"/>
  <c r="I8" i="5"/>
  <c r="I7" i="5"/>
  <c r="DV7" i="5"/>
  <c r="DV8" i="5"/>
  <c r="V7" i="5"/>
  <c r="S8" i="5"/>
  <c r="BU8" i="5"/>
  <c r="DL8" i="4"/>
  <c r="DL7" i="4"/>
  <c r="K7" i="4"/>
  <c r="DO8" i="5"/>
  <c r="DO7" i="5"/>
  <c r="EC7" i="5"/>
  <c r="EC8" i="5"/>
  <c r="X7" i="5"/>
  <c r="BV8" i="5"/>
  <c r="DA8" i="4"/>
  <c r="DA7" i="4"/>
  <c r="DX8" i="4"/>
  <c r="DX7" i="4"/>
  <c r="DP8" i="5"/>
  <c r="DP7" i="5"/>
  <c r="P8" i="5"/>
  <c r="P7" i="5"/>
  <c r="CA7" i="5"/>
  <c r="CA8" i="5"/>
  <c r="CH8" i="5"/>
  <c r="CH7" i="5"/>
  <c r="DJ7" i="5"/>
  <c r="DJ8" i="5"/>
  <c r="K8" i="5"/>
  <c r="K7" i="5"/>
  <c r="R7" i="5"/>
  <c r="R8" i="5"/>
  <c r="Y8" i="5"/>
  <c r="Y7" i="5"/>
  <c r="AF8" i="5"/>
  <c r="AF7" i="5"/>
  <c r="BA8" i="5"/>
  <c r="BA7" i="5"/>
  <c r="CC8" i="5"/>
  <c r="CC7" i="5"/>
  <c r="CP8" i="5"/>
  <c r="CP7" i="5"/>
  <c r="BI8" i="5"/>
  <c r="L8" i="5"/>
  <c r="L7" i="5"/>
  <c r="BH8" i="5"/>
  <c r="BH7" i="5"/>
  <c r="BP8" i="5"/>
  <c r="BP7" i="5"/>
  <c r="CQ8" i="5"/>
  <c r="CQ7" i="5"/>
  <c r="EA8" i="5"/>
  <c r="EA7" i="5"/>
  <c r="CR8" i="5"/>
  <c r="E8" i="5"/>
  <c r="E7" i="5"/>
  <c r="AU8" i="5"/>
  <c r="AU7" i="5"/>
  <c r="CD7" i="5"/>
  <c r="CD8" i="5"/>
  <c r="BG7" i="5"/>
  <c r="BC8" i="5"/>
  <c r="BC7" i="5"/>
  <c r="BQ8" i="5"/>
  <c r="BQ7" i="5"/>
  <c r="EB8" i="5"/>
  <c r="EB7" i="5"/>
  <c r="AO7" i="5"/>
  <c r="CS7" i="8"/>
  <c r="CS8" i="8"/>
  <c r="AL8" i="8"/>
  <c r="AL7" i="8"/>
  <c r="BN8" i="8"/>
  <c r="BN7" i="8"/>
  <c r="CD8" i="8"/>
  <c r="CD7" i="8"/>
  <c r="DA8" i="8"/>
  <c r="DA7" i="8"/>
  <c r="DZ7" i="8"/>
  <c r="DZ8" i="8"/>
  <c r="Q8" i="8"/>
  <c r="Q7" i="8"/>
  <c r="AM8" i="8"/>
  <c r="AM7" i="8"/>
  <c r="BA7" i="8"/>
  <c r="BA8" i="8"/>
  <c r="CU8" i="8"/>
  <c r="CU7" i="8"/>
  <c r="K8" i="8"/>
  <c r="K7" i="8"/>
  <c r="BW7" i="8"/>
  <c r="BW8" i="8"/>
  <c r="AG8" i="8"/>
  <c r="AG7" i="8"/>
  <c r="AL8" i="5"/>
  <c r="AL7" i="5"/>
  <c r="T7" i="8"/>
  <c r="T8" i="8"/>
  <c r="AA8" i="8"/>
  <c r="AA7" i="8"/>
  <c r="CF7" i="5"/>
  <c r="CF8" i="5"/>
  <c r="O7" i="5"/>
  <c r="DZ7" i="5"/>
  <c r="AA8" i="5"/>
  <c r="AA7" i="5"/>
  <c r="BS8" i="5"/>
  <c r="BS7" i="5"/>
  <c r="AG7" i="5"/>
  <c r="DR8" i="5"/>
  <c r="AN7" i="5"/>
  <c r="AN8" i="5"/>
  <c r="BN8" i="5"/>
  <c r="BN7" i="5"/>
  <c r="CG7" i="5"/>
  <c r="DL7" i="5"/>
  <c r="CN8" i="5"/>
  <c r="CN7" i="5"/>
  <c r="CZ7" i="5"/>
  <c r="CZ8" i="5"/>
  <c r="C7" i="5"/>
  <c r="DK8" i="8"/>
  <c r="DK7" i="8"/>
  <c r="EB8" i="8"/>
  <c r="EB7" i="8"/>
  <c r="DL8" i="8"/>
  <c r="DL7" i="8"/>
  <c r="BY8" i="8"/>
  <c r="BY7" i="8"/>
  <c r="DD7" i="8"/>
  <c r="DD8" i="8"/>
  <c r="CO8" i="8"/>
  <c r="CO7" i="8"/>
  <c r="DM7" i="5"/>
  <c r="DM8" i="5"/>
  <c r="F8" i="8"/>
  <c r="F7" i="8"/>
  <c r="AW8" i="8"/>
  <c r="AW7" i="8"/>
  <c r="CH7" i="8"/>
  <c r="CH8" i="8"/>
  <c r="CP8" i="8"/>
  <c r="CP7" i="8"/>
  <c r="DF8" i="8"/>
  <c r="DF7" i="8"/>
  <c r="DV8" i="8"/>
  <c r="DV7" i="8"/>
  <c r="DO7" i="8"/>
  <c r="DO8" i="8"/>
  <c r="DW8" i="8"/>
  <c r="DW7" i="8"/>
  <c r="BT8" i="8"/>
  <c r="BT7" i="8"/>
  <c r="S8" i="8"/>
  <c r="S7" i="8"/>
  <c r="D7" i="8"/>
  <c r="W7" i="8"/>
  <c r="DJ7" i="8"/>
  <c r="U8" i="8"/>
  <c r="AP8" i="8"/>
  <c r="BG8" i="8"/>
  <c r="CB8" i="8"/>
  <c r="E7" i="8"/>
  <c r="BF7" i="8"/>
  <c r="BZ7" i="8"/>
  <c r="AQ8" i="8"/>
  <c r="BL8" i="8"/>
  <c r="CC8" i="8"/>
  <c r="AZ8" i="8"/>
  <c r="AZ7" i="8"/>
  <c r="CG8" i="8"/>
  <c r="CG7" i="8"/>
  <c r="DN8" i="8"/>
  <c r="DN7" i="8"/>
  <c r="CV7" i="8"/>
  <c r="C8" i="8"/>
  <c r="AS8" i="8"/>
  <c r="BM8" i="8"/>
  <c r="DT8" i="8"/>
  <c r="H8" i="8"/>
  <c r="H7" i="8"/>
  <c r="Z7" i="8"/>
  <c r="BH7" i="8"/>
  <c r="DQ7" i="8"/>
  <c r="BO8" i="8"/>
  <c r="CI8" i="8"/>
  <c r="BI7" i="8"/>
  <c r="I8" i="8"/>
  <c r="AU8" i="8"/>
  <c r="AO8" i="8"/>
  <c r="AO7" i="8"/>
  <c r="AB7" i="8"/>
  <c r="J8" i="8"/>
  <c r="AV8" i="8"/>
  <c r="BV8" i="8"/>
  <c r="BV7" i="8"/>
  <c r="DC8" i="8"/>
  <c r="DC7" i="8"/>
  <c r="N7" i="8"/>
  <c r="CJ7" i="8"/>
  <c r="CZ7" i="8"/>
  <c r="AF8" i="8"/>
  <c r="CM8" i="8"/>
  <c r="DH8" i="8"/>
  <c r="EC8" i="8"/>
  <c r="O7" i="8"/>
  <c r="AH7" i="8"/>
  <c r="BB8" i="8"/>
  <c r="CN8" i="8"/>
  <c r="DI8" i="8"/>
  <c r="ED8" i="8"/>
  <c r="AD8" i="8"/>
  <c r="AD7" i="8"/>
  <c r="P7" i="8"/>
  <c r="AX7" i="8"/>
  <c r="BD8" i="8"/>
  <c r="BX8" i="8"/>
  <c r="CR8" i="8"/>
  <c r="CR7" i="8"/>
  <c r="DY8" i="8"/>
  <c r="DY7" i="8"/>
  <c r="AJ7" i="8"/>
  <c r="BC7" i="8"/>
  <c r="BS7" i="8"/>
  <c r="CT8" i="8"/>
  <c r="BK8" i="8"/>
  <c r="BK7" i="8"/>
  <c r="V7" i="8"/>
  <c r="AK7" i="8"/>
  <c r="CA8" i="8"/>
  <c r="DP8" i="8"/>
  <c r="G7" i="8"/>
  <c r="R7" i="8"/>
  <c r="AC7" i="8"/>
  <c r="AN7" i="8"/>
  <c r="AY7" i="8"/>
  <c r="BJ7" i="8"/>
  <c r="BU7" i="8"/>
  <c r="CF7" i="8"/>
  <c r="CQ7" i="8"/>
  <c r="DB7" i="8"/>
  <c r="DM7" i="8"/>
  <c r="DX7" i="8"/>
</calcChain>
</file>

<file path=xl/sharedStrings.xml><?xml version="1.0" encoding="utf-8"?>
<sst xmlns="http://schemas.openxmlformats.org/spreadsheetml/2006/main" count="2553" uniqueCount="207">
  <si>
    <t>NN2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</si>
  <si>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</si>
  <si>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</si>
  <si>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</si>
  <si>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</si>
  <si>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</si>
  <si>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</si>
  <si>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</si>
  <si>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</si>
  <si>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</si>
  <si>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</si>
  <si>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</si>
  <si>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</si>
  <si>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</si>
  <si>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</si>
  <si>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</si>
  <si>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</si>
  <si>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</si>
  <si>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</si>
  <si>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</si>
  <si>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</si>
  <si>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</si>
  <si>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</si>
  <si>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</si>
  <si>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</si>
  <si>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</si>
  <si>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</si>
  <si>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</si>
  <si>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</si>
  <si>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</si>
  <si>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</si>
  <si>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</si>
  <si>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</si>
  <si>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</si>
  <si>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</si>
  <si>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</si>
  <si>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</si>
  <si>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</si>
  <si>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</si>
  <si>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</si>
  <si>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</si>
  <si>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</si>
  <si>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</si>
  <si>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</si>
  <si>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</si>
  <si>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</si>
  <si>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</si>
  <si>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</si>
  <si>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</si>
  <si>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</si>
  <si>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</si>
  <si>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</si>
  <si>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</si>
  <si>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</si>
  <si>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</si>
  <si>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</si>
  <si>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</si>
  <si>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</si>
  <si>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</si>
  <si>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</si>
  <si>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</si>
  <si>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</si>
  <si>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</si>
  <si>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</si>
  <si>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</si>
  <si>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</si>
  <si>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</si>
  <si>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</si>
  <si>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</si>
  <si>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</si>
  <si>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</si>
  <si>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</si>
  <si>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</si>
  <si>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</si>
  <si>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</si>
  <si>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</si>
  <si>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</si>
  <si>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</si>
  <si>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</si>
  <si>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</si>
  <si>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</si>
  <si>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</si>
  <si>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</si>
  <si>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</si>
  <si>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</si>
  <si>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</si>
  <si>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</si>
  <si>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</si>
  <si>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</si>
  <si>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</si>
  <si>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</si>
  <si>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</si>
  <si>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</si>
  <si>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</si>
  <si>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</si>
  <si>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</si>
  <si>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</si>
  <si>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</si>
  <si>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</si>
  <si>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</si>
  <si>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</si>
  <si>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</si>
  <si>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</si>
  <si>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</si>
  <si>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</si>
  <si>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</si>
  <si>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</si>
  <si>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</si>
  <si>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</si>
  <si>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</si>
  <si>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</si>
  <si>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</si>
  <si>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</si>
  <si>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</si>
  <si>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</si>
  <si>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</si>
  <si>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</si>
  <si>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</si>
  <si>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</si>
  <si>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</si>
  <si>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</si>
  <si>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</si>
  <si>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</si>
  <si>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</si>
  <si>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</si>
  <si>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</si>
  <si>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</si>
  <si>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</si>
  <si>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</si>
  <si>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</si>
  <si>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</si>
  <si>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</si>
  <si>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</si>
  <si>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</si>
  <si>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</si>
  <si>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</si>
  <si>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</si>
  <si>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</si>
  <si>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</si>
  <si>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</si>
  <si>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 xml:space="preserve">投資組合                  </t>
  </si>
  <si>
    <t>公司數</t>
  </si>
  <si>
    <t>等分</t>
  </si>
  <si>
    <t>分數</t>
  </si>
  <si>
    <t>2025/02</t>
  </si>
  <si>
    <t>大盤</t>
  </si>
  <si>
    <t>TWII</t>
  </si>
  <si>
    <t>昇益</t>
  </si>
  <si>
    <t>愛山林</t>
  </si>
  <si>
    <t>久威</t>
  </si>
  <si>
    <t>立康</t>
  </si>
  <si>
    <t>洛碁</t>
  </si>
  <si>
    <t>飛寶企業</t>
  </si>
  <si>
    <t>天瀚</t>
  </si>
  <si>
    <t>網家</t>
  </si>
  <si>
    <t>沛亨</t>
  </si>
  <si>
    <t>科風</t>
  </si>
  <si>
    <t>業旺</t>
  </si>
  <si>
    <t>印鉐</t>
  </si>
  <si>
    <t>中茂</t>
  </si>
  <si>
    <t>勝昱</t>
  </si>
  <si>
    <t>元隆</t>
  </si>
  <si>
    <t>華冠</t>
  </si>
  <si>
    <t>正峰</t>
  </si>
  <si>
    <t>世紀</t>
  </si>
  <si>
    <t>志旭</t>
  </si>
  <si>
    <t>東訊</t>
  </si>
  <si>
    <t>皇家美食</t>
  </si>
  <si>
    <t>天揚</t>
  </si>
  <si>
    <t>台積電</t>
  </si>
  <si>
    <t>中環</t>
  </si>
  <si>
    <t>中石化</t>
  </si>
  <si>
    <t>海灣</t>
  </si>
  <si>
    <t>寶隆</t>
  </si>
  <si>
    <t>福華</t>
  </si>
  <si>
    <t>裕隆</t>
  </si>
  <si>
    <t>友達</t>
  </si>
  <si>
    <t>閎暉</t>
  </si>
  <si>
    <t>四維航</t>
  </si>
  <si>
    <t>國喬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</si>
  <si>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</si>
  <si>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</si>
  <si>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</si>
  <si>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</si>
  <si>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</si>
  <si>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</si>
  <si>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</si>
  <si>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</si>
  <si>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</si>
  <si>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</si>
  <si>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</si>
  <si>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</si>
  <si>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</si>
  <si>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</si>
  <si>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</si>
  <si>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</si>
  <si>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</si>
  <si>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</si>
  <si>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OLS</t>
  </si>
  <si>
    <t>Real</t>
  </si>
  <si>
    <t>(預測-真實)^2</t>
  </si>
  <si>
    <t>真實^2</t>
  </si>
  <si>
    <t>R^2</t>
  </si>
  <si>
    <t>家數</t>
  </si>
  <si>
    <t>低</t>
    <phoneticPr fontId="1" type="noConversion"/>
  </si>
  <si>
    <t>公司名稱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</si>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</sst>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5C1"/>
        <bgColor indexed="64"/>
      </patternFill>
    </fill>
    <fill>
      <patternFill patternType="solid">
        <fgColor rgb="FFFFE5C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B3B7"/>
        <bgColor indexed="64"/>
      </patternFill>
    </fill>
    <fill>
      <patternFill patternType="solid">
        <fgColor rgb="FFFCE6D0"/>
        <bgColor indexed="64"/>
      </patternFill>
    </fill>
    <fill>
      <patternFill patternType="solid">
        <fgColor rgb="FFFCE6D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2" borderId="1" xfId="0" applyFill="1" applyBorder="1">
      <alignment vertical="center"/>
    </xf>
    <xf numFmtId="17" fontId="2" fillId="0" borderId="1" xfId="0" applyNumberFormat="1" applyFont="1" applyBorder="1" applyAlignment="1"/>
    <xf numFmtId="0" fontId="2" fillId="0" borderId="3" xfId="0" applyFont="1" applyBorder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/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1" borderId="1" xfId="0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7" borderId="1" xfId="0" applyFont="1" applyFill="1" applyBorder="1">
      <alignment vertical="center"/>
    </xf>
    <xf numFmtId="0" fontId="3" fillId="10" borderId="1" xfId="0" applyFont="1" applyFill="1" applyBorder="1">
      <alignment vertical="center"/>
    </xf>
    <xf numFmtId="0" fontId="0" fillId="6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NN2</a:t>
            </a:r>
            <a:r>
              <a:rPr lang="zh-TW" altLang="en-US"/>
              <a:t>累積報酬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預測累積畫圖!$B$12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預測累積畫圖!$C$12:$EF$12</c:f>
              <c:numCache>
                <c:formatCode>General</c:formatCode>
                <c:ptCount val="134"/>
                <c:pt idx="0">
                  <c:v>8.4653999999999993E-2</c:v>
                </c:pt>
                <c:pt idx="1">
                  <c:v>0.10547579527187829</c:v>
                </c:pt>
                <c:pt idx="2">
                  <c:v>9.8721766913520373E-2</c:v>
                </c:pt>
                <c:pt idx="3">
                  <c:v>7.8852941965614029E-2</c:v>
                </c:pt>
                <c:pt idx="4">
                  <c:v>8.6757288711542396E-2</c:v>
                </c:pt>
                <c:pt idx="5">
                  <c:v>9.6116672473298054E-2</c:v>
                </c:pt>
                <c:pt idx="6">
                  <c:v>0.13242060932235011</c:v>
                </c:pt>
                <c:pt idx="7">
                  <c:v>0.1762051880672216</c:v>
                </c:pt>
                <c:pt idx="8">
                  <c:v>0.1652167842143995</c:v>
                </c:pt>
                <c:pt idx="9">
                  <c:v>0.16293955343343619</c:v>
                </c:pt>
                <c:pt idx="10">
                  <c:v>0.14738774923327511</c:v>
                </c:pt>
                <c:pt idx="11">
                  <c:v>0.19946185690863419</c:v>
                </c:pt>
                <c:pt idx="12">
                  <c:v>0.21809174555461319</c:v>
                </c:pt>
                <c:pt idx="13">
                  <c:v>0.19667132435015081</c:v>
                </c:pt>
                <c:pt idx="14">
                  <c:v>0.16287854022924311</c:v>
                </c:pt>
                <c:pt idx="15">
                  <c:v>0.1762760464691788</c:v>
                </c:pt>
                <c:pt idx="16">
                  <c:v>0.10522214937457181</c:v>
                </c:pt>
                <c:pt idx="17">
                  <c:v>6.1978660555058608E-2</c:v>
                </c:pt>
                <c:pt idx="18">
                  <c:v>4.1611440001927617E-2</c:v>
                </c:pt>
                <c:pt idx="19">
                  <c:v>8.6641430804776334E-2</c:v>
                </c:pt>
                <c:pt idx="20">
                  <c:v>0.10891987277808809</c:v>
                </c:pt>
                <c:pt idx="21">
                  <c:v>0.15743914755840249</c:v>
                </c:pt>
                <c:pt idx="22">
                  <c:v>0.14065077030658649</c:v>
                </c:pt>
                <c:pt idx="23">
                  <c:v>0.2042744536221604</c:v>
                </c:pt>
                <c:pt idx="24">
                  <c:v>0.16487079222104861</c:v>
                </c:pt>
                <c:pt idx="25">
                  <c:v>0.1995599027725268</c:v>
                </c:pt>
                <c:pt idx="26">
                  <c:v>0.23467466683617319</c:v>
                </c:pt>
                <c:pt idx="27">
                  <c:v>0.2405217768354104</c:v>
                </c:pt>
                <c:pt idx="28">
                  <c:v>0.20262415330317979</c:v>
                </c:pt>
                <c:pt idx="29">
                  <c:v>0.22305630460704479</c:v>
                </c:pt>
                <c:pt idx="30">
                  <c:v>0.25303844953976917</c:v>
                </c:pt>
                <c:pt idx="31">
                  <c:v>0.27413886620643579</c:v>
                </c:pt>
                <c:pt idx="32">
                  <c:v>0.29738582453976919</c:v>
                </c:pt>
                <c:pt idx="33">
                  <c:v>0.31844819953976922</c:v>
                </c:pt>
                <c:pt idx="34">
                  <c:v>0.36657190369190362</c:v>
                </c:pt>
                <c:pt idx="35">
                  <c:v>0.38443090671382568</c:v>
                </c:pt>
                <c:pt idx="36">
                  <c:v>0.41451702232642362</c:v>
                </c:pt>
                <c:pt idx="37">
                  <c:v>0.48375025663985222</c:v>
                </c:pt>
                <c:pt idx="38">
                  <c:v>0.48597904967952521</c:v>
                </c:pt>
                <c:pt idx="39">
                  <c:v>0.45226070489767611</c:v>
                </c:pt>
                <c:pt idx="40">
                  <c:v>0.44463876850909217</c:v>
                </c:pt>
                <c:pt idx="41">
                  <c:v>0.45816502795905861</c:v>
                </c:pt>
                <c:pt idx="42">
                  <c:v>0.45232166337572532</c:v>
                </c:pt>
                <c:pt idx="43">
                  <c:v>0.46615656808339639</c:v>
                </c:pt>
                <c:pt idx="44">
                  <c:v>0.48686522676427191</c:v>
                </c:pt>
                <c:pt idx="45">
                  <c:v>0.4455051420192469</c:v>
                </c:pt>
                <c:pt idx="46">
                  <c:v>0.44612661903726297</c:v>
                </c:pt>
                <c:pt idx="47">
                  <c:v>0.48972508629068578</c:v>
                </c:pt>
                <c:pt idx="48">
                  <c:v>0.51468037935835909</c:v>
                </c:pt>
                <c:pt idx="49">
                  <c:v>0.5123803532867014</c:v>
                </c:pt>
                <c:pt idx="50">
                  <c:v>0.51731824146994321</c:v>
                </c:pt>
                <c:pt idx="51">
                  <c:v>0.53259284672240259</c:v>
                </c:pt>
                <c:pt idx="52">
                  <c:v>0.5448656357608791</c:v>
                </c:pt>
                <c:pt idx="53">
                  <c:v>0.5584961927025317</c:v>
                </c:pt>
                <c:pt idx="54">
                  <c:v>0.57710500254191699</c:v>
                </c:pt>
                <c:pt idx="55">
                  <c:v>0.64489735502511714</c:v>
                </c:pt>
                <c:pt idx="56">
                  <c:v>0.67856821746637996</c:v>
                </c:pt>
                <c:pt idx="57">
                  <c:v>0.69279157747770193</c:v>
                </c:pt>
                <c:pt idx="58">
                  <c:v>0.74281283050869273</c:v>
                </c:pt>
                <c:pt idx="59">
                  <c:v>0.74201683718877487</c:v>
                </c:pt>
                <c:pt idx="60">
                  <c:v>0.72073217222864094</c:v>
                </c:pt>
                <c:pt idx="61">
                  <c:v>0.74544141805878961</c:v>
                </c:pt>
                <c:pt idx="62">
                  <c:v>0.74027232610255977</c:v>
                </c:pt>
                <c:pt idx="63">
                  <c:v>0.75977457610255983</c:v>
                </c:pt>
                <c:pt idx="64">
                  <c:v>0.78402088635879674</c:v>
                </c:pt>
                <c:pt idx="65">
                  <c:v>0.77351190105350265</c:v>
                </c:pt>
                <c:pt idx="66">
                  <c:v>0.7874086506722493</c:v>
                </c:pt>
                <c:pt idx="67">
                  <c:v>0.78514764221885047</c:v>
                </c:pt>
                <c:pt idx="68">
                  <c:v>0.80401093560324643</c:v>
                </c:pt>
                <c:pt idx="69">
                  <c:v>0.82604240428069065</c:v>
                </c:pt>
                <c:pt idx="70">
                  <c:v>0.81726088714059419</c:v>
                </c:pt>
                <c:pt idx="71">
                  <c:v>0.84032334287378518</c:v>
                </c:pt>
                <c:pt idx="72">
                  <c:v>0.81083957415425567</c:v>
                </c:pt>
                <c:pt idx="73">
                  <c:v>0.82231673615820577</c:v>
                </c:pt>
                <c:pt idx="74">
                  <c:v>0.7889459358266343</c:v>
                </c:pt>
                <c:pt idx="75">
                  <c:v>0.83430288151790732</c:v>
                </c:pt>
                <c:pt idx="76">
                  <c:v>0.79990259407756481</c:v>
                </c:pt>
                <c:pt idx="77">
                  <c:v>0.8018458362093277</c:v>
                </c:pt>
                <c:pt idx="78">
                  <c:v>0.7850748718152174</c:v>
                </c:pt>
                <c:pt idx="79">
                  <c:v>0.89600850539966992</c:v>
                </c:pt>
                <c:pt idx="80">
                  <c:v>1.0500156616496701</c:v>
                </c:pt>
                <c:pt idx="81">
                  <c:v>1.0540937033163369</c:v>
                </c:pt>
                <c:pt idx="82">
                  <c:v>1.0959509373664</c:v>
                </c:pt>
                <c:pt idx="83">
                  <c:v>1.15924830974436</c:v>
                </c:pt>
                <c:pt idx="84">
                  <c:v>1.1245923973321541</c:v>
                </c:pt>
                <c:pt idx="85">
                  <c:v>1.1400375778108429</c:v>
                </c:pt>
                <c:pt idx="86">
                  <c:v>1.152840721965678</c:v>
                </c:pt>
                <c:pt idx="87">
                  <c:v>1.2708563296352879</c:v>
                </c:pt>
                <c:pt idx="88">
                  <c:v>1.1991477671352879</c:v>
                </c:pt>
                <c:pt idx="89">
                  <c:v>1.1720640659207291</c:v>
                </c:pt>
                <c:pt idx="90">
                  <c:v>1.243355920087396</c:v>
                </c:pt>
                <c:pt idx="91">
                  <c:v>1.230560107587396</c:v>
                </c:pt>
                <c:pt idx="92">
                  <c:v>1.2671323024973291</c:v>
                </c:pt>
                <c:pt idx="93">
                  <c:v>1.269250180927981</c:v>
                </c:pt>
                <c:pt idx="94">
                  <c:v>1.254740868427981</c:v>
                </c:pt>
                <c:pt idx="95">
                  <c:v>1.2868548267613149</c:v>
                </c:pt>
                <c:pt idx="96">
                  <c:v>1.3008222017613149</c:v>
                </c:pt>
                <c:pt idx="97">
                  <c:v>1.305225628844648</c:v>
                </c:pt>
                <c:pt idx="98">
                  <c:v>1.3349829830113149</c:v>
                </c:pt>
                <c:pt idx="99">
                  <c:v>1.3815300975946481</c:v>
                </c:pt>
                <c:pt idx="100">
                  <c:v>1.375547155383158</c:v>
                </c:pt>
                <c:pt idx="101">
                  <c:v>1.4641096241331579</c:v>
                </c:pt>
                <c:pt idx="102">
                  <c:v>1.501088144966491</c:v>
                </c:pt>
                <c:pt idx="103">
                  <c:v>1.5900699991331579</c:v>
                </c:pt>
                <c:pt idx="104">
                  <c:v>1.601543051216491</c:v>
                </c:pt>
                <c:pt idx="105">
                  <c:v>1.626432029273732</c:v>
                </c:pt>
                <c:pt idx="106">
                  <c:v>1.5891965501070651</c:v>
                </c:pt>
                <c:pt idx="107">
                  <c:v>1.6446826542737309</c:v>
                </c:pt>
                <c:pt idx="108">
                  <c:v>1.5982726751070651</c:v>
                </c:pt>
                <c:pt idx="109">
                  <c:v>1.6594681021903981</c:v>
                </c:pt>
                <c:pt idx="110">
                  <c:v>1.719217112607065</c:v>
                </c:pt>
                <c:pt idx="111">
                  <c:v>1.7343357896903979</c:v>
                </c:pt>
                <c:pt idx="112">
                  <c:v>1.702407581357064</c:v>
                </c:pt>
                <c:pt idx="113">
                  <c:v>1.7054972271903981</c:v>
                </c:pt>
                <c:pt idx="114">
                  <c:v>1.686259612607065</c:v>
                </c:pt>
                <c:pt idx="115">
                  <c:v>1.708176664690398</c:v>
                </c:pt>
                <c:pt idx="116">
                  <c:v>1.738733925107065</c:v>
                </c:pt>
                <c:pt idx="117">
                  <c:v>1.784687685523731</c:v>
                </c:pt>
                <c:pt idx="118">
                  <c:v>1.750825633440398</c:v>
                </c:pt>
                <c:pt idx="119">
                  <c:v>1.769604576719785</c:v>
                </c:pt>
                <c:pt idx="120">
                  <c:v>1.7338784212680869</c:v>
                </c:pt>
                <c:pt idx="121">
                  <c:v>1.7589962858514201</c:v>
                </c:pt>
                <c:pt idx="122">
                  <c:v>1.7017660566847539</c:v>
                </c:pt>
                <c:pt idx="123">
                  <c:v>1.731306931684754</c:v>
                </c:pt>
                <c:pt idx="124">
                  <c:v>1.7762744837680871</c:v>
                </c:pt>
                <c:pt idx="125">
                  <c:v>1.797303025434754</c:v>
                </c:pt>
                <c:pt idx="126">
                  <c:v>1.8504483379347541</c:v>
                </c:pt>
                <c:pt idx="127">
                  <c:v>1.856675181684754</c:v>
                </c:pt>
                <c:pt idx="128">
                  <c:v>1.9077728796014199</c:v>
                </c:pt>
                <c:pt idx="129">
                  <c:v>1.9135590462680869</c:v>
                </c:pt>
                <c:pt idx="130">
                  <c:v>1.940210555847752</c:v>
                </c:pt>
                <c:pt idx="131">
                  <c:v>1.8797024030392679</c:v>
                </c:pt>
                <c:pt idx="132">
                  <c:v>1.853195715539268</c:v>
                </c:pt>
                <c:pt idx="133">
                  <c:v>1.882429111372601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4-E84E-AE03-956DC45D9719}"/>
            </c:ext>
          </c:extLst>
        </c:ser>
        <c:ser>
          <c:idx val="1"/>
          <c:order val="1"/>
          <c:tx>
            <c:strRef>
              <c:f>預測累積畫圖!$B$13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預測累積畫圖!$C$13:$EF$13</c:f>
              <c:numCache>
                <c:formatCode>General</c:formatCode>
                <c:ptCount val="134"/>
                <c:pt idx="0">
                  <c:v>0.104113</c:v>
                </c:pt>
                <c:pt idx="1">
                  <c:v>0.1339906106045588</c:v>
                </c:pt>
                <c:pt idx="2">
                  <c:v>9.9493991113205726E-2</c:v>
                </c:pt>
                <c:pt idx="3">
                  <c:v>6.4571835230551225E-2</c:v>
                </c:pt>
                <c:pt idx="4">
                  <c:v>4.9663855473247837E-2</c:v>
                </c:pt>
                <c:pt idx="5">
                  <c:v>6.5594240042592955E-2</c:v>
                </c:pt>
                <c:pt idx="6">
                  <c:v>9.8277103027315293E-2</c:v>
                </c:pt>
                <c:pt idx="7">
                  <c:v>0.13282699499695999</c:v>
                </c:pt>
                <c:pt idx="8">
                  <c:v>8.749600475474098E-2</c:v>
                </c:pt>
                <c:pt idx="9">
                  <c:v>5.8360335717295507E-2</c:v>
                </c:pt>
                <c:pt idx="10">
                  <c:v>6.6068991979787717E-2</c:v>
                </c:pt>
                <c:pt idx="11">
                  <c:v>0.1092209442035546</c:v>
                </c:pt>
                <c:pt idx="12">
                  <c:v>0.14549421992347711</c:v>
                </c:pt>
                <c:pt idx="13">
                  <c:v>0.1246373068620715</c:v>
                </c:pt>
                <c:pt idx="14">
                  <c:v>8.0419042634101448E-2</c:v>
                </c:pt>
                <c:pt idx="15">
                  <c:v>8.6908952810175841E-2</c:v>
                </c:pt>
                <c:pt idx="16">
                  <c:v>-3.6006345193374763E-2</c:v>
                </c:pt>
                <c:pt idx="17">
                  <c:v>-8.8906148102068094E-2</c:v>
                </c:pt>
                <c:pt idx="18">
                  <c:v>-0.1430672231437623</c:v>
                </c:pt>
                <c:pt idx="19">
                  <c:v>-9.0287484243528615E-2</c:v>
                </c:pt>
                <c:pt idx="20">
                  <c:v>-5.9184396359158717E-2</c:v>
                </c:pt>
                <c:pt idx="21">
                  <c:v>1.0566572409897839E-2</c:v>
                </c:pt>
                <c:pt idx="22">
                  <c:v>-1.5905310807444679E-2</c:v>
                </c:pt>
                <c:pt idx="23">
                  <c:v>6.2519123997738874E-2</c:v>
                </c:pt>
                <c:pt idx="24">
                  <c:v>3.0399613659267591E-2</c:v>
                </c:pt>
                <c:pt idx="25">
                  <c:v>7.7077833780644867E-2</c:v>
                </c:pt>
                <c:pt idx="26">
                  <c:v>9.8949389942022403E-2</c:v>
                </c:pt>
                <c:pt idx="27">
                  <c:v>0.1055284351445632</c:v>
                </c:pt>
                <c:pt idx="28">
                  <c:v>6.3011223688772017E-2</c:v>
                </c:pt>
                <c:pt idx="29">
                  <c:v>9.4951687523073244E-2</c:v>
                </c:pt>
                <c:pt idx="30">
                  <c:v>0.12663347057807611</c:v>
                </c:pt>
                <c:pt idx="31">
                  <c:v>0.15850817891140939</c:v>
                </c:pt>
                <c:pt idx="32">
                  <c:v>0.1784182205780761</c:v>
                </c:pt>
                <c:pt idx="33">
                  <c:v>0.1983041372447428</c:v>
                </c:pt>
                <c:pt idx="34">
                  <c:v>0.2642920500553988</c:v>
                </c:pt>
                <c:pt idx="35">
                  <c:v>0.28744347865056991</c:v>
                </c:pt>
                <c:pt idx="36">
                  <c:v>0.33372592218739883</c:v>
                </c:pt>
                <c:pt idx="37">
                  <c:v>0.43905616032343292</c:v>
                </c:pt>
                <c:pt idx="38">
                  <c:v>0.44836734822284779</c:v>
                </c:pt>
                <c:pt idx="39">
                  <c:v>0.38881650786085009</c:v>
                </c:pt>
                <c:pt idx="40">
                  <c:v>0.38276721909195038</c:v>
                </c:pt>
                <c:pt idx="41">
                  <c:v>0.39345640462788611</c:v>
                </c:pt>
                <c:pt idx="42">
                  <c:v>0.3915199879612194</c:v>
                </c:pt>
                <c:pt idx="43">
                  <c:v>0.43198307581565909</c:v>
                </c:pt>
                <c:pt idx="44">
                  <c:v>0.47295920229163801</c:v>
                </c:pt>
                <c:pt idx="45">
                  <c:v>0.46348372965208501</c:v>
                </c:pt>
                <c:pt idx="46">
                  <c:v>0.46756374323514838</c:v>
                </c:pt>
                <c:pt idx="47">
                  <c:v>0.5347175310182587</c:v>
                </c:pt>
                <c:pt idx="48">
                  <c:v>0.55228187736688361</c:v>
                </c:pt>
                <c:pt idx="49">
                  <c:v>0.5441784098973842</c:v>
                </c:pt>
                <c:pt idx="50">
                  <c:v>0.55071934750444518</c:v>
                </c:pt>
                <c:pt idx="51">
                  <c:v>0.59359472200125607</c:v>
                </c:pt>
                <c:pt idx="52">
                  <c:v>0.60487848911291375</c:v>
                </c:pt>
                <c:pt idx="53">
                  <c:v>0.60822291749659507</c:v>
                </c:pt>
                <c:pt idx="54">
                  <c:v>0.6356147238022366</c:v>
                </c:pt>
                <c:pt idx="55">
                  <c:v>0.71954413910973336</c:v>
                </c:pt>
                <c:pt idx="56">
                  <c:v>0.76611060144844501</c:v>
                </c:pt>
                <c:pt idx="57">
                  <c:v>0.77458633126006404</c:v>
                </c:pt>
                <c:pt idx="58">
                  <c:v>0.82699546371676547</c:v>
                </c:pt>
                <c:pt idx="59">
                  <c:v>0.81014837772650061</c:v>
                </c:pt>
                <c:pt idx="60">
                  <c:v>0.79175735284675119</c:v>
                </c:pt>
                <c:pt idx="61">
                  <c:v>0.82370521305992628</c:v>
                </c:pt>
                <c:pt idx="62">
                  <c:v>0.84062382867880792</c:v>
                </c:pt>
                <c:pt idx="63">
                  <c:v>0.83576599534547458</c:v>
                </c:pt>
                <c:pt idx="64">
                  <c:v>0.86664471157894873</c:v>
                </c:pt>
                <c:pt idx="65">
                  <c:v>0.87607740727360028</c:v>
                </c:pt>
                <c:pt idx="66">
                  <c:v>0.91773047106302608</c:v>
                </c:pt>
                <c:pt idx="67">
                  <c:v>0.91104905357946864</c:v>
                </c:pt>
                <c:pt idx="68">
                  <c:v>0.91846852541968826</c:v>
                </c:pt>
                <c:pt idx="69">
                  <c:v>0.95681203103616108</c:v>
                </c:pt>
                <c:pt idx="70">
                  <c:v>0.93910547599960736</c:v>
                </c:pt>
                <c:pt idx="71">
                  <c:v>0.95975907287581597</c:v>
                </c:pt>
                <c:pt idx="72">
                  <c:v>0.96152231068649296</c:v>
                </c:pt>
                <c:pt idx="73">
                  <c:v>0.9826003782105196</c:v>
                </c:pt>
                <c:pt idx="74">
                  <c:v>0.96808798054002909</c:v>
                </c:pt>
                <c:pt idx="75">
                  <c:v>1.044226103599079</c:v>
                </c:pt>
                <c:pt idx="76">
                  <c:v>1.010694537998682</c:v>
                </c:pt>
                <c:pt idx="77">
                  <c:v>1.0040987112734621</c:v>
                </c:pt>
                <c:pt idx="78">
                  <c:v>0.9915677990608287</c:v>
                </c:pt>
                <c:pt idx="79">
                  <c:v>1.0966536319531559</c:v>
                </c:pt>
                <c:pt idx="80">
                  <c:v>1.2804813611198229</c:v>
                </c:pt>
                <c:pt idx="81">
                  <c:v>1.2987105069531559</c:v>
                </c:pt>
                <c:pt idx="82">
                  <c:v>1.339159569922111</c:v>
                </c:pt>
                <c:pt idx="83">
                  <c:v>1.3974941817493181</c:v>
                </c:pt>
                <c:pt idx="84">
                  <c:v>1.3456406726150549</c:v>
                </c:pt>
                <c:pt idx="85">
                  <c:v>1.342534584643104</c:v>
                </c:pt>
                <c:pt idx="86">
                  <c:v>1.3745798538795679</c:v>
                </c:pt>
                <c:pt idx="87">
                  <c:v>1.4560332199817489</c:v>
                </c:pt>
                <c:pt idx="88">
                  <c:v>1.354580886648415</c:v>
                </c:pt>
                <c:pt idx="89">
                  <c:v>1.3276933206495629</c:v>
                </c:pt>
                <c:pt idx="90">
                  <c:v>1.4132594664828959</c:v>
                </c:pt>
                <c:pt idx="91">
                  <c:v>1.378882008149563</c:v>
                </c:pt>
                <c:pt idx="92">
                  <c:v>1.4170669583457229</c:v>
                </c:pt>
                <c:pt idx="93">
                  <c:v>1.425346739343371</c:v>
                </c:pt>
                <c:pt idx="94">
                  <c:v>1.429294697676704</c:v>
                </c:pt>
                <c:pt idx="95">
                  <c:v>1.4727568643433711</c:v>
                </c:pt>
                <c:pt idx="96">
                  <c:v>1.483788072676705</c:v>
                </c:pt>
                <c:pt idx="97">
                  <c:v>1.508107260176704</c:v>
                </c:pt>
                <c:pt idx="98">
                  <c:v>1.5185637810100381</c:v>
                </c:pt>
                <c:pt idx="99">
                  <c:v>1.5235504685100381</c:v>
                </c:pt>
                <c:pt idx="100">
                  <c:v>1.510431728395025</c:v>
                </c:pt>
                <c:pt idx="101">
                  <c:v>1.600722353395025</c:v>
                </c:pt>
                <c:pt idx="102">
                  <c:v>1.650168124228359</c:v>
                </c:pt>
                <c:pt idx="103">
                  <c:v>1.7564033742283589</c:v>
                </c:pt>
                <c:pt idx="104">
                  <c:v>1.7799444992283591</c:v>
                </c:pt>
                <c:pt idx="105">
                  <c:v>1.7906420998290939</c:v>
                </c:pt>
                <c:pt idx="106">
                  <c:v>1.748078203995761</c:v>
                </c:pt>
                <c:pt idx="107">
                  <c:v>1.8312008914957609</c:v>
                </c:pt>
                <c:pt idx="108">
                  <c:v>1.7834715789957609</c:v>
                </c:pt>
                <c:pt idx="109">
                  <c:v>1.8721922873290939</c:v>
                </c:pt>
                <c:pt idx="110">
                  <c:v>1.961940412329094</c:v>
                </c:pt>
                <c:pt idx="111">
                  <c:v>1.967924266495761</c:v>
                </c:pt>
                <c:pt idx="112">
                  <c:v>1.948537870662427</c:v>
                </c:pt>
                <c:pt idx="113">
                  <c:v>1.975660808162427</c:v>
                </c:pt>
                <c:pt idx="114">
                  <c:v>1.976192766495761</c:v>
                </c:pt>
                <c:pt idx="115">
                  <c:v>1.9931281414957609</c:v>
                </c:pt>
                <c:pt idx="116">
                  <c:v>2.0309919956624269</c:v>
                </c:pt>
                <c:pt idx="117">
                  <c:v>2.0759891414957612</c:v>
                </c:pt>
                <c:pt idx="118">
                  <c:v>2.0420225998290942</c:v>
                </c:pt>
                <c:pt idx="119">
                  <c:v>2.0557938091014059</c:v>
                </c:pt>
                <c:pt idx="120">
                  <c:v>2.0169061812617359</c:v>
                </c:pt>
                <c:pt idx="121">
                  <c:v>2.0677375354284031</c:v>
                </c:pt>
                <c:pt idx="122">
                  <c:v>2.0347315770950698</c:v>
                </c:pt>
                <c:pt idx="123">
                  <c:v>2.0779879104284031</c:v>
                </c:pt>
                <c:pt idx="124">
                  <c:v>2.1200163895950701</c:v>
                </c:pt>
                <c:pt idx="125">
                  <c:v>2.1598938270950701</c:v>
                </c:pt>
                <c:pt idx="126">
                  <c:v>2.216874972928403</c:v>
                </c:pt>
                <c:pt idx="127">
                  <c:v>2.2351769520950699</c:v>
                </c:pt>
                <c:pt idx="128">
                  <c:v>2.2972953687617359</c:v>
                </c:pt>
                <c:pt idx="129">
                  <c:v>2.2974963895950702</c:v>
                </c:pt>
                <c:pt idx="130">
                  <c:v>2.3391561430302992</c:v>
                </c:pt>
                <c:pt idx="131">
                  <c:v>2.2734740493710639</c:v>
                </c:pt>
                <c:pt idx="132">
                  <c:v>2.2322396743710642</c:v>
                </c:pt>
                <c:pt idx="133">
                  <c:v>2.276752716037731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4-E84E-AE03-956DC45D9719}"/>
            </c:ext>
          </c:extLst>
        </c:ser>
        <c:ser>
          <c:idx val="2"/>
          <c:order val="2"/>
          <c:tx>
            <c:strRef>
              <c:f>預測累積畫圖!$B$14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預測累積畫圖!$C$14:$EF$14</c:f>
              <c:numCache>
                <c:formatCode>General</c:formatCode>
                <c:ptCount val="134"/>
                <c:pt idx="0">
                  <c:v>0.11994199999999999</c:v>
                </c:pt>
                <c:pt idx="1">
                  <c:v>0.2032893115433014</c:v>
                </c:pt>
                <c:pt idx="2">
                  <c:v>0.15576336827604539</c:v>
                </c:pt>
                <c:pt idx="3">
                  <c:v>0.1073092254761855</c:v>
                </c:pt>
                <c:pt idx="4">
                  <c:v>6.6289308978260075E-2</c:v>
                </c:pt>
                <c:pt idx="5">
                  <c:v>7.3963633249938904E-2</c:v>
                </c:pt>
                <c:pt idx="6">
                  <c:v>0.11775099307308121</c:v>
                </c:pt>
                <c:pt idx="7">
                  <c:v>0.14106096503799209</c:v>
                </c:pt>
                <c:pt idx="8">
                  <c:v>6.8822613239385988E-3</c:v>
                </c:pt>
                <c:pt idx="9">
                  <c:v>1.17294585116454E-2</c:v>
                </c:pt>
                <c:pt idx="10">
                  <c:v>1.6723978578433159E-2</c:v>
                </c:pt>
                <c:pt idx="11">
                  <c:v>9.9482963272532282E-2</c:v>
                </c:pt>
                <c:pt idx="12">
                  <c:v>0.13695875028553881</c:v>
                </c:pt>
                <c:pt idx="13">
                  <c:v>7.8612828387297551E-2</c:v>
                </c:pt>
                <c:pt idx="14">
                  <c:v>-4.5491042784151142E-2</c:v>
                </c:pt>
                <c:pt idx="15">
                  <c:v>-6.1432230081252967E-2</c:v>
                </c:pt>
                <c:pt idx="16">
                  <c:v>-0.22732545726596171</c:v>
                </c:pt>
                <c:pt idx="17">
                  <c:v>-0.29716693678685752</c:v>
                </c:pt>
                <c:pt idx="18">
                  <c:v>-0.40143360142250512</c:v>
                </c:pt>
                <c:pt idx="19">
                  <c:v>-0.38134447423712681</c:v>
                </c:pt>
                <c:pt idx="20">
                  <c:v>-0.30733631484887369</c:v>
                </c:pt>
                <c:pt idx="21">
                  <c:v>-0.19407320653660429</c:v>
                </c:pt>
                <c:pt idx="22">
                  <c:v>-0.1992930811321362</c:v>
                </c:pt>
                <c:pt idx="23">
                  <c:v>-0.16078115485182851</c:v>
                </c:pt>
                <c:pt idx="24">
                  <c:v>-0.2002313351539107</c:v>
                </c:pt>
                <c:pt idx="25">
                  <c:v>-0.12946195780668049</c:v>
                </c:pt>
                <c:pt idx="26">
                  <c:v>-0.14297922661017379</c:v>
                </c:pt>
                <c:pt idx="27">
                  <c:v>-0.15589933322139221</c:v>
                </c:pt>
                <c:pt idx="28">
                  <c:v>-0.26231140546906972</c:v>
                </c:pt>
                <c:pt idx="29">
                  <c:v>-0.2218907029266706</c:v>
                </c:pt>
                <c:pt idx="30">
                  <c:v>-0.20136980828010809</c:v>
                </c:pt>
                <c:pt idx="31">
                  <c:v>-0.13795986091168699</c:v>
                </c:pt>
                <c:pt idx="32">
                  <c:v>-0.12699454512221339</c:v>
                </c:pt>
                <c:pt idx="33">
                  <c:v>-3.0699860911687051E-2</c:v>
                </c:pt>
                <c:pt idx="34">
                  <c:v>4.6211569946614947E-2</c:v>
                </c:pt>
                <c:pt idx="35">
                  <c:v>8.4180759669075664E-2</c:v>
                </c:pt>
                <c:pt idx="36">
                  <c:v>0.14542292604770091</c:v>
                </c:pt>
                <c:pt idx="37">
                  <c:v>0.24401759281724461</c:v>
                </c:pt>
                <c:pt idx="38">
                  <c:v>0.30492329828265458</c:v>
                </c:pt>
                <c:pt idx="39">
                  <c:v>0.23494677313057041</c:v>
                </c:pt>
                <c:pt idx="40">
                  <c:v>0.2345788053928104</c:v>
                </c:pt>
                <c:pt idx="41">
                  <c:v>0.27222464515507327</c:v>
                </c:pt>
                <c:pt idx="42">
                  <c:v>0.28148159252349442</c:v>
                </c:pt>
                <c:pt idx="43">
                  <c:v>0.31598817220863878</c:v>
                </c:pt>
                <c:pt idx="44">
                  <c:v>0.35597982121194272</c:v>
                </c:pt>
                <c:pt idx="45">
                  <c:v>0.33729693577832548</c:v>
                </c:pt>
                <c:pt idx="46">
                  <c:v>0.31893400427236801</c:v>
                </c:pt>
                <c:pt idx="47">
                  <c:v>0.45588503256676072</c:v>
                </c:pt>
                <c:pt idx="48">
                  <c:v>0.47095315133852222</c:v>
                </c:pt>
                <c:pt idx="49">
                  <c:v>0.41760458216636609</c:v>
                </c:pt>
                <c:pt idx="50">
                  <c:v>0.43522622771060931</c:v>
                </c:pt>
                <c:pt idx="51">
                  <c:v>0.49696050971228412</c:v>
                </c:pt>
                <c:pt idx="52">
                  <c:v>0.48713951075700668</c:v>
                </c:pt>
                <c:pt idx="53">
                  <c:v>0.53046729242441204</c:v>
                </c:pt>
                <c:pt idx="54">
                  <c:v>0.57425435495989907</c:v>
                </c:pt>
                <c:pt idx="55">
                  <c:v>0.6150248765055889</c:v>
                </c:pt>
                <c:pt idx="56">
                  <c:v>0.65639914057952164</c:v>
                </c:pt>
                <c:pt idx="57">
                  <c:v>0.66174189614812229</c:v>
                </c:pt>
                <c:pt idx="58">
                  <c:v>0.71192710903897605</c:v>
                </c:pt>
                <c:pt idx="59">
                  <c:v>0.69190988536774278</c:v>
                </c:pt>
                <c:pt idx="60">
                  <c:v>0.68631613371066991</c:v>
                </c:pt>
                <c:pt idx="61">
                  <c:v>0.74605390055304022</c:v>
                </c:pt>
                <c:pt idx="62">
                  <c:v>0.78531111575946733</c:v>
                </c:pt>
                <c:pt idx="63">
                  <c:v>0.73873427365420419</c:v>
                </c:pt>
                <c:pt idx="64">
                  <c:v>0.77234331933146871</c:v>
                </c:pt>
                <c:pt idx="65">
                  <c:v>0.78801705282442791</c:v>
                </c:pt>
                <c:pt idx="66">
                  <c:v>0.80386057669437871</c:v>
                </c:pt>
                <c:pt idx="67">
                  <c:v>0.77593114716176081</c:v>
                </c:pt>
                <c:pt idx="68">
                  <c:v>0.73443719201718294</c:v>
                </c:pt>
                <c:pt idx="69">
                  <c:v>0.80845015435349432</c:v>
                </c:pt>
                <c:pt idx="70">
                  <c:v>0.81730498971152521</c:v>
                </c:pt>
                <c:pt idx="71">
                  <c:v>0.84303217172795264</c:v>
                </c:pt>
                <c:pt idx="72">
                  <c:v>0.85554011998554591</c:v>
                </c:pt>
                <c:pt idx="73">
                  <c:v>0.91051088010749903</c:v>
                </c:pt>
                <c:pt idx="74">
                  <c:v>0.903914586742534</c:v>
                </c:pt>
                <c:pt idx="75">
                  <c:v>0.96394864357131627</c:v>
                </c:pt>
                <c:pt idx="76">
                  <c:v>0.93948337745637922</c:v>
                </c:pt>
                <c:pt idx="77">
                  <c:v>0.96161099399855399</c:v>
                </c:pt>
                <c:pt idx="78">
                  <c:v>0.94881691321337536</c:v>
                </c:pt>
                <c:pt idx="79">
                  <c:v>1.046833623145573</c:v>
                </c:pt>
                <c:pt idx="80">
                  <c:v>1.217388465250836</c:v>
                </c:pt>
                <c:pt idx="81">
                  <c:v>1.197078149461362</c:v>
                </c:pt>
                <c:pt idx="82">
                  <c:v>1.250145177757201</c:v>
                </c:pt>
                <c:pt idx="83">
                  <c:v>1.314806570035419</c:v>
                </c:pt>
                <c:pt idx="84">
                  <c:v>1.2089217926720599</c:v>
                </c:pt>
                <c:pt idx="85">
                  <c:v>1.1802539377278849</c:v>
                </c:pt>
                <c:pt idx="86">
                  <c:v>1.194270302118531</c:v>
                </c:pt>
                <c:pt idx="87">
                  <c:v>1.256540256997368</c:v>
                </c:pt>
                <c:pt idx="88">
                  <c:v>1.1464724148921051</c:v>
                </c:pt>
                <c:pt idx="89">
                  <c:v>1.123445726221179</c:v>
                </c:pt>
                <c:pt idx="90">
                  <c:v>1.296694989379074</c:v>
                </c:pt>
                <c:pt idx="91">
                  <c:v>1.1912152525369679</c:v>
                </c:pt>
                <c:pt idx="92">
                  <c:v>1.2444268806286429</c:v>
                </c:pt>
                <c:pt idx="93">
                  <c:v>1.300336018253144</c:v>
                </c:pt>
                <c:pt idx="94">
                  <c:v>1.296520912989986</c:v>
                </c:pt>
                <c:pt idx="95">
                  <c:v>1.358393123516302</c:v>
                </c:pt>
                <c:pt idx="96">
                  <c:v>1.432643649832092</c:v>
                </c:pt>
                <c:pt idx="97">
                  <c:v>1.472043334042618</c:v>
                </c:pt>
                <c:pt idx="98">
                  <c:v>1.4802767024636709</c:v>
                </c:pt>
                <c:pt idx="99">
                  <c:v>1.5045205972005129</c:v>
                </c:pt>
                <c:pt idx="100">
                  <c:v>1.475761476909039</c:v>
                </c:pt>
                <c:pt idx="101">
                  <c:v>1.6119341084879859</c:v>
                </c:pt>
                <c:pt idx="102">
                  <c:v>1.677326687435355</c:v>
                </c:pt>
                <c:pt idx="103">
                  <c:v>1.781934740066933</c:v>
                </c:pt>
                <c:pt idx="104">
                  <c:v>1.7966886348037761</c:v>
                </c:pt>
                <c:pt idx="105">
                  <c:v>1.7799300850113591</c:v>
                </c:pt>
                <c:pt idx="106">
                  <c:v>1.7488725060639909</c:v>
                </c:pt>
                <c:pt idx="107">
                  <c:v>1.9504369797482011</c:v>
                </c:pt>
                <c:pt idx="108">
                  <c:v>1.904853348169254</c:v>
                </c:pt>
                <c:pt idx="109">
                  <c:v>1.9635959271166219</c:v>
                </c:pt>
                <c:pt idx="110">
                  <c:v>2.0502427165903061</c:v>
                </c:pt>
                <c:pt idx="111">
                  <c:v>2.0661405060639901</c:v>
                </c:pt>
                <c:pt idx="112">
                  <c:v>1.984518821853464</c:v>
                </c:pt>
                <c:pt idx="113">
                  <c:v>1.9752461376429371</c:v>
                </c:pt>
                <c:pt idx="114">
                  <c:v>1.9741254534324111</c:v>
                </c:pt>
                <c:pt idx="115">
                  <c:v>2.0044253481692529</c:v>
                </c:pt>
                <c:pt idx="116">
                  <c:v>2.1070173481692529</c:v>
                </c:pt>
                <c:pt idx="117">
                  <c:v>2.1106355060639901</c:v>
                </c:pt>
                <c:pt idx="118">
                  <c:v>2.0546162955376741</c:v>
                </c:pt>
                <c:pt idx="119">
                  <c:v>2.1072388149966739</c:v>
                </c:pt>
                <c:pt idx="120">
                  <c:v>2.0721939087257568</c:v>
                </c:pt>
                <c:pt idx="121">
                  <c:v>2.1898662245152312</c:v>
                </c:pt>
                <c:pt idx="122">
                  <c:v>2.1210699613573358</c:v>
                </c:pt>
                <c:pt idx="123">
                  <c:v>2.140505487673126</c:v>
                </c:pt>
                <c:pt idx="124">
                  <c:v>2.1423153824099681</c:v>
                </c:pt>
                <c:pt idx="125">
                  <c:v>2.181073540304705</c:v>
                </c:pt>
                <c:pt idx="126">
                  <c:v>2.2553313824099681</c:v>
                </c:pt>
                <c:pt idx="127">
                  <c:v>2.29036227714681</c:v>
                </c:pt>
                <c:pt idx="128">
                  <c:v>2.397887803462599</c:v>
                </c:pt>
                <c:pt idx="129">
                  <c:v>2.3727772771468101</c:v>
                </c:pt>
                <c:pt idx="130">
                  <c:v>2.3788566592949429</c:v>
                </c:pt>
                <c:pt idx="131">
                  <c:v>2.276226950108756</c:v>
                </c:pt>
                <c:pt idx="132">
                  <c:v>2.2796262132666509</c:v>
                </c:pt>
                <c:pt idx="133">
                  <c:v>2.3051504237929672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4-E84E-AE03-956DC45D9719}"/>
            </c:ext>
          </c:extLst>
        </c:ser>
        <c:ser>
          <c:idx val="3"/>
          <c:order val="3"/>
          <c:tx>
            <c:strRef>
              <c:f>預測累積畫圖!$B$15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預測累積畫圖!$C$15:$EF$15</c:f>
              <c:numCache>
                <c:formatCode>General</c:formatCode>
                <c:ptCount val="134"/>
                <c:pt idx="0">
                  <c:v>0.22764499999999999</c:v>
                </c:pt>
                <c:pt idx="1">
                  <c:v>0.24459786479206569</c:v>
                </c:pt>
                <c:pt idx="2">
                  <c:v>0.23439943851998221</c:v>
                </c:pt>
                <c:pt idx="3">
                  <c:v>0.12583714514679231</c:v>
                </c:pt>
                <c:pt idx="4">
                  <c:v>6.5200216475258033E-2</c:v>
                </c:pt>
                <c:pt idx="5">
                  <c:v>0.11535804097885111</c:v>
                </c:pt>
                <c:pt idx="6">
                  <c:v>0.17378948525871671</c:v>
                </c:pt>
                <c:pt idx="7">
                  <c:v>0.2237509505061063</c:v>
                </c:pt>
                <c:pt idx="8">
                  <c:v>-6.2843677230264322E-2</c:v>
                </c:pt>
                <c:pt idx="9">
                  <c:v>-3.028517207307968E-2</c:v>
                </c:pt>
                <c:pt idx="10">
                  <c:v>-4.787462593592421E-3</c:v>
                </c:pt>
                <c:pt idx="11">
                  <c:v>0.11608069156738871</c:v>
                </c:pt>
                <c:pt idx="12">
                  <c:v>0.18983803581370329</c:v>
                </c:pt>
                <c:pt idx="13">
                  <c:v>0.12572185279204151</c:v>
                </c:pt>
                <c:pt idx="14">
                  <c:v>-2.9814989315770979E-2</c:v>
                </c:pt>
                <c:pt idx="15">
                  <c:v>-8.1944679420888442E-2</c:v>
                </c:pt>
                <c:pt idx="16">
                  <c:v>-0.35195257450304218</c:v>
                </c:pt>
                <c:pt idx="17">
                  <c:v>-0.41875269944615429</c:v>
                </c:pt>
                <c:pt idx="18">
                  <c:v>-0.55572076111342317</c:v>
                </c:pt>
                <c:pt idx="19">
                  <c:v>-0.5728526144615359</c:v>
                </c:pt>
                <c:pt idx="20">
                  <c:v>-0.47030902047879281</c:v>
                </c:pt>
                <c:pt idx="21">
                  <c:v>-0.3434656890151197</c:v>
                </c:pt>
                <c:pt idx="22">
                  <c:v>-0.32283571464929989</c:v>
                </c:pt>
                <c:pt idx="23">
                  <c:v>-0.27611574259594118</c:v>
                </c:pt>
                <c:pt idx="24">
                  <c:v>-0.33019688962397492</c:v>
                </c:pt>
                <c:pt idx="25">
                  <c:v>-0.24649671710814439</c:v>
                </c:pt>
                <c:pt idx="26">
                  <c:v>-0.23001575089995629</c:v>
                </c:pt>
                <c:pt idx="27">
                  <c:v>-0.21107946786913781</c:v>
                </c:pt>
                <c:pt idx="28">
                  <c:v>-0.30887715187808901</c:v>
                </c:pt>
                <c:pt idx="29">
                  <c:v>-0.2430575393810491</c:v>
                </c:pt>
                <c:pt idx="30">
                  <c:v>-0.23293406111939349</c:v>
                </c:pt>
                <c:pt idx="31">
                  <c:v>-0.24743586111939361</c:v>
                </c:pt>
                <c:pt idx="32">
                  <c:v>-0.17315846111939351</c:v>
                </c:pt>
                <c:pt idx="33">
                  <c:v>-0.1689750611193935</c:v>
                </c:pt>
                <c:pt idx="34">
                  <c:v>-0.10721544146094859</c:v>
                </c:pt>
                <c:pt idx="35">
                  <c:v>-6.2783778965134068E-2</c:v>
                </c:pt>
                <c:pt idx="36">
                  <c:v>-7.6611568305069572E-3</c:v>
                </c:pt>
                <c:pt idx="37">
                  <c:v>9.4027549081876549E-2</c:v>
                </c:pt>
                <c:pt idx="38">
                  <c:v>0.15739736154534359</c:v>
                </c:pt>
                <c:pt idx="39">
                  <c:v>7.911166765258941E-2</c:v>
                </c:pt>
                <c:pt idx="40">
                  <c:v>4.1744540856467741E-2</c:v>
                </c:pt>
                <c:pt idx="41">
                  <c:v>0.1320383963323844</c:v>
                </c:pt>
                <c:pt idx="42">
                  <c:v>0.1096075963323844</c:v>
                </c:pt>
                <c:pt idx="43">
                  <c:v>0.174862586984813</c:v>
                </c:pt>
                <c:pt idx="44">
                  <c:v>0.2148058480742793</c:v>
                </c:pt>
                <c:pt idx="45">
                  <c:v>0.16757902974684041</c:v>
                </c:pt>
                <c:pt idx="46">
                  <c:v>0.18323896900142139</c:v>
                </c:pt>
                <c:pt idx="47">
                  <c:v>0.30847294617615661</c:v>
                </c:pt>
                <c:pt idx="48">
                  <c:v>0.33649001028618952</c:v>
                </c:pt>
                <c:pt idx="49">
                  <c:v>0.24516673021768601</c:v>
                </c:pt>
                <c:pt idx="50">
                  <c:v>0.25578024502533903</c:v>
                </c:pt>
                <c:pt idx="51">
                  <c:v>0.36850511110415213</c:v>
                </c:pt>
                <c:pt idx="52">
                  <c:v>0.43066025477198228</c:v>
                </c:pt>
                <c:pt idx="53">
                  <c:v>0.4837035286767784</c:v>
                </c:pt>
                <c:pt idx="54">
                  <c:v>0.53214624969444158</c:v>
                </c:pt>
                <c:pt idx="55">
                  <c:v>0.57980922915119371</c:v>
                </c:pt>
                <c:pt idx="56">
                  <c:v>0.58229876788575896</c:v>
                </c:pt>
                <c:pt idx="57">
                  <c:v>0.61674061336744845</c:v>
                </c:pt>
                <c:pt idx="58">
                  <c:v>0.68532727248241809</c:v>
                </c:pt>
                <c:pt idx="59">
                  <c:v>0.67406224539497284</c:v>
                </c:pt>
                <c:pt idx="60">
                  <c:v>0.6748859976627789</c:v>
                </c:pt>
                <c:pt idx="61">
                  <c:v>0.73428986900412729</c:v>
                </c:pt>
                <c:pt idx="62">
                  <c:v>0.80111469037085647</c:v>
                </c:pt>
                <c:pt idx="63">
                  <c:v>0.73505979037085645</c:v>
                </c:pt>
                <c:pt idx="64">
                  <c:v>0.7627942663257874</c:v>
                </c:pt>
                <c:pt idx="65">
                  <c:v>0.77697848703359218</c:v>
                </c:pt>
                <c:pt idx="66">
                  <c:v>0.7897814183239199</c:v>
                </c:pt>
                <c:pt idx="67">
                  <c:v>0.73962398920186023</c:v>
                </c:pt>
                <c:pt idx="68">
                  <c:v>0.72280021175157394</c:v>
                </c:pt>
                <c:pt idx="69">
                  <c:v>0.81186041748290838</c:v>
                </c:pt>
                <c:pt idx="70">
                  <c:v>0.79238399768711487</c:v>
                </c:pt>
                <c:pt idx="71">
                  <c:v>0.85129896543966355</c:v>
                </c:pt>
                <c:pt idx="72">
                  <c:v>0.8153530753102598</c:v>
                </c:pt>
                <c:pt idx="73">
                  <c:v>0.8439889703759913</c:v>
                </c:pt>
                <c:pt idx="74">
                  <c:v>0.7822948788969315</c:v>
                </c:pt>
                <c:pt idx="75">
                  <c:v>0.88520134787427884</c:v>
                </c:pt>
                <c:pt idx="76">
                  <c:v>0.86660932707783656</c:v>
                </c:pt>
                <c:pt idx="77">
                  <c:v>0.88166622108966108</c:v>
                </c:pt>
                <c:pt idx="78">
                  <c:v>0.72934795603549962</c:v>
                </c:pt>
                <c:pt idx="79">
                  <c:v>0.84950003999858403</c:v>
                </c:pt>
                <c:pt idx="80">
                  <c:v>0.922867439998584</c:v>
                </c:pt>
                <c:pt idx="81">
                  <c:v>0.91924103999858398</c:v>
                </c:pt>
                <c:pt idx="82">
                  <c:v>0.91494216074521983</c:v>
                </c:pt>
                <c:pt idx="83">
                  <c:v>0.97782811902892119</c:v>
                </c:pt>
                <c:pt idx="84">
                  <c:v>0.93902970413394038</c:v>
                </c:pt>
                <c:pt idx="85">
                  <c:v>0.85198534806122228</c:v>
                </c:pt>
                <c:pt idx="86">
                  <c:v>0.90865799383332169</c:v>
                </c:pt>
                <c:pt idx="87">
                  <c:v>0.94007996882656997</c:v>
                </c:pt>
                <c:pt idx="88">
                  <c:v>0.83196206882656998</c:v>
                </c:pt>
                <c:pt idx="89">
                  <c:v>0.78932795302740966</c:v>
                </c:pt>
                <c:pt idx="90">
                  <c:v>0.96268785302740967</c:v>
                </c:pt>
                <c:pt idx="91">
                  <c:v>0.92829445302740965</c:v>
                </c:pt>
                <c:pt idx="92">
                  <c:v>0.96567246379253868</c:v>
                </c:pt>
                <c:pt idx="93">
                  <c:v>1.0139095340807029</c:v>
                </c:pt>
                <c:pt idx="94">
                  <c:v>1.030821934080703</c:v>
                </c:pt>
                <c:pt idx="95">
                  <c:v>1.0630388340807031</c:v>
                </c:pt>
                <c:pt idx="96">
                  <c:v>1.2169024340807031</c:v>
                </c:pt>
                <c:pt idx="97">
                  <c:v>1.277346434080703</c:v>
                </c:pt>
                <c:pt idx="98">
                  <c:v>1.2500875340807029</c:v>
                </c:pt>
                <c:pt idx="99">
                  <c:v>1.267955634080703</c:v>
                </c:pt>
                <c:pt idx="100">
                  <c:v>1.225484961002941</c:v>
                </c:pt>
                <c:pt idx="101">
                  <c:v>1.3408516610029411</c:v>
                </c:pt>
                <c:pt idx="102">
                  <c:v>1.4297134610029409</c:v>
                </c:pt>
                <c:pt idx="103">
                  <c:v>1.526761161002941</c:v>
                </c:pt>
                <c:pt idx="104">
                  <c:v>1.6034876610029409</c:v>
                </c:pt>
                <c:pt idx="105">
                  <c:v>1.5540939705030561</c:v>
                </c:pt>
                <c:pt idx="106">
                  <c:v>1.488486070503056</c:v>
                </c:pt>
                <c:pt idx="107">
                  <c:v>1.791207670503056</c:v>
                </c:pt>
                <c:pt idx="108">
                  <c:v>1.7432898705030559</c:v>
                </c:pt>
                <c:pt idx="109">
                  <c:v>1.8729133705030561</c:v>
                </c:pt>
                <c:pt idx="110">
                  <c:v>1.915724370503056</c:v>
                </c:pt>
                <c:pt idx="111">
                  <c:v>1.9632908705030561</c:v>
                </c:pt>
                <c:pt idx="112">
                  <c:v>1.862961870503056</c:v>
                </c:pt>
                <c:pt idx="113">
                  <c:v>1.870701070503056</c:v>
                </c:pt>
                <c:pt idx="114">
                  <c:v>1.8724745705030561</c:v>
                </c:pt>
                <c:pt idx="115">
                  <c:v>1.8054543705030559</c:v>
                </c:pt>
                <c:pt idx="116">
                  <c:v>1.9649999705030561</c:v>
                </c:pt>
                <c:pt idx="117">
                  <c:v>1.9246707705030559</c:v>
                </c:pt>
                <c:pt idx="118">
                  <c:v>1.8517329705030561</c:v>
                </c:pt>
                <c:pt idx="119">
                  <c:v>1.9217435371209941</c:v>
                </c:pt>
                <c:pt idx="120">
                  <c:v>1.845501628709197</c:v>
                </c:pt>
                <c:pt idx="121">
                  <c:v>1.8797983287091971</c:v>
                </c:pt>
                <c:pt idx="122">
                  <c:v>1.7626698287091971</c:v>
                </c:pt>
                <c:pt idx="123">
                  <c:v>1.8137997287091969</c:v>
                </c:pt>
                <c:pt idx="124">
                  <c:v>1.7529729287091971</c:v>
                </c:pt>
                <c:pt idx="125">
                  <c:v>1.7809326287091971</c:v>
                </c:pt>
                <c:pt idx="126">
                  <c:v>1.9245422287091969</c:v>
                </c:pt>
                <c:pt idx="127">
                  <c:v>1.9649974287091969</c:v>
                </c:pt>
                <c:pt idx="128">
                  <c:v>2.074175128709197</c:v>
                </c:pt>
                <c:pt idx="129">
                  <c:v>2.018046128709198</c:v>
                </c:pt>
                <c:pt idx="130">
                  <c:v>2.0841279847571439</c:v>
                </c:pt>
                <c:pt idx="131">
                  <c:v>1.970770928821832</c:v>
                </c:pt>
                <c:pt idx="132">
                  <c:v>1.967580728821833</c:v>
                </c:pt>
                <c:pt idx="133">
                  <c:v>1.9972248288218331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54-E84E-AE03-956DC45D9719}"/>
            </c:ext>
          </c:extLst>
        </c:ser>
        <c:ser>
          <c:idx val="4"/>
          <c:order val="4"/>
          <c:tx>
            <c:strRef>
              <c:f>預測累積畫圖!$B$16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預測累積畫圖!$C$16:$EF$16</c:f>
              <c:numCache>
                <c:formatCode>General</c:formatCode>
                <c:ptCount val="134"/>
                <c:pt idx="0">
                  <c:v>0.207875</c:v>
                </c:pt>
                <c:pt idx="1">
                  <c:v>0.20715475133268299</c:v>
                </c:pt>
                <c:pt idx="2">
                  <c:v>0.2043245747225976</c:v>
                </c:pt>
                <c:pt idx="3">
                  <c:v>0.1049420818671105</c:v>
                </c:pt>
                <c:pt idx="4">
                  <c:v>3.124581674018663E-2</c:v>
                </c:pt>
                <c:pt idx="5">
                  <c:v>9.2244821357123474E-2</c:v>
                </c:pt>
                <c:pt idx="6">
                  <c:v>0.1497754400227449</c:v>
                </c:pt>
                <c:pt idx="7">
                  <c:v>0.19648536606541109</c:v>
                </c:pt>
                <c:pt idx="8">
                  <c:v>-8.8185184161121033E-2</c:v>
                </c:pt>
                <c:pt idx="9">
                  <c:v>-7.8298649573252235E-2</c:v>
                </c:pt>
                <c:pt idx="10">
                  <c:v>-3.7964194848011647E-2</c:v>
                </c:pt>
                <c:pt idx="11">
                  <c:v>8.7706430694738644E-2</c:v>
                </c:pt>
                <c:pt idx="12">
                  <c:v>0.1675332912658557</c:v>
                </c:pt>
                <c:pt idx="13">
                  <c:v>0.10648805947443341</c:v>
                </c:pt>
                <c:pt idx="14">
                  <c:v>-5.1415010949904569E-2</c:v>
                </c:pt>
                <c:pt idx="15">
                  <c:v>-0.1004059892328311</c:v>
                </c:pt>
                <c:pt idx="16">
                  <c:v>-0.38746900963162589</c:v>
                </c:pt>
                <c:pt idx="17">
                  <c:v>-0.45468806978922721</c:v>
                </c:pt>
                <c:pt idx="18">
                  <c:v>-0.58475054121897174</c:v>
                </c:pt>
                <c:pt idx="19">
                  <c:v>-0.59077268655193738</c:v>
                </c:pt>
                <c:pt idx="20">
                  <c:v>-0.48910701050412558</c:v>
                </c:pt>
                <c:pt idx="21">
                  <c:v>-0.36469722679563882</c:v>
                </c:pt>
                <c:pt idx="22">
                  <c:v>-0.34451663837600321</c:v>
                </c:pt>
                <c:pt idx="23">
                  <c:v>-0.30145870749179138</c:v>
                </c:pt>
                <c:pt idx="24">
                  <c:v>-0.34494634332778362</c:v>
                </c:pt>
                <c:pt idx="25">
                  <c:v>-0.26996130168980309</c:v>
                </c:pt>
                <c:pt idx="26">
                  <c:v>-0.22273506548724259</c:v>
                </c:pt>
                <c:pt idx="27">
                  <c:v>-0.22161303963816631</c:v>
                </c:pt>
                <c:pt idx="28">
                  <c:v>-0.31811540012677197</c:v>
                </c:pt>
                <c:pt idx="29">
                  <c:v>-0.25442955754518282</c:v>
                </c:pt>
                <c:pt idx="30">
                  <c:v>-0.24113880450864739</c:v>
                </c:pt>
                <c:pt idx="31">
                  <c:v>-0.28524724895309178</c:v>
                </c:pt>
                <c:pt idx="32">
                  <c:v>-0.1947241378419807</c:v>
                </c:pt>
                <c:pt idx="33">
                  <c:v>-0.21235413784198071</c:v>
                </c:pt>
                <c:pt idx="34">
                  <c:v>-0.14793273700960871</c:v>
                </c:pt>
                <c:pt idx="35">
                  <c:v>-9.9243803905085415E-2</c:v>
                </c:pt>
                <c:pt idx="36">
                  <c:v>-3.3167073303287442E-2</c:v>
                </c:pt>
                <c:pt idx="37">
                  <c:v>7.3289126786388159E-2</c:v>
                </c:pt>
                <c:pt idx="38">
                  <c:v>0.13471379861230051</c:v>
                </c:pt>
                <c:pt idx="39">
                  <c:v>5.6915430466711957E-2</c:v>
                </c:pt>
                <c:pt idx="40">
                  <c:v>1.844923032064336E-2</c:v>
                </c:pt>
                <c:pt idx="41">
                  <c:v>0.1217404093811358</c:v>
                </c:pt>
                <c:pt idx="42">
                  <c:v>9.3661742714469087E-2</c:v>
                </c:pt>
                <c:pt idx="43">
                  <c:v>0.14320889803283909</c:v>
                </c:pt>
                <c:pt idx="44">
                  <c:v>0.1850357362877342</c:v>
                </c:pt>
                <c:pt idx="45">
                  <c:v>0.17596322950771551</c:v>
                </c:pt>
                <c:pt idx="46">
                  <c:v>0.2152161595823662</c:v>
                </c:pt>
                <c:pt idx="47">
                  <c:v>0.31604593282633908</c:v>
                </c:pt>
                <c:pt idx="48">
                  <c:v>0.34985852267068501</c:v>
                </c:pt>
                <c:pt idx="49">
                  <c:v>0.2449488874919728</c:v>
                </c:pt>
                <c:pt idx="50">
                  <c:v>0.25987199254955889</c:v>
                </c:pt>
                <c:pt idx="51">
                  <c:v>0.36791091670229698</c:v>
                </c:pt>
                <c:pt idx="52">
                  <c:v>0.43503238280998879</c:v>
                </c:pt>
                <c:pt idx="53">
                  <c:v>0.47096909435589279</c:v>
                </c:pt>
                <c:pt idx="54">
                  <c:v>0.52238008875036779</c:v>
                </c:pt>
                <c:pt idx="55">
                  <c:v>0.58664814307008606</c:v>
                </c:pt>
                <c:pt idx="56">
                  <c:v>0.60012142511804267</c:v>
                </c:pt>
                <c:pt idx="57">
                  <c:v>0.58634581063408087</c:v>
                </c:pt>
                <c:pt idx="58">
                  <c:v>0.62778961839734271</c:v>
                </c:pt>
                <c:pt idx="59">
                  <c:v>0.60728580211413508</c:v>
                </c:pt>
                <c:pt idx="60">
                  <c:v>0.61025779240933209</c:v>
                </c:pt>
                <c:pt idx="61">
                  <c:v>0.68088135811685524</c:v>
                </c:pt>
                <c:pt idx="62">
                  <c:v>0.76240523315882025</c:v>
                </c:pt>
                <c:pt idx="63">
                  <c:v>0.69520589982548686</c:v>
                </c:pt>
                <c:pt idx="64">
                  <c:v>0.7170962597791446</c:v>
                </c:pt>
                <c:pt idx="65">
                  <c:v>0.73793944332672523</c:v>
                </c:pt>
                <c:pt idx="66">
                  <c:v>0.75441745958165385</c:v>
                </c:pt>
                <c:pt idx="67">
                  <c:v>0.72812061156020946</c:v>
                </c:pt>
                <c:pt idx="68">
                  <c:v>0.71492903841274524</c:v>
                </c:pt>
                <c:pt idx="69">
                  <c:v>0.80041222968054482</c:v>
                </c:pt>
                <c:pt idx="70">
                  <c:v>0.74264711949574436</c:v>
                </c:pt>
                <c:pt idx="71">
                  <c:v>0.80335835894258523</c:v>
                </c:pt>
                <c:pt idx="72">
                  <c:v>0.73761743151605064</c:v>
                </c:pt>
                <c:pt idx="73">
                  <c:v>0.76917666903718163</c:v>
                </c:pt>
                <c:pt idx="74">
                  <c:v>0.71861293618993871</c:v>
                </c:pt>
                <c:pt idx="75">
                  <c:v>0.83013878469158797</c:v>
                </c:pt>
                <c:pt idx="76">
                  <c:v>0.8004243949360248</c:v>
                </c:pt>
                <c:pt idx="77">
                  <c:v>0.79899634994680746</c:v>
                </c:pt>
                <c:pt idx="78">
                  <c:v>0.63992383546287313</c:v>
                </c:pt>
                <c:pt idx="79">
                  <c:v>0.79499510708923493</c:v>
                </c:pt>
                <c:pt idx="80">
                  <c:v>0.88860888486701273</c:v>
                </c:pt>
                <c:pt idx="81">
                  <c:v>0.87391288486701268</c:v>
                </c:pt>
                <c:pt idx="82">
                  <c:v>0.86853436583568255</c:v>
                </c:pt>
                <c:pt idx="83">
                  <c:v>0.91023178053870957</c:v>
                </c:pt>
                <c:pt idx="84">
                  <c:v>0.87152189871019203</c:v>
                </c:pt>
                <c:pt idx="85">
                  <c:v>0.82599834792252547</c:v>
                </c:pt>
                <c:pt idx="86">
                  <c:v>0.90247133164021587</c:v>
                </c:pt>
                <c:pt idx="87">
                  <c:v>0.91835001397492522</c:v>
                </c:pt>
                <c:pt idx="88">
                  <c:v>0.80529568064159196</c:v>
                </c:pt>
                <c:pt idx="89">
                  <c:v>0.77223816550064195</c:v>
                </c:pt>
                <c:pt idx="90">
                  <c:v>0.98178516550064199</c:v>
                </c:pt>
                <c:pt idx="91">
                  <c:v>0.95110060994508638</c:v>
                </c:pt>
                <c:pt idx="92">
                  <c:v>0.99253621560449679</c:v>
                </c:pt>
                <c:pt idx="93">
                  <c:v>1.040835982287813</c:v>
                </c:pt>
                <c:pt idx="94">
                  <c:v>1.0626442045100351</c:v>
                </c:pt>
                <c:pt idx="95">
                  <c:v>1.1115480933989239</c:v>
                </c:pt>
                <c:pt idx="96">
                  <c:v>1.265594204510035</c:v>
                </c:pt>
                <c:pt idx="97">
                  <c:v>1.32504764895448</c:v>
                </c:pt>
                <c:pt idx="98">
                  <c:v>1.2933729822878131</c:v>
                </c:pt>
                <c:pt idx="99">
                  <c:v>1.300058871176702</c:v>
                </c:pt>
                <c:pt idx="100">
                  <c:v>1.250941822060077</c:v>
                </c:pt>
                <c:pt idx="101">
                  <c:v>1.417162599837855</c:v>
                </c:pt>
                <c:pt idx="102">
                  <c:v>1.53534315539341</c:v>
                </c:pt>
                <c:pt idx="103">
                  <c:v>1.6333598220600769</c:v>
                </c:pt>
                <c:pt idx="104">
                  <c:v>1.697099933171188</c:v>
                </c:pt>
                <c:pt idx="105">
                  <c:v>1.6270289981138299</c:v>
                </c:pt>
                <c:pt idx="106">
                  <c:v>1.5707036647804971</c:v>
                </c:pt>
                <c:pt idx="107">
                  <c:v>1.896284553669386</c:v>
                </c:pt>
                <c:pt idx="108">
                  <c:v>1.850607553669386</c:v>
                </c:pt>
                <c:pt idx="109">
                  <c:v>1.9877569981138301</c:v>
                </c:pt>
                <c:pt idx="110">
                  <c:v>2.0355857758916081</c:v>
                </c:pt>
                <c:pt idx="111">
                  <c:v>2.0873388870027192</c:v>
                </c:pt>
                <c:pt idx="112">
                  <c:v>1.991084553669386</c:v>
                </c:pt>
                <c:pt idx="113">
                  <c:v>1.9924514425582751</c:v>
                </c:pt>
                <c:pt idx="114">
                  <c:v>2.0305867758916079</c:v>
                </c:pt>
                <c:pt idx="115">
                  <c:v>1.9738809981138301</c:v>
                </c:pt>
                <c:pt idx="116">
                  <c:v>2.1434716647804972</c:v>
                </c:pt>
                <c:pt idx="117">
                  <c:v>2.1187562203360519</c:v>
                </c:pt>
                <c:pt idx="118">
                  <c:v>2.051196220336053</c:v>
                </c:pt>
                <c:pt idx="119">
                  <c:v>2.1063874719855682</c:v>
                </c:pt>
                <c:pt idx="120">
                  <c:v>2.012635406995813</c:v>
                </c:pt>
                <c:pt idx="121">
                  <c:v>2.0446947403291471</c:v>
                </c:pt>
                <c:pt idx="122">
                  <c:v>1.9219217403291471</c:v>
                </c:pt>
                <c:pt idx="123">
                  <c:v>1.9670735181069241</c:v>
                </c:pt>
                <c:pt idx="124">
                  <c:v>1.895770406995813</c:v>
                </c:pt>
                <c:pt idx="125">
                  <c:v>1.9332775181069239</c:v>
                </c:pt>
                <c:pt idx="126">
                  <c:v>2.090849295884702</c:v>
                </c:pt>
                <c:pt idx="127">
                  <c:v>2.1496597403291471</c:v>
                </c:pt>
                <c:pt idx="128">
                  <c:v>2.2894596292180349</c:v>
                </c:pt>
                <c:pt idx="129">
                  <c:v>2.2185818514402582</c:v>
                </c:pt>
                <c:pt idx="130">
                  <c:v>2.282113918074828</c:v>
                </c:pt>
                <c:pt idx="131">
                  <c:v>2.1666971705759059</c:v>
                </c:pt>
                <c:pt idx="132">
                  <c:v>2.1623010594647951</c:v>
                </c:pt>
                <c:pt idx="133">
                  <c:v>2.1968495039092391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54-E84E-AE03-956DC45D9719}"/>
            </c:ext>
          </c:extLst>
        </c:ser>
        <c:ser>
          <c:idx val="5"/>
          <c:order val="5"/>
          <c:tx>
            <c:strRef>
              <c:f>預測累積畫圖!$B$17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預測累積畫圖!$C$17:$EF$17</c:f>
              <c:numCache>
                <c:formatCode>General</c:formatCode>
                <c:ptCount val="134"/>
                <c:pt idx="0">
                  <c:v>0.206092</c:v>
                </c:pt>
                <c:pt idx="1">
                  <c:v>0.1887576252669122</c:v>
                </c:pt>
                <c:pt idx="2">
                  <c:v>0.19613662676221361</c:v>
                </c:pt>
                <c:pt idx="3">
                  <c:v>8.329911164491785E-2</c:v>
                </c:pt>
                <c:pt idx="4">
                  <c:v>1.207634476673608E-2</c:v>
                </c:pt>
                <c:pt idx="5">
                  <c:v>8.8764166329352939E-2</c:v>
                </c:pt>
                <c:pt idx="6">
                  <c:v>0.2024891941315404</c:v>
                </c:pt>
                <c:pt idx="7">
                  <c:v>0.2443475892497696</c:v>
                </c:pt>
                <c:pt idx="8">
                  <c:v>-5.247896185079276E-2</c:v>
                </c:pt>
                <c:pt idx="9">
                  <c:v>-4.2768072342634758E-2</c:v>
                </c:pt>
                <c:pt idx="10">
                  <c:v>2.2163962640851419E-2</c:v>
                </c:pt>
                <c:pt idx="11">
                  <c:v>0.15811239469363661</c:v>
                </c:pt>
                <c:pt idx="12">
                  <c:v>0.25933916396597229</c:v>
                </c:pt>
                <c:pt idx="13">
                  <c:v>0.1929997948271413</c:v>
                </c:pt>
                <c:pt idx="14">
                  <c:v>3.119850021201442E-2</c:v>
                </c:pt>
                <c:pt idx="15">
                  <c:v>-2.0859108692512781E-2</c:v>
                </c:pt>
                <c:pt idx="16">
                  <c:v>-0.331512541347811</c:v>
                </c:pt>
                <c:pt idx="17">
                  <c:v>-0.40271455588061811</c:v>
                </c:pt>
                <c:pt idx="18">
                  <c:v>-0.54398569841917499</c:v>
                </c:pt>
                <c:pt idx="19">
                  <c:v>-0.53997450858947649</c:v>
                </c:pt>
                <c:pt idx="20">
                  <c:v>-0.420370524577169</c:v>
                </c:pt>
                <c:pt idx="21">
                  <c:v>-0.30352432663636542</c:v>
                </c:pt>
                <c:pt idx="22">
                  <c:v>-0.28059631557371062</c:v>
                </c:pt>
                <c:pt idx="23">
                  <c:v>-0.2267278262828448</c:v>
                </c:pt>
                <c:pt idx="24">
                  <c:v>-0.26193761586504388</c:v>
                </c:pt>
                <c:pt idx="25">
                  <c:v>-0.17708555298687159</c:v>
                </c:pt>
                <c:pt idx="26">
                  <c:v>-0.1183568626963778</c:v>
                </c:pt>
                <c:pt idx="27">
                  <c:v>-9.6444018522737165E-2</c:v>
                </c:pt>
                <c:pt idx="28">
                  <c:v>-0.22360244096996221</c:v>
                </c:pt>
                <c:pt idx="29">
                  <c:v>-0.16217313084802201</c:v>
                </c:pt>
                <c:pt idx="30">
                  <c:v>-0.13943215006023191</c:v>
                </c:pt>
                <c:pt idx="31">
                  <c:v>-0.1713550250602319</c:v>
                </c:pt>
                <c:pt idx="32">
                  <c:v>-5.6489900060231871E-2</c:v>
                </c:pt>
                <c:pt idx="33">
                  <c:v>-7.869815006023187E-2</c:v>
                </c:pt>
                <c:pt idx="34">
                  <c:v>-4.9818753211954281E-3</c:v>
                </c:pt>
                <c:pt idx="35">
                  <c:v>4.5742530427361081E-2</c:v>
                </c:pt>
                <c:pt idx="36">
                  <c:v>0.12111189801501809</c:v>
                </c:pt>
                <c:pt idx="37">
                  <c:v>0.23439901836093571</c:v>
                </c:pt>
                <c:pt idx="38">
                  <c:v>0.2470313529566599</c:v>
                </c:pt>
                <c:pt idx="39">
                  <c:v>0.1697885385370744</c:v>
                </c:pt>
                <c:pt idx="40">
                  <c:v>0.10926140113557541</c:v>
                </c:pt>
                <c:pt idx="41">
                  <c:v>0.22319211103039269</c:v>
                </c:pt>
                <c:pt idx="42">
                  <c:v>0.1936761110303927</c:v>
                </c:pt>
                <c:pt idx="43">
                  <c:v>0.2459439174801149</c:v>
                </c:pt>
                <c:pt idx="44">
                  <c:v>0.30049942476680269</c:v>
                </c:pt>
                <c:pt idx="45">
                  <c:v>0.27929352198453428</c:v>
                </c:pt>
                <c:pt idx="46">
                  <c:v>0.28771541002637108</c:v>
                </c:pt>
                <c:pt idx="47">
                  <c:v>0.38395596853517011</c:v>
                </c:pt>
                <c:pt idx="48">
                  <c:v>0.41137966522577102</c:v>
                </c:pt>
                <c:pt idx="49">
                  <c:v>0.28622206296557989</c:v>
                </c:pt>
                <c:pt idx="50">
                  <c:v>0.2960472420726929</c:v>
                </c:pt>
                <c:pt idx="51">
                  <c:v>0.41981130518653731</c:v>
                </c:pt>
                <c:pt idx="52">
                  <c:v>0.50367450036435091</c:v>
                </c:pt>
                <c:pt idx="53">
                  <c:v>0.5260309826105557</c:v>
                </c:pt>
                <c:pt idx="54">
                  <c:v>0.60338122484861612</c:v>
                </c:pt>
                <c:pt idx="55">
                  <c:v>0.65857872145756979</c:v>
                </c:pt>
                <c:pt idx="56">
                  <c:v>0.62318448536953253</c:v>
                </c:pt>
                <c:pt idx="57">
                  <c:v>0.63670394622128557</c:v>
                </c:pt>
                <c:pt idx="58">
                  <c:v>0.72381589166123284</c:v>
                </c:pt>
                <c:pt idx="59">
                  <c:v>0.7139578273879964</c:v>
                </c:pt>
                <c:pt idx="60">
                  <c:v>0.70013487531789087</c:v>
                </c:pt>
                <c:pt idx="61">
                  <c:v>0.77761784211783702</c:v>
                </c:pt>
                <c:pt idx="62">
                  <c:v>0.853615612563697</c:v>
                </c:pt>
                <c:pt idx="63">
                  <c:v>0.779957612563697</c:v>
                </c:pt>
                <c:pt idx="64">
                  <c:v>0.81513722798042065</c:v>
                </c:pt>
                <c:pt idx="65">
                  <c:v>0.85113320763490152</c:v>
                </c:pt>
                <c:pt idx="66">
                  <c:v>0.86250971808135313</c:v>
                </c:pt>
                <c:pt idx="67">
                  <c:v>0.85286334295660327</c:v>
                </c:pt>
                <c:pt idx="68">
                  <c:v>0.84875987384599672</c:v>
                </c:pt>
                <c:pt idx="69">
                  <c:v>0.95817625271642004</c:v>
                </c:pt>
                <c:pt idx="70">
                  <c:v>0.88704843396566768</c:v>
                </c:pt>
                <c:pt idx="71">
                  <c:v>0.95725873698529595</c:v>
                </c:pt>
                <c:pt idx="72">
                  <c:v>0.87682702438603011</c:v>
                </c:pt>
                <c:pt idx="73">
                  <c:v>0.90564998900570282</c:v>
                </c:pt>
                <c:pt idx="74">
                  <c:v>0.82140452137700848</c:v>
                </c:pt>
                <c:pt idx="75">
                  <c:v>0.94198267725809381</c:v>
                </c:pt>
                <c:pt idx="76">
                  <c:v>0.91404784489960422</c:v>
                </c:pt>
                <c:pt idx="77">
                  <c:v>0.90357013740761172</c:v>
                </c:pt>
                <c:pt idx="78">
                  <c:v>0.72861216341793078</c:v>
                </c:pt>
                <c:pt idx="79">
                  <c:v>0.90157190463707937</c:v>
                </c:pt>
                <c:pt idx="80">
                  <c:v>0.99727952963707933</c:v>
                </c:pt>
                <c:pt idx="81">
                  <c:v>0.90215577963707938</c:v>
                </c:pt>
                <c:pt idx="82">
                  <c:v>0.88662867456200223</c:v>
                </c:pt>
                <c:pt idx="83">
                  <c:v>0.94526512116905226</c:v>
                </c:pt>
                <c:pt idx="84">
                  <c:v>0.93073393617946376</c:v>
                </c:pt>
                <c:pt idx="85">
                  <c:v>0.87999161469502174</c:v>
                </c:pt>
                <c:pt idx="86">
                  <c:v>0.9717301873529347</c:v>
                </c:pt>
                <c:pt idx="87">
                  <c:v>0.96230384258390345</c:v>
                </c:pt>
                <c:pt idx="88">
                  <c:v>0.86681121758390345</c:v>
                </c:pt>
                <c:pt idx="89">
                  <c:v>0.84009315643291649</c:v>
                </c:pt>
                <c:pt idx="90">
                  <c:v>1.038173531432917</c:v>
                </c:pt>
                <c:pt idx="91">
                  <c:v>1.0165635314329169</c:v>
                </c:pt>
                <c:pt idx="92">
                  <c:v>1.05765146461632</c:v>
                </c:pt>
                <c:pt idx="93">
                  <c:v>1.108327955318543</c:v>
                </c:pt>
                <c:pt idx="94">
                  <c:v>1.119874580318543</c:v>
                </c:pt>
                <c:pt idx="95">
                  <c:v>1.1785288303185431</c:v>
                </c:pt>
                <c:pt idx="96">
                  <c:v>1.229637705318543</c:v>
                </c:pt>
                <c:pt idx="97">
                  <c:v>1.2975290803185431</c:v>
                </c:pt>
                <c:pt idx="98">
                  <c:v>1.274372080318543</c:v>
                </c:pt>
                <c:pt idx="99">
                  <c:v>1.299363580318543</c:v>
                </c:pt>
                <c:pt idx="100">
                  <c:v>1.249980281602453</c:v>
                </c:pt>
                <c:pt idx="101">
                  <c:v>1.434116156602453</c:v>
                </c:pt>
                <c:pt idx="102">
                  <c:v>1.5286117816024529</c:v>
                </c:pt>
                <c:pt idx="103">
                  <c:v>1.6328827816024529</c:v>
                </c:pt>
                <c:pt idx="104">
                  <c:v>1.686770281602453</c:v>
                </c:pt>
                <c:pt idx="105">
                  <c:v>1.6016363485182989</c:v>
                </c:pt>
                <c:pt idx="106">
                  <c:v>1.5499709735182989</c:v>
                </c:pt>
                <c:pt idx="107">
                  <c:v>1.9021983485182989</c:v>
                </c:pt>
                <c:pt idx="108">
                  <c:v>1.8549872235182989</c:v>
                </c:pt>
                <c:pt idx="109">
                  <c:v>2.0184205985182988</c:v>
                </c:pt>
                <c:pt idx="110">
                  <c:v>2.0886018485182989</c:v>
                </c:pt>
                <c:pt idx="111">
                  <c:v>2.1457482235182992</c:v>
                </c:pt>
                <c:pt idx="112">
                  <c:v>2.0429683485182988</c:v>
                </c:pt>
                <c:pt idx="113">
                  <c:v>2.0371785985182989</c:v>
                </c:pt>
                <c:pt idx="114">
                  <c:v>2.0797420985182988</c:v>
                </c:pt>
                <c:pt idx="115">
                  <c:v>2.0191155985182991</c:v>
                </c:pt>
                <c:pt idx="116">
                  <c:v>2.1988775985182989</c:v>
                </c:pt>
                <c:pt idx="117">
                  <c:v>2.1737814735182992</c:v>
                </c:pt>
                <c:pt idx="118">
                  <c:v>2.1085374735182989</c:v>
                </c:pt>
                <c:pt idx="119">
                  <c:v>2.1644222883946278</c:v>
                </c:pt>
                <c:pt idx="120">
                  <c:v>2.0401061285898172</c:v>
                </c:pt>
                <c:pt idx="121">
                  <c:v>2.0568491285898172</c:v>
                </c:pt>
                <c:pt idx="122">
                  <c:v>1.9273551285898169</c:v>
                </c:pt>
                <c:pt idx="123">
                  <c:v>1.989627503589817</c:v>
                </c:pt>
                <c:pt idx="124">
                  <c:v>1.913027753589817</c:v>
                </c:pt>
                <c:pt idx="125">
                  <c:v>1.9571496285898169</c:v>
                </c:pt>
                <c:pt idx="126">
                  <c:v>2.0644318785898168</c:v>
                </c:pt>
                <c:pt idx="127">
                  <c:v>2.1136438785898171</c:v>
                </c:pt>
                <c:pt idx="128">
                  <c:v>2.2782162535898172</c:v>
                </c:pt>
                <c:pt idx="129">
                  <c:v>2.2044326285898168</c:v>
                </c:pt>
                <c:pt idx="130">
                  <c:v>2.220857845805877</c:v>
                </c:pt>
                <c:pt idx="131">
                  <c:v>2.092533401876965</c:v>
                </c:pt>
                <c:pt idx="132">
                  <c:v>2.092727776876965</c:v>
                </c:pt>
                <c:pt idx="133">
                  <c:v>2.1337125268769639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54-E84E-AE03-956DC45D9719}"/>
            </c:ext>
          </c:extLst>
        </c:ser>
        <c:ser>
          <c:idx val="6"/>
          <c:order val="6"/>
          <c:tx>
            <c:strRef>
              <c:f>預測累積畫圖!$B$18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預測累積畫圖!$C$18:$EF$18</c:f>
              <c:numCache>
                <c:formatCode>General</c:formatCode>
                <c:ptCount val="134"/>
                <c:pt idx="0">
                  <c:v>0.189751</c:v>
                </c:pt>
                <c:pt idx="1">
                  <c:v>0.1815635329186073</c:v>
                </c:pt>
                <c:pt idx="2">
                  <c:v>0.1225628758203995</c:v>
                </c:pt>
                <c:pt idx="3">
                  <c:v>-1.1851498612986211E-2</c:v>
                </c:pt>
                <c:pt idx="4">
                  <c:v>-9.2645745633846061E-2</c:v>
                </c:pt>
                <c:pt idx="5">
                  <c:v>2.9267043729424042E-2</c:v>
                </c:pt>
                <c:pt idx="6">
                  <c:v>0.1647672239526651</c:v>
                </c:pt>
                <c:pt idx="7">
                  <c:v>0.2081787397043067</c:v>
                </c:pt>
                <c:pt idx="8">
                  <c:v>-0.150503358803593</c:v>
                </c:pt>
                <c:pt idx="9">
                  <c:v>-0.13752087195661139</c:v>
                </c:pt>
                <c:pt idx="10">
                  <c:v>-5.781829484263494E-2</c:v>
                </c:pt>
                <c:pt idx="11">
                  <c:v>8.5174132442136161E-2</c:v>
                </c:pt>
                <c:pt idx="12">
                  <c:v>0.18884462207175531</c:v>
                </c:pt>
                <c:pt idx="13">
                  <c:v>0.1062920105018076</c:v>
                </c:pt>
                <c:pt idx="14">
                  <c:v>-8.2683408187682314E-2</c:v>
                </c:pt>
                <c:pt idx="15">
                  <c:v>-0.1441756460596573</c:v>
                </c:pt>
                <c:pt idx="16">
                  <c:v>-0.52790827499155157</c:v>
                </c:pt>
                <c:pt idx="17">
                  <c:v>-0.58215271502316024</c:v>
                </c:pt>
                <c:pt idx="18">
                  <c:v>-0.71464773945297921</c:v>
                </c:pt>
                <c:pt idx="19">
                  <c:v>-0.70175260438312836</c:v>
                </c:pt>
                <c:pt idx="20">
                  <c:v>-0.56383536646742216</c:v>
                </c:pt>
                <c:pt idx="21">
                  <c:v>-0.42038384883258162</c:v>
                </c:pt>
                <c:pt idx="22">
                  <c:v>-0.40115151447514602</c:v>
                </c:pt>
                <c:pt idx="23">
                  <c:v>-0.31191715103462309</c:v>
                </c:pt>
                <c:pt idx="24">
                  <c:v>-0.3536223962173472</c:v>
                </c:pt>
                <c:pt idx="25">
                  <c:v>-0.268924096486863</c:v>
                </c:pt>
                <c:pt idx="26">
                  <c:v>-0.21110108363090571</c:v>
                </c:pt>
                <c:pt idx="27">
                  <c:v>-0.18450549325182561</c:v>
                </c:pt>
                <c:pt idx="28">
                  <c:v>-0.32803473468090011</c:v>
                </c:pt>
                <c:pt idx="29">
                  <c:v>-0.29616131652027439</c:v>
                </c:pt>
                <c:pt idx="30">
                  <c:v>-0.26366820042239841</c:v>
                </c:pt>
                <c:pt idx="31">
                  <c:v>-0.2995830575652555</c:v>
                </c:pt>
                <c:pt idx="32">
                  <c:v>-0.1814966289938269</c:v>
                </c:pt>
                <c:pt idx="33">
                  <c:v>-0.1888247718509698</c:v>
                </c:pt>
                <c:pt idx="34">
                  <c:v>-0.15867229125334381</c:v>
                </c:pt>
                <c:pt idx="35">
                  <c:v>-0.11114452762108611</c:v>
                </c:pt>
                <c:pt idx="36">
                  <c:v>-4.4501122196314843E-2</c:v>
                </c:pt>
                <c:pt idx="37">
                  <c:v>3.4793517758886949E-2</c:v>
                </c:pt>
                <c:pt idx="38">
                  <c:v>4.0221052726579727E-2</c:v>
                </c:pt>
                <c:pt idx="39">
                  <c:v>-3.8057539207227237E-2</c:v>
                </c:pt>
                <c:pt idx="40">
                  <c:v>-0.11428838453367721</c:v>
                </c:pt>
                <c:pt idx="41">
                  <c:v>1.0257121829267021E-2</c:v>
                </c:pt>
                <c:pt idx="42">
                  <c:v>-3.5116163885018682E-2</c:v>
                </c:pt>
                <c:pt idx="43">
                  <c:v>8.2094859355600069E-3</c:v>
                </c:pt>
                <c:pt idx="44">
                  <c:v>7.278513001515155E-2</c:v>
                </c:pt>
                <c:pt idx="45">
                  <c:v>4.4016374133434351E-2</c:v>
                </c:pt>
                <c:pt idx="46">
                  <c:v>6.8554408374541811E-2</c:v>
                </c:pt>
                <c:pt idx="47">
                  <c:v>0.1761152766303779</c:v>
                </c:pt>
                <c:pt idx="48">
                  <c:v>0.21089855527152601</c:v>
                </c:pt>
                <c:pt idx="49">
                  <c:v>6.2489472882626879E-2</c:v>
                </c:pt>
                <c:pt idx="50">
                  <c:v>6.312178380731244E-2</c:v>
                </c:pt>
                <c:pt idx="51">
                  <c:v>0.20077782596464949</c:v>
                </c:pt>
                <c:pt idx="52">
                  <c:v>0.28397939855797022</c:v>
                </c:pt>
                <c:pt idx="53">
                  <c:v>0.25996312687066969</c:v>
                </c:pt>
                <c:pt idx="54">
                  <c:v>0.3283243401088326</c:v>
                </c:pt>
                <c:pt idx="55">
                  <c:v>0.37420887640841138</c:v>
                </c:pt>
                <c:pt idx="56">
                  <c:v>0.35740263518220727</c:v>
                </c:pt>
                <c:pt idx="57">
                  <c:v>0.3779064882460127</c:v>
                </c:pt>
                <c:pt idx="58">
                  <c:v>0.48690649516467838</c:v>
                </c:pt>
                <c:pt idx="59">
                  <c:v>0.49286255921513789</c:v>
                </c:pt>
                <c:pt idx="60">
                  <c:v>0.43485931504493541</c:v>
                </c:pt>
                <c:pt idx="61">
                  <c:v>0.51601698886513947</c:v>
                </c:pt>
                <c:pt idx="62">
                  <c:v>0.61879092792857904</c:v>
                </c:pt>
                <c:pt idx="63">
                  <c:v>0.54058078507143614</c:v>
                </c:pt>
                <c:pt idx="64">
                  <c:v>0.56080828117781079</c:v>
                </c:pt>
                <c:pt idx="65">
                  <c:v>0.60766582151249282</c:v>
                </c:pt>
                <c:pt idx="66">
                  <c:v>0.60958260562234179</c:v>
                </c:pt>
                <c:pt idx="67">
                  <c:v>0.60383441203838706</c:v>
                </c:pt>
                <c:pt idx="68">
                  <c:v>0.59985078694126781</c:v>
                </c:pt>
                <c:pt idx="69">
                  <c:v>0.71508753497715438</c:v>
                </c:pt>
                <c:pt idx="70">
                  <c:v>0.63441009093711354</c:v>
                </c:pt>
                <c:pt idx="71">
                  <c:v>0.71533348621415593</c:v>
                </c:pt>
                <c:pt idx="72">
                  <c:v>0.63002239928096049</c:v>
                </c:pt>
                <c:pt idx="73">
                  <c:v>0.64904087399699617</c:v>
                </c:pt>
                <c:pt idx="74">
                  <c:v>0.52596589817297135</c:v>
                </c:pt>
                <c:pt idx="75">
                  <c:v>0.67928588597556949</c:v>
                </c:pt>
                <c:pt idx="76">
                  <c:v>0.66320934208270865</c:v>
                </c:pt>
                <c:pt idx="77">
                  <c:v>0.63863198547026034</c:v>
                </c:pt>
                <c:pt idx="78">
                  <c:v>0.6104585414508602</c:v>
                </c:pt>
                <c:pt idx="79">
                  <c:v>0.80417536009769086</c:v>
                </c:pt>
                <c:pt idx="80">
                  <c:v>0.88143521724054796</c:v>
                </c:pt>
                <c:pt idx="81">
                  <c:v>0.77957621724054793</c:v>
                </c:pt>
                <c:pt idx="82">
                  <c:v>0.77677485830113246</c:v>
                </c:pt>
                <c:pt idx="83">
                  <c:v>0.93943190498836571</c:v>
                </c:pt>
                <c:pt idx="84">
                  <c:v>0.90056276511067623</c:v>
                </c:pt>
                <c:pt idx="85">
                  <c:v>0.83824908728576653</c:v>
                </c:pt>
                <c:pt idx="86">
                  <c:v>0.92891687157805025</c:v>
                </c:pt>
                <c:pt idx="87">
                  <c:v>0.89792732651985718</c:v>
                </c:pt>
                <c:pt idx="88">
                  <c:v>0.79515861223414286</c:v>
                </c:pt>
                <c:pt idx="89">
                  <c:v>0.76007235825596631</c:v>
                </c:pt>
                <c:pt idx="90">
                  <c:v>0.98835435825596629</c:v>
                </c:pt>
                <c:pt idx="91">
                  <c:v>0.97285621539882339</c:v>
                </c:pt>
                <c:pt idx="92">
                  <c:v>1.020832751807091</c:v>
                </c:pt>
                <c:pt idx="93">
                  <c:v>1.075988880523683</c:v>
                </c:pt>
                <c:pt idx="94">
                  <c:v>1.1041181662379691</c:v>
                </c:pt>
                <c:pt idx="95">
                  <c:v>1.180989023380826</c:v>
                </c:pt>
                <c:pt idx="96">
                  <c:v>1.18573073766654</c:v>
                </c:pt>
                <c:pt idx="97">
                  <c:v>1.2486751662379689</c:v>
                </c:pt>
                <c:pt idx="98">
                  <c:v>1.2203457376665401</c:v>
                </c:pt>
                <c:pt idx="99">
                  <c:v>1.2062664519522539</c:v>
                </c:pt>
                <c:pt idx="100">
                  <c:v>1.154909038177472</c:v>
                </c:pt>
                <c:pt idx="101">
                  <c:v>1.3593214667489011</c:v>
                </c:pt>
                <c:pt idx="102">
                  <c:v>1.437679323891758</c:v>
                </c:pt>
                <c:pt idx="103">
                  <c:v>1.5557933238917581</c:v>
                </c:pt>
                <c:pt idx="104">
                  <c:v>1.6050018953203291</c:v>
                </c:pt>
                <c:pt idx="105">
                  <c:v>1.522539541824915</c:v>
                </c:pt>
                <c:pt idx="106">
                  <c:v>1.483232827539201</c:v>
                </c:pt>
                <c:pt idx="107">
                  <c:v>1.849926398967773</c:v>
                </c:pt>
                <c:pt idx="108">
                  <c:v>1.795155684682058</c:v>
                </c:pt>
                <c:pt idx="109">
                  <c:v>1.98755825611063</c:v>
                </c:pt>
                <c:pt idx="110">
                  <c:v>2.085521113253487</c:v>
                </c:pt>
                <c:pt idx="111">
                  <c:v>2.136176113253486</c:v>
                </c:pt>
                <c:pt idx="112">
                  <c:v>2.0296502561106289</c:v>
                </c:pt>
                <c:pt idx="113">
                  <c:v>2.0062406846820582</c:v>
                </c:pt>
                <c:pt idx="114">
                  <c:v>2.0646973989677719</c:v>
                </c:pt>
                <c:pt idx="115">
                  <c:v>2.007824256110629</c:v>
                </c:pt>
                <c:pt idx="116">
                  <c:v>2.2281438275392</c:v>
                </c:pt>
                <c:pt idx="117">
                  <c:v>2.2066339703963429</c:v>
                </c:pt>
                <c:pt idx="118">
                  <c:v>2.1446792561106292</c:v>
                </c:pt>
                <c:pt idx="119">
                  <c:v>2.22151991088259</c:v>
                </c:pt>
                <c:pt idx="120">
                  <c:v>2.073797912430857</c:v>
                </c:pt>
                <c:pt idx="121">
                  <c:v>2.0663901981451431</c:v>
                </c:pt>
                <c:pt idx="122">
                  <c:v>1.9076747695737151</c:v>
                </c:pt>
                <c:pt idx="123">
                  <c:v>1.9930806267165719</c:v>
                </c:pt>
                <c:pt idx="124">
                  <c:v>1.924442769573715</c:v>
                </c:pt>
                <c:pt idx="125">
                  <c:v>1.986226483859429</c:v>
                </c:pt>
                <c:pt idx="126">
                  <c:v>2.123058769573714</c:v>
                </c:pt>
                <c:pt idx="127">
                  <c:v>2.1776884838594288</c:v>
                </c:pt>
                <c:pt idx="128">
                  <c:v>2.3766357695737139</c:v>
                </c:pt>
                <c:pt idx="129">
                  <c:v>2.2795907695737139</c:v>
                </c:pt>
                <c:pt idx="130">
                  <c:v>2.2823548849990858</c:v>
                </c:pt>
                <c:pt idx="131">
                  <c:v>2.1718768631333201</c:v>
                </c:pt>
                <c:pt idx="132">
                  <c:v>2.1707665774190339</c:v>
                </c:pt>
                <c:pt idx="133">
                  <c:v>2.2347184345618909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54-E84E-AE03-956DC45D9719}"/>
            </c:ext>
          </c:extLst>
        </c:ser>
        <c:ser>
          <c:idx val="7"/>
          <c:order val="7"/>
          <c:tx>
            <c:strRef>
              <c:f>預測累積畫圖!$B$19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預測累積畫圖!$C$19:$EF$19</c:f>
              <c:numCache>
                <c:formatCode>General</c:formatCode>
                <c:ptCount val="134"/>
                <c:pt idx="0">
                  <c:v>0.1966</c:v>
                </c:pt>
                <c:pt idx="1">
                  <c:v>0.17642920054580419</c:v>
                </c:pt>
                <c:pt idx="2">
                  <c:v>0.1215311067783921</c:v>
                </c:pt>
                <c:pt idx="3">
                  <c:v>8.2884424892147993E-2</c:v>
                </c:pt>
                <c:pt idx="4">
                  <c:v>-1.4627665669452131E-2</c:v>
                </c:pt>
                <c:pt idx="5">
                  <c:v>0.1342664563663952</c:v>
                </c:pt>
                <c:pt idx="6">
                  <c:v>0.26892078925786173</c:v>
                </c:pt>
                <c:pt idx="7">
                  <c:v>0.30435037377805269</c:v>
                </c:pt>
                <c:pt idx="8">
                  <c:v>-0.1139874771915815</c:v>
                </c:pt>
                <c:pt idx="9">
                  <c:v>-7.0938519556415502E-2</c:v>
                </c:pt>
                <c:pt idx="10">
                  <c:v>1.527181946970221E-2</c:v>
                </c:pt>
                <c:pt idx="11">
                  <c:v>0.1106197051596831</c:v>
                </c:pt>
                <c:pt idx="12">
                  <c:v>0.20284108817914029</c:v>
                </c:pt>
                <c:pt idx="13">
                  <c:v>0.1103069019924432</c:v>
                </c:pt>
                <c:pt idx="14">
                  <c:v>-8.6856186272076683E-2</c:v>
                </c:pt>
                <c:pt idx="15">
                  <c:v>-0.17715527690293301</c:v>
                </c:pt>
                <c:pt idx="16">
                  <c:v>-0.36131539360054099</c:v>
                </c:pt>
                <c:pt idx="17">
                  <c:v>-0.38846967158684009</c:v>
                </c:pt>
                <c:pt idx="18">
                  <c:v>-0.52416801021876336</c:v>
                </c:pt>
                <c:pt idx="19">
                  <c:v>-0.48754932243331212</c:v>
                </c:pt>
                <c:pt idx="20">
                  <c:v>-0.34092833171580189</c:v>
                </c:pt>
                <c:pt idx="21">
                  <c:v>-0.22428928645170851</c:v>
                </c:pt>
                <c:pt idx="22">
                  <c:v>-0.19866064892355201</c:v>
                </c:pt>
                <c:pt idx="23">
                  <c:v>-0.1070415383475285</c:v>
                </c:pt>
                <c:pt idx="24">
                  <c:v>-0.14861172288568419</c:v>
                </c:pt>
                <c:pt idx="25">
                  <c:v>-4.63581170017415E-2</c:v>
                </c:pt>
                <c:pt idx="26">
                  <c:v>-1.7905282360050179E-2</c:v>
                </c:pt>
                <c:pt idx="27">
                  <c:v>1.718364622790015E-2</c:v>
                </c:pt>
                <c:pt idx="28">
                  <c:v>-0.15223241476988961</c:v>
                </c:pt>
                <c:pt idx="29">
                  <c:v>-0.1134467479609899</c:v>
                </c:pt>
                <c:pt idx="30">
                  <c:v>-9.1310528888442072E-2</c:v>
                </c:pt>
                <c:pt idx="31">
                  <c:v>-0.1074018622217754</c:v>
                </c:pt>
                <c:pt idx="32">
                  <c:v>-1.5852528888442071E-2</c:v>
                </c:pt>
                <c:pt idx="33">
                  <c:v>-3.6861955551087452E-3</c:v>
                </c:pt>
                <c:pt idx="34">
                  <c:v>3.8658469508439648E-3</c:v>
                </c:pt>
                <c:pt idx="35">
                  <c:v>7.4136792621649517E-2</c:v>
                </c:pt>
                <c:pt idx="36">
                  <c:v>0.1172428044330545</c:v>
                </c:pt>
                <c:pt idx="37">
                  <c:v>0.20081109879873649</c:v>
                </c:pt>
                <c:pt idx="38">
                  <c:v>0.22670400184415099</c:v>
                </c:pt>
                <c:pt idx="39">
                  <c:v>0.13912988157129891</c:v>
                </c:pt>
                <c:pt idx="40">
                  <c:v>5.0877124510648228E-2</c:v>
                </c:pt>
                <c:pt idx="41">
                  <c:v>0.20439468682350559</c:v>
                </c:pt>
                <c:pt idx="42">
                  <c:v>0.20070768682350559</c:v>
                </c:pt>
                <c:pt idx="43">
                  <c:v>0.25000266858920689</c:v>
                </c:pt>
                <c:pt idx="44">
                  <c:v>0.32643138430286112</c:v>
                </c:pt>
                <c:pt idx="45">
                  <c:v>0.27639836360588321</c:v>
                </c:pt>
                <c:pt idx="46">
                  <c:v>0.2987545317600197</c:v>
                </c:pt>
                <c:pt idx="47">
                  <c:v>0.37896094607043262</c:v>
                </c:pt>
                <c:pt idx="48">
                  <c:v>0.40848991646381239</c:v>
                </c:pt>
                <c:pt idx="49">
                  <c:v>0.22161029829563811</c:v>
                </c:pt>
                <c:pt idx="50">
                  <c:v>0.18724641434156511</c:v>
                </c:pt>
                <c:pt idx="51">
                  <c:v>0.34699261341399668</c:v>
                </c:pt>
                <c:pt idx="52">
                  <c:v>0.41104809976018242</c:v>
                </c:pt>
                <c:pt idx="53">
                  <c:v>0.40781370713011428</c:v>
                </c:pt>
                <c:pt idx="54">
                  <c:v>0.45894558109378081</c:v>
                </c:pt>
                <c:pt idx="55">
                  <c:v>0.47251655524291941</c:v>
                </c:pt>
                <c:pt idx="56">
                  <c:v>0.45617289691007717</c:v>
                </c:pt>
                <c:pt idx="57">
                  <c:v>0.4581910986115082</c:v>
                </c:pt>
                <c:pt idx="58">
                  <c:v>0.58598972743072686</c:v>
                </c:pt>
                <c:pt idx="59">
                  <c:v>0.60769702896930611</c:v>
                </c:pt>
                <c:pt idx="60">
                  <c:v>0.55594750287731376</c:v>
                </c:pt>
                <c:pt idx="61">
                  <c:v>0.63591216102381687</c:v>
                </c:pt>
                <c:pt idx="62">
                  <c:v>0.75016276128251258</c:v>
                </c:pt>
                <c:pt idx="63">
                  <c:v>0.66874759461584588</c:v>
                </c:pt>
                <c:pt idx="64">
                  <c:v>0.69447655588096124</c:v>
                </c:pt>
                <c:pt idx="65">
                  <c:v>0.7572953634150934</c:v>
                </c:pt>
                <c:pt idx="66">
                  <c:v>0.76722940786941651</c:v>
                </c:pt>
                <c:pt idx="67">
                  <c:v>0.7739046538929365</c:v>
                </c:pt>
                <c:pt idx="68">
                  <c:v>0.74964831514845442</c:v>
                </c:pt>
                <c:pt idx="69">
                  <c:v>0.89128099500202784</c:v>
                </c:pt>
                <c:pt idx="70">
                  <c:v>0.81534474376778976</c:v>
                </c:pt>
                <c:pt idx="71">
                  <c:v>0.90899998492113609</c:v>
                </c:pt>
                <c:pt idx="72">
                  <c:v>0.80003302353749106</c:v>
                </c:pt>
                <c:pt idx="73">
                  <c:v>0.83412080880934936</c:v>
                </c:pt>
                <c:pt idx="74">
                  <c:v>0.72647107225370111</c:v>
                </c:pt>
                <c:pt idx="75">
                  <c:v>0.79517319707575496</c:v>
                </c:pt>
                <c:pt idx="76">
                  <c:v>0.76584444185198042</c:v>
                </c:pt>
                <c:pt idx="77">
                  <c:v>0.71780327334373561</c:v>
                </c:pt>
                <c:pt idx="78">
                  <c:v>0.69308002057790818</c:v>
                </c:pt>
                <c:pt idx="79">
                  <c:v>0.90869921867162606</c:v>
                </c:pt>
                <c:pt idx="80">
                  <c:v>0.99717338533829269</c:v>
                </c:pt>
                <c:pt idx="81">
                  <c:v>0.88547471867162597</c:v>
                </c:pt>
                <c:pt idx="82">
                  <c:v>0.83484118865697243</c:v>
                </c:pt>
                <c:pt idx="83">
                  <c:v>0.98773105570689879</c:v>
                </c:pt>
                <c:pt idx="84">
                  <c:v>0.95066410954670355</c:v>
                </c:pt>
                <c:pt idx="85">
                  <c:v>0.88872360958066743</c:v>
                </c:pt>
                <c:pt idx="86">
                  <c:v>0.99269132739776567</c:v>
                </c:pt>
                <c:pt idx="87">
                  <c:v>0.94945104742297581</c:v>
                </c:pt>
                <c:pt idx="88">
                  <c:v>0.83921588075630915</c:v>
                </c:pt>
                <c:pt idx="89">
                  <c:v>0.76228322608900567</c:v>
                </c:pt>
                <c:pt idx="90">
                  <c:v>1.013518892755672</c:v>
                </c:pt>
                <c:pt idx="91">
                  <c:v>0.98448189275567244</c:v>
                </c:pt>
                <c:pt idx="92">
                  <c:v>0.98175198460111046</c:v>
                </c:pt>
                <c:pt idx="93">
                  <c:v>1.031446174153513</c:v>
                </c:pt>
                <c:pt idx="94">
                  <c:v>1.0752218408201799</c:v>
                </c:pt>
                <c:pt idx="95">
                  <c:v>1.1016438408201801</c:v>
                </c:pt>
                <c:pt idx="96">
                  <c:v>1.1088011741535131</c:v>
                </c:pt>
                <c:pt idx="97">
                  <c:v>1.184944674153513</c:v>
                </c:pt>
                <c:pt idx="98">
                  <c:v>1.152751174153513</c:v>
                </c:pt>
                <c:pt idx="99">
                  <c:v>1.153878674153513</c:v>
                </c:pt>
                <c:pt idx="100">
                  <c:v>1.0829568045891429</c:v>
                </c:pt>
                <c:pt idx="101">
                  <c:v>1.2409713045891431</c:v>
                </c:pt>
                <c:pt idx="102">
                  <c:v>1.316153804589143</c:v>
                </c:pt>
                <c:pt idx="103">
                  <c:v>1.464114804589143</c:v>
                </c:pt>
                <c:pt idx="104">
                  <c:v>1.49439147125581</c:v>
                </c:pt>
                <c:pt idx="105">
                  <c:v>1.388134135301009</c:v>
                </c:pt>
                <c:pt idx="106">
                  <c:v>1.3821286353010089</c:v>
                </c:pt>
                <c:pt idx="107">
                  <c:v>1.587631468634342</c:v>
                </c:pt>
                <c:pt idx="108">
                  <c:v>1.521256968634342</c:v>
                </c:pt>
                <c:pt idx="109">
                  <c:v>1.745848301967676</c:v>
                </c:pt>
                <c:pt idx="110">
                  <c:v>1.8543099686343421</c:v>
                </c:pt>
                <c:pt idx="111">
                  <c:v>1.9348103019676759</c:v>
                </c:pt>
                <c:pt idx="112">
                  <c:v>1.8133696353010089</c:v>
                </c:pt>
                <c:pt idx="113">
                  <c:v>1.7900568019676759</c:v>
                </c:pt>
                <c:pt idx="114">
                  <c:v>1.8473566353010089</c:v>
                </c:pt>
                <c:pt idx="115">
                  <c:v>1.7830646353010089</c:v>
                </c:pt>
                <c:pt idx="116">
                  <c:v>2.032325801967676</c:v>
                </c:pt>
                <c:pt idx="117">
                  <c:v>2.0283243019676762</c:v>
                </c:pt>
                <c:pt idx="118">
                  <c:v>1.977701801967676</c:v>
                </c:pt>
                <c:pt idx="119">
                  <c:v>2.0536641552927239</c:v>
                </c:pt>
                <c:pt idx="120">
                  <c:v>1.8756686083387539</c:v>
                </c:pt>
                <c:pt idx="121">
                  <c:v>1.872592108338754</c:v>
                </c:pt>
                <c:pt idx="122">
                  <c:v>1.7220096083387539</c:v>
                </c:pt>
                <c:pt idx="123">
                  <c:v>1.76013677500542</c:v>
                </c:pt>
                <c:pt idx="124">
                  <c:v>1.65883977500542</c:v>
                </c:pt>
                <c:pt idx="125">
                  <c:v>1.76710427500542</c:v>
                </c:pt>
                <c:pt idx="126">
                  <c:v>1.90635227500542</c:v>
                </c:pt>
                <c:pt idx="127">
                  <c:v>1.98488977500542</c:v>
                </c:pt>
                <c:pt idx="128">
                  <c:v>2.217937441672087</c:v>
                </c:pt>
                <c:pt idx="129">
                  <c:v>2.111688941672087</c:v>
                </c:pt>
                <c:pt idx="130">
                  <c:v>2.0994988984483851</c:v>
                </c:pt>
                <c:pt idx="131">
                  <c:v>1.9485635814582281</c:v>
                </c:pt>
                <c:pt idx="132">
                  <c:v>1.955869914791561</c:v>
                </c:pt>
                <c:pt idx="133">
                  <c:v>2.029889914791561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54-E84E-AE03-956DC45D9719}"/>
            </c:ext>
          </c:extLst>
        </c:ser>
        <c:ser>
          <c:idx val="8"/>
          <c:order val="8"/>
          <c:tx>
            <c:strRef>
              <c:f>預測累積畫圖!$B$20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預測累積畫圖!$C$20:$EF$20</c:f>
              <c:numCache>
                <c:formatCode>General</c:formatCode>
                <c:ptCount val="134"/>
                <c:pt idx="0">
                  <c:v>0.20155100000000001</c:v>
                </c:pt>
                <c:pt idx="1">
                  <c:v>0.20190271826374559</c:v>
                </c:pt>
                <c:pt idx="2">
                  <c:v>0.21740270640807949</c:v>
                </c:pt>
                <c:pt idx="3">
                  <c:v>0.12618428423603359</c:v>
                </c:pt>
                <c:pt idx="4">
                  <c:v>2.5818372317169661E-2</c:v>
                </c:pt>
                <c:pt idx="5">
                  <c:v>0.19019037044583961</c:v>
                </c:pt>
                <c:pt idx="6">
                  <c:v>0.34833993304694122</c:v>
                </c:pt>
                <c:pt idx="7">
                  <c:v>0.38281119177379752</c:v>
                </c:pt>
                <c:pt idx="8">
                  <c:v>0.29270253765112347</c:v>
                </c:pt>
                <c:pt idx="9">
                  <c:v>0.38841117315565921</c:v>
                </c:pt>
                <c:pt idx="10">
                  <c:v>0.48854458751974522</c:v>
                </c:pt>
                <c:pt idx="11">
                  <c:v>0.59046951656538516</c:v>
                </c:pt>
                <c:pt idx="12">
                  <c:v>0.68957100070985888</c:v>
                </c:pt>
                <c:pt idx="13">
                  <c:v>0.59840107304133361</c:v>
                </c:pt>
                <c:pt idx="14">
                  <c:v>0.38167533403835507</c:v>
                </c:pt>
                <c:pt idx="15">
                  <c:v>0.27242227840088629</c:v>
                </c:pt>
                <c:pt idx="16">
                  <c:v>0.11723966007314369</c:v>
                </c:pt>
                <c:pt idx="17">
                  <c:v>0.13290257059240301</c:v>
                </c:pt>
                <c:pt idx="18">
                  <c:v>-1.574710952537187E-2</c:v>
                </c:pt>
                <c:pt idx="19">
                  <c:v>-3.1030064081829269E-3</c:v>
                </c:pt>
                <c:pt idx="20">
                  <c:v>0.16998236976939801</c:v>
                </c:pt>
                <c:pt idx="21">
                  <c:v>0.31867957102653149</c:v>
                </c:pt>
                <c:pt idx="22">
                  <c:v>0.36074706056512879</c:v>
                </c:pt>
                <c:pt idx="23">
                  <c:v>0.4663640210487881</c:v>
                </c:pt>
                <c:pt idx="24">
                  <c:v>0.444769467661491</c:v>
                </c:pt>
                <c:pt idx="25">
                  <c:v>0.52952930838766421</c:v>
                </c:pt>
                <c:pt idx="26">
                  <c:v>0.58597265402818377</c:v>
                </c:pt>
                <c:pt idx="27">
                  <c:v>0.62042655688001347</c:v>
                </c:pt>
                <c:pt idx="28">
                  <c:v>0.42113369254091559</c:v>
                </c:pt>
                <c:pt idx="29">
                  <c:v>0.46017837092849562</c:v>
                </c:pt>
                <c:pt idx="30">
                  <c:v>0.48783758946838779</c:v>
                </c:pt>
                <c:pt idx="31">
                  <c:v>0.46002858946838793</c:v>
                </c:pt>
                <c:pt idx="32">
                  <c:v>0.5763657894683879</c:v>
                </c:pt>
                <c:pt idx="33">
                  <c:v>0.59360638946838784</c:v>
                </c:pt>
                <c:pt idx="34">
                  <c:v>0.58001127397238494</c:v>
                </c:pt>
                <c:pt idx="35">
                  <c:v>0.65290472600936189</c:v>
                </c:pt>
                <c:pt idx="36">
                  <c:v>0.68600070675816449</c:v>
                </c:pt>
                <c:pt idx="37">
                  <c:v>0.7614709002771628</c:v>
                </c:pt>
                <c:pt idx="38">
                  <c:v>0.80675598224185119</c:v>
                </c:pt>
                <c:pt idx="39">
                  <c:v>0.6750255209864634</c:v>
                </c:pt>
                <c:pt idx="40">
                  <c:v>0.70247800631941448</c:v>
                </c:pt>
                <c:pt idx="41">
                  <c:v>0.87252701099833874</c:v>
                </c:pt>
                <c:pt idx="42">
                  <c:v>0.85538421099833872</c:v>
                </c:pt>
                <c:pt idx="43">
                  <c:v>0.86124298475854455</c:v>
                </c:pt>
                <c:pt idx="44">
                  <c:v>0.93693537165367036</c:v>
                </c:pt>
                <c:pt idx="45">
                  <c:v>0.8823096578711922</c:v>
                </c:pt>
                <c:pt idx="46">
                  <c:v>0.88917492605034321</c:v>
                </c:pt>
                <c:pt idx="47">
                  <c:v>0.99990747404904479</c:v>
                </c:pt>
                <c:pt idx="48">
                  <c:v>1.0385821724919539</c:v>
                </c:pt>
                <c:pt idx="49">
                  <c:v>0.82477974131486542</c:v>
                </c:pt>
                <c:pt idx="50">
                  <c:v>0.78798087645432491</c:v>
                </c:pt>
                <c:pt idx="51">
                  <c:v>0.95563629983089426</c:v>
                </c:pt>
                <c:pt idx="52">
                  <c:v>1.026241867508634</c:v>
                </c:pt>
                <c:pt idx="53">
                  <c:v>0.9728120542870371</c:v>
                </c:pt>
                <c:pt idx="54">
                  <c:v>0.96686525714777671</c:v>
                </c:pt>
                <c:pt idx="55">
                  <c:v>0.97255383947910545</c:v>
                </c:pt>
                <c:pt idx="56">
                  <c:v>0.96562769677041205</c:v>
                </c:pt>
                <c:pt idx="57">
                  <c:v>0.89402124965630103</c:v>
                </c:pt>
                <c:pt idx="58">
                  <c:v>1.025766516741476</c:v>
                </c:pt>
                <c:pt idx="59">
                  <c:v>1.0473960285746631</c:v>
                </c:pt>
                <c:pt idx="60">
                  <c:v>0.98816286073183535</c:v>
                </c:pt>
                <c:pt idx="61">
                  <c:v>1.07445509190829</c:v>
                </c:pt>
                <c:pt idx="62">
                  <c:v>1.211372753236728</c:v>
                </c:pt>
                <c:pt idx="63">
                  <c:v>1.230008753236729</c:v>
                </c:pt>
                <c:pt idx="64">
                  <c:v>1.1915470357207489</c:v>
                </c:pt>
                <c:pt idx="65">
                  <c:v>1.251954556483704</c:v>
                </c:pt>
                <c:pt idx="66">
                  <c:v>1.267406263444548</c:v>
                </c:pt>
                <c:pt idx="67">
                  <c:v>1.2794798951750199</c:v>
                </c:pt>
                <c:pt idx="68">
                  <c:v>1.284887401366211</c:v>
                </c:pt>
                <c:pt idx="69">
                  <c:v>1.432690434544859</c:v>
                </c:pt>
                <c:pt idx="70">
                  <c:v>1.3339354851771521</c:v>
                </c:pt>
                <c:pt idx="71">
                  <c:v>1.449853816740224</c:v>
                </c:pt>
                <c:pt idx="72">
                  <c:v>1.314350564927748</c:v>
                </c:pt>
                <c:pt idx="73">
                  <c:v>1.345044201610992</c:v>
                </c:pt>
                <c:pt idx="74">
                  <c:v>1.2398102352416891</c:v>
                </c:pt>
                <c:pt idx="75">
                  <c:v>1.3300816395019719</c:v>
                </c:pt>
                <c:pt idx="76">
                  <c:v>1.2899789114502189</c:v>
                </c:pt>
                <c:pt idx="77">
                  <c:v>1.251726961439291</c:v>
                </c:pt>
                <c:pt idx="78">
                  <c:v>1.2256839276562259</c:v>
                </c:pt>
                <c:pt idx="79">
                  <c:v>1.406711425146824</c:v>
                </c:pt>
                <c:pt idx="80">
                  <c:v>1.492488825146824</c:v>
                </c:pt>
                <c:pt idx="81">
                  <c:v>1.361280425146824</c:v>
                </c:pt>
                <c:pt idx="82">
                  <c:v>1.262227536616735</c:v>
                </c:pt>
                <c:pt idx="83">
                  <c:v>1.3340915622138729</c:v>
                </c:pt>
                <c:pt idx="84">
                  <c:v>1.303696888444791</c:v>
                </c:pt>
                <c:pt idx="85">
                  <c:v>1.18025656855744</c:v>
                </c:pt>
                <c:pt idx="86">
                  <c:v>1.271234965307547</c:v>
                </c:pt>
                <c:pt idx="87">
                  <c:v>1.179050031118418</c:v>
                </c:pt>
                <c:pt idx="88">
                  <c:v>1.082275831118418</c:v>
                </c:pt>
                <c:pt idx="89">
                  <c:v>1.1044352424889019</c:v>
                </c:pt>
                <c:pt idx="90">
                  <c:v>1.4010086424889019</c:v>
                </c:pt>
                <c:pt idx="91">
                  <c:v>1.4084328424889021</c:v>
                </c:pt>
                <c:pt idx="92">
                  <c:v>1.414544200417964</c:v>
                </c:pt>
                <c:pt idx="93">
                  <c:v>1.4876604449238151</c:v>
                </c:pt>
                <c:pt idx="94">
                  <c:v>1.509954244923815</c:v>
                </c:pt>
                <c:pt idx="95">
                  <c:v>1.5383696449238149</c:v>
                </c:pt>
                <c:pt idx="96">
                  <c:v>1.5485924449238151</c:v>
                </c:pt>
                <c:pt idx="97">
                  <c:v>1.6455966449238151</c:v>
                </c:pt>
                <c:pt idx="98">
                  <c:v>1.6197784449238151</c:v>
                </c:pt>
                <c:pt idx="99">
                  <c:v>1.6291654449238151</c:v>
                </c:pt>
                <c:pt idx="100">
                  <c:v>1.616685712255518</c:v>
                </c:pt>
                <c:pt idx="101">
                  <c:v>1.7449891122555179</c:v>
                </c:pt>
                <c:pt idx="102">
                  <c:v>1.822070712255518</c:v>
                </c:pt>
                <c:pt idx="103">
                  <c:v>1.899037712255518</c:v>
                </c:pt>
                <c:pt idx="104">
                  <c:v>1.927939712255518</c:v>
                </c:pt>
                <c:pt idx="105">
                  <c:v>1.779830897916695</c:v>
                </c:pt>
                <c:pt idx="106">
                  <c:v>1.749364497916696</c:v>
                </c:pt>
                <c:pt idx="107">
                  <c:v>1.9949398979166959</c:v>
                </c:pt>
                <c:pt idx="108">
                  <c:v>1.942594097916696</c:v>
                </c:pt>
                <c:pt idx="109">
                  <c:v>2.2208936979166949</c:v>
                </c:pt>
                <c:pt idx="110">
                  <c:v>2.3584896979166952</c:v>
                </c:pt>
                <c:pt idx="111">
                  <c:v>2.439767097916695</c:v>
                </c:pt>
                <c:pt idx="112">
                  <c:v>2.3545824979166952</c:v>
                </c:pt>
                <c:pt idx="113">
                  <c:v>2.3647690979166951</c:v>
                </c:pt>
                <c:pt idx="114">
                  <c:v>2.4341048979166948</c:v>
                </c:pt>
                <c:pt idx="115">
                  <c:v>2.3696464979166949</c:v>
                </c:pt>
                <c:pt idx="116">
                  <c:v>2.6276474979166951</c:v>
                </c:pt>
                <c:pt idx="117">
                  <c:v>2.6059776979166949</c:v>
                </c:pt>
                <c:pt idx="118">
                  <c:v>2.5674386979166952</c:v>
                </c:pt>
                <c:pt idx="119">
                  <c:v>2.6459513579449858</c:v>
                </c:pt>
                <c:pt idx="120">
                  <c:v>2.4398702603666309</c:v>
                </c:pt>
                <c:pt idx="121">
                  <c:v>2.4446990603666312</c:v>
                </c:pt>
                <c:pt idx="122">
                  <c:v>2.268323260366631</c:v>
                </c:pt>
                <c:pt idx="123">
                  <c:v>2.2381330603666312</c:v>
                </c:pt>
                <c:pt idx="124">
                  <c:v>2.1345864603666311</c:v>
                </c:pt>
                <c:pt idx="125">
                  <c:v>2.2805706603666311</c:v>
                </c:pt>
                <c:pt idx="126">
                  <c:v>2.4021612603666309</c:v>
                </c:pt>
                <c:pt idx="127">
                  <c:v>2.4923606603666308</c:v>
                </c:pt>
                <c:pt idx="128">
                  <c:v>2.7860518603666309</c:v>
                </c:pt>
                <c:pt idx="129">
                  <c:v>2.6797374603666309</c:v>
                </c:pt>
                <c:pt idx="130">
                  <c:v>2.7137870417805732</c:v>
                </c:pt>
                <c:pt idx="131">
                  <c:v>2.536868180713562</c:v>
                </c:pt>
                <c:pt idx="132">
                  <c:v>2.5386097807135619</c:v>
                </c:pt>
                <c:pt idx="133">
                  <c:v>2.6244097807135618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54-E84E-AE03-956DC45D9719}"/>
            </c:ext>
          </c:extLst>
        </c:ser>
        <c:ser>
          <c:idx val="9"/>
          <c:order val="9"/>
          <c:tx>
            <c:strRef>
              <c:f>預測累積畫圖!$B$21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預測累積畫圖!$C$21:$EF$21</c:f>
              <c:numCache>
                <c:formatCode>General</c:formatCode>
                <c:ptCount val="134"/>
                <c:pt idx="0">
                  <c:v>0.21463099999999999</c:v>
                </c:pt>
                <c:pt idx="1">
                  <c:v>0.21426329060484081</c:v>
                </c:pt>
                <c:pt idx="2">
                  <c:v>0.21398393833404891</c:v>
                </c:pt>
                <c:pt idx="3">
                  <c:v>0.16288645448764069</c:v>
                </c:pt>
                <c:pt idx="4">
                  <c:v>0.1555903164597893</c:v>
                </c:pt>
                <c:pt idx="5">
                  <c:v>0.35425837743955513</c:v>
                </c:pt>
                <c:pt idx="6">
                  <c:v>0.50151398556702809</c:v>
                </c:pt>
                <c:pt idx="7">
                  <c:v>0.56194931125867043</c:v>
                </c:pt>
                <c:pt idx="8">
                  <c:v>0.47297629390464829</c:v>
                </c:pt>
                <c:pt idx="9">
                  <c:v>0.58265590135887824</c:v>
                </c:pt>
                <c:pt idx="10">
                  <c:v>0.65831655128563882</c:v>
                </c:pt>
                <c:pt idx="11">
                  <c:v>0.75790396340858035</c:v>
                </c:pt>
                <c:pt idx="12">
                  <c:v>0.88768642193893388</c:v>
                </c:pt>
                <c:pt idx="13">
                  <c:v>0.74291382104924897</c:v>
                </c:pt>
                <c:pt idx="14">
                  <c:v>0.4856037469549967</c:v>
                </c:pt>
                <c:pt idx="15">
                  <c:v>0.39002843584836649</c:v>
                </c:pt>
                <c:pt idx="16">
                  <c:v>0.26143815039840951</c:v>
                </c:pt>
                <c:pt idx="17">
                  <c:v>0.24739778605820459</c:v>
                </c:pt>
                <c:pt idx="18">
                  <c:v>0.16111936844644659</c:v>
                </c:pt>
                <c:pt idx="19">
                  <c:v>0.21467698781247779</c:v>
                </c:pt>
                <c:pt idx="20">
                  <c:v>0.3724654674279404</c:v>
                </c:pt>
                <c:pt idx="21">
                  <c:v>0.56980264601158703</c:v>
                </c:pt>
                <c:pt idx="22">
                  <c:v>0.59063572890402183</c:v>
                </c:pt>
                <c:pt idx="23">
                  <c:v>0.70483971612674634</c:v>
                </c:pt>
                <c:pt idx="24">
                  <c:v>0.72433075966684024</c:v>
                </c:pt>
                <c:pt idx="25">
                  <c:v>0.85417034206391007</c:v>
                </c:pt>
                <c:pt idx="26">
                  <c:v>0.92847147185593248</c:v>
                </c:pt>
                <c:pt idx="27">
                  <c:v>0.9751688964086781</c:v>
                </c:pt>
                <c:pt idx="28">
                  <c:v>0.73471278591549138</c:v>
                </c:pt>
                <c:pt idx="29">
                  <c:v>0.78783839580205439</c:v>
                </c:pt>
                <c:pt idx="30">
                  <c:v>0.83214117359184847</c:v>
                </c:pt>
                <c:pt idx="31">
                  <c:v>0.78873192359184852</c:v>
                </c:pt>
                <c:pt idx="32">
                  <c:v>0.89085617359184854</c:v>
                </c:pt>
                <c:pt idx="33">
                  <c:v>0.89603967359184855</c:v>
                </c:pt>
                <c:pt idx="34">
                  <c:v>0.86023650597373846</c:v>
                </c:pt>
                <c:pt idx="35">
                  <c:v>0.92561632870684907</c:v>
                </c:pt>
                <c:pt idx="36">
                  <c:v>0.99415213615447962</c:v>
                </c:pt>
                <c:pt idx="37">
                  <c:v>1.1061081922175739</c:v>
                </c:pt>
                <c:pt idx="38">
                  <c:v>1.153834587861301</c:v>
                </c:pt>
                <c:pt idx="39">
                  <c:v>1.0812994442912811</c:v>
                </c:pt>
                <c:pt idx="40">
                  <c:v>1.1581649513018291</c:v>
                </c:pt>
                <c:pt idx="41">
                  <c:v>1.3633472295323099</c:v>
                </c:pt>
                <c:pt idx="42">
                  <c:v>1.3803952295323101</c:v>
                </c:pt>
                <c:pt idx="43">
                  <c:v>1.3779023182551551</c:v>
                </c:pt>
                <c:pt idx="44">
                  <c:v>1.425711949764112</c:v>
                </c:pt>
                <c:pt idx="45">
                  <c:v>1.3701911697019791</c:v>
                </c:pt>
                <c:pt idx="46">
                  <c:v>1.3799821996560759</c:v>
                </c:pt>
                <c:pt idx="47">
                  <c:v>1.523129887125833</c:v>
                </c:pt>
                <c:pt idx="48">
                  <c:v>1.5701511781038711</c:v>
                </c:pt>
                <c:pt idx="49">
                  <c:v>1.3152399082067341</c:v>
                </c:pt>
                <c:pt idx="50">
                  <c:v>1.244207726558648</c:v>
                </c:pt>
                <c:pt idx="51">
                  <c:v>1.469553861596987</c:v>
                </c:pt>
                <c:pt idx="52">
                  <c:v>1.50787500932218</c:v>
                </c:pt>
                <c:pt idx="53">
                  <c:v>1.4861241459515531</c:v>
                </c:pt>
                <c:pt idx="54">
                  <c:v>1.4924746793489541</c:v>
                </c:pt>
                <c:pt idx="55">
                  <c:v>1.4960517795293891</c:v>
                </c:pt>
                <c:pt idx="56">
                  <c:v>1.532686968746201</c:v>
                </c:pt>
                <c:pt idx="57">
                  <c:v>1.4563656056074461</c:v>
                </c:pt>
                <c:pt idx="58">
                  <c:v>1.6223352017858379</c:v>
                </c:pt>
                <c:pt idx="59">
                  <c:v>1.645914227967556</c:v>
                </c:pt>
                <c:pt idx="60">
                  <c:v>1.577464347588021</c:v>
                </c:pt>
                <c:pt idx="61">
                  <c:v>1.720185440234371</c:v>
                </c:pt>
                <c:pt idx="62">
                  <c:v>1.87530544415547</c:v>
                </c:pt>
                <c:pt idx="63">
                  <c:v>1.9010936941554699</c:v>
                </c:pt>
                <c:pt idx="64">
                  <c:v>1.8372364577417899</c:v>
                </c:pt>
                <c:pt idx="65">
                  <c:v>1.9417455871612039</c:v>
                </c:pt>
                <c:pt idx="66">
                  <c:v>1.9962878179957091</c:v>
                </c:pt>
                <c:pt idx="67">
                  <c:v>2.0086116801795741</c:v>
                </c:pt>
                <c:pt idx="68">
                  <c:v>2.0144718529347498</c:v>
                </c:pt>
                <c:pt idx="69">
                  <c:v>2.1467165469091931</c:v>
                </c:pt>
                <c:pt idx="70">
                  <c:v>2.0112200847106241</c:v>
                </c:pt>
                <c:pt idx="71">
                  <c:v>2.153363084896077</c:v>
                </c:pt>
                <c:pt idx="72">
                  <c:v>2.0066838879603459</c:v>
                </c:pt>
                <c:pt idx="73">
                  <c:v>2.0036930686759322</c:v>
                </c:pt>
                <c:pt idx="74">
                  <c:v>1.9533132174578149</c:v>
                </c:pt>
                <c:pt idx="75">
                  <c:v>2.0009761461785311</c:v>
                </c:pt>
                <c:pt idx="76">
                  <c:v>1.9404585428761321</c:v>
                </c:pt>
                <c:pt idx="77">
                  <c:v>1.8770371516778741</c:v>
                </c:pt>
                <c:pt idx="78">
                  <c:v>1.830343602208911</c:v>
                </c:pt>
                <c:pt idx="79">
                  <c:v>2.118399666571384</c:v>
                </c:pt>
                <c:pt idx="80">
                  <c:v>2.1799141665713839</c:v>
                </c:pt>
                <c:pt idx="81">
                  <c:v>2.0527461665713842</c:v>
                </c:pt>
                <c:pt idx="82">
                  <c:v>1.9089949774136981</c:v>
                </c:pt>
                <c:pt idx="83">
                  <c:v>1.98909529848991</c:v>
                </c:pt>
                <c:pt idx="84">
                  <c:v>1.9085956820989269</c:v>
                </c:pt>
                <c:pt idx="85">
                  <c:v>1.8229679250824249</c:v>
                </c:pt>
                <c:pt idx="86">
                  <c:v>1.9500184718125591</c:v>
                </c:pt>
                <c:pt idx="87">
                  <c:v>1.816128047189594</c:v>
                </c:pt>
                <c:pt idx="88">
                  <c:v>1.6998977971895941</c:v>
                </c:pt>
                <c:pt idx="89">
                  <c:v>1.7304366873933701</c:v>
                </c:pt>
                <c:pt idx="90">
                  <c:v>2.0659196873933698</c:v>
                </c:pt>
                <c:pt idx="91">
                  <c:v>1.96966693739337</c:v>
                </c:pt>
                <c:pt idx="92">
                  <c:v>1.972955029118461</c:v>
                </c:pt>
                <c:pt idx="93">
                  <c:v>2.0637793070981401</c:v>
                </c:pt>
                <c:pt idx="94">
                  <c:v>2.0946865570981399</c:v>
                </c:pt>
                <c:pt idx="95">
                  <c:v>2.1426813070981399</c:v>
                </c:pt>
                <c:pt idx="96">
                  <c:v>2.1446785570981399</c:v>
                </c:pt>
                <c:pt idx="97">
                  <c:v>2.2763063070981402</c:v>
                </c:pt>
                <c:pt idx="98">
                  <c:v>2.2455535570981402</c:v>
                </c:pt>
                <c:pt idx="99">
                  <c:v>2.2589523070981401</c:v>
                </c:pt>
                <c:pt idx="100">
                  <c:v>2.2504703906942249</c:v>
                </c:pt>
                <c:pt idx="101">
                  <c:v>2.4407671406942248</c:v>
                </c:pt>
                <c:pt idx="102">
                  <c:v>2.4824768906942252</c:v>
                </c:pt>
                <c:pt idx="103">
                  <c:v>2.5539363906942252</c:v>
                </c:pt>
                <c:pt idx="104">
                  <c:v>2.602246390694225</c:v>
                </c:pt>
                <c:pt idx="105">
                  <c:v>2.723569079562874</c:v>
                </c:pt>
                <c:pt idx="106">
                  <c:v>2.668850079562874</c:v>
                </c:pt>
                <c:pt idx="107">
                  <c:v>2.9700018295628738</c:v>
                </c:pt>
                <c:pt idx="108">
                  <c:v>2.9105910795628742</c:v>
                </c:pt>
                <c:pt idx="109">
                  <c:v>2.992028079562874</c:v>
                </c:pt>
                <c:pt idx="110">
                  <c:v>3.171868079562874</c:v>
                </c:pt>
                <c:pt idx="111">
                  <c:v>3.2451713295628739</c:v>
                </c:pt>
                <c:pt idx="112">
                  <c:v>3.1542780795628742</c:v>
                </c:pt>
                <c:pt idx="113">
                  <c:v>3.1864858295628742</c:v>
                </c:pt>
                <c:pt idx="114">
                  <c:v>3.211474079562874</c:v>
                </c:pt>
                <c:pt idx="115">
                  <c:v>3.1646023295628729</c:v>
                </c:pt>
                <c:pt idx="116">
                  <c:v>3.496228579562874</c:v>
                </c:pt>
                <c:pt idx="117">
                  <c:v>3.4591218295628741</c:v>
                </c:pt>
                <c:pt idx="118">
                  <c:v>3.430906579562873</c:v>
                </c:pt>
                <c:pt idx="119">
                  <c:v>3.4810774385999541</c:v>
                </c:pt>
                <c:pt idx="120">
                  <c:v>3.2802379647626592</c:v>
                </c:pt>
                <c:pt idx="121">
                  <c:v>3.2705284647626591</c:v>
                </c:pt>
                <c:pt idx="122">
                  <c:v>3.121913714762659</c:v>
                </c:pt>
                <c:pt idx="123">
                  <c:v>3.072252714762659</c:v>
                </c:pt>
                <c:pt idx="124">
                  <c:v>2.968716714762659</c:v>
                </c:pt>
                <c:pt idx="125">
                  <c:v>3.0832314647626591</c:v>
                </c:pt>
                <c:pt idx="126">
                  <c:v>3.249961464762658</c:v>
                </c:pt>
                <c:pt idx="127">
                  <c:v>3.3488914647626591</c:v>
                </c:pt>
                <c:pt idx="128">
                  <c:v>3.614949214762659</c:v>
                </c:pt>
                <c:pt idx="129">
                  <c:v>3.511651214762658</c:v>
                </c:pt>
                <c:pt idx="130">
                  <c:v>3.5256882698607011</c:v>
                </c:pt>
                <c:pt idx="131">
                  <c:v>3.4711894135125201</c:v>
                </c:pt>
                <c:pt idx="132">
                  <c:v>3.4498794135125199</c:v>
                </c:pt>
                <c:pt idx="133">
                  <c:v>3.47867391351252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54-E84E-AE03-956DC45D9719}"/>
            </c:ext>
          </c:extLst>
        </c:ser>
        <c:ser>
          <c:idx val="10"/>
          <c:order val="10"/>
          <c:tx>
            <c:strRef>
              <c:f>預測累積畫圖!$B$22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預測累積畫圖!$C$22:$EF$22</c:f>
              <c:numCache>
                <c:formatCode>General</c:formatCode>
                <c:ptCount val="134"/>
                <c:pt idx="0">
                  <c:v>0.20528299999999999</c:v>
                </c:pt>
                <c:pt idx="1">
                  <c:v>0.16060210309651349</c:v>
                </c:pt>
                <c:pt idx="2">
                  <c:v>0.11957457109589439</c:v>
                </c:pt>
                <c:pt idx="3">
                  <c:v>2.214057551690796E-2</c:v>
                </c:pt>
                <c:pt idx="4">
                  <c:v>-1.081424873289066E-2</c:v>
                </c:pt>
                <c:pt idx="5">
                  <c:v>0.16793521475473219</c:v>
                </c:pt>
                <c:pt idx="6">
                  <c:v>0.29142838409280197</c:v>
                </c:pt>
                <c:pt idx="7">
                  <c:v>0.34402697335814492</c:v>
                </c:pt>
                <c:pt idx="8">
                  <c:v>0.19074020270363559</c:v>
                </c:pt>
                <c:pt idx="9">
                  <c:v>0.3619235621295368</c:v>
                </c:pt>
                <c:pt idx="10">
                  <c:v>0.1367649570659551</c:v>
                </c:pt>
                <c:pt idx="11">
                  <c:v>0.27004537608920159</c:v>
                </c:pt>
                <c:pt idx="12">
                  <c:v>0.41352572209347399</c:v>
                </c:pt>
                <c:pt idx="13">
                  <c:v>0.34074283796465699</c:v>
                </c:pt>
                <c:pt idx="14">
                  <c:v>6.3965944131605168E-2</c:v>
                </c:pt>
                <c:pt idx="15">
                  <c:v>2.7337509860017119E-2</c:v>
                </c:pt>
                <c:pt idx="16">
                  <c:v>-0.14230904569792349</c:v>
                </c:pt>
                <c:pt idx="17">
                  <c:v>-0.1625476581747575</c:v>
                </c:pt>
                <c:pt idx="18">
                  <c:v>-0.2731376815772617</c:v>
                </c:pt>
                <c:pt idx="19">
                  <c:v>-0.23485090505740619</c:v>
                </c:pt>
                <c:pt idx="20">
                  <c:v>-2.73706380331088E-2</c:v>
                </c:pt>
                <c:pt idx="21">
                  <c:v>0.18752940969645621</c:v>
                </c:pt>
                <c:pt idx="22">
                  <c:v>0.20326161810997731</c:v>
                </c:pt>
                <c:pt idx="23">
                  <c:v>0.27880988725582329</c:v>
                </c:pt>
                <c:pt idx="24">
                  <c:v>0.28585790414267997</c:v>
                </c:pt>
                <c:pt idx="25">
                  <c:v>0.42029411685600548</c:v>
                </c:pt>
                <c:pt idx="26">
                  <c:v>0.49471449769643289</c:v>
                </c:pt>
                <c:pt idx="27">
                  <c:v>0.50718180036700544</c:v>
                </c:pt>
                <c:pt idx="28">
                  <c:v>0.27856068876063123</c:v>
                </c:pt>
                <c:pt idx="29">
                  <c:v>0.32574300491865538</c:v>
                </c:pt>
                <c:pt idx="30">
                  <c:v>0.37858454509438932</c:v>
                </c:pt>
                <c:pt idx="31">
                  <c:v>0.37907121176105602</c:v>
                </c:pt>
                <c:pt idx="32">
                  <c:v>0.49007587842772271</c:v>
                </c:pt>
                <c:pt idx="33">
                  <c:v>0.50315721176105599</c:v>
                </c:pt>
                <c:pt idx="34">
                  <c:v>0.60444577250145171</c:v>
                </c:pt>
                <c:pt idx="35">
                  <c:v>0.64478673930835206</c:v>
                </c:pt>
                <c:pt idx="36">
                  <c:v>0.72887564277605565</c:v>
                </c:pt>
                <c:pt idx="37">
                  <c:v>0.84000845243961497</c:v>
                </c:pt>
                <c:pt idx="38">
                  <c:v>0.91472582583332063</c:v>
                </c:pt>
                <c:pt idx="39">
                  <c:v>0.8521894719453279</c:v>
                </c:pt>
                <c:pt idx="40">
                  <c:v>0.93161558942392109</c:v>
                </c:pt>
                <c:pt idx="41">
                  <c:v>1.1821482675823041</c:v>
                </c:pt>
                <c:pt idx="42">
                  <c:v>1.34673893424897</c:v>
                </c:pt>
                <c:pt idx="43">
                  <c:v>1.321602572408944</c:v>
                </c:pt>
                <c:pt idx="44">
                  <c:v>1.3551030243198141</c:v>
                </c:pt>
                <c:pt idx="45">
                  <c:v>1.2952898476439341</c:v>
                </c:pt>
                <c:pt idx="46">
                  <c:v>1.265140458436925</c:v>
                </c:pt>
                <c:pt idx="47">
                  <c:v>1.4389038584169489</c:v>
                </c:pt>
                <c:pt idx="48">
                  <c:v>1.510637243751179</c:v>
                </c:pt>
                <c:pt idx="49">
                  <c:v>1.355733465430027</c:v>
                </c:pt>
                <c:pt idx="50">
                  <c:v>1.3101350402625651</c:v>
                </c:pt>
                <c:pt idx="51">
                  <c:v>1.612064984802988</c:v>
                </c:pt>
                <c:pt idx="52">
                  <c:v>1.4812280466800329</c:v>
                </c:pt>
                <c:pt idx="53">
                  <c:v>1.4590538652142051</c:v>
                </c:pt>
                <c:pt idx="54">
                  <c:v>1.4812700486086849</c:v>
                </c:pt>
                <c:pt idx="55">
                  <c:v>1.4949088659470049</c:v>
                </c:pt>
                <c:pt idx="56">
                  <c:v>1.541188378115391</c:v>
                </c:pt>
                <c:pt idx="57">
                  <c:v>1.413227835777259</c:v>
                </c:pt>
                <c:pt idx="58">
                  <c:v>1.524316555187166</c:v>
                </c:pt>
                <c:pt idx="59">
                  <c:v>1.579312970337887</c:v>
                </c:pt>
                <c:pt idx="60">
                  <c:v>1.537473334404222</c:v>
                </c:pt>
                <c:pt idx="61">
                  <c:v>1.699253673475257</c:v>
                </c:pt>
                <c:pt idx="62">
                  <c:v>1.8910507129313039</c:v>
                </c:pt>
                <c:pt idx="63">
                  <c:v>1.973985046264638</c:v>
                </c:pt>
                <c:pt idx="64">
                  <c:v>1.9235006171518869</c:v>
                </c:pt>
                <c:pt idx="65">
                  <c:v>1.9983361673069939</c:v>
                </c:pt>
                <c:pt idx="66">
                  <c:v>2.026166264705306</c:v>
                </c:pt>
                <c:pt idx="67">
                  <c:v>2.0469798741717589</c:v>
                </c:pt>
                <c:pt idx="68">
                  <c:v>2.0306070917949599</c:v>
                </c:pt>
                <c:pt idx="69">
                  <c:v>2.1611377951315069</c:v>
                </c:pt>
                <c:pt idx="70">
                  <c:v>1.948189028993496</c:v>
                </c:pt>
                <c:pt idx="71">
                  <c:v>2.1067330013911052</c:v>
                </c:pt>
                <c:pt idx="72">
                  <c:v>1.932064503463498</c:v>
                </c:pt>
                <c:pt idx="73">
                  <c:v>1.96870194915547</c:v>
                </c:pt>
                <c:pt idx="74">
                  <c:v>1.9639551627527361</c:v>
                </c:pt>
                <c:pt idx="75">
                  <c:v>2.0112128986156281</c:v>
                </c:pt>
                <c:pt idx="76">
                  <c:v>1.983722820135305</c:v>
                </c:pt>
                <c:pt idx="77">
                  <c:v>1.8347295418893781</c:v>
                </c:pt>
                <c:pt idx="78">
                  <c:v>1.819743838451221</c:v>
                </c:pt>
                <c:pt idx="79">
                  <c:v>2.1536218751639442</c:v>
                </c:pt>
                <c:pt idx="80">
                  <c:v>2.2204618751639442</c:v>
                </c:pt>
                <c:pt idx="81">
                  <c:v>2.064891208497277</c:v>
                </c:pt>
                <c:pt idx="82">
                  <c:v>1.8616281162946899</c:v>
                </c:pt>
                <c:pt idx="83">
                  <c:v>1.9775468875741391</c:v>
                </c:pt>
                <c:pt idx="84">
                  <c:v>1.859767141295779</c:v>
                </c:pt>
                <c:pt idx="85">
                  <c:v>1.756387636206217</c:v>
                </c:pt>
                <c:pt idx="86">
                  <c:v>1.7925509788108991</c:v>
                </c:pt>
                <c:pt idx="87">
                  <c:v>1.5518991801858579</c:v>
                </c:pt>
                <c:pt idx="88">
                  <c:v>1.332069180185858</c:v>
                </c:pt>
                <c:pt idx="89">
                  <c:v>1.3235224083649511</c:v>
                </c:pt>
                <c:pt idx="90">
                  <c:v>1.5955814083649511</c:v>
                </c:pt>
                <c:pt idx="91">
                  <c:v>1.5142597416982839</c:v>
                </c:pt>
                <c:pt idx="92">
                  <c:v>1.50192596237262</c:v>
                </c:pt>
                <c:pt idx="93">
                  <c:v>1.663776383674012</c:v>
                </c:pt>
                <c:pt idx="94">
                  <c:v>1.6882157170073451</c:v>
                </c:pt>
                <c:pt idx="95">
                  <c:v>1.7264803836740119</c:v>
                </c:pt>
                <c:pt idx="96">
                  <c:v>1.7530610503406781</c:v>
                </c:pt>
                <c:pt idx="97">
                  <c:v>1.936106383674012</c:v>
                </c:pt>
                <c:pt idx="98">
                  <c:v>1.9226063836740119</c:v>
                </c:pt>
                <c:pt idx="99">
                  <c:v>1.9698947170073451</c:v>
                </c:pt>
                <c:pt idx="100">
                  <c:v>1.9619058912338361</c:v>
                </c:pt>
                <c:pt idx="101">
                  <c:v>2.168602891233836</c:v>
                </c:pt>
                <c:pt idx="102">
                  <c:v>2.201056891233836</c:v>
                </c:pt>
                <c:pt idx="103">
                  <c:v>2.2550975579005028</c:v>
                </c:pt>
                <c:pt idx="104">
                  <c:v>2.3274408912338358</c:v>
                </c:pt>
                <c:pt idx="105">
                  <c:v>2.4753349938066398</c:v>
                </c:pt>
                <c:pt idx="106">
                  <c:v>2.3419793271399731</c:v>
                </c:pt>
                <c:pt idx="107">
                  <c:v>2.731647327139973</c:v>
                </c:pt>
                <c:pt idx="108">
                  <c:v>2.6597563271399731</c:v>
                </c:pt>
                <c:pt idx="109">
                  <c:v>2.741211660473307</c:v>
                </c:pt>
                <c:pt idx="110">
                  <c:v>2.8013339938066402</c:v>
                </c:pt>
                <c:pt idx="111">
                  <c:v>2.844111660473307</c:v>
                </c:pt>
                <c:pt idx="112">
                  <c:v>2.7526839938066399</c:v>
                </c:pt>
                <c:pt idx="113">
                  <c:v>2.7743643271399732</c:v>
                </c:pt>
                <c:pt idx="114">
                  <c:v>2.8062486604733059</c:v>
                </c:pt>
                <c:pt idx="115">
                  <c:v>2.723078327139973</c:v>
                </c:pt>
                <c:pt idx="116">
                  <c:v>2.7987936604733061</c:v>
                </c:pt>
                <c:pt idx="117">
                  <c:v>2.6936946604733061</c:v>
                </c:pt>
                <c:pt idx="118">
                  <c:v>2.6418453271399729</c:v>
                </c:pt>
                <c:pt idx="119">
                  <c:v>2.6357527745246552</c:v>
                </c:pt>
                <c:pt idx="120">
                  <c:v>2.438701852962295</c:v>
                </c:pt>
                <c:pt idx="121">
                  <c:v>2.3950195196289621</c:v>
                </c:pt>
                <c:pt idx="122">
                  <c:v>2.2334738529622959</c:v>
                </c:pt>
                <c:pt idx="123">
                  <c:v>2.286845852962295</c:v>
                </c:pt>
                <c:pt idx="124">
                  <c:v>2.205429852962296</c:v>
                </c:pt>
                <c:pt idx="125">
                  <c:v>2.382692852962295</c:v>
                </c:pt>
                <c:pt idx="126">
                  <c:v>2.502649186295629</c:v>
                </c:pt>
                <c:pt idx="127">
                  <c:v>2.6134828529622949</c:v>
                </c:pt>
                <c:pt idx="128">
                  <c:v>2.7538391862956288</c:v>
                </c:pt>
                <c:pt idx="129">
                  <c:v>2.6109088529622961</c:v>
                </c:pt>
                <c:pt idx="130">
                  <c:v>2.6324039545379341</c:v>
                </c:pt>
                <c:pt idx="131">
                  <c:v>2.554990387480327</c:v>
                </c:pt>
                <c:pt idx="132">
                  <c:v>2.5073543874803268</c:v>
                </c:pt>
                <c:pt idx="133">
                  <c:v>2.5439470541469928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54-E84E-AE03-956DC45D9719}"/>
            </c:ext>
          </c:extLst>
        </c:ser>
        <c:ser>
          <c:idx val="11"/>
          <c:order val="11"/>
          <c:tx>
            <c:strRef>
              <c:f>預測累積畫圖!$B$23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預測累積畫圖!$C$23:$EF$23</c:f>
              <c:numCache>
                <c:formatCode>General</c:formatCode>
                <c:ptCount val="134"/>
                <c:pt idx="0">
                  <c:v>0.28298899999999999</c:v>
                </c:pt>
                <c:pt idx="1">
                  <c:v>0.25317833231457793</c:v>
                </c:pt>
                <c:pt idx="2">
                  <c:v>0.17223715974390569</c:v>
                </c:pt>
                <c:pt idx="3">
                  <c:v>3.0572250692004001E-2</c:v>
                </c:pt>
                <c:pt idx="4">
                  <c:v>-2.1651923154494369E-2</c:v>
                </c:pt>
                <c:pt idx="5">
                  <c:v>0.1820663847244807</c:v>
                </c:pt>
                <c:pt idx="6">
                  <c:v>0.33021841332477481</c:v>
                </c:pt>
                <c:pt idx="7">
                  <c:v>0.23205612217832239</c:v>
                </c:pt>
                <c:pt idx="8">
                  <c:v>2.7566645706088799E-2</c:v>
                </c:pt>
                <c:pt idx="9">
                  <c:v>8.1610175481687419E-2</c:v>
                </c:pt>
                <c:pt idx="10">
                  <c:v>-0.18095917156565289</c:v>
                </c:pt>
                <c:pt idx="11">
                  <c:v>-2.4539933929640101E-2</c:v>
                </c:pt>
                <c:pt idx="12">
                  <c:v>0.18002444404336199</c:v>
                </c:pt>
                <c:pt idx="13">
                  <c:v>8.9622732861236606E-2</c:v>
                </c:pt>
                <c:pt idx="14">
                  <c:v>0.14919074976175711</c:v>
                </c:pt>
                <c:pt idx="15">
                  <c:v>9.2979606448502061E-2</c:v>
                </c:pt>
                <c:pt idx="16">
                  <c:v>-2.0744926378760031E-2</c:v>
                </c:pt>
                <c:pt idx="17">
                  <c:v>-2.1118295587238781E-2</c:v>
                </c:pt>
                <c:pt idx="18">
                  <c:v>-0.11487571802803311</c:v>
                </c:pt>
                <c:pt idx="19">
                  <c:v>-0.1379051751378243</c:v>
                </c:pt>
                <c:pt idx="20">
                  <c:v>0.19371397511132021</c:v>
                </c:pt>
                <c:pt idx="21">
                  <c:v>0.45779967007461753</c:v>
                </c:pt>
                <c:pt idx="22">
                  <c:v>0.47245947160510782</c:v>
                </c:pt>
                <c:pt idx="23">
                  <c:v>0.50549198704898302</c:v>
                </c:pt>
                <c:pt idx="24">
                  <c:v>0.51209827901845328</c:v>
                </c:pt>
                <c:pt idx="25">
                  <c:v>0.57613805889523673</c:v>
                </c:pt>
                <c:pt idx="26">
                  <c:v>0.65248439704207473</c:v>
                </c:pt>
                <c:pt idx="27">
                  <c:v>0.66749529739912217</c:v>
                </c:pt>
                <c:pt idx="28">
                  <c:v>0.33515104878659668</c:v>
                </c:pt>
                <c:pt idx="29">
                  <c:v>0.40205730887634789</c:v>
                </c:pt>
                <c:pt idx="30">
                  <c:v>0.49393096652270813</c:v>
                </c:pt>
                <c:pt idx="31">
                  <c:v>0.5312089665227081</c:v>
                </c:pt>
                <c:pt idx="32">
                  <c:v>0.74036096652270811</c:v>
                </c:pt>
                <c:pt idx="33">
                  <c:v>0.76394796652270813</c:v>
                </c:pt>
                <c:pt idx="34">
                  <c:v>0.87805906586989912</c:v>
                </c:pt>
                <c:pt idx="35">
                  <c:v>1.009490779062435</c:v>
                </c:pt>
                <c:pt idx="36">
                  <c:v>1.0172602680673</c:v>
                </c:pt>
                <c:pt idx="37">
                  <c:v>1.2595749674246011</c:v>
                </c:pt>
                <c:pt idx="38">
                  <c:v>1.254238015233176</c:v>
                </c:pt>
                <c:pt idx="39">
                  <c:v>1.2573591145854821</c:v>
                </c:pt>
                <c:pt idx="40">
                  <c:v>1.346784106845093</c:v>
                </c:pt>
                <c:pt idx="41">
                  <c:v>1.68352815069016</c:v>
                </c:pt>
                <c:pt idx="42">
                  <c:v>1.715697150690161</c:v>
                </c:pt>
                <c:pt idx="43">
                  <c:v>1.674269428876511</c:v>
                </c:pt>
                <c:pt idx="44">
                  <c:v>1.7074149550050151</c:v>
                </c:pt>
                <c:pt idx="45">
                  <c:v>1.679775960807641</c:v>
                </c:pt>
                <c:pt idx="46">
                  <c:v>1.6277490509692381</c:v>
                </c:pt>
                <c:pt idx="47">
                  <c:v>1.697587204796283</c:v>
                </c:pt>
                <c:pt idx="48">
                  <c:v>1.8678211856368649</c:v>
                </c:pt>
                <c:pt idx="49">
                  <c:v>1.8040675682358041</c:v>
                </c:pt>
                <c:pt idx="50">
                  <c:v>1.8137143483159051</c:v>
                </c:pt>
                <c:pt idx="51">
                  <c:v>1.76266486421302</c:v>
                </c:pt>
                <c:pt idx="52">
                  <c:v>1.461836615039954</c:v>
                </c:pt>
                <c:pt idx="53">
                  <c:v>1.5566674963864049</c:v>
                </c:pt>
                <c:pt idx="54">
                  <c:v>1.4852367339891079</c:v>
                </c:pt>
                <c:pt idx="55">
                  <c:v>1.462389743384422</c:v>
                </c:pt>
                <c:pt idx="56">
                  <c:v>1.537151214581175</c:v>
                </c:pt>
                <c:pt idx="57">
                  <c:v>1.333667233225887</c:v>
                </c:pt>
                <c:pt idx="58">
                  <c:v>1.5247793125490861</c:v>
                </c:pt>
                <c:pt idx="59">
                  <c:v>1.628782627817013</c:v>
                </c:pt>
                <c:pt idx="60">
                  <c:v>1.6308167361534911</c:v>
                </c:pt>
                <c:pt idx="61">
                  <c:v>1.7803510324037299</c:v>
                </c:pt>
                <c:pt idx="62">
                  <c:v>1.9695317191908841</c:v>
                </c:pt>
                <c:pt idx="63">
                  <c:v>2.0079817191908842</c:v>
                </c:pt>
                <c:pt idx="64">
                  <c:v>2.0445066609368832</c:v>
                </c:pt>
                <c:pt idx="65">
                  <c:v>2.1427730601483401</c:v>
                </c:pt>
                <c:pt idx="66">
                  <c:v>2.2148209615836061</c:v>
                </c:pt>
                <c:pt idx="67">
                  <c:v>2.232665283047568</c:v>
                </c:pt>
                <c:pt idx="68">
                  <c:v>2.159389894389657</c:v>
                </c:pt>
                <c:pt idx="69">
                  <c:v>2.303039700415654</c:v>
                </c:pt>
                <c:pt idx="70">
                  <c:v>2.097351964569707</c:v>
                </c:pt>
                <c:pt idx="71">
                  <c:v>2.2108195329298961</c:v>
                </c:pt>
                <c:pt idx="72">
                  <c:v>2.0086671996542051</c:v>
                </c:pt>
                <c:pt idx="73">
                  <c:v>2.0004540799269521</c:v>
                </c:pt>
                <c:pt idx="74">
                  <c:v>1.990248387232604</c:v>
                </c:pt>
                <c:pt idx="75">
                  <c:v>1.9979181496644489</c:v>
                </c:pt>
                <c:pt idx="76">
                  <c:v>1.9222649499178199</c:v>
                </c:pt>
                <c:pt idx="77">
                  <c:v>1.70465074692538</c:v>
                </c:pt>
                <c:pt idx="78">
                  <c:v>1.9296093744210601</c:v>
                </c:pt>
                <c:pt idx="79">
                  <c:v>2.1212858294358452</c:v>
                </c:pt>
                <c:pt idx="80">
                  <c:v>2.1808878294358451</c:v>
                </c:pt>
                <c:pt idx="81">
                  <c:v>1.9974573294358451</c:v>
                </c:pt>
                <c:pt idx="82">
                  <c:v>1.6042135415121681</c:v>
                </c:pt>
                <c:pt idx="83">
                  <c:v>1.7844099904335959</c:v>
                </c:pt>
                <c:pt idx="84">
                  <c:v>1.4745105733054991</c:v>
                </c:pt>
                <c:pt idx="85">
                  <c:v>1.4546352057550891</c:v>
                </c:pt>
                <c:pt idx="86">
                  <c:v>1.5507522004830501</c:v>
                </c:pt>
                <c:pt idx="87">
                  <c:v>1.1420911878156319</c:v>
                </c:pt>
                <c:pt idx="88">
                  <c:v>0.90738618781563196</c:v>
                </c:pt>
                <c:pt idx="89">
                  <c:v>0.85438100944582873</c:v>
                </c:pt>
                <c:pt idx="90">
                  <c:v>1.1205385094458289</c:v>
                </c:pt>
                <c:pt idx="91">
                  <c:v>1.000821009445829</c:v>
                </c:pt>
                <c:pt idx="92">
                  <c:v>0.99163726494602289</c:v>
                </c:pt>
                <c:pt idx="93">
                  <c:v>1.003235068767101</c:v>
                </c:pt>
                <c:pt idx="94">
                  <c:v>1.072250068767101</c:v>
                </c:pt>
                <c:pt idx="95">
                  <c:v>1.137641568767102</c:v>
                </c:pt>
                <c:pt idx="96">
                  <c:v>1.1288655687671021</c:v>
                </c:pt>
                <c:pt idx="97">
                  <c:v>1.3307150687671021</c:v>
                </c:pt>
                <c:pt idx="98">
                  <c:v>1.3948800687671019</c:v>
                </c:pt>
                <c:pt idx="99">
                  <c:v>1.350630068767102</c:v>
                </c:pt>
                <c:pt idx="100">
                  <c:v>1.3726765995204799</c:v>
                </c:pt>
                <c:pt idx="101">
                  <c:v>1.53868209952048</c:v>
                </c:pt>
                <c:pt idx="102">
                  <c:v>1.60332709952048</c:v>
                </c:pt>
                <c:pt idx="103">
                  <c:v>1.62207509952048</c:v>
                </c:pt>
                <c:pt idx="104">
                  <c:v>1.6944900995204799</c:v>
                </c:pt>
                <c:pt idx="105">
                  <c:v>1.9079011439274769</c:v>
                </c:pt>
                <c:pt idx="106">
                  <c:v>1.7664566439274769</c:v>
                </c:pt>
                <c:pt idx="107">
                  <c:v>2.1752541439274768</c:v>
                </c:pt>
                <c:pt idx="108">
                  <c:v>2.1076316439274771</c:v>
                </c:pt>
                <c:pt idx="109">
                  <c:v>2.2468596439274768</c:v>
                </c:pt>
                <c:pt idx="110">
                  <c:v>2.3429006439274769</c:v>
                </c:pt>
                <c:pt idx="111">
                  <c:v>2.3090776439274769</c:v>
                </c:pt>
                <c:pt idx="112">
                  <c:v>2.2178341439274769</c:v>
                </c:pt>
                <c:pt idx="113">
                  <c:v>2.161228143927477</c:v>
                </c:pt>
                <c:pt idx="114">
                  <c:v>2.2077051439274769</c:v>
                </c:pt>
                <c:pt idx="115">
                  <c:v>2.089505143927477</c:v>
                </c:pt>
                <c:pt idx="116">
                  <c:v>2.2135731439274768</c:v>
                </c:pt>
                <c:pt idx="117">
                  <c:v>2.175169643927477</c:v>
                </c:pt>
                <c:pt idx="118">
                  <c:v>2.054039143927477</c:v>
                </c:pt>
                <c:pt idx="119">
                  <c:v>1.9641531411961699</c:v>
                </c:pt>
                <c:pt idx="120">
                  <c:v>1.6760565642771239</c:v>
                </c:pt>
                <c:pt idx="121">
                  <c:v>1.6218060642771239</c:v>
                </c:pt>
                <c:pt idx="122">
                  <c:v>1.5661680642771241</c:v>
                </c:pt>
                <c:pt idx="123">
                  <c:v>1.574301064277124</c:v>
                </c:pt>
                <c:pt idx="124">
                  <c:v>1.5973535642771239</c:v>
                </c:pt>
                <c:pt idx="125">
                  <c:v>1.916802064277124</c:v>
                </c:pt>
                <c:pt idx="126">
                  <c:v>1.862877064277124</c:v>
                </c:pt>
                <c:pt idx="127">
                  <c:v>1.6457020642771241</c:v>
                </c:pt>
                <c:pt idx="128">
                  <c:v>1.6169450642771239</c:v>
                </c:pt>
                <c:pt idx="129">
                  <c:v>1.4787165642771241</c:v>
                </c:pt>
                <c:pt idx="130">
                  <c:v>1.442132247951311</c:v>
                </c:pt>
                <c:pt idx="131">
                  <c:v>1.3507063433315301</c:v>
                </c:pt>
                <c:pt idx="132">
                  <c:v>1.2814953433315299</c:v>
                </c:pt>
                <c:pt idx="133">
                  <c:v>1.37490934333153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54-E84E-AE03-956DC45D9719}"/>
            </c:ext>
          </c:extLst>
        </c:ser>
        <c:ser>
          <c:idx val="12"/>
          <c:order val="12"/>
          <c:tx>
            <c:strRef>
              <c:f>預測累積畫圖!$B$24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-4.9360099724128914E-3</c:v>
                </c:pt>
                <c:pt idx="2">
                  <c:v>6.6464320196884016E-2</c:v>
                </c:pt>
                <c:pt idx="3">
                  <c:v>-0.16069522643986481</c:v>
                </c:pt>
                <c:pt idx="4">
                  <c:v>6.5064796617707615E-2</c:v>
                </c:pt>
                <c:pt idx="5">
                  <c:v>0.31175152510827742</c:v>
                </c:pt>
                <c:pt idx="6">
                  <c:v>0.3096395919051339</c:v>
                </c:pt>
                <c:pt idx="7">
                  <c:v>0.20966739899499781</c:v>
                </c:pt>
                <c:pt idx="8">
                  <c:v>0.18815212064003761</c:v>
                </c:pt>
                <c:pt idx="9">
                  <c:v>0.28377537114871981</c:v>
                </c:pt>
                <c:pt idx="10">
                  <c:v>-0.17925217305141869</c:v>
                </c:pt>
                <c:pt idx="11">
                  <c:v>-3.5121720650985511E-2</c:v>
                </c:pt>
                <c:pt idx="12">
                  <c:v>0.20018747275443749</c:v>
                </c:pt>
                <c:pt idx="13">
                  <c:v>9.5939058345437991E-2</c:v>
                </c:pt>
                <c:pt idx="14">
                  <c:v>0.15690401999214429</c:v>
                </c:pt>
                <c:pt idx="15">
                  <c:v>-8.8793350787115449E-2</c:v>
                </c:pt>
                <c:pt idx="16">
                  <c:v>-0.44130781184727991</c:v>
                </c:pt>
                <c:pt idx="17">
                  <c:v>-0.31761676775549058</c:v>
                </c:pt>
                <c:pt idx="18">
                  <c:v>-0.46613544197940859</c:v>
                </c:pt>
                <c:pt idx="19">
                  <c:v>-0.53327474481703718</c:v>
                </c:pt>
                <c:pt idx="20">
                  <c:v>-3.7562758861094558E-2</c:v>
                </c:pt>
                <c:pt idx="21">
                  <c:v>8.0459673644909344E-2</c:v>
                </c:pt>
                <c:pt idx="22">
                  <c:v>8.9936688571326431E-2</c:v>
                </c:pt>
                <c:pt idx="23">
                  <c:v>0.19577901585013341</c:v>
                </c:pt>
                <c:pt idx="24">
                  <c:v>0.20932678408771069</c:v>
                </c:pt>
                <c:pt idx="25">
                  <c:v>0.40466640676295451</c:v>
                </c:pt>
                <c:pt idx="26">
                  <c:v>0.53004678753891954</c:v>
                </c:pt>
                <c:pt idx="27">
                  <c:v>0.5378686264315492</c:v>
                </c:pt>
                <c:pt idx="28">
                  <c:v>-3.3894948147320521E-3</c:v>
                </c:pt>
                <c:pt idx="29">
                  <c:v>1.913251522005845E-2</c:v>
                </c:pt>
                <c:pt idx="30">
                  <c:v>0.15786823284669599</c:v>
                </c:pt>
                <c:pt idx="31">
                  <c:v>8.9251232846696046E-2</c:v>
                </c:pt>
                <c:pt idx="32">
                  <c:v>0.39966523284669608</c:v>
                </c:pt>
                <c:pt idx="33">
                  <c:v>0.48510023284669612</c:v>
                </c:pt>
                <c:pt idx="34">
                  <c:v>0.56998418591488842</c:v>
                </c:pt>
                <c:pt idx="35">
                  <c:v>0.51530725042425307</c:v>
                </c:pt>
                <c:pt idx="36">
                  <c:v>0.49638796900372639</c:v>
                </c:pt>
                <c:pt idx="37">
                  <c:v>0.71757743414915764</c:v>
                </c:pt>
                <c:pt idx="38">
                  <c:v>0.78366754597814769</c:v>
                </c:pt>
                <c:pt idx="39">
                  <c:v>0.76081583048905133</c:v>
                </c:pt>
                <c:pt idx="40">
                  <c:v>0.80789280332329705</c:v>
                </c:pt>
                <c:pt idx="41">
                  <c:v>0.81753205993090405</c:v>
                </c:pt>
                <c:pt idx="42">
                  <c:v>1.055364059930904</c:v>
                </c:pt>
                <c:pt idx="43">
                  <c:v>1.085823267415613</c:v>
                </c:pt>
                <c:pt idx="44">
                  <c:v>1.1299185872808371</c:v>
                </c:pt>
                <c:pt idx="45">
                  <c:v>1.0427666350939411</c:v>
                </c:pt>
                <c:pt idx="46">
                  <c:v>1.04775417660498</c:v>
                </c:pt>
                <c:pt idx="47">
                  <c:v>1.0760603631934049</c:v>
                </c:pt>
                <c:pt idx="48">
                  <c:v>1.2441876570782939</c:v>
                </c:pt>
                <c:pt idx="49">
                  <c:v>1.2820547306779591</c:v>
                </c:pt>
                <c:pt idx="50">
                  <c:v>1.228259998593326</c:v>
                </c:pt>
                <c:pt idx="51">
                  <c:v>1.142100965197991</c:v>
                </c:pt>
                <c:pt idx="52">
                  <c:v>0.33888495215361381</c:v>
                </c:pt>
                <c:pt idx="53">
                  <c:v>0.52448017140004899</c:v>
                </c:pt>
                <c:pt idx="54">
                  <c:v>0.47841581736836208</c:v>
                </c:pt>
                <c:pt idx="55">
                  <c:v>0.56606715342245439</c:v>
                </c:pt>
                <c:pt idx="56">
                  <c:v>0.59290311928876527</c:v>
                </c:pt>
                <c:pt idx="57">
                  <c:v>0.20664778237523029</c:v>
                </c:pt>
                <c:pt idx="58">
                  <c:v>0.43027688844527739</c:v>
                </c:pt>
                <c:pt idx="59">
                  <c:v>0.43362520420016198</c:v>
                </c:pt>
                <c:pt idx="60">
                  <c:v>0.43764875109444817</c:v>
                </c:pt>
                <c:pt idx="61">
                  <c:v>0.7548130450191648</c:v>
                </c:pt>
                <c:pt idx="62">
                  <c:v>0.76628606413690192</c:v>
                </c:pt>
                <c:pt idx="63">
                  <c:v>0.8751970641369019</c:v>
                </c:pt>
                <c:pt idx="64">
                  <c:v>0.71408737304126002</c:v>
                </c:pt>
                <c:pt idx="65">
                  <c:v>0.83743855417058188</c:v>
                </c:pt>
                <c:pt idx="66">
                  <c:v>0.77326892084046683</c:v>
                </c:pt>
                <c:pt idx="67">
                  <c:v>0.81562514414388454</c:v>
                </c:pt>
                <c:pt idx="68">
                  <c:v>0.81434042665942763</c:v>
                </c:pt>
                <c:pt idx="69">
                  <c:v>0.9306111227136149</c:v>
                </c:pt>
                <c:pt idx="70">
                  <c:v>0.7022844911536742</c:v>
                </c:pt>
                <c:pt idx="71">
                  <c:v>0.81001294504165711</c:v>
                </c:pt>
                <c:pt idx="72">
                  <c:v>0.74817706140606399</c:v>
                </c:pt>
                <c:pt idx="73">
                  <c:v>0.61521700569560622</c:v>
                </c:pt>
                <c:pt idx="74">
                  <c:v>0.72496267486302357</c:v>
                </c:pt>
                <c:pt idx="75">
                  <c:v>0.98385557371302046</c:v>
                </c:pt>
                <c:pt idx="76">
                  <c:v>0.8686338929396058</c:v>
                </c:pt>
                <c:pt idx="77">
                  <c:v>1.077395867227475</c:v>
                </c:pt>
                <c:pt idx="78">
                  <c:v>1.517250379494409</c:v>
                </c:pt>
                <c:pt idx="79">
                  <c:v>1.661556690236603</c:v>
                </c:pt>
                <c:pt idx="80">
                  <c:v>1.827121690236603</c:v>
                </c:pt>
                <c:pt idx="81">
                  <c:v>1.661991690236603</c:v>
                </c:pt>
                <c:pt idx="82">
                  <c:v>1.3381737112175429</c:v>
                </c:pt>
                <c:pt idx="83">
                  <c:v>1.6924510080600459</c:v>
                </c:pt>
                <c:pt idx="84">
                  <c:v>2.02090282876931</c:v>
                </c:pt>
                <c:pt idx="85">
                  <c:v>2.0340123141887299</c:v>
                </c:pt>
                <c:pt idx="86">
                  <c:v>2.127542393504426</c:v>
                </c:pt>
                <c:pt idx="87">
                  <c:v>2.269297726876967</c:v>
                </c:pt>
                <c:pt idx="88">
                  <c:v>1.6328577268769671</c:v>
                </c:pt>
                <c:pt idx="89">
                  <c:v>1.5251189604197539</c:v>
                </c:pt>
                <c:pt idx="90">
                  <c:v>1.977592960419754</c:v>
                </c:pt>
                <c:pt idx="91">
                  <c:v>1.728255960419754</c:v>
                </c:pt>
                <c:pt idx="92">
                  <c:v>1.8429431342830509</c:v>
                </c:pt>
                <c:pt idx="93">
                  <c:v>1.9040279725226079</c:v>
                </c:pt>
                <c:pt idx="94">
                  <c:v>1.8771699725226081</c:v>
                </c:pt>
                <c:pt idx="95">
                  <c:v>1.7576279725226081</c:v>
                </c:pt>
                <c:pt idx="96">
                  <c:v>1.751325972522608</c:v>
                </c:pt>
                <c:pt idx="97">
                  <c:v>2.112801972522607</c:v>
                </c:pt>
                <c:pt idx="98">
                  <c:v>2.1112119725226068</c:v>
                </c:pt>
                <c:pt idx="99">
                  <c:v>2.163981972522607</c:v>
                </c:pt>
                <c:pt idx="100">
                  <c:v>2.0839150678857892</c:v>
                </c:pt>
                <c:pt idx="101">
                  <c:v>2.4065060678857888</c:v>
                </c:pt>
                <c:pt idx="102">
                  <c:v>2.4404860678857889</c:v>
                </c:pt>
                <c:pt idx="103">
                  <c:v>2.4239860678857892</c:v>
                </c:pt>
                <c:pt idx="104">
                  <c:v>2.6035360678857891</c:v>
                </c:pt>
                <c:pt idx="105">
                  <c:v>2.7569174486248951</c:v>
                </c:pt>
                <c:pt idx="106">
                  <c:v>2.450278448624895</c:v>
                </c:pt>
                <c:pt idx="107">
                  <c:v>2.975866448624894</c:v>
                </c:pt>
                <c:pt idx="108">
                  <c:v>2.856321448624894</c:v>
                </c:pt>
                <c:pt idx="109">
                  <c:v>3.1221264486248939</c:v>
                </c:pt>
                <c:pt idx="110">
                  <c:v>3.1593114486248939</c:v>
                </c:pt>
                <c:pt idx="111">
                  <c:v>3.1803914486248939</c:v>
                </c:pt>
                <c:pt idx="112">
                  <c:v>3.0607124486248942</c:v>
                </c:pt>
                <c:pt idx="113">
                  <c:v>3.0289634486248942</c:v>
                </c:pt>
                <c:pt idx="114">
                  <c:v>3.0293734486248942</c:v>
                </c:pt>
                <c:pt idx="115">
                  <c:v>2.880343448624894</c:v>
                </c:pt>
                <c:pt idx="116">
                  <c:v>2.995958448624894</c:v>
                </c:pt>
                <c:pt idx="117">
                  <c:v>2.8516314486248939</c:v>
                </c:pt>
                <c:pt idx="118">
                  <c:v>2.801145448624895</c:v>
                </c:pt>
                <c:pt idx="119">
                  <c:v>2.7806298184128648</c:v>
                </c:pt>
                <c:pt idx="120">
                  <c:v>2.5643682773800198</c:v>
                </c:pt>
                <c:pt idx="121">
                  <c:v>2.4896352773800201</c:v>
                </c:pt>
                <c:pt idx="122">
                  <c:v>2.5114172773800201</c:v>
                </c:pt>
                <c:pt idx="123">
                  <c:v>2.609464277380019</c:v>
                </c:pt>
                <c:pt idx="124">
                  <c:v>2.7106472773800192</c:v>
                </c:pt>
                <c:pt idx="125">
                  <c:v>2.9965762773800191</c:v>
                </c:pt>
                <c:pt idx="126">
                  <c:v>2.9933362773800192</c:v>
                </c:pt>
                <c:pt idx="127">
                  <c:v>2.5598262773800191</c:v>
                </c:pt>
                <c:pt idx="128">
                  <c:v>2.504909277380019</c:v>
                </c:pt>
                <c:pt idx="129">
                  <c:v>2.3956782773800191</c:v>
                </c:pt>
                <c:pt idx="130">
                  <c:v>2.3813683586093402</c:v>
                </c:pt>
                <c:pt idx="131">
                  <c:v>2.3251955133109781</c:v>
                </c:pt>
                <c:pt idx="132">
                  <c:v>2.217713513310978</c:v>
                </c:pt>
                <c:pt idx="133">
                  <c:v>2.3517985133109778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54-E84E-AE03-956DC45D9719}"/>
            </c:ext>
          </c:extLst>
        </c:ser>
        <c:ser>
          <c:idx val="13"/>
          <c:order val="13"/>
          <c:tx>
            <c:strRef>
              <c:f>預測累積畫圖!$B$25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B54-E84E-AE03-956DC45D9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20191"/>
        <c:axId val="720729791"/>
      </c:lineChart>
      <c:catAx>
        <c:axId val="7207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9791"/>
        <c:crosses val="autoZero"/>
        <c:auto val="1"/>
        <c:lblAlgn val="ctr"/>
        <c:lblOffset val="100"/>
        <c:noMultiLvlLbl val="0"/>
      </c:catAx>
      <c:valAx>
        <c:axId val="720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0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endParaRPr lang="zh-TW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NN2再投資累積報酬!$A$12:$B$12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NN2再投資累積報酬!$C$12:$EF$12</c:f>
              <c:numCache>
                <c:formatCode>General</c:formatCode>
                <c:ptCount val="134"/>
                <c:pt idx="0">
                  <c:v>8.4653541666666721E-2</c:v>
                </c:pt>
                <c:pt idx="1">
                  <c:v>0.10723797565216775</c:v>
                </c:pt>
                <c:pt idx="2">
                  <c:v>9.9759658965162146E-2</c:v>
                </c:pt>
                <c:pt idx="3">
                  <c:v>7.7908726816414253E-2</c:v>
                </c:pt>
                <c:pt idx="4">
                  <c:v>8.642889115363328E-2</c:v>
                </c:pt>
                <c:pt idx="5">
                  <c:v>9.6597196075798752E-2</c:v>
                </c:pt>
                <c:pt idx="6">
                  <c:v>0.13640799143098215</c:v>
                </c:pt>
                <c:pt idx="7">
                  <c:v>0.18616513661809342</c:v>
                </c:pt>
                <c:pt idx="8">
                  <c:v>0.17313107506079595</c:v>
                </c:pt>
                <c:pt idx="9">
                  <c:v>0.17045958486656287</c:v>
                </c:pt>
                <c:pt idx="10">
                  <c:v>0.15225682657851625</c:v>
                </c:pt>
                <c:pt idx="11">
                  <c:v>0.21225957263543349</c:v>
                </c:pt>
                <c:pt idx="12">
                  <c:v>0.23484383348365379</c:v>
                </c:pt>
                <c:pt idx="13">
                  <c:v>0.20839295844870098</c:v>
                </c:pt>
                <c:pt idx="14">
                  <c:v>0.16755799607061905</c:v>
                </c:pt>
                <c:pt idx="15">
                  <c:v>0.18320036160846187</c:v>
                </c:pt>
                <c:pt idx="16">
                  <c:v>9.9129364872432291E-2</c:v>
                </c:pt>
                <c:pt idx="17">
                  <c:v>5.1599176471372799E-2</c:v>
                </c:pt>
                <c:pt idx="18">
                  <c:v>3.0181024110689458E-2</c:v>
                </c:pt>
                <c:pt idx="19">
                  <c:v>7.6570066151663063E-2</c:v>
                </c:pt>
                <c:pt idx="20">
                  <c:v>0.10055436990062727</c:v>
                </c:pt>
                <c:pt idx="21">
                  <c:v>0.1539524697845116</c:v>
                </c:pt>
                <c:pt idx="22">
                  <c:v>0.13457948039110423</c:v>
                </c:pt>
                <c:pt idx="23">
                  <c:v>0.2067656059478562</c:v>
                </c:pt>
                <c:pt idx="24">
                  <c:v>0.1592146226205795</c:v>
                </c:pt>
                <c:pt idx="25">
                  <c:v>0.19942674681755479</c:v>
                </c:pt>
                <c:pt idx="26">
                  <c:v>0.24154433404368025</c:v>
                </c:pt>
                <c:pt idx="27">
                  <c:v>0.24880378033376327</c:v>
                </c:pt>
                <c:pt idx="28">
                  <c:v>0.20147708480104787</c:v>
                </c:pt>
                <c:pt idx="29">
                  <c:v>0.22602584638582957</c:v>
                </c:pt>
                <c:pt idx="30">
                  <c:v>0.26278473100343569</c:v>
                </c:pt>
                <c:pt idx="31">
                  <c:v>0.28943001498791276</c:v>
                </c:pt>
                <c:pt idx="32">
                  <c:v>0.31940534082008609</c:v>
                </c:pt>
                <c:pt idx="33">
                  <c:v>0.34719515088544162</c:v>
                </c:pt>
                <c:pt idx="34">
                  <c:v>0.41202717176184289</c:v>
                </c:pt>
                <c:pt idx="35">
                  <c:v>0.43724456928937383</c:v>
                </c:pt>
                <c:pt idx="36">
                  <c:v>0.48048567556459254</c:v>
                </c:pt>
                <c:pt idx="37">
                  <c:v>0.5829844872386305</c:v>
                </c:pt>
                <c:pt idx="38">
                  <c:v>0.58651263204569859</c:v>
                </c:pt>
                <c:pt idx="39">
                  <c:v>0.53301805211762265</c:v>
                </c:pt>
                <c:pt idx="40">
                  <c:v>0.5213334860418315</c:v>
                </c:pt>
                <c:pt idx="41">
                  <c:v>0.54191143748395509</c:v>
                </c:pt>
                <c:pt idx="42">
                  <c:v>0.53290148679952476</c:v>
                </c:pt>
                <c:pt idx="43">
                  <c:v>0.5541090327956435</c:v>
                </c:pt>
                <c:pt idx="44">
                  <c:v>0.58629254630867389</c:v>
                </c:pt>
                <c:pt idx="45">
                  <c:v>0.52068335216294548</c:v>
                </c:pt>
                <c:pt idx="46">
                  <c:v>0.52162842191799452</c:v>
                </c:pt>
                <c:pt idx="47">
                  <c:v>0.5879690888428637</c:v>
                </c:pt>
                <c:pt idx="48">
                  <c:v>0.62759732283734349</c:v>
                </c:pt>
                <c:pt idx="49">
                  <c:v>0.62385380656065736</c:v>
                </c:pt>
                <c:pt idx="50">
                  <c:v>0.63187221508338554</c:v>
                </c:pt>
                <c:pt idx="51">
                  <c:v>0.65679841899124103</c:v>
                </c:pt>
                <c:pt idx="52">
                  <c:v>0.67713195646680169</c:v>
                </c:pt>
                <c:pt idx="53">
                  <c:v>0.69999219909808774</c:v>
                </c:pt>
                <c:pt idx="54">
                  <c:v>0.73162703065954249</c:v>
                </c:pt>
                <c:pt idx="55">
                  <c:v>0.84901810069145123</c:v>
                </c:pt>
                <c:pt idx="56">
                  <c:v>0.91127613481123793</c:v>
                </c:pt>
                <c:pt idx="57">
                  <c:v>0.93846090335770604</c:v>
                </c:pt>
                <c:pt idx="58">
                  <c:v>1.0354251466952449</c:v>
                </c:pt>
                <c:pt idx="59">
                  <c:v>1.0338049618752825</c:v>
                </c:pt>
                <c:pt idx="60">
                  <c:v>0.99051610466750906</c:v>
                </c:pt>
                <c:pt idx="61">
                  <c:v>1.0397002564266082</c:v>
                </c:pt>
                <c:pt idx="62">
                  <c:v>1.0291568582379935</c:v>
                </c:pt>
                <c:pt idx="63">
                  <c:v>1.0687299825765653</c:v>
                </c:pt>
                <c:pt idx="64">
                  <c:v>1.1188890515704961</c:v>
                </c:pt>
                <c:pt idx="65">
                  <c:v>1.0966216776639932</c:v>
                </c:pt>
                <c:pt idx="66">
                  <c:v>1.1257579041637267</c:v>
                </c:pt>
                <c:pt idx="67">
                  <c:v>1.1209515475725329</c:v>
                </c:pt>
                <c:pt idx="68">
                  <c:v>1.1609596788684824</c:v>
                </c:pt>
                <c:pt idx="69">
                  <c:v>1.2085687943466934</c:v>
                </c:pt>
                <c:pt idx="70">
                  <c:v>1.1891742096240558</c:v>
                </c:pt>
                <c:pt idx="71">
                  <c:v>1.2396619429257543</c:v>
                </c:pt>
                <c:pt idx="72">
                  <c:v>1.1736282681905994</c:v>
                </c:pt>
                <c:pt idx="73">
                  <c:v>1.1985753519609883</c:v>
                </c:pt>
                <c:pt idx="74">
                  <c:v>1.1252071328767839</c:v>
                </c:pt>
                <c:pt idx="75">
                  <c:v>1.2216000373853824</c:v>
                </c:pt>
                <c:pt idx="76">
                  <c:v>1.1451763575218497</c:v>
                </c:pt>
                <c:pt idx="77">
                  <c:v>1.1493449545998478</c:v>
                </c:pt>
                <c:pt idx="78">
                  <c:v>1.1132983668955929</c:v>
                </c:pt>
                <c:pt idx="79">
                  <c:v>1.3477342335834104</c:v>
                </c:pt>
                <c:pt idx="80">
                  <c:v>1.7093021065283649</c:v>
                </c:pt>
                <c:pt idx="81">
                  <c:v>1.7203507534063753</c:v>
                </c:pt>
                <c:pt idx="82">
                  <c:v>1.8342171115899717</c:v>
                </c:pt>
                <c:pt idx="83">
                  <c:v>2.0136156075022682</c:v>
                </c:pt>
                <c:pt idx="84">
                  <c:v>1.9091760089646135</c:v>
                </c:pt>
                <c:pt idx="85">
                  <c:v>1.9541087574673437</c:v>
                </c:pt>
                <c:pt idx="86">
                  <c:v>1.9919306377382582</c:v>
                </c:pt>
                <c:pt idx="87">
                  <c:v>2.3450251500562636</c:v>
                </c:pt>
                <c:pt idx="88">
                  <c:v>2.1051582050193822</c:v>
                </c:pt>
                <c:pt idx="89">
                  <c:v>2.0210590279706997</c:v>
                </c:pt>
                <c:pt idx="90">
                  <c:v>2.2364359276216788</c:v>
                </c:pt>
                <c:pt idx="91">
                  <c:v>2.1950231003235685</c:v>
                </c:pt>
                <c:pt idx="92">
                  <c:v>2.3118721078903421</c:v>
                </c:pt>
                <c:pt idx="93">
                  <c:v>2.3188862503927221</c:v>
                </c:pt>
                <c:pt idx="94">
                  <c:v>2.2707314926338209</c:v>
                </c:pt>
                <c:pt idx="95">
                  <c:v>2.375767627507785</c:v>
                </c:pt>
                <c:pt idx="96">
                  <c:v>2.4229182398740465</c:v>
                </c:pt>
                <c:pt idx="97">
                  <c:v>2.4379908107555432</c:v>
                </c:pt>
                <c:pt idx="98">
                  <c:v>2.5402963209329417</c:v>
                </c:pt>
                <c:pt idx="99">
                  <c:v>2.7050868994423607</c:v>
                </c:pt>
                <c:pt idx="100">
                  <c:v>2.6829195786344462</c:v>
                </c:pt>
                <c:pt idx="101">
                  <c:v>3.0090880287260227</c:v>
                </c:pt>
                <c:pt idx="102">
                  <c:v>3.1573381739189355</c:v>
                </c:pt>
                <c:pt idx="103">
                  <c:v>3.5272658330321063</c:v>
                </c:pt>
                <c:pt idx="104">
                  <c:v>3.5792073897295786</c:v>
                </c:pt>
                <c:pt idx="105">
                  <c:v>3.6931791819721118</c:v>
                </c:pt>
                <c:pt idx="106">
                  <c:v>3.5184264063163555</c:v>
                </c:pt>
                <c:pt idx="107">
                  <c:v>3.7691362845666418</c:v>
                </c:pt>
                <c:pt idx="108">
                  <c:v>3.5478007689569102</c:v>
                </c:pt>
                <c:pt idx="109">
                  <c:v>3.8261053793031401</c:v>
                </c:pt>
                <c:pt idx="110">
                  <c:v>4.1144603998830549</c:v>
                </c:pt>
                <c:pt idx="111">
                  <c:v>4.191784275124383</c:v>
                </c:pt>
                <c:pt idx="112">
                  <c:v>4.0260199051664882</c:v>
                </c:pt>
                <c:pt idx="113">
                  <c:v>4.0415485266247364</c:v>
                </c:pt>
                <c:pt idx="114">
                  <c:v>3.9445611591663576</c:v>
                </c:pt>
                <c:pt idx="115">
                  <c:v>4.0529313636210338</c:v>
                </c:pt>
                <c:pt idx="116">
                  <c:v>4.2073351031667441</c:v>
                </c:pt>
                <c:pt idx="117">
                  <c:v>4.4466317329069671</c:v>
                </c:pt>
                <c:pt idx="118">
                  <c:v>4.2621976054885353</c:v>
                </c:pt>
                <c:pt idx="119">
                  <c:v>4.3610161158469305</c:v>
                </c:pt>
                <c:pt idx="120">
                  <c:v>4.1694876207131264</c:v>
                </c:pt>
                <c:pt idx="121">
                  <c:v>4.2993341107354173</c:v>
                </c:pt>
                <c:pt idx="122">
                  <c:v>3.9960520051472956</c:v>
                </c:pt>
                <c:pt idx="123">
                  <c:v>4.1436397529248508</c:v>
                </c:pt>
                <c:pt idx="124">
                  <c:v>4.3749366414124022</c:v>
                </c:pt>
                <c:pt idx="125">
                  <c:v>4.4879637205320364</c:v>
                </c:pt>
                <c:pt idx="126">
                  <c:v>4.7796232674483745</c:v>
                </c:pt>
                <c:pt idx="127">
                  <c:v>4.8156120784686394</c:v>
                </c:pt>
                <c:pt idx="128">
                  <c:v>5.112776467654748</c:v>
                </c:pt>
                <c:pt idx="129">
                  <c:v>5.1481460110926767</c:v>
                </c:pt>
                <c:pt idx="130">
                  <c:v>5.3120033834044946</c:v>
                </c:pt>
                <c:pt idx="131">
                  <c:v>4.9300757181537866</c:v>
                </c:pt>
                <c:pt idx="132">
                  <c:v>4.7728890542413467</c:v>
                </c:pt>
                <c:pt idx="133">
                  <c:v>4.9416502050659012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4-BE49-A665-0EC9C3153F0A}"/>
            </c:ext>
          </c:extLst>
        </c:ser>
        <c:ser>
          <c:idx val="1"/>
          <c:order val="1"/>
          <c:tx>
            <c:strRef>
              <c:f>NN2再投資累積報酬!$A$13:$B$13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NN2再投資累積報酬!$C$13:$EF$13</c:f>
              <c:numCache>
                <c:formatCode>General</c:formatCode>
                <c:ptCount val="134"/>
                <c:pt idx="0">
                  <c:v>0.10411314583333331</c:v>
                </c:pt>
                <c:pt idx="1">
                  <c:v>0.13710140846791607</c:v>
                </c:pt>
                <c:pt idx="2">
                  <c:v>9.7875253856916755E-2</c:v>
                </c:pt>
                <c:pt idx="3">
                  <c:v>5.9535083102016717E-2</c:v>
                </c:pt>
                <c:pt idx="4">
                  <c:v>4.3739555530978969E-2</c:v>
                </c:pt>
                <c:pt idx="5">
                  <c:v>6.0366728040824658E-2</c:v>
                </c:pt>
                <c:pt idx="6">
                  <c:v>9.5022548526941142E-2</c:v>
                </c:pt>
                <c:pt idx="7">
                  <c:v>0.13285545928287212</c:v>
                </c:pt>
                <c:pt idx="8">
                  <c:v>8.1501999512275658E-2</c:v>
                </c:pt>
                <c:pt idx="9">
                  <c:v>4.9991715191150421E-2</c:v>
                </c:pt>
                <c:pt idx="10">
                  <c:v>5.8085740402023633E-2</c:v>
                </c:pt>
                <c:pt idx="11">
                  <c:v>0.10374420572050069</c:v>
                </c:pt>
                <c:pt idx="12">
                  <c:v>0.14378062361886723</c:v>
                </c:pt>
                <c:pt idx="13">
                  <c:v>0.11992489059072819</c:v>
                </c:pt>
                <c:pt idx="14">
                  <c:v>7.0403755863106987E-2</c:v>
                </c:pt>
                <c:pt idx="15">
                  <c:v>7.735058009079121E-2</c:v>
                </c:pt>
                <c:pt idx="16">
                  <c:v>-5.5072287515366525E-2</c:v>
                </c:pt>
                <c:pt idx="17">
                  <c:v>-0.10505877726876611</c:v>
                </c:pt>
                <c:pt idx="18">
                  <c:v>-0.15352975599101804</c:v>
                </c:pt>
                <c:pt idx="19">
                  <c:v>-0.10885327752540697</c:v>
                </c:pt>
                <c:pt idx="20">
                  <c:v>-8.1135862698411554E-2</c:v>
                </c:pt>
                <c:pt idx="21">
                  <c:v>-1.7044198954482392E-2</c:v>
                </c:pt>
                <c:pt idx="22">
                  <c:v>-4.3064890127568645E-2</c:v>
                </c:pt>
                <c:pt idx="23">
                  <c:v>3.1982205009412956E-2</c:v>
                </c:pt>
                <c:pt idx="24">
                  <c:v>-1.1645580935052413E-3</c:v>
                </c:pt>
                <c:pt idx="25">
                  <c:v>4.5459302528839229E-2</c:v>
                </c:pt>
                <c:pt idx="26">
                  <c:v>6.8325124378533442E-2</c:v>
                </c:pt>
                <c:pt idx="27">
                  <c:v>7.5353683662829685E-2</c:v>
                </c:pt>
                <c:pt idx="28">
                  <c:v>2.9632643704773143E-2</c:v>
                </c:pt>
                <c:pt idx="29">
                  <c:v>6.251958792364154E-2</c:v>
                </c:pt>
                <c:pt idx="30">
                  <c:v>9.6182102999929464E-2</c:v>
                </c:pt>
                <c:pt idx="31">
                  <c:v>0.13112258781327202</c:v>
                </c:pt>
                <c:pt idx="32">
                  <c:v>0.15364328566674201</c:v>
                </c:pt>
                <c:pt idx="33">
                  <c:v>0.17658453990857037</c:v>
                </c:pt>
                <c:pt idx="34">
                  <c:v>0.25422489794242287</c:v>
                </c:pt>
                <c:pt idx="35">
                  <c:v>0.28326199610942249</c:v>
                </c:pt>
                <c:pt idx="36">
                  <c:v>0.34265449698731532</c:v>
                </c:pt>
                <c:pt idx="37">
                  <c:v>0.48407661488940645</c:v>
                </c:pt>
                <c:pt idx="38">
                  <c:v>0.49789513110776951</c:v>
                </c:pt>
                <c:pt idx="39">
                  <c:v>0.40869421727615696</c:v>
                </c:pt>
                <c:pt idx="40">
                  <c:v>0.40017261916877445</c:v>
                </c:pt>
                <c:pt idx="41">
                  <c:v>0.41513932407740639</c:v>
                </c:pt>
                <c:pt idx="42">
                  <c:v>0.41239902470460743</c:v>
                </c:pt>
                <c:pt idx="43">
                  <c:v>0.46954905052675477</c:v>
                </c:pt>
                <c:pt idx="44">
                  <c:v>0.52976547828379372</c:v>
                </c:pt>
                <c:pt idx="45">
                  <c:v>0.51527022734938277</c:v>
                </c:pt>
                <c:pt idx="46">
                  <c:v>0.52145255045897976</c:v>
                </c:pt>
                <c:pt idx="47">
                  <c:v>0.62362385215457405</c:v>
                </c:pt>
                <c:pt idx="48">
                  <c:v>0.65214174383370582</c:v>
                </c:pt>
                <c:pt idx="49">
                  <c:v>0.63875366695754732</c:v>
                </c:pt>
                <c:pt idx="50">
                  <c:v>0.64947265244645913</c:v>
                </c:pt>
                <c:pt idx="51">
                  <c:v>0.72019441014234897</c:v>
                </c:pt>
                <c:pt idx="52">
                  <c:v>0.73960468325317064</c:v>
                </c:pt>
                <c:pt idx="53">
                  <c:v>0.74542266653222766</c:v>
                </c:pt>
                <c:pt idx="54">
                  <c:v>0.79323294613535489</c:v>
                </c:pt>
                <c:pt idx="55">
                  <c:v>0.94373793881463497</c:v>
                </c:pt>
                <c:pt idx="56">
                  <c:v>1.0342509383387717</c:v>
                </c:pt>
                <c:pt idx="57">
                  <c:v>1.0514926996611633</c:v>
                </c:pt>
                <c:pt idx="58">
                  <c:v>1.1590096522916609</c:v>
                </c:pt>
                <c:pt idx="59">
                  <c:v>1.1226366310256912</c:v>
                </c:pt>
                <c:pt idx="60">
                  <c:v>1.0835991679338304</c:v>
                </c:pt>
                <c:pt idx="61">
                  <c:v>1.1501657028912682</c:v>
                </c:pt>
                <c:pt idx="62">
                  <c:v>1.1865435299353879</c:v>
                </c:pt>
                <c:pt idx="63">
                  <c:v>1.1759216658908835</c:v>
                </c:pt>
                <c:pt idx="64">
                  <c:v>1.2431113335581965</c:v>
                </c:pt>
                <c:pt idx="65">
                  <c:v>1.2642699201768748</c:v>
                </c:pt>
                <c:pt idx="66">
                  <c:v>1.3585836995984799</c:v>
                </c:pt>
                <c:pt idx="67">
                  <c:v>1.342825017231549</c:v>
                </c:pt>
                <c:pt idx="68">
                  <c:v>1.3602075414734607</c:v>
                </c:pt>
                <c:pt idx="69">
                  <c:v>1.4507061725959902</c:v>
                </c:pt>
                <c:pt idx="70">
                  <c:v>1.4073126088724974</c:v>
                </c:pt>
                <c:pt idx="71">
                  <c:v>1.4570322730511642</c:v>
                </c:pt>
                <c:pt idx="72">
                  <c:v>1.4613646052570619</c:v>
                </c:pt>
                <c:pt idx="73">
                  <c:v>1.5132454146079191</c:v>
                </c:pt>
                <c:pt idx="74">
                  <c:v>1.476772197707592</c:v>
                </c:pt>
                <c:pt idx="75">
                  <c:v>1.6653489840858873</c:v>
                </c:pt>
                <c:pt idx="76">
                  <c:v>1.5759756597780603</c:v>
                </c:pt>
                <c:pt idx="77">
                  <c:v>1.5589849706777796</c:v>
                </c:pt>
                <c:pt idx="78">
                  <c:v>1.5269185546567683</c:v>
                </c:pt>
                <c:pt idx="79">
                  <c:v>1.7924618956239509</c:v>
                </c:pt>
                <c:pt idx="80">
                  <c:v>2.3057938246809475</c:v>
                </c:pt>
                <c:pt idx="81">
                  <c:v>2.3660556224059888</c:v>
                </c:pt>
                <c:pt idx="82">
                  <c:v>2.502209418233694</c:v>
                </c:pt>
                <c:pt idx="83">
                  <c:v>2.7065094451839458</c:v>
                </c:pt>
                <c:pt idx="84">
                  <c:v>2.5143139238118666</c:v>
                </c:pt>
                <c:pt idx="85">
                  <c:v>2.5033981556034539</c:v>
                </c:pt>
                <c:pt idx="86">
                  <c:v>2.6156654927422975</c:v>
                </c:pt>
                <c:pt idx="87">
                  <c:v>2.9101736178256576</c:v>
                </c:pt>
                <c:pt idx="88">
                  <c:v>2.5134773805588035</c:v>
                </c:pt>
                <c:pt idx="89">
                  <c:v>2.4190085256035538</c:v>
                </c:pt>
                <c:pt idx="90">
                  <c:v>2.7115599077107571</c:v>
                </c:pt>
                <c:pt idx="91">
                  <c:v>2.5839659116317599</c:v>
                </c:pt>
                <c:pt idx="92">
                  <c:v>2.720819471472153</c:v>
                </c:pt>
                <c:pt idx="93">
                  <c:v>2.7516270418277284</c:v>
                </c:pt>
                <c:pt idx="94">
                  <c:v>2.7664383090710709</c:v>
                </c:pt>
                <c:pt idx="95">
                  <c:v>2.9301358785996365</c:v>
                </c:pt>
                <c:pt idx="96">
                  <c:v>2.973490026254777</c:v>
                </c:pt>
                <c:pt idx="97">
                  <c:v>3.0701220752326464</c:v>
                </c:pt>
                <c:pt idx="98">
                  <c:v>3.112681391506527</c:v>
                </c:pt>
                <c:pt idx="99">
                  <c:v>3.1331900483930353</c:v>
                </c:pt>
                <c:pt idx="100">
                  <c:v>3.07896780230221</c:v>
                </c:pt>
                <c:pt idx="101">
                  <c:v>3.4472603545269527</c:v>
                </c:pt>
                <c:pt idx="102">
                  <c:v>3.6671585708530614</c:v>
                </c:pt>
                <c:pt idx="103">
                  <c:v>4.1629753284172795</c:v>
                </c:pt>
                <c:pt idx="104">
                  <c:v>4.2845175759954666</c:v>
                </c:pt>
                <c:pt idx="105">
                  <c:v>4.3410492343910345</c:v>
                </c:pt>
                <c:pt idx="106">
                  <c:v>4.1137133711377096</c:v>
                </c:pt>
                <c:pt idx="107">
                  <c:v>4.5387789696513607</c:v>
                </c:pt>
                <c:pt idx="108">
                  <c:v>4.2744168573404426</c:v>
                </c:pt>
                <c:pt idx="109">
                  <c:v>4.7423668569689603</c:v>
                </c:pt>
                <c:pt idx="110">
                  <c:v>5.2577335154440679</c:v>
                </c:pt>
                <c:pt idx="111">
                  <c:v>5.2951788802143467</c:v>
                </c:pt>
                <c:pt idx="112">
                  <c:v>5.1731380506008708</c:v>
                </c:pt>
                <c:pt idx="113">
                  <c:v>5.3405716881261895</c:v>
                </c:pt>
                <c:pt idx="114">
                  <c:v>5.3439446080737865</c:v>
                </c:pt>
                <c:pt idx="115">
                  <c:v>5.4513816889907449</c:v>
                </c:pt>
                <c:pt idx="116">
                  <c:v>5.6956558644361941</c:v>
                </c:pt>
                <c:pt idx="117">
                  <c:v>5.9969412678180429</c:v>
                </c:pt>
                <c:pt idx="118">
                  <c:v>5.7592793707054817</c:v>
                </c:pt>
                <c:pt idx="119">
                  <c:v>5.8523628214494874</c:v>
                </c:pt>
                <c:pt idx="120">
                  <c:v>5.5858906862265698</c:v>
                </c:pt>
                <c:pt idx="121">
                  <c:v>5.9206604282011046</c:v>
                </c:pt>
                <c:pt idx="122">
                  <c:v>5.69223739846875</c:v>
                </c:pt>
                <c:pt idx="123">
                  <c:v>5.981719050122714</c:v>
                </c:pt>
                <c:pt idx="124">
                  <c:v>6.2751500837683167</c:v>
                </c:pt>
                <c:pt idx="125">
                  <c:v>6.5652644265369071</c:v>
                </c:pt>
                <c:pt idx="126">
                  <c:v>6.9963418620931357</c:v>
                </c:pt>
                <c:pt idx="127">
                  <c:v>7.1426907442627101</c:v>
                </c:pt>
                <c:pt idx="128">
                  <c:v>7.6485018007026309</c:v>
                </c:pt>
                <c:pt idx="129">
                  <c:v>7.6502403297416937</c:v>
                </c:pt>
                <c:pt idx="130">
                  <c:v>8.0106072090342071</c:v>
                </c:pt>
                <c:pt idx="131">
                  <c:v>7.4187716624038451</c:v>
                </c:pt>
                <c:pt idx="132">
                  <c:v>7.0716288746369109</c:v>
                </c:pt>
                <c:pt idx="133">
                  <c:v>7.4309216270514931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4-BE49-A665-0EC9C3153F0A}"/>
            </c:ext>
          </c:extLst>
        </c:ser>
        <c:ser>
          <c:idx val="2"/>
          <c:order val="2"/>
          <c:tx>
            <c:strRef>
              <c:f>NN2再投資累積報酬!$A$14:$B$14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NN2再投資累積報酬!$C$14:$EF$14</c:f>
              <c:numCache>
                <c:formatCode>General</c:formatCode>
                <c:ptCount val="134"/>
                <c:pt idx="0">
                  <c:v>0.11994163157894744</c:v>
                </c:pt>
                <c:pt idx="1">
                  <c:v>0.21328575565647134</c:v>
                </c:pt>
                <c:pt idx="2">
                  <c:v>0.15562320566617194</c:v>
                </c:pt>
                <c:pt idx="3">
                  <c:v>9.9628473835991382E-2</c:v>
                </c:pt>
                <c:pt idx="4">
                  <c:v>5.4521805660497691E-2</c:v>
                </c:pt>
                <c:pt idx="5">
                  <c:v>6.2614547948692589E-2</c:v>
                </c:pt>
                <c:pt idx="6">
                  <c:v>0.1091436335130278</c:v>
                </c:pt>
                <c:pt idx="7">
                  <c:v>0.1349977405152758</c:v>
                </c:pt>
                <c:pt idx="8">
                  <c:v>-1.7294785025443571E-2</c:v>
                </c:pt>
                <c:pt idx="9">
                  <c:v>-1.2531419071074024E-2</c:v>
                </c:pt>
                <c:pt idx="10">
                  <c:v>-7.5994874283020764E-3</c:v>
                </c:pt>
                <c:pt idx="11">
                  <c:v>7.4530571402035006E-2</c:v>
                </c:pt>
                <c:pt idx="12">
                  <c:v>0.11479945023486171</c:v>
                </c:pt>
                <c:pt idx="13">
                  <c:v>4.9755448579256178E-2</c:v>
                </c:pt>
                <c:pt idx="14">
                  <c:v>-8.0523266372750202E-2</c:v>
                </c:pt>
                <c:pt idx="15">
                  <c:v>-9.5180817198829537E-2</c:v>
                </c:pt>
                <c:pt idx="16">
                  <c:v>-0.24528419145234659</c:v>
                </c:pt>
                <c:pt idx="17">
                  <c:v>-0.2979946601391239</c:v>
                </c:pt>
                <c:pt idx="18">
                  <c:v>-0.37119041548283171</c:v>
                </c:pt>
                <c:pt idx="19">
                  <c:v>-0.35855817976408133</c:v>
                </c:pt>
                <c:pt idx="20">
                  <c:v>-0.31108625129377043</c:v>
                </c:pt>
                <c:pt idx="21">
                  <c:v>-0.23305773875624514</c:v>
                </c:pt>
                <c:pt idx="22">
                  <c:v>-0.23706108118195124</c:v>
                </c:pt>
                <c:pt idx="23">
                  <c:v>-0.20767883378405283</c:v>
                </c:pt>
                <c:pt idx="24">
                  <c:v>-0.23893604664842794</c:v>
                </c:pt>
                <c:pt idx="25">
                  <c:v>-0.18507602454831573</c:v>
                </c:pt>
                <c:pt idx="26">
                  <c:v>-0.19609157097890761</c:v>
                </c:pt>
                <c:pt idx="27">
                  <c:v>-0.2064781535875172</c:v>
                </c:pt>
                <c:pt idx="28">
                  <c:v>-0.29091845763807278</c:v>
                </c:pt>
                <c:pt idx="29">
                  <c:v>-0.26225688353595578</c:v>
                </c:pt>
                <c:pt idx="30">
                  <c:v>-0.24711773476677046</c:v>
                </c:pt>
                <c:pt idx="31">
                  <c:v>-0.19937750995371373</c:v>
                </c:pt>
                <c:pt idx="32">
                  <c:v>-0.19059843152220157</c:v>
                </c:pt>
                <c:pt idx="33">
                  <c:v>-0.11265736308612728</c:v>
                </c:pt>
                <c:pt idx="34">
                  <c:v>-4.4410571219502537E-2</c:v>
                </c:pt>
                <c:pt idx="35">
                  <c:v>-8.127614901357938E-3</c:v>
                </c:pt>
                <c:pt idx="36">
                  <c:v>5.2616798733217118E-2</c:v>
                </c:pt>
                <c:pt idx="37">
                  <c:v>0.15639920124034234</c:v>
                </c:pt>
                <c:pt idx="38">
                  <c:v>0.2268305103915218</c:v>
                </c:pt>
                <c:pt idx="39">
                  <c:v>0.14098117432376522</c:v>
                </c:pt>
                <c:pt idx="40">
                  <c:v>0.1405613300622226</c:v>
                </c:pt>
                <c:pt idx="41">
                  <c:v>0.1834987191327786</c:v>
                </c:pt>
                <c:pt idx="42">
                  <c:v>0.19445430448638445</c:v>
                </c:pt>
                <c:pt idx="43">
                  <c:v>0.23567083712440762</c:v>
                </c:pt>
                <c:pt idx="44">
                  <c:v>0.28508735152630549</c:v>
                </c:pt>
                <c:pt idx="45">
                  <c:v>0.26107821176554902</c:v>
                </c:pt>
                <c:pt idx="46">
                  <c:v>0.23792111893924295</c:v>
                </c:pt>
                <c:pt idx="47">
                  <c:v>0.40745568912531738</c:v>
                </c:pt>
                <c:pt idx="48">
                  <c:v>0.42866339861504921</c:v>
                </c:pt>
                <c:pt idx="49">
                  <c:v>0.35244625047030675</c:v>
                </c:pt>
                <c:pt idx="50">
                  <c:v>0.37627857891373506</c:v>
                </c:pt>
                <c:pt idx="51">
                  <c:v>0.46124214881726</c:v>
                </c:pt>
                <c:pt idx="52">
                  <c:v>0.44689129120031823</c:v>
                </c:pt>
                <c:pt idx="53">
                  <c:v>0.50958188116191594</c:v>
                </c:pt>
                <c:pt idx="54">
                  <c:v>0.57568203739479085</c:v>
                </c:pt>
                <c:pt idx="55">
                  <c:v>0.63992341584955148</c:v>
                </c:pt>
                <c:pt idx="56">
                  <c:v>0.70777404031793667</c:v>
                </c:pt>
                <c:pt idx="57">
                  <c:v>0.71689825958175724</c:v>
                </c:pt>
                <c:pt idx="58">
                  <c:v>0.80306116425080409</c:v>
                </c:pt>
                <c:pt idx="59">
                  <c:v>0.76696888563308141</c:v>
                </c:pt>
                <c:pt idx="60">
                  <c:v>0.75708490050107513</c:v>
                </c:pt>
                <c:pt idx="61">
                  <c:v>0.8620492286094581</c:v>
                </c:pt>
                <c:pt idx="62">
                  <c:v>0.93514809590194092</c:v>
                </c:pt>
                <c:pt idx="63">
                  <c:v>0.84501500858881551</c:v>
                </c:pt>
                <c:pt idx="64">
                  <c:v>0.9070242022877153</c:v>
                </c:pt>
                <c:pt idx="65">
                  <c:v>0.9369143913989959</c:v>
                </c:pt>
                <c:pt idx="66">
                  <c:v>0.96760194079317707</c:v>
                </c:pt>
                <c:pt idx="67">
                  <c:v>0.91264794103955182</c:v>
                </c:pt>
                <c:pt idx="68">
                  <c:v>0.83328461316668734</c:v>
                </c:pt>
                <c:pt idx="69">
                  <c:v>0.96897143819273235</c:v>
                </c:pt>
                <c:pt idx="70">
                  <c:v>0.9864063561025942</c:v>
                </c:pt>
                <c:pt idx="71">
                  <c:v>1.0375109939846339</c:v>
                </c:pt>
                <c:pt idx="72">
                  <c:v>1.0629960760716712</c:v>
                </c:pt>
                <c:pt idx="73">
                  <c:v>1.1764005385019378</c:v>
                </c:pt>
                <c:pt idx="74">
                  <c:v>1.1620443620703114</c:v>
                </c:pt>
                <c:pt idx="75">
                  <c:v>1.2918406561691889</c:v>
                </c:pt>
                <c:pt idx="76">
                  <c:v>1.2357701646229775</c:v>
                </c:pt>
                <c:pt idx="77">
                  <c:v>1.28524242950219</c:v>
                </c:pt>
                <c:pt idx="78">
                  <c:v>1.2560048532454213</c:v>
                </c:pt>
                <c:pt idx="79">
                  <c:v>1.4771310265516084</c:v>
                </c:pt>
                <c:pt idx="80">
                  <c:v>1.8996177176591664</c:v>
                </c:pt>
                <c:pt idx="81">
                  <c:v>1.8407255661447555</c:v>
                </c:pt>
                <c:pt idx="82">
                  <c:v>1.9914744301440725</c:v>
                </c:pt>
                <c:pt idx="83">
                  <c:v>2.1849073317618743</c:v>
                </c:pt>
                <c:pt idx="84">
                  <c:v>1.8476741280153393</c:v>
                </c:pt>
                <c:pt idx="85">
                  <c:v>1.7660374191851167</c:v>
                </c:pt>
                <c:pt idx="86">
                  <c:v>1.8048072075705779</c:v>
                </c:pt>
                <c:pt idx="87">
                  <c:v>1.9794624258298334</c:v>
                </c:pt>
                <c:pt idx="88">
                  <c:v>1.6515194259850312</c:v>
                </c:pt>
                <c:pt idx="89">
                  <c:v>1.5904637136579614</c:v>
                </c:pt>
                <c:pt idx="90">
                  <c:v>2.0392596432864671</c:v>
                </c:pt>
                <c:pt idx="91">
                  <c:v>1.7186793359177797</c:v>
                </c:pt>
                <c:pt idx="92">
                  <c:v>1.8633446896411572</c:v>
                </c:pt>
                <c:pt idx="93">
                  <c:v>2.0234318219606897</c:v>
                </c:pt>
                <c:pt idx="94">
                  <c:v>2.0118971113039286</c:v>
                </c:pt>
                <c:pt idx="95">
                  <c:v>2.1982498434581279</c:v>
                </c:pt>
                <c:pt idx="96">
                  <c:v>2.4357215776242853</c:v>
                </c:pt>
                <c:pt idx="97">
                  <c:v>2.5710879228179739</c:v>
                </c:pt>
                <c:pt idx="98">
                  <c:v>2.600490005350506</c:v>
                </c:pt>
                <c:pt idx="99">
                  <c:v>2.6877799060412761</c:v>
                </c:pt>
                <c:pt idx="100">
                  <c:v>2.5817226001149538</c:v>
                </c:pt>
                <c:pt idx="101">
                  <c:v>3.0694551921583964</c:v>
                </c:pt>
                <c:pt idx="102">
                  <c:v>3.3355673620843929</c:v>
                </c:pt>
                <c:pt idx="103">
                  <c:v>3.7891026208850729</c:v>
                </c:pt>
                <c:pt idx="104">
                  <c:v>3.8597605368375465</c:v>
                </c:pt>
                <c:pt idx="105">
                  <c:v>3.7783179979017341</c:v>
                </c:pt>
                <c:pt idx="106">
                  <c:v>3.62991500944627</c:v>
                </c:pt>
                <c:pt idx="107">
                  <c:v>4.5631413915279335</c:v>
                </c:pt>
                <c:pt idx="108">
                  <c:v>4.3095532039149314</c:v>
                </c:pt>
                <c:pt idx="109">
                  <c:v>4.6214500521711566</c:v>
                </c:pt>
                <c:pt idx="110">
                  <c:v>5.1085306513784623</c:v>
                </c:pt>
                <c:pt idx="111">
                  <c:v>5.2056427856676244</c:v>
                </c:pt>
                <c:pt idx="112">
                  <c:v>4.6991277698925309</c:v>
                </c:pt>
                <c:pt idx="113">
                  <c:v>4.6462815578068764</c:v>
                </c:pt>
                <c:pt idx="114">
                  <c:v>4.6399538592168561</c:v>
                </c:pt>
                <c:pt idx="115">
                  <c:v>4.8108438674717728</c:v>
                </c:pt>
                <c:pt idx="116">
                  <c:v>5.4069899615234371</c:v>
                </c:pt>
                <c:pt idx="117">
                  <c:v>5.4301714628342221</c:v>
                </c:pt>
                <c:pt idx="118">
                  <c:v>5.0699583339374037</c:v>
                </c:pt>
                <c:pt idx="119">
                  <c:v>5.3893748344803409</c:v>
                </c:pt>
                <c:pt idx="120">
                  <c:v>5.1654597922762227</c:v>
                </c:pt>
                <c:pt idx="121">
                  <c:v>5.8909637239402528</c:v>
                </c:pt>
                <c:pt idx="122">
                  <c:v>5.4168911701765525</c:v>
                </c:pt>
                <c:pt idx="123">
                  <c:v>5.5416068273800763</c:v>
                </c:pt>
                <c:pt idx="124">
                  <c:v>5.5534464471474418</c:v>
                </c:pt>
                <c:pt idx="125">
                  <c:v>5.8074459593006846</c:v>
                </c:pt>
                <c:pt idx="126">
                  <c:v>6.3129522064865462</c:v>
                </c:pt>
                <c:pt idx="127">
                  <c:v>6.5691314654475335</c:v>
                </c:pt>
                <c:pt idx="128">
                  <c:v>7.3830063100231822</c:v>
                </c:pt>
                <c:pt idx="129">
                  <c:v>7.1725046094699163</c:v>
                </c:pt>
                <c:pt idx="130">
                  <c:v>7.2221883880982638</c:v>
                </c:pt>
                <c:pt idx="131">
                  <c:v>6.3783475849536959</c:v>
                </c:pt>
                <c:pt idx="132">
                  <c:v>6.403428530065371</c:v>
                </c:pt>
                <c:pt idx="133">
                  <c:v>6.5923951984832927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14-BE49-A665-0EC9C3153F0A}"/>
            </c:ext>
          </c:extLst>
        </c:ser>
        <c:ser>
          <c:idx val="3"/>
          <c:order val="3"/>
          <c:tx>
            <c:strRef>
              <c:f>NN2再投資累積報酬!$A$15:$B$15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NN2再投資累積報酬!$C$15:$EF$15</c:f>
              <c:numCache>
                <c:formatCode>General</c:formatCode>
                <c:ptCount val="134"/>
                <c:pt idx="0">
                  <c:v>0.22764509999999993</c:v>
                </c:pt>
                <c:pt idx="1">
                  <c:v>0.24845720139294203</c:v>
                </c:pt>
                <c:pt idx="2">
                  <c:v>0.23572490267068424</c:v>
                </c:pt>
                <c:pt idx="3">
                  <c:v>0.10157177325839295</c:v>
                </c:pt>
                <c:pt idx="4">
                  <c:v>3.4775844216748286E-2</c:v>
                </c:pt>
                <c:pt idx="5">
                  <c:v>8.6677949411529509E-2</c:v>
                </c:pt>
                <c:pt idx="6">
                  <c:v>0.15017411146272774</c:v>
                </c:pt>
                <c:pt idx="7">
                  <c:v>0.20763849536102019</c:v>
                </c:pt>
                <c:pt idx="8">
                  <c:v>-0.13846420965708217</c:v>
                </c:pt>
                <c:pt idx="9">
                  <c:v>-0.11041389218410314</c:v>
                </c:pt>
                <c:pt idx="10">
                  <c:v>-8.773148405002551E-2</c:v>
                </c:pt>
                <c:pt idx="11">
                  <c:v>2.2532727572025513E-2</c:v>
                </c:pt>
                <c:pt idx="12">
                  <c:v>9.7952025962678491E-2</c:v>
                </c:pt>
                <c:pt idx="13">
                  <c:v>2.7555532917051151E-2</c:v>
                </c:pt>
                <c:pt idx="14">
                  <c:v>-0.13226720976327733</c:v>
                </c:pt>
                <c:pt idx="15">
                  <c:v>-0.17750185121236661</c:v>
                </c:pt>
                <c:pt idx="16">
                  <c:v>-0.39958284507548369</c:v>
                </c:pt>
                <c:pt idx="17">
                  <c:v>-0.43969078604242928</c:v>
                </c:pt>
                <c:pt idx="18">
                  <c:v>-0.5164352530125087</c:v>
                </c:pt>
                <c:pt idx="19">
                  <c:v>-0.52471961334221562</c:v>
                </c:pt>
                <c:pt idx="20">
                  <c:v>-0.47598265434481868</c:v>
                </c:pt>
                <c:pt idx="21">
                  <c:v>-0.4095145484771644</c:v>
                </c:pt>
                <c:pt idx="22">
                  <c:v>-0.39733284874885877</c:v>
                </c:pt>
                <c:pt idx="23">
                  <c:v>-0.36917625628492823</c:v>
                </c:pt>
                <c:pt idx="24">
                  <c:v>-0.40329192791755764</c:v>
                </c:pt>
                <c:pt idx="25">
                  <c:v>-0.35334735934266848</c:v>
                </c:pt>
                <c:pt idx="26">
                  <c:v>-0.3426898990235594</c:v>
                </c:pt>
                <c:pt idx="27">
                  <c:v>-0.33024288891245368</c:v>
                </c:pt>
                <c:pt idx="28">
                  <c:v>-0.39574358322534142</c:v>
                </c:pt>
                <c:pt idx="29">
                  <c:v>-0.35597166002438363</c:v>
                </c:pt>
                <c:pt idx="30">
                  <c:v>-0.34945185312475036</c:v>
                </c:pt>
                <c:pt idx="31">
                  <c:v>-0.35888597224110586</c:v>
                </c:pt>
                <c:pt idx="32">
                  <c:v>-0.31126568915564745</c:v>
                </c:pt>
                <c:pt idx="33">
                  <c:v>-0.30838443803966109</c:v>
                </c:pt>
                <c:pt idx="34">
                  <c:v>-0.26567052398312896</c:v>
                </c:pt>
                <c:pt idx="35">
                  <c:v>-0.23304304454401903</c:v>
                </c:pt>
                <c:pt idx="36">
                  <c:v>-0.19076636609489506</c:v>
                </c:pt>
                <c:pt idx="37">
                  <c:v>-0.10847644508230947</c:v>
                </c:pt>
                <c:pt idx="38">
                  <c:v>-5.1980764600411788E-2</c:v>
                </c:pt>
                <c:pt idx="39">
                  <c:v>-0.12619710826734687</c:v>
                </c:pt>
                <c:pt idx="40">
                  <c:v>-0.15884861171753872</c:v>
                </c:pt>
                <c:pt idx="41">
                  <c:v>-8.289780983059547E-2</c:v>
                </c:pt>
                <c:pt idx="42">
                  <c:v>-0.10346914563784737</c:v>
                </c:pt>
                <c:pt idx="43">
                  <c:v>-4.496603311683145E-2</c:v>
                </c:pt>
                <c:pt idx="44">
                  <c:v>-6.8188620283082813E-3</c:v>
                </c:pt>
                <c:pt idx="45">
                  <c:v>-5.3723647197536417E-2</c:v>
                </c:pt>
                <c:pt idx="46">
                  <c:v>-3.890501699460347E-2</c:v>
                </c:pt>
                <c:pt idx="47">
                  <c:v>8.1456730169847003E-2</c:v>
                </c:pt>
                <c:pt idx="48">
                  <c:v>0.11175597271124227</c:v>
                </c:pt>
                <c:pt idx="49">
                  <c:v>1.0226770647501882E-2</c:v>
                </c:pt>
                <c:pt idx="50">
                  <c:v>2.0948827436856554E-2</c:v>
                </c:pt>
                <c:pt idx="51">
                  <c:v>0.13603514728299748</c:v>
                </c:pt>
                <c:pt idx="52">
                  <c:v>0.20664557507407699</c:v>
                </c:pt>
                <c:pt idx="53">
                  <c:v>0.27065000681874141</c:v>
                </c:pt>
                <c:pt idx="54">
                  <c:v>0.33220375061015361</c:v>
                </c:pt>
                <c:pt idx="55">
                  <c:v>0.3957005506076936</c:v>
                </c:pt>
                <c:pt idx="56">
                  <c:v>0.39917520119028538</c:v>
                </c:pt>
                <c:pt idx="57">
                  <c:v>0.44736537727149295</c:v>
                </c:pt>
                <c:pt idx="58">
                  <c:v>0.546635333017222</c:v>
                </c:pt>
                <c:pt idx="59">
                  <c:v>0.52921244409638302</c:v>
                </c:pt>
                <c:pt idx="60">
                  <c:v>0.53047213631516477</c:v>
                </c:pt>
                <c:pt idx="61">
                  <c:v>0.62138810619234963</c:v>
                </c:pt>
                <c:pt idx="62">
                  <c:v>0.72973707675479282</c:v>
                </c:pt>
                <c:pt idx="63">
                  <c:v>0.61547946712346269</c:v>
                </c:pt>
                <c:pt idx="64">
                  <c:v>0.66028394356008313</c:v>
                </c:pt>
                <c:pt idx="65">
                  <c:v>0.68383377745316376</c:v>
                </c:pt>
                <c:pt idx="66">
                  <c:v>0.70539178561022964</c:v>
                </c:pt>
                <c:pt idx="67">
                  <c:v>0.61985371799814182</c:v>
                </c:pt>
                <c:pt idx="68">
                  <c:v>0.59260165954452226</c:v>
                </c:pt>
                <c:pt idx="69">
                  <c:v>0.73443909099162186</c:v>
                </c:pt>
                <c:pt idx="70">
                  <c:v>0.70065842714523452</c:v>
                </c:pt>
                <c:pt idx="71">
                  <c:v>0.80085266353859619</c:v>
                </c:pt>
                <c:pt idx="72">
                  <c:v>0.73611941155579363</c:v>
                </c:pt>
                <c:pt idx="73">
                  <c:v>0.78583474484668492</c:v>
                </c:pt>
                <c:pt idx="74">
                  <c:v>0.67565929273163006</c:v>
                </c:pt>
                <c:pt idx="75">
                  <c:v>0.84809547375572136</c:v>
                </c:pt>
                <c:pt idx="76">
                  <c:v>0.81373564427384415</c:v>
                </c:pt>
                <c:pt idx="77">
                  <c:v>0.8410448696351438</c:v>
                </c:pt>
                <c:pt idx="78">
                  <c:v>0.56062010920545391</c:v>
                </c:pt>
                <c:pt idx="79">
                  <c:v>0.74813186760118544</c:v>
                </c:pt>
                <c:pt idx="80">
                  <c:v>0.87638775758422871</c:v>
                </c:pt>
                <c:pt idx="81">
                  <c:v>0.86958322502012519</c:v>
                </c:pt>
                <c:pt idx="82">
                  <c:v>0.86154611248164858</c:v>
                </c:pt>
                <c:pt idx="83">
                  <c:v>0.97861122365435604</c:v>
                </c:pt>
                <c:pt idx="84">
                  <c:v>0.9018442444831487</c:v>
                </c:pt>
                <c:pt idx="85">
                  <c:v>0.7362994368715079</c:v>
                </c:pt>
                <c:pt idx="86">
                  <c:v>0.83470011981162262</c:v>
                </c:pt>
                <c:pt idx="87">
                  <c:v>0.89235002109645301</c:v>
                </c:pt>
                <c:pt idx="88">
                  <c:v>0.68775311075054879</c:v>
                </c:pt>
                <c:pt idx="89">
                  <c:v>0.61579724918641676</c:v>
                </c:pt>
                <c:pt idx="90">
                  <c:v>0.8959116987256488</c:v>
                </c:pt>
                <c:pt idx="91">
                  <c:v>0.83070484930669797</c:v>
                </c:pt>
                <c:pt idx="92">
                  <c:v>0.8991329548718574</c:v>
                </c:pt>
                <c:pt idx="93">
                  <c:v>0.99074156470258035</c:v>
                </c:pt>
                <c:pt idx="94">
                  <c:v>1.0244097823414564</c:v>
                </c:pt>
                <c:pt idx="95">
                  <c:v>1.0896299898581732</c:v>
                </c:pt>
                <c:pt idx="96">
                  <c:v>1.4111479827657152</c:v>
                </c:pt>
                <c:pt idx="97">
                  <c:v>1.5568874114360058</c:v>
                </c:pt>
                <c:pt idx="98">
                  <c:v>1.487189473176413</c:v>
                </c:pt>
                <c:pt idx="99">
                  <c:v>1.5316308234020766</c:v>
                </c:pt>
                <c:pt idx="100">
                  <c:v>1.4241107583477808</c:v>
                </c:pt>
                <c:pt idx="101">
                  <c:v>1.7037724169728619</c:v>
                </c:pt>
                <c:pt idx="102">
                  <c:v>1.9440345007354214</c:v>
                </c:pt>
                <c:pt idx="103">
                  <c:v>2.2297462777524424</c:v>
                </c:pt>
                <c:pt idx="104">
                  <c:v>2.4775534055324151</c:v>
                </c:pt>
                <c:pt idx="105">
                  <c:v>2.3057842089227272</c:v>
                </c:pt>
                <c:pt idx="106">
                  <c:v>2.0888986491221457</c:v>
                </c:pt>
                <c:pt idx="107">
                  <c:v>3.0239749904222402</c:v>
                </c:pt>
                <c:pt idx="108">
                  <c:v>2.8311549616261855</c:v>
                </c:pt>
                <c:pt idx="109">
                  <c:v>3.3277626767945376</c:v>
                </c:pt>
                <c:pt idx="110">
                  <c:v>3.5130385247507885</c:v>
                </c:pt>
                <c:pt idx="111">
                  <c:v>3.7277079717383472</c:v>
                </c:pt>
                <c:pt idx="112">
                  <c:v>3.2533817586418108</c:v>
                </c:pt>
                <c:pt idx="113">
                  <c:v>3.2862995307482921</c:v>
                </c:pt>
                <c:pt idx="114">
                  <c:v>3.2939012829660745</c:v>
                </c:pt>
                <c:pt idx="115">
                  <c:v>3.0061231602014313</c:v>
                </c:pt>
                <c:pt idx="116">
                  <c:v>3.6452824834696642</c:v>
                </c:pt>
                <c:pt idx="117">
                  <c:v>3.4579419571373196</c:v>
                </c:pt>
                <c:pt idx="118">
                  <c:v>3.1327894782560293</c:v>
                </c:pt>
                <c:pt idx="119">
                  <c:v>3.4221284113413883</c:v>
                </c:pt>
                <c:pt idx="120">
                  <c:v>3.0849769020186919</c:v>
                </c:pt>
                <c:pt idx="121">
                  <c:v>3.2250781293341566</c:v>
                </c:pt>
                <c:pt idx="122">
                  <c:v>2.7302010656624409</c:v>
                </c:pt>
                <c:pt idx="123">
                  <c:v>2.9209258731296552</c:v>
                </c:pt>
                <c:pt idx="124">
                  <c:v>2.6824284992299723</c:v>
                </c:pt>
                <c:pt idx="125">
                  <c:v>2.7853880953398926</c:v>
                </c:pt>
                <c:pt idx="126">
                  <c:v>3.3290061655564163</c:v>
                </c:pt>
                <c:pt idx="127">
                  <c:v>3.5041369757852339</c:v>
                </c:pt>
                <c:pt idx="128">
                  <c:v>3.9958882912864215</c:v>
                </c:pt>
                <c:pt idx="129">
                  <c:v>3.7154740773848056</c:v>
                </c:pt>
                <c:pt idx="130">
                  <c:v>4.0270813565643708</c:v>
                </c:pt>
                <c:pt idx="131">
                  <c:v>3.4572262140369423</c:v>
                </c:pt>
                <c:pt idx="132">
                  <c:v>3.4430067709689212</c:v>
                </c:pt>
                <c:pt idx="133">
                  <c:v>3.5747157079882008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14-BE49-A665-0EC9C3153F0A}"/>
            </c:ext>
          </c:extLst>
        </c:ser>
        <c:ser>
          <c:idx val="4"/>
          <c:order val="4"/>
          <c:tx>
            <c:strRef>
              <c:f>NN2再投資累積報酬!$A$16:$B$16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NN2再投資累積報酬!$C$16:$EF$16</c:f>
              <c:numCache>
                <c:formatCode>General</c:formatCode>
                <c:ptCount val="134"/>
                <c:pt idx="0">
                  <c:v>0.20787511111111101</c:v>
                </c:pt>
                <c:pt idx="1">
                  <c:v>0.20700514067204789</c:v>
                </c:pt>
                <c:pt idx="2">
                  <c:v>0.20358910295466504</c:v>
                </c:pt>
                <c:pt idx="3">
                  <c:v>8.3973417529330963E-2</c:v>
                </c:pt>
                <c:pt idx="4">
                  <c:v>4.0886251605516399E-3</c:v>
                </c:pt>
                <c:pt idx="5">
                  <c:v>6.5337031842533921E-2</c:v>
                </c:pt>
                <c:pt idx="6">
                  <c:v>0.12662653037183169</c:v>
                </c:pt>
                <c:pt idx="7">
                  <c:v>0.17925117228320553</c:v>
                </c:pt>
                <c:pt idx="8">
                  <c:v>-0.15644690778593762</c:v>
                </c:pt>
                <c:pt idx="9">
                  <c:v>-0.14810709096305974</c:v>
                </c:pt>
                <c:pt idx="10">
                  <c:v>-0.11374645499275571</c:v>
                </c:pt>
                <c:pt idx="11">
                  <c:v>-2.3704176022153467E-3</c:v>
                </c:pt>
                <c:pt idx="12">
                  <c:v>7.7267219973474299E-2</c:v>
                </c:pt>
                <c:pt idx="13">
                  <c:v>1.1505192828892508E-2</c:v>
                </c:pt>
                <c:pt idx="14">
                  <c:v>-0.14821458286895173</c:v>
                </c:pt>
                <c:pt idx="15">
                  <c:v>-0.18994438374133238</c:v>
                </c:pt>
                <c:pt idx="16">
                  <c:v>-0.42248139563555254</c:v>
                </c:pt>
                <c:pt idx="17">
                  <c:v>-0.46130165344446028</c:v>
                </c:pt>
                <c:pt idx="18">
                  <c:v>-0.53136609175259075</c:v>
                </c:pt>
                <c:pt idx="19">
                  <c:v>-0.53418827325601237</c:v>
                </c:pt>
                <c:pt idx="20">
                  <c:v>-0.4868312091455862</c:v>
                </c:pt>
                <c:pt idx="21">
                  <c:v>-0.42298799086944294</c:v>
                </c:pt>
                <c:pt idx="22">
                  <c:v>-0.41134354899999215</c:v>
                </c:pt>
                <c:pt idx="23">
                  <c:v>-0.38599722021828853</c:v>
                </c:pt>
                <c:pt idx="24">
                  <c:v>-0.41269874950772245</c:v>
                </c:pt>
                <c:pt idx="25">
                  <c:v>-0.368659940785521</c:v>
                </c:pt>
                <c:pt idx="26">
                  <c:v>-0.33884412602491942</c:v>
                </c:pt>
                <c:pt idx="27">
                  <c:v>-0.33810229204405073</c:v>
                </c:pt>
                <c:pt idx="28">
                  <c:v>-0.4019769832637976</c:v>
                </c:pt>
                <c:pt idx="29">
                  <c:v>-0.3638913835597688</c:v>
                </c:pt>
                <c:pt idx="30">
                  <c:v>-0.35543702103424946</c:v>
                </c:pt>
                <c:pt idx="31">
                  <c:v>-0.38386769138290588</c:v>
                </c:pt>
                <c:pt idx="32">
                  <c:v>-0.32809347795081523</c:v>
                </c:pt>
                <c:pt idx="33">
                  <c:v>-0.33993918993454242</c:v>
                </c:pt>
                <c:pt idx="34">
                  <c:v>-0.29741714791557539</c:v>
                </c:pt>
                <c:pt idx="35">
                  <c:v>-0.26320913843005167</c:v>
                </c:pt>
                <c:pt idx="36">
                  <c:v>-0.21452440716022758</c:v>
                </c:pt>
                <c:pt idx="37">
                  <c:v>-0.13090566028332018</c:v>
                </c:pt>
                <c:pt idx="38">
                  <c:v>-7.7521825680465062E-2</c:v>
                </c:pt>
                <c:pt idx="39">
                  <c:v>-0.14928912229244662</c:v>
                </c:pt>
                <c:pt idx="40">
                  <c:v>-0.18201273718078304</c:v>
                </c:pt>
                <c:pt idx="41">
                  <c:v>-9.7521868347721141E-2</c:v>
                </c:pt>
                <c:pt idx="42">
                  <c:v>-0.12286225098034165</c:v>
                </c:pt>
                <c:pt idx="43">
                  <c:v>-7.9402570694059205E-2</c:v>
                </c:pt>
                <c:pt idx="44">
                  <c:v>-4.0896890920607332E-2</c:v>
                </c:pt>
                <c:pt idx="45">
                  <c:v>-4.9598360380467166E-2</c:v>
                </c:pt>
                <c:pt idx="46">
                  <c:v>-1.2292311277648293E-2</c:v>
                </c:pt>
                <c:pt idx="47">
                  <c:v>8.7298031007555066E-2</c:v>
                </c:pt>
                <c:pt idx="48">
                  <c:v>0.12406239336857849</c:v>
                </c:pt>
                <c:pt idx="49">
                  <c:v>6.1374177621709158E-3</c:v>
                </c:pt>
                <c:pt idx="50">
                  <c:v>2.115211214980417E-2</c:v>
                </c:pt>
                <c:pt idx="51">
                  <c:v>0.13147628774276532</c:v>
                </c:pt>
                <c:pt idx="52">
                  <c:v>0.2074226350421482</c:v>
                </c:pt>
                <c:pt idx="53">
                  <c:v>0.25081343399165323</c:v>
                </c:pt>
                <c:pt idx="54">
                  <c:v>0.31511899643513197</c:v>
                </c:pt>
                <c:pt idx="55">
                  <c:v>0.39963913553491848</c:v>
                </c:pt>
                <c:pt idx="56">
                  <c:v>0.41849686837333855</c:v>
                </c:pt>
                <c:pt idx="57">
                  <c:v>0.39895620236792029</c:v>
                </c:pt>
                <c:pt idx="58">
                  <c:v>0.45693427428807931</c:v>
                </c:pt>
                <c:pt idx="59">
                  <c:v>0.42706156159136799</c:v>
                </c:pt>
                <c:pt idx="60">
                  <c:v>0.43130277470306622</c:v>
                </c:pt>
                <c:pt idx="61">
                  <c:v>0.5323864802596685</c:v>
                </c:pt>
                <c:pt idx="62">
                  <c:v>0.65731256419235451</c:v>
                </c:pt>
                <c:pt idx="63">
                  <c:v>0.54594226475367091</c:v>
                </c:pt>
                <c:pt idx="64">
                  <c:v>0.57978349739670154</c:v>
                </c:pt>
                <c:pt idx="65">
                  <c:v>0.61271121479837976</c:v>
                </c:pt>
                <c:pt idx="66">
                  <c:v>0.63928549641033294</c:v>
                </c:pt>
                <c:pt idx="67">
                  <c:v>0.59617745484747231</c:v>
                </c:pt>
                <c:pt idx="68">
                  <c:v>0.57512136319551854</c:v>
                </c:pt>
                <c:pt idx="69">
                  <c:v>0.70976776395555818</c:v>
                </c:pt>
                <c:pt idx="70">
                  <c:v>0.61100284068024546</c:v>
                </c:pt>
                <c:pt idx="71">
                  <c:v>0.7088088198903244</c:v>
                </c:pt>
                <c:pt idx="72">
                  <c:v>0.59647014327609238</c:v>
                </c:pt>
                <c:pt idx="73">
                  <c:v>0.64685352372313631</c:v>
                </c:pt>
                <c:pt idx="74">
                  <c:v>0.563582462111059</c:v>
                </c:pt>
                <c:pt idx="75">
                  <c:v>0.73796232290029273</c:v>
                </c:pt>
                <c:pt idx="76">
                  <c:v>0.68631983305714939</c:v>
                </c:pt>
                <c:pt idx="77">
                  <c:v>0.68391169246933425</c:v>
                </c:pt>
                <c:pt idx="78">
                  <c:v>0.41604762537933948</c:v>
                </c:pt>
                <c:pt idx="79">
                  <c:v>0.63563593133040364</c:v>
                </c:pt>
                <c:pt idx="80">
                  <c:v>0.78875398993131651</c:v>
                </c:pt>
                <c:pt idx="81">
                  <c:v>0.76246646129528584</c:v>
                </c:pt>
                <c:pt idx="82">
                  <c:v>0.75298700189112799</c:v>
                </c:pt>
                <c:pt idx="83">
                  <c:v>0.82608202787799856</c:v>
                </c:pt>
                <c:pt idx="84">
                  <c:v>0.75539460836966166</c:v>
                </c:pt>
                <c:pt idx="85">
                  <c:v>0.67548281276314937</c:v>
                </c:pt>
                <c:pt idx="86">
                  <c:v>0.8036119826228556</c:v>
                </c:pt>
                <c:pt idx="87">
                  <c:v>0.83225096434999912</c:v>
                </c:pt>
                <c:pt idx="88">
                  <c:v>0.62510705307605297</c:v>
                </c:pt>
                <c:pt idx="89">
                  <c:v>0.57138505206332679</c:v>
                </c:pt>
                <c:pt idx="90">
                  <c:v>0.90066407556804062</c:v>
                </c:pt>
                <c:pt idx="91">
                  <c:v>0.84234304314882436</c:v>
                </c:pt>
                <c:pt idx="92">
                  <c:v>0.91868164297409738</c:v>
                </c:pt>
                <c:pt idx="93">
                  <c:v>1.0113535186693086</c:v>
                </c:pt>
                <c:pt idx="94">
                  <c:v>1.0552175631718974</c:v>
                </c:pt>
                <c:pt idx="95">
                  <c:v>1.1557256945237486</c:v>
                </c:pt>
                <c:pt idx="96">
                  <c:v>1.487806854387431</c:v>
                </c:pt>
                <c:pt idx="97">
                  <c:v>1.635715540993262</c:v>
                </c:pt>
                <c:pt idx="98">
                  <c:v>1.5522301298041477</c:v>
                </c:pt>
                <c:pt idx="99">
                  <c:v>1.5692940568708931</c:v>
                </c:pt>
                <c:pt idx="100">
                  <c:v>1.4430979144845115</c:v>
                </c:pt>
                <c:pt idx="101">
                  <c:v>1.8491915500173937</c:v>
                </c:pt>
                <c:pt idx="102">
                  <c:v>2.1859105902826435</c:v>
                </c:pt>
                <c:pt idx="103">
                  <c:v>2.4981829266401805</c:v>
                </c:pt>
                <c:pt idx="104">
                  <c:v>2.7211574950712176</c:v>
                </c:pt>
                <c:pt idx="105">
                  <c:v>2.4604125098958822</c:v>
                </c:pt>
                <c:pt idx="106">
                  <c:v>2.2655036218051601</c:v>
                </c:pt>
                <c:pt idx="107">
                  <c:v>3.3286891936623704</c:v>
                </c:pt>
                <c:pt idx="108">
                  <c:v>3.1309676573634544</c:v>
                </c:pt>
                <c:pt idx="109">
                  <c:v>3.6975275765888211</c:v>
                </c:pt>
                <c:pt idx="110">
                  <c:v>3.9222045791544708</c:v>
                </c:pt>
                <c:pt idx="111">
                  <c:v>4.1769439796510719</c:v>
                </c:pt>
                <c:pt idx="112">
                  <c:v>3.6786406881857445</c:v>
                </c:pt>
                <c:pt idx="113">
                  <c:v>3.6850358701575292</c:v>
                </c:pt>
                <c:pt idx="114">
                  <c:v>3.86370127474461</c:v>
                </c:pt>
                <c:pt idx="115">
                  <c:v>3.5879013110814482</c:v>
                </c:pt>
                <c:pt idx="116">
                  <c:v>4.3659665530286249</c:v>
                </c:pt>
                <c:pt idx="117">
                  <c:v>4.2333443047964989</c:v>
                </c:pt>
                <c:pt idx="118">
                  <c:v>3.8797795635644476</c:v>
                </c:pt>
                <c:pt idx="119">
                  <c:v>4.1491007054512945</c:v>
                </c:pt>
                <c:pt idx="120">
                  <c:v>3.6663618814750354</c:v>
                </c:pt>
                <c:pt idx="121">
                  <c:v>3.8159623324872038</c:v>
                </c:pt>
                <c:pt idx="122">
                  <c:v>3.2246921890407521</c:v>
                </c:pt>
                <c:pt idx="123">
                  <c:v>3.4154445519398333</c:v>
                </c:pt>
                <c:pt idx="124">
                  <c:v>3.1006096184479173</c:v>
                </c:pt>
                <c:pt idx="125">
                  <c:v>3.2544116390303346</c:v>
                </c:pt>
                <c:pt idx="126">
                  <c:v>3.9247868443908143</c:v>
                </c:pt>
                <c:pt idx="127">
                  <c:v>4.2144157475035913</c:v>
                </c:pt>
                <c:pt idx="128">
                  <c:v>4.9433904896250658</c:v>
                </c:pt>
                <c:pt idx="129">
                  <c:v>4.5221361792548622</c:v>
                </c:pt>
                <c:pt idx="130">
                  <c:v>4.8729689029604506</c:v>
                </c:pt>
                <c:pt idx="131">
                  <c:v>4.1951299340184489</c:v>
                </c:pt>
                <c:pt idx="132">
                  <c:v>4.172291565591844</c:v>
                </c:pt>
                <c:pt idx="133">
                  <c:v>4.350986193396162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14-BE49-A665-0EC9C3153F0A}"/>
            </c:ext>
          </c:extLst>
        </c:ser>
        <c:ser>
          <c:idx val="5"/>
          <c:order val="5"/>
          <c:tx>
            <c:strRef>
              <c:f>NN2再投資累積報酬!$A$17:$B$17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NN2再投資累積報酬!$C$17:$EF$17</c:f>
              <c:numCache>
                <c:formatCode>General</c:formatCode>
                <c:ptCount val="134"/>
                <c:pt idx="0">
                  <c:v>0.20609237499999988</c:v>
                </c:pt>
                <c:pt idx="1">
                  <c:v>0.18518551780903003</c:v>
                </c:pt>
                <c:pt idx="2">
                  <c:v>0.1939310035171522</c:v>
                </c:pt>
                <c:pt idx="3">
                  <c:v>5.9210795858777532E-2</c:v>
                </c:pt>
                <c:pt idx="4">
                  <c:v>-1.6229127729525561E-2</c:v>
                </c:pt>
                <c:pt idx="5">
                  <c:v>5.9214117381652498E-2</c:v>
                </c:pt>
                <c:pt idx="6">
                  <c:v>0.17967327232935038</c:v>
                </c:pt>
                <c:pt idx="7">
                  <c:v>0.22905250227292662</c:v>
                </c:pt>
                <c:pt idx="8">
                  <c:v>-0.13576291309826227</c:v>
                </c:pt>
                <c:pt idx="9">
                  <c:v>-0.12737040223850726</c:v>
                </c:pt>
                <c:pt idx="10">
                  <c:v>-7.0708786669032575E-2</c:v>
                </c:pt>
                <c:pt idx="11">
                  <c:v>5.5626896703742768E-2</c:v>
                </c:pt>
                <c:pt idx="12">
                  <c:v>0.16248459701404427</c:v>
                </c:pt>
                <c:pt idx="13">
                  <c:v>8.5366102214524453E-2</c:v>
                </c:pt>
                <c:pt idx="14">
                  <c:v>-9.0247538255159743E-2</c:v>
                </c:pt>
                <c:pt idx="15">
                  <c:v>-0.13760707610860357</c:v>
                </c:pt>
                <c:pt idx="16">
                  <c:v>-0.40551239821310525</c:v>
                </c:pt>
                <c:pt idx="17">
                  <c:v>-0.44784111307510932</c:v>
                </c:pt>
                <c:pt idx="18">
                  <c:v>-0.52584522989380644</c:v>
                </c:pt>
                <c:pt idx="19">
                  <c:v>-0.52394330510225351</c:v>
                </c:pt>
                <c:pt idx="20">
                  <c:v>-0.46700502777675146</c:v>
                </c:pt>
                <c:pt idx="21">
                  <c:v>-0.40472659175090064</c:v>
                </c:pt>
                <c:pt idx="22">
                  <c:v>-0.39107815646126098</c:v>
                </c:pt>
                <c:pt idx="23">
                  <c:v>-0.35827645665362018</c:v>
                </c:pt>
                <c:pt idx="24">
                  <c:v>-0.38087140758478943</c:v>
                </c:pt>
                <c:pt idx="25">
                  <c:v>-0.32833706933149964</c:v>
                </c:pt>
                <c:pt idx="26">
                  <c:v>-0.28889118509666389</c:v>
                </c:pt>
                <c:pt idx="27">
                  <c:v>-0.27330876844518481</c:v>
                </c:pt>
                <c:pt idx="28">
                  <c:v>-0.36571367905592622</c:v>
                </c:pt>
                <c:pt idx="29">
                  <c:v>-0.32674990794054826</c:v>
                </c:pt>
                <c:pt idx="30">
                  <c:v>-0.31143954053164624</c:v>
                </c:pt>
                <c:pt idx="31">
                  <c:v>-0.33342037000919711</c:v>
                </c:pt>
                <c:pt idx="32">
                  <c:v>-0.25685361748784985</c:v>
                </c:pt>
                <c:pt idx="33">
                  <c:v>-0.27335759813727534</c:v>
                </c:pt>
                <c:pt idx="34">
                  <c:v>-0.21979222720452929</c:v>
                </c:pt>
                <c:pt idx="35">
                  <c:v>-0.18021665156907418</c:v>
                </c:pt>
                <c:pt idx="36">
                  <c:v>-0.11843009903894341</c:v>
                </c:pt>
                <c:pt idx="37">
                  <c:v>-1.8559583575429306E-2</c:v>
                </c:pt>
                <c:pt idx="38">
                  <c:v>-6.1616998493871922E-3</c:v>
                </c:pt>
                <c:pt idx="39">
                  <c:v>-8.2928567230997285E-2</c:v>
                </c:pt>
                <c:pt idx="40">
                  <c:v>-0.13843627584919638</c:v>
                </c:pt>
                <c:pt idx="41">
                  <c:v>-4.0277709137072848E-2</c:v>
                </c:pt>
                <c:pt idx="42">
                  <c:v>-6.8604872274182993E-2</c:v>
                </c:pt>
                <c:pt idx="43">
                  <c:v>-1.9922892009995752E-2</c:v>
                </c:pt>
                <c:pt idx="44">
                  <c:v>3.3545711796469035E-2</c:v>
                </c:pt>
                <c:pt idx="45">
                  <c:v>1.162844191108281E-2</c:v>
                </c:pt>
                <c:pt idx="46">
                  <c:v>2.0148263388795717E-2</c:v>
                </c:pt>
                <c:pt idx="47">
                  <c:v>0.11832790201911481</c:v>
                </c:pt>
                <c:pt idx="48">
                  <c:v>0.1489965872047232</c:v>
                </c:pt>
                <c:pt idx="49">
                  <c:v>5.1909293450373983E-3</c:v>
                </c:pt>
                <c:pt idx="50">
                  <c:v>1.5067110262697581E-2</c:v>
                </c:pt>
                <c:pt idx="51">
                  <c:v>0.14069594016203779</c:v>
                </c:pt>
                <c:pt idx="52">
                  <c:v>0.23635834643038645</c:v>
                </c:pt>
                <c:pt idx="53">
                  <c:v>0.26399896985230442</c:v>
                </c:pt>
                <c:pt idx="54">
                  <c:v>0.36176959635903883</c:v>
                </c:pt>
                <c:pt idx="55">
                  <c:v>0.43693586903624304</c:v>
                </c:pt>
                <c:pt idx="56">
                  <c:v>0.38607662164420531</c:v>
                </c:pt>
                <c:pt idx="57">
                  <c:v>0.40481563026805434</c:v>
                </c:pt>
                <c:pt idx="58">
                  <c:v>0.52719185280515002</c:v>
                </c:pt>
                <c:pt idx="59">
                  <c:v>0.51213669736263379</c:v>
                </c:pt>
                <c:pt idx="60">
                  <c:v>0.49123450427154247</c:v>
                </c:pt>
                <c:pt idx="61">
                  <c:v>0.60677977785694859</c:v>
                </c:pt>
                <c:pt idx="62">
                  <c:v>0.72889145857157067</c:v>
                </c:pt>
                <c:pt idx="63">
                  <c:v>0.60154477151610597</c:v>
                </c:pt>
                <c:pt idx="64">
                  <c:v>0.65788650065070708</c:v>
                </c:pt>
                <c:pt idx="65">
                  <c:v>0.7175637493975684</c:v>
                </c:pt>
                <c:pt idx="66">
                  <c:v>0.73710363133503631</c:v>
                </c:pt>
                <c:pt idx="67">
                  <c:v>0.72034687807661335</c:v>
                </c:pt>
                <c:pt idx="68">
                  <c:v>0.71328748780289764</c:v>
                </c:pt>
                <c:pt idx="69">
                  <c:v>0.90074920068229503</c:v>
                </c:pt>
                <c:pt idx="70">
                  <c:v>0.76555305604552704</c:v>
                </c:pt>
                <c:pt idx="71">
                  <c:v>0.88951307110771438</c:v>
                </c:pt>
                <c:pt idx="72">
                  <c:v>0.73753629881982241</c:v>
                </c:pt>
                <c:pt idx="73">
                  <c:v>0.78761724608610328</c:v>
                </c:pt>
                <c:pt idx="74">
                  <c:v>0.63701859524846083</c:v>
                </c:pt>
                <c:pt idx="75">
                  <c:v>0.83440727860656483</c:v>
                </c:pt>
                <c:pt idx="76">
                  <c:v>0.78316341880149731</c:v>
                </c:pt>
                <c:pt idx="77">
                  <c:v>0.76447995408887381</c:v>
                </c:pt>
                <c:pt idx="78">
                  <c:v>0.45577011617607921</c:v>
                </c:pt>
                <c:pt idx="79">
                  <c:v>0.70755973874446365</c:v>
                </c:pt>
                <c:pt idx="80">
                  <c:v>0.87098622588531671</c:v>
                </c:pt>
                <c:pt idx="81">
                  <c:v>0.69301099988075832</c:v>
                </c:pt>
                <c:pt idx="82">
                  <c:v>0.6667234401923483</c:v>
                </c:pt>
                <c:pt idx="83">
                  <c:v>0.76445418020190559</c:v>
                </c:pt>
                <c:pt idx="84">
                  <c:v>0.73881457010373897</c:v>
                </c:pt>
                <c:pt idx="85">
                  <c:v>0.65058308218570327</c:v>
                </c:pt>
                <c:pt idx="86">
                  <c:v>0.80200521819871828</c:v>
                </c:pt>
                <c:pt idx="87">
                  <c:v>0.78501889573638373</c:v>
                </c:pt>
                <c:pt idx="88">
                  <c:v>0.61456275570791519</c:v>
                </c:pt>
                <c:pt idx="89">
                  <c:v>0.57142476926880503</c:v>
                </c:pt>
                <c:pt idx="90">
                  <c:v>0.88269317684985826</c:v>
                </c:pt>
                <c:pt idx="91">
                  <c:v>0.84200817729813271</c:v>
                </c:pt>
                <c:pt idx="92">
                  <c:v>0.91769248621024091</c:v>
                </c:pt>
                <c:pt idx="93">
                  <c:v>1.0148744116573973</c:v>
                </c:pt>
                <c:pt idx="94">
                  <c:v>1.038139410910901</c:v>
                </c:pt>
                <c:pt idx="95">
                  <c:v>1.1576849494533219</c:v>
                </c:pt>
                <c:pt idx="96">
                  <c:v>1.2679617998243131</c:v>
                </c:pt>
                <c:pt idx="97">
                  <c:v>1.4219368448618606</c:v>
                </c:pt>
                <c:pt idx="98">
                  <c:v>1.3658520533453946</c:v>
                </c:pt>
                <c:pt idx="99">
                  <c:v>1.4249782449365762</c:v>
                </c:pt>
                <c:pt idx="100">
                  <c:v>1.3052248198868535</c:v>
                </c:pt>
                <c:pt idx="101">
                  <c:v>1.7296994091684366</c:v>
                </c:pt>
                <c:pt idx="102">
                  <c:v>1.9876440608999388</c:v>
                </c:pt>
                <c:pt idx="103">
                  <c:v>2.2991686947740364</c:v>
                </c:pt>
                <c:pt idx="104">
                  <c:v>2.4769526478136727</c:v>
                </c:pt>
                <c:pt idx="105">
                  <c:v>2.1809459937579314</c:v>
                </c:pt>
                <c:pt idx="106">
                  <c:v>2.01660122613568</c:v>
                </c:pt>
                <c:pt idx="107">
                  <c:v>3.0791307574392324</c:v>
                </c:pt>
                <c:pt idx="108">
                  <c:v>2.8865504053584239</c:v>
                </c:pt>
                <c:pt idx="109">
                  <c:v>3.5217424552137686</c:v>
                </c:pt>
                <c:pt idx="110">
                  <c:v>3.8390839928987406</c:v>
                </c:pt>
                <c:pt idx="111">
                  <c:v>4.1156201014134295</c:v>
                </c:pt>
                <c:pt idx="112">
                  <c:v>3.5898373068426697</c:v>
                </c:pt>
                <c:pt idx="113">
                  <c:v>3.5632632962953767</c:v>
                </c:pt>
                <c:pt idx="114">
                  <c:v>3.757491753607245</c:v>
                </c:pt>
                <c:pt idx="115">
                  <c:v>3.4690616798071749</c:v>
                </c:pt>
                <c:pt idx="116">
                  <c:v>4.2724291454926719</c:v>
                </c:pt>
                <c:pt idx="117">
                  <c:v>4.1401116046037449</c:v>
                </c:pt>
                <c:pt idx="118">
                  <c:v>3.8047501630729785</c:v>
                </c:pt>
                <c:pt idx="119">
                  <c:v>4.0732627364633203</c:v>
                </c:pt>
                <c:pt idx="120">
                  <c:v>3.4425741953853537</c:v>
                </c:pt>
                <c:pt idx="121">
                  <c:v>3.5169562151386904</c:v>
                </c:pt>
                <c:pt idx="122">
                  <c:v>2.932037487015521</c:v>
                </c:pt>
                <c:pt idx="123">
                  <c:v>3.1768947999210093</c:v>
                </c:pt>
                <c:pt idx="124">
                  <c:v>2.8569457024707603</c:v>
                </c:pt>
                <c:pt idx="125">
                  <c:v>3.0271213786369628</c:v>
                </c:pt>
                <c:pt idx="126">
                  <c:v>3.4591600211602378</c:v>
                </c:pt>
                <c:pt idx="127">
                  <c:v>3.6786042041215756</c:v>
                </c:pt>
                <c:pt idx="128">
                  <c:v>4.4485732096788482</c:v>
                </c:pt>
                <c:pt idx="129">
                  <c:v>4.0465577271908577</c:v>
                </c:pt>
                <c:pt idx="130">
                  <c:v>4.1294485340533571</c:v>
                </c:pt>
                <c:pt idx="131">
                  <c:v>3.4712149032589839</c:v>
                </c:pt>
                <c:pt idx="132">
                  <c:v>3.4720839956558045</c:v>
                </c:pt>
                <c:pt idx="133">
                  <c:v>3.6553712401967591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14-BE49-A665-0EC9C3153F0A}"/>
            </c:ext>
          </c:extLst>
        </c:ser>
        <c:ser>
          <c:idx val="6"/>
          <c:order val="6"/>
          <c:tx>
            <c:strRef>
              <c:f>NN2再投資累積報酬!$A$18:$B$18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NN2再投資累積報酬!$C$18:$EF$18</c:f>
              <c:numCache>
                <c:formatCode>General</c:formatCode>
                <c:ptCount val="134"/>
                <c:pt idx="0">
                  <c:v>0.18975114285714278</c:v>
                </c:pt>
                <c:pt idx="1">
                  <c:v>0.18001009453995054</c:v>
                </c:pt>
                <c:pt idx="2">
                  <c:v>0.11038872357957508</c:v>
                </c:pt>
                <c:pt idx="3">
                  <c:v>-3.8863482078259071E-2</c:v>
                </c:pt>
                <c:pt idx="4">
                  <c:v>-0.11651778332799723</c:v>
                </c:pt>
                <c:pt idx="5">
                  <c:v>-8.8100019406683883E-3</c:v>
                </c:pt>
                <c:pt idx="6">
                  <c:v>0.12549642143184503</c:v>
                </c:pt>
                <c:pt idx="7">
                  <c:v>0.17435592705924985</c:v>
                </c:pt>
                <c:pt idx="8">
                  <c:v>-0.24686452125355196</c:v>
                </c:pt>
                <c:pt idx="9">
                  <c:v>-0.23708694980673095</c:v>
                </c:pt>
                <c:pt idx="10">
                  <c:v>-0.17628081359244285</c:v>
                </c:pt>
                <c:pt idx="11">
                  <c:v>-5.8495207726989351E-2</c:v>
                </c:pt>
                <c:pt idx="12">
                  <c:v>3.9111055076586521E-2</c:v>
                </c:pt>
                <c:pt idx="13">
                  <c:v>-4.6670276231189467E-2</c:v>
                </c:pt>
                <c:pt idx="14">
                  <c:v>-0.22682615992953614</c:v>
                </c:pt>
                <c:pt idx="15">
                  <c:v>-0.27437034961953743</c:v>
                </c:pt>
                <c:pt idx="16">
                  <c:v>-0.55281812299096367</c:v>
                </c:pt>
                <c:pt idx="17">
                  <c:v>-0.5770752535016026</c:v>
                </c:pt>
                <c:pt idx="18">
                  <c:v>-0.63311067812088273</c:v>
                </c:pt>
                <c:pt idx="19">
                  <c:v>-0.62837959075956551</c:v>
                </c:pt>
                <c:pt idx="20">
                  <c:v>-0.57712673036402051</c:v>
                </c:pt>
                <c:pt idx="21">
                  <c:v>-0.51646491806753214</c:v>
                </c:pt>
                <c:pt idx="22">
                  <c:v>-0.50716540969825696</c:v>
                </c:pt>
                <c:pt idx="23">
                  <c:v>-0.46318762875121011</c:v>
                </c:pt>
                <c:pt idx="24">
                  <c:v>-0.48557552031126039</c:v>
                </c:pt>
                <c:pt idx="25">
                  <c:v>-0.44200464154188512</c:v>
                </c:pt>
                <c:pt idx="26">
                  <c:v>-0.40973966875619705</c:v>
                </c:pt>
                <c:pt idx="27">
                  <c:v>-0.39404134676941671</c:v>
                </c:pt>
                <c:pt idx="28">
                  <c:v>-0.48101413260498593</c:v>
                </c:pt>
                <c:pt idx="29">
                  <c:v>-0.46447227903404975</c:v>
                </c:pt>
                <c:pt idx="30">
                  <c:v>-0.44707131462307215</c:v>
                </c:pt>
                <c:pt idx="31">
                  <c:v>-0.46692966936857228</c:v>
                </c:pt>
                <c:pt idx="32">
                  <c:v>-0.40398129784691628</c:v>
                </c:pt>
                <c:pt idx="33">
                  <c:v>-0.40834900804182295</c:v>
                </c:pt>
                <c:pt idx="34">
                  <c:v>-0.39050926298623778</c:v>
                </c:pt>
                <c:pt idx="35">
                  <c:v>-0.3615415313013971</c:v>
                </c:pt>
                <c:pt idx="36">
                  <c:v>-0.31899248472503761</c:v>
                </c:pt>
                <c:pt idx="37">
                  <c:v>-0.26499223899452296</c:v>
                </c:pt>
                <c:pt idx="38">
                  <c:v>-0.26100295867014012</c:v>
                </c:pt>
                <c:pt idx="39">
                  <c:v>-0.3188506065086909</c:v>
                </c:pt>
                <c:pt idx="40">
                  <c:v>-0.37077520056813207</c:v>
                </c:pt>
                <c:pt idx="41">
                  <c:v>-0.29240807930676815</c:v>
                </c:pt>
                <c:pt idx="42">
                  <c:v>-0.32451384969350228</c:v>
                </c:pt>
                <c:pt idx="43">
                  <c:v>-0.29524797328667218</c:v>
                </c:pt>
                <c:pt idx="44">
                  <c:v>-0.2497381572452616</c:v>
                </c:pt>
                <c:pt idx="45">
                  <c:v>-0.27132225704683999</c:v>
                </c:pt>
                <c:pt idx="46">
                  <c:v>-0.2534419376395225</c:v>
                </c:pt>
                <c:pt idx="47">
                  <c:v>-0.17314150424863495</c:v>
                </c:pt>
                <c:pt idx="48">
                  <c:v>-0.14438065479411455</c:v>
                </c:pt>
                <c:pt idx="49">
                  <c:v>-0.27136233669031062</c:v>
                </c:pt>
                <c:pt idx="50">
                  <c:v>-0.27090161113566258</c:v>
                </c:pt>
                <c:pt idx="51">
                  <c:v>-0.17053681258130671</c:v>
                </c:pt>
                <c:pt idx="52">
                  <c:v>-0.10152417097980315</c:v>
                </c:pt>
                <c:pt idx="53">
                  <c:v>-0.12310221059402471</c:v>
                </c:pt>
                <c:pt idx="54">
                  <c:v>-6.3156413824369206E-2</c:v>
                </c:pt>
                <c:pt idx="55">
                  <c:v>-2.0169780287465966E-2</c:v>
                </c:pt>
                <c:pt idx="56">
                  <c:v>-3.6637043320679519E-2</c:v>
                </c:pt>
                <c:pt idx="57">
                  <c:v>-1.6884390809813521E-2</c:v>
                </c:pt>
                <c:pt idx="58">
                  <c:v>9.0275217393764873E-2</c:v>
                </c:pt>
                <c:pt idx="59">
                  <c:v>9.6768966421190816E-2</c:v>
                </c:pt>
                <c:pt idx="60">
                  <c:v>3.3152808263561706E-2</c:v>
                </c:pt>
                <c:pt idx="61">
                  <c:v>0.11700108688304356</c:v>
                </c:pt>
                <c:pt idx="62">
                  <c:v>0.23179968852015742</c:v>
                </c:pt>
                <c:pt idx="63">
                  <c:v>0.13546045890961178</c:v>
                </c:pt>
                <c:pt idx="64">
                  <c:v>0.1584279809211484</c:v>
                </c:pt>
                <c:pt idx="65">
                  <c:v>0.21270906676198531</c:v>
                </c:pt>
                <c:pt idx="66">
                  <c:v>0.21503356823102449</c:v>
                </c:pt>
                <c:pt idx="67">
                  <c:v>0.20804932006982924</c:v>
                </c:pt>
                <c:pt idx="68">
                  <c:v>0.20323690447984122</c:v>
                </c:pt>
                <c:pt idx="69">
                  <c:v>0.34189401246886497</c:v>
                </c:pt>
                <c:pt idx="70">
                  <c:v>0.23363343337024234</c:v>
                </c:pt>
                <c:pt idx="71">
                  <c:v>0.33346323932583721</c:v>
                </c:pt>
                <c:pt idx="72">
                  <c:v>0.21970404099349028</c:v>
                </c:pt>
                <c:pt idx="73">
                  <c:v>0.24290095145817148</c:v>
                </c:pt>
                <c:pt idx="74">
                  <c:v>8.9930946905799614E-2</c:v>
                </c:pt>
                <c:pt idx="75">
                  <c:v>0.25703914639107106</c:v>
                </c:pt>
                <c:pt idx="76">
                  <c:v>0.23683030137907068</c:v>
                </c:pt>
                <c:pt idx="77">
                  <c:v>0.20643228199299535</c:v>
                </c:pt>
                <c:pt idx="78">
                  <c:v>0.17244292963306851</c:v>
                </c:pt>
                <c:pt idx="79">
                  <c:v>0.39956484400655667</c:v>
                </c:pt>
                <c:pt idx="80">
                  <c:v>0.50769502391666843</c:v>
                </c:pt>
                <c:pt idx="81">
                  <c:v>0.3541227164755405</c:v>
                </c:pt>
                <c:pt idx="82">
                  <c:v>0.35032933269867628</c:v>
                </c:pt>
                <c:pt idx="83">
                  <c:v>0.56996991401058539</c:v>
                </c:pt>
                <c:pt idx="84">
                  <c:v>0.5089465338191439</c:v>
                </c:pt>
                <c:pt idx="85">
                  <c:v>0.41491852565572351</c:v>
                </c:pt>
                <c:pt idx="86">
                  <c:v>0.543206053331033</c:v>
                </c:pt>
                <c:pt idx="87">
                  <c:v>0.49538279980725464</c:v>
                </c:pt>
                <c:pt idx="88">
                  <c:v>0.34170423210609124</c:v>
                </c:pt>
                <c:pt idx="89">
                  <c:v>0.29462885665482252</c:v>
                </c:pt>
                <c:pt idx="90">
                  <c:v>0.59016932130969879</c:v>
                </c:pt>
                <c:pt idx="91">
                  <c:v>0.56552465000099517</c:v>
                </c:pt>
                <c:pt idx="92">
                  <c:v>0.64063310036980825</c:v>
                </c:pt>
                <c:pt idx="93">
                  <c:v>0.7311240708305069</c:v>
                </c:pt>
                <c:pt idx="94">
                  <c:v>0.77981935442577544</c:v>
                </c:pt>
                <c:pt idx="95">
                  <c:v>0.91663559375993131</c:v>
                </c:pt>
                <c:pt idx="96">
                  <c:v>0.92572373213537107</c:v>
                </c:pt>
                <c:pt idx="97">
                  <c:v>1.0469373120410705</c:v>
                </c:pt>
                <c:pt idx="98">
                  <c:v>0.98894874766941099</c:v>
                </c:pt>
                <c:pt idx="99">
                  <c:v>0.96094576997990244</c:v>
                </c:pt>
                <c:pt idx="100">
                  <c:v>0.86023666668113563</c:v>
                </c:pt>
                <c:pt idx="101">
                  <c:v>1.2404921614350459</c:v>
                </c:pt>
                <c:pt idx="102">
                  <c:v>1.4160523261504645</c:v>
                </c:pt>
                <c:pt idx="103">
                  <c:v>1.7014219306014007</c:v>
                </c:pt>
                <c:pt idx="104">
                  <c:v>1.8343550446321091</c:v>
                </c:pt>
                <c:pt idx="105">
                  <c:v>1.6006274570101455</c:v>
                </c:pt>
                <c:pt idx="106">
                  <c:v>1.4984053365938639</c:v>
                </c:pt>
                <c:pt idx="107">
                  <c:v>2.4145545123456702</c:v>
                </c:pt>
                <c:pt idx="108">
                  <c:v>2.2275369227369892</c:v>
                </c:pt>
                <c:pt idx="109">
                  <c:v>2.848523326052244</c:v>
                </c:pt>
                <c:pt idx="110">
                  <c:v>3.2255356668532533</c:v>
                </c:pt>
                <c:pt idx="111">
                  <c:v>3.4395801760577047</c:v>
                </c:pt>
                <c:pt idx="112">
                  <c:v>2.9666500924487211</c:v>
                </c:pt>
                <c:pt idx="113">
                  <c:v>2.873792513777393</c:v>
                </c:pt>
                <c:pt idx="114">
                  <c:v>3.1002416959574166</c:v>
                </c:pt>
                <c:pt idx="115">
                  <c:v>2.8670480642344169</c:v>
                </c:pt>
                <c:pt idx="116">
                  <c:v>3.7190344364402304</c:v>
                </c:pt>
                <c:pt idx="117">
                  <c:v>3.617528679860178</c:v>
                </c:pt>
                <c:pt idx="118">
                  <c:v>3.3314510097933487</c:v>
                </c:pt>
                <c:pt idx="119">
                  <c:v>3.664282541498542</c:v>
                </c:pt>
                <c:pt idx="120">
                  <c:v>2.9752654031248502</c:v>
                </c:pt>
                <c:pt idx="121">
                  <c:v>2.9458177728086166</c:v>
                </c:pt>
                <c:pt idx="122">
                  <c:v>2.3195556139325371</c:v>
                </c:pt>
                <c:pt idx="123">
                  <c:v>2.6030651064738284</c:v>
                </c:pt>
                <c:pt idx="124">
                  <c:v>2.3557584384192642</c:v>
                </c:pt>
                <c:pt idx="125">
                  <c:v>2.5630896589904348</c:v>
                </c:pt>
                <c:pt idx="126">
                  <c:v>3.050635361235031</c:v>
                </c:pt>
                <c:pt idx="127">
                  <c:v>3.2719204136949118</c:v>
                </c:pt>
                <c:pt idx="128">
                  <c:v>4.1218073847869636</c:v>
                </c:pt>
                <c:pt idx="129">
                  <c:v>3.6247615871303127</c:v>
                </c:pt>
                <c:pt idx="130">
                  <c:v>3.6375449619719653</c:v>
                </c:pt>
                <c:pt idx="131">
                  <c:v>3.1251981682597556</c:v>
                </c:pt>
                <c:pt idx="132">
                  <c:v>3.1206180196649393</c:v>
                </c:pt>
                <c:pt idx="133">
                  <c:v>3.3841391945988351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14-BE49-A665-0EC9C3153F0A}"/>
            </c:ext>
          </c:extLst>
        </c:ser>
        <c:ser>
          <c:idx val="7"/>
          <c:order val="7"/>
          <c:tx>
            <c:strRef>
              <c:f>NN2再投資累積報酬!$A$19:$B$19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NN2再投資累積報酬!$C$19:$EF$19</c:f>
              <c:numCache>
                <c:formatCode>General</c:formatCode>
                <c:ptCount val="134"/>
                <c:pt idx="0">
                  <c:v>0.19659983333333342</c:v>
                </c:pt>
                <c:pt idx="1">
                  <c:v>0.1724634580682427</c:v>
                </c:pt>
                <c:pt idx="2">
                  <c:v>0.10809744920834796</c:v>
                </c:pt>
                <c:pt idx="3">
                  <c:v>6.5273159589834373E-2</c:v>
                </c:pt>
                <c:pt idx="4">
                  <c:v>-3.8603853220931517E-2</c:v>
                </c:pt>
                <c:pt idx="5">
                  <c:v>0.10454238198238452</c:v>
                </c:pt>
                <c:pt idx="6">
                  <c:v>0.25327379957857388</c:v>
                </c:pt>
                <c:pt idx="7">
                  <c:v>0.29767676958768408</c:v>
                </c:pt>
                <c:pt idx="8">
                  <c:v>-0.24519054145484498</c:v>
                </c:pt>
                <c:pt idx="9">
                  <c:v>-0.21269678105131196</c:v>
                </c:pt>
                <c:pt idx="10">
                  <c:v>-0.14482310362939177</c:v>
                </c:pt>
                <c:pt idx="11">
                  <c:v>-6.3283794669534266E-2</c:v>
                </c:pt>
                <c:pt idx="12">
                  <c:v>2.3101469282779119E-2</c:v>
                </c:pt>
                <c:pt idx="13">
                  <c:v>-7.1570392563716889E-2</c:v>
                </c:pt>
                <c:pt idx="14">
                  <c:v>-0.25462244120207034</c:v>
                </c:pt>
                <c:pt idx="15">
                  <c:v>-0.32192935693817104</c:v>
                </c:pt>
                <c:pt idx="16">
                  <c:v>-0.44680292569365954</c:v>
                </c:pt>
                <c:pt idx="17">
                  <c:v>-0.4618245928305813</c:v>
                </c:pt>
                <c:pt idx="18">
                  <c:v>-0.53485410147603019</c:v>
                </c:pt>
                <c:pt idx="19">
                  <c:v>-0.51782106904329783</c:v>
                </c:pt>
                <c:pt idx="20">
                  <c:v>-0.44712351648331616</c:v>
                </c:pt>
                <c:pt idx="21">
                  <c:v>-0.38263653129696096</c:v>
                </c:pt>
                <c:pt idx="22">
                  <c:v>-0.36681434673444535</c:v>
                </c:pt>
                <c:pt idx="23">
                  <c:v>-0.30880244035275684</c:v>
                </c:pt>
                <c:pt idx="24">
                  <c:v>-0.33753565045961564</c:v>
                </c:pt>
                <c:pt idx="25">
                  <c:v>-0.26979628194955074</c:v>
                </c:pt>
                <c:pt idx="26">
                  <c:v>-0.24901991630511322</c:v>
                </c:pt>
                <c:pt idx="27">
                  <c:v>-0.22266882977737035</c:v>
                </c:pt>
                <c:pt idx="28">
                  <c:v>-0.35436121472729076</c:v>
                </c:pt>
                <c:pt idx="29">
                  <c:v>-0.32931968392280075</c:v>
                </c:pt>
                <c:pt idx="30">
                  <c:v>-0.31447335751847028</c:v>
                </c:pt>
                <c:pt idx="31">
                  <c:v>-0.32550439523152142</c:v>
                </c:pt>
                <c:pt idx="32">
                  <c:v>-0.26375477227870381</c:v>
                </c:pt>
                <c:pt idx="33">
                  <c:v>-0.25479736742317061</c:v>
                </c:pt>
                <c:pt idx="34">
                  <c:v>-0.24916956546640245</c:v>
                </c:pt>
                <c:pt idx="35">
                  <c:v>-0.19640800079330478</c:v>
                </c:pt>
                <c:pt idx="36">
                  <c:v>-0.16176835458395034</c:v>
                </c:pt>
                <c:pt idx="37">
                  <c:v>-9.1718765693191817E-2</c:v>
                </c:pt>
                <c:pt idx="38">
                  <c:v>-6.8200727755316271E-2</c:v>
                </c:pt>
                <c:pt idx="39">
                  <c:v>-0.14980222929302822</c:v>
                </c:pt>
                <c:pt idx="40">
                  <c:v>-0.22483452660473735</c:v>
                </c:pt>
                <c:pt idx="41">
                  <c:v>-0.10583301274000445</c:v>
                </c:pt>
                <c:pt idx="42">
                  <c:v>-0.10912980642203207</c:v>
                </c:pt>
                <c:pt idx="43">
                  <c:v>-6.5214376473999303E-2</c:v>
                </c:pt>
                <c:pt idx="44">
                  <c:v>6.2300881996801838E-3</c:v>
                </c:pt>
                <c:pt idx="45">
                  <c:v>-4.4114642629136336E-2</c:v>
                </c:pt>
                <c:pt idx="46">
                  <c:v>-2.274470884367652E-2</c:v>
                </c:pt>
                <c:pt idx="47">
                  <c:v>5.5637433925850743E-2</c:v>
                </c:pt>
                <c:pt idx="48">
                  <c:v>8.6809320458390626E-2</c:v>
                </c:pt>
                <c:pt idx="49">
                  <c:v>-0.11629319037048647</c:v>
                </c:pt>
                <c:pt idx="50">
                  <c:v>-0.14666078862601917</c:v>
                </c:pt>
                <c:pt idx="51">
                  <c:v>-1.0343093089559496E-2</c:v>
                </c:pt>
                <c:pt idx="52">
                  <c:v>5.3049861398450693E-2</c:v>
                </c:pt>
                <c:pt idx="53">
                  <c:v>4.9643884687649242E-2</c:v>
                </c:pt>
                <c:pt idx="54">
                  <c:v>0.10331414350623147</c:v>
                </c:pt>
                <c:pt idx="55">
                  <c:v>0.1182871912261334</c:v>
                </c:pt>
                <c:pt idx="56">
                  <c:v>0.10001028745473972</c:v>
                </c:pt>
                <c:pt idx="57">
                  <c:v>0.10223033008847238</c:v>
                </c:pt>
                <c:pt idx="58">
                  <c:v>0.24309385491673408</c:v>
                </c:pt>
                <c:pt idx="59">
                  <c:v>0.2700780680661663</c:v>
                </c:pt>
                <c:pt idx="60">
                  <c:v>0.20435212994390906</c:v>
                </c:pt>
                <c:pt idx="61">
                  <c:v>0.30065773630288639</c:v>
                </c:pt>
                <c:pt idx="62">
                  <c:v>0.44925866340660736</c:v>
                </c:pt>
                <c:pt idx="63">
                  <c:v>0.33126702778224781</c:v>
                </c:pt>
                <c:pt idx="64">
                  <c:v>0.36551914557358267</c:v>
                </c:pt>
                <c:pt idx="65">
                  <c:v>0.451299429963542</c:v>
                </c:pt>
                <c:pt idx="66">
                  <c:v>0.46571670301733348</c:v>
                </c:pt>
                <c:pt idx="67">
                  <c:v>0.47550072261075682</c:v>
                </c:pt>
                <c:pt idx="68">
                  <c:v>0.43971047726538215</c:v>
                </c:pt>
                <c:pt idx="69">
                  <c:v>0.64362053037374545</c:v>
                </c:pt>
                <c:pt idx="70">
                  <c:v>0.518810148845533</c:v>
                </c:pt>
                <c:pt idx="71">
                  <c:v>0.6610546796018113</c:v>
                </c:pt>
                <c:pt idx="72">
                  <c:v>0.48005459847351784</c:v>
                </c:pt>
                <c:pt idx="73">
                  <c:v>0.53050638181690934</c:v>
                </c:pt>
                <c:pt idx="74">
                  <c:v>0.36574777301758066</c:v>
                </c:pt>
                <c:pt idx="75">
                  <c:v>0.45957754699487663</c:v>
                </c:pt>
                <c:pt idx="76">
                  <c:v>0.41676995438894671</c:v>
                </c:pt>
                <c:pt idx="77">
                  <c:v>0.34870667027272906</c:v>
                </c:pt>
                <c:pt idx="78">
                  <c:v>0.3153622543566188</c:v>
                </c:pt>
                <c:pt idx="79">
                  <c:v>0.59897960884373802</c:v>
                </c:pt>
                <c:pt idx="80">
                  <c:v>0.74044799725318033</c:v>
                </c:pt>
                <c:pt idx="81">
                  <c:v>0.54604227655732962</c:v>
                </c:pt>
                <c:pt idx="82">
                  <c:v>0.46776069854334068</c:v>
                </c:pt>
                <c:pt idx="83">
                  <c:v>0.69216643660473909</c:v>
                </c:pt>
                <c:pt idx="84">
                  <c:v>0.62944299440502172</c:v>
                </c:pt>
                <c:pt idx="85">
                  <c:v>0.52851448066541962</c:v>
                </c:pt>
                <c:pt idx="86">
                  <c:v>0.6874306428705903</c:v>
                </c:pt>
                <c:pt idx="87">
                  <c:v>0.61446566943482606</c:v>
                </c:pt>
                <c:pt idx="88">
                  <c:v>0.43649477728706643</c:v>
                </c:pt>
                <c:pt idx="89">
                  <c:v>0.32598142065465563</c:v>
                </c:pt>
                <c:pt idx="90">
                  <c:v>0.65911524686044176</c:v>
                </c:pt>
                <c:pt idx="91">
                  <c:v>0.61093951743735508</c:v>
                </c:pt>
                <c:pt idx="92">
                  <c:v>0.60654180051219675</c:v>
                </c:pt>
                <c:pt idx="93">
                  <c:v>0.68637759327070791</c:v>
                </c:pt>
                <c:pt idx="94">
                  <c:v>0.76019989666786203</c:v>
                </c:pt>
                <c:pt idx="95">
                  <c:v>0.80670789833762013</c:v>
                </c:pt>
                <c:pt idx="96">
                  <c:v>0.81963910900198833</c:v>
                </c:pt>
                <c:pt idx="97">
                  <c:v>0.95819279949828107</c:v>
                </c:pt>
                <c:pt idx="98">
                  <c:v>0.89515171960763329</c:v>
                </c:pt>
                <c:pt idx="99">
                  <c:v>0.89728850317149078</c:v>
                </c:pt>
                <c:pt idx="100">
                  <c:v>0.7627292554235845</c:v>
                </c:pt>
                <c:pt idx="101">
                  <c:v>1.0412660373547142</c:v>
                </c:pt>
                <c:pt idx="102">
                  <c:v>1.1947335212081347</c:v>
                </c:pt>
                <c:pt idx="103">
                  <c:v>1.5194684877396116</c:v>
                </c:pt>
                <c:pt idx="104">
                  <c:v>1.5957495953200747</c:v>
                </c:pt>
                <c:pt idx="105">
                  <c:v>1.3199321585156114</c:v>
                </c:pt>
                <c:pt idx="106">
                  <c:v>1.3059998059376459</c:v>
                </c:pt>
                <c:pt idx="107">
                  <c:v>1.779889299723949</c:v>
                </c:pt>
                <c:pt idx="108">
                  <c:v>1.5953755373994216</c:v>
                </c:pt>
                <c:pt idx="109">
                  <c:v>2.1782743898446744</c:v>
                </c:pt>
                <c:pt idx="110">
                  <c:v>2.5229953272912109</c:v>
                </c:pt>
                <c:pt idx="111">
                  <c:v>2.8065976254699292</c:v>
                </c:pt>
                <c:pt idx="112">
                  <c:v>2.3443218721011103</c:v>
                </c:pt>
                <c:pt idx="113">
                  <c:v>2.2663562536837958</c:v>
                </c:pt>
                <c:pt idx="114">
                  <c:v>2.4535179226271686</c:v>
                </c:pt>
                <c:pt idx="115">
                  <c:v>2.2314843483456226</c:v>
                </c:pt>
                <c:pt idx="116">
                  <c:v>3.0369679070793252</c:v>
                </c:pt>
                <c:pt idx="117">
                  <c:v>3.0208139799991471</c:v>
                </c:pt>
                <c:pt idx="118">
                  <c:v>2.8172703242966404</c:v>
                </c:pt>
                <c:pt idx="119">
                  <c:v>3.1072391614080832</c:v>
                </c:pt>
                <c:pt idx="120">
                  <c:v>2.3761688804024854</c:v>
                </c:pt>
                <c:pt idx="121">
                  <c:v>2.3657820968419272</c:v>
                </c:pt>
                <c:pt idx="122">
                  <c:v>1.8589542142442275</c:v>
                </c:pt>
                <c:pt idx="123">
                  <c:v>1.9679580380630863</c:v>
                </c:pt>
                <c:pt idx="124">
                  <c:v>1.6673127926814097</c:v>
                </c:pt>
                <c:pt idx="125">
                  <c:v>1.9560880785246662</c:v>
                </c:pt>
                <c:pt idx="126">
                  <c:v>2.3677174312830691</c:v>
                </c:pt>
                <c:pt idx="127">
                  <c:v>2.6322095390424627</c:v>
                </c:pt>
                <c:pt idx="128">
                  <c:v>3.4786874969607178</c:v>
                </c:pt>
                <c:pt idx="129">
                  <c:v>3.0028336684398873</c:v>
                </c:pt>
                <c:pt idx="130">
                  <c:v>2.9540389530043147</c:v>
                </c:pt>
                <c:pt idx="131">
                  <c:v>2.3572348302411807</c:v>
                </c:pt>
                <c:pt idx="132">
                  <c:v>2.3817639069892</c:v>
                </c:pt>
                <c:pt idx="133">
                  <c:v>2.6320820713845405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14-BE49-A665-0EC9C3153F0A}"/>
            </c:ext>
          </c:extLst>
        </c:ser>
        <c:ser>
          <c:idx val="8"/>
          <c:order val="8"/>
          <c:tx>
            <c:strRef>
              <c:f>NN2再投資累積報酬!$A$20:$B$20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NN2再投資累積報酬!$C$20:$EF$20</c:f>
              <c:numCache>
                <c:formatCode>General</c:formatCode>
                <c:ptCount val="134"/>
                <c:pt idx="0">
                  <c:v>0.20155100000000004</c:v>
                </c:pt>
                <c:pt idx="1">
                  <c:v>0.20197360743152171</c:v>
                </c:pt>
                <c:pt idx="2">
                  <c:v>0.22060418409651272</c:v>
                </c:pt>
                <c:pt idx="3">
                  <c:v>0.10926259632663116</c:v>
                </c:pt>
                <c:pt idx="4">
                  <c:v>-2.0695557111778395E-3</c:v>
                </c:pt>
                <c:pt idx="5">
                  <c:v>0.16196226541000724</c:v>
                </c:pt>
                <c:pt idx="6">
                  <c:v>0.34572608944358496</c:v>
                </c:pt>
                <c:pt idx="7">
                  <c:v>0.39211496164827531</c:v>
                </c:pt>
                <c:pt idx="8">
                  <c:v>0.26667335607011133</c:v>
                </c:pt>
                <c:pt idx="9">
                  <c:v>0.38790493460953268</c:v>
                </c:pt>
                <c:pt idx="10">
                  <c:v>0.52688059452474856</c:v>
                </c:pt>
                <c:pt idx="11">
                  <c:v>0.68250779078284807</c:v>
                </c:pt>
                <c:pt idx="12">
                  <c:v>0.84924680993406798</c:v>
                </c:pt>
                <c:pt idx="13">
                  <c:v>0.68065111203112783</c:v>
                </c:pt>
                <c:pt idx="14">
                  <c:v>0.31641075777000394</c:v>
                </c:pt>
                <c:pt idx="15">
                  <c:v>0.17258886000959528</c:v>
                </c:pt>
                <c:pt idx="16">
                  <c:v>-9.3765495086365336E-3</c:v>
                </c:pt>
                <c:pt idx="17">
                  <c:v>6.1394969546897382E-3</c:v>
                </c:pt>
                <c:pt idx="18">
                  <c:v>-0.14342281742148388</c:v>
                </c:pt>
                <c:pt idx="19">
                  <c:v>-0.13259216719712996</c:v>
                </c:pt>
                <c:pt idx="20">
                  <c:v>1.7543443842935158E-2</c:v>
                </c:pt>
                <c:pt idx="21">
                  <c:v>0.16884930609992477</c:v>
                </c:pt>
                <c:pt idx="22">
                  <c:v>0.21801986205648016</c:v>
                </c:pt>
                <c:pt idx="23">
                  <c:v>0.34666341769561138</c:v>
                </c:pt>
                <c:pt idx="24">
                  <c:v>0.31758282262746351</c:v>
                </c:pt>
                <c:pt idx="25">
                  <c:v>0.42926093281690902</c:v>
                </c:pt>
                <c:pt idx="26">
                  <c:v>0.50993320165838529</c:v>
                </c:pt>
                <c:pt idx="27">
                  <c:v>0.56195629350107534</c:v>
                </c:pt>
                <c:pt idx="28">
                  <c:v>0.25066954979676548</c:v>
                </c:pt>
                <c:pt idx="29">
                  <c:v>0.29950154013771968</c:v>
                </c:pt>
                <c:pt idx="30">
                  <c:v>0.33544473722931545</c:v>
                </c:pt>
                <c:pt idx="31">
                  <c:v>0.29830735453170543</c:v>
                </c:pt>
                <c:pt idx="32">
                  <c:v>0.44934879689733132</c:v>
                </c:pt>
                <c:pt idx="33">
                  <c:v>0.47433643976511952</c:v>
                </c:pt>
                <c:pt idx="34">
                  <c:v>0.45429266558654691</c:v>
                </c:pt>
                <c:pt idx="35">
                  <c:v>0.56030107825320696</c:v>
                </c:pt>
                <c:pt idx="36">
                  <c:v>0.61194077270141123</c:v>
                </c:pt>
                <c:pt idx="37">
                  <c:v>0.73359425475835049</c:v>
                </c:pt>
                <c:pt idx="38">
                  <c:v>0.81210021267859522</c:v>
                </c:pt>
                <c:pt idx="39">
                  <c:v>0.57339141582145747</c:v>
                </c:pt>
                <c:pt idx="40">
                  <c:v>0.61658492058728709</c:v>
                </c:pt>
                <c:pt idx="41">
                  <c:v>0.89148357731211303</c:v>
                </c:pt>
                <c:pt idx="42">
                  <c:v>0.85905825264296687</c:v>
                </c:pt>
                <c:pt idx="43">
                  <c:v>0.86995005435224559</c:v>
                </c:pt>
                <c:pt idx="44">
                  <c:v>1.0114910373408375</c:v>
                </c:pt>
                <c:pt idx="45">
                  <c:v>0.90161190365903687</c:v>
                </c:pt>
                <c:pt idx="46">
                  <c:v>0.91466697935032193</c:v>
                </c:pt>
                <c:pt idx="47">
                  <c:v>1.1266829325427605</c:v>
                </c:pt>
                <c:pt idx="48">
                  <c:v>1.2089317536425339</c:v>
                </c:pt>
                <c:pt idx="49">
                  <c:v>0.73665677440949007</c:v>
                </c:pt>
                <c:pt idx="50">
                  <c:v>0.67274977645885303</c:v>
                </c:pt>
                <c:pt idx="51">
                  <c:v>0.95319534843412357</c:v>
                </c:pt>
                <c:pt idx="52">
                  <c:v>1.0911018147958362</c:v>
                </c:pt>
                <c:pt idx="53">
                  <c:v>0.97937463540395142</c:v>
                </c:pt>
                <c:pt idx="54">
                  <c:v>0.9676036959846066</c:v>
                </c:pt>
                <c:pt idx="55">
                  <c:v>0.97879657160464162</c:v>
                </c:pt>
                <c:pt idx="56">
                  <c:v>0.9650911441582346</c:v>
                </c:pt>
                <c:pt idx="57">
                  <c:v>0.82437794906966011</c:v>
                </c:pt>
                <c:pt idx="58">
                  <c:v>1.0647311092341458</c:v>
                </c:pt>
                <c:pt idx="59">
                  <c:v>1.1093902351936742</c:v>
                </c:pt>
                <c:pt idx="60">
                  <c:v>0.98444436934642643</c:v>
                </c:pt>
                <c:pt idx="61">
                  <c:v>1.1556865016228821</c:v>
                </c:pt>
                <c:pt idx="62">
                  <c:v>1.4508380559823695</c:v>
                </c:pt>
                <c:pt idx="63">
                  <c:v>1.4965118739936574</c:v>
                </c:pt>
                <c:pt idx="64">
                  <c:v>1.4004917395208256</c:v>
                </c:pt>
                <c:pt idx="65">
                  <c:v>1.545499494117232</c:v>
                </c:pt>
                <c:pt idx="66">
                  <c:v>1.5848318063693059</c:v>
                </c:pt>
                <c:pt idx="67">
                  <c:v>1.6160401136846212</c:v>
                </c:pt>
                <c:pt idx="68">
                  <c:v>1.6301863667957752</c:v>
                </c:pt>
                <c:pt idx="69">
                  <c:v>2.0189358896333172</c:v>
                </c:pt>
                <c:pt idx="70">
                  <c:v>1.7208010287082263</c:v>
                </c:pt>
                <c:pt idx="71">
                  <c:v>2.0361917444711741</c:v>
                </c:pt>
                <c:pt idx="72">
                  <c:v>1.6247778899691356</c:v>
                </c:pt>
                <c:pt idx="73">
                  <c:v>1.7053418688980608</c:v>
                </c:pt>
                <c:pt idx="74">
                  <c:v>1.4206480136489739</c:v>
                </c:pt>
                <c:pt idx="75">
                  <c:v>1.6391633090609332</c:v>
                </c:pt>
                <c:pt idx="76">
                  <c:v>1.5333256605934982</c:v>
                </c:pt>
                <c:pt idx="77">
                  <c:v>1.4364210140630749</c:v>
                </c:pt>
                <c:pt idx="78">
                  <c:v>1.3729692192840606</c:v>
                </c:pt>
                <c:pt idx="79">
                  <c:v>1.8025418986732697</c:v>
                </c:pt>
                <c:pt idx="80">
                  <c:v>2.0429366561325262</c:v>
                </c:pt>
                <c:pt idx="81">
                  <c:v>1.643677806180027</c:v>
                </c:pt>
                <c:pt idx="82">
                  <c:v>1.3818138831350071</c:v>
                </c:pt>
                <c:pt idx="83">
                  <c:v>1.5529806170002405</c:v>
                </c:pt>
                <c:pt idx="84">
                  <c:v>1.4753836040077286</c:v>
                </c:pt>
                <c:pt idx="85">
                  <c:v>1.1698214600851107</c:v>
                </c:pt>
                <c:pt idx="86">
                  <c:v>1.3672283377576293</c:v>
                </c:pt>
                <c:pt idx="87">
                  <c:v>1.1490055492308011</c:v>
                </c:pt>
                <c:pt idx="88">
                  <c:v>0.94103725640842972</c:v>
                </c:pt>
                <c:pt idx="89">
                  <c:v>0.98404949945862086</c:v>
                </c:pt>
                <c:pt idx="90">
                  <c:v>1.5724658052813623</c:v>
                </c:pt>
                <c:pt idx="91">
                  <c:v>1.5915643059129323</c:v>
                </c:pt>
                <c:pt idx="92">
                  <c:v>1.6074022829825476</c:v>
                </c:pt>
                <c:pt idx="93">
                  <c:v>1.7980457458302119</c:v>
                </c:pt>
                <c:pt idx="94">
                  <c:v>1.8604248180786014</c:v>
                </c:pt>
                <c:pt idx="95">
                  <c:v>1.9417049334542318</c:v>
                </c:pt>
                <c:pt idx="96">
                  <c:v>1.9717773946479475</c:v>
                </c:pt>
                <c:pt idx="97">
                  <c:v>2.2600522833938559</c:v>
                </c:pt>
                <c:pt idx="98">
                  <c:v>2.1758836015307366</c:v>
                </c:pt>
                <c:pt idx="99">
                  <c:v>2.2056956208983056</c:v>
                </c:pt>
                <c:pt idx="100">
                  <c:v>2.1656893965335651</c:v>
                </c:pt>
                <c:pt idx="101">
                  <c:v>2.5718581094527697</c:v>
                </c:pt>
                <c:pt idx="102">
                  <c:v>2.8471826475023647</c:v>
                </c:pt>
                <c:pt idx="103">
                  <c:v>3.1432887543326791</c:v>
                </c:pt>
                <c:pt idx="104">
                  <c:v>3.2630380859104022</c:v>
                </c:pt>
                <c:pt idx="105">
                  <c:v>2.6316445695249686</c:v>
                </c:pt>
                <c:pt idx="106">
                  <c:v>2.521001433411993</c:v>
                </c:pt>
                <c:pt idx="107">
                  <c:v>3.3856727688227162</c:v>
                </c:pt>
                <c:pt idx="108">
                  <c:v>3.156101219200476</c:v>
                </c:pt>
                <c:pt idx="109">
                  <c:v>4.3127425260634809</c:v>
                </c:pt>
                <c:pt idx="110">
                  <c:v>5.0437546466797114</c:v>
                </c:pt>
                <c:pt idx="111">
                  <c:v>5.5349753105997577</c:v>
                </c:pt>
                <c:pt idx="112">
                  <c:v>4.9782960527564413</c:v>
                </c:pt>
                <c:pt idx="113">
                  <c:v>5.0391945633274497</c:v>
                </c:pt>
                <c:pt idx="114">
                  <c:v>5.4579269497314087</c:v>
                </c:pt>
                <c:pt idx="115">
                  <c:v>5.0416593112348416</c:v>
                </c:pt>
                <c:pt idx="116">
                  <c:v>6.6004134551927418</c:v>
                </c:pt>
                <c:pt idx="117">
                  <c:v>6.4357140157014063</c:v>
                </c:pt>
                <c:pt idx="118">
                  <c:v>6.1491490332502901</c:v>
                </c:pt>
                <c:pt idx="119">
                  <c:v>6.7104477407894523</c:v>
                </c:pt>
                <c:pt idx="120">
                  <c:v>5.1214702075470164</c:v>
                </c:pt>
                <c:pt idx="121">
                  <c:v>5.1510295628852196</c:v>
                </c:pt>
                <c:pt idx="122">
                  <c:v>4.066136802907689</c:v>
                </c:pt>
                <c:pt idx="123">
                  <c:v>3.9131891196005446</c:v>
                </c:pt>
                <c:pt idx="124">
                  <c:v>3.404445091108915</c:v>
                </c:pt>
                <c:pt idx="125">
                  <c:v>4.0474244841783769</c:v>
                </c:pt>
                <c:pt idx="126">
                  <c:v>4.6611438556643163</c:v>
                </c:pt>
                <c:pt idx="127">
                  <c:v>5.1717756347589239</c:v>
                </c:pt>
                <c:pt idx="128">
                  <c:v>6.9843718270620343</c:v>
                </c:pt>
                <c:pt idx="129">
                  <c:v>6.1355181268910304</c:v>
                </c:pt>
                <c:pt idx="130">
                  <c:v>6.3784795322832641</c:v>
                </c:pt>
                <c:pt idx="131">
                  <c:v>5.0730873370254628</c:v>
                </c:pt>
                <c:pt idx="132">
                  <c:v>5.083664225931626</c:v>
                </c:pt>
                <c:pt idx="133">
                  <c:v>5.6056426165165592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14-BE49-A665-0EC9C3153F0A}"/>
            </c:ext>
          </c:extLst>
        </c:ser>
        <c:ser>
          <c:idx val="9"/>
          <c:order val="9"/>
          <c:tx>
            <c:strRef>
              <c:f>NN2再投資累積報酬!$A$21:$B$21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NN2再投資累積報酬!$C$21:$EF$21</c:f>
              <c:numCache>
                <c:formatCode>General</c:formatCode>
                <c:ptCount val="134"/>
                <c:pt idx="0">
                  <c:v>0.21463049999999995</c:v>
                </c:pt>
                <c:pt idx="1">
                  <c:v>0.21418386895350316</c:v>
                </c:pt>
                <c:pt idx="2">
                  <c:v>0.21384468393255229</c:v>
                </c:pt>
                <c:pt idx="3">
                  <c:v>0.15182027480326021</c:v>
                </c:pt>
                <c:pt idx="4">
                  <c:v>0.14341643509501778</c:v>
                </c:pt>
                <c:pt idx="5">
                  <c:v>0.37057676114774107</c:v>
                </c:pt>
                <c:pt idx="6">
                  <c:v>0.57240187559593392</c:v>
                </c:pt>
                <c:pt idx="7">
                  <c:v>0.66743049506572349</c:v>
                </c:pt>
                <c:pt idx="8">
                  <c:v>0.51907417269161527</c:v>
                </c:pt>
                <c:pt idx="9">
                  <c:v>0.68568563164629071</c:v>
                </c:pt>
                <c:pt idx="10">
                  <c:v>0.8132257021088507</c:v>
                </c:pt>
                <c:pt idx="11">
                  <c:v>0.99380015737667504</c:v>
                </c:pt>
                <c:pt idx="12">
                  <c:v>1.2525604436192257</c:v>
                </c:pt>
                <c:pt idx="13">
                  <c:v>0.92645140953524785</c:v>
                </c:pt>
                <c:pt idx="14">
                  <c:v>0.43075605460875654</c:v>
                </c:pt>
                <c:pt idx="15">
                  <c:v>0.29401109957182991</c:v>
                </c:pt>
                <c:pt idx="16">
                  <c:v>0.12761384290247557</c:v>
                </c:pt>
                <c:pt idx="17">
                  <c:v>0.11178173371306621</c:v>
                </c:pt>
                <c:pt idx="18">
                  <c:v>1.585896499864603E-2</c:v>
                </c:pt>
                <c:pt idx="19">
                  <c:v>7.0265952775613982E-2</c:v>
                </c:pt>
                <c:pt idx="20">
                  <c:v>0.23914159024827253</c:v>
                </c:pt>
                <c:pt idx="21">
                  <c:v>0.4836702955335197</c:v>
                </c:pt>
                <c:pt idx="22">
                  <c:v>0.51457972178541267</c:v>
                </c:pt>
                <c:pt idx="23">
                  <c:v>0.68755076497999168</c:v>
                </c:pt>
                <c:pt idx="24">
                  <c:v>0.72044289041633536</c:v>
                </c:pt>
                <c:pt idx="25">
                  <c:v>0.94382447684600002</c:v>
                </c:pt>
                <c:pt idx="26">
                  <c:v>1.0882528315930449</c:v>
                </c:pt>
                <c:pt idx="27">
                  <c:v>1.1857688606434187</c:v>
                </c:pt>
                <c:pt idx="28">
                  <c:v>0.66018738197597804</c:v>
                </c:pt>
                <c:pt idx="29">
                  <c:v>0.74838584916942796</c:v>
                </c:pt>
                <c:pt idx="30">
                  <c:v>0.82584419893600147</c:v>
                </c:pt>
                <c:pt idx="31">
                  <c:v>0.746585671643339</c:v>
                </c:pt>
                <c:pt idx="32">
                  <c:v>0.92495442342066103</c:v>
                </c:pt>
                <c:pt idx="33">
                  <c:v>0.93493242467446214</c:v>
                </c:pt>
                <c:pt idx="34">
                  <c:v>0.86565571474412617</c:v>
                </c:pt>
                <c:pt idx="35">
                  <c:v>0.987631954655112</c:v>
                </c:pt>
                <c:pt idx="36">
                  <c:v>1.1238559155761121</c:v>
                </c:pt>
                <c:pt idx="37">
                  <c:v>1.3616344475302857</c:v>
                </c:pt>
                <c:pt idx="38">
                  <c:v>1.47434674753897</c:v>
                </c:pt>
                <c:pt idx="39">
                  <c:v>1.294869650964221</c:v>
                </c:pt>
                <c:pt idx="40">
                  <c:v>1.4712659702087048</c:v>
                </c:pt>
                <c:pt idx="41">
                  <c:v>1.9783259520895875</c:v>
                </c:pt>
                <c:pt idx="42">
                  <c:v>2.0291004529208108</c:v>
                </c:pt>
                <c:pt idx="43">
                  <c:v>2.021549174242089</c:v>
                </c:pt>
                <c:pt idx="44">
                  <c:v>2.1660083268487971</c:v>
                </c:pt>
                <c:pt idx="45">
                  <c:v>1.9902290748589411</c:v>
                </c:pt>
                <c:pt idx="46">
                  <c:v>2.0195064973004975</c:v>
                </c:pt>
                <c:pt idx="47">
                  <c:v>2.4517418696889686</c:v>
                </c:pt>
                <c:pt idx="48">
                  <c:v>2.614047228524691</c:v>
                </c:pt>
                <c:pt idx="49">
                  <c:v>1.6927858600332355</c:v>
                </c:pt>
                <c:pt idx="50">
                  <c:v>1.5015114056839574</c:v>
                </c:pt>
                <c:pt idx="51">
                  <c:v>2.0652173327091572</c:v>
                </c:pt>
                <c:pt idx="52">
                  <c:v>2.1826799789257296</c:v>
                </c:pt>
                <c:pt idx="53">
                  <c:v>2.1134539415516831</c:v>
                </c:pt>
                <c:pt idx="54">
                  <c:v>2.1332260347887781</c:v>
                </c:pt>
                <c:pt idx="55">
                  <c:v>2.1444338982031641</c:v>
                </c:pt>
                <c:pt idx="56">
                  <c:v>2.2596308290435969</c:v>
                </c:pt>
                <c:pt idx="57">
                  <c:v>2.0108513608418788</c:v>
                </c:pt>
                <c:pt idx="58">
                  <c:v>2.5105611453539667</c:v>
                </c:pt>
                <c:pt idx="59">
                  <c:v>2.5933367585127889</c:v>
                </c:pt>
                <c:pt idx="60">
                  <c:v>2.3473732872292032</c:v>
                </c:pt>
                <c:pt idx="61">
                  <c:v>2.8251140602777589</c:v>
                </c:pt>
                <c:pt idx="62">
                  <c:v>3.4184657683066986</c:v>
                </c:pt>
                <c:pt idx="63">
                  <c:v>3.5324102681562337</c:v>
                </c:pt>
                <c:pt idx="64">
                  <c:v>3.2429830741387891</c:v>
                </c:pt>
                <c:pt idx="65">
                  <c:v>3.6864135413583439</c:v>
                </c:pt>
                <c:pt idx="66">
                  <c:v>3.9420209905170607</c:v>
                </c:pt>
                <c:pt idx="67">
                  <c:v>4.0029257761139583</c:v>
                </c:pt>
                <c:pt idx="68">
                  <c:v>4.0322437854433097</c:v>
                </c:pt>
                <c:pt idx="69">
                  <c:v>4.6977313248540522</c:v>
                </c:pt>
                <c:pt idx="70">
                  <c:v>3.9257088877783612</c:v>
                </c:pt>
                <c:pt idx="71">
                  <c:v>4.6258639271273303</c:v>
                </c:pt>
                <c:pt idx="72">
                  <c:v>3.8006667242265957</c:v>
                </c:pt>
                <c:pt idx="73">
                  <c:v>3.7863087976097347</c:v>
                </c:pt>
                <c:pt idx="74">
                  <c:v>3.5451752725021946</c:v>
                </c:pt>
                <c:pt idx="75">
                  <c:v>3.7618116375386252</c:v>
                </c:pt>
                <c:pt idx="76">
                  <c:v>3.4736382098573184</c:v>
                </c:pt>
                <c:pt idx="77">
                  <c:v>3.1899138508704823</c:v>
                </c:pt>
                <c:pt idx="78">
                  <c:v>2.9942719012041681</c:v>
                </c:pt>
                <c:pt idx="79">
                  <c:v>4.1448461450586542</c:v>
                </c:pt>
                <c:pt idx="80">
                  <c:v>4.4613287832488639</c:v>
                </c:pt>
                <c:pt idx="81">
                  <c:v>3.7668225245406726</c:v>
                </c:pt>
                <c:pt idx="82">
                  <c:v>3.0815861181343092</c:v>
                </c:pt>
                <c:pt idx="83">
                  <c:v>3.4085224766970761</c:v>
                </c:pt>
                <c:pt idx="84">
                  <c:v>3.0536381084719384</c:v>
                </c:pt>
                <c:pt idx="85">
                  <c:v>2.7065341694868694</c:v>
                </c:pt>
                <c:pt idx="86">
                  <c:v>3.1774513621941001</c:v>
                </c:pt>
                <c:pt idx="87">
                  <c:v>2.61813062546815</c:v>
                </c:pt>
                <c:pt idx="88">
                  <c:v>2.1975943983373307</c:v>
                </c:pt>
                <c:pt idx="89">
                  <c:v>2.2952453825843619</c:v>
                </c:pt>
                <c:pt idx="90">
                  <c:v>3.4007441892699113</c:v>
                </c:pt>
                <c:pt idx="91">
                  <c:v>2.977160459006162</c:v>
                </c:pt>
                <c:pt idx="92">
                  <c:v>2.9902377274007788</c:v>
                </c:pt>
                <c:pt idx="93">
                  <c:v>3.3526481879592325</c:v>
                </c:pt>
                <c:pt idx="94">
                  <c:v>3.4871765736665354</c:v>
                </c:pt>
                <c:pt idx="95">
                  <c:v>3.7025374915255176</c:v>
                </c:pt>
                <c:pt idx="96">
                  <c:v>3.7119296345304669</c:v>
                </c:pt>
                <c:pt idx="97">
                  <c:v>4.332150330482035</c:v>
                </c:pt>
                <c:pt idx="98">
                  <c:v>4.1681720444063037</c:v>
                </c:pt>
                <c:pt idx="99">
                  <c:v>4.2374190895862922</c:v>
                </c:pt>
                <c:pt idx="100">
                  <c:v>4.1929957386961556</c:v>
                </c:pt>
                <c:pt idx="101">
                  <c:v>5.181205950533883</c:v>
                </c:pt>
                <c:pt idx="102">
                  <c:v>5.4390225054291639</c:v>
                </c:pt>
                <c:pt idx="103">
                  <c:v>5.8991518341558793</c:v>
                </c:pt>
                <c:pt idx="104">
                  <c:v>6.2324498592639506</c:v>
                </c:pt>
                <c:pt idx="105">
                  <c:v>7.109910123297535</c:v>
                </c:pt>
                <c:pt idx="106">
                  <c:v>6.6661439512608176</c:v>
                </c:pt>
                <c:pt idx="107">
                  <c:v>8.9748166179349287</c:v>
                </c:pt>
                <c:pt idx="108">
                  <c:v>8.3822052815509505</c:v>
                </c:pt>
                <c:pt idx="109">
                  <c:v>9.1462639330646152</c:v>
                </c:pt>
                <c:pt idx="110">
                  <c:v>10.970968038786955</c:v>
                </c:pt>
                <c:pt idx="111">
                  <c:v>11.848478901676165</c:v>
                </c:pt>
                <c:pt idx="112">
                  <c:v>10.680638896746387</c:v>
                </c:pt>
                <c:pt idx="113">
                  <c:v>11.05684599417307</c:v>
                </c:pt>
                <c:pt idx="114">
                  <c:v>11.358125476086967</c:v>
                </c:pt>
                <c:pt idx="115">
                  <c:v>10.778878508303187</c:v>
                </c:pt>
                <c:pt idx="116">
                  <c:v>14.685063817217367</c:v>
                </c:pt>
                <c:pt idx="117">
                  <c:v>14.103042075417838</c:v>
                </c:pt>
                <c:pt idx="118">
                  <c:v>13.676905967499405</c:v>
                </c:pt>
                <c:pt idx="119">
                  <c:v>14.413258947895304</c:v>
                </c:pt>
                <c:pt idx="120">
                  <c:v>11.317668130682023</c:v>
                </c:pt>
                <c:pt idx="121">
                  <c:v>11.198069731967164</c:v>
                </c:pt>
                <c:pt idx="122">
                  <c:v>9.3852566482682978</c:v>
                </c:pt>
                <c:pt idx="123">
                  <c:v>8.869514417858646</c:v>
                </c:pt>
                <c:pt idx="124">
                  <c:v>7.8476643730912343</c:v>
                </c:pt>
                <c:pt idx="125">
                  <c:v>8.8608524468596848</c:v>
                </c:pt>
                <c:pt idx="126">
                  <c:v>10.504952375324601</c:v>
                </c:pt>
                <c:pt idx="127">
                  <c:v>11.643137313815464</c:v>
                </c:pt>
                <c:pt idx="128">
                  <c:v>15.006941980470248</c:v>
                </c:pt>
                <c:pt idx="129">
                  <c:v>13.353456887771634</c:v>
                </c:pt>
                <c:pt idx="130">
                  <c:v>13.554937152952654</c:v>
                </c:pt>
                <c:pt idx="131">
                  <c:v>12.76170972389709</c:v>
                </c:pt>
                <c:pt idx="132">
                  <c:v>12.468447689680842</c:v>
                </c:pt>
                <c:pt idx="133">
                  <c:v>12.856264906681357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14-BE49-A665-0EC9C3153F0A}"/>
            </c:ext>
          </c:extLst>
        </c:ser>
        <c:ser>
          <c:idx val="10"/>
          <c:order val="10"/>
          <c:tx>
            <c:strRef>
              <c:f>NN2再投資累積報酬!$A$22:$B$22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NN2再投資累積報酬!$C$22:$EF$22</c:f>
              <c:numCache>
                <c:formatCode>General</c:formatCode>
                <c:ptCount val="134"/>
                <c:pt idx="0">
                  <c:v>0.20528266666666672</c:v>
                </c:pt>
                <c:pt idx="1">
                  <c:v>0.15142955609777409</c:v>
                </c:pt>
                <c:pt idx="2">
                  <c:v>0.10418924313851408</c:v>
                </c:pt>
                <c:pt idx="3">
                  <c:v>-3.3963266958083604E-3</c:v>
                </c:pt>
                <c:pt idx="4">
                  <c:v>-3.6239225596251701E-2</c:v>
                </c:pt>
                <c:pt idx="5">
                  <c:v>0.13603249575883436</c:v>
                </c:pt>
                <c:pt idx="6">
                  <c:v>0.27632474913113025</c:v>
                </c:pt>
                <c:pt idx="7">
                  <c:v>0.34345763037987043</c:v>
                </c:pt>
                <c:pt idx="8">
                  <c:v>0.13752334870778071</c:v>
                </c:pt>
                <c:pt idx="9">
                  <c:v>0.33224841696497931</c:v>
                </c:pt>
                <c:pt idx="10">
                  <c:v>3.2281221802979765E-2</c:v>
                </c:pt>
                <c:pt idx="11">
                  <c:v>0.16986409559470972</c:v>
                </c:pt>
                <c:pt idx="12">
                  <c:v>0.33771660080861388</c:v>
                </c:pt>
                <c:pt idx="13">
                  <c:v>0.24035372845476566</c:v>
                </c:pt>
                <c:pt idx="14">
                  <c:v>-0.10294752376118899</c:v>
                </c:pt>
                <c:pt idx="15">
                  <c:v>-0.1358051514252675</c:v>
                </c:pt>
                <c:pt idx="16">
                  <c:v>-0.28241283081688695</c:v>
                </c:pt>
                <c:pt idx="17">
                  <c:v>-0.29693579945233228</c:v>
                </c:pt>
                <c:pt idx="18">
                  <c:v>-0.37468768584436174</c:v>
                </c:pt>
                <c:pt idx="19">
                  <c:v>-0.35074649301717109</c:v>
                </c:pt>
                <c:pt idx="20">
                  <c:v>-0.21603920202191218</c:v>
                </c:pt>
                <c:pt idx="21">
                  <c:v>-4.7565989118313223E-2</c:v>
                </c:pt>
                <c:pt idx="22">
                  <c:v>-3.2582098758996869E-2</c:v>
                </c:pt>
                <c:pt idx="23">
                  <c:v>4.0504649220467925E-2</c:v>
                </c:pt>
                <c:pt idx="24">
                  <c:v>4.7838143559026713E-2</c:v>
                </c:pt>
                <c:pt idx="25">
                  <c:v>0.18870553511566435</c:v>
                </c:pt>
                <c:pt idx="26">
                  <c:v>0.27716945374609603</c:v>
                </c:pt>
                <c:pt idx="27">
                  <c:v>0.29309231188755813</c:v>
                </c:pt>
                <c:pt idx="28">
                  <c:v>-2.535889865831753E-3</c:v>
                </c:pt>
                <c:pt idx="29">
                  <c:v>4.4526777134800577E-2</c:v>
                </c:pt>
                <c:pt idx="30">
                  <c:v>9.9721180793398867E-2</c:v>
                </c:pt>
                <c:pt idx="31">
                  <c:v>0.10025637843471835</c:v>
                </c:pt>
                <c:pt idx="32">
                  <c:v>0.22238997097073798</c:v>
                </c:pt>
                <c:pt idx="33">
                  <c:v>0.23838046164432969</c:v>
                </c:pt>
                <c:pt idx="34">
                  <c:v>0.36381423625331077</c:v>
                </c:pt>
                <c:pt idx="35">
                  <c:v>0.41883182108878381</c:v>
                </c:pt>
                <c:pt idx="36">
                  <c:v>0.53813983312922442</c:v>
                </c:pt>
                <c:pt idx="37">
                  <c:v>0.70907763444031335</c:v>
                </c:pt>
                <c:pt idx="38">
                  <c:v>0.83677542621162138</c:v>
                </c:pt>
                <c:pt idx="39">
                  <c:v>0.72191018814528274</c:v>
                </c:pt>
                <c:pt idx="40">
                  <c:v>0.85867482903649628</c:v>
                </c:pt>
                <c:pt idx="41">
                  <c:v>1.3243336117805833</c:v>
                </c:pt>
                <c:pt idx="42">
                  <c:v>1.7068972304992909</c:v>
                </c:pt>
                <c:pt idx="43">
                  <c:v>1.6388556822496954</c:v>
                </c:pt>
                <c:pt idx="44">
                  <c:v>1.727258540132627</c:v>
                </c:pt>
                <c:pt idx="45">
                  <c:v>1.5641325432308717</c:v>
                </c:pt>
                <c:pt idx="46">
                  <c:v>1.4868255132066466</c:v>
                </c:pt>
                <c:pt idx="47">
                  <c:v>1.9189447695385025</c:v>
                </c:pt>
                <c:pt idx="48">
                  <c:v>2.1283305594611446</c:v>
                </c:pt>
                <c:pt idx="49">
                  <c:v>1.6437403359630895</c:v>
                </c:pt>
                <c:pt idx="50">
                  <c:v>1.5231899400914761</c:v>
                </c:pt>
                <c:pt idx="51">
                  <c:v>2.2850165387682488</c:v>
                </c:pt>
                <c:pt idx="52">
                  <c:v>1.8552150331525432</c:v>
                </c:pt>
                <c:pt idx="53">
                  <c:v>1.791902976883458</c:v>
                </c:pt>
                <c:pt idx="54">
                  <c:v>1.8539284054374972</c:v>
                </c:pt>
                <c:pt idx="55">
                  <c:v>1.8928526136559007</c:v>
                </c:pt>
                <c:pt idx="56">
                  <c:v>2.0267324213909363</c:v>
                </c:pt>
                <c:pt idx="57">
                  <c:v>1.639430099237345</c:v>
                </c:pt>
                <c:pt idx="58">
                  <c:v>1.9326410089335857</c:v>
                </c:pt>
                <c:pt idx="59">
                  <c:v>2.0939257513489262</c:v>
                </c:pt>
                <c:pt idx="60">
                  <c:v>1.9644770243066958</c:v>
                </c:pt>
                <c:pt idx="61">
                  <c:v>2.4440711224673266</c:v>
                </c:pt>
                <c:pt idx="62">
                  <c:v>3.1046337674326248</c:v>
                </c:pt>
                <c:pt idx="63">
                  <c:v>3.4450488325121373</c:v>
                </c:pt>
                <c:pt idx="64">
                  <c:v>3.2206430798244643</c:v>
                </c:pt>
                <c:pt idx="65">
                  <c:v>3.5364972267114707</c:v>
                </c:pt>
                <c:pt idx="66">
                  <c:v>3.6627483863780261</c:v>
                </c:pt>
                <c:pt idx="67">
                  <c:v>3.7597970103324316</c:v>
                </c:pt>
                <c:pt idx="68">
                  <c:v>3.6818658897245191</c:v>
                </c:pt>
                <c:pt idx="69">
                  <c:v>4.2929931372376453</c:v>
                </c:pt>
                <c:pt idx="70">
                  <c:v>3.1658567794859325</c:v>
                </c:pt>
                <c:pt idx="71">
                  <c:v>3.8263282617451422</c:v>
                </c:pt>
                <c:pt idx="72">
                  <c:v>2.9833207537605584</c:v>
                </c:pt>
                <c:pt idx="73">
                  <c:v>3.1292594515501673</c:v>
                </c:pt>
                <c:pt idx="74">
                  <c:v>3.1096587389321853</c:v>
                </c:pt>
                <c:pt idx="75">
                  <c:v>3.3038719061032689</c:v>
                </c:pt>
                <c:pt idx="76">
                  <c:v>3.1855581296352309</c:v>
                </c:pt>
                <c:pt idx="77">
                  <c:v>2.5619381026119892</c:v>
                </c:pt>
                <c:pt idx="78">
                  <c:v>2.5085599545411763</c:v>
                </c:pt>
                <c:pt idx="79">
                  <c:v>3.679991063852265</c:v>
                </c:pt>
                <c:pt idx="80">
                  <c:v>3.9928016665601502</c:v>
                </c:pt>
                <c:pt idx="81">
                  <c:v>3.216068182758943</c:v>
                </c:pt>
                <c:pt idx="82">
                  <c:v>2.3590971269944183</c:v>
                </c:pt>
                <c:pt idx="83">
                  <c:v>2.7484795385639362</c:v>
                </c:pt>
                <c:pt idx="84">
                  <c:v>2.3069845695822551</c:v>
                </c:pt>
                <c:pt idx="85">
                  <c:v>1.9651101414400207</c:v>
                </c:pt>
                <c:pt idx="86">
                  <c:v>2.0723384353455345</c:v>
                </c:pt>
                <c:pt idx="87">
                  <c:v>1.3329746648947878</c:v>
                </c:pt>
                <c:pt idx="88">
                  <c:v>0.82011684431096654</c:v>
                </c:pt>
                <c:pt idx="89">
                  <c:v>0.80456072095525077</c:v>
                </c:pt>
                <c:pt idx="90">
                  <c:v>1.2955077061376152</c:v>
                </c:pt>
                <c:pt idx="91">
                  <c:v>1.1088331936283273</c:v>
                </c:pt>
                <c:pt idx="92">
                  <c:v>1.0828233103834792</c:v>
                </c:pt>
                <c:pt idx="93">
                  <c:v>1.4199291406654053</c:v>
                </c:pt>
                <c:pt idx="94">
                  <c:v>1.4790705955771739</c:v>
                </c:pt>
                <c:pt idx="95">
                  <c:v>1.5739314055600691</c:v>
                </c:pt>
                <c:pt idx="96">
                  <c:v>1.642348218274126</c:v>
                </c:pt>
                <c:pt idx="97">
                  <c:v>2.1260177286708526</c:v>
                </c:pt>
                <c:pt idx="98">
                  <c:v>2.0838164893337963</c:v>
                </c:pt>
                <c:pt idx="99">
                  <c:v>2.229645031420243</c:v>
                </c:pt>
                <c:pt idx="100">
                  <c:v>2.2038439599539474</c:v>
                </c:pt>
                <c:pt idx="101">
                  <c:v>2.8660688949445481</c:v>
                </c:pt>
                <c:pt idx="102">
                  <c:v>2.9915382948610785</c:v>
                </c:pt>
                <c:pt idx="103">
                  <c:v>3.2072436853409005</c:v>
                </c:pt>
                <c:pt idx="104">
                  <c:v>3.5116097176840793</c:v>
                </c:pt>
                <c:pt idx="105">
                  <c:v>4.1788501880397053</c:v>
                </c:pt>
                <c:pt idx="106">
                  <c:v>3.488221168646878</c:v>
                </c:pt>
                <c:pt idx="107">
                  <c:v>5.2371373349911696</c:v>
                </c:pt>
                <c:pt idx="108">
                  <c:v>4.7887432948413196</c:v>
                </c:pt>
                <c:pt idx="109">
                  <c:v>5.2602673095037185</c:v>
                </c:pt>
                <c:pt idx="110">
                  <c:v>5.6366491874414715</c:v>
                </c:pt>
                <c:pt idx="111">
                  <c:v>5.9205495541654463</c:v>
                </c:pt>
                <c:pt idx="112">
                  <c:v>5.2878198563770589</c:v>
                </c:pt>
                <c:pt idx="113">
                  <c:v>5.4241418868032651</c:v>
                </c:pt>
                <c:pt idx="114">
                  <c:v>5.6289713681027296</c:v>
                </c:pt>
                <c:pt idx="115">
                  <c:v>5.0776376097605027</c:v>
                </c:pt>
                <c:pt idx="116">
                  <c:v>5.5378079672627223</c:v>
                </c:pt>
                <c:pt idx="117">
                  <c:v>4.8506908877113775</c:v>
                </c:pt>
                <c:pt idx="118">
                  <c:v>4.5473364656441344</c:v>
                </c:pt>
                <c:pt idx="119">
                  <c:v>4.5135390263523254</c:v>
                </c:pt>
                <c:pt idx="120">
                  <c:v>3.4270910801395669</c:v>
                </c:pt>
                <c:pt idx="121">
                  <c:v>3.2337054118798836</c:v>
                </c:pt>
                <c:pt idx="122">
                  <c:v>2.5497686486474729</c:v>
                </c:pt>
                <c:pt idx="123">
                  <c:v>2.7392269009630859</c:v>
                </c:pt>
                <c:pt idx="124">
                  <c:v>2.4347940035942752</c:v>
                </c:pt>
                <c:pt idx="125">
                  <c:v>3.0436558930534074</c:v>
                </c:pt>
                <c:pt idx="126">
                  <c:v>3.5287180272458194</c:v>
                </c:pt>
                <c:pt idx="127">
                  <c:v>4.0306524515049071</c:v>
                </c:pt>
                <c:pt idx="128">
                  <c:v>4.7367363838724801</c:v>
                </c:pt>
                <c:pt idx="129">
                  <c:v>3.9167827402801256</c:v>
                </c:pt>
                <c:pt idx="130">
                  <c:v>4.0224694847077913</c:v>
                </c:pt>
                <c:pt idx="131">
                  <c:v>3.6336622064585775</c:v>
                </c:pt>
                <c:pt idx="132">
                  <c:v>3.4129330735917165</c:v>
                </c:pt>
                <c:pt idx="133">
                  <c:v>3.5744140625759675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14-BE49-A665-0EC9C3153F0A}"/>
            </c:ext>
          </c:extLst>
        </c:ser>
        <c:ser>
          <c:idx val="11"/>
          <c:order val="11"/>
          <c:tx>
            <c:strRef>
              <c:f>NN2再投資累積報酬!$A$23:$B$23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NN2再投資累積報酬!$C$23:$EF$23</c:f>
              <c:numCache>
                <c:formatCode>General</c:formatCode>
                <c:ptCount val="134"/>
                <c:pt idx="0">
                  <c:v>0.28298899999999994</c:v>
                </c:pt>
                <c:pt idx="1">
                  <c:v>0.24474224127694799</c:v>
                </c:pt>
                <c:pt idx="2">
                  <c:v>0.14399134471974517</c:v>
                </c:pt>
                <c:pt idx="3">
                  <c:v>-1.8072085086140333E-2</c:v>
                </c:pt>
                <c:pt idx="4">
                  <c:v>-6.9352459219331419E-2</c:v>
                </c:pt>
                <c:pt idx="5">
                  <c:v>0.12023748302023574</c:v>
                </c:pt>
                <c:pt idx="6">
                  <c:v>0.286202938643771</c:v>
                </c:pt>
                <c:pt idx="7">
                  <c:v>0.15994631130719861</c:v>
                </c:pt>
                <c:pt idx="8">
                  <c:v>-7.725050262790889E-2</c:v>
                </c:pt>
                <c:pt idx="9">
                  <c:v>-2.7381862691261638E-2</c:v>
                </c:pt>
                <c:pt idx="10">
                  <c:v>-0.28276157193081741</c:v>
                </c:pt>
                <c:pt idx="11">
                  <c:v>-0.17057168380898369</c:v>
                </c:pt>
                <c:pt idx="12">
                  <c:v>-9.0019623417381123E-4</c:v>
                </c:pt>
                <c:pt idx="13">
                  <c:v>-9.1220528136330192E-2</c:v>
                </c:pt>
                <c:pt idx="14">
                  <c:v>-3.7086337197508867E-2</c:v>
                </c:pt>
                <c:pt idx="15">
                  <c:v>-9.1212815095591093E-2</c:v>
                </c:pt>
                <c:pt idx="16">
                  <c:v>-0.19456421313824768</c:v>
                </c:pt>
                <c:pt idx="17">
                  <c:v>-0.19486493806046867</c:v>
                </c:pt>
                <c:pt idx="18">
                  <c:v>-0.27035232618462846</c:v>
                </c:pt>
                <c:pt idx="19">
                  <c:v>-0.28715571599401835</c:v>
                </c:pt>
                <c:pt idx="20">
                  <c:v>-5.0762900271994815E-2</c:v>
                </c:pt>
                <c:pt idx="21">
                  <c:v>0.19991703889462009</c:v>
                </c:pt>
                <c:pt idx="22">
                  <c:v>0.21750758453786867</c:v>
                </c:pt>
                <c:pt idx="23">
                  <c:v>0.25772492262715119</c:v>
                </c:pt>
                <c:pt idx="24">
                  <c:v>0.2660338206833055</c:v>
                </c:pt>
                <c:pt idx="25">
                  <c:v>0.34711034787642769</c:v>
                </c:pt>
                <c:pt idx="26">
                  <c:v>0.44995729001650608</c:v>
                </c:pt>
                <c:pt idx="27">
                  <c:v>0.47172245441891825</c:v>
                </c:pt>
                <c:pt idx="28">
                  <c:v>-1.7396038861118845E-2</c:v>
                </c:pt>
                <c:pt idx="29">
                  <c:v>4.8346317328058941E-2</c:v>
                </c:pt>
                <c:pt idx="30">
                  <c:v>0.14466172798107935</c:v>
                </c:pt>
                <c:pt idx="31">
                  <c:v>0.18733242787675786</c:v>
                </c:pt>
                <c:pt idx="32">
                  <c:v>0.43566537983203757</c:v>
                </c:pt>
                <c:pt idx="33">
                  <c:v>0.46952841914613597</c:v>
                </c:pt>
                <c:pt idx="34">
                  <c:v>0.63721792257684129</c:v>
                </c:pt>
                <c:pt idx="35">
                  <c:v>0.85240027901063953</c:v>
                </c:pt>
                <c:pt idx="36">
                  <c:v>0.86679248261102182</c:v>
                </c:pt>
                <c:pt idx="37">
                  <c:v>1.3191437417973804</c:v>
                </c:pt>
                <c:pt idx="38">
                  <c:v>1.3067665825223673</c:v>
                </c:pt>
                <c:pt idx="39">
                  <c:v>1.3139662302089983</c:v>
                </c:pt>
                <c:pt idx="40">
                  <c:v>1.5208926424344384</c:v>
                </c:pt>
                <c:pt idx="41">
                  <c:v>2.3697882249470896</c:v>
                </c:pt>
                <c:pt idx="42">
                  <c:v>2.4781909423554129</c:v>
                </c:pt>
                <c:pt idx="43">
                  <c:v>2.3340974155807572</c:v>
                </c:pt>
                <c:pt idx="44">
                  <c:v>2.4446078285838677</c:v>
                </c:pt>
                <c:pt idx="45">
                  <c:v>2.3494023327974092</c:v>
                </c:pt>
                <c:pt idx="46">
                  <c:v>2.1751432796164227</c:v>
                </c:pt>
                <c:pt idx="47">
                  <c:v>2.3968894244011798</c:v>
                </c:pt>
                <c:pt idx="48">
                  <c:v>2.9751554335922665</c:v>
                </c:pt>
                <c:pt idx="49">
                  <c:v>2.7217248949692796</c:v>
                </c:pt>
                <c:pt idx="50">
                  <c:v>2.7576275565496844</c:v>
                </c:pt>
                <c:pt idx="51">
                  <c:v>2.5658026083370382</c:v>
                </c:pt>
                <c:pt idx="52">
                  <c:v>1.4931084527742557</c:v>
                </c:pt>
                <c:pt idx="53">
                  <c:v>1.7295321246431232</c:v>
                </c:pt>
                <c:pt idx="54">
                  <c:v>1.534559563991952</c:v>
                </c:pt>
                <c:pt idx="55">
                  <c:v>1.4766525054464101</c:v>
                </c:pt>
                <c:pt idx="56">
                  <c:v>1.6618106903967069</c:v>
                </c:pt>
                <c:pt idx="57">
                  <c:v>1.120174853500719</c:v>
                </c:pt>
                <c:pt idx="58">
                  <c:v>1.5253658782820003</c:v>
                </c:pt>
                <c:pt idx="59">
                  <c:v>1.7880123018878282</c:v>
                </c:pt>
                <c:pt idx="60">
                  <c:v>1.7936834209532999</c:v>
                </c:pt>
                <c:pt idx="61">
                  <c:v>2.2114349052515134</c:v>
                </c:pt>
                <c:pt idx="62">
                  <c:v>2.8189763661992333</c:v>
                </c:pt>
                <c:pt idx="63">
                  <c:v>2.9658160074795941</c:v>
                </c:pt>
                <c:pt idx="64">
                  <c:v>3.1106672061281362</c:v>
                </c:pt>
                <c:pt idx="65">
                  <c:v>3.5146076708309666</c:v>
                </c:pt>
                <c:pt idx="66">
                  <c:v>3.8398756793178928</c:v>
                </c:pt>
                <c:pt idx="67">
                  <c:v>3.926239976785256</c:v>
                </c:pt>
                <c:pt idx="68">
                  <c:v>3.5652678278641741</c:v>
                </c:pt>
                <c:pt idx="69">
                  <c:v>4.2210676657935879</c:v>
                </c:pt>
                <c:pt idx="70">
                  <c:v>3.1471580789180269</c:v>
                </c:pt>
                <c:pt idx="71">
                  <c:v>3.6177260217381662</c:v>
                </c:pt>
                <c:pt idx="72">
                  <c:v>2.684241932015921</c:v>
                </c:pt>
                <c:pt idx="73">
                  <c:v>2.653982811924108</c:v>
                </c:pt>
                <c:pt idx="74">
                  <c:v>2.6166913862351824</c:v>
                </c:pt>
                <c:pt idx="75">
                  <c:v>2.6444305499569061</c:v>
                </c:pt>
                <c:pt idx="76">
                  <c:v>2.3687177175982987</c:v>
                </c:pt>
                <c:pt idx="77">
                  <c:v>1.6356368963766337</c:v>
                </c:pt>
                <c:pt idx="78">
                  <c:v>2.228546155162495</c:v>
                </c:pt>
                <c:pt idx="79">
                  <c:v>2.8473824370356566</c:v>
                </c:pt>
                <c:pt idx="80">
                  <c:v>3.0766941250478554</c:v>
                </c:pt>
                <c:pt idx="81">
                  <c:v>2.3289040833432644</c:v>
                </c:pt>
                <c:pt idx="82">
                  <c:v>1.0198332319747641</c:v>
                </c:pt>
                <c:pt idx="83">
                  <c:v>1.3838000077901085</c:v>
                </c:pt>
                <c:pt idx="84">
                  <c:v>0.64506177482600102</c:v>
                </c:pt>
                <c:pt idx="85">
                  <c:v>0.61236556740820358</c:v>
                </c:pt>
                <c:pt idx="86">
                  <c:v>0.76734130015032487</c:v>
                </c:pt>
                <c:pt idx="87">
                  <c:v>4.5097814701941186E-2</c:v>
                </c:pt>
                <c:pt idx="88">
                  <c:v>-0.20019186789767784</c:v>
                </c:pt>
                <c:pt idx="89">
                  <c:v>-0.24258584060138055</c:v>
                </c:pt>
                <c:pt idx="90">
                  <c:v>-4.0994381471242458E-2</c:v>
                </c:pt>
                <c:pt idx="91">
                  <c:v>-0.15580413660745907</c:v>
                </c:pt>
                <c:pt idx="92">
                  <c:v>-0.1635570157246492</c:v>
                </c:pt>
                <c:pt idx="93">
                  <c:v>-0.15385611408550615</c:v>
                </c:pt>
                <c:pt idx="94">
                  <c:v>-9.5459493799117334E-2</c:v>
                </c:pt>
                <c:pt idx="95">
                  <c:v>-3.6310233287882299E-2</c:v>
                </c:pt>
                <c:pt idx="96">
                  <c:v>-4.4767574680547817E-2</c:v>
                </c:pt>
                <c:pt idx="97">
                  <c:v>0.14804561275397088</c:v>
                </c:pt>
                <c:pt idx="98">
                  <c:v>0.22170995949632943</c:v>
                </c:pt>
                <c:pt idx="99">
                  <c:v>0.16764929378861693</c:v>
                </c:pt>
                <c:pt idx="100">
                  <c:v>0.19339190985328836</c:v>
                </c:pt>
                <c:pt idx="101">
                  <c:v>0.39150153054443848</c:v>
                </c:pt>
                <c:pt idx="102">
                  <c:v>0.48145514698648384</c:v>
                </c:pt>
                <c:pt idx="103">
                  <c:v>0.5092294680821865</c:v>
                </c:pt>
                <c:pt idx="104">
                  <c:v>0.61852032001335777</c:v>
                </c:pt>
                <c:pt idx="105">
                  <c:v>0.96393043190135508</c:v>
                </c:pt>
                <c:pt idx="106">
                  <c:v>0.68614327392628383</c:v>
                </c:pt>
                <c:pt idx="107">
                  <c:v>1.3754344289491636</c:v>
                </c:pt>
                <c:pt idx="108">
                  <c:v>1.2148016142775488</c:v>
                </c:pt>
                <c:pt idx="109">
                  <c:v>1.5231640134301832</c:v>
                </c:pt>
                <c:pt idx="110">
                  <c:v>1.7654912084440313</c:v>
                </c:pt>
                <c:pt idx="111">
                  <c:v>1.6719539993008286</c:v>
                </c:pt>
                <c:pt idx="112">
                  <c:v>1.4281555645656234</c:v>
                </c:pt>
                <c:pt idx="113">
                  <c:v>1.2907073906778215</c:v>
                </c:pt>
                <c:pt idx="114">
                  <c:v>1.3971725980743548</c:v>
                </c:pt>
                <c:pt idx="115">
                  <c:v>1.1138267969819662</c:v>
                </c:pt>
                <c:pt idx="116">
                  <c:v>1.3760850600299248</c:v>
                </c:pt>
                <c:pt idx="117">
                  <c:v>1.2848350774270654</c:v>
                </c:pt>
                <c:pt idx="118">
                  <c:v>1.008071862080786</c:v>
                </c:pt>
                <c:pt idx="119">
                  <c:v>0.82757430920113229</c:v>
                </c:pt>
                <c:pt idx="120">
                  <c:v>0.30105640665509559</c:v>
                </c:pt>
                <c:pt idx="121">
                  <c:v>0.23047344606585329</c:v>
                </c:pt>
                <c:pt idx="122">
                  <c:v>0.16201236447364131</c:v>
                </c:pt>
                <c:pt idx="123">
                  <c:v>0.17146301103390527</c:v>
                </c:pt>
                <c:pt idx="124">
                  <c:v>0.19846816209576423</c:v>
                </c:pt>
                <c:pt idx="125">
                  <c:v>0.58131701877501296</c:v>
                </c:pt>
                <c:pt idx="126">
                  <c:v>0.49604449853757049</c:v>
                </c:pt>
                <c:pt idx="127">
                  <c:v>0.1711410345676736</c:v>
                </c:pt>
                <c:pt idx="128">
                  <c:v>0.13746253183661095</c:v>
                </c:pt>
                <c:pt idx="129">
                  <c:v>-1.9767207745366E-2</c:v>
                </c:pt>
                <c:pt idx="130">
                  <c:v>-5.5628354290144899E-2</c:v>
                </c:pt>
                <c:pt idx="131">
                  <c:v>-0.14196838629643982</c:v>
                </c:pt>
                <c:pt idx="132">
                  <c:v>-0.20135361231247695</c:v>
                </c:pt>
                <c:pt idx="133">
                  <c:v>-0.12674885865303454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14-BE49-A665-0EC9C3153F0A}"/>
            </c:ext>
          </c:extLst>
        </c:ser>
        <c:ser>
          <c:idx val="12"/>
          <c:order val="12"/>
          <c:tx>
            <c:strRef>
              <c:f>NN2再投資累積報酬!$A$24:$B$24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NN2再投資累積報酬!$C$24:$EF$24</c:f>
              <c:numCache>
                <c:formatCode>General</c:formatCode>
                <c:ptCount val="134"/>
                <c:pt idx="0">
                  <c:v>9.9113000000000007E-2</c:v>
                </c:pt>
                <c:pt idx="1">
                  <c:v>-1.5248619497808757E-2</c:v>
                </c:pt>
                <c:pt idx="2">
                  <c:v>5.5062954204718739E-2</c:v>
                </c:pt>
                <c:pt idx="3">
                  <c:v>-0.18460466814565413</c:v>
                </c:pt>
                <c:pt idx="4">
                  <c:v>-5.2099922518000774E-4</c:v>
                </c:pt>
                <c:pt idx="5">
                  <c:v>0.24603720567098408</c:v>
                </c:pt>
                <c:pt idx="6">
                  <c:v>0.24340565832397543</c:v>
                </c:pt>
                <c:pt idx="7">
                  <c:v>0.11909966798445604</c:v>
                </c:pt>
                <c:pt idx="8">
                  <c:v>9.5021927120827021E-2</c:v>
                </c:pt>
                <c:pt idx="9">
                  <c:v>0.19973148317040157</c:v>
                </c:pt>
                <c:pt idx="10">
                  <c:v>-0.35577723918157922</c:v>
                </c:pt>
                <c:pt idx="11">
                  <c:v>-0.26292512121816414</c:v>
                </c:pt>
                <c:pt idx="12">
                  <c:v>-8.9484626012610424E-2</c:v>
                </c:pt>
                <c:pt idx="13">
                  <c:v>-0.18440441004581298</c:v>
                </c:pt>
                <c:pt idx="14">
                  <c:v>-0.13468165618503314</c:v>
                </c:pt>
                <c:pt idx="15">
                  <c:v>-0.347288098147434</c:v>
                </c:pt>
                <c:pt idx="16">
                  <c:v>-0.57737848245654622</c:v>
                </c:pt>
                <c:pt idx="17">
                  <c:v>-0.52510398569594008</c:v>
                </c:pt>
                <c:pt idx="18">
                  <c:v>-0.59563491213460185</c:v>
                </c:pt>
                <c:pt idx="19">
                  <c:v>-0.62278370222576107</c:v>
                </c:pt>
                <c:pt idx="20">
                  <c:v>-0.43579306212114488</c:v>
                </c:pt>
                <c:pt idx="21">
                  <c:v>-0.36920398687591849</c:v>
                </c:pt>
                <c:pt idx="22">
                  <c:v>-0.36322592364401718</c:v>
                </c:pt>
                <c:pt idx="23">
                  <c:v>-0.29582827345168727</c:v>
                </c:pt>
                <c:pt idx="24">
                  <c:v>-0.28628831810095612</c:v>
                </c:pt>
                <c:pt idx="25">
                  <c:v>-0.14687214745988331</c:v>
                </c:pt>
                <c:pt idx="26">
                  <c:v>-3.99066524578221E-2</c:v>
                </c:pt>
                <c:pt idx="27">
                  <c:v>-3.2396956971461721E-2</c:v>
                </c:pt>
                <c:pt idx="28">
                  <c:v>-0.55611996215327297</c:v>
                </c:pt>
                <c:pt idx="29">
                  <c:v>-0.54612289148664583</c:v>
                </c:pt>
                <c:pt idx="30">
                  <c:v>-0.48315392512274236</c:v>
                </c:pt>
                <c:pt idx="31">
                  <c:v>-0.51861835224259512</c:v>
                </c:pt>
                <c:pt idx="32">
                  <c:v>-0.36919074943562813</c:v>
                </c:pt>
                <c:pt idx="33">
                  <c:v>-0.31529756111366103</c:v>
                </c:pt>
                <c:pt idx="34">
                  <c:v>-0.25717731142555611</c:v>
                </c:pt>
                <c:pt idx="35">
                  <c:v>-0.29779257964972128</c:v>
                </c:pt>
                <c:pt idx="36">
                  <c:v>-0.31107783945091028</c:v>
                </c:pt>
                <c:pt idx="37">
                  <c:v>-0.15869551523222214</c:v>
                </c:pt>
                <c:pt idx="38">
                  <c:v>-0.10309360775168885</c:v>
                </c:pt>
                <c:pt idx="39">
                  <c:v>-0.12358945744769911</c:v>
                </c:pt>
                <c:pt idx="40">
                  <c:v>-8.2330702144317924E-2</c:v>
                </c:pt>
                <c:pt idx="41">
                  <c:v>-7.3485052301364595E-2</c:v>
                </c:pt>
                <c:pt idx="42">
                  <c:v>0.14686985073969727</c:v>
                </c:pt>
                <c:pt idx="43">
                  <c:v>0.18180259748133443</c:v>
                </c:pt>
                <c:pt idx="44">
                  <c:v>0.23391456103482677</c:v>
                </c:pt>
                <c:pt idx="45">
                  <c:v>0.12637649820880492</c:v>
                </c:pt>
                <c:pt idx="46">
                  <c:v>0.1319943477506802</c:v>
                </c:pt>
                <c:pt idx="47">
                  <c:v>0.16403679097515278</c:v>
                </c:pt>
                <c:pt idx="48">
                  <c:v>0.35974314662425599</c:v>
                </c:pt>
                <c:pt idx="49">
                  <c:v>0.41123264043411689</c:v>
                </c:pt>
                <c:pt idx="50">
                  <c:v>0.33531575863287411</c:v>
                </c:pt>
                <c:pt idx="51">
                  <c:v>0.22026624359150748</c:v>
                </c:pt>
                <c:pt idx="52">
                  <c:v>-0.75987114343870221</c:v>
                </c:pt>
                <c:pt idx="53">
                  <c:v>-0.71530437565781235</c:v>
                </c:pt>
                <c:pt idx="54">
                  <c:v>-0.72841869568878304</c:v>
                </c:pt>
                <c:pt idx="55">
                  <c:v>-0.70461423151859193</c:v>
                </c:pt>
                <c:pt idx="56">
                  <c:v>-0.69668726911823087</c:v>
                </c:pt>
                <c:pt idx="57">
                  <c:v>-0.81384343017513294</c:v>
                </c:pt>
                <c:pt idx="58">
                  <c:v>-0.7722134028761316</c:v>
                </c:pt>
                <c:pt idx="59">
                  <c:v>-0.77145070142423022</c:v>
                </c:pt>
                <c:pt idx="60">
                  <c:v>-0.77053112260375434</c:v>
                </c:pt>
                <c:pt idx="61">
                  <c:v>-0.69775178812667682</c:v>
                </c:pt>
                <c:pt idx="62">
                  <c:v>-0.69428408861355229</c:v>
                </c:pt>
                <c:pt idx="63">
                  <c:v>-0.66098826298854285</c:v>
                </c:pt>
                <c:pt idx="64">
                  <c:v>-0.71560633921625572</c:v>
                </c:pt>
                <c:pt idx="65">
                  <c:v>-0.68052604525288918</c:v>
                </c:pt>
                <c:pt idx="66">
                  <c:v>-0.70102657178753303</c:v>
                </c:pt>
                <c:pt idx="67">
                  <c:v>-0.68836318650037742</c:v>
                </c:pt>
                <c:pt idx="68">
                  <c:v>-0.68876355176348081</c:v>
                </c:pt>
                <c:pt idx="69">
                  <c:v>-0.65257587328958766</c:v>
                </c:pt>
                <c:pt idx="70">
                  <c:v>-0.73190205386403018</c:v>
                </c:pt>
                <c:pt idx="71">
                  <c:v>-0.70302027663625843</c:v>
                </c:pt>
                <c:pt idx="72">
                  <c:v>-0.72138428025230938</c:v>
                </c:pt>
                <c:pt idx="73">
                  <c:v>-0.75842904187177163</c:v>
                </c:pt>
                <c:pt idx="74">
                  <c:v>-0.73191767542057506</c:v>
                </c:pt>
                <c:pt idx="75">
                  <c:v>-0.66251306527976195</c:v>
                </c:pt>
                <c:pt idx="76">
                  <c:v>-0.70139887713729543</c:v>
                </c:pt>
                <c:pt idx="77">
                  <c:v>-0.63906231720390272</c:v>
                </c:pt>
                <c:pt idx="78">
                  <c:v>-0.48030224877886807</c:v>
                </c:pt>
                <c:pt idx="79">
                  <c:v>-0.40530658359913152</c:v>
                </c:pt>
                <c:pt idx="80">
                  <c:v>-0.30684616811272181</c:v>
                </c:pt>
                <c:pt idx="81">
                  <c:v>-0.42130666037226805</c:v>
                </c:pt>
                <c:pt idx="82">
                  <c:v>-0.60869796808231103</c:v>
                </c:pt>
                <c:pt idx="83">
                  <c:v>-0.47006854196553338</c:v>
                </c:pt>
                <c:pt idx="84">
                  <c:v>-0.29601158972299757</c:v>
                </c:pt>
                <c:pt idx="85">
                  <c:v>-0.28678266392303087</c:v>
                </c:pt>
                <c:pt idx="86">
                  <c:v>-0.22007538991042208</c:v>
                </c:pt>
                <c:pt idx="87">
                  <c:v>-0.10951691680172515</c:v>
                </c:pt>
                <c:pt idx="88">
                  <c:v>-0.67625597027243523</c:v>
                </c:pt>
                <c:pt idx="89">
                  <c:v>-0.71113575268317042</c:v>
                </c:pt>
                <c:pt idx="90">
                  <c:v>-0.58043219124273526</c:v>
                </c:pt>
                <c:pt idx="91">
                  <c:v>-0.68504596997484546</c:v>
                </c:pt>
                <c:pt idx="92">
                  <c:v>-0.64892478237440443</c:v>
                </c:pt>
                <c:pt idx="93">
                  <c:v>-0.62747940949582781</c:v>
                </c:pt>
                <c:pt idx="94">
                  <c:v>-0.63748456751558891</c:v>
                </c:pt>
                <c:pt idx="95">
                  <c:v>-0.68082038734564043</c:v>
                </c:pt>
                <c:pt idx="96">
                  <c:v>-0.68283185726458817</c:v>
                </c:pt>
                <c:pt idx="97">
                  <c:v>-0.56818318570116233</c:v>
                </c:pt>
                <c:pt idx="98">
                  <c:v>-0.56886977443589748</c:v>
                </c:pt>
                <c:pt idx="99">
                  <c:v>-0.54611903243287985</c:v>
                </c:pt>
                <c:pt idx="100">
                  <c:v>-0.58245987657954357</c:v>
                </c:pt>
                <c:pt idx="101">
                  <c:v>-0.44776519062521503</c:v>
                </c:pt>
                <c:pt idx="102">
                  <c:v>-0.42900025180265988</c:v>
                </c:pt>
                <c:pt idx="103">
                  <c:v>-0.43842174764791597</c:v>
                </c:pt>
                <c:pt idx="104">
                  <c:v>-0.33759037243809931</c:v>
                </c:pt>
                <c:pt idx="105">
                  <c:v>-0.23598906914777795</c:v>
                </c:pt>
                <c:pt idx="106">
                  <c:v>-0.47026461697337252</c:v>
                </c:pt>
                <c:pt idx="107">
                  <c:v>-0.19184205647917352</c:v>
                </c:pt>
                <c:pt idx="108">
                  <c:v>-0.28845329783737073</c:v>
                </c:pt>
                <c:pt idx="109">
                  <c:v>-9.9320626669032963E-2</c:v>
                </c:pt>
                <c:pt idx="110">
                  <c:v>-6.5828864171720958E-2</c:v>
                </c:pt>
                <c:pt idx="111">
                  <c:v>-4.6136536628460845E-2</c:v>
                </c:pt>
                <c:pt idx="112">
                  <c:v>-0.16029396206130331</c:v>
                </c:pt>
                <c:pt idx="113">
                  <c:v>-0.18695378905981896</c:v>
                </c:pt>
                <c:pt idx="114">
                  <c:v>-0.18662044011333345</c:v>
                </c:pt>
                <c:pt idx="115">
                  <c:v>-0.30783839592324336</c:v>
                </c:pt>
                <c:pt idx="116">
                  <c:v>-0.22781413206790913</c:v>
                </c:pt>
                <c:pt idx="117">
                  <c:v>-0.33926140182894404</c:v>
                </c:pt>
                <c:pt idx="118">
                  <c:v>-0.37261945069620794</c:v>
                </c:pt>
                <c:pt idx="119">
                  <c:v>-0.3854905580479443</c:v>
                </c:pt>
                <c:pt idx="120">
                  <c:v>-0.5183853169437298</c:v>
                </c:pt>
                <c:pt idx="121">
                  <c:v>-0.55437782705257399</c:v>
                </c:pt>
                <c:pt idx="122">
                  <c:v>-0.54467128488143324</c:v>
                </c:pt>
                <c:pt idx="123">
                  <c:v>-0.50002767035020312</c:v>
                </c:pt>
                <c:pt idx="124">
                  <c:v>-0.4494389701192476</c:v>
                </c:pt>
                <c:pt idx="125">
                  <c:v>-0.29201760540647403</c:v>
                </c:pt>
                <c:pt idx="126">
                  <c:v>-0.29431146836495703</c:v>
                </c:pt>
                <c:pt idx="127">
                  <c:v>-0.60023450371406462</c:v>
                </c:pt>
                <c:pt idx="128">
                  <c:v>-0.6221884254735992</c:v>
                </c:pt>
                <c:pt idx="129">
                  <c:v>-0.66345716157069257</c:v>
                </c:pt>
                <c:pt idx="130">
                  <c:v>-0.66827306225146965</c:v>
                </c:pt>
                <c:pt idx="131">
                  <c:v>-0.68690710820691714</c:v>
                </c:pt>
                <c:pt idx="132">
                  <c:v>-0.7205589584026213</c:v>
                </c:pt>
                <c:pt idx="133">
                  <c:v>-0.68309010634003675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14-BE49-A665-0EC9C3153F0A}"/>
            </c:ext>
          </c:extLst>
        </c:ser>
        <c:ser>
          <c:idx val="13"/>
          <c:order val="13"/>
          <c:tx>
            <c:strRef>
              <c:f>NN2再投資累積報酬!$A$25:$B$25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NN2再投資累積報酬!$C$10:$EF$11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NN2再投資累積報酬!$C$25:$EF$25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14-BE49-A665-0EC9C315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10175"/>
        <c:axId val="379437296"/>
      </c:lineChart>
      <c:catAx>
        <c:axId val="165641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437296"/>
        <c:crosses val="autoZero"/>
        <c:auto val="1"/>
        <c:lblAlgn val="ctr"/>
        <c:lblOffset val="100"/>
        <c:noMultiLvlLbl val="0"/>
      </c:catAx>
      <c:valAx>
        <c:axId val="37943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564101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579967</xdr:colOff>
      <xdr:row>26</xdr:row>
      <xdr:rowOff>190501</xdr:rowOff>
    </xdr:from>
    <xdr:to>
      <xdr:col>9</xdr:col>
      <xdr:colOff>338667</xdr:colOff>
      <xdr:row>42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549342</xdr:colOff>
      <xdr:row>27</xdr:row>
      <xdr:rowOff>90502</xdr:rowOff>
    </xdr:from>
    <xdr:to>
      <xdr:col>15</xdr:col>
      <xdr:colOff>745066</xdr:colOff>
      <xdr:row>56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topLeftCell="A21" zoomScale="166" zoomScaleNormal="80" workbookViewId="0">
      <selection activeCell="D28" sqref="D28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5.723077803850174E-2</v>
      </c>
      <c r="D3" s="13">
        <v>7.545451819896698E-2</v>
      </c>
      <c r="E3" s="13">
        <v>5.3419496864080429E-2</v>
      </c>
      <c r="F3" s="13">
        <v>4.8055462539196007E-2</v>
      </c>
      <c r="G3" s="13">
        <v>5.6244600564241409E-2</v>
      </c>
      <c r="H3" s="13">
        <v>5.3408809006214142E-2</v>
      </c>
      <c r="I3" s="13">
        <v>5.4677728563547127E-2</v>
      </c>
      <c r="J3" s="13">
        <v>6.1407111585140228E-2</v>
      </c>
      <c r="K3" s="13">
        <v>6.1087191104888923E-2</v>
      </c>
      <c r="L3" s="13">
        <v>6.1945471912622452E-2</v>
      </c>
      <c r="M3" s="13">
        <v>6.4090974628925323E-2</v>
      </c>
      <c r="N3" s="13">
        <v>5.0166409462690353E-2</v>
      </c>
      <c r="O3" s="13">
        <v>5.0939202308654792E-2</v>
      </c>
      <c r="P3" s="13">
        <v>5.3945809602737427E-2</v>
      </c>
      <c r="Q3" s="13">
        <v>5.463515967130661E-2</v>
      </c>
      <c r="R3" s="13">
        <v>5.4097041487693787E-2</v>
      </c>
      <c r="S3" s="13">
        <v>5.4209418594837189E-2</v>
      </c>
      <c r="T3" s="13">
        <v>5.6115321815013892E-2</v>
      </c>
      <c r="U3" s="13">
        <v>5.4694335907697678E-2</v>
      </c>
      <c r="V3" s="13">
        <v>5.5520310997962952E-2</v>
      </c>
      <c r="W3" s="13">
        <v>5.7895615696907043E-2</v>
      </c>
      <c r="X3" s="13">
        <v>5.6128561496734619E-2</v>
      </c>
      <c r="Y3" s="13">
        <v>5.4498970508575439E-2</v>
      </c>
      <c r="Z3" s="13">
        <v>5.640922486782074E-2</v>
      </c>
      <c r="AA3" s="13">
        <v>5.4687082767486572E-2</v>
      </c>
      <c r="AB3" s="13">
        <v>5.4479975253343582E-2</v>
      </c>
      <c r="AC3" s="13">
        <v>5.7393115013837807E-2</v>
      </c>
      <c r="AD3" s="13">
        <v>5.7433716952800751E-2</v>
      </c>
      <c r="AE3" s="13">
        <v>4.2686142027378082E-2</v>
      </c>
      <c r="AF3" s="13">
        <v>5.614069476723671E-2</v>
      </c>
      <c r="AG3" s="13">
        <v>5.5614285171031952E-2</v>
      </c>
      <c r="AH3" s="13">
        <v>2.0760968327522281E-2</v>
      </c>
      <c r="AI3" s="13">
        <v>2.509923838078976E-2</v>
      </c>
      <c r="AJ3" s="13">
        <v>2.919439785182476E-2</v>
      </c>
      <c r="AK3" s="13">
        <v>3.0455950647592541E-2</v>
      </c>
      <c r="AL3" s="13">
        <v>3.425038605928421E-2</v>
      </c>
      <c r="AM3" s="13">
        <v>3.9540499448776252E-2</v>
      </c>
      <c r="AN3" s="13">
        <v>4.3252840638160713E-2</v>
      </c>
      <c r="AO3" s="13">
        <v>4.4728361070156097E-2</v>
      </c>
      <c r="AP3" s="13">
        <v>4.2892593890428543E-2</v>
      </c>
      <c r="AQ3" s="13">
        <v>4.543033242225647E-2</v>
      </c>
      <c r="AR3" s="13">
        <v>4.4913444668054581E-2</v>
      </c>
      <c r="AS3" s="13">
        <v>4.8380430787801743E-2</v>
      </c>
      <c r="AT3" s="13">
        <v>4.19180728495121E-2</v>
      </c>
      <c r="AU3" s="13">
        <v>4.1785150766372681E-2</v>
      </c>
      <c r="AV3" s="13">
        <v>4.3081630021333688E-2</v>
      </c>
      <c r="AW3" s="13">
        <v>4.6142738312482827E-2</v>
      </c>
      <c r="AX3" s="13">
        <v>4.5525301247835159E-2</v>
      </c>
      <c r="AY3" s="13">
        <v>4.7935985028743737E-2</v>
      </c>
      <c r="AZ3" s="13">
        <v>4.1659116744995117E-2</v>
      </c>
      <c r="BA3" s="13">
        <v>3.8711324334144592E-2</v>
      </c>
      <c r="BB3" s="13">
        <v>3.8947168737649918E-2</v>
      </c>
      <c r="BC3" s="13">
        <v>4.2427822947502143E-2</v>
      </c>
      <c r="BD3" s="13">
        <v>4.4051360338926322E-2</v>
      </c>
      <c r="BE3" s="13">
        <v>4.56375852227211E-2</v>
      </c>
      <c r="BF3" s="13">
        <v>4.8670642077922821E-2</v>
      </c>
      <c r="BG3" s="13">
        <v>4.9968019127845757E-2</v>
      </c>
      <c r="BH3" s="13">
        <v>5.1808405667543411E-2</v>
      </c>
      <c r="BI3" s="13">
        <v>5.0584189593791962E-2</v>
      </c>
      <c r="BJ3" s="13">
        <v>5.2059561014175422E-2</v>
      </c>
      <c r="BK3" s="13">
        <v>5.2372250705957413E-2</v>
      </c>
      <c r="BL3" s="13">
        <v>5.0854671746492393E-2</v>
      </c>
      <c r="BM3" s="13">
        <v>5.2194196730852127E-2</v>
      </c>
      <c r="BN3" s="13">
        <v>5.6162696331739433E-2</v>
      </c>
      <c r="BO3" s="13">
        <v>5.4506797343492508E-2</v>
      </c>
      <c r="BP3" s="13">
        <v>4.0165632963180542E-2</v>
      </c>
      <c r="BQ3" s="13">
        <v>5.2233844995498657E-2</v>
      </c>
      <c r="BR3" s="13">
        <v>3.6525636911392212E-2</v>
      </c>
      <c r="BS3" s="13">
        <v>5.2801784127950668E-2</v>
      </c>
      <c r="BT3" s="13">
        <v>4.8056013882160187E-2</v>
      </c>
      <c r="BU3" s="13">
        <v>-9.9144220352172852E-2</v>
      </c>
      <c r="BV3" s="13">
        <v>5.2249498665332787E-2</v>
      </c>
      <c r="BW3" s="13">
        <v>3.9474610239267349E-2</v>
      </c>
      <c r="BX3" s="13">
        <v>4.7410383820533752E-2</v>
      </c>
      <c r="BY3" s="13">
        <v>4.704391211271286E-2</v>
      </c>
      <c r="BZ3" s="13">
        <v>4.6114489436149597E-2</v>
      </c>
      <c r="CA3" s="13">
        <v>4.2742863297462463E-2</v>
      </c>
      <c r="CB3" s="13">
        <v>3.8489740341901779E-2</v>
      </c>
      <c r="CC3" s="13">
        <v>3.745705634355545E-2</v>
      </c>
      <c r="CD3" s="13">
        <v>3.9794288575649261E-2</v>
      </c>
      <c r="CE3" s="13">
        <v>3.74956876039505E-2</v>
      </c>
      <c r="CF3" s="13">
        <v>2.513935416936874E-2</v>
      </c>
      <c r="CG3" s="13">
        <v>3.5978682339191437E-2</v>
      </c>
      <c r="CH3" s="13">
        <v>3.177894651889801E-2</v>
      </c>
      <c r="CI3" s="13">
        <v>3.4042399376630783E-2</v>
      </c>
      <c r="CJ3" s="13">
        <v>3.8737695664167397E-2</v>
      </c>
      <c r="CK3" s="13">
        <v>3.9908383041620248E-2</v>
      </c>
      <c r="CL3" s="13">
        <v>3.7117619067430503E-2</v>
      </c>
      <c r="CM3" s="13">
        <v>1.7108667641878132E-2</v>
      </c>
      <c r="CN3" s="13">
        <v>4.0649183094501502E-2</v>
      </c>
      <c r="CO3" s="13">
        <v>2.8012029826641079E-2</v>
      </c>
      <c r="CP3" s="13">
        <v>6.033631507307291E-3</v>
      </c>
      <c r="CQ3" s="13">
        <v>3.3265896141529083E-2</v>
      </c>
      <c r="CR3" s="13">
        <v>3.3467646688222892E-2</v>
      </c>
      <c r="CS3" s="13">
        <v>2.295568585395813E-2</v>
      </c>
      <c r="CT3" s="13">
        <v>1.8620189279317859E-2</v>
      </c>
      <c r="CU3" s="13">
        <v>1.673657447099686E-2</v>
      </c>
      <c r="CV3" s="13">
        <v>8.8566392660140991E-3</v>
      </c>
      <c r="CW3" s="13">
        <v>1.8140114843845371E-2</v>
      </c>
      <c r="CX3" s="13">
        <v>2.3012114688754082E-2</v>
      </c>
      <c r="CY3" s="13">
        <v>2.5537870824337009E-2</v>
      </c>
      <c r="CZ3" s="13">
        <v>-1.074089854955673E-2</v>
      </c>
      <c r="DA3" s="13">
        <v>1.7809309065341949E-2</v>
      </c>
      <c r="DB3" s="13">
        <v>3.122199326753616E-2</v>
      </c>
      <c r="DC3" s="13">
        <v>9.9241826683282852E-3</v>
      </c>
      <c r="DD3" s="13">
        <v>3.3772524446249008E-2</v>
      </c>
      <c r="DE3" s="13">
        <v>2.3819208145141602E-2</v>
      </c>
      <c r="DF3" s="13">
        <v>2.5578401982784271E-2</v>
      </c>
      <c r="DG3" s="13">
        <v>1.3096854090690609E-2</v>
      </c>
      <c r="DH3" s="13">
        <v>2.5391291826963421E-2</v>
      </c>
      <c r="DI3" s="13">
        <v>2.3517698049545292E-2</v>
      </c>
      <c r="DJ3" s="13">
        <v>3.1970106065273281E-3</v>
      </c>
      <c r="DK3" s="13">
        <v>6.1636377358809114E-4</v>
      </c>
      <c r="DL3" s="13">
        <v>5.1844632253050804E-3</v>
      </c>
      <c r="DM3" s="13">
        <v>2.578671462833881E-2</v>
      </c>
      <c r="DN3" s="13">
        <v>9.7193727269768715E-3</v>
      </c>
      <c r="DO3" s="13">
        <v>2.619513776153326E-3</v>
      </c>
      <c r="DP3" s="13">
        <v>-4.3171625584363937E-3</v>
      </c>
      <c r="DQ3" s="13">
        <v>2.6535039767622951E-2</v>
      </c>
      <c r="DR3" s="13">
        <v>3.2421927899122238E-2</v>
      </c>
      <c r="DS3" s="13">
        <v>2.6365883648395538E-2</v>
      </c>
      <c r="DT3" s="13">
        <v>1.8022846430540081E-2</v>
      </c>
      <c r="DU3" s="13">
        <v>2.060607448220253E-2</v>
      </c>
      <c r="DV3" s="13">
        <v>2.3552460595965389E-2</v>
      </c>
      <c r="DW3" s="13">
        <v>2.1600417792797089E-2</v>
      </c>
      <c r="DX3" s="13">
        <v>1.422623824328184E-2</v>
      </c>
      <c r="DY3" s="13">
        <v>1.5565707348287111E-2</v>
      </c>
      <c r="DZ3" s="13">
        <v>1.340680755674839E-2</v>
      </c>
      <c r="EA3" s="13">
        <v>4.9481242895126343E-3</v>
      </c>
      <c r="EB3" s="13">
        <v>-1.2768213637173179E-2</v>
      </c>
      <c r="EC3" s="13">
        <v>3.6291155964136117E-2</v>
      </c>
      <c r="ED3" s="13">
        <v>2.4168495088815689E-2</v>
      </c>
      <c r="EE3" s="13">
        <v>2.1592959761619571E-2</v>
      </c>
      <c r="EF3" s="13">
        <v>2.6417184621095661E-2</v>
      </c>
    </row>
    <row r="4" spans="1:136" s="1" customFormat="1">
      <c r="B4" s="2" t="s">
        <v>137</v>
      </c>
      <c r="C4" s="13">
        <v>-8.5349172353744507E-2</v>
      </c>
      <c r="D4" s="13">
        <v>-5.1032040268182748E-2</v>
      </c>
      <c r="E4" s="13">
        <v>-2.3255964741110802E-2</v>
      </c>
      <c r="F4" s="13">
        <v>-3.055583126842976E-2</v>
      </c>
      <c r="G4" s="13">
        <v>-4.1839469224214547E-2</v>
      </c>
      <c r="H4" s="13">
        <v>-2.726390399038792E-2</v>
      </c>
      <c r="I4" s="13">
        <v>-4.8288546502590179E-2</v>
      </c>
      <c r="J4" s="13">
        <v>-3.7313267588615417E-2</v>
      </c>
      <c r="K4" s="13">
        <v>-3.7903524935245507E-2</v>
      </c>
      <c r="L4" s="13">
        <v>-3.7348430603742599E-2</v>
      </c>
      <c r="M4" s="13">
        <v>-3.7616446614265442E-2</v>
      </c>
      <c r="N4" s="13">
        <v>-3.742402046918869E-2</v>
      </c>
      <c r="O4" s="13">
        <v>-3.4556981176137917E-2</v>
      </c>
      <c r="P4" s="13">
        <v>-3.450281172990799E-2</v>
      </c>
      <c r="Q4" s="13">
        <v>-2.779831551015377E-2</v>
      </c>
      <c r="R4" s="13">
        <v>-2.6597736403346062E-2</v>
      </c>
      <c r="S4" s="13">
        <v>-2.858461253345013E-2</v>
      </c>
      <c r="T4" s="13">
        <v>-2.921631932258606E-2</v>
      </c>
      <c r="U4" s="13">
        <v>-2.885173074901104E-2</v>
      </c>
      <c r="V4" s="13">
        <v>-2.8718717396259311E-2</v>
      </c>
      <c r="W4" s="13">
        <v>-2.587226964533329E-2</v>
      </c>
      <c r="X4" s="13">
        <v>-2.8767423704266552E-2</v>
      </c>
      <c r="Y4" s="13">
        <v>-2.8886387124657631E-2</v>
      </c>
      <c r="Z4" s="13">
        <v>-3.020281903445721E-2</v>
      </c>
      <c r="AA4" s="13">
        <v>-2.969782613217831E-2</v>
      </c>
      <c r="AB4" s="13">
        <v>-2.9449734836816791E-2</v>
      </c>
      <c r="AC4" s="13">
        <v>-1.9321048632264141E-2</v>
      </c>
      <c r="AD4" s="13">
        <v>-2.8943898156285289E-2</v>
      </c>
      <c r="AE4" s="13">
        <v>-2.9567476361989972E-2</v>
      </c>
      <c r="AF4" s="13">
        <v>-2.856354787945747E-2</v>
      </c>
      <c r="AG4" s="13">
        <v>-2.832365408539772E-2</v>
      </c>
      <c r="AH4" s="13">
        <v>-2.73332130163908E-2</v>
      </c>
      <c r="AI4" s="13">
        <v>-3.7235941737890237E-2</v>
      </c>
      <c r="AJ4" s="13">
        <v>-3.4088630229234702E-2</v>
      </c>
      <c r="AK4" s="13">
        <v>-2.7424490079283711E-2</v>
      </c>
      <c r="AL4" s="13">
        <v>-2.4591473862528801E-2</v>
      </c>
      <c r="AM4" s="13">
        <v>-2.9777821153402328E-2</v>
      </c>
      <c r="AN4" s="13">
        <v>-3.3753968775272369E-2</v>
      </c>
      <c r="AO4" s="13">
        <v>-3.5720217972993851E-2</v>
      </c>
      <c r="AP4" s="13">
        <v>-1.8044905737042431E-2</v>
      </c>
      <c r="AQ4" s="13">
        <v>-2.374198846518993E-2</v>
      </c>
      <c r="AR4" s="13">
        <v>-3.8850482553243637E-2</v>
      </c>
      <c r="AS4" s="13">
        <v>-0.1345172971487045</v>
      </c>
      <c r="AT4" s="13">
        <v>-2.8492949903011319E-2</v>
      </c>
      <c r="AU4" s="13">
        <v>-3.0869178473949429E-2</v>
      </c>
      <c r="AV4" s="13">
        <v>-3.2064013183116913E-2</v>
      </c>
      <c r="AW4" s="13">
        <v>-2.6232475414872169E-2</v>
      </c>
      <c r="AX4" s="13">
        <v>-2.647383883595467E-2</v>
      </c>
      <c r="AY4" s="13">
        <v>-3.400053083896637E-2</v>
      </c>
      <c r="AZ4" s="13">
        <v>-2.7450913563370701E-2</v>
      </c>
      <c r="BA4" s="13">
        <v>-3.1005732715129849E-2</v>
      </c>
      <c r="BB4" s="13">
        <v>-3.3746343106031418E-2</v>
      </c>
      <c r="BC4" s="13">
        <v>-3.1035987660288811E-2</v>
      </c>
      <c r="BD4" s="13">
        <v>-3.058777749538422E-2</v>
      </c>
      <c r="BE4" s="13">
        <v>-3.2944157719612122E-2</v>
      </c>
      <c r="BF4" s="13">
        <v>-3.123846277594566E-2</v>
      </c>
      <c r="BG4" s="13">
        <v>-3.2052598893642432E-2</v>
      </c>
      <c r="BH4" s="13">
        <v>-3.055793792009354E-2</v>
      </c>
      <c r="BI4" s="13">
        <v>-3.1080937013030049E-2</v>
      </c>
      <c r="BJ4" s="13">
        <v>-3.0351296067237851E-2</v>
      </c>
      <c r="BK4" s="13">
        <v>-3.2760027796030038E-2</v>
      </c>
      <c r="BL4" s="13">
        <v>-3.1334664672613137E-2</v>
      </c>
      <c r="BM4" s="13">
        <v>-3.1740568578243263E-2</v>
      </c>
      <c r="BN4" s="13">
        <v>7.9825639724731445E-2</v>
      </c>
      <c r="BO4" s="13">
        <v>-2.2437060251832008E-2</v>
      </c>
      <c r="BP4" s="13">
        <v>-3.7594955414533622E-2</v>
      </c>
      <c r="BQ4" s="13">
        <v>-3.291790559887886E-2</v>
      </c>
      <c r="BR4" s="13">
        <v>-1.2001144699752331E-2</v>
      </c>
      <c r="BS4" s="13">
        <v>-1.3084841892123221E-2</v>
      </c>
      <c r="BT4" s="13">
        <v>-2.6131108403205872E-2</v>
      </c>
      <c r="BU4" s="13">
        <v>-3.5951588302850723E-2</v>
      </c>
      <c r="BV4" s="13">
        <v>-3.3736389130353928E-2</v>
      </c>
      <c r="BW4" s="13">
        <v>-2.4462303146719929E-2</v>
      </c>
      <c r="BX4" s="13">
        <v>-3.2545313239097602E-2</v>
      </c>
      <c r="BY4" s="13">
        <v>-3.1732853502035141E-2</v>
      </c>
      <c r="BZ4" s="13">
        <v>-3.5243522375822067E-2</v>
      </c>
      <c r="CA4" s="13">
        <v>-3.2394681125879288E-2</v>
      </c>
      <c r="CB4" s="13">
        <v>-2.393621951341629E-2</v>
      </c>
      <c r="CC4" s="13">
        <v>-2.886332385241985E-2</v>
      </c>
      <c r="CD4" s="13">
        <v>-2.6372920721769329E-2</v>
      </c>
      <c r="CE4" s="13">
        <v>-4.0299050509929657E-2</v>
      </c>
      <c r="CF4" s="13">
        <v>-3.2261207699775703E-2</v>
      </c>
      <c r="CG4" s="13">
        <v>-2.9903111979365349E-2</v>
      </c>
      <c r="CH4" s="13">
        <v>-3.120617009699345E-2</v>
      </c>
      <c r="CI4" s="13">
        <v>-3.1554944813251502E-2</v>
      </c>
      <c r="CJ4" s="13">
        <v>-3.2127730548381812E-2</v>
      </c>
      <c r="CK4" s="13">
        <v>-3.1585942953824997E-2</v>
      </c>
      <c r="CL4" s="13">
        <v>-3.109020926058292E-2</v>
      </c>
      <c r="CM4" s="13">
        <v>-3.116690926253796E-2</v>
      </c>
      <c r="CN4" s="13">
        <v>-3.068649023771286E-2</v>
      </c>
      <c r="CO4" s="13">
        <v>-3.051175735890865E-2</v>
      </c>
      <c r="CP4" s="13">
        <v>-3.0179880559444431E-2</v>
      </c>
      <c r="CQ4" s="13">
        <v>-3.0264537781476971E-2</v>
      </c>
      <c r="CR4" s="13">
        <v>-3.0227817595005039E-2</v>
      </c>
      <c r="CS4" s="13">
        <v>-3.038875758647919E-2</v>
      </c>
      <c r="CT4" s="13">
        <v>-2.237749099731445E-2</v>
      </c>
      <c r="CU4" s="13">
        <v>-2.6706485077738758E-2</v>
      </c>
      <c r="CV4" s="13">
        <v>-2.821129746735096E-2</v>
      </c>
      <c r="CW4" s="13">
        <v>-3.3567264676094062E-2</v>
      </c>
      <c r="CX4" s="13">
        <v>-2.7859419584274289E-2</v>
      </c>
      <c r="CY4" s="13">
        <v>-2.30282973498106E-2</v>
      </c>
      <c r="CZ4" s="13">
        <v>-2.6201611384749409E-2</v>
      </c>
      <c r="DA4" s="13">
        <v>-2.9583510011434559E-2</v>
      </c>
      <c r="DB4" s="13">
        <v>-3.3195734024047852E-2</v>
      </c>
      <c r="DC4" s="13">
        <v>-3.1532101333141327E-2</v>
      </c>
      <c r="DD4" s="13">
        <v>-2.9648697003722191E-2</v>
      </c>
      <c r="DE4" s="13">
        <v>-2.8857935220003132E-2</v>
      </c>
      <c r="DF4" s="13">
        <v>-2.8399249538779259E-2</v>
      </c>
      <c r="DG4" s="13">
        <v>-2.6426361873745918E-2</v>
      </c>
      <c r="DH4" s="13">
        <v>-3.0645843595266339E-2</v>
      </c>
      <c r="DI4" s="13">
        <v>-2.9881417751312259E-2</v>
      </c>
      <c r="DJ4" s="13">
        <v>-2.9596960172057148E-2</v>
      </c>
      <c r="DK4" s="13">
        <v>-2.841122634708881E-2</v>
      </c>
      <c r="DL4" s="13">
        <v>-3.0489476397633549E-2</v>
      </c>
      <c r="DM4" s="13">
        <v>-2.7597028762102131E-2</v>
      </c>
      <c r="DN4" s="13">
        <v>-2.8250575065612789E-2</v>
      </c>
      <c r="DO4" s="13">
        <v>-2.7726072818040851E-2</v>
      </c>
      <c r="DP4" s="13">
        <v>-2.715402282774448E-2</v>
      </c>
      <c r="DQ4" s="13">
        <v>-2.6989534497261051E-2</v>
      </c>
      <c r="DR4" s="13">
        <v>-2.888492681086063E-2</v>
      </c>
      <c r="DS4" s="13">
        <v>-2.6225227862596508E-2</v>
      </c>
      <c r="DT4" s="13">
        <v>-0.14326423406600949</v>
      </c>
      <c r="DU4" s="13">
        <v>-4.3057508766651147E-2</v>
      </c>
      <c r="DV4" s="13">
        <v>-3.2543007284402847E-2</v>
      </c>
      <c r="DW4" s="13">
        <v>-2.724632807075977E-2</v>
      </c>
      <c r="DX4" s="13">
        <v>-2.7451477944850922E-2</v>
      </c>
      <c r="DY4" s="13">
        <v>-2.8264472261071209E-2</v>
      </c>
      <c r="DZ4" s="13">
        <v>-2.418005466461182E-2</v>
      </c>
      <c r="EA4" s="13">
        <v>-2.6992777362465858E-2</v>
      </c>
      <c r="EB4" s="13">
        <v>-2.6342380791902539E-2</v>
      </c>
      <c r="EC4" s="13">
        <v>-2.8216563165187839E-2</v>
      </c>
      <c r="ED4" s="13">
        <v>-2.399775572121143E-2</v>
      </c>
      <c r="EE4" s="13">
        <v>-3.5310320556163788E-2</v>
      </c>
      <c r="EF4" s="13">
        <v>-2.9033292084932331E-2</v>
      </c>
    </row>
    <row r="5" spans="1:136" s="1" customFormat="1">
      <c r="B5" s="2" t="s">
        <v>138</v>
      </c>
      <c r="C5" s="13">
        <v>3.8081712555140261E-3</v>
      </c>
      <c r="D5" s="13">
        <v>-5.4777832701802254E-3</v>
      </c>
      <c r="E5" s="13">
        <v>-5.4900660179555416E-3</v>
      </c>
      <c r="F5" s="13">
        <v>-5.114563275128603E-3</v>
      </c>
      <c r="G5" s="13">
        <v>-7.764030247926712E-3</v>
      </c>
      <c r="H5" s="13">
        <v>-7.2011286392807961E-3</v>
      </c>
      <c r="I5" s="13">
        <v>-6.3504916615784168E-3</v>
      </c>
      <c r="J5" s="13">
        <v>-6.4376979134976864E-3</v>
      </c>
      <c r="K5" s="13">
        <v>-7.2753257118165493E-3</v>
      </c>
      <c r="L5" s="13">
        <v>-7.4702142737805843E-3</v>
      </c>
      <c r="M5" s="13">
        <v>-5.9039127081632614E-3</v>
      </c>
      <c r="N5" s="13">
        <v>1.2302654795348641E-2</v>
      </c>
      <c r="O5" s="13">
        <v>2.0934619009494781E-2</v>
      </c>
      <c r="P5" s="13">
        <v>2.7155191637575631E-3</v>
      </c>
      <c r="Q5" s="13">
        <v>3.0463424045592551E-3</v>
      </c>
      <c r="R5" s="13">
        <v>-4.8635075800120831E-3</v>
      </c>
      <c r="S5" s="13">
        <v>-1.6708682524040339E-3</v>
      </c>
      <c r="T5" s="13">
        <v>4.1404878720641136E-3</v>
      </c>
      <c r="U5" s="13">
        <v>2.761553972959518E-3</v>
      </c>
      <c r="V5" s="13">
        <v>-5.1478209206834435E-4</v>
      </c>
      <c r="W5" s="13">
        <v>7.5550959445536137E-4</v>
      </c>
      <c r="X5" s="13">
        <v>-3.1146644614636898E-3</v>
      </c>
      <c r="Y5" s="13">
        <v>-1.131144072860479E-2</v>
      </c>
      <c r="Z5" s="13">
        <v>-2.8005761560052629E-3</v>
      </c>
      <c r="AA5" s="13">
        <v>-8.9693367481231689E-3</v>
      </c>
      <c r="AB5" s="13">
        <v>-8.1666028127074242E-3</v>
      </c>
      <c r="AC5" s="13">
        <v>-1.639714278280735E-2</v>
      </c>
      <c r="AD5" s="13">
        <v>-1.0888714343309401E-2</v>
      </c>
      <c r="AE5" s="13">
        <v>-9.2730158939957619E-3</v>
      </c>
      <c r="AF5" s="13">
        <v>-4.607954528182745E-3</v>
      </c>
      <c r="AG5" s="13">
        <v>-5.8455127291381359E-3</v>
      </c>
      <c r="AH5" s="13">
        <v>-4.9838116392493248E-3</v>
      </c>
      <c r="AI5" s="13">
        <v>-3.626509103924036E-3</v>
      </c>
      <c r="AJ5" s="13">
        <v>-3.818823024630547E-3</v>
      </c>
      <c r="AK5" s="13">
        <v>-4.6545602381229401E-3</v>
      </c>
      <c r="AL5" s="13">
        <v>-5.3977398201823226E-3</v>
      </c>
      <c r="AM5" s="13">
        <v>-6.9995066151022911E-3</v>
      </c>
      <c r="AN5" s="13">
        <v>9.9394354037940502E-4</v>
      </c>
      <c r="AO5" s="13">
        <v>-4.2327293194830418E-3</v>
      </c>
      <c r="AP5" s="13">
        <v>-6.2828082591295242E-3</v>
      </c>
      <c r="AQ5" s="13">
        <v>-2.7964443434029822E-3</v>
      </c>
      <c r="AR5" s="13">
        <v>-3.548022592440248E-3</v>
      </c>
      <c r="AS5" s="13">
        <v>-1.8412303179502489E-3</v>
      </c>
      <c r="AT5" s="13">
        <v>1.7384441569447521E-2</v>
      </c>
      <c r="AU5" s="13">
        <v>-6.634250283241272E-3</v>
      </c>
      <c r="AV5" s="13">
        <v>7.3471954092383376E-3</v>
      </c>
      <c r="AW5" s="13">
        <v>4.724663682281971E-3</v>
      </c>
      <c r="AX5" s="13">
        <v>-1.7786960816010831E-3</v>
      </c>
      <c r="AY5" s="13">
        <v>-9.8629016429185867E-4</v>
      </c>
      <c r="AZ5" s="13">
        <v>1.0417148470878599E-2</v>
      </c>
      <c r="BA5" s="13">
        <v>-1.148949144408107E-3</v>
      </c>
      <c r="BB5" s="13">
        <v>-2.0870927255600691E-3</v>
      </c>
      <c r="BC5" s="13">
        <v>1.336632296442986E-3</v>
      </c>
      <c r="BD5" s="13">
        <v>5.0694281235337257E-3</v>
      </c>
      <c r="BE5" s="13">
        <v>-4.8598065041005611E-3</v>
      </c>
      <c r="BF5" s="13">
        <v>5.1613256800919771E-4</v>
      </c>
      <c r="BG5" s="13">
        <v>-7.0163407362997532E-3</v>
      </c>
      <c r="BH5" s="13">
        <v>-4.1907159611582756E-3</v>
      </c>
      <c r="BI5" s="13">
        <v>3.0854527722112829E-4</v>
      </c>
      <c r="BJ5" s="13">
        <v>-2.9275671113282442E-4</v>
      </c>
      <c r="BK5" s="13">
        <v>-1.1491622775793081E-2</v>
      </c>
      <c r="BL5" s="13">
        <v>-1.2680532410740851E-2</v>
      </c>
      <c r="BM5" s="13">
        <v>-4.4326516799628726E-3</v>
      </c>
      <c r="BN5" s="13">
        <v>-8.944263681769371E-4</v>
      </c>
      <c r="BO5" s="13">
        <v>-4.4179423712193966E-3</v>
      </c>
      <c r="BP5" s="13">
        <v>-8.5916733369231224E-3</v>
      </c>
      <c r="BQ5" s="13">
        <v>-4.4214986264705658E-3</v>
      </c>
      <c r="BR5" s="13">
        <v>1.025303965434432E-3</v>
      </c>
      <c r="BS5" s="13">
        <v>-7.2602357249706984E-4</v>
      </c>
      <c r="BT5" s="13">
        <v>2.21152906306088E-4</v>
      </c>
      <c r="BU5" s="13">
        <v>-4.0715634822845459E-3</v>
      </c>
      <c r="BV5" s="13">
        <v>-1.552917994558811E-3</v>
      </c>
      <c r="BW5" s="13">
        <v>-3.8780455943197012E-3</v>
      </c>
      <c r="BX5" s="13">
        <v>-2.1147832740098238E-3</v>
      </c>
      <c r="BY5" s="13">
        <v>-2.6352899149060249E-3</v>
      </c>
      <c r="BZ5" s="13">
        <v>1.8134823767468331E-3</v>
      </c>
      <c r="CA5" s="13">
        <v>-1.6779374331235889E-2</v>
      </c>
      <c r="CB5" s="13">
        <v>-1.808038167655468E-2</v>
      </c>
      <c r="CC5" s="13">
        <v>-9.0212021023035049E-3</v>
      </c>
      <c r="CD5" s="13">
        <v>-6.0056517831981182E-3</v>
      </c>
      <c r="CE5" s="13">
        <v>4.891709890216589E-3</v>
      </c>
      <c r="CF5" s="13">
        <v>-4.9459007568657398E-3</v>
      </c>
      <c r="CG5" s="13">
        <v>-1.764219487085938E-3</v>
      </c>
      <c r="CH5" s="13">
        <v>-2.2557761985808611E-3</v>
      </c>
      <c r="CI5" s="13">
        <v>-5.7940958067774773E-3</v>
      </c>
      <c r="CJ5" s="13">
        <v>5.3679030388593674E-3</v>
      </c>
      <c r="CK5" s="13">
        <v>-6.5037030726671219E-3</v>
      </c>
      <c r="CL5" s="13">
        <v>-9.2684589326381683E-3</v>
      </c>
      <c r="CM5" s="13">
        <v>3.4533715806901451E-3</v>
      </c>
      <c r="CN5" s="13">
        <v>-1.5305428532883521E-3</v>
      </c>
      <c r="CO5" s="13">
        <v>2.763807307928801E-3</v>
      </c>
      <c r="CP5" s="13">
        <v>-3.0045167077332739E-3</v>
      </c>
      <c r="CQ5" s="13">
        <v>-4.2182006873190403E-3</v>
      </c>
      <c r="CR5" s="13">
        <v>1.238218974322081E-3</v>
      </c>
      <c r="CS5" s="13">
        <v>-5.620910320430994E-3</v>
      </c>
      <c r="CT5" s="13">
        <v>-1.289551146328449E-4</v>
      </c>
      <c r="CU5" s="13">
        <v>-3.5577644594013691E-3</v>
      </c>
      <c r="CV5" s="13">
        <v>-8.8373589096590877E-4</v>
      </c>
      <c r="CW5" s="13">
        <v>-3.7108787801116701E-3</v>
      </c>
      <c r="CX5" s="13">
        <v>-1.892625004984438E-3</v>
      </c>
      <c r="CY5" s="13">
        <v>-2.23894277587533E-3</v>
      </c>
      <c r="CZ5" s="13">
        <v>-2.9421760700643059E-5</v>
      </c>
      <c r="DA5" s="13">
        <v>-1.453497330658138E-3</v>
      </c>
      <c r="DB5" s="13">
        <v>-3.351018531247973E-3</v>
      </c>
      <c r="DC5" s="13">
        <v>-3.9163324981927872E-3</v>
      </c>
      <c r="DD5" s="13">
        <v>-4.7809812240302563E-3</v>
      </c>
      <c r="DE5" s="13">
        <v>-4.4807596132159233E-3</v>
      </c>
      <c r="DF5" s="13">
        <v>-2.3375857621431351E-2</v>
      </c>
      <c r="DG5" s="13">
        <v>-3.9326213300228119E-3</v>
      </c>
      <c r="DH5" s="13">
        <v>-4.3730316683650017E-3</v>
      </c>
      <c r="DI5" s="13">
        <v>-1.565223932266235E-2</v>
      </c>
      <c r="DJ5" s="13">
        <v>6.0370620340108871E-3</v>
      </c>
      <c r="DK5" s="13">
        <v>-8.2938047125935555E-3</v>
      </c>
      <c r="DL5" s="13">
        <v>-4.4081835076212883E-3</v>
      </c>
      <c r="DM5" s="13">
        <v>-4.4374761637300247E-4</v>
      </c>
      <c r="DN5" s="13">
        <v>-3.0054445378482342E-3</v>
      </c>
      <c r="DO5" s="13">
        <v>2.8427736833691601E-3</v>
      </c>
      <c r="DP5" s="13">
        <v>-6.131303496658802E-3</v>
      </c>
      <c r="DQ5" s="13">
        <v>-4.6811853535473347E-3</v>
      </c>
      <c r="DR5" s="13">
        <v>-7.1722459979355344E-3</v>
      </c>
      <c r="DS5" s="13">
        <v>-3.6357224453240629E-3</v>
      </c>
      <c r="DT5" s="13">
        <v>-2.9824208468198782E-4</v>
      </c>
      <c r="DU5" s="13">
        <v>-5.6705139577388763E-3</v>
      </c>
      <c r="DV5" s="13">
        <v>-3.1858636066317558E-3</v>
      </c>
      <c r="DW5" s="13">
        <v>-7.003207691013813E-3</v>
      </c>
      <c r="DX5" s="13">
        <v>-6.6352039575576782E-3</v>
      </c>
      <c r="DY5" s="13">
        <v>-3.2449103891849522E-3</v>
      </c>
      <c r="DZ5" s="13">
        <v>-1.983507070690393E-3</v>
      </c>
      <c r="EA5" s="13">
        <v>-2.5352328084409241E-3</v>
      </c>
      <c r="EB5" s="13">
        <v>-4.4876029714941978E-3</v>
      </c>
      <c r="EC5" s="13">
        <v>-5.3785997442901126E-3</v>
      </c>
      <c r="ED5" s="13">
        <v>-6.4549529924988747E-3</v>
      </c>
      <c r="EE5" s="13">
        <v>-6.2718079425394544E-3</v>
      </c>
      <c r="EF5" s="13">
        <v>-6.1802691780030727E-3</v>
      </c>
    </row>
    <row r="6" spans="1:136" s="1" customFormat="1">
      <c r="A6" s="2" t="s">
        <v>139</v>
      </c>
      <c r="C6" s="13">
        <f t="array" ref="C6">MATCH(MAX(ABS(C3:C5)),ABS(C3:C5),0)</f>
        <v>2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2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2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2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2</v>
      </c>
      <c r="CF6" s="13">
        <f t="array" ref="CF6">MATCH(MAX(ABS(CF3:CF5)),ABS(CF3:CF5),0)</f>
        <v>2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2</v>
      </c>
      <c r="CN6" s="13">
        <f t="array" ref="CN6">MATCH(MAX(ABS(CN3:CN5)),ABS(CN3:CN5),0)</f>
        <v>1</v>
      </c>
      <c r="CO6" s="13">
        <f t="array" ref="CO6">MATCH(MAX(ABS(CO3:CO5)),ABS(CO3:CO5),0)</f>
        <v>2</v>
      </c>
      <c r="CP6" s="13">
        <f t="array" ref="CP6">MATCH(MAX(ABS(CP3:CP5)),ABS(CP3:CP5),0)</f>
        <v>2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2</v>
      </c>
      <c r="CT6" s="13">
        <f t="array" ref="CT6">MATCH(MAX(ABS(CT3:CT5)),ABS(CT3:CT5),0)</f>
        <v>2</v>
      </c>
      <c r="CU6" s="13">
        <f t="array" ref="CU6">MATCH(MAX(ABS(CU3:CU5)),ABS(CU3:CU5),0)</f>
        <v>2</v>
      </c>
      <c r="CV6" s="13">
        <f t="array" ref="CV6">MATCH(MAX(ABS(CV3:CV5)),ABS(CV3:CV5),0)</f>
        <v>2</v>
      </c>
      <c r="CW6" s="13">
        <f t="array" ref="CW6">MATCH(MAX(ABS(CW3:CW5)),ABS(CW3:CW5),0)</f>
        <v>2</v>
      </c>
      <c r="CX6" s="13">
        <f t="array" ref="CX6">MATCH(MAX(ABS(CX3:CX5)),ABS(CX3:CX5),0)</f>
        <v>2</v>
      </c>
      <c r="CY6" s="13">
        <f t="array" ref="CY6">MATCH(MAX(ABS(CY3:CY5)),ABS(CY3:CY5),0)</f>
        <v>1</v>
      </c>
      <c r="CZ6" s="13">
        <f t="array" ref="CZ6">MATCH(MAX(ABS(CZ3:CZ5)),ABS(CZ3:CZ5),0)</f>
        <v>2</v>
      </c>
      <c r="DA6" s="13">
        <f t="array" ref="DA6">MATCH(MAX(ABS(DA3:DA5)),ABS(DA3:DA5),0)</f>
        <v>2</v>
      </c>
      <c r="DB6" s="13">
        <f t="array" ref="DB6">MATCH(MAX(ABS(DB3:DB5)),ABS(DB3:DB5),0)</f>
        <v>2</v>
      </c>
      <c r="DC6" s="13">
        <f t="array" ref="DC6">MATCH(MAX(ABS(DC3:DC5)),ABS(DC3:DC5),0)</f>
        <v>2</v>
      </c>
      <c r="DD6" s="13">
        <f t="array" ref="DD6">MATCH(MAX(ABS(DD3:DD5)),ABS(DD3:DD5),0)</f>
        <v>1</v>
      </c>
      <c r="DE6" s="13">
        <f t="array" ref="DE6">MATCH(MAX(ABS(DE3:DE5)),ABS(DE3:DE5),0)</f>
        <v>2</v>
      </c>
      <c r="DF6" s="13">
        <f t="array" ref="DF6">MATCH(MAX(ABS(DF3:DF5)),ABS(DF3:DF5),0)</f>
        <v>2</v>
      </c>
      <c r="DG6" s="13">
        <f t="array" ref="DG6">MATCH(MAX(ABS(DG3:DG5)),ABS(DG3:DG5),0)</f>
        <v>2</v>
      </c>
      <c r="DH6" s="13">
        <f t="array" ref="DH6">MATCH(MAX(ABS(DH3:DH5)),ABS(DH3:DH5),0)</f>
        <v>2</v>
      </c>
      <c r="DI6" s="13">
        <f t="array" ref="DI6">MATCH(MAX(ABS(DI3:DI5)),ABS(DI3:DI5),0)</f>
        <v>2</v>
      </c>
      <c r="DJ6" s="13">
        <f t="array" ref="DJ6">MATCH(MAX(ABS(DJ3:DJ5)),ABS(DJ3:DJ5),0)</f>
        <v>2</v>
      </c>
      <c r="DK6" s="13">
        <f t="array" ref="DK6">MATCH(MAX(ABS(DK3:DK5)),ABS(DK3:DK5),0)</f>
        <v>2</v>
      </c>
      <c r="DL6" s="13">
        <f t="array" ref="DL6">MATCH(MAX(ABS(DL3:DL5)),ABS(DL3:DL5),0)</f>
        <v>2</v>
      </c>
      <c r="DM6" s="13">
        <f t="array" ref="DM6">MATCH(MAX(ABS(DM3:DM5)),ABS(DM3:DM5),0)</f>
        <v>2</v>
      </c>
      <c r="DN6" s="13">
        <f t="array" ref="DN6">MATCH(MAX(ABS(DN3:DN5)),ABS(DN3:DN5),0)</f>
        <v>2</v>
      </c>
      <c r="DO6" s="13">
        <f t="array" ref="DO6">MATCH(MAX(ABS(DO3:DO5)),ABS(DO3:DO5),0)</f>
        <v>2</v>
      </c>
      <c r="DP6" s="13">
        <f t="array" ref="DP6">MATCH(MAX(ABS(DP3:DP5)),ABS(DP3:DP5),0)</f>
        <v>2</v>
      </c>
      <c r="DQ6" s="13">
        <f t="array" ref="DQ6">MATCH(MAX(ABS(DQ3:DQ5)),ABS(DQ3:DQ5),0)</f>
        <v>2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2</v>
      </c>
      <c r="DU6" s="13">
        <f t="array" ref="DU6">MATCH(MAX(ABS(DU3:DU5)),ABS(DU3:DU5),0)</f>
        <v>2</v>
      </c>
      <c r="DV6" s="13">
        <f t="array" ref="DV6">MATCH(MAX(ABS(DV3:DV5)),ABS(DV3:DV5),0)</f>
        <v>2</v>
      </c>
      <c r="DW6" s="13">
        <f t="array" ref="DW6">MATCH(MAX(ABS(DW3:DW5)),ABS(DW3:DW5),0)</f>
        <v>2</v>
      </c>
      <c r="DX6" s="13">
        <f t="array" ref="DX6">MATCH(MAX(ABS(DX3:DX5)),ABS(DX3:DX5),0)</f>
        <v>2</v>
      </c>
      <c r="DY6" s="13">
        <f t="array" ref="DY6">MATCH(MAX(ABS(DY3:DY5)),ABS(DY3:DY5),0)</f>
        <v>2</v>
      </c>
      <c r="DZ6" s="13">
        <f t="array" ref="DZ6">MATCH(MAX(ABS(DZ3:DZ5)),ABS(DZ3:DZ5),0)</f>
        <v>2</v>
      </c>
      <c r="EA6" s="13">
        <f t="array" ref="EA6">MATCH(MAX(ABS(EA3:EA5)),ABS(EA3:EA5),0)</f>
        <v>2</v>
      </c>
      <c r="EB6" s="13">
        <f t="array" ref="EB6">MATCH(MAX(ABS(EB3:EB5)),ABS(EB3:EB5),0)</f>
        <v>2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2</v>
      </c>
      <c r="EF6" s="13">
        <f t="array" ref="EF6">MATCH(MAX(ABS(EF3:EF5)),ABS(EF3:EF5),0)</f>
        <v>2</v>
      </c>
    </row>
    <row r="7" spans="1:136">
      <c r="C7" s="14" t="str">
        <f t="shared" ref="C7:AH7" si="0">IF(C6=1,"bm",IF(C6=2,"size",IF(C6=3,"mom")))</f>
        <v>size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size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size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size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size</v>
      </c>
      <c r="CF7" s="14" t="str">
        <f t="shared" si="2"/>
        <v>size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size</v>
      </c>
      <c r="CN7" s="14" t="str">
        <f t="shared" si="2"/>
        <v>bm</v>
      </c>
      <c r="CO7" s="14" t="str">
        <f t="shared" si="2"/>
        <v>size</v>
      </c>
      <c r="CP7" s="14" t="str">
        <f t="shared" si="2"/>
        <v>size</v>
      </c>
      <c r="CQ7" s="14" t="str">
        <f t="shared" si="2"/>
        <v>bm</v>
      </c>
      <c r="CR7" s="14" t="str">
        <f t="shared" si="2"/>
        <v>bm</v>
      </c>
      <c r="CS7" s="14" t="str">
        <f t="shared" si="2"/>
        <v>size</v>
      </c>
      <c r="CT7" s="14" t="str">
        <f t="shared" si="2"/>
        <v>size</v>
      </c>
      <c r="CU7" s="14" t="str">
        <f t="shared" ref="CU7:DZ7" si="3">IF(CU6=1,"bm",IF(CU6=2,"size",IF(CU6=3,"mom")))</f>
        <v>size</v>
      </c>
      <c r="CV7" s="14" t="str">
        <f t="shared" si="3"/>
        <v>size</v>
      </c>
      <c r="CW7" s="14" t="str">
        <f t="shared" si="3"/>
        <v>size</v>
      </c>
      <c r="CX7" s="14" t="str">
        <f t="shared" si="3"/>
        <v>size</v>
      </c>
      <c r="CY7" s="14" t="str">
        <f t="shared" si="3"/>
        <v>bm</v>
      </c>
      <c r="CZ7" s="14" t="str">
        <f t="shared" si="3"/>
        <v>size</v>
      </c>
      <c r="DA7" s="14" t="str">
        <f t="shared" si="3"/>
        <v>size</v>
      </c>
      <c r="DB7" s="14" t="str">
        <f t="shared" si="3"/>
        <v>size</v>
      </c>
      <c r="DC7" s="14" t="str">
        <f t="shared" si="3"/>
        <v>size</v>
      </c>
      <c r="DD7" s="14" t="str">
        <f t="shared" si="3"/>
        <v>bm</v>
      </c>
      <c r="DE7" s="14" t="str">
        <f t="shared" si="3"/>
        <v>size</v>
      </c>
      <c r="DF7" s="14" t="str">
        <f t="shared" si="3"/>
        <v>size</v>
      </c>
      <c r="DG7" s="14" t="str">
        <f t="shared" si="3"/>
        <v>size</v>
      </c>
      <c r="DH7" s="14" t="str">
        <f t="shared" si="3"/>
        <v>size</v>
      </c>
      <c r="DI7" s="14" t="str">
        <f t="shared" si="3"/>
        <v>size</v>
      </c>
      <c r="DJ7" s="14" t="str">
        <f t="shared" si="3"/>
        <v>size</v>
      </c>
      <c r="DK7" s="14" t="str">
        <f t="shared" si="3"/>
        <v>size</v>
      </c>
      <c r="DL7" s="14" t="str">
        <f t="shared" si="3"/>
        <v>size</v>
      </c>
      <c r="DM7" s="14" t="str">
        <f t="shared" si="3"/>
        <v>size</v>
      </c>
      <c r="DN7" s="14" t="str">
        <f t="shared" si="3"/>
        <v>size</v>
      </c>
      <c r="DO7" s="14" t="str">
        <f t="shared" si="3"/>
        <v>size</v>
      </c>
      <c r="DP7" s="14" t="str">
        <f t="shared" si="3"/>
        <v>size</v>
      </c>
      <c r="DQ7" s="14" t="str">
        <f t="shared" si="3"/>
        <v>size</v>
      </c>
      <c r="DR7" s="14" t="str">
        <f t="shared" si="3"/>
        <v>bm</v>
      </c>
      <c r="DS7" s="14" t="str">
        <f t="shared" si="3"/>
        <v>bm</v>
      </c>
      <c r="DT7" s="14" t="str">
        <f t="shared" si="3"/>
        <v>size</v>
      </c>
      <c r="DU7" s="14" t="str">
        <f t="shared" si="3"/>
        <v>size</v>
      </c>
      <c r="DV7" s="14" t="str">
        <f t="shared" si="3"/>
        <v>size</v>
      </c>
      <c r="DW7" s="14" t="str">
        <f t="shared" si="3"/>
        <v>size</v>
      </c>
      <c r="DX7" s="14" t="str">
        <f t="shared" si="3"/>
        <v>size</v>
      </c>
      <c r="DY7" s="14" t="str">
        <f t="shared" si="3"/>
        <v>size</v>
      </c>
      <c r="DZ7" s="14" t="str">
        <f t="shared" si="3"/>
        <v>size</v>
      </c>
      <c r="EA7" s="14" t="str">
        <f t="shared" ref="EA7:EF7" si="4">IF(EA6=1,"bm",IF(EA6=2,"size",IF(EA6=3,"mom")))</f>
        <v>size</v>
      </c>
      <c r="EB7" s="14" t="str">
        <f t="shared" si="4"/>
        <v>size</v>
      </c>
      <c r="EC7" s="14" t="str">
        <f t="shared" si="4"/>
        <v>bm</v>
      </c>
      <c r="ED7" s="14" t="str">
        <f t="shared" si="4"/>
        <v>bm</v>
      </c>
      <c r="EE7" s="14" t="str">
        <f t="shared" si="4"/>
        <v>size</v>
      </c>
      <c r="EF7" s="14" t="str">
        <f t="shared" si="4"/>
        <v>size</v>
      </c>
    </row>
    <row r="8" spans="1:136">
      <c r="C8" s="13">
        <f t="shared" ref="C8:AH8" si="5">IF(C6=1,C3,IF(C6=2,C4,IF(C6=3,C5)))</f>
        <v>-8.5349172353744507E-2</v>
      </c>
      <c r="D8" s="13">
        <f t="shared" si="5"/>
        <v>7.545451819896698E-2</v>
      </c>
      <c r="E8" s="13">
        <f t="shared" si="5"/>
        <v>5.3419496864080429E-2</v>
      </c>
      <c r="F8" s="13">
        <f t="shared" si="5"/>
        <v>4.8055462539196007E-2</v>
      </c>
      <c r="G8" s="13">
        <f t="shared" si="5"/>
        <v>5.6244600564241409E-2</v>
      </c>
      <c r="H8" s="13">
        <f t="shared" si="5"/>
        <v>5.3408809006214142E-2</v>
      </c>
      <c r="I8" s="13">
        <f t="shared" si="5"/>
        <v>5.4677728563547127E-2</v>
      </c>
      <c r="J8" s="13">
        <f t="shared" si="5"/>
        <v>6.1407111585140228E-2</v>
      </c>
      <c r="K8" s="13">
        <f t="shared" si="5"/>
        <v>6.1087191104888923E-2</v>
      </c>
      <c r="L8" s="13">
        <f t="shared" si="5"/>
        <v>6.1945471912622452E-2</v>
      </c>
      <c r="M8" s="13">
        <f t="shared" si="5"/>
        <v>6.4090974628925323E-2</v>
      </c>
      <c r="N8" s="13">
        <f t="shared" si="5"/>
        <v>5.0166409462690353E-2</v>
      </c>
      <c r="O8" s="13">
        <f t="shared" si="5"/>
        <v>5.0939202308654792E-2</v>
      </c>
      <c r="P8" s="13">
        <f t="shared" si="5"/>
        <v>5.3945809602737427E-2</v>
      </c>
      <c r="Q8" s="13">
        <f t="shared" si="5"/>
        <v>5.463515967130661E-2</v>
      </c>
      <c r="R8" s="13">
        <f t="shared" si="5"/>
        <v>5.4097041487693787E-2</v>
      </c>
      <c r="S8" s="13">
        <f t="shared" si="5"/>
        <v>5.4209418594837189E-2</v>
      </c>
      <c r="T8" s="13">
        <f t="shared" si="5"/>
        <v>5.6115321815013892E-2</v>
      </c>
      <c r="U8" s="13">
        <f t="shared" si="5"/>
        <v>5.4694335907697678E-2</v>
      </c>
      <c r="V8" s="13">
        <f t="shared" si="5"/>
        <v>5.5520310997962952E-2</v>
      </c>
      <c r="W8" s="13">
        <f t="shared" si="5"/>
        <v>5.7895615696907043E-2</v>
      </c>
      <c r="X8" s="13">
        <f t="shared" si="5"/>
        <v>5.6128561496734619E-2</v>
      </c>
      <c r="Y8" s="13">
        <f t="shared" si="5"/>
        <v>5.4498970508575439E-2</v>
      </c>
      <c r="Z8" s="13">
        <f t="shared" si="5"/>
        <v>5.640922486782074E-2</v>
      </c>
      <c r="AA8" s="13">
        <f t="shared" si="5"/>
        <v>5.4687082767486572E-2</v>
      </c>
      <c r="AB8" s="13">
        <f t="shared" si="5"/>
        <v>5.4479975253343582E-2</v>
      </c>
      <c r="AC8" s="13">
        <f t="shared" si="5"/>
        <v>5.7393115013837807E-2</v>
      </c>
      <c r="AD8" s="13">
        <f t="shared" si="5"/>
        <v>5.7433716952800751E-2</v>
      </c>
      <c r="AE8" s="13">
        <f t="shared" si="5"/>
        <v>4.2686142027378082E-2</v>
      </c>
      <c r="AF8" s="13">
        <f t="shared" si="5"/>
        <v>5.614069476723671E-2</v>
      </c>
      <c r="AG8" s="13">
        <f t="shared" si="5"/>
        <v>5.5614285171031952E-2</v>
      </c>
      <c r="AH8" s="13">
        <f t="shared" si="5"/>
        <v>-2.73332130163908E-2</v>
      </c>
      <c r="AI8" s="13">
        <f t="shared" ref="AI8:BN8" si="6">IF(AI6=1,AI3,IF(AI6=2,AI4,IF(AI6=3,AI5)))</f>
        <v>-3.7235941737890237E-2</v>
      </c>
      <c r="AJ8" s="13">
        <f t="shared" si="6"/>
        <v>-3.4088630229234702E-2</v>
      </c>
      <c r="AK8" s="13">
        <f t="shared" si="6"/>
        <v>3.0455950647592541E-2</v>
      </c>
      <c r="AL8" s="13">
        <f t="shared" si="6"/>
        <v>3.425038605928421E-2</v>
      </c>
      <c r="AM8" s="13">
        <f t="shared" si="6"/>
        <v>3.9540499448776252E-2</v>
      </c>
      <c r="AN8" s="13">
        <f t="shared" si="6"/>
        <v>4.3252840638160713E-2</v>
      </c>
      <c r="AO8" s="13">
        <f t="shared" si="6"/>
        <v>4.4728361070156097E-2</v>
      </c>
      <c r="AP8" s="13">
        <f t="shared" si="6"/>
        <v>4.2892593890428543E-2</v>
      </c>
      <c r="AQ8" s="13">
        <f t="shared" si="6"/>
        <v>4.543033242225647E-2</v>
      </c>
      <c r="AR8" s="13">
        <f t="shared" si="6"/>
        <v>4.4913444668054581E-2</v>
      </c>
      <c r="AS8" s="13">
        <f t="shared" si="6"/>
        <v>-0.1345172971487045</v>
      </c>
      <c r="AT8" s="13">
        <f t="shared" si="6"/>
        <v>4.19180728495121E-2</v>
      </c>
      <c r="AU8" s="13">
        <f t="shared" si="6"/>
        <v>4.1785150766372681E-2</v>
      </c>
      <c r="AV8" s="13">
        <f t="shared" si="6"/>
        <v>4.3081630021333688E-2</v>
      </c>
      <c r="AW8" s="13">
        <f t="shared" si="6"/>
        <v>4.6142738312482827E-2</v>
      </c>
      <c r="AX8" s="13">
        <f t="shared" si="6"/>
        <v>4.5525301247835159E-2</v>
      </c>
      <c r="AY8" s="13">
        <f t="shared" si="6"/>
        <v>4.7935985028743737E-2</v>
      </c>
      <c r="AZ8" s="13">
        <f t="shared" si="6"/>
        <v>4.1659116744995117E-2</v>
      </c>
      <c r="BA8" s="13">
        <f t="shared" si="6"/>
        <v>3.8711324334144592E-2</v>
      </c>
      <c r="BB8" s="13">
        <f t="shared" si="6"/>
        <v>3.8947168737649918E-2</v>
      </c>
      <c r="BC8" s="13">
        <f t="shared" si="6"/>
        <v>4.2427822947502143E-2</v>
      </c>
      <c r="BD8" s="13">
        <f t="shared" si="6"/>
        <v>4.4051360338926322E-2</v>
      </c>
      <c r="BE8" s="13">
        <f t="shared" si="6"/>
        <v>4.56375852227211E-2</v>
      </c>
      <c r="BF8" s="13">
        <f t="shared" si="6"/>
        <v>4.8670642077922821E-2</v>
      </c>
      <c r="BG8" s="13">
        <f t="shared" si="6"/>
        <v>4.9968019127845757E-2</v>
      </c>
      <c r="BH8" s="13">
        <f t="shared" si="6"/>
        <v>5.1808405667543411E-2</v>
      </c>
      <c r="BI8" s="13">
        <f t="shared" si="6"/>
        <v>5.0584189593791962E-2</v>
      </c>
      <c r="BJ8" s="13">
        <f t="shared" si="6"/>
        <v>5.2059561014175422E-2</v>
      </c>
      <c r="BK8" s="13">
        <f t="shared" si="6"/>
        <v>5.2372250705957413E-2</v>
      </c>
      <c r="BL8" s="13">
        <f t="shared" si="6"/>
        <v>5.0854671746492393E-2</v>
      </c>
      <c r="BM8" s="13">
        <f t="shared" si="6"/>
        <v>5.2194196730852127E-2</v>
      </c>
      <c r="BN8" s="13">
        <f t="shared" si="6"/>
        <v>7.9825639724731445E-2</v>
      </c>
      <c r="BO8" s="13">
        <f t="shared" ref="BO8:CT8" si="7">IF(BO6=1,BO3,IF(BO6=2,BO4,IF(BO6=3,BO5)))</f>
        <v>5.4506797343492508E-2</v>
      </c>
      <c r="BP8" s="13">
        <f t="shared" si="7"/>
        <v>4.0165632963180542E-2</v>
      </c>
      <c r="BQ8" s="13">
        <f t="shared" si="7"/>
        <v>5.2233844995498657E-2</v>
      </c>
      <c r="BR8" s="13">
        <f t="shared" si="7"/>
        <v>3.6525636911392212E-2</v>
      </c>
      <c r="BS8" s="13">
        <f t="shared" si="7"/>
        <v>5.2801784127950668E-2</v>
      </c>
      <c r="BT8" s="13">
        <f t="shared" si="7"/>
        <v>4.8056013882160187E-2</v>
      </c>
      <c r="BU8" s="13">
        <f t="shared" si="7"/>
        <v>-9.9144220352172852E-2</v>
      </c>
      <c r="BV8" s="13">
        <f t="shared" si="7"/>
        <v>5.2249498665332787E-2</v>
      </c>
      <c r="BW8" s="13">
        <f t="shared" si="7"/>
        <v>3.9474610239267349E-2</v>
      </c>
      <c r="BX8" s="13">
        <f t="shared" si="7"/>
        <v>4.7410383820533752E-2</v>
      </c>
      <c r="BY8" s="13">
        <f t="shared" si="7"/>
        <v>4.704391211271286E-2</v>
      </c>
      <c r="BZ8" s="13">
        <f t="shared" si="7"/>
        <v>4.6114489436149597E-2</v>
      </c>
      <c r="CA8" s="13">
        <f t="shared" si="7"/>
        <v>4.2742863297462463E-2</v>
      </c>
      <c r="CB8" s="13">
        <f t="shared" si="7"/>
        <v>3.8489740341901779E-2</v>
      </c>
      <c r="CC8" s="13">
        <f t="shared" si="7"/>
        <v>3.745705634355545E-2</v>
      </c>
      <c r="CD8" s="13">
        <f t="shared" si="7"/>
        <v>3.9794288575649261E-2</v>
      </c>
      <c r="CE8" s="13">
        <f t="shared" si="7"/>
        <v>-4.0299050509929657E-2</v>
      </c>
      <c r="CF8" s="13">
        <f t="shared" si="7"/>
        <v>-3.2261207699775703E-2</v>
      </c>
      <c r="CG8" s="13">
        <f t="shared" si="7"/>
        <v>3.5978682339191437E-2</v>
      </c>
      <c r="CH8" s="13">
        <f t="shared" si="7"/>
        <v>3.177894651889801E-2</v>
      </c>
      <c r="CI8" s="13">
        <f t="shared" si="7"/>
        <v>3.4042399376630783E-2</v>
      </c>
      <c r="CJ8" s="13">
        <f t="shared" si="7"/>
        <v>3.8737695664167397E-2</v>
      </c>
      <c r="CK8" s="13">
        <f t="shared" si="7"/>
        <v>3.9908383041620248E-2</v>
      </c>
      <c r="CL8" s="13">
        <f t="shared" si="7"/>
        <v>3.7117619067430503E-2</v>
      </c>
      <c r="CM8" s="13">
        <f t="shared" si="7"/>
        <v>-3.116690926253796E-2</v>
      </c>
      <c r="CN8" s="13">
        <f t="shared" si="7"/>
        <v>4.0649183094501502E-2</v>
      </c>
      <c r="CO8" s="13">
        <f t="shared" si="7"/>
        <v>-3.051175735890865E-2</v>
      </c>
      <c r="CP8" s="13">
        <f t="shared" si="7"/>
        <v>-3.0179880559444431E-2</v>
      </c>
      <c r="CQ8" s="13">
        <f t="shared" si="7"/>
        <v>3.3265896141529083E-2</v>
      </c>
      <c r="CR8" s="13">
        <f t="shared" si="7"/>
        <v>3.3467646688222892E-2</v>
      </c>
      <c r="CS8" s="13">
        <f t="shared" si="7"/>
        <v>-3.038875758647919E-2</v>
      </c>
      <c r="CT8" s="13">
        <f t="shared" si="7"/>
        <v>-2.237749099731445E-2</v>
      </c>
      <c r="CU8" s="13">
        <f t="shared" ref="CU8:DZ8" si="8">IF(CU6=1,CU3,IF(CU6=2,CU4,IF(CU6=3,CU5)))</f>
        <v>-2.6706485077738758E-2</v>
      </c>
      <c r="CV8" s="13">
        <f t="shared" si="8"/>
        <v>-2.821129746735096E-2</v>
      </c>
      <c r="CW8" s="13">
        <f t="shared" si="8"/>
        <v>-3.3567264676094062E-2</v>
      </c>
      <c r="CX8" s="13">
        <f t="shared" si="8"/>
        <v>-2.7859419584274289E-2</v>
      </c>
      <c r="CY8" s="13">
        <f t="shared" si="8"/>
        <v>2.5537870824337009E-2</v>
      </c>
      <c r="CZ8" s="13">
        <f t="shared" si="8"/>
        <v>-2.6201611384749409E-2</v>
      </c>
      <c r="DA8" s="13">
        <f t="shared" si="8"/>
        <v>-2.9583510011434559E-2</v>
      </c>
      <c r="DB8" s="13">
        <f t="shared" si="8"/>
        <v>-3.3195734024047852E-2</v>
      </c>
      <c r="DC8" s="13">
        <f t="shared" si="8"/>
        <v>-3.1532101333141327E-2</v>
      </c>
      <c r="DD8" s="13">
        <f t="shared" si="8"/>
        <v>3.3772524446249008E-2</v>
      </c>
      <c r="DE8" s="13">
        <f t="shared" si="8"/>
        <v>-2.8857935220003132E-2</v>
      </c>
      <c r="DF8" s="13">
        <f t="shared" si="8"/>
        <v>-2.8399249538779259E-2</v>
      </c>
      <c r="DG8" s="13">
        <f t="shared" si="8"/>
        <v>-2.6426361873745918E-2</v>
      </c>
      <c r="DH8" s="13">
        <f t="shared" si="8"/>
        <v>-3.0645843595266339E-2</v>
      </c>
      <c r="DI8" s="13">
        <f t="shared" si="8"/>
        <v>-2.9881417751312259E-2</v>
      </c>
      <c r="DJ8" s="13">
        <f t="shared" si="8"/>
        <v>-2.9596960172057148E-2</v>
      </c>
      <c r="DK8" s="13">
        <f t="shared" si="8"/>
        <v>-2.841122634708881E-2</v>
      </c>
      <c r="DL8" s="13">
        <f t="shared" si="8"/>
        <v>-3.0489476397633549E-2</v>
      </c>
      <c r="DM8" s="13">
        <f t="shared" si="8"/>
        <v>-2.7597028762102131E-2</v>
      </c>
      <c r="DN8" s="13">
        <f t="shared" si="8"/>
        <v>-2.8250575065612789E-2</v>
      </c>
      <c r="DO8" s="13">
        <f t="shared" si="8"/>
        <v>-2.7726072818040851E-2</v>
      </c>
      <c r="DP8" s="13">
        <f t="shared" si="8"/>
        <v>-2.715402282774448E-2</v>
      </c>
      <c r="DQ8" s="13">
        <f t="shared" si="8"/>
        <v>-2.6989534497261051E-2</v>
      </c>
      <c r="DR8" s="13">
        <f t="shared" si="8"/>
        <v>3.2421927899122238E-2</v>
      </c>
      <c r="DS8" s="13">
        <f t="shared" si="8"/>
        <v>2.6365883648395538E-2</v>
      </c>
      <c r="DT8" s="13">
        <f t="shared" si="8"/>
        <v>-0.14326423406600949</v>
      </c>
      <c r="DU8" s="13">
        <f t="shared" si="8"/>
        <v>-4.3057508766651147E-2</v>
      </c>
      <c r="DV8" s="13">
        <f t="shared" si="8"/>
        <v>-3.2543007284402847E-2</v>
      </c>
      <c r="DW8" s="13">
        <f t="shared" si="8"/>
        <v>-2.724632807075977E-2</v>
      </c>
      <c r="DX8" s="13">
        <f t="shared" si="8"/>
        <v>-2.7451477944850922E-2</v>
      </c>
      <c r="DY8" s="13">
        <f t="shared" si="8"/>
        <v>-2.8264472261071209E-2</v>
      </c>
      <c r="DZ8" s="13">
        <f t="shared" si="8"/>
        <v>-2.418005466461182E-2</v>
      </c>
      <c r="EA8" s="13">
        <f t="shared" ref="EA8:EF8" si="9">IF(EA6=1,EA3,IF(EA6=2,EA4,IF(EA6=3,EA5)))</f>
        <v>-2.6992777362465858E-2</v>
      </c>
      <c r="EB8" s="13">
        <f t="shared" si="9"/>
        <v>-2.6342380791902539E-2</v>
      </c>
      <c r="EC8" s="13">
        <f t="shared" si="9"/>
        <v>3.6291155964136117E-2</v>
      </c>
      <c r="ED8" s="13">
        <f t="shared" si="9"/>
        <v>2.4168495088815689E-2</v>
      </c>
      <c r="EE8" s="13">
        <f t="shared" si="9"/>
        <v>-3.5310320556163788E-2</v>
      </c>
      <c r="EF8" s="13">
        <f t="shared" si="9"/>
        <v>-2.9033292084932331E-2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144</v>
      </c>
    </row>
    <row r="12" spans="1:136">
      <c r="A12" s="2">
        <v>10</v>
      </c>
      <c r="B12" s="2">
        <v>96</v>
      </c>
      <c r="C12" s="13">
        <v>8.4653541666666707E-2</v>
      </c>
      <c r="D12" s="13">
        <v>2.0821795271878302E-2</v>
      </c>
      <c r="E12" s="13">
        <v>-6.7540283583579167E-3</v>
      </c>
      <c r="F12" s="13">
        <v>-1.986882494790634E-2</v>
      </c>
      <c r="G12" s="13">
        <v>7.9043467459283603E-3</v>
      </c>
      <c r="H12" s="13">
        <v>9.3593837617556644E-3</v>
      </c>
      <c r="I12" s="13">
        <v>3.6303936849052011E-2</v>
      </c>
      <c r="J12" s="13">
        <v>4.3784578744871523E-2</v>
      </c>
      <c r="K12" s="13">
        <v>-1.0988403852822111E-2</v>
      </c>
      <c r="L12" s="13">
        <v>-2.2772307809632709E-3</v>
      </c>
      <c r="M12" s="13">
        <v>-1.555180420016113E-2</v>
      </c>
      <c r="N12" s="13">
        <v>5.2074107675359117E-2</v>
      </c>
      <c r="O12" s="13">
        <v>1.8629888645978979E-2</v>
      </c>
      <c r="P12" s="13">
        <v>-2.1420421204462348E-2</v>
      </c>
      <c r="Q12" s="13">
        <v>-3.3792784120907728E-2</v>
      </c>
      <c r="R12" s="13">
        <v>1.3397506239935729E-2</v>
      </c>
      <c r="S12" s="13">
        <v>-7.1053897094607049E-2</v>
      </c>
      <c r="T12" s="13">
        <v>-4.3243488819513169E-2</v>
      </c>
      <c r="U12" s="13">
        <v>-2.0367220553130991E-2</v>
      </c>
      <c r="V12" s="13">
        <v>4.5029990802848717E-2</v>
      </c>
      <c r="W12" s="13">
        <v>2.227844197331175E-2</v>
      </c>
      <c r="X12" s="13">
        <v>4.851927478031446E-2</v>
      </c>
      <c r="Y12" s="13">
        <v>-1.6788377251816099E-2</v>
      </c>
      <c r="Z12" s="13">
        <v>6.362368331557397E-2</v>
      </c>
      <c r="AA12" s="13">
        <v>-3.9403661401111782E-2</v>
      </c>
      <c r="AB12" s="13">
        <v>3.4689110551478157E-2</v>
      </c>
      <c r="AC12" s="13">
        <v>3.5114764063646421E-2</v>
      </c>
      <c r="AD12" s="13">
        <v>5.84710999923721E-3</v>
      </c>
      <c r="AE12" s="13">
        <v>-3.789762353223057E-2</v>
      </c>
      <c r="AF12" s="13">
        <v>2.0432151303864929E-2</v>
      </c>
      <c r="AG12" s="13">
        <v>2.998214493272441E-2</v>
      </c>
      <c r="AH12" s="13">
        <v>2.110041666666666E-2</v>
      </c>
      <c r="AI12" s="13">
        <v>2.3246958333333331E-2</v>
      </c>
      <c r="AJ12" s="13">
        <v>2.1062375000000012E-2</v>
      </c>
      <c r="AK12" s="13">
        <v>4.8123704152134412E-2</v>
      </c>
      <c r="AL12" s="13">
        <v>1.7859003021922081E-2</v>
      </c>
      <c r="AM12" s="13">
        <v>3.0086115612597931E-2</v>
      </c>
      <c r="AN12" s="13">
        <v>6.9233234313428524E-2</v>
      </c>
      <c r="AO12" s="13">
        <v>2.228793039673051E-3</v>
      </c>
      <c r="AP12" s="13">
        <v>-3.3718344781849152E-2</v>
      </c>
      <c r="AQ12" s="13">
        <v>-7.6219363885838051E-3</v>
      </c>
      <c r="AR12" s="13">
        <v>1.35262594499664E-2</v>
      </c>
      <c r="AS12" s="13">
        <v>-5.8433645833333436E-3</v>
      </c>
      <c r="AT12" s="13">
        <v>1.3834904707671181E-2</v>
      </c>
      <c r="AU12" s="13">
        <v>2.070865868087543E-2</v>
      </c>
      <c r="AV12" s="13">
        <v>-4.1360084745025012E-2</v>
      </c>
      <c r="AW12" s="13">
        <v>6.2147701801607523E-4</v>
      </c>
      <c r="AX12" s="13">
        <v>4.3598467253422833E-2</v>
      </c>
      <c r="AY12" s="13">
        <v>2.4955293067673249E-2</v>
      </c>
      <c r="AZ12" s="13">
        <v>-2.3000260716576439E-3</v>
      </c>
      <c r="BA12" s="13">
        <v>4.9378881832418033E-3</v>
      </c>
      <c r="BB12" s="13">
        <v>1.527460525245942E-2</v>
      </c>
      <c r="BC12" s="13">
        <v>1.227278903847649E-2</v>
      </c>
      <c r="BD12" s="13">
        <v>1.3630556941652629E-2</v>
      </c>
      <c r="BE12" s="13">
        <v>1.860880983938528E-2</v>
      </c>
      <c r="BF12" s="13">
        <v>6.7792352483200119E-2</v>
      </c>
      <c r="BG12" s="13">
        <v>3.3670862441262807E-2</v>
      </c>
      <c r="BH12" s="13">
        <v>1.422336001132196E-2</v>
      </c>
      <c r="BI12" s="13">
        <v>5.002125303099076E-2</v>
      </c>
      <c r="BJ12" s="13">
        <v>-7.9599331991781624E-4</v>
      </c>
      <c r="BK12" s="13">
        <v>-2.1284664960133971E-2</v>
      </c>
      <c r="BL12" s="13">
        <v>2.4709245830148639E-2</v>
      </c>
      <c r="BM12" s="13">
        <v>-5.1690919562298789E-3</v>
      </c>
      <c r="BN12" s="13">
        <v>1.9502249999999999E-2</v>
      </c>
      <c r="BO12" s="13">
        <v>2.4246310256236889E-2</v>
      </c>
      <c r="BP12" s="13">
        <v>-1.0508985305294091E-2</v>
      </c>
      <c r="BQ12" s="13">
        <v>1.3896749618746689E-2</v>
      </c>
      <c r="BR12" s="13">
        <v>-2.2610084533988121E-3</v>
      </c>
      <c r="BS12" s="13">
        <v>1.886329338439598E-2</v>
      </c>
      <c r="BT12" s="13">
        <v>2.2031468677444231E-2</v>
      </c>
      <c r="BU12" s="13">
        <v>-8.7815171400964752E-3</v>
      </c>
      <c r="BV12" s="13">
        <v>2.3062455733191E-2</v>
      </c>
      <c r="BW12" s="13">
        <v>-2.948376871952952E-2</v>
      </c>
      <c r="BX12" s="13">
        <v>1.1477162003950089E-2</v>
      </c>
      <c r="BY12" s="13">
        <v>-3.3370800331571443E-2</v>
      </c>
      <c r="BZ12" s="13">
        <v>4.5356945691272972E-2</v>
      </c>
      <c r="CA12" s="13">
        <v>-3.4400287440342493E-2</v>
      </c>
      <c r="CB12" s="13">
        <v>1.943242131762835E-3</v>
      </c>
      <c r="CC12" s="13">
        <v>-1.6770964394110251E-2</v>
      </c>
      <c r="CD12" s="13">
        <v>0.1109336335844525</v>
      </c>
      <c r="CE12" s="13">
        <v>0.15400715625000011</v>
      </c>
      <c r="CF12" s="13">
        <v>4.0780416666666769E-3</v>
      </c>
      <c r="CG12" s="13">
        <v>4.1857234050063037E-2</v>
      </c>
      <c r="CH12" s="13">
        <v>6.3297372377959904E-2</v>
      </c>
      <c r="CI12" s="13">
        <v>-3.4655912412205718E-2</v>
      </c>
      <c r="CJ12" s="13">
        <v>1.544518047868886E-2</v>
      </c>
      <c r="CK12" s="13">
        <v>1.2803144154834811E-2</v>
      </c>
      <c r="CL12" s="13">
        <v>0.1180156076696104</v>
      </c>
      <c r="CM12" s="13">
        <v>-7.1708562500000045E-2</v>
      </c>
      <c r="CN12" s="13">
        <v>-2.7083701214559368E-2</v>
      </c>
      <c r="CO12" s="13">
        <v>7.1291854166666654E-2</v>
      </c>
      <c r="CP12" s="13">
        <v>-1.27958125E-2</v>
      </c>
      <c r="CQ12" s="13">
        <v>3.6572194909933541E-2</v>
      </c>
      <c r="CR12" s="13">
        <v>2.1178784306524409E-3</v>
      </c>
      <c r="CS12" s="13">
        <v>-1.4509312499999989E-2</v>
      </c>
      <c r="CT12" s="13">
        <v>3.2113958333333317E-2</v>
      </c>
      <c r="CU12" s="13">
        <v>1.396737499999999E-2</v>
      </c>
      <c r="CV12" s="13">
        <v>4.4034270833333243E-3</v>
      </c>
      <c r="CW12" s="13">
        <v>2.975735416666667E-2</v>
      </c>
      <c r="CX12" s="13">
        <v>4.6547114583333327E-2</v>
      </c>
      <c r="CY12" s="13">
        <v>-5.982942211490587E-3</v>
      </c>
      <c r="CZ12" s="13">
        <v>8.8562468749999998E-2</v>
      </c>
      <c r="DA12" s="13">
        <v>3.6978520833333327E-2</v>
      </c>
      <c r="DB12" s="13">
        <v>8.8981854166666707E-2</v>
      </c>
      <c r="DC12" s="13">
        <v>1.147305208333335E-2</v>
      </c>
      <c r="DD12" s="13">
        <v>2.4888978057240451E-2</v>
      </c>
      <c r="DE12" s="13">
        <v>-3.7235479166666613E-2</v>
      </c>
      <c r="DF12" s="13">
        <v>5.5486104166666647E-2</v>
      </c>
      <c r="DG12" s="13">
        <v>-4.6409979166666671E-2</v>
      </c>
      <c r="DH12" s="13">
        <v>6.1195427083333309E-2</v>
      </c>
      <c r="DI12" s="13">
        <v>5.9749010416666679E-2</v>
      </c>
      <c r="DJ12" s="13">
        <v>1.511867708333333E-2</v>
      </c>
      <c r="DK12" s="13">
        <v>-3.1928208333333333E-2</v>
      </c>
      <c r="DL12" s="13">
        <v>3.0896458333333349E-3</v>
      </c>
      <c r="DM12" s="13">
        <v>-1.923761458333334E-2</v>
      </c>
      <c r="DN12" s="13">
        <v>2.1917052083333319E-2</v>
      </c>
      <c r="DO12" s="13">
        <v>3.0557260416666669E-2</v>
      </c>
      <c r="DP12" s="13">
        <v>4.5953760416666663E-2</v>
      </c>
      <c r="DQ12" s="13">
        <v>-3.3862052083333379E-2</v>
      </c>
      <c r="DR12" s="13">
        <v>1.8778943279386909E-2</v>
      </c>
      <c r="DS12" s="13">
        <v>-3.5726155451697807E-2</v>
      </c>
      <c r="DT12" s="13">
        <v>2.5117864583333378E-2</v>
      </c>
      <c r="DU12" s="13">
        <v>-5.7230229166666681E-2</v>
      </c>
      <c r="DV12" s="13">
        <v>2.9540874999999991E-2</v>
      </c>
      <c r="DW12" s="13">
        <v>4.4967552083333348E-2</v>
      </c>
      <c r="DX12" s="13">
        <v>2.1028541666666681E-2</v>
      </c>
      <c r="DY12" s="13">
        <v>5.3145312500000007E-2</v>
      </c>
      <c r="DZ12" s="13">
        <v>6.2268437500000041E-3</v>
      </c>
      <c r="EA12" s="13">
        <v>5.1097697916666678E-2</v>
      </c>
      <c r="EB12" s="13">
        <v>5.7861666666666738E-3</v>
      </c>
      <c r="EC12" s="13">
        <v>2.6651509579665299E-2</v>
      </c>
      <c r="ED12" s="13">
        <v>-6.050815280848415E-2</v>
      </c>
      <c r="EE12" s="13">
        <v>-2.6506687500000001E-2</v>
      </c>
      <c r="EF12" s="13">
        <v>2.9233395833333311E-2</v>
      </c>
    </row>
    <row r="13" spans="1:136">
      <c r="A13" s="2">
        <v>20</v>
      </c>
      <c r="B13" s="2">
        <v>48</v>
      </c>
      <c r="C13" s="13">
        <v>0.10411314583333341</v>
      </c>
      <c r="D13" s="13">
        <v>2.987761060455878E-2</v>
      </c>
      <c r="E13" s="13">
        <v>-3.4496619491353048E-2</v>
      </c>
      <c r="F13" s="13">
        <v>-3.4922155882654501E-2</v>
      </c>
      <c r="G13" s="13">
        <v>-1.490797975730339E-2</v>
      </c>
      <c r="H13" s="13">
        <v>1.5930384569345112E-2</v>
      </c>
      <c r="I13" s="13">
        <v>3.2682862984722338E-2</v>
      </c>
      <c r="J13" s="13">
        <v>3.4549891969644697E-2</v>
      </c>
      <c r="K13" s="13">
        <v>-4.5330990242219003E-2</v>
      </c>
      <c r="L13" s="13">
        <v>-2.913566903744547E-2</v>
      </c>
      <c r="M13" s="13">
        <v>7.7086562624922028E-3</v>
      </c>
      <c r="N13" s="13">
        <v>4.3151952223766853E-2</v>
      </c>
      <c r="O13" s="13">
        <v>3.6273275719922483E-2</v>
      </c>
      <c r="P13" s="13">
        <v>-2.0856913061405559E-2</v>
      </c>
      <c r="Q13" s="13">
        <v>-4.4218264227970053E-2</v>
      </c>
      <c r="R13" s="13">
        <v>6.4899101760743979E-3</v>
      </c>
      <c r="S13" s="13">
        <v>-0.1229152980035506</v>
      </c>
      <c r="T13" s="13">
        <v>-5.2899802908693339E-2</v>
      </c>
      <c r="U13" s="13">
        <v>-5.4161075041694179E-2</v>
      </c>
      <c r="V13" s="13">
        <v>5.2779738900233658E-2</v>
      </c>
      <c r="W13" s="13">
        <v>3.1103087884369891E-2</v>
      </c>
      <c r="X13" s="13">
        <v>6.9750968769056565E-2</v>
      </c>
      <c r="Y13" s="13">
        <v>-2.6471883217342521E-2</v>
      </c>
      <c r="Z13" s="13">
        <v>7.842443480518356E-2</v>
      </c>
      <c r="AA13" s="13">
        <v>-3.2119510338471283E-2</v>
      </c>
      <c r="AB13" s="13">
        <v>4.6678220121377283E-2</v>
      </c>
      <c r="AC13" s="13">
        <v>2.187155616137754E-2</v>
      </c>
      <c r="AD13" s="13">
        <v>6.5790452025407779E-3</v>
      </c>
      <c r="AE13" s="13">
        <v>-4.2517211455791168E-2</v>
      </c>
      <c r="AF13" s="13">
        <v>3.1940463834301228E-2</v>
      </c>
      <c r="AG13" s="13">
        <v>3.1681783055002889E-2</v>
      </c>
      <c r="AH13" s="13">
        <v>3.1874708333333307E-2</v>
      </c>
      <c r="AI13" s="13">
        <v>1.9910041666666659E-2</v>
      </c>
      <c r="AJ13" s="13">
        <v>1.9885916666666659E-2</v>
      </c>
      <c r="AK13" s="13">
        <v>6.5987912810655996E-2</v>
      </c>
      <c r="AL13" s="13">
        <v>2.3151428595171029E-2</v>
      </c>
      <c r="AM13" s="13">
        <v>4.6282443536828928E-2</v>
      </c>
      <c r="AN13" s="13">
        <v>0.10533023813603409</v>
      </c>
      <c r="AO13" s="13">
        <v>9.3111878994149404E-3</v>
      </c>
      <c r="AP13" s="13">
        <v>-5.9550840361997717E-2</v>
      </c>
      <c r="AQ13" s="13">
        <v>-6.0492887688996834E-3</v>
      </c>
      <c r="AR13" s="13">
        <v>1.0689185535935661E-2</v>
      </c>
      <c r="AS13" s="13">
        <v>-1.9364166666666701E-3</v>
      </c>
      <c r="AT13" s="13">
        <v>4.0463087854439743E-2</v>
      </c>
      <c r="AU13" s="13">
        <v>4.0976126475978862E-2</v>
      </c>
      <c r="AV13" s="13">
        <v>-9.475472639553081E-3</v>
      </c>
      <c r="AW13" s="13">
        <v>4.0800135830634E-3</v>
      </c>
      <c r="AX13" s="13">
        <v>6.7153787783110333E-2</v>
      </c>
      <c r="AY13" s="13">
        <v>1.756434634862496E-2</v>
      </c>
      <c r="AZ13" s="13">
        <v>-8.1034674694993921E-3</v>
      </c>
      <c r="BA13" s="13">
        <v>6.5409376070610318E-3</v>
      </c>
      <c r="BB13" s="13">
        <v>4.2875374496810892E-2</v>
      </c>
      <c r="BC13" s="13">
        <v>1.128376711165765E-2</v>
      </c>
      <c r="BD13" s="13">
        <v>3.344428383681335E-3</v>
      </c>
      <c r="BE13" s="13">
        <v>2.7391806305641558E-2</v>
      </c>
      <c r="BF13" s="13">
        <v>8.3929415307496771E-2</v>
      </c>
      <c r="BG13" s="13">
        <v>4.6566462338711673E-2</v>
      </c>
      <c r="BH13" s="13">
        <v>8.4757298116190372E-3</v>
      </c>
      <c r="BI13" s="13">
        <v>5.2409132456701382E-2</v>
      </c>
      <c r="BJ13" s="13">
        <v>-1.6847085990264871E-2</v>
      </c>
      <c r="BK13" s="13">
        <v>-1.8391024879749449E-2</v>
      </c>
      <c r="BL13" s="13">
        <v>3.1947860213175139E-2</v>
      </c>
      <c r="BM13" s="13">
        <v>1.6918615618881649E-2</v>
      </c>
      <c r="BN13" s="13">
        <v>-4.8578333333333251E-3</v>
      </c>
      <c r="BO13" s="13">
        <v>3.0878716233474109E-2</v>
      </c>
      <c r="BP13" s="13">
        <v>9.4326956946515182E-3</v>
      </c>
      <c r="BQ13" s="13">
        <v>4.1653063789425779E-2</v>
      </c>
      <c r="BR13" s="13">
        <v>-6.6814174835574522E-3</v>
      </c>
      <c r="BS13" s="13">
        <v>7.4194718402196772E-3</v>
      </c>
      <c r="BT13" s="13">
        <v>3.8343505616472817E-2</v>
      </c>
      <c r="BU13" s="13">
        <v>-1.7706555036553769E-2</v>
      </c>
      <c r="BV13" s="13">
        <v>2.065359687620864E-2</v>
      </c>
      <c r="BW13" s="13">
        <v>1.763237810677006E-3</v>
      </c>
      <c r="BX13" s="13">
        <v>2.1078067524026588E-2</v>
      </c>
      <c r="BY13" s="13">
        <v>-1.4512397670490481E-2</v>
      </c>
      <c r="BZ13" s="13">
        <v>7.6138123059050211E-2</v>
      </c>
      <c r="CA13" s="13">
        <v>-3.3531565600396843E-2</v>
      </c>
      <c r="CB13" s="13">
        <v>-6.5958267252201053E-3</v>
      </c>
      <c r="CC13" s="13">
        <v>-1.2530912212633369E-2</v>
      </c>
      <c r="CD13" s="13">
        <v>0.1050858328923274</v>
      </c>
      <c r="CE13" s="13">
        <v>0.1838277291666667</v>
      </c>
      <c r="CF13" s="13">
        <v>1.8229145833333339E-2</v>
      </c>
      <c r="CG13" s="13">
        <v>4.0449062968955063E-2</v>
      </c>
      <c r="CH13" s="13">
        <v>5.8334611827207158E-2</v>
      </c>
      <c r="CI13" s="13">
        <v>-5.1853509134263308E-2</v>
      </c>
      <c r="CJ13" s="13">
        <v>-3.106087971951194E-3</v>
      </c>
      <c r="CK13" s="13">
        <v>3.2045269236463968E-2</v>
      </c>
      <c r="CL13" s="13">
        <v>8.1453366102180805E-2</v>
      </c>
      <c r="CM13" s="13">
        <v>-0.1014523333333333</v>
      </c>
      <c r="CN13" s="13">
        <v>-2.688756599885234E-2</v>
      </c>
      <c r="CO13" s="13">
        <v>8.5566145833333315E-2</v>
      </c>
      <c r="CP13" s="13">
        <v>-3.4377458333333333E-2</v>
      </c>
      <c r="CQ13" s="13">
        <v>3.8184950196159702E-2</v>
      </c>
      <c r="CR13" s="13">
        <v>8.2797809976485181E-3</v>
      </c>
      <c r="CS13" s="13">
        <v>3.9479583333333346E-3</v>
      </c>
      <c r="CT13" s="13">
        <v>4.3462166666666698E-2</v>
      </c>
      <c r="CU13" s="13">
        <v>1.1031208333333349E-2</v>
      </c>
      <c r="CV13" s="13">
        <v>2.4319187499999999E-2</v>
      </c>
      <c r="CW13" s="13">
        <v>1.045652083333334E-2</v>
      </c>
      <c r="CX13" s="13">
        <v>4.9866875000000067E-3</v>
      </c>
      <c r="CY13" s="13">
        <v>-1.3118740115012659E-2</v>
      </c>
      <c r="CZ13" s="13">
        <v>9.0290624999999999E-2</v>
      </c>
      <c r="DA13" s="13">
        <v>4.9445770833333333E-2</v>
      </c>
      <c r="DB13" s="13">
        <v>0.10623525</v>
      </c>
      <c r="DC13" s="13">
        <v>2.354112500000001E-2</v>
      </c>
      <c r="DD13" s="13">
        <v>1.069760060073574E-2</v>
      </c>
      <c r="DE13" s="13">
        <v>-4.2563895833333379E-2</v>
      </c>
      <c r="DF13" s="13">
        <v>8.3122687499999987E-2</v>
      </c>
      <c r="DG13" s="13">
        <v>-4.772931250000001E-2</v>
      </c>
      <c r="DH13" s="13">
        <v>8.8720708333333301E-2</v>
      </c>
      <c r="DI13" s="13">
        <v>8.9748124999999984E-2</v>
      </c>
      <c r="DJ13" s="13">
        <v>5.983854166666666E-3</v>
      </c>
      <c r="DK13" s="13">
        <v>-1.9386395833333341E-2</v>
      </c>
      <c r="DL13" s="13">
        <v>2.7122937499999989E-2</v>
      </c>
      <c r="DM13" s="13">
        <v>5.319583333333322E-4</v>
      </c>
      <c r="DN13" s="13">
        <v>1.6935374999999982E-2</v>
      </c>
      <c r="DO13" s="13">
        <v>3.7863854166666669E-2</v>
      </c>
      <c r="DP13" s="13">
        <v>4.4997145833333342E-2</v>
      </c>
      <c r="DQ13" s="13">
        <v>-3.3966541666666669E-2</v>
      </c>
      <c r="DR13" s="13">
        <v>1.377120927231194E-2</v>
      </c>
      <c r="DS13" s="13">
        <v>-3.8887627839669842E-2</v>
      </c>
      <c r="DT13" s="13">
        <v>5.083135416666669E-2</v>
      </c>
      <c r="DU13" s="13">
        <v>-3.3005958333333342E-2</v>
      </c>
      <c r="DV13" s="13">
        <v>4.3256333333333341E-2</v>
      </c>
      <c r="DW13" s="13">
        <v>4.2028479166666688E-2</v>
      </c>
      <c r="DX13" s="13">
        <v>3.9877437500000022E-2</v>
      </c>
      <c r="DY13" s="13">
        <v>5.698114583333333E-2</v>
      </c>
      <c r="DZ13" s="13">
        <v>1.830197916666667E-2</v>
      </c>
      <c r="EA13" s="13">
        <v>6.2118416666666669E-2</v>
      </c>
      <c r="EB13" s="13">
        <v>2.0102083333333259E-4</v>
      </c>
      <c r="EC13" s="13">
        <v>4.1659753435228923E-2</v>
      </c>
      <c r="ED13" s="13">
        <v>-6.5682093659234955E-2</v>
      </c>
      <c r="EE13" s="13">
        <v>-4.1234374999999997E-2</v>
      </c>
      <c r="EF13" s="13">
        <v>4.4513041666666663E-2</v>
      </c>
    </row>
    <row r="14" spans="1:136">
      <c r="A14" s="2">
        <v>50</v>
      </c>
      <c r="B14" s="2">
        <v>19</v>
      </c>
      <c r="C14" s="13">
        <v>0.1199416315789474</v>
      </c>
      <c r="D14" s="13">
        <v>8.3347311543301383E-2</v>
      </c>
      <c r="E14" s="13">
        <v>-4.7525943267256017E-2</v>
      </c>
      <c r="F14" s="13">
        <v>-4.8454142799859858E-2</v>
      </c>
      <c r="G14" s="13">
        <v>-4.1019916497925447E-2</v>
      </c>
      <c r="H14" s="13">
        <v>7.6743242716788224E-3</v>
      </c>
      <c r="I14" s="13">
        <v>4.3787359823142302E-2</v>
      </c>
      <c r="J14" s="13">
        <v>2.330997196491089E-2</v>
      </c>
      <c r="K14" s="13">
        <v>-0.13417870371405349</v>
      </c>
      <c r="L14" s="13">
        <v>4.847197187706806E-3</v>
      </c>
      <c r="M14" s="13">
        <v>4.9945200667877512E-3</v>
      </c>
      <c r="N14" s="13">
        <v>8.2758984694099133E-2</v>
      </c>
      <c r="O14" s="13">
        <v>3.7475787013006502E-2</v>
      </c>
      <c r="P14" s="13">
        <v>-5.8345921898241233E-2</v>
      </c>
      <c r="Q14" s="13">
        <v>-0.12410387117144869</v>
      </c>
      <c r="R14" s="13">
        <v>-1.5941187297101821E-2</v>
      </c>
      <c r="S14" s="13">
        <v>-0.1658932271847087</v>
      </c>
      <c r="T14" s="13">
        <v>-6.9841479520895866E-2</v>
      </c>
      <c r="U14" s="13">
        <v>-0.1042666646356476</v>
      </c>
      <c r="V14" s="13">
        <v>2.0089127185378371E-2</v>
      </c>
      <c r="W14" s="13">
        <v>7.4008159388253003E-2</v>
      </c>
      <c r="X14" s="13">
        <v>0.1132631083122695</v>
      </c>
      <c r="Y14" s="13">
        <v>-5.2198745955319217E-3</v>
      </c>
      <c r="Z14" s="13">
        <v>3.8511926280307661E-2</v>
      </c>
      <c r="AA14" s="13">
        <v>-3.9450180302082173E-2</v>
      </c>
      <c r="AB14" s="13">
        <v>7.0769377347230211E-2</v>
      </c>
      <c r="AC14" s="13">
        <v>-1.351726880349334E-2</v>
      </c>
      <c r="AD14" s="13">
        <v>-1.292010661121834E-2</v>
      </c>
      <c r="AE14" s="13">
        <v>-0.1064120722476776</v>
      </c>
      <c r="AF14" s="13">
        <v>4.0420702542399108E-2</v>
      </c>
      <c r="AG14" s="13">
        <v>2.0520894646562499E-2</v>
      </c>
      <c r="AH14" s="13">
        <v>6.3409947368421052E-2</v>
      </c>
      <c r="AI14" s="13">
        <v>1.0965315789473681E-2</v>
      </c>
      <c r="AJ14" s="13">
        <v>9.629468421052631E-2</v>
      </c>
      <c r="AK14" s="13">
        <v>7.6911430858302002E-2</v>
      </c>
      <c r="AL14" s="13">
        <v>3.7969189722460717E-2</v>
      </c>
      <c r="AM14" s="13">
        <v>6.1242166378625243E-2</v>
      </c>
      <c r="AN14" s="13">
        <v>9.8594666769543718E-2</v>
      </c>
      <c r="AO14" s="13">
        <v>6.0905705465409951E-2</v>
      </c>
      <c r="AP14" s="13">
        <v>-6.9976525152084204E-2</v>
      </c>
      <c r="AQ14" s="13">
        <v>-3.6796773775995059E-4</v>
      </c>
      <c r="AR14" s="13">
        <v>3.764583976226292E-2</v>
      </c>
      <c r="AS14" s="13">
        <v>9.2569473684210521E-3</v>
      </c>
      <c r="AT14" s="13">
        <v>3.4506579685144471E-2</v>
      </c>
      <c r="AU14" s="13">
        <v>3.999164900330384E-2</v>
      </c>
      <c r="AV14" s="13">
        <v>-1.868288543361717E-2</v>
      </c>
      <c r="AW14" s="13">
        <v>-1.8362931505957501E-2</v>
      </c>
      <c r="AX14" s="13">
        <v>0.13695102829439271</v>
      </c>
      <c r="AY14" s="13">
        <v>1.5068118771761551E-2</v>
      </c>
      <c r="AZ14" s="13">
        <v>-5.3348569172156059E-2</v>
      </c>
      <c r="BA14" s="13">
        <v>1.7621645544243138E-2</v>
      </c>
      <c r="BB14" s="13">
        <v>6.1734282001674842E-2</v>
      </c>
      <c r="BC14" s="13">
        <v>-9.8209989552774171E-3</v>
      </c>
      <c r="BD14" s="13">
        <v>4.3327781667405418E-2</v>
      </c>
      <c r="BE14" s="13">
        <v>4.3787062535487017E-2</v>
      </c>
      <c r="BF14" s="13">
        <v>4.0770521545689782E-2</v>
      </c>
      <c r="BG14" s="13">
        <v>4.1374264073932777E-2</v>
      </c>
      <c r="BH14" s="13">
        <v>5.3427555686006711E-3</v>
      </c>
      <c r="BI14" s="13">
        <v>5.0185212890853773E-2</v>
      </c>
      <c r="BJ14" s="13">
        <v>-2.0017223671233209E-2</v>
      </c>
      <c r="BK14" s="13">
        <v>-5.5937516570728277E-3</v>
      </c>
      <c r="BL14" s="13">
        <v>5.9737766842370338E-2</v>
      </c>
      <c r="BM14" s="13">
        <v>3.9257215206427082E-2</v>
      </c>
      <c r="BN14" s="13">
        <v>-4.657684210526316E-2</v>
      </c>
      <c r="BO14" s="13">
        <v>3.3609045677264478E-2</v>
      </c>
      <c r="BP14" s="13">
        <v>1.5673733492959141E-2</v>
      </c>
      <c r="BQ14" s="13">
        <v>1.584352386995078E-2</v>
      </c>
      <c r="BR14" s="13">
        <v>-2.7929429532617921E-2</v>
      </c>
      <c r="BS14" s="13">
        <v>-4.1493955144577897E-2</v>
      </c>
      <c r="BT14" s="13">
        <v>7.4012962336311328E-2</v>
      </c>
      <c r="BU14" s="13">
        <v>8.8548353580308568E-3</v>
      </c>
      <c r="BV14" s="13">
        <v>2.5727182016427399E-2</v>
      </c>
      <c r="BW14" s="13">
        <v>1.250794825759332E-2</v>
      </c>
      <c r="BX14" s="13">
        <v>5.4970760121953073E-2</v>
      </c>
      <c r="BY14" s="13">
        <v>-6.5962933649650326E-3</v>
      </c>
      <c r="BZ14" s="13">
        <v>6.0034056828782267E-2</v>
      </c>
      <c r="CA14" s="13">
        <v>-2.446526611493707E-2</v>
      </c>
      <c r="CB14" s="13">
        <v>2.2127616542174811E-2</v>
      </c>
      <c r="CC14" s="13">
        <v>-1.2794080785178611E-2</v>
      </c>
      <c r="CD14" s="13">
        <v>9.8016709932197757E-2</v>
      </c>
      <c r="CE14" s="13">
        <v>0.1705548421052632</v>
      </c>
      <c r="CF14" s="13">
        <v>-2.031031578947368E-2</v>
      </c>
      <c r="CG14" s="13">
        <v>5.3067028295838918E-2</v>
      </c>
      <c r="CH14" s="13">
        <v>6.46613922782171E-2</v>
      </c>
      <c r="CI14" s="13">
        <v>-0.1058847773633588</v>
      </c>
      <c r="CJ14" s="13">
        <v>-2.866785494417454E-2</v>
      </c>
      <c r="CK14" s="13">
        <v>1.40163643906461E-2</v>
      </c>
      <c r="CL14" s="13">
        <v>6.2269954878836478E-2</v>
      </c>
      <c r="CM14" s="13">
        <v>-0.1100678421052631</v>
      </c>
      <c r="CN14" s="13">
        <v>-2.3026688670926061E-2</v>
      </c>
      <c r="CO14" s="13">
        <v>0.17324926315789471</v>
      </c>
      <c r="CP14" s="13">
        <v>-0.10547973684210531</v>
      </c>
      <c r="CQ14" s="13">
        <v>5.321162809167454E-2</v>
      </c>
      <c r="CR14" s="13">
        <v>5.590913762450133E-2</v>
      </c>
      <c r="CS14" s="13">
        <v>-3.8151052631578849E-3</v>
      </c>
      <c r="CT14" s="13">
        <v>6.1872210526315793E-2</v>
      </c>
      <c r="CU14" s="13">
        <v>7.4250526315789489E-2</v>
      </c>
      <c r="CV14" s="13">
        <v>3.9399684210526323E-2</v>
      </c>
      <c r="CW14" s="13">
        <v>8.233368421052642E-3</v>
      </c>
      <c r="CX14" s="13">
        <v>2.42438947368421E-2</v>
      </c>
      <c r="CY14" s="13">
        <v>-2.875912029147424E-2</v>
      </c>
      <c r="CZ14" s="13">
        <v>0.13617263157894741</v>
      </c>
      <c r="DA14" s="13">
        <v>6.5392578947368413E-2</v>
      </c>
      <c r="DB14" s="13">
        <v>0.104608052631579</v>
      </c>
      <c r="DC14" s="13">
        <v>1.47538947368421E-2</v>
      </c>
      <c r="DD14" s="13">
        <v>-1.6758549792416429E-2</v>
      </c>
      <c r="DE14" s="13">
        <v>-3.1057578947368419E-2</v>
      </c>
      <c r="DF14" s="13">
        <v>0.20156447368421049</v>
      </c>
      <c r="DG14" s="13">
        <v>-4.5583631578947383E-2</v>
      </c>
      <c r="DH14" s="13">
        <v>5.8742578947368403E-2</v>
      </c>
      <c r="DI14" s="13">
        <v>8.6646789473684205E-2</v>
      </c>
      <c r="DJ14" s="13">
        <v>1.5897789473684209E-2</v>
      </c>
      <c r="DK14" s="13">
        <v>-8.1621684210526332E-2</v>
      </c>
      <c r="DL14" s="13">
        <v>-9.2726842105263149E-3</v>
      </c>
      <c r="DM14" s="13">
        <v>-1.120684210526305E-3</v>
      </c>
      <c r="DN14" s="13">
        <v>3.0299894736842109E-2</v>
      </c>
      <c r="DO14" s="13">
        <v>0.102592</v>
      </c>
      <c r="DP14" s="13">
        <v>3.618157894736844E-3</v>
      </c>
      <c r="DQ14" s="13">
        <v>-5.6019210526315803E-2</v>
      </c>
      <c r="DR14" s="13">
        <v>5.2622519458999567E-2</v>
      </c>
      <c r="DS14" s="13">
        <v>-3.5044906270916831E-2</v>
      </c>
      <c r="DT14" s="13">
        <v>0.11767231578947369</v>
      </c>
      <c r="DU14" s="13">
        <v>-6.8796263157894735E-2</v>
      </c>
      <c r="DV14" s="13">
        <v>1.9435526315789469E-2</v>
      </c>
      <c r="DW14" s="13">
        <v>1.809894736842108E-3</v>
      </c>
      <c r="DX14" s="13">
        <v>3.8758157894736828E-2</v>
      </c>
      <c r="DY14" s="13">
        <v>7.4257842105263164E-2</v>
      </c>
      <c r="DZ14" s="13">
        <v>3.5030894736842108E-2</v>
      </c>
      <c r="EA14" s="13">
        <v>0.1075255263157895</v>
      </c>
      <c r="EB14" s="13">
        <v>-2.5110526315789479E-2</v>
      </c>
      <c r="EC14" s="13">
        <v>6.0793821481329897E-3</v>
      </c>
      <c r="ED14" s="13">
        <v>-0.102629709186187</v>
      </c>
      <c r="EE14" s="13">
        <v>3.399263157894739E-3</v>
      </c>
      <c r="EF14" s="13">
        <v>2.5524210526315781E-2</v>
      </c>
    </row>
    <row r="15" spans="1:136">
      <c r="A15" s="2">
        <v>100</v>
      </c>
      <c r="B15" s="2">
        <v>10</v>
      </c>
      <c r="C15" s="13">
        <v>0.22764509999999999</v>
      </c>
      <c r="D15" s="13">
        <v>1.6952864792065741E-2</v>
      </c>
      <c r="E15" s="13">
        <v>-1.019842627208351E-2</v>
      </c>
      <c r="F15" s="13">
        <v>-0.1085622933731899</v>
      </c>
      <c r="G15" s="13">
        <v>-6.0636928671534279E-2</v>
      </c>
      <c r="H15" s="13">
        <v>5.0157824503593081E-2</v>
      </c>
      <c r="I15" s="13">
        <v>5.843144427986554E-2</v>
      </c>
      <c r="J15" s="13">
        <v>4.9961465247389647E-2</v>
      </c>
      <c r="K15" s="13">
        <v>-0.28659462773637062</v>
      </c>
      <c r="L15" s="13">
        <v>3.2558505157184642E-2</v>
      </c>
      <c r="M15" s="13">
        <v>2.5497709479487259E-2</v>
      </c>
      <c r="N15" s="13">
        <v>0.12086815416098109</v>
      </c>
      <c r="O15" s="13">
        <v>7.375734424631461E-2</v>
      </c>
      <c r="P15" s="13">
        <v>-6.4116183021661763E-2</v>
      </c>
      <c r="Q15" s="13">
        <v>-0.15553684210781249</v>
      </c>
      <c r="R15" s="13">
        <v>-5.2129690105117463E-2</v>
      </c>
      <c r="S15" s="13">
        <v>-0.27000789508215378</v>
      </c>
      <c r="T15" s="13">
        <v>-6.6800124943112091E-2</v>
      </c>
      <c r="U15" s="13">
        <v>-0.1369680616672688</v>
      </c>
      <c r="V15" s="13">
        <v>-1.713185334811276E-2</v>
      </c>
      <c r="W15" s="13">
        <v>0.1025435939827431</v>
      </c>
      <c r="X15" s="13">
        <v>0.1268433314636731</v>
      </c>
      <c r="Y15" s="13">
        <v>2.0629974365819839E-2</v>
      </c>
      <c r="Z15" s="13">
        <v>4.6719972053358677E-2</v>
      </c>
      <c r="AA15" s="13">
        <v>-5.4081147028033669E-2</v>
      </c>
      <c r="AB15" s="13">
        <v>8.370017251583052E-2</v>
      </c>
      <c r="AC15" s="13">
        <v>1.6480966208188091E-2</v>
      </c>
      <c r="AD15" s="13">
        <v>1.8936283030818419E-2</v>
      </c>
      <c r="AE15" s="13">
        <v>-9.7797684008951086E-2</v>
      </c>
      <c r="AF15" s="13">
        <v>6.5819612497039853E-2</v>
      </c>
      <c r="AG15" s="13">
        <v>1.012347826165556E-2</v>
      </c>
      <c r="AH15" s="13">
        <v>-1.45018E-2</v>
      </c>
      <c r="AI15" s="13">
        <v>7.4277400000000007E-2</v>
      </c>
      <c r="AJ15" s="13">
        <v>4.1833999999999968E-3</v>
      </c>
      <c r="AK15" s="13">
        <v>6.1759619658444932E-2</v>
      </c>
      <c r="AL15" s="13">
        <v>4.4431662495814539E-2</v>
      </c>
      <c r="AM15" s="13">
        <v>5.5122622134627111E-2</v>
      </c>
      <c r="AN15" s="13">
        <v>0.10168870591238351</v>
      </c>
      <c r="AO15" s="13">
        <v>6.3369812463467096E-2</v>
      </c>
      <c r="AP15" s="13">
        <v>-7.8285693892754235E-2</v>
      </c>
      <c r="AQ15" s="13">
        <v>-3.7367126796121669E-2</v>
      </c>
      <c r="AR15" s="13">
        <v>9.0293855475916673E-2</v>
      </c>
      <c r="AS15" s="13">
        <v>-2.2430800000000001E-2</v>
      </c>
      <c r="AT15" s="13">
        <v>6.5254990652428568E-2</v>
      </c>
      <c r="AU15" s="13">
        <v>3.9943261089466317E-2</v>
      </c>
      <c r="AV15" s="13">
        <v>-4.7226818327438858E-2</v>
      </c>
      <c r="AW15" s="13">
        <v>1.5659939254580951E-2</v>
      </c>
      <c r="AX15" s="13">
        <v>0.12523397717473519</v>
      </c>
      <c r="AY15" s="13">
        <v>2.8017064110032911E-2</v>
      </c>
      <c r="AZ15" s="13">
        <v>-9.1323280068503487E-2</v>
      </c>
      <c r="BA15" s="13">
        <v>1.061351480765297E-2</v>
      </c>
      <c r="BB15" s="13">
        <v>0.1127248660788131</v>
      </c>
      <c r="BC15" s="13">
        <v>6.2155143667830287E-2</v>
      </c>
      <c r="BD15" s="13">
        <v>5.3043273904796059E-2</v>
      </c>
      <c r="BE15" s="13">
        <v>4.8442721017663122E-2</v>
      </c>
      <c r="BF15" s="13">
        <v>4.7662979456752137E-2</v>
      </c>
      <c r="BG15" s="13">
        <v>2.489538734565238E-3</v>
      </c>
      <c r="BH15" s="13">
        <v>3.4441845481689458E-2</v>
      </c>
      <c r="BI15" s="13">
        <v>6.8586659114969639E-2</v>
      </c>
      <c r="BJ15" s="13">
        <v>-1.1265027087445249E-2</v>
      </c>
      <c r="BK15" s="13">
        <v>8.2375226780603827E-4</v>
      </c>
      <c r="BL15" s="13">
        <v>5.940387134134844E-2</v>
      </c>
      <c r="BM15" s="13">
        <v>6.6824821366729223E-2</v>
      </c>
      <c r="BN15" s="13">
        <v>-6.60549E-2</v>
      </c>
      <c r="BO15" s="13">
        <v>2.773447595493098E-2</v>
      </c>
      <c r="BP15" s="13">
        <v>1.4184220707804779E-2</v>
      </c>
      <c r="BQ15" s="13">
        <v>1.280293129032776E-2</v>
      </c>
      <c r="BR15" s="13">
        <v>-5.0157429122059692E-2</v>
      </c>
      <c r="BS15" s="13">
        <v>-1.682377745028631E-2</v>
      </c>
      <c r="BT15" s="13">
        <v>8.9060205731334427E-2</v>
      </c>
      <c r="BU15" s="13">
        <v>-1.9476419795793471E-2</v>
      </c>
      <c r="BV15" s="13">
        <v>5.8914967752548723E-2</v>
      </c>
      <c r="BW15" s="13">
        <v>-3.5945890129403732E-2</v>
      </c>
      <c r="BX15" s="13">
        <v>2.8635895065731481E-2</v>
      </c>
      <c r="BY15" s="13">
        <v>-6.1694091479059833E-2</v>
      </c>
      <c r="BZ15" s="13">
        <v>0.1029064689773473</v>
      </c>
      <c r="CA15" s="13">
        <v>-1.859202079644226E-2</v>
      </c>
      <c r="CB15" s="13">
        <v>1.5056894011824499E-2</v>
      </c>
      <c r="CC15" s="13">
        <v>-0.15231826505416149</v>
      </c>
      <c r="CD15" s="13">
        <v>0.1201520839630844</v>
      </c>
      <c r="CE15" s="13">
        <v>7.3367399999999999E-2</v>
      </c>
      <c r="CF15" s="13">
        <v>-3.626399999999988E-3</v>
      </c>
      <c r="CG15" s="13">
        <v>-4.2988792533641554E-3</v>
      </c>
      <c r="CH15" s="13">
        <v>6.2885958283701332E-2</v>
      </c>
      <c r="CI15" s="13">
        <v>-3.8798414894980787E-2</v>
      </c>
      <c r="CJ15" s="13">
        <v>-8.7044356072718085E-2</v>
      </c>
      <c r="CK15" s="13">
        <v>5.667264577209942E-2</v>
      </c>
      <c r="CL15" s="13">
        <v>3.1421974993248308E-2</v>
      </c>
      <c r="CM15" s="13">
        <v>-0.1081179</v>
      </c>
      <c r="CN15" s="13">
        <v>-4.2634115799160301E-2</v>
      </c>
      <c r="CO15" s="13">
        <v>0.17335990000000001</v>
      </c>
      <c r="CP15" s="13">
        <v>-3.4393400000000011E-2</v>
      </c>
      <c r="CQ15" s="13">
        <v>3.7378010765128991E-2</v>
      </c>
      <c r="CR15" s="13">
        <v>4.8237070288164277E-2</v>
      </c>
      <c r="CS15" s="13">
        <v>1.6912400000000001E-2</v>
      </c>
      <c r="CT15" s="13">
        <v>3.22169E-2</v>
      </c>
      <c r="CU15" s="13">
        <v>0.15386359999999999</v>
      </c>
      <c r="CV15" s="13">
        <v>6.0443999999999998E-2</v>
      </c>
      <c r="CW15" s="13">
        <v>-2.7258899999999999E-2</v>
      </c>
      <c r="CX15" s="13">
        <v>1.7868099999999991E-2</v>
      </c>
      <c r="CY15" s="13">
        <v>-4.2470673077762339E-2</v>
      </c>
      <c r="CZ15" s="13">
        <v>0.1153667</v>
      </c>
      <c r="DA15" s="13">
        <v>8.8861800000000005E-2</v>
      </c>
      <c r="DB15" s="13">
        <v>9.7047700000000001E-2</v>
      </c>
      <c r="DC15" s="13">
        <v>7.6726499999999989E-2</v>
      </c>
      <c r="DD15" s="13">
        <v>-4.9393690499884603E-2</v>
      </c>
      <c r="DE15" s="13">
        <v>-6.5607900000000011E-2</v>
      </c>
      <c r="DF15" s="13">
        <v>0.30272159999999998</v>
      </c>
      <c r="DG15" s="13">
        <v>-4.7917800000000003E-2</v>
      </c>
      <c r="DH15" s="13">
        <v>0.1296235</v>
      </c>
      <c r="DI15" s="13">
        <v>4.2810999999999988E-2</v>
      </c>
      <c r="DJ15" s="13">
        <v>4.7566499999999998E-2</v>
      </c>
      <c r="DK15" s="13">
        <v>-0.100329</v>
      </c>
      <c r="DL15" s="13">
        <v>7.7391999999999999E-3</v>
      </c>
      <c r="DM15" s="13">
        <v>1.773500000000004E-3</v>
      </c>
      <c r="DN15" s="13">
        <v>-6.7020200000000016E-2</v>
      </c>
      <c r="DO15" s="13">
        <v>0.15954560000000001</v>
      </c>
      <c r="DP15" s="13">
        <v>-4.0329200000000003E-2</v>
      </c>
      <c r="DQ15" s="13">
        <v>-7.2937799999999997E-2</v>
      </c>
      <c r="DR15" s="13">
        <v>7.0010566617938433E-2</v>
      </c>
      <c r="DS15" s="13">
        <v>-7.6241908411797149E-2</v>
      </c>
      <c r="DT15" s="13">
        <v>3.4296700000000013E-2</v>
      </c>
      <c r="DU15" s="13">
        <v>-0.1171285</v>
      </c>
      <c r="DV15" s="13">
        <v>5.1129900000000013E-2</v>
      </c>
      <c r="DW15" s="13">
        <v>-6.08268E-2</v>
      </c>
      <c r="DX15" s="13">
        <v>2.7959700000000021E-2</v>
      </c>
      <c r="DY15" s="13">
        <v>0.1436096</v>
      </c>
      <c r="DZ15" s="13">
        <v>4.0455199999999997E-2</v>
      </c>
      <c r="EA15" s="13">
        <v>0.1091777</v>
      </c>
      <c r="EB15" s="13">
        <v>-5.6128999999999998E-2</v>
      </c>
      <c r="EC15" s="13">
        <v>6.6081856047946447E-2</v>
      </c>
      <c r="ED15" s="13">
        <v>-0.1133570559353114</v>
      </c>
      <c r="EE15" s="13">
        <v>-3.1901999999999998E-3</v>
      </c>
      <c r="EF15" s="13">
        <v>2.96441E-2</v>
      </c>
    </row>
    <row r="16" spans="1:136">
      <c r="A16" s="2">
        <v>107</v>
      </c>
      <c r="B16" s="2">
        <v>9</v>
      </c>
      <c r="C16" s="13">
        <v>0.20787511111111109</v>
      </c>
      <c r="D16" s="13">
        <v>-7.202486673170555E-4</v>
      </c>
      <c r="E16" s="13">
        <v>-2.8301766100853822E-3</v>
      </c>
      <c r="F16" s="13">
        <v>-9.9382492855487087E-2</v>
      </c>
      <c r="G16" s="13">
        <v>-7.3696265126923857E-2</v>
      </c>
      <c r="H16" s="13">
        <v>6.0999004616936837E-2</v>
      </c>
      <c r="I16" s="13">
        <v>5.7530618665621432E-2</v>
      </c>
      <c r="J16" s="13">
        <v>4.6709926042666168E-2</v>
      </c>
      <c r="K16" s="13">
        <v>-0.28467055022653209</v>
      </c>
      <c r="L16" s="13">
        <v>9.8865345878687977E-3</v>
      </c>
      <c r="M16" s="13">
        <v>4.0334454725240582E-2</v>
      </c>
      <c r="N16" s="13">
        <v>0.1256706255427503</v>
      </c>
      <c r="O16" s="13">
        <v>7.9826860571117084E-2</v>
      </c>
      <c r="P16" s="13">
        <v>-6.1045231791422308E-2</v>
      </c>
      <c r="Q16" s="13">
        <v>-0.15790307042433799</v>
      </c>
      <c r="R16" s="13">
        <v>-4.899097828292652E-2</v>
      </c>
      <c r="S16" s="13">
        <v>-0.28706302039879478</v>
      </c>
      <c r="T16" s="13">
        <v>-6.7219060157601318E-2</v>
      </c>
      <c r="U16" s="13">
        <v>-0.1300624714297445</v>
      </c>
      <c r="V16" s="13">
        <v>-6.0221453329656824E-3</v>
      </c>
      <c r="W16" s="13">
        <v>0.10166567604781181</v>
      </c>
      <c r="X16" s="13">
        <v>0.12440978370848681</v>
      </c>
      <c r="Y16" s="13">
        <v>2.0180588419635579E-2</v>
      </c>
      <c r="Z16" s="13">
        <v>4.3057930884211712E-2</v>
      </c>
      <c r="AA16" s="13">
        <v>-4.3487635835992113E-2</v>
      </c>
      <c r="AB16" s="13">
        <v>7.4985041637980393E-2</v>
      </c>
      <c r="AC16" s="13">
        <v>4.7226236202560543E-2</v>
      </c>
      <c r="AD16" s="13">
        <v>1.122025849076259E-3</v>
      </c>
      <c r="AE16" s="13">
        <v>-9.6502360488605665E-2</v>
      </c>
      <c r="AF16" s="13">
        <v>6.3685842581589158E-2</v>
      </c>
      <c r="AG16" s="13">
        <v>1.32907530365354E-2</v>
      </c>
      <c r="AH16" s="13">
        <v>-4.4108444444444443E-2</v>
      </c>
      <c r="AI16" s="13">
        <v>9.052311111111111E-2</v>
      </c>
      <c r="AJ16" s="13">
        <v>-1.763E-2</v>
      </c>
      <c r="AK16" s="13">
        <v>6.4421400832372078E-2</v>
      </c>
      <c r="AL16" s="13">
        <v>4.8688933104523248E-2</v>
      </c>
      <c r="AM16" s="13">
        <v>6.6076730601797973E-2</v>
      </c>
      <c r="AN16" s="13">
        <v>0.1064562000896756</v>
      </c>
      <c r="AO16" s="13">
        <v>6.1424671825912318E-2</v>
      </c>
      <c r="AP16" s="13">
        <v>-7.779836814558852E-2</v>
      </c>
      <c r="AQ16" s="13">
        <v>-3.8466200146068608E-2</v>
      </c>
      <c r="AR16" s="13">
        <v>0.1032911790604924</v>
      </c>
      <c r="AS16" s="13">
        <v>-2.8078666666666661E-2</v>
      </c>
      <c r="AT16" s="13">
        <v>4.954715531837002E-2</v>
      </c>
      <c r="AU16" s="13">
        <v>4.1826838254895117E-2</v>
      </c>
      <c r="AV16" s="13">
        <v>-9.0725067800187069E-3</v>
      </c>
      <c r="AW16" s="13">
        <v>3.9252930074650652E-2</v>
      </c>
      <c r="AX16" s="13">
        <v>0.10082977324397289</v>
      </c>
      <c r="AY16" s="13">
        <v>3.3812589844345937E-2</v>
      </c>
      <c r="AZ16" s="13">
        <v>-0.1049096351787122</v>
      </c>
      <c r="BA16" s="13">
        <v>1.4923105057586089E-2</v>
      </c>
      <c r="BB16" s="13">
        <v>0.10803892415273809</v>
      </c>
      <c r="BC16" s="13">
        <v>6.712146610769186E-2</v>
      </c>
      <c r="BD16" s="13">
        <v>3.5936711545904013E-2</v>
      </c>
      <c r="BE16" s="13">
        <v>5.1410994394474947E-2</v>
      </c>
      <c r="BF16" s="13">
        <v>6.4268054319718215E-2</v>
      </c>
      <c r="BG16" s="13">
        <v>1.347328204795663E-2</v>
      </c>
      <c r="BH16" s="13">
        <v>-1.377561448396186E-2</v>
      </c>
      <c r="BI16" s="13">
        <v>4.1443807763261883E-2</v>
      </c>
      <c r="BJ16" s="13">
        <v>-2.0503816283207601E-2</v>
      </c>
      <c r="BK16" s="13">
        <v>2.9719902951970238E-3</v>
      </c>
      <c r="BL16" s="13">
        <v>7.0623565707523178E-2</v>
      </c>
      <c r="BM16" s="13">
        <v>8.1523875041965066E-2</v>
      </c>
      <c r="BN16" s="13">
        <v>-6.7199333333333333E-2</v>
      </c>
      <c r="BO16" s="13">
        <v>2.1890359953657689E-2</v>
      </c>
      <c r="BP16" s="13">
        <v>2.0843183547580579E-2</v>
      </c>
      <c r="BQ16" s="13">
        <v>1.6478016254928601E-2</v>
      </c>
      <c r="BR16" s="13">
        <v>-2.6296848021444389E-2</v>
      </c>
      <c r="BS16" s="13">
        <v>-1.319157314746418E-2</v>
      </c>
      <c r="BT16" s="13">
        <v>8.5483191267799616E-2</v>
      </c>
      <c r="BU16" s="13">
        <v>-5.7765110184800447E-2</v>
      </c>
      <c r="BV16" s="13">
        <v>6.0711239446840828E-2</v>
      </c>
      <c r="BW16" s="13">
        <v>-6.5740927426534632E-2</v>
      </c>
      <c r="BX16" s="13">
        <v>3.1559237521130948E-2</v>
      </c>
      <c r="BY16" s="13">
        <v>-5.0563732847242943E-2</v>
      </c>
      <c r="BZ16" s="13">
        <v>0.11152584850164921</v>
      </c>
      <c r="CA16" s="13">
        <v>-2.971438975556321E-2</v>
      </c>
      <c r="CB16" s="13">
        <v>-1.4280449892172949E-3</v>
      </c>
      <c r="CC16" s="13">
        <v>-0.15907251448393439</v>
      </c>
      <c r="CD16" s="13">
        <v>0.15507127162636181</v>
      </c>
      <c r="CE16" s="13">
        <v>9.3613777777777768E-2</v>
      </c>
      <c r="CF16" s="13">
        <v>-1.469599999999999E-2</v>
      </c>
      <c r="CG16" s="13">
        <v>-5.3785190313301026E-3</v>
      </c>
      <c r="CH16" s="13">
        <v>4.1697414703027062E-2</v>
      </c>
      <c r="CI16" s="13">
        <v>-3.8709881828517527E-2</v>
      </c>
      <c r="CJ16" s="13">
        <v>-4.5523550787666608E-2</v>
      </c>
      <c r="CK16" s="13">
        <v>7.6472983717690388E-2</v>
      </c>
      <c r="CL16" s="13">
        <v>1.5878682334709331E-2</v>
      </c>
      <c r="CM16" s="13">
        <v>-0.1130543333333333</v>
      </c>
      <c r="CN16" s="13">
        <v>-3.3057515140949983E-2</v>
      </c>
      <c r="CO16" s="13">
        <v>0.20954700000000001</v>
      </c>
      <c r="CP16" s="13">
        <v>-3.0684555555555559E-2</v>
      </c>
      <c r="CQ16" s="13">
        <v>4.1435605659410409E-2</v>
      </c>
      <c r="CR16" s="13">
        <v>4.829976668331655E-2</v>
      </c>
      <c r="CS16" s="13">
        <v>2.1808222222222218E-2</v>
      </c>
      <c r="CT16" s="13">
        <v>4.8903888888888879E-2</v>
      </c>
      <c r="CU16" s="13">
        <v>0.15404611111111111</v>
      </c>
      <c r="CV16" s="13">
        <v>5.9453444444444448E-2</v>
      </c>
      <c r="CW16" s="13">
        <v>-3.167466666666667E-2</v>
      </c>
      <c r="CX16" s="13">
        <v>6.6858888888888914E-3</v>
      </c>
      <c r="CY16" s="13">
        <v>-4.9117049116625407E-2</v>
      </c>
      <c r="CZ16" s="13">
        <v>0.1662207777777778</v>
      </c>
      <c r="DA16" s="13">
        <v>0.11818055555555559</v>
      </c>
      <c r="DB16" s="13">
        <v>9.8016666666666655E-2</v>
      </c>
      <c r="DC16" s="13">
        <v>6.3740111111111108E-2</v>
      </c>
      <c r="DD16" s="13">
        <v>-7.0070935057357717E-2</v>
      </c>
      <c r="DE16" s="13">
        <v>-5.6325333333333331E-2</v>
      </c>
      <c r="DF16" s="13">
        <v>0.32558088888888892</v>
      </c>
      <c r="DG16" s="13">
        <v>-4.5677000000000002E-2</v>
      </c>
      <c r="DH16" s="13">
        <v>0.13714944444444449</v>
      </c>
      <c r="DI16" s="13">
        <v>4.7828777777777769E-2</v>
      </c>
      <c r="DJ16" s="13">
        <v>5.1753111111111111E-2</v>
      </c>
      <c r="DK16" s="13">
        <v>-9.6254333333333331E-2</v>
      </c>
      <c r="DL16" s="13">
        <v>1.3668888888888899E-3</v>
      </c>
      <c r="DM16" s="13">
        <v>3.8135333333333327E-2</v>
      </c>
      <c r="DN16" s="13">
        <v>-5.6705777777777792E-2</v>
      </c>
      <c r="DO16" s="13">
        <v>0.1695906666666667</v>
      </c>
      <c r="DP16" s="13">
        <v>-2.4715444444444439E-2</v>
      </c>
      <c r="DQ16" s="13">
        <v>-6.7559999999999995E-2</v>
      </c>
      <c r="DR16" s="13">
        <v>5.5191251649515209E-2</v>
      </c>
      <c r="DS16" s="13">
        <v>-9.3752064989754288E-2</v>
      </c>
      <c r="DT16" s="13">
        <v>3.2059333333333329E-2</v>
      </c>
      <c r="DU16" s="13">
        <v>-0.12277299999999999</v>
      </c>
      <c r="DV16" s="13">
        <v>4.5151777777777777E-2</v>
      </c>
      <c r="DW16" s="13">
        <v>-7.1303111111111109E-2</v>
      </c>
      <c r="DX16" s="13">
        <v>3.7507111111111102E-2</v>
      </c>
      <c r="DY16" s="13">
        <v>0.15757177777777781</v>
      </c>
      <c r="DZ16" s="13">
        <v>5.8810444444444457E-2</v>
      </c>
      <c r="EA16" s="13">
        <v>0.13979988888888889</v>
      </c>
      <c r="EB16" s="13">
        <v>-7.0877777777777762E-2</v>
      </c>
      <c r="EC16" s="13">
        <v>6.3532066634569728E-2</v>
      </c>
      <c r="ED16" s="13">
        <v>-0.1154167474989211</v>
      </c>
      <c r="EE16" s="13">
        <v>-4.3961111111111119E-3</v>
      </c>
      <c r="EF16" s="13">
        <v>3.4548444444444437E-2</v>
      </c>
    </row>
    <row r="17" spans="1:136">
      <c r="A17" s="2">
        <v>120</v>
      </c>
      <c r="B17" s="2">
        <v>8</v>
      </c>
      <c r="C17" s="13">
        <v>0.20609237499999999</v>
      </c>
      <c r="D17" s="13">
        <v>-1.7334374733087798E-2</v>
      </c>
      <c r="E17" s="13">
        <v>7.3790014953013412E-3</v>
      </c>
      <c r="F17" s="13">
        <v>-0.1128375151172957</v>
      </c>
      <c r="G17" s="13">
        <v>-7.122276687818177E-2</v>
      </c>
      <c r="H17" s="13">
        <v>7.6687821562616859E-2</v>
      </c>
      <c r="I17" s="13">
        <v>0.1137250278021875</v>
      </c>
      <c r="J17" s="13">
        <v>4.1858395118229183E-2</v>
      </c>
      <c r="K17" s="13">
        <v>-0.29682655110056239</v>
      </c>
      <c r="L17" s="13">
        <v>9.7108895081580021E-3</v>
      </c>
      <c r="M17" s="13">
        <v>6.4932034983486181E-2</v>
      </c>
      <c r="N17" s="13">
        <v>0.1359484320527852</v>
      </c>
      <c r="O17" s="13">
        <v>0.1012267692723357</v>
      </c>
      <c r="P17" s="13">
        <v>-6.6339369138831011E-2</v>
      </c>
      <c r="Q17" s="13">
        <v>-0.16180129461512691</v>
      </c>
      <c r="R17" s="13">
        <v>-5.2057608904527208E-2</v>
      </c>
      <c r="S17" s="13">
        <v>-0.31065343265529821</v>
      </c>
      <c r="T17" s="13">
        <v>-7.120201453280707E-2</v>
      </c>
      <c r="U17" s="13">
        <v>-0.14127114253855691</v>
      </c>
      <c r="V17" s="13">
        <v>4.0111898296984957E-3</v>
      </c>
      <c r="W17" s="13">
        <v>0.1196039840123075</v>
      </c>
      <c r="X17" s="13">
        <v>0.1168461979408036</v>
      </c>
      <c r="Y17" s="13">
        <v>2.2928011062654879E-2</v>
      </c>
      <c r="Z17" s="13">
        <v>5.3868489290865788E-2</v>
      </c>
      <c r="AA17" s="13">
        <v>-3.5209789582199093E-2</v>
      </c>
      <c r="AB17" s="13">
        <v>8.4852062878172319E-2</v>
      </c>
      <c r="AC17" s="13">
        <v>5.8728690290493803E-2</v>
      </c>
      <c r="AD17" s="13">
        <v>2.1912844173640599E-2</v>
      </c>
      <c r="AE17" s="13">
        <v>-0.127158422447225</v>
      </c>
      <c r="AF17" s="13">
        <v>6.1429310121940139E-2</v>
      </c>
      <c r="AG17" s="13">
        <v>2.2740980787790199E-2</v>
      </c>
      <c r="AH17" s="13">
        <v>-3.1922875000000003E-2</v>
      </c>
      <c r="AI17" s="13">
        <v>0.114865125</v>
      </c>
      <c r="AJ17" s="13">
        <v>-2.2208249999999999E-2</v>
      </c>
      <c r="AK17" s="13">
        <v>7.3716274739036441E-2</v>
      </c>
      <c r="AL17" s="13">
        <v>5.0724405748556509E-2</v>
      </c>
      <c r="AM17" s="13">
        <v>7.5369367587656971E-2</v>
      </c>
      <c r="AN17" s="13">
        <v>0.1132871203459177</v>
      </c>
      <c r="AO17" s="13">
        <v>1.2632334595724191E-2</v>
      </c>
      <c r="AP17" s="13">
        <v>-7.7242814419585484E-2</v>
      </c>
      <c r="AQ17" s="13">
        <v>-6.052713740149903E-2</v>
      </c>
      <c r="AR17" s="13">
        <v>0.11393070989481729</v>
      </c>
      <c r="AS17" s="13">
        <v>-2.951599999999999E-2</v>
      </c>
      <c r="AT17" s="13">
        <v>5.2267806449722218E-2</v>
      </c>
      <c r="AU17" s="13">
        <v>5.4555507286687788E-2</v>
      </c>
      <c r="AV17" s="13">
        <v>-2.120590278226837E-2</v>
      </c>
      <c r="AW17" s="13">
        <v>8.4218880418367916E-3</v>
      </c>
      <c r="AX17" s="13">
        <v>9.6240558508798979E-2</v>
      </c>
      <c r="AY17" s="13">
        <v>2.742369669060089E-2</v>
      </c>
      <c r="AZ17" s="13">
        <v>-0.1251576022601911</v>
      </c>
      <c r="BA17" s="13">
        <v>9.8251791071129642E-3</v>
      </c>
      <c r="BB17" s="13">
        <v>0.1237640631138444</v>
      </c>
      <c r="BC17" s="13">
        <v>8.386319517781364E-2</v>
      </c>
      <c r="BD17" s="13">
        <v>2.235648224620481E-2</v>
      </c>
      <c r="BE17" s="13">
        <v>7.7350242238060404E-2</v>
      </c>
      <c r="BF17" s="13">
        <v>5.5197496608953713E-2</v>
      </c>
      <c r="BG17" s="13">
        <v>-3.5394236088037288E-2</v>
      </c>
      <c r="BH17" s="13">
        <v>1.351946085175304E-2</v>
      </c>
      <c r="BI17" s="13">
        <v>8.7111945439947241E-2</v>
      </c>
      <c r="BJ17" s="13">
        <v>-9.8580642732364818E-3</v>
      </c>
      <c r="BK17" s="13">
        <v>-1.3822952070105509E-2</v>
      </c>
      <c r="BL17" s="13">
        <v>7.7482966799946165E-2</v>
      </c>
      <c r="BM17" s="13">
        <v>7.5997770445859966E-2</v>
      </c>
      <c r="BN17" s="13">
        <v>-7.3658000000000001E-2</v>
      </c>
      <c r="BO17" s="13">
        <v>3.5179615416723611E-2</v>
      </c>
      <c r="BP17" s="13">
        <v>3.5995979654480911E-2</v>
      </c>
      <c r="BQ17" s="13">
        <v>1.1376510446451601E-2</v>
      </c>
      <c r="BR17" s="13">
        <v>-9.6463751247498966E-3</v>
      </c>
      <c r="BS17" s="13">
        <v>-4.1034691106065987E-3</v>
      </c>
      <c r="BT17" s="13">
        <v>0.1094163788704233</v>
      </c>
      <c r="BU17" s="13">
        <v>-7.1127818750752414E-2</v>
      </c>
      <c r="BV17" s="13">
        <v>7.0210303019628315E-2</v>
      </c>
      <c r="BW17" s="13">
        <v>-8.0431712599265903E-2</v>
      </c>
      <c r="BX17" s="13">
        <v>2.882296461967274E-2</v>
      </c>
      <c r="BY17" s="13">
        <v>-8.4245467628694337E-2</v>
      </c>
      <c r="BZ17" s="13">
        <v>0.12057815588108529</v>
      </c>
      <c r="CA17" s="13">
        <v>-2.7934832358489561E-2</v>
      </c>
      <c r="CB17" s="13">
        <v>-1.047770749199251E-2</v>
      </c>
      <c r="CC17" s="13">
        <v>-0.17495797398968091</v>
      </c>
      <c r="CD17" s="13">
        <v>0.17295974121914859</v>
      </c>
      <c r="CE17" s="13">
        <v>9.5707624999999991E-2</v>
      </c>
      <c r="CF17" s="13">
        <v>-9.5123749999999979E-2</v>
      </c>
      <c r="CG17" s="13">
        <v>-1.552710507507719E-2</v>
      </c>
      <c r="CH17" s="13">
        <v>5.8636446607050002E-2</v>
      </c>
      <c r="CI17" s="13">
        <v>-1.4531184989588509E-2</v>
      </c>
      <c r="CJ17" s="13">
        <v>-5.0742321484442049E-2</v>
      </c>
      <c r="CK17" s="13">
        <v>9.1738572657912937E-2</v>
      </c>
      <c r="CL17" s="13">
        <v>-9.426344769031314E-3</v>
      </c>
      <c r="CM17" s="13">
        <v>-9.5492624999999998E-2</v>
      </c>
      <c r="CN17" s="13">
        <v>-2.6718061150986971E-2</v>
      </c>
      <c r="CO17" s="13">
        <v>0.198080375</v>
      </c>
      <c r="CP17" s="13">
        <v>-2.1610000000000001E-2</v>
      </c>
      <c r="CQ17" s="13">
        <v>4.1087933183403327E-2</v>
      </c>
      <c r="CR17" s="13">
        <v>5.0676490702223173E-2</v>
      </c>
      <c r="CS17" s="13">
        <v>1.1546625E-2</v>
      </c>
      <c r="CT17" s="13">
        <v>5.8654249999999991E-2</v>
      </c>
      <c r="CU17" s="13">
        <v>5.1108874999999998E-2</v>
      </c>
      <c r="CV17" s="13">
        <v>6.7891375000000004E-2</v>
      </c>
      <c r="CW17" s="13">
        <v>-2.3157000000000001E-2</v>
      </c>
      <c r="CX17" s="13">
        <v>2.49915E-2</v>
      </c>
      <c r="CY17" s="13">
        <v>-4.9383298716090041E-2</v>
      </c>
      <c r="CZ17" s="13">
        <v>0.184135875</v>
      </c>
      <c r="DA17" s="13">
        <v>9.4495625E-2</v>
      </c>
      <c r="DB17" s="13">
        <v>0.104271</v>
      </c>
      <c r="DC17" s="13">
        <v>5.3887499999999991E-2</v>
      </c>
      <c r="DD17" s="13">
        <v>-8.5133933084153957E-2</v>
      </c>
      <c r="DE17" s="13">
        <v>-5.1665374999999999E-2</v>
      </c>
      <c r="DF17" s="13">
        <v>0.35222737500000001</v>
      </c>
      <c r="DG17" s="13">
        <v>-4.7211125000000007E-2</v>
      </c>
      <c r="DH17" s="13">
        <v>0.16343337499999999</v>
      </c>
      <c r="DI17" s="13">
        <v>7.0181249999999987E-2</v>
      </c>
      <c r="DJ17" s="13">
        <v>5.7146374999999999E-2</v>
      </c>
      <c r="DK17" s="13">
        <v>-0.10277987500000001</v>
      </c>
      <c r="DL17" s="13">
        <v>-5.7897499999999998E-3</v>
      </c>
      <c r="DM17" s="13">
        <v>4.2563499999999997E-2</v>
      </c>
      <c r="DN17" s="13">
        <v>-6.0626500000000007E-2</v>
      </c>
      <c r="DO17" s="13">
        <v>0.17976200000000001</v>
      </c>
      <c r="DP17" s="13">
        <v>-2.5096125E-2</v>
      </c>
      <c r="DQ17" s="13">
        <v>-6.5243999999999996E-2</v>
      </c>
      <c r="DR17" s="13">
        <v>5.5884814876328279E-2</v>
      </c>
      <c r="DS17" s="13">
        <v>-0.12431615980481089</v>
      </c>
      <c r="DT17" s="13">
        <v>1.6743000000000001E-2</v>
      </c>
      <c r="DU17" s="13">
        <v>-0.129494</v>
      </c>
      <c r="DV17" s="13">
        <v>6.2272374999999998E-2</v>
      </c>
      <c r="DW17" s="13">
        <v>-7.6599750000000008E-2</v>
      </c>
      <c r="DX17" s="13">
        <v>4.4121874999999998E-2</v>
      </c>
      <c r="DY17" s="13">
        <v>0.10728225</v>
      </c>
      <c r="DZ17" s="13">
        <v>4.9212000000000013E-2</v>
      </c>
      <c r="EA17" s="13">
        <v>0.16457237499999999</v>
      </c>
      <c r="EB17" s="13">
        <v>-7.3783624999999992E-2</v>
      </c>
      <c r="EC17" s="13">
        <v>1.6425217216060651E-2</v>
      </c>
      <c r="ED17" s="13">
        <v>-0.12832444392891271</v>
      </c>
      <c r="EE17" s="13">
        <v>1.9437499999999921E-4</v>
      </c>
      <c r="EF17" s="13">
        <v>4.0984749999999993E-2</v>
      </c>
    </row>
    <row r="18" spans="1:136">
      <c r="A18" s="2">
        <v>137</v>
      </c>
      <c r="B18" s="2">
        <v>7</v>
      </c>
      <c r="C18" s="13">
        <v>0.1897511428571429</v>
      </c>
      <c r="D18" s="13">
        <v>-8.1874670813927297E-3</v>
      </c>
      <c r="E18" s="13">
        <v>-5.900065709820778E-2</v>
      </c>
      <c r="F18" s="13">
        <v>-0.13441437443338569</v>
      </c>
      <c r="G18" s="13">
        <v>-8.0794247020859855E-2</v>
      </c>
      <c r="H18" s="13">
        <v>0.1219127893632701</v>
      </c>
      <c r="I18" s="13">
        <v>0.13550018022324109</v>
      </c>
      <c r="J18" s="13">
        <v>4.3411515751641608E-2</v>
      </c>
      <c r="K18" s="13">
        <v>-0.35868209850789973</v>
      </c>
      <c r="L18" s="13">
        <v>1.298248684698161E-2</v>
      </c>
      <c r="M18" s="13">
        <v>7.970257711397645E-2</v>
      </c>
      <c r="N18" s="13">
        <v>0.1429924272847711</v>
      </c>
      <c r="O18" s="13">
        <v>0.10367048962961919</v>
      </c>
      <c r="P18" s="13">
        <v>-8.2552611569947768E-2</v>
      </c>
      <c r="Q18" s="13">
        <v>-0.18897541868948989</v>
      </c>
      <c r="R18" s="13">
        <v>-6.149223787197499E-2</v>
      </c>
      <c r="S18" s="13">
        <v>-0.3837326289318943</v>
      </c>
      <c r="T18" s="13">
        <v>-5.4244440031608693E-2</v>
      </c>
      <c r="U18" s="13">
        <v>-0.132495024429819</v>
      </c>
      <c r="V18" s="13">
        <v>1.2895135069850801E-2</v>
      </c>
      <c r="W18" s="13">
        <v>0.1379172379157062</v>
      </c>
      <c r="X18" s="13">
        <v>0.1434515176348406</v>
      </c>
      <c r="Y18" s="13">
        <v>1.923233435743554E-2</v>
      </c>
      <c r="Z18" s="13">
        <v>8.9234363440522865E-2</v>
      </c>
      <c r="AA18" s="13">
        <v>-4.1705245182724067E-2</v>
      </c>
      <c r="AB18" s="13">
        <v>8.4698299730484178E-2</v>
      </c>
      <c r="AC18" s="13">
        <v>5.782301285595727E-2</v>
      </c>
      <c r="AD18" s="13">
        <v>2.659559037908019E-2</v>
      </c>
      <c r="AE18" s="13">
        <v>-0.1435292414290745</v>
      </c>
      <c r="AF18" s="13">
        <v>3.187341816062559E-2</v>
      </c>
      <c r="AG18" s="13">
        <v>3.2493116097876071E-2</v>
      </c>
      <c r="AH18" s="13">
        <v>-3.5914857142857137E-2</v>
      </c>
      <c r="AI18" s="13">
        <v>0.11808642857142861</v>
      </c>
      <c r="AJ18" s="13">
        <v>-7.3281428571428664E-3</v>
      </c>
      <c r="AK18" s="13">
        <v>3.0152480597625989E-2</v>
      </c>
      <c r="AL18" s="13">
        <v>4.7527763632257733E-2</v>
      </c>
      <c r="AM18" s="13">
        <v>6.6643405424771207E-2</v>
      </c>
      <c r="AN18" s="13">
        <v>7.9294639955201793E-2</v>
      </c>
      <c r="AO18" s="13">
        <v>5.4275349676927882E-3</v>
      </c>
      <c r="AP18" s="13">
        <v>-7.8278591933806971E-2</v>
      </c>
      <c r="AQ18" s="13">
        <v>-7.6230845326449942E-2</v>
      </c>
      <c r="AR18" s="13">
        <v>0.1245455063629442</v>
      </c>
      <c r="AS18" s="13">
        <v>-4.5373285714285699E-2</v>
      </c>
      <c r="AT18" s="13">
        <v>4.3325649820578682E-2</v>
      </c>
      <c r="AU18" s="13">
        <v>6.4575644079591543E-2</v>
      </c>
      <c r="AV18" s="13">
        <v>-2.8768755881717199E-2</v>
      </c>
      <c r="AW18" s="13">
        <v>2.4538034241107461E-2</v>
      </c>
      <c r="AX18" s="13">
        <v>0.10756086825583611</v>
      </c>
      <c r="AY18" s="13">
        <v>3.4783278641148073E-2</v>
      </c>
      <c r="AZ18" s="13">
        <v>-0.14840908238889911</v>
      </c>
      <c r="BA18" s="13">
        <v>6.3231092468556214E-4</v>
      </c>
      <c r="BB18" s="13">
        <v>0.13765604215733709</v>
      </c>
      <c r="BC18" s="13">
        <v>8.3201572593320602E-2</v>
      </c>
      <c r="BD18" s="13">
        <v>-2.4016271687300441E-2</v>
      </c>
      <c r="BE18" s="13">
        <v>6.8361213238162841E-2</v>
      </c>
      <c r="BF18" s="13">
        <v>4.5884536299578838E-2</v>
      </c>
      <c r="BG18" s="13">
        <v>-1.680624122620418E-2</v>
      </c>
      <c r="BH18" s="13">
        <v>2.0503853063805449E-2</v>
      </c>
      <c r="BI18" s="13">
        <v>0.1090000069186657</v>
      </c>
      <c r="BJ18" s="13">
        <v>5.9560640504595433E-3</v>
      </c>
      <c r="BK18" s="13">
        <v>-5.8003244170202591E-2</v>
      </c>
      <c r="BL18" s="13">
        <v>8.1157673820204085E-2</v>
      </c>
      <c r="BM18" s="13">
        <v>0.1027739390634396</v>
      </c>
      <c r="BN18" s="13">
        <v>-7.8210142857142853E-2</v>
      </c>
      <c r="BO18" s="13">
        <v>2.0227496106374639E-2</v>
      </c>
      <c r="BP18" s="13">
        <v>4.6857540334682007E-2</v>
      </c>
      <c r="BQ18" s="13">
        <v>1.916784109848992E-3</v>
      </c>
      <c r="BR18" s="13">
        <v>-5.7481935839547244E-3</v>
      </c>
      <c r="BS18" s="13">
        <v>-3.9836250971192512E-3</v>
      </c>
      <c r="BT18" s="13">
        <v>0.1152367480358866</v>
      </c>
      <c r="BU18" s="13">
        <v>-8.0677444040040805E-2</v>
      </c>
      <c r="BV18" s="13">
        <v>8.0923395277042356E-2</v>
      </c>
      <c r="BW18" s="13">
        <v>-8.531108693319546E-2</v>
      </c>
      <c r="BX18" s="13">
        <v>1.9018474716035669E-2</v>
      </c>
      <c r="BY18" s="13">
        <v>-0.1230749758240248</v>
      </c>
      <c r="BZ18" s="13">
        <v>0.15331998780259809</v>
      </c>
      <c r="CA18" s="13">
        <v>-1.6076543892860819E-2</v>
      </c>
      <c r="CB18" s="13">
        <v>-2.4577356612448309E-2</v>
      </c>
      <c r="CC18" s="13">
        <v>-2.817344401940013E-2</v>
      </c>
      <c r="CD18" s="13">
        <v>0.19371681864683071</v>
      </c>
      <c r="CE18" s="13">
        <v>7.7259857142857144E-2</v>
      </c>
      <c r="CF18" s="13">
        <v>-0.10185900000000001</v>
      </c>
      <c r="CG18" s="13">
        <v>-2.8013589394155079E-3</v>
      </c>
      <c r="CH18" s="13">
        <v>0.16265704668723319</v>
      </c>
      <c r="CI18" s="13">
        <v>-3.8869139877689488E-2</v>
      </c>
      <c r="CJ18" s="13">
        <v>-6.2313677824909687E-2</v>
      </c>
      <c r="CK18" s="13">
        <v>9.0667784292283726E-2</v>
      </c>
      <c r="CL18" s="13">
        <v>-3.0989545058193121E-2</v>
      </c>
      <c r="CM18" s="13">
        <v>-0.1027687142857143</v>
      </c>
      <c r="CN18" s="13">
        <v>-3.5086253978176607E-2</v>
      </c>
      <c r="CO18" s="13">
        <v>0.22828200000000001</v>
      </c>
      <c r="CP18" s="13">
        <v>-1.549814285714286E-2</v>
      </c>
      <c r="CQ18" s="13">
        <v>4.7976536408267538E-2</v>
      </c>
      <c r="CR18" s="13">
        <v>5.5156128716592027E-2</v>
      </c>
      <c r="CS18" s="13">
        <v>2.8129285714285711E-2</v>
      </c>
      <c r="CT18" s="13">
        <v>7.687085714285713E-2</v>
      </c>
      <c r="CU18" s="13">
        <v>4.7417142857142866E-3</v>
      </c>
      <c r="CV18" s="13">
        <v>6.2944428571428568E-2</v>
      </c>
      <c r="CW18" s="13">
        <v>-2.8329428571428571E-2</v>
      </c>
      <c r="CX18" s="13">
        <v>-1.407928571428572E-2</v>
      </c>
      <c r="CY18" s="13">
        <v>-5.135741377478225E-2</v>
      </c>
      <c r="CZ18" s="13">
        <v>0.20441242857142861</v>
      </c>
      <c r="DA18" s="13">
        <v>7.8357857142857146E-2</v>
      </c>
      <c r="DB18" s="13">
        <v>0.118114</v>
      </c>
      <c r="DC18" s="13">
        <v>4.9208571428571428E-2</v>
      </c>
      <c r="DD18" s="13">
        <v>-8.2462353495414184E-2</v>
      </c>
      <c r="DE18" s="13">
        <v>-3.9306714285714278E-2</v>
      </c>
      <c r="DF18" s="13">
        <v>0.36669357142857151</v>
      </c>
      <c r="DG18" s="13">
        <v>-5.4770714285714277E-2</v>
      </c>
      <c r="DH18" s="13">
        <v>0.1924025714285714</v>
      </c>
      <c r="DI18" s="13">
        <v>9.7962857142857129E-2</v>
      </c>
      <c r="DJ18" s="13">
        <v>5.0654999999999999E-2</v>
      </c>
      <c r="DK18" s="13">
        <v>-0.1065258571428571</v>
      </c>
      <c r="DL18" s="13">
        <v>-2.3409571428571429E-2</v>
      </c>
      <c r="DM18" s="13">
        <v>5.8456714285714292E-2</v>
      </c>
      <c r="DN18" s="13">
        <v>-5.6873142857142858E-2</v>
      </c>
      <c r="DO18" s="13">
        <v>0.22031957142857139</v>
      </c>
      <c r="DP18" s="13">
        <v>-2.150985714285715E-2</v>
      </c>
      <c r="DQ18" s="13">
        <v>-6.1954714285714287E-2</v>
      </c>
      <c r="DR18" s="13">
        <v>7.6840654771961045E-2</v>
      </c>
      <c r="DS18" s="13">
        <v>-0.1477219984517327</v>
      </c>
      <c r="DT18" s="13">
        <v>-7.4077142857142883E-3</v>
      </c>
      <c r="DU18" s="13">
        <v>-0.15871542857142859</v>
      </c>
      <c r="DV18" s="13">
        <v>8.5405857142857144E-2</v>
      </c>
      <c r="DW18" s="13">
        <v>-6.8637857142857153E-2</v>
      </c>
      <c r="DX18" s="13">
        <v>6.1783714285714289E-2</v>
      </c>
      <c r="DY18" s="13">
        <v>0.13683228571428571</v>
      </c>
      <c r="DZ18" s="13">
        <v>5.4629714285714302E-2</v>
      </c>
      <c r="EA18" s="13">
        <v>0.19894728571428569</v>
      </c>
      <c r="EB18" s="13">
        <v>-9.7044999999999992E-2</v>
      </c>
      <c r="EC18" s="13">
        <v>2.764115425371385E-3</v>
      </c>
      <c r="ED18" s="13">
        <v>-0.11047802186576559</v>
      </c>
      <c r="EE18" s="13">
        <v>-1.110285714285716E-3</v>
      </c>
      <c r="EF18" s="13">
        <v>6.3951857142857144E-2</v>
      </c>
    </row>
    <row r="19" spans="1:136">
      <c r="A19" s="2">
        <v>160</v>
      </c>
      <c r="B19" s="2">
        <v>6</v>
      </c>
      <c r="C19" s="13">
        <v>0.19659983333333331</v>
      </c>
      <c r="D19" s="13">
        <v>-2.017079945419575E-2</v>
      </c>
      <c r="E19" s="13">
        <v>-5.4898093767412171E-2</v>
      </c>
      <c r="F19" s="13">
        <v>-3.864668188624408E-2</v>
      </c>
      <c r="G19" s="13">
        <v>-9.7512090561600123E-2</v>
      </c>
      <c r="H19" s="13">
        <v>0.14889412203584729</v>
      </c>
      <c r="I19" s="13">
        <v>0.1346543328914665</v>
      </c>
      <c r="J19" s="13">
        <v>3.5429584520191022E-2</v>
      </c>
      <c r="K19" s="13">
        <v>-0.41833785096963422</v>
      </c>
      <c r="L19" s="13">
        <v>4.3048957635166023E-2</v>
      </c>
      <c r="M19" s="13">
        <v>8.6210339026117716E-2</v>
      </c>
      <c r="N19" s="13">
        <v>9.5347885689980899E-2</v>
      </c>
      <c r="O19" s="13">
        <v>9.2221383019457218E-2</v>
      </c>
      <c r="P19" s="13">
        <v>-9.2534186186697107E-2</v>
      </c>
      <c r="Q19" s="13">
        <v>-0.19716308826451989</v>
      </c>
      <c r="R19" s="13">
        <v>-9.0299090630856282E-2</v>
      </c>
      <c r="S19" s="13">
        <v>-0.18416011669760801</v>
      </c>
      <c r="T19" s="13">
        <v>-2.7154277986299109E-2</v>
      </c>
      <c r="U19" s="13">
        <v>-0.13569833863192321</v>
      </c>
      <c r="V19" s="13">
        <v>3.6618687785451319E-2</v>
      </c>
      <c r="W19" s="13">
        <v>0.14662099071751011</v>
      </c>
      <c r="X19" s="13">
        <v>0.1166390452640934</v>
      </c>
      <c r="Y19" s="13">
        <v>2.5628637528156511E-2</v>
      </c>
      <c r="Z19" s="13">
        <v>9.1619110576023566E-2</v>
      </c>
      <c r="AA19" s="13">
        <v>-4.1570184538155738E-2</v>
      </c>
      <c r="AB19" s="13">
        <v>0.10225360588394269</v>
      </c>
      <c r="AC19" s="13">
        <v>2.8452834641691321E-2</v>
      </c>
      <c r="AD19" s="13">
        <v>3.5088928587950333E-2</v>
      </c>
      <c r="AE19" s="13">
        <v>-0.1694160609977898</v>
      </c>
      <c r="AF19" s="13">
        <v>3.8785666808899749E-2</v>
      </c>
      <c r="AG19" s="13">
        <v>2.2136219072547821E-2</v>
      </c>
      <c r="AH19" s="13">
        <v>-1.6091333333333329E-2</v>
      </c>
      <c r="AI19" s="13">
        <v>9.154933333333333E-2</v>
      </c>
      <c r="AJ19" s="13">
        <v>1.2166333333333329E-2</v>
      </c>
      <c r="AK19" s="13">
        <v>7.5520425059527104E-3</v>
      </c>
      <c r="AL19" s="13">
        <v>7.0270945670805551E-2</v>
      </c>
      <c r="AM19" s="13">
        <v>4.3106011811404943E-2</v>
      </c>
      <c r="AN19" s="13">
        <v>8.3568294365682083E-2</v>
      </c>
      <c r="AO19" s="13">
        <v>2.589290304541441E-2</v>
      </c>
      <c r="AP19" s="13">
        <v>-8.757412027285208E-2</v>
      </c>
      <c r="AQ19" s="13">
        <v>-8.8252757060650652E-2</v>
      </c>
      <c r="AR19" s="13">
        <v>0.1535175623128574</v>
      </c>
      <c r="AS19" s="13">
        <v>-3.6869999999999841E-3</v>
      </c>
      <c r="AT19" s="13">
        <v>4.9294981765701303E-2</v>
      </c>
      <c r="AU19" s="13">
        <v>7.6428715713654158E-2</v>
      </c>
      <c r="AV19" s="13">
        <v>-5.003302069697789E-2</v>
      </c>
      <c r="AW19" s="13">
        <v>2.2356168154136491E-2</v>
      </c>
      <c r="AX19" s="13">
        <v>8.0206414310412866E-2</v>
      </c>
      <c r="AY19" s="13">
        <v>2.9528970393379841E-2</v>
      </c>
      <c r="AZ19" s="13">
        <v>-0.18687961816817431</v>
      </c>
      <c r="BA19" s="13">
        <v>-3.4363883954073027E-2</v>
      </c>
      <c r="BB19" s="13">
        <v>0.15974619907243159</v>
      </c>
      <c r="BC19" s="13">
        <v>6.4055486346185769E-2</v>
      </c>
      <c r="BD19" s="13">
        <v>-3.2343926300681461E-3</v>
      </c>
      <c r="BE19" s="13">
        <v>5.1131873963666558E-2</v>
      </c>
      <c r="BF19" s="13">
        <v>1.3570974149138619E-2</v>
      </c>
      <c r="BG19" s="13">
        <v>-1.6343658332842171E-2</v>
      </c>
      <c r="BH19" s="13">
        <v>2.0182017014309939E-3</v>
      </c>
      <c r="BI19" s="13">
        <v>0.12779862881921869</v>
      </c>
      <c r="BJ19" s="13">
        <v>2.1707301538579211E-2</v>
      </c>
      <c r="BK19" s="13">
        <v>-5.1749526091992383E-2</v>
      </c>
      <c r="BL19" s="13">
        <v>7.9964658146503109E-2</v>
      </c>
      <c r="BM19" s="13">
        <v>0.1142506002586957</v>
      </c>
      <c r="BN19" s="13">
        <v>-8.1415166666666677E-2</v>
      </c>
      <c r="BO19" s="13">
        <v>2.5728961265115379E-2</v>
      </c>
      <c r="BP19" s="13">
        <v>6.2818807534132146E-2</v>
      </c>
      <c r="BQ19" s="13">
        <v>9.9340444543230683E-3</v>
      </c>
      <c r="BR19" s="13">
        <v>6.6752460235200081E-3</v>
      </c>
      <c r="BS19" s="13">
        <v>-2.4256338744482069E-2</v>
      </c>
      <c r="BT19" s="13">
        <v>0.14163267985357339</v>
      </c>
      <c r="BU19" s="13">
        <v>-7.5936251234238056E-2</v>
      </c>
      <c r="BV19" s="13">
        <v>9.3655241153346391E-2</v>
      </c>
      <c r="BW19" s="13">
        <v>-0.10896696138364501</v>
      </c>
      <c r="BX19" s="13">
        <v>3.4087785271858247E-2</v>
      </c>
      <c r="BY19" s="13">
        <v>-0.1076497365556482</v>
      </c>
      <c r="BZ19" s="13">
        <v>6.8702124822053873E-2</v>
      </c>
      <c r="CA19" s="13">
        <v>-2.932875522377449E-2</v>
      </c>
      <c r="CB19" s="13">
        <v>-4.804116850824483E-2</v>
      </c>
      <c r="CC19" s="13">
        <v>-2.4723252765827462E-2</v>
      </c>
      <c r="CD19" s="13">
        <v>0.21561919809371791</v>
      </c>
      <c r="CE19" s="13">
        <v>8.8474166666666659E-2</v>
      </c>
      <c r="CF19" s="13">
        <v>-0.1116986666666667</v>
      </c>
      <c r="CG19" s="13">
        <v>-5.0633530014653497E-2</v>
      </c>
      <c r="CH19" s="13">
        <v>0.1528898670499263</v>
      </c>
      <c r="CI19" s="13">
        <v>-3.7066946160195187E-2</v>
      </c>
      <c r="CJ19" s="13">
        <v>-6.194049996603615E-2</v>
      </c>
      <c r="CK19" s="13">
        <v>0.1039677178170982</v>
      </c>
      <c r="CL19" s="13">
        <v>-4.3240279974789908E-2</v>
      </c>
      <c r="CM19" s="13">
        <v>-0.1102351666666667</v>
      </c>
      <c r="CN19" s="13">
        <v>-7.6932654667303466E-2</v>
      </c>
      <c r="CO19" s="13">
        <v>0.25123566666666669</v>
      </c>
      <c r="CP19" s="13">
        <v>-2.9037000000000011E-2</v>
      </c>
      <c r="CQ19" s="13">
        <v>-2.7299081545619341E-3</v>
      </c>
      <c r="CR19" s="13">
        <v>4.9694189552402651E-2</v>
      </c>
      <c r="CS19" s="13">
        <v>4.3775666666666657E-2</v>
      </c>
      <c r="CT19" s="13">
        <v>2.642199999999998E-2</v>
      </c>
      <c r="CU19" s="13">
        <v>7.1573333333333376E-3</v>
      </c>
      <c r="CV19" s="13">
        <v>7.6143500000000003E-2</v>
      </c>
      <c r="CW19" s="13">
        <v>-3.21935E-2</v>
      </c>
      <c r="CX19" s="13">
        <v>1.1275000000000031E-3</v>
      </c>
      <c r="CY19" s="13">
        <v>-7.092186956436955E-2</v>
      </c>
      <c r="CZ19" s="13">
        <v>0.1580145</v>
      </c>
      <c r="DA19" s="13">
        <v>7.5182499999999999E-2</v>
      </c>
      <c r="DB19" s="13">
        <v>0.14796100000000001</v>
      </c>
      <c r="DC19" s="13">
        <v>3.027666666666666E-2</v>
      </c>
      <c r="DD19" s="13">
        <v>-0.10625733595480071</v>
      </c>
      <c r="DE19" s="13">
        <v>-6.0054999999999831E-3</v>
      </c>
      <c r="DF19" s="13">
        <v>0.2055028333333333</v>
      </c>
      <c r="DG19" s="13">
        <v>-6.6374499999999989E-2</v>
      </c>
      <c r="DH19" s="13">
        <v>0.22459133333333331</v>
      </c>
      <c r="DI19" s="13">
        <v>0.10846166666666671</v>
      </c>
      <c r="DJ19" s="13">
        <v>8.050033333333334E-2</v>
      </c>
      <c r="DK19" s="13">
        <v>-0.1214406666666667</v>
      </c>
      <c r="DL19" s="13">
        <v>-2.3312833333333331E-2</v>
      </c>
      <c r="DM19" s="13">
        <v>5.7299833333333328E-2</v>
      </c>
      <c r="DN19" s="13">
        <v>-6.4292000000000002E-2</v>
      </c>
      <c r="DO19" s="13">
        <v>0.2492611666666667</v>
      </c>
      <c r="DP19" s="13">
        <v>-4.0015000000000051E-3</v>
      </c>
      <c r="DQ19" s="13">
        <v>-5.0622500000000001E-2</v>
      </c>
      <c r="DR19" s="13">
        <v>7.5962353325048193E-2</v>
      </c>
      <c r="DS19" s="13">
        <v>-0.1779955469539703</v>
      </c>
      <c r="DT19" s="13">
        <v>-3.0765000000000028E-3</v>
      </c>
      <c r="DU19" s="13">
        <v>-0.15058250000000001</v>
      </c>
      <c r="DV19" s="13">
        <v>3.8127166666666677E-2</v>
      </c>
      <c r="DW19" s="13">
        <v>-0.101297</v>
      </c>
      <c r="DX19" s="13">
        <v>0.1082645</v>
      </c>
      <c r="DY19" s="13">
        <v>0.13924800000000001</v>
      </c>
      <c r="DZ19" s="13">
        <v>7.853750000000001E-2</v>
      </c>
      <c r="EA19" s="13">
        <v>0.23304766666666671</v>
      </c>
      <c r="EB19" s="13">
        <v>-0.1062485</v>
      </c>
      <c r="EC19" s="13">
        <v>-1.2190043223702179E-2</v>
      </c>
      <c r="ED19" s="13">
        <v>-0.15093531699015689</v>
      </c>
      <c r="EE19" s="13">
        <v>7.3063333333333296E-3</v>
      </c>
      <c r="EF19" s="13">
        <v>7.4019999999999975E-2</v>
      </c>
    </row>
    <row r="20" spans="1:136">
      <c r="A20" s="2">
        <v>192</v>
      </c>
      <c r="B20" s="2">
        <v>5</v>
      </c>
      <c r="C20" s="13">
        <v>0.20155100000000001</v>
      </c>
      <c r="D20" s="13">
        <v>3.5171826374555398E-4</v>
      </c>
      <c r="E20" s="13">
        <v>1.5499988144333969E-2</v>
      </c>
      <c r="F20" s="13">
        <v>-9.1218422172045968E-2</v>
      </c>
      <c r="G20" s="13">
        <v>-0.1003659119188639</v>
      </c>
      <c r="H20" s="13">
        <v>0.1643719981286699</v>
      </c>
      <c r="I20" s="13">
        <v>0.15814956260110169</v>
      </c>
      <c r="J20" s="13">
        <v>3.4471258726856233E-2</v>
      </c>
      <c r="K20" s="13">
        <v>-9.0108654122673978E-2</v>
      </c>
      <c r="L20" s="13">
        <v>9.5708635504535719E-2</v>
      </c>
      <c r="M20" s="13">
        <v>0.100133414364086</v>
      </c>
      <c r="N20" s="13">
        <v>0.10192492904563991</v>
      </c>
      <c r="O20" s="13">
        <v>9.9101484144473756E-2</v>
      </c>
      <c r="P20" s="13">
        <v>-9.1169927668525261E-2</v>
      </c>
      <c r="Q20" s="13">
        <v>-0.21672573900297851</v>
      </c>
      <c r="R20" s="13">
        <v>-0.1092530556374688</v>
      </c>
      <c r="S20" s="13">
        <v>-0.15518261832774261</v>
      </c>
      <c r="T20" s="13">
        <v>1.566291051925937E-2</v>
      </c>
      <c r="U20" s="13">
        <v>-0.14864968011777491</v>
      </c>
      <c r="V20" s="13">
        <v>1.2644103117188939E-2</v>
      </c>
      <c r="W20" s="13">
        <v>0.17308537617758091</v>
      </c>
      <c r="X20" s="13">
        <v>0.14869720125713359</v>
      </c>
      <c r="Y20" s="13">
        <v>4.2067489538597257E-2</v>
      </c>
      <c r="Z20" s="13">
        <v>0.1056169604836593</v>
      </c>
      <c r="AA20" s="13">
        <v>-2.159455338729711E-2</v>
      </c>
      <c r="AB20" s="13">
        <v>8.4759840726173208E-2</v>
      </c>
      <c r="AC20" s="13">
        <v>5.6443345640519567E-2</v>
      </c>
      <c r="AD20" s="13">
        <v>3.4453902851829692E-2</v>
      </c>
      <c r="AE20" s="13">
        <v>-0.1992928643390979</v>
      </c>
      <c r="AF20" s="13">
        <v>3.9044678387579961E-2</v>
      </c>
      <c r="AG20" s="13">
        <v>2.7659218539892259E-2</v>
      </c>
      <c r="AH20" s="13">
        <v>-2.7809E-2</v>
      </c>
      <c r="AI20" s="13">
        <v>0.1163372</v>
      </c>
      <c r="AJ20" s="13">
        <v>1.7240599999999991E-2</v>
      </c>
      <c r="AK20" s="13">
        <v>-1.359511549600285E-2</v>
      </c>
      <c r="AL20" s="13">
        <v>7.2893452036976947E-2</v>
      </c>
      <c r="AM20" s="13">
        <v>3.3095980748802607E-2</v>
      </c>
      <c r="AN20" s="13">
        <v>7.5470193518998266E-2</v>
      </c>
      <c r="AO20" s="13">
        <v>4.528508196468839E-2</v>
      </c>
      <c r="AP20" s="13">
        <v>-0.13173046125538779</v>
      </c>
      <c r="AQ20" s="13">
        <v>2.7452485332951051E-2</v>
      </c>
      <c r="AR20" s="13">
        <v>0.1700490046789242</v>
      </c>
      <c r="AS20" s="13">
        <v>-1.7142799999999989E-2</v>
      </c>
      <c r="AT20" s="13">
        <v>5.858773760205771E-3</v>
      </c>
      <c r="AU20" s="13">
        <v>7.5692386895125863E-2</v>
      </c>
      <c r="AV20" s="13">
        <v>-5.4625713782478207E-2</v>
      </c>
      <c r="AW20" s="13">
        <v>6.8652681791509596E-3</v>
      </c>
      <c r="AX20" s="13">
        <v>0.11073254799870159</v>
      </c>
      <c r="AY20" s="13">
        <v>3.8674698442909439E-2</v>
      </c>
      <c r="AZ20" s="13">
        <v>-0.21380243117708869</v>
      </c>
      <c r="BA20" s="13">
        <v>-3.6798864860540501E-2</v>
      </c>
      <c r="BB20" s="13">
        <v>0.1676554233765693</v>
      </c>
      <c r="BC20" s="13">
        <v>7.0605567677740205E-2</v>
      </c>
      <c r="BD20" s="13">
        <v>-5.3429813221597323E-2</v>
      </c>
      <c r="BE20" s="13">
        <v>-5.9467971392603326E-3</v>
      </c>
      <c r="BF20" s="13">
        <v>5.6885823313286886E-3</v>
      </c>
      <c r="BG20" s="13">
        <v>-6.9261427086933884E-3</v>
      </c>
      <c r="BH20" s="13">
        <v>-7.1606447114111002E-2</v>
      </c>
      <c r="BI20" s="13">
        <v>0.13174526708517489</v>
      </c>
      <c r="BJ20" s="13">
        <v>2.1629511833186621E-2</v>
      </c>
      <c r="BK20" s="13">
        <v>-5.9233167842827283E-2</v>
      </c>
      <c r="BL20" s="13">
        <v>8.6292231176454737E-2</v>
      </c>
      <c r="BM20" s="13">
        <v>0.1369176613284383</v>
      </c>
      <c r="BN20" s="13">
        <v>1.863600000000001E-2</v>
      </c>
      <c r="BO20" s="13">
        <v>-3.8461717515979203E-2</v>
      </c>
      <c r="BP20" s="13">
        <v>6.0407520762954983E-2</v>
      </c>
      <c r="BQ20" s="13">
        <v>1.5451706960843021E-2</v>
      </c>
      <c r="BR20" s="13">
        <v>1.207363173047259E-2</v>
      </c>
      <c r="BS20" s="13">
        <v>5.4075061911911179E-3</v>
      </c>
      <c r="BT20" s="13">
        <v>0.14780303317864721</v>
      </c>
      <c r="BU20" s="13">
        <v>-9.8754949367706665E-2</v>
      </c>
      <c r="BV20" s="13">
        <v>0.11591833156307201</v>
      </c>
      <c r="BW20" s="13">
        <v>-0.13550325181247611</v>
      </c>
      <c r="BX20" s="13">
        <v>3.069363668324426E-2</v>
      </c>
      <c r="BY20" s="13">
        <v>-0.10523396636930341</v>
      </c>
      <c r="BZ20" s="13">
        <v>9.02714042602836E-2</v>
      </c>
      <c r="CA20" s="13">
        <v>-4.0102728051752932E-2</v>
      </c>
      <c r="CB20" s="13">
        <v>-3.8251950010927849E-2</v>
      </c>
      <c r="CC20" s="13">
        <v>-2.6043033783065061E-2</v>
      </c>
      <c r="CD20" s="13">
        <v>0.1810274974905971</v>
      </c>
      <c r="CE20" s="13">
        <v>8.577739999999999E-2</v>
      </c>
      <c r="CF20" s="13">
        <v>-0.1312084</v>
      </c>
      <c r="CG20" s="13">
        <v>-9.9052888530088784E-2</v>
      </c>
      <c r="CH20" s="13">
        <v>7.1864025597138351E-2</v>
      </c>
      <c r="CI20" s="13">
        <v>-3.0394673769081951E-2</v>
      </c>
      <c r="CJ20" s="13">
        <v>-0.123440319887351</v>
      </c>
      <c r="CK20" s="13">
        <v>9.0978396750106633E-2</v>
      </c>
      <c r="CL20" s="13">
        <v>-9.2184934189128986E-2</v>
      </c>
      <c r="CM20" s="13">
        <v>-9.6774199999999977E-2</v>
      </c>
      <c r="CN20" s="13">
        <v>2.215941137048465E-2</v>
      </c>
      <c r="CO20" s="13">
        <v>0.29657339999999999</v>
      </c>
      <c r="CP20" s="13">
        <v>7.424199999999991E-3</v>
      </c>
      <c r="CQ20" s="13">
        <v>6.1113579290622234E-3</v>
      </c>
      <c r="CR20" s="13">
        <v>7.3116244505850386E-2</v>
      </c>
      <c r="CS20" s="13">
        <v>2.2293799999999999E-2</v>
      </c>
      <c r="CT20" s="13">
        <v>2.8415399999999969E-2</v>
      </c>
      <c r="CU20" s="13">
        <v>1.0222800000000001E-2</v>
      </c>
      <c r="CV20" s="13">
        <v>9.7004200000000013E-2</v>
      </c>
      <c r="CW20" s="13">
        <v>-2.5818199999999999E-2</v>
      </c>
      <c r="CX20" s="13">
        <v>9.3870000000000064E-3</v>
      </c>
      <c r="CY20" s="13">
        <v>-1.247973266829688E-2</v>
      </c>
      <c r="CZ20" s="13">
        <v>0.12830340000000001</v>
      </c>
      <c r="DA20" s="13">
        <v>7.70816E-2</v>
      </c>
      <c r="DB20" s="13">
        <v>7.6966999999999994E-2</v>
      </c>
      <c r="DC20" s="13">
        <v>2.890199999999998E-2</v>
      </c>
      <c r="DD20" s="13">
        <v>-0.14810881433882259</v>
      </c>
      <c r="DE20" s="13">
        <v>-3.0466399999999991E-2</v>
      </c>
      <c r="DF20" s="13">
        <v>0.2455754</v>
      </c>
      <c r="DG20" s="13">
        <v>-5.2345800000000012E-2</v>
      </c>
      <c r="DH20" s="13">
        <v>0.27829959999999998</v>
      </c>
      <c r="DI20" s="13">
        <v>0.137596</v>
      </c>
      <c r="DJ20" s="13">
        <v>8.12774E-2</v>
      </c>
      <c r="DK20" s="13">
        <v>-8.5184599999999999E-2</v>
      </c>
      <c r="DL20" s="13">
        <v>1.0186600000000001E-2</v>
      </c>
      <c r="DM20" s="13">
        <v>6.9335800000000003E-2</v>
      </c>
      <c r="DN20" s="13">
        <v>-6.4458399999999999E-2</v>
      </c>
      <c r="DO20" s="13">
        <v>0.25800099999999998</v>
      </c>
      <c r="DP20" s="13">
        <v>-2.1669799999999999E-2</v>
      </c>
      <c r="DQ20" s="13">
        <v>-3.853899999999999E-2</v>
      </c>
      <c r="DR20" s="13">
        <v>7.8512660028290493E-2</v>
      </c>
      <c r="DS20" s="13">
        <v>-0.20608109757835469</v>
      </c>
      <c r="DT20" s="13">
        <v>4.8288000000000011E-3</v>
      </c>
      <c r="DU20" s="13">
        <v>-0.1763758</v>
      </c>
      <c r="DV20" s="13">
        <v>-3.01902E-2</v>
      </c>
      <c r="DW20" s="13">
        <v>-0.1035466</v>
      </c>
      <c r="DX20" s="13">
        <v>0.14598420000000001</v>
      </c>
      <c r="DY20" s="13">
        <v>0.12159059999999999</v>
      </c>
      <c r="DZ20" s="13">
        <v>9.0199400000000013E-2</v>
      </c>
      <c r="EA20" s="13">
        <v>0.29369119999999999</v>
      </c>
      <c r="EB20" s="13">
        <v>-0.1063144</v>
      </c>
      <c r="EC20" s="13">
        <v>3.4049581413941779E-2</v>
      </c>
      <c r="ED20" s="13">
        <v>-0.17691886106701021</v>
      </c>
      <c r="EE20" s="13">
        <v>1.7415999999999959E-3</v>
      </c>
      <c r="EF20" s="13">
        <v>8.5799999999999987E-2</v>
      </c>
    </row>
    <row r="21" spans="1:136">
      <c r="A21" s="2">
        <v>241</v>
      </c>
      <c r="B21" s="2">
        <v>4</v>
      </c>
      <c r="C21" s="13">
        <v>0.2146305</v>
      </c>
      <c r="D21" s="13">
        <v>-3.6770939515919088E-4</v>
      </c>
      <c r="E21" s="13">
        <v>-2.7935227079184388E-4</v>
      </c>
      <c r="F21" s="13">
        <v>-5.1097483846408213E-2</v>
      </c>
      <c r="G21" s="13">
        <v>-7.2961380278514509E-3</v>
      </c>
      <c r="H21" s="13">
        <v>0.1986680609797658</v>
      </c>
      <c r="I21" s="13">
        <v>0.14725560812747299</v>
      </c>
      <c r="J21" s="13">
        <v>6.0435325691642318E-2</v>
      </c>
      <c r="K21" s="13">
        <v>-8.8973017354022049E-2</v>
      </c>
      <c r="L21" s="13">
        <v>0.1096796074542299</v>
      </c>
      <c r="M21" s="13">
        <v>7.5660649926760526E-2</v>
      </c>
      <c r="N21" s="13">
        <v>9.9587412122941574E-2</v>
      </c>
      <c r="O21" s="13">
        <v>0.1297824585303535</v>
      </c>
      <c r="P21" s="13">
        <v>-0.14477260088968491</v>
      </c>
      <c r="Q21" s="13">
        <v>-0.25731007409425227</v>
      </c>
      <c r="R21" s="13">
        <v>-9.5575311106630215E-2</v>
      </c>
      <c r="S21" s="13">
        <v>-0.12859028544995699</v>
      </c>
      <c r="T21" s="13">
        <v>-1.4040364340204919E-2</v>
      </c>
      <c r="U21" s="13">
        <v>-8.6278417611758002E-2</v>
      </c>
      <c r="V21" s="13">
        <v>5.3557619366031213E-2</v>
      </c>
      <c r="W21" s="13">
        <v>0.15778847961546261</v>
      </c>
      <c r="X21" s="13">
        <v>0.19733717858364669</v>
      </c>
      <c r="Y21" s="13">
        <v>2.0833082892434851E-2</v>
      </c>
      <c r="Z21" s="13">
        <v>0.1142039872227245</v>
      </c>
      <c r="AA21" s="13">
        <v>1.9491043540093941E-2</v>
      </c>
      <c r="AB21" s="13">
        <v>0.1298395823970698</v>
      </c>
      <c r="AC21" s="13">
        <v>7.43011297920224E-2</v>
      </c>
      <c r="AD21" s="13">
        <v>4.6697424552745621E-2</v>
      </c>
      <c r="AE21" s="13">
        <v>-0.24045611049318669</v>
      </c>
      <c r="AF21" s="13">
        <v>5.3125609886562987E-2</v>
      </c>
      <c r="AG21" s="13">
        <v>4.4302777789794079E-2</v>
      </c>
      <c r="AH21" s="13">
        <v>-4.3409250000000003E-2</v>
      </c>
      <c r="AI21" s="13">
        <v>0.10212425</v>
      </c>
      <c r="AJ21" s="13">
        <v>5.1835000000000006E-3</v>
      </c>
      <c r="AK21" s="13">
        <v>-3.5803167618110053E-2</v>
      </c>
      <c r="AL21" s="13">
        <v>6.5379822733110632E-2</v>
      </c>
      <c r="AM21" s="13">
        <v>6.8535807447630548E-2</v>
      </c>
      <c r="AN21" s="13">
        <v>0.11195605606309431</v>
      </c>
      <c r="AO21" s="13">
        <v>4.7726395643726653E-2</v>
      </c>
      <c r="AP21" s="13">
        <v>-7.2535143570019153E-2</v>
      </c>
      <c r="AQ21" s="13">
        <v>7.6865507010547632E-2</v>
      </c>
      <c r="AR21" s="13">
        <v>0.20518227823048121</v>
      </c>
      <c r="AS21" s="13">
        <v>1.7048000000000021E-2</v>
      </c>
      <c r="AT21" s="13">
        <v>-2.4929112771550628E-3</v>
      </c>
      <c r="AU21" s="13">
        <v>4.7809631508957028E-2</v>
      </c>
      <c r="AV21" s="13">
        <v>-5.5520780062133721E-2</v>
      </c>
      <c r="AW21" s="13">
        <v>9.7910299540974015E-3</v>
      </c>
      <c r="AX21" s="13">
        <v>0.1431476874697567</v>
      </c>
      <c r="AY21" s="13">
        <v>4.7021290978038012E-2</v>
      </c>
      <c r="AZ21" s="13">
        <v>-0.25491126989713642</v>
      </c>
      <c r="BA21" s="13">
        <v>-7.1032181648085849E-2</v>
      </c>
      <c r="BB21" s="13">
        <v>0.2253461350383382</v>
      </c>
      <c r="BC21" s="13">
        <v>3.8321147725193863E-2</v>
      </c>
      <c r="BD21" s="13">
        <v>-2.1750863370627919E-2</v>
      </c>
      <c r="BE21" s="13">
        <v>6.3505333974014731E-3</v>
      </c>
      <c r="BF21" s="13">
        <v>3.5771001804346838E-3</v>
      </c>
      <c r="BG21" s="13">
        <v>3.6635189216812601E-2</v>
      </c>
      <c r="BH21" s="13">
        <v>-7.6321363138755302E-2</v>
      </c>
      <c r="BI21" s="13">
        <v>0.1659695961783918</v>
      </c>
      <c r="BJ21" s="13">
        <v>2.3579026181717661E-2</v>
      </c>
      <c r="BK21" s="13">
        <v>-6.8449880379534783E-2</v>
      </c>
      <c r="BL21" s="13">
        <v>0.1427210926463498</v>
      </c>
      <c r="BM21" s="13">
        <v>0.15512000392109981</v>
      </c>
      <c r="BN21" s="13">
        <v>2.5788249999999999E-2</v>
      </c>
      <c r="BO21" s="13">
        <v>-6.3857236413680254E-2</v>
      </c>
      <c r="BP21" s="13">
        <v>0.1045091294194143</v>
      </c>
      <c r="BQ21" s="13">
        <v>5.4542230834504879E-2</v>
      </c>
      <c r="BR21" s="13">
        <v>1.232386218386442E-2</v>
      </c>
      <c r="BS21" s="13">
        <v>5.8601727551761719E-3</v>
      </c>
      <c r="BT21" s="13">
        <v>0.13224469397444291</v>
      </c>
      <c r="BU21" s="13">
        <v>-0.1354964621985692</v>
      </c>
      <c r="BV21" s="13">
        <v>0.14214300018545339</v>
      </c>
      <c r="BW21" s="13">
        <v>-0.146679196935731</v>
      </c>
      <c r="BX21" s="13">
        <v>-2.9908192844139221E-3</v>
      </c>
      <c r="BY21" s="13">
        <v>-5.0379851218116528E-2</v>
      </c>
      <c r="BZ21" s="13">
        <v>4.7662928720715619E-2</v>
      </c>
      <c r="CA21" s="13">
        <v>-6.0517603302398457E-2</v>
      </c>
      <c r="CB21" s="13">
        <v>-6.3421391198258154E-2</v>
      </c>
      <c r="CC21" s="13">
        <v>-4.6693549468963022E-2</v>
      </c>
      <c r="CD21" s="13">
        <v>0.28805606436247322</v>
      </c>
      <c r="CE21" s="13">
        <v>6.1514499999999993E-2</v>
      </c>
      <c r="CF21" s="13">
        <v>-0.127168</v>
      </c>
      <c r="CG21" s="13">
        <v>-0.14375118915768581</v>
      </c>
      <c r="CH21" s="13">
        <v>8.0100321076211733E-2</v>
      </c>
      <c r="CI21" s="13">
        <v>-8.0499616390982326E-2</v>
      </c>
      <c r="CJ21" s="13">
        <v>-8.5627757016502298E-2</v>
      </c>
      <c r="CK21" s="13">
        <v>0.12705054673013411</v>
      </c>
      <c r="CL21" s="13">
        <v>-0.13389042462296469</v>
      </c>
      <c r="CM21" s="13">
        <v>-0.11623024999999999</v>
      </c>
      <c r="CN21" s="13">
        <v>3.05388902037756E-2</v>
      </c>
      <c r="CO21" s="13">
        <v>0.33548299999999998</v>
      </c>
      <c r="CP21" s="13">
        <v>-9.6252750000000012E-2</v>
      </c>
      <c r="CQ21" s="13">
        <v>3.2880917250907721E-3</v>
      </c>
      <c r="CR21" s="13">
        <v>9.0824277979679707E-2</v>
      </c>
      <c r="CS21" s="13">
        <v>3.0907250000000001E-2</v>
      </c>
      <c r="CT21" s="13">
        <v>4.7994749999999982E-2</v>
      </c>
      <c r="CU21" s="13">
        <v>1.9972500000000021E-3</v>
      </c>
      <c r="CV21" s="13">
        <v>0.13162774999999999</v>
      </c>
      <c r="CW21" s="13">
        <v>-3.0752749999999999E-2</v>
      </c>
      <c r="CX21" s="13">
        <v>1.3398749999999991E-2</v>
      </c>
      <c r="CY21" s="13">
        <v>-8.4819164039144704E-3</v>
      </c>
      <c r="CZ21" s="13">
        <v>0.19029674999999999</v>
      </c>
      <c r="DA21" s="13">
        <v>4.1709749999999997E-2</v>
      </c>
      <c r="DB21" s="13">
        <v>7.1459500000000009E-2</v>
      </c>
      <c r="DC21" s="13">
        <v>4.8309999999999992E-2</v>
      </c>
      <c r="DD21" s="13">
        <v>0.121322688868649</v>
      </c>
      <c r="DE21" s="13">
        <v>-5.4718999999999997E-2</v>
      </c>
      <c r="DF21" s="13">
        <v>0.30115175</v>
      </c>
      <c r="DG21" s="13">
        <v>-5.9410750000000012E-2</v>
      </c>
      <c r="DH21" s="13">
        <v>8.1436999999999996E-2</v>
      </c>
      <c r="DI21" s="13">
        <v>0.17984</v>
      </c>
      <c r="DJ21" s="13">
        <v>7.330325E-2</v>
      </c>
      <c r="DK21" s="13">
        <v>-9.0893250000000009E-2</v>
      </c>
      <c r="DL21" s="13">
        <v>3.2207750000000007E-2</v>
      </c>
      <c r="DM21" s="13">
        <v>2.498825E-2</v>
      </c>
      <c r="DN21" s="13">
        <v>-4.6871750000000011E-2</v>
      </c>
      <c r="DO21" s="13">
        <v>0.33162625000000001</v>
      </c>
      <c r="DP21" s="13">
        <v>-3.7106750000000001E-2</v>
      </c>
      <c r="DQ21" s="13">
        <v>-2.8215250000000001E-2</v>
      </c>
      <c r="DR21" s="13">
        <v>5.0170859037080733E-2</v>
      </c>
      <c r="DS21" s="13">
        <v>-0.20083947383729561</v>
      </c>
      <c r="DT21" s="13">
        <v>-9.7094999999999959E-3</v>
      </c>
      <c r="DU21" s="13">
        <v>-0.14861474999999999</v>
      </c>
      <c r="DV21" s="13">
        <v>-4.9660999999999997E-2</v>
      </c>
      <c r="DW21" s="13">
        <v>-0.103536</v>
      </c>
      <c r="DX21" s="13">
        <v>0.11451475</v>
      </c>
      <c r="DY21" s="13">
        <v>0.16672999999999999</v>
      </c>
      <c r="DZ21" s="13">
        <v>9.8930000000000004E-2</v>
      </c>
      <c r="EA21" s="13">
        <v>0.26605774999999998</v>
      </c>
      <c r="EB21" s="13">
        <v>-0.103298</v>
      </c>
      <c r="EC21" s="13">
        <v>1.403705509804205E-2</v>
      </c>
      <c r="ED21" s="13">
        <v>-5.4498856348180663E-2</v>
      </c>
      <c r="EE21" s="13">
        <v>-2.1309999999999999E-2</v>
      </c>
      <c r="EF21" s="13">
        <v>2.8794500000000001E-2</v>
      </c>
    </row>
    <row r="22" spans="1:136">
      <c r="A22" s="2">
        <v>321</v>
      </c>
      <c r="B22" s="2">
        <v>3</v>
      </c>
      <c r="C22" s="13">
        <v>0.20528266666666661</v>
      </c>
      <c r="D22" s="13">
        <v>-4.4680896903486519E-2</v>
      </c>
      <c r="E22" s="13">
        <v>-4.1027532000619052E-2</v>
      </c>
      <c r="F22" s="13">
        <v>-9.7433995578986451E-2</v>
      </c>
      <c r="G22" s="13">
        <v>-3.2954824249798613E-2</v>
      </c>
      <c r="H22" s="13">
        <v>0.17874946348762291</v>
      </c>
      <c r="I22" s="13">
        <v>0.12349316933806979</v>
      </c>
      <c r="J22" s="13">
        <v>5.2598589265342909E-2</v>
      </c>
      <c r="K22" s="13">
        <v>-0.1532867706545093</v>
      </c>
      <c r="L22" s="13">
        <v>0.17118335942590121</v>
      </c>
      <c r="M22" s="13">
        <v>-0.22515860506358171</v>
      </c>
      <c r="N22" s="13">
        <v>0.1332804190232465</v>
      </c>
      <c r="O22" s="13">
        <v>0.1434803460042724</v>
      </c>
      <c r="P22" s="13">
        <v>-7.2782884128816977E-2</v>
      </c>
      <c r="Q22" s="13">
        <v>-0.27677689383305182</v>
      </c>
      <c r="R22" s="13">
        <v>-3.6628434271588052E-2</v>
      </c>
      <c r="S22" s="13">
        <v>-0.16964655555794059</v>
      </c>
      <c r="T22" s="13">
        <v>-2.023861247683403E-2</v>
      </c>
      <c r="U22" s="13">
        <v>-0.11059002340250421</v>
      </c>
      <c r="V22" s="13">
        <v>3.8286776519855507E-2</v>
      </c>
      <c r="W22" s="13">
        <v>0.20748026702429739</v>
      </c>
      <c r="X22" s="13">
        <v>0.214900047729565</v>
      </c>
      <c r="Y22" s="13">
        <v>1.5732208413521059E-2</v>
      </c>
      <c r="Z22" s="13">
        <v>7.5548269145846045E-2</v>
      </c>
      <c r="AA22" s="13">
        <v>7.0480168868567589E-3</v>
      </c>
      <c r="AB22" s="13">
        <v>0.13443621271332551</v>
      </c>
      <c r="AC22" s="13">
        <v>7.4420380840427389E-2</v>
      </c>
      <c r="AD22" s="13">
        <v>1.2467302670572489E-2</v>
      </c>
      <c r="AE22" s="13">
        <v>-0.22862111160637419</v>
      </c>
      <c r="AF22" s="13">
        <v>4.718231615802413E-2</v>
      </c>
      <c r="AG22" s="13">
        <v>5.2841540175733892E-2</v>
      </c>
      <c r="AH22" s="13">
        <v>4.8666666666666818E-4</v>
      </c>
      <c r="AI22" s="13">
        <v>0.1110046666666667</v>
      </c>
      <c r="AJ22" s="13">
        <v>1.308133333333333E-2</v>
      </c>
      <c r="AK22" s="13">
        <v>0.1012885607403957</v>
      </c>
      <c r="AL22" s="13">
        <v>4.0340966806900407E-2</v>
      </c>
      <c r="AM22" s="13">
        <v>8.4088903467703563E-2</v>
      </c>
      <c r="AN22" s="13">
        <v>0.1111328096635593</v>
      </c>
      <c r="AO22" s="13">
        <v>7.4717373393705613E-2</v>
      </c>
      <c r="AP22" s="13">
        <v>-6.2536353887992696E-2</v>
      </c>
      <c r="AQ22" s="13">
        <v>7.9426117478593142E-2</v>
      </c>
      <c r="AR22" s="13">
        <v>0.25053267815838243</v>
      </c>
      <c r="AS22" s="13">
        <v>0.16459066666666669</v>
      </c>
      <c r="AT22" s="13">
        <v>-2.513636184002634E-2</v>
      </c>
      <c r="AU22" s="13">
        <v>3.3500451910869901E-2</v>
      </c>
      <c r="AV22" s="13">
        <v>-5.9813176675879959E-2</v>
      </c>
      <c r="AW22" s="13">
        <v>-3.014938920700894E-2</v>
      </c>
      <c r="AX22" s="13">
        <v>0.17376339998002421</v>
      </c>
      <c r="AY22" s="13">
        <v>7.1733385334230598E-2</v>
      </c>
      <c r="AZ22" s="13">
        <v>-0.1549037783211521</v>
      </c>
      <c r="BA22" s="13">
        <v>-4.5598425167461952E-2</v>
      </c>
      <c r="BB22" s="13">
        <v>0.30192994454042299</v>
      </c>
      <c r="BC22" s="13">
        <v>-0.13083693812295519</v>
      </c>
      <c r="BD22" s="13">
        <v>-2.2174181465828179E-2</v>
      </c>
      <c r="BE22" s="13">
        <v>2.221618339448047E-2</v>
      </c>
      <c r="BF22" s="13">
        <v>1.363881733831962E-2</v>
      </c>
      <c r="BG22" s="13">
        <v>4.6279512168386029E-2</v>
      </c>
      <c r="BH22" s="13">
        <v>-0.12796054233813189</v>
      </c>
      <c r="BI22" s="13">
        <v>0.111088719409907</v>
      </c>
      <c r="BJ22" s="13">
        <v>5.4996415150720922E-2</v>
      </c>
      <c r="BK22" s="13">
        <v>-4.1839635933665138E-2</v>
      </c>
      <c r="BL22" s="13">
        <v>0.16178033907103531</v>
      </c>
      <c r="BM22" s="13">
        <v>0.19179703945604709</v>
      </c>
      <c r="BN22" s="13">
        <v>8.2934333333333332E-2</v>
      </c>
      <c r="BO22" s="13">
        <v>-5.0484429112750417E-2</v>
      </c>
      <c r="BP22" s="13">
        <v>7.4835550155106345E-2</v>
      </c>
      <c r="BQ22" s="13">
        <v>2.7830097398312589E-2</v>
      </c>
      <c r="BR22" s="13">
        <v>2.081360946645289E-2</v>
      </c>
      <c r="BS22" s="13">
        <v>-1.637278237679916E-2</v>
      </c>
      <c r="BT22" s="13">
        <v>0.13053070333654609</v>
      </c>
      <c r="BU22" s="13">
        <v>-0.21294876613801031</v>
      </c>
      <c r="BV22" s="13">
        <v>0.1585439723976089</v>
      </c>
      <c r="BW22" s="13">
        <v>-0.1746684979276073</v>
      </c>
      <c r="BX22" s="13">
        <v>3.6637445691972373E-2</v>
      </c>
      <c r="BY22" s="13">
        <v>-4.7467864027346263E-3</v>
      </c>
      <c r="BZ22" s="13">
        <v>4.725773586289217E-2</v>
      </c>
      <c r="CA22" s="13">
        <v>-2.749007848032349E-2</v>
      </c>
      <c r="CB22" s="13">
        <v>-0.14899327824592659</v>
      </c>
      <c r="CC22" s="13">
        <v>-1.498570343815637E-2</v>
      </c>
      <c r="CD22" s="13">
        <v>0.33387803671272293</v>
      </c>
      <c r="CE22" s="13">
        <v>6.6840000000000011E-2</v>
      </c>
      <c r="CF22" s="13">
        <v>-0.15557066666666661</v>
      </c>
      <c r="CG22" s="13">
        <v>-0.20326309220258709</v>
      </c>
      <c r="CH22" s="13">
        <v>0.1159187712794482</v>
      </c>
      <c r="CI22" s="13">
        <v>-0.1177797462783592</v>
      </c>
      <c r="CJ22" s="13">
        <v>-0.1033795050895627</v>
      </c>
      <c r="CK22" s="13">
        <v>3.6163342604682402E-2</v>
      </c>
      <c r="CL22" s="13">
        <v>-0.2406517986250408</v>
      </c>
      <c r="CM22" s="13">
        <v>-0.21983</v>
      </c>
      <c r="CN22" s="13">
        <v>-8.5467718209073992E-3</v>
      </c>
      <c r="CO22" s="13">
        <v>0.272059</v>
      </c>
      <c r="CP22" s="13">
        <v>-8.1321666666666681E-2</v>
      </c>
      <c r="CQ22" s="13">
        <v>-1.233377932566462E-2</v>
      </c>
      <c r="CR22" s="13">
        <v>0.16185042130139199</v>
      </c>
      <c r="CS22" s="13">
        <v>2.443933333333333E-2</v>
      </c>
      <c r="CT22" s="13">
        <v>3.8264666666666662E-2</v>
      </c>
      <c r="CU22" s="13">
        <v>2.6580666666666669E-2</v>
      </c>
      <c r="CV22" s="13">
        <v>0.18304533333333339</v>
      </c>
      <c r="CW22" s="13">
        <v>-1.3499999999999989E-2</v>
      </c>
      <c r="CX22" s="13">
        <v>4.7288333333333328E-2</v>
      </c>
      <c r="CY22" s="13">
        <v>-7.9888257735091419E-3</v>
      </c>
      <c r="CZ22" s="13">
        <v>0.20669699999999999</v>
      </c>
      <c r="DA22" s="13">
        <v>3.2453999999999997E-2</v>
      </c>
      <c r="DB22" s="13">
        <v>5.4040666666666667E-2</v>
      </c>
      <c r="DC22" s="13">
        <v>7.2343333333333343E-2</v>
      </c>
      <c r="DD22" s="13">
        <v>0.1478941025728035</v>
      </c>
      <c r="DE22" s="13">
        <v>-0.13335566666666671</v>
      </c>
      <c r="DF22" s="13">
        <v>0.38966800000000001</v>
      </c>
      <c r="DG22" s="13">
        <v>-7.1890999999999997E-2</v>
      </c>
      <c r="DH22" s="13">
        <v>8.1455333333333324E-2</v>
      </c>
      <c r="DI22" s="13">
        <v>6.0122333333333333E-2</v>
      </c>
      <c r="DJ22" s="13">
        <v>4.2777666666666672E-2</v>
      </c>
      <c r="DK22" s="13">
        <v>-9.1427666666666671E-2</v>
      </c>
      <c r="DL22" s="13">
        <v>2.168033333333334E-2</v>
      </c>
      <c r="DM22" s="13">
        <v>3.1884333333333327E-2</v>
      </c>
      <c r="DN22" s="13">
        <v>-8.3170333333333332E-2</v>
      </c>
      <c r="DO22" s="13">
        <v>7.5715333333333343E-2</v>
      </c>
      <c r="DP22" s="13">
        <v>-0.105099</v>
      </c>
      <c r="DQ22" s="13">
        <v>-5.1849333333333317E-2</v>
      </c>
      <c r="DR22" s="13">
        <v>-6.0925526153180337E-3</v>
      </c>
      <c r="DS22" s="13">
        <v>-0.19705092156235929</v>
      </c>
      <c r="DT22" s="13">
        <v>-4.3682333333333337E-2</v>
      </c>
      <c r="DU22" s="13">
        <v>-0.1615456666666667</v>
      </c>
      <c r="DV22" s="13">
        <v>5.3372000000000003E-2</v>
      </c>
      <c r="DW22" s="13">
        <v>-8.1416000000000016E-2</v>
      </c>
      <c r="DX22" s="13">
        <v>0.177263</v>
      </c>
      <c r="DY22" s="13">
        <v>0.1199563333333333</v>
      </c>
      <c r="DZ22" s="13">
        <v>0.11083366666666671</v>
      </c>
      <c r="EA22" s="13">
        <v>0.14035633333333331</v>
      </c>
      <c r="EB22" s="13">
        <v>-0.1429303333333333</v>
      </c>
      <c r="EC22" s="13">
        <v>2.1495101575638179E-2</v>
      </c>
      <c r="ED22" s="13">
        <v>-7.7413567057607463E-2</v>
      </c>
      <c r="EE22" s="13">
        <v>-4.7635999999999998E-2</v>
      </c>
      <c r="EF22" s="13">
        <v>3.6592666666666662E-2</v>
      </c>
    </row>
    <row r="23" spans="1:136">
      <c r="A23" s="2">
        <v>482</v>
      </c>
      <c r="B23" s="2">
        <v>2</v>
      </c>
      <c r="C23" s="13">
        <v>0.28298899999999988</v>
      </c>
      <c r="D23" s="13">
        <v>-2.981066768542209E-2</v>
      </c>
      <c r="E23" s="13">
        <v>-8.094117257067221E-2</v>
      </c>
      <c r="F23" s="13">
        <v>-0.14166490905190171</v>
      </c>
      <c r="G23" s="13">
        <v>-5.2224173846498377E-2</v>
      </c>
      <c r="H23" s="13">
        <v>0.2037183078789751</v>
      </c>
      <c r="I23" s="13">
        <v>0.148152028600294</v>
      </c>
      <c r="J23" s="13">
        <v>-9.8162291146452377E-2</v>
      </c>
      <c r="K23" s="13">
        <v>-0.20448947647223359</v>
      </c>
      <c r="L23" s="13">
        <v>5.4043529775598627E-2</v>
      </c>
      <c r="M23" s="13">
        <v>-0.26256934704734031</v>
      </c>
      <c r="N23" s="13">
        <v>0.15641923763601279</v>
      </c>
      <c r="O23" s="13">
        <v>0.20456437797300209</v>
      </c>
      <c r="P23" s="13">
        <v>-9.040171118212538E-2</v>
      </c>
      <c r="Q23" s="13">
        <v>5.95680169005205E-2</v>
      </c>
      <c r="R23" s="13">
        <v>-5.6211143313255052E-2</v>
      </c>
      <c r="S23" s="13">
        <v>-0.1137245328272621</v>
      </c>
      <c r="T23" s="13">
        <v>-3.733692084787466E-4</v>
      </c>
      <c r="U23" s="13">
        <v>-9.3757422440794366E-2</v>
      </c>
      <c r="V23" s="13">
        <v>-2.302945710979112E-2</v>
      </c>
      <c r="W23" s="13">
        <v>0.33161915024914451</v>
      </c>
      <c r="X23" s="13">
        <v>0.26408569496329731</v>
      </c>
      <c r="Y23" s="13">
        <v>1.4659801530490259E-2</v>
      </c>
      <c r="Z23" s="13">
        <v>3.3032515443875303E-2</v>
      </c>
      <c r="AA23" s="13">
        <v>6.6062919694702682E-3</v>
      </c>
      <c r="AB23" s="13">
        <v>6.4039779876783498E-2</v>
      </c>
      <c r="AC23" s="13">
        <v>7.6346338146838E-2</v>
      </c>
      <c r="AD23" s="13">
        <v>1.5010900357047399E-2</v>
      </c>
      <c r="AE23" s="13">
        <v>-0.33234424861252548</v>
      </c>
      <c r="AF23" s="13">
        <v>6.6906260089751285E-2</v>
      </c>
      <c r="AG23" s="13">
        <v>9.1873657646360199E-2</v>
      </c>
      <c r="AH23" s="13">
        <v>3.7278000000000013E-2</v>
      </c>
      <c r="AI23" s="13">
        <v>0.209152</v>
      </c>
      <c r="AJ23" s="13">
        <v>2.3587E-2</v>
      </c>
      <c r="AK23" s="13">
        <v>0.11411109934719101</v>
      </c>
      <c r="AL23" s="13">
        <v>0.1314317131925356</v>
      </c>
      <c r="AM23" s="13">
        <v>7.769489004865255E-3</v>
      </c>
      <c r="AN23" s="13">
        <v>0.24231469935730071</v>
      </c>
      <c r="AO23" s="13">
        <v>-5.3369521914240978E-3</v>
      </c>
      <c r="AP23" s="13">
        <v>3.1210993523056942E-3</v>
      </c>
      <c r="AQ23" s="13">
        <v>8.9424992259610633E-2</v>
      </c>
      <c r="AR23" s="13">
        <v>0.33674404384506768</v>
      </c>
      <c r="AS23" s="13">
        <v>3.2169000000000017E-2</v>
      </c>
      <c r="AT23" s="13">
        <v>-4.1427721813649641E-2</v>
      </c>
      <c r="AU23" s="13">
        <v>3.3145526128504327E-2</v>
      </c>
      <c r="AV23" s="13">
        <v>-2.7638994197374041E-2</v>
      </c>
      <c r="AW23" s="13">
        <v>-5.202690983840276E-2</v>
      </c>
      <c r="AX23" s="13">
        <v>6.9838153827044058E-2</v>
      </c>
      <c r="AY23" s="13">
        <v>0.17023398084058211</v>
      </c>
      <c r="AZ23" s="13">
        <v>-6.3753617401060211E-2</v>
      </c>
      <c r="BA23" s="13">
        <v>9.6467800801007808E-3</v>
      </c>
      <c r="BB23" s="13">
        <v>-5.1049484102885123E-2</v>
      </c>
      <c r="BC23" s="13">
        <v>-0.30082824917306578</v>
      </c>
      <c r="BD23" s="13">
        <v>9.4830881346450333E-2</v>
      </c>
      <c r="BE23" s="13">
        <v>-7.1430762397296579E-2</v>
      </c>
      <c r="BF23" s="13">
        <v>-2.284699060468626E-2</v>
      </c>
      <c r="BG23" s="13">
        <v>7.4761471196752541E-2</v>
      </c>
      <c r="BH23" s="13">
        <v>-0.2034839813552872</v>
      </c>
      <c r="BI23" s="13">
        <v>0.1911120793231991</v>
      </c>
      <c r="BJ23" s="13">
        <v>0.1040033152679269</v>
      </c>
      <c r="BK23" s="13">
        <v>2.0341083364774871E-3</v>
      </c>
      <c r="BL23" s="13">
        <v>0.14953429625023959</v>
      </c>
      <c r="BM23" s="13">
        <v>0.18918068678715391</v>
      </c>
      <c r="BN23" s="13">
        <v>3.8449999999999998E-2</v>
      </c>
      <c r="BO23" s="13">
        <v>3.6524941745999073E-2</v>
      </c>
      <c r="BP23" s="13">
        <v>9.8266399211456468E-2</v>
      </c>
      <c r="BQ23" s="13">
        <v>7.2047901435266168E-2</v>
      </c>
      <c r="BR23" s="13">
        <v>1.7844321463962809E-2</v>
      </c>
      <c r="BS23" s="13">
        <v>-7.3275388657911791E-2</v>
      </c>
      <c r="BT23" s="13">
        <v>0.14364980602599711</v>
      </c>
      <c r="BU23" s="13">
        <v>-0.20568773584594591</v>
      </c>
      <c r="BV23" s="13">
        <v>0.11346756836018849</v>
      </c>
      <c r="BW23" s="13">
        <v>-0.20215233327569121</v>
      </c>
      <c r="BX23" s="13">
        <v>-8.2131197272531514E-3</v>
      </c>
      <c r="BY23" s="13">
        <v>-1.020569269434762E-2</v>
      </c>
      <c r="BZ23" s="13">
        <v>7.6697624318448621E-3</v>
      </c>
      <c r="CA23" s="13">
        <v>-7.5653199746629096E-2</v>
      </c>
      <c r="CB23" s="13">
        <v>-0.21761420299243989</v>
      </c>
      <c r="CC23" s="13">
        <v>0.2249586274956801</v>
      </c>
      <c r="CD23" s="13">
        <v>0.19167645501478511</v>
      </c>
      <c r="CE23" s="13">
        <v>5.9602000000000002E-2</v>
      </c>
      <c r="CF23" s="13">
        <v>-0.1834305</v>
      </c>
      <c r="CG23" s="13">
        <v>-0.3932437879236767</v>
      </c>
      <c r="CH23" s="13">
        <v>0.18019644892142839</v>
      </c>
      <c r="CI23" s="13">
        <v>-0.30989941712809688</v>
      </c>
      <c r="CJ23" s="13">
        <v>-1.9875367550410569E-2</v>
      </c>
      <c r="CK23" s="13">
        <v>9.6116994727961536E-2</v>
      </c>
      <c r="CL23" s="13">
        <v>-0.40866101266741839</v>
      </c>
      <c r="CM23" s="13">
        <v>-0.234705</v>
      </c>
      <c r="CN23" s="13">
        <v>-5.3005178369803271E-2</v>
      </c>
      <c r="CO23" s="13">
        <v>0.26615749999999999</v>
      </c>
      <c r="CP23" s="13">
        <v>-0.1197175</v>
      </c>
      <c r="CQ23" s="13">
        <v>-9.1837444998058917E-3</v>
      </c>
      <c r="CR23" s="13">
        <v>1.159780382107861E-2</v>
      </c>
      <c r="CS23" s="13">
        <v>6.9014999999999993E-2</v>
      </c>
      <c r="CT23" s="13">
        <v>6.5391499999999977E-2</v>
      </c>
      <c r="CU23" s="13">
        <v>-8.7759999999999921E-3</v>
      </c>
      <c r="CV23" s="13">
        <v>0.20184949999999999</v>
      </c>
      <c r="CW23" s="13">
        <v>6.4165E-2</v>
      </c>
      <c r="CX23" s="13">
        <v>-4.4250000000000012E-2</v>
      </c>
      <c r="CY23" s="13">
        <v>2.20465307533785E-2</v>
      </c>
      <c r="CZ23" s="13">
        <v>0.1660055</v>
      </c>
      <c r="DA23" s="13">
        <v>6.4644999999999994E-2</v>
      </c>
      <c r="DB23" s="13">
        <v>1.8748000000000001E-2</v>
      </c>
      <c r="DC23" s="13">
        <v>7.2414999999999993E-2</v>
      </c>
      <c r="DD23" s="13">
        <v>0.21341104440699671</v>
      </c>
      <c r="DE23" s="13">
        <v>-0.1414445</v>
      </c>
      <c r="DF23" s="13">
        <v>0.40879749999999998</v>
      </c>
      <c r="DG23" s="13">
        <v>-6.7622500000000002E-2</v>
      </c>
      <c r="DH23" s="13">
        <v>0.13922799999999999</v>
      </c>
      <c r="DI23" s="13">
        <v>9.6041000000000015E-2</v>
      </c>
      <c r="DJ23" s="13">
        <v>-3.3823000000000013E-2</v>
      </c>
      <c r="DK23" s="13">
        <v>-9.1243500000000005E-2</v>
      </c>
      <c r="DL23" s="13">
        <v>-5.6605999999999997E-2</v>
      </c>
      <c r="DM23" s="13">
        <v>4.6476999999999997E-2</v>
      </c>
      <c r="DN23" s="13">
        <v>-0.1182</v>
      </c>
      <c r="DO23" s="13">
        <v>0.124068</v>
      </c>
      <c r="DP23" s="13">
        <v>-3.8403500000000007E-2</v>
      </c>
      <c r="DQ23" s="13">
        <v>-0.1211305</v>
      </c>
      <c r="DR23" s="13">
        <v>-8.9886002731306744E-2</v>
      </c>
      <c r="DS23" s="13">
        <v>-0.28809657691904628</v>
      </c>
      <c r="DT23" s="13">
        <v>-5.4250499999999993E-2</v>
      </c>
      <c r="DU23" s="13">
        <v>-5.5638E-2</v>
      </c>
      <c r="DV23" s="13">
        <v>8.1330000000000013E-3</v>
      </c>
      <c r="DW23" s="13">
        <v>2.305249999999999E-2</v>
      </c>
      <c r="DX23" s="13">
        <v>0.31944850000000008</v>
      </c>
      <c r="DY23" s="13">
        <v>-5.3925000000000001E-2</v>
      </c>
      <c r="DZ23" s="13">
        <v>-0.21717500000000001</v>
      </c>
      <c r="EA23" s="13">
        <v>-2.8757000000000001E-2</v>
      </c>
      <c r="EB23" s="13">
        <v>-0.1382285</v>
      </c>
      <c r="EC23" s="13">
        <v>-3.6584316325813361E-2</v>
      </c>
      <c r="ED23" s="13">
        <v>-9.1425904619781034E-2</v>
      </c>
      <c r="EE23" s="13">
        <v>-6.9210999999999995E-2</v>
      </c>
      <c r="EF23" s="13">
        <v>9.3413999999999997E-2</v>
      </c>
    </row>
    <row r="24" spans="1:136">
      <c r="A24" s="2">
        <v>964</v>
      </c>
      <c r="B24" s="2">
        <v>1</v>
      </c>
      <c r="C24" s="13">
        <v>9.9113000000000007E-2</v>
      </c>
      <c r="D24" s="13">
        <v>-0.1040490099724129</v>
      </c>
      <c r="E24" s="13">
        <v>7.1400330169296908E-2</v>
      </c>
      <c r="F24" s="13">
        <v>-0.22715954663674881</v>
      </c>
      <c r="G24" s="13">
        <v>0.2257600230575724</v>
      </c>
      <c r="H24" s="13">
        <v>0.2466867284905698</v>
      </c>
      <c r="I24" s="13">
        <v>-2.111933203143501E-3</v>
      </c>
      <c r="J24" s="13">
        <v>-9.9972192910136135E-2</v>
      </c>
      <c r="K24" s="13">
        <v>-2.1515278354960109E-2</v>
      </c>
      <c r="L24" s="13">
        <v>9.5623250508682117E-2</v>
      </c>
      <c r="M24" s="13">
        <v>-0.46302754420013847</v>
      </c>
      <c r="N24" s="13">
        <v>0.14413045240043321</v>
      </c>
      <c r="O24" s="13">
        <v>0.235309193405423</v>
      </c>
      <c r="P24" s="13">
        <v>-0.1042484144089995</v>
      </c>
      <c r="Q24" s="13">
        <v>6.096496164670627E-2</v>
      </c>
      <c r="R24" s="13">
        <v>-0.24569737077925971</v>
      </c>
      <c r="S24" s="13">
        <v>-0.35251446106016437</v>
      </c>
      <c r="T24" s="13">
        <v>0.1236910440917892</v>
      </c>
      <c r="U24" s="13">
        <v>-0.14851867422391801</v>
      </c>
      <c r="V24" s="13">
        <v>-6.7139302837628506E-2</v>
      </c>
      <c r="W24" s="13">
        <v>0.49571198595594262</v>
      </c>
      <c r="X24" s="13">
        <v>0.1180224325060039</v>
      </c>
      <c r="Y24" s="13">
        <v>9.4770149264170878E-3</v>
      </c>
      <c r="Z24" s="13">
        <v>0.10584232727880701</v>
      </c>
      <c r="AA24" s="13">
        <v>1.354776823757727E-2</v>
      </c>
      <c r="AB24" s="13">
        <v>0.1953396226752438</v>
      </c>
      <c r="AC24" s="13">
        <v>0.125380380775965</v>
      </c>
      <c r="AD24" s="13">
        <v>7.8218388926296623E-3</v>
      </c>
      <c r="AE24" s="13">
        <v>-0.54125812124628125</v>
      </c>
      <c r="AF24" s="13">
        <v>2.2522010034790499E-2</v>
      </c>
      <c r="AG24" s="13">
        <v>0.13873571762663761</v>
      </c>
      <c r="AH24" s="13">
        <v>-6.8616999999999997E-2</v>
      </c>
      <c r="AI24" s="13">
        <v>0.31041400000000002</v>
      </c>
      <c r="AJ24" s="13">
        <v>8.5434999999999997E-2</v>
      </c>
      <c r="AK24" s="13">
        <v>8.4883953068192297E-2</v>
      </c>
      <c r="AL24" s="13">
        <v>-5.4676935490635382E-2</v>
      </c>
      <c r="AM24" s="13">
        <v>-1.89192814205267E-2</v>
      </c>
      <c r="AN24" s="13">
        <v>0.22118946514543131</v>
      </c>
      <c r="AO24" s="13">
        <v>6.6090111828990022E-2</v>
      </c>
      <c r="AP24" s="13">
        <v>-2.28517154890964E-2</v>
      </c>
      <c r="AQ24" s="13">
        <v>4.7076972834245667E-2</v>
      </c>
      <c r="AR24" s="13">
        <v>9.6392566076069844E-3</v>
      </c>
      <c r="AS24" s="13">
        <v>0.23783199999999999</v>
      </c>
      <c r="AT24" s="13">
        <v>3.045920748470865E-2</v>
      </c>
      <c r="AU24" s="13">
        <v>4.4095319865224331E-2</v>
      </c>
      <c r="AV24" s="13">
        <v>-8.7151952186895892E-2</v>
      </c>
      <c r="AW24" s="13">
        <v>4.9875415110391882E-3</v>
      </c>
      <c r="AX24" s="13">
        <v>2.8306186588424521E-2</v>
      </c>
      <c r="AY24" s="13">
        <v>0.16812729388488939</v>
      </c>
      <c r="AZ24" s="13">
        <v>3.7867073599665187E-2</v>
      </c>
      <c r="BA24" s="13">
        <v>-5.3794732084633153E-2</v>
      </c>
      <c r="BB24" s="13">
        <v>-8.6159033395334803E-2</v>
      </c>
      <c r="BC24" s="13">
        <v>-0.8032160130443774</v>
      </c>
      <c r="BD24" s="13">
        <v>0.18559521924643521</v>
      </c>
      <c r="BE24" s="13">
        <v>-4.606435403168687E-2</v>
      </c>
      <c r="BF24" s="13">
        <v>8.765133605409231E-2</v>
      </c>
      <c r="BG24" s="13">
        <v>2.6835965866310919E-2</v>
      </c>
      <c r="BH24" s="13">
        <v>-0.38625533691353497</v>
      </c>
      <c r="BI24" s="13">
        <v>0.2236291060700471</v>
      </c>
      <c r="BJ24" s="13">
        <v>3.3483157548845829E-3</v>
      </c>
      <c r="BK24" s="13">
        <v>4.0235468942862278E-3</v>
      </c>
      <c r="BL24" s="13">
        <v>0.31716429392471662</v>
      </c>
      <c r="BM24" s="13">
        <v>1.1473019117737151E-2</v>
      </c>
      <c r="BN24" s="13">
        <v>0.10891099999999999</v>
      </c>
      <c r="BO24" s="13">
        <v>-0.16110969109564191</v>
      </c>
      <c r="BP24" s="13">
        <v>0.1233511811293219</v>
      </c>
      <c r="BQ24" s="13">
        <v>-6.4169633330115036E-2</v>
      </c>
      <c r="BR24" s="13">
        <v>4.2356223303417713E-2</v>
      </c>
      <c r="BS24" s="13">
        <v>-1.284717484456964E-3</v>
      </c>
      <c r="BT24" s="13">
        <v>0.1162706960541873</v>
      </c>
      <c r="BU24" s="13">
        <v>-0.22832663155994071</v>
      </c>
      <c r="BV24" s="13">
        <v>0.1077284538879829</v>
      </c>
      <c r="BW24" s="13">
        <v>-6.1835883635593128E-2</v>
      </c>
      <c r="BX24" s="13">
        <v>-0.1329600557104578</v>
      </c>
      <c r="BY24" s="13">
        <v>0.10974566916741731</v>
      </c>
      <c r="BZ24" s="13">
        <v>0.25889289884999689</v>
      </c>
      <c r="CA24" s="13">
        <v>-0.1152216807734147</v>
      </c>
      <c r="CB24" s="13">
        <v>0.20876197428786911</v>
      </c>
      <c r="CC24" s="13">
        <v>0.43985451226693362</v>
      </c>
      <c r="CD24" s="13">
        <v>0.14430631074219491</v>
      </c>
      <c r="CE24" s="13">
        <v>0.16556499999999999</v>
      </c>
      <c r="CF24" s="13">
        <v>-0.16513</v>
      </c>
      <c r="CG24" s="13">
        <v>-0.32381797901906062</v>
      </c>
      <c r="CH24" s="13">
        <v>0.35427729684250298</v>
      </c>
      <c r="CI24" s="13">
        <v>0.3284518207092646</v>
      </c>
      <c r="CJ24" s="13">
        <v>1.310948541941956E-2</v>
      </c>
      <c r="CK24" s="13">
        <v>9.3530079315696568E-2</v>
      </c>
      <c r="CL24" s="13">
        <v>0.1417553333725407</v>
      </c>
      <c r="CM24" s="13">
        <v>-0.63644000000000001</v>
      </c>
      <c r="CN24" s="13">
        <v>-0.1077387664572132</v>
      </c>
      <c r="CO24" s="13">
        <v>0.45247399999999999</v>
      </c>
      <c r="CP24" s="13">
        <v>-0.249337</v>
      </c>
      <c r="CQ24" s="13">
        <v>0.1146871738632968</v>
      </c>
      <c r="CR24" s="13">
        <v>6.1084838239556717E-2</v>
      </c>
      <c r="CS24" s="13">
        <v>-2.6858E-2</v>
      </c>
      <c r="CT24" s="13">
        <v>-0.119542</v>
      </c>
      <c r="CU24" s="13">
        <v>-6.302000000000002E-3</v>
      </c>
      <c r="CV24" s="13">
        <v>0.36147600000000002</v>
      </c>
      <c r="CW24" s="13">
        <v>-1.589999999999999E-3</v>
      </c>
      <c r="CX24" s="13">
        <v>5.2769999999999997E-2</v>
      </c>
      <c r="CY24" s="13">
        <v>-8.0066904636818925E-2</v>
      </c>
      <c r="CZ24" s="13">
        <v>0.32259100000000002</v>
      </c>
      <c r="DA24" s="13">
        <v>3.3980000000000003E-2</v>
      </c>
      <c r="DB24" s="13">
        <v>-1.6500000000000001E-2</v>
      </c>
      <c r="DC24" s="13">
        <v>0.17954999999999999</v>
      </c>
      <c r="DD24" s="13">
        <v>0.15338138073910601</v>
      </c>
      <c r="DE24" s="13">
        <v>-0.30663899999999999</v>
      </c>
      <c r="DF24" s="13">
        <v>0.52558799999999994</v>
      </c>
      <c r="DG24" s="13">
        <v>-0.119545</v>
      </c>
      <c r="DH24" s="13">
        <v>0.26580500000000001</v>
      </c>
      <c r="DI24" s="13">
        <v>3.7185000000000003E-2</v>
      </c>
      <c r="DJ24" s="13">
        <v>2.1080000000000002E-2</v>
      </c>
      <c r="DK24" s="13">
        <v>-0.11967899999999999</v>
      </c>
      <c r="DL24" s="13">
        <v>-3.1748999999999999E-2</v>
      </c>
      <c r="DM24" s="13">
        <v>4.0999999999999723E-4</v>
      </c>
      <c r="DN24" s="13">
        <v>-0.14903</v>
      </c>
      <c r="DO24" s="13">
        <v>0.115615</v>
      </c>
      <c r="DP24" s="13">
        <v>-0.14432700000000001</v>
      </c>
      <c r="DQ24" s="13">
        <v>-5.0486000000000003E-2</v>
      </c>
      <c r="DR24" s="13">
        <v>-2.0515630212029241E-2</v>
      </c>
      <c r="DS24" s="13">
        <v>-0.21626154103284559</v>
      </c>
      <c r="DT24" s="13">
        <v>-7.4732999999999994E-2</v>
      </c>
      <c r="DU24" s="13">
        <v>2.178200000000001E-2</v>
      </c>
      <c r="DV24" s="13">
        <v>9.8046999999999995E-2</v>
      </c>
      <c r="DW24" s="13">
        <v>0.101183</v>
      </c>
      <c r="DX24" s="13">
        <v>0.28592899999999999</v>
      </c>
      <c r="DY24" s="13">
        <v>-3.2399999999999998E-3</v>
      </c>
      <c r="DZ24" s="13">
        <v>-0.43351000000000001</v>
      </c>
      <c r="EA24" s="13">
        <v>-5.4917000000000001E-2</v>
      </c>
      <c r="EB24" s="13">
        <v>-0.10923099999999999</v>
      </c>
      <c r="EC24" s="13">
        <v>-1.4309918770678909E-2</v>
      </c>
      <c r="ED24" s="13">
        <v>-5.6172845298362112E-2</v>
      </c>
      <c r="EE24" s="13">
        <v>-0.10748199999999999</v>
      </c>
      <c r="EF24" s="13">
        <v>0.13408500000000001</v>
      </c>
    </row>
    <row r="26" spans="1:136">
      <c r="A26" s="2" t="s">
        <v>145</v>
      </c>
      <c r="B26" s="2" t="s">
        <v>146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  <row r="28" spans="1:136">
      <c r="B28" s="21" t="s">
        <v>204</v>
      </c>
      <c r="C28" s="22">
        <v>5455</v>
      </c>
      <c r="D28" s="22">
        <v>2540</v>
      </c>
      <c r="E28" s="22">
        <v>2540</v>
      </c>
      <c r="F28" s="22">
        <v>2540</v>
      </c>
      <c r="G28" s="22">
        <v>2540</v>
      </c>
      <c r="H28" s="22">
        <v>2540</v>
      </c>
      <c r="I28" s="22">
        <v>6114</v>
      </c>
      <c r="J28" s="22">
        <v>6242</v>
      </c>
      <c r="K28" s="22">
        <v>6242</v>
      </c>
      <c r="L28" s="22">
        <v>6242</v>
      </c>
      <c r="M28" s="22">
        <v>8077</v>
      </c>
      <c r="N28" s="22">
        <v>8077</v>
      </c>
      <c r="O28" s="22">
        <v>5455</v>
      </c>
      <c r="P28" s="22">
        <v>5455</v>
      </c>
      <c r="Q28" s="22">
        <v>5455</v>
      </c>
      <c r="R28" s="22">
        <v>5455</v>
      </c>
      <c r="S28" s="22">
        <v>5455</v>
      </c>
      <c r="T28" s="22">
        <v>5455</v>
      </c>
      <c r="U28" s="22">
        <v>4413</v>
      </c>
      <c r="V28" s="22">
        <v>4413</v>
      </c>
      <c r="W28" s="22">
        <v>4413</v>
      </c>
      <c r="X28" s="22">
        <v>6225</v>
      </c>
      <c r="Y28" s="22">
        <v>8044</v>
      </c>
      <c r="Z28" s="22">
        <v>6225</v>
      </c>
      <c r="AA28" s="22">
        <v>6225</v>
      </c>
      <c r="AB28" s="22">
        <v>6225</v>
      </c>
      <c r="AC28" s="22">
        <v>6225</v>
      </c>
      <c r="AD28" s="22">
        <v>6225</v>
      </c>
      <c r="AE28" s="22">
        <v>6225</v>
      </c>
      <c r="AF28" s="22">
        <v>6225</v>
      </c>
      <c r="AG28" s="22">
        <v>6225</v>
      </c>
      <c r="AH28" s="22">
        <v>6291</v>
      </c>
      <c r="AI28" s="22">
        <v>6291</v>
      </c>
      <c r="AJ28" s="22">
        <v>6291</v>
      </c>
      <c r="AK28" s="22">
        <v>6225</v>
      </c>
      <c r="AL28" s="22">
        <v>6225</v>
      </c>
      <c r="AM28" s="22">
        <v>6225</v>
      </c>
      <c r="AN28" s="22">
        <v>6225</v>
      </c>
      <c r="AO28" s="22">
        <v>6225</v>
      </c>
      <c r="AP28" s="22">
        <v>6225</v>
      </c>
      <c r="AQ28" s="22">
        <v>6225</v>
      </c>
      <c r="AR28" s="22">
        <v>6225</v>
      </c>
      <c r="AS28" s="22">
        <v>6291</v>
      </c>
      <c r="AT28" s="22">
        <v>6225</v>
      </c>
      <c r="AU28" s="22">
        <v>6225</v>
      </c>
      <c r="AV28" s="22">
        <v>6225</v>
      </c>
      <c r="AW28" s="22">
        <v>3043</v>
      </c>
      <c r="AX28" s="22">
        <v>3043</v>
      </c>
      <c r="AY28" s="22">
        <v>6225</v>
      </c>
      <c r="AZ28" s="22">
        <v>6225</v>
      </c>
      <c r="BA28" s="22">
        <v>6225</v>
      </c>
      <c r="BB28" s="22">
        <v>6225</v>
      </c>
      <c r="BC28" s="22">
        <v>6225</v>
      </c>
      <c r="BD28" s="22">
        <v>6225</v>
      </c>
      <c r="BE28" s="22">
        <v>6225</v>
      </c>
      <c r="BF28" s="22">
        <v>6225</v>
      </c>
      <c r="BG28" s="22">
        <v>6225</v>
      </c>
      <c r="BH28" s="22">
        <v>6225</v>
      </c>
      <c r="BI28" s="22">
        <v>6225</v>
      </c>
      <c r="BJ28" s="22">
        <v>6225</v>
      </c>
      <c r="BK28" s="22">
        <v>6225</v>
      </c>
      <c r="BL28" s="22">
        <v>6225</v>
      </c>
      <c r="BM28" s="22">
        <v>6225</v>
      </c>
      <c r="BN28" s="22">
        <v>1475</v>
      </c>
      <c r="BO28" s="22">
        <v>6225</v>
      </c>
      <c r="BP28" s="22">
        <v>6225</v>
      </c>
      <c r="BQ28" s="22">
        <v>6225</v>
      </c>
      <c r="BR28" s="22">
        <v>6225</v>
      </c>
      <c r="BS28" s="22">
        <v>6225</v>
      </c>
      <c r="BT28" s="22">
        <v>6225</v>
      </c>
      <c r="BU28" s="22">
        <v>8080</v>
      </c>
      <c r="BV28" s="22">
        <v>6225</v>
      </c>
      <c r="BW28" s="22">
        <v>5205</v>
      </c>
      <c r="BX28" s="22">
        <v>8080</v>
      </c>
      <c r="BY28" s="22">
        <v>8080</v>
      </c>
      <c r="BZ28" s="22">
        <v>8080</v>
      </c>
      <c r="CA28" s="22">
        <v>8080</v>
      </c>
      <c r="CB28" s="22">
        <v>8080</v>
      </c>
      <c r="CC28" s="22">
        <v>5205</v>
      </c>
      <c r="CD28" s="22">
        <v>5205</v>
      </c>
      <c r="CE28" s="22">
        <v>5205</v>
      </c>
      <c r="CF28" s="22">
        <v>4304</v>
      </c>
      <c r="CG28" s="22">
        <v>5205</v>
      </c>
      <c r="CH28" s="22">
        <v>5205</v>
      </c>
      <c r="CI28" s="22">
        <v>5205</v>
      </c>
      <c r="CJ28" s="22">
        <v>8080</v>
      </c>
      <c r="CK28" s="22">
        <v>8080</v>
      </c>
      <c r="CL28" s="22">
        <v>8080</v>
      </c>
      <c r="CM28" s="22">
        <v>5205</v>
      </c>
      <c r="CN28" s="22">
        <v>6287</v>
      </c>
      <c r="CO28" s="22">
        <v>5205</v>
      </c>
      <c r="CP28" s="22">
        <v>5205</v>
      </c>
      <c r="CQ28" s="22">
        <v>6287</v>
      </c>
      <c r="CR28" s="22">
        <v>6287</v>
      </c>
      <c r="CS28" s="22">
        <v>5205</v>
      </c>
      <c r="CT28" s="22">
        <v>5205</v>
      </c>
      <c r="CU28" s="22">
        <v>5205</v>
      </c>
      <c r="CV28" s="22">
        <v>5205</v>
      </c>
      <c r="CW28" s="22">
        <v>5205</v>
      </c>
      <c r="CX28" s="22">
        <v>5205</v>
      </c>
      <c r="CY28" s="22">
        <v>8101</v>
      </c>
      <c r="CZ28" s="22">
        <v>5205</v>
      </c>
      <c r="DA28" s="22">
        <v>1538</v>
      </c>
      <c r="DB28" s="22">
        <v>5314</v>
      </c>
      <c r="DC28" s="22">
        <v>5314</v>
      </c>
      <c r="DD28" s="22">
        <v>6225</v>
      </c>
      <c r="DE28" s="22">
        <v>1538</v>
      </c>
      <c r="DF28" s="22">
        <v>6225</v>
      </c>
      <c r="DG28" s="22">
        <v>5314</v>
      </c>
      <c r="DH28" s="22">
        <v>1538</v>
      </c>
      <c r="DI28" s="22">
        <v>8080</v>
      </c>
      <c r="DJ28" s="22">
        <v>8067</v>
      </c>
      <c r="DK28" s="22">
        <v>8080</v>
      </c>
      <c r="DL28" s="22">
        <v>8080</v>
      </c>
      <c r="DM28" s="22">
        <v>8080</v>
      </c>
      <c r="DN28" s="22">
        <v>8080</v>
      </c>
      <c r="DO28" s="22">
        <v>8080</v>
      </c>
      <c r="DP28" s="22">
        <v>8080</v>
      </c>
      <c r="DQ28" s="22">
        <v>2321</v>
      </c>
      <c r="DR28" s="22">
        <v>4419</v>
      </c>
      <c r="DS28" s="22">
        <v>4419</v>
      </c>
      <c r="DT28" s="22">
        <v>5345</v>
      </c>
      <c r="DU28" s="22">
        <v>5345</v>
      </c>
      <c r="DV28" s="22">
        <v>2321</v>
      </c>
      <c r="DW28" s="22">
        <v>4304</v>
      </c>
      <c r="DX28" s="22">
        <v>4304</v>
      </c>
      <c r="DY28" s="22">
        <v>2321</v>
      </c>
      <c r="DZ28" s="22">
        <v>8101</v>
      </c>
      <c r="EA28" s="22">
        <v>2321</v>
      </c>
      <c r="EB28" s="22">
        <v>2321</v>
      </c>
      <c r="EC28" s="22">
        <v>6287</v>
      </c>
      <c r="ED28" s="22">
        <v>6287</v>
      </c>
      <c r="EE28" s="22">
        <v>2321</v>
      </c>
      <c r="EF28" s="22">
        <v>2321</v>
      </c>
    </row>
    <row r="29" spans="1:136">
      <c r="B29" s="21" t="s">
        <v>205</v>
      </c>
      <c r="C29" s="22" t="s">
        <v>147</v>
      </c>
      <c r="D29" s="22" t="s">
        <v>148</v>
      </c>
      <c r="E29" s="22" t="s">
        <v>148</v>
      </c>
      <c r="F29" s="22" t="s">
        <v>148</v>
      </c>
      <c r="G29" s="22" t="s">
        <v>148</v>
      </c>
      <c r="H29" s="22" t="s">
        <v>148</v>
      </c>
      <c r="I29" s="22" t="s">
        <v>149</v>
      </c>
      <c r="J29" s="22" t="s">
        <v>150</v>
      </c>
      <c r="K29" s="22" t="s">
        <v>150</v>
      </c>
      <c r="L29" s="22" t="s">
        <v>150</v>
      </c>
      <c r="M29" s="22" t="s">
        <v>151</v>
      </c>
      <c r="N29" s="22" t="s">
        <v>151</v>
      </c>
      <c r="O29" s="22" t="s">
        <v>147</v>
      </c>
      <c r="P29" s="22" t="s">
        <v>147</v>
      </c>
      <c r="Q29" s="22" t="s">
        <v>147</v>
      </c>
      <c r="R29" s="22" t="s">
        <v>147</v>
      </c>
      <c r="S29" s="22" t="s">
        <v>147</v>
      </c>
      <c r="T29" s="22" t="s">
        <v>147</v>
      </c>
      <c r="U29" s="22" t="s">
        <v>152</v>
      </c>
      <c r="V29" s="22" t="s">
        <v>152</v>
      </c>
      <c r="W29" s="22" t="s">
        <v>152</v>
      </c>
      <c r="X29" s="22" t="s">
        <v>153</v>
      </c>
      <c r="Y29" s="22" t="s">
        <v>154</v>
      </c>
      <c r="Z29" s="22" t="s">
        <v>153</v>
      </c>
      <c r="AA29" s="22" t="s">
        <v>153</v>
      </c>
      <c r="AB29" s="22" t="s">
        <v>153</v>
      </c>
      <c r="AC29" s="22" t="s">
        <v>153</v>
      </c>
      <c r="AD29" s="22" t="s">
        <v>153</v>
      </c>
      <c r="AE29" s="22" t="s">
        <v>153</v>
      </c>
      <c r="AF29" s="22" t="s">
        <v>153</v>
      </c>
      <c r="AG29" s="22" t="s">
        <v>153</v>
      </c>
      <c r="AH29" s="22" t="s">
        <v>155</v>
      </c>
      <c r="AI29" s="22" t="s">
        <v>155</v>
      </c>
      <c r="AJ29" s="22" t="s">
        <v>155</v>
      </c>
      <c r="AK29" s="22" t="s">
        <v>153</v>
      </c>
      <c r="AL29" s="22" t="s">
        <v>153</v>
      </c>
      <c r="AM29" s="22" t="s">
        <v>153</v>
      </c>
      <c r="AN29" s="22" t="s">
        <v>153</v>
      </c>
      <c r="AO29" s="22" t="s">
        <v>153</v>
      </c>
      <c r="AP29" s="22" t="s">
        <v>153</v>
      </c>
      <c r="AQ29" s="22" t="s">
        <v>153</v>
      </c>
      <c r="AR29" s="22" t="s">
        <v>153</v>
      </c>
      <c r="AS29" s="22" t="s">
        <v>155</v>
      </c>
      <c r="AT29" s="22" t="s">
        <v>153</v>
      </c>
      <c r="AU29" s="22" t="s">
        <v>153</v>
      </c>
      <c r="AV29" s="22" t="s">
        <v>153</v>
      </c>
      <c r="AW29" s="22" t="s">
        <v>156</v>
      </c>
      <c r="AX29" s="22" t="s">
        <v>156</v>
      </c>
      <c r="AY29" s="22" t="s">
        <v>153</v>
      </c>
      <c r="AZ29" s="22" t="s">
        <v>153</v>
      </c>
      <c r="BA29" s="22" t="s">
        <v>153</v>
      </c>
      <c r="BB29" s="22" t="s">
        <v>153</v>
      </c>
      <c r="BC29" s="22" t="s">
        <v>153</v>
      </c>
      <c r="BD29" s="22" t="s">
        <v>153</v>
      </c>
      <c r="BE29" s="22" t="s">
        <v>153</v>
      </c>
      <c r="BF29" s="22" t="s">
        <v>153</v>
      </c>
      <c r="BG29" s="22" t="s">
        <v>153</v>
      </c>
      <c r="BH29" s="22" t="s">
        <v>153</v>
      </c>
      <c r="BI29" s="22" t="s">
        <v>153</v>
      </c>
      <c r="BJ29" s="22" t="s">
        <v>153</v>
      </c>
      <c r="BK29" s="22" t="s">
        <v>153</v>
      </c>
      <c r="BL29" s="22" t="s">
        <v>153</v>
      </c>
      <c r="BM29" s="22" t="s">
        <v>153</v>
      </c>
      <c r="BN29" s="22" t="s">
        <v>157</v>
      </c>
      <c r="BO29" s="22" t="s">
        <v>153</v>
      </c>
      <c r="BP29" s="22" t="s">
        <v>153</v>
      </c>
      <c r="BQ29" s="22" t="s">
        <v>153</v>
      </c>
      <c r="BR29" s="22" t="s">
        <v>153</v>
      </c>
      <c r="BS29" s="22" t="s">
        <v>153</v>
      </c>
      <c r="BT29" s="22" t="s">
        <v>153</v>
      </c>
      <c r="BU29" s="22" t="s">
        <v>158</v>
      </c>
      <c r="BV29" s="22" t="s">
        <v>153</v>
      </c>
      <c r="BW29" s="22" t="s">
        <v>159</v>
      </c>
      <c r="BX29" s="22" t="s">
        <v>158</v>
      </c>
      <c r="BY29" s="22" t="s">
        <v>158</v>
      </c>
      <c r="BZ29" s="22" t="s">
        <v>158</v>
      </c>
      <c r="CA29" s="22" t="s">
        <v>158</v>
      </c>
      <c r="CB29" s="22" t="s">
        <v>158</v>
      </c>
      <c r="CC29" s="22" t="s">
        <v>159</v>
      </c>
      <c r="CD29" s="22" t="s">
        <v>159</v>
      </c>
      <c r="CE29" s="22" t="s">
        <v>159</v>
      </c>
      <c r="CF29" s="22" t="s">
        <v>160</v>
      </c>
      <c r="CG29" s="22" t="s">
        <v>159</v>
      </c>
      <c r="CH29" s="22" t="s">
        <v>159</v>
      </c>
      <c r="CI29" s="22" t="s">
        <v>159</v>
      </c>
      <c r="CJ29" s="22" t="s">
        <v>158</v>
      </c>
      <c r="CK29" s="22" t="s">
        <v>158</v>
      </c>
      <c r="CL29" s="22" t="s">
        <v>158</v>
      </c>
      <c r="CM29" s="22" t="s">
        <v>159</v>
      </c>
      <c r="CN29" s="22" t="s">
        <v>161</v>
      </c>
      <c r="CO29" s="22" t="s">
        <v>159</v>
      </c>
      <c r="CP29" s="22" t="s">
        <v>159</v>
      </c>
      <c r="CQ29" s="22" t="s">
        <v>161</v>
      </c>
      <c r="CR29" s="22" t="s">
        <v>161</v>
      </c>
      <c r="CS29" s="22" t="s">
        <v>159</v>
      </c>
      <c r="CT29" s="22" t="s">
        <v>159</v>
      </c>
      <c r="CU29" s="22" t="s">
        <v>159</v>
      </c>
      <c r="CV29" s="22" t="s">
        <v>159</v>
      </c>
      <c r="CW29" s="22" t="s">
        <v>159</v>
      </c>
      <c r="CX29" s="22" t="s">
        <v>159</v>
      </c>
      <c r="CY29" s="22" t="s">
        <v>162</v>
      </c>
      <c r="CZ29" s="22" t="s">
        <v>159</v>
      </c>
      <c r="DA29" s="22" t="s">
        <v>163</v>
      </c>
      <c r="DB29" s="22" t="s">
        <v>164</v>
      </c>
      <c r="DC29" s="22" t="s">
        <v>164</v>
      </c>
      <c r="DD29" s="22" t="s">
        <v>153</v>
      </c>
      <c r="DE29" s="22" t="s">
        <v>163</v>
      </c>
      <c r="DF29" s="22" t="s">
        <v>153</v>
      </c>
      <c r="DG29" s="22" t="s">
        <v>164</v>
      </c>
      <c r="DH29" s="22" t="s">
        <v>163</v>
      </c>
      <c r="DI29" s="22" t="s">
        <v>158</v>
      </c>
      <c r="DJ29" s="22" t="s">
        <v>165</v>
      </c>
      <c r="DK29" s="22" t="s">
        <v>158</v>
      </c>
      <c r="DL29" s="22" t="s">
        <v>158</v>
      </c>
      <c r="DM29" s="22" t="s">
        <v>158</v>
      </c>
      <c r="DN29" s="22" t="s">
        <v>158</v>
      </c>
      <c r="DO29" s="22" t="s">
        <v>158</v>
      </c>
      <c r="DP29" s="22" t="s">
        <v>158</v>
      </c>
      <c r="DQ29" s="22" t="s">
        <v>166</v>
      </c>
      <c r="DR29" s="22" t="s">
        <v>167</v>
      </c>
      <c r="DS29" s="22" t="s">
        <v>167</v>
      </c>
      <c r="DT29" s="22" t="s">
        <v>168</v>
      </c>
      <c r="DU29" s="22" t="s">
        <v>168</v>
      </c>
      <c r="DV29" s="22" t="s">
        <v>166</v>
      </c>
      <c r="DW29" s="22" t="s">
        <v>160</v>
      </c>
      <c r="DX29" s="22" t="s">
        <v>160</v>
      </c>
      <c r="DY29" s="22" t="s">
        <v>166</v>
      </c>
      <c r="DZ29" s="22" t="s">
        <v>162</v>
      </c>
      <c r="EA29" s="22" t="s">
        <v>166</v>
      </c>
      <c r="EB29" s="22" t="s">
        <v>166</v>
      </c>
      <c r="EC29" s="22" t="s">
        <v>161</v>
      </c>
      <c r="ED29" s="22" t="s">
        <v>161</v>
      </c>
      <c r="EE29" s="22" t="s">
        <v>166</v>
      </c>
      <c r="EF29" s="22" t="s">
        <v>166</v>
      </c>
    </row>
    <row r="30" spans="1:136">
      <c r="B30" s="21" t="s">
        <v>206</v>
      </c>
      <c r="C30" s="22">
        <v>2330</v>
      </c>
      <c r="D30" s="22">
        <v>2323</v>
      </c>
      <c r="E30" s="22">
        <v>2323</v>
      </c>
      <c r="F30" s="22">
        <v>2323</v>
      </c>
      <c r="G30" s="22">
        <v>2323</v>
      </c>
      <c r="H30" s="22">
        <v>2323</v>
      </c>
      <c r="I30" s="22">
        <v>2323</v>
      </c>
      <c r="J30" s="22">
        <v>2323</v>
      </c>
      <c r="K30" s="22">
        <v>2323</v>
      </c>
      <c r="L30" s="22">
        <v>2323</v>
      </c>
      <c r="M30" s="22">
        <v>2323</v>
      </c>
      <c r="N30" s="22">
        <v>2323</v>
      </c>
      <c r="O30" s="22">
        <v>2323</v>
      </c>
      <c r="P30" s="22">
        <v>2323</v>
      </c>
      <c r="Q30" s="22">
        <v>2323</v>
      </c>
      <c r="R30" s="22">
        <v>2323</v>
      </c>
      <c r="S30" s="22">
        <v>2323</v>
      </c>
      <c r="T30" s="22">
        <v>2323</v>
      </c>
      <c r="U30" s="22">
        <v>2323</v>
      </c>
      <c r="V30" s="22">
        <v>2323</v>
      </c>
      <c r="W30" s="22">
        <v>2323</v>
      </c>
      <c r="X30" s="22">
        <v>2323</v>
      </c>
      <c r="Y30" s="22">
        <v>2323</v>
      </c>
      <c r="Z30" s="22">
        <v>2323</v>
      </c>
      <c r="AA30" s="22">
        <v>2323</v>
      </c>
      <c r="AB30" s="22">
        <v>2323</v>
      </c>
      <c r="AC30" s="22">
        <v>2323</v>
      </c>
      <c r="AD30" s="22">
        <v>2323</v>
      </c>
      <c r="AE30" s="22">
        <v>2323</v>
      </c>
      <c r="AF30" s="22">
        <v>2323</v>
      </c>
      <c r="AG30" s="22">
        <v>1314</v>
      </c>
      <c r="AH30" s="22">
        <v>2330</v>
      </c>
      <c r="AI30" s="22">
        <v>2330</v>
      </c>
      <c r="AJ30" s="22">
        <v>2330</v>
      </c>
      <c r="AK30" s="22">
        <v>2323</v>
      </c>
      <c r="AL30" s="22">
        <v>2323</v>
      </c>
      <c r="AM30" s="22">
        <v>2323</v>
      </c>
      <c r="AN30" s="22">
        <v>2323</v>
      </c>
      <c r="AO30" s="22">
        <v>2323</v>
      </c>
      <c r="AP30" s="22">
        <v>2323</v>
      </c>
      <c r="AQ30" s="22">
        <v>2323</v>
      </c>
      <c r="AR30" s="22">
        <v>2323</v>
      </c>
      <c r="AS30" s="22">
        <v>2330</v>
      </c>
      <c r="AT30" s="22">
        <v>2323</v>
      </c>
      <c r="AU30" s="22">
        <v>2323</v>
      </c>
      <c r="AV30" s="22">
        <v>2323</v>
      </c>
      <c r="AW30" s="22">
        <v>3252</v>
      </c>
      <c r="AX30" s="22">
        <v>3252</v>
      </c>
      <c r="AY30" s="22">
        <v>3252</v>
      </c>
      <c r="AZ30" s="22">
        <v>3252</v>
      </c>
      <c r="BA30" s="22">
        <v>3252</v>
      </c>
      <c r="BB30" s="22">
        <v>3252</v>
      </c>
      <c r="BC30" s="22">
        <v>1906</v>
      </c>
      <c r="BD30" s="22">
        <v>1906</v>
      </c>
      <c r="BE30" s="22">
        <v>1906</v>
      </c>
      <c r="BF30" s="22">
        <v>3252</v>
      </c>
      <c r="BG30" s="22">
        <v>1906</v>
      </c>
      <c r="BH30" s="22">
        <v>1906</v>
      </c>
      <c r="BI30" s="22">
        <v>1906</v>
      </c>
      <c r="BJ30" s="22">
        <v>1906</v>
      </c>
      <c r="BK30" s="22">
        <v>8085</v>
      </c>
      <c r="BL30" s="22">
        <v>8085</v>
      </c>
      <c r="BM30" s="22">
        <v>2201</v>
      </c>
      <c r="BN30" s="22">
        <v>2330</v>
      </c>
      <c r="BO30" s="22">
        <v>8085</v>
      </c>
      <c r="BP30" s="22">
        <v>8085</v>
      </c>
      <c r="BQ30" s="22">
        <v>3252</v>
      </c>
      <c r="BR30" s="22">
        <v>2409</v>
      </c>
      <c r="BS30" s="22">
        <v>3252</v>
      </c>
      <c r="BT30" s="22">
        <v>3311</v>
      </c>
      <c r="BU30" s="22">
        <v>3311</v>
      </c>
      <c r="BV30" s="22">
        <v>2321</v>
      </c>
      <c r="BW30" s="22">
        <v>3252</v>
      </c>
      <c r="BX30" s="22">
        <v>3252</v>
      </c>
      <c r="BY30" s="22">
        <v>3252</v>
      </c>
      <c r="BZ30" s="22">
        <v>5608</v>
      </c>
      <c r="CA30" s="22">
        <v>5608</v>
      </c>
      <c r="CB30" s="22">
        <v>5608</v>
      </c>
      <c r="CC30" s="22">
        <v>1314</v>
      </c>
      <c r="CD30" s="22">
        <v>5608</v>
      </c>
      <c r="CE30" s="22">
        <v>2330</v>
      </c>
      <c r="CF30" s="22">
        <v>2330</v>
      </c>
      <c r="CG30" s="22">
        <v>1314</v>
      </c>
      <c r="CH30" s="22">
        <v>1314</v>
      </c>
      <c r="CI30" s="22">
        <v>3252</v>
      </c>
      <c r="CJ30" s="22">
        <v>3252</v>
      </c>
      <c r="CK30" s="22">
        <v>3252</v>
      </c>
      <c r="CL30" s="22">
        <v>3252</v>
      </c>
      <c r="CM30" s="22">
        <v>2330</v>
      </c>
      <c r="CN30" s="22">
        <v>3252</v>
      </c>
      <c r="CO30" s="22">
        <v>2330</v>
      </c>
      <c r="CP30" s="22">
        <v>2330</v>
      </c>
      <c r="CQ30" s="22">
        <v>3252</v>
      </c>
      <c r="CR30" s="22">
        <v>3252</v>
      </c>
      <c r="CS30" s="22">
        <v>2330</v>
      </c>
      <c r="CT30" s="22">
        <v>2330</v>
      </c>
      <c r="CU30" s="22">
        <v>2330</v>
      </c>
      <c r="CV30" s="22">
        <v>2330</v>
      </c>
      <c r="CW30" s="22">
        <v>2330</v>
      </c>
      <c r="CX30" s="22">
        <v>2330</v>
      </c>
      <c r="CY30" s="22">
        <v>1906</v>
      </c>
      <c r="CZ30" s="22">
        <v>2330</v>
      </c>
      <c r="DA30" s="22">
        <v>2330</v>
      </c>
      <c r="DB30" s="22">
        <v>2330</v>
      </c>
      <c r="DC30" s="22">
        <v>2330</v>
      </c>
      <c r="DD30" s="22">
        <v>1906</v>
      </c>
      <c r="DE30" s="22">
        <v>2330</v>
      </c>
      <c r="DF30" s="22">
        <v>2330</v>
      </c>
      <c r="DG30" s="22">
        <v>2330</v>
      </c>
      <c r="DH30" s="22">
        <v>2330</v>
      </c>
      <c r="DI30" s="22">
        <v>2330</v>
      </c>
      <c r="DJ30" s="22">
        <v>2330</v>
      </c>
      <c r="DK30" s="22">
        <v>2330</v>
      </c>
      <c r="DL30" s="22">
        <v>2330</v>
      </c>
      <c r="DM30" s="22">
        <v>2330</v>
      </c>
      <c r="DN30" s="22">
        <v>2330</v>
      </c>
      <c r="DO30" s="22">
        <v>2330</v>
      </c>
      <c r="DP30" s="22">
        <v>2330</v>
      </c>
      <c r="DQ30" s="22">
        <v>2330</v>
      </c>
      <c r="DR30" s="22">
        <v>1906</v>
      </c>
      <c r="DS30" s="22">
        <v>1314</v>
      </c>
      <c r="DT30" s="22">
        <v>2330</v>
      </c>
      <c r="DU30" s="22">
        <v>2330</v>
      </c>
      <c r="DV30" s="22">
        <v>2330</v>
      </c>
      <c r="DW30" s="22">
        <v>2330</v>
      </c>
      <c r="DX30" s="22">
        <v>2330</v>
      </c>
      <c r="DY30" s="22">
        <v>2330</v>
      </c>
      <c r="DZ30" s="22">
        <v>2330</v>
      </c>
      <c r="EA30" s="22">
        <v>2330</v>
      </c>
      <c r="EB30" s="22">
        <v>2330</v>
      </c>
      <c r="EC30" s="22">
        <v>1314</v>
      </c>
      <c r="ED30" s="22">
        <v>1312</v>
      </c>
      <c r="EE30" s="22">
        <v>2330</v>
      </c>
      <c r="EF30" s="22">
        <v>2330</v>
      </c>
    </row>
    <row r="31" spans="1:136">
      <c r="B31" s="21" t="s">
        <v>205</v>
      </c>
      <c r="C31" s="22" t="s">
        <v>169</v>
      </c>
      <c r="D31" s="22" t="s">
        <v>170</v>
      </c>
      <c r="E31" s="22" t="s">
        <v>170</v>
      </c>
      <c r="F31" s="22" t="s">
        <v>170</v>
      </c>
      <c r="G31" s="22" t="s">
        <v>170</v>
      </c>
      <c r="H31" s="22" t="s">
        <v>170</v>
      </c>
      <c r="I31" s="22" t="s">
        <v>170</v>
      </c>
      <c r="J31" s="22" t="s">
        <v>170</v>
      </c>
      <c r="K31" s="22" t="s">
        <v>170</v>
      </c>
      <c r="L31" s="22" t="s">
        <v>170</v>
      </c>
      <c r="M31" s="22" t="s">
        <v>170</v>
      </c>
      <c r="N31" s="22" t="s">
        <v>170</v>
      </c>
      <c r="O31" s="22" t="s">
        <v>170</v>
      </c>
      <c r="P31" s="22" t="s">
        <v>170</v>
      </c>
      <c r="Q31" s="22" t="s">
        <v>170</v>
      </c>
      <c r="R31" s="22" t="s">
        <v>170</v>
      </c>
      <c r="S31" s="22" t="s">
        <v>170</v>
      </c>
      <c r="T31" s="22" t="s">
        <v>170</v>
      </c>
      <c r="U31" s="22" t="s">
        <v>170</v>
      </c>
      <c r="V31" s="22" t="s">
        <v>170</v>
      </c>
      <c r="W31" s="22" t="s">
        <v>170</v>
      </c>
      <c r="X31" s="22" t="s">
        <v>170</v>
      </c>
      <c r="Y31" s="22" t="s">
        <v>170</v>
      </c>
      <c r="Z31" s="22" t="s">
        <v>170</v>
      </c>
      <c r="AA31" s="22" t="s">
        <v>170</v>
      </c>
      <c r="AB31" s="22" t="s">
        <v>170</v>
      </c>
      <c r="AC31" s="22" t="s">
        <v>170</v>
      </c>
      <c r="AD31" s="22" t="s">
        <v>170</v>
      </c>
      <c r="AE31" s="22" t="s">
        <v>170</v>
      </c>
      <c r="AF31" s="22" t="s">
        <v>170</v>
      </c>
      <c r="AG31" s="22" t="s">
        <v>171</v>
      </c>
      <c r="AH31" s="22" t="s">
        <v>169</v>
      </c>
      <c r="AI31" s="22" t="s">
        <v>169</v>
      </c>
      <c r="AJ31" s="22" t="s">
        <v>169</v>
      </c>
      <c r="AK31" s="22" t="s">
        <v>170</v>
      </c>
      <c r="AL31" s="22" t="s">
        <v>170</v>
      </c>
      <c r="AM31" s="22" t="s">
        <v>170</v>
      </c>
      <c r="AN31" s="22" t="s">
        <v>170</v>
      </c>
      <c r="AO31" s="22" t="s">
        <v>170</v>
      </c>
      <c r="AP31" s="22" t="s">
        <v>170</v>
      </c>
      <c r="AQ31" s="22" t="s">
        <v>170</v>
      </c>
      <c r="AR31" s="22" t="s">
        <v>170</v>
      </c>
      <c r="AS31" s="22" t="s">
        <v>169</v>
      </c>
      <c r="AT31" s="22" t="s">
        <v>170</v>
      </c>
      <c r="AU31" s="22" t="s">
        <v>170</v>
      </c>
      <c r="AV31" s="22" t="s">
        <v>170</v>
      </c>
      <c r="AW31" s="22" t="s">
        <v>172</v>
      </c>
      <c r="AX31" s="22" t="s">
        <v>172</v>
      </c>
      <c r="AY31" s="22" t="s">
        <v>172</v>
      </c>
      <c r="AZ31" s="22" t="s">
        <v>172</v>
      </c>
      <c r="BA31" s="22" t="s">
        <v>172</v>
      </c>
      <c r="BB31" s="22" t="s">
        <v>172</v>
      </c>
      <c r="BC31" s="22" t="s">
        <v>173</v>
      </c>
      <c r="BD31" s="22" t="s">
        <v>173</v>
      </c>
      <c r="BE31" s="22" t="s">
        <v>173</v>
      </c>
      <c r="BF31" s="22" t="s">
        <v>172</v>
      </c>
      <c r="BG31" s="22" t="s">
        <v>173</v>
      </c>
      <c r="BH31" s="22" t="s">
        <v>173</v>
      </c>
      <c r="BI31" s="22" t="s">
        <v>173</v>
      </c>
      <c r="BJ31" s="22" t="s">
        <v>173</v>
      </c>
      <c r="BK31" s="22" t="s">
        <v>174</v>
      </c>
      <c r="BL31" s="22" t="s">
        <v>174</v>
      </c>
      <c r="BM31" s="22" t="s">
        <v>175</v>
      </c>
      <c r="BN31" s="22" t="s">
        <v>169</v>
      </c>
      <c r="BO31" s="22" t="s">
        <v>174</v>
      </c>
      <c r="BP31" s="22" t="s">
        <v>174</v>
      </c>
      <c r="BQ31" s="22" t="s">
        <v>172</v>
      </c>
      <c r="BR31" s="22" t="s">
        <v>176</v>
      </c>
      <c r="BS31" s="22" t="s">
        <v>172</v>
      </c>
      <c r="BT31" s="22" t="s">
        <v>177</v>
      </c>
      <c r="BU31" s="22" t="s">
        <v>177</v>
      </c>
      <c r="BV31" s="22" t="s">
        <v>166</v>
      </c>
      <c r="BW31" s="22" t="s">
        <v>172</v>
      </c>
      <c r="BX31" s="22" t="s">
        <v>172</v>
      </c>
      <c r="BY31" s="22" t="s">
        <v>172</v>
      </c>
      <c r="BZ31" s="22" t="s">
        <v>178</v>
      </c>
      <c r="CA31" s="22" t="s">
        <v>178</v>
      </c>
      <c r="CB31" s="22" t="s">
        <v>178</v>
      </c>
      <c r="CC31" s="22" t="s">
        <v>171</v>
      </c>
      <c r="CD31" s="22" t="s">
        <v>178</v>
      </c>
      <c r="CE31" s="22" t="s">
        <v>169</v>
      </c>
      <c r="CF31" s="22" t="s">
        <v>169</v>
      </c>
      <c r="CG31" s="22" t="s">
        <v>171</v>
      </c>
      <c r="CH31" s="22" t="s">
        <v>171</v>
      </c>
      <c r="CI31" s="22" t="s">
        <v>172</v>
      </c>
      <c r="CJ31" s="22" t="s">
        <v>172</v>
      </c>
      <c r="CK31" s="22" t="s">
        <v>172</v>
      </c>
      <c r="CL31" s="22" t="s">
        <v>172</v>
      </c>
      <c r="CM31" s="22" t="s">
        <v>169</v>
      </c>
      <c r="CN31" s="22" t="s">
        <v>172</v>
      </c>
      <c r="CO31" s="22" t="s">
        <v>169</v>
      </c>
      <c r="CP31" s="22" t="s">
        <v>169</v>
      </c>
      <c r="CQ31" s="22" t="s">
        <v>172</v>
      </c>
      <c r="CR31" s="22" t="s">
        <v>172</v>
      </c>
      <c r="CS31" s="22" t="s">
        <v>169</v>
      </c>
      <c r="CT31" s="22" t="s">
        <v>169</v>
      </c>
      <c r="CU31" s="22" t="s">
        <v>169</v>
      </c>
      <c r="CV31" s="22" t="s">
        <v>169</v>
      </c>
      <c r="CW31" s="22" t="s">
        <v>169</v>
      </c>
      <c r="CX31" s="22" t="s">
        <v>169</v>
      </c>
      <c r="CY31" s="22" t="s">
        <v>173</v>
      </c>
      <c r="CZ31" s="22" t="s">
        <v>169</v>
      </c>
      <c r="DA31" s="22" t="s">
        <v>169</v>
      </c>
      <c r="DB31" s="22" t="s">
        <v>169</v>
      </c>
      <c r="DC31" s="22" t="s">
        <v>169</v>
      </c>
      <c r="DD31" s="22" t="s">
        <v>173</v>
      </c>
      <c r="DE31" s="22" t="s">
        <v>169</v>
      </c>
      <c r="DF31" s="22" t="s">
        <v>169</v>
      </c>
      <c r="DG31" s="22" t="s">
        <v>169</v>
      </c>
      <c r="DH31" s="22" t="s">
        <v>169</v>
      </c>
      <c r="DI31" s="22" t="s">
        <v>169</v>
      </c>
      <c r="DJ31" s="22" t="s">
        <v>169</v>
      </c>
      <c r="DK31" s="22" t="s">
        <v>169</v>
      </c>
      <c r="DL31" s="22" t="s">
        <v>169</v>
      </c>
      <c r="DM31" s="22" t="s">
        <v>169</v>
      </c>
      <c r="DN31" s="22" t="s">
        <v>169</v>
      </c>
      <c r="DO31" s="22" t="s">
        <v>169</v>
      </c>
      <c r="DP31" s="22" t="s">
        <v>169</v>
      </c>
      <c r="DQ31" s="22" t="s">
        <v>169</v>
      </c>
      <c r="DR31" s="22" t="s">
        <v>173</v>
      </c>
      <c r="DS31" s="22" t="s">
        <v>171</v>
      </c>
      <c r="DT31" s="22" t="s">
        <v>169</v>
      </c>
      <c r="DU31" s="22" t="s">
        <v>169</v>
      </c>
      <c r="DV31" s="22" t="s">
        <v>169</v>
      </c>
      <c r="DW31" s="22" t="s">
        <v>169</v>
      </c>
      <c r="DX31" s="22" t="s">
        <v>169</v>
      </c>
      <c r="DY31" s="22" t="s">
        <v>169</v>
      </c>
      <c r="DZ31" s="22" t="s">
        <v>169</v>
      </c>
      <c r="EA31" s="22" t="s">
        <v>169</v>
      </c>
      <c r="EB31" s="22" t="s">
        <v>169</v>
      </c>
      <c r="EC31" s="22" t="s">
        <v>171</v>
      </c>
      <c r="ED31" s="22" t="s">
        <v>179</v>
      </c>
      <c r="EE31" s="22" t="s">
        <v>169</v>
      </c>
      <c r="EF31" s="22" t="s">
        <v>169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6"/>
  <sheetViews>
    <sheetView tabSelected="1" topLeftCell="DV1" zoomScale="150" zoomScaleNormal="85" workbookViewId="0">
      <selection activeCell="EI12" sqref="EI12:EI24"/>
    </sheetView>
  </sheetViews>
  <sheetFormatPr baseColWidth="10" defaultColWidth="8.83203125" defaultRowHeight="15"/>
  <sheetData>
    <row r="1" spans="1:139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9">
      <c r="A3" s="1"/>
      <c r="B3" s="2" t="s">
        <v>136</v>
      </c>
      <c r="C3" s="13">
        <v>5.723077803850174E-2</v>
      </c>
      <c r="D3" s="13">
        <v>7.545451819896698E-2</v>
      </c>
      <c r="E3" s="13">
        <v>5.3419496864080429E-2</v>
      </c>
      <c r="F3" s="13">
        <v>4.8055462539196007E-2</v>
      </c>
      <c r="G3" s="13">
        <v>5.6244600564241409E-2</v>
      </c>
      <c r="H3" s="13">
        <v>5.3408809006214142E-2</v>
      </c>
      <c r="I3" s="13">
        <v>5.4677728563547127E-2</v>
      </c>
      <c r="J3" s="13">
        <v>6.1407111585140228E-2</v>
      </c>
      <c r="K3" s="13">
        <v>6.1087191104888923E-2</v>
      </c>
      <c r="L3" s="13">
        <v>6.1945471912622452E-2</v>
      </c>
      <c r="M3" s="13">
        <v>6.4090974628925323E-2</v>
      </c>
      <c r="N3" s="13">
        <v>5.0166409462690353E-2</v>
      </c>
      <c r="O3" s="13">
        <v>5.0939202308654792E-2</v>
      </c>
      <c r="P3" s="13">
        <v>5.3945809602737427E-2</v>
      </c>
      <c r="Q3" s="13">
        <v>5.463515967130661E-2</v>
      </c>
      <c r="R3" s="13">
        <v>5.4097041487693787E-2</v>
      </c>
      <c r="S3" s="13">
        <v>5.4209418594837189E-2</v>
      </c>
      <c r="T3" s="13">
        <v>5.6115321815013892E-2</v>
      </c>
      <c r="U3" s="13">
        <v>5.4694335907697678E-2</v>
      </c>
      <c r="V3" s="13">
        <v>5.5520310997962952E-2</v>
      </c>
      <c r="W3" s="13">
        <v>5.7895615696907043E-2</v>
      </c>
      <c r="X3" s="13">
        <v>5.6128561496734619E-2</v>
      </c>
      <c r="Y3" s="13">
        <v>5.4498970508575439E-2</v>
      </c>
      <c r="Z3" s="13">
        <v>5.640922486782074E-2</v>
      </c>
      <c r="AA3" s="13">
        <v>5.4687082767486572E-2</v>
      </c>
      <c r="AB3" s="13">
        <v>5.4479975253343582E-2</v>
      </c>
      <c r="AC3" s="13">
        <v>5.7393115013837807E-2</v>
      </c>
      <c r="AD3" s="13">
        <v>5.7433716952800751E-2</v>
      </c>
      <c r="AE3" s="13">
        <v>4.2686142027378082E-2</v>
      </c>
      <c r="AF3" s="13">
        <v>5.614069476723671E-2</v>
      </c>
      <c r="AG3" s="13">
        <v>5.5614285171031952E-2</v>
      </c>
      <c r="AH3" s="13">
        <v>2.0760968327522281E-2</v>
      </c>
      <c r="AI3" s="13">
        <v>2.509923838078976E-2</v>
      </c>
      <c r="AJ3" s="13">
        <v>2.919439785182476E-2</v>
      </c>
      <c r="AK3" s="13">
        <v>3.0455950647592541E-2</v>
      </c>
      <c r="AL3" s="13">
        <v>3.425038605928421E-2</v>
      </c>
      <c r="AM3" s="13">
        <v>3.9540499448776252E-2</v>
      </c>
      <c r="AN3" s="13">
        <v>4.3252840638160713E-2</v>
      </c>
      <c r="AO3" s="13">
        <v>4.4728361070156097E-2</v>
      </c>
      <c r="AP3" s="13">
        <v>4.2892593890428543E-2</v>
      </c>
      <c r="AQ3" s="13">
        <v>4.543033242225647E-2</v>
      </c>
      <c r="AR3" s="13">
        <v>4.4913444668054581E-2</v>
      </c>
      <c r="AS3" s="13">
        <v>4.8380430787801743E-2</v>
      </c>
      <c r="AT3" s="13">
        <v>4.19180728495121E-2</v>
      </c>
      <c r="AU3" s="13">
        <v>4.1785150766372681E-2</v>
      </c>
      <c r="AV3" s="13">
        <v>4.3081630021333688E-2</v>
      </c>
      <c r="AW3" s="13">
        <v>4.6142738312482827E-2</v>
      </c>
      <c r="AX3" s="13">
        <v>4.5525301247835159E-2</v>
      </c>
      <c r="AY3" s="13">
        <v>4.7935985028743737E-2</v>
      </c>
      <c r="AZ3" s="13">
        <v>4.1659116744995117E-2</v>
      </c>
      <c r="BA3" s="13">
        <v>3.8711324334144592E-2</v>
      </c>
      <c r="BB3" s="13">
        <v>3.8947168737649918E-2</v>
      </c>
      <c r="BC3" s="13">
        <v>4.2427822947502143E-2</v>
      </c>
      <c r="BD3" s="13">
        <v>4.4051360338926322E-2</v>
      </c>
      <c r="BE3" s="13">
        <v>4.56375852227211E-2</v>
      </c>
      <c r="BF3" s="13">
        <v>4.8670642077922821E-2</v>
      </c>
      <c r="BG3" s="13">
        <v>4.9968019127845757E-2</v>
      </c>
      <c r="BH3" s="13">
        <v>5.1808405667543411E-2</v>
      </c>
      <c r="BI3" s="13">
        <v>5.0584189593791962E-2</v>
      </c>
      <c r="BJ3" s="13">
        <v>5.2059561014175422E-2</v>
      </c>
      <c r="BK3" s="13">
        <v>5.2372250705957413E-2</v>
      </c>
      <c r="BL3" s="13">
        <v>5.0854671746492393E-2</v>
      </c>
      <c r="BM3" s="13">
        <v>5.2194196730852127E-2</v>
      </c>
      <c r="BN3" s="13">
        <v>5.6162696331739433E-2</v>
      </c>
      <c r="BO3" s="13">
        <v>5.4506797343492508E-2</v>
      </c>
      <c r="BP3" s="13">
        <v>4.0165632963180542E-2</v>
      </c>
      <c r="BQ3" s="13">
        <v>5.2233844995498657E-2</v>
      </c>
      <c r="BR3" s="13">
        <v>3.6525636911392212E-2</v>
      </c>
      <c r="BS3" s="13">
        <v>5.2801784127950668E-2</v>
      </c>
      <c r="BT3" s="13">
        <v>4.8056013882160187E-2</v>
      </c>
      <c r="BU3" s="13">
        <v>-9.9144220352172852E-2</v>
      </c>
      <c r="BV3" s="13">
        <v>5.2249498665332787E-2</v>
      </c>
      <c r="BW3" s="13">
        <v>3.9474610239267349E-2</v>
      </c>
      <c r="BX3" s="13">
        <v>4.7410383820533752E-2</v>
      </c>
      <c r="BY3" s="13">
        <v>4.704391211271286E-2</v>
      </c>
      <c r="BZ3" s="13">
        <v>4.6114489436149597E-2</v>
      </c>
      <c r="CA3" s="13">
        <v>4.2742863297462463E-2</v>
      </c>
      <c r="CB3" s="13">
        <v>3.8489740341901779E-2</v>
      </c>
      <c r="CC3" s="13">
        <v>3.745705634355545E-2</v>
      </c>
      <c r="CD3" s="13">
        <v>3.9794288575649261E-2</v>
      </c>
      <c r="CE3" s="13">
        <v>3.74956876039505E-2</v>
      </c>
      <c r="CF3" s="13">
        <v>2.513935416936874E-2</v>
      </c>
      <c r="CG3" s="13">
        <v>3.5978682339191437E-2</v>
      </c>
      <c r="CH3" s="13">
        <v>3.177894651889801E-2</v>
      </c>
      <c r="CI3" s="13">
        <v>3.4042399376630783E-2</v>
      </c>
      <c r="CJ3" s="13">
        <v>3.8737695664167397E-2</v>
      </c>
      <c r="CK3" s="13">
        <v>3.9908383041620248E-2</v>
      </c>
      <c r="CL3" s="13">
        <v>3.7117619067430503E-2</v>
      </c>
      <c r="CM3" s="13">
        <v>1.7108667641878132E-2</v>
      </c>
      <c r="CN3" s="13">
        <v>4.0649183094501502E-2</v>
      </c>
      <c r="CO3" s="13">
        <v>2.8012029826641079E-2</v>
      </c>
      <c r="CP3" s="13">
        <v>6.033631507307291E-3</v>
      </c>
      <c r="CQ3" s="13">
        <v>3.3265896141529083E-2</v>
      </c>
      <c r="CR3" s="13">
        <v>3.3467646688222892E-2</v>
      </c>
      <c r="CS3" s="13">
        <v>2.295568585395813E-2</v>
      </c>
      <c r="CT3" s="13">
        <v>1.8620189279317859E-2</v>
      </c>
      <c r="CU3" s="13">
        <v>1.673657447099686E-2</v>
      </c>
      <c r="CV3" s="13">
        <v>8.8566392660140991E-3</v>
      </c>
      <c r="CW3" s="13">
        <v>1.8140114843845371E-2</v>
      </c>
      <c r="CX3" s="13">
        <v>2.3012114688754082E-2</v>
      </c>
      <c r="CY3" s="13">
        <v>2.5537870824337009E-2</v>
      </c>
      <c r="CZ3" s="13">
        <v>-1.074089854955673E-2</v>
      </c>
      <c r="DA3" s="13">
        <v>1.7809309065341949E-2</v>
      </c>
      <c r="DB3" s="13">
        <v>3.122199326753616E-2</v>
      </c>
      <c r="DC3" s="13">
        <v>9.9241826683282852E-3</v>
      </c>
      <c r="DD3" s="13">
        <v>3.3772524446249008E-2</v>
      </c>
      <c r="DE3" s="13">
        <v>2.3819208145141602E-2</v>
      </c>
      <c r="DF3" s="13">
        <v>2.5578401982784271E-2</v>
      </c>
      <c r="DG3" s="13">
        <v>1.3096854090690609E-2</v>
      </c>
      <c r="DH3" s="13">
        <v>2.5391291826963421E-2</v>
      </c>
      <c r="DI3" s="13">
        <v>2.3517698049545292E-2</v>
      </c>
      <c r="DJ3" s="13">
        <v>3.1970106065273281E-3</v>
      </c>
      <c r="DK3" s="13">
        <v>6.1636377358809114E-4</v>
      </c>
      <c r="DL3" s="13">
        <v>5.1844632253050804E-3</v>
      </c>
      <c r="DM3" s="13">
        <v>2.578671462833881E-2</v>
      </c>
      <c r="DN3" s="13">
        <v>9.7193727269768715E-3</v>
      </c>
      <c r="DO3" s="13">
        <v>2.619513776153326E-3</v>
      </c>
      <c r="DP3" s="13">
        <v>-4.3171625584363937E-3</v>
      </c>
      <c r="DQ3" s="13">
        <v>2.6535039767622951E-2</v>
      </c>
      <c r="DR3" s="13">
        <v>3.2421927899122238E-2</v>
      </c>
      <c r="DS3" s="13">
        <v>2.6365883648395538E-2</v>
      </c>
      <c r="DT3" s="13">
        <v>1.8022846430540081E-2</v>
      </c>
      <c r="DU3" s="13">
        <v>2.060607448220253E-2</v>
      </c>
      <c r="DV3" s="13">
        <v>2.3552460595965389E-2</v>
      </c>
      <c r="DW3" s="13">
        <v>2.1600417792797089E-2</v>
      </c>
      <c r="DX3" s="13">
        <v>1.422623824328184E-2</v>
      </c>
      <c r="DY3" s="13">
        <v>1.5565707348287111E-2</v>
      </c>
      <c r="DZ3" s="13">
        <v>1.340680755674839E-2</v>
      </c>
      <c r="EA3" s="13">
        <v>4.9481242895126343E-3</v>
      </c>
      <c r="EB3" s="13">
        <v>-1.2768213637173179E-2</v>
      </c>
      <c r="EC3" s="13">
        <v>3.6291155964136117E-2</v>
      </c>
      <c r="ED3" s="13">
        <v>2.4168495088815689E-2</v>
      </c>
      <c r="EE3" s="13">
        <v>2.1592959761619571E-2</v>
      </c>
      <c r="EF3" s="13">
        <v>2.6417184621095661E-2</v>
      </c>
    </row>
    <row r="4" spans="1:139">
      <c r="A4" s="1"/>
      <c r="B4" s="2" t="s">
        <v>137</v>
      </c>
      <c r="C4" s="13">
        <v>-8.5349172353744507E-2</v>
      </c>
      <c r="D4" s="13">
        <v>-5.1032040268182748E-2</v>
      </c>
      <c r="E4" s="13">
        <v>-2.3255964741110802E-2</v>
      </c>
      <c r="F4" s="13">
        <v>-3.055583126842976E-2</v>
      </c>
      <c r="G4" s="13">
        <v>-4.1839469224214547E-2</v>
      </c>
      <c r="H4" s="13">
        <v>-2.726390399038792E-2</v>
      </c>
      <c r="I4" s="13">
        <v>-4.8288546502590179E-2</v>
      </c>
      <c r="J4" s="13">
        <v>-3.7313267588615417E-2</v>
      </c>
      <c r="K4" s="13">
        <v>-3.7903524935245507E-2</v>
      </c>
      <c r="L4" s="13">
        <v>-3.7348430603742599E-2</v>
      </c>
      <c r="M4" s="13">
        <v>-3.7616446614265442E-2</v>
      </c>
      <c r="N4" s="13">
        <v>-3.742402046918869E-2</v>
      </c>
      <c r="O4" s="13">
        <v>-3.4556981176137917E-2</v>
      </c>
      <c r="P4" s="13">
        <v>-3.450281172990799E-2</v>
      </c>
      <c r="Q4" s="13">
        <v>-2.779831551015377E-2</v>
      </c>
      <c r="R4" s="13">
        <v>-2.6597736403346062E-2</v>
      </c>
      <c r="S4" s="13">
        <v>-2.858461253345013E-2</v>
      </c>
      <c r="T4" s="13">
        <v>-2.921631932258606E-2</v>
      </c>
      <c r="U4" s="13">
        <v>-2.885173074901104E-2</v>
      </c>
      <c r="V4" s="13">
        <v>-2.8718717396259311E-2</v>
      </c>
      <c r="W4" s="13">
        <v>-2.587226964533329E-2</v>
      </c>
      <c r="X4" s="13">
        <v>-2.8767423704266552E-2</v>
      </c>
      <c r="Y4" s="13">
        <v>-2.8886387124657631E-2</v>
      </c>
      <c r="Z4" s="13">
        <v>-3.020281903445721E-2</v>
      </c>
      <c r="AA4" s="13">
        <v>-2.969782613217831E-2</v>
      </c>
      <c r="AB4" s="13">
        <v>-2.9449734836816791E-2</v>
      </c>
      <c r="AC4" s="13">
        <v>-1.9321048632264141E-2</v>
      </c>
      <c r="AD4" s="13">
        <v>-2.8943898156285289E-2</v>
      </c>
      <c r="AE4" s="13">
        <v>-2.9567476361989972E-2</v>
      </c>
      <c r="AF4" s="13">
        <v>-2.856354787945747E-2</v>
      </c>
      <c r="AG4" s="13">
        <v>-2.832365408539772E-2</v>
      </c>
      <c r="AH4" s="13">
        <v>-2.73332130163908E-2</v>
      </c>
      <c r="AI4" s="13">
        <v>-3.7235941737890237E-2</v>
      </c>
      <c r="AJ4" s="13">
        <v>-3.4088630229234702E-2</v>
      </c>
      <c r="AK4" s="13">
        <v>-2.7424490079283711E-2</v>
      </c>
      <c r="AL4" s="13">
        <v>-2.4591473862528801E-2</v>
      </c>
      <c r="AM4" s="13">
        <v>-2.9777821153402328E-2</v>
      </c>
      <c r="AN4" s="13">
        <v>-3.3753968775272369E-2</v>
      </c>
      <c r="AO4" s="13">
        <v>-3.5720217972993851E-2</v>
      </c>
      <c r="AP4" s="13">
        <v>-1.8044905737042431E-2</v>
      </c>
      <c r="AQ4" s="13">
        <v>-2.374198846518993E-2</v>
      </c>
      <c r="AR4" s="13">
        <v>-3.8850482553243637E-2</v>
      </c>
      <c r="AS4" s="13">
        <v>-0.1345172971487045</v>
      </c>
      <c r="AT4" s="13">
        <v>-2.8492949903011319E-2</v>
      </c>
      <c r="AU4" s="13">
        <v>-3.0869178473949429E-2</v>
      </c>
      <c r="AV4" s="13">
        <v>-3.2064013183116913E-2</v>
      </c>
      <c r="AW4" s="13">
        <v>-2.6232475414872169E-2</v>
      </c>
      <c r="AX4" s="13">
        <v>-2.647383883595467E-2</v>
      </c>
      <c r="AY4" s="13">
        <v>-3.400053083896637E-2</v>
      </c>
      <c r="AZ4" s="13">
        <v>-2.7450913563370701E-2</v>
      </c>
      <c r="BA4" s="13">
        <v>-3.1005732715129849E-2</v>
      </c>
      <c r="BB4" s="13">
        <v>-3.3746343106031418E-2</v>
      </c>
      <c r="BC4" s="13">
        <v>-3.1035987660288811E-2</v>
      </c>
      <c r="BD4" s="13">
        <v>-3.058777749538422E-2</v>
      </c>
      <c r="BE4" s="13">
        <v>-3.2944157719612122E-2</v>
      </c>
      <c r="BF4" s="13">
        <v>-3.123846277594566E-2</v>
      </c>
      <c r="BG4" s="13">
        <v>-3.2052598893642432E-2</v>
      </c>
      <c r="BH4" s="13">
        <v>-3.055793792009354E-2</v>
      </c>
      <c r="BI4" s="13">
        <v>-3.1080937013030049E-2</v>
      </c>
      <c r="BJ4" s="13">
        <v>-3.0351296067237851E-2</v>
      </c>
      <c r="BK4" s="13">
        <v>-3.2760027796030038E-2</v>
      </c>
      <c r="BL4" s="13">
        <v>-3.1334664672613137E-2</v>
      </c>
      <c r="BM4" s="13">
        <v>-3.1740568578243263E-2</v>
      </c>
      <c r="BN4" s="13">
        <v>7.9825639724731445E-2</v>
      </c>
      <c r="BO4" s="13">
        <v>-2.2437060251832008E-2</v>
      </c>
      <c r="BP4" s="13">
        <v>-3.7594955414533622E-2</v>
      </c>
      <c r="BQ4" s="13">
        <v>-3.291790559887886E-2</v>
      </c>
      <c r="BR4" s="13">
        <v>-1.2001144699752331E-2</v>
      </c>
      <c r="BS4" s="13">
        <v>-1.3084841892123221E-2</v>
      </c>
      <c r="BT4" s="13">
        <v>-2.6131108403205872E-2</v>
      </c>
      <c r="BU4" s="13">
        <v>-3.5951588302850723E-2</v>
      </c>
      <c r="BV4" s="13">
        <v>-3.3736389130353928E-2</v>
      </c>
      <c r="BW4" s="13">
        <v>-2.4462303146719929E-2</v>
      </c>
      <c r="BX4" s="13">
        <v>-3.2545313239097602E-2</v>
      </c>
      <c r="BY4" s="13">
        <v>-3.1732853502035141E-2</v>
      </c>
      <c r="BZ4" s="13">
        <v>-3.5243522375822067E-2</v>
      </c>
      <c r="CA4" s="13">
        <v>-3.2394681125879288E-2</v>
      </c>
      <c r="CB4" s="13">
        <v>-2.393621951341629E-2</v>
      </c>
      <c r="CC4" s="13">
        <v>-2.886332385241985E-2</v>
      </c>
      <c r="CD4" s="13">
        <v>-2.6372920721769329E-2</v>
      </c>
      <c r="CE4" s="13">
        <v>-4.0299050509929657E-2</v>
      </c>
      <c r="CF4" s="13">
        <v>-3.2261207699775703E-2</v>
      </c>
      <c r="CG4" s="13">
        <v>-2.9903111979365349E-2</v>
      </c>
      <c r="CH4" s="13">
        <v>-3.120617009699345E-2</v>
      </c>
      <c r="CI4" s="13">
        <v>-3.1554944813251502E-2</v>
      </c>
      <c r="CJ4" s="13">
        <v>-3.2127730548381812E-2</v>
      </c>
      <c r="CK4" s="13">
        <v>-3.1585942953824997E-2</v>
      </c>
      <c r="CL4" s="13">
        <v>-3.109020926058292E-2</v>
      </c>
      <c r="CM4" s="13">
        <v>-3.116690926253796E-2</v>
      </c>
      <c r="CN4" s="13">
        <v>-3.068649023771286E-2</v>
      </c>
      <c r="CO4" s="13">
        <v>-3.051175735890865E-2</v>
      </c>
      <c r="CP4" s="13">
        <v>-3.0179880559444431E-2</v>
      </c>
      <c r="CQ4" s="13">
        <v>-3.0264537781476971E-2</v>
      </c>
      <c r="CR4" s="13">
        <v>-3.0227817595005039E-2</v>
      </c>
      <c r="CS4" s="13">
        <v>-3.038875758647919E-2</v>
      </c>
      <c r="CT4" s="13">
        <v>-2.237749099731445E-2</v>
      </c>
      <c r="CU4" s="13">
        <v>-2.6706485077738758E-2</v>
      </c>
      <c r="CV4" s="13">
        <v>-2.821129746735096E-2</v>
      </c>
      <c r="CW4" s="13">
        <v>-3.3567264676094062E-2</v>
      </c>
      <c r="CX4" s="13">
        <v>-2.7859419584274289E-2</v>
      </c>
      <c r="CY4" s="13">
        <v>-2.30282973498106E-2</v>
      </c>
      <c r="CZ4" s="13">
        <v>-2.6201611384749409E-2</v>
      </c>
      <c r="DA4" s="13">
        <v>-2.9583510011434559E-2</v>
      </c>
      <c r="DB4" s="13">
        <v>-3.3195734024047852E-2</v>
      </c>
      <c r="DC4" s="13">
        <v>-3.1532101333141327E-2</v>
      </c>
      <c r="DD4" s="13">
        <v>-2.9648697003722191E-2</v>
      </c>
      <c r="DE4" s="13">
        <v>-2.8857935220003132E-2</v>
      </c>
      <c r="DF4" s="13">
        <v>-2.8399249538779259E-2</v>
      </c>
      <c r="DG4" s="13">
        <v>-2.6426361873745918E-2</v>
      </c>
      <c r="DH4" s="13">
        <v>-3.0645843595266339E-2</v>
      </c>
      <c r="DI4" s="13">
        <v>-2.9881417751312259E-2</v>
      </c>
      <c r="DJ4" s="13">
        <v>-2.9596960172057148E-2</v>
      </c>
      <c r="DK4" s="13">
        <v>-2.841122634708881E-2</v>
      </c>
      <c r="DL4" s="13">
        <v>-3.0489476397633549E-2</v>
      </c>
      <c r="DM4" s="13">
        <v>-2.7597028762102131E-2</v>
      </c>
      <c r="DN4" s="13">
        <v>-2.8250575065612789E-2</v>
      </c>
      <c r="DO4" s="13">
        <v>-2.7726072818040851E-2</v>
      </c>
      <c r="DP4" s="13">
        <v>-2.715402282774448E-2</v>
      </c>
      <c r="DQ4" s="13">
        <v>-2.6989534497261051E-2</v>
      </c>
      <c r="DR4" s="13">
        <v>-2.888492681086063E-2</v>
      </c>
      <c r="DS4" s="13">
        <v>-2.6225227862596508E-2</v>
      </c>
      <c r="DT4" s="13">
        <v>-0.14326423406600949</v>
      </c>
      <c r="DU4" s="13">
        <v>-4.3057508766651147E-2</v>
      </c>
      <c r="DV4" s="13">
        <v>-3.2543007284402847E-2</v>
      </c>
      <c r="DW4" s="13">
        <v>-2.724632807075977E-2</v>
      </c>
      <c r="DX4" s="13">
        <v>-2.7451477944850922E-2</v>
      </c>
      <c r="DY4" s="13">
        <v>-2.8264472261071209E-2</v>
      </c>
      <c r="DZ4" s="13">
        <v>-2.418005466461182E-2</v>
      </c>
      <c r="EA4" s="13">
        <v>-2.6992777362465858E-2</v>
      </c>
      <c r="EB4" s="13">
        <v>-2.6342380791902539E-2</v>
      </c>
      <c r="EC4" s="13">
        <v>-2.8216563165187839E-2</v>
      </c>
      <c r="ED4" s="13">
        <v>-2.399775572121143E-2</v>
      </c>
      <c r="EE4" s="13">
        <v>-3.5310320556163788E-2</v>
      </c>
      <c r="EF4" s="13">
        <v>-2.9033292084932331E-2</v>
      </c>
    </row>
    <row r="5" spans="1:139">
      <c r="A5" s="1"/>
      <c r="B5" s="2" t="s">
        <v>138</v>
      </c>
      <c r="C5" s="13">
        <v>3.8081712555140261E-3</v>
      </c>
      <c r="D5" s="13">
        <v>-5.4777832701802254E-3</v>
      </c>
      <c r="E5" s="13">
        <v>-5.4900660179555416E-3</v>
      </c>
      <c r="F5" s="13">
        <v>-5.114563275128603E-3</v>
      </c>
      <c r="G5" s="13">
        <v>-7.764030247926712E-3</v>
      </c>
      <c r="H5" s="13">
        <v>-7.2011286392807961E-3</v>
      </c>
      <c r="I5" s="13">
        <v>-6.3504916615784168E-3</v>
      </c>
      <c r="J5" s="13">
        <v>-6.4376979134976864E-3</v>
      </c>
      <c r="K5" s="13">
        <v>-7.2753257118165493E-3</v>
      </c>
      <c r="L5" s="13">
        <v>-7.4702142737805843E-3</v>
      </c>
      <c r="M5" s="13">
        <v>-5.9039127081632614E-3</v>
      </c>
      <c r="N5" s="13">
        <v>1.2302654795348641E-2</v>
      </c>
      <c r="O5" s="13">
        <v>2.0934619009494781E-2</v>
      </c>
      <c r="P5" s="13">
        <v>2.7155191637575631E-3</v>
      </c>
      <c r="Q5" s="13">
        <v>3.0463424045592551E-3</v>
      </c>
      <c r="R5" s="13">
        <v>-4.8635075800120831E-3</v>
      </c>
      <c r="S5" s="13">
        <v>-1.6708682524040339E-3</v>
      </c>
      <c r="T5" s="13">
        <v>4.1404878720641136E-3</v>
      </c>
      <c r="U5" s="13">
        <v>2.761553972959518E-3</v>
      </c>
      <c r="V5" s="13">
        <v>-5.1478209206834435E-4</v>
      </c>
      <c r="W5" s="13">
        <v>7.5550959445536137E-4</v>
      </c>
      <c r="X5" s="13">
        <v>-3.1146644614636898E-3</v>
      </c>
      <c r="Y5" s="13">
        <v>-1.131144072860479E-2</v>
      </c>
      <c r="Z5" s="13">
        <v>-2.8005761560052629E-3</v>
      </c>
      <c r="AA5" s="13">
        <v>-8.9693367481231689E-3</v>
      </c>
      <c r="AB5" s="13">
        <v>-8.1666028127074242E-3</v>
      </c>
      <c r="AC5" s="13">
        <v>-1.639714278280735E-2</v>
      </c>
      <c r="AD5" s="13">
        <v>-1.0888714343309401E-2</v>
      </c>
      <c r="AE5" s="13">
        <v>-9.2730158939957619E-3</v>
      </c>
      <c r="AF5" s="13">
        <v>-4.607954528182745E-3</v>
      </c>
      <c r="AG5" s="13">
        <v>-5.8455127291381359E-3</v>
      </c>
      <c r="AH5" s="13">
        <v>-4.9838116392493248E-3</v>
      </c>
      <c r="AI5" s="13">
        <v>-3.626509103924036E-3</v>
      </c>
      <c r="AJ5" s="13">
        <v>-3.818823024630547E-3</v>
      </c>
      <c r="AK5" s="13">
        <v>-4.6545602381229401E-3</v>
      </c>
      <c r="AL5" s="13">
        <v>-5.3977398201823226E-3</v>
      </c>
      <c r="AM5" s="13">
        <v>-6.9995066151022911E-3</v>
      </c>
      <c r="AN5" s="13">
        <v>9.9394354037940502E-4</v>
      </c>
      <c r="AO5" s="13">
        <v>-4.2327293194830418E-3</v>
      </c>
      <c r="AP5" s="13">
        <v>-6.2828082591295242E-3</v>
      </c>
      <c r="AQ5" s="13">
        <v>-2.7964443434029822E-3</v>
      </c>
      <c r="AR5" s="13">
        <v>-3.548022592440248E-3</v>
      </c>
      <c r="AS5" s="13">
        <v>-1.8412303179502489E-3</v>
      </c>
      <c r="AT5" s="13">
        <v>1.7384441569447521E-2</v>
      </c>
      <c r="AU5" s="13">
        <v>-6.634250283241272E-3</v>
      </c>
      <c r="AV5" s="13">
        <v>7.3471954092383376E-3</v>
      </c>
      <c r="AW5" s="13">
        <v>4.724663682281971E-3</v>
      </c>
      <c r="AX5" s="13">
        <v>-1.7786960816010831E-3</v>
      </c>
      <c r="AY5" s="13">
        <v>-9.8629016429185867E-4</v>
      </c>
      <c r="AZ5" s="13">
        <v>1.0417148470878599E-2</v>
      </c>
      <c r="BA5" s="13">
        <v>-1.148949144408107E-3</v>
      </c>
      <c r="BB5" s="13">
        <v>-2.0870927255600691E-3</v>
      </c>
      <c r="BC5" s="13">
        <v>1.336632296442986E-3</v>
      </c>
      <c r="BD5" s="13">
        <v>5.0694281235337257E-3</v>
      </c>
      <c r="BE5" s="13">
        <v>-4.8598065041005611E-3</v>
      </c>
      <c r="BF5" s="13">
        <v>5.1613256800919771E-4</v>
      </c>
      <c r="BG5" s="13">
        <v>-7.0163407362997532E-3</v>
      </c>
      <c r="BH5" s="13">
        <v>-4.1907159611582756E-3</v>
      </c>
      <c r="BI5" s="13">
        <v>3.0854527722112829E-4</v>
      </c>
      <c r="BJ5" s="13">
        <v>-2.9275671113282442E-4</v>
      </c>
      <c r="BK5" s="13">
        <v>-1.1491622775793081E-2</v>
      </c>
      <c r="BL5" s="13">
        <v>-1.2680532410740851E-2</v>
      </c>
      <c r="BM5" s="13">
        <v>-4.4326516799628726E-3</v>
      </c>
      <c r="BN5" s="13">
        <v>-8.944263681769371E-4</v>
      </c>
      <c r="BO5" s="13">
        <v>-4.4179423712193966E-3</v>
      </c>
      <c r="BP5" s="13">
        <v>-8.5916733369231224E-3</v>
      </c>
      <c r="BQ5" s="13">
        <v>-4.4214986264705658E-3</v>
      </c>
      <c r="BR5" s="13">
        <v>1.025303965434432E-3</v>
      </c>
      <c r="BS5" s="13">
        <v>-7.2602357249706984E-4</v>
      </c>
      <c r="BT5" s="13">
        <v>2.21152906306088E-4</v>
      </c>
      <c r="BU5" s="13">
        <v>-4.0715634822845459E-3</v>
      </c>
      <c r="BV5" s="13">
        <v>-1.552917994558811E-3</v>
      </c>
      <c r="BW5" s="13">
        <v>-3.8780455943197012E-3</v>
      </c>
      <c r="BX5" s="13">
        <v>-2.1147832740098238E-3</v>
      </c>
      <c r="BY5" s="13">
        <v>-2.6352899149060249E-3</v>
      </c>
      <c r="BZ5" s="13">
        <v>1.8134823767468331E-3</v>
      </c>
      <c r="CA5" s="13">
        <v>-1.6779374331235889E-2</v>
      </c>
      <c r="CB5" s="13">
        <v>-1.808038167655468E-2</v>
      </c>
      <c r="CC5" s="13">
        <v>-9.0212021023035049E-3</v>
      </c>
      <c r="CD5" s="13">
        <v>-6.0056517831981182E-3</v>
      </c>
      <c r="CE5" s="13">
        <v>4.891709890216589E-3</v>
      </c>
      <c r="CF5" s="13">
        <v>-4.9459007568657398E-3</v>
      </c>
      <c r="CG5" s="13">
        <v>-1.764219487085938E-3</v>
      </c>
      <c r="CH5" s="13">
        <v>-2.2557761985808611E-3</v>
      </c>
      <c r="CI5" s="13">
        <v>-5.7940958067774773E-3</v>
      </c>
      <c r="CJ5" s="13">
        <v>5.3679030388593674E-3</v>
      </c>
      <c r="CK5" s="13">
        <v>-6.5037030726671219E-3</v>
      </c>
      <c r="CL5" s="13">
        <v>-9.2684589326381683E-3</v>
      </c>
      <c r="CM5" s="13">
        <v>3.4533715806901451E-3</v>
      </c>
      <c r="CN5" s="13">
        <v>-1.5305428532883521E-3</v>
      </c>
      <c r="CO5" s="13">
        <v>2.763807307928801E-3</v>
      </c>
      <c r="CP5" s="13">
        <v>-3.0045167077332739E-3</v>
      </c>
      <c r="CQ5" s="13">
        <v>-4.2182006873190403E-3</v>
      </c>
      <c r="CR5" s="13">
        <v>1.238218974322081E-3</v>
      </c>
      <c r="CS5" s="13">
        <v>-5.620910320430994E-3</v>
      </c>
      <c r="CT5" s="13">
        <v>-1.289551146328449E-4</v>
      </c>
      <c r="CU5" s="13">
        <v>-3.5577644594013691E-3</v>
      </c>
      <c r="CV5" s="13">
        <v>-8.8373589096590877E-4</v>
      </c>
      <c r="CW5" s="13">
        <v>-3.7108787801116701E-3</v>
      </c>
      <c r="CX5" s="13">
        <v>-1.892625004984438E-3</v>
      </c>
      <c r="CY5" s="13">
        <v>-2.23894277587533E-3</v>
      </c>
      <c r="CZ5" s="13">
        <v>-2.9421760700643059E-5</v>
      </c>
      <c r="DA5" s="13">
        <v>-1.453497330658138E-3</v>
      </c>
      <c r="DB5" s="13">
        <v>-3.351018531247973E-3</v>
      </c>
      <c r="DC5" s="13">
        <v>-3.9163324981927872E-3</v>
      </c>
      <c r="DD5" s="13">
        <v>-4.7809812240302563E-3</v>
      </c>
      <c r="DE5" s="13">
        <v>-4.4807596132159233E-3</v>
      </c>
      <c r="DF5" s="13">
        <v>-2.3375857621431351E-2</v>
      </c>
      <c r="DG5" s="13">
        <v>-3.9326213300228119E-3</v>
      </c>
      <c r="DH5" s="13">
        <v>-4.3730316683650017E-3</v>
      </c>
      <c r="DI5" s="13">
        <v>-1.565223932266235E-2</v>
      </c>
      <c r="DJ5" s="13">
        <v>6.0370620340108871E-3</v>
      </c>
      <c r="DK5" s="13">
        <v>-8.2938047125935555E-3</v>
      </c>
      <c r="DL5" s="13">
        <v>-4.4081835076212883E-3</v>
      </c>
      <c r="DM5" s="13">
        <v>-4.4374761637300247E-4</v>
      </c>
      <c r="DN5" s="13">
        <v>-3.0054445378482342E-3</v>
      </c>
      <c r="DO5" s="13">
        <v>2.8427736833691601E-3</v>
      </c>
      <c r="DP5" s="13">
        <v>-6.131303496658802E-3</v>
      </c>
      <c r="DQ5" s="13">
        <v>-4.6811853535473347E-3</v>
      </c>
      <c r="DR5" s="13">
        <v>-7.1722459979355344E-3</v>
      </c>
      <c r="DS5" s="13">
        <v>-3.6357224453240629E-3</v>
      </c>
      <c r="DT5" s="13">
        <v>-2.9824208468198782E-4</v>
      </c>
      <c r="DU5" s="13">
        <v>-5.6705139577388763E-3</v>
      </c>
      <c r="DV5" s="13">
        <v>-3.1858636066317558E-3</v>
      </c>
      <c r="DW5" s="13">
        <v>-7.003207691013813E-3</v>
      </c>
      <c r="DX5" s="13">
        <v>-6.6352039575576782E-3</v>
      </c>
      <c r="DY5" s="13">
        <v>-3.2449103891849522E-3</v>
      </c>
      <c r="DZ5" s="13">
        <v>-1.983507070690393E-3</v>
      </c>
      <c r="EA5" s="13">
        <v>-2.5352328084409241E-3</v>
      </c>
      <c r="EB5" s="13">
        <v>-4.4876029714941978E-3</v>
      </c>
      <c r="EC5" s="13">
        <v>-5.3785997442901126E-3</v>
      </c>
      <c r="ED5" s="13">
        <v>-6.4549529924988747E-3</v>
      </c>
      <c r="EE5" s="13">
        <v>-6.2718079425394544E-3</v>
      </c>
      <c r="EF5" s="13">
        <v>-6.1802691780030727E-3</v>
      </c>
    </row>
    <row r="6" spans="1:139">
      <c r="A6" s="2" t="s">
        <v>139</v>
      </c>
      <c r="B6" s="1"/>
      <c r="C6" s="13">
        <f t="array" ref="C6">MATCH(MAX(ABS(C3:C5)),ABS(C3:C5),0)</f>
        <v>2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2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2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2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2</v>
      </c>
      <c r="CF6" s="13">
        <f t="array" ref="CF6">MATCH(MAX(ABS(CF3:CF5)),ABS(CF3:CF5),0)</f>
        <v>2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2</v>
      </c>
      <c r="CN6" s="13">
        <f t="array" ref="CN6">MATCH(MAX(ABS(CN3:CN5)),ABS(CN3:CN5),0)</f>
        <v>1</v>
      </c>
      <c r="CO6" s="13">
        <f t="array" ref="CO6">MATCH(MAX(ABS(CO3:CO5)),ABS(CO3:CO5),0)</f>
        <v>2</v>
      </c>
      <c r="CP6" s="13">
        <f t="array" ref="CP6">MATCH(MAX(ABS(CP3:CP5)),ABS(CP3:CP5),0)</f>
        <v>2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2</v>
      </c>
      <c r="CT6" s="13">
        <f t="array" ref="CT6">MATCH(MAX(ABS(CT3:CT5)),ABS(CT3:CT5),0)</f>
        <v>2</v>
      </c>
      <c r="CU6" s="13">
        <f t="array" ref="CU6">MATCH(MAX(ABS(CU3:CU5)),ABS(CU3:CU5),0)</f>
        <v>2</v>
      </c>
      <c r="CV6" s="13">
        <f t="array" ref="CV6">MATCH(MAX(ABS(CV3:CV5)),ABS(CV3:CV5),0)</f>
        <v>2</v>
      </c>
      <c r="CW6" s="13">
        <f t="array" ref="CW6">MATCH(MAX(ABS(CW3:CW5)),ABS(CW3:CW5),0)</f>
        <v>2</v>
      </c>
      <c r="CX6" s="13">
        <f t="array" ref="CX6">MATCH(MAX(ABS(CX3:CX5)),ABS(CX3:CX5),0)</f>
        <v>2</v>
      </c>
      <c r="CY6" s="13">
        <f t="array" ref="CY6">MATCH(MAX(ABS(CY3:CY5)),ABS(CY3:CY5),0)</f>
        <v>1</v>
      </c>
      <c r="CZ6" s="13">
        <f t="array" ref="CZ6">MATCH(MAX(ABS(CZ3:CZ5)),ABS(CZ3:CZ5),0)</f>
        <v>2</v>
      </c>
      <c r="DA6" s="13">
        <f t="array" ref="DA6">MATCH(MAX(ABS(DA3:DA5)),ABS(DA3:DA5),0)</f>
        <v>2</v>
      </c>
      <c r="DB6" s="13">
        <f t="array" ref="DB6">MATCH(MAX(ABS(DB3:DB5)),ABS(DB3:DB5),0)</f>
        <v>2</v>
      </c>
      <c r="DC6" s="13">
        <f t="array" ref="DC6">MATCH(MAX(ABS(DC3:DC5)),ABS(DC3:DC5),0)</f>
        <v>2</v>
      </c>
      <c r="DD6" s="13">
        <f t="array" ref="DD6">MATCH(MAX(ABS(DD3:DD5)),ABS(DD3:DD5),0)</f>
        <v>1</v>
      </c>
      <c r="DE6" s="13">
        <f t="array" ref="DE6">MATCH(MAX(ABS(DE3:DE5)),ABS(DE3:DE5),0)</f>
        <v>2</v>
      </c>
      <c r="DF6" s="13">
        <f t="array" ref="DF6">MATCH(MAX(ABS(DF3:DF5)),ABS(DF3:DF5),0)</f>
        <v>2</v>
      </c>
      <c r="DG6" s="13">
        <f t="array" ref="DG6">MATCH(MAX(ABS(DG3:DG5)),ABS(DG3:DG5),0)</f>
        <v>2</v>
      </c>
      <c r="DH6" s="13">
        <f t="array" ref="DH6">MATCH(MAX(ABS(DH3:DH5)),ABS(DH3:DH5),0)</f>
        <v>2</v>
      </c>
      <c r="DI6" s="13">
        <f t="array" ref="DI6">MATCH(MAX(ABS(DI3:DI5)),ABS(DI3:DI5),0)</f>
        <v>2</v>
      </c>
      <c r="DJ6" s="13">
        <f t="array" ref="DJ6">MATCH(MAX(ABS(DJ3:DJ5)),ABS(DJ3:DJ5),0)</f>
        <v>2</v>
      </c>
      <c r="DK6" s="13">
        <f t="array" ref="DK6">MATCH(MAX(ABS(DK3:DK5)),ABS(DK3:DK5),0)</f>
        <v>2</v>
      </c>
      <c r="DL6" s="13">
        <f t="array" ref="DL6">MATCH(MAX(ABS(DL3:DL5)),ABS(DL3:DL5),0)</f>
        <v>2</v>
      </c>
      <c r="DM6" s="13">
        <f t="array" ref="DM6">MATCH(MAX(ABS(DM3:DM5)),ABS(DM3:DM5),0)</f>
        <v>2</v>
      </c>
      <c r="DN6" s="13">
        <f t="array" ref="DN6">MATCH(MAX(ABS(DN3:DN5)),ABS(DN3:DN5),0)</f>
        <v>2</v>
      </c>
      <c r="DO6" s="13">
        <f t="array" ref="DO6">MATCH(MAX(ABS(DO3:DO5)),ABS(DO3:DO5),0)</f>
        <v>2</v>
      </c>
      <c r="DP6" s="13">
        <f t="array" ref="DP6">MATCH(MAX(ABS(DP3:DP5)),ABS(DP3:DP5),0)</f>
        <v>2</v>
      </c>
      <c r="DQ6" s="13">
        <f t="array" ref="DQ6">MATCH(MAX(ABS(DQ3:DQ5)),ABS(DQ3:DQ5),0)</f>
        <v>2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2</v>
      </c>
      <c r="DU6" s="13">
        <f t="array" ref="DU6">MATCH(MAX(ABS(DU3:DU5)),ABS(DU3:DU5),0)</f>
        <v>2</v>
      </c>
      <c r="DV6" s="13">
        <f t="array" ref="DV6">MATCH(MAX(ABS(DV3:DV5)),ABS(DV3:DV5),0)</f>
        <v>2</v>
      </c>
      <c r="DW6" s="13">
        <f t="array" ref="DW6">MATCH(MAX(ABS(DW3:DW5)),ABS(DW3:DW5),0)</f>
        <v>2</v>
      </c>
      <c r="DX6" s="13">
        <f t="array" ref="DX6">MATCH(MAX(ABS(DX3:DX5)),ABS(DX3:DX5),0)</f>
        <v>2</v>
      </c>
      <c r="DY6" s="13">
        <f t="array" ref="DY6">MATCH(MAX(ABS(DY3:DY5)),ABS(DY3:DY5),0)</f>
        <v>2</v>
      </c>
      <c r="DZ6" s="13">
        <f t="array" ref="DZ6">MATCH(MAX(ABS(DZ3:DZ5)),ABS(DZ3:DZ5),0)</f>
        <v>2</v>
      </c>
      <c r="EA6" s="13">
        <f t="array" ref="EA6">MATCH(MAX(ABS(EA3:EA5)),ABS(EA3:EA5),0)</f>
        <v>2</v>
      </c>
      <c r="EB6" s="13">
        <f t="array" ref="EB6">MATCH(MAX(ABS(EB3:EB5)),ABS(EB3:EB5),0)</f>
        <v>2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2</v>
      </c>
      <c r="EF6" s="13">
        <f t="array" ref="EF6">MATCH(MAX(ABS(EF3:EF5)),ABS(EF3:EF5),0)</f>
        <v>2</v>
      </c>
    </row>
    <row r="7" spans="1:139">
      <c r="C7" s="14" t="str">
        <f t="shared" ref="C7:AH7" si="0">IF(C6=1,"bm",IF(C6=2,"size",IF(C6=3,"mom")))</f>
        <v>size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size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size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size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size</v>
      </c>
      <c r="CF7" s="14" t="str">
        <f t="shared" si="2"/>
        <v>size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size</v>
      </c>
      <c r="CN7" s="14" t="str">
        <f t="shared" si="2"/>
        <v>bm</v>
      </c>
      <c r="CO7" s="14" t="str">
        <f t="shared" si="2"/>
        <v>size</v>
      </c>
      <c r="CP7" s="14" t="str">
        <f t="shared" si="2"/>
        <v>size</v>
      </c>
      <c r="CQ7" s="14" t="str">
        <f t="shared" si="2"/>
        <v>bm</v>
      </c>
      <c r="CR7" s="14" t="str">
        <f t="shared" si="2"/>
        <v>bm</v>
      </c>
      <c r="CS7" s="14" t="str">
        <f t="shared" si="2"/>
        <v>size</v>
      </c>
      <c r="CT7" s="14" t="str">
        <f t="shared" si="2"/>
        <v>size</v>
      </c>
      <c r="CU7" s="14" t="str">
        <f t="shared" ref="CU7:DZ7" si="3">IF(CU6=1,"bm",IF(CU6=2,"size",IF(CU6=3,"mom")))</f>
        <v>size</v>
      </c>
      <c r="CV7" s="14" t="str">
        <f t="shared" si="3"/>
        <v>size</v>
      </c>
      <c r="CW7" s="14" t="str">
        <f t="shared" si="3"/>
        <v>size</v>
      </c>
      <c r="CX7" s="14" t="str">
        <f t="shared" si="3"/>
        <v>size</v>
      </c>
      <c r="CY7" s="14" t="str">
        <f t="shared" si="3"/>
        <v>bm</v>
      </c>
      <c r="CZ7" s="14" t="str">
        <f t="shared" si="3"/>
        <v>size</v>
      </c>
      <c r="DA7" s="14" t="str">
        <f t="shared" si="3"/>
        <v>size</v>
      </c>
      <c r="DB7" s="14" t="str">
        <f t="shared" si="3"/>
        <v>size</v>
      </c>
      <c r="DC7" s="14" t="str">
        <f t="shared" si="3"/>
        <v>size</v>
      </c>
      <c r="DD7" s="14" t="str">
        <f t="shared" si="3"/>
        <v>bm</v>
      </c>
      <c r="DE7" s="14" t="str">
        <f t="shared" si="3"/>
        <v>size</v>
      </c>
      <c r="DF7" s="14" t="str">
        <f t="shared" si="3"/>
        <v>size</v>
      </c>
      <c r="DG7" s="14" t="str">
        <f t="shared" si="3"/>
        <v>size</v>
      </c>
      <c r="DH7" s="14" t="str">
        <f t="shared" si="3"/>
        <v>size</v>
      </c>
      <c r="DI7" s="14" t="str">
        <f t="shared" si="3"/>
        <v>size</v>
      </c>
      <c r="DJ7" s="14" t="str">
        <f t="shared" si="3"/>
        <v>size</v>
      </c>
      <c r="DK7" s="14" t="str">
        <f t="shared" si="3"/>
        <v>size</v>
      </c>
      <c r="DL7" s="14" t="str">
        <f t="shared" si="3"/>
        <v>size</v>
      </c>
      <c r="DM7" s="14" t="str">
        <f t="shared" si="3"/>
        <v>size</v>
      </c>
      <c r="DN7" s="14" t="str">
        <f t="shared" si="3"/>
        <v>size</v>
      </c>
      <c r="DO7" s="14" t="str">
        <f t="shared" si="3"/>
        <v>size</v>
      </c>
      <c r="DP7" s="14" t="str">
        <f t="shared" si="3"/>
        <v>size</v>
      </c>
      <c r="DQ7" s="14" t="str">
        <f t="shared" si="3"/>
        <v>size</v>
      </c>
      <c r="DR7" s="14" t="str">
        <f t="shared" si="3"/>
        <v>bm</v>
      </c>
      <c r="DS7" s="14" t="str">
        <f t="shared" si="3"/>
        <v>bm</v>
      </c>
      <c r="DT7" s="14" t="str">
        <f t="shared" si="3"/>
        <v>size</v>
      </c>
      <c r="DU7" s="14" t="str">
        <f t="shared" si="3"/>
        <v>size</v>
      </c>
      <c r="DV7" s="14" t="str">
        <f t="shared" si="3"/>
        <v>size</v>
      </c>
      <c r="DW7" s="14" t="str">
        <f t="shared" si="3"/>
        <v>size</v>
      </c>
      <c r="DX7" s="14" t="str">
        <f t="shared" si="3"/>
        <v>size</v>
      </c>
      <c r="DY7" s="14" t="str">
        <f t="shared" si="3"/>
        <v>size</v>
      </c>
      <c r="DZ7" s="14" t="str">
        <f t="shared" si="3"/>
        <v>size</v>
      </c>
      <c r="EA7" s="14" t="str">
        <f t="shared" ref="EA7:EF7" si="4">IF(EA6=1,"bm",IF(EA6=2,"size",IF(EA6=3,"mom")))</f>
        <v>size</v>
      </c>
      <c r="EB7" s="14" t="str">
        <f t="shared" si="4"/>
        <v>size</v>
      </c>
      <c r="EC7" s="14" t="str">
        <f t="shared" si="4"/>
        <v>bm</v>
      </c>
      <c r="ED7" s="14" t="str">
        <f t="shared" si="4"/>
        <v>bm</v>
      </c>
      <c r="EE7" s="14" t="str">
        <f t="shared" si="4"/>
        <v>size</v>
      </c>
      <c r="EF7" s="14" t="str">
        <f t="shared" si="4"/>
        <v>size</v>
      </c>
    </row>
    <row r="8" spans="1:139">
      <c r="C8" s="13">
        <f t="shared" ref="C8:AH8" si="5">IF(C6=1,C3,IF(C6=2,C4,IF(C6=3,C5)))</f>
        <v>-8.5349172353744507E-2</v>
      </c>
      <c r="D8" s="13">
        <f t="shared" si="5"/>
        <v>7.545451819896698E-2</v>
      </c>
      <c r="E8" s="13">
        <f t="shared" si="5"/>
        <v>5.3419496864080429E-2</v>
      </c>
      <c r="F8" s="13">
        <f t="shared" si="5"/>
        <v>4.8055462539196007E-2</v>
      </c>
      <c r="G8" s="13">
        <f t="shared" si="5"/>
        <v>5.6244600564241409E-2</v>
      </c>
      <c r="H8" s="13">
        <f t="shared" si="5"/>
        <v>5.3408809006214142E-2</v>
      </c>
      <c r="I8" s="13">
        <f t="shared" si="5"/>
        <v>5.4677728563547127E-2</v>
      </c>
      <c r="J8" s="13">
        <f t="shared" si="5"/>
        <v>6.1407111585140228E-2</v>
      </c>
      <c r="K8" s="13">
        <f t="shared" si="5"/>
        <v>6.1087191104888923E-2</v>
      </c>
      <c r="L8" s="13">
        <f t="shared" si="5"/>
        <v>6.1945471912622452E-2</v>
      </c>
      <c r="M8" s="13">
        <f t="shared" si="5"/>
        <v>6.4090974628925323E-2</v>
      </c>
      <c r="N8" s="13">
        <f t="shared" si="5"/>
        <v>5.0166409462690353E-2</v>
      </c>
      <c r="O8" s="13">
        <f t="shared" si="5"/>
        <v>5.0939202308654792E-2</v>
      </c>
      <c r="P8" s="13">
        <f t="shared" si="5"/>
        <v>5.3945809602737427E-2</v>
      </c>
      <c r="Q8" s="13">
        <f t="shared" si="5"/>
        <v>5.463515967130661E-2</v>
      </c>
      <c r="R8" s="13">
        <f t="shared" si="5"/>
        <v>5.4097041487693787E-2</v>
      </c>
      <c r="S8" s="13">
        <f t="shared" si="5"/>
        <v>5.4209418594837189E-2</v>
      </c>
      <c r="T8" s="13">
        <f t="shared" si="5"/>
        <v>5.6115321815013892E-2</v>
      </c>
      <c r="U8" s="13">
        <f t="shared" si="5"/>
        <v>5.4694335907697678E-2</v>
      </c>
      <c r="V8" s="13">
        <f t="shared" si="5"/>
        <v>5.5520310997962952E-2</v>
      </c>
      <c r="W8" s="13">
        <f t="shared" si="5"/>
        <v>5.7895615696907043E-2</v>
      </c>
      <c r="X8" s="13">
        <f t="shared" si="5"/>
        <v>5.6128561496734619E-2</v>
      </c>
      <c r="Y8" s="13">
        <f t="shared" si="5"/>
        <v>5.4498970508575439E-2</v>
      </c>
      <c r="Z8" s="13">
        <f t="shared" si="5"/>
        <v>5.640922486782074E-2</v>
      </c>
      <c r="AA8" s="13">
        <f t="shared" si="5"/>
        <v>5.4687082767486572E-2</v>
      </c>
      <c r="AB8" s="13">
        <f t="shared" si="5"/>
        <v>5.4479975253343582E-2</v>
      </c>
      <c r="AC8" s="13">
        <f t="shared" si="5"/>
        <v>5.7393115013837807E-2</v>
      </c>
      <c r="AD8" s="13">
        <f t="shared" si="5"/>
        <v>5.7433716952800751E-2</v>
      </c>
      <c r="AE8" s="13">
        <f t="shared" si="5"/>
        <v>4.2686142027378082E-2</v>
      </c>
      <c r="AF8" s="13">
        <f t="shared" si="5"/>
        <v>5.614069476723671E-2</v>
      </c>
      <c r="AG8" s="13">
        <f t="shared" si="5"/>
        <v>5.5614285171031952E-2</v>
      </c>
      <c r="AH8" s="13">
        <f t="shared" si="5"/>
        <v>-2.73332130163908E-2</v>
      </c>
      <c r="AI8" s="13">
        <f t="shared" ref="AI8:BN8" si="6">IF(AI6=1,AI3,IF(AI6=2,AI4,IF(AI6=3,AI5)))</f>
        <v>-3.7235941737890237E-2</v>
      </c>
      <c r="AJ8" s="13">
        <f t="shared" si="6"/>
        <v>-3.4088630229234702E-2</v>
      </c>
      <c r="AK8" s="13">
        <f t="shared" si="6"/>
        <v>3.0455950647592541E-2</v>
      </c>
      <c r="AL8" s="13">
        <f t="shared" si="6"/>
        <v>3.425038605928421E-2</v>
      </c>
      <c r="AM8" s="13">
        <f t="shared" si="6"/>
        <v>3.9540499448776252E-2</v>
      </c>
      <c r="AN8" s="13">
        <f t="shared" si="6"/>
        <v>4.3252840638160713E-2</v>
      </c>
      <c r="AO8" s="13">
        <f t="shared" si="6"/>
        <v>4.4728361070156097E-2</v>
      </c>
      <c r="AP8" s="13">
        <f t="shared" si="6"/>
        <v>4.2892593890428543E-2</v>
      </c>
      <c r="AQ8" s="13">
        <f t="shared" si="6"/>
        <v>4.543033242225647E-2</v>
      </c>
      <c r="AR8" s="13">
        <f t="shared" si="6"/>
        <v>4.4913444668054581E-2</v>
      </c>
      <c r="AS8" s="13">
        <f t="shared" si="6"/>
        <v>-0.1345172971487045</v>
      </c>
      <c r="AT8" s="13">
        <f t="shared" si="6"/>
        <v>4.19180728495121E-2</v>
      </c>
      <c r="AU8" s="13">
        <f t="shared" si="6"/>
        <v>4.1785150766372681E-2</v>
      </c>
      <c r="AV8" s="13">
        <f t="shared" si="6"/>
        <v>4.3081630021333688E-2</v>
      </c>
      <c r="AW8" s="13">
        <f t="shared" si="6"/>
        <v>4.6142738312482827E-2</v>
      </c>
      <c r="AX8" s="13">
        <f t="shared" si="6"/>
        <v>4.5525301247835159E-2</v>
      </c>
      <c r="AY8" s="13">
        <f t="shared" si="6"/>
        <v>4.7935985028743737E-2</v>
      </c>
      <c r="AZ8" s="13">
        <f t="shared" si="6"/>
        <v>4.1659116744995117E-2</v>
      </c>
      <c r="BA8" s="13">
        <f t="shared" si="6"/>
        <v>3.8711324334144592E-2</v>
      </c>
      <c r="BB8" s="13">
        <f t="shared" si="6"/>
        <v>3.8947168737649918E-2</v>
      </c>
      <c r="BC8" s="13">
        <f t="shared" si="6"/>
        <v>4.2427822947502143E-2</v>
      </c>
      <c r="BD8" s="13">
        <f t="shared" si="6"/>
        <v>4.4051360338926322E-2</v>
      </c>
      <c r="BE8" s="13">
        <f t="shared" si="6"/>
        <v>4.56375852227211E-2</v>
      </c>
      <c r="BF8" s="13">
        <f t="shared" si="6"/>
        <v>4.8670642077922821E-2</v>
      </c>
      <c r="BG8" s="13">
        <f t="shared" si="6"/>
        <v>4.9968019127845757E-2</v>
      </c>
      <c r="BH8" s="13">
        <f t="shared" si="6"/>
        <v>5.1808405667543411E-2</v>
      </c>
      <c r="BI8" s="13">
        <f t="shared" si="6"/>
        <v>5.0584189593791962E-2</v>
      </c>
      <c r="BJ8" s="13">
        <f t="shared" si="6"/>
        <v>5.2059561014175422E-2</v>
      </c>
      <c r="BK8" s="13">
        <f t="shared" si="6"/>
        <v>5.2372250705957413E-2</v>
      </c>
      <c r="BL8" s="13">
        <f t="shared" si="6"/>
        <v>5.0854671746492393E-2</v>
      </c>
      <c r="BM8" s="13">
        <f t="shared" si="6"/>
        <v>5.2194196730852127E-2</v>
      </c>
      <c r="BN8" s="13">
        <f t="shared" si="6"/>
        <v>7.9825639724731445E-2</v>
      </c>
      <c r="BO8" s="13">
        <f t="shared" ref="BO8:CT8" si="7">IF(BO6=1,BO3,IF(BO6=2,BO4,IF(BO6=3,BO5)))</f>
        <v>5.4506797343492508E-2</v>
      </c>
      <c r="BP8" s="13">
        <f t="shared" si="7"/>
        <v>4.0165632963180542E-2</v>
      </c>
      <c r="BQ8" s="13">
        <f t="shared" si="7"/>
        <v>5.2233844995498657E-2</v>
      </c>
      <c r="BR8" s="13">
        <f t="shared" si="7"/>
        <v>3.6525636911392212E-2</v>
      </c>
      <c r="BS8" s="13">
        <f t="shared" si="7"/>
        <v>5.2801784127950668E-2</v>
      </c>
      <c r="BT8" s="13">
        <f t="shared" si="7"/>
        <v>4.8056013882160187E-2</v>
      </c>
      <c r="BU8" s="13">
        <f t="shared" si="7"/>
        <v>-9.9144220352172852E-2</v>
      </c>
      <c r="BV8" s="13">
        <f t="shared" si="7"/>
        <v>5.2249498665332787E-2</v>
      </c>
      <c r="BW8" s="13">
        <f t="shared" si="7"/>
        <v>3.9474610239267349E-2</v>
      </c>
      <c r="BX8" s="13">
        <f t="shared" si="7"/>
        <v>4.7410383820533752E-2</v>
      </c>
      <c r="BY8" s="13">
        <f t="shared" si="7"/>
        <v>4.704391211271286E-2</v>
      </c>
      <c r="BZ8" s="13">
        <f t="shared" si="7"/>
        <v>4.6114489436149597E-2</v>
      </c>
      <c r="CA8" s="13">
        <f t="shared" si="7"/>
        <v>4.2742863297462463E-2</v>
      </c>
      <c r="CB8" s="13">
        <f t="shared" si="7"/>
        <v>3.8489740341901779E-2</v>
      </c>
      <c r="CC8" s="13">
        <f t="shared" si="7"/>
        <v>3.745705634355545E-2</v>
      </c>
      <c r="CD8" s="13">
        <f t="shared" si="7"/>
        <v>3.9794288575649261E-2</v>
      </c>
      <c r="CE8" s="13">
        <f t="shared" si="7"/>
        <v>-4.0299050509929657E-2</v>
      </c>
      <c r="CF8" s="13">
        <f t="shared" si="7"/>
        <v>-3.2261207699775703E-2</v>
      </c>
      <c r="CG8" s="13">
        <f t="shared" si="7"/>
        <v>3.5978682339191437E-2</v>
      </c>
      <c r="CH8" s="13">
        <f t="shared" si="7"/>
        <v>3.177894651889801E-2</v>
      </c>
      <c r="CI8" s="13">
        <f t="shared" si="7"/>
        <v>3.4042399376630783E-2</v>
      </c>
      <c r="CJ8" s="13">
        <f t="shared" si="7"/>
        <v>3.8737695664167397E-2</v>
      </c>
      <c r="CK8" s="13">
        <f t="shared" si="7"/>
        <v>3.9908383041620248E-2</v>
      </c>
      <c r="CL8" s="13">
        <f t="shared" si="7"/>
        <v>3.7117619067430503E-2</v>
      </c>
      <c r="CM8" s="13">
        <f t="shared" si="7"/>
        <v>-3.116690926253796E-2</v>
      </c>
      <c r="CN8" s="13">
        <f t="shared" si="7"/>
        <v>4.0649183094501502E-2</v>
      </c>
      <c r="CO8" s="13">
        <f t="shared" si="7"/>
        <v>-3.051175735890865E-2</v>
      </c>
      <c r="CP8" s="13">
        <f t="shared" si="7"/>
        <v>-3.0179880559444431E-2</v>
      </c>
      <c r="CQ8" s="13">
        <f t="shared" si="7"/>
        <v>3.3265896141529083E-2</v>
      </c>
      <c r="CR8" s="13">
        <f t="shared" si="7"/>
        <v>3.3467646688222892E-2</v>
      </c>
      <c r="CS8" s="13">
        <f t="shared" si="7"/>
        <v>-3.038875758647919E-2</v>
      </c>
      <c r="CT8" s="13">
        <f t="shared" si="7"/>
        <v>-2.237749099731445E-2</v>
      </c>
      <c r="CU8" s="13">
        <f t="shared" ref="CU8:DZ8" si="8">IF(CU6=1,CU3,IF(CU6=2,CU4,IF(CU6=3,CU5)))</f>
        <v>-2.6706485077738758E-2</v>
      </c>
      <c r="CV8" s="13">
        <f t="shared" si="8"/>
        <v>-2.821129746735096E-2</v>
      </c>
      <c r="CW8" s="13">
        <f t="shared" si="8"/>
        <v>-3.3567264676094062E-2</v>
      </c>
      <c r="CX8" s="13">
        <f t="shared" si="8"/>
        <v>-2.7859419584274289E-2</v>
      </c>
      <c r="CY8" s="13">
        <f t="shared" si="8"/>
        <v>2.5537870824337009E-2</v>
      </c>
      <c r="CZ8" s="13">
        <f t="shared" si="8"/>
        <v>-2.6201611384749409E-2</v>
      </c>
      <c r="DA8" s="13">
        <f t="shared" si="8"/>
        <v>-2.9583510011434559E-2</v>
      </c>
      <c r="DB8" s="13">
        <f t="shared" si="8"/>
        <v>-3.3195734024047852E-2</v>
      </c>
      <c r="DC8" s="13">
        <f t="shared" si="8"/>
        <v>-3.1532101333141327E-2</v>
      </c>
      <c r="DD8" s="13">
        <f t="shared" si="8"/>
        <v>3.3772524446249008E-2</v>
      </c>
      <c r="DE8" s="13">
        <f t="shared" si="8"/>
        <v>-2.8857935220003132E-2</v>
      </c>
      <c r="DF8" s="13">
        <f t="shared" si="8"/>
        <v>-2.8399249538779259E-2</v>
      </c>
      <c r="DG8" s="13">
        <f t="shared" si="8"/>
        <v>-2.6426361873745918E-2</v>
      </c>
      <c r="DH8" s="13">
        <f t="shared" si="8"/>
        <v>-3.0645843595266339E-2</v>
      </c>
      <c r="DI8" s="13">
        <f t="shared" si="8"/>
        <v>-2.9881417751312259E-2</v>
      </c>
      <c r="DJ8" s="13">
        <f t="shared" si="8"/>
        <v>-2.9596960172057148E-2</v>
      </c>
      <c r="DK8" s="13">
        <f t="shared" si="8"/>
        <v>-2.841122634708881E-2</v>
      </c>
      <c r="DL8" s="13">
        <f t="shared" si="8"/>
        <v>-3.0489476397633549E-2</v>
      </c>
      <c r="DM8" s="13">
        <f t="shared" si="8"/>
        <v>-2.7597028762102131E-2</v>
      </c>
      <c r="DN8" s="13">
        <f t="shared" si="8"/>
        <v>-2.8250575065612789E-2</v>
      </c>
      <c r="DO8" s="13">
        <f t="shared" si="8"/>
        <v>-2.7726072818040851E-2</v>
      </c>
      <c r="DP8" s="13">
        <f t="shared" si="8"/>
        <v>-2.715402282774448E-2</v>
      </c>
      <c r="DQ8" s="13">
        <f t="shared" si="8"/>
        <v>-2.6989534497261051E-2</v>
      </c>
      <c r="DR8" s="13">
        <f t="shared" si="8"/>
        <v>3.2421927899122238E-2</v>
      </c>
      <c r="DS8" s="13">
        <f t="shared" si="8"/>
        <v>2.6365883648395538E-2</v>
      </c>
      <c r="DT8" s="13">
        <f t="shared" si="8"/>
        <v>-0.14326423406600949</v>
      </c>
      <c r="DU8" s="13">
        <f t="shared" si="8"/>
        <v>-4.3057508766651147E-2</v>
      </c>
      <c r="DV8" s="13">
        <f t="shared" si="8"/>
        <v>-3.2543007284402847E-2</v>
      </c>
      <c r="DW8" s="13">
        <f t="shared" si="8"/>
        <v>-2.724632807075977E-2</v>
      </c>
      <c r="DX8" s="13">
        <f t="shared" si="8"/>
        <v>-2.7451477944850922E-2</v>
      </c>
      <c r="DY8" s="13">
        <f t="shared" si="8"/>
        <v>-2.8264472261071209E-2</v>
      </c>
      <c r="DZ8" s="13">
        <f t="shared" si="8"/>
        <v>-2.418005466461182E-2</v>
      </c>
      <c r="EA8" s="13">
        <f t="shared" ref="EA8:EF8" si="9">IF(EA6=1,EA3,IF(EA6=2,EA4,IF(EA6=3,EA5)))</f>
        <v>-2.6992777362465858E-2</v>
      </c>
      <c r="EB8" s="13">
        <f t="shared" si="9"/>
        <v>-2.6342380791902539E-2</v>
      </c>
      <c r="EC8" s="13">
        <f t="shared" si="9"/>
        <v>3.6291155964136117E-2</v>
      </c>
      <c r="ED8" s="13">
        <f t="shared" si="9"/>
        <v>2.4168495088815689E-2</v>
      </c>
      <c r="EE8" s="13">
        <f t="shared" si="9"/>
        <v>-3.5310320556163788E-2</v>
      </c>
      <c r="EF8" s="13">
        <f t="shared" si="9"/>
        <v>-2.9033292084932331E-2</v>
      </c>
    </row>
    <row r="10" spans="1:139">
      <c r="A10" t="s">
        <v>140</v>
      </c>
      <c r="C10" t="s">
        <v>141</v>
      </c>
      <c r="D10">
        <v>964</v>
      </c>
    </row>
    <row r="11" spans="1:139">
      <c r="A11" t="s">
        <v>142</v>
      </c>
      <c r="B11" t="s">
        <v>143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  <c r="Q11" t="s">
        <v>17</v>
      </c>
      <c r="R11" t="s">
        <v>18</v>
      </c>
      <c r="S11" t="s">
        <v>19</v>
      </c>
      <c r="T11" t="s">
        <v>20</v>
      </c>
      <c r="U11" t="s">
        <v>21</v>
      </c>
      <c r="V11" t="s">
        <v>22</v>
      </c>
      <c r="W11" t="s">
        <v>23</v>
      </c>
      <c r="X11" t="s">
        <v>24</v>
      </c>
      <c r="Y11" t="s">
        <v>25</v>
      </c>
      <c r="Z11" t="s">
        <v>26</v>
      </c>
      <c r="AA11" t="s">
        <v>27</v>
      </c>
      <c r="AB11" t="s">
        <v>28</v>
      </c>
      <c r="AC11" t="s">
        <v>29</v>
      </c>
      <c r="AD11" t="s">
        <v>30</v>
      </c>
      <c r="AE11" t="s">
        <v>31</v>
      </c>
      <c r="AF11" t="s">
        <v>32</v>
      </c>
      <c r="AG11" t="s">
        <v>33</v>
      </c>
      <c r="AH11" t="s">
        <v>34</v>
      </c>
      <c r="AI11" t="s">
        <v>35</v>
      </c>
      <c r="AJ11" t="s">
        <v>36</v>
      </c>
      <c r="AK11" t="s">
        <v>37</v>
      </c>
      <c r="AL11" t="s">
        <v>38</v>
      </c>
      <c r="AM11" t="s">
        <v>39</v>
      </c>
      <c r="AN11" t="s">
        <v>40</v>
      </c>
      <c r="AO11" t="s">
        <v>41</v>
      </c>
      <c r="AP11" t="s">
        <v>42</v>
      </c>
      <c r="AQ11" t="s">
        <v>43</v>
      </c>
      <c r="AR11" t="s">
        <v>44</v>
      </c>
      <c r="AS11" t="s">
        <v>45</v>
      </c>
      <c r="AT11" t="s">
        <v>46</v>
      </c>
      <c r="AU11" t="s">
        <v>47</v>
      </c>
      <c r="AV11" t="s">
        <v>48</v>
      </c>
      <c r="AW11" t="s">
        <v>49</v>
      </c>
      <c r="AX11" t="s">
        <v>50</v>
      </c>
      <c r="AY11" t="s">
        <v>51</v>
      </c>
      <c r="AZ11" t="s">
        <v>52</v>
      </c>
      <c r="BA11" t="s">
        <v>53</v>
      </c>
      <c r="BB11" t="s">
        <v>54</v>
      </c>
      <c r="BC11" t="s">
        <v>55</v>
      </c>
      <c r="BD11" t="s">
        <v>56</v>
      </c>
      <c r="BE11" t="s">
        <v>57</v>
      </c>
      <c r="BF11" t="s">
        <v>58</v>
      </c>
      <c r="BG11" t="s">
        <v>59</v>
      </c>
      <c r="BH11" t="s">
        <v>60</v>
      </c>
      <c r="BI11" t="s">
        <v>61</v>
      </c>
      <c r="BJ11" t="s">
        <v>62</v>
      </c>
      <c r="BK11" t="s">
        <v>63</v>
      </c>
      <c r="BL11" t="s">
        <v>64</v>
      </c>
      <c r="BM11" t="s">
        <v>65</v>
      </c>
      <c r="BN11" t="s">
        <v>66</v>
      </c>
      <c r="BO11" t="s">
        <v>67</v>
      </c>
      <c r="BP11" t="s">
        <v>68</v>
      </c>
      <c r="BQ11" t="s">
        <v>69</v>
      </c>
      <c r="BR11" t="s">
        <v>70</v>
      </c>
      <c r="BS11" t="s">
        <v>71</v>
      </c>
      <c r="BT11" t="s">
        <v>72</v>
      </c>
      <c r="BU11" t="s">
        <v>73</v>
      </c>
      <c r="BV11" t="s">
        <v>74</v>
      </c>
      <c r="BW11" t="s">
        <v>75</v>
      </c>
      <c r="BX11" t="s">
        <v>76</v>
      </c>
      <c r="BY11" t="s">
        <v>77</v>
      </c>
      <c r="BZ11" t="s">
        <v>78</v>
      </c>
      <c r="CA11" t="s">
        <v>79</v>
      </c>
      <c r="CB11" t="s">
        <v>80</v>
      </c>
      <c r="CC11" t="s">
        <v>81</v>
      </c>
      <c r="CD11" t="s">
        <v>82</v>
      </c>
      <c r="CE11" t="s">
        <v>83</v>
      </c>
      <c r="CF11" t="s">
        <v>84</v>
      </c>
      <c r="CG11" t="s">
        <v>85</v>
      </c>
      <c r="CH11" t="s">
        <v>86</v>
      </c>
      <c r="CI11" t="s">
        <v>87</v>
      </c>
      <c r="CJ11" t="s">
        <v>88</v>
      </c>
      <c r="CK11" t="s">
        <v>89</v>
      </c>
      <c r="CL11" t="s">
        <v>90</v>
      </c>
      <c r="CM11" t="s">
        <v>91</v>
      </c>
      <c r="CN11" t="s">
        <v>92</v>
      </c>
      <c r="CO11" t="s">
        <v>93</v>
      </c>
      <c r="CP11" t="s">
        <v>94</v>
      </c>
      <c r="CQ11" t="s">
        <v>95</v>
      </c>
      <c r="CR11" t="s">
        <v>96</v>
      </c>
      <c r="CS11" t="s">
        <v>97</v>
      </c>
      <c r="CT11" t="s">
        <v>98</v>
      </c>
      <c r="CU11" t="s">
        <v>99</v>
      </c>
      <c r="CV11" t="s">
        <v>100</v>
      </c>
      <c r="CW11" t="s">
        <v>101</v>
      </c>
      <c r="CX11" t="s">
        <v>102</v>
      </c>
      <c r="CY11" t="s">
        <v>103</v>
      </c>
      <c r="CZ11" t="s">
        <v>104</v>
      </c>
      <c r="DA11" t="s">
        <v>105</v>
      </c>
      <c r="DB11" t="s">
        <v>106</v>
      </c>
      <c r="DC11" t="s">
        <v>107</v>
      </c>
      <c r="DD11" t="s">
        <v>108</v>
      </c>
      <c r="DE11" t="s">
        <v>109</v>
      </c>
      <c r="DF11" t="s">
        <v>110</v>
      </c>
      <c r="DG11" t="s">
        <v>111</v>
      </c>
      <c r="DH11" t="s">
        <v>112</v>
      </c>
      <c r="DI11" t="s">
        <v>113</v>
      </c>
      <c r="DJ11" t="s">
        <v>114</v>
      </c>
      <c r="DK11" t="s">
        <v>115</v>
      </c>
      <c r="DL11" t="s">
        <v>116</v>
      </c>
      <c r="DM11" t="s">
        <v>117</v>
      </c>
      <c r="DN11" t="s">
        <v>118</v>
      </c>
      <c r="DO11" t="s">
        <v>119</v>
      </c>
      <c r="DP11" t="s">
        <v>120</v>
      </c>
      <c r="DQ11" t="s">
        <v>121</v>
      </c>
      <c r="DR11" t="s">
        <v>122</v>
      </c>
      <c r="DS11" t="s">
        <v>123</v>
      </c>
      <c r="DT11" t="s">
        <v>124</v>
      </c>
      <c r="DU11" t="s">
        <v>125</v>
      </c>
      <c r="DV11" t="s">
        <v>126</v>
      </c>
      <c r="DW11" t="s">
        <v>127</v>
      </c>
      <c r="DX11" t="s">
        <v>128</v>
      </c>
      <c r="DY11" t="s">
        <v>129</v>
      </c>
      <c r="DZ11" t="s">
        <v>130</v>
      </c>
      <c r="EA11" t="s">
        <v>131</v>
      </c>
      <c r="EB11" t="s">
        <v>132</v>
      </c>
      <c r="EC11" t="s">
        <v>133</v>
      </c>
      <c r="ED11" t="s">
        <v>134</v>
      </c>
      <c r="EE11" t="s">
        <v>135</v>
      </c>
      <c r="EF11" t="s">
        <v>144</v>
      </c>
      <c r="EG11" t="s">
        <v>180</v>
      </c>
      <c r="EH11" t="s">
        <v>181</v>
      </c>
      <c r="EI11" t="s">
        <v>182</v>
      </c>
    </row>
    <row r="12" spans="1:139">
      <c r="A12">
        <v>10</v>
      </c>
      <c r="B12">
        <v>96</v>
      </c>
      <c r="C12" s="13">
        <v>8.4653541666666707E-2</v>
      </c>
      <c r="D12" s="13">
        <v>2.0821795271878302E-2</v>
      </c>
      <c r="E12" s="13">
        <v>-6.7540283583579167E-3</v>
      </c>
      <c r="F12" s="13">
        <v>-1.986882494790634E-2</v>
      </c>
      <c r="G12" s="13">
        <v>7.9043467459283603E-3</v>
      </c>
      <c r="H12" s="13">
        <v>9.3593837617556644E-3</v>
      </c>
      <c r="I12" s="13">
        <v>3.6303936849052011E-2</v>
      </c>
      <c r="J12" s="13">
        <v>4.3784578744871523E-2</v>
      </c>
      <c r="K12" s="13">
        <v>-1.0988403852822111E-2</v>
      </c>
      <c r="L12" s="13">
        <v>-2.2772307809632709E-3</v>
      </c>
      <c r="M12" s="13">
        <v>-1.555180420016113E-2</v>
      </c>
      <c r="N12" s="13">
        <v>5.2074107675359117E-2</v>
      </c>
      <c r="O12" s="13">
        <v>1.8629888645978979E-2</v>
      </c>
      <c r="P12" s="13">
        <v>-2.1420421204462348E-2</v>
      </c>
      <c r="Q12" s="13">
        <v>-3.3792784120907728E-2</v>
      </c>
      <c r="R12" s="13">
        <v>1.3397506239935729E-2</v>
      </c>
      <c r="S12" s="13">
        <v>-7.1053897094607049E-2</v>
      </c>
      <c r="T12" s="13">
        <v>-4.3243488819513169E-2</v>
      </c>
      <c r="U12" s="13">
        <v>-2.0367220553130991E-2</v>
      </c>
      <c r="V12" s="13">
        <v>4.5029990802848717E-2</v>
      </c>
      <c r="W12" s="13">
        <v>2.227844197331175E-2</v>
      </c>
      <c r="X12" s="13">
        <v>4.851927478031446E-2</v>
      </c>
      <c r="Y12" s="13">
        <v>-1.6788377251816099E-2</v>
      </c>
      <c r="Z12" s="13">
        <v>6.362368331557397E-2</v>
      </c>
      <c r="AA12" s="13">
        <v>-3.9403661401111782E-2</v>
      </c>
      <c r="AB12" s="13">
        <v>3.4689110551478157E-2</v>
      </c>
      <c r="AC12" s="13">
        <v>3.5114764063646421E-2</v>
      </c>
      <c r="AD12" s="13">
        <v>5.84710999923721E-3</v>
      </c>
      <c r="AE12" s="13">
        <v>-3.789762353223057E-2</v>
      </c>
      <c r="AF12" s="13">
        <v>2.0432151303864929E-2</v>
      </c>
      <c r="AG12" s="13">
        <v>2.998214493272441E-2</v>
      </c>
      <c r="AH12" s="13">
        <v>2.110041666666666E-2</v>
      </c>
      <c r="AI12" s="13">
        <v>2.3246958333333331E-2</v>
      </c>
      <c r="AJ12" s="13">
        <v>2.1062375000000012E-2</v>
      </c>
      <c r="AK12" s="13">
        <v>4.8123704152134412E-2</v>
      </c>
      <c r="AL12" s="13">
        <v>1.7859003021922081E-2</v>
      </c>
      <c r="AM12" s="13">
        <v>3.0086115612597931E-2</v>
      </c>
      <c r="AN12" s="13">
        <v>6.9233234313428524E-2</v>
      </c>
      <c r="AO12" s="13">
        <v>2.228793039673051E-3</v>
      </c>
      <c r="AP12" s="13">
        <v>-3.3718344781849152E-2</v>
      </c>
      <c r="AQ12" s="13">
        <v>-7.6219363885838051E-3</v>
      </c>
      <c r="AR12" s="13">
        <v>1.35262594499664E-2</v>
      </c>
      <c r="AS12" s="13">
        <v>-5.8433645833333436E-3</v>
      </c>
      <c r="AT12" s="13">
        <v>1.3834904707671181E-2</v>
      </c>
      <c r="AU12" s="13">
        <v>2.070865868087543E-2</v>
      </c>
      <c r="AV12" s="13">
        <v>-4.1360084745025012E-2</v>
      </c>
      <c r="AW12" s="13">
        <v>6.2147701801607523E-4</v>
      </c>
      <c r="AX12" s="13">
        <v>4.3598467253422833E-2</v>
      </c>
      <c r="AY12" s="13">
        <v>2.4955293067673249E-2</v>
      </c>
      <c r="AZ12" s="13">
        <v>-2.3000260716576439E-3</v>
      </c>
      <c r="BA12" s="13">
        <v>4.9378881832418033E-3</v>
      </c>
      <c r="BB12" s="13">
        <v>1.527460525245942E-2</v>
      </c>
      <c r="BC12" s="13">
        <v>1.227278903847649E-2</v>
      </c>
      <c r="BD12" s="13">
        <v>1.3630556941652629E-2</v>
      </c>
      <c r="BE12" s="13">
        <v>1.860880983938528E-2</v>
      </c>
      <c r="BF12" s="13">
        <v>6.7792352483200119E-2</v>
      </c>
      <c r="BG12" s="13">
        <v>3.3670862441262807E-2</v>
      </c>
      <c r="BH12" s="13">
        <v>1.422336001132196E-2</v>
      </c>
      <c r="BI12" s="13">
        <v>5.002125303099076E-2</v>
      </c>
      <c r="BJ12" s="13">
        <v>-7.9599331991781624E-4</v>
      </c>
      <c r="BK12" s="13">
        <v>-2.1284664960133971E-2</v>
      </c>
      <c r="BL12" s="13">
        <v>2.4709245830148639E-2</v>
      </c>
      <c r="BM12" s="13">
        <v>-5.1690919562298789E-3</v>
      </c>
      <c r="BN12" s="13">
        <v>1.9502249999999999E-2</v>
      </c>
      <c r="BO12" s="13">
        <v>2.4246310256236889E-2</v>
      </c>
      <c r="BP12" s="13">
        <v>-1.0508985305294091E-2</v>
      </c>
      <c r="BQ12" s="13">
        <v>1.3896749618746689E-2</v>
      </c>
      <c r="BR12" s="13">
        <v>-2.2610084533988121E-3</v>
      </c>
      <c r="BS12" s="13">
        <v>1.886329338439598E-2</v>
      </c>
      <c r="BT12" s="13">
        <v>2.2031468677444231E-2</v>
      </c>
      <c r="BU12" s="13">
        <v>-8.7815171400964752E-3</v>
      </c>
      <c r="BV12" s="13">
        <v>2.3062455733191E-2</v>
      </c>
      <c r="BW12" s="13">
        <v>-2.948376871952952E-2</v>
      </c>
      <c r="BX12" s="13">
        <v>1.1477162003950089E-2</v>
      </c>
      <c r="BY12" s="13">
        <v>-3.3370800331571443E-2</v>
      </c>
      <c r="BZ12" s="13">
        <v>4.5356945691272972E-2</v>
      </c>
      <c r="CA12" s="13">
        <v>-3.4400287440342493E-2</v>
      </c>
      <c r="CB12" s="13">
        <v>1.943242131762835E-3</v>
      </c>
      <c r="CC12" s="13">
        <v>-1.6770964394110251E-2</v>
      </c>
      <c r="CD12" s="13">
        <v>0.1109336335844525</v>
      </c>
      <c r="CE12" s="13">
        <v>0.15400715625000011</v>
      </c>
      <c r="CF12" s="13">
        <v>4.0780416666666769E-3</v>
      </c>
      <c r="CG12" s="13">
        <v>4.1857234050063037E-2</v>
      </c>
      <c r="CH12" s="13">
        <v>6.3297372377959904E-2</v>
      </c>
      <c r="CI12" s="13">
        <v>-3.4655912412205718E-2</v>
      </c>
      <c r="CJ12" s="13">
        <v>1.544518047868886E-2</v>
      </c>
      <c r="CK12" s="13">
        <v>1.2803144154834811E-2</v>
      </c>
      <c r="CL12" s="13">
        <v>0.1180156076696104</v>
      </c>
      <c r="CM12" s="13">
        <v>-7.1708562500000045E-2</v>
      </c>
      <c r="CN12" s="13">
        <v>-2.7083701214559368E-2</v>
      </c>
      <c r="CO12" s="13">
        <v>7.1291854166666654E-2</v>
      </c>
      <c r="CP12" s="13">
        <v>-1.27958125E-2</v>
      </c>
      <c r="CQ12" s="13">
        <v>3.6572194909933541E-2</v>
      </c>
      <c r="CR12" s="13">
        <v>2.1178784306524409E-3</v>
      </c>
      <c r="CS12" s="13">
        <v>-1.4509312499999989E-2</v>
      </c>
      <c r="CT12" s="13">
        <v>3.2113958333333317E-2</v>
      </c>
      <c r="CU12" s="13">
        <v>1.396737499999999E-2</v>
      </c>
      <c r="CV12" s="13">
        <v>4.4034270833333243E-3</v>
      </c>
      <c r="CW12" s="13">
        <v>2.975735416666667E-2</v>
      </c>
      <c r="CX12" s="13">
        <v>4.6547114583333327E-2</v>
      </c>
      <c r="CY12" s="13">
        <v>-5.982942211490587E-3</v>
      </c>
      <c r="CZ12" s="13">
        <v>8.8562468749999998E-2</v>
      </c>
      <c r="DA12" s="13">
        <v>3.6978520833333327E-2</v>
      </c>
      <c r="DB12" s="13">
        <v>8.8981854166666707E-2</v>
      </c>
      <c r="DC12" s="13">
        <v>1.147305208333335E-2</v>
      </c>
      <c r="DD12" s="13">
        <v>2.4888978057240451E-2</v>
      </c>
      <c r="DE12" s="13">
        <v>-3.7235479166666613E-2</v>
      </c>
      <c r="DF12" s="13">
        <v>5.5486104166666647E-2</v>
      </c>
      <c r="DG12" s="13">
        <v>-4.6409979166666671E-2</v>
      </c>
      <c r="DH12" s="13">
        <v>6.1195427083333309E-2</v>
      </c>
      <c r="DI12" s="13">
        <v>5.9749010416666679E-2</v>
      </c>
      <c r="DJ12" s="13">
        <v>1.511867708333333E-2</v>
      </c>
      <c r="DK12" s="13">
        <v>-3.1928208333333333E-2</v>
      </c>
      <c r="DL12" s="13">
        <v>3.0896458333333349E-3</v>
      </c>
      <c r="DM12" s="13">
        <v>-1.923761458333334E-2</v>
      </c>
      <c r="DN12" s="13">
        <v>2.1917052083333319E-2</v>
      </c>
      <c r="DO12" s="13">
        <v>3.0557260416666669E-2</v>
      </c>
      <c r="DP12" s="13">
        <v>4.5953760416666663E-2</v>
      </c>
      <c r="DQ12" s="13">
        <v>-3.3862052083333379E-2</v>
      </c>
      <c r="DR12" s="13">
        <v>1.8778943279386909E-2</v>
      </c>
      <c r="DS12" s="13">
        <v>-3.5726155451697807E-2</v>
      </c>
      <c r="DT12" s="13">
        <v>2.5117864583333378E-2</v>
      </c>
      <c r="DU12" s="13">
        <v>-5.7230229166666681E-2</v>
      </c>
      <c r="DV12" s="13">
        <v>2.9540874999999991E-2</v>
      </c>
      <c r="DW12" s="13">
        <v>4.4967552083333348E-2</v>
      </c>
      <c r="DX12" s="13">
        <v>2.1028541666666681E-2</v>
      </c>
      <c r="DY12" s="13">
        <v>5.3145312500000007E-2</v>
      </c>
      <c r="DZ12" s="13">
        <v>6.2268437500000041E-3</v>
      </c>
      <c r="EA12" s="13">
        <v>5.1097697916666678E-2</v>
      </c>
      <c r="EB12" s="13">
        <v>5.7861666666666738E-3</v>
      </c>
      <c r="EC12" s="13">
        <v>2.6651509579665299E-2</v>
      </c>
      <c r="ED12" s="13">
        <v>-6.050815280848415E-2</v>
      </c>
      <c r="EE12" s="13">
        <v>-2.6506687500000001E-2</v>
      </c>
      <c r="EF12" s="13">
        <v>2.9233395833333311E-2</v>
      </c>
      <c r="EG12" s="23">
        <f t="shared" ref="EG12:EG24" si="10">AVERAGE(C12:EF12)</f>
        <v>1.4047975022681108E-2</v>
      </c>
      <c r="EH12" s="23">
        <f t="shared" ref="EH12:EH24" si="11">STDEV(C12:EF12)</f>
        <v>3.6904550077141336E-2</v>
      </c>
      <c r="EI12" s="23">
        <f t="shared" ref="EI12:EI24" si="12">EG12/EH12</f>
        <v>0.38065699197840697</v>
      </c>
    </row>
    <row r="13" spans="1:139">
      <c r="A13">
        <v>20</v>
      </c>
      <c r="B13">
        <v>48</v>
      </c>
      <c r="C13" s="13">
        <v>0.10411314583333341</v>
      </c>
      <c r="D13" s="13">
        <v>2.987761060455878E-2</v>
      </c>
      <c r="E13" s="13">
        <v>-3.4496619491353048E-2</v>
      </c>
      <c r="F13" s="13">
        <v>-3.4922155882654501E-2</v>
      </c>
      <c r="G13" s="13">
        <v>-1.490797975730339E-2</v>
      </c>
      <c r="H13" s="13">
        <v>1.5930384569345112E-2</v>
      </c>
      <c r="I13" s="13">
        <v>3.2682862984722338E-2</v>
      </c>
      <c r="J13" s="13">
        <v>3.4549891969644697E-2</v>
      </c>
      <c r="K13" s="13">
        <v>-4.5330990242219003E-2</v>
      </c>
      <c r="L13" s="13">
        <v>-2.913566903744547E-2</v>
      </c>
      <c r="M13" s="13">
        <v>7.7086562624922028E-3</v>
      </c>
      <c r="N13" s="13">
        <v>4.3151952223766853E-2</v>
      </c>
      <c r="O13" s="13">
        <v>3.6273275719922483E-2</v>
      </c>
      <c r="P13" s="13">
        <v>-2.0856913061405559E-2</v>
      </c>
      <c r="Q13" s="13">
        <v>-4.4218264227970053E-2</v>
      </c>
      <c r="R13" s="13">
        <v>6.4899101760743979E-3</v>
      </c>
      <c r="S13" s="13">
        <v>-0.1229152980035506</v>
      </c>
      <c r="T13" s="13">
        <v>-5.2899802908693339E-2</v>
      </c>
      <c r="U13" s="13">
        <v>-5.4161075041694179E-2</v>
      </c>
      <c r="V13" s="13">
        <v>5.2779738900233658E-2</v>
      </c>
      <c r="W13" s="13">
        <v>3.1103087884369891E-2</v>
      </c>
      <c r="X13" s="13">
        <v>6.9750968769056565E-2</v>
      </c>
      <c r="Y13" s="13">
        <v>-2.6471883217342521E-2</v>
      </c>
      <c r="Z13" s="13">
        <v>7.842443480518356E-2</v>
      </c>
      <c r="AA13" s="13">
        <v>-3.2119510338471283E-2</v>
      </c>
      <c r="AB13" s="13">
        <v>4.6678220121377283E-2</v>
      </c>
      <c r="AC13" s="13">
        <v>2.187155616137754E-2</v>
      </c>
      <c r="AD13" s="13">
        <v>6.5790452025407779E-3</v>
      </c>
      <c r="AE13" s="13">
        <v>-4.2517211455791168E-2</v>
      </c>
      <c r="AF13" s="13">
        <v>3.1940463834301228E-2</v>
      </c>
      <c r="AG13" s="13">
        <v>3.1681783055002889E-2</v>
      </c>
      <c r="AH13" s="13">
        <v>3.1874708333333307E-2</v>
      </c>
      <c r="AI13" s="13">
        <v>1.9910041666666659E-2</v>
      </c>
      <c r="AJ13" s="13">
        <v>1.9885916666666659E-2</v>
      </c>
      <c r="AK13" s="13">
        <v>6.5987912810655996E-2</v>
      </c>
      <c r="AL13" s="13">
        <v>2.3151428595171029E-2</v>
      </c>
      <c r="AM13" s="13">
        <v>4.6282443536828928E-2</v>
      </c>
      <c r="AN13" s="13">
        <v>0.10533023813603409</v>
      </c>
      <c r="AO13" s="13">
        <v>9.3111878994149404E-3</v>
      </c>
      <c r="AP13" s="13">
        <v>-5.9550840361997717E-2</v>
      </c>
      <c r="AQ13" s="13">
        <v>-6.0492887688996834E-3</v>
      </c>
      <c r="AR13" s="13">
        <v>1.0689185535935661E-2</v>
      </c>
      <c r="AS13" s="13">
        <v>-1.9364166666666701E-3</v>
      </c>
      <c r="AT13" s="13">
        <v>4.0463087854439743E-2</v>
      </c>
      <c r="AU13" s="13">
        <v>4.0976126475978862E-2</v>
      </c>
      <c r="AV13" s="13">
        <v>-9.475472639553081E-3</v>
      </c>
      <c r="AW13" s="13">
        <v>4.0800135830634E-3</v>
      </c>
      <c r="AX13" s="13">
        <v>6.7153787783110333E-2</v>
      </c>
      <c r="AY13" s="13">
        <v>1.756434634862496E-2</v>
      </c>
      <c r="AZ13" s="13">
        <v>-8.1034674694993921E-3</v>
      </c>
      <c r="BA13" s="13">
        <v>6.5409376070610318E-3</v>
      </c>
      <c r="BB13" s="13">
        <v>4.2875374496810892E-2</v>
      </c>
      <c r="BC13" s="13">
        <v>1.128376711165765E-2</v>
      </c>
      <c r="BD13" s="13">
        <v>3.344428383681335E-3</v>
      </c>
      <c r="BE13" s="13">
        <v>2.7391806305641558E-2</v>
      </c>
      <c r="BF13" s="13">
        <v>8.3929415307496771E-2</v>
      </c>
      <c r="BG13" s="13">
        <v>4.6566462338711673E-2</v>
      </c>
      <c r="BH13" s="13">
        <v>8.4757298116190372E-3</v>
      </c>
      <c r="BI13" s="13">
        <v>5.2409132456701382E-2</v>
      </c>
      <c r="BJ13" s="13">
        <v>-1.6847085990264871E-2</v>
      </c>
      <c r="BK13" s="13">
        <v>-1.8391024879749449E-2</v>
      </c>
      <c r="BL13" s="13">
        <v>3.1947860213175139E-2</v>
      </c>
      <c r="BM13" s="13">
        <v>1.6918615618881649E-2</v>
      </c>
      <c r="BN13" s="13">
        <v>-4.8578333333333251E-3</v>
      </c>
      <c r="BO13" s="13">
        <v>3.0878716233474109E-2</v>
      </c>
      <c r="BP13" s="13">
        <v>9.4326956946515182E-3</v>
      </c>
      <c r="BQ13" s="13">
        <v>4.1653063789425779E-2</v>
      </c>
      <c r="BR13" s="13">
        <v>-6.6814174835574522E-3</v>
      </c>
      <c r="BS13" s="13">
        <v>7.4194718402196772E-3</v>
      </c>
      <c r="BT13" s="13">
        <v>3.8343505616472817E-2</v>
      </c>
      <c r="BU13" s="13">
        <v>-1.7706555036553769E-2</v>
      </c>
      <c r="BV13" s="13">
        <v>2.065359687620864E-2</v>
      </c>
      <c r="BW13" s="13">
        <v>1.763237810677006E-3</v>
      </c>
      <c r="BX13" s="13">
        <v>2.1078067524026588E-2</v>
      </c>
      <c r="BY13" s="13">
        <v>-1.4512397670490481E-2</v>
      </c>
      <c r="BZ13" s="13">
        <v>7.6138123059050211E-2</v>
      </c>
      <c r="CA13" s="13">
        <v>-3.3531565600396843E-2</v>
      </c>
      <c r="CB13" s="13">
        <v>-6.5958267252201053E-3</v>
      </c>
      <c r="CC13" s="13">
        <v>-1.2530912212633369E-2</v>
      </c>
      <c r="CD13" s="13">
        <v>0.1050858328923274</v>
      </c>
      <c r="CE13" s="13">
        <v>0.1838277291666667</v>
      </c>
      <c r="CF13" s="13">
        <v>1.8229145833333339E-2</v>
      </c>
      <c r="CG13" s="13">
        <v>4.0449062968955063E-2</v>
      </c>
      <c r="CH13" s="13">
        <v>5.8334611827207158E-2</v>
      </c>
      <c r="CI13" s="13">
        <v>-5.1853509134263308E-2</v>
      </c>
      <c r="CJ13" s="13">
        <v>-3.106087971951194E-3</v>
      </c>
      <c r="CK13" s="13">
        <v>3.2045269236463968E-2</v>
      </c>
      <c r="CL13" s="13">
        <v>8.1453366102180805E-2</v>
      </c>
      <c r="CM13" s="13">
        <v>-0.1014523333333333</v>
      </c>
      <c r="CN13" s="13">
        <v>-2.688756599885234E-2</v>
      </c>
      <c r="CO13" s="13">
        <v>8.5566145833333315E-2</v>
      </c>
      <c r="CP13" s="13">
        <v>-3.4377458333333333E-2</v>
      </c>
      <c r="CQ13" s="13">
        <v>3.8184950196159702E-2</v>
      </c>
      <c r="CR13" s="13">
        <v>8.2797809976485181E-3</v>
      </c>
      <c r="CS13" s="13">
        <v>3.9479583333333346E-3</v>
      </c>
      <c r="CT13" s="13">
        <v>4.3462166666666698E-2</v>
      </c>
      <c r="CU13" s="13">
        <v>1.1031208333333349E-2</v>
      </c>
      <c r="CV13" s="13">
        <v>2.4319187499999999E-2</v>
      </c>
      <c r="CW13" s="13">
        <v>1.045652083333334E-2</v>
      </c>
      <c r="CX13" s="13">
        <v>4.9866875000000067E-3</v>
      </c>
      <c r="CY13" s="13">
        <v>-1.3118740115012659E-2</v>
      </c>
      <c r="CZ13" s="13">
        <v>9.0290624999999999E-2</v>
      </c>
      <c r="DA13" s="13">
        <v>4.9445770833333333E-2</v>
      </c>
      <c r="DB13" s="13">
        <v>0.10623525</v>
      </c>
      <c r="DC13" s="13">
        <v>2.354112500000001E-2</v>
      </c>
      <c r="DD13" s="13">
        <v>1.069760060073574E-2</v>
      </c>
      <c r="DE13" s="13">
        <v>-4.2563895833333379E-2</v>
      </c>
      <c r="DF13" s="13">
        <v>8.3122687499999987E-2</v>
      </c>
      <c r="DG13" s="13">
        <v>-4.772931250000001E-2</v>
      </c>
      <c r="DH13" s="13">
        <v>8.8720708333333301E-2</v>
      </c>
      <c r="DI13" s="13">
        <v>8.9748124999999984E-2</v>
      </c>
      <c r="DJ13" s="13">
        <v>5.983854166666666E-3</v>
      </c>
      <c r="DK13" s="13">
        <v>-1.9386395833333341E-2</v>
      </c>
      <c r="DL13" s="13">
        <v>2.7122937499999989E-2</v>
      </c>
      <c r="DM13" s="13">
        <v>5.319583333333322E-4</v>
      </c>
      <c r="DN13" s="13">
        <v>1.6935374999999982E-2</v>
      </c>
      <c r="DO13" s="13">
        <v>3.7863854166666669E-2</v>
      </c>
      <c r="DP13" s="13">
        <v>4.4997145833333342E-2</v>
      </c>
      <c r="DQ13" s="13">
        <v>-3.3966541666666669E-2</v>
      </c>
      <c r="DR13" s="13">
        <v>1.377120927231194E-2</v>
      </c>
      <c r="DS13" s="13">
        <v>-3.8887627839669842E-2</v>
      </c>
      <c r="DT13" s="13">
        <v>5.083135416666669E-2</v>
      </c>
      <c r="DU13" s="13">
        <v>-3.3005958333333342E-2</v>
      </c>
      <c r="DV13" s="13">
        <v>4.3256333333333341E-2</v>
      </c>
      <c r="DW13" s="13">
        <v>4.2028479166666688E-2</v>
      </c>
      <c r="DX13" s="13">
        <v>3.9877437500000022E-2</v>
      </c>
      <c r="DY13" s="13">
        <v>5.698114583333333E-2</v>
      </c>
      <c r="DZ13" s="13">
        <v>1.830197916666667E-2</v>
      </c>
      <c r="EA13" s="13">
        <v>6.2118416666666669E-2</v>
      </c>
      <c r="EB13" s="13">
        <v>2.0102083333333259E-4</v>
      </c>
      <c r="EC13" s="13">
        <v>4.1659753435228923E-2</v>
      </c>
      <c r="ED13" s="13">
        <v>-6.5682093659234955E-2</v>
      </c>
      <c r="EE13" s="13">
        <v>-4.1234374999999997E-2</v>
      </c>
      <c r="EF13" s="13">
        <v>4.4513041666666663E-2</v>
      </c>
      <c r="EG13" s="23">
        <f t="shared" si="10"/>
        <v>1.6990692999037792E-2</v>
      </c>
      <c r="EH13" s="24">
        <f t="shared" si="11"/>
        <v>4.4224944140512479E-2</v>
      </c>
      <c r="EI13" s="23">
        <f t="shared" si="12"/>
        <v>0.38418800360842931</v>
      </c>
    </row>
    <row r="14" spans="1:139">
      <c r="A14">
        <v>50</v>
      </c>
      <c r="B14">
        <v>19</v>
      </c>
      <c r="C14" s="13">
        <v>0.1199416315789474</v>
      </c>
      <c r="D14" s="13">
        <v>8.3347311543301383E-2</v>
      </c>
      <c r="E14" s="13">
        <v>-4.7525943267256017E-2</v>
      </c>
      <c r="F14" s="13">
        <v>-4.8454142799859858E-2</v>
      </c>
      <c r="G14" s="13">
        <v>-4.1019916497925447E-2</v>
      </c>
      <c r="H14" s="13">
        <v>7.6743242716788224E-3</v>
      </c>
      <c r="I14" s="13">
        <v>4.3787359823142302E-2</v>
      </c>
      <c r="J14" s="13">
        <v>2.330997196491089E-2</v>
      </c>
      <c r="K14" s="13">
        <v>-0.13417870371405349</v>
      </c>
      <c r="L14" s="13">
        <v>4.847197187706806E-3</v>
      </c>
      <c r="M14" s="13">
        <v>4.9945200667877512E-3</v>
      </c>
      <c r="N14" s="13">
        <v>8.2758984694099133E-2</v>
      </c>
      <c r="O14" s="13">
        <v>3.7475787013006502E-2</v>
      </c>
      <c r="P14" s="13">
        <v>-5.8345921898241233E-2</v>
      </c>
      <c r="Q14" s="13">
        <v>-0.12410387117144869</v>
      </c>
      <c r="R14" s="13">
        <v>-1.5941187297101821E-2</v>
      </c>
      <c r="S14" s="13">
        <v>-0.1658932271847087</v>
      </c>
      <c r="T14" s="13">
        <v>-6.9841479520895866E-2</v>
      </c>
      <c r="U14" s="13">
        <v>-0.1042666646356476</v>
      </c>
      <c r="V14" s="13">
        <v>2.0089127185378371E-2</v>
      </c>
      <c r="W14" s="13">
        <v>7.4008159388253003E-2</v>
      </c>
      <c r="X14" s="13">
        <v>0.1132631083122695</v>
      </c>
      <c r="Y14" s="13">
        <v>-5.2198745955319217E-3</v>
      </c>
      <c r="Z14" s="13">
        <v>3.8511926280307661E-2</v>
      </c>
      <c r="AA14" s="13">
        <v>-3.9450180302082173E-2</v>
      </c>
      <c r="AB14" s="13">
        <v>7.0769377347230211E-2</v>
      </c>
      <c r="AC14" s="13">
        <v>-1.351726880349334E-2</v>
      </c>
      <c r="AD14" s="13">
        <v>-1.292010661121834E-2</v>
      </c>
      <c r="AE14" s="13">
        <v>-0.1064120722476776</v>
      </c>
      <c r="AF14" s="13">
        <v>4.0420702542399108E-2</v>
      </c>
      <c r="AG14" s="13">
        <v>2.0520894646562499E-2</v>
      </c>
      <c r="AH14" s="13">
        <v>6.3409947368421052E-2</v>
      </c>
      <c r="AI14" s="13">
        <v>1.0965315789473681E-2</v>
      </c>
      <c r="AJ14" s="13">
        <v>9.629468421052631E-2</v>
      </c>
      <c r="AK14" s="13">
        <v>7.6911430858302002E-2</v>
      </c>
      <c r="AL14" s="13">
        <v>3.7969189722460717E-2</v>
      </c>
      <c r="AM14" s="13">
        <v>6.1242166378625243E-2</v>
      </c>
      <c r="AN14" s="13">
        <v>9.8594666769543718E-2</v>
      </c>
      <c r="AO14" s="13">
        <v>6.0905705465409951E-2</v>
      </c>
      <c r="AP14" s="13">
        <v>-6.9976525152084204E-2</v>
      </c>
      <c r="AQ14" s="13">
        <v>-3.6796773775995059E-4</v>
      </c>
      <c r="AR14" s="13">
        <v>3.764583976226292E-2</v>
      </c>
      <c r="AS14" s="13">
        <v>9.2569473684210521E-3</v>
      </c>
      <c r="AT14" s="13">
        <v>3.4506579685144471E-2</v>
      </c>
      <c r="AU14" s="13">
        <v>3.999164900330384E-2</v>
      </c>
      <c r="AV14" s="13">
        <v>-1.868288543361717E-2</v>
      </c>
      <c r="AW14" s="13">
        <v>-1.8362931505957501E-2</v>
      </c>
      <c r="AX14" s="13">
        <v>0.13695102829439271</v>
      </c>
      <c r="AY14" s="13">
        <v>1.5068118771761551E-2</v>
      </c>
      <c r="AZ14" s="13">
        <v>-5.3348569172156059E-2</v>
      </c>
      <c r="BA14" s="13">
        <v>1.7621645544243138E-2</v>
      </c>
      <c r="BB14" s="13">
        <v>6.1734282001674842E-2</v>
      </c>
      <c r="BC14" s="13">
        <v>-9.8209989552774171E-3</v>
      </c>
      <c r="BD14" s="13">
        <v>4.3327781667405418E-2</v>
      </c>
      <c r="BE14" s="13">
        <v>4.3787062535487017E-2</v>
      </c>
      <c r="BF14" s="13">
        <v>4.0770521545689782E-2</v>
      </c>
      <c r="BG14" s="13">
        <v>4.1374264073932777E-2</v>
      </c>
      <c r="BH14" s="13">
        <v>5.3427555686006711E-3</v>
      </c>
      <c r="BI14" s="13">
        <v>5.0185212890853773E-2</v>
      </c>
      <c r="BJ14" s="13">
        <v>-2.0017223671233209E-2</v>
      </c>
      <c r="BK14" s="13">
        <v>-5.5937516570728277E-3</v>
      </c>
      <c r="BL14" s="13">
        <v>5.9737766842370338E-2</v>
      </c>
      <c r="BM14" s="13">
        <v>3.9257215206427082E-2</v>
      </c>
      <c r="BN14" s="13">
        <v>-4.657684210526316E-2</v>
      </c>
      <c r="BO14" s="13">
        <v>3.3609045677264478E-2</v>
      </c>
      <c r="BP14" s="13">
        <v>1.5673733492959141E-2</v>
      </c>
      <c r="BQ14" s="13">
        <v>1.584352386995078E-2</v>
      </c>
      <c r="BR14" s="13">
        <v>-2.7929429532617921E-2</v>
      </c>
      <c r="BS14" s="13">
        <v>-4.1493955144577897E-2</v>
      </c>
      <c r="BT14" s="13">
        <v>7.4012962336311328E-2</v>
      </c>
      <c r="BU14" s="13">
        <v>8.8548353580308568E-3</v>
      </c>
      <c r="BV14" s="13">
        <v>2.5727182016427399E-2</v>
      </c>
      <c r="BW14" s="13">
        <v>1.250794825759332E-2</v>
      </c>
      <c r="BX14" s="13">
        <v>5.4970760121953073E-2</v>
      </c>
      <c r="BY14" s="13">
        <v>-6.5962933649650326E-3</v>
      </c>
      <c r="BZ14" s="13">
        <v>6.0034056828782267E-2</v>
      </c>
      <c r="CA14" s="13">
        <v>-2.446526611493707E-2</v>
      </c>
      <c r="CB14" s="13">
        <v>2.2127616542174811E-2</v>
      </c>
      <c r="CC14" s="13">
        <v>-1.2794080785178611E-2</v>
      </c>
      <c r="CD14" s="13">
        <v>9.8016709932197757E-2</v>
      </c>
      <c r="CE14" s="13">
        <v>0.1705548421052632</v>
      </c>
      <c r="CF14" s="13">
        <v>-2.031031578947368E-2</v>
      </c>
      <c r="CG14" s="13">
        <v>5.3067028295838918E-2</v>
      </c>
      <c r="CH14" s="13">
        <v>6.46613922782171E-2</v>
      </c>
      <c r="CI14" s="13">
        <v>-0.1058847773633588</v>
      </c>
      <c r="CJ14" s="13">
        <v>-2.866785494417454E-2</v>
      </c>
      <c r="CK14" s="13">
        <v>1.40163643906461E-2</v>
      </c>
      <c r="CL14" s="13">
        <v>6.2269954878836478E-2</v>
      </c>
      <c r="CM14" s="13">
        <v>-0.1100678421052631</v>
      </c>
      <c r="CN14" s="13">
        <v>-2.3026688670926061E-2</v>
      </c>
      <c r="CO14" s="13">
        <v>0.17324926315789471</v>
      </c>
      <c r="CP14" s="13">
        <v>-0.10547973684210531</v>
      </c>
      <c r="CQ14" s="13">
        <v>5.321162809167454E-2</v>
      </c>
      <c r="CR14" s="13">
        <v>5.590913762450133E-2</v>
      </c>
      <c r="CS14" s="13">
        <v>-3.8151052631578849E-3</v>
      </c>
      <c r="CT14" s="13">
        <v>6.1872210526315793E-2</v>
      </c>
      <c r="CU14" s="13">
        <v>7.4250526315789489E-2</v>
      </c>
      <c r="CV14" s="13">
        <v>3.9399684210526323E-2</v>
      </c>
      <c r="CW14" s="13">
        <v>8.233368421052642E-3</v>
      </c>
      <c r="CX14" s="13">
        <v>2.42438947368421E-2</v>
      </c>
      <c r="CY14" s="13">
        <v>-2.875912029147424E-2</v>
      </c>
      <c r="CZ14" s="13">
        <v>0.13617263157894741</v>
      </c>
      <c r="DA14" s="13">
        <v>6.5392578947368413E-2</v>
      </c>
      <c r="DB14" s="13">
        <v>0.104608052631579</v>
      </c>
      <c r="DC14" s="13">
        <v>1.47538947368421E-2</v>
      </c>
      <c r="DD14" s="13">
        <v>-1.6758549792416429E-2</v>
      </c>
      <c r="DE14" s="13">
        <v>-3.1057578947368419E-2</v>
      </c>
      <c r="DF14" s="13">
        <v>0.20156447368421049</v>
      </c>
      <c r="DG14" s="13">
        <v>-4.5583631578947383E-2</v>
      </c>
      <c r="DH14" s="13">
        <v>5.8742578947368403E-2</v>
      </c>
      <c r="DI14" s="13">
        <v>8.6646789473684205E-2</v>
      </c>
      <c r="DJ14" s="13">
        <v>1.5897789473684209E-2</v>
      </c>
      <c r="DK14" s="13">
        <v>-8.1621684210526332E-2</v>
      </c>
      <c r="DL14" s="13">
        <v>-9.2726842105263149E-3</v>
      </c>
      <c r="DM14" s="13">
        <v>-1.120684210526305E-3</v>
      </c>
      <c r="DN14" s="13">
        <v>3.0299894736842109E-2</v>
      </c>
      <c r="DO14" s="13">
        <v>0.102592</v>
      </c>
      <c r="DP14" s="13">
        <v>3.618157894736844E-3</v>
      </c>
      <c r="DQ14" s="13">
        <v>-5.6019210526315803E-2</v>
      </c>
      <c r="DR14" s="13">
        <v>5.2622519458999567E-2</v>
      </c>
      <c r="DS14" s="13">
        <v>-3.5044906270916831E-2</v>
      </c>
      <c r="DT14" s="13">
        <v>0.11767231578947369</v>
      </c>
      <c r="DU14" s="13">
        <v>-6.8796263157894735E-2</v>
      </c>
      <c r="DV14" s="13">
        <v>1.9435526315789469E-2</v>
      </c>
      <c r="DW14" s="13">
        <v>1.809894736842108E-3</v>
      </c>
      <c r="DX14" s="13">
        <v>3.8758157894736828E-2</v>
      </c>
      <c r="DY14" s="13">
        <v>7.4257842105263164E-2</v>
      </c>
      <c r="DZ14" s="13">
        <v>3.5030894736842108E-2</v>
      </c>
      <c r="EA14" s="13">
        <v>0.1075255263157895</v>
      </c>
      <c r="EB14" s="13">
        <v>-2.5110526315789479E-2</v>
      </c>
      <c r="EC14" s="13">
        <v>6.0793821481329897E-3</v>
      </c>
      <c r="ED14" s="13">
        <v>-0.102629709186187</v>
      </c>
      <c r="EE14" s="13">
        <v>3.399263157894739E-3</v>
      </c>
      <c r="EF14" s="13">
        <v>2.5524210526315781E-2</v>
      </c>
      <c r="EG14" s="23">
        <f t="shared" si="10"/>
        <v>1.7202612353521746E-2</v>
      </c>
      <c r="EH14" s="1">
        <f t="shared" si="11"/>
        <v>6.3056337377895413E-2</v>
      </c>
      <c r="EI14" s="25">
        <f t="shared" si="12"/>
        <v>0.27281337719358517</v>
      </c>
    </row>
    <row r="15" spans="1:139">
      <c r="A15">
        <v>100</v>
      </c>
      <c r="B15">
        <v>10</v>
      </c>
      <c r="C15" s="13">
        <v>0.22764509999999999</v>
      </c>
      <c r="D15" s="13">
        <v>1.6952864792065741E-2</v>
      </c>
      <c r="E15" s="13">
        <v>-1.019842627208351E-2</v>
      </c>
      <c r="F15" s="13">
        <v>-0.1085622933731899</v>
      </c>
      <c r="G15" s="13">
        <v>-6.0636928671534279E-2</v>
      </c>
      <c r="H15" s="13">
        <v>5.0157824503593081E-2</v>
      </c>
      <c r="I15" s="13">
        <v>5.843144427986554E-2</v>
      </c>
      <c r="J15" s="13">
        <v>4.9961465247389647E-2</v>
      </c>
      <c r="K15" s="13">
        <v>-0.28659462773637062</v>
      </c>
      <c r="L15" s="13">
        <v>3.2558505157184642E-2</v>
      </c>
      <c r="M15" s="13">
        <v>2.5497709479487259E-2</v>
      </c>
      <c r="N15" s="13">
        <v>0.12086815416098109</v>
      </c>
      <c r="O15" s="13">
        <v>7.375734424631461E-2</v>
      </c>
      <c r="P15" s="13">
        <v>-6.4116183021661763E-2</v>
      </c>
      <c r="Q15" s="13">
        <v>-0.15553684210781249</v>
      </c>
      <c r="R15" s="13">
        <v>-5.2129690105117463E-2</v>
      </c>
      <c r="S15" s="13">
        <v>-0.27000789508215378</v>
      </c>
      <c r="T15" s="13">
        <v>-6.6800124943112091E-2</v>
      </c>
      <c r="U15" s="13">
        <v>-0.1369680616672688</v>
      </c>
      <c r="V15" s="13">
        <v>-1.713185334811276E-2</v>
      </c>
      <c r="W15" s="13">
        <v>0.1025435939827431</v>
      </c>
      <c r="X15" s="13">
        <v>0.1268433314636731</v>
      </c>
      <c r="Y15" s="13">
        <v>2.0629974365819839E-2</v>
      </c>
      <c r="Z15" s="13">
        <v>4.6719972053358677E-2</v>
      </c>
      <c r="AA15" s="13">
        <v>-5.4081147028033669E-2</v>
      </c>
      <c r="AB15" s="13">
        <v>8.370017251583052E-2</v>
      </c>
      <c r="AC15" s="13">
        <v>1.6480966208188091E-2</v>
      </c>
      <c r="AD15" s="13">
        <v>1.8936283030818419E-2</v>
      </c>
      <c r="AE15" s="13">
        <v>-9.7797684008951086E-2</v>
      </c>
      <c r="AF15" s="13">
        <v>6.5819612497039853E-2</v>
      </c>
      <c r="AG15" s="13">
        <v>1.012347826165556E-2</v>
      </c>
      <c r="AH15" s="13">
        <v>-1.45018E-2</v>
      </c>
      <c r="AI15" s="13">
        <v>7.4277400000000007E-2</v>
      </c>
      <c r="AJ15" s="13">
        <v>4.1833999999999968E-3</v>
      </c>
      <c r="AK15" s="13">
        <v>6.1759619658444932E-2</v>
      </c>
      <c r="AL15" s="13">
        <v>4.4431662495814539E-2</v>
      </c>
      <c r="AM15" s="13">
        <v>5.5122622134627111E-2</v>
      </c>
      <c r="AN15" s="13">
        <v>0.10168870591238351</v>
      </c>
      <c r="AO15" s="13">
        <v>6.3369812463467096E-2</v>
      </c>
      <c r="AP15" s="13">
        <v>-7.8285693892754235E-2</v>
      </c>
      <c r="AQ15" s="13">
        <v>-3.7367126796121669E-2</v>
      </c>
      <c r="AR15" s="13">
        <v>9.0293855475916673E-2</v>
      </c>
      <c r="AS15" s="13">
        <v>-2.2430800000000001E-2</v>
      </c>
      <c r="AT15" s="13">
        <v>6.5254990652428568E-2</v>
      </c>
      <c r="AU15" s="13">
        <v>3.9943261089466317E-2</v>
      </c>
      <c r="AV15" s="13">
        <v>-4.7226818327438858E-2</v>
      </c>
      <c r="AW15" s="13">
        <v>1.5659939254580951E-2</v>
      </c>
      <c r="AX15" s="13">
        <v>0.12523397717473519</v>
      </c>
      <c r="AY15" s="13">
        <v>2.8017064110032911E-2</v>
      </c>
      <c r="AZ15" s="13">
        <v>-9.1323280068503487E-2</v>
      </c>
      <c r="BA15" s="13">
        <v>1.061351480765297E-2</v>
      </c>
      <c r="BB15" s="13">
        <v>0.1127248660788131</v>
      </c>
      <c r="BC15" s="13">
        <v>6.2155143667830287E-2</v>
      </c>
      <c r="BD15" s="13">
        <v>5.3043273904796059E-2</v>
      </c>
      <c r="BE15" s="13">
        <v>4.8442721017663122E-2</v>
      </c>
      <c r="BF15" s="13">
        <v>4.7662979456752137E-2</v>
      </c>
      <c r="BG15" s="13">
        <v>2.489538734565238E-3</v>
      </c>
      <c r="BH15" s="13">
        <v>3.4441845481689458E-2</v>
      </c>
      <c r="BI15" s="13">
        <v>6.8586659114969639E-2</v>
      </c>
      <c r="BJ15" s="13">
        <v>-1.1265027087445249E-2</v>
      </c>
      <c r="BK15" s="13">
        <v>8.2375226780603827E-4</v>
      </c>
      <c r="BL15" s="13">
        <v>5.940387134134844E-2</v>
      </c>
      <c r="BM15" s="13">
        <v>6.6824821366729223E-2</v>
      </c>
      <c r="BN15" s="13">
        <v>-6.60549E-2</v>
      </c>
      <c r="BO15" s="13">
        <v>2.773447595493098E-2</v>
      </c>
      <c r="BP15" s="13">
        <v>1.4184220707804779E-2</v>
      </c>
      <c r="BQ15" s="13">
        <v>1.280293129032776E-2</v>
      </c>
      <c r="BR15" s="13">
        <v>-5.0157429122059692E-2</v>
      </c>
      <c r="BS15" s="13">
        <v>-1.682377745028631E-2</v>
      </c>
      <c r="BT15" s="13">
        <v>8.9060205731334427E-2</v>
      </c>
      <c r="BU15" s="13">
        <v>-1.9476419795793471E-2</v>
      </c>
      <c r="BV15" s="13">
        <v>5.8914967752548723E-2</v>
      </c>
      <c r="BW15" s="13">
        <v>-3.5945890129403732E-2</v>
      </c>
      <c r="BX15" s="13">
        <v>2.8635895065731481E-2</v>
      </c>
      <c r="BY15" s="13">
        <v>-6.1694091479059833E-2</v>
      </c>
      <c r="BZ15" s="13">
        <v>0.1029064689773473</v>
      </c>
      <c r="CA15" s="13">
        <v>-1.859202079644226E-2</v>
      </c>
      <c r="CB15" s="13">
        <v>1.5056894011824499E-2</v>
      </c>
      <c r="CC15" s="13">
        <v>-0.15231826505416149</v>
      </c>
      <c r="CD15" s="13">
        <v>0.1201520839630844</v>
      </c>
      <c r="CE15" s="13">
        <v>7.3367399999999999E-2</v>
      </c>
      <c r="CF15" s="13">
        <v>-3.626399999999988E-3</v>
      </c>
      <c r="CG15" s="13">
        <v>-4.2988792533641554E-3</v>
      </c>
      <c r="CH15" s="13">
        <v>6.2885958283701332E-2</v>
      </c>
      <c r="CI15" s="13">
        <v>-3.8798414894980787E-2</v>
      </c>
      <c r="CJ15" s="13">
        <v>-8.7044356072718085E-2</v>
      </c>
      <c r="CK15" s="13">
        <v>5.667264577209942E-2</v>
      </c>
      <c r="CL15" s="13">
        <v>3.1421974993248308E-2</v>
      </c>
      <c r="CM15" s="13">
        <v>-0.1081179</v>
      </c>
      <c r="CN15" s="13">
        <v>-4.2634115799160301E-2</v>
      </c>
      <c r="CO15" s="13">
        <v>0.17335990000000001</v>
      </c>
      <c r="CP15" s="13">
        <v>-3.4393400000000011E-2</v>
      </c>
      <c r="CQ15" s="13">
        <v>3.7378010765128991E-2</v>
      </c>
      <c r="CR15" s="13">
        <v>4.8237070288164277E-2</v>
      </c>
      <c r="CS15" s="13">
        <v>1.6912400000000001E-2</v>
      </c>
      <c r="CT15" s="13">
        <v>3.22169E-2</v>
      </c>
      <c r="CU15" s="13">
        <v>0.15386359999999999</v>
      </c>
      <c r="CV15" s="13">
        <v>6.0443999999999998E-2</v>
      </c>
      <c r="CW15" s="13">
        <v>-2.7258899999999999E-2</v>
      </c>
      <c r="CX15" s="13">
        <v>1.7868099999999991E-2</v>
      </c>
      <c r="CY15" s="13">
        <v>-4.2470673077762339E-2</v>
      </c>
      <c r="CZ15" s="13">
        <v>0.1153667</v>
      </c>
      <c r="DA15" s="13">
        <v>8.8861800000000005E-2</v>
      </c>
      <c r="DB15" s="13">
        <v>9.7047700000000001E-2</v>
      </c>
      <c r="DC15" s="13">
        <v>7.6726499999999989E-2</v>
      </c>
      <c r="DD15" s="13">
        <v>-4.9393690499884603E-2</v>
      </c>
      <c r="DE15" s="13">
        <v>-6.5607900000000011E-2</v>
      </c>
      <c r="DF15" s="13">
        <v>0.30272159999999998</v>
      </c>
      <c r="DG15" s="13">
        <v>-4.7917800000000003E-2</v>
      </c>
      <c r="DH15" s="13">
        <v>0.1296235</v>
      </c>
      <c r="DI15" s="13">
        <v>4.2810999999999988E-2</v>
      </c>
      <c r="DJ15" s="13">
        <v>4.7566499999999998E-2</v>
      </c>
      <c r="DK15" s="13">
        <v>-0.100329</v>
      </c>
      <c r="DL15" s="13">
        <v>7.7391999999999999E-3</v>
      </c>
      <c r="DM15" s="13">
        <v>1.773500000000004E-3</v>
      </c>
      <c r="DN15" s="13">
        <v>-6.7020200000000016E-2</v>
      </c>
      <c r="DO15" s="13">
        <v>0.15954560000000001</v>
      </c>
      <c r="DP15" s="13">
        <v>-4.0329200000000003E-2</v>
      </c>
      <c r="DQ15" s="13">
        <v>-7.2937799999999997E-2</v>
      </c>
      <c r="DR15" s="13">
        <v>7.0010566617938433E-2</v>
      </c>
      <c r="DS15" s="13">
        <v>-7.6241908411797149E-2</v>
      </c>
      <c r="DT15" s="13">
        <v>3.4296700000000013E-2</v>
      </c>
      <c r="DU15" s="13">
        <v>-0.1171285</v>
      </c>
      <c r="DV15" s="13">
        <v>5.1129900000000013E-2</v>
      </c>
      <c r="DW15" s="13">
        <v>-6.08268E-2</v>
      </c>
      <c r="DX15" s="13">
        <v>2.7959700000000021E-2</v>
      </c>
      <c r="DY15" s="13">
        <v>0.1436096</v>
      </c>
      <c r="DZ15" s="13">
        <v>4.0455199999999997E-2</v>
      </c>
      <c r="EA15" s="13">
        <v>0.1091777</v>
      </c>
      <c r="EB15" s="13">
        <v>-5.6128999999999998E-2</v>
      </c>
      <c r="EC15" s="13">
        <v>6.6081856047946447E-2</v>
      </c>
      <c r="ED15" s="13">
        <v>-0.1133570559353114</v>
      </c>
      <c r="EE15" s="13">
        <v>-3.1901999999999998E-3</v>
      </c>
      <c r="EF15" s="13">
        <v>2.96441E-2</v>
      </c>
      <c r="EG15" s="25">
        <f t="shared" si="10"/>
        <v>1.4904663647924126E-2</v>
      </c>
      <c r="EH15" s="1">
        <f t="shared" si="11"/>
        <v>8.3102806405812912E-2</v>
      </c>
      <c r="EI15" s="25">
        <f t="shared" si="12"/>
        <v>0.1793521096645127</v>
      </c>
    </row>
    <row r="16" spans="1:139">
      <c r="A16">
        <v>107</v>
      </c>
      <c r="B16">
        <v>9</v>
      </c>
      <c r="C16" s="13">
        <v>0.20787511111111109</v>
      </c>
      <c r="D16" s="13">
        <v>-7.202486673170555E-4</v>
      </c>
      <c r="E16" s="13">
        <v>-2.8301766100853822E-3</v>
      </c>
      <c r="F16" s="13">
        <v>-9.9382492855487087E-2</v>
      </c>
      <c r="G16" s="13">
        <v>-7.3696265126923857E-2</v>
      </c>
      <c r="H16" s="13">
        <v>6.0999004616936837E-2</v>
      </c>
      <c r="I16" s="13">
        <v>5.7530618665621432E-2</v>
      </c>
      <c r="J16" s="13">
        <v>4.6709926042666168E-2</v>
      </c>
      <c r="K16" s="13">
        <v>-0.28467055022653209</v>
      </c>
      <c r="L16" s="13">
        <v>9.8865345878687977E-3</v>
      </c>
      <c r="M16" s="13">
        <v>4.0334454725240582E-2</v>
      </c>
      <c r="N16" s="13">
        <v>0.1256706255427503</v>
      </c>
      <c r="O16" s="13">
        <v>7.9826860571117084E-2</v>
      </c>
      <c r="P16" s="13">
        <v>-6.1045231791422308E-2</v>
      </c>
      <c r="Q16" s="13">
        <v>-0.15790307042433799</v>
      </c>
      <c r="R16" s="13">
        <v>-4.899097828292652E-2</v>
      </c>
      <c r="S16" s="13">
        <v>-0.28706302039879478</v>
      </c>
      <c r="T16" s="13">
        <v>-6.7219060157601318E-2</v>
      </c>
      <c r="U16" s="13">
        <v>-0.1300624714297445</v>
      </c>
      <c r="V16" s="13">
        <v>-6.0221453329656824E-3</v>
      </c>
      <c r="W16" s="13">
        <v>0.10166567604781181</v>
      </c>
      <c r="X16" s="13">
        <v>0.12440978370848681</v>
      </c>
      <c r="Y16" s="13">
        <v>2.0180588419635579E-2</v>
      </c>
      <c r="Z16" s="13">
        <v>4.3057930884211712E-2</v>
      </c>
      <c r="AA16" s="13">
        <v>-4.3487635835992113E-2</v>
      </c>
      <c r="AB16" s="13">
        <v>7.4985041637980393E-2</v>
      </c>
      <c r="AC16" s="13">
        <v>4.7226236202560543E-2</v>
      </c>
      <c r="AD16" s="13">
        <v>1.122025849076259E-3</v>
      </c>
      <c r="AE16" s="13">
        <v>-9.6502360488605665E-2</v>
      </c>
      <c r="AF16" s="13">
        <v>6.3685842581589158E-2</v>
      </c>
      <c r="AG16" s="13">
        <v>1.32907530365354E-2</v>
      </c>
      <c r="AH16" s="13">
        <v>-4.4108444444444443E-2</v>
      </c>
      <c r="AI16" s="13">
        <v>9.052311111111111E-2</v>
      </c>
      <c r="AJ16" s="13">
        <v>-1.763E-2</v>
      </c>
      <c r="AK16" s="13">
        <v>6.4421400832372078E-2</v>
      </c>
      <c r="AL16" s="13">
        <v>4.8688933104523248E-2</v>
      </c>
      <c r="AM16" s="13">
        <v>6.6076730601797973E-2</v>
      </c>
      <c r="AN16" s="13">
        <v>0.1064562000896756</v>
      </c>
      <c r="AO16" s="13">
        <v>6.1424671825912318E-2</v>
      </c>
      <c r="AP16" s="13">
        <v>-7.779836814558852E-2</v>
      </c>
      <c r="AQ16" s="13">
        <v>-3.8466200146068608E-2</v>
      </c>
      <c r="AR16" s="13">
        <v>0.1032911790604924</v>
      </c>
      <c r="AS16" s="13">
        <v>-2.8078666666666661E-2</v>
      </c>
      <c r="AT16" s="13">
        <v>4.954715531837002E-2</v>
      </c>
      <c r="AU16" s="13">
        <v>4.1826838254895117E-2</v>
      </c>
      <c r="AV16" s="13">
        <v>-9.0725067800187069E-3</v>
      </c>
      <c r="AW16" s="13">
        <v>3.9252930074650652E-2</v>
      </c>
      <c r="AX16" s="13">
        <v>0.10082977324397289</v>
      </c>
      <c r="AY16" s="13">
        <v>3.3812589844345937E-2</v>
      </c>
      <c r="AZ16" s="13">
        <v>-0.1049096351787122</v>
      </c>
      <c r="BA16" s="13">
        <v>1.4923105057586089E-2</v>
      </c>
      <c r="BB16" s="13">
        <v>0.10803892415273809</v>
      </c>
      <c r="BC16" s="13">
        <v>6.712146610769186E-2</v>
      </c>
      <c r="BD16" s="13">
        <v>3.5936711545904013E-2</v>
      </c>
      <c r="BE16" s="13">
        <v>5.1410994394474947E-2</v>
      </c>
      <c r="BF16" s="13">
        <v>6.4268054319718215E-2</v>
      </c>
      <c r="BG16" s="13">
        <v>1.347328204795663E-2</v>
      </c>
      <c r="BH16" s="13">
        <v>-1.377561448396186E-2</v>
      </c>
      <c r="BI16" s="13">
        <v>4.1443807763261883E-2</v>
      </c>
      <c r="BJ16" s="13">
        <v>-2.0503816283207601E-2</v>
      </c>
      <c r="BK16" s="13">
        <v>2.9719902951970238E-3</v>
      </c>
      <c r="BL16" s="13">
        <v>7.0623565707523178E-2</v>
      </c>
      <c r="BM16" s="13">
        <v>8.1523875041965066E-2</v>
      </c>
      <c r="BN16" s="13">
        <v>-6.7199333333333333E-2</v>
      </c>
      <c r="BO16" s="13">
        <v>2.1890359953657689E-2</v>
      </c>
      <c r="BP16" s="13">
        <v>2.0843183547580579E-2</v>
      </c>
      <c r="BQ16" s="13">
        <v>1.6478016254928601E-2</v>
      </c>
      <c r="BR16" s="13">
        <v>-2.6296848021444389E-2</v>
      </c>
      <c r="BS16" s="13">
        <v>-1.319157314746418E-2</v>
      </c>
      <c r="BT16" s="13">
        <v>8.5483191267799616E-2</v>
      </c>
      <c r="BU16" s="13">
        <v>-5.7765110184800447E-2</v>
      </c>
      <c r="BV16" s="13">
        <v>6.0711239446840828E-2</v>
      </c>
      <c r="BW16" s="13">
        <v>-6.5740927426534632E-2</v>
      </c>
      <c r="BX16" s="13">
        <v>3.1559237521130948E-2</v>
      </c>
      <c r="BY16" s="13">
        <v>-5.0563732847242943E-2</v>
      </c>
      <c r="BZ16" s="13">
        <v>0.11152584850164921</v>
      </c>
      <c r="CA16" s="13">
        <v>-2.971438975556321E-2</v>
      </c>
      <c r="CB16" s="13">
        <v>-1.4280449892172949E-3</v>
      </c>
      <c r="CC16" s="13">
        <v>-0.15907251448393439</v>
      </c>
      <c r="CD16" s="13">
        <v>0.15507127162636181</v>
      </c>
      <c r="CE16" s="13">
        <v>9.3613777777777768E-2</v>
      </c>
      <c r="CF16" s="13">
        <v>-1.469599999999999E-2</v>
      </c>
      <c r="CG16" s="13">
        <v>-5.3785190313301026E-3</v>
      </c>
      <c r="CH16" s="13">
        <v>4.1697414703027062E-2</v>
      </c>
      <c r="CI16" s="13">
        <v>-3.8709881828517527E-2</v>
      </c>
      <c r="CJ16" s="13">
        <v>-4.5523550787666608E-2</v>
      </c>
      <c r="CK16" s="13">
        <v>7.6472983717690388E-2</v>
      </c>
      <c r="CL16" s="13">
        <v>1.5878682334709331E-2</v>
      </c>
      <c r="CM16" s="13">
        <v>-0.1130543333333333</v>
      </c>
      <c r="CN16" s="13">
        <v>-3.3057515140949983E-2</v>
      </c>
      <c r="CO16" s="13">
        <v>0.20954700000000001</v>
      </c>
      <c r="CP16" s="13">
        <v>-3.0684555555555559E-2</v>
      </c>
      <c r="CQ16" s="13">
        <v>4.1435605659410409E-2</v>
      </c>
      <c r="CR16" s="13">
        <v>4.829976668331655E-2</v>
      </c>
      <c r="CS16" s="13">
        <v>2.1808222222222218E-2</v>
      </c>
      <c r="CT16" s="13">
        <v>4.8903888888888879E-2</v>
      </c>
      <c r="CU16" s="13">
        <v>0.15404611111111111</v>
      </c>
      <c r="CV16" s="13">
        <v>5.9453444444444448E-2</v>
      </c>
      <c r="CW16" s="13">
        <v>-3.167466666666667E-2</v>
      </c>
      <c r="CX16" s="13">
        <v>6.6858888888888914E-3</v>
      </c>
      <c r="CY16" s="13">
        <v>-4.9117049116625407E-2</v>
      </c>
      <c r="CZ16" s="13">
        <v>0.1662207777777778</v>
      </c>
      <c r="DA16" s="13">
        <v>0.11818055555555559</v>
      </c>
      <c r="DB16" s="13">
        <v>9.8016666666666655E-2</v>
      </c>
      <c r="DC16" s="13">
        <v>6.3740111111111108E-2</v>
      </c>
      <c r="DD16" s="13">
        <v>-7.0070935057357717E-2</v>
      </c>
      <c r="DE16" s="13">
        <v>-5.6325333333333331E-2</v>
      </c>
      <c r="DF16" s="13">
        <v>0.32558088888888892</v>
      </c>
      <c r="DG16" s="13">
        <v>-4.5677000000000002E-2</v>
      </c>
      <c r="DH16" s="13">
        <v>0.13714944444444449</v>
      </c>
      <c r="DI16" s="13">
        <v>4.7828777777777769E-2</v>
      </c>
      <c r="DJ16" s="13">
        <v>5.1753111111111111E-2</v>
      </c>
      <c r="DK16" s="13">
        <v>-9.6254333333333331E-2</v>
      </c>
      <c r="DL16" s="13">
        <v>1.3668888888888899E-3</v>
      </c>
      <c r="DM16" s="13">
        <v>3.8135333333333327E-2</v>
      </c>
      <c r="DN16" s="13">
        <v>-5.6705777777777792E-2</v>
      </c>
      <c r="DO16" s="13">
        <v>0.1695906666666667</v>
      </c>
      <c r="DP16" s="13">
        <v>-2.4715444444444439E-2</v>
      </c>
      <c r="DQ16" s="13">
        <v>-6.7559999999999995E-2</v>
      </c>
      <c r="DR16" s="13">
        <v>5.5191251649515209E-2</v>
      </c>
      <c r="DS16" s="13">
        <v>-9.3752064989754288E-2</v>
      </c>
      <c r="DT16" s="13">
        <v>3.2059333333333329E-2</v>
      </c>
      <c r="DU16" s="13">
        <v>-0.12277299999999999</v>
      </c>
      <c r="DV16" s="13">
        <v>4.5151777777777777E-2</v>
      </c>
      <c r="DW16" s="13">
        <v>-7.1303111111111109E-2</v>
      </c>
      <c r="DX16" s="13">
        <v>3.7507111111111102E-2</v>
      </c>
      <c r="DY16" s="13">
        <v>0.15757177777777781</v>
      </c>
      <c r="DZ16" s="13">
        <v>5.8810444444444457E-2</v>
      </c>
      <c r="EA16" s="13">
        <v>0.13979988888888889</v>
      </c>
      <c r="EB16" s="13">
        <v>-7.0877777777777762E-2</v>
      </c>
      <c r="EC16" s="13">
        <v>6.3532066634569728E-2</v>
      </c>
      <c r="ED16" s="13">
        <v>-0.1154167474989211</v>
      </c>
      <c r="EE16" s="13">
        <v>-4.3961111111111119E-3</v>
      </c>
      <c r="EF16" s="13">
        <v>3.4548444444444437E-2</v>
      </c>
      <c r="EG16" s="25">
        <f t="shared" si="10"/>
        <v>1.6394400112092169E-2</v>
      </c>
      <c r="EH16" s="1">
        <f t="shared" si="11"/>
        <v>8.6899725776880765E-2</v>
      </c>
      <c r="EI16" s="25">
        <f t="shared" si="12"/>
        <v>0.18865882447299756</v>
      </c>
    </row>
    <row r="17" spans="1:139">
      <c r="A17">
        <v>120</v>
      </c>
      <c r="B17">
        <v>8</v>
      </c>
      <c r="C17" s="13">
        <v>0.20609237499999999</v>
      </c>
      <c r="D17" s="13">
        <v>-1.7334374733087798E-2</v>
      </c>
      <c r="E17" s="13">
        <v>7.3790014953013412E-3</v>
      </c>
      <c r="F17" s="13">
        <v>-0.1128375151172957</v>
      </c>
      <c r="G17" s="13">
        <v>-7.122276687818177E-2</v>
      </c>
      <c r="H17" s="13">
        <v>7.6687821562616859E-2</v>
      </c>
      <c r="I17" s="13">
        <v>0.1137250278021875</v>
      </c>
      <c r="J17" s="13">
        <v>4.1858395118229183E-2</v>
      </c>
      <c r="K17" s="13">
        <v>-0.29682655110056239</v>
      </c>
      <c r="L17" s="13">
        <v>9.7108895081580021E-3</v>
      </c>
      <c r="M17" s="13">
        <v>6.4932034983486181E-2</v>
      </c>
      <c r="N17" s="13">
        <v>0.1359484320527852</v>
      </c>
      <c r="O17" s="13">
        <v>0.1012267692723357</v>
      </c>
      <c r="P17" s="13">
        <v>-6.6339369138831011E-2</v>
      </c>
      <c r="Q17" s="13">
        <v>-0.16180129461512691</v>
      </c>
      <c r="R17" s="13">
        <v>-5.2057608904527208E-2</v>
      </c>
      <c r="S17" s="13">
        <v>-0.31065343265529821</v>
      </c>
      <c r="T17" s="13">
        <v>-7.120201453280707E-2</v>
      </c>
      <c r="U17" s="13">
        <v>-0.14127114253855691</v>
      </c>
      <c r="V17" s="13">
        <v>4.0111898296984957E-3</v>
      </c>
      <c r="W17" s="13">
        <v>0.1196039840123075</v>
      </c>
      <c r="X17" s="13">
        <v>0.1168461979408036</v>
      </c>
      <c r="Y17" s="13">
        <v>2.2928011062654879E-2</v>
      </c>
      <c r="Z17" s="13">
        <v>5.3868489290865788E-2</v>
      </c>
      <c r="AA17" s="13">
        <v>-3.5209789582199093E-2</v>
      </c>
      <c r="AB17" s="13">
        <v>8.4852062878172319E-2</v>
      </c>
      <c r="AC17" s="13">
        <v>5.8728690290493803E-2</v>
      </c>
      <c r="AD17" s="13">
        <v>2.1912844173640599E-2</v>
      </c>
      <c r="AE17" s="13">
        <v>-0.127158422447225</v>
      </c>
      <c r="AF17" s="13">
        <v>6.1429310121940139E-2</v>
      </c>
      <c r="AG17" s="13">
        <v>2.2740980787790199E-2</v>
      </c>
      <c r="AH17" s="13">
        <v>-3.1922875000000003E-2</v>
      </c>
      <c r="AI17" s="13">
        <v>0.114865125</v>
      </c>
      <c r="AJ17" s="13">
        <v>-2.2208249999999999E-2</v>
      </c>
      <c r="AK17" s="13">
        <v>7.3716274739036441E-2</v>
      </c>
      <c r="AL17" s="13">
        <v>5.0724405748556509E-2</v>
      </c>
      <c r="AM17" s="13">
        <v>7.5369367587656971E-2</v>
      </c>
      <c r="AN17" s="13">
        <v>0.1132871203459177</v>
      </c>
      <c r="AO17" s="13">
        <v>1.2632334595724191E-2</v>
      </c>
      <c r="AP17" s="13">
        <v>-7.7242814419585484E-2</v>
      </c>
      <c r="AQ17" s="13">
        <v>-6.052713740149903E-2</v>
      </c>
      <c r="AR17" s="13">
        <v>0.11393070989481729</v>
      </c>
      <c r="AS17" s="13">
        <v>-2.951599999999999E-2</v>
      </c>
      <c r="AT17" s="13">
        <v>5.2267806449722218E-2</v>
      </c>
      <c r="AU17" s="13">
        <v>5.4555507286687788E-2</v>
      </c>
      <c r="AV17" s="13">
        <v>-2.120590278226837E-2</v>
      </c>
      <c r="AW17" s="13">
        <v>8.4218880418367916E-3</v>
      </c>
      <c r="AX17" s="13">
        <v>9.6240558508798979E-2</v>
      </c>
      <c r="AY17" s="13">
        <v>2.742369669060089E-2</v>
      </c>
      <c r="AZ17" s="13">
        <v>-0.1251576022601911</v>
      </c>
      <c r="BA17" s="13">
        <v>9.8251791071129642E-3</v>
      </c>
      <c r="BB17" s="13">
        <v>0.1237640631138444</v>
      </c>
      <c r="BC17" s="13">
        <v>8.386319517781364E-2</v>
      </c>
      <c r="BD17" s="13">
        <v>2.235648224620481E-2</v>
      </c>
      <c r="BE17" s="13">
        <v>7.7350242238060404E-2</v>
      </c>
      <c r="BF17" s="13">
        <v>5.5197496608953713E-2</v>
      </c>
      <c r="BG17" s="13">
        <v>-3.5394236088037288E-2</v>
      </c>
      <c r="BH17" s="13">
        <v>1.351946085175304E-2</v>
      </c>
      <c r="BI17" s="13">
        <v>8.7111945439947241E-2</v>
      </c>
      <c r="BJ17" s="13">
        <v>-9.8580642732364818E-3</v>
      </c>
      <c r="BK17" s="13">
        <v>-1.3822952070105509E-2</v>
      </c>
      <c r="BL17" s="13">
        <v>7.7482966799946165E-2</v>
      </c>
      <c r="BM17" s="13">
        <v>7.5997770445859966E-2</v>
      </c>
      <c r="BN17" s="13">
        <v>-7.3658000000000001E-2</v>
      </c>
      <c r="BO17" s="13">
        <v>3.5179615416723611E-2</v>
      </c>
      <c r="BP17" s="13">
        <v>3.5995979654480911E-2</v>
      </c>
      <c r="BQ17" s="13">
        <v>1.1376510446451601E-2</v>
      </c>
      <c r="BR17" s="13">
        <v>-9.6463751247498966E-3</v>
      </c>
      <c r="BS17" s="13">
        <v>-4.1034691106065987E-3</v>
      </c>
      <c r="BT17" s="13">
        <v>0.1094163788704233</v>
      </c>
      <c r="BU17" s="13">
        <v>-7.1127818750752414E-2</v>
      </c>
      <c r="BV17" s="13">
        <v>7.0210303019628315E-2</v>
      </c>
      <c r="BW17" s="13">
        <v>-8.0431712599265903E-2</v>
      </c>
      <c r="BX17" s="13">
        <v>2.882296461967274E-2</v>
      </c>
      <c r="BY17" s="13">
        <v>-8.4245467628694337E-2</v>
      </c>
      <c r="BZ17" s="13">
        <v>0.12057815588108529</v>
      </c>
      <c r="CA17" s="13">
        <v>-2.7934832358489561E-2</v>
      </c>
      <c r="CB17" s="13">
        <v>-1.047770749199251E-2</v>
      </c>
      <c r="CC17" s="13">
        <v>-0.17495797398968091</v>
      </c>
      <c r="CD17" s="13">
        <v>0.17295974121914859</v>
      </c>
      <c r="CE17" s="13">
        <v>9.5707624999999991E-2</v>
      </c>
      <c r="CF17" s="13">
        <v>-9.5123749999999979E-2</v>
      </c>
      <c r="CG17" s="13">
        <v>-1.552710507507719E-2</v>
      </c>
      <c r="CH17" s="13">
        <v>5.8636446607050002E-2</v>
      </c>
      <c r="CI17" s="13">
        <v>-1.4531184989588509E-2</v>
      </c>
      <c r="CJ17" s="13">
        <v>-5.0742321484442049E-2</v>
      </c>
      <c r="CK17" s="13">
        <v>9.1738572657912937E-2</v>
      </c>
      <c r="CL17" s="13">
        <v>-9.426344769031314E-3</v>
      </c>
      <c r="CM17" s="13">
        <v>-9.5492624999999998E-2</v>
      </c>
      <c r="CN17" s="13">
        <v>-2.6718061150986971E-2</v>
      </c>
      <c r="CO17" s="13">
        <v>0.198080375</v>
      </c>
      <c r="CP17" s="13">
        <v>-2.1610000000000001E-2</v>
      </c>
      <c r="CQ17" s="13">
        <v>4.1087933183403327E-2</v>
      </c>
      <c r="CR17" s="13">
        <v>5.0676490702223173E-2</v>
      </c>
      <c r="CS17" s="13">
        <v>1.1546625E-2</v>
      </c>
      <c r="CT17" s="13">
        <v>5.8654249999999991E-2</v>
      </c>
      <c r="CU17" s="13">
        <v>5.1108874999999998E-2</v>
      </c>
      <c r="CV17" s="13">
        <v>6.7891375000000004E-2</v>
      </c>
      <c r="CW17" s="13">
        <v>-2.3157000000000001E-2</v>
      </c>
      <c r="CX17" s="13">
        <v>2.49915E-2</v>
      </c>
      <c r="CY17" s="13">
        <v>-4.9383298716090041E-2</v>
      </c>
      <c r="CZ17" s="13">
        <v>0.184135875</v>
      </c>
      <c r="DA17" s="13">
        <v>9.4495625E-2</v>
      </c>
      <c r="DB17" s="13">
        <v>0.104271</v>
      </c>
      <c r="DC17" s="13">
        <v>5.3887499999999991E-2</v>
      </c>
      <c r="DD17" s="13">
        <v>-8.5133933084153957E-2</v>
      </c>
      <c r="DE17" s="13">
        <v>-5.1665374999999999E-2</v>
      </c>
      <c r="DF17" s="13">
        <v>0.35222737500000001</v>
      </c>
      <c r="DG17" s="13">
        <v>-4.7211125000000007E-2</v>
      </c>
      <c r="DH17" s="13">
        <v>0.16343337499999999</v>
      </c>
      <c r="DI17" s="13">
        <v>7.0181249999999987E-2</v>
      </c>
      <c r="DJ17" s="13">
        <v>5.7146374999999999E-2</v>
      </c>
      <c r="DK17" s="13">
        <v>-0.10277987500000001</v>
      </c>
      <c r="DL17" s="13">
        <v>-5.7897499999999998E-3</v>
      </c>
      <c r="DM17" s="13">
        <v>4.2563499999999997E-2</v>
      </c>
      <c r="DN17" s="13">
        <v>-6.0626500000000007E-2</v>
      </c>
      <c r="DO17" s="13">
        <v>0.17976200000000001</v>
      </c>
      <c r="DP17" s="13">
        <v>-2.5096125E-2</v>
      </c>
      <c r="DQ17" s="13">
        <v>-6.5243999999999996E-2</v>
      </c>
      <c r="DR17" s="13">
        <v>5.5884814876328279E-2</v>
      </c>
      <c r="DS17" s="13">
        <v>-0.12431615980481089</v>
      </c>
      <c r="DT17" s="13">
        <v>1.6743000000000001E-2</v>
      </c>
      <c r="DU17" s="13">
        <v>-0.129494</v>
      </c>
      <c r="DV17" s="13">
        <v>6.2272374999999998E-2</v>
      </c>
      <c r="DW17" s="13">
        <v>-7.6599750000000008E-2</v>
      </c>
      <c r="DX17" s="13">
        <v>4.4121874999999998E-2</v>
      </c>
      <c r="DY17" s="13">
        <v>0.10728225</v>
      </c>
      <c r="DZ17" s="13">
        <v>4.9212000000000013E-2</v>
      </c>
      <c r="EA17" s="13">
        <v>0.16457237499999999</v>
      </c>
      <c r="EB17" s="13">
        <v>-7.3783624999999992E-2</v>
      </c>
      <c r="EC17" s="13">
        <v>1.6425217216060651E-2</v>
      </c>
      <c r="ED17" s="13">
        <v>-0.12832444392891271</v>
      </c>
      <c r="EE17" s="13">
        <v>1.9437499999999921E-4</v>
      </c>
      <c r="EF17" s="13">
        <v>4.0984749999999993E-2</v>
      </c>
      <c r="EG17" s="25">
        <f t="shared" si="10"/>
        <v>1.5923230611022122E-2</v>
      </c>
      <c r="EH17" s="1">
        <f t="shared" si="11"/>
        <v>9.3082070955439716E-2</v>
      </c>
      <c r="EI17" s="25">
        <f t="shared" si="12"/>
        <v>0.1710665700448897</v>
      </c>
    </row>
    <row r="18" spans="1:139">
      <c r="A18">
        <v>137</v>
      </c>
      <c r="B18">
        <v>7</v>
      </c>
      <c r="C18" s="13">
        <v>0.1897511428571429</v>
      </c>
      <c r="D18" s="13">
        <v>-8.1874670813927297E-3</v>
      </c>
      <c r="E18" s="13">
        <v>-5.900065709820778E-2</v>
      </c>
      <c r="F18" s="13">
        <v>-0.13441437443338569</v>
      </c>
      <c r="G18" s="13">
        <v>-8.0794247020859855E-2</v>
      </c>
      <c r="H18" s="13">
        <v>0.1219127893632701</v>
      </c>
      <c r="I18" s="13">
        <v>0.13550018022324109</v>
      </c>
      <c r="J18" s="13">
        <v>4.3411515751641608E-2</v>
      </c>
      <c r="K18" s="13">
        <v>-0.35868209850789973</v>
      </c>
      <c r="L18" s="13">
        <v>1.298248684698161E-2</v>
      </c>
      <c r="M18" s="13">
        <v>7.970257711397645E-2</v>
      </c>
      <c r="N18" s="13">
        <v>0.1429924272847711</v>
      </c>
      <c r="O18" s="13">
        <v>0.10367048962961919</v>
      </c>
      <c r="P18" s="13">
        <v>-8.2552611569947768E-2</v>
      </c>
      <c r="Q18" s="13">
        <v>-0.18897541868948989</v>
      </c>
      <c r="R18" s="13">
        <v>-6.149223787197499E-2</v>
      </c>
      <c r="S18" s="13">
        <v>-0.3837326289318943</v>
      </c>
      <c r="T18" s="13">
        <v>-5.4244440031608693E-2</v>
      </c>
      <c r="U18" s="13">
        <v>-0.132495024429819</v>
      </c>
      <c r="V18" s="13">
        <v>1.2895135069850801E-2</v>
      </c>
      <c r="W18" s="13">
        <v>0.1379172379157062</v>
      </c>
      <c r="X18" s="13">
        <v>0.1434515176348406</v>
      </c>
      <c r="Y18" s="13">
        <v>1.923233435743554E-2</v>
      </c>
      <c r="Z18" s="13">
        <v>8.9234363440522865E-2</v>
      </c>
      <c r="AA18" s="13">
        <v>-4.1705245182724067E-2</v>
      </c>
      <c r="AB18" s="13">
        <v>8.4698299730484178E-2</v>
      </c>
      <c r="AC18" s="13">
        <v>5.782301285595727E-2</v>
      </c>
      <c r="AD18" s="13">
        <v>2.659559037908019E-2</v>
      </c>
      <c r="AE18" s="13">
        <v>-0.1435292414290745</v>
      </c>
      <c r="AF18" s="13">
        <v>3.187341816062559E-2</v>
      </c>
      <c r="AG18" s="13">
        <v>3.2493116097876071E-2</v>
      </c>
      <c r="AH18" s="13">
        <v>-3.5914857142857137E-2</v>
      </c>
      <c r="AI18" s="13">
        <v>0.11808642857142861</v>
      </c>
      <c r="AJ18" s="13">
        <v>-7.3281428571428664E-3</v>
      </c>
      <c r="AK18" s="13">
        <v>3.0152480597625989E-2</v>
      </c>
      <c r="AL18" s="13">
        <v>4.7527763632257733E-2</v>
      </c>
      <c r="AM18" s="13">
        <v>6.6643405424771207E-2</v>
      </c>
      <c r="AN18" s="13">
        <v>7.9294639955201793E-2</v>
      </c>
      <c r="AO18" s="13">
        <v>5.4275349676927882E-3</v>
      </c>
      <c r="AP18" s="13">
        <v>-7.8278591933806971E-2</v>
      </c>
      <c r="AQ18" s="13">
        <v>-7.6230845326449942E-2</v>
      </c>
      <c r="AR18" s="13">
        <v>0.1245455063629442</v>
      </c>
      <c r="AS18" s="13">
        <v>-4.5373285714285699E-2</v>
      </c>
      <c r="AT18" s="13">
        <v>4.3325649820578682E-2</v>
      </c>
      <c r="AU18" s="13">
        <v>6.4575644079591543E-2</v>
      </c>
      <c r="AV18" s="13">
        <v>-2.8768755881717199E-2</v>
      </c>
      <c r="AW18" s="13">
        <v>2.4538034241107461E-2</v>
      </c>
      <c r="AX18" s="13">
        <v>0.10756086825583611</v>
      </c>
      <c r="AY18" s="13">
        <v>3.4783278641148073E-2</v>
      </c>
      <c r="AZ18" s="13">
        <v>-0.14840908238889911</v>
      </c>
      <c r="BA18" s="13">
        <v>6.3231092468556214E-4</v>
      </c>
      <c r="BB18" s="13">
        <v>0.13765604215733709</v>
      </c>
      <c r="BC18" s="13">
        <v>8.3201572593320602E-2</v>
      </c>
      <c r="BD18" s="13">
        <v>-2.4016271687300441E-2</v>
      </c>
      <c r="BE18" s="13">
        <v>6.8361213238162841E-2</v>
      </c>
      <c r="BF18" s="13">
        <v>4.5884536299578838E-2</v>
      </c>
      <c r="BG18" s="13">
        <v>-1.680624122620418E-2</v>
      </c>
      <c r="BH18" s="13">
        <v>2.0503853063805449E-2</v>
      </c>
      <c r="BI18" s="13">
        <v>0.1090000069186657</v>
      </c>
      <c r="BJ18" s="13">
        <v>5.9560640504595433E-3</v>
      </c>
      <c r="BK18" s="13">
        <v>-5.8003244170202591E-2</v>
      </c>
      <c r="BL18" s="13">
        <v>8.1157673820204085E-2</v>
      </c>
      <c r="BM18" s="13">
        <v>0.1027739390634396</v>
      </c>
      <c r="BN18" s="13">
        <v>-7.8210142857142853E-2</v>
      </c>
      <c r="BO18" s="13">
        <v>2.0227496106374639E-2</v>
      </c>
      <c r="BP18" s="13">
        <v>4.6857540334682007E-2</v>
      </c>
      <c r="BQ18" s="13">
        <v>1.916784109848992E-3</v>
      </c>
      <c r="BR18" s="13">
        <v>-5.7481935839547244E-3</v>
      </c>
      <c r="BS18" s="13">
        <v>-3.9836250971192512E-3</v>
      </c>
      <c r="BT18" s="13">
        <v>0.1152367480358866</v>
      </c>
      <c r="BU18" s="13">
        <v>-8.0677444040040805E-2</v>
      </c>
      <c r="BV18" s="13">
        <v>8.0923395277042356E-2</v>
      </c>
      <c r="BW18" s="13">
        <v>-8.531108693319546E-2</v>
      </c>
      <c r="BX18" s="13">
        <v>1.9018474716035669E-2</v>
      </c>
      <c r="BY18" s="13">
        <v>-0.1230749758240248</v>
      </c>
      <c r="BZ18" s="13">
        <v>0.15331998780259809</v>
      </c>
      <c r="CA18" s="13">
        <v>-1.6076543892860819E-2</v>
      </c>
      <c r="CB18" s="13">
        <v>-2.4577356612448309E-2</v>
      </c>
      <c r="CC18" s="13">
        <v>-2.817344401940013E-2</v>
      </c>
      <c r="CD18" s="13">
        <v>0.19371681864683071</v>
      </c>
      <c r="CE18" s="13">
        <v>7.7259857142857144E-2</v>
      </c>
      <c r="CF18" s="13">
        <v>-0.10185900000000001</v>
      </c>
      <c r="CG18" s="13">
        <v>-2.8013589394155079E-3</v>
      </c>
      <c r="CH18" s="13">
        <v>0.16265704668723319</v>
      </c>
      <c r="CI18" s="13">
        <v>-3.8869139877689488E-2</v>
      </c>
      <c r="CJ18" s="13">
        <v>-6.2313677824909687E-2</v>
      </c>
      <c r="CK18" s="13">
        <v>9.0667784292283726E-2</v>
      </c>
      <c r="CL18" s="13">
        <v>-3.0989545058193121E-2</v>
      </c>
      <c r="CM18" s="13">
        <v>-0.1027687142857143</v>
      </c>
      <c r="CN18" s="13">
        <v>-3.5086253978176607E-2</v>
      </c>
      <c r="CO18" s="13">
        <v>0.22828200000000001</v>
      </c>
      <c r="CP18" s="13">
        <v>-1.549814285714286E-2</v>
      </c>
      <c r="CQ18" s="13">
        <v>4.7976536408267538E-2</v>
      </c>
      <c r="CR18" s="13">
        <v>5.5156128716592027E-2</v>
      </c>
      <c r="CS18" s="13">
        <v>2.8129285714285711E-2</v>
      </c>
      <c r="CT18" s="13">
        <v>7.687085714285713E-2</v>
      </c>
      <c r="CU18" s="13">
        <v>4.7417142857142866E-3</v>
      </c>
      <c r="CV18" s="13">
        <v>6.2944428571428568E-2</v>
      </c>
      <c r="CW18" s="13">
        <v>-2.8329428571428571E-2</v>
      </c>
      <c r="CX18" s="13">
        <v>-1.407928571428572E-2</v>
      </c>
      <c r="CY18" s="13">
        <v>-5.135741377478225E-2</v>
      </c>
      <c r="CZ18" s="13">
        <v>0.20441242857142861</v>
      </c>
      <c r="DA18" s="13">
        <v>7.8357857142857146E-2</v>
      </c>
      <c r="DB18" s="13">
        <v>0.118114</v>
      </c>
      <c r="DC18" s="13">
        <v>4.9208571428571428E-2</v>
      </c>
      <c r="DD18" s="13">
        <v>-8.2462353495414184E-2</v>
      </c>
      <c r="DE18" s="13">
        <v>-3.9306714285714278E-2</v>
      </c>
      <c r="DF18" s="13">
        <v>0.36669357142857151</v>
      </c>
      <c r="DG18" s="13">
        <v>-5.4770714285714277E-2</v>
      </c>
      <c r="DH18" s="13">
        <v>0.1924025714285714</v>
      </c>
      <c r="DI18" s="13">
        <v>9.7962857142857129E-2</v>
      </c>
      <c r="DJ18" s="13">
        <v>5.0654999999999999E-2</v>
      </c>
      <c r="DK18" s="13">
        <v>-0.1065258571428571</v>
      </c>
      <c r="DL18" s="13">
        <v>-2.3409571428571429E-2</v>
      </c>
      <c r="DM18" s="13">
        <v>5.8456714285714292E-2</v>
      </c>
      <c r="DN18" s="13">
        <v>-5.6873142857142858E-2</v>
      </c>
      <c r="DO18" s="13">
        <v>0.22031957142857139</v>
      </c>
      <c r="DP18" s="13">
        <v>-2.150985714285715E-2</v>
      </c>
      <c r="DQ18" s="13">
        <v>-6.1954714285714287E-2</v>
      </c>
      <c r="DR18" s="13">
        <v>7.6840654771961045E-2</v>
      </c>
      <c r="DS18" s="13">
        <v>-0.1477219984517327</v>
      </c>
      <c r="DT18" s="13">
        <v>-7.4077142857142883E-3</v>
      </c>
      <c r="DU18" s="13">
        <v>-0.15871542857142859</v>
      </c>
      <c r="DV18" s="13">
        <v>8.5405857142857144E-2</v>
      </c>
      <c r="DW18" s="13">
        <v>-6.8637857142857153E-2</v>
      </c>
      <c r="DX18" s="13">
        <v>6.1783714285714289E-2</v>
      </c>
      <c r="DY18" s="13">
        <v>0.13683228571428571</v>
      </c>
      <c r="DZ18" s="13">
        <v>5.4629714285714302E-2</v>
      </c>
      <c r="EA18" s="13">
        <v>0.19894728571428569</v>
      </c>
      <c r="EB18" s="13">
        <v>-9.7044999999999992E-2</v>
      </c>
      <c r="EC18" s="13">
        <v>2.764115425371385E-3</v>
      </c>
      <c r="ED18" s="13">
        <v>-0.11047802186576559</v>
      </c>
      <c r="EE18" s="13">
        <v>-1.110285714285716E-3</v>
      </c>
      <c r="EF18" s="13">
        <v>6.3951857142857144E-2</v>
      </c>
      <c r="EG18" s="25">
        <f t="shared" si="10"/>
        <v>1.6677004309097267E-2</v>
      </c>
      <c r="EH18" s="1">
        <f t="shared" si="11"/>
        <v>0.10411736677735331</v>
      </c>
      <c r="EI18" s="25">
        <f t="shared" si="12"/>
        <v>0.16017504884425007</v>
      </c>
    </row>
    <row r="19" spans="1:139">
      <c r="A19">
        <v>160</v>
      </c>
      <c r="B19">
        <v>6</v>
      </c>
      <c r="C19" s="13">
        <v>0.19659983333333331</v>
      </c>
      <c r="D19" s="13">
        <v>-2.017079945419575E-2</v>
      </c>
      <c r="E19" s="13">
        <v>-5.4898093767412171E-2</v>
      </c>
      <c r="F19" s="13">
        <v>-3.864668188624408E-2</v>
      </c>
      <c r="G19" s="13">
        <v>-9.7512090561600123E-2</v>
      </c>
      <c r="H19" s="13">
        <v>0.14889412203584729</v>
      </c>
      <c r="I19" s="13">
        <v>0.1346543328914665</v>
      </c>
      <c r="J19" s="13">
        <v>3.5429584520191022E-2</v>
      </c>
      <c r="K19" s="13">
        <v>-0.41833785096963422</v>
      </c>
      <c r="L19" s="13">
        <v>4.3048957635166023E-2</v>
      </c>
      <c r="M19" s="13">
        <v>8.6210339026117716E-2</v>
      </c>
      <c r="N19" s="13">
        <v>9.5347885689980899E-2</v>
      </c>
      <c r="O19" s="13">
        <v>9.2221383019457218E-2</v>
      </c>
      <c r="P19" s="13">
        <v>-9.2534186186697107E-2</v>
      </c>
      <c r="Q19" s="13">
        <v>-0.19716308826451989</v>
      </c>
      <c r="R19" s="13">
        <v>-9.0299090630856282E-2</v>
      </c>
      <c r="S19" s="13">
        <v>-0.18416011669760801</v>
      </c>
      <c r="T19" s="13">
        <v>-2.7154277986299109E-2</v>
      </c>
      <c r="U19" s="13">
        <v>-0.13569833863192321</v>
      </c>
      <c r="V19" s="13">
        <v>3.6618687785451319E-2</v>
      </c>
      <c r="W19" s="13">
        <v>0.14662099071751011</v>
      </c>
      <c r="X19" s="13">
        <v>0.1166390452640934</v>
      </c>
      <c r="Y19" s="13">
        <v>2.5628637528156511E-2</v>
      </c>
      <c r="Z19" s="13">
        <v>9.1619110576023566E-2</v>
      </c>
      <c r="AA19" s="13">
        <v>-4.1570184538155738E-2</v>
      </c>
      <c r="AB19" s="13">
        <v>0.10225360588394269</v>
      </c>
      <c r="AC19" s="13">
        <v>2.8452834641691321E-2</v>
      </c>
      <c r="AD19" s="13">
        <v>3.5088928587950333E-2</v>
      </c>
      <c r="AE19" s="13">
        <v>-0.1694160609977898</v>
      </c>
      <c r="AF19" s="13">
        <v>3.8785666808899749E-2</v>
      </c>
      <c r="AG19" s="13">
        <v>2.2136219072547821E-2</v>
      </c>
      <c r="AH19" s="13">
        <v>-1.6091333333333329E-2</v>
      </c>
      <c r="AI19" s="13">
        <v>9.154933333333333E-2</v>
      </c>
      <c r="AJ19" s="13">
        <v>1.2166333333333329E-2</v>
      </c>
      <c r="AK19" s="13">
        <v>7.5520425059527104E-3</v>
      </c>
      <c r="AL19" s="13">
        <v>7.0270945670805551E-2</v>
      </c>
      <c r="AM19" s="13">
        <v>4.3106011811404943E-2</v>
      </c>
      <c r="AN19" s="13">
        <v>8.3568294365682083E-2</v>
      </c>
      <c r="AO19" s="13">
        <v>2.589290304541441E-2</v>
      </c>
      <c r="AP19" s="13">
        <v>-8.757412027285208E-2</v>
      </c>
      <c r="AQ19" s="13">
        <v>-8.8252757060650652E-2</v>
      </c>
      <c r="AR19" s="13">
        <v>0.1535175623128574</v>
      </c>
      <c r="AS19" s="13">
        <v>-3.6869999999999841E-3</v>
      </c>
      <c r="AT19" s="13">
        <v>4.9294981765701303E-2</v>
      </c>
      <c r="AU19" s="13">
        <v>7.6428715713654158E-2</v>
      </c>
      <c r="AV19" s="13">
        <v>-5.003302069697789E-2</v>
      </c>
      <c r="AW19" s="13">
        <v>2.2356168154136491E-2</v>
      </c>
      <c r="AX19" s="13">
        <v>8.0206414310412866E-2</v>
      </c>
      <c r="AY19" s="13">
        <v>2.9528970393379841E-2</v>
      </c>
      <c r="AZ19" s="13">
        <v>-0.18687961816817431</v>
      </c>
      <c r="BA19" s="13">
        <v>-3.4363883954073027E-2</v>
      </c>
      <c r="BB19" s="13">
        <v>0.15974619907243159</v>
      </c>
      <c r="BC19" s="13">
        <v>6.4055486346185769E-2</v>
      </c>
      <c r="BD19" s="13">
        <v>-3.2343926300681461E-3</v>
      </c>
      <c r="BE19" s="13">
        <v>5.1131873963666558E-2</v>
      </c>
      <c r="BF19" s="13">
        <v>1.3570974149138619E-2</v>
      </c>
      <c r="BG19" s="13">
        <v>-1.6343658332842171E-2</v>
      </c>
      <c r="BH19" s="13">
        <v>2.0182017014309939E-3</v>
      </c>
      <c r="BI19" s="13">
        <v>0.12779862881921869</v>
      </c>
      <c r="BJ19" s="13">
        <v>2.1707301538579211E-2</v>
      </c>
      <c r="BK19" s="13">
        <v>-5.1749526091992383E-2</v>
      </c>
      <c r="BL19" s="13">
        <v>7.9964658146503109E-2</v>
      </c>
      <c r="BM19" s="13">
        <v>0.1142506002586957</v>
      </c>
      <c r="BN19" s="13">
        <v>-8.1415166666666677E-2</v>
      </c>
      <c r="BO19" s="13">
        <v>2.5728961265115379E-2</v>
      </c>
      <c r="BP19" s="13">
        <v>6.2818807534132146E-2</v>
      </c>
      <c r="BQ19" s="13">
        <v>9.9340444543230683E-3</v>
      </c>
      <c r="BR19" s="13">
        <v>6.6752460235200081E-3</v>
      </c>
      <c r="BS19" s="13">
        <v>-2.4256338744482069E-2</v>
      </c>
      <c r="BT19" s="13">
        <v>0.14163267985357339</v>
      </c>
      <c r="BU19" s="13">
        <v>-7.5936251234238056E-2</v>
      </c>
      <c r="BV19" s="13">
        <v>9.3655241153346391E-2</v>
      </c>
      <c r="BW19" s="13">
        <v>-0.10896696138364501</v>
      </c>
      <c r="BX19" s="13">
        <v>3.4087785271858247E-2</v>
      </c>
      <c r="BY19" s="13">
        <v>-0.1076497365556482</v>
      </c>
      <c r="BZ19" s="13">
        <v>6.8702124822053873E-2</v>
      </c>
      <c r="CA19" s="13">
        <v>-2.932875522377449E-2</v>
      </c>
      <c r="CB19" s="13">
        <v>-4.804116850824483E-2</v>
      </c>
      <c r="CC19" s="13">
        <v>-2.4723252765827462E-2</v>
      </c>
      <c r="CD19" s="13">
        <v>0.21561919809371791</v>
      </c>
      <c r="CE19" s="13">
        <v>8.8474166666666659E-2</v>
      </c>
      <c r="CF19" s="13">
        <v>-0.1116986666666667</v>
      </c>
      <c r="CG19" s="13">
        <v>-5.0633530014653497E-2</v>
      </c>
      <c r="CH19" s="13">
        <v>0.1528898670499263</v>
      </c>
      <c r="CI19" s="13">
        <v>-3.7066946160195187E-2</v>
      </c>
      <c r="CJ19" s="13">
        <v>-6.194049996603615E-2</v>
      </c>
      <c r="CK19" s="13">
        <v>0.1039677178170982</v>
      </c>
      <c r="CL19" s="13">
        <v>-4.3240279974789908E-2</v>
      </c>
      <c r="CM19" s="13">
        <v>-0.1102351666666667</v>
      </c>
      <c r="CN19" s="13">
        <v>-7.6932654667303466E-2</v>
      </c>
      <c r="CO19" s="13">
        <v>0.25123566666666669</v>
      </c>
      <c r="CP19" s="13">
        <v>-2.9037000000000011E-2</v>
      </c>
      <c r="CQ19" s="13">
        <v>-2.7299081545619341E-3</v>
      </c>
      <c r="CR19" s="13">
        <v>4.9694189552402651E-2</v>
      </c>
      <c r="CS19" s="13">
        <v>4.3775666666666657E-2</v>
      </c>
      <c r="CT19" s="13">
        <v>2.642199999999998E-2</v>
      </c>
      <c r="CU19" s="13">
        <v>7.1573333333333376E-3</v>
      </c>
      <c r="CV19" s="13">
        <v>7.6143500000000003E-2</v>
      </c>
      <c r="CW19" s="13">
        <v>-3.21935E-2</v>
      </c>
      <c r="CX19" s="13">
        <v>1.1275000000000031E-3</v>
      </c>
      <c r="CY19" s="13">
        <v>-7.092186956436955E-2</v>
      </c>
      <c r="CZ19" s="13">
        <v>0.1580145</v>
      </c>
      <c r="DA19" s="13">
        <v>7.5182499999999999E-2</v>
      </c>
      <c r="DB19" s="13">
        <v>0.14796100000000001</v>
      </c>
      <c r="DC19" s="13">
        <v>3.027666666666666E-2</v>
      </c>
      <c r="DD19" s="13">
        <v>-0.10625733595480071</v>
      </c>
      <c r="DE19" s="13">
        <v>-6.0054999999999831E-3</v>
      </c>
      <c r="DF19" s="13">
        <v>0.2055028333333333</v>
      </c>
      <c r="DG19" s="13">
        <v>-6.6374499999999989E-2</v>
      </c>
      <c r="DH19" s="13">
        <v>0.22459133333333331</v>
      </c>
      <c r="DI19" s="13">
        <v>0.10846166666666671</v>
      </c>
      <c r="DJ19" s="13">
        <v>8.050033333333334E-2</v>
      </c>
      <c r="DK19" s="13">
        <v>-0.1214406666666667</v>
      </c>
      <c r="DL19" s="13">
        <v>-2.3312833333333331E-2</v>
      </c>
      <c r="DM19" s="13">
        <v>5.7299833333333328E-2</v>
      </c>
      <c r="DN19" s="13">
        <v>-6.4292000000000002E-2</v>
      </c>
      <c r="DO19" s="13">
        <v>0.2492611666666667</v>
      </c>
      <c r="DP19" s="13">
        <v>-4.0015000000000051E-3</v>
      </c>
      <c r="DQ19" s="13">
        <v>-5.0622500000000001E-2</v>
      </c>
      <c r="DR19" s="13">
        <v>7.5962353325048193E-2</v>
      </c>
      <c r="DS19" s="13">
        <v>-0.1779955469539703</v>
      </c>
      <c r="DT19" s="13">
        <v>-3.0765000000000028E-3</v>
      </c>
      <c r="DU19" s="13">
        <v>-0.15058250000000001</v>
      </c>
      <c r="DV19" s="13">
        <v>3.8127166666666677E-2</v>
      </c>
      <c r="DW19" s="13">
        <v>-0.101297</v>
      </c>
      <c r="DX19" s="13">
        <v>0.1082645</v>
      </c>
      <c r="DY19" s="13">
        <v>0.13924800000000001</v>
      </c>
      <c r="DZ19" s="13">
        <v>7.853750000000001E-2</v>
      </c>
      <c r="EA19" s="13">
        <v>0.23304766666666671</v>
      </c>
      <c r="EB19" s="13">
        <v>-0.1062485</v>
      </c>
      <c r="EC19" s="13">
        <v>-1.2190043223702179E-2</v>
      </c>
      <c r="ED19" s="13">
        <v>-0.15093531699015689</v>
      </c>
      <c r="EE19" s="13">
        <v>7.3063333333333296E-3</v>
      </c>
      <c r="EF19" s="13">
        <v>7.4019999999999975E-2</v>
      </c>
      <c r="EG19" s="25">
        <f t="shared" si="10"/>
        <v>1.5148430956155928E-2</v>
      </c>
      <c r="EH19" s="1">
        <f t="shared" si="11"/>
        <v>0.10309264253669682</v>
      </c>
      <c r="EI19" s="25">
        <f t="shared" si="12"/>
        <v>0.14693998119956714</v>
      </c>
    </row>
    <row r="20" spans="1:139">
      <c r="A20">
        <v>192</v>
      </c>
      <c r="B20">
        <v>5</v>
      </c>
      <c r="C20" s="13">
        <v>0.20155100000000001</v>
      </c>
      <c r="D20" s="13">
        <v>3.5171826374555398E-4</v>
      </c>
      <c r="E20" s="13">
        <v>1.5499988144333969E-2</v>
      </c>
      <c r="F20" s="13">
        <v>-9.1218422172045968E-2</v>
      </c>
      <c r="G20" s="13">
        <v>-0.1003659119188639</v>
      </c>
      <c r="H20" s="13">
        <v>0.1643719981286699</v>
      </c>
      <c r="I20" s="13">
        <v>0.15814956260110169</v>
      </c>
      <c r="J20" s="13">
        <v>3.4471258726856233E-2</v>
      </c>
      <c r="K20" s="13">
        <v>-9.0108654122673978E-2</v>
      </c>
      <c r="L20" s="13">
        <v>9.5708635504535719E-2</v>
      </c>
      <c r="M20" s="13">
        <v>0.100133414364086</v>
      </c>
      <c r="N20" s="13">
        <v>0.10192492904563991</v>
      </c>
      <c r="O20" s="13">
        <v>9.9101484144473756E-2</v>
      </c>
      <c r="P20" s="13">
        <v>-9.1169927668525261E-2</v>
      </c>
      <c r="Q20" s="13">
        <v>-0.21672573900297851</v>
      </c>
      <c r="R20" s="13">
        <v>-0.1092530556374688</v>
      </c>
      <c r="S20" s="13">
        <v>-0.15518261832774261</v>
      </c>
      <c r="T20" s="13">
        <v>1.566291051925937E-2</v>
      </c>
      <c r="U20" s="13">
        <v>-0.14864968011777491</v>
      </c>
      <c r="V20" s="13">
        <v>1.2644103117188939E-2</v>
      </c>
      <c r="W20" s="13">
        <v>0.17308537617758091</v>
      </c>
      <c r="X20" s="13">
        <v>0.14869720125713359</v>
      </c>
      <c r="Y20" s="13">
        <v>4.2067489538597257E-2</v>
      </c>
      <c r="Z20" s="13">
        <v>0.1056169604836593</v>
      </c>
      <c r="AA20" s="13">
        <v>-2.159455338729711E-2</v>
      </c>
      <c r="AB20" s="13">
        <v>8.4759840726173208E-2</v>
      </c>
      <c r="AC20" s="13">
        <v>5.6443345640519567E-2</v>
      </c>
      <c r="AD20" s="13">
        <v>3.4453902851829692E-2</v>
      </c>
      <c r="AE20" s="13">
        <v>-0.1992928643390979</v>
      </c>
      <c r="AF20" s="13">
        <v>3.9044678387579961E-2</v>
      </c>
      <c r="AG20" s="13">
        <v>2.7659218539892259E-2</v>
      </c>
      <c r="AH20" s="13">
        <v>-2.7809E-2</v>
      </c>
      <c r="AI20" s="13">
        <v>0.1163372</v>
      </c>
      <c r="AJ20" s="13">
        <v>1.7240599999999991E-2</v>
      </c>
      <c r="AK20" s="13">
        <v>-1.359511549600285E-2</v>
      </c>
      <c r="AL20" s="13">
        <v>7.2893452036976947E-2</v>
      </c>
      <c r="AM20" s="13">
        <v>3.3095980748802607E-2</v>
      </c>
      <c r="AN20" s="13">
        <v>7.5470193518998266E-2</v>
      </c>
      <c r="AO20" s="13">
        <v>4.528508196468839E-2</v>
      </c>
      <c r="AP20" s="13">
        <v>-0.13173046125538779</v>
      </c>
      <c r="AQ20" s="13">
        <v>2.7452485332951051E-2</v>
      </c>
      <c r="AR20" s="13">
        <v>0.1700490046789242</v>
      </c>
      <c r="AS20" s="13">
        <v>-1.7142799999999989E-2</v>
      </c>
      <c r="AT20" s="13">
        <v>5.858773760205771E-3</v>
      </c>
      <c r="AU20" s="13">
        <v>7.5692386895125863E-2</v>
      </c>
      <c r="AV20" s="13">
        <v>-5.4625713782478207E-2</v>
      </c>
      <c r="AW20" s="13">
        <v>6.8652681791509596E-3</v>
      </c>
      <c r="AX20" s="13">
        <v>0.11073254799870159</v>
      </c>
      <c r="AY20" s="13">
        <v>3.8674698442909439E-2</v>
      </c>
      <c r="AZ20" s="13">
        <v>-0.21380243117708869</v>
      </c>
      <c r="BA20" s="13">
        <v>-3.6798864860540501E-2</v>
      </c>
      <c r="BB20" s="13">
        <v>0.1676554233765693</v>
      </c>
      <c r="BC20" s="13">
        <v>7.0605567677740205E-2</v>
      </c>
      <c r="BD20" s="13">
        <v>-5.3429813221597323E-2</v>
      </c>
      <c r="BE20" s="13">
        <v>-5.9467971392603326E-3</v>
      </c>
      <c r="BF20" s="13">
        <v>5.6885823313286886E-3</v>
      </c>
      <c r="BG20" s="13">
        <v>-6.9261427086933884E-3</v>
      </c>
      <c r="BH20" s="13">
        <v>-7.1606447114111002E-2</v>
      </c>
      <c r="BI20" s="13">
        <v>0.13174526708517489</v>
      </c>
      <c r="BJ20" s="13">
        <v>2.1629511833186621E-2</v>
      </c>
      <c r="BK20" s="13">
        <v>-5.9233167842827283E-2</v>
      </c>
      <c r="BL20" s="13">
        <v>8.6292231176454737E-2</v>
      </c>
      <c r="BM20" s="13">
        <v>0.1369176613284383</v>
      </c>
      <c r="BN20" s="13">
        <v>1.863600000000001E-2</v>
      </c>
      <c r="BO20" s="13">
        <v>-3.8461717515979203E-2</v>
      </c>
      <c r="BP20" s="13">
        <v>6.0407520762954983E-2</v>
      </c>
      <c r="BQ20" s="13">
        <v>1.5451706960843021E-2</v>
      </c>
      <c r="BR20" s="13">
        <v>1.207363173047259E-2</v>
      </c>
      <c r="BS20" s="13">
        <v>5.4075061911911179E-3</v>
      </c>
      <c r="BT20" s="13">
        <v>0.14780303317864721</v>
      </c>
      <c r="BU20" s="13">
        <v>-9.8754949367706665E-2</v>
      </c>
      <c r="BV20" s="13">
        <v>0.11591833156307201</v>
      </c>
      <c r="BW20" s="13">
        <v>-0.13550325181247611</v>
      </c>
      <c r="BX20" s="13">
        <v>3.069363668324426E-2</v>
      </c>
      <c r="BY20" s="13">
        <v>-0.10523396636930341</v>
      </c>
      <c r="BZ20" s="13">
        <v>9.02714042602836E-2</v>
      </c>
      <c r="CA20" s="13">
        <v>-4.0102728051752932E-2</v>
      </c>
      <c r="CB20" s="13">
        <v>-3.8251950010927849E-2</v>
      </c>
      <c r="CC20" s="13">
        <v>-2.6043033783065061E-2</v>
      </c>
      <c r="CD20" s="13">
        <v>0.1810274974905971</v>
      </c>
      <c r="CE20" s="13">
        <v>8.577739999999999E-2</v>
      </c>
      <c r="CF20" s="13">
        <v>-0.1312084</v>
      </c>
      <c r="CG20" s="13">
        <v>-9.9052888530088784E-2</v>
      </c>
      <c r="CH20" s="13">
        <v>7.1864025597138351E-2</v>
      </c>
      <c r="CI20" s="13">
        <v>-3.0394673769081951E-2</v>
      </c>
      <c r="CJ20" s="13">
        <v>-0.123440319887351</v>
      </c>
      <c r="CK20" s="13">
        <v>9.0978396750106633E-2</v>
      </c>
      <c r="CL20" s="13">
        <v>-9.2184934189128986E-2</v>
      </c>
      <c r="CM20" s="13">
        <v>-9.6774199999999977E-2</v>
      </c>
      <c r="CN20" s="13">
        <v>2.215941137048465E-2</v>
      </c>
      <c r="CO20" s="13">
        <v>0.29657339999999999</v>
      </c>
      <c r="CP20" s="13">
        <v>7.424199999999991E-3</v>
      </c>
      <c r="CQ20" s="13">
        <v>6.1113579290622234E-3</v>
      </c>
      <c r="CR20" s="13">
        <v>7.3116244505850386E-2</v>
      </c>
      <c r="CS20" s="13">
        <v>2.2293799999999999E-2</v>
      </c>
      <c r="CT20" s="13">
        <v>2.8415399999999969E-2</v>
      </c>
      <c r="CU20" s="13">
        <v>1.0222800000000001E-2</v>
      </c>
      <c r="CV20" s="13">
        <v>9.7004200000000013E-2</v>
      </c>
      <c r="CW20" s="13">
        <v>-2.5818199999999999E-2</v>
      </c>
      <c r="CX20" s="13">
        <v>9.3870000000000064E-3</v>
      </c>
      <c r="CY20" s="13">
        <v>-1.247973266829688E-2</v>
      </c>
      <c r="CZ20" s="13">
        <v>0.12830340000000001</v>
      </c>
      <c r="DA20" s="13">
        <v>7.70816E-2</v>
      </c>
      <c r="DB20" s="13">
        <v>7.6966999999999994E-2</v>
      </c>
      <c r="DC20" s="13">
        <v>2.890199999999998E-2</v>
      </c>
      <c r="DD20" s="13">
        <v>-0.14810881433882259</v>
      </c>
      <c r="DE20" s="13">
        <v>-3.0466399999999991E-2</v>
      </c>
      <c r="DF20" s="13">
        <v>0.2455754</v>
      </c>
      <c r="DG20" s="13">
        <v>-5.2345800000000012E-2</v>
      </c>
      <c r="DH20" s="13">
        <v>0.27829959999999998</v>
      </c>
      <c r="DI20" s="13">
        <v>0.137596</v>
      </c>
      <c r="DJ20" s="13">
        <v>8.12774E-2</v>
      </c>
      <c r="DK20" s="13">
        <v>-8.5184599999999999E-2</v>
      </c>
      <c r="DL20" s="13">
        <v>1.0186600000000001E-2</v>
      </c>
      <c r="DM20" s="13">
        <v>6.9335800000000003E-2</v>
      </c>
      <c r="DN20" s="13">
        <v>-6.4458399999999999E-2</v>
      </c>
      <c r="DO20" s="13">
        <v>0.25800099999999998</v>
      </c>
      <c r="DP20" s="13">
        <v>-2.1669799999999999E-2</v>
      </c>
      <c r="DQ20" s="13">
        <v>-3.853899999999999E-2</v>
      </c>
      <c r="DR20" s="13">
        <v>7.8512660028290493E-2</v>
      </c>
      <c r="DS20" s="13">
        <v>-0.20608109757835469</v>
      </c>
      <c r="DT20" s="13">
        <v>4.8288000000000011E-3</v>
      </c>
      <c r="DU20" s="13">
        <v>-0.1763758</v>
      </c>
      <c r="DV20" s="13">
        <v>-3.01902E-2</v>
      </c>
      <c r="DW20" s="13">
        <v>-0.1035466</v>
      </c>
      <c r="DX20" s="13">
        <v>0.14598420000000001</v>
      </c>
      <c r="DY20" s="13">
        <v>0.12159059999999999</v>
      </c>
      <c r="DZ20" s="13">
        <v>9.0199400000000013E-2</v>
      </c>
      <c r="EA20" s="13">
        <v>0.29369119999999999</v>
      </c>
      <c r="EB20" s="13">
        <v>-0.1063144</v>
      </c>
      <c r="EC20" s="13">
        <v>3.4049581413941779E-2</v>
      </c>
      <c r="ED20" s="13">
        <v>-0.17691886106701021</v>
      </c>
      <c r="EE20" s="13">
        <v>1.7415999999999959E-3</v>
      </c>
      <c r="EF20" s="13">
        <v>8.5799999999999987E-2</v>
      </c>
      <c r="EG20" s="23">
        <f t="shared" si="10"/>
        <v>1.9585147617265389E-2</v>
      </c>
      <c r="EH20" s="1">
        <f t="shared" si="11"/>
        <v>0.10496581651456088</v>
      </c>
      <c r="EI20" s="25">
        <f t="shared" si="12"/>
        <v>0.18658595976861223</v>
      </c>
    </row>
    <row r="21" spans="1:139">
      <c r="A21">
        <v>241</v>
      </c>
      <c r="B21">
        <v>4</v>
      </c>
      <c r="C21" s="13">
        <v>0.2146305</v>
      </c>
      <c r="D21" s="13">
        <v>-3.6770939515919088E-4</v>
      </c>
      <c r="E21" s="13">
        <v>-2.7935227079184388E-4</v>
      </c>
      <c r="F21" s="13">
        <v>-5.1097483846408213E-2</v>
      </c>
      <c r="G21" s="13">
        <v>-7.2961380278514509E-3</v>
      </c>
      <c r="H21" s="13">
        <v>0.1986680609797658</v>
      </c>
      <c r="I21" s="13">
        <v>0.14725560812747299</v>
      </c>
      <c r="J21" s="13">
        <v>6.0435325691642318E-2</v>
      </c>
      <c r="K21" s="13">
        <v>-8.8973017354022049E-2</v>
      </c>
      <c r="L21" s="13">
        <v>0.1096796074542299</v>
      </c>
      <c r="M21" s="13">
        <v>7.5660649926760526E-2</v>
      </c>
      <c r="N21" s="13">
        <v>9.9587412122941574E-2</v>
      </c>
      <c r="O21" s="13">
        <v>0.1297824585303535</v>
      </c>
      <c r="P21" s="13">
        <v>-0.14477260088968491</v>
      </c>
      <c r="Q21" s="13">
        <v>-0.25731007409425227</v>
      </c>
      <c r="R21" s="13">
        <v>-9.5575311106630215E-2</v>
      </c>
      <c r="S21" s="13">
        <v>-0.12859028544995699</v>
      </c>
      <c r="T21" s="13">
        <v>-1.4040364340204919E-2</v>
      </c>
      <c r="U21" s="13">
        <v>-8.6278417611758002E-2</v>
      </c>
      <c r="V21" s="13">
        <v>5.3557619366031213E-2</v>
      </c>
      <c r="W21" s="13">
        <v>0.15778847961546261</v>
      </c>
      <c r="X21" s="13">
        <v>0.19733717858364669</v>
      </c>
      <c r="Y21" s="13">
        <v>2.0833082892434851E-2</v>
      </c>
      <c r="Z21" s="13">
        <v>0.1142039872227245</v>
      </c>
      <c r="AA21" s="13">
        <v>1.9491043540093941E-2</v>
      </c>
      <c r="AB21" s="13">
        <v>0.1298395823970698</v>
      </c>
      <c r="AC21" s="13">
        <v>7.43011297920224E-2</v>
      </c>
      <c r="AD21" s="13">
        <v>4.6697424552745621E-2</v>
      </c>
      <c r="AE21" s="13">
        <v>-0.24045611049318669</v>
      </c>
      <c r="AF21" s="13">
        <v>5.3125609886562987E-2</v>
      </c>
      <c r="AG21" s="13">
        <v>4.4302777789794079E-2</v>
      </c>
      <c r="AH21" s="13">
        <v>-4.3409250000000003E-2</v>
      </c>
      <c r="AI21" s="13">
        <v>0.10212425</v>
      </c>
      <c r="AJ21" s="13">
        <v>5.1835000000000006E-3</v>
      </c>
      <c r="AK21" s="13">
        <v>-3.5803167618110053E-2</v>
      </c>
      <c r="AL21" s="13">
        <v>6.5379822733110632E-2</v>
      </c>
      <c r="AM21" s="13">
        <v>6.8535807447630548E-2</v>
      </c>
      <c r="AN21" s="13">
        <v>0.11195605606309431</v>
      </c>
      <c r="AO21" s="13">
        <v>4.7726395643726653E-2</v>
      </c>
      <c r="AP21" s="13">
        <v>-7.2535143570019153E-2</v>
      </c>
      <c r="AQ21" s="13">
        <v>7.6865507010547632E-2</v>
      </c>
      <c r="AR21" s="13">
        <v>0.20518227823048121</v>
      </c>
      <c r="AS21" s="13">
        <v>1.7048000000000021E-2</v>
      </c>
      <c r="AT21" s="13">
        <v>-2.4929112771550628E-3</v>
      </c>
      <c r="AU21" s="13">
        <v>4.7809631508957028E-2</v>
      </c>
      <c r="AV21" s="13">
        <v>-5.5520780062133721E-2</v>
      </c>
      <c r="AW21" s="13">
        <v>9.7910299540974015E-3</v>
      </c>
      <c r="AX21" s="13">
        <v>0.1431476874697567</v>
      </c>
      <c r="AY21" s="13">
        <v>4.7021290978038012E-2</v>
      </c>
      <c r="AZ21" s="13">
        <v>-0.25491126989713642</v>
      </c>
      <c r="BA21" s="13">
        <v>-7.1032181648085849E-2</v>
      </c>
      <c r="BB21" s="13">
        <v>0.2253461350383382</v>
      </c>
      <c r="BC21" s="13">
        <v>3.8321147725193863E-2</v>
      </c>
      <c r="BD21" s="13">
        <v>-2.1750863370627919E-2</v>
      </c>
      <c r="BE21" s="13">
        <v>6.3505333974014731E-3</v>
      </c>
      <c r="BF21" s="13">
        <v>3.5771001804346838E-3</v>
      </c>
      <c r="BG21" s="13">
        <v>3.6635189216812601E-2</v>
      </c>
      <c r="BH21" s="13">
        <v>-7.6321363138755302E-2</v>
      </c>
      <c r="BI21" s="13">
        <v>0.1659695961783918</v>
      </c>
      <c r="BJ21" s="13">
        <v>2.3579026181717661E-2</v>
      </c>
      <c r="BK21" s="13">
        <v>-6.8449880379534783E-2</v>
      </c>
      <c r="BL21" s="13">
        <v>0.1427210926463498</v>
      </c>
      <c r="BM21" s="13">
        <v>0.15512000392109981</v>
      </c>
      <c r="BN21" s="13">
        <v>2.5788249999999999E-2</v>
      </c>
      <c r="BO21" s="13">
        <v>-6.3857236413680254E-2</v>
      </c>
      <c r="BP21" s="13">
        <v>0.1045091294194143</v>
      </c>
      <c r="BQ21" s="13">
        <v>5.4542230834504879E-2</v>
      </c>
      <c r="BR21" s="13">
        <v>1.232386218386442E-2</v>
      </c>
      <c r="BS21" s="13">
        <v>5.8601727551761719E-3</v>
      </c>
      <c r="BT21" s="13">
        <v>0.13224469397444291</v>
      </c>
      <c r="BU21" s="13">
        <v>-0.1354964621985692</v>
      </c>
      <c r="BV21" s="13">
        <v>0.14214300018545339</v>
      </c>
      <c r="BW21" s="13">
        <v>-0.146679196935731</v>
      </c>
      <c r="BX21" s="13">
        <v>-2.9908192844139221E-3</v>
      </c>
      <c r="BY21" s="13">
        <v>-5.0379851218116528E-2</v>
      </c>
      <c r="BZ21" s="13">
        <v>4.7662928720715619E-2</v>
      </c>
      <c r="CA21" s="13">
        <v>-6.0517603302398457E-2</v>
      </c>
      <c r="CB21" s="13">
        <v>-6.3421391198258154E-2</v>
      </c>
      <c r="CC21" s="13">
        <v>-4.6693549468963022E-2</v>
      </c>
      <c r="CD21" s="13">
        <v>0.28805606436247322</v>
      </c>
      <c r="CE21" s="13">
        <v>6.1514499999999993E-2</v>
      </c>
      <c r="CF21" s="13">
        <v>-0.127168</v>
      </c>
      <c r="CG21" s="13">
        <v>-0.14375118915768581</v>
      </c>
      <c r="CH21" s="13">
        <v>8.0100321076211733E-2</v>
      </c>
      <c r="CI21" s="13">
        <v>-8.0499616390982326E-2</v>
      </c>
      <c r="CJ21" s="13">
        <v>-8.5627757016502298E-2</v>
      </c>
      <c r="CK21" s="13">
        <v>0.12705054673013411</v>
      </c>
      <c r="CL21" s="13">
        <v>-0.13389042462296469</v>
      </c>
      <c r="CM21" s="13">
        <v>-0.11623024999999999</v>
      </c>
      <c r="CN21" s="13">
        <v>3.05388902037756E-2</v>
      </c>
      <c r="CO21" s="13">
        <v>0.33548299999999998</v>
      </c>
      <c r="CP21" s="13">
        <v>-9.6252750000000012E-2</v>
      </c>
      <c r="CQ21" s="13">
        <v>3.2880917250907721E-3</v>
      </c>
      <c r="CR21" s="13">
        <v>9.0824277979679707E-2</v>
      </c>
      <c r="CS21" s="13">
        <v>3.0907250000000001E-2</v>
      </c>
      <c r="CT21" s="13">
        <v>4.7994749999999982E-2</v>
      </c>
      <c r="CU21" s="13">
        <v>1.9972500000000021E-3</v>
      </c>
      <c r="CV21" s="13">
        <v>0.13162774999999999</v>
      </c>
      <c r="CW21" s="13">
        <v>-3.0752749999999999E-2</v>
      </c>
      <c r="CX21" s="13">
        <v>1.3398749999999991E-2</v>
      </c>
      <c r="CY21" s="13">
        <v>-8.4819164039144704E-3</v>
      </c>
      <c r="CZ21" s="13">
        <v>0.19029674999999999</v>
      </c>
      <c r="DA21" s="13">
        <v>4.1709749999999997E-2</v>
      </c>
      <c r="DB21" s="13">
        <v>7.1459500000000009E-2</v>
      </c>
      <c r="DC21" s="13">
        <v>4.8309999999999992E-2</v>
      </c>
      <c r="DD21" s="13">
        <v>0.121322688868649</v>
      </c>
      <c r="DE21" s="13">
        <v>-5.4718999999999997E-2</v>
      </c>
      <c r="DF21" s="13">
        <v>0.30115175</v>
      </c>
      <c r="DG21" s="13">
        <v>-5.9410750000000012E-2</v>
      </c>
      <c r="DH21" s="13">
        <v>8.1436999999999996E-2</v>
      </c>
      <c r="DI21" s="13">
        <v>0.17984</v>
      </c>
      <c r="DJ21" s="13">
        <v>7.330325E-2</v>
      </c>
      <c r="DK21" s="13">
        <v>-9.0893250000000009E-2</v>
      </c>
      <c r="DL21" s="13">
        <v>3.2207750000000007E-2</v>
      </c>
      <c r="DM21" s="13">
        <v>2.498825E-2</v>
      </c>
      <c r="DN21" s="13">
        <v>-4.6871750000000011E-2</v>
      </c>
      <c r="DO21" s="13">
        <v>0.33162625000000001</v>
      </c>
      <c r="DP21" s="13">
        <v>-3.7106750000000001E-2</v>
      </c>
      <c r="DQ21" s="13">
        <v>-2.8215250000000001E-2</v>
      </c>
      <c r="DR21" s="13">
        <v>5.0170859037080733E-2</v>
      </c>
      <c r="DS21" s="13">
        <v>-0.20083947383729561</v>
      </c>
      <c r="DT21" s="13">
        <v>-9.7094999999999959E-3</v>
      </c>
      <c r="DU21" s="13">
        <v>-0.14861474999999999</v>
      </c>
      <c r="DV21" s="13">
        <v>-4.9660999999999997E-2</v>
      </c>
      <c r="DW21" s="13">
        <v>-0.103536</v>
      </c>
      <c r="DX21" s="13">
        <v>0.11451475</v>
      </c>
      <c r="DY21" s="13">
        <v>0.16672999999999999</v>
      </c>
      <c r="DZ21" s="13">
        <v>9.8930000000000004E-2</v>
      </c>
      <c r="EA21" s="13">
        <v>0.26605774999999998</v>
      </c>
      <c r="EB21" s="13">
        <v>-0.103298</v>
      </c>
      <c r="EC21" s="13">
        <v>1.403705509804205E-2</v>
      </c>
      <c r="ED21" s="13">
        <v>-5.4498856348180663E-2</v>
      </c>
      <c r="EE21" s="13">
        <v>-2.1309999999999999E-2</v>
      </c>
      <c r="EF21" s="13">
        <v>2.8794500000000001E-2</v>
      </c>
      <c r="EG21" s="23">
        <f t="shared" si="10"/>
        <v>2.5960249354571047E-2</v>
      </c>
      <c r="EH21" s="1">
        <f t="shared" si="11"/>
        <v>0.11259873572124894</v>
      </c>
      <c r="EI21" s="25">
        <f t="shared" si="12"/>
        <v>0.2305554248747394</v>
      </c>
    </row>
    <row r="22" spans="1:139">
      <c r="A22">
        <v>321</v>
      </c>
      <c r="B22">
        <v>3</v>
      </c>
      <c r="C22" s="13">
        <v>0.20528266666666661</v>
      </c>
      <c r="D22" s="13">
        <v>-4.4680896903486519E-2</v>
      </c>
      <c r="E22" s="13">
        <v>-4.1027532000619052E-2</v>
      </c>
      <c r="F22" s="13">
        <v>-9.7433995578986451E-2</v>
      </c>
      <c r="G22" s="13">
        <v>-3.2954824249798613E-2</v>
      </c>
      <c r="H22" s="13">
        <v>0.17874946348762291</v>
      </c>
      <c r="I22" s="13">
        <v>0.12349316933806979</v>
      </c>
      <c r="J22" s="13">
        <v>5.2598589265342909E-2</v>
      </c>
      <c r="K22" s="13">
        <v>-0.1532867706545093</v>
      </c>
      <c r="L22" s="13">
        <v>0.17118335942590121</v>
      </c>
      <c r="M22" s="13">
        <v>-0.22515860506358171</v>
      </c>
      <c r="N22" s="13">
        <v>0.1332804190232465</v>
      </c>
      <c r="O22" s="13">
        <v>0.1434803460042724</v>
      </c>
      <c r="P22" s="13">
        <v>-7.2782884128816977E-2</v>
      </c>
      <c r="Q22" s="13">
        <v>-0.27677689383305182</v>
      </c>
      <c r="R22" s="13">
        <v>-3.6628434271588052E-2</v>
      </c>
      <c r="S22" s="13">
        <v>-0.16964655555794059</v>
      </c>
      <c r="T22" s="13">
        <v>-2.023861247683403E-2</v>
      </c>
      <c r="U22" s="13">
        <v>-0.11059002340250421</v>
      </c>
      <c r="V22" s="13">
        <v>3.8286776519855507E-2</v>
      </c>
      <c r="W22" s="13">
        <v>0.20748026702429739</v>
      </c>
      <c r="X22" s="13">
        <v>0.214900047729565</v>
      </c>
      <c r="Y22" s="13">
        <v>1.5732208413521059E-2</v>
      </c>
      <c r="Z22" s="13">
        <v>7.5548269145846045E-2</v>
      </c>
      <c r="AA22" s="13">
        <v>7.0480168868567589E-3</v>
      </c>
      <c r="AB22" s="13">
        <v>0.13443621271332551</v>
      </c>
      <c r="AC22" s="13">
        <v>7.4420380840427389E-2</v>
      </c>
      <c r="AD22" s="13">
        <v>1.2467302670572489E-2</v>
      </c>
      <c r="AE22" s="13">
        <v>-0.22862111160637419</v>
      </c>
      <c r="AF22" s="13">
        <v>4.718231615802413E-2</v>
      </c>
      <c r="AG22" s="13">
        <v>5.2841540175733892E-2</v>
      </c>
      <c r="AH22" s="13">
        <v>4.8666666666666818E-4</v>
      </c>
      <c r="AI22" s="13">
        <v>0.1110046666666667</v>
      </c>
      <c r="AJ22" s="13">
        <v>1.308133333333333E-2</v>
      </c>
      <c r="AK22" s="13">
        <v>0.1012885607403957</v>
      </c>
      <c r="AL22" s="13">
        <v>4.0340966806900407E-2</v>
      </c>
      <c r="AM22" s="13">
        <v>8.4088903467703563E-2</v>
      </c>
      <c r="AN22" s="13">
        <v>0.1111328096635593</v>
      </c>
      <c r="AO22" s="13">
        <v>7.4717373393705613E-2</v>
      </c>
      <c r="AP22" s="13">
        <v>-6.2536353887992696E-2</v>
      </c>
      <c r="AQ22" s="13">
        <v>7.9426117478593142E-2</v>
      </c>
      <c r="AR22" s="13">
        <v>0.25053267815838243</v>
      </c>
      <c r="AS22" s="13">
        <v>0.16459066666666669</v>
      </c>
      <c r="AT22" s="13">
        <v>-2.513636184002634E-2</v>
      </c>
      <c r="AU22" s="13">
        <v>3.3500451910869901E-2</v>
      </c>
      <c r="AV22" s="13">
        <v>-5.9813176675879959E-2</v>
      </c>
      <c r="AW22" s="13">
        <v>-3.014938920700894E-2</v>
      </c>
      <c r="AX22" s="13">
        <v>0.17376339998002421</v>
      </c>
      <c r="AY22" s="13">
        <v>7.1733385334230598E-2</v>
      </c>
      <c r="AZ22" s="13">
        <v>-0.1549037783211521</v>
      </c>
      <c r="BA22" s="13">
        <v>-4.5598425167461952E-2</v>
      </c>
      <c r="BB22" s="13">
        <v>0.30192994454042299</v>
      </c>
      <c r="BC22" s="13">
        <v>-0.13083693812295519</v>
      </c>
      <c r="BD22" s="13">
        <v>-2.2174181465828179E-2</v>
      </c>
      <c r="BE22" s="13">
        <v>2.221618339448047E-2</v>
      </c>
      <c r="BF22" s="13">
        <v>1.363881733831962E-2</v>
      </c>
      <c r="BG22" s="13">
        <v>4.6279512168386029E-2</v>
      </c>
      <c r="BH22" s="13">
        <v>-0.12796054233813189</v>
      </c>
      <c r="BI22" s="13">
        <v>0.111088719409907</v>
      </c>
      <c r="BJ22" s="13">
        <v>5.4996415150720922E-2</v>
      </c>
      <c r="BK22" s="13">
        <v>-4.1839635933665138E-2</v>
      </c>
      <c r="BL22" s="13">
        <v>0.16178033907103531</v>
      </c>
      <c r="BM22" s="13">
        <v>0.19179703945604709</v>
      </c>
      <c r="BN22" s="13">
        <v>8.2934333333333332E-2</v>
      </c>
      <c r="BO22" s="13">
        <v>-5.0484429112750417E-2</v>
      </c>
      <c r="BP22" s="13">
        <v>7.4835550155106345E-2</v>
      </c>
      <c r="BQ22" s="13">
        <v>2.7830097398312589E-2</v>
      </c>
      <c r="BR22" s="13">
        <v>2.081360946645289E-2</v>
      </c>
      <c r="BS22" s="13">
        <v>-1.637278237679916E-2</v>
      </c>
      <c r="BT22" s="13">
        <v>0.13053070333654609</v>
      </c>
      <c r="BU22" s="13">
        <v>-0.21294876613801031</v>
      </c>
      <c r="BV22" s="13">
        <v>0.1585439723976089</v>
      </c>
      <c r="BW22" s="13">
        <v>-0.1746684979276073</v>
      </c>
      <c r="BX22" s="13">
        <v>3.6637445691972373E-2</v>
      </c>
      <c r="BY22" s="13">
        <v>-4.7467864027346263E-3</v>
      </c>
      <c r="BZ22" s="13">
        <v>4.725773586289217E-2</v>
      </c>
      <c r="CA22" s="13">
        <v>-2.749007848032349E-2</v>
      </c>
      <c r="CB22" s="13">
        <v>-0.14899327824592659</v>
      </c>
      <c r="CC22" s="13">
        <v>-1.498570343815637E-2</v>
      </c>
      <c r="CD22" s="13">
        <v>0.33387803671272293</v>
      </c>
      <c r="CE22" s="13">
        <v>6.6840000000000011E-2</v>
      </c>
      <c r="CF22" s="13">
        <v>-0.15557066666666661</v>
      </c>
      <c r="CG22" s="13">
        <v>-0.20326309220258709</v>
      </c>
      <c r="CH22" s="13">
        <v>0.1159187712794482</v>
      </c>
      <c r="CI22" s="13">
        <v>-0.1177797462783592</v>
      </c>
      <c r="CJ22" s="13">
        <v>-0.1033795050895627</v>
      </c>
      <c r="CK22" s="13">
        <v>3.6163342604682402E-2</v>
      </c>
      <c r="CL22" s="13">
        <v>-0.2406517986250408</v>
      </c>
      <c r="CM22" s="13">
        <v>-0.21983</v>
      </c>
      <c r="CN22" s="13">
        <v>-8.5467718209073992E-3</v>
      </c>
      <c r="CO22" s="13">
        <v>0.272059</v>
      </c>
      <c r="CP22" s="13">
        <v>-8.1321666666666681E-2</v>
      </c>
      <c r="CQ22" s="13">
        <v>-1.233377932566462E-2</v>
      </c>
      <c r="CR22" s="13">
        <v>0.16185042130139199</v>
      </c>
      <c r="CS22" s="13">
        <v>2.443933333333333E-2</v>
      </c>
      <c r="CT22" s="13">
        <v>3.8264666666666662E-2</v>
      </c>
      <c r="CU22" s="13">
        <v>2.6580666666666669E-2</v>
      </c>
      <c r="CV22" s="13">
        <v>0.18304533333333339</v>
      </c>
      <c r="CW22" s="13">
        <v>-1.3499999999999989E-2</v>
      </c>
      <c r="CX22" s="13">
        <v>4.7288333333333328E-2</v>
      </c>
      <c r="CY22" s="13">
        <v>-7.9888257735091419E-3</v>
      </c>
      <c r="CZ22" s="13">
        <v>0.20669699999999999</v>
      </c>
      <c r="DA22" s="13">
        <v>3.2453999999999997E-2</v>
      </c>
      <c r="DB22" s="13">
        <v>5.4040666666666667E-2</v>
      </c>
      <c r="DC22" s="13">
        <v>7.2343333333333343E-2</v>
      </c>
      <c r="DD22" s="13">
        <v>0.1478941025728035</v>
      </c>
      <c r="DE22" s="13">
        <v>-0.13335566666666671</v>
      </c>
      <c r="DF22" s="13">
        <v>0.38966800000000001</v>
      </c>
      <c r="DG22" s="13">
        <v>-7.1890999999999997E-2</v>
      </c>
      <c r="DH22" s="13">
        <v>8.1455333333333324E-2</v>
      </c>
      <c r="DI22" s="13">
        <v>6.0122333333333333E-2</v>
      </c>
      <c r="DJ22" s="13">
        <v>4.2777666666666672E-2</v>
      </c>
      <c r="DK22" s="13">
        <v>-9.1427666666666671E-2</v>
      </c>
      <c r="DL22" s="13">
        <v>2.168033333333334E-2</v>
      </c>
      <c r="DM22" s="13">
        <v>3.1884333333333327E-2</v>
      </c>
      <c r="DN22" s="13">
        <v>-8.3170333333333332E-2</v>
      </c>
      <c r="DO22" s="13">
        <v>7.5715333333333343E-2</v>
      </c>
      <c r="DP22" s="13">
        <v>-0.105099</v>
      </c>
      <c r="DQ22" s="13">
        <v>-5.1849333333333317E-2</v>
      </c>
      <c r="DR22" s="13">
        <v>-6.0925526153180337E-3</v>
      </c>
      <c r="DS22" s="13">
        <v>-0.19705092156235929</v>
      </c>
      <c r="DT22" s="13">
        <v>-4.3682333333333337E-2</v>
      </c>
      <c r="DU22" s="13">
        <v>-0.1615456666666667</v>
      </c>
      <c r="DV22" s="13">
        <v>5.3372000000000003E-2</v>
      </c>
      <c r="DW22" s="13">
        <v>-8.1416000000000016E-2</v>
      </c>
      <c r="DX22" s="13">
        <v>0.177263</v>
      </c>
      <c r="DY22" s="13">
        <v>0.1199563333333333</v>
      </c>
      <c r="DZ22" s="13">
        <v>0.11083366666666671</v>
      </c>
      <c r="EA22" s="13">
        <v>0.14035633333333331</v>
      </c>
      <c r="EB22" s="13">
        <v>-0.1429303333333333</v>
      </c>
      <c r="EC22" s="13">
        <v>2.1495101575638179E-2</v>
      </c>
      <c r="ED22" s="13">
        <v>-7.7413567057607463E-2</v>
      </c>
      <c r="EE22" s="13">
        <v>-4.7635999999999998E-2</v>
      </c>
      <c r="EF22" s="13">
        <v>3.6592666666666662E-2</v>
      </c>
      <c r="EG22" s="23">
        <f t="shared" si="10"/>
        <v>1.8984677020997463E-2</v>
      </c>
      <c r="EH22" s="1">
        <f t="shared" si="11"/>
        <v>0.12394386491896855</v>
      </c>
      <c r="EI22" s="25">
        <f t="shared" si="12"/>
        <v>0.15317157515952223</v>
      </c>
    </row>
    <row r="23" spans="1:139">
      <c r="A23">
        <v>482</v>
      </c>
      <c r="B23">
        <v>2</v>
      </c>
      <c r="C23" s="13">
        <v>0.28298899999999988</v>
      </c>
      <c r="D23" s="13">
        <v>-2.981066768542209E-2</v>
      </c>
      <c r="E23" s="13">
        <v>-8.094117257067221E-2</v>
      </c>
      <c r="F23" s="13">
        <v>-0.14166490905190171</v>
      </c>
      <c r="G23" s="13">
        <v>-5.2224173846498377E-2</v>
      </c>
      <c r="H23" s="13">
        <v>0.2037183078789751</v>
      </c>
      <c r="I23" s="13">
        <v>0.148152028600294</v>
      </c>
      <c r="J23" s="13">
        <v>-9.8162291146452377E-2</v>
      </c>
      <c r="K23" s="13">
        <v>-0.20448947647223359</v>
      </c>
      <c r="L23" s="13">
        <v>5.4043529775598627E-2</v>
      </c>
      <c r="M23" s="13">
        <v>-0.26256934704734031</v>
      </c>
      <c r="N23" s="13">
        <v>0.15641923763601279</v>
      </c>
      <c r="O23" s="13">
        <v>0.20456437797300209</v>
      </c>
      <c r="P23" s="13">
        <v>-9.040171118212538E-2</v>
      </c>
      <c r="Q23" s="13">
        <v>5.95680169005205E-2</v>
      </c>
      <c r="R23" s="13">
        <v>-5.6211143313255052E-2</v>
      </c>
      <c r="S23" s="13">
        <v>-0.1137245328272621</v>
      </c>
      <c r="T23" s="13">
        <v>-3.733692084787466E-4</v>
      </c>
      <c r="U23" s="13">
        <v>-9.3757422440794366E-2</v>
      </c>
      <c r="V23" s="13">
        <v>-2.302945710979112E-2</v>
      </c>
      <c r="W23" s="13">
        <v>0.33161915024914451</v>
      </c>
      <c r="X23" s="13">
        <v>0.26408569496329731</v>
      </c>
      <c r="Y23" s="13">
        <v>1.4659801530490259E-2</v>
      </c>
      <c r="Z23" s="13">
        <v>3.3032515443875303E-2</v>
      </c>
      <c r="AA23" s="13">
        <v>6.6062919694702682E-3</v>
      </c>
      <c r="AB23" s="13">
        <v>6.4039779876783498E-2</v>
      </c>
      <c r="AC23" s="13">
        <v>7.6346338146838E-2</v>
      </c>
      <c r="AD23" s="13">
        <v>1.5010900357047399E-2</v>
      </c>
      <c r="AE23" s="13">
        <v>-0.33234424861252548</v>
      </c>
      <c r="AF23" s="13">
        <v>6.6906260089751285E-2</v>
      </c>
      <c r="AG23" s="13">
        <v>9.1873657646360199E-2</v>
      </c>
      <c r="AH23" s="13">
        <v>3.7278000000000013E-2</v>
      </c>
      <c r="AI23" s="13">
        <v>0.209152</v>
      </c>
      <c r="AJ23" s="13">
        <v>2.3587E-2</v>
      </c>
      <c r="AK23" s="13">
        <v>0.11411109934719101</v>
      </c>
      <c r="AL23" s="13">
        <v>0.1314317131925356</v>
      </c>
      <c r="AM23" s="13">
        <v>7.769489004865255E-3</v>
      </c>
      <c r="AN23" s="13">
        <v>0.24231469935730071</v>
      </c>
      <c r="AO23" s="13">
        <v>-5.3369521914240978E-3</v>
      </c>
      <c r="AP23" s="13">
        <v>3.1210993523056942E-3</v>
      </c>
      <c r="AQ23" s="13">
        <v>8.9424992259610633E-2</v>
      </c>
      <c r="AR23" s="13">
        <v>0.33674404384506768</v>
      </c>
      <c r="AS23" s="13">
        <v>3.2169000000000017E-2</v>
      </c>
      <c r="AT23" s="13">
        <v>-4.1427721813649641E-2</v>
      </c>
      <c r="AU23" s="13">
        <v>3.3145526128504327E-2</v>
      </c>
      <c r="AV23" s="13">
        <v>-2.7638994197374041E-2</v>
      </c>
      <c r="AW23" s="13">
        <v>-5.202690983840276E-2</v>
      </c>
      <c r="AX23" s="13">
        <v>6.9838153827044058E-2</v>
      </c>
      <c r="AY23" s="13">
        <v>0.17023398084058211</v>
      </c>
      <c r="AZ23" s="13">
        <v>-6.3753617401060211E-2</v>
      </c>
      <c r="BA23" s="13">
        <v>9.6467800801007808E-3</v>
      </c>
      <c r="BB23" s="13">
        <v>-5.1049484102885123E-2</v>
      </c>
      <c r="BC23" s="13">
        <v>-0.30082824917306578</v>
      </c>
      <c r="BD23" s="13">
        <v>9.4830881346450333E-2</v>
      </c>
      <c r="BE23" s="13">
        <v>-7.1430762397296579E-2</v>
      </c>
      <c r="BF23" s="13">
        <v>-2.284699060468626E-2</v>
      </c>
      <c r="BG23" s="13">
        <v>7.4761471196752541E-2</v>
      </c>
      <c r="BH23" s="13">
        <v>-0.2034839813552872</v>
      </c>
      <c r="BI23" s="13">
        <v>0.1911120793231991</v>
      </c>
      <c r="BJ23" s="13">
        <v>0.1040033152679269</v>
      </c>
      <c r="BK23" s="13">
        <v>2.0341083364774871E-3</v>
      </c>
      <c r="BL23" s="13">
        <v>0.14953429625023959</v>
      </c>
      <c r="BM23" s="13">
        <v>0.18918068678715391</v>
      </c>
      <c r="BN23" s="13">
        <v>3.8449999999999998E-2</v>
      </c>
      <c r="BO23" s="13">
        <v>3.6524941745999073E-2</v>
      </c>
      <c r="BP23" s="13">
        <v>9.8266399211456468E-2</v>
      </c>
      <c r="BQ23" s="13">
        <v>7.2047901435266168E-2</v>
      </c>
      <c r="BR23" s="13">
        <v>1.7844321463962809E-2</v>
      </c>
      <c r="BS23" s="13">
        <v>-7.3275388657911791E-2</v>
      </c>
      <c r="BT23" s="13">
        <v>0.14364980602599711</v>
      </c>
      <c r="BU23" s="13">
        <v>-0.20568773584594591</v>
      </c>
      <c r="BV23" s="13">
        <v>0.11346756836018849</v>
      </c>
      <c r="BW23" s="13">
        <v>-0.20215233327569121</v>
      </c>
      <c r="BX23" s="13">
        <v>-8.2131197272531514E-3</v>
      </c>
      <c r="BY23" s="13">
        <v>-1.020569269434762E-2</v>
      </c>
      <c r="BZ23" s="13">
        <v>7.6697624318448621E-3</v>
      </c>
      <c r="CA23" s="13">
        <v>-7.5653199746629096E-2</v>
      </c>
      <c r="CB23" s="13">
        <v>-0.21761420299243989</v>
      </c>
      <c r="CC23" s="13">
        <v>0.2249586274956801</v>
      </c>
      <c r="CD23" s="13">
        <v>0.19167645501478511</v>
      </c>
      <c r="CE23" s="13">
        <v>5.9602000000000002E-2</v>
      </c>
      <c r="CF23" s="13">
        <v>-0.1834305</v>
      </c>
      <c r="CG23" s="13">
        <v>-0.3932437879236767</v>
      </c>
      <c r="CH23" s="13">
        <v>0.18019644892142839</v>
      </c>
      <c r="CI23" s="13">
        <v>-0.30989941712809688</v>
      </c>
      <c r="CJ23" s="13">
        <v>-1.9875367550410569E-2</v>
      </c>
      <c r="CK23" s="13">
        <v>9.6116994727961536E-2</v>
      </c>
      <c r="CL23" s="13">
        <v>-0.40866101266741839</v>
      </c>
      <c r="CM23" s="13">
        <v>-0.234705</v>
      </c>
      <c r="CN23" s="13">
        <v>-5.3005178369803271E-2</v>
      </c>
      <c r="CO23" s="13">
        <v>0.26615749999999999</v>
      </c>
      <c r="CP23" s="13">
        <v>-0.1197175</v>
      </c>
      <c r="CQ23" s="13">
        <v>-9.1837444998058917E-3</v>
      </c>
      <c r="CR23" s="13">
        <v>1.159780382107861E-2</v>
      </c>
      <c r="CS23" s="13">
        <v>6.9014999999999993E-2</v>
      </c>
      <c r="CT23" s="13">
        <v>6.5391499999999977E-2</v>
      </c>
      <c r="CU23" s="13">
        <v>-8.7759999999999921E-3</v>
      </c>
      <c r="CV23" s="13">
        <v>0.20184949999999999</v>
      </c>
      <c r="CW23" s="13">
        <v>6.4165E-2</v>
      </c>
      <c r="CX23" s="13">
        <v>-4.4250000000000012E-2</v>
      </c>
      <c r="CY23" s="13">
        <v>2.20465307533785E-2</v>
      </c>
      <c r="CZ23" s="13">
        <v>0.1660055</v>
      </c>
      <c r="DA23" s="13">
        <v>6.4644999999999994E-2</v>
      </c>
      <c r="DB23" s="13">
        <v>1.8748000000000001E-2</v>
      </c>
      <c r="DC23" s="13">
        <v>7.2414999999999993E-2</v>
      </c>
      <c r="DD23" s="13">
        <v>0.21341104440699671</v>
      </c>
      <c r="DE23" s="13">
        <v>-0.1414445</v>
      </c>
      <c r="DF23" s="13">
        <v>0.40879749999999998</v>
      </c>
      <c r="DG23" s="13">
        <v>-6.7622500000000002E-2</v>
      </c>
      <c r="DH23" s="13">
        <v>0.13922799999999999</v>
      </c>
      <c r="DI23" s="13">
        <v>9.6041000000000015E-2</v>
      </c>
      <c r="DJ23" s="13">
        <v>-3.3823000000000013E-2</v>
      </c>
      <c r="DK23" s="13">
        <v>-9.1243500000000005E-2</v>
      </c>
      <c r="DL23" s="13">
        <v>-5.6605999999999997E-2</v>
      </c>
      <c r="DM23" s="13">
        <v>4.6476999999999997E-2</v>
      </c>
      <c r="DN23" s="13">
        <v>-0.1182</v>
      </c>
      <c r="DO23" s="13">
        <v>0.124068</v>
      </c>
      <c r="DP23" s="13">
        <v>-3.8403500000000007E-2</v>
      </c>
      <c r="DQ23" s="13">
        <v>-0.1211305</v>
      </c>
      <c r="DR23" s="13">
        <v>-8.9886002731306744E-2</v>
      </c>
      <c r="DS23" s="13">
        <v>-0.28809657691904628</v>
      </c>
      <c r="DT23" s="13">
        <v>-5.4250499999999993E-2</v>
      </c>
      <c r="DU23" s="13">
        <v>-5.5638E-2</v>
      </c>
      <c r="DV23" s="13">
        <v>8.1330000000000013E-3</v>
      </c>
      <c r="DW23" s="13">
        <v>2.305249999999999E-2</v>
      </c>
      <c r="DX23" s="13">
        <v>0.31944850000000008</v>
      </c>
      <c r="DY23" s="13">
        <v>-5.3925000000000001E-2</v>
      </c>
      <c r="DZ23" s="13">
        <v>-0.21717500000000001</v>
      </c>
      <c r="EA23" s="13">
        <v>-2.8757000000000001E-2</v>
      </c>
      <c r="EB23" s="13">
        <v>-0.1382285</v>
      </c>
      <c r="EC23" s="13">
        <v>-3.6584316325813361E-2</v>
      </c>
      <c r="ED23" s="13">
        <v>-9.1425904619781034E-2</v>
      </c>
      <c r="EE23" s="13">
        <v>-6.9210999999999995E-2</v>
      </c>
      <c r="EF23" s="13">
        <v>9.3413999999999997E-2</v>
      </c>
      <c r="EG23" s="23">
        <f t="shared" si="10"/>
        <v>1.0260517487548731E-2</v>
      </c>
      <c r="EH23" s="1">
        <f t="shared" si="11"/>
        <v>0.14757795219683273</v>
      </c>
      <c r="EI23" s="25">
        <f t="shared" si="12"/>
        <v>6.952608661938689E-2</v>
      </c>
    </row>
    <row r="24" spans="1:139">
      <c r="A24">
        <v>964</v>
      </c>
      <c r="B24">
        <v>1</v>
      </c>
      <c r="C24" s="13">
        <v>9.9113000000000007E-2</v>
      </c>
      <c r="D24" s="13">
        <v>-0.1040490099724129</v>
      </c>
      <c r="E24" s="13">
        <v>7.1400330169296908E-2</v>
      </c>
      <c r="F24" s="13">
        <v>-0.22715954663674881</v>
      </c>
      <c r="G24" s="13">
        <v>0.2257600230575724</v>
      </c>
      <c r="H24" s="13">
        <v>0.2466867284905698</v>
      </c>
      <c r="I24" s="13">
        <v>-2.111933203143501E-3</v>
      </c>
      <c r="J24" s="13">
        <v>-9.9972192910136135E-2</v>
      </c>
      <c r="K24" s="13">
        <v>-2.1515278354960109E-2</v>
      </c>
      <c r="L24" s="13">
        <v>9.5623250508682117E-2</v>
      </c>
      <c r="M24" s="13">
        <v>-0.46302754420013847</v>
      </c>
      <c r="N24" s="13">
        <v>0.14413045240043321</v>
      </c>
      <c r="O24" s="13">
        <v>0.235309193405423</v>
      </c>
      <c r="P24" s="13">
        <v>-0.1042484144089995</v>
      </c>
      <c r="Q24" s="13">
        <v>6.096496164670627E-2</v>
      </c>
      <c r="R24" s="13">
        <v>-0.24569737077925971</v>
      </c>
      <c r="S24" s="13">
        <v>-0.35251446106016437</v>
      </c>
      <c r="T24" s="13">
        <v>0.1236910440917892</v>
      </c>
      <c r="U24" s="13">
        <v>-0.14851867422391801</v>
      </c>
      <c r="V24" s="13">
        <v>-6.7139302837628506E-2</v>
      </c>
      <c r="W24" s="13">
        <v>0.49571198595594262</v>
      </c>
      <c r="X24" s="13">
        <v>0.1180224325060039</v>
      </c>
      <c r="Y24" s="13">
        <v>9.4770149264170878E-3</v>
      </c>
      <c r="Z24" s="13">
        <v>0.10584232727880701</v>
      </c>
      <c r="AA24" s="13">
        <v>1.354776823757727E-2</v>
      </c>
      <c r="AB24" s="13">
        <v>0.1953396226752438</v>
      </c>
      <c r="AC24" s="13">
        <v>0.125380380775965</v>
      </c>
      <c r="AD24" s="13">
        <v>7.8218388926296623E-3</v>
      </c>
      <c r="AE24" s="13">
        <v>-0.54125812124628125</v>
      </c>
      <c r="AF24" s="13">
        <v>2.2522010034790499E-2</v>
      </c>
      <c r="AG24" s="13">
        <v>0.13873571762663761</v>
      </c>
      <c r="AH24" s="13">
        <v>-6.8616999999999997E-2</v>
      </c>
      <c r="AI24" s="13">
        <v>0.31041400000000002</v>
      </c>
      <c r="AJ24" s="13">
        <v>8.5434999999999997E-2</v>
      </c>
      <c r="AK24" s="13">
        <v>8.4883953068192297E-2</v>
      </c>
      <c r="AL24" s="13">
        <v>-5.4676935490635382E-2</v>
      </c>
      <c r="AM24" s="13">
        <v>-1.89192814205267E-2</v>
      </c>
      <c r="AN24" s="13">
        <v>0.22118946514543131</v>
      </c>
      <c r="AO24" s="13">
        <v>6.6090111828990022E-2</v>
      </c>
      <c r="AP24" s="13">
        <v>-2.28517154890964E-2</v>
      </c>
      <c r="AQ24" s="13">
        <v>4.7076972834245667E-2</v>
      </c>
      <c r="AR24" s="13">
        <v>9.6392566076069844E-3</v>
      </c>
      <c r="AS24" s="13">
        <v>0.23783199999999999</v>
      </c>
      <c r="AT24" s="13">
        <v>3.045920748470865E-2</v>
      </c>
      <c r="AU24" s="13">
        <v>4.4095319865224331E-2</v>
      </c>
      <c r="AV24" s="13">
        <v>-8.7151952186895892E-2</v>
      </c>
      <c r="AW24" s="13">
        <v>4.9875415110391882E-3</v>
      </c>
      <c r="AX24" s="13">
        <v>2.8306186588424521E-2</v>
      </c>
      <c r="AY24" s="13">
        <v>0.16812729388488939</v>
      </c>
      <c r="AZ24" s="13">
        <v>3.7867073599665187E-2</v>
      </c>
      <c r="BA24" s="13">
        <v>-5.3794732084633153E-2</v>
      </c>
      <c r="BB24" s="13">
        <v>-8.6159033395334803E-2</v>
      </c>
      <c r="BC24" s="13">
        <v>-0.8032160130443774</v>
      </c>
      <c r="BD24" s="13">
        <v>0.18559521924643521</v>
      </c>
      <c r="BE24" s="13">
        <v>-4.606435403168687E-2</v>
      </c>
      <c r="BF24" s="13">
        <v>8.765133605409231E-2</v>
      </c>
      <c r="BG24" s="13">
        <v>2.6835965866310919E-2</v>
      </c>
      <c r="BH24" s="13">
        <v>-0.38625533691353497</v>
      </c>
      <c r="BI24" s="13">
        <v>0.2236291060700471</v>
      </c>
      <c r="BJ24" s="13">
        <v>3.3483157548845829E-3</v>
      </c>
      <c r="BK24" s="13">
        <v>4.0235468942862278E-3</v>
      </c>
      <c r="BL24" s="13">
        <v>0.31716429392471662</v>
      </c>
      <c r="BM24" s="13">
        <v>1.1473019117737151E-2</v>
      </c>
      <c r="BN24" s="13">
        <v>0.10891099999999999</v>
      </c>
      <c r="BO24" s="13">
        <v>-0.16110969109564191</v>
      </c>
      <c r="BP24" s="13">
        <v>0.1233511811293219</v>
      </c>
      <c r="BQ24" s="13">
        <v>-6.4169633330115036E-2</v>
      </c>
      <c r="BR24" s="13">
        <v>4.2356223303417713E-2</v>
      </c>
      <c r="BS24" s="13">
        <v>-1.284717484456964E-3</v>
      </c>
      <c r="BT24" s="13">
        <v>0.1162706960541873</v>
      </c>
      <c r="BU24" s="13">
        <v>-0.22832663155994071</v>
      </c>
      <c r="BV24" s="13">
        <v>0.1077284538879829</v>
      </c>
      <c r="BW24" s="13">
        <v>-6.1835883635593128E-2</v>
      </c>
      <c r="BX24" s="13">
        <v>-0.1329600557104578</v>
      </c>
      <c r="BY24" s="13">
        <v>0.10974566916741731</v>
      </c>
      <c r="BZ24" s="13">
        <v>0.25889289884999689</v>
      </c>
      <c r="CA24" s="13">
        <v>-0.1152216807734147</v>
      </c>
      <c r="CB24" s="13">
        <v>0.20876197428786911</v>
      </c>
      <c r="CC24" s="13">
        <v>0.43985451226693362</v>
      </c>
      <c r="CD24" s="13">
        <v>0.14430631074219491</v>
      </c>
      <c r="CE24" s="13">
        <v>0.16556499999999999</v>
      </c>
      <c r="CF24" s="13">
        <v>-0.16513</v>
      </c>
      <c r="CG24" s="13">
        <v>-0.32381797901906062</v>
      </c>
      <c r="CH24" s="13">
        <v>0.35427729684250298</v>
      </c>
      <c r="CI24" s="13">
        <v>0.3284518207092646</v>
      </c>
      <c r="CJ24" s="13">
        <v>1.310948541941956E-2</v>
      </c>
      <c r="CK24" s="13">
        <v>9.3530079315696568E-2</v>
      </c>
      <c r="CL24" s="13">
        <v>0.1417553333725407</v>
      </c>
      <c r="CM24" s="13">
        <v>-0.63644000000000001</v>
      </c>
      <c r="CN24" s="13">
        <v>-0.1077387664572132</v>
      </c>
      <c r="CO24" s="13">
        <v>0.45247399999999999</v>
      </c>
      <c r="CP24" s="13">
        <v>-0.249337</v>
      </c>
      <c r="CQ24" s="13">
        <v>0.1146871738632968</v>
      </c>
      <c r="CR24" s="13">
        <v>6.1084838239556717E-2</v>
      </c>
      <c r="CS24" s="13">
        <v>-2.6858E-2</v>
      </c>
      <c r="CT24" s="13">
        <v>-0.119542</v>
      </c>
      <c r="CU24" s="13">
        <v>-6.302000000000002E-3</v>
      </c>
      <c r="CV24" s="13">
        <v>0.36147600000000002</v>
      </c>
      <c r="CW24" s="13">
        <v>-1.589999999999999E-3</v>
      </c>
      <c r="CX24" s="13">
        <v>5.2769999999999997E-2</v>
      </c>
      <c r="CY24" s="13">
        <v>-8.0066904636818925E-2</v>
      </c>
      <c r="CZ24" s="13">
        <v>0.32259100000000002</v>
      </c>
      <c r="DA24" s="13">
        <v>3.3980000000000003E-2</v>
      </c>
      <c r="DB24" s="13">
        <v>-1.6500000000000001E-2</v>
      </c>
      <c r="DC24" s="13">
        <v>0.17954999999999999</v>
      </c>
      <c r="DD24" s="13">
        <v>0.15338138073910601</v>
      </c>
      <c r="DE24" s="13">
        <v>-0.30663899999999999</v>
      </c>
      <c r="DF24" s="13">
        <v>0.52558799999999994</v>
      </c>
      <c r="DG24" s="13">
        <v>-0.119545</v>
      </c>
      <c r="DH24" s="13">
        <v>0.26580500000000001</v>
      </c>
      <c r="DI24" s="13">
        <v>3.7185000000000003E-2</v>
      </c>
      <c r="DJ24" s="13">
        <v>2.1080000000000002E-2</v>
      </c>
      <c r="DK24" s="13">
        <v>-0.11967899999999999</v>
      </c>
      <c r="DL24" s="13">
        <v>-3.1748999999999999E-2</v>
      </c>
      <c r="DM24" s="13">
        <v>4.0999999999999723E-4</v>
      </c>
      <c r="DN24" s="13">
        <v>-0.14903</v>
      </c>
      <c r="DO24" s="13">
        <v>0.115615</v>
      </c>
      <c r="DP24" s="13">
        <v>-0.14432700000000001</v>
      </c>
      <c r="DQ24" s="13">
        <v>-5.0486000000000003E-2</v>
      </c>
      <c r="DR24" s="13">
        <v>-2.0515630212029241E-2</v>
      </c>
      <c r="DS24" s="13">
        <v>-0.21626154103284559</v>
      </c>
      <c r="DT24" s="13">
        <v>-7.4732999999999994E-2</v>
      </c>
      <c r="DU24" s="13">
        <v>2.178200000000001E-2</v>
      </c>
      <c r="DV24" s="13">
        <v>9.8046999999999995E-2</v>
      </c>
      <c r="DW24" s="13">
        <v>0.101183</v>
      </c>
      <c r="DX24" s="13">
        <v>0.28592899999999999</v>
      </c>
      <c r="DY24" s="13">
        <v>-3.2399999999999998E-3</v>
      </c>
      <c r="DZ24" s="13">
        <v>-0.43351000000000001</v>
      </c>
      <c r="EA24" s="13">
        <v>-5.4917000000000001E-2</v>
      </c>
      <c r="EB24" s="13">
        <v>-0.10923099999999999</v>
      </c>
      <c r="EC24" s="13">
        <v>-1.4309918770678909E-2</v>
      </c>
      <c r="ED24" s="13">
        <v>-5.6172845298362112E-2</v>
      </c>
      <c r="EE24" s="13">
        <v>-0.10748199999999999</v>
      </c>
      <c r="EF24" s="13">
        <v>0.13408500000000001</v>
      </c>
      <c r="EG24" s="23">
        <f t="shared" si="10"/>
        <v>1.7550735173962523E-2</v>
      </c>
      <c r="EH24" s="1">
        <f t="shared" si="11"/>
        <v>0.2029550356691868</v>
      </c>
      <c r="EI24" s="25">
        <f t="shared" si="12"/>
        <v>8.6475977874083981E-2</v>
      </c>
    </row>
    <row r="26" spans="1:139">
      <c r="A26" t="s">
        <v>145</v>
      </c>
      <c r="B26" t="s">
        <v>146</v>
      </c>
      <c r="C26" s="8">
        <v>-1.7446770539390338E-2</v>
      </c>
      <c r="D26" s="8">
        <v>2.070106053181563E-2</v>
      </c>
      <c r="E26" s="8">
        <v>2.3982129254766709E-2</v>
      </c>
      <c r="F26" s="8">
        <v>-6.557578972823077E-3</v>
      </c>
      <c r="G26" s="8">
        <v>3.1845129800519692E-2</v>
      </c>
      <c r="H26" s="8">
        <v>3.4348532736990518E-2</v>
      </c>
      <c r="I26" s="8">
        <v>-8.2549327813252367E-3</v>
      </c>
      <c r="J26" s="8">
        <v>1.2843524394052759E-2</v>
      </c>
      <c r="K26" s="8">
        <v>-5.1018524626790823E-2</v>
      </c>
      <c r="L26" s="8">
        <v>8.7394274103658827E-4</v>
      </c>
      <c r="M26" s="8">
        <v>2.3389575505495919E-2</v>
      </c>
      <c r="N26" s="8">
        <v>1.2988972200332851E-2</v>
      </c>
      <c r="O26" s="8">
        <v>5.8545887256348812E-3</v>
      </c>
      <c r="P26" s="8">
        <v>2.7413206571790558E-2</v>
      </c>
      <c r="Q26" s="8">
        <v>-3.7129361176928542E-3</v>
      </c>
      <c r="R26" s="8">
        <v>2.4076614047823328E-2</v>
      </c>
      <c r="S26" s="8">
        <v>-1.219002529903996E-2</v>
      </c>
      <c r="T26" s="8">
        <v>-3.9749578159589592E-2</v>
      </c>
      <c r="U26" s="8">
        <v>-7.3155449831649552E-2</v>
      </c>
      <c r="V26" s="8">
        <v>-5.8260229910114661E-2</v>
      </c>
      <c r="W26" s="8">
        <v>7.7279756550837221E-4</v>
      </c>
      <c r="X26" s="8">
        <v>4.459152113521897E-2</v>
      </c>
      <c r="Y26" s="8">
        <v>-2.7699680050213091E-2</v>
      </c>
      <c r="Z26" s="8">
        <v>2.0950059497436462E-3</v>
      </c>
      <c r="AA26" s="8">
        <v>-2.340055099256411E-2</v>
      </c>
      <c r="AB26" s="8">
        <v>3.2129371097322189E-2</v>
      </c>
      <c r="AC26" s="8">
        <v>3.890327309406643E-2</v>
      </c>
      <c r="AD26" s="8">
        <v>-4.286538217110427E-2</v>
      </c>
      <c r="AE26" s="8">
        <v>1.8647194550152159E-2</v>
      </c>
      <c r="AF26" s="8">
        <v>1.5229768322528949E-2</v>
      </c>
      <c r="AG26" s="8">
        <v>3.6016603778892417E-2</v>
      </c>
      <c r="AH26" s="8">
        <v>9.3546113853161701E-3</v>
      </c>
      <c r="AI26" s="8">
        <v>1.0748251336838139E-2</v>
      </c>
      <c r="AJ26" s="8">
        <v>1.335775405308097E-2</v>
      </c>
      <c r="AK26" s="8">
        <v>-5.3327473290953921E-3</v>
      </c>
      <c r="AL26" s="8">
        <v>1.383135807261675E-3</v>
      </c>
      <c r="AM26" s="8">
        <v>2.079592842007446E-2</v>
      </c>
      <c r="AN26" s="8">
        <v>3.1517702220390638E-2</v>
      </c>
      <c r="AO26" s="8">
        <v>6.2417165333294418E-3</v>
      </c>
      <c r="AP26" s="8">
        <v>6.1452616535713897E-3</v>
      </c>
      <c r="AQ26" s="8">
        <v>1.694635767669651E-2</v>
      </c>
      <c r="AR26" s="8">
        <v>3.4682830454308228E-2</v>
      </c>
      <c r="AS26" s="8">
        <v>3.0985886171969678E-3</v>
      </c>
      <c r="AT26" s="8">
        <v>1.508134714348611E-2</v>
      </c>
      <c r="AU26" s="8">
        <v>-1.9251209229863991E-2</v>
      </c>
      <c r="AV26" s="8">
        <v>3.8711513387631437E-2</v>
      </c>
      <c r="AW26" s="8">
        <v>-2.1856951135736599E-2</v>
      </c>
      <c r="AX26" s="8">
        <v>7.7743007097896798E-3</v>
      </c>
      <c r="AY26" s="8">
        <v>4.2397246695325942E-2</v>
      </c>
      <c r="AZ26" s="8">
        <v>-2.630897486115975E-2</v>
      </c>
      <c r="BA26" s="8">
        <v>9.5717493087162323E-3</v>
      </c>
      <c r="BB26" s="8">
        <v>-2.424974126627483E-2</v>
      </c>
      <c r="BC26" s="8">
        <v>2.0163374143915822E-2</v>
      </c>
      <c r="BD26" s="8">
        <v>-3.5049987821160239E-3</v>
      </c>
      <c r="BE26" s="8">
        <v>2.0151935098542271E-2</v>
      </c>
      <c r="BF26" s="8">
        <v>5.8133623077027128E-4</v>
      </c>
      <c r="BG26" s="8">
        <v>-5.2197009532526043E-3</v>
      </c>
      <c r="BH26" s="8">
        <v>-0.11587176140213</v>
      </c>
      <c r="BI26" s="8">
        <v>8.7252256924373536E-3</v>
      </c>
      <c r="BJ26" s="8">
        <v>-1.6377260977822151E-2</v>
      </c>
      <c r="BK26" s="8">
        <v>2.0840371600260421E-2</v>
      </c>
      <c r="BL26" s="8">
        <v>4.4975872102114713E-2</v>
      </c>
      <c r="BM26" s="8">
        <v>2.3954306081863871E-2</v>
      </c>
      <c r="BN26" s="8">
        <v>3.0239101391442601E-2</v>
      </c>
      <c r="BO26" s="8">
        <v>-4.372588759108751E-2</v>
      </c>
      <c r="BP26" s="8">
        <v>2.1889469568198618E-2</v>
      </c>
      <c r="BQ26" s="8">
        <v>8.6274302635084028E-3</v>
      </c>
      <c r="BR26" s="8">
        <v>-1.9192953994658781E-2</v>
      </c>
      <c r="BS26" s="8">
        <v>1.973512988813305E-2</v>
      </c>
      <c r="BT26" s="8">
        <v>4.7694337483699438E-2</v>
      </c>
      <c r="BU26" s="8">
        <v>1.145481680658339E-2</v>
      </c>
      <c r="BV26" s="8">
        <v>4.3228620735213191E-2</v>
      </c>
      <c r="BW26" s="8">
        <v>-4.2747430436922793E-2</v>
      </c>
      <c r="BX26" s="8">
        <v>-1.781129242779457E-2</v>
      </c>
      <c r="BY26" s="8">
        <v>-0.1511530968690756</v>
      </c>
      <c r="BZ26" s="8">
        <v>0.12422400361957529</v>
      </c>
      <c r="CA26" s="8">
        <v>-4.5572538445296431E-3</v>
      </c>
      <c r="CB26" s="8">
        <v>6.0211240204911178E-2</v>
      </c>
      <c r="CC26" s="8">
        <v>8.5992033482502284E-2</v>
      </c>
      <c r="CD26" s="8">
        <v>-5.8084795823660634E-3</v>
      </c>
      <c r="CE26" s="8">
        <v>-6.0413469889680736E-3</v>
      </c>
      <c r="CF26" s="8">
        <v>2.4523243722520739E-3</v>
      </c>
      <c r="CG26" s="8">
        <v>8.963625193702289E-2</v>
      </c>
      <c r="CH26" s="8">
        <v>7.099273252675789E-2</v>
      </c>
      <c r="CI26" s="8">
        <v>2.7170642901783448E-2</v>
      </c>
      <c r="CJ26" s="8">
        <v>5.2468428425330033E-2</v>
      </c>
      <c r="CK26" s="8">
        <v>2.9480660943049509E-2</v>
      </c>
      <c r="CL26" s="8">
        <v>6.6825081060201283E-2</v>
      </c>
      <c r="CM26" s="8">
        <v>-2.8772229019816971E-2</v>
      </c>
      <c r="CN26" s="8">
        <v>3.9462515901637851E-2</v>
      </c>
      <c r="CO26" s="8">
        <v>-2.9031086977359909E-2</v>
      </c>
      <c r="CP26" s="8">
        <v>1.3983882519467901E-2</v>
      </c>
      <c r="CQ26" s="8">
        <v>-3.2276964959333833E-2</v>
      </c>
      <c r="CR26" s="8">
        <v>3.1035766128940231E-3</v>
      </c>
      <c r="CS26" s="8">
        <v>2.5591855767083171E-2</v>
      </c>
      <c r="CT26" s="8">
        <v>4.4391886287193302E-2</v>
      </c>
      <c r="CU26" s="8">
        <v>-3.0338958549577438E-2</v>
      </c>
      <c r="CV26" s="8">
        <v>-1.2579764545717069E-3</v>
      </c>
      <c r="CW26" s="8">
        <v>2.336356455857952E-3</v>
      </c>
      <c r="CX26" s="8">
        <v>-6.4264144925906069E-2</v>
      </c>
      <c r="CY26" s="8">
        <v>1.2909779458992439E-2</v>
      </c>
      <c r="CZ26" s="8">
        <v>-0.12547709467085871</v>
      </c>
      <c r="DA26" s="8">
        <v>1.1690682939792569E-2</v>
      </c>
      <c r="DB26" s="8">
        <v>6.3378437007417512E-3</v>
      </c>
      <c r="DC26" s="8">
        <v>-0.1173053564693855</v>
      </c>
      <c r="DD26" s="8">
        <v>-3.6010872049446613E-2</v>
      </c>
      <c r="DE26" s="8">
        <v>0.1389113040722679</v>
      </c>
      <c r="DF26" s="8">
        <v>-5.1143506226105737E-2</v>
      </c>
      <c r="DG26" s="8">
        <v>7.6731447181969059E-2</v>
      </c>
      <c r="DH26" s="8">
        <v>1.550878219700816E-2</v>
      </c>
      <c r="DI26" s="8">
        <v>2.3223773674755831E-2</v>
      </c>
      <c r="DJ26" s="8">
        <v>-1.8372876361227891E-2</v>
      </c>
      <c r="DK26" s="8">
        <v>6.2199014085099431E-2</v>
      </c>
      <c r="DL26" s="8">
        <v>2.0098304486957191E-2</v>
      </c>
      <c r="DM26" s="8">
        <v>1.349893974806809E-2</v>
      </c>
      <c r="DN26" s="8">
        <v>-3.025221272842088E-2</v>
      </c>
      <c r="DO26" s="8">
        <v>-1.7022835708053841E-2</v>
      </c>
      <c r="DP26" s="8">
        <v>-2.1788523272461981E-2</v>
      </c>
      <c r="DQ26" s="8">
        <v>8.5745624585137223E-2</v>
      </c>
      <c r="DR26" s="8">
        <v>2.8106743604973752E-2</v>
      </c>
      <c r="DS26" s="8">
        <v>-2.3031598073594501E-3</v>
      </c>
      <c r="DT26" s="8">
        <v>5.8471198131487503E-2</v>
      </c>
      <c r="DU26" s="8">
        <v>6.7658949048647651E-2</v>
      </c>
      <c r="DV26" s="8">
        <v>5.0207706404322644E-3</v>
      </c>
      <c r="DW26" s="8">
        <v>3.7416183675207063E-2</v>
      </c>
      <c r="DX26" s="8">
        <v>8.4111003746042121E-2</v>
      </c>
      <c r="DY26" s="8">
        <v>-3.6832398544012837E-2</v>
      </c>
      <c r="DZ26" s="8">
        <v>3.0917028169369942E-3</v>
      </c>
      <c r="EA26" s="8">
        <v>-1.957628214294549E-3</v>
      </c>
      <c r="EB26" s="8">
        <v>2.6459103603519739E-2</v>
      </c>
      <c r="EC26" s="8">
        <v>-2.4752538760690269E-2</v>
      </c>
      <c r="ED26" s="8">
        <v>3.4115490982559941E-2</v>
      </c>
      <c r="EE26" s="8">
        <v>2.1061973989032982E-2</v>
      </c>
      <c r="EF26" s="8">
        <v>-2.0277392706005919E-2</v>
      </c>
      <c r="EG26" s="8">
        <f>AVERAGE(C26:EF26)</f>
        <v>7.3485376145559517E-3</v>
      </c>
      <c r="EH26" s="8">
        <f>STDEV(C26:EF26)</f>
        <v>4.2276369775976368E-2</v>
      </c>
      <c r="EI26" s="8">
        <f>EG26/EH26</f>
        <v>0.17382139605401439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opLeftCell="DX1" zoomScale="173" zoomScaleNormal="90" workbookViewId="0">
      <selection activeCell="DB9" sqref="DB9"/>
    </sheetView>
  </sheetViews>
  <sheetFormatPr baseColWidth="10" defaultColWidth="8.83203125" defaultRowHeight="15"/>
  <sheetData>
    <row r="1" spans="1:138" s="1" customFormat="1">
      <c r="A1" s="2" t="s">
        <v>0</v>
      </c>
    </row>
    <row r="2" spans="1:138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8" s="1" customFormat="1">
      <c r="B3" s="2" t="s">
        <v>136</v>
      </c>
      <c r="C3" s="13">
        <v>5.723077803850174E-2</v>
      </c>
      <c r="D3" s="13">
        <v>7.545451819896698E-2</v>
      </c>
      <c r="E3" s="13">
        <v>5.3419496864080429E-2</v>
      </c>
      <c r="F3" s="13">
        <v>4.8055462539196007E-2</v>
      </c>
      <c r="G3" s="13">
        <v>5.6244600564241409E-2</v>
      </c>
      <c r="H3" s="13">
        <v>5.3408809006214142E-2</v>
      </c>
      <c r="I3" s="13">
        <v>5.4677728563547127E-2</v>
      </c>
      <c r="J3" s="13">
        <v>6.1407111585140228E-2</v>
      </c>
      <c r="K3" s="13">
        <v>6.1087191104888923E-2</v>
      </c>
      <c r="L3" s="13">
        <v>6.1945471912622452E-2</v>
      </c>
      <c r="M3" s="13">
        <v>6.4090974628925323E-2</v>
      </c>
      <c r="N3" s="13">
        <v>5.0166409462690353E-2</v>
      </c>
      <c r="O3" s="13">
        <v>5.0939202308654792E-2</v>
      </c>
      <c r="P3" s="13">
        <v>5.3945809602737427E-2</v>
      </c>
      <c r="Q3" s="13">
        <v>5.463515967130661E-2</v>
      </c>
      <c r="R3" s="13">
        <v>5.4097041487693787E-2</v>
      </c>
      <c r="S3" s="13">
        <v>5.4209418594837189E-2</v>
      </c>
      <c r="T3" s="13">
        <v>5.6115321815013892E-2</v>
      </c>
      <c r="U3" s="13">
        <v>5.4694335907697678E-2</v>
      </c>
      <c r="V3" s="13">
        <v>5.5520310997962952E-2</v>
      </c>
      <c r="W3" s="13">
        <v>5.7895615696907043E-2</v>
      </c>
      <c r="X3" s="13">
        <v>5.6128561496734619E-2</v>
      </c>
      <c r="Y3" s="13">
        <v>5.4498970508575439E-2</v>
      </c>
      <c r="Z3" s="13">
        <v>5.640922486782074E-2</v>
      </c>
      <c r="AA3" s="13">
        <v>5.4687082767486572E-2</v>
      </c>
      <c r="AB3" s="13">
        <v>5.4479975253343582E-2</v>
      </c>
      <c r="AC3" s="13">
        <v>5.7393115013837807E-2</v>
      </c>
      <c r="AD3" s="13">
        <v>5.7433716952800751E-2</v>
      </c>
      <c r="AE3" s="13">
        <v>4.2686142027378082E-2</v>
      </c>
      <c r="AF3" s="13">
        <v>5.614069476723671E-2</v>
      </c>
      <c r="AG3" s="13">
        <v>5.5614285171031952E-2</v>
      </c>
      <c r="AH3" s="13">
        <v>2.0760968327522281E-2</v>
      </c>
      <c r="AI3" s="13">
        <v>2.509923838078976E-2</v>
      </c>
      <c r="AJ3" s="13">
        <v>2.919439785182476E-2</v>
      </c>
      <c r="AK3" s="13">
        <v>3.0455950647592541E-2</v>
      </c>
      <c r="AL3" s="13">
        <v>3.425038605928421E-2</v>
      </c>
      <c r="AM3" s="13">
        <v>3.9540499448776252E-2</v>
      </c>
      <c r="AN3" s="13">
        <v>4.3252840638160713E-2</v>
      </c>
      <c r="AO3" s="13">
        <v>4.4728361070156097E-2</v>
      </c>
      <c r="AP3" s="13">
        <v>4.2892593890428543E-2</v>
      </c>
      <c r="AQ3" s="13">
        <v>4.543033242225647E-2</v>
      </c>
      <c r="AR3" s="13">
        <v>4.4913444668054581E-2</v>
      </c>
      <c r="AS3" s="13">
        <v>4.8380430787801743E-2</v>
      </c>
      <c r="AT3" s="13">
        <v>4.19180728495121E-2</v>
      </c>
      <c r="AU3" s="13">
        <v>4.1785150766372681E-2</v>
      </c>
      <c r="AV3" s="13">
        <v>4.3081630021333688E-2</v>
      </c>
      <c r="AW3" s="13">
        <v>4.6142738312482827E-2</v>
      </c>
      <c r="AX3" s="13">
        <v>4.5525301247835159E-2</v>
      </c>
      <c r="AY3" s="13">
        <v>4.7935985028743737E-2</v>
      </c>
      <c r="AZ3" s="13">
        <v>4.1659116744995117E-2</v>
      </c>
      <c r="BA3" s="13">
        <v>3.8711324334144592E-2</v>
      </c>
      <c r="BB3" s="13">
        <v>3.8947168737649918E-2</v>
      </c>
      <c r="BC3" s="13">
        <v>4.2427822947502143E-2</v>
      </c>
      <c r="BD3" s="13">
        <v>4.4051360338926322E-2</v>
      </c>
      <c r="BE3" s="13">
        <v>4.56375852227211E-2</v>
      </c>
      <c r="BF3" s="13">
        <v>4.8670642077922821E-2</v>
      </c>
      <c r="BG3" s="13">
        <v>4.9968019127845757E-2</v>
      </c>
      <c r="BH3" s="13">
        <v>5.1808405667543411E-2</v>
      </c>
      <c r="BI3" s="13">
        <v>5.0584189593791962E-2</v>
      </c>
      <c r="BJ3" s="13">
        <v>5.2059561014175422E-2</v>
      </c>
      <c r="BK3" s="13">
        <v>5.2372250705957413E-2</v>
      </c>
      <c r="BL3" s="13">
        <v>5.0854671746492393E-2</v>
      </c>
      <c r="BM3" s="13">
        <v>5.2194196730852127E-2</v>
      </c>
      <c r="BN3" s="13">
        <v>5.6162696331739433E-2</v>
      </c>
      <c r="BO3" s="13">
        <v>5.4506797343492508E-2</v>
      </c>
      <c r="BP3" s="13">
        <v>4.0165632963180542E-2</v>
      </c>
      <c r="BQ3" s="13">
        <v>5.2233844995498657E-2</v>
      </c>
      <c r="BR3" s="13">
        <v>3.6525636911392212E-2</v>
      </c>
      <c r="BS3" s="13">
        <v>5.2801784127950668E-2</v>
      </c>
      <c r="BT3" s="13">
        <v>4.8056013882160187E-2</v>
      </c>
      <c r="BU3" s="13">
        <v>-9.9144220352172852E-2</v>
      </c>
      <c r="BV3" s="13">
        <v>5.2249498665332787E-2</v>
      </c>
      <c r="BW3" s="13">
        <v>3.9474610239267349E-2</v>
      </c>
      <c r="BX3" s="13">
        <v>4.7410383820533752E-2</v>
      </c>
      <c r="BY3" s="13">
        <v>4.704391211271286E-2</v>
      </c>
      <c r="BZ3" s="13">
        <v>4.6114489436149597E-2</v>
      </c>
      <c r="CA3" s="13">
        <v>4.2742863297462463E-2</v>
      </c>
      <c r="CB3" s="13">
        <v>3.8489740341901779E-2</v>
      </c>
      <c r="CC3" s="13">
        <v>3.745705634355545E-2</v>
      </c>
      <c r="CD3" s="13">
        <v>3.9794288575649261E-2</v>
      </c>
      <c r="CE3" s="13">
        <v>3.74956876039505E-2</v>
      </c>
      <c r="CF3" s="13">
        <v>2.513935416936874E-2</v>
      </c>
      <c r="CG3" s="13">
        <v>3.5978682339191437E-2</v>
      </c>
      <c r="CH3" s="13">
        <v>3.177894651889801E-2</v>
      </c>
      <c r="CI3" s="13">
        <v>3.4042399376630783E-2</v>
      </c>
      <c r="CJ3" s="13">
        <v>3.8737695664167397E-2</v>
      </c>
      <c r="CK3" s="13">
        <v>3.9908383041620248E-2</v>
      </c>
      <c r="CL3" s="13">
        <v>3.7117619067430503E-2</v>
      </c>
      <c r="CM3" s="13">
        <v>1.7108667641878132E-2</v>
      </c>
      <c r="CN3" s="13">
        <v>4.0649183094501502E-2</v>
      </c>
      <c r="CO3" s="13">
        <v>2.8012029826641079E-2</v>
      </c>
      <c r="CP3" s="13">
        <v>6.033631507307291E-3</v>
      </c>
      <c r="CQ3" s="13">
        <v>3.3265896141529083E-2</v>
      </c>
      <c r="CR3" s="13">
        <v>3.3467646688222892E-2</v>
      </c>
      <c r="CS3" s="13">
        <v>2.295568585395813E-2</v>
      </c>
      <c r="CT3" s="13">
        <v>1.8620189279317859E-2</v>
      </c>
      <c r="CU3" s="13">
        <v>1.673657447099686E-2</v>
      </c>
      <c r="CV3" s="13">
        <v>8.8566392660140991E-3</v>
      </c>
      <c r="CW3" s="13">
        <v>1.8140114843845371E-2</v>
      </c>
      <c r="CX3" s="13">
        <v>2.3012114688754082E-2</v>
      </c>
      <c r="CY3" s="13">
        <v>2.5537870824337009E-2</v>
      </c>
      <c r="CZ3" s="13">
        <v>-1.074089854955673E-2</v>
      </c>
      <c r="DA3" s="13">
        <v>1.7809309065341949E-2</v>
      </c>
      <c r="DB3" s="13">
        <v>3.122199326753616E-2</v>
      </c>
      <c r="DC3" s="13">
        <v>9.9241826683282852E-3</v>
      </c>
      <c r="DD3" s="13">
        <v>3.3772524446249008E-2</v>
      </c>
      <c r="DE3" s="13">
        <v>2.3819208145141602E-2</v>
      </c>
      <c r="DF3" s="13">
        <v>2.5578401982784271E-2</v>
      </c>
      <c r="DG3" s="13">
        <v>1.3096854090690609E-2</v>
      </c>
      <c r="DH3" s="13">
        <v>2.5391291826963421E-2</v>
      </c>
      <c r="DI3" s="13">
        <v>2.3517698049545292E-2</v>
      </c>
      <c r="DJ3" s="13">
        <v>3.1970106065273281E-3</v>
      </c>
      <c r="DK3" s="13">
        <v>6.1636377358809114E-4</v>
      </c>
      <c r="DL3" s="13">
        <v>5.1844632253050804E-3</v>
      </c>
      <c r="DM3" s="13">
        <v>2.578671462833881E-2</v>
      </c>
      <c r="DN3" s="13">
        <v>9.7193727269768715E-3</v>
      </c>
      <c r="DO3" s="13">
        <v>2.619513776153326E-3</v>
      </c>
      <c r="DP3" s="13">
        <v>-4.3171625584363937E-3</v>
      </c>
      <c r="DQ3" s="13">
        <v>2.6535039767622951E-2</v>
      </c>
      <c r="DR3" s="13">
        <v>3.2421927899122238E-2</v>
      </c>
      <c r="DS3" s="13">
        <v>2.6365883648395538E-2</v>
      </c>
      <c r="DT3" s="13">
        <v>1.8022846430540081E-2</v>
      </c>
      <c r="DU3" s="13">
        <v>2.060607448220253E-2</v>
      </c>
      <c r="DV3" s="13">
        <v>2.3552460595965389E-2</v>
      </c>
      <c r="DW3" s="13">
        <v>2.1600417792797089E-2</v>
      </c>
      <c r="DX3" s="13">
        <v>1.422623824328184E-2</v>
      </c>
      <c r="DY3" s="13">
        <v>1.5565707348287111E-2</v>
      </c>
      <c r="DZ3" s="13">
        <v>1.340680755674839E-2</v>
      </c>
      <c r="EA3" s="13">
        <v>4.9481242895126343E-3</v>
      </c>
      <c r="EB3" s="13">
        <v>-1.2768213637173179E-2</v>
      </c>
      <c r="EC3" s="13">
        <v>3.6291155964136117E-2</v>
      </c>
      <c r="ED3" s="13">
        <v>2.4168495088815689E-2</v>
      </c>
      <c r="EE3" s="13">
        <v>2.1592959761619571E-2</v>
      </c>
      <c r="EF3" s="13">
        <v>2.6417184621095661E-2</v>
      </c>
    </row>
    <row r="4" spans="1:138" s="1" customFormat="1">
      <c r="B4" s="2" t="s">
        <v>137</v>
      </c>
      <c r="C4" s="13">
        <v>-8.5349172353744507E-2</v>
      </c>
      <c r="D4" s="13">
        <v>-5.1032040268182748E-2</v>
      </c>
      <c r="E4" s="13">
        <v>-2.3255964741110802E-2</v>
      </c>
      <c r="F4" s="13">
        <v>-3.055583126842976E-2</v>
      </c>
      <c r="G4" s="13">
        <v>-4.1839469224214547E-2</v>
      </c>
      <c r="H4" s="13">
        <v>-2.726390399038792E-2</v>
      </c>
      <c r="I4" s="13">
        <v>-4.8288546502590179E-2</v>
      </c>
      <c r="J4" s="13">
        <v>-3.7313267588615417E-2</v>
      </c>
      <c r="K4" s="13">
        <v>-3.7903524935245507E-2</v>
      </c>
      <c r="L4" s="13">
        <v>-3.7348430603742599E-2</v>
      </c>
      <c r="M4" s="13">
        <v>-3.7616446614265442E-2</v>
      </c>
      <c r="N4" s="13">
        <v>-3.742402046918869E-2</v>
      </c>
      <c r="O4" s="13">
        <v>-3.4556981176137917E-2</v>
      </c>
      <c r="P4" s="13">
        <v>-3.450281172990799E-2</v>
      </c>
      <c r="Q4" s="13">
        <v>-2.779831551015377E-2</v>
      </c>
      <c r="R4" s="13">
        <v>-2.6597736403346062E-2</v>
      </c>
      <c r="S4" s="13">
        <v>-2.858461253345013E-2</v>
      </c>
      <c r="T4" s="13">
        <v>-2.921631932258606E-2</v>
      </c>
      <c r="U4" s="13">
        <v>-2.885173074901104E-2</v>
      </c>
      <c r="V4" s="13">
        <v>-2.8718717396259311E-2</v>
      </c>
      <c r="W4" s="13">
        <v>-2.587226964533329E-2</v>
      </c>
      <c r="X4" s="13">
        <v>-2.8767423704266552E-2</v>
      </c>
      <c r="Y4" s="13">
        <v>-2.8886387124657631E-2</v>
      </c>
      <c r="Z4" s="13">
        <v>-3.020281903445721E-2</v>
      </c>
      <c r="AA4" s="13">
        <v>-2.969782613217831E-2</v>
      </c>
      <c r="AB4" s="13">
        <v>-2.9449734836816791E-2</v>
      </c>
      <c r="AC4" s="13">
        <v>-1.9321048632264141E-2</v>
      </c>
      <c r="AD4" s="13">
        <v>-2.8943898156285289E-2</v>
      </c>
      <c r="AE4" s="13">
        <v>-2.9567476361989972E-2</v>
      </c>
      <c r="AF4" s="13">
        <v>-2.856354787945747E-2</v>
      </c>
      <c r="AG4" s="13">
        <v>-2.832365408539772E-2</v>
      </c>
      <c r="AH4" s="13">
        <v>-2.73332130163908E-2</v>
      </c>
      <c r="AI4" s="13">
        <v>-3.7235941737890237E-2</v>
      </c>
      <c r="AJ4" s="13">
        <v>-3.4088630229234702E-2</v>
      </c>
      <c r="AK4" s="13">
        <v>-2.7424490079283711E-2</v>
      </c>
      <c r="AL4" s="13">
        <v>-2.4591473862528801E-2</v>
      </c>
      <c r="AM4" s="13">
        <v>-2.9777821153402328E-2</v>
      </c>
      <c r="AN4" s="13">
        <v>-3.3753968775272369E-2</v>
      </c>
      <c r="AO4" s="13">
        <v>-3.5720217972993851E-2</v>
      </c>
      <c r="AP4" s="13">
        <v>-1.8044905737042431E-2</v>
      </c>
      <c r="AQ4" s="13">
        <v>-2.374198846518993E-2</v>
      </c>
      <c r="AR4" s="13">
        <v>-3.8850482553243637E-2</v>
      </c>
      <c r="AS4" s="13">
        <v>-0.1345172971487045</v>
      </c>
      <c r="AT4" s="13">
        <v>-2.8492949903011319E-2</v>
      </c>
      <c r="AU4" s="13">
        <v>-3.0869178473949429E-2</v>
      </c>
      <c r="AV4" s="13">
        <v>-3.2064013183116913E-2</v>
      </c>
      <c r="AW4" s="13">
        <v>-2.6232475414872169E-2</v>
      </c>
      <c r="AX4" s="13">
        <v>-2.647383883595467E-2</v>
      </c>
      <c r="AY4" s="13">
        <v>-3.400053083896637E-2</v>
      </c>
      <c r="AZ4" s="13">
        <v>-2.7450913563370701E-2</v>
      </c>
      <c r="BA4" s="13">
        <v>-3.1005732715129849E-2</v>
      </c>
      <c r="BB4" s="13">
        <v>-3.3746343106031418E-2</v>
      </c>
      <c r="BC4" s="13">
        <v>-3.1035987660288811E-2</v>
      </c>
      <c r="BD4" s="13">
        <v>-3.058777749538422E-2</v>
      </c>
      <c r="BE4" s="13">
        <v>-3.2944157719612122E-2</v>
      </c>
      <c r="BF4" s="13">
        <v>-3.123846277594566E-2</v>
      </c>
      <c r="BG4" s="13">
        <v>-3.2052598893642432E-2</v>
      </c>
      <c r="BH4" s="13">
        <v>-3.055793792009354E-2</v>
      </c>
      <c r="BI4" s="13">
        <v>-3.1080937013030049E-2</v>
      </c>
      <c r="BJ4" s="13">
        <v>-3.0351296067237851E-2</v>
      </c>
      <c r="BK4" s="13">
        <v>-3.2760027796030038E-2</v>
      </c>
      <c r="BL4" s="13">
        <v>-3.1334664672613137E-2</v>
      </c>
      <c r="BM4" s="13">
        <v>-3.1740568578243263E-2</v>
      </c>
      <c r="BN4" s="13">
        <v>7.9825639724731445E-2</v>
      </c>
      <c r="BO4" s="13">
        <v>-2.2437060251832008E-2</v>
      </c>
      <c r="BP4" s="13">
        <v>-3.7594955414533622E-2</v>
      </c>
      <c r="BQ4" s="13">
        <v>-3.291790559887886E-2</v>
      </c>
      <c r="BR4" s="13">
        <v>-1.2001144699752331E-2</v>
      </c>
      <c r="BS4" s="13">
        <v>-1.3084841892123221E-2</v>
      </c>
      <c r="BT4" s="13">
        <v>-2.6131108403205872E-2</v>
      </c>
      <c r="BU4" s="13">
        <v>-3.5951588302850723E-2</v>
      </c>
      <c r="BV4" s="13">
        <v>-3.3736389130353928E-2</v>
      </c>
      <c r="BW4" s="13">
        <v>-2.4462303146719929E-2</v>
      </c>
      <c r="BX4" s="13">
        <v>-3.2545313239097602E-2</v>
      </c>
      <c r="BY4" s="13">
        <v>-3.1732853502035141E-2</v>
      </c>
      <c r="BZ4" s="13">
        <v>-3.5243522375822067E-2</v>
      </c>
      <c r="CA4" s="13">
        <v>-3.2394681125879288E-2</v>
      </c>
      <c r="CB4" s="13">
        <v>-2.393621951341629E-2</v>
      </c>
      <c r="CC4" s="13">
        <v>-2.886332385241985E-2</v>
      </c>
      <c r="CD4" s="13">
        <v>-2.6372920721769329E-2</v>
      </c>
      <c r="CE4" s="13">
        <v>-4.0299050509929657E-2</v>
      </c>
      <c r="CF4" s="13">
        <v>-3.2261207699775703E-2</v>
      </c>
      <c r="CG4" s="13">
        <v>-2.9903111979365349E-2</v>
      </c>
      <c r="CH4" s="13">
        <v>-3.120617009699345E-2</v>
      </c>
      <c r="CI4" s="13">
        <v>-3.1554944813251502E-2</v>
      </c>
      <c r="CJ4" s="13">
        <v>-3.2127730548381812E-2</v>
      </c>
      <c r="CK4" s="13">
        <v>-3.1585942953824997E-2</v>
      </c>
      <c r="CL4" s="13">
        <v>-3.109020926058292E-2</v>
      </c>
      <c r="CM4" s="13">
        <v>-3.116690926253796E-2</v>
      </c>
      <c r="CN4" s="13">
        <v>-3.068649023771286E-2</v>
      </c>
      <c r="CO4" s="13">
        <v>-3.051175735890865E-2</v>
      </c>
      <c r="CP4" s="13">
        <v>-3.0179880559444431E-2</v>
      </c>
      <c r="CQ4" s="13">
        <v>-3.0264537781476971E-2</v>
      </c>
      <c r="CR4" s="13">
        <v>-3.0227817595005039E-2</v>
      </c>
      <c r="CS4" s="13">
        <v>-3.038875758647919E-2</v>
      </c>
      <c r="CT4" s="13">
        <v>-2.237749099731445E-2</v>
      </c>
      <c r="CU4" s="13">
        <v>-2.6706485077738758E-2</v>
      </c>
      <c r="CV4" s="13">
        <v>-2.821129746735096E-2</v>
      </c>
      <c r="CW4" s="13">
        <v>-3.3567264676094062E-2</v>
      </c>
      <c r="CX4" s="13">
        <v>-2.7859419584274289E-2</v>
      </c>
      <c r="CY4" s="13">
        <v>-2.30282973498106E-2</v>
      </c>
      <c r="CZ4" s="13">
        <v>-2.6201611384749409E-2</v>
      </c>
      <c r="DA4" s="13">
        <v>-2.9583510011434559E-2</v>
      </c>
      <c r="DB4" s="13">
        <v>-3.3195734024047852E-2</v>
      </c>
      <c r="DC4" s="13">
        <v>-3.1532101333141327E-2</v>
      </c>
      <c r="DD4" s="13">
        <v>-2.9648697003722191E-2</v>
      </c>
      <c r="DE4" s="13">
        <v>-2.8857935220003132E-2</v>
      </c>
      <c r="DF4" s="13">
        <v>-2.8399249538779259E-2</v>
      </c>
      <c r="DG4" s="13">
        <v>-2.6426361873745918E-2</v>
      </c>
      <c r="DH4" s="13">
        <v>-3.0645843595266339E-2</v>
      </c>
      <c r="DI4" s="13">
        <v>-2.9881417751312259E-2</v>
      </c>
      <c r="DJ4" s="13">
        <v>-2.9596960172057148E-2</v>
      </c>
      <c r="DK4" s="13">
        <v>-2.841122634708881E-2</v>
      </c>
      <c r="DL4" s="13">
        <v>-3.0489476397633549E-2</v>
      </c>
      <c r="DM4" s="13">
        <v>-2.7597028762102131E-2</v>
      </c>
      <c r="DN4" s="13">
        <v>-2.8250575065612789E-2</v>
      </c>
      <c r="DO4" s="13">
        <v>-2.7726072818040851E-2</v>
      </c>
      <c r="DP4" s="13">
        <v>-2.715402282774448E-2</v>
      </c>
      <c r="DQ4" s="13">
        <v>-2.6989534497261051E-2</v>
      </c>
      <c r="DR4" s="13">
        <v>-2.888492681086063E-2</v>
      </c>
      <c r="DS4" s="13">
        <v>-2.6225227862596508E-2</v>
      </c>
      <c r="DT4" s="13">
        <v>-0.14326423406600949</v>
      </c>
      <c r="DU4" s="13">
        <v>-4.3057508766651147E-2</v>
      </c>
      <c r="DV4" s="13">
        <v>-3.2543007284402847E-2</v>
      </c>
      <c r="DW4" s="13">
        <v>-2.724632807075977E-2</v>
      </c>
      <c r="DX4" s="13">
        <v>-2.7451477944850922E-2</v>
      </c>
      <c r="DY4" s="13">
        <v>-2.8264472261071209E-2</v>
      </c>
      <c r="DZ4" s="13">
        <v>-2.418005466461182E-2</v>
      </c>
      <c r="EA4" s="13">
        <v>-2.6992777362465858E-2</v>
      </c>
      <c r="EB4" s="13">
        <v>-2.6342380791902539E-2</v>
      </c>
      <c r="EC4" s="13">
        <v>-2.8216563165187839E-2</v>
      </c>
      <c r="ED4" s="13">
        <v>-2.399775572121143E-2</v>
      </c>
      <c r="EE4" s="13">
        <v>-3.5310320556163788E-2</v>
      </c>
      <c r="EF4" s="13">
        <v>-2.9033292084932331E-2</v>
      </c>
    </row>
    <row r="5" spans="1:138" s="1" customFormat="1">
      <c r="B5" s="2" t="s">
        <v>138</v>
      </c>
      <c r="C5" s="13">
        <v>3.8081712555140261E-3</v>
      </c>
      <c r="D5" s="13">
        <v>-5.4777832701802254E-3</v>
      </c>
      <c r="E5" s="13">
        <v>-5.4900660179555416E-3</v>
      </c>
      <c r="F5" s="13">
        <v>-5.114563275128603E-3</v>
      </c>
      <c r="G5" s="13">
        <v>-7.764030247926712E-3</v>
      </c>
      <c r="H5" s="13">
        <v>-7.2011286392807961E-3</v>
      </c>
      <c r="I5" s="13">
        <v>-6.3504916615784168E-3</v>
      </c>
      <c r="J5" s="13">
        <v>-6.4376979134976864E-3</v>
      </c>
      <c r="K5" s="13">
        <v>-7.2753257118165493E-3</v>
      </c>
      <c r="L5" s="13">
        <v>-7.4702142737805843E-3</v>
      </c>
      <c r="M5" s="13">
        <v>-5.9039127081632614E-3</v>
      </c>
      <c r="N5" s="13">
        <v>1.2302654795348641E-2</v>
      </c>
      <c r="O5" s="13">
        <v>2.0934619009494781E-2</v>
      </c>
      <c r="P5" s="13">
        <v>2.7155191637575631E-3</v>
      </c>
      <c r="Q5" s="13">
        <v>3.0463424045592551E-3</v>
      </c>
      <c r="R5" s="13">
        <v>-4.8635075800120831E-3</v>
      </c>
      <c r="S5" s="13">
        <v>-1.6708682524040339E-3</v>
      </c>
      <c r="T5" s="13">
        <v>4.1404878720641136E-3</v>
      </c>
      <c r="U5" s="13">
        <v>2.761553972959518E-3</v>
      </c>
      <c r="V5" s="13">
        <v>-5.1478209206834435E-4</v>
      </c>
      <c r="W5" s="13">
        <v>7.5550959445536137E-4</v>
      </c>
      <c r="X5" s="13">
        <v>-3.1146644614636898E-3</v>
      </c>
      <c r="Y5" s="13">
        <v>-1.131144072860479E-2</v>
      </c>
      <c r="Z5" s="13">
        <v>-2.8005761560052629E-3</v>
      </c>
      <c r="AA5" s="13">
        <v>-8.9693367481231689E-3</v>
      </c>
      <c r="AB5" s="13">
        <v>-8.1666028127074242E-3</v>
      </c>
      <c r="AC5" s="13">
        <v>-1.639714278280735E-2</v>
      </c>
      <c r="AD5" s="13">
        <v>-1.0888714343309401E-2</v>
      </c>
      <c r="AE5" s="13">
        <v>-9.2730158939957619E-3</v>
      </c>
      <c r="AF5" s="13">
        <v>-4.607954528182745E-3</v>
      </c>
      <c r="AG5" s="13">
        <v>-5.8455127291381359E-3</v>
      </c>
      <c r="AH5" s="13">
        <v>-4.9838116392493248E-3</v>
      </c>
      <c r="AI5" s="13">
        <v>-3.626509103924036E-3</v>
      </c>
      <c r="AJ5" s="13">
        <v>-3.818823024630547E-3</v>
      </c>
      <c r="AK5" s="13">
        <v>-4.6545602381229401E-3</v>
      </c>
      <c r="AL5" s="13">
        <v>-5.3977398201823226E-3</v>
      </c>
      <c r="AM5" s="13">
        <v>-6.9995066151022911E-3</v>
      </c>
      <c r="AN5" s="13">
        <v>9.9394354037940502E-4</v>
      </c>
      <c r="AO5" s="13">
        <v>-4.2327293194830418E-3</v>
      </c>
      <c r="AP5" s="13">
        <v>-6.2828082591295242E-3</v>
      </c>
      <c r="AQ5" s="13">
        <v>-2.7964443434029822E-3</v>
      </c>
      <c r="AR5" s="13">
        <v>-3.548022592440248E-3</v>
      </c>
      <c r="AS5" s="13">
        <v>-1.8412303179502489E-3</v>
      </c>
      <c r="AT5" s="13">
        <v>1.7384441569447521E-2</v>
      </c>
      <c r="AU5" s="13">
        <v>-6.634250283241272E-3</v>
      </c>
      <c r="AV5" s="13">
        <v>7.3471954092383376E-3</v>
      </c>
      <c r="AW5" s="13">
        <v>4.724663682281971E-3</v>
      </c>
      <c r="AX5" s="13">
        <v>-1.7786960816010831E-3</v>
      </c>
      <c r="AY5" s="13">
        <v>-9.8629016429185867E-4</v>
      </c>
      <c r="AZ5" s="13">
        <v>1.0417148470878599E-2</v>
      </c>
      <c r="BA5" s="13">
        <v>-1.148949144408107E-3</v>
      </c>
      <c r="BB5" s="13">
        <v>-2.0870927255600691E-3</v>
      </c>
      <c r="BC5" s="13">
        <v>1.336632296442986E-3</v>
      </c>
      <c r="BD5" s="13">
        <v>5.0694281235337257E-3</v>
      </c>
      <c r="BE5" s="13">
        <v>-4.8598065041005611E-3</v>
      </c>
      <c r="BF5" s="13">
        <v>5.1613256800919771E-4</v>
      </c>
      <c r="BG5" s="13">
        <v>-7.0163407362997532E-3</v>
      </c>
      <c r="BH5" s="13">
        <v>-4.1907159611582756E-3</v>
      </c>
      <c r="BI5" s="13">
        <v>3.0854527722112829E-4</v>
      </c>
      <c r="BJ5" s="13">
        <v>-2.9275671113282442E-4</v>
      </c>
      <c r="BK5" s="13">
        <v>-1.1491622775793081E-2</v>
      </c>
      <c r="BL5" s="13">
        <v>-1.2680532410740851E-2</v>
      </c>
      <c r="BM5" s="13">
        <v>-4.4326516799628726E-3</v>
      </c>
      <c r="BN5" s="13">
        <v>-8.944263681769371E-4</v>
      </c>
      <c r="BO5" s="13">
        <v>-4.4179423712193966E-3</v>
      </c>
      <c r="BP5" s="13">
        <v>-8.5916733369231224E-3</v>
      </c>
      <c r="BQ5" s="13">
        <v>-4.4214986264705658E-3</v>
      </c>
      <c r="BR5" s="13">
        <v>1.025303965434432E-3</v>
      </c>
      <c r="BS5" s="13">
        <v>-7.2602357249706984E-4</v>
      </c>
      <c r="BT5" s="13">
        <v>2.21152906306088E-4</v>
      </c>
      <c r="BU5" s="13">
        <v>-4.0715634822845459E-3</v>
      </c>
      <c r="BV5" s="13">
        <v>-1.552917994558811E-3</v>
      </c>
      <c r="BW5" s="13">
        <v>-3.8780455943197012E-3</v>
      </c>
      <c r="BX5" s="13">
        <v>-2.1147832740098238E-3</v>
      </c>
      <c r="BY5" s="13">
        <v>-2.6352899149060249E-3</v>
      </c>
      <c r="BZ5" s="13">
        <v>1.8134823767468331E-3</v>
      </c>
      <c r="CA5" s="13">
        <v>-1.6779374331235889E-2</v>
      </c>
      <c r="CB5" s="13">
        <v>-1.808038167655468E-2</v>
      </c>
      <c r="CC5" s="13">
        <v>-9.0212021023035049E-3</v>
      </c>
      <c r="CD5" s="13">
        <v>-6.0056517831981182E-3</v>
      </c>
      <c r="CE5" s="13">
        <v>4.891709890216589E-3</v>
      </c>
      <c r="CF5" s="13">
        <v>-4.9459007568657398E-3</v>
      </c>
      <c r="CG5" s="13">
        <v>-1.764219487085938E-3</v>
      </c>
      <c r="CH5" s="13">
        <v>-2.2557761985808611E-3</v>
      </c>
      <c r="CI5" s="13">
        <v>-5.7940958067774773E-3</v>
      </c>
      <c r="CJ5" s="13">
        <v>5.3679030388593674E-3</v>
      </c>
      <c r="CK5" s="13">
        <v>-6.5037030726671219E-3</v>
      </c>
      <c r="CL5" s="13">
        <v>-9.2684589326381683E-3</v>
      </c>
      <c r="CM5" s="13">
        <v>3.4533715806901451E-3</v>
      </c>
      <c r="CN5" s="13">
        <v>-1.5305428532883521E-3</v>
      </c>
      <c r="CO5" s="13">
        <v>2.763807307928801E-3</v>
      </c>
      <c r="CP5" s="13">
        <v>-3.0045167077332739E-3</v>
      </c>
      <c r="CQ5" s="13">
        <v>-4.2182006873190403E-3</v>
      </c>
      <c r="CR5" s="13">
        <v>1.238218974322081E-3</v>
      </c>
      <c r="CS5" s="13">
        <v>-5.620910320430994E-3</v>
      </c>
      <c r="CT5" s="13">
        <v>-1.289551146328449E-4</v>
      </c>
      <c r="CU5" s="13">
        <v>-3.5577644594013691E-3</v>
      </c>
      <c r="CV5" s="13">
        <v>-8.8373589096590877E-4</v>
      </c>
      <c r="CW5" s="13">
        <v>-3.7108787801116701E-3</v>
      </c>
      <c r="CX5" s="13">
        <v>-1.892625004984438E-3</v>
      </c>
      <c r="CY5" s="13">
        <v>-2.23894277587533E-3</v>
      </c>
      <c r="CZ5" s="13">
        <v>-2.9421760700643059E-5</v>
      </c>
      <c r="DA5" s="13">
        <v>-1.453497330658138E-3</v>
      </c>
      <c r="DB5" s="13">
        <v>-3.351018531247973E-3</v>
      </c>
      <c r="DC5" s="13">
        <v>-3.9163324981927872E-3</v>
      </c>
      <c r="DD5" s="13">
        <v>-4.7809812240302563E-3</v>
      </c>
      <c r="DE5" s="13">
        <v>-4.4807596132159233E-3</v>
      </c>
      <c r="DF5" s="13">
        <v>-2.3375857621431351E-2</v>
      </c>
      <c r="DG5" s="13">
        <v>-3.9326213300228119E-3</v>
      </c>
      <c r="DH5" s="13">
        <v>-4.3730316683650017E-3</v>
      </c>
      <c r="DI5" s="13">
        <v>-1.565223932266235E-2</v>
      </c>
      <c r="DJ5" s="13">
        <v>6.0370620340108871E-3</v>
      </c>
      <c r="DK5" s="13">
        <v>-8.2938047125935555E-3</v>
      </c>
      <c r="DL5" s="13">
        <v>-4.4081835076212883E-3</v>
      </c>
      <c r="DM5" s="13">
        <v>-4.4374761637300247E-4</v>
      </c>
      <c r="DN5" s="13">
        <v>-3.0054445378482342E-3</v>
      </c>
      <c r="DO5" s="13">
        <v>2.8427736833691601E-3</v>
      </c>
      <c r="DP5" s="13">
        <v>-6.131303496658802E-3</v>
      </c>
      <c r="DQ5" s="13">
        <v>-4.6811853535473347E-3</v>
      </c>
      <c r="DR5" s="13">
        <v>-7.1722459979355344E-3</v>
      </c>
      <c r="DS5" s="13">
        <v>-3.6357224453240629E-3</v>
      </c>
      <c r="DT5" s="13">
        <v>-2.9824208468198782E-4</v>
      </c>
      <c r="DU5" s="13">
        <v>-5.6705139577388763E-3</v>
      </c>
      <c r="DV5" s="13">
        <v>-3.1858636066317558E-3</v>
      </c>
      <c r="DW5" s="13">
        <v>-7.003207691013813E-3</v>
      </c>
      <c r="DX5" s="13">
        <v>-6.6352039575576782E-3</v>
      </c>
      <c r="DY5" s="13">
        <v>-3.2449103891849522E-3</v>
      </c>
      <c r="DZ5" s="13">
        <v>-1.983507070690393E-3</v>
      </c>
      <c r="EA5" s="13">
        <v>-2.5352328084409241E-3</v>
      </c>
      <c r="EB5" s="13">
        <v>-4.4876029714941978E-3</v>
      </c>
      <c r="EC5" s="13">
        <v>-5.3785997442901126E-3</v>
      </c>
      <c r="ED5" s="13">
        <v>-6.4549529924988747E-3</v>
      </c>
      <c r="EE5" s="13">
        <v>-6.2718079425394544E-3</v>
      </c>
      <c r="EF5" s="13">
        <v>-6.1802691780030727E-3</v>
      </c>
    </row>
    <row r="6" spans="1:138" s="1" customFormat="1">
      <c r="A6" s="2" t="s">
        <v>139</v>
      </c>
      <c r="C6" s="13">
        <f t="array" ref="C6">MATCH(MAX(ABS(C3:C5)),ABS(C3:C5),0)</f>
        <v>2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2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2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2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2</v>
      </c>
      <c r="CF6" s="13">
        <f t="array" ref="CF6">MATCH(MAX(ABS(CF3:CF5)),ABS(CF3:CF5),0)</f>
        <v>2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2</v>
      </c>
      <c r="CN6" s="13">
        <f t="array" ref="CN6">MATCH(MAX(ABS(CN3:CN5)),ABS(CN3:CN5),0)</f>
        <v>1</v>
      </c>
      <c r="CO6" s="13">
        <f t="array" ref="CO6">MATCH(MAX(ABS(CO3:CO5)),ABS(CO3:CO5),0)</f>
        <v>2</v>
      </c>
      <c r="CP6" s="13">
        <f t="array" ref="CP6">MATCH(MAX(ABS(CP3:CP5)),ABS(CP3:CP5),0)</f>
        <v>2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2</v>
      </c>
      <c r="CT6" s="13">
        <f t="array" ref="CT6">MATCH(MAX(ABS(CT3:CT5)),ABS(CT3:CT5),0)</f>
        <v>2</v>
      </c>
      <c r="CU6" s="13">
        <f t="array" ref="CU6">MATCH(MAX(ABS(CU3:CU5)),ABS(CU3:CU5),0)</f>
        <v>2</v>
      </c>
      <c r="CV6" s="13">
        <f t="array" ref="CV6">MATCH(MAX(ABS(CV3:CV5)),ABS(CV3:CV5),0)</f>
        <v>2</v>
      </c>
      <c r="CW6" s="13">
        <f t="array" ref="CW6">MATCH(MAX(ABS(CW3:CW5)),ABS(CW3:CW5),0)</f>
        <v>2</v>
      </c>
      <c r="CX6" s="13">
        <f t="array" ref="CX6">MATCH(MAX(ABS(CX3:CX5)),ABS(CX3:CX5),0)</f>
        <v>2</v>
      </c>
      <c r="CY6" s="13">
        <f t="array" ref="CY6">MATCH(MAX(ABS(CY3:CY5)),ABS(CY3:CY5),0)</f>
        <v>1</v>
      </c>
      <c r="CZ6" s="13">
        <f t="array" ref="CZ6">MATCH(MAX(ABS(CZ3:CZ5)),ABS(CZ3:CZ5),0)</f>
        <v>2</v>
      </c>
      <c r="DA6" s="13">
        <f t="array" ref="DA6">MATCH(MAX(ABS(DA3:DA5)),ABS(DA3:DA5),0)</f>
        <v>2</v>
      </c>
      <c r="DB6" s="13">
        <f t="array" ref="DB6">MATCH(MAX(ABS(DB3:DB5)),ABS(DB3:DB5),0)</f>
        <v>2</v>
      </c>
      <c r="DC6" s="13">
        <f t="array" ref="DC6">MATCH(MAX(ABS(DC3:DC5)),ABS(DC3:DC5),0)</f>
        <v>2</v>
      </c>
      <c r="DD6" s="13">
        <f t="array" ref="DD6">MATCH(MAX(ABS(DD3:DD5)),ABS(DD3:DD5),0)</f>
        <v>1</v>
      </c>
      <c r="DE6" s="13">
        <f t="array" ref="DE6">MATCH(MAX(ABS(DE3:DE5)),ABS(DE3:DE5),0)</f>
        <v>2</v>
      </c>
      <c r="DF6" s="13">
        <f t="array" ref="DF6">MATCH(MAX(ABS(DF3:DF5)),ABS(DF3:DF5),0)</f>
        <v>2</v>
      </c>
      <c r="DG6" s="13">
        <f t="array" ref="DG6">MATCH(MAX(ABS(DG3:DG5)),ABS(DG3:DG5),0)</f>
        <v>2</v>
      </c>
      <c r="DH6" s="13">
        <f t="array" ref="DH6">MATCH(MAX(ABS(DH3:DH5)),ABS(DH3:DH5),0)</f>
        <v>2</v>
      </c>
      <c r="DI6" s="13">
        <f t="array" ref="DI6">MATCH(MAX(ABS(DI3:DI5)),ABS(DI3:DI5),0)</f>
        <v>2</v>
      </c>
      <c r="DJ6" s="13">
        <f t="array" ref="DJ6">MATCH(MAX(ABS(DJ3:DJ5)),ABS(DJ3:DJ5),0)</f>
        <v>2</v>
      </c>
      <c r="DK6" s="13">
        <f t="array" ref="DK6">MATCH(MAX(ABS(DK3:DK5)),ABS(DK3:DK5),0)</f>
        <v>2</v>
      </c>
      <c r="DL6" s="13">
        <f t="array" ref="DL6">MATCH(MAX(ABS(DL3:DL5)),ABS(DL3:DL5),0)</f>
        <v>2</v>
      </c>
      <c r="DM6" s="13">
        <f t="array" ref="DM6">MATCH(MAX(ABS(DM3:DM5)),ABS(DM3:DM5),0)</f>
        <v>2</v>
      </c>
      <c r="DN6" s="13">
        <f t="array" ref="DN6">MATCH(MAX(ABS(DN3:DN5)),ABS(DN3:DN5),0)</f>
        <v>2</v>
      </c>
      <c r="DO6" s="13">
        <f t="array" ref="DO6">MATCH(MAX(ABS(DO3:DO5)),ABS(DO3:DO5),0)</f>
        <v>2</v>
      </c>
      <c r="DP6" s="13">
        <f t="array" ref="DP6">MATCH(MAX(ABS(DP3:DP5)),ABS(DP3:DP5),0)</f>
        <v>2</v>
      </c>
      <c r="DQ6" s="13">
        <f t="array" ref="DQ6">MATCH(MAX(ABS(DQ3:DQ5)),ABS(DQ3:DQ5),0)</f>
        <v>2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2</v>
      </c>
      <c r="DU6" s="13">
        <f t="array" ref="DU6">MATCH(MAX(ABS(DU3:DU5)),ABS(DU3:DU5),0)</f>
        <v>2</v>
      </c>
      <c r="DV6" s="13">
        <f t="array" ref="DV6">MATCH(MAX(ABS(DV3:DV5)),ABS(DV3:DV5),0)</f>
        <v>2</v>
      </c>
      <c r="DW6" s="13">
        <f t="array" ref="DW6">MATCH(MAX(ABS(DW3:DW5)),ABS(DW3:DW5),0)</f>
        <v>2</v>
      </c>
      <c r="DX6" s="13">
        <f t="array" ref="DX6">MATCH(MAX(ABS(DX3:DX5)),ABS(DX3:DX5),0)</f>
        <v>2</v>
      </c>
      <c r="DY6" s="13">
        <f t="array" ref="DY6">MATCH(MAX(ABS(DY3:DY5)),ABS(DY3:DY5),0)</f>
        <v>2</v>
      </c>
      <c r="DZ6" s="13">
        <f t="array" ref="DZ6">MATCH(MAX(ABS(DZ3:DZ5)),ABS(DZ3:DZ5),0)</f>
        <v>2</v>
      </c>
      <c r="EA6" s="13">
        <f t="array" ref="EA6">MATCH(MAX(ABS(EA3:EA5)),ABS(EA3:EA5),0)</f>
        <v>2</v>
      </c>
      <c r="EB6" s="13">
        <f t="array" ref="EB6">MATCH(MAX(ABS(EB3:EB5)),ABS(EB3:EB5),0)</f>
        <v>2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2</v>
      </c>
      <c r="EF6" s="13">
        <f t="array" ref="EF6">MATCH(MAX(ABS(EF3:EF5)),ABS(EF3:EF5),0)</f>
        <v>2</v>
      </c>
    </row>
    <row r="7" spans="1:138">
      <c r="C7" s="14" t="str">
        <f t="shared" ref="C7:AH7" si="0">IF(C6=1,"bm",IF(C6=2,"size",IF(C6=3,"mom")))</f>
        <v>size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size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size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size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size</v>
      </c>
      <c r="CF7" s="14" t="str">
        <f t="shared" si="2"/>
        <v>size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size</v>
      </c>
      <c r="CN7" s="14" t="str">
        <f t="shared" si="2"/>
        <v>bm</v>
      </c>
      <c r="CO7" s="14" t="str">
        <f t="shared" si="2"/>
        <v>size</v>
      </c>
      <c r="CP7" s="14" t="str">
        <f t="shared" si="2"/>
        <v>size</v>
      </c>
      <c r="CQ7" s="14" t="str">
        <f t="shared" si="2"/>
        <v>bm</v>
      </c>
      <c r="CR7" s="14" t="str">
        <f t="shared" si="2"/>
        <v>bm</v>
      </c>
      <c r="CS7" s="14" t="str">
        <f t="shared" si="2"/>
        <v>size</v>
      </c>
      <c r="CT7" s="14" t="str">
        <f t="shared" si="2"/>
        <v>size</v>
      </c>
      <c r="CU7" s="14" t="str">
        <f t="shared" ref="CU7:DZ7" si="3">IF(CU6=1,"bm",IF(CU6=2,"size",IF(CU6=3,"mom")))</f>
        <v>size</v>
      </c>
      <c r="CV7" s="14" t="str">
        <f t="shared" si="3"/>
        <v>size</v>
      </c>
      <c r="CW7" s="14" t="str">
        <f t="shared" si="3"/>
        <v>size</v>
      </c>
      <c r="CX7" s="14" t="str">
        <f t="shared" si="3"/>
        <v>size</v>
      </c>
      <c r="CY7" s="14" t="str">
        <f t="shared" si="3"/>
        <v>bm</v>
      </c>
      <c r="CZ7" s="14" t="str">
        <f t="shared" si="3"/>
        <v>size</v>
      </c>
      <c r="DA7" s="14" t="str">
        <f t="shared" si="3"/>
        <v>size</v>
      </c>
      <c r="DB7" s="14" t="str">
        <f t="shared" si="3"/>
        <v>size</v>
      </c>
      <c r="DC7" s="14" t="str">
        <f t="shared" si="3"/>
        <v>size</v>
      </c>
      <c r="DD7" s="14" t="str">
        <f t="shared" si="3"/>
        <v>bm</v>
      </c>
      <c r="DE7" s="14" t="str">
        <f t="shared" si="3"/>
        <v>size</v>
      </c>
      <c r="DF7" s="14" t="str">
        <f t="shared" si="3"/>
        <v>size</v>
      </c>
      <c r="DG7" s="14" t="str">
        <f t="shared" si="3"/>
        <v>size</v>
      </c>
      <c r="DH7" s="14" t="str">
        <f t="shared" si="3"/>
        <v>size</v>
      </c>
      <c r="DI7" s="14" t="str">
        <f t="shared" si="3"/>
        <v>size</v>
      </c>
      <c r="DJ7" s="14" t="str">
        <f t="shared" si="3"/>
        <v>size</v>
      </c>
      <c r="DK7" s="14" t="str">
        <f t="shared" si="3"/>
        <v>size</v>
      </c>
      <c r="DL7" s="14" t="str">
        <f t="shared" si="3"/>
        <v>size</v>
      </c>
      <c r="DM7" s="14" t="str">
        <f t="shared" si="3"/>
        <v>size</v>
      </c>
      <c r="DN7" s="14" t="str">
        <f t="shared" si="3"/>
        <v>size</v>
      </c>
      <c r="DO7" s="14" t="str">
        <f t="shared" si="3"/>
        <v>size</v>
      </c>
      <c r="DP7" s="14" t="str">
        <f t="shared" si="3"/>
        <v>size</v>
      </c>
      <c r="DQ7" s="14" t="str">
        <f t="shared" si="3"/>
        <v>size</v>
      </c>
      <c r="DR7" s="14" t="str">
        <f t="shared" si="3"/>
        <v>bm</v>
      </c>
      <c r="DS7" s="14" t="str">
        <f t="shared" si="3"/>
        <v>bm</v>
      </c>
      <c r="DT7" s="14" t="str">
        <f t="shared" si="3"/>
        <v>size</v>
      </c>
      <c r="DU7" s="14" t="str">
        <f t="shared" si="3"/>
        <v>size</v>
      </c>
      <c r="DV7" s="14" t="str">
        <f t="shared" si="3"/>
        <v>size</v>
      </c>
      <c r="DW7" s="14" t="str">
        <f t="shared" si="3"/>
        <v>size</v>
      </c>
      <c r="DX7" s="14" t="str">
        <f t="shared" si="3"/>
        <v>size</v>
      </c>
      <c r="DY7" s="14" t="str">
        <f t="shared" si="3"/>
        <v>size</v>
      </c>
      <c r="DZ7" s="14" t="str">
        <f t="shared" si="3"/>
        <v>size</v>
      </c>
      <c r="EA7" s="14" t="str">
        <f t="shared" ref="EA7:EF7" si="4">IF(EA6=1,"bm",IF(EA6=2,"size",IF(EA6=3,"mom")))</f>
        <v>size</v>
      </c>
      <c r="EB7" s="14" t="str">
        <f t="shared" si="4"/>
        <v>size</v>
      </c>
      <c r="EC7" s="14" t="str">
        <f t="shared" si="4"/>
        <v>bm</v>
      </c>
      <c r="ED7" s="14" t="str">
        <f t="shared" si="4"/>
        <v>bm</v>
      </c>
      <c r="EE7" s="14" t="str">
        <f t="shared" si="4"/>
        <v>size</v>
      </c>
      <c r="EF7" s="14" t="str">
        <f t="shared" si="4"/>
        <v>size</v>
      </c>
    </row>
    <row r="8" spans="1:138">
      <c r="C8" s="13">
        <f t="shared" ref="C8:AH8" si="5">IF(C6=1,C3,IF(C6=2,C4,IF(C6=3,C5)))</f>
        <v>-8.5349172353744507E-2</v>
      </c>
      <c r="D8" s="13">
        <f t="shared" si="5"/>
        <v>7.545451819896698E-2</v>
      </c>
      <c r="E8" s="13">
        <f t="shared" si="5"/>
        <v>5.3419496864080429E-2</v>
      </c>
      <c r="F8" s="13">
        <f t="shared" si="5"/>
        <v>4.8055462539196007E-2</v>
      </c>
      <c r="G8" s="13">
        <f t="shared" si="5"/>
        <v>5.6244600564241409E-2</v>
      </c>
      <c r="H8" s="13">
        <f t="shared" si="5"/>
        <v>5.3408809006214142E-2</v>
      </c>
      <c r="I8" s="13">
        <f t="shared" si="5"/>
        <v>5.4677728563547127E-2</v>
      </c>
      <c r="J8" s="13">
        <f t="shared" si="5"/>
        <v>6.1407111585140228E-2</v>
      </c>
      <c r="K8" s="13">
        <f t="shared" si="5"/>
        <v>6.1087191104888923E-2</v>
      </c>
      <c r="L8" s="13">
        <f t="shared" si="5"/>
        <v>6.1945471912622452E-2</v>
      </c>
      <c r="M8" s="13">
        <f t="shared" si="5"/>
        <v>6.4090974628925323E-2</v>
      </c>
      <c r="N8" s="13">
        <f t="shared" si="5"/>
        <v>5.0166409462690353E-2</v>
      </c>
      <c r="O8" s="13">
        <f t="shared" si="5"/>
        <v>5.0939202308654792E-2</v>
      </c>
      <c r="P8" s="13">
        <f t="shared" si="5"/>
        <v>5.3945809602737427E-2</v>
      </c>
      <c r="Q8" s="13">
        <f t="shared" si="5"/>
        <v>5.463515967130661E-2</v>
      </c>
      <c r="R8" s="13">
        <f t="shared" si="5"/>
        <v>5.4097041487693787E-2</v>
      </c>
      <c r="S8" s="13">
        <f t="shared" si="5"/>
        <v>5.4209418594837189E-2</v>
      </c>
      <c r="T8" s="13">
        <f t="shared" si="5"/>
        <v>5.6115321815013892E-2</v>
      </c>
      <c r="U8" s="13">
        <f t="shared" si="5"/>
        <v>5.4694335907697678E-2</v>
      </c>
      <c r="V8" s="13">
        <f t="shared" si="5"/>
        <v>5.5520310997962952E-2</v>
      </c>
      <c r="W8" s="13">
        <f t="shared" si="5"/>
        <v>5.7895615696907043E-2</v>
      </c>
      <c r="X8" s="13">
        <f t="shared" si="5"/>
        <v>5.6128561496734619E-2</v>
      </c>
      <c r="Y8" s="13">
        <f t="shared" si="5"/>
        <v>5.4498970508575439E-2</v>
      </c>
      <c r="Z8" s="13">
        <f t="shared" si="5"/>
        <v>5.640922486782074E-2</v>
      </c>
      <c r="AA8" s="13">
        <f t="shared" si="5"/>
        <v>5.4687082767486572E-2</v>
      </c>
      <c r="AB8" s="13">
        <f t="shared" si="5"/>
        <v>5.4479975253343582E-2</v>
      </c>
      <c r="AC8" s="13">
        <f t="shared" si="5"/>
        <v>5.7393115013837807E-2</v>
      </c>
      <c r="AD8" s="13">
        <f t="shared" si="5"/>
        <v>5.7433716952800751E-2</v>
      </c>
      <c r="AE8" s="13">
        <f t="shared" si="5"/>
        <v>4.2686142027378082E-2</v>
      </c>
      <c r="AF8" s="13">
        <f t="shared" si="5"/>
        <v>5.614069476723671E-2</v>
      </c>
      <c r="AG8" s="13">
        <f t="shared" si="5"/>
        <v>5.5614285171031952E-2</v>
      </c>
      <c r="AH8" s="13">
        <f t="shared" si="5"/>
        <v>-2.73332130163908E-2</v>
      </c>
      <c r="AI8" s="13">
        <f t="shared" ref="AI8:BN8" si="6">IF(AI6=1,AI3,IF(AI6=2,AI4,IF(AI6=3,AI5)))</f>
        <v>-3.7235941737890237E-2</v>
      </c>
      <c r="AJ8" s="13">
        <f t="shared" si="6"/>
        <v>-3.4088630229234702E-2</v>
      </c>
      <c r="AK8" s="13">
        <f t="shared" si="6"/>
        <v>3.0455950647592541E-2</v>
      </c>
      <c r="AL8" s="13">
        <f t="shared" si="6"/>
        <v>3.425038605928421E-2</v>
      </c>
      <c r="AM8" s="13">
        <f t="shared" si="6"/>
        <v>3.9540499448776252E-2</v>
      </c>
      <c r="AN8" s="13">
        <f t="shared" si="6"/>
        <v>4.3252840638160713E-2</v>
      </c>
      <c r="AO8" s="13">
        <f t="shared" si="6"/>
        <v>4.4728361070156097E-2</v>
      </c>
      <c r="AP8" s="13">
        <f t="shared" si="6"/>
        <v>4.2892593890428543E-2</v>
      </c>
      <c r="AQ8" s="13">
        <f t="shared" si="6"/>
        <v>4.543033242225647E-2</v>
      </c>
      <c r="AR8" s="13">
        <f t="shared" si="6"/>
        <v>4.4913444668054581E-2</v>
      </c>
      <c r="AS8" s="13">
        <f t="shared" si="6"/>
        <v>-0.1345172971487045</v>
      </c>
      <c r="AT8" s="13">
        <f t="shared" si="6"/>
        <v>4.19180728495121E-2</v>
      </c>
      <c r="AU8" s="13">
        <f t="shared" si="6"/>
        <v>4.1785150766372681E-2</v>
      </c>
      <c r="AV8" s="13">
        <f t="shared" si="6"/>
        <v>4.3081630021333688E-2</v>
      </c>
      <c r="AW8" s="13">
        <f t="shared" si="6"/>
        <v>4.6142738312482827E-2</v>
      </c>
      <c r="AX8" s="13">
        <f t="shared" si="6"/>
        <v>4.5525301247835159E-2</v>
      </c>
      <c r="AY8" s="13">
        <f t="shared" si="6"/>
        <v>4.7935985028743737E-2</v>
      </c>
      <c r="AZ8" s="13">
        <f t="shared" si="6"/>
        <v>4.1659116744995117E-2</v>
      </c>
      <c r="BA8" s="13">
        <f t="shared" si="6"/>
        <v>3.8711324334144592E-2</v>
      </c>
      <c r="BB8" s="13">
        <f t="shared" si="6"/>
        <v>3.8947168737649918E-2</v>
      </c>
      <c r="BC8" s="13">
        <f t="shared" si="6"/>
        <v>4.2427822947502143E-2</v>
      </c>
      <c r="BD8" s="13">
        <f t="shared" si="6"/>
        <v>4.4051360338926322E-2</v>
      </c>
      <c r="BE8" s="13">
        <f t="shared" si="6"/>
        <v>4.56375852227211E-2</v>
      </c>
      <c r="BF8" s="13">
        <f t="shared" si="6"/>
        <v>4.8670642077922821E-2</v>
      </c>
      <c r="BG8" s="13">
        <f t="shared" si="6"/>
        <v>4.9968019127845757E-2</v>
      </c>
      <c r="BH8" s="13">
        <f t="shared" si="6"/>
        <v>5.1808405667543411E-2</v>
      </c>
      <c r="BI8" s="13">
        <f t="shared" si="6"/>
        <v>5.0584189593791962E-2</v>
      </c>
      <c r="BJ8" s="13">
        <f t="shared" si="6"/>
        <v>5.2059561014175422E-2</v>
      </c>
      <c r="BK8" s="13">
        <f t="shared" si="6"/>
        <v>5.2372250705957413E-2</v>
      </c>
      <c r="BL8" s="13">
        <f t="shared" si="6"/>
        <v>5.0854671746492393E-2</v>
      </c>
      <c r="BM8" s="13">
        <f t="shared" si="6"/>
        <v>5.2194196730852127E-2</v>
      </c>
      <c r="BN8" s="13">
        <f t="shared" si="6"/>
        <v>7.9825639724731445E-2</v>
      </c>
      <c r="BO8" s="13">
        <f t="shared" ref="BO8:CT8" si="7">IF(BO6=1,BO3,IF(BO6=2,BO4,IF(BO6=3,BO5)))</f>
        <v>5.4506797343492508E-2</v>
      </c>
      <c r="BP8" s="13">
        <f t="shared" si="7"/>
        <v>4.0165632963180542E-2</v>
      </c>
      <c r="BQ8" s="13">
        <f t="shared" si="7"/>
        <v>5.2233844995498657E-2</v>
      </c>
      <c r="BR8" s="13">
        <f t="shared" si="7"/>
        <v>3.6525636911392212E-2</v>
      </c>
      <c r="BS8" s="13">
        <f t="shared" si="7"/>
        <v>5.2801784127950668E-2</v>
      </c>
      <c r="BT8" s="13">
        <f t="shared" si="7"/>
        <v>4.8056013882160187E-2</v>
      </c>
      <c r="BU8" s="13">
        <f t="shared" si="7"/>
        <v>-9.9144220352172852E-2</v>
      </c>
      <c r="BV8" s="13">
        <f t="shared" si="7"/>
        <v>5.2249498665332787E-2</v>
      </c>
      <c r="BW8" s="13">
        <f t="shared" si="7"/>
        <v>3.9474610239267349E-2</v>
      </c>
      <c r="BX8" s="13">
        <f t="shared" si="7"/>
        <v>4.7410383820533752E-2</v>
      </c>
      <c r="BY8" s="13">
        <f t="shared" si="7"/>
        <v>4.704391211271286E-2</v>
      </c>
      <c r="BZ8" s="13">
        <f t="shared" si="7"/>
        <v>4.6114489436149597E-2</v>
      </c>
      <c r="CA8" s="13">
        <f t="shared" si="7"/>
        <v>4.2742863297462463E-2</v>
      </c>
      <c r="CB8" s="13">
        <f t="shared" si="7"/>
        <v>3.8489740341901779E-2</v>
      </c>
      <c r="CC8" s="13">
        <f t="shared" si="7"/>
        <v>3.745705634355545E-2</v>
      </c>
      <c r="CD8" s="13">
        <f t="shared" si="7"/>
        <v>3.9794288575649261E-2</v>
      </c>
      <c r="CE8" s="13">
        <f t="shared" si="7"/>
        <v>-4.0299050509929657E-2</v>
      </c>
      <c r="CF8" s="13">
        <f t="shared" si="7"/>
        <v>-3.2261207699775703E-2</v>
      </c>
      <c r="CG8" s="13">
        <f t="shared" si="7"/>
        <v>3.5978682339191437E-2</v>
      </c>
      <c r="CH8" s="13">
        <f t="shared" si="7"/>
        <v>3.177894651889801E-2</v>
      </c>
      <c r="CI8" s="13">
        <f t="shared" si="7"/>
        <v>3.4042399376630783E-2</v>
      </c>
      <c r="CJ8" s="13">
        <f t="shared" si="7"/>
        <v>3.8737695664167397E-2</v>
      </c>
      <c r="CK8" s="13">
        <f t="shared" si="7"/>
        <v>3.9908383041620248E-2</v>
      </c>
      <c r="CL8" s="13">
        <f t="shared" si="7"/>
        <v>3.7117619067430503E-2</v>
      </c>
      <c r="CM8" s="13">
        <f t="shared" si="7"/>
        <v>-3.116690926253796E-2</v>
      </c>
      <c r="CN8" s="13">
        <f t="shared" si="7"/>
        <v>4.0649183094501502E-2</v>
      </c>
      <c r="CO8" s="13">
        <f t="shared" si="7"/>
        <v>-3.051175735890865E-2</v>
      </c>
      <c r="CP8" s="13">
        <f t="shared" si="7"/>
        <v>-3.0179880559444431E-2</v>
      </c>
      <c r="CQ8" s="13">
        <f t="shared" si="7"/>
        <v>3.3265896141529083E-2</v>
      </c>
      <c r="CR8" s="13">
        <f t="shared" si="7"/>
        <v>3.3467646688222892E-2</v>
      </c>
      <c r="CS8" s="13">
        <f t="shared" si="7"/>
        <v>-3.038875758647919E-2</v>
      </c>
      <c r="CT8" s="13">
        <f t="shared" si="7"/>
        <v>-2.237749099731445E-2</v>
      </c>
      <c r="CU8" s="13">
        <f t="shared" ref="CU8:DZ8" si="8">IF(CU6=1,CU3,IF(CU6=2,CU4,IF(CU6=3,CU5)))</f>
        <v>-2.6706485077738758E-2</v>
      </c>
      <c r="CV8" s="13">
        <f t="shared" si="8"/>
        <v>-2.821129746735096E-2</v>
      </c>
      <c r="CW8" s="13">
        <f t="shared" si="8"/>
        <v>-3.3567264676094062E-2</v>
      </c>
      <c r="CX8" s="13">
        <f t="shared" si="8"/>
        <v>-2.7859419584274289E-2</v>
      </c>
      <c r="CY8" s="13">
        <f t="shared" si="8"/>
        <v>2.5537870824337009E-2</v>
      </c>
      <c r="CZ8" s="13">
        <f t="shared" si="8"/>
        <v>-2.6201611384749409E-2</v>
      </c>
      <c r="DA8" s="13">
        <f t="shared" si="8"/>
        <v>-2.9583510011434559E-2</v>
      </c>
      <c r="DB8" s="13">
        <f t="shared" si="8"/>
        <v>-3.3195734024047852E-2</v>
      </c>
      <c r="DC8" s="13">
        <f t="shared" si="8"/>
        <v>-3.1532101333141327E-2</v>
      </c>
      <c r="DD8" s="13">
        <f t="shared" si="8"/>
        <v>3.3772524446249008E-2</v>
      </c>
      <c r="DE8" s="13">
        <f t="shared" si="8"/>
        <v>-2.8857935220003132E-2</v>
      </c>
      <c r="DF8" s="13">
        <f t="shared" si="8"/>
        <v>-2.8399249538779259E-2</v>
      </c>
      <c r="DG8" s="13">
        <f t="shared" si="8"/>
        <v>-2.6426361873745918E-2</v>
      </c>
      <c r="DH8" s="13">
        <f t="shared" si="8"/>
        <v>-3.0645843595266339E-2</v>
      </c>
      <c r="DI8" s="13">
        <f t="shared" si="8"/>
        <v>-2.9881417751312259E-2</v>
      </c>
      <c r="DJ8" s="13">
        <f t="shared" si="8"/>
        <v>-2.9596960172057148E-2</v>
      </c>
      <c r="DK8" s="13">
        <f t="shared" si="8"/>
        <v>-2.841122634708881E-2</v>
      </c>
      <c r="DL8" s="13">
        <f t="shared" si="8"/>
        <v>-3.0489476397633549E-2</v>
      </c>
      <c r="DM8" s="13">
        <f t="shared" si="8"/>
        <v>-2.7597028762102131E-2</v>
      </c>
      <c r="DN8" s="13">
        <f t="shared" si="8"/>
        <v>-2.8250575065612789E-2</v>
      </c>
      <c r="DO8" s="13">
        <f t="shared" si="8"/>
        <v>-2.7726072818040851E-2</v>
      </c>
      <c r="DP8" s="13">
        <f t="shared" si="8"/>
        <v>-2.715402282774448E-2</v>
      </c>
      <c r="DQ8" s="13">
        <f t="shared" si="8"/>
        <v>-2.6989534497261051E-2</v>
      </c>
      <c r="DR8" s="13">
        <f t="shared" si="8"/>
        <v>3.2421927899122238E-2</v>
      </c>
      <c r="DS8" s="13">
        <f t="shared" si="8"/>
        <v>2.6365883648395538E-2</v>
      </c>
      <c r="DT8" s="13">
        <f t="shared" si="8"/>
        <v>-0.14326423406600949</v>
      </c>
      <c r="DU8" s="13">
        <f t="shared" si="8"/>
        <v>-4.3057508766651147E-2</v>
      </c>
      <c r="DV8" s="13">
        <f t="shared" si="8"/>
        <v>-3.2543007284402847E-2</v>
      </c>
      <c r="DW8" s="13">
        <f t="shared" si="8"/>
        <v>-2.724632807075977E-2</v>
      </c>
      <c r="DX8" s="13">
        <f t="shared" si="8"/>
        <v>-2.7451477944850922E-2</v>
      </c>
      <c r="DY8" s="13">
        <f t="shared" si="8"/>
        <v>-2.8264472261071209E-2</v>
      </c>
      <c r="DZ8" s="13">
        <f t="shared" si="8"/>
        <v>-2.418005466461182E-2</v>
      </c>
      <c r="EA8" s="13">
        <f t="shared" ref="EA8:EF8" si="9">IF(EA6=1,EA3,IF(EA6=2,EA4,IF(EA6=3,EA5)))</f>
        <v>-2.6992777362465858E-2</v>
      </c>
      <c r="EB8" s="13">
        <f t="shared" si="9"/>
        <v>-2.6342380791902539E-2</v>
      </c>
      <c r="EC8" s="13">
        <f t="shared" si="9"/>
        <v>3.6291155964136117E-2</v>
      </c>
      <c r="ED8" s="13">
        <f t="shared" si="9"/>
        <v>2.4168495088815689E-2</v>
      </c>
      <c r="EE8" s="13">
        <f t="shared" si="9"/>
        <v>-3.5310320556163788E-2</v>
      </c>
      <c r="EF8" s="13">
        <f t="shared" si="9"/>
        <v>-2.9033292084932331E-2</v>
      </c>
    </row>
    <row r="10" spans="1:138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8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144</v>
      </c>
      <c r="EG11" s="6" t="s">
        <v>183</v>
      </c>
      <c r="EH11" s="6" t="s">
        <v>184</v>
      </c>
    </row>
    <row r="12" spans="1:138">
      <c r="A12" s="2">
        <v>10</v>
      </c>
      <c r="B12" s="2">
        <v>96</v>
      </c>
      <c r="C12" s="17">
        <f>IF(預測IC!C12&gt;預測IC!C$26,1,0)</f>
        <v>1</v>
      </c>
      <c r="D12" s="17">
        <f>IF(預測IC!D12&gt;預測IC!D$26,1,0)</f>
        <v>1</v>
      </c>
      <c r="E12" s="17">
        <f>IF(預測IC!E12&gt;預測IC!E$26,1,0)</f>
        <v>0</v>
      </c>
      <c r="F12" s="17">
        <f>IF(預測IC!F12&gt;預測IC!F$26,1,0)</f>
        <v>0</v>
      </c>
      <c r="G12" s="17">
        <f>IF(預測IC!G12&gt;預測IC!G$26,1,0)</f>
        <v>0</v>
      </c>
      <c r="H12" s="17">
        <f>IF(預測IC!H12&gt;預測IC!H$26,1,0)</f>
        <v>0</v>
      </c>
      <c r="I12" s="17">
        <f>IF(預測IC!I12&gt;預測IC!I$26,1,0)</f>
        <v>1</v>
      </c>
      <c r="J12" s="17">
        <f>IF(預測IC!J12&gt;預測IC!J$26,1,0)</f>
        <v>1</v>
      </c>
      <c r="K12" s="17">
        <f>IF(預測IC!K12&gt;預測IC!K$26,1,0)</f>
        <v>1</v>
      </c>
      <c r="L12" s="17">
        <f>IF(預測IC!L12&gt;預測IC!L$26,1,0)</f>
        <v>0</v>
      </c>
      <c r="M12" s="17">
        <f>IF(預測IC!M12&gt;預測IC!M$26,1,0)</f>
        <v>0</v>
      </c>
      <c r="N12" s="17">
        <f>IF(預測IC!N12&gt;預測IC!N$26,1,0)</f>
        <v>1</v>
      </c>
      <c r="O12" s="17">
        <f>IF(預測IC!O12&gt;預測IC!O$26,1,0)</f>
        <v>1</v>
      </c>
      <c r="P12" s="17">
        <f>IF(預測IC!P12&gt;預測IC!P$26,1,0)</f>
        <v>0</v>
      </c>
      <c r="Q12" s="17">
        <f>IF(預測IC!Q12&gt;預測IC!Q$26,1,0)</f>
        <v>0</v>
      </c>
      <c r="R12" s="17">
        <f>IF(預測IC!R12&gt;預測IC!R$26,1,0)</f>
        <v>0</v>
      </c>
      <c r="S12" s="17">
        <f>IF(預測IC!S12&gt;預測IC!S$26,1,0)</f>
        <v>0</v>
      </c>
      <c r="T12" s="17">
        <f>IF(預測IC!T12&gt;預測IC!T$26,1,0)</f>
        <v>0</v>
      </c>
      <c r="U12" s="17">
        <f>IF(預測IC!U12&gt;預測IC!U$26,1,0)</f>
        <v>1</v>
      </c>
      <c r="V12" s="17">
        <f>IF(預測IC!V12&gt;預測IC!V$26,1,0)</f>
        <v>1</v>
      </c>
      <c r="W12" s="17">
        <f>IF(預測IC!W12&gt;預測IC!W$26,1,0)</f>
        <v>1</v>
      </c>
      <c r="X12" s="17">
        <f>IF(預測IC!X12&gt;預測IC!X$26,1,0)</f>
        <v>1</v>
      </c>
      <c r="Y12" s="17">
        <f>IF(預測IC!Y12&gt;預測IC!Y$26,1,0)</f>
        <v>1</v>
      </c>
      <c r="Z12" s="17">
        <f>IF(預測IC!Z12&gt;預測IC!Z$26,1,0)</f>
        <v>1</v>
      </c>
      <c r="AA12" s="17">
        <f>IF(預測IC!AA12&gt;預測IC!AA$26,1,0)</f>
        <v>0</v>
      </c>
      <c r="AB12" s="17">
        <f>IF(預測IC!AB12&gt;預測IC!AB$26,1,0)</f>
        <v>1</v>
      </c>
      <c r="AC12" s="17">
        <f>IF(預測IC!AC12&gt;預測IC!AC$26,1,0)</f>
        <v>0</v>
      </c>
      <c r="AD12" s="17">
        <f>IF(預測IC!AD12&gt;預測IC!AD$26,1,0)</f>
        <v>1</v>
      </c>
      <c r="AE12" s="17">
        <f>IF(預測IC!AE12&gt;預測IC!AE$26,1,0)</f>
        <v>0</v>
      </c>
      <c r="AF12" s="17">
        <f>IF(預測IC!AF12&gt;預測IC!AF$26,1,0)</f>
        <v>1</v>
      </c>
      <c r="AG12" s="17">
        <f>IF(預測IC!AG12&gt;預測IC!AG$26,1,0)</f>
        <v>0</v>
      </c>
      <c r="AH12" s="17">
        <f>IF(預測IC!AH12&gt;預測IC!AH$26,1,0)</f>
        <v>1</v>
      </c>
      <c r="AI12" s="17">
        <f>IF(預測IC!AI12&gt;預測IC!AI$26,1,0)</f>
        <v>1</v>
      </c>
      <c r="AJ12" s="17">
        <f>IF(預測IC!AJ12&gt;預測IC!AJ$26,1,0)</f>
        <v>1</v>
      </c>
      <c r="AK12" s="17">
        <f>IF(預測IC!AK12&gt;預測IC!AK$26,1,0)</f>
        <v>1</v>
      </c>
      <c r="AL12" s="17">
        <f>IF(預測IC!AL12&gt;預測IC!AL$26,1,0)</f>
        <v>1</v>
      </c>
      <c r="AM12" s="17">
        <f>IF(預測IC!AM12&gt;預測IC!AM$26,1,0)</f>
        <v>1</v>
      </c>
      <c r="AN12" s="17">
        <f>IF(預測IC!AN12&gt;預測IC!AN$26,1,0)</f>
        <v>1</v>
      </c>
      <c r="AO12" s="17">
        <f>IF(預測IC!AO12&gt;預測IC!AO$26,1,0)</f>
        <v>0</v>
      </c>
      <c r="AP12" s="17">
        <f>IF(預測IC!AP12&gt;預測IC!AP$26,1,0)</f>
        <v>0</v>
      </c>
      <c r="AQ12" s="17">
        <f>IF(預測IC!AQ12&gt;預測IC!AQ$26,1,0)</f>
        <v>0</v>
      </c>
      <c r="AR12" s="17">
        <f>IF(預測IC!AR12&gt;預測IC!AR$26,1,0)</f>
        <v>0</v>
      </c>
      <c r="AS12" s="17">
        <f>IF(預測IC!AS12&gt;預測IC!AS$26,1,0)</f>
        <v>0</v>
      </c>
      <c r="AT12" s="17">
        <f>IF(預測IC!AT12&gt;預測IC!AT$26,1,0)</f>
        <v>0</v>
      </c>
      <c r="AU12" s="17">
        <f>IF(預測IC!AU12&gt;預測IC!AU$26,1,0)</f>
        <v>1</v>
      </c>
      <c r="AV12" s="17">
        <f>IF(預測IC!AV12&gt;預測IC!AV$26,1,0)</f>
        <v>0</v>
      </c>
      <c r="AW12" s="17">
        <f>IF(預測IC!AW12&gt;預測IC!AW$26,1,0)</f>
        <v>1</v>
      </c>
      <c r="AX12" s="17">
        <f>IF(預測IC!AX12&gt;預測IC!AX$26,1,0)</f>
        <v>1</v>
      </c>
      <c r="AY12" s="17">
        <f>IF(預測IC!AY12&gt;預測IC!AY$26,1,0)</f>
        <v>0</v>
      </c>
      <c r="AZ12" s="17">
        <f>IF(預測IC!AZ12&gt;預測IC!AZ$26,1,0)</f>
        <v>1</v>
      </c>
      <c r="BA12" s="17">
        <f>IF(預測IC!BA12&gt;預測IC!BA$26,1,0)</f>
        <v>0</v>
      </c>
      <c r="BB12" s="17">
        <f>IF(預測IC!BB12&gt;預測IC!BB$26,1,0)</f>
        <v>1</v>
      </c>
      <c r="BC12" s="17">
        <f>IF(預測IC!BC12&gt;預測IC!BC$26,1,0)</f>
        <v>0</v>
      </c>
      <c r="BD12" s="17">
        <f>IF(預測IC!BD12&gt;預測IC!BD$26,1,0)</f>
        <v>1</v>
      </c>
      <c r="BE12" s="17">
        <f>IF(預測IC!BE12&gt;預測IC!BE$26,1,0)</f>
        <v>0</v>
      </c>
      <c r="BF12" s="17">
        <f>IF(預測IC!BF12&gt;預測IC!BF$26,1,0)</f>
        <v>1</v>
      </c>
      <c r="BG12" s="17">
        <f>IF(預測IC!BG12&gt;預測IC!BG$26,1,0)</f>
        <v>1</v>
      </c>
      <c r="BH12" s="17">
        <f>IF(預測IC!BH12&gt;預測IC!BH$26,1,0)</f>
        <v>1</v>
      </c>
      <c r="BI12" s="17">
        <f>IF(預測IC!BI12&gt;預測IC!BI$26,1,0)</f>
        <v>1</v>
      </c>
      <c r="BJ12" s="17">
        <f>IF(預測IC!BJ12&gt;預測IC!BJ$26,1,0)</f>
        <v>1</v>
      </c>
      <c r="BK12" s="17">
        <f>IF(預測IC!BK12&gt;預測IC!BK$26,1,0)</f>
        <v>0</v>
      </c>
      <c r="BL12" s="17">
        <f>IF(預測IC!BL12&gt;預測IC!BL$26,1,0)</f>
        <v>0</v>
      </c>
      <c r="BM12" s="17">
        <f>IF(預測IC!BM12&gt;預測IC!BM$26,1,0)</f>
        <v>0</v>
      </c>
      <c r="BN12" s="17">
        <f>IF(預測IC!BN12&gt;預測IC!BN$26,1,0)</f>
        <v>0</v>
      </c>
      <c r="BO12" s="17">
        <f>IF(預測IC!BO12&gt;預測IC!BO$26,1,0)</f>
        <v>1</v>
      </c>
      <c r="BP12" s="17">
        <f>IF(預測IC!BP12&gt;預測IC!BP$26,1,0)</f>
        <v>0</v>
      </c>
      <c r="BQ12" s="17">
        <f>IF(預測IC!BQ12&gt;預測IC!BQ$26,1,0)</f>
        <v>1</v>
      </c>
      <c r="BR12" s="17">
        <f>IF(預測IC!BR12&gt;預測IC!BR$26,1,0)</f>
        <v>1</v>
      </c>
      <c r="BS12" s="17">
        <f>IF(預測IC!BS12&gt;預測IC!BS$26,1,0)</f>
        <v>0</v>
      </c>
      <c r="BT12" s="17">
        <f>IF(預測IC!BT12&gt;預測IC!BT$26,1,0)</f>
        <v>0</v>
      </c>
      <c r="BU12" s="17">
        <f>IF(預測IC!BU12&gt;預測IC!BU$26,1,0)</f>
        <v>0</v>
      </c>
      <c r="BV12" s="17">
        <f>IF(預測IC!BV12&gt;預測IC!BV$26,1,0)</f>
        <v>0</v>
      </c>
      <c r="BW12" s="17">
        <f>IF(預測IC!BW12&gt;預測IC!BW$26,1,0)</f>
        <v>1</v>
      </c>
      <c r="BX12" s="17">
        <f>IF(預測IC!BX12&gt;預測IC!BX$26,1,0)</f>
        <v>1</v>
      </c>
      <c r="BY12" s="17">
        <f>IF(預測IC!BY12&gt;預測IC!BY$26,1,0)</f>
        <v>1</v>
      </c>
      <c r="BZ12" s="17">
        <f>IF(預測IC!BZ12&gt;預測IC!BZ$26,1,0)</f>
        <v>0</v>
      </c>
      <c r="CA12" s="17">
        <f>IF(預測IC!CA12&gt;預測IC!CA$26,1,0)</f>
        <v>0</v>
      </c>
      <c r="CB12" s="17">
        <f>IF(預測IC!CB12&gt;預測IC!CB$26,1,0)</f>
        <v>0</v>
      </c>
      <c r="CC12" s="17">
        <f>IF(預測IC!CC12&gt;預測IC!CC$26,1,0)</f>
        <v>0</v>
      </c>
      <c r="CD12" s="17">
        <f>IF(預測IC!CD12&gt;預測IC!CD$26,1,0)</f>
        <v>1</v>
      </c>
      <c r="CE12" s="17">
        <f>IF(預測IC!CE12&gt;預測IC!CE$26,1,0)</f>
        <v>1</v>
      </c>
      <c r="CF12" s="17">
        <f>IF(預測IC!CF12&gt;預測IC!CF$26,1,0)</f>
        <v>1</v>
      </c>
      <c r="CG12" s="17">
        <f>IF(預測IC!CG12&gt;預測IC!CG$26,1,0)</f>
        <v>0</v>
      </c>
      <c r="CH12" s="17">
        <f>IF(預測IC!CH12&gt;預測IC!CH$26,1,0)</f>
        <v>0</v>
      </c>
      <c r="CI12" s="17">
        <f>IF(預測IC!CI12&gt;預測IC!CI$26,1,0)</f>
        <v>0</v>
      </c>
      <c r="CJ12" s="17">
        <f>IF(預測IC!CJ12&gt;預測IC!CJ$26,1,0)</f>
        <v>0</v>
      </c>
      <c r="CK12" s="17">
        <f>IF(預測IC!CK12&gt;預測IC!CK$26,1,0)</f>
        <v>0</v>
      </c>
      <c r="CL12" s="17">
        <f>IF(預測IC!CL12&gt;預測IC!CL$26,1,0)</f>
        <v>1</v>
      </c>
      <c r="CM12" s="17">
        <f>IF(預測IC!CM12&gt;預測IC!CM$26,1,0)</f>
        <v>0</v>
      </c>
      <c r="CN12" s="17">
        <f>IF(預測IC!CN12&gt;預測IC!CN$26,1,0)</f>
        <v>0</v>
      </c>
      <c r="CO12" s="17">
        <f>IF(預測IC!CO12&gt;預測IC!CO$26,1,0)</f>
        <v>1</v>
      </c>
      <c r="CP12" s="17">
        <f>IF(預測IC!CP12&gt;預測IC!CP$26,1,0)</f>
        <v>0</v>
      </c>
      <c r="CQ12" s="17">
        <f>IF(預測IC!CQ12&gt;預測IC!CQ$26,1,0)</f>
        <v>1</v>
      </c>
      <c r="CR12" s="17">
        <f>IF(預測IC!CR12&gt;預測IC!CR$26,1,0)</f>
        <v>0</v>
      </c>
      <c r="CS12" s="17">
        <f>IF(預測IC!CS12&gt;預測IC!CS$26,1,0)</f>
        <v>0</v>
      </c>
      <c r="CT12" s="17">
        <f>IF(預測IC!CT12&gt;預測IC!CT$26,1,0)</f>
        <v>0</v>
      </c>
      <c r="CU12" s="17">
        <f>IF(預測IC!CU12&gt;預測IC!CU$26,1,0)</f>
        <v>1</v>
      </c>
      <c r="CV12" s="17">
        <f>IF(預測IC!CV12&gt;預測IC!CV$26,1,0)</f>
        <v>1</v>
      </c>
      <c r="CW12" s="17">
        <f>IF(預測IC!CW12&gt;預測IC!CW$26,1,0)</f>
        <v>1</v>
      </c>
      <c r="CX12" s="17">
        <f>IF(預測IC!CX12&gt;預測IC!CX$26,1,0)</f>
        <v>1</v>
      </c>
      <c r="CY12" s="17">
        <f>IF(預測IC!CY12&gt;預測IC!CY$26,1,0)</f>
        <v>0</v>
      </c>
      <c r="CZ12" s="17">
        <f>IF(預測IC!CZ12&gt;預測IC!CZ$26,1,0)</f>
        <v>1</v>
      </c>
      <c r="DA12" s="17">
        <f>IF(預測IC!DA12&gt;預測IC!DA$26,1,0)</f>
        <v>1</v>
      </c>
      <c r="DB12" s="17">
        <f>IF(預測IC!DB12&gt;預測IC!DB$26,1,0)</f>
        <v>1</v>
      </c>
      <c r="DC12" s="17">
        <f>IF(預測IC!DC12&gt;預測IC!DC$26,1,0)</f>
        <v>1</v>
      </c>
      <c r="DD12" s="17">
        <f>IF(預測IC!DD12&gt;預測IC!DD$26,1,0)</f>
        <v>1</v>
      </c>
      <c r="DE12" s="17">
        <f>IF(預測IC!DE12&gt;預測IC!DE$26,1,0)</f>
        <v>0</v>
      </c>
      <c r="DF12" s="17">
        <f>IF(預測IC!DF12&gt;預測IC!DF$26,1,0)</f>
        <v>1</v>
      </c>
      <c r="DG12" s="17">
        <f>IF(預測IC!DG12&gt;預測IC!DG$26,1,0)</f>
        <v>0</v>
      </c>
      <c r="DH12" s="17">
        <f>IF(預測IC!DH12&gt;預測IC!DH$26,1,0)</f>
        <v>1</v>
      </c>
      <c r="DI12" s="17">
        <f>IF(預測IC!DI12&gt;預測IC!DI$26,1,0)</f>
        <v>1</v>
      </c>
      <c r="DJ12" s="17">
        <f>IF(預測IC!DJ12&gt;預測IC!DJ$26,1,0)</f>
        <v>1</v>
      </c>
      <c r="DK12" s="17">
        <f>IF(預測IC!DK12&gt;預測IC!DK$26,1,0)</f>
        <v>0</v>
      </c>
      <c r="DL12" s="17">
        <f>IF(預測IC!DL12&gt;預測IC!DL$26,1,0)</f>
        <v>0</v>
      </c>
      <c r="DM12" s="17">
        <f>IF(預測IC!DM12&gt;預測IC!DM$26,1,0)</f>
        <v>0</v>
      </c>
      <c r="DN12" s="17">
        <f>IF(預測IC!DN12&gt;預測IC!DN$26,1,0)</f>
        <v>1</v>
      </c>
      <c r="DO12" s="17">
        <f>IF(預測IC!DO12&gt;預測IC!DO$26,1,0)</f>
        <v>1</v>
      </c>
      <c r="DP12" s="17">
        <f>IF(預測IC!DP12&gt;預測IC!DP$26,1,0)</f>
        <v>1</v>
      </c>
      <c r="DQ12" s="17">
        <f>IF(預測IC!DQ12&gt;預測IC!DQ$26,1,0)</f>
        <v>0</v>
      </c>
      <c r="DR12" s="17">
        <f>IF(預測IC!DR12&gt;預測IC!DR$26,1,0)</f>
        <v>0</v>
      </c>
      <c r="DS12" s="17">
        <f>IF(預測IC!DS12&gt;預測IC!DS$26,1,0)</f>
        <v>0</v>
      </c>
      <c r="DT12" s="17">
        <f>IF(預測IC!DT12&gt;預測IC!DT$26,1,0)</f>
        <v>0</v>
      </c>
      <c r="DU12" s="17">
        <f>IF(預測IC!DU12&gt;預測IC!DU$26,1,0)</f>
        <v>0</v>
      </c>
      <c r="DV12" s="17">
        <f>IF(預測IC!DV12&gt;預測IC!DV$26,1,0)</f>
        <v>1</v>
      </c>
      <c r="DW12" s="17">
        <f>IF(預測IC!DW12&gt;預測IC!DW$26,1,0)</f>
        <v>1</v>
      </c>
      <c r="DX12" s="17">
        <f>IF(預測IC!DX12&gt;預測IC!DX$26,1,0)</f>
        <v>0</v>
      </c>
      <c r="DY12" s="17">
        <f>IF(預測IC!DY12&gt;預測IC!DY$26,1,0)</f>
        <v>1</v>
      </c>
      <c r="DZ12" s="17">
        <f>IF(預測IC!DZ12&gt;預測IC!DZ$26,1,0)</f>
        <v>1</v>
      </c>
      <c r="EA12" s="17">
        <f>IF(預測IC!EA12&gt;預測IC!EA$26,1,0)</f>
        <v>1</v>
      </c>
      <c r="EB12" s="17">
        <f>IF(預測IC!EB12&gt;預測IC!EB$26,1,0)</f>
        <v>0</v>
      </c>
      <c r="EC12" s="17">
        <f>IF(預測IC!EC12&gt;預測IC!EC$26,1,0)</f>
        <v>1</v>
      </c>
      <c r="ED12" s="17">
        <f>IF(預測IC!ED12&gt;預測IC!ED$26,1,0)</f>
        <v>0</v>
      </c>
      <c r="EE12" s="17">
        <f>IF(預測IC!EE12&gt;預測IC!EE$26,1,0)</f>
        <v>0</v>
      </c>
      <c r="EF12" s="17">
        <f>IF(預測IC!EF12&gt;預測IC!EF$26,1,0)</f>
        <v>1</v>
      </c>
      <c r="EG12">
        <f t="shared" ref="EG12:EG24" si="10">SUM(C12:EF12)</f>
        <v>69</v>
      </c>
      <c r="EH12" s="11">
        <f t="shared" ref="EH12:EH24" si="11">SUM(C12:EF12)/134</f>
        <v>0.5149253731343284</v>
      </c>
    </row>
    <row r="13" spans="1:138">
      <c r="A13" s="2">
        <v>20</v>
      </c>
      <c r="B13" s="2">
        <v>48</v>
      </c>
      <c r="C13" s="17">
        <f>IF(預測IC!C13&gt;預測IC!C$26,1,0)</f>
        <v>1</v>
      </c>
      <c r="D13" s="17">
        <f>IF(預測IC!D13&gt;預測IC!D$26,1,0)</f>
        <v>1</v>
      </c>
      <c r="E13" s="17">
        <f>IF(預測IC!E13&gt;預測IC!E$26,1,0)</f>
        <v>0</v>
      </c>
      <c r="F13" s="17">
        <f>IF(預測IC!F13&gt;預測IC!F$26,1,0)</f>
        <v>0</v>
      </c>
      <c r="G13" s="17">
        <f>IF(預測IC!G13&gt;預測IC!G$26,1,0)</f>
        <v>0</v>
      </c>
      <c r="H13" s="17">
        <f>IF(預測IC!H13&gt;預測IC!H$26,1,0)</f>
        <v>0</v>
      </c>
      <c r="I13" s="17">
        <f>IF(預測IC!I13&gt;預測IC!I$26,1,0)</f>
        <v>1</v>
      </c>
      <c r="J13" s="17">
        <f>IF(預測IC!J13&gt;預測IC!J$26,1,0)</f>
        <v>1</v>
      </c>
      <c r="K13" s="17">
        <f>IF(預測IC!K13&gt;預測IC!K$26,1,0)</f>
        <v>1</v>
      </c>
      <c r="L13" s="17">
        <f>IF(預測IC!L13&gt;預測IC!L$26,1,0)</f>
        <v>0</v>
      </c>
      <c r="M13" s="17">
        <f>IF(預測IC!M13&gt;預測IC!M$26,1,0)</f>
        <v>0</v>
      </c>
      <c r="N13" s="17">
        <f>IF(預測IC!N13&gt;預測IC!N$26,1,0)</f>
        <v>1</v>
      </c>
      <c r="O13" s="17">
        <f>IF(預測IC!O13&gt;預測IC!O$26,1,0)</f>
        <v>1</v>
      </c>
      <c r="P13" s="17">
        <f>IF(預測IC!P13&gt;預測IC!P$26,1,0)</f>
        <v>0</v>
      </c>
      <c r="Q13" s="17">
        <f>IF(預測IC!Q13&gt;預測IC!Q$26,1,0)</f>
        <v>0</v>
      </c>
      <c r="R13" s="17">
        <f>IF(預測IC!R13&gt;預測IC!R$26,1,0)</f>
        <v>0</v>
      </c>
      <c r="S13" s="17">
        <f>IF(預測IC!S13&gt;預測IC!S$26,1,0)</f>
        <v>0</v>
      </c>
      <c r="T13" s="17">
        <f>IF(預測IC!T13&gt;預測IC!T$26,1,0)</f>
        <v>0</v>
      </c>
      <c r="U13" s="17">
        <f>IF(預測IC!U13&gt;預測IC!U$26,1,0)</f>
        <v>1</v>
      </c>
      <c r="V13" s="17">
        <f>IF(預測IC!V13&gt;預測IC!V$26,1,0)</f>
        <v>1</v>
      </c>
      <c r="W13" s="17">
        <f>IF(預測IC!W13&gt;預測IC!W$26,1,0)</f>
        <v>1</v>
      </c>
      <c r="X13" s="17">
        <f>IF(預測IC!X13&gt;預測IC!X$26,1,0)</f>
        <v>1</v>
      </c>
      <c r="Y13" s="17">
        <f>IF(預測IC!Y13&gt;預測IC!Y$26,1,0)</f>
        <v>1</v>
      </c>
      <c r="Z13" s="17">
        <f>IF(預測IC!Z13&gt;預測IC!Z$26,1,0)</f>
        <v>1</v>
      </c>
      <c r="AA13" s="17">
        <f>IF(預測IC!AA13&gt;預測IC!AA$26,1,0)</f>
        <v>0</v>
      </c>
      <c r="AB13" s="17">
        <f>IF(預測IC!AB13&gt;預測IC!AB$26,1,0)</f>
        <v>1</v>
      </c>
      <c r="AC13" s="17">
        <f>IF(預測IC!AC13&gt;預測IC!AC$26,1,0)</f>
        <v>0</v>
      </c>
      <c r="AD13" s="17">
        <f>IF(預測IC!AD13&gt;預測IC!AD$26,1,0)</f>
        <v>1</v>
      </c>
      <c r="AE13" s="17">
        <f>IF(預測IC!AE13&gt;預測IC!AE$26,1,0)</f>
        <v>0</v>
      </c>
      <c r="AF13" s="17">
        <f>IF(預測IC!AF13&gt;預測IC!AF$26,1,0)</f>
        <v>1</v>
      </c>
      <c r="AG13" s="17">
        <f>IF(預測IC!AG13&gt;預測IC!AG$26,1,0)</f>
        <v>0</v>
      </c>
      <c r="AH13" s="17">
        <f>IF(預測IC!AH13&gt;預測IC!AH$26,1,0)</f>
        <v>1</v>
      </c>
      <c r="AI13" s="17">
        <f>IF(預測IC!AI13&gt;預測IC!AI$26,1,0)</f>
        <v>1</v>
      </c>
      <c r="AJ13" s="17">
        <f>IF(預測IC!AJ13&gt;預測IC!AJ$26,1,0)</f>
        <v>1</v>
      </c>
      <c r="AK13" s="17">
        <f>IF(預測IC!AK13&gt;預測IC!AK$26,1,0)</f>
        <v>1</v>
      </c>
      <c r="AL13" s="17">
        <f>IF(預測IC!AL13&gt;預測IC!AL$26,1,0)</f>
        <v>1</v>
      </c>
      <c r="AM13" s="17">
        <f>IF(預測IC!AM13&gt;預測IC!AM$26,1,0)</f>
        <v>1</v>
      </c>
      <c r="AN13" s="17">
        <f>IF(預測IC!AN13&gt;預測IC!AN$26,1,0)</f>
        <v>1</v>
      </c>
      <c r="AO13" s="17">
        <f>IF(預測IC!AO13&gt;預測IC!AO$26,1,0)</f>
        <v>1</v>
      </c>
      <c r="AP13" s="17">
        <f>IF(預測IC!AP13&gt;預測IC!AP$26,1,0)</f>
        <v>0</v>
      </c>
      <c r="AQ13" s="17">
        <f>IF(預測IC!AQ13&gt;預測IC!AQ$26,1,0)</f>
        <v>0</v>
      </c>
      <c r="AR13" s="17">
        <f>IF(預測IC!AR13&gt;預測IC!AR$26,1,0)</f>
        <v>0</v>
      </c>
      <c r="AS13" s="17">
        <f>IF(預測IC!AS13&gt;預測IC!AS$26,1,0)</f>
        <v>0</v>
      </c>
      <c r="AT13" s="17">
        <f>IF(預測IC!AT13&gt;預測IC!AT$26,1,0)</f>
        <v>1</v>
      </c>
      <c r="AU13" s="17">
        <f>IF(預測IC!AU13&gt;預測IC!AU$26,1,0)</f>
        <v>1</v>
      </c>
      <c r="AV13" s="17">
        <f>IF(預測IC!AV13&gt;預測IC!AV$26,1,0)</f>
        <v>0</v>
      </c>
      <c r="AW13" s="17">
        <f>IF(預測IC!AW13&gt;預測IC!AW$26,1,0)</f>
        <v>1</v>
      </c>
      <c r="AX13" s="17">
        <f>IF(預測IC!AX13&gt;預測IC!AX$26,1,0)</f>
        <v>1</v>
      </c>
      <c r="AY13" s="17">
        <f>IF(預測IC!AY13&gt;預測IC!AY$26,1,0)</f>
        <v>0</v>
      </c>
      <c r="AZ13" s="17">
        <f>IF(預測IC!AZ13&gt;預測IC!AZ$26,1,0)</f>
        <v>1</v>
      </c>
      <c r="BA13" s="17">
        <f>IF(預測IC!BA13&gt;預測IC!BA$26,1,0)</f>
        <v>0</v>
      </c>
      <c r="BB13" s="17">
        <f>IF(預測IC!BB13&gt;預測IC!BB$26,1,0)</f>
        <v>1</v>
      </c>
      <c r="BC13" s="17">
        <f>IF(預測IC!BC13&gt;預測IC!BC$26,1,0)</f>
        <v>0</v>
      </c>
      <c r="BD13" s="17">
        <f>IF(預測IC!BD13&gt;預測IC!BD$26,1,0)</f>
        <v>1</v>
      </c>
      <c r="BE13" s="17">
        <f>IF(預測IC!BE13&gt;預測IC!BE$26,1,0)</f>
        <v>1</v>
      </c>
      <c r="BF13" s="17">
        <f>IF(預測IC!BF13&gt;預測IC!BF$26,1,0)</f>
        <v>1</v>
      </c>
      <c r="BG13" s="17">
        <f>IF(預測IC!BG13&gt;預測IC!BG$26,1,0)</f>
        <v>1</v>
      </c>
      <c r="BH13" s="17">
        <f>IF(預測IC!BH13&gt;預測IC!BH$26,1,0)</f>
        <v>1</v>
      </c>
      <c r="BI13" s="17">
        <f>IF(預測IC!BI13&gt;預測IC!BI$26,1,0)</f>
        <v>1</v>
      </c>
      <c r="BJ13" s="17">
        <f>IF(預測IC!BJ13&gt;預測IC!BJ$26,1,0)</f>
        <v>0</v>
      </c>
      <c r="BK13" s="17">
        <f>IF(預測IC!BK13&gt;預測IC!BK$26,1,0)</f>
        <v>0</v>
      </c>
      <c r="BL13" s="17">
        <f>IF(預測IC!BL13&gt;預測IC!BL$26,1,0)</f>
        <v>0</v>
      </c>
      <c r="BM13" s="17">
        <f>IF(預測IC!BM13&gt;預測IC!BM$26,1,0)</f>
        <v>0</v>
      </c>
      <c r="BN13" s="17">
        <f>IF(預測IC!BN13&gt;預測IC!BN$26,1,0)</f>
        <v>0</v>
      </c>
      <c r="BO13" s="17">
        <f>IF(預測IC!BO13&gt;預測IC!BO$26,1,0)</f>
        <v>1</v>
      </c>
      <c r="BP13" s="17">
        <f>IF(預測IC!BP13&gt;預測IC!BP$26,1,0)</f>
        <v>0</v>
      </c>
      <c r="BQ13" s="17">
        <f>IF(預測IC!BQ13&gt;預測IC!BQ$26,1,0)</f>
        <v>1</v>
      </c>
      <c r="BR13" s="17">
        <f>IF(預測IC!BR13&gt;預測IC!BR$26,1,0)</f>
        <v>1</v>
      </c>
      <c r="BS13" s="17">
        <f>IF(預測IC!BS13&gt;預測IC!BS$26,1,0)</f>
        <v>0</v>
      </c>
      <c r="BT13" s="17">
        <f>IF(預測IC!BT13&gt;預測IC!BT$26,1,0)</f>
        <v>0</v>
      </c>
      <c r="BU13" s="17">
        <f>IF(預測IC!BU13&gt;預測IC!BU$26,1,0)</f>
        <v>0</v>
      </c>
      <c r="BV13" s="17">
        <f>IF(預測IC!BV13&gt;預測IC!BV$26,1,0)</f>
        <v>0</v>
      </c>
      <c r="BW13" s="17">
        <f>IF(預測IC!BW13&gt;預測IC!BW$26,1,0)</f>
        <v>1</v>
      </c>
      <c r="BX13" s="17">
        <f>IF(預測IC!BX13&gt;預測IC!BX$26,1,0)</f>
        <v>1</v>
      </c>
      <c r="BY13" s="17">
        <f>IF(預測IC!BY13&gt;預測IC!BY$26,1,0)</f>
        <v>1</v>
      </c>
      <c r="BZ13" s="17">
        <f>IF(預測IC!BZ13&gt;預測IC!BZ$26,1,0)</f>
        <v>0</v>
      </c>
      <c r="CA13" s="17">
        <f>IF(預測IC!CA13&gt;預測IC!CA$26,1,0)</f>
        <v>0</v>
      </c>
      <c r="CB13" s="17">
        <f>IF(預測IC!CB13&gt;預測IC!CB$26,1,0)</f>
        <v>0</v>
      </c>
      <c r="CC13" s="17">
        <f>IF(預測IC!CC13&gt;預測IC!CC$26,1,0)</f>
        <v>0</v>
      </c>
      <c r="CD13" s="17">
        <f>IF(預測IC!CD13&gt;預測IC!CD$26,1,0)</f>
        <v>1</v>
      </c>
      <c r="CE13" s="17">
        <f>IF(預測IC!CE13&gt;預測IC!CE$26,1,0)</f>
        <v>1</v>
      </c>
      <c r="CF13" s="17">
        <f>IF(預測IC!CF13&gt;預測IC!CF$26,1,0)</f>
        <v>1</v>
      </c>
      <c r="CG13" s="17">
        <f>IF(預測IC!CG13&gt;預測IC!CG$26,1,0)</f>
        <v>0</v>
      </c>
      <c r="CH13" s="17">
        <f>IF(預測IC!CH13&gt;預測IC!CH$26,1,0)</f>
        <v>0</v>
      </c>
      <c r="CI13" s="17">
        <f>IF(預測IC!CI13&gt;預測IC!CI$26,1,0)</f>
        <v>0</v>
      </c>
      <c r="CJ13" s="17">
        <f>IF(預測IC!CJ13&gt;預測IC!CJ$26,1,0)</f>
        <v>0</v>
      </c>
      <c r="CK13" s="17">
        <f>IF(預測IC!CK13&gt;預測IC!CK$26,1,0)</f>
        <v>1</v>
      </c>
      <c r="CL13" s="17">
        <f>IF(預測IC!CL13&gt;預測IC!CL$26,1,0)</f>
        <v>1</v>
      </c>
      <c r="CM13" s="17">
        <f>IF(預測IC!CM13&gt;預測IC!CM$26,1,0)</f>
        <v>0</v>
      </c>
      <c r="CN13" s="17">
        <f>IF(預測IC!CN13&gt;預測IC!CN$26,1,0)</f>
        <v>0</v>
      </c>
      <c r="CO13" s="17">
        <f>IF(預測IC!CO13&gt;預測IC!CO$26,1,0)</f>
        <v>1</v>
      </c>
      <c r="CP13" s="17">
        <f>IF(預測IC!CP13&gt;預測IC!CP$26,1,0)</f>
        <v>0</v>
      </c>
      <c r="CQ13" s="17">
        <f>IF(預測IC!CQ13&gt;預測IC!CQ$26,1,0)</f>
        <v>1</v>
      </c>
      <c r="CR13" s="17">
        <f>IF(預測IC!CR13&gt;預測IC!CR$26,1,0)</f>
        <v>1</v>
      </c>
      <c r="CS13" s="17">
        <f>IF(預測IC!CS13&gt;預測IC!CS$26,1,0)</f>
        <v>0</v>
      </c>
      <c r="CT13" s="17">
        <f>IF(預測IC!CT13&gt;預測IC!CT$26,1,0)</f>
        <v>0</v>
      </c>
      <c r="CU13" s="17">
        <f>IF(預測IC!CU13&gt;預測IC!CU$26,1,0)</f>
        <v>1</v>
      </c>
      <c r="CV13" s="17">
        <f>IF(預測IC!CV13&gt;預測IC!CV$26,1,0)</f>
        <v>1</v>
      </c>
      <c r="CW13" s="17">
        <f>IF(預測IC!CW13&gt;預測IC!CW$26,1,0)</f>
        <v>1</v>
      </c>
      <c r="CX13" s="17">
        <f>IF(預測IC!CX13&gt;預測IC!CX$26,1,0)</f>
        <v>1</v>
      </c>
      <c r="CY13" s="17">
        <f>IF(預測IC!CY13&gt;預測IC!CY$26,1,0)</f>
        <v>0</v>
      </c>
      <c r="CZ13" s="17">
        <f>IF(預測IC!CZ13&gt;預測IC!CZ$26,1,0)</f>
        <v>1</v>
      </c>
      <c r="DA13" s="17">
        <f>IF(預測IC!DA13&gt;預測IC!DA$26,1,0)</f>
        <v>1</v>
      </c>
      <c r="DB13" s="17">
        <f>IF(預測IC!DB13&gt;預測IC!DB$26,1,0)</f>
        <v>1</v>
      </c>
      <c r="DC13" s="17">
        <f>IF(預測IC!DC13&gt;預測IC!DC$26,1,0)</f>
        <v>1</v>
      </c>
      <c r="DD13" s="17">
        <f>IF(預測IC!DD13&gt;預測IC!DD$26,1,0)</f>
        <v>1</v>
      </c>
      <c r="DE13" s="17">
        <f>IF(預測IC!DE13&gt;預測IC!DE$26,1,0)</f>
        <v>0</v>
      </c>
      <c r="DF13" s="17">
        <f>IF(預測IC!DF13&gt;預測IC!DF$26,1,0)</f>
        <v>1</v>
      </c>
      <c r="DG13" s="17">
        <f>IF(預測IC!DG13&gt;預測IC!DG$26,1,0)</f>
        <v>0</v>
      </c>
      <c r="DH13" s="17">
        <f>IF(預測IC!DH13&gt;預測IC!DH$26,1,0)</f>
        <v>1</v>
      </c>
      <c r="DI13" s="17">
        <f>IF(預測IC!DI13&gt;預測IC!DI$26,1,0)</f>
        <v>1</v>
      </c>
      <c r="DJ13" s="17">
        <f>IF(預測IC!DJ13&gt;預測IC!DJ$26,1,0)</f>
        <v>1</v>
      </c>
      <c r="DK13" s="17">
        <f>IF(預測IC!DK13&gt;預測IC!DK$26,1,0)</f>
        <v>0</v>
      </c>
      <c r="DL13" s="17">
        <f>IF(預測IC!DL13&gt;預測IC!DL$26,1,0)</f>
        <v>1</v>
      </c>
      <c r="DM13" s="17">
        <f>IF(預測IC!DM13&gt;預測IC!DM$26,1,0)</f>
        <v>0</v>
      </c>
      <c r="DN13" s="17">
        <f>IF(預測IC!DN13&gt;預測IC!DN$26,1,0)</f>
        <v>1</v>
      </c>
      <c r="DO13" s="17">
        <f>IF(預測IC!DO13&gt;預測IC!DO$26,1,0)</f>
        <v>1</v>
      </c>
      <c r="DP13" s="17">
        <f>IF(預測IC!DP13&gt;預測IC!DP$26,1,0)</f>
        <v>1</v>
      </c>
      <c r="DQ13" s="17">
        <f>IF(預測IC!DQ13&gt;預測IC!DQ$26,1,0)</f>
        <v>0</v>
      </c>
      <c r="DR13" s="17">
        <f>IF(預測IC!DR13&gt;預測IC!DR$26,1,0)</f>
        <v>0</v>
      </c>
      <c r="DS13" s="17">
        <f>IF(預測IC!DS13&gt;預測IC!DS$26,1,0)</f>
        <v>0</v>
      </c>
      <c r="DT13" s="17">
        <f>IF(預測IC!DT13&gt;預測IC!DT$26,1,0)</f>
        <v>0</v>
      </c>
      <c r="DU13" s="17">
        <f>IF(預測IC!DU13&gt;預測IC!DU$26,1,0)</f>
        <v>0</v>
      </c>
      <c r="DV13" s="17">
        <f>IF(預測IC!DV13&gt;預測IC!DV$26,1,0)</f>
        <v>1</v>
      </c>
      <c r="DW13" s="17">
        <f>IF(預測IC!DW13&gt;預測IC!DW$26,1,0)</f>
        <v>1</v>
      </c>
      <c r="DX13" s="17">
        <f>IF(預測IC!DX13&gt;預測IC!DX$26,1,0)</f>
        <v>0</v>
      </c>
      <c r="DY13" s="17">
        <f>IF(預測IC!DY13&gt;預測IC!DY$26,1,0)</f>
        <v>1</v>
      </c>
      <c r="DZ13" s="17">
        <f>IF(預測IC!DZ13&gt;預測IC!DZ$26,1,0)</f>
        <v>1</v>
      </c>
      <c r="EA13" s="17">
        <f>IF(預測IC!EA13&gt;預測IC!EA$26,1,0)</f>
        <v>1</v>
      </c>
      <c r="EB13" s="17">
        <f>IF(預測IC!EB13&gt;預測IC!EB$26,1,0)</f>
        <v>0</v>
      </c>
      <c r="EC13" s="17">
        <f>IF(預測IC!EC13&gt;預測IC!EC$26,1,0)</f>
        <v>1</v>
      </c>
      <c r="ED13" s="17">
        <f>IF(預測IC!ED13&gt;預測IC!ED$26,1,0)</f>
        <v>0</v>
      </c>
      <c r="EE13" s="17">
        <f>IF(預測IC!EE13&gt;預測IC!EE$26,1,0)</f>
        <v>0</v>
      </c>
      <c r="EF13" s="17">
        <f>IF(預測IC!EF13&gt;預測IC!EF$26,1,0)</f>
        <v>1</v>
      </c>
      <c r="EG13">
        <f t="shared" si="10"/>
        <v>74</v>
      </c>
      <c r="EH13" s="11">
        <f t="shared" si="11"/>
        <v>0.55223880597014929</v>
      </c>
    </row>
    <row r="14" spans="1:138">
      <c r="A14" s="2">
        <v>50</v>
      </c>
      <c r="B14" s="2">
        <v>19</v>
      </c>
      <c r="C14" s="17">
        <f>IF(預測IC!C14&gt;預測IC!C$26,1,0)</f>
        <v>1</v>
      </c>
      <c r="D14" s="17">
        <f>IF(預測IC!D14&gt;預測IC!D$26,1,0)</f>
        <v>1</v>
      </c>
      <c r="E14" s="17">
        <f>IF(預測IC!E14&gt;預測IC!E$26,1,0)</f>
        <v>0</v>
      </c>
      <c r="F14" s="17">
        <f>IF(預測IC!F14&gt;預測IC!F$26,1,0)</f>
        <v>0</v>
      </c>
      <c r="G14" s="17">
        <f>IF(預測IC!G14&gt;預測IC!G$26,1,0)</f>
        <v>0</v>
      </c>
      <c r="H14" s="17">
        <f>IF(預測IC!H14&gt;預測IC!H$26,1,0)</f>
        <v>0</v>
      </c>
      <c r="I14" s="17">
        <f>IF(預測IC!I14&gt;預測IC!I$26,1,0)</f>
        <v>1</v>
      </c>
      <c r="J14" s="17">
        <f>IF(預測IC!J14&gt;預測IC!J$26,1,0)</f>
        <v>1</v>
      </c>
      <c r="K14" s="17">
        <f>IF(預測IC!K14&gt;預測IC!K$26,1,0)</f>
        <v>0</v>
      </c>
      <c r="L14" s="17">
        <f>IF(預測IC!L14&gt;預測IC!L$26,1,0)</f>
        <v>1</v>
      </c>
      <c r="M14" s="17">
        <f>IF(預測IC!M14&gt;預測IC!M$26,1,0)</f>
        <v>0</v>
      </c>
      <c r="N14" s="17">
        <f>IF(預測IC!N14&gt;預測IC!N$26,1,0)</f>
        <v>1</v>
      </c>
      <c r="O14" s="17">
        <f>IF(預測IC!O14&gt;預測IC!O$26,1,0)</f>
        <v>1</v>
      </c>
      <c r="P14" s="17">
        <f>IF(預測IC!P14&gt;預測IC!P$26,1,0)</f>
        <v>0</v>
      </c>
      <c r="Q14" s="17">
        <f>IF(預測IC!Q14&gt;預測IC!Q$26,1,0)</f>
        <v>0</v>
      </c>
      <c r="R14" s="17">
        <f>IF(預測IC!R14&gt;預測IC!R$26,1,0)</f>
        <v>0</v>
      </c>
      <c r="S14" s="17">
        <f>IF(預測IC!S14&gt;預測IC!S$26,1,0)</f>
        <v>0</v>
      </c>
      <c r="T14" s="17">
        <f>IF(預測IC!T14&gt;預測IC!T$26,1,0)</f>
        <v>0</v>
      </c>
      <c r="U14" s="17">
        <f>IF(預測IC!U14&gt;預測IC!U$26,1,0)</f>
        <v>0</v>
      </c>
      <c r="V14" s="17">
        <f>IF(預測IC!V14&gt;預測IC!V$26,1,0)</f>
        <v>1</v>
      </c>
      <c r="W14" s="17">
        <f>IF(預測IC!W14&gt;預測IC!W$26,1,0)</f>
        <v>1</v>
      </c>
      <c r="X14" s="17">
        <f>IF(預測IC!X14&gt;預測IC!X$26,1,0)</f>
        <v>1</v>
      </c>
      <c r="Y14" s="17">
        <f>IF(預測IC!Y14&gt;預測IC!Y$26,1,0)</f>
        <v>1</v>
      </c>
      <c r="Z14" s="17">
        <f>IF(預測IC!Z14&gt;預測IC!Z$26,1,0)</f>
        <v>1</v>
      </c>
      <c r="AA14" s="17">
        <f>IF(預測IC!AA14&gt;預測IC!AA$26,1,0)</f>
        <v>0</v>
      </c>
      <c r="AB14" s="17">
        <f>IF(預測IC!AB14&gt;預測IC!AB$26,1,0)</f>
        <v>1</v>
      </c>
      <c r="AC14" s="17">
        <f>IF(預測IC!AC14&gt;預測IC!AC$26,1,0)</f>
        <v>0</v>
      </c>
      <c r="AD14" s="17">
        <f>IF(預測IC!AD14&gt;預測IC!AD$26,1,0)</f>
        <v>1</v>
      </c>
      <c r="AE14" s="17">
        <f>IF(預測IC!AE14&gt;預測IC!AE$26,1,0)</f>
        <v>0</v>
      </c>
      <c r="AF14" s="17">
        <f>IF(預測IC!AF14&gt;預測IC!AF$26,1,0)</f>
        <v>1</v>
      </c>
      <c r="AG14" s="17">
        <f>IF(預測IC!AG14&gt;預測IC!AG$26,1,0)</f>
        <v>0</v>
      </c>
      <c r="AH14" s="17">
        <f>IF(預測IC!AH14&gt;預測IC!AH$26,1,0)</f>
        <v>1</v>
      </c>
      <c r="AI14" s="17">
        <f>IF(預測IC!AI14&gt;預測IC!AI$26,1,0)</f>
        <v>1</v>
      </c>
      <c r="AJ14" s="17">
        <f>IF(預測IC!AJ14&gt;預測IC!AJ$26,1,0)</f>
        <v>1</v>
      </c>
      <c r="AK14" s="17">
        <f>IF(預測IC!AK14&gt;預測IC!AK$26,1,0)</f>
        <v>1</v>
      </c>
      <c r="AL14" s="17">
        <f>IF(預測IC!AL14&gt;預測IC!AL$26,1,0)</f>
        <v>1</v>
      </c>
      <c r="AM14" s="17">
        <f>IF(預測IC!AM14&gt;預測IC!AM$26,1,0)</f>
        <v>1</v>
      </c>
      <c r="AN14" s="17">
        <f>IF(預測IC!AN14&gt;預測IC!AN$26,1,0)</f>
        <v>1</v>
      </c>
      <c r="AO14" s="17">
        <f>IF(預測IC!AO14&gt;預測IC!AO$26,1,0)</f>
        <v>1</v>
      </c>
      <c r="AP14" s="17">
        <f>IF(預測IC!AP14&gt;預測IC!AP$26,1,0)</f>
        <v>0</v>
      </c>
      <c r="AQ14" s="17">
        <f>IF(預測IC!AQ14&gt;預測IC!AQ$26,1,0)</f>
        <v>0</v>
      </c>
      <c r="AR14" s="17">
        <f>IF(預測IC!AR14&gt;預測IC!AR$26,1,0)</f>
        <v>1</v>
      </c>
      <c r="AS14" s="17">
        <f>IF(預測IC!AS14&gt;預測IC!AS$26,1,0)</f>
        <v>1</v>
      </c>
      <c r="AT14" s="17">
        <f>IF(預測IC!AT14&gt;預測IC!AT$26,1,0)</f>
        <v>1</v>
      </c>
      <c r="AU14" s="17">
        <f>IF(預測IC!AU14&gt;預測IC!AU$26,1,0)</f>
        <v>1</v>
      </c>
      <c r="AV14" s="17">
        <f>IF(預測IC!AV14&gt;預測IC!AV$26,1,0)</f>
        <v>0</v>
      </c>
      <c r="AW14" s="17">
        <f>IF(預測IC!AW14&gt;預測IC!AW$26,1,0)</f>
        <v>1</v>
      </c>
      <c r="AX14" s="17">
        <f>IF(預測IC!AX14&gt;預測IC!AX$26,1,0)</f>
        <v>1</v>
      </c>
      <c r="AY14" s="17">
        <f>IF(預測IC!AY14&gt;預測IC!AY$26,1,0)</f>
        <v>0</v>
      </c>
      <c r="AZ14" s="17">
        <f>IF(預測IC!AZ14&gt;預測IC!AZ$26,1,0)</f>
        <v>0</v>
      </c>
      <c r="BA14" s="17">
        <f>IF(預測IC!BA14&gt;預測IC!BA$26,1,0)</f>
        <v>1</v>
      </c>
      <c r="BB14" s="17">
        <f>IF(預測IC!BB14&gt;預測IC!BB$26,1,0)</f>
        <v>1</v>
      </c>
      <c r="BC14" s="17">
        <f>IF(預測IC!BC14&gt;預測IC!BC$26,1,0)</f>
        <v>0</v>
      </c>
      <c r="BD14" s="17">
        <f>IF(預測IC!BD14&gt;預測IC!BD$26,1,0)</f>
        <v>1</v>
      </c>
      <c r="BE14" s="17">
        <f>IF(預測IC!BE14&gt;預測IC!BE$26,1,0)</f>
        <v>1</v>
      </c>
      <c r="BF14" s="17">
        <f>IF(預測IC!BF14&gt;預測IC!BF$26,1,0)</f>
        <v>1</v>
      </c>
      <c r="BG14" s="17">
        <f>IF(預測IC!BG14&gt;預測IC!BG$26,1,0)</f>
        <v>1</v>
      </c>
      <c r="BH14" s="17">
        <f>IF(預測IC!BH14&gt;預測IC!BH$26,1,0)</f>
        <v>1</v>
      </c>
      <c r="BI14" s="17">
        <f>IF(預測IC!BI14&gt;預測IC!BI$26,1,0)</f>
        <v>1</v>
      </c>
      <c r="BJ14" s="17">
        <f>IF(預測IC!BJ14&gt;預測IC!BJ$26,1,0)</f>
        <v>0</v>
      </c>
      <c r="BK14" s="17">
        <f>IF(預測IC!BK14&gt;預測IC!BK$26,1,0)</f>
        <v>0</v>
      </c>
      <c r="BL14" s="17">
        <f>IF(預測IC!BL14&gt;預測IC!BL$26,1,0)</f>
        <v>1</v>
      </c>
      <c r="BM14" s="17">
        <f>IF(預測IC!BM14&gt;預測IC!BM$26,1,0)</f>
        <v>1</v>
      </c>
      <c r="BN14" s="17">
        <f>IF(預測IC!BN14&gt;預測IC!BN$26,1,0)</f>
        <v>0</v>
      </c>
      <c r="BO14" s="17">
        <f>IF(預測IC!BO14&gt;預測IC!BO$26,1,0)</f>
        <v>1</v>
      </c>
      <c r="BP14" s="17">
        <f>IF(預測IC!BP14&gt;預測IC!BP$26,1,0)</f>
        <v>0</v>
      </c>
      <c r="BQ14" s="17">
        <f>IF(預測IC!BQ14&gt;預測IC!BQ$26,1,0)</f>
        <v>1</v>
      </c>
      <c r="BR14" s="17">
        <f>IF(預測IC!BR14&gt;預測IC!BR$26,1,0)</f>
        <v>0</v>
      </c>
      <c r="BS14" s="17">
        <f>IF(預測IC!BS14&gt;預測IC!BS$26,1,0)</f>
        <v>0</v>
      </c>
      <c r="BT14" s="17">
        <f>IF(預測IC!BT14&gt;預測IC!BT$26,1,0)</f>
        <v>1</v>
      </c>
      <c r="BU14" s="17">
        <f>IF(預測IC!BU14&gt;預測IC!BU$26,1,0)</f>
        <v>0</v>
      </c>
      <c r="BV14" s="17">
        <f>IF(預測IC!BV14&gt;預測IC!BV$26,1,0)</f>
        <v>0</v>
      </c>
      <c r="BW14" s="17">
        <f>IF(預測IC!BW14&gt;預測IC!BW$26,1,0)</f>
        <v>1</v>
      </c>
      <c r="BX14" s="17">
        <f>IF(預測IC!BX14&gt;預測IC!BX$26,1,0)</f>
        <v>1</v>
      </c>
      <c r="BY14" s="17">
        <f>IF(預測IC!BY14&gt;預測IC!BY$26,1,0)</f>
        <v>1</v>
      </c>
      <c r="BZ14" s="17">
        <f>IF(預測IC!BZ14&gt;預測IC!BZ$26,1,0)</f>
        <v>0</v>
      </c>
      <c r="CA14" s="17">
        <f>IF(預測IC!CA14&gt;預測IC!CA$26,1,0)</f>
        <v>0</v>
      </c>
      <c r="CB14" s="17">
        <f>IF(預測IC!CB14&gt;預測IC!CB$26,1,0)</f>
        <v>0</v>
      </c>
      <c r="CC14" s="17">
        <f>IF(預測IC!CC14&gt;預測IC!CC$26,1,0)</f>
        <v>0</v>
      </c>
      <c r="CD14" s="17">
        <f>IF(預測IC!CD14&gt;預測IC!CD$26,1,0)</f>
        <v>1</v>
      </c>
      <c r="CE14" s="17">
        <f>IF(預測IC!CE14&gt;預測IC!CE$26,1,0)</f>
        <v>1</v>
      </c>
      <c r="CF14" s="17">
        <f>IF(預測IC!CF14&gt;預測IC!CF$26,1,0)</f>
        <v>0</v>
      </c>
      <c r="CG14" s="17">
        <f>IF(預測IC!CG14&gt;預測IC!CG$26,1,0)</f>
        <v>0</v>
      </c>
      <c r="CH14" s="17">
        <f>IF(預測IC!CH14&gt;預測IC!CH$26,1,0)</f>
        <v>0</v>
      </c>
      <c r="CI14" s="17">
        <f>IF(預測IC!CI14&gt;預測IC!CI$26,1,0)</f>
        <v>0</v>
      </c>
      <c r="CJ14" s="17">
        <f>IF(預測IC!CJ14&gt;預測IC!CJ$26,1,0)</f>
        <v>0</v>
      </c>
      <c r="CK14" s="17">
        <f>IF(預測IC!CK14&gt;預測IC!CK$26,1,0)</f>
        <v>0</v>
      </c>
      <c r="CL14" s="17">
        <f>IF(預測IC!CL14&gt;預測IC!CL$26,1,0)</f>
        <v>0</v>
      </c>
      <c r="CM14" s="17">
        <f>IF(預測IC!CM14&gt;預測IC!CM$26,1,0)</f>
        <v>0</v>
      </c>
      <c r="CN14" s="17">
        <f>IF(預測IC!CN14&gt;預測IC!CN$26,1,0)</f>
        <v>0</v>
      </c>
      <c r="CO14" s="17">
        <f>IF(預測IC!CO14&gt;預測IC!CO$26,1,0)</f>
        <v>1</v>
      </c>
      <c r="CP14" s="17">
        <f>IF(預測IC!CP14&gt;預測IC!CP$26,1,0)</f>
        <v>0</v>
      </c>
      <c r="CQ14" s="17">
        <f>IF(預測IC!CQ14&gt;預測IC!CQ$26,1,0)</f>
        <v>1</v>
      </c>
      <c r="CR14" s="17">
        <f>IF(預測IC!CR14&gt;預測IC!CR$26,1,0)</f>
        <v>1</v>
      </c>
      <c r="CS14" s="17">
        <f>IF(預測IC!CS14&gt;預測IC!CS$26,1,0)</f>
        <v>0</v>
      </c>
      <c r="CT14" s="17">
        <f>IF(預測IC!CT14&gt;預測IC!CT$26,1,0)</f>
        <v>1</v>
      </c>
      <c r="CU14" s="17">
        <f>IF(預測IC!CU14&gt;預測IC!CU$26,1,0)</f>
        <v>1</v>
      </c>
      <c r="CV14" s="17">
        <f>IF(預測IC!CV14&gt;預測IC!CV$26,1,0)</f>
        <v>1</v>
      </c>
      <c r="CW14" s="17">
        <f>IF(預測IC!CW14&gt;預測IC!CW$26,1,0)</f>
        <v>1</v>
      </c>
      <c r="CX14" s="17">
        <f>IF(預測IC!CX14&gt;預測IC!CX$26,1,0)</f>
        <v>1</v>
      </c>
      <c r="CY14" s="17">
        <f>IF(預測IC!CY14&gt;預測IC!CY$26,1,0)</f>
        <v>0</v>
      </c>
      <c r="CZ14" s="17">
        <f>IF(預測IC!CZ14&gt;預測IC!CZ$26,1,0)</f>
        <v>1</v>
      </c>
      <c r="DA14" s="17">
        <f>IF(預測IC!DA14&gt;預測IC!DA$26,1,0)</f>
        <v>1</v>
      </c>
      <c r="DB14" s="17">
        <f>IF(預測IC!DB14&gt;預測IC!DB$26,1,0)</f>
        <v>1</v>
      </c>
      <c r="DC14" s="17">
        <f>IF(預測IC!DC14&gt;預測IC!DC$26,1,0)</f>
        <v>1</v>
      </c>
      <c r="DD14" s="17">
        <f>IF(預測IC!DD14&gt;預測IC!DD$26,1,0)</f>
        <v>1</v>
      </c>
      <c r="DE14" s="17">
        <f>IF(預測IC!DE14&gt;預測IC!DE$26,1,0)</f>
        <v>0</v>
      </c>
      <c r="DF14" s="17">
        <f>IF(預測IC!DF14&gt;預測IC!DF$26,1,0)</f>
        <v>1</v>
      </c>
      <c r="DG14" s="17">
        <f>IF(預測IC!DG14&gt;預測IC!DG$26,1,0)</f>
        <v>0</v>
      </c>
      <c r="DH14" s="17">
        <f>IF(預測IC!DH14&gt;預測IC!DH$26,1,0)</f>
        <v>1</v>
      </c>
      <c r="DI14" s="17">
        <f>IF(預測IC!DI14&gt;預測IC!DI$26,1,0)</f>
        <v>1</v>
      </c>
      <c r="DJ14" s="17">
        <f>IF(預測IC!DJ14&gt;預測IC!DJ$26,1,0)</f>
        <v>1</v>
      </c>
      <c r="DK14" s="17">
        <f>IF(預測IC!DK14&gt;預測IC!DK$26,1,0)</f>
        <v>0</v>
      </c>
      <c r="DL14" s="17">
        <f>IF(預測IC!DL14&gt;預測IC!DL$26,1,0)</f>
        <v>0</v>
      </c>
      <c r="DM14" s="17">
        <f>IF(預測IC!DM14&gt;預測IC!DM$26,1,0)</f>
        <v>0</v>
      </c>
      <c r="DN14" s="17">
        <f>IF(預測IC!DN14&gt;預測IC!DN$26,1,0)</f>
        <v>1</v>
      </c>
      <c r="DO14" s="17">
        <f>IF(預測IC!DO14&gt;預測IC!DO$26,1,0)</f>
        <v>1</v>
      </c>
      <c r="DP14" s="17">
        <f>IF(預測IC!DP14&gt;預測IC!DP$26,1,0)</f>
        <v>1</v>
      </c>
      <c r="DQ14" s="17">
        <f>IF(預測IC!DQ14&gt;預測IC!DQ$26,1,0)</f>
        <v>0</v>
      </c>
      <c r="DR14" s="17">
        <f>IF(預測IC!DR14&gt;預測IC!DR$26,1,0)</f>
        <v>1</v>
      </c>
      <c r="DS14" s="17">
        <f>IF(預測IC!DS14&gt;預測IC!DS$26,1,0)</f>
        <v>0</v>
      </c>
      <c r="DT14" s="17">
        <f>IF(預測IC!DT14&gt;預測IC!DT$26,1,0)</f>
        <v>1</v>
      </c>
      <c r="DU14" s="17">
        <f>IF(預測IC!DU14&gt;預測IC!DU$26,1,0)</f>
        <v>0</v>
      </c>
      <c r="DV14" s="17">
        <f>IF(預測IC!DV14&gt;預測IC!DV$26,1,0)</f>
        <v>1</v>
      </c>
      <c r="DW14" s="17">
        <f>IF(預測IC!DW14&gt;預測IC!DW$26,1,0)</f>
        <v>0</v>
      </c>
      <c r="DX14" s="17">
        <f>IF(預測IC!DX14&gt;預測IC!DX$26,1,0)</f>
        <v>0</v>
      </c>
      <c r="DY14" s="17">
        <f>IF(預測IC!DY14&gt;預測IC!DY$26,1,0)</f>
        <v>1</v>
      </c>
      <c r="DZ14" s="17">
        <f>IF(預測IC!DZ14&gt;預測IC!DZ$26,1,0)</f>
        <v>1</v>
      </c>
      <c r="EA14" s="17">
        <f>IF(預測IC!EA14&gt;預測IC!EA$26,1,0)</f>
        <v>1</v>
      </c>
      <c r="EB14" s="17">
        <f>IF(預測IC!EB14&gt;預測IC!EB$26,1,0)</f>
        <v>0</v>
      </c>
      <c r="EC14" s="17">
        <f>IF(預測IC!EC14&gt;預測IC!EC$26,1,0)</f>
        <v>1</v>
      </c>
      <c r="ED14" s="17">
        <f>IF(預測IC!ED14&gt;預測IC!ED$26,1,0)</f>
        <v>0</v>
      </c>
      <c r="EE14" s="17">
        <f>IF(預測IC!EE14&gt;預測IC!EE$26,1,0)</f>
        <v>0</v>
      </c>
      <c r="EF14" s="17">
        <f>IF(預測IC!EF14&gt;預測IC!EF$26,1,0)</f>
        <v>1</v>
      </c>
      <c r="EG14">
        <f t="shared" si="10"/>
        <v>75</v>
      </c>
      <c r="EH14" s="11">
        <f t="shared" si="11"/>
        <v>0.55970149253731338</v>
      </c>
    </row>
    <row r="15" spans="1:138">
      <c r="A15" s="2">
        <v>100</v>
      </c>
      <c r="B15" s="2">
        <v>10</v>
      </c>
      <c r="C15" s="17">
        <f>IF(預測IC!C15&gt;預測IC!C$26,1,0)</f>
        <v>1</v>
      </c>
      <c r="D15" s="17">
        <f>IF(預測IC!D15&gt;預測IC!D$26,1,0)</f>
        <v>0</v>
      </c>
      <c r="E15" s="17">
        <f>IF(預測IC!E15&gt;預測IC!E$26,1,0)</f>
        <v>0</v>
      </c>
      <c r="F15" s="17">
        <f>IF(預測IC!F15&gt;預測IC!F$26,1,0)</f>
        <v>0</v>
      </c>
      <c r="G15" s="17">
        <f>IF(預測IC!G15&gt;預測IC!G$26,1,0)</f>
        <v>0</v>
      </c>
      <c r="H15" s="17">
        <f>IF(預測IC!H15&gt;預測IC!H$26,1,0)</f>
        <v>1</v>
      </c>
      <c r="I15" s="17">
        <f>IF(預測IC!I15&gt;預測IC!I$26,1,0)</f>
        <v>1</v>
      </c>
      <c r="J15" s="17">
        <f>IF(預測IC!J15&gt;預測IC!J$26,1,0)</f>
        <v>1</v>
      </c>
      <c r="K15" s="17">
        <f>IF(預測IC!K15&gt;預測IC!K$26,1,0)</f>
        <v>0</v>
      </c>
      <c r="L15" s="17">
        <f>IF(預測IC!L15&gt;預測IC!L$26,1,0)</f>
        <v>1</v>
      </c>
      <c r="M15" s="17">
        <f>IF(預測IC!M15&gt;預測IC!M$26,1,0)</f>
        <v>1</v>
      </c>
      <c r="N15" s="17">
        <f>IF(預測IC!N15&gt;預測IC!N$26,1,0)</f>
        <v>1</v>
      </c>
      <c r="O15" s="17">
        <f>IF(預測IC!O15&gt;預測IC!O$26,1,0)</f>
        <v>1</v>
      </c>
      <c r="P15" s="17">
        <f>IF(預測IC!P15&gt;預測IC!P$26,1,0)</f>
        <v>0</v>
      </c>
      <c r="Q15" s="17">
        <f>IF(預測IC!Q15&gt;預測IC!Q$26,1,0)</f>
        <v>0</v>
      </c>
      <c r="R15" s="17">
        <f>IF(預測IC!R15&gt;預測IC!R$26,1,0)</f>
        <v>0</v>
      </c>
      <c r="S15" s="17">
        <f>IF(預測IC!S15&gt;預測IC!S$26,1,0)</f>
        <v>0</v>
      </c>
      <c r="T15" s="17">
        <f>IF(預測IC!T15&gt;預測IC!T$26,1,0)</f>
        <v>0</v>
      </c>
      <c r="U15" s="17">
        <f>IF(預測IC!U15&gt;預測IC!U$26,1,0)</f>
        <v>0</v>
      </c>
      <c r="V15" s="17">
        <f>IF(預測IC!V15&gt;預測IC!V$26,1,0)</f>
        <v>1</v>
      </c>
      <c r="W15" s="17">
        <f>IF(預測IC!W15&gt;預測IC!W$26,1,0)</f>
        <v>1</v>
      </c>
      <c r="X15" s="17">
        <f>IF(預測IC!X15&gt;預測IC!X$26,1,0)</f>
        <v>1</v>
      </c>
      <c r="Y15" s="17">
        <f>IF(預測IC!Y15&gt;預測IC!Y$26,1,0)</f>
        <v>1</v>
      </c>
      <c r="Z15" s="17">
        <f>IF(預測IC!Z15&gt;預測IC!Z$26,1,0)</f>
        <v>1</v>
      </c>
      <c r="AA15" s="17">
        <f>IF(預測IC!AA15&gt;預測IC!AA$26,1,0)</f>
        <v>0</v>
      </c>
      <c r="AB15" s="17">
        <f>IF(預測IC!AB15&gt;預測IC!AB$26,1,0)</f>
        <v>1</v>
      </c>
      <c r="AC15" s="17">
        <f>IF(預測IC!AC15&gt;預測IC!AC$26,1,0)</f>
        <v>0</v>
      </c>
      <c r="AD15" s="17">
        <f>IF(預測IC!AD15&gt;預測IC!AD$26,1,0)</f>
        <v>1</v>
      </c>
      <c r="AE15" s="17">
        <f>IF(預測IC!AE15&gt;預測IC!AE$26,1,0)</f>
        <v>0</v>
      </c>
      <c r="AF15" s="17">
        <f>IF(預測IC!AF15&gt;預測IC!AF$26,1,0)</f>
        <v>1</v>
      </c>
      <c r="AG15" s="17">
        <f>IF(預測IC!AG15&gt;預測IC!AG$26,1,0)</f>
        <v>0</v>
      </c>
      <c r="AH15" s="17">
        <f>IF(預測IC!AH15&gt;預測IC!AH$26,1,0)</f>
        <v>0</v>
      </c>
      <c r="AI15" s="17">
        <f>IF(預測IC!AI15&gt;預測IC!AI$26,1,0)</f>
        <v>1</v>
      </c>
      <c r="AJ15" s="17">
        <f>IF(預測IC!AJ15&gt;預測IC!AJ$26,1,0)</f>
        <v>0</v>
      </c>
      <c r="AK15" s="17">
        <f>IF(預測IC!AK15&gt;預測IC!AK$26,1,0)</f>
        <v>1</v>
      </c>
      <c r="AL15" s="17">
        <f>IF(預測IC!AL15&gt;預測IC!AL$26,1,0)</f>
        <v>1</v>
      </c>
      <c r="AM15" s="17">
        <f>IF(預測IC!AM15&gt;預測IC!AM$26,1,0)</f>
        <v>1</v>
      </c>
      <c r="AN15" s="17">
        <f>IF(預測IC!AN15&gt;預測IC!AN$26,1,0)</f>
        <v>1</v>
      </c>
      <c r="AO15" s="17">
        <f>IF(預測IC!AO15&gt;預測IC!AO$26,1,0)</f>
        <v>1</v>
      </c>
      <c r="AP15" s="17">
        <f>IF(預測IC!AP15&gt;預測IC!AP$26,1,0)</f>
        <v>0</v>
      </c>
      <c r="AQ15" s="17">
        <f>IF(預測IC!AQ15&gt;預測IC!AQ$26,1,0)</f>
        <v>0</v>
      </c>
      <c r="AR15" s="17">
        <f>IF(預測IC!AR15&gt;預測IC!AR$26,1,0)</f>
        <v>1</v>
      </c>
      <c r="AS15" s="17">
        <f>IF(預測IC!AS15&gt;預測IC!AS$26,1,0)</f>
        <v>0</v>
      </c>
      <c r="AT15" s="17">
        <f>IF(預測IC!AT15&gt;預測IC!AT$26,1,0)</f>
        <v>1</v>
      </c>
      <c r="AU15" s="17">
        <f>IF(預測IC!AU15&gt;預測IC!AU$26,1,0)</f>
        <v>1</v>
      </c>
      <c r="AV15" s="17">
        <f>IF(預測IC!AV15&gt;預測IC!AV$26,1,0)</f>
        <v>0</v>
      </c>
      <c r="AW15" s="17">
        <f>IF(預測IC!AW15&gt;預測IC!AW$26,1,0)</f>
        <v>1</v>
      </c>
      <c r="AX15" s="17">
        <f>IF(預測IC!AX15&gt;預測IC!AX$26,1,0)</f>
        <v>1</v>
      </c>
      <c r="AY15" s="17">
        <f>IF(預測IC!AY15&gt;預測IC!AY$26,1,0)</f>
        <v>0</v>
      </c>
      <c r="AZ15" s="17">
        <f>IF(預測IC!AZ15&gt;預測IC!AZ$26,1,0)</f>
        <v>0</v>
      </c>
      <c r="BA15" s="17">
        <f>IF(預測IC!BA15&gt;預測IC!BA$26,1,0)</f>
        <v>1</v>
      </c>
      <c r="BB15" s="17">
        <f>IF(預測IC!BB15&gt;預測IC!BB$26,1,0)</f>
        <v>1</v>
      </c>
      <c r="BC15" s="17">
        <f>IF(預測IC!BC15&gt;預測IC!BC$26,1,0)</f>
        <v>1</v>
      </c>
      <c r="BD15" s="17">
        <f>IF(預測IC!BD15&gt;預測IC!BD$26,1,0)</f>
        <v>1</v>
      </c>
      <c r="BE15" s="17">
        <f>IF(預測IC!BE15&gt;預測IC!BE$26,1,0)</f>
        <v>1</v>
      </c>
      <c r="BF15" s="17">
        <f>IF(預測IC!BF15&gt;預測IC!BF$26,1,0)</f>
        <v>1</v>
      </c>
      <c r="BG15" s="17">
        <f>IF(預測IC!BG15&gt;預測IC!BG$26,1,0)</f>
        <v>1</v>
      </c>
      <c r="BH15" s="17">
        <f>IF(預測IC!BH15&gt;預測IC!BH$26,1,0)</f>
        <v>1</v>
      </c>
      <c r="BI15" s="17">
        <f>IF(預測IC!BI15&gt;預測IC!BI$26,1,0)</f>
        <v>1</v>
      </c>
      <c r="BJ15" s="17">
        <f>IF(預測IC!BJ15&gt;預測IC!BJ$26,1,0)</f>
        <v>1</v>
      </c>
      <c r="BK15" s="17">
        <f>IF(預測IC!BK15&gt;預測IC!BK$26,1,0)</f>
        <v>0</v>
      </c>
      <c r="BL15" s="17">
        <f>IF(預測IC!BL15&gt;預測IC!BL$26,1,0)</f>
        <v>1</v>
      </c>
      <c r="BM15" s="17">
        <f>IF(預測IC!BM15&gt;預測IC!BM$26,1,0)</f>
        <v>1</v>
      </c>
      <c r="BN15" s="17">
        <f>IF(預測IC!BN15&gt;預測IC!BN$26,1,0)</f>
        <v>0</v>
      </c>
      <c r="BO15" s="17">
        <f>IF(預測IC!BO15&gt;預測IC!BO$26,1,0)</f>
        <v>1</v>
      </c>
      <c r="BP15" s="17">
        <f>IF(預測IC!BP15&gt;預測IC!BP$26,1,0)</f>
        <v>0</v>
      </c>
      <c r="BQ15" s="17">
        <f>IF(預測IC!BQ15&gt;預測IC!BQ$26,1,0)</f>
        <v>1</v>
      </c>
      <c r="BR15" s="17">
        <f>IF(預測IC!BR15&gt;預測IC!BR$26,1,0)</f>
        <v>0</v>
      </c>
      <c r="BS15" s="17">
        <f>IF(預測IC!BS15&gt;預測IC!BS$26,1,0)</f>
        <v>0</v>
      </c>
      <c r="BT15" s="17">
        <f>IF(預測IC!BT15&gt;預測IC!BT$26,1,0)</f>
        <v>1</v>
      </c>
      <c r="BU15" s="17">
        <f>IF(預測IC!BU15&gt;預測IC!BU$26,1,0)</f>
        <v>0</v>
      </c>
      <c r="BV15" s="17">
        <f>IF(預測IC!BV15&gt;預測IC!BV$26,1,0)</f>
        <v>1</v>
      </c>
      <c r="BW15" s="17">
        <f>IF(預測IC!BW15&gt;預測IC!BW$26,1,0)</f>
        <v>1</v>
      </c>
      <c r="BX15" s="17">
        <f>IF(預測IC!BX15&gt;預測IC!BX$26,1,0)</f>
        <v>1</v>
      </c>
      <c r="BY15" s="17">
        <f>IF(預測IC!BY15&gt;預測IC!BY$26,1,0)</f>
        <v>1</v>
      </c>
      <c r="BZ15" s="17">
        <f>IF(預測IC!BZ15&gt;預測IC!BZ$26,1,0)</f>
        <v>0</v>
      </c>
      <c r="CA15" s="17">
        <f>IF(預測IC!CA15&gt;預測IC!CA$26,1,0)</f>
        <v>0</v>
      </c>
      <c r="CB15" s="17">
        <f>IF(預測IC!CB15&gt;預測IC!CB$26,1,0)</f>
        <v>0</v>
      </c>
      <c r="CC15" s="17">
        <f>IF(預測IC!CC15&gt;預測IC!CC$26,1,0)</f>
        <v>0</v>
      </c>
      <c r="CD15" s="17">
        <f>IF(預測IC!CD15&gt;預測IC!CD$26,1,0)</f>
        <v>1</v>
      </c>
      <c r="CE15" s="17">
        <f>IF(預測IC!CE15&gt;預測IC!CE$26,1,0)</f>
        <v>1</v>
      </c>
      <c r="CF15" s="17">
        <f>IF(預測IC!CF15&gt;預測IC!CF$26,1,0)</f>
        <v>0</v>
      </c>
      <c r="CG15" s="17">
        <f>IF(預測IC!CG15&gt;預測IC!CG$26,1,0)</f>
        <v>0</v>
      </c>
      <c r="CH15" s="17">
        <f>IF(預測IC!CH15&gt;預測IC!CH$26,1,0)</f>
        <v>0</v>
      </c>
      <c r="CI15" s="17">
        <f>IF(預測IC!CI15&gt;預測IC!CI$26,1,0)</f>
        <v>0</v>
      </c>
      <c r="CJ15" s="17">
        <f>IF(預測IC!CJ15&gt;預測IC!CJ$26,1,0)</f>
        <v>0</v>
      </c>
      <c r="CK15" s="17">
        <f>IF(預測IC!CK15&gt;預測IC!CK$26,1,0)</f>
        <v>1</v>
      </c>
      <c r="CL15" s="17">
        <f>IF(預測IC!CL15&gt;預測IC!CL$26,1,0)</f>
        <v>0</v>
      </c>
      <c r="CM15" s="17">
        <f>IF(預測IC!CM15&gt;預測IC!CM$26,1,0)</f>
        <v>0</v>
      </c>
      <c r="CN15" s="17">
        <f>IF(預測IC!CN15&gt;預測IC!CN$26,1,0)</f>
        <v>0</v>
      </c>
      <c r="CO15" s="17">
        <f>IF(預測IC!CO15&gt;預測IC!CO$26,1,0)</f>
        <v>1</v>
      </c>
      <c r="CP15" s="17">
        <f>IF(預測IC!CP15&gt;預測IC!CP$26,1,0)</f>
        <v>0</v>
      </c>
      <c r="CQ15" s="17">
        <f>IF(預測IC!CQ15&gt;預測IC!CQ$26,1,0)</f>
        <v>1</v>
      </c>
      <c r="CR15" s="17">
        <f>IF(預測IC!CR15&gt;預測IC!CR$26,1,0)</f>
        <v>1</v>
      </c>
      <c r="CS15" s="17">
        <f>IF(預測IC!CS15&gt;預測IC!CS$26,1,0)</f>
        <v>0</v>
      </c>
      <c r="CT15" s="17">
        <f>IF(預測IC!CT15&gt;預測IC!CT$26,1,0)</f>
        <v>0</v>
      </c>
      <c r="CU15" s="17">
        <f>IF(預測IC!CU15&gt;預測IC!CU$26,1,0)</f>
        <v>1</v>
      </c>
      <c r="CV15" s="17">
        <f>IF(預測IC!CV15&gt;預測IC!CV$26,1,0)</f>
        <v>1</v>
      </c>
      <c r="CW15" s="17">
        <f>IF(預測IC!CW15&gt;預測IC!CW$26,1,0)</f>
        <v>0</v>
      </c>
      <c r="CX15" s="17">
        <f>IF(預測IC!CX15&gt;預測IC!CX$26,1,0)</f>
        <v>1</v>
      </c>
      <c r="CY15" s="17">
        <f>IF(預測IC!CY15&gt;預測IC!CY$26,1,0)</f>
        <v>0</v>
      </c>
      <c r="CZ15" s="17">
        <f>IF(預測IC!CZ15&gt;預測IC!CZ$26,1,0)</f>
        <v>1</v>
      </c>
      <c r="DA15" s="17">
        <f>IF(預測IC!DA15&gt;預測IC!DA$26,1,0)</f>
        <v>1</v>
      </c>
      <c r="DB15" s="17">
        <f>IF(預測IC!DB15&gt;預測IC!DB$26,1,0)</f>
        <v>1</v>
      </c>
      <c r="DC15" s="17">
        <f>IF(預測IC!DC15&gt;預測IC!DC$26,1,0)</f>
        <v>1</v>
      </c>
      <c r="DD15" s="17">
        <f>IF(預測IC!DD15&gt;預測IC!DD$26,1,0)</f>
        <v>0</v>
      </c>
      <c r="DE15" s="17">
        <f>IF(預測IC!DE15&gt;預測IC!DE$26,1,0)</f>
        <v>0</v>
      </c>
      <c r="DF15" s="17">
        <f>IF(預測IC!DF15&gt;預測IC!DF$26,1,0)</f>
        <v>1</v>
      </c>
      <c r="DG15" s="17">
        <f>IF(預測IC!DG15&gt;預測IC!DG$26,1,0)</f>
        <v>0</v>
      </c>
      <c r="DH15" s="17">
        <f>IF(預測IC!DH15&gt;預測IC!DH$26,1,0)</f>
        <v>1</v>
      </c>
      <c r="DI15" s="17">
        <f>IF(預測IC!DI15&gt;預測IC!DI$26,1,0)</f>
        <v>1</v>
      </c>
      <c r="DJ15" s="17">
        <f>IF(預測IC!DJ15&gt;預測IC!DJ$26,1,0)</f>
        <v>1</v>
      </c>
      <c r="DK15" s="17">
        <f>IF(預測IC!DK15&gt;預測IC!DK$26,1,0)</f>
        <v>0</v>
      </c>
      <c r="DL15" s="17">
        <f>IF(預測IC!DL15&gt;預測IC!DL$26,1,0)</f>
        <v>0</v>
      </c>
      <c r="DM15" s="17">
        <f>IF(預測IC!DM15&gt;預測IC!DM$26,1,0)</f>
        <v>0</v>
      </c>
      <c r="DN15" s="17">
        <f>IF(預測IC!DN15&gt;預測IC!DN$26,1,0)</f>
        <v>0</v>
      </c>
      <c r="DO15" s="17">
        <f>IF(預測IC!DO15&gt;預測IC!DO$26,1,0)</f>
        <v>1</v>
      </c>
      <c r="DP15" s="17">
        <f>IF(預測IC!DP15&gt;預測IC!DP$26,1,0)</f>
        <v>0</v>
      </c>
      <c r="DQ15" s="17">
        <f>IF(預測IC!DQ15&gt;預測IC!DQ$26,1,0)</f>
        <v>0</v>
      </c>
      <c r="DR15" s="17">
        <f>IF(預測IC!DR15&gt;預測IC!DR$26,1,0)</f>
        <v>1</v>
      </c>
      <c r="DS15" s="17">
        <f>IF(預測IC!DS15&gt;預測IC!DS$26,1,0)</f>
        <v>0</v>
      </c>
      <c r="DT15" s="17">
        <f>IF(預測IC!DT15&gt;預測IC!DT$26,1,0)</f>
        <v>0</v>
      </c>
      <c r="DU15" s="17">
        <f>IF(預測IC!DU15&gt;預測IC!DU$26,1,0)</f>
        <v>0</v>
      </c>
      <c r="DV15" s="17">
        <f>IF(預測IC!DV15&gt;預測IC!DV$26,1,0)</f>
        <v>1</v>
      </c>
      <c r="DW15" s="17">
        <f>IF(預測IC!DW15&gt;預測IC!DW$26,1,0)</f>
        <v>0</v>
      </c>
      <c r="DX15" s="17">
        <f>IF(預測IC!DX15&gt;預測IC!DX$26,1,0)</f>
        <v>0</v>
      </c>
      <c r="DY15" s="17">
        <f>IF(預測IC!DY15&gt;預測IC!DY$26,1,0)</f>
        <v>1</v>
      </c>
      <c r="DZ15" s="17">
        <f>IF(預測IC!DZ15&gt;預測IC!DZ$26,1,0)</f>
        <v>1</v>
      </c>
      <c r="EA15" s="17">
        <f>IF(預測IC!EA15&gt;預測IC!EA$26,1,0)</f>
        <v>1</v>
      </c>
      <c r="EB15" s="17">
        <f>IF(預測IC!EB15&gt;預測IC!EB$26,1,0)</f>
        <v>0</v>
      </c>
      <c r="EC15" s="17">
        <f>IF(預測IC!EC15&gt;預測IC!EC$26,1,0)</f>
        <v>1</v>
      </c>
      <c r="ED15" s="17">
        <f>IF(預測IC!ED15&gt;預測IC!ED$26,1,0)</f>
        <v>0</v>
      </c>
      <c r="EE15" s="17">
        <f>IF(預測IC!EE15&gt;預測IC!EE$26,1,0)</f>
        <v>0</v>
      </c>
      <c r="EF15" s="17">
        <f>IF(預測IC!EF15&gt;預測IC!EF$26,1,0)</f>
        <v>1</v>
      </c>
      <c r="EG15">
        <f t="shared" si="10"/>
        <v>71</v>
      </c>
      <c r="EH15" s="11">
        <f t="shared" si="11"/>
        <v>0.52985074626865669</v>
      </c>
    </row>
    <row r="16" spans="1:138">
      <c r="A16" s="2">
        <v>107</v>
      </c>
      <c r="B16" s="2">
        <v>9</v>
      </c>
      <c r="C16" s="17">
        <f>IF(預測IC!C16&gt;預測IC!C$26,1,0)</f>
        <v>1</v>
      </c>
      <c r="D16" s="17">
        <f>IF(預測IC!D16&gt;預測IC!D$26,1,0)</f>
        <v>0</v>
      </c>
      <c r="E16" s="17">
        <f>IF(預測IC!E16&gt;預測IC!E$26,1,0)</f>
        <v>0</v>
      </c>
      <c r="F16" s="17">
        <f>IF(預測IC!F16&gt;預測IC!F$26,1,0)</f>
        <v>0</v>
      </c>
      <c r="G16" s="17">
        <f>IF(預測IC!G16&gt;預測IC!G$26,1,0)</f>
        <v>0</v>
      </c>
      <c r="H16" s="17">
        <f>IF(預測IC!H16&gt;預測IC!H$26,1,0)</f>
        <v>1</v>
      </c>
      <c r="I16" s="17">
        <f>IF(預測IC!I16&gt;預測IC!I$26,1,0)</f>
        <v>1</v>
      </c>
      <c r="J16" s="17">
        <f>IF(預測IC!J16&gt;預測IC!J$26,1,0)</f>
        <v>1</v>
      </c>
      <c r="K16" s="17">
        <f>IF(預測IC!K16&gt;預測IC!K$26,1,0)</f>
        <v>0</v>
      </c>
      <c r="L16" s="17">
        <f>IF(預測IC!L16&gt;預測IC!L$26,1,0)</f>
        <v>1</v>
      </c>
      <c r="M16" s="17">
        <f>IF(預測IC!M16&gt;預測IC!M$26,1,0)</f>
        <v>1</v>
      </c>
      <c r="N16" s="17">
        <f>IF(預測IC!N16&gt;預測IC!N$26,1,0)</f>
        <v>1</v>
      </c>
      <c r="O16" s="17">
        <f>IF(預測IC!O16&gt;預測IC!O$26,1,0)</f>
        <v>1</v>
      </c>
      <c r="P16" s="17">
        <f>IF(預測IC!P16&gt;預測IC!P$26,1,0)</f>
        <v>0</v>
      </c>
      <c r="Q16" s="17">
        <f>IF(預測IC!Q16&gt;預測IC!Q$26,1,0)</f>
        <v>0</v>
      </c>
      <c r="R16" s="17">
        <f>IF(預測IC!R16&gt;預測IC!R$26,1,0)</f>
        <v>0</v>
      </c>
      <c r="S16" s="17">
        <f>IF(預測IC!S16&gt;預測IC!S$26,1,0)</f>
        <v>0</v>
      </c>
      <c r="T16" s="17">
        <f>IF(預測IC!T16&gt;預測IC!T$26,1,0)</f>
        <v>0</v>
      </c>
      <c r="U16" s="17">
        <f>IF(預測IC!U16&gt;預測IC!U$26,1,0)</f>
        <v>0</v>
      </c>
      <c r="V16" s="17">
        <f>IF(預測IC!V16&gt;預測IC!V$26,1,0)</f>
        <v>1</v>
      </c>
      <c r="W16" s="17">
        <f>IF(預測IC!W16&gt;預測IC!W$26,1,0)</f>
        <v>1</v>
      </c>
      <c r="X16" s="17">
        <f>IF(預測IC!X16&gt;預測IC!X$26,1,0)</f>
        <v>1</v>
      </c>
      <c r="Y16" s="17">
        <f>IF(預測IC!Y16&gt;預測IC!Y$26,1,0)</f>
        <v>1</v>
      </c>
      <c r="Z16" s="17">
        <f>IF(預測IC!Z16&gt;預測IC!Z$26,1,0)</f>
        <v>1</v>
      </c>
      <c r="AA16" s="17">
        <f>IF(預測IC!AA16&gt;預測IC!AA$26,1,0)</f>
        <v>0</v>
      </c>
      <c r="AB16" s="17">
        <f>IF(預測IC!AB16&gt;預測IC!AB$26,1,0)</f>
        <v>1</v>
      </c>
      <c r="AC16" s="17">
        <f>IF(預測IC!AC16&gt;預測IC!AC$26,1,0)</f>
        <v>1</v>
      </c>
      <c r="AD16" s="17">
        <f>IF(預測IC!AD16&gt;預測IC!AD$26,1,0)</f>
        <v>1</v>
      </c>
      <c r="AE16" s="17">
        <f>IF(預測IC!AE16&gt;預測IC!AE$26,1,0)</f>
        <v>0</v>
      </c>
      <c r="AF16" s="17">
        <f>IF(預測IC!AF16&gt;預測IC!AF$26,1,0)</f>
        <v>1</v>
      </c>
      <c r="AG16" s="17">
        <f>IF(預測IC!AG16&gt;預測IC!AG$26,1,0)</f>
        <v>0</v>
      </c>
      <c r="AH16" s="17">
        <f>IF(預測IC!AH16&gt;預測IC!AH$26,1,0)</f>
        <v>0</v>
      </c>
      <c r="AI16" s="17">
        <f>IF(預測IC!AI16&gt;預測IC!AI$26,1,0)</f>
        <v>1</v>
      </c>
      <c r="AJ16" s="17">
        <f>IF(預測IC!AJ16&gt;預測IC!AJ$26,1,0)</f>
        <v>0</v>
      </c>
      <c r="AK16" s="17">
        <f>IF(預測IC!AK16&gt;預測IC!AK$26,1,0)</f>
        <v>1</v>
      </c>
      <c r="AL16" s="17">
        <f>IF(預測IC!AL16&gt;預測IC!AL$26,1,0)</f>
        <v>1</v>
      </c>
      <c r="AM16" s="17">
        <f>IF(預測IC!AM16&gt;預測IC!AM$26,1,0)</f>
        <v>1</v>
      </c>
      <c r="AN16" s="17">
        <f>IF(預測IC!AN16&gt;預測IC!AN$26,1,0)</f>
        <v>1</v>
      </c>
      <c r="AO16" s="17">
        <f>IF(預測IC!AO16&gt;預測IC!AO$26,1,0)</f>
        <v>1</v>
      </c>
      <c r="AP16" s="17">
        <f>IF(預測IC!AP16&gt;預測IC!AP$26,1,0)</f>
        <v>0</v>
      </c>
      <c r="AQ16" s="17">
        <f>IF(預測IC!AQ16&gt;預測IC!AQ$26,1,0)</f>
        <v>0</v>
      </c>
      <c r="AR16" s="17">
        <f>IF(預測IC!AR16&gt;預測IC!AR$26,1,0)</f>
        <v>1</v>
      </c>
      <c r="AS16" s="17">
        <f>IF(預測IC!AS16&gt;預測IC!AS$26,1,0)</f>
        <v>0</v>
      </c>
      <c r="AT16" s="17">
        <f>IF(預測IC!AT16&gt;預測IC!AT$26,1,0)</f>
        <v>1</v>
      </c>
      <c r="AU16" s="17">
        <f>IF(預測IC!AU16&gt;預測IC!AU$26,1,0)</f>
        <v>1</v>
      </c>
      <c r="AV16" s="17">
        <f>IF(預測IC!AV16&gt;預測IC!AV$26,1,0)</f>
        <v>0</v>
      </c>
      <c r="AW16" s="17">
        <f>IF(預測IC!AW16&gt;預測IC!AW$26,1,0)</f>
        <v>1</v>
      </c>
      <c r="AX16" s="17">
        <f>IF(預測IC!AX16&gt;預測IC!AX$26,1,0)</f>
        <v>1</v>
      </c>
      <c r="AY16" s="17">
        <f>IF(預測IC!AY16&gt;預測IC!AY$26,1,0)</f>
        <v>0</v>
      </c>
      <c r="AZ16" s="17">
        <f>IF(預測IC!AZ16&gt;預測IC!AZ$26,1,0)</f>
        <v>0</v>
      </c>
      <c r="BA16" s="17">
        <f>IF(預測IC!BA16&gt;預測IC!BA$26,1,0)</f>
        <v>1</v>
      </c>
      <c r="BB16" s="17">
        <f>IF(預測IC!BB16&gt;預測IC!BB$26,1,0)</f>
        <v>1</v>
      </c>
      <c r="BC16" s="17">
        <f>IF(預測IC!BC16&gt;預測IC!BC$26,1,0)</f>
        <v>1</v>
      </c>
      <c r="BD16" s="17">
        <f>IF(預測IC!BD16&gt;預測IC!BD$26,1,0)</f>
        <v>1</v>
      </c>
      <c r="BE16" s="17">
        <f>IF(預測IC!BE16&gt;預測IC!BE$26,1,0)</f>
        <v>1</v>
      </c>
      <c r="BF16" s="17">
        <f>IF(預測IC!BF16&gt;預測IC!BF$26,1,0)</f>
        <v>1</v>
      </c>
      <c r="BG16" s="17">
        <f>IF(預測IC!BG16&gt;預測IC!BG$26,1,0)</f>
        <v>1</v>
      </c>
      <c r="BH16" s="17">
        <f>IF(預測IC!BH16&gt;預測IC!BH$26,1,0)</f>
        <v>1</v>
      </c>
      <c r="BI16" s="17">
        <f>IF(預測IC!BI16&gt;預測IC!BI$26,1,0)</f>
        <v>1</v>
      </c>
      <c r="BJ16" s="17">
        <f>IF(預測IC!BJ16&gt;預測IC!BJ$26,1,0)</f>
        <v>0</v>
      </c>
      <c r="BK16" s="17">
        <f>IF(預測IC!BK16&gt;預測IC!BK$26,1,0)</f>
        <v>0</v>
      </c>
      <c r="BL16" s="17">
        <f>IF(預測IC!BL16&gt;預測IC!BL$26,1,0)</f>
        <v>1</v>
      </c>
      <c r="BM16" s="17">
        <f>IF(預測IC!BM16&gt;預測IC!BM$26,1,0)</f>
        <v>1</v>
      </c>
      <c r="BN16" s="17">
        <f>IF(預測IC!BN16&gt;預測IC!BN$26,1,0)</f>
        <v>0</v>
      </c>
      <c r="BO16" s="17">
        <f>IF(預測IC!BO16&gt;預測IC!BO$26,1,0)</f>
        <v>1</v>
      </c>
      <c r="BP16" s="17">
        <f>IF(預測IC!BP16&gt;預測IC!BP$26,1,0)</f>
        <v>0</v>
      </c>
      <c r="BQ16" s="17">
        <f>IF(預測IC!BQ16&gt;預測IC!BQ$26,1,0)</f>
        <v>1</v>
      </c>
      <c r="BR16" s="17">
        <f>IF(預測IC!BR16&gt;預測IC!BR$26,1,0)</f>
        <v>0</v>
      </c>
      <c r="BS16" s="17">
        <f>IF(預測IC!BS16&gt;預測IC!BS$26,1,0)</f>
        <v>0</v>
      </c>
      <c r="BT16" s="17">
        <f>IF(預測IC!BT16&gt;預測IC!BT$26,1,0)</f>
        <v>1</v>
      </c>
      <c r="BU16" s="17">
        <f>IF(預測IC!BU16&gt;預測IC!BU$26,1,0)</f>
        <v>0</v>
      </c>
      <c r="BV16" s="17">
        <f>IF(預測IC!BV16&gt;預測IC!BV$26,1,0)</f>
        <v>1</v>
      </c>
      <c r="BW16" s="17">
        <f>IF(預測IC!BW16&gt;預測IC!BW$26,1,0)</f>
        <v>0</v>
      </c>
      <c r="BX16" s="17">
        <f>IF(預測IC!BX16&gt;預測IC!BX$26,1,0)</f>
        <v>1</v>
      </c>
      <c r="BY16" s="17">
        <f>IF(預測IC!BY16&gt;預測IC!BY$26,1,0)</f>
        <v>1</v>
      </c>
      <c r="BZ16" s="17">
        <f>IF(預測IC!BZ16&gt;預測IC!BZ$26,1,0)</f>
        <v>0</v>
      </c>
      <c r="CA16" s="17">
        <f>IF(預測IC!CA16&gt;預測IC!CA$26,1,0)</f>
        <v>0</v>
      </c>
      <c r="CB16" s="17">
        <f>IF(預測IC!CB16&gt;預測IC!CB$26,1,0)</f>
        <v>0</v>
      </c>
      <c r="CC16" s="17">
        <f>IF(預測IC!CC16&gt;預測IC!CC$26,1,0)</f>
        <v>0</v>
      </c>
      <c r="CD16" s="17">
        <f>IF(預測IC!CD16&gt;預測IC!CD$26,1,0)</f>
        <v>1</v>
      </c>
      <c r="CE16" s="17">
        <f>IF(預測IC!CE16&gt;預測IC!CE$26,1,0)</f>
        <v>1</v>
      </c>
      <c r="CF16" s="17">
        <f>IF(預測IC!CF16&gt;預測IC!CF$26,1,0)</f>
        <v>0</v>
      </c>
      <c r="CG16" s="17">
        <f>IF(預測IC!CG16&gt;預測IC!CG$26,1,0)</f>
        <v>0</v>
      </c>
      <c r="CH16" s="17">
        <f>IF(預測IC!CH16&gt;預測IC!CH$26,1,0)</f>
        <v>0</v>
      </c>
      <c r="CI16" s="17">
        <f>IF(預測IC!CI16&gt;預測IC!CI$26,1,0)</f>
        <v>0</v>
      </c>
      <c r="CJ16" s="17">
        <f>IF(預測IC!CJ16&gt;預測IC!CJ$26,1,0)</f>
        <v>0</v>
      </c>
      <c r="CK16" s="17">
        <f>IF(預測IC!CK16&gt;預測IC!CK$26,1,0)</f>
        <v>1</v>
      </c>
      <c r="CL16" s="17">
        <f>IF(預測IC!CL16&gt;預測IC!CL$26,1,0)</f>
        <v>0</v>
      </c>
      <c r="CM16" s="17">
        <f>IF(預測IC!CM16&gt;預測IC!CM$26,1,0)</f>
        <v>0</v>
      </c>
      <c r="CN16" s="17">
        <f>IF(預測IC!CN16&gt;預測IC!CN$26,1,0)</f>
        <v>0</v>
      </c>
      <c r="CO16" s="17">
        <f>IF(預測IC!CO16&gt;預測IC!CO$26,1,0)</f>
        <v>1</v>
      </c>
      <c r="CP16" s="17">
        <f>IF(預測IC!CP16&gt;預測IC!CP$26,1,0)</f>
        <v>0</v>
      </c>
      <c r="CQ16" s="17">
        <f>IF(預測IC!CQ16&gt;預測IC!CQ$26,1,0)</f>
        <v>1</v>
      </c>
      <c r="CR16" s="17">
        <f>IF(預測IC!CR16&gt;預測IC!CR$26,1,0)</f>
        <v>1</v>
      </c>
      <c r="CS16" s="17">
        <f>IF(預測IC!CS16&gt;預測IC!CS$26,1,0)</f>
        <v>0</v>
      </c>
      <c r="CT16" s="17">
        <f>IF(預測IC!CT16&gt;預測IC!CT$26,1,0)</f>
        <v>1</v>
      </c>
      <c r="CU16" s="17">
        <f>IF(預測IC!CU16&gt;預測IC!CU$26,1,0)</f>
        <v>1</v>
      </c>
      <c r="CV16" s="17">
        <f>IF(預測IC!CV16&gt;預測IC!CV$26,1,0)</f>
        <v>1</v>
      </c>
      <c r="CW16" s="17">
        <f>IF(預測IC!CW16&gt;預測IC!CW$26,1,0)</f>
        <v>0</v>
      </c>
      <c r="CX16" s="17">
        <f>IF(預測IC!CX16&gt;預測IC!CX$26,1,0)</f>
        <v>1</v>
      </c>
      <c r="CY16" s="17">
        <f>IF(預測IC!CY16&gt;預測IC!CY$26,1,0)</f>
        <v>0</v>
      </c>
      <c r="CZ16" s="17">
        <f>IF(預測IC!CZ16&gt;預測IC!CZ$26,1,0)</f>
        <v>1</v>
      </c>
      <c r="DA16" s="17">
        <f>IF(預測IC!DA16&gt;預測IC!DA$26,1,0)</f>
        <v>1</v>
      </c>
      <c r="DB16" s="17">
        <f>IF(預測IC!DB16&gt;預測IC!DB$26,1,0)</f>
        <v>1</v>
      </c>
      <c r="DC16" s="17">
        <f>IF(預測IC!DC16&gt;預測IC!DC$26,1,0)</f>
        <v>1</v>
      </c>
      <c r="DD16" s="17">
        <f>IF(預測IC!DD16&gt;預測IC!DD$26,1,0)</f>
        <v>0</v>
      </c>
      <c r="DE16" s="17">
        <f>IF(預測IC!DE16&gt;預測IC!DE$26,1,0)</f>
        <v>0</v>
      </c>
      <c r="DF16" s="17">
        <f>IF(預測IC!DF16&gt;預測IC!DF$26,1,0)</f>
        <v>1</v>
      </c>
      <c r="DG16" s="17">
        <f>IF(預測IC!DG16&gt;預測IC!DG$26,1,0)</f>
        <v>0</v>
      </c>
      <c r="DH16" s="17">
        <f>IF(預測IC!DH16&gt;預測IC!DH$26,1,0)</f>
        <v>1</v>
      </c>
      <c r="DI16" s="17">
        <f>IF(預測IC!DI16&gt;預測IC!DI$26,1,0)</f>
        <v>1</v>
      </c>
      <c r="DJ16" s="17">
        <f>IF(預測IC!DJ16&gt;預測IC!DJ$26,1,0)</f>
        <v>1</v>
      </c>
      <c r="DK16" s="17">
        <f>IF(預測IC!DK16&gt;預測IC!DK$26,1,0)</f>
        <v>0</v>
      </c>
      <c r="DL16" s="17">
        <f>IF(預測IC!DL16&gt;預測IC!DL$26,1,0)</f>
        <v>0</v>
      </c>
      <c r="DM16" s="17">
        <f>IF(預測IC!DM16&gt;預測IC!DM$26,1,0)</f>
        <v>1</v>
      </c>
      <c r="DN16" s="17">
        <f>IF(預測IC!DN16&gt;預測IC!DN$26,1,0)</f>
        <v>0</v>
      </c>
      <c r="DO16" s="17">
        <f>IF(預測IC!DO16&gt;預測IC!DO$26,1,0)</f>
        <v>1</v>
      </c>
      <c r="DP16" s="17">
        <f>IF(預測IC!DP16&gt;預測IC!DP$26,1,0)</f>
        <v>0</v>
      </c>
      <c r="DQ16" s="17">
        <f>IF(預測IC!DQ16&gt;預測IC!DQ$26,1,0)</f>
        <v>0</v>
      </c>
      <c r="DR16" s="17">
        <f>IF(預測IC!DR16&gt;預測IC!DR$26,1,0)</f>
        <v>1</v>
      </c>
      <c r="DS16" s="17">
        <f>IF(預測IC!DS16&gt;預測IC!DS$26,1,0)</f>
        <v>0</v>
      </c>
      <c r="DT16" s="17">
        <f>IF(預測IC!DT16&gt;預測IC!DT$26,1,0)</f>
        <v>0</v>
      </c>
      <c r="DU16" s="17">
        <f>IF(預測IC!DU16&gt;預測IC!DU$26,1,0)</f>
        <v>0</v>
      </c>
      <c r="DV16" s="17">
        <f>IF(預測IC!DV16&gt;預測IC!DV$26,1,0)</f>
        <v>1</v>
      </c>
      <c r="DW16" s="17">
        <f>IF(預測IC!DW16&gt;預測IC!DW$26,1,0)</f>
        <v>0</v>
      </c>
      <c r="DX16" s="17">
        <f>IF(預測IC!DX16&gt;預測IC!DX$26,1,0)</f>
        <v>0</v>
      </c>
      <c r="DY16" s="17">
        <f>IF(預測IC!DY16&gt;預測IC!DY$26,1,0)</f>
        <v>1</v>
      </c>
      <c r="DZ16" s="17">
        <f>IF(預測IC!DZ16&gt;預測IC!DZ$26,1,0)</f>
        <v>1</v>
      </c>
      <c r="EA16" s="17">
        <f>IF(預測IC!EA16&gt;預測IC!EA$26,1,0)</f>
        <v>1</v>
      </c>
      <c r="EB16" s="17">
        <f>IF(預測IC!EB16&gt;預測IC!EB$26,1,0)</f>
        <v>0</v>
      </c>
      <c r="EC16" s="17">
        <f>IF(預測IC!EC16&gt;預測IC!EC$26,1,0)</f>
        <v>1</v>
      </c>
      <c r="ED16" s="17">
        <f>IF(預測IC!ED16&gt;預測IC!ED$26,1,0)</f>
        <v>0</v>
      </c>
      <c r="EE16" s="17">
        <f>IF(預測IC!EE16&gt;預測IC!EE$26,1,0)</f>
        <v>0</v>
      </c>
      <c r="EF16" s="17">
        <f>IF(預測IC!EF16&gt;預測IC!EF$26,1,0)</f>
        <v>1</v>
      </c>
      <c r="EG16">
        <f t="shared" si="10"/>
        <v>72</v>
      </c>
      <c r="EH16" s="11">
        <f t="shared" si="11"/>
        <v>0.53731343283582089</v>
      </c>
    </row>
    <row r="17" spans="1:138">
      <c r="A17" s="2">
        <v>120</v>
      </c>
      <c r="B17" s="2">
        <v>8</v>
      </c>
      <c r="C17" s="17">
        <f>IF(預測IC!C17&gt;預測IC!C$26,1,0)</f>
        <v>1</v>
      </c>
      <c r="D17" s="17">
        <f>IF(預測IC!D17&gt;預測IC!D$26,1,0)</f>
        <v>0</v>
      </c>
      <c r="E17" s="17">
        <f>IF(預測IC!E17&gt;預測IC!E$26,1,0)</f>
        <v>0</v>
      </c>
      <c r="F17" s="17">
        <f>IF(預測IC!F17&gt;預測IC!F$26,1,0)</f>
        <v>0</v>
      </c>
      <c r="G17" s="17">
        <f>IF(預測IC!G17&gt;預測IC!G$26,1,0)</f>
        <v>0</v>
      </c>
      <c r="H17" s="17">
        <f>IF(預測IC!H17&gt;預測IC!H$26,1,0)</f>
        <v>1</v>
      </c>
      <c r="I17" s="17">
        <f>IF(預測IC!I17&gt;預測IC!I$26,1,0)</f>
        <v>1</v>
      </c>
      <c r="J17" s="17">
        <f>IF(預測IC!J17&gt;預測IC!J$26,1,0)</f>
        <v>1</v>
      </c>
      <c r="K17" s="17">
        <f>IF(預測IC!K17&gt;預測IC!K$26,1,0)</f>
        <v>0</v>
      </c>
      <c r="L17" s="17">
        <f>IF(預測IC!L17&gt;預測IC!L$26,1,0)</f>
        <v>1</v>
      </c>
      <c r="M17" s="17">
        <f>IF(預測IC!M17&gt;預測IC!M$26,1,0)</f>
        <v>1</v>
      </c>
      <c r="N17" s="17">
        <f>IF(預測IC!N17&gt;預測IC!N$26,1,0)</f>
        <v>1</v>
      </c>
      <c r="O17" s="17">
        <f>IF(預測IC!O17&gt;預測IC!O$26,1,0)</f>
        <v>1</v>
      </c>
      <c r="P17" s="17">
        <f>IF(預測IC!P17&gt;預測IC!P$26,1,0)</f>
        <v>0</v>
      </c>
      <c r="Q17" s="17">
        <f>IF(預測IC!Q17&gt;預測IC!Q$26,1,0)</f>
        <v>0</v>
      </c>
      <c r="R17" s="17">
        <f>IF(預測IC!R17&gt;預測IC!R$26,1,0)</f>
        <v>0</v>
      </c>
      <c r="S17" s="17">
        <f>IF(預測IC!S17&gt;預測IC!S$26,1,0)</f>
        <v>0</v>
      </c>
      <c r="T17" s="17">
        <f>IF(預測IC!T17&gt;預測IC!T$26,1,0)</f>
        <v>0</v>
      </c>
      <c r="U17" s="17">
        <f>IF(預測IC!U17&gt;預測IC!U$26,1,0)</f>
        <v>0</v>
      </c>
      <c r="V17" s="17">
        <f>IF(預測IC!V17&gt;預測IC!V$26,1,0)</f>
        <v>1</v>
      </c>
      <c r="W17" s="17">
        <f>IF(預測IC!W17&gt;預測IC!W$26,1,0)</f>
        <v>1</v>
      </c>
      <c r="X17" s="17">
        <f>IF(預測IC!X17&gt;預測IC!X$26,1,0)</f>
        <v>1</v>
      </c>
      <c r="Y17" s="17">
        <f>IF(預測IC!Y17&gt;預測IC!Y$26,1,0)</f>
        <v>1</v>
      </c>
      <c r="Z17" s="17">
        <f>IF(預測IC!Z17&gt;預測IC!Z$26,1,0)</f>
        <v>1</v>
      </c>
      <c r="AA17" s="17">
        <f>IF(預測IC!AA17&gt;預測IC!AA$26,1,0)</f>
        <v>0</v>
      </c>
      <c r="AB17" s="17">
        <f>IF(預測IC!AB17&gt;預測IC!AB$26,1,0)</f>
        <v>1</v>
      </c>
      <c r="AC17" s="17">
        <f>IF(預測IC!AC17&gt;預測IC!AC$26,1,0)</f>
        <v>1</v>
      </c>
      <c r="AD17" s="17">
        <f>IF(預測IC!AD17&gt;預測IC!AD$26,1,0)</f>
        <v>1</v>
      </c>
      <c r="AE17" s="17">
        <f>IF(預測IC!AE17&gt;預測IC!AE$26,1,0)</f>
        <v>0</v>
      </c>
      <c r="AF17" s="17">
        <f>IF(預測IC!AF17&gt;預測IC!AF$26,1,0)</f>
        <v>1</v>
      </c>
      <c r="AG17" s="17">
        <f>IF(預測IC!AG17&gt;預測IC!AG$26,1,0)</f>
        <v>0</v>
      </c>
      <c r="AH17" s="17">
        <f>IF(預測IC!AH17&gt;預測IC!AH$26,1,0)</f>
        <v>0</v>
      </c>
      <c r="AI17" s="17">
        <f>IF(預測IC!AI17&gt;預測IC!AI$26,1,0)</f>
        <v>1</v>
      </c>
      <c r="AJ17" s="17">
        <f>IF(預測IC!AJ17&gt;預測IC!AJ$26,1,0)</f>
        <v>0</v>
      </c>
      <c r="AK17" s="17">
        <f>IF(預測IC!AK17&gt;預測IC!AK$26,1,0)</f>
        <v>1</v>
      </c>
      <c r="AL17" s="17">
        <f>IF(預測IC!AL17&gt;預測IC!AL$26,1,0)</f>
        <v>1</v>
      </c>
      <c r="AM17" s="17">
        <f>IF(預測IC!AM17&gt;預測IC!AM$26,1,0)</f>
        <v>1</v>
      </c>
      <c r="AN17" s="17">
        <f>IF(預測IC!AN17&gt;預測IC!AN$26,1,0)</f>
        <v>1</v>
      </c>
      <c r="AO17" s="17">
        <f>IF(預測IC!AO17&gt;預測IC!AO$26,1,0)</f>
        <v>1</v>
      </c>
      <c r="AP17" s="17">
        <f>IF(預測IC!AP17&gt;預測IC!AP$26,1,0)</f>
        <v>0</v>
      </c>
      <c r="AQ17" s="17">
        <f>IF(預測IC!AQ17&gt;預測IC!AQ$26,1,0)</f>
        <v>0</v>
      </c>
      <c r="AR17" s="17">
        <f>IF(預測IC!AR17&gt;預測IC!AR$26,1,0)</f>
        <v>1</v>
      </c>
      <c r="AS17" s="17">
        <f>IF(預測IC!AS17&gt;預測IC!AS$26,1,0)</f>
        <v>0</v>
      </c>
      <c r="AT17" s="17">
        <f>IF(預測IC!AT17&gt;預測IC!AT$26,1,0)</f>
        <v>1</v>
      </c>
      <c r="AU17" s="17">
        <f>IF(預測IC!AU17&gt;預測IC!AU$26,1,0)</f>
        <v>1</v>
      </c>
      <c r="AV17" s="17">
        <f>IF(預測IC!AV17&gt;預測IC!AV$26,1,0)</f>
        <v>0</v>
      </c>
      <c r="AW17" s="17">
        <f>IF(預測IC!AW17&gt;預測IC!AW$26,1,0)</f>
        <v>1</v>
      </c>
      <c r="AX17" s="17">
        <f>IF(預測IC!AX17&gt;預測IC!AX$26,1,0)</f>
        <v>1</v>
      </c>
      <c r="AY17" s="17">
        <f>IF(預測IC!AY17&gt;預測IC!AY$26,1,0)</f>
        <v>0</v>
      </c>
      <c r="AZ17" s="17">
        <f>IF(預測IC!AZ17&gt;預測IC!AZ$26,1,0)</f>
        <v>0</v>
      </c>
      <c r="BA17" s="17">
        <f>IF(預測IC!BA17&gt;預測IC!BA$26,1,0)</f>
        <v>1</v>
      </c>
      <c r="BB17" s="17">
        <f>IF(預測IC!BB17&gt;預測IC!BB$26,1,0)</f>
        <v>1</v>
      </c>
      <c r="BC17" s="17">
        <f>IF(預測IC!BC17&gt;預測IC!BC$26,1,0)</f>
        <v>1</v>
      </c>
      <c r="BD17" s="17">
        <f>IF(預測IC!BD17&gt;預測IC!BD$26,1,0)</f>
        <v>1</v>
      </c>
      <c r="BE17" s="17">
        <f>IF(預測IC!BE17&gt;預測IC!BE$26,1,0)</f>
        <v>1</v>
      </c>
      <c r="BF17" s="17">
        <f>IF(預測IC!BF17&gt;預測IC!BF$26,1,0)</f>
        <v>1</v>
      </c>
      <c r="BG17" s="17">
        <f>IF(預測IC!BG17&gt;預測IC!BG$26,1,0)</f>
        <v>0</v>
      </c>
      <c r="BH17" s="17">
        <f>IF(預測IC!BH17&gt;預測IC!BH$26,1,0)</f>
        <v>1</v>
      </c>
      <c r="BI17" s="17">
        <f>IF(預測IC!BI17&gt;預測IC!BI$26,1,0)</f>
        <v>1</v>
      </c>
      <c r="BJ17" s="17">
        <f>IF(預測IC!BJ17&gt;預測IC!BJ$26,1,0)</f>
        <v>1</v>
      </c>
      <c r="BK17" s="17">
        <f>IF(預測IC!BK17&gt;預測IC!BK$26,1,0)</f>
        <v>0</v>
      </c>
      <c r="BL17" s="17">
        <f>IF(預測IC!BL17&gt;預測IC!BL$26,1,0)</f>
        <v>1</v>
      </c>
      <c r="BM17" s="17">
        <f>IF(預測IC!BM17&gt;預測IC!BM$26,1,0)</f>
        <v>1</v>
      </c>
      <c r="BN17" s="17">
        <f>IF(預測IC!BN17&gt;預測IC!BN$26,1,0)</f>
        <v>0</v>
      </c>
      <c r="BO17" s="17">
        <f>IF(預測IC!BO17&gt;預測IC!BO$26,1,0)</f>
        <v>1</v>
      </c>
      <c r="BP17" s="17">
        <f>IF(預測IC!BP17&gt;預測IC!BP$26,1,0)</f>
        <v>1</v>
      </c>
      <c r="BQ17" s="17">
        <f>IF(預測IC!BQ17&gt;預測IC!BQ$26,1,0)</f>
        <v>1</v>
      </c>
      <c r="BR17" s="17">
        <f>IF(預測IC!BR17&gt;預測IC!BR$26,1,0)</f>
        <v>1</v>
      </c>
      <c r="BS17" s="17">
        <f>IF(預測IC!BS17&gt;預測IC!BS$26,1,0)</f>
        <v>0</v>
      </c>
      <c r="BT17" s="17">
        <f>IF(預測IC!BT17&gt;預測IC!BT$26,1,0)</f>
        <v>1</v>
      </c>
      <c r="BU17" s="17">
        <f>IF(預測IC!BU17&gt;預測IC!BU$26,1,0)</f>
        <v>0</v>
      </c>
      <c r="BV17" s="17">
        <f>IF(預測IC!BV17&gt;預測IC!BV$26,1,0)</f>
        <v>1</v>
      </c>
      <c r="BW17" s="17">
        <f>IF(預測IC!BW17&gt;預測IC!BW$26,1,0)</f>
        <v>0</v>
      </c>
      <c r="BX17" s="17">
        <f>IF(預測IC!BX17&gt;預測IC!BX$26,1,0)</f>
        <v>1</v>
      </c>
      <c r="BY17" s="17">
        <f>IF(預測IC!BY17&gt;預測IC!BY$26,1,0)</f>
        <v>1</v>
      </c>
      <c r="BZ17" s="17">
        <f>IF(預測IC!BZ17&gt;預測IC!BZ$26,1,0)</f>
        <v>0</v>
      </c>
      <c r="CA17" s="17">
        <f>IF(預測IC!CA17&gt;預測IC!CA$26,1,0)</f>
        <v>0</v>
      </c>
      <c r="CB17" s="17">
        <f>IF(預測IC!CB17&gt;預測IC!CB$26,1,0)</f>
        <v>0</v>
      </c>
      <c r="CC17" s="17">
        <f>IF(預測IC!CC17&gt;預測IC!CC$26,1,0)</f>
        <v>0</v>
      </c>
      <c r="CD17" s="17">
        <f>IF(預測IC!CD17&gt;預測IC!CD$26,1,0)</f>
        <v>1</v>
      </c>
      <c r="CE17" s="17">
        <f>IF(預測IC!CE17&gt;預測IC!CE$26,1,0)</f>
        <v>1</v>
      </c>
      <c r="CF17" s="17">
        <f>IF(預測IC!CF17&gt;預測IC!CF$26,1,0)</f>
        <v>0</v>
      </c>
      <c r="CG17" s="17">
        <f>IF(預測IC!CG17&gt;預測IC!CG$26,1,0)</f>
        <v>0</v>
      </c>
      <c r="CH17" s="17">
        <f>IF(預測IC!CH17&gt;預測IC!CH$26,1,0)</f>
        <v>0</v>
      </c>
      <c r="CI17" s="17">
        <f>IF(預測IC!CI17&gt;預測IC!CI$26,1,0)</f>
        <v>0</v>
      </c>
      <c r="CJ17" s="17">
        <f>IF(預測IC!CJ17&gt;預測IC!CJ$26,1,0)</f>
        <v>0</v>
      </c>
      <c r="CK17" s="17">
        <f>IF(預測IC!CK17&gt;預測IC!CK$26,1,0)</f>
        <v>1</v>
      </c>
      <c r="CL17" s="17">
        <f>IF(預測IC!CL17&gt;預測IC!CL$26,1,0)</f>
        <v>0</v>
      </c>
      <c r="CM17" s="17">
        <f>IF(預測IC!CM17&gt;預測IC!CM$26,1,0)</f>
        <v>0</v>
      </c>
      <c r="CN17" s="17">
        <f>IF(預測IC!CN17&gt;預測IC!CN$26,1,0)</f>
        <v>0</v>
      </c>
      <c r="CO17" s="17">
        <f>IF(預測IC!CO17&gt;預測IC!CO$26,1,0)</f>
        <v>1</v>
      </c>
      <c r="CP17" s="17">
        <f>IF(預測IC!CP17&gt;預測IC!CP$26,1,0)</f>
        <v>0</v>
      </c>
      <c r="CQ17" s="17">
        <f>IF(預測IC!CQ17&gt;預測IC!CQ$26,1,0)</f>
        <v>1</v>
      </c>
      <c r="CR17" s="17">
        <f>IF(預測IC!CR17&gt;預測IC!CR$26,1,0)</f>
        <v>1</v>
      </c>
      <c r="CS17" s="17">
        <f>IF(預測IC!CS17&gt;預測IC!CS$26,1,0)</f>
        <v>0</v>
      </c>
      <c r="CT17" s="17">
        <f>IF(預測IC!CT17&gt;預測IC!CT$26,1,0)</f>
        <v>1</v>
      </c>
      <c r="CU17" s="17">
        <f>IF(預測IC!CU17&gt;預測IC!CU$26,1,0)</f>
        <v>1</v>
      </c>
      <c r="CV17" s="17">
        <f>IF(預測IC!CV17&gt;預測IC!CV$26,1,0)</f>
        <v>1</v>
      </c>
      <c r="CW17" s="17">
        <f>IF(預測IC!CW17&gt;預測IC!CW$26,1,0)</f>
        <v>0</v>
      </c>
      <c r="CX17" s="17">
        <f>IF(預測IC!CX17&gt;預測IC!CX$26,1,0)</f>
        <v>1</v>
      </c>
      <c r="CY17" s="17">
        <f>IF(預測IC!CY17&gt;預測IC!CY$26,1,0)</f>
        <v>0</v>
      </c>
      <c r="CZ17" s="17">
        <f>IF(預測IC!CZ17&gt;預測IC!CZ$26,1,0)</f>
        <v>1</v>
      </c>
      <c r="DA17" s="17">
        <f>IF(預測IC!DA17&gt;預測IC!DA$26,1,0)</f>
        <v>1</v>
      </c>
      <c r="DB17" s="17">
        <f>IF(預測IC!DB17&gt;預測IC!DB$26,1,0)</f>
        <v>1</v>
      </c>
      <c r="DC17" s="17">
        <f>IF(預測IC!DC17&gt;預測IC!DC$26,1,0)</f>
        <v>1</v>
      </c>
      <c r="DD17" s="17">
        <f>IF(預測IC!DD17&gt;預測IC!DD$26,1,0)</f>
        <v>0</v>
      </c>
      <c r="DE17" s="17">
        <f>IF(預測IC!DE17&gt;預測IC!DE$26,1,0)</f>
        <v>0</v>
      </c>
      <c r="DF17" s="17">
        <f>IF(預測IC!DF17&gt;預測IC!DF$26,1,0)</f>
        <v>1</v>
      </c>
      <c r="DG17" s="17">
        <f>IF(預測IC!DG17&gt;預測IC!DG$26,1,0)</f>
        <v>0</v>
      </c>
      <c r="DH17" s="17">
        <f>IF(預測IC!DH17&gt;預測IC!DH$26,1,0)</f>
        <v>1</v>
      </c>
      <c r="DI17" s="17">
        <f>IF(預測IC!DI17&gt;預測IC!DI$26,1,0)</f>
        <v>1</v>
      </c>
      <c r="DJ17" s="17">
        <f>IF(預測IC!DJ17&gt;預測IC!DJ$26,1,0)</f>
        <v>1</v>
      </c>
      <c r="DK17" s="17">
        <f>IF(預測IC!DK17&gt;預測IC!DK$26,1,0)</f>
        <v>0</v>
      </c>
      <c r="DL17" s="17">
        <f>IF(預測IC!DL17&gt;預測IC!DL$26,1,0)</f>
        <v>0</v>
      </c>
      <c r="DM17" s="17">
        <f>IF(預測IC!DM17&gt;預測IC!DM$26,1,0)</f>
        <v>1</v>
      </c>
      <c r="DN17" s="17">
        <f>IF(預測IC!DN17&gt;預測IC!DN$26,1,0)</f>
        <v>0</v>
      </c>
      <c r="DO17" s="17">
        <f>IF(預測IC!DO17&gt;預測IC!DO$26,1,0)</f>
        <v>1</v>
      </c>
      <c r="DP17" s="17">
        <f>IF(預測IC!DP17&gt;預測IC!DP$26,1,0)</f>
        <v>0</v>
      </c>
      <c r="DQ17" s="17">
        <f>IF(預測IC!DQ17&gt;預測IC!DQ$26,1,0)</f>
        <v>0</v>
      </c>
      <c r="DR17" s="17">
        <f>IF(預測IC!DR17&gt;預測IC!DR$26,1,0)</f>
        <v>1</v>
      </c>
      <c r="DS17" s="17">
        <f>IF(預測IC!DS17&gt;預測IC!DS$26,1,0)</f>
        <v>0</v>
      </c>
      <c r="DT17" s="17">
        <f>IF(預測IC!DT17&gt;預測IC!DT$26,1,0)</f>
        <v>0</v>
      </c>
      <c r="DU17" s="17">
        <f>IF(預測IC!DU17&gt;預測IC!DU$26,1,0)</f>
        <v>0</v>
      </c>
      <c r="DV17" s="17">
        <f>IF(預測IC!DV17&gt;預測IC!DV$26,1,0)</f>
        <v>1</v>
      </c>
      <c r="DW17" s="17">
        <f>IF(預測IC!DW17&gt;預測IC!DW$26,1,0)</f>
        <v>0</v>
      </c>
      <c r="DX17" s="17">
        <f>IF(預測IC!DX17&gt;預測IC!DX$26,1,0)</f>
        <v>0</v>
      </c>
      <c r="DY17" s="17">
        <f>IF(預測IC!DY17&gt;預測IC!DY$26,1,0)</f>
        <v>1</v>
      </c>
      <c r="DZ17" s="17">
        <f>IF(預測IC!DZ17&gt;預測IC!DZ$26,1,0)</f>
        <v>1</v>
      </c>
      <c r="EA17" s="17">
        <f>IF(預測IC!EA17&gt;預測IC!EA$26,1,0)</f>
        <v>1</v>
      </c>
      <c r="EB17" s="17">
        <f>IF(預測IC!EB17&gt;預測IC!EB$26,1,0)</f>
        <v>0</v>
      </c>
      <c r="EC17" s="17">
        <f>IF(預測IC!EC17&gt;預測IC!EC$26,1,0)</f>
        <v>1</v>
      </c>
      <c r="ED17" s="17">
        <f>IF(預測IC!ED17&gt;預測IC!ED$26,1,0)</f>
        <v>0</v>
      </c>
      <c r="EE17" s="17">
        <f>IF(預測IC!EE17&gt;預測IC!EE$26,1,0)</f>
        <v>0</v>
      </c>
      <c r="EF17" s="17">
        <f>IF(預測IC!EF17&gt;預測IC!EF$26,1,0)</f>
        <v>1</v>
      </c>
      <c r="EG17">
        <f t="shared" si="10"/>
        <v>74</v>
      </c>
      <c r="EH17" s="11">
        <f t="shared" si="11"/>
        <v>0.55223880597014929</v>
      </c>
    </row>
    <row r="18" spans="1:138">
      <c r="A18" s="2">
        <v>137</v>
      </c>
      <c r="B18" s="2">
        <v>7</v>
      </c>
      <c r="C18" s="17">
        <f>IF(預測IC!C18&gt;預測IC!C$26,1,0)</f>
        <v>1</v>
      </c>
      <c r="D18" s="17">
        <f>IF(預測IC!D18&gt;預測IC!D$26,1,0)</f>
        <v>0</v>
      </c>
      <c r="E18" s="17">
        <f>IF(預測IC!E18&gt;預測IC!E$26,1,0)</f>
        <v>0</v>
      </c>
      <c r="F18" s="17">
        <f>IF(預測IC!F18&gt;預測IC!F$26,1,0)</f>
        <v>0</v>
      </c>
      <c r="G18" s="17">
        <f>IF(預測IC!G18&gt;預測IC!G$26,1,0)</f>
        <v>0</v>
      </c>
      <c r="H18" s="17">
        <f>IF(預測IC!H18&gt;預測IC!H$26,1,0)</f>
        <v>1</v>
      </c>
      <c r="I18" s="17">
        <f>IF(預測IC!I18&gt;預測IC!I$26,1,0)</f>
        <v>1</v>
      </c>
      <c r="J18" s="17">
        <f>IF(預測IC!J18&gt;預測IC!J$26,1,0)</f>
        <v>1</v>
      </c>
      <c r="K18" s="17">
        <f>IF(預測IC!K18&gt;預測IC!K$26,1,0)</f>
        <v>0</v>
      </c>
      <c r="L18" s="17">
        <f>IF(預測IC!L18&gt;預測IC!L$26,1,0)</f>
        <v>1</v>
      </c>
      <c r="M18" s="17">
        <f>IF(預測IC!M18&gt;預測IC!M$26,1,0)</f>
        <v>1</v>
      </c>
      <c r="N18" s="17">
        <f>IF(預測IC!N18&gt;預測IC!N$26,1,0)</f>
        <v>1</v>
      </c>
      <c r="O18" s="17">
        <f>IF(預測IC!O18&gt;預測IC!O$26,1,0)</f>
        <v>1</v>
      </c>
      <c r="P18" s="17">
        <f>IF(預測IC!P18&gt;預測IC!P$26,1,0)</f>
        <v>0</v>
      </c>
      <c r="Q18" s="17">
        <f>IF(預測IC!Q18&gt;預測IC!Q$26,1,0)</f>
        <v>0</v>
      </c>
      <c r="R18" s="17">
        <f>IF(預測IC!R18&gt;預測IC!R$26,1,0)</f>
        <v>0</v>
      </c>
      <c r="S18" s="17">
        <f>IF(預測IC!S18&gt;預測IC!S$26,1,0)</f>
        <v>0</v>
      </c>
      <c r="T18" s="17">
        <f>IF(預測IC!T18&gt;預測IC!T$26,1,0)</f>
        <v>0</v>
      </c>
      <c r="U18" s="17">
        <f>IF(預測IC!U18&gt;預測IC!U$26,1,0)</f>
        <v>0</v>
      </c>
      <c r="V18" s="17">
        <f>IF(預測IC!V18&gt;預測IC!V$26,1,0)</f>
        <v>1</v>
      </c>
      <c r="W18" s="17">
        <f>IF(預測IC!W18&gt;預測IC!W$26,1,0)</f>
        <v>1</v>
      </c>
      <c r="X18" s="17">
        <f>IF(預測IC!X18&gt;預測IC!X$26,1,0)</f>
        <v>1</v>
      </c>
      <c r="Y18" s="17">
        <f>IF(預測IC!Y18&gt;預測IC!Y$26,1,0)</f>
        <v>1</v>
      </c>
      <c r="Z18" s="17">
        <f>IF(預測IC!Z18&gt;預測IC!Z$26,1,0)</f>
        <v>1</v>
      </c>
      <c r="AA18" s="17">
        <f>IF(預測IC!AA18&gt;預測IC!AA$26,1,0)</f>
        <v>0</v>
      </c>
      <c r="AB18" s="17">
        <f>IF(預測IC!AB18&gt;預測IC!AB$26,1,0)</f>
        <v>1</v>
      </c>
      <c r="AC18" s="17">
        <f>IF(預測IC!AC18&gt;預測IC!AC$26,1,0)</f>
        <v>1</v>
      </c>
      <c r="AD18" s="17">
        <f>IF(預測IC!AD18&gt;預測IC!AD$26,1,0)</f>
        <v>1</v>
      </c>
      <c r="AE18" s="17">
        <f>IF(預測IC!AE18&gt;預測IC!AE$26,1,0)</f>
        <v>0</v>
      </c>
      <c r="AF18" s="17">
        <f>IF(預測IC!AF18&gt;預測IC!AF$26,1,0)</f>
        <v>1</v>
      </c>
      <c r="AG18" s="17">
        <f>IF(預測IC!AG18&gt;預測IC!AG$26,1,0)</f>
        <v>0</v>
      </c>
      <c r="AH18" s="17">
        <f>IF(預測IC!AH18&gt;預測IC!AH$26,1,0)</f>
        <v>0</v>
      </c>
      <c r="AI18" s="17">
        <f>IF(預測IC!AI18&gt;預測IC!AI$26,1,0)</f>
        <v>1</v>
      </c>
      <c r="AJ18" s="17">
        <f>IF(預測IC!AJ18&gt;預測IC!AJ$26,1,0)</f>
        <v>0</v>
      </c>
      <c r="AK18" s="17">
        <f>IF(預測IC!AK18&gt;預測IC!AK$26,1,0)</f>
        <v>1</v>
      </c>
      <c r="AL18" s="17">
        <f>IF(預測IC!AL18&gt;預測IC!AL$26,1,0)</f>
        <v>1</v>
      </c>
      <c r="AM18" s="17">
        <f>IF(預測IC!AM18&gt;預測IC!AM$26,1,0)</f>
        <v>1</v>
      </c>
      <c r="AN18" s="17">
        <f>IF(預測IC!AN18&gt;預測IC!AN$26,1,0)</f>
        <v>1</v>
      </c>
      <c r="AO18" s="17">
        <f>IF(預測IC!AO18&gt;預測IC!AO$26,1,0)</f>
        <v>0</v>
      </c>
      <c r="AP18" s="17">
        <f>IF(預測IC!AP18&gt;預測IC!AP$26,1,0)</f>
        <v>0</v>
      </c>
      <c r="AQ18" s="17">
        <f>IF(預測IC!AQ18&gt;預測IC!AQ$26,1,0)</f>
        <v>0</v>
      </c>
      <c r="AR18" s="17">
        <f>IF(預測IC!AR18&gt;預測IC!AR$26,1,0)</f>
        <v>1</v>
      </c>
      <c r="AS18" s="17">
        <f>IF(預測IC!AS18&gt;預測IC!AS$26,1,0)</f>
        <v>0</v>
      </c>
      <c r="AT18" s="17">
        <f>IF(預測IC!AT18&gt;預測IC!AT$26,1,0)</f>
        <v>1</v>
      </c>
      <c r="AU18" s="17">
        <f>IF(預測IC!AU18&gt;預測IC!AU$26,1,0)</f>
        <v>1</v>
      </c>
      <c r="AV18" s="17">
        <f>IF(預測IC!AV18&gt;預測IC!AV$26,1,0)</f>
        <v>0</v>
      </c>
      <c r="AW18" s="17">
        <f>IF(預測IC!AW18&gt;預測IC!AW$26,1,0)</f>
        <v>1</v>
      </c>
      <c r="AX18" s="17">
        <f>IF(預測IC!AX18&gt;預測IC!AX$26,1,0)</f>
        <v>1</v>
      </c>
      <c r="AY18" s="17">
        <f>IF(預測IC!AY18&gt;預測IC!AY$26,1,0)</f>
        <v>0</v>
      </c>
      <c r="AZ18" s="17">
        <f>IF(預測IC!AZ18&gt;預測IC!AZ$26,1,0)</f>
        <v>0</v>
      </c>
      <c r="BA18" s="17">
        <f>IF(預測IC!BA18&gt;預測IC!BA$26,1,0)</f>
        <v>0</v>
      </c>
      <c r="BB18" s="17">
        <f>IF(預測IC!BB18&gt;預測IC!BB$26,1,0)</f>
        <v>1</v>
      </c>
      <c r="BC18" s="17">
        <f>IF(預測IC!BC18&gt;預測IC!BC$26,1,0)</f>
        <v>1</v>
      </c>
      <c r="BD18" s="17">
        <f>IF(預測IC!BD18&gt;預測IC!BD$26,1,0)</f>
        <v>0</v>
      </c>
      <c r="BE18" s="17">
        <f>IF(預測IC!BE18&gt;預測IC!BE$26,1,0)</f>
        <v>1</v>
      </c>
      <c r="BF18" s="17">
        <f>IF(預測IC!BF18&gt;預測IC!BF$26,1,0)</f>
        <v>1</v>
      </c>
      <c r="BG18" s="17">
        <f>IF(預測IC!BG18&gt;預測IC!BG$26,1,0)</f>
        <v>0</v>
      </c>
      <c r="BH18" s="17">
        <f>IF(預測IC!BH18&gt;預測IC!BH$26,1,0)</f>
        <v>1</v>
      </c>
      <c r="BI18" s="17">
        <f>IF(預測IC!BI18&gt;預測IC!BI$26,1,0)</f>
        <v>1</v>
      </c>
      <c r="BJ18" s="17">
        <f>IF(預測IC!BJ18&gt;預測IC!BJ$26,1,0)</f>
        <v>1</v>
      </c>
      <c r="BK18" s="17">
        <f>IF(預測IC!BK18&gt;預測IC!BK$26,1,0)</f>
        <v>0</v>
      </c>
      <c r="BL18" s="17">
        <f>IF(預測IC!BL18&gt;預測IC!BL$26,1,0)</f>
        <v>1</v>
      </c>
      <c r="BM18" s="17">
        <f>IF(預測IC!BM18&gt;預測IC!BM$26,1,0)</f>
        <v>1</v>
      </c>
      <c r="BN18" s="17">
        <f>IF(預測IC!BN18&gt;預測IC!BN$26,1,0)</f>
        <v>0</v>
      </c>
      <c r="BO18" s="17">
        <f>IF(預測IC!BO18&gt;預測IC!BO$26,1,0)</f>
        <v>1</v>
      </c>
      <c r="BP18" s="17">
        <f>IF(預測IC!BP18&gt;預測IC!BP$26,1,0)</f>
        <v>1</v>
      </c>
      <c r="BQ18" s="17">
        <f>IF(預測IC!BQ18&gt;預測IC!BQ$26,1,0)</f>
        <v>0</v>
      </c>
      <c r="BR18" s="17">
        <f>IF(預測IC!BR18&gt;預測IC!BR$26,1,0)</f>
        <v>1</v>
      </c>
      <c r="BS18" s="17">
        <f>IF(預測IC!BS18&gt;預測IC!BS$26,1,0)</f>
        <v>0</v>
      </c>
      <c r="BT18" s="17">
        <f>IF(預測IC!BT18&gt;預測IC!BT$26,1,0)</f>
        <v>1</v>
      </c>
      <c r="BU18" s="17">
        <f>IF(預測IC!BU18&gt;預測IC!BU$26,1,0)</f>
        <v>0</v>
      </c>
      <c r="BV18" s="17">
        <f>IF(預測IC!BV18&gt;預測IC!BV$26,1,0)</f>
        <v>1</v>
      </c>
      <c r="BW18" s="17">
        <f>IF(預測IC!BW18&gt;預測IC!BW$26,1,0)</f>
        <v>0</v>
      </c>
      <c r="BX18" s="17">
        <f>IF(預測IC!BX18&gt;預測IC!BX$26,1,0)</f>
        <v>1</v>
      </c>
      <c r="BY18" s="17">
        <f>IF(預測IC!BY18&gt;預測IC!BY$26,1,0)</f>
        <v>1</v>
      </c>
      <c r="BZ18" s="17">
        <f>IF(預測IC!BZ18&gt;預測IC!BZ$26,1,0)</f>
        <v>1</v>
      </c>
      <c r="CA18" s="17">
        <f>IF(預測IC!CA18&gt;預測IC!CA$26,1,0)</f>
        <v>0</v>
      </c>
      <c r="CB18" s="17">
        <f>IF(預測IC!CB18&gt;預測IC!CB$26,1,0)</f>
        <v>0</v>
      </c>
      <c r="CC18" s="17">
        <f>IF(預測IC!CC18&gt;預測IC!CC$26,1,0)</f>
        <v>0</v>
      </c>
      <c r="CD18" s="17">
        <f>IF(預測IC!CD18&gt;預測IC!CD$26,1,0)</f>
        <v>1</v>
      </c>
      <c r="CE18" s="17">
        <f>IF(預測IC!CE18&gt;預測IC!CE$26,1,0)</f>
        <v>1</v>
      </c>
      <c r="CF18" s="17">
        <f>IF(預測IC!CF18&gt;預測IC!CF$26,1,0)</f>
        <v>0</v>
      </c>
      <c r="CG18" s="17">
        <f>IF(預測IC!CG18&gt;預測IC!CG$26,1,0)</f>
        <v>0</v>
      </c>
      <c r="CH18" s="17">
        <f>IF(預測IC!CH18&gt;預測IC!CH$26,1,0)</f>
        <v>1</v>
      </c>
      <c r="CI18" s="17">
        <f>IF(預測IC!CI18&gt;預測IC!CI$26,1,0)</f>
        <v>0</v>
      </c>
      <c r="CJ18" s="17">
        <f>IF(預測IC!CJ18&gt;預測IC!CJ$26,1,0)</f>
        <v>0</v>
      </c>
      <c r="CK18" s="17">
        <f>IF(預測IC!CK18&gt;預測IC!CK$26,1,0)</f>
        <v>1</v>
      </c>
      <c r="CL18" s="17">
        <f>IF(預測IC!CL18&gt;預測IC!CL$26,1,0)</f>
        <v>0</v>
      </c>
      <c r="CM18" s="17">
        <f>IF(預測IC!CM18&gt;預測IC!CM$26,1,0)</f>
        <v>0</v>
      </c>
      <c r="CN18" s="17">
        <f>IF(預測IC!CN18&gt;預測IC!CN$26,1,0)</f>
        <v>0</v>
      </c>
      <c r="CO18" s="17">
        <f>IF(預測IC!CO18&gt;預測IC!CO$26,1,0)</f>
        <v>1</v>
      </c>
      <c r="CP18" s="17">
        <f>IF(預測IC!CP18&gt;預測IC!CP$26,1,0)</f>
        <v>0</v>
      </c>
      <c r="CQ18" s="17">
        <f>IF(預測IC!CQ18&gt;預測IC!CQ$26,1,0)</f>
        <v>1</v>
      </c>
      <c r="CR18" s="17">
        <f>IF(預測IC!CR18&gt;預測IC!CR$26,1,0)</f>
        <v>1</v>
      </c>
      <c r="CS18" s="17">
        <f>IF(預測IC!CS18&gt;預測IC!CS$26,1,0)</f>
        <v>1</v>
      </c>
      <c r="CT18" s="17">
        <f>IF(預測IC!CT18&gt;預測IC!CT$26,1,0)</f>
        <v>1</v>
      </c>
      <c r="CU18" s="17">
        <f>IF(預測IC!CU18&gt;預測IC!CU$26,1,0)</f>
        <v>1</v>
      </c>
      <c r="CV18" s="17">
        <f>IF(預測IC!CV18&gt;預測IC!CV$26,1,0)</f>
        <v>1</v>
      </c>
      <c r="CW18" s="17">
        <f>IF(預測IC!CW18&gt;預測IC!CW$26,1,0)</f>
        <v>0</v>
      </c>
      <c r="CX18" s="17">
        <f>IF(預測IC!CX18&gt;預測IC!CX$26,1,0)</f>
        <v>1</v>
      </c>
      <c r="CY18" s="17">
        <f>IF(預測IC!CY18&gt;預測IC!CY$26,1,0)</f>
        <v>0</v>
      </c>
      <c r="CZ18" s="17">
        <f>IF(預測IC!CZ18&gt;預測IC!CZ$26,1,0)</f>
        <v>1</v>
      </c>
      <c r="DA18" s="17">
        <f>IF(預測IC!DA18&gt;預測IC!DA$26,1,0)</f>
        <v>1</v>
      </c>
      <c r="DB18" s="17">
        <f>IF(預測IC!DB18&gt;預測IC!DB$26,1,0)</f>
        <v>1</v>
      </c>
      <c r="DC18" s="17">
        <f>IF(預測IC!DC18&gt;預測IC!DC$26,1,0)</f>
        <v>1</v>
      </c>
      <c r="DD18" s="17">
        <f>IF(預測IC!DD18&gt;預測IC!DD$26,1,0)</f>
        <v>0</v>
      </c>
      <c r="DE18" s="17">
        <f>IF(預測IC!DE18&gt;預測IC!DE$26,1,0)</f>
        <v>0</v>
      </c>
      <c r="DF18" s="17">
        <f>IF(預測IC!DF18&gt;預測IC!DF$26,1,0)</f>
        <v>1</v>
      </c>
      <c r="DG18" s="17">
        <f>IF(預測IC!DG18&gt;預測IC!DG$26,1,0)</f>
        <v>0</v>
      </c>
      <c r="DH18" s="17">
        <f>IF(預測IC!DH18&gt;預測IC!DH$26,1,0)</f>
        <v>1</v>
      </c>
      <c r="DI18" s="17">
        <f>IF(預測IC!DI18&gt;預測IC!DI$26,1,0)</f>
        <v>1</v>
      </c>
      <c r="DJ18" s="17">
        <f>IF(預測IC!DJ18&gt;預測IC!DJ$26,1,0)</f>
        <v>1</v>
      </c>
      <c r="DK18" s="17">
        <f>IF(預測IC!DK18&gt;預測IC!DK$26,1,0)</f>
        <v>0</v>
      </c>
      <c r="DL18" s="17">
        <f>IF(預測IC!DL18&gt;預測IC!DL$26,1,0)</f>
        <v>0</v>
      </c>
      <c r="DM18" s="17">
        <f>IF(預測IC!DM18&gt;預測IC!DM$26,1,0)</f>
        <v>1</v>
      </c>
      <c r="DN18" s="17">
        <f>IF(預測IC!DN18&gt;預測IC!DN$26,1,0)</f>
        <v>0</v>
      </c>
      <c r="DO18" s="17">
        <f>IF(預測IC!DO18&gt;預測IC!DO$26,1,0)</f>
        <v>1</v>
      </c>
      <c r="DP18" s="17">
        <f>IF(預測IC!DP18&gt;預測IC!DP$26,1,0)</f>
        <v>1</v>
      </c>
      <c r="DQ18" s="17">
        <f>IF(預測IC!DQ18&gt;預測IC!DQ$26,1,0)</f>
        <v>0</v>
      </c>
      <c r="DR18" s="17">
        <f>IF(預測IC!DR18&gt;預測IC!DR$26,1,0)</f>
        <v>1</v>
      </c>
      <c r="DS18" s="17">
        <f>IF(預測IC!DS18&gt;預測IC!DS$26,1,0)</f>
        <v>0</v>
      </c>
      <c r="DT18" s="17">
        <f>IF(預測IC!DT18&gt;預測IC!DT$26,1,0)</f>
        <v>0</v>
      </c>
      <c r="DU18" s="17">
        <f>IF(預測IC!DU18&gt;預測IC!DU$26,1,0)</f>
        <v>0</v>
      </c>
      <c r="DV18" s="17">
        <f>IF(預測IC!DV18&gt;預測IC!DV$26,1,0)</f>
        <v>1</v>
      </c>
      <c r="DW18" s="17">
        <f>IF(預測IC!DW18&gt;預測IC!DW$26,1,0)</f>
        <v>0</v>
      </c>
      <c r="DX18" s="17">
        <f>IF(預測IC!DX18&gt;預測IC!DX$26,1,0)</f>
        <v>0</v>
      </c>
      <c r="DY18" s="17">
        <f>IF(預測IC!DY18&gt;預測IC!DY$26,1,0)</f>
        <v>1</v>
      </c>
      <c r="DZ18" s="17">
        <f>IF(預測IC!DZ18&gt;預測IC!DZ$26,1,0)</f>
        <v>1</v>
      </c>
      <c r="EA18" s="17">
        <f>IF(預測IC!EA18&gt;預測IC!EA$26,1,0)</f>
        <v>1</v>
      </c>
      <c r="EB18" s="17">
        <f>IF(預測IC!EB18&gt;預測IC!EB$26,1,0)</f>
        <v>0</v>
      </c>
      <c r="EC18" s="17">
        <f>IF(預測IC!EC18&gt;預測IC!EC$26,1,0)</f>
        <v>1</v>
      </c>
      <c r="ED18" s="17">
        <f>IF(預測IC!ED18&gt;預測IC!ED$26,1,0)</f>
        <v>0</v>
      </c>
      <c r="EE18" s="17">
        <f>IF(預測IC!EE18&gt;預測IC!EE$26,1,0)</f>
        <v>0</v>
      </c>
      <c r="EF18" s="17">
        <f>IF(預測IC!EF18&gt;預測IC!EF$26,1,0)</f>
        <v>1</v>
      </c>
      <c r="EG18">
        <f t="shared" si="10"/>
        <v>74</v>
      </c>
      <c r="EH18" s="11">
        <f t="shared" si="11"/>
        <v>0.55223880597014929</v>
      </c>
    </row>
    <row r="19" spans="1:138">
      <c r="A19" s="2">
        <v>160</v>
      </c>
      <c r="B19" s="2">
        <v>6</v>
      </c>
      <c r="C19" s="17">
        <f>IF(預測IC!C19&gt;預測IC!C$26,1,0)</f>
        <v>1</v>
      </c>
      <c r="D19" s="17">
        <f>IF(預測IC!D19&gt;預測IC!D$26,1,0)</f>
        <v>0</v>
      </c>
      <c r="E19" s="17">
        <f>IF(預測IC!E19&gt;預測IC!E$26,1,0)</f>
        <v>0</v>
      </c>
      <c r="F19" s="17">
        <f>IF(預測IC!F19&gt;預測IC!F$26,1,0)</f>
        <v>0</v>
      </c>
      <c r="G19" s="17">
        <f>IF(預測IC!G19&gt;預測IC!G$26,1,0)</f>
        <v>0</v>
      </c>
      <c r="H19" s="17">
        <f>IF(預測IC!H19&gt;預測IC!H$26,1,0)</f>
        <v>1</v>
      </c>
      <c r="I19" s="17">
        <f>IF(預測IC!I19&gt;預測IC!I$26,1,0)</f>
        <v>1</v>
      </c>
      <c r="J19" s="17">
        <f>IF(預測IC!J19&gt;預測IC!J$26,1,0)</f>
        <v>1</v>
      </c>
      <c r="K19" s="17">
        <f>IF(預測IC!K19&gt;預測IC!K$26,1,0)</f>
        <v>0</v>
      </c>
      <c r="L19" s="17">
        <f>IF(預測IC!L19&gt;預測IC!L$26,1,0)</f>
        <v>1</v>
      </c>
      <c r="M19" s="17">
        <f>IF(預測IC!M19&gt;預測IC!M$26,1,0)</f>
        <v>1</v>
      </c>
      <c r="N19" s="17">
        <f>IF(預測IC!N19&gt;預測IC!N$26,1,0)</f>
        <v>1</v>
      </c>
      <c r="O19" s="17">
        <f>IF(預測IC!O19&gt;預測IC!O$26,1,0)</f>
        <v>1</v>
      </c>
      <c r="P19" s="17">
        <f>IF(預測IC!P19&gt;預測IC!P$26,1,0)</f>
        <v>0</v>
      </c>
      <c r="Q19" s="17">
        <f>IF(預測IC!Q19&gt;預測IC!Q$26,1,0)</f>
        <v>0</v>
      </c>
      <c r="R19" s="17">
        <f>IF(預測IC!R19&gt;預測IC!R$26,1,0)</f>
        <v>0</v>
      </c>
      <c r="S19" s="17">
        <f>IF(預測IC!S19&gt;預測IC!S$26,1,0)</f>
        <v>0</v>
      </c>
      <c r="T19" s="17">
        <f>IF(預測IC!T19&gt;預測IC!T$26,1,0)</f>
        <v>1</v>
      </c>
      <c r="U19" s="17">
        <f>IF(預測IC!U19&gt;預測IC!U$26,1,0)</f>
        <v>0</v>
      </c>
      <c r="V19" s="17">
        <f>IF(預測IC!V19&gt;預測IC!V$26,1,0)</f>
        <v>1</v>
      </c>
      <c r="W19" s="17">
        <f>IF(預測IC!W19&gt;預測IC!W$26,1,0)</f>
        <v>1</v>
      </c>
      <c r="X19" s="17">
        <f>IF(預測IC!X19&gt;預測IC!X$26,1,0)</f>
        <v>1</v>
      </c>
      <c r="Y19" s="17">
        <f>IF(預測IC!Y19&gt;預測IC!Y$26,1,0)</f>
        <v>1</v>
      </c>
      <c r="Z19" s="17">
        <f>IF(預測IC!Z19&gt;預測IC!Z$26,1,0)</f>
        <v>1</v>
      </c>
      <c r="AA19" s="17">
        <f>IF(預測IC!AA19&gt;預測IC!AA$26,1,0)</f>
        <v>0</v>
      </c>
      <c r="AB19" s="17">
        <f>IF(預測IC!AB19&gt;預測IC!AB$26,1,0)</f>
        <v>1</v>
      </c>
      <c r="AC19" s="17">
        <f>IF(預測IC!AC19&gt;預測IC!AC$26,1,0)</f>
        <v>0</v>
      </c>
      <c r="AD19" s="17">
        <f>IF(預測IC!AD19&gt;預測IC!AD$26,1,0)</f>
        <v>1</v>
      </c>
      <c r="AE19" s="17">
        <f>IF(預測IC!AE19&gt;預測IC!AE$26,1,0)</f>
        <v>0</v>
      </c>
      <c r="AF19" s="17">
        <f>IF(預測IC!AF19&gt;預測IC!AF$26,1,0)</f>
        <v>1</v>
      </c>
      <c r="AG19" s="17">
        <f>IF(預測IC!AG19&gt;預測IC!AG$26,1,0)</f>
        <v>0</v>
      </c>
      <c r="AH19" s="17">
        <f>IF(預測IC!AH19&gt;預測IC!AH$26,1,0)</f>
        <v>0</v>
      </c>
      <c r="AI19" s="17">
        <f>IF(預測IC!AI19&gt;預測IC!AI$26,1,0)</f>
        <v>1</v>
      </c>
      <c r="AJ19" s="17">
        <f>IF(預測IC!AJ19&gt;預測IC!AJ$26,1,0)</f>
        <v>0</v>
      </c>
      <c r="AK19" s="17">
        <f>IF(預測IC!AK19&gt;預測IC!AK$26,1,0)</f>
        <v>1</v>
      </c>
      <c r="AL19" s="17">
        <f>IF(預測IC!AL19&gt;預測IC!AL$26,1,0)</f>
        <v>1</v>
      </c>
      <c r="AM19" s="17">
        <f>IF(預測IC!AM19&gt;預測IC!AM$26,1,0)</f>
        <v>1</v>
      </c>
      <c r="AN19" s="17">
        <f>IF(預測IC!AN19&gt;預測IC!AN$26,1,0)</f>
        <v>1</v>
      </c>
      <c r="AO19" s="17">
        <f>IF(預測IC!AO19&gt;預測IC!AO$26,1,0)</f>
        <v>1</v>
      </c>
      <c r="AP19" s="17">
        <f>IF(預測IC!AP19&gt;預測IC!AP$26,1,0)</f>
        <v>0</v>
      </c>
      <c r="AQ19" s="17">
        <f>IF(預測IC!AQ19&gt;預測IC!AQ$26,1,0)</f>
        <v>0</v>
      </c>
      <c r="AR19" s="17">
        <f>IF(預測IC!AR19&gt;預測IC!AR$26,1,0)</f>
        <v>1</v>
      </c>
      <c r="AS19" s="17">
        <f>IF(預測IC!AS19&gt;預測IC!AS$26,1,0)</f>
        <v>0</v>
      </c>
      <c r="AT19" s="17">
        <f>IF(預測IC!AT19&gt;預測IC!AT$26,1,0)</f>
        <v>1</v>
      </c>
      <c r="AU19" s="17">
        <f>IF(預測IC!AU19&gt;預測IC!AU$26,1,0)</f>
        <v>1</v>
      </c>
      <c r="AV19" s="17">
        <f>IF(預測IC!AV19&gt;預測IC!AV$26,1,0)</f>
        <v>0</v>
      </c>
      <c r="AW19" s="17">
        <f>IF(預測IC!AW19&gt;預測IC!AW$26,1,0)</f>
        <v>1</v>
      </c>
      <c r="AX19" s="17">
        <f>IF(預測IC!AX19&gt;預測IC!AX$26,1,0)</f>
        <v>1</v>
      </c>
      <c r="AY19" s="17">
        <f>IF(預測IC!AY19&gt;預測IC!AY$26,1,0)</f>
        <v>0</v>
      </c>
      <c r="AZ19" s="17">
        <f>IF(預測IC!AZ19&gt;預測IC!AZ$26,1,0)</f>
        <v>0</v>
      </c>
      <c r="BA19" s="17">
        <f>IF(預測IC!BA19&gt;預測IC!BA$26,1,0)</f>
        <v>0</v>
      </c>
      <c r="BB19" s="17">
        <f>IF(預測IC!BB19&gt;預測IC!BB$26,1,0)</f>
        <v>1</v>
      </c>
      <c r="BC19" s="17">
        <f>IF(預測IC!BC19&gt;預測IC!BC$26,1,0)</f>
        <v>1</v>
      </c>
      <c r="BD19" s="17">
        <f>IF(預測IC!BD19&gt;預測IC!BD$26,1,0)</f>
        <v>1</v>
      </c>
      <c r="BE19" s="17">
        <f>IF(預測IC!BE19&gt;預測IC!BE$26,1,0)</f>
        <v>1</v>
      </c>
      <c r="BF19" s="17">
        <f>IF(預測IC!BF19&gt;預測IC!BF$26,1,0)</f>
        <v>1</v>
      </c>
      <c r="BG19" s="17">
        <f>IF(預測IC!BG19&gt;預測IC!BG$26,1,0)</f>
        <v>0</v>
      </c>
      <c r="BH19" s="17">
        <f>IF(預測IC!BH19&gt;預測IC!BH$26,1,0)</f>
        <v>1</v>
      </c>
      <c r="BI19" s="17">
        <f>IF(預測IC!BI19&gt;預測IC!BI$26,1,0)</f>
        <v>1</v>
      </c>
      <c r="BJ19" s="17">
        <f>IF(預測IC!BJ19&gt;預測IC!BJ$26,1,0)</f>
        <v>1</v>
      </c>
      <c r="BK19" s="17">
        <f>IF(預測IC!BK19&gt;預測IC!BK$26,1,0)</f>
        <v>0</v>
      </c>
      <c r="BL19" s="17">
        <f>IF(預測IC!BL19&gt;預測IC!BL$26,1,0)</f>
        <v>1</v>
      </c>
      <c r="BM19" s="17">
        <f>IF(預測IC!BM19&gt;預測IC!BM$26,1,0)</f>
        <v>1</v>
      </c>
      <c r="BN19" s="17">
        <f>IF(預測IC!BN19&gt;預測IC!BN$26,1,0)</f>
        <v>0</v>
      </c>
      <c r="BO19" s="17">
        <f>IF(預測IC!BO19&gt;預測IC!BO$26,1,0)</f>
        <v>1</v>
      </c>
      <c r="BP19" s="17">
        <f>IF(預測IC!BP19&gt;預測IC!BP$26,1,0)</f>
        <v>1</v>
      </c>
      <c r="BQ19" s="17">
        <f>IF(預測IC!BQ19&gt;預測IC!BQ$26,1,0)</f>
        <v>1</v>
      </c>
      <c r="BR19" s="17">
        <f>IF(預測IC!BR19&gt;預測IC!BR$26,1,0)</f>
        <v>1</v>
      </c>
      <c r="BS19" s="17">
        <f>IF(預測IC!BS19&gt;預測IC!BS$26,1,0)</f>
        <v>0</v>
      </c>
      <c r="BT19" s="17">
        <f>IF(預測IC!BT19&gt;預測IC!BT$26,1,0)</f>
        <v>1</v>
      </c>
      <c r="BU19" s="17">
        <f>IF(預測IC!BU19&gt;預測IC!BU$26,1,0)</f>
        <v>0</v>
      </c>
      <c r="BV19" s="17">
        <f>IF(預測IC!BV19&gt;預測IC!BV$26,1,0)</f>
        <v>1</v>
      </c>
      <c r="BW19" s="17">
        <f>IF(預測IC!BW19&gt;預測IC!BW$26,1,0)</f>
        <v>0</v>
      </c>
      <c r="BX19" s="17">
        <f>IF(預測IC!BX19&gt;預測IC!BX$26,1,0)</f>
        <v>1</v>
      </c>
      <c r="BY19" s="17">
        <f>IF(預測IC!BY19&gt;預測IC!BY$26,1,0)</f>
        <v>1</v>
      </c>
      <c r="BZ19" s="17">
        <f>IF(預測IC!BZ19&gt;預測IC!BZ$26,1,0)</f>
        <v>0</v>
      </c>
      <c r="CA19" s="17">
        <f>IF(預測IC!CA19&gt;預測IC!CA$26,1,0)</f>
        <v>0</v>
      </c>
      <c r="CB19" s="17">
        <f>IF(預測IC!CB19&gt;預測IC!CB$26,1,0)</f>
        <v>0</v>
      </c>
      <c r="CC19" s="17">
        <f>IF(預測IC!CC19&gt;預測IC!CC$26,1,0)</f>
        <v>0</v>
      </c>
      <c r="CD19" s="17">
        <f>IF(預測IC!CD19&gt;預測IC!CD$26,1,0)</f>
        <v>1</v>
      </c>
      <c r="CE19" s="17">
        <f>IF(預測IC!CE19&gt;預測IC!CE$26,1,0)</f>
        <v>1</v>
      </c>
      <c r="CF19" s="17">
        <f>IF(預測IC!CF19&gt;預測IC!CF$26,1,0)</f>
        <v>0</v>
      </c>
      <c r="CG19" s="17">
        <f>IF(預測IC!CG19&gt;預測IC!CG$26,1,0)</f>
        <v>0</v>
      </c>
      <c r="CH19" s="17">
        <f>IF(預測IC!CH19&gt;預測IC!CH$26,1,0)</f>
        <v>1</v>
      </c>
      <c r="CI19" s="17">
        <f>IF(預測IC!CI19&gt;預測IC!CI$26,1,0)</f>
        <v>0</v>
      </c>
      <c r="CJ19" s="17">
        <f>IF(預測IC!CJ19&gt;預測IC!CJ$26,1,0)</f>
        <v>0</v>
      </c>
      <c r="CK19" s="17">
        <f>IF(預測IC!CK19&gt;預測IC!CK$26,1,0)</f>
        <v>1</v>
      </c>
      <c r="CL19" s="17">
        <f>IF(預測IC!CL19&gt;預測IC!CL$26,1,0)</f>
        <v>0</v>
      </c>
      <c r="CM19" s="17">
        <f>IF(預測IC!CM19&gt;預測IC!CM$26,1,0)</f>
        <v>0</v>
      </c>
      <c r="CN19" s="17">
        <f>IF(預測IC!CN19&gt;預測IC!CN$26,1,0)</f>
        <v>0</v>
      </c>
      <c r="CO19" s="17">
        <f>IF(預測IC!CO19&gt;預測IC!CO$26,1,0)</f>
        <v>1</v>
      </c>
      <c r="CP19" s="17">
        <f>IF(預測IC!CP19&gt;預測IC!CP$26,1,0)</f>
        <v>0</v>
      </c>
      <c r="CQ19" s="17">
        <f>IF(預測IC!CQ19&gt;預測IC!CQ$26,1,0)</f>
        <v>1</v>
      </c>
      <c r="CR19" s="17">
        <f>IF(預測IC!CR19&gt;預測IC!CR$26,1,0)</f>
        <v>1</v>
      </c>
      <c r="CS19" s="17">
        <f>IF(預測IC!CS19&gt;預測IC!CS$26,1,0)</f>
        <v>1</v>
      </c>
      <c r="CT19" s="17">
        <f>IF(預測IC!CT19&gt;預測IC!CT$26,1,0)</f>
        <v>0</v>
      </c>
      <c r="CU19" s="17">
        <f>IF(預測IC!CU19&gt;預測IC!CU$26,1,0)</f>
        <v>1</v>
      </c>
      <c r="CV19" s="17">
        <f>IF(預測IC!CV19&gt;預測IC!CV$26,1,0)</f>
        <v>1</v>
      </c>
      <c r="CW19" s="17">
        <f>IF(預測IC!CW19&gt;預測IC!CW$26,1,0)</f>
        <v>0</v>
      </c>
      <c r="CX19" s="17">
        <f>IF(預測IC!CX19&gt;預測IC!CX$26,1,0)</f>
        <v>1</v>
      </c>
      <c r="CY19" s="17">
        <f>IF(預測IC!CY19&gt;預測IC!CY$26,1,0)</f>
        <v>0</v>
      </c>
      <c r="CZ19" s="17">
        <f>IF(預測IC!CZ19&gt;預測IC!CZ$26,1,0)</f>
        <v>1</v>
      </c>
      <c r="DA19" s="17">
        <f>IF(預測IC!DA19&gt;預測IC!DA$26,1,0)</f>
        <v>1</v>
      </c>
      <c r="DB19" s="17">
        <f>IF(預測IC!DB19&gt;預測IC!DB$26,1,0)</f>
        <v>1</v>
      </c>
      <c r="DC19" s="17">
        <f>IF(預測IC!DC19&gt;預測IC!DC$26,1,0)</f>
        <v>1</v>
      </c>
      <c r="DD19" s="17">
        <f>IF(預測IC!DD19&gt;預測IC!DD$26,1,0)</f>
        <v>0</v>
      </c>
      <c r="DE19" s="17">
        <f>IF(預測IC!DE19&gt;預測IC!DE$26,1,0)</f>
        <v>0</v>
      </c>
      <c r="DF19" s="17">
        <f>IF(預測IC!DF19&gt;預測IC!DF$26,1,0)</f>
        <v>1</v>
      </c>
      <c r="DG19" s="17">
        <f>IF(預測IC!DG19&gt;預測IC!DG$26,1,0)</f>
        <v>0</v>
      </c>
      <c r="DH19" s="17">
        <f>IF(預測IC!DH19&gt;預測IC!DH$26,1,0)</f>
        <v>1</v>
      </c>
      <c r="DI19" s="17">
        <f>IF(預測IC!DI19&gt;預測IC!DI$26,1,0)</f>
        <v>1</v>
      </c>
      <c r="DJ19" s="17">
        <f>IF(預測IC!DJ19&gt;預測IC!DJ$26,1,0)</f>
        <v>1</v>
      </c>
      <c r="DK19" s="17">
        <f>IF(預測IC!DK19&gt;預測IC!DK$26,1,0)</f>
        <v>0</v>
      </c>
      <c r="DL19" s="17">
        <f>IF(預測IC!DL19&gt;預測IC!DL$26,1,0)</f>
        <v>0</v>
      </c>
      <c r="DM19" s="17">
        <f>IF(預測IC!DM19&gt;預測IC!DM$26,1,0)</f>
        <v>1</v>
      </c>
      <c r="DN19" s="17">
        <f>IF(預測IC!DN19&gt;預測IC!DN$26,1,0)</f>
        <v>0</v>
      </c>
      <c r="DO19" s="17">
        <f>IF(預測IC!DO19&gt;預測IC!DO$26,1,0)</f>
        <v>1</v>
      </c>
      <c r="DP19" s="17">
        <f>IF(預測IC!DP19&gt;預測IC!DP$26,1,0)</f>
        <v>1</v>
      </c>
      <c r="DQ19" s="17">
        <f>IF(預測IC!DQ19&gt;預測IC!DQ$26,1,0)</f>
        <v>0</v>
      </c>
      <c r="DR19" s="17">
        <f>IF(預測IC!DR19&gt;預測IC!DR$26,1,0)</f>
        <v>1</v>
      </c>
      <c r="DS19" s="17">
        <f>IF(預測IC!DS19&gt;預測IC!DS$26,1,0)</f>
        <v>0</v>
      </c>
      <c r="DT19" s="17">
        <f>IF(預測IC!DT19&gt;預測IC!DT$26,1,0)</f>
        <v>0</v>
      </c>
      <c r="DU19" s="17">
        <f>IF(預測IC!DU19&gt;預測IC!DU$26,1,0)</f>
        <v>0</v>
      </c>
      <c r="DV19" s="17">
        <f>IF(預測IC!DV19&gt;預測IC!DV$26,1,0)</f>
        <v>1</v>
      </c>
      <c r="DW19" s="17">
        <f>IF(預測IC!DW19&gt;預測IC!DW$26,1,0)</f>
        <v>0</v>
      </c>
      <c r="DX19" s="17">
        <f>IF(預測IC!DX19&gt;預測IC!DX$26,1,0)</f>
        <v>1</v>
      </c>
      <c r="DY19" s="17">
        <f>IF(預測IC!DY19&gt;預測IC!DY$26,1,0)</f>
        <v>1</v>
      </c>
      <c r="DZ19" s="17">
        <f>IF(預測IC!DZ19&gt;預測IC!DZ$26,1,0)</f>
        <v>1</v>
      </c>
      <c r="EA19" s="17">
        <f>IF(預測IC!EA19&gt;預測IC!EA$26,1,0)</f>
        <v>1</v>
      </c>
      <c r="EB19" s="17">
        <f>IF(預測IC!EB19&gt;預測IC!EB$26,1,0)</f>
        <v>0</v>
      </c>
      <c r="EC19" s="17">
        <f>IF(預測IC!EC19&gt;預測IC!EC$26,1,0)</f>
        <v>1</v>
      </c>
      <c r="ED19" s="17">
        <f>IF(預測IC!ED19&gt;預測IC!ED$26,1,0)</f>
        <v>0</v>
      </c>
      <c r="EE19" s="17">
        <f>IF(預測IC!EE19&gt;預測IC!EE$26,1,0)</f>
        <v>0</v>
      </c>
      <c r="EF19" s="17">
        <f>IF(預測IC!EF19&gt;預測IC!EF$26,1,0)</f>
        <v>1</v>
      </c>
      <c r="EG19">
        <f t="shared" si="10"/>
        <v>76</v>
      </c>
      <c r="EH19" s="11">
        <f t="shared" si="11"/>
        <v>0.56716417910447758</v>
      </c>
    </row>
    <row r="20" spans="1:138">
      <c r="A20" s="2">
        <v>192</v>
      </c>
      <c r="B20" s="2">
        <v>5</v>
      </c>
      <c r="C20" s="17">
        <f>IF(預測IC!C20&gt;預測IC!C$26,1,0)</f>
        <v>1</v>
      </c>
      <c r="D20" s="17">
        <f>IF(預測IC!D20&gt;預測IC!D$26,1,0)</f>
        <v>0</v>
      </c>
      <c r="E20" s="17">
        <f>IF(預測IC!E20&gt;預測IC!E$26,1,0)</f>
        <v>0</v>
      </c>
      <c r="F20" s="17">
        <f>IF(預測IC!F20&gt;預測IC!F$26,1,0)</f>
        <v>0</v>
      </c>
      <c r="G20" s="17">
        <f>IF(預測IC!G20&gt;預測IC!G$26,1,0)</f>
        <v>0</v>
      </c>
      <c r="H20" s="17">
        <f>IF(預測IC!H20&gt;預測IC!H$26,1,0)</f>
        <v>1</v>
      </c>
      <c r="I20" s="17">
        <f>IF(預測IC!I20&gt;預測IC!I$26,1,0)</f>
        <v>1</v>
      </c>
      <c r="J20" s="17">
        <f>IF(預測IC!J20&gt;預測IC!J$26,1,0)</f>
        <v>1</v>
      </c>
      <c r="K20" s="17">
        <f>IF(預測IC!K20&gt;預測IC!K$26,1,0)</f>
        <v>0</v>
      </c>
      <c r="L20" s="17">
        <f>IF(預測IC!L20&gt;預測IC!L$26,1,0)</f>
        <v>1</v>
      </c>
      <c r="M20" s="17">
        <f>IF(預測IC!M20&gt;預測IC!M$26,1,0)</f>
        <v>1</v>
      </c>
      <c r="N20" s="17">
        <f>IF(預測IC!N20&gt;預測IC!N$26,1,0)</f>
        <v>1</v>
      </c>
      <c r="O20" s="17">
        <f>IF(預測IC!O20&gt;預測IC!O$26,1,0)</f>
        <v>1</v>
      </c>
      <c r="P20" s="17">
        <f>IF(預測IC!P20&gt;預測IC!P$26,1,0)</f>
        <v>0</v>
      </c>
      <c r="Q20" s="17">
        <f>IF(預測IC!Q20&gt;預測IC!Q$26,1,0)</f>
        <v>0</v>
      </c>
      <c r="R20" s="17">
        <f>IF(預測IC!R20&gt;預測IC!R$26,1,0)</f>
        <v>0</v>
      </c>
      <c r="S20" s="17">
        <f>IF(預測IC!S20&gt;預測IC!S$26,1,0)</f>
        <v>0</v>
      </c>
      <c r="T20" s="17">
        <f>IF(預測IC!T20&gt;預測IC!T$26,1,0)</f>
        <v>1</v>
      </c>
      <c r="U20" s="17">
        <f>IF(預測IC!U20&gt;預測IC!U$26,1,0)</f>
        <v>0</v>
      </c>
      <c r="V20" s="17">
        <f>IF(預測IC!V20&gt;預測IC!V$26,1,0)</f>
        <v>1</v>
      </c>
      <c r="W20" s="17">
        <f>IF(預測IC!W20&gt;預測IC!W$26,1,0)</f>
        <v>1</v>
      </c>
      <c r="X20" s="17">
        <f>IF(預測IC!X20&gt;預測IC!X$26,1,0)</f>
        <v>1</v>
      </c>
      <c r="Y20" s="17">
        <f>IF(預測IC!Y20&gt;預測IC!Y$26,1,0)</f>
        <v>1</v>
      </c>
      <c r="Z20" s="17">
        <f>IF(預測IC!Z20&gt;預測IC!Z$26,1,0)</f>
        <v>1</v>
      </c>
      <c r="AA20" s="17">
        <f>IF(預測IC!AA20&gt;預測IC!AA$26,1,0)</f>
        <v>1</v>
      </c>
      <c r="AB20" s="17">
        <f>IF(預測IC!AB20&gt;預測IC!AB$26,1,0)</f>
        <v>1</v>
      </c>
      <c r="AC20" s="17">
        <f>IF(預測IC!AC20&gt;預測IC!AC$26,1,0)</f>
        <v>1</v>
      </c>
      <c r="AD20" s="17">
        <f>IF(預測IC!AD20&gt;預測IC!AD$26,1,0)</f>
        <v>1</v>
      </c>
      <c r="AE20" s="17">
        <f>IF(預測IC!AE20&gt;預測IC!AE$26,1,0)</f>
        <v>0</v>
      </c>
      <c r="AF20" s="17">
        <f>IF(預測IC!AF20&gt;預測IC!AF$26,1,0)</f>
        <v>1</v>
      </c>
      <c r="AG20" s="17">
        <f>IF(預測IC!AG20&gt;預測IC!AG$26,1,0)</f>
        <v>0</v>
      </c>
      <c r="AH20" s="17">
        <f>IF(預測IC!AH20&gt;預測IC!AH$26,1,0)</f>
        <v>0</v>
      </c>
      <c r="AI20" s="17">
        <f>IF(預測IC!AI20&gt;預測IC!AI$26,1,0)</f>
        <v>1</v>
      </c>
      <c r="AJ20" s="17">
        <f>IF(預測IC!AJ20&gt;預測IC!AJ$26,1,0)</f>
        <v>1</v>
      </c>
      <c r="AK20" s="17">
        <f>IF(預測IC!AK20&gt;預測IC!AK$26,1,0)</f>
        <v>0</v>
      </c>
      <c r="AL20" s="17">
        <f>IF(預測IC!AL20&gt;預測IC!AL$26,1,0)</f>
        <v>1</v>
      </c>
      <c r="AM20" s="17">
        <f>IF(預測IC!AM20&gt;預測IC!AM$26,1,0)</f>
        <v>1</v>
      </c>
      <c r="AN20" s="17">
        <f>IF(預測IC!AN20&gt;預測IC!AN$26,1,0)</f>
        <v>1</v>
      </c>
      <c r="AO20" s="17">
        <f>IF(預測IC!AO20&gt;預測IC!AO$26,1,0)</f>
        <v>1</v>
      </c>
      <c r="AP20" s="17">
        <f>IF(預測IC!AP20&gt;預測IC!AP$26,1,0)</f>
        <v>0</v>
      </c>
      <c r="AQ20" s="17">
        <f>IF(預測IC!AQ20&gt;預測IC!AQ$26,1,0)</f>
        <v>1</v>
      </c>
      <c r="AR20" s="17">
        <f>IF(預測IC!AR20&gt;預測IC!AR$26,1,0)</f>
        <v>1</v>
      </c>
      <c r="AS20" s="17">
        <f>IF(預測IC!AS20&gt;預測IC!AS$26,1,0)</f>
        <v>0</v>
      </c>
      <c r="AT20" s="17">
        <f>IF(預測IC!AT20&gt;預測IC!AT$26,1,0)</f>
        <v>0</v>
      </c>
      <c r="AU20" s="17">
        <f>IF(預測IC!AU20&gt;預測IC!AU$26,1,0)</f>
        <v>1</v>
      </c>
      <c r="AV20" s="17">
        <f>IF(預測IC!AV20&gt;預測IC!AV$26,1,0)</f>
        <v>0</v>
      </c>
      <c r="AW20" s="17">
        <f>IF(預測IC!AW20&gt;預測IC!AW$26,1,0)</f>
        <v>1</v>
      </c>
      <c r="AX20" s="17">
        <f>IF(預測IC!AX20&gt;預測IC!AX$26,1,0)</f>
        <v>1</v>
      </c>
      <c r="AY20" s="17">
        <f>IF(預測IC!AY20&gt;預測IC!AY$26,1,0)</f>
        <v>0</v>
      </c>
      <c r="AZ20" s="17">
        <f>IF(預測IC!AZ20&gt;預測IC!AZ$26,1,0)</f>
        <v>0</v>
      </c>
      <c r="BA20" s="17">
        <f>IF(預測IC!BA20&gt;預測IC!BA$26,1,0)</f>
        <v>0</v>
      </c>
      <c r="BB20" s="17">
        <f>IF(預測IC!BB20&gt;預測IC!BB$26,1,0)</f>
        <v>1</v>
      </c>
      <c r="BC20" s="17">
        <f>IF(預測IC!BC20&gt;預測IC!BC$26,1,0)</f>
        <v>1</v>
      </c>
      <c r="BD20" s="17">
        <f>IF(預測IC!BD20&gt;預測IC!BD$26,1,0)</f>
        <v>0</v>
      </c>
      <c r="BE20" s="17">
        <f>IF(預測IC!BE20&gt;預測IC!BE$26,1,0)</f>
        <v>0</v>
      </c>
      <c r="BF20" s="17">
        <f>IF(預測IC!BF20&gt;預測IC!BF$26,1,0)</f>
        <v>1</v>
      </c>
      <c r="BG20" s="17">
        <f>IF(預測IC!BG20&gt;預測IC!BG$26,1,0)</f>
        <v>0</v>
      </c>
      <c r="BH20" s="17">
        <f>IF(預測IC!BH20&gt;預測IC!BH$26,1,0)</f>
        <v>1</v>
      </c>
      <c r="BI20" s="17">
        <f>IF(預測IC!BI20&gt;預測IC!BI$26,1,0)</f>
        <v>1</v>
      </c>
      <c r="BJ20" s="17">
        <f>IF(預測IC!BJ20&gt;預測IC!BJ$26,1,0)</f>
        <v>1</v>
      </c>
      <c r="BK20" s="17">
        <f>IF(預測IC!BK20&gt;預測IC!BK$26,1,0)</f>
        <v>0</v>
      </c>
      <c r="BL20" s="17">
        <f>IF(預測IC!BL20&gt;預測IC!BL$26,1,0)</f>
        <v>1</v>
      </c>
      <c r="BM20" s="17">
        <f>IF(預測IC!BM20&gt;預測IC!BM$26,1,0)</f>
        <v>1</v>
      </c>
      <c r="BN20" s="17">
        <f>IF(預測IC!BN20&gt;預測IC!BN$26,1,0)</f>
        <v>0</v>
      </c>
      <c r="BO20" s="17">
        <f>IF(預測IC!BO20&gt;預測IC!BO$26,1,0)</f>
        <v>1</v>
      </c>
      <c r="BP20" s="17">
        <f>IF(預測IC!BP20&gt;預測IC!BP$26,1,0)</f>
        <v>1</v>
      </c>
      <c r="BQ20" s="17">
        <f>IF(預測IC!BQ20&gt;預測IC!BQ$26,1,0)</f>
        <v>1</v>
      </c>
      <c r="BR20" s="17">
        <f>IF(預測IC!BR20&gt;預測IC!BR$26,1,0)</f>
        <v>1</v>
      </c>
      <c r="BS20" s="17">
        <f>IF(預測IC!BS20&gt;預測IC!BS$26,1,0)</f>
        <v>0</v>
      </c>
      <c r="BT20" s="17">
        <f>IF(預測IC!BT20&gt;預測IC!BT$26,1,0)</f>
        <v>1</v>
      </c>
      <c r="BU20" s="17">
        <f>IF(預測IC!BU20&gt;預測IC!BU$26,1,0)</f>
        <v>0</v>
      </c>
      <c r="BV20" s="17">
        <f>IF(預測IC!BV20&gt;預測IC!BV$26,1,0)</f>
        <v>1</v>
      </c>
      <c r="BW20" s="17">
        <f>IF(預測IC!BW20&gt;預測IC!BW$26,1,0)</f>
        <v>0</v>
      </c>
      <c r="BX20" s="17">
        <f>IF(預測IC!BX20&gt;預測IC!BX$26,1,0)</f>
        <v>1</v>
      </c>
      <c r="BY20" s="17">
        <f>IF(預測IC!BY20&gt;預測IC!BY$26,1,0)</f>
        <v>1</v>
      </c>
      <c r="BZ20" s="17">
        <f>IF(預測IC!BZ20&gt;預測IC!BZ$26,1,0)</f>
        <v>0</v>
      </c>
      <c r="CA20" s="17">
        <f>IF(預測IC!CA20&gt;預測IC!CA$26,1,0)</f>
        <v>0</v>
      </c>
      <c r="CB20" s="17">
        <f>IF(預測IC!CB20&gt;預測IC!CB$26,1,0)</f>
        <v>0</v>
      </c>
      <c r="CC20" s="17">
        <f>IF(預測IC!CC20&gt;預測IC!CC$26,1,0)</f>
        <v>0</v>
      </c>
      <c r="CD20" s="17">
        <f>IF(預測IC!CD20&gt;預測IC!CD$26,1,0)</f>
        <v>1</v>
      </c>
      <c r="CE20" s="17">
        <f>IF(預測IC!CE20&gt;預測IC!CE$26,1,0)</f>
        <v>1</v>
      </c>
      <c r="CF20" s="17">
        <f>IF(預測IC!CF20&gt;預測IC!CF$26,1,0)</f>
        <v>0</v>
      </c>
      <c r="CG20" s="17">
        <f>IF(預測IC!CG20&gt;預測IC!CG$26,1,0)</f>
        <v>0</v>
      </c>
      <c r="CH20" s="17">
        <f>IF(預測IC!CH20&gt;預測IC!CH$26,1,0)</f>
        <v>1</v>
      </c>
      <c r="CI20" s="17">
        <f>IF(預測IC!CI20&gt;預測IC!CI$26,1,0)</f>
        <v>0</v>
      </c>
      <c r="CJ20" s="17">
        <f>IF(預測IC!CJ20&gt;預測IC!CJ$26,1,0)</f>
        <v>0</v>
      </c>
      <c r="CK20" s="17">
        <f>IF(預測IC!CK20&gt;預測IC!CK$26,1,0)</f>
        <v>1</v>
      </c>
      <c r="CL20" s="17">
        <f>IF(預測IC!CL20&gt;預測IC!CL$26,1,0)</f>
        <v>0</v>
      </c>
      <c r="CM20" s="17">
        <f>IF(預測IC!CM20&gt;預測IC!CM$26,1,0)</f>
        <v>0</v>
      </c>
      <c r="CN20" s="17">
        <f>IF(預測IC!CN20&gt;預測IC!CN$26,1,0)</f>
        <v>0</v>
      </c>
      <c r="CO20" s="17">
        <f>IF(預測IC!CO20&gt;預測IC!CO$26,1,0)</f>
        <v>1</v>
      </c>
      <c r="CP20" s="17">
        <f>IF(預測IC!CP20&gt;預測IC!CP$26,1,0)</f>
        <v>0</v>
      </c>
      <c r="CQ20" s="17">
        <f>IF(預測IC!CQ20&gt;預測IC!CQ$26,1,0)</f>
        <v>1</v>
      </c>
      <c r="CR20" s="17">
        <f>IF(預測IC!CR20&gt;預測IC!CR$26,1,0)</f>
        <v>1</v>
      </c>
      <c r="CS20" s="17">
        <f>IF(預測IC!CS20&gt;預測IC!CS$26,1,0)</f>
        <v>0</v>
      </c>
      <c r="CT20" s="17">
        <f>IF(預測IC!CT20&gt;預測IC!CT$26,1,0)</f>
        <v>0</v>
      </c>
      <c r="CU20" s="17">
        <f>IF(預測IC!CU20&gt;預測IC!CU$26,1,0)</f>
        <v>1</v>
      </c>
      <c r="CV20" s="17">
        <f>IF(預測IC!CV20&gt;預測IC!CV$26,1,0)</f>
        <v>1</v>
      </c>
      <c r="CW20" s="17">
        <f>IF(預測IC!CW20&gt;預測IC!CW$26,1,0)</f>
        <v>0</v>
      </c>
      <c r="CX20" s="17">
        <f>IF(預測IC!CX20&gt;預測IC!CX$26,1,0)</f>
        <v>1</v>
      </c>
      <c r="CY20" s="17">
        <f>IF(預測IC!CY20&gt;預測IC!CY$26,1,0)</f>
        <v>0</v>
      </c>
      <c r="CZ20" s="17">
        <f>IF(預測IC!CZ20&gt;預測IC!CZ$26,1,0)</f>
        <v>1</v>
      </c>
      <c r="DA20" s="17">
        <f>IF(預測IC!DA20&gt;預測IC!DA$26,1,0)</f>
        <v>1</v>
      </c>
      <c r="DB20" s="17">
        <f>IF(預測IC!DB20&gt;預測IC!DB$26,1,0)</f>
        <v>1</v>
      </c>
      <c r="DC20" s="17">
        <f>IF(預測IC!DC20&gt;預測IC!DC$26,1,0)</f>
        <v>1</v>
      </c>
      <c r="DD20" s="17">
        <f>IF(預測IC!DD20&gt;預測IC!DD$26,1,0)</f>
        <v>0</v>
      </c>
      <c r="DE20" s="17">
        <f>IF(預測IC!DE20&gt;預測IC!DE$26,1,0)</f>
        <v>0</v>
      </c>
      <c r="DF20" s="17">
        <f>IF(預測IC!DF20&gt;預測IC!DF$26,1,0)</f>
        <v>1</v>
      </c>
      <c r="DG20" s="17">
        <f>IF(預測IC!DG20&gt;預測IC!DG$26,1,0)</f>
        <v>0</v>
      </c>
      <c r="DH20" s="17">
        <f>IF(預測IC!DH20&gt;預測IC!DH$26,1,0)</f>
        <v>1</v>
      </c>
      <c r="DI20" s="17">
        <f>IF(預測IC!DI20&gt;預測IC!DI$26,1,0)</f>
        <v>1</v>
      </c>
      <c r="DJ20" s="17">
        <f>IF(預測IC!DJ20&gt;預測IC!DJ$26,1,0)</f>
        <v>1</v>
      </c>
      <c r="DK20" s="17">
        <f>IF(預測IC!DK20&gt;預測IC!DK$26,1,0)</f>
        <v>0</v>
      </c>
      <c r="DL20" s="17">
        <f>IF(預測IC!DL20&gt;預測IC!DL$26,1,0)</f>
        <v>0</v>
      </c>
      <c r="DM20" s="17">
        <f>IF(預測IC!DM20&gt;預測IC!DM$26,1,0)</f>
        <v>1</v>
      </c>
      <c r="DN20" s="17">
        <f>IF(預測IC!DN20&gt;預測IC!DN$26,1,0)</f>
        <v>0</v>
      </c>
      <c r="DO20" s="17">
        <f>IF(預測IC!DO20&gt;預測IC!DO$26,1,0)</f>
        <v>1</v>
      </c>
      <c r="DP20" s="17">
        <f>IF(預測IC!DP20&gt;預測IC!DP$26,1,0)</f>
        <v>1</v>
      </c>
      <c r="DQ20" s="17">
        <f>IF(預測IC!DQ20&gt;預測IC!DQ$26,1,0)</f>
        <v>0</v>
      </c>
      <c r="DR20" s="17">
        <f>IF(預測IC!DR20&gt;預測IC!DR$26,1,0)</f>
        <v>1</v>
      </c>
      <c r="DS20" s="17">
        <f>IF(預測IC!DS20&gt;預測IC!DS$26,1,0)</f>
        <v>0</v>
      </c>
      <c r="DT20" s="17">
        <f>IF(預測IC!DT20&gt;預測IC!DT$26,1,0)</f>
        <v>0</v>
      </c>
      <c r="DU20" s="17">
        <f>IF(預測IC!DU20&gt;預測IC!DU$26,1,0)</f>
        <v>0</v>
      </c>
      <c r="DV20" s="17">
        <f>IF(預測IC!DV20&gt;預測IC!DV$26,1,0)</f>
        <v>0</v>
      </c>
      <c r="DW20" s="17">
        <f>IF(預測IC!DW20&gt;預測IC!DW$26,1,0)</f>
        <v>0</v>
      </c>
      <c r="DX20" s="17">
        <f>IF(預測IC!DX20&gt;預測IC!DX$26,1,0)</f>
        <v>1</v>
      </c>
      <c r="DY20" s="17">
        <f>IF(預測IC!DY20&gt;預測IC!DY$26,1,0)</f>
        <v>1</v>
      </c>
      <c r="DZ20" s="17">
        <f>IF(預測IC!DZ20&gt;預測IC!DZ$26,1,0)</f>
        <v>1</v>
      </c>
      <c r="EA20" s="17">
        <f>IF(預測IC!EA20&gt;預測IC!EA$26,1,0)</f>
        <v>1</v>
      </c>
      <c r="EB20" s="17">
        <f>IF(預測IC!EB20&gt;預測IC!EB$26,1,0)</f>
        <v>0</v>
      </c>
      <c r="EC20" s="17">
        <f>IF(預測IC!EC20&gt;預測IC!EC$26,1,0)</f>
        <v>1</v>
      </c>
      <c r="ED20" s="17">
        <f>IF(預測IC!ED20&gt;預測IC!ED$26,1,0)</f>
        <v>0</v>
      </c>
      <c r="EE20" s="17">
        <f>IF(預測IC!EE20&gt;預測IC!EE$26,1,0)</f>
        <v>0</v>
      </c>
      <c r="EF20" s="17">
        <f>IF(預測IC!EF20&gt;預測IC!EF$26,1,0)</f>
        <v>1</v>
      </c>
      <c r="EG20">
        <f t="shared" si="10"/>
        <v>74</v>
      </c>
      <c r="EH20" s="11">
        <f t="shared" si="11"/>
        <v>0.55223880597014929</v>
      </c>
    </row>
    <row r="21" spans="1:138">
      <c r="A21" s="2">
        <v>241</v>
      </c>
      <c r="B21" s="2">
        <v>4</v>
      </c>
      <c r="C21" s="17">
        <f>IF(預測IC!C21&gt;預測IC!C$26,1,0)</f>
        <v>1</v>
      </c>
      <c r="D21" s="17">
        <f>IF(預測IC!D21&gt;預測IC!D$26,1,0)</f>
        <v>0</v>
      </c>
      <c r="E21" s="17">
        <f>IF(預測IC!E21&gt;預測IC!E$26,1,0)</f>
        <v>0</v>
      </c>
      <c r="F21" s="17">
        <f>IF(預測IC!F21&gt;預測IC!F$26,1,0)</f>
        <v>0</v>
      </c>
      <c r="G21" s="17">
        <f>IF(預測IC!G21&gt;預測IC!G$26,1,0)</f>
        <v>0</v>
      </c>
      <c r="H21" s="17">
        <f>IF(預測IC!H21&gt;預測IC!H$26,1,0)</f>
        <v>1</v>
      </c>
      <c r="I21" s="17">
        <f>IF(預測IC!I21&gt;預測IC!I$26,1,0)</f>
        <v>1</v>
      </c>
      <c r="J21" s="17">
        <f>IF(預測IC!J21&gt;預測IC!J$26,1,0)</f>
        <v>1</v>
      </c>
      <c r="K21" s="17">
        <f>IF(預測IC!K21&gt;預測IC!K$26,1,0)</f>
        <v>0</v>
      </c>
      <c r="L21" s="17">
        <f>IF(預測IC!L21&gt;預測IC!L$26,1,0)</f>
        <v>1</v>
      </c>
      <c r="M21" s="17">
        <f>IF(預測IC!M21&gt;預測IC!M$26,1,0)</f>
        <v>1</v>
      </c>
      <c r="N21" s="17">
        <f>IF(預測IC!N21&gt;預測IC!N$26,1,0)</f>
        <v>1</v>
      </c>
      <c r="O21" s="17">
        <f>IF(預測IC!O21&gt;預測IC!O$26,1,0)</f>
        <v>1</v>
      </c>
      <c r="P21" s="17">
        <f>IF(預測IC!P21&gt;預測IC!P$26,1,0)</f>
        <v>0</v>
      </c>
      <c r="Q21" s="17">
        <f>IF(預測IC!Q21&gt;預測IC!Q$26,1,0)</f>
        <v>0</v>
      </c>
      <c r="R21" s="17">
        <f>IF(預測IC!R21&gt;預測IC!R$26,1,0)</f>
        <v>0</v>
      </c>
      <c r="S21" s="17">
        <f>IF(預測IC!S21&gt;預測IC!S$26,1,0)</f>
        <v>0</v>
      </c>
      <c r="T21" s="17">
        <f>IF(預測IC!T21&gt;預測IC!T$26,1,0)</f>
        <v>1</v>
      </c>
      <c r="U21" s="17">
        <f>IF(預測IC!U21&gt;預測IC!U$26,1,0)</f>
        <v>0</v>
      </c>
      <c r="V21" s="17">
        <f>IF(預測IC!V21&gt;預測IC!V$26,1,0)</f>
        <v>1</v>
      </c>
      <c r="W21" s="17">
        <f>IF(預測IC!W21&gt;預測IC!W$26,1,0)</f>
        <v>1</v>
      </c>
      <c r="X21" s="17">
        <f>IF(預測IC!X21&gt;預測IC!X$26,1,0)</f>
        <v>1</v>
      </c>
      <c r="Y21" s="17">
        <f>IF(預測IC!Y21&gt;預測IC!Y$26,1,0)</f>
        <v>1</v>
      </c>
      <c r="Z21" s="17">
        <f>IF(預測IC!Z21&gt;預測IC!Z$26,1,0)</f>
        <v>1</v>
      </c>
      <c r="AA21" s="17">
        <f>IF(預測IC!AA21&gt;預測IC!AA$26,1,0)</f>
        <v>1</v>
      </c>
      <c r="AB21" s="17">
        <f>IF(預測IC!AB21&gt;預測IC!AB$26,1,0)</f>
        <v>1</v>
      </c>
      <c r="AC21" s="17">
        <f>IF(預測IC!AC21&gt;預測IC!AC$26,1,0)</f>
        <v>1</v>
      </c>
      <c r="AD21" s="17">
        <f>IF(預測IC!AD21&gt;預測IC!AD$26,1,0)</f>
        <v>1</v>
      </c>
      <c r="AE21" s="17">
        <f>IF(預測IC!AE21&gt;預測IC!AE$26,1,0)</f>
        <v>0</v>
      </c>
      <c r="AF21" s="17">
        <f>IF(預測IC!AF21&gt;預測IC!AF$26,1,0)</f>
        <v>1</v>
      </c>
      <c r="AG21" s="17">
        <f>IF(預測IC!AG21&gt;預測IC!AG$26,1,0)</f>
        <v>1</v>
      </c>
      <c r="AH21" s="17">
        <f>IF(預測IC!AH21&gt;預測IC!AH$26,1,0)</f>
        <v>0</v>
      </c>
      <c r="AI21" s="17">
        <f>IF(預測IC!AI21&gt;預測IC!AI$26,1,0)</f>
        <v>1</v>
      </c>
      <c r="AJ21" s="17">
        <f>IF(預測IC!AJ21&gt;預測IC!AJ$26,1,0)</f>
        <v>0</v>
      </c>
      <c r="AK21" s="17">
        <f>IF(預測IC!AK21&gt;預測IC!AK$26,1,0)</f>
        <v>0</v>
      </c>
      <c r="AL21" s="17">
        <f>IF(預測IC!AL21&gt;預測IC!AL$26,1,0)</f>
        <v>1</v>
      </c>
      <c r="AM21" s="17">
        <f>IF(預測IC!AM21&gt;預測IC!AM$26,1,0)</f>
        <v>1</v>
      </c>
      <c r="AN21" s="17">
        <f>IF(預測IC!AN21&gt;預測IC!AN$26,1,0)</f>
        <v>1</v>
      </c>
      <c r="AO21" s="17">
        <f>IF(預測IC!AO21&gt;預測IC!AO$26,1,0)</f>
        <v>1</v>
      </c>
      <c r="AP21" s="17">
        <f>IF(預測IC!AP21&gt;預測IC!AP$26,1,0)</f>
        <v>0</v>
      </c>
      <c r="AQ21" s="17">
        <f>IF(預測IC!AQ21&gt;預測IC!AQ$26,1,0)</f>
        <v>1</v>
      </c>
      <c r="AR21" s="17">
        <f>IF(預測IC!AR21&gt;預測IC!AR$26,1,0)</f>
        <v>1</v>
      </c>
      <c r="AS21" s="17">
        <f>IF(預測IC!AS21&gt;預測IC!AS$26,1,0)</f>
        <v>1</v>
      </c>
      <c r="AT21" s="17">
        <f>IF(預測IC!AT21&gt;預測IC!AT$26,1,0)</f>
        <v>0</v>
      </c>
      <c r="AU21" s="17">
        <f>IF(預測IC!AU21&gt;預測IC!AU$26,1,0)</f>
        <v>1</v>
      </c>
      <c r="AV21" s="17">
        <f>IF(預測IC!AV21&gt;預測IC!AV$26,1,0)</f>
        <v>0</v>
      </c>
      <c r="AW21" s="17">
        <f>IF(預測IC!AW21&gt;預測IC!AW$26,1,0)</f>
        <v>1</v>
      </c>
      <c r="AX21" s="17">
        <f>IF(預測IC!AX21&gt;預測IC!AX$26,1,0)</f>
        <v>1</v>
      </c>
      <c r="AY21" s="17">
        <f>IF(預測IC!AY21&gt;預測IC!AY$26,1,0)</f>
        <v>1</v>
      </c>
      <c r="AZ21" s="17">
        <f>IF(預測IC!AZ21&gt;預測IC!AZ$26,1,0)</f>
        <v>0</v>
      </c>
      <c r="BA21" s="17">
        <f>IF(預測IC!BA21&gt;預測IC!BA$26,1,0)</f>
        <v>0</v>
      </c>
      <c r="BB21" s="17">
        <f>IF(預測IC!BB21&gt;預測IC!BB$26,1,0)</f>
        <v>1</v>
      </c>
      <c r="BC21" s="17">
        <f>IF(預測IC!BC21&gt;預測IC!BC$26,1,0)</f>
        <v>1</v>
      </c>
      <c r="BD21" s="17">
        <f>IF(預測IC!BD21&gt;預測IC!BD$26,1,0)</f>
        <v>0</v>
      </c>
      <c r="BE21" s="17">
        <f>IF(預測IC!BE21&gt;預測IC!BE$26,1,0)</f>
        <v>0</v>
      </c>
      <c r="BF21" s="17">
        <f>IF(預測IC!BF21&gt;預測IC!BF$26,1,0)</f>
        <v>1</v>
      </c>
      <c r="BG21" s="17">
        <f>IF(預測IC!BG21&gt;預測IC!BG$26,1,0)</f>
        <v>1</v>
      </c>
      <c r="BH21" s="17">
        <f>IF(預測IC!BH21&gt;預測IC!BH$26,1,0)</f>
        <v>1</v>
      </c>
      <c r="BI21" s="17">
        <f>IF(預測IC!BI21&gt;預測IC!BI$26,1,0)</f>
        <v>1</v>
      </c>
      <c r="BJ21" s="17">
        <f>IF(預測IC!BJ21&gt;預測IC!BJ$26,1,0)</f>
        <v>1</v>
      </c>
      <c r="BK21" s="17">
        <f>IF(預測IC!BK21&gt;預測IC!BK$26,1,0)</f>
        <v>0</v>
      </c>
      <c r="BL21" s="17">
        <f>IF(預測IC!BL21&gt;預測IC!BL$26,1,0)</f>
        <v>1</v>
      </c>
      <c r="BM21" s="17">
        <f>IF(預測IC!BM21&gt;預測IC!BM$26,1,0)</f>
        <v>1</v>
      </c>
      <c r="BN21" s="17">
        <f>IF(預測IC!BN21&gt;預測IC!BN$26,1,0)</f>
        <v>0</v>
      </c>
      <c r="BO21" s="17">
        <f>IF(預測IC!BO21&gt;預測IC!BO$26,1,0)</f>
        <v>0</v>
      </c>
      <c r="BP21" s="17">
        <f>IF(預測IC!BP21&gt;預測IC!BP$26,1,0)</f>
        <v>1</v>
      </c>
      <c r="BQ21" s="17">
        <f>IF(預測IC!BQ21&gt;預測IC!BQ$26,1,0)</f>
        <v>1</v>
      </c>
      <c r="BR21" s="17">
        <f>IF(預測IC!BR21&gt;預測IC!BR$26,1,0)</f>
        <v>1</v>
      </c>
      <c r="BS21" s="17">
        <f>IF(預測IC!BS21&gt;預測IC!BS$26,1,0)</f>
        <v>0</v>
      </c>
      <c r="BT21" s="17">
        <f>IF(預測IC!BT21&gt;預測IC!BT$26,1,0)</f>
        <v>1</v>
      </c>
      <c r="BU21" s="17">
        <f>IF(預測IC!BU21&gt;預測IC!BU$26,1,0)</f>
        <v>0</v>
      </c>
      <c r="BV21" s="17">
        <f>IF(預測IC!BV21&gt;預測IC!BV$26,1,0)</f>
        <v>1</v>
      </c>
      <c r="BW21" s="17">
        <f>IF(預測IC!BW21&gt;預測IC!BW$26,1,0)</f>
        <v>0</v>
      </c>
      <c r="BX21" s="17">
        <f>IF(預測IC!BX21&gt;預測IC!BX$26,1,0)</f>
        <v>1</v>
      </c>
      <c r="BY21" s="17">
        <f>IF(預測IC!BY21&gt;預測IC!BY$26,1,0)</f>
        <v>1</v>
      </c>
      <c r="BZ21" s="17">
        <f>IF(預測IC!BZ21&gt;預測IC!BZ$26,1,0)</f>
        <v>0</v>
      </c>
      <c r="CA21" s="17">
        <f>IF(預測IC!CA21&gt;預測IC!CA$26,1,0)</f>
        <v>0</v>
      </c>
      <c r="CB21" s="17">
        <f>IF(預測IC!CB21&gt;預測IC!CB$26,1,0)</f>
        <v>0</v>
      </c>
      <c r="CC21" s="17">
        <f>IF(預測IC!CC21&gt;預測IC!CC$26,1,0)</f>
        <v>0</v>
      </c>
      <c r="CD21" s="17">
        <f>IF(預測IC!CD21&gt;預測IC!CD$26,1,0)</f>
        <v>1</v>
      </c>
      <c r="CE21" s="17">
        <f>IF(預測IC!CE21&gt;預測IC!CE$26,1,0)</f>
        <v>1</v>
      </c>
      <c r="CF21" s="17">
        <f>IF(預測IC!CF21&gt;預測IC!CF$26,1,0)</f>
        <v>0</v>
      </c>
      <c r="CG21" s="17">
        <f>IF(預測IC!CG21&gt;預測IC!CG$26,1,0)</f>
        <v>0</v>
      </c>
      <c r="CH21" s="17">
        <f>IF(預測IC!CH21&gt;預測IC!CH$26,1,0)</f>
        <v>1</v>
      </c>
      <c r="CI21" s="17">
        <f>IF(預測IC!CI21&gt;預測IC!CI$26,1,0)</f>
        <v>0</v>
      </c>
      <c r="CJ21" s="17">
        <f>IF(預測IC!CJ21&gt;預測IC!CJ$26,1,0)</f>
        <v>0</v>
      </c>
      <c r="CK21" s="17">
        <f>IF(預測IC!CK21&gt;預測IC!CK$26,1,0)</f>
        <v>1</v>
      </c>
      <c r="CL21" s="17">
        <f>IF(預測IC!CL21&gt;預測IC!CL$26,1,0)</f>
        <v>0</v>
      </c>
      <c r="CM21" s="17">
        <f>IF(預測IC!CM21&gt;預測IC!CM$26,1,0)</f>
        <v>0</v>
      </c>
      <c r="CN21" s="17">
        <f>IF(預測IC!CN21&gt;預測IC!CN$26,1,0)</f>
        <v>0</v>
      </c>
      <c r="CO21" s="17">
        <f>IF(預測IC!CO21&gt;預測IC!CO$26,1,0)</f>
        <v>1</v>
      </c>
      <c r="CP21" s="17">
        <f>IF(預測IC!CP21&gt;預測IC!CP$26,1,0)</f>
        <v>0</v>
      </c>
      <c r="CQ21" s="17">
        <f>IF(預測IC!CQ21&gt;預測IC!CQ$26,1,0)</f>
        <v>1</v>
      </c>
      <c r="CR21" s="17">
        <f>IF(預測IC!CR21&gt;預測IC!CR$26,1,0)</f>
        <v>1</v>
      </c>
      <c r="CS21" s="17">
        <f>IF(預測IC!CS21&gt;預測IC!CS$26,1,0)</f>
        <v>1</v>
      </c>
      <c r="CT21" s="17">
        <f>IF(預測IC!CT21&gt;預測IC!CT$26,1,0)</f>
        <v>1</v>
      </c>
      <c r="CU21" s="17">
        <f>IF(預測IC!CU21&gt;預測IC!CU$26,1,0)</f>
        <v>1</v>
      </c>
      <c r="CV21" s="17">
        <f>IF(預測IC!CV21&gt;預測IC!CV$26,1,0)</f>
        <v>1</v>
      </c>
      <c r="CW21" s="17">
        <f>IF(預測IC!CW21&gt;預測IC!CW$26,1,0)</f>
        <v>0</v>
      </c>
      <c r="CX21" s="17">
        <f>IF(預測IC!CX21&gt;預測IC!CX$26,1,0)</f>
        <v>1</v>
      </c>
      <c r="CY21" s="17">
        <f>IF(預測IC!CY21&gt;預測IC!CY$26,1,0)</f>
        <v>0</v>
      </c>
      <c r="CZ21" s="17">
        <f>IF(預測IC!CZ21&gt;預測IC!CZ$26,1,0)</f>
        <v>1</v>
      </c>
      <c r="DA21" s="17">
        <f>IF(預測IC!DA21&gt;預測IC!DA$26,1,0)</f>
        <v>1</v>
      </c>
      <c r="DB21" s="17">
        <f>IF(預測IC!DB21&gt;預測IC!DB$26,1,0)</f>
        <v>1</v>
      </c>
      <c r="DC21" s="17">
        <f>IF(預測IC!DC21&gt;預測IC!DC$26,1,0)</f>
        <v>1</v>
      </c>
      <c r="DD21" s="17">
        <f>IF(預測IC!DD21&gt;預測IC!DD$26,1,0)</f>
        <v>1</v>
      </c>
      <c r="DE21" s="17">
        <f>IF(預測IC!DE21&gt;預測IC!DE$26,1,0)</f>
        <v>0</v>
      </c>
      <c r="DF21" s="17">
        <f>IF(預測IC!DF21&gt;預測IC!DF$26,1,0)</f>
        <v>1</v>
      </c>
      <c r="DG21" s="17">
        <f>IF(預測IC!DG21&gt;預測IC!DG$26,1,0)</f>
        <v>0</v>
      </c>
      <c r="DH21" s="17">
        <f>IF(預測IC!DH21&gt;預測IC!DH$26,1,0)</f>
        <v>1</v>
      </c>
      <c r="DI21" s="17">
        <f>IF(預測IC!DI21&gt;預測IC!DI$26,1,0)</f>
        <v>1</v>
      </c>
      <c r="DJ21" s="17">
        <f>IF(預測IC!DJ21&gt;預測IC!DJ$26,1,0)</f>
        <v>1</v>
      </c>
      <c r="DK21" s="17">
        <f>IF(預測IC!DK21&gt;預測IC!DK$26,1,0)</f>
        <v>0</v>
      </c>
      <c r="DL21" s="17">
        <f>IF(預測IC!DL21&gt;預測IC!DL$26,1,0)</f>
        <v>1</v>
      </c>
      <c r="DM21" s="17">
        <f>IF(預測IC!DM21&gt;預測IC!DM$26,1,0)</f>
        <v>1</v>
      </c>
      <c r="DN21" s="17">
        <f>IF(預測IC!DN21&gt;預測IC!DN$26,1,0)</f>
        <v>0</v>
      </c>
      <c r="DO21" s="17">
        <f>IF(預測IC!DO21&gt;預測IC!DO$26,1,0)</f>
        <v>1</v>
      </c>
      <c r="DP21" s="17">
        <f>IF(預測IC!DP21&gt;預測IC!DP$26,1,0)</f>
        <v>0</v>
      </c>
      <c r="DQ21" s="17">
        <f>IF(預測IC!DQ21&gt;預測IC!DQ$26,1,0)</f>
        <v>0</v>
      </c>
      <c r="DR21" s="17">
        <f>IF(預測IC!DR21&gt;預測IC!DR$26,1,0)</f>
        <v>1</v>
      </c>
      <c r="DS21" s="17">
        <f>IF(預測IC!DS21&gt;預測IC!DS$26,1,0)</f>
        <v>0</v>
      </c>
      <c r="DT21" s="17">
        <f>IF(預測IC!DT21&gt;預測IC!DT$26,1,0)</f>
        <v>0</v>
      </c>
      <c r="DU21" s="17">
        <f>IF(預測IC!DU21&gt;預測IC!DU$26,1,0)</f>
        <v>0</v>
      </c>
      <c r="DV21" s="17">
        <f>IF(預測IC!DV21&gt;預測IC!DV$26,1,0)</f>
        <v>0</v>
      </c>
      <c r="DW21" s="17">
        <f>IF(預測IC!DW21&gt;預測IC!DW$26,1,0)</f>
        <v>0</v>
      </c>
      <c r="DX21" s="17">
        <f>IF(預測IC!DX21&gt;預測IC!DX$26,1,0)</f>
        <v>1</v>
      </c>
      <c r="DY21" s="17">
        <f>IF(預測IC!DY21&gt;預測IC!DY$26,1,0)</f>
        <v>1</v>
      </c>
      <c r="DZ21" s="17">
        <f>IF(預測IC!DZ21&gt;預測IC!DZ$26,1,0)</f>
        <v>1</v>
      </c>
      <c r="EA21" s="17">
        <f>IF(預測IC!EA21&gt;預測IC!EA$26,1,0)</f>
        <v>1</v>
      </c>
      <c r="EB21" s="17">
        <f>IF(預測IC!EB21&gt;預測IC!EB$26,1,0)</f>
        <v>0</v>
      </c>
      <c r="EC21" s="17">
        <f>IF(預測IC!EC21&gt;預測IC!EC$26,1,0)</f>
        <v>1</v>
      </c>
      <c r="ED21" s="17">
        <f>IF(預測IC!ED21&gt;預測IC!ED$26,1,0)</f>
        <v>0</v>
      </c>
      <c r="EE21" s="17">
        <f>IF(預測IC!EE21&gt;預測IC!EE$26,1,0)</f>
        <v>0</v>
      </c>
      <c r="EF21" s="17">
        <f>IF(預測IC!EF21&gt;預測IC!EF$26,1,0)</f>
        <v>1</v>
      </c>
      <c r="EG21">
        <f t="shared" si="10"/>
        <v>79</v>
      </c>
      <c r="EH21" s="11">
        <f t="shared" si="11"/>
        <v>0.58955223880597019</v>
      </c>
    </row>
    <row r="22" spans="1:138">
      <c r="A22" s="2">
        <v>321</v>
      </c>
      <c r="B22" s="2">
        <v>3</v>
      </c>
      <c r="C22" s="17">
        <f>IF(預測IC!C22&gt;預測IC!C$26,1,0)</f>
        <v>1</v>
      </c>
      <c r="D22" s="17">
        <f>IF(預測IC!D22&gt;預測IC!D$26,1,0)</f>
        <v>0</v>
      </c>
      <c r="E22" s="17">
        <f>IF(預測IC!E22&gt;預測IC!E$26,1,0)</f>
        <v>0</v>
      </c>
      <c r="F22" s="17">
        <f>IF(預測IC!F22&gt;預測IC!F$26,1,0)</f>
        <v>0</v>
      </c>
      <c r="G22" s="17">
        <f>IF(預測IC!G22&gt;預測IC!G$26,1,0)</f>
        <v>0</v>
      </c>
      <c r="H22" s="17">
        <f>IF(預測IC!H22&gt;預測IC!H$26,1,0)</f>
        <v>1</v>
      </c>
      <c r="I22" s="17">
        <f>IF(預測IC!I22&gt;預測IC!I$26,1,0)</f>
        <v>1</v>
      </c>
      <c r="J22" s="17">
        <f>IF(預測IC!J22&gt;預測IC!J$26,1,0)</f>
        <v>1</v>
      </c>
      <c r="K22" s="17">
        <f>IF(預測IC!K22&gt;預測IC!K$26,1,0)</f>
        <v>0</v>
      </c>
      <c r="L22" s="17">
        <f>IF(預測IC!L22&gt;預測IC!L$26,1,0)</f>
        <v>1</v>
      </c>
      <c r="M22" s="17">
        <f>IF(預測IC!M22&gt;預測IC!M$26,1,0)</f>
        <v>0</v>
      </c>
      <c r="N22" s="17">
        <f>IF(預測IC!N22&gt;預測IC!N$26,1,0)</f>
        <v>1</v>
      </c>
      <c r="O22" s="17">
        <f>IF(預測IC!O22&gt;預測IC!O$26,1,0)</f>
        <v>1</v>
      </c>
      <c r="P22" s="17">
        <f>IF(預測IC!P22&gt;預測IC!P$26,1,0)</f>
        <v>0</v>
      </c>
      <c r="Q22" s="17">
        <f>IF(預測IC!Q22&gt;預測IC!Q$26,1,0)</f>
        <v>0</v>
      </c>
      <c r="R22" s="17">
        <f>IF(預測IC!R22&gt;預測IC!R$26,1,0)</f>
        <v>0</v>
      </c>
      <c r="S22" s="17">
        <f>IF(預測IC!S22&gt;預測IC!S$26,1,0)</f>
        <v>0</v>
      </c>
      <c r="T22" s="17">
        <f>IF(預測IC!T22&gt;預測IC!T$26,1,0)</f>
        <v>1</v>
      </c>
      <c r="U22" s="17">
        <f>IF(預測IC!U22&gt;預測IC!U$26,1,0)</f>
        <v>0</v>
      </c>
      <c r="V22" s="17">
        <f>IF(預測IC!V22&gt;預測IC!V$26,1,0)</f>
        <v>1</v>
      </c>
      <c r="W22" s="17">
        <f>IF(預測IC!W22&gt;預測IC!W$26,1,0)</f>
        <v>1</v>
      </c>
      <c r="X22" s="17">
        <f>IF(預測IC!X22&gt;預測IC!X$26,1,0)</f>
        <v>1</v>
      </c>
      <c r="Y22" s="17">
        <f>IF(預測IC!Y22&gt;預測IC!Y$26,1,0)</f>
        <v>1</v>
      </c>
      <c r="Z22" s="17">
        <f>IF(預測IC!Z22&gt;預測IC!Z$26,1,0)</f>
        <v>1</v>
      </c>
      <c r="AA22" s="17">
        <f>IF(預測IC!AA22&gt;預測IC!AA$26,1,0)</f>
        <v>1</v>
      </c>
      <c r="AB22" s="17">
        <f>IF(預測IC!AB22&gt;預測IC!AB$26,1,0)</f>
        <v>1</v>
      </c>
      <c r="AC22" s="17">
        <f>IF(預測IC!AC22&gt;預測IC!AC$26,1,0)</f>
        <v>1</v>
      </c>
      <c r="AD22" s="17">
        <f>IF(預測IC!AD22&gt;預測IC!AD$26,1,0)</f>
        <v>1</v>
      </c>
      <c r="AE22" s="17">
        <f>IF(預測IC!AE22&gt;預測IC!AE$26,1,0)</f>
        <v>0</v>
      </c>
      <c r="AF22" s="17">
        <f>IF(預測IC!AF22&gt;預測IC!AF$26,1,0)</f>
        <v>1</v>
      </c>
      <c r="AG22" s="17">
        <f>IF(預測IC!AG22&gt;預測IC!AG$26,1,0)</f>
        <v>1</v>
      </c>
      <c r="AH22" s="17">
        <f>IF(預測IC!AH22&gt;預測IC!AH$26,1,0)</f>
        <v>0</v>
      </c>
      <c r="AI22" s="17">
        <f>IF(預測IC!AI22&gt;預測IC!AI$26,1,0)</f>
        <v>1</v>
      </c>
      <c r="AJ22" s="17">
        <f>IF(預測IC!AJ22&gt;預測IC!AJ$26,1,0)</f>
        <v>0</v>
      </c>
      <c r="AK22" s="17">
        <f>IF(預測IC!AK22&gt;預測IC!AK$26,1,0)</f>
        <v>1</v>
      </c>
      <c r="AL22" s="17">
        <f>IF(預測IC!AL22&gt;預測IC!AL$26,1,0)</f>
        <v>1</v>
      </c>
      <c r="AM22" s="17">
        <f>IF(預測IC!AM22&gt;預測IC!AM$26,1,0)</f>
        <v>1</v>
      </c>
      <c r="AN22" s="17">
        <f>IF(預測IC!AN22&gt;預測IC!AN$26,1,0)</f>
        <v>1</v>
      </c>
      <c r="AO22" s="17">
        <f>IF(預測IC!AO22&gt;預測IC!AO$26,1,0)</f>
        <v>1</v>
      </c>
      <c r="AP22" s="17">
        <f>IF(預測IC!AP22&gt;預測IC!AP$26,1,0)</f>
        <v>0</v>
      </c>
      <c r="AQ22" s="17">
        <f>IF(預測IC!AQ22&gt;預測IC!AQ$26,1,0)</f>
        <v>1</v>
      </c>
      <c r="AR22" s="17">
        <f>IF(預測IC!AR22&gt;預測IC!AR$26,1,0)</f>
        <v>1</v>
      </c>
      <c r="AS22" s="17">
        <f>IF(預測IC!AS22&gt;預測IC!AS$26,1,0)</f>
        <v>1</v>
      </c>
      <c r="AT22" s="17">
        <f>IF(預測IC!AT22&gt;預測IC!AT$26,1,0)</f>
        <v>0</v>
      </c>
      <c r="AU22" s="17">
        <f>IF(預測IC!AU22&gt;預測IC!AU$26,1,0)</f>
        <v>1</v>
      </c>
      <c r="AV22" s="17">
        <f>IF(預測IC!AV22&gt;預測IC!AV$26,1,0)</f>
        <v>0</v>
      </c>
      <c r="AW22" s="17">
        <f>IF(預測IC!AW22&gt;預測IC!AW$26,1,0)</f>
        <v>0</v>
      </c>
      <c r="AX22" s="17">
        <f>IF(預測IC!AX22&gt;預測IC!AX$26,1,0)</f>
        <v>1</v>
      </c>
      <c r="AY22" s="17">
        <f>IF(預測IC!AY22&gt;預測IC!AY$26,1,0)</f>
        <v>1</v>
      </c>
      <c r="AZ22" s="17">
        <f>IF(預測IC!AZ22&gt;預測IC!AZ$26,1,0)</f>
        <v>0</v>
      </c>
      <c r="BA22" s="17">
        <f>IF(預測IC!BA22&gt;預測IC!BA$26,1,0)</f>
        <v>0</v>
      </c>
      <c r="BB22" s="17">
        <f>IF(預測IC!BB22&gt;預測IC!BB$26,1,0)</f>
        <v>1</v>
      </c>
      <c r="BC22" s="17">
        <f>IF(預測IC!BC22&gt;預測IC!BC$26,1,0)</f>
        <v>0</v>
      </c>
      <c r="BD22" s="17">
        <f>IF(預測IC!BD22&gt;預測IC!BD$26,1,0)</f>
        <v>0</v>
      </c>
      <c r="BE22" s="17">
        <f>IF(預測IC!BE22&gt;預測IC!BE$26,1,0)</f>
        <v>1</v>
      </c>
      <c r="BF22" s="17">
        <f>IF(預測IC!BF22&gt;預測IC!BF$26,1,0)</f>
        <v>1</v>
      </c>
      <c r="BG22" s="17">
        <f>IF(預測IC!BG22&gt;預測IC!BG$26,1,0)</f>
        <v>1</v>
      </c>
      <c r="BH22" s="17">
        <f>IF(預測IC!BH22&gt;預測IC!BH$26,1,0)</f>
        <v>0</v>
      </c>
      <c r="BI22" s="17">
        <f>IF(預測IC!BI22&gt;預測IC!BI$26,1,0)</f>
        <v>1</v>
      </c>
      <c r="BJ22" s="17">
        <f>IF(預測IC!BJ22&gt;預測IC!BJ$26,1,0)</f>
        <v>1</v>
      </c>
      <c r="BK22" s="17">
        <f>IF(預測IC!BK22&gt;預測IC!BK$26,1,0)</f>
        <v>0</v>
      </c>
      <c r="BL22" s="17">
        <f>IF(預測IC!BL22&gt;預測IC!BL$26,1,0)</f>
        <v>1</v>
      </c>
      <c r="BM22" s="17">
        <f>IF(預測IC!BM22&gt;預測IC!BM$26,1,0)</f>
        <v>1</v>
      </c>
      <c r="BN22" s="17">
        <f>IF(預測IC!BN22&gt;預測IC!BN$26,1,0)</f>
        <v>1</v>
      </c>
      <c r="BO22" s="17">
        <f>IF(預測IC!BO22&gt;預測IC!BO$26,1,0)</f>
        <v>0</v>
      </c>
      <c r="BP22" s="17">
        <f>IF(預測IC!BP22&gt;預測IC!BP$26,1,0)</f>
        <v>1</v>
      </c>
      <c r="BQ22" s="17">
        <f>IF(預測IC!BQ22&gt;預測IC!BQ$26,1,0)</f>
        <v>1</v>
      </c>
      <c r="BR22" s="17">
        <f>IF(預測IC!BR22&gt;預測IC!BR$26,1,0)</f>
        <v>1</v>
      </c>
      <c r="BS22" s="17">
        <f>IF(預測IC!BS22&gt;預測IC!BS$26,1,0)</f>
        <v>0</v>
      </c>
      <c r="BT22" s="17">
        <f>IF(預測IC!BT22&gt;預測IC!BT$26,1,0)</f>
        <v>1</v>
      </c>
      <c r="BU22" s="17">
        <f>IF(預測IC!BU22&gt;預測IC!BU$26,1,0)</f>
        <v>0</v>
      </c>
      <c r="BV22" s="17">
        <f>IF(預測IC!BV22&gt;預測IC!BV$26,1,0)</f>
        <v>1</v>
      </c>
      <c r="BW22" s="17">
        <f>IF(預測IC!BW22&gt;預測IC!BW$26,1,0)</f>
        <v>0</v>
      </c>
      <c r="BX22" s="17">
        <f>IF(預測IC!BX22&gt;預測IC!BX$26,1,0)</f>
        <v>1</v>
      </c>
      <c r="BY22" s="17">
        <f>IF(預測IC!BY22&gt;預測IC!BY$26,1,0)</f>
        <v>1</v>
      </c>
      <c r="BZ22" s="17">
        <f>IF(預測IC!BZ22&gt;預測IC!BZ$26,1,0)</f>
        <v>0</v>
      </c>
      <c r="CA22" s="17">
        <f>IF(預測IC!CA22&gt;預測IC!CA$26,1,0)</f>
        <v>0</v>
      </c>
      <c r="CB22" s="17">
        <f>IF(預測IC!CB22&gt;預測IC!CB$26,1,0)</f>
        <v>0</v>
      </c>
      <c r="CC22" s="17">
        <f>IF(預測IC!CC22&gt;預測IC!CC$26,1,0)</f>
        <v>0</v>
      </c>
      <c r="CD22" s="17">
        <f>IF(預測IC!CD22&gt;預測IC!CD$26,1,0)</f>
        <v>1</v>
      </c>
      <c r="CE22" s="17">
        <f>IF(預測IC!CE22&gt;預測IC!CE$26,1,0)</f>
        <v>1</v>
      </c>
      <c r="CF22" s="17">
        <f>IF(預測IC!CF22&gt;預測IC!CF$26,1,0)</f>
        <v>0</v>
      </c>
      <c r="CG22" s="17">
        <f>IF(預測IC!CG22&gt;預測IC!CG$26,1,0)</f>
        <v>0</v>
      </c>
      <c r="CH22" s="17">
        <f>IF(預測IC!CH22&gt;預測IC!CH$26,1,0)</f>
        <v>1</v>
      </c>
      <c r="CI22" s="17">
        <f>IF(預測IC!CI22&gt;預測IC!CI$26,1,0)</f>
        <v>0</v>
      </c>
      <c r="CJ22" s="17">
        <f>IF(預測IC!CJ22&gt;預測IC!CJ$26,1,0)</f>
        <v>0</v>
      </c>
      <c r="CK22" s="17">
        <f>IF(預測IC!CK22&gt;預測IC!CK$26,1,0)</f>
        <v>1</v>
      </c>
      <c r="CL22" s="17">
        <f>IF(預測IC!CL22&gt;預測IC!CL$26,1,0)</f>
        <v>0</v>
      </c>
      <c r="CM22" s="17">
        <f>IF(預測IC!CM22&gt;預測IC!CM$26,1,0)</f>
        <v>0</v>
      </c>
      <c r="CN22" s="17">
        <f>IF(預測IC!CN22&gt;預測IC!CN$26,1,0)</f>
        <v>0</v>
      </c>
      <c r="CO22" s="17">
        <f>IF(預測IC!CO22&gt;預測IC!CO$26,1,0)</f>
        <v>1</v>
      </c>
      <c r="CP22" s="17">
        <f>IF(預測IC!CP22&gt;預測IC!CP$26,1,0)</f>
        <v>0</v>
      </c>
      <c r="CQ22" s="17">
        <f>IF(預測IC!CQ22&gt;預測IC!CQ$26,1,0)</f>
        <v>1</v>
      </c>
      <c r="CR22" s="17">
        <f>IF(預測IC!CR22&gt;預測IC!CR$26,1,0)</f>
        <v>1</v>
      </c>
      <c r="CS22" s="17">
        <f>IF(預測IC!CS22&gt;預測IC!CS$26,1,0)</f>
        <v>0</v>
      </c>
      <c r="CT22" s="17">
        <f>IF(預測IC!CT22&gt;預測IC!CT$26,1,0)</f>
        <v>0</v>
      </c>
      <c r="CU22" s="17">
        <f>IF(預測IC!CU22&gt;預測IC!CU$26,1,0)</f>
        <v>1</v>
      </c>
      <c r="CV22" s="17">
        <f>IF(預測IC!CV22&gt;預測IC!CV$26,1,0)</f>
        <v>1</v>
      </c>
      <c r="CW22" s="17">
        <f>IF(預測IC!CW22&gt;預測IC!CW$26,1,0)</f>
        <v>0</v>
      </c>
      <c r="CX22" s="17">
        <f>IF(預測IC!CX22&gt;預測IC!CX$26,1,0)</f>
        <v>1</v>
      </c>
      <c r="CY22" s="17">
        <f>IF(預測IC!CY22&gt;預測IC!CY$26,1,0)</f>
        <v>0</v>
      </c>
      <c r="CZ22" s="17">
        <f>IF(預測IC!CZ22&gt;預測IC!CZ$26,1,0)</f>
        <v>1</v>
      </c>
      <c r="DA22" s="17">
        <f>IF(預測IC!DA22&gt;預測IC!DA$26,1,0)</f>
        <v>1</v>
      </c>
      <c r="DB22" s="17">
        <f>IF(預測IC!DB22&gt;預測IC!DB$26,1,0)</f>
        <v>1</v>
      </c>
      <c r="DC22" s="17">
        <f>IF(預測IC!DC22&gt;預測IC!DC$26,1,0)</f>
        <v>1</v>
      </c>
      <c r="DD22" s="17">
        <f>IF(預測IC!DD22&gt;預測IC!DD$26,1,0)</f>
        <v>1</v>
      </c>
      <c r="DE22" s="17">
        <f>IF(預測IC!DE22&gt;預測IC!DE$26,1,0)</f>
        <v>0</v>
      </c>
      <c r="DF22" s="17">
        <f>IF(預測IC!DF22&gt;預測IC!DF$26,1,0)</f>
        <v>1</v>
      </c>
      <c r="DG22" s="17">
        <f>IF(預測IC!DG22&gt;預測IC!DG$26,1,0)</f>
        <v>0</v>
      </c>
      <c r="DH22" s="17">
        <f>IF(預測IC!DH22&gt;預測IC!DH$26,1,0)</f>
        <v>1</v>
      </c>
      <c r="DI22" s="17">
        <f>IF(預測IC!DI22&gt;預測IC!DI$26,1,0)</f>
        <v>1</v>
      </c>
      <c r="DJ22" s="17">
        <f>IF(預測IC!DJ22&gt;預測IC!DJ$26,1,0)</f>
        <v>1</v>
      </c>
      <c r="DK22" s="17">
        <f>IF(預測IC!DK22&gt;預測IC!DK$26,1,0)</f>
        <v>0</v>
      </c>
      <c r="DL22" s="17">
        <f>IF(預測IC!DL22&gt;預測IC!DL$26,1,0)</f>
        <v>1</v>
      </c>
      <c r="DM22" s="17">
        <f>IF(預測IC!DM22&gt;預測IC!DM$26,1,0)</f>
        <v>1</v>
      </c>
      <c r="DN22" s="17">
        <f>IF(預測IC!DN22&gt;預測IC!DN$26,1,0)</f>
        <v>0</v>
      </c>
      <c r="DO22" s="17">
        <f>IF(預測IC!DO22&gt;預測IC!DO$26,1,0)</f>
        <v>1</v>
      </c>
      <c r="DP22" s="17">
        <f>IF(預測IC!DP22&gt;預測IC!DP$26,1,0)</f>
        <v>0</v>
      </c>
      <c r="DQ22" s="17">
        <f>IF(預測IC!DQ22&gt;預測IC!DQ$26,1,0)</f>
        <v>0</v>
      </c>
      <c r="DR22" s="17">
        <f>IF(預測IC!DR22&gt;預測IC!DR$26,1,0)</f>
        <v>0</v>
      </c>
      <c r="DS22" s="17">
        <f>IF(預測IC!DS22&gt;預測IC!DS$26,1,0)</f>
        <v>0</v>
      </c>
      <c r="DT22" s="17">
        <f>IF(預測IC!DT22&gt;預測IC!DT$26,1,0)</f>
        <v>0</v>
      </c>
      <c r="DU22" s="17">
        <f>IF(預測IC!DU22&gt;預測IC!DU$26,1,0)</f>
        <v>0</v>
      </c>
      <c r="DV22" s="17">
        <f>IF(預測IC!DV22&gt;預測IC!DV$26,1,0)</f>
        <v>1</v>
      </c>
      <c r="DW22" s="17">
        <f>IF(預測IC!DW22&gt;預測IC!DW$26,1,0)</f>
        <v>0</v>
      </c>
      <c r="DX22" s="17">
        <f>IF(預測IC!DX22&gt;預測IC!DX$26,1,0)</f>
        <v>1</v>
      </c>
      <c r="DY22" s="17">
        <f>IF(預測IC!DY22&gt;預測IC!DY$26,1,0)</f>
        <v>1</v>
      </c>
      <c r="DZ22" s="17">
        <f>IF(預測IC!DZ22&gt;預測IC!DZ$26,1,0)</f>
        <v>1</v>
      </c>
      <c r="EA22" s="17">
        <f>IF(預測IC!EA22&gt;預測IC!EA$26,1,0)</f>
        <v>1</v>
      </c>
      <c r="EB22" s="17">
        <f>IF(預測IC!EB22&gt;預測IC!EB$26,1,0)</f>
        <v>0</v>
      </c>
      <c r="EC22" s="17">
        <f>IF(預測IC!EC22&gt;預測IC!EC$26,1,0)</f>
        <v>1</v>
      </c>
      <c r="ED22" s="17">
        <f>IF(預測IC!ED22&gt;預測IC!ED$26,1,0)</f>
        <v>0</v>
      </c>
      <c r="EE22" s="17">
        <f>IF(預測IC!EE22&gt;預測IC!EE$26,1,0)</f>
        <v>0</v>
      </c>
      <c r="EF22" s="17">
        <f>IF(預測IC!EF22&gt;預測IC!EF$26,1,0)</f>
        <v>1</v>
      </c>
      <c r="EG22">
        <f t="shared" si="10"/>
        <v>76</v>
      </c>
      <c r="EH22" s="11">
        <f t="shared" si="11"/>
        <v>0.56716417910447758</v>
      </c>
    </row>
    <row r="23" spans="1:138">
      <c r="A23" s="2">
        <v>482</v>
      </c>
      <c r="B23" s="2">
        <v>2</v>
      </c>
      <c r="C23" s="17">
        <f>IF(預測IC!C23&gt;預測IC!C$26,1,0)</f>
        <v>1</v>
      </c>
      <c r="D23" s="17">
        <f>IF(預測IC!D23&gt;預測IC!D$26,1,0)</f>
        <v>0</v>
      </c>
      <c r="E23" s="17">
        <f>IF(預測IC!E23&gt;預測IC!E$26,1,0)</f>
        <v>0</v>
      </c>
      <c r="F23" s="17">
        <f>IF(預測IC!F23&gt;預測IC!F$26,1,0)</f>
        <v>0</v>
      </c>
      <c r="G23" s="17">
        <f>IF(預測IC!G23&gt;預測IC!G$26,1,0)</f>
        <v>0</v>
      </c>
      <c r="H23" s="17">
        <f>IF(預測IC!H23&gt;預測IC!H$26,1,0)</f>
        <v>1</v>
      </c>
      <c r="I23" s="17">
        <f>IF(預測IC!I23&gt;預測IC!I$26,1,0)</f>
        <v>1</v>
      </c>
      <c r="J23" s="17">
        <f>IF(預測IC!J23&gt;預測IC!J$26,1,0)</f>
        <v>0</v>
      </c>
      <c r="K23" s="17">
        <f>IF(預測IC!K23&gt;預測IC!K$26,1,0)</f>
        <v>0</v>
      </c>
      <c r="L23" s="17">
        <f>IF(預測IC!L23&gt;預測IC!L$26,1,0)</f>
        <v>1</v>
      </c>
      <c r="M23" s="17">
        <f>IF(預測IC!M23&gt;預測IC!M$26,1,0)</f>
        <v>0</v>
      </c>
      <c r="N23" s="17">
        <f>IF(預測IC!N23&gt;預測IC!N$26,1,0)</f>
        <v>1</v>
      </c>
      <c r="O23" s="17">
        <f>IF(預測IC!O23&gt;預測IC!O$26,1,0)</f>
        <v>1</v>
      </c>
      <c r="P23" s="17">
        <f>IF(預測IC!P23&gt;預測IC!P$26,1,0)</f>
        <v>0</v>
      </c>
      <c r="Q23" s="17">
        <f>IF(預測IC!Q23&gt;預測IC!Q$26,1,0)</f>
        <v>1</v>
      </c>
      <c r="R23" s="17">
        <f>IF(預測IC!R23&gt;預測IC!R$26,1,0)</f>
        <v>0</v>
      </c>
      <c r="S23" s="17">
        <f>IF(預測IC!S23&gt;預測IC!S$26,1,0)</f>
        <v>0</v>
      </c>
      <c r="T23" s="17">
        <f>IF(預測IC!T23&gt;預測IC!T$26,1,0)</f>
        <v>1</v>
      </c>
      <c r="U23" s="17">
        <f>IF(預測IC!U23&gt;預測IC!U$26,1,0)</f>
        <v>0</v>
      </c>
      <c r="V23" s="17">
        <f>IF(預測IC!V23&gt;預測IC!V$26,1,0)</f>
        <v>1</v>
      </c>
      <c r="W23" s="17">
        <f>IF(預測IC!W23&gt;預測IC!W$26,1,0)</f>
        <v>1</v>
      </c>
      <c r="X23" s="17">
        <f>IF(預測IC!X23&gt;預測IC!X$26,1,0)</f>
        <v>1</v>
      </c>
      <c r="Y23" s="17">
        <f>IF(預測IC!Y23&gt;預測IC!Y$26,1,0)</f>
        <v>1</v>
      </c>
      <c r="Z23" s="17">
        <f>IF(預測IC!Z23&gt;預測IC!Z$26,1,0)</f>
        <v>1</v>
      </c>
      <c r="AA23" s="17">
        <f>IF(預測IC!AA23&gt;預測IC!AA$26,1,0)</f>
        <v>1</v>
      </c>
      <c r="AB23" s="17">
        <f>IF(預測IC!AB23&gt;預測IC!AB$26,1,0)</f>
        <v>1</v>
      </c>
      <c r="AC23" s="17">
        <f>IF(預測IC!AC23&gt;預測IC!AC$26,1,0)</f>
        <v>1</v>
      </c>
      <c r="AD23" s="17">
        <f>IF(預測IC!AD23&gt;預測IC!AD$26,1,0)</f>
        <v>1</v>
      </c>
      <c r="AE23" s="17">
        <f>IF(預測IC!AE23&gt;預測IC!AE$26,1,0)</f>
        <v>0</v>
      </c>
      <c r="AF23" s="17">
        <f>IF(預測IC!AF23&gt;預測IC!AF$26,1,0)</f>
        <v>1</v>
      </c>
      <c r="AG23" s="17">
        <f>IF(預測IC!AG23&gt;預測IC!AG$26,1,0)</f>
        <v>1</v>
      </c>
      <c r="AH23" s="17">
        <f>IF(預測IC!AH23&gt;預測IC!AH$26,1,0)</f>
        <v>1</v>
      </c>
      <c r="AI23" s="17">
        <f>IF(預測IC!AI23&gt;預測IC!AI$26,1,0)</f>
        <v>1</v>
      </c>
      <c r="AJ23" s="17">
        <f>IF(預測IC!AJ23&gt;預測IC!AJ$26,1,0)</f>
        <v>1</v>
      </c>
      <c r="AK23" s="17">
        <f>IF(預測IC!AK23&gt;預測IC!AK$26,1,0)</f>
        <v>1</v>
      </c>
      <c r="AL23" s="17">
        <f>IF(預測IC!AL23&gt;預測IC!AL$26,1,0)</f>
        <v>1</v>
      </c>
      <c r="AM23" s="17">
        <f>IF(預測IC!AM23&gt;預測IC!AM$26,1,0)</f>
        <v>0</v>
      </c>
      <c r="AN23" s="17">
        <f>IF(預測IC!AN23&gt;預測IC!AN$26,1,0)</f>
        <v>1</v>
      </c>
      <c r="AO23" s="17">
        <f>IF(預測IC!AO23&gt;預測IC!AO$26,1,0)</f>
        <v>0</v>
      </c>
      <c r="AP23" s="17">
        <f>IF(預測IC!AP23&gt;預測IC!AP$26,1,0)</f>
        <v>0</v>
      </c>
      <c r="AQ23" s="17">
        <f>IF(預測IC!AQ23&gt;預測IC!AQ$26,1,0)</f>
        <v>1</v>
      </c>
      <c r="AR23" s="17">
        <f>IF(預測IC!AR23&gt;預測IC!AR$26,1,0)</f>
        <v>1</v>
      </c>
      <c r="AS23" s="17">
        <f>IF(預測IC!AS23&gt;預測IC!AS$26,1,0)</f>
        <v>1</v>
      </c>
      <c r="AT23" s="17">
        <f>IF(預測IC!AT23&gt;預測IC!AT$26,1,0)</f>
        <v>0</v>
      </c>
      <c r="AU23" s="17">
        <f>IF(預測IC!AU23&gt;預測IC!AU$26,1,0)</f>
        <v>1</v>
      </c>
      <c r="AV23" s="17">
        <f>IF(預測IC!AV23&gt;預測IC!AV$26,1,0)</f>
        <v>0</v>
      </c>
      <c r="AW23" s="17">
        <f>IF(預測IC!AW23&gt;預測IC!AW$26,1,0)</f>
        <v>0</v>
      </c>
      <c r="AX23" s="17">
        <f>IF(預測IC!AX23&gt;預測IC!AX$26,1,0)</f>
        <v>1</v>
      </c>
      <c r="AY23" s="17">
        <f>IF(預測IC!AY23&gt;預測IC!AY$26,1,0)</f>
        <v>1</v>
      </c>
      <c r="AZ23" s="17">
        <f>IF(預測IC!AZ23&gt;預測IC!AZ$26,1,0)</f>
        <v>0</v>
      </c>
      <c r="BA23" s="17">
        <f>IF(預測IC!BA23&gt;預測IC!BA$26,1,0)</f>
        <v>1</v>
      </c>
      <c r="BB23" s="17">
        <f>IF(預測IC!BB23&gt;預測IC!BB$26,1,0)</f>
        <v>0</v>
      </c>
      <c r="BC23" s="17">
        <f>IF(預測IC!BC23&gt;預測IC!BC$26,1,0)</f>
        <v>0</v>
      </c>
      <c r="BD23" s="17">
        <f>IF(預測IC!BD23&gt;預測IC!BD$26,1,0)</f>
        <v>1</v>
      </c>
      <c r="BE23" s="17">
        <f>IF(預測IC!BE23&gt;預測IC!BE$26,1,0)</f>
        <v>0</v>
      </c>
      <c r="BF23" s="17">
        <f>IF(預測IC!BF23&gt;預測IC!BF$26,1,0)</f>
        <v>0</v>
      </c>
      <c r="BG23" s="17">
        <f>IF(預測IC!BG23&gt;預測IC!BG$26,1,0)</f>
        <v>1</v>
      </c>
      <c r="BH23" s="17">
        <f>IF(預測IC!BH23&gt;預測IC!BH$26,1,0)</f>
        <v>0</v>
      </c>
      <c r="BI23" s="17">
        <f>IF(預測IC!BI23&gt;預測IC!BI$26,1,0)</f>
        <v>1</v>
      </c>
      <c r="BJ23" s="17">
        <f>IF(預測IC!BJ23&gt;預測IC!BJ$26,1,0)</f>
        <v>1</v>
      </c>
      <c r="BK23" s="17">
        <f>IF(預測IC!BK23&gt;預測IC!BK$26,1,0)</f>
        <v>0</v>
      </c>
      <c r="BL23" s="17">
        <f>IF(預測IC!BL23&gt;預測IC!BL$26,1,0)</f>
        <v>1</v>
      </c>
      <c r="BM23" s="17">
        <f>IF(預測IC!BM23&gt;預測IC!BM$26,1,0)</f>
        <v>1</v>
      </c>
      <c r="BN23" s="17">
        <f>IF(預測IC!BN23&gt;預測IC!BN$26,1,0)</f>
        <v>1</v>
      </c>
      <c r="BO23" s="17">
        <f>IF(預測IC!BO23&gt;預測IC!BO$26,1,0)</f>
        <v>1</v>
      </c>
      <c r="BP23" s="17">
        <f>IF(預測IC!BP23&gt;預測IC!BP$26,1,0)</f>
        <v>1</v>
      </c>
      <c r="BQ23" s="17">
        <f>IF(預測IC!BQ23&gt;預測IC!BQ$26,1,0)</f>
        <v>1</v>
      </c>
      <c r="BR23" s="17">
        <f>IF(預測IC!BR23&gt;預測IC!BR$26,1,0)</f>
        <v>1</v>
      </c>
      <c r="BS23" s="17">
        <f>IF(預測IC!BS23&gt;預測IC!BS$26,1,0)</f>
        <v>0</v>
      </c>
      <c r="BT23" s="17">
        <f>IF(預測IC!BT23&gt;預測IC!BT$26,1,0)</f>
        <v>1</v>
      </c>
      <c r="BU23" s="17">
        <f>IF(預測IC!BU23&gt;預測IC!BU$26,1,0)</f>
        <v>0</v>
      </c>
      <c r="BV23" s="17">
        <f>IF(預測IC!BV23&gt;預測IC!BV$26,1,0)</f>
        <v>1</v>
      </c>
      <c r="BW23" s="17">
        <f>IF(預測IC!BW23&gt;預測IC!BW$26,1,0)</f>
        <v>0</v>
      </c>
      <c r="BX23" s="17">
        <f>IF(預測IC!BX23&gt;預測IC!BX$26,1,0)</f>
        <v>1</v>
      </c>
      <c r="BY23" s="17">
        <f>IF(預測IC!BY23&gt;預測IC!BY$26,1,0)</f>
        <v>1</v>
      </c>
      <c r="BZ23" s="17">
        <f>IF(預測IC!BZ23&gt;預測IC!BZ$26,1,0)</f>
        <v>0</v>
      </c>
      <c r="CA23" s="17">
        <f>IF(預測IC!CA23&gt;預測IC!CA$26,1,0)</f>
        <v>0</v>
      </c>
      <c r="CB23" s="17">
        <f>IF(預測IC!CB23&gt;預測IC!CB$26,1,0)</f>
        <v>0</v>
      </c>
      <c r="CC23" s="17">
        <f>IF(預測IC!CC23&gt;預測IC!CC$26,1,0)</f>
        <v>1</v>
      </c>
      <c r="CD23" s="17">
        <f>IF(預測IC!CD23&gt;預測IC!CD$26,1,0)</f>
        <v>1</v>
      </c>
      <c r="CE23" s="17">
        <f>IF(預測IC!CE23&gt;預測IC!CE$26,1,0)</f>
        <v>1</v>
      </c>
      <c r="CF23" s="17">
        <f>IF(預測IC!CF23&gt;預測IC!CF$26,1,0)</f>
        <v>0</v>
      </c>
      <c r="CG23" s="17">
        <f>IF(預測IC!CG23&gt;預測IC!CG$26,1,0)</f>
        <v>0</v>
      </c>
      <c r="CH23" s="17">
        <f>IF(預測IC!CH23&gt;預測IC!CH$26,1,0)</f>
        <v>1</v>
      </c>
      <c r="CI23" s="17">
        <f>IF(預測IC!CI23&gt;預測IC!CI$26,1,0)</f>
        <v>0</v>
      </c>
      <c r="CJ23" s="17">
        <f>IF(預測IC!CJ23&gt;預測IC!CJ$26,1,0)</f>
        <v>0</v>
      </c>
      <c r="CK23" s="17">
        <f>IF(預測IC!CK23&gt;預測IC!CK$26,1,0)</f>
        <v>1</v>
      </c>
      <c r="CL23" s="17">
        <f>IF(預測IC!CL23&gt;預測IC!CL$26,1,0)</f>
        <v>0</v>
      </c>
      <c r="CM23" s="17">
        <f>IF(預測IC!CM23&gt;預測IC!CM$26,1,0)</f>
        <v>0</v>
      </c>
      <c r="CN23" s="17">
        <f>IF(預測IC!CN23&gt;預測IC!CN$26,1,0)</f>
        <v>0</v>
      </c>
      <c r="CO23" s="17">
        <f>IF(預測IC!CO23&gt;預測IC!CO$26,1,0)</f>
        <v>1</v>
      </c>
      <c r="CP23" s="17">
        <f>IF(預測IC!CP23&gt;預測IC!CP$26,1,0)</f>
        <v>0</v>
      </c>
      <c r="CQ23" s="17">
        <f>IF(預測IC!CQ23&gt;預測IC!CQ$26,1,0)</f>
        <v>1</v>
      </c>
      <c r="CR23" s="17">
        <f>IF(預測IC!CR23&gt;預測IC!CR$26,1,0)</f>
        <v>1</v>
      </c>
      <c r="CS23" s="17">
        <f>IF(預測IC!CS23&gt;預測IC!CS$26,1,0)</f>
        <v>1</v>
      </c>
      <c r="CT23" s="17">
        <f>IF(預測IC!CT23&gt;預測IC!CT$26,1,0)</f>
        <v>1</v>
      </c>
      <c r="CU23" s="17">
        <f>IF(預測IC!CU23&gt;預測IC!CU$26,1,0)</f>
        <v>1</v>
      </c>
      <c r="CV23" s="17">
        <f>IF(預測IC!CV23&gt;預測IC!CV$26,1,0)</f>
        <v>1</v>
      </c>
      <c r="CW23" s="17">
        <f>IF(預測IC!CW23&gt;預測IC!CW$26,1,0)</f>
        <v>1</v>
      </c>
      <c r="CX23" s="17">
        <f>IF(預測IC!CX23&gt;預測IC!CX$26,1,0)</f>
        <v>1</v>
      </c>
      <c r="CY23" s="17">
        <f>IF(預測IC!CY23&gt;預測IC!CY$26,1,0)</f>
        <v>1</v>
      </c>
      <c r="CZ23" s="17">
        <f>IF(預測IC!CZ23&gt;預測IC!CZ$26,1,0)</f>
        <v>1</v>
      </c>
      <c r="DA23" s="17">
        <f>IF(預測IC!DA23&gt;預測IC!DA$26,1,0)</f>
        <v>1</v>
      </c>
      <c r="DB23" s="17">
        <f>IF(預測IC!DB23&gt;預測IC!DB$26,1,0)</f>
        <v>1</v>
      </c>
      <c r="DC23" s="17">
        <f>IF(預測IC!DC23&gt;預測IC!DC$26,1,0)</f>
        <v>1</v>
      </c>
      <c r="DD23" s="17">
        <f>IF(預測IC!DD23&gt;預測IC!DD$26,1,0)</f>
        <v>1</v>
      </c>
      <c r="DE23" s="17">
        <f>IF(預測IC!DE23&gt;預測IC!DE$26,1,0)</f>
        <v>0</v>
      </c>
      <c r="DF23" s="17">
        <f>IF(預測IC!DF23&gt;預測IC!DF$26,1,0)</f>
        <v>1</v>
      </c>
      <c r="DG23" s="17">
        <f>IF(預測IC!DG23&gt;預測IC!DG$26,1,0)</f>
        <v>0</v>
      </c>
      <c r="DH23" s="17">
        <f>IF(預測IC!DH23&gt;預測IC!DH$26,1,0)</f>
        <v>1</v>
      </c>
      <c r="DI23" s="17">
        <f>IF(預測IC!DI23&gt;預測IC!DI$26,1,0)</f>
        <v>1</v>
      </c>
      <c r="DJ23" s="17">
        <f>IF(預測IC!DJ23&gt;預測IC!DJ$26,1,0)</f>
        <v>0</v>
      </c>
      <c r="DK23" s="17">
        <f>IF(預測IC!DK23&gt;預測IC!DK$26,1,0)</f>
        <v>0</v>
      </c>
      <c r="DL23" s="17">
        <f>IF(預測IC!DL23&gt;預測IC!DL$26,1,0)</f>
        <v>0</v>
      </c>
      <c r="DM23" s="17">
        <f>IF(預測IC!DM23&gt;預測IC!DM$26,1,0)</f>
        <v>1</v>
      </c>
      <c r="DN23" s="17">
        <f>IF(預測IC!DN23&gt;預測IC!DN$26,1,0)</f>
        <v>0</v>
      </c>
      <c r="DO23" s="17">
        <f>IF(預測IC!DO23&gt;預測IC!DO$26,1,0)</f>
        <v>1</v>
      </c>
      <c r="DP23" s="17">
        <f>IF(預測IC!DP23&gt;預測IC!DP$26,1,0)</f>
        <v>0</v>
      </c>
      <c r="DQ23" s="17">
        <f>IF(預測IC!DQ23&gt;預測IC!DQ$26,1,0)</f>
        <v>0</v>
      </c>
      <c r="DR23" s="17">
        <f>IF(預測IC!DR23&gt;預測IC!DR$26,1,0)</f>
        <v>0</v>
      </c>
      <c r="DS23" s="17">
        <f>IF(預測IC!DS23&gt;預測IC!DS$26,1,0)</f>
        <v>0</v>
      </c>
      <c r="DT23" s="17">
        <f>IF(預測IC!DT23&gt;預測IC!DT$26,1,0)</f>
        <v>0</v>
      </c>
      <c r="DU23" s="17">
        <f>IF(預測IC!DU23&gt;預測IC!DU$26,1,0)</f>
        <v>0</v>
      </c>
      <c r="DV23" s="17">
        <f>IF(預測IC!DV23&gt;預測IC!DV$26,1,0)</f>
        <v>1</v>
      </c>
      <c r="DW23" s="17">
        <f>IF(預測IC!DW23&gt;預測IC!DW$26,1,0)</f>
        <v>0</v>
      </c>
      <c r="DX23" s="17">
        <f>IF(預測IC!DX23&gt;預測IC!DX$26,1,0)</f>
        <v>1</v>
      </c>
      <c r="DY23" s="17">
        <f>IF(預測IC!DY23&gt;預測IC!DY$26,1,0)</f>
        <v>0</v>
      </c>
      <c r="DZ23" s="17">
        <f>IF(預測IC!DZ23&gt;預測IC!DZ$26,1,0)</f>
        <v>0</v>
      </c>
      <c r="EA23" s="17">
        <f>IF(預測IC!EA23&gt;預測IC!EA$26,1,0)</f>
        <v>0</v>
      </c>
      <c r="EB23" s="17">
        <f>IF(預測IC!EB23&gt;預測IC!EB$26,1,0)</f>
        <v>0</v>
      </c>
      <c r="EC23" s="17">
        <f>IF(預測IC!EC23&gt;預測IC!EC$26,1,0)</f>
        <v>0</v>
      </c>
      <c r="ED23" s="17">
        <f>IF(預測IC!ED23&gt;預測IC!ED$26,1,0)</f>
        <v>0</v>
      </c>
      <c r="EE23" s="17">
        <f>IF(預測IC!EE23&gt;預測IC!EE$26,1,0)</f>
        <v>0</v>
      </c>
      <c r="EF23" s="17">
        <f>IF(預測IC!EF23&gt;預測IC!EF$26,1,0)</f>
        <v>1</v>
      </c>
      <c r="EG23">
        <f t="shared" si="10"/>
        <v>75</v>
      </c>
      <c r="EH23" s="11">
        <f t="shared" si="11"/>
        <v>0.55970149253731338</v>
      </c>
    </row>
    <row r="24" spans="1:138">
      <c r="A24" s="2">
        <v>964</v>
      </c>
      <c r="B24" s="2">
        <v>1</v>
      </c>
      <c r="C24" s="17">
        <f>IF(預測IC!C24&gt;預測IC!C$26,1,0)</f>
        <v>1</v>
      </c>
      <c r="D24" s="17">
        <f>IF(預測IC!D24&gt;預測IC!D$26,1,0)</f>
        <v>0</v>
      </c>
      <c r="E24" s="17">
        <f>IF(預測IC!E24&gt;預測IC!E$26,1,0)</f>
        <v>1</v>
      </c>
      <c r="F24" s="17">
        <f>IF(預測IC!F24&gt;預測IC!F$26,1,0)</f>
        <v>0</v>
      </c>
      <c r="G24" s="17">
        <f>IF(預測IC!G24&gt;預測IC!G$26,1,0)</f>
        <v>1</v>
      </c>
      <c r="H24" s="17">
        <f>IF(預測IC!H24&gt;預測IC!H$26,1,0)</f>
        <v>1</v>
      </c>
      <c r="I24" s="17">
        <f>IF(預測IC!I24&gt;預測IC!I$26,1,0)</f>
        <v>1</v>
      </c>
      <c r="J24" s="17">
        <f>IF(預測IC!J24&gt;預測IC!J$26,1,0)</f>
        <v>0</v>
      </c>
      <c r="K24" s="17">
        <f>IF(預測IC!K24&gt;預測IC!K$26,1,0)</f>
        <v>1</v>
      </c>
      <c r="L24" s="17">
        <f>IF(預測IC!L24&gt;預測IC!L$26,1,0)</f>
        <v>1</v>
      </c>
      <c r="M24" s="17">
        <f>IF(預測IC!M24&gt;預測IC!M$26,1,0)</f>
        <v>0</v>
      </c>
      <c r="N24" s="17">
        <f>IF(預測IC!N24&gt;預測IC!N$26,1,0)</f>
        <v>1</v>
      </c>
      <c r="O24" s="17">
        <f>IF(預測IC!O24&gt;預測IC!O$26,1,0)</f>
        <v>1</v>
      </c>
      <c r="P24" s="17">
        <f>IF(預測IC!P24&gt;預測IC!P$26,1,0)</f>
        <v>0</v>
      </c>
      <c r="Q24" s="17">
        <f>IF(預測IC!Q24&gt;預測IC!Q$26,1,0)</f>
        <v>1</v>
      </c>
      <c r="R24" s="17">
        <f>IF(預測IC!R24&gt;預測IC!R$26,1,0)</f>
        <v>0</v>
      </c>
      <c r="S24" s="17">
        <f>IF(預測IC!S24&gt;預測IC!S$26,1,0)</f>
        <v>0</v>
      </c>
      <c r="T24" s="17">
        <f>IF(預測IC!T24&gt;預測IC!T$26,1,0)</f>
        <v>1</v>
      </c>
      <c r="U24" s="17">
        <f>IF(預測IC!U24&gt;預測IC!U$26,1,0)</f>
        <v>0</v>
      </c>
      <c r="V24" s="17">
        <f>IF(預測IC!V24&gt;預測IC!V$26,1,0)</f>
        <v>0</v>
      </c>
      <c r="W24" s="17">
        <f>IF(預測IC!W24&gt;預測IC!W$26,1,0)</f>
        <v>1</v>
      </c>
      <c r="X24" s="17">
        <f>IF(預測IC!X24&gt;預測IC!X$26,1,0)</f>
        <v>1</v>
      </c>
      <c r="Y24" s="17">
        <f>IF(預測IC!Y24&gt;預測IC!Y$26,1,0)</f>
        <v>1</v>
      </c>
      <c r="Z24" s="17">
        <f>IF(預測IC!Z24&gt;預測IC!Z$26,1,0)</f>
        <v>1</v>
      </c>
      <c r="AA24" s="17">
        <f>IF(預測IC!AA24&gt;預測IC!AA$26,1,0)</f>
        <v>1</v>
      </c>
      <c r="AB24" s="17">
        <f>IF(預測IC!AB24&gt;預測IC!AB$26,1,0)</f>
        <v>1</v>
      </c>
      <c r="AC24" s="17">
        <f>IF(預測IC!AC24&gt;預測IC!AC$26,1,0)</f>
        <v>1</v>
      </c>
      <c r="AD24" s="17">
        <f>IF(預測IC!AD24&gt;預測IC!AD$26,1,0)</f>
        <v>1</v>
      </c>
      <c r="AE24" s="17">
        <f>IF(預測IC!AE24&gt;預測IC!AE$26,1,0)</f>
        <v>0</v>
      </c>
      <c r="AF24" s="17">
        <f>IF(預測IC!AF24&gt;預測IC!AF$26,1,0)</f>
        <v>1</v>
      </c>
      <c r="AG24" s="17">
        <f>IF(預測IC!AG24&gt;預測IC!AG$26,1,0)</f>
        <v>1</v>
      </c>
      <c r="AH24" s="17">
        <f>IF(預測IC!AH24&gt;預測IC!AH$26,1,0)</f>
        <v>0</v>
      </c>
      <c r="AI24" s="17">
        <f>IF(預測IC!AI24&gt;預測IC!AI$26,1,0)</f>
        <v>1</v>
      </c>
      <c r="AJ24" s="17">
        <f>IF(預測IC!AJ24&gt;預測IC!AJ$26,1,0)</f>
        <v>1</v>
      </c>
      <c r="AK24" s="17">
        <f>IF(預測IC!AK24&gt;預測IC!AK$26,1,0)</f>
        <v>1</v>
      </c>
      <c r="AL24" s="17">
        <f>IF(預測IC!AL24&gt;預測IC!AL$26,1,0)</f>
        <v>0</v>
      </c>
      <c r="AM24" s="17">
        <f>IF(預測IC!AM24&gt;預測IC!AM$26,1,0)</f>
        <v>0</v>
      </c>
      <c r="AN24" s="17">
        <f>IF(預測IC!AN24&gt;預測IC!AN$26,1,0)</f>
        <v>1</v>
      </c>
      <c r="AO24" s="17">
        <f>IF(預測IC!AO24&gt;預測IC!AO$26,1,0)</f>
        <v>1</v>
      </c>
      <c r="AP24" s="17">
        <f>IF(預測IC!AP24&gt;預測IC!AP$26,1,0)</f>
        <v>0</v>
      </c>
      <c r="AQ24" s="17">
        <f>IF(預測IC!AQ24&gt;預測IC!AQ$26,1,0)</f>
        <v>1</v>
      </c>
      <c r="AR24" s="17">
        <f>IF(預測IC!AR24&gt;預測IC!AR$26,1,0)</f>
        <v>0</v>
      </c>
      <c r="AS24" s="17">
        <f>IF(預測IC!AS24&gt;預測IC!AS$26,1,0)</f>
        <v>1</v>
      </c>
      <c r="AT24" s="17">
        <f>IF(預測IC!AT24&gt;預測IC!AT$26,1,0)</f>
        <v>1</v>
      </c>
      <c r="AU24" s="17">
        <f>IF(預測IC!AU24&gt;預測IC!AU$26,1,0)</f>
        <v>1</v>
      </c>
      <c r="AV24" s="17">
        <f>IF(預測IC!AV24&gt;預測IC!AV$26,1,0)</f>
        <v>0</v>
      </c>
      <c r="AW24" s="17">
        <f>IF(預測IC!AW24&gt;預測IC!AW$26,1,0)</f>
        <v>1</v>
      </c>
      <c r="AX24" s="17">
        <f>IF(預測IC!AX24&gt;預測IC!AX$26,1,0)</f>
        <v>1</v>
      </c>
      <c r="AY24" s="17">
        <f>IF(預測IC!AY24&gt;預測IC!AY$26,1,0)</f>
        <v>1</v>
      </c>
      <c r="AZ24" s="17">
        <f>IF(預測IC!AZ24&gt;預測IC!AZ$26,1,0)</f>
        <v>1</v>
      </c>
      <c r="BA24" s="17">
        <f>IF(預測IC!BA24&gt;預測IC!BA$26,1,0)</f>
        <v>0</v>
      </c>
      <c r="BB24" s="17">
        <f>IF(預測IC!BB24&gt;預測IC!BB$26,1,0)</f>
        <v>0</v>
      </c>
      <c r="BC24" s="17">
        <f>IF(預測IC!BC24&gt;預測IC!BC$26,1,0)</f>
        <v>0</v>
      </c>
      <c r="BD24" s="17">
        <f>IF(預測IC!BD24&gt;預測IC!BD$26,1,0)</f>
        <v>1</v>
      </c>
      <c r="BE24" s="17">
        <f>IF(預測IC!BE24&gt;預測IC!BE$26,1,0)</f>
        <v>0</v>
      </c>
      <c r="BF24" s="17">
        <f>IF(預測IC!BF24&gt;預測IC!BF$26,1,0)</f>
        <v>1</v>
      </c>
      <c r="BG24" s="17">
        <f>IF(預測IC!BG24&gt;預測IC!BG$26,1,0)</f>
        <v>1</v>
      </c>
      <c r="BH24" s="17">
        <f>IF(預測IC!BH24&gt;預測IC!BH$26,1,0)</f>
        <v>0</v>
      </c>
      <c r="BI24" s="17">
        <f>IF(預測IC!BI24&gt;預測IC!BI$26,1,0)</f>
        <v>1</v>
      </c>
      <c r="BJ24" s="17">
        <f>IF(預測IC!BJ24&gt;預測IC!BJ$26,1,0)</f>
        <v>1</v>
      </c>
      <c r="BK24" s="17">
        <f>IF(預測IC!BK24&gt;預測IC!BK$26,1,0)</f>
        <v>0</v>
      </c>
      <c r="BL24" s="17">
        <f>IF(預測IC!BL24&gt;預測IC!BL$26,1,0)</f>
        <v>1</v>
      </c>
      <c r="BM24" s="17">
        <f>IF(預測IC!BM24&gt;預測IC!BM$26,1,0)</f>
        <v>0</v>
      </c>
      <c r="BN24" s="17">
        <f>IF(預測IC!BN24&gt;預測IC!BN$26,1,0)</f>
        <v>1</v>
      </c>
      <c r="BO24" s="17">
        <f>IF(預測IC!BO24&gt;預測IC!BO$26,1,0)</f>
        <v>0</v>
      </c>
      <c r="BP24" s="17">
        <f>IF(預測IC!BP24&gt;預測IC!BP$26,1,0)</f>
        <v>1</v>
      </c>
      <c r="BQ24" s="17">
        <f>IF(預測IC!BQ24&gt;預測IC!BQ$26,1,0)</f>
        <v>0</v>
      </c>
      <c r="BR24" s="17">
        <f>IF(預測IC!BR24&gt;預測IC!BR$26,1,0)</f>
        <v>1</v>
      </c>
      <c r="BS24" s="17">
        <f>IF(預測IC!BS24&gt;預測IC!BS$26,1,0)</f>
        <v>0</v>
      </c>
      <c r="BT24" s="17">
        <f>IF(預測IC!BT24&gt;預測IC!BT$26,1,0)</f>
        <v>1</v>
      </c>
      <c r="BU24" s="17">
        <f>IF(預測IC!BU24&gt;預測IC!BU$26,1,0)</f>
        <v>0</v>
      </c>
      <c r="BV24" s="17">
        <f>IF(預測IC!BV24&gt;預測IC!BV$26,1,0)</f>
        <v>1</v>
      </c>
      <c r="BW24" s="17">
        <f>IF(預測IC!BW24&gt;預測IC!BW$26,1,0)</f>
        <v>0</v>
      </c>
      <c r="BX24" s="17">
        <f>IF(預測IC!BX24&gt;預測IC!BX$26,1,0)</f>
        <v>0</v>
      </c>
      <c r="BY24" s="17">
        <f>IF(預測IC!BY24&gt;預測IC!BY$26,1,0)</f>
        <v>1</v>
      </c>
      <c r="BZ24" s="17">
        <f>IF(預測IC!BZ24&gt;預測IC!BZ$26,1,0)</f>
        <v>1</v>
      </c>
      <c r="CA24" s="17">
        <f>IF(預測IC!CA24&gt;預測IC!CA$26,1,0)</f>
        <v>0</v>
      </c>
      <c r="CB24" s="17">
        <f>IF(預測IC!CB24&gt;預測IC!CB$26,1,0)</f>
        <v>1</v>
      </c>
      <c r="CC24" s="17">
        <f>IF(預測IC!CC24&gt;預測IC!CC$26,1,0)</f>
        <v>1</v>
      </c>
      <c r="CD24" s="17">
        <f>IF(預測IC!CD24&gt;預測IC!CD$26,1,0)</f>
        <v>1</v>
      </c>
      <c r="CE24" s="17">
        <f>IF(預測IC!CE24&gt;預測IC!CE$26,1,0)</f>
        <v>1</v>
      </c>
      <c r="CF24" s="17">
        <f>IF(預測IC!CF24&gt;預測IC!CF$26,1,0)</f>
        <v>0</v>
      </c>
      <c r="CG24" s="17">
        <f>IF(預測IC!CG24&gt;預測IC!CG$26,1,0)</f>
        <v>0</v>
      </c>
      <c r="CH24" s="17">
        <f>IF(預測IC!CH24&gt;預測IC!CH$26,1,0)</f>
        <v>1</v>
      </c>
      <c r="CI24" s="17">
        <f>IF(預測IC!CI24&gt;預測IC!CI$26,1,0)</f>
        <v>1</v>
      </c>
      <c r="CJ24" s="17">
        <f>IF(預測IC!CJ24&gt;預測IC!CJ$26,1,0)</f>
        <v>0</v>
      </c>
      <c r="CK24" s="17">
        <f>IF(預測IC!CK24&gt;預測IC!CK$26,1,0)</f>
        <v>1</v>
      </c>
      <c r="CL24" s="17">
        <f>IF(預測IC!CL24&gt;預測IC!CL$26,1,0)</f>
        <v>1</v>
      </c>
      <c r="CM24" s="17">
        <f>IF(預測IC!CM24&gt;預測IC!CM$26,1,0)</f>
        <v>0</v>
      </c>
      <c r="CN24" s="17">
        <f>IF(預測IC!CN24&gt;預測IC!CN$26,1,0)</f>
        <v>0</v>
      </c>
      <c r="CO24" s="17">
        <f>IF(預測IC!CO24&gt;預測IC!CO$26,1,0)</f>
        <v>1</v>
      </c>
      <c r="CP24" s="17">
        <f>IF(預測IC!CP24&gt;預測IC!CP$26,1,0)</f>
        <v>0</v>
      </c>
      <c r="CQ24" s="17">
        <f>IF(預測IC!CQ24&gt;預測IC!CQ$26,1,0)</f>
        <v>1</v>
      </c>
      <c r="CR24" s="17">
        <f>IF(預測IC!CR24&gt;預測IC!CR$26,1,0)</f>
        <v>1</v>
      </c>
      <c r="CS24" s="17">
        <f>IF(預測IC!CS24&gt;預測IC!CS$26,1,0)</f>
        <v>0</v>
      </c>
      <c r="CT24" s="17">
        <f>IF(預測IC!CT24&gt;預測IC!CT$26,1,0)</f>
        <v>0</v>
      </c>
      <c r="CU24" s="17">
        <f>IF(預測IC!CU24&gt;預測IC!CU$26,1,0)</f>
        <v>1</v>
      </c>
      <c r="CV24" s="17">
        <f>IF(預測IC!CV24&gt;預測IC!CV$26,1,0)</f>
        <v>1</v>
      </c>
      <c r="CW24" s="17">
        <f>IF(預測IC!CW24&gt;預測IC!CW$26,1,0)</f>
        <v>0</v>
      </c>
      <c r="CX24" s="17">
        <f>IF(預測IC!CX24&gt;預測IC!CX$26,1,0)</f>
        <v>1</v>
      </c>
      <c r="CY24" s="17">
        <f>IF(預測IC!CY24&gt;預測IC!CY$26,1,0)</f>
        <v>0</v>
      </c>
      <c r="CZ24" s="17">
        <f>IF(預測IC!CZ24&gt;預測IC!CZ$26,1,0)</f>
        <v>1</v>
      </c>
      <c r="DA24" s="17">
        <f>IF(預測IC!DA24&gt;預測IC!DA$26,1,0)</f>
        <v>1</v>
      </c>
      <c r="DB24" s="17">
        <f>IF(預測IC!DB24&gt;預測IC!DB$26,1,0)</f>
        <v>0</v>
      </c>
      <c r="DC24" s="17">
        <f>IF(預測IC!DC24&gt;預測IC!DC$26,1,0)</f>
        <v>1</v>
      </c>
      <c r="DD24" s="17">
        <f>IF(預測IC!DD24&gt;預測IC!DD$26,1,0)</f>
        <v>1</v>
      </c>
      <c r="DE24" s="17">
        <f>IF(預測IC!DE24&gt;預測IC!DE$26,1,0)</f>
        <v>0</v>
      </c>
      <c r="DF24" s="17">
        <f>IF(預測IC!DF24&gt;預測IC!DF$26,1,0)</f>
        <v>1</v>
      </c>
      <c r="DG24" s="17">
        <f>IF(預測IC!DG24&gt;預測IC!DG$26,1,0)</f>
        <v>0</v>
      </c>
      <c r="DH24" s="17">
        <f>IF(預測IC!DH24&gt;預測IC!DH$26,1,0)</f>
        <v>1</v>
      </c>
      <c r="DI24" s="17">
        <f>IF(預測IC!DI24&gt;預測IC!DI$26,1,0)</f>
        <v>1</v>
      </c>
      <c r="DJ24" s="17">
        <f>IF(預測IC!DJ24&gt;預測IC!DJ$26,1,0)</f>
        <v>1</v>
      </c>
      <c r="DK24" s="17">
        <f>IF(預測IC!DK24&gt;預測IC!DK$26,1,0)</f>
        <v>0</v>
      </c>
      <c r="DL24" s="17">
        <f>IF(預測IC!DL24&gt;預測IC!DL$26,1,0)</f>
        <v>0</v>
      </c>
      <c r="DM24" s="17">
        <f>IF(預測IC!DM24&gt;預測IC!DM$26,1,0)</f>
        <v>0</v>
      </c>
      <c r="DN24" s="17">
        <f>IF(預測IC!DN24&gt;預測IC!DN$26,1,0)</f>
        <v>0</v>
      </c>
      <c r="DO24" s="17">
        <f>IF(預測IC!DO24&gt;預測IC!DO$26,1,0)</f>
        <v>1</v>
      </c>
      <c r="DP24" s="17">
        <f>IF(預測IC!DP24&gt;預測IC!DP$26,1,0)</f>
        <v>0</v>
      </c>
      <c r="DQ24" s="17">
        <f>IF(預測IC!DQ24&gt;預測IC!DQ$26,1,0)</f>
        <v>0</v>
      </c>
      <c r="DR24" s="17">
        <f>IF(預測IC!DR24&gt;預測IC!DR$26,1,0)</f>
        <v>0</v>
      </c>
      <c r="DS24" s="17">
        <f>IF(預測IC!DS24&gt;預測IC!DS$26,1,0)</f>
        <v>0</v>
      </c>
      <c r="DT24" s="17">
        <f>IF(預測IC!DT24&gt;預測IC!DT$26,1,0)</f>
        <v>0</v>
      </c>
      <c r="DU24" s="17">
        <f>IF(預測IC!DU24&gt;預測IC!DU$26,1,0)</f>
        <v>0</v>
      </c>
      <c r="DV24" s="17">
        <f>IF(預測IC!DV24&gt;預測IC!DV$26,1,0)</f>
        <v>1</v>
      </c>
      <c r="DW24" s="17">
        <f>IF(預測IC!DW24&gt;預測IC!DW$26,1,0)</f>
        <v>1</v>
      </c>
      <c r="DX24" s="17">
        <f>IF(預測IC!DX24&gt;預測IC!DX$26,1,0)</f>
        <v>1</v>
      </c>
      <c r="DY24" s="17">
        <f>IF(預測IC!DY24&gt;預測IC!DY$26,1,0)</f>
        <v>1</v>
      </c>
      <c r="DZ24" s="17">
        <f>IF(預測IC!DZ24&gt;預測IC!DZ$26,1,0)</f>
        <v>0</v>
      </c>
      <c r="EA24" s="17">
        <f>IF(預測IC!EA24&gt;預測IC!EA$26,1,0)</f>
        <v>0</v>
      </c>
      <c r="EB24" s="17">
        <f>IF(預測IC!EB24&gt;預測IC!EB$26,1,0)</f>
        <v>0</v>
      </c>
      <c r="EC24" s="17">
        <f>IF(預測IC!EC24&gt;預測IC!EC$26,1,0)</f>
        <v>1</v>
      </c>
      <c r="ED24" s="17">
        <f>IF(預測IC!ED24&gt;預測IC!ED$26,1,0)</f>
        <v>0</v>
      </c>
      <c r="EE24" s="17">
        <f>IF(預測IC!EE24&gt;預測IC!EE$26,1,0)</f>
        <v>0</v>
      </c>
      <c r="EF24" s="17">
        <f>IF(預測IC!EF24&gt;預測IC!EF$26,1,0)</f>
        <v>1</v>
      </c>
      <c r="EG24">
        <f t="shared" si="10"/>
        <v>76</v>
      </c>
      <c r="EH24" s="11">
        <f t="shared" si="11"/>
        <v>0.56716417910447758</v>
      </c>
    </row>
    <row r="26" spans="1:138">
      <c r="A26" s="2" t="s">
        <v>145</v>
      </c>
      <c r="B26" s="2" t="s">
        <v>146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topLeftCell="A10" zoomScale="157" zoomScaleNormal="90" workbookViewId="0">
      <selection activeCell="D17" sqref="D17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5.723077803850174E-2</v>
      </c>
      <c r="D3" s="13">
        <v>7.545451819896698E-2</v>
      </c>
      <c r="E3" s="13">
        <v>5.3419496864080429E-2</v>
      </c>
      <c r="F3" s="13">
        <v>4.8055462539196007E-2</v>
      </c>
      <c r="G3" s="13">
        <v>5.6244600564241409E-2</v>
      </c>
      <c r="H3" s="13">
        <v>5.3408809006214142E-2</v>
      </c>
      <c r="I3" s="13">
        <v>5.4677728563547127E-2</v>
      </c>
      <c r="J3" s="13">
        <v>6.1407111585140228E-2</v>
      </c>
      <c r="K3" s="13">
        <v>6.1087191104888923E-2</v>
      </c>
      <c r="L3" s="13">
        <v>6.1945471912622452E-2</v>
      </c>
      <c r="M3" s="13">
        <v>6.4090974628925323E-2</v>
      </c>
      <c r="N3" s="13">
        <v>5.0166409462690353E-2</v>
      </c>
      <c r="O3" s="13">
        <v>5.0939202308654792E-2</v>
      </c>
      <c r="P3" s="13">
        <v>5.3945809602737427E-2</v>
      </c>
      <c r="Q3" s="13">
        <v>5.463515967130661E-2</v>
      </c>
      <c r="R3" s="13">
        <v>5.4097041487693787E-2</v>
      </c>
      <c r="S3" s="13">
        <v>5.4209418594837189E-2</v>
      </c>
      <c r="T3" s="13">
        <v>5.6115321815013892E-2</v>
      </c>
      <c r="U3" s="13">
        <v>5.4694335907697678E-2</v>
      </c>
      <c r="V3" s="13">
        <v>5.5520310997962952E-2</v>
      </c>
      <c r="W3" s="13">
        <v>5.7895615696907043E-2</v>
      </c>
      <c r="X3" s="13">
        <v>5.6128561496734619E-2</v>
      </c>
      <c r="Y3" s="13">
        <v>5.4498970508575439E-2</v>
      </c>
      <c r="Z3" s="13">
        <v>5.640922486782074E-2</v>
      </c>
      <c r="AA3" s="13">
        <v>5.4687082767486572E-2</v>
      </c>
      <c r="AB3" s="13">
        <v>5.4479975253343582E-2</v>
      </c>
      <c r="AC3" s="13">
        <v>5.7393115013837807E-2</v>
      </c>
      <c r="AD3" s="13">
        <v>5.7433716952800751E-2</v>
      </c>
      <c r="AE3" s="13">
        <v>4.2686142027378082E-2</v>
      </c>
      <c r="AF3" s="13">
        <v>5.614069476723671E-2</v>
      </c>
      <c r="AG3" s="13">
        <v>5.5614285171031952E-2</v>
      </c>
      <c r="AH3" s="13">
        <v>2.0760968327522281E-2</v>
      </c>
      <c r="AI3" s="13">
        <v>2.509923838078976E-2</v>
      </c>
      <c r="AJ3" s="13">
        <v>2.919439785182476E-2</v>
      </c>
      <c r="AK3" s="13">
        <v>3.0455950647592541E-2</v>
      </c>
      <c r="AL3" s="13">
        <v>3.425038605928421E-2</v>
      </c>
      <c r="AM3" s="13">
        <v>3.9540499448776252E-2</v>
      </c>
      <c r="AN3" s="13">
        <v>4.3252840638160713E-2</v>
      </c>
      <c r="AO3" s="13">
        <v>4.4728361070156097E-2</v>
      </c>
      <c r="AP3" s="13">
        <v>4.2892593890428543E-2</v>
      </c>
      <c r="AQ3" s="13">
        <v>4.543033242225647E-2</v>
      </c>
      <c r="AR3" s="13">
        <v>4.4913444668054581E-2</v>
      </c>
      <c r="AS3" s="13">
        <v>4.8380430787801743E-2</v>
      </c>
      <c r="AT3" s="13">
        <v>4.19180728495121E-2</v>
      </c>
      <c r="AU3" s="13">
        <v>4.1785150766372681E-2</v>
      </c>
      <c r="AV3" s="13">
        <v>4.3081630021333688E-2</v>
      </c>
      <c r="AW3" s="13">
        <v>4.6142738312482827E-2</v>
      </c>
      <c r="AX3" s="13">
        <v>4.5525301247835159E-2</v>
      </c>
      <c r="AY3" s="13">
        <v>4.7935985028743737E-2</v>
      </c>
      <c r="AZ3" s="13">
        <v>4.1659116744995117E-2</v>
      </c>
      <c r="BA3" s="13">
        <v>3.8711324334144592E-2</v>
      </c>
      <c r="BB3" s="13">
        <v>3.8947168737649918E-2</v>
      </c>
      <c r="BC3" s="13">
        <v>4.2427822947502143E-2</v>
      </c>
      <c r="BD3" s="13">
        <v>4.4051360338926322E-2</v>
      </c>
      <c r="BE3" s="13">
        <v>4.56375852227211E-2</v>
      </c>
      <c r="BF3" s="13">
        <v>4.8670642077922821E-2</v>
      </c>
      <c r="BG3" s="13">
        <v>4.9968019127845757E-2</v>
      </c>
      <c r="BH3" s="13">
        <v>5.1808405667543411E-2</v>
      </c>
      <c r="BI3" s="13">
        <v>5.0584189593791962E-2</v>
      </c>
      <c r="BJ3" s="13">
        <v>5.2059561014175422E-2</v>
      </c>
      <c r="BK3" s="13">
        <v>5.2372250705957413E-2</v>
      </c>
      <c r="BL3" s="13">
        <v>5.0854671746492393E-2</v>
      </c>
      <c r="BM3" s="13">
        <v>5.2194196730852127E-2</v>
      </c>
      <c r="BN3" s="13">
        <v>5.6162696331739433E-2</v>
      </c>
      <c r="BO3" s="13">
        <v>5.4506797343492508E-2</v>
      </c>
      <c r="BP3" s="13">
        <v>4.0165632963180542E-2</v>
      </c>
      <c r="BQ3" s="13">
        <v>5.2233844995498657E-2</v>
      </c>
      <c r="BR3" s="13">
        <v>3.6525636911392212E-2</v>
      </c>
      <c r="BS3" s="13">
        <v>5.2801784127950668E-2</v>
      </c>
      <c r="BT3" s="13">
        <v>4.8056013882160187E-2</v>
      </c>
      <c r="BU3" s="13">
        <v>-9.9144220352172852E-2</v>
      </c>
      <c r="BV3" s="13">
        <v>5.2249498665332787E-2</v>
      </c>
      <c r="BW3" s="13">
        <v>3.9474610239267349E-2</v>
      </c>
      <c r="BX3" s="13">
        <v>4.7410383820533752E-2</v>
      </c>
      <c r="BY3" s="13">
        <v>4.704391211271286E-2</v>
      </c>
      <c r="BZ3" s="13">
        <v>4.6114489436149597E-2</v>
      </c>
      <c r="CA3" s="13">
        <v>4.2742863297462463E-2</v>
      </c>
      <c r="CB3" s="13">
        <v>3.8489740341901779E-2</v>
      </c>
      <c r="CC3" s="13">
        <v>3.745705634355545E-2</v>
      </c>
      <c r="CD3" s="13">
        <v>3.9794288575649261E-2</v>
      </c>
      <c r="CE3" s="13">
        <v>3.74956876039505E-2</v>
      </c>
      <c r="CF3" s="13">
        <v>2.513935416936874E-2</v>
      </c>
      <c r="CG3" s="13">
        <v>3.5978682339191437E-2</v>
      </c>
      <c r="CH3" s="13">
        <v>3.177894651889801E-2</v>
      </c>
      <c r="CI3" s="13">
        <v>3.4042399376630783E-2</v>
      </c>
      <c r="CJ3" s="13">
        <v>3.8737695664167397E-2</v>
      </c>
      <c r="CK3" s="13">
        <v>3.9908383041620248E-2</v>
      </c>
      <c r="CL3" s="13">
        <v>3.7117619067430503E-2</v>
      </c>
      <c r="CM3" s="13">
        <v>1.7108667641878132E-2</v>
      </c>
      <c r="CN3" s="13">
        <v>4.0649183094501502E-2</v>
      </c>
      <c r="CO3" s="13">
        <v>2.8012029826641079E-2</v>
      </c>
      <c r="CP3" s="13">
        <v>6.033631507307291E-3</v>
      </c>
      <c r="CQ3" s="13">
        <v>3.3265896141529083E-2</v>
      </c>
      <c r="CR3" s="13">
        <v>3.3467646688222892E-2</v>
      </c>
      <c r="CS3" s="13">
        <v>2.295568585395813E-2</v>
      </c>
      <c r="CT3" s="13">
        <v>1.8620189279317859E-2</v>
      </c>
      <c r="CU3" s="13">
        <v>1.673657447099686E-2</v>
      </c>
      <c r="CV3" s="13">
        <v>8.8566392660140991E-3</v>
      </c>
      <c r="CW3" s="13">
        <v>1.8140114843845371E-2</v>
      </c>
      <c r="CX3" s="13">
        <v>2.3012114688754082E-2</v>
      </c>
      <c r="CY3" s="13">
        <v>2.5537870824337009E-2</v>
      </c>
      <c r="CZ3" s="13">
        <v>-1.074089854955673E-2</v>
      </c>
      <c r="DA3" s="13">
        <v>1.7809309065341949E-2</v>
      </c>
      <c r="DB3" s="13">
        <v>3.122199326753616E-2</v>
      </c>
      <c r="DC3" s="13">
        <v>9.9241826683282852E-3</v>
      </c>
      <c r="DD3" s="13">
        <v>3.3772524446249008E-2</v>
      </c>
      <c r="DE3" s="13">
        <v>2.3819208145141602E-2</v>
      </c>
      <c r="DF3" s="13">
        <v>2.5578401982784271E-2</v>
      </c>
      <c r="DG3" s="13">
        <v>1.3096854090690609E-2</v>
      </c>
      <c r="DH3" s="13">
        <v>2.5391291826963421E-2</v>
      </c>
      <c r="DI3" s="13">
        <v>2.3517698049545292E-2</v>
      </c>
      <c r="DJ3" s="13">
        <v>3.1970106065273281E-3</v>
      </c>
      <c r="DK3" s="13">
        <v>6.1636377358809114E-4</v>
      </c>
      <c r="DL3" s="13">
        <v>5.1844632253050804E-3</v>
      </c>
      <c r="DM3" s="13">
        <v>2.578671462833881E-2</v>
      </c>
      <c r="DN3" s="13">
        <v>9.7193727269768715E-3</v>
      </c>
      <c r="DO3" s="13">
        <v>2.619513776153326E-3</v>
      </c>
      <c r="DP3" s="13">
        <v>-4.3171625584363937E-3</v>
      </c>
      <c r="DQ3" s="13">
        <v>2.6535039767622951E-2</v>
      </c>
      <c r="DR3" s="13">
        <v>3.2421927899122238E-2</v>
      </c>
      <c r="DS3" s="13">
        <v>2.6365883648395538E-2</v>
      </c>
      <c r="DT3" s="13">
        <v>1.8022846430540081E-2</v>
      </c>
      <c r="DU3" s="13">
        <v>2.060607448220253E-2</v>
      </c>
      <c r="DV3" s="13">
        <v>2.3552460595965389E-2</v>
      </c>
      <c r="DW3" s="13">
        <v>2.1600417792797089E-2</v>
      </c>
      <c r="DX3" s="13">
        <v>1.422623824328184E-2</v>
      </c>
      <c r="DY3" s="13">
        <v>1.5565707348287111E-2</v>
      </c>
      <c r="DZ3" s="13">
        <v>1.340680755674839E-2</v>
      </c>
      <c r="EA3" s="13">
        <v>4.9481242895126343E-3</v>
      </c>
      <c r="EB3" s="13">
        <v>-1.2768213637173179E-2</v>
      </c>
      <c r="EC3" s="13">
        <v>3.6291155964136117E-2</v>
      </c>
      <c r="ED3" s="13">
        <v>2.4168495088815689E-2</v>
      </c>
      <c r="EE3" s="13">
        <v>2.1592959761619571E-2</v>
      </c>
      <c r="EF3" s="13">
        <v>2.6417184621095661E-2</v>
      </c>
    </row>
    <row r="4" spans="1:136" s="1" customFormat="1">
      <c r="B4" s="2" t="s">
        <v>137</v>
      </c>
      <c r="C4" s="13">
        <v>-8.5349172353744507E-2</v>
      </c>
      <c r="D4" s="13">
        <v>-5.1032040268182748E-2</v>
      </c>
      <c r="E4" s="13">
        <v>-2.3255964741110802E-2</v>
      </c>
      <c r="F4" s="13">
        <v>-3.055583126842976E-2</v>
      </c>
      <c r="G4" s="13">
        <v>-4.1839469224214547E-2</v>
      </c>
      <c r="H4" s="13">
        <v>-2.726390399038792E-2</v>
      </c>
      <c r="I4" s="13">
        <v>-4.8288546502590179E-2</v>
      </c>
      <c r="J4" s="13">
        <v>-3.7313267588615417E-2</v>
      </c>
      <c r="K4" s="13">
        <v>-3.7903524935245507E-2</v>
      </c>
      <c r="L4" s="13">
        <v>-3.7348430603742599E-2</v>
      </c>
      <c r="M4" s="13">
        <v>-3.7616446614265442E-2</v>
      </c>
      <c r="N4" s="13">
        <v>-3.742402046918869E-2</v>
      </c>
      <c r="O4" s="13">
        <v>-3.4556981176137917E-2</v>
      </c>
      <c r="P4" s="13">
        <v>-3.450281172990799E-2</v>
      </c>
      <c r="Q4" s="13">
        <v>-2.779831551015377E-2</v>
      </c>
      <c r="R4" s="13">
        <v>-2.6597736403346062E-2</v>
      </c>
      <c r="S4" s="13">
        <v>-2.858461253345013E-2</v>
      </c>
      <c r="T4" s="13">
        <v>-2.921631932258606E-2</v>
      </c>
      <c r="U4" s="13">
        <v>-2.885173074901104E-2</v>
      </c>
      <c r="V4" s="13">
        <v>-2.8718717396259311E-2</v>
      </c>
      <c r="W4" s="13">
        <v>-2.587226964533329E-2</v>
      </c>
      <c r="X4" s="13">
        <v>-2.8767423704266552E-2</v>
      </c>
      <c r="Y4" s="13">
        <v>-2.8886387124657631E-2</v>
      </c>
      <c r="Z4" s="13">
        <v>-3.020281903445721E-2</v>
      </c>
      <c r="AA4" s="13">
        <v>-2.969782613217831E-2</v>
      </c>
      <c r="AB4" s="13">
        <v>-2.9449734836816791E-2</v>
      </c>
      <c r="AC4" s="13">
        <v>-1.9321048632264141E-2</v>
      </c>
      <c r="AD4" s="13">
        <v>-2.8943898156285289E-2</v>
      </c>
      <c r="AE4" s="13">
        <v>-2.9567476361989972E-2</v>
      </c>
      <c r="AF4" s="13">
        <v>-2.856354787945747E-2</v>
      </c>
      <c r="AG4" s="13">
        <v>-2.832365408539772E-2</v>
      </c>
      <c r="AH4" s="13">
        <v>-2.73332130163908E-2</v>
      </c>
      <c r="AI4" s="13">
        <v>-3.7235941737890237E-2</v>
      </c>
      <c r="AJ4" s="13">
        <v>-3.4088630229234702E-2</v>
      </c>
      <c r="AK4" s="13">
        <v>-2.7424490079283711E-2</v>
      </c>
      <c r="AL4" s="13">
        <v>-2.4591473862528801E-2</v>
      </c>
      <c r="AM4" s="13">
        <v>-2.9777821153402328E-2</v>
      </c>
      <c r="AN4" s="13">
        <v>-3.3753968775272369E-2</v>
      </c>
      <c r="AO4" s="13">
        <v>-3.5720217972993851E-2</v>
      </c>
      <c r="AP4" s="13">
        <v>-1.8044905737042431E-2</v>
      </c>
      <c r="AQ4" s="13">
        <v>-2.374198846518993E-2</v>
      </c>
      <c r="AR4" s="13">
        <v>-3.8850482553243637E-2</v>
      </c>
      <c r="AS4" s="13">
        <v>-0.1345172971487045</v>
      </c>
      <c r="AT4" s="13">
        <v>-2.8492949903011319E-2</v>
      </c>
      <c r="AU4" s="13">
        <v>-3.0869178473949429E-2</v>
      </c>
      <c r="AV4" s="13">
        <v>-3.2064013183116913E-2</v>
      </c>
      <c r="AW4" s="13">
        <v>-2.6232475414872169E-2</v>
      </c>
      <c r="AX4" s="13">
        <v>-2.647383883595467E-2</v>
      </c>
      <c r="AY4" s="13">
        <v>-3.400053083896637E-2</v>
      </c>
      <c r="AZ4" s="13">
        <v>-2.7450913563370701E-2</v>
      </c>
      <c r="BA4" s="13">
        <v>-3.1005732715129849E-2</v>
      </c>
      <c r="BB4" s="13">
        <v>-3.3746343106031418E-2</v>
      </c>
      <c r="BC4" s="13">
        <v>-3.1035987660288811E-2</v>
      </c>
      <c r="BD4" s="13">
        <v>-3.058777749538422E-2</v>
      </c>
      <c r="BE4" s="13">
        <v>-3.2944157719612122E-2</v>
      </c>
      <c r="BF4" s="13">
        <v>-3.123846277594566E-2</v>
      </c>
      <c r="BG4" s="13">
        <v>-3.2052598893642432E-2</v>
      </c>
      <c r="BH4" s="13">
        <v>-3.055793792009354E-2</v>
      </c>
      <c r="BI4" s="13">
        <v>-3.1080937013030049E-2</v>
      </c>
      <c r="BJ4" s="13">
        <v>-3.0351296067237851E-2</v>
      </c>
      <c r="BK4" s="13">
        <v>-3.2760027796030038E-2</v>
      </c>
      <c r="BL4" s="13">
        <v>-3.1334664672613137E-2</v>
      </c>
      <c r="BM4" s="13">
        <v>-3.1740568578243263E-2</v>
      </c>
      <c r="BN4" s="13">
        <v>7.9825639724731445E-2</v>
      </c>
      <c r="BO4" s="13">
        <v>-2.2437060251832008E-2</v>
      </c>
      <c r="BP4" s="13">
        <v>-3.7594955414533622E-2</v>
      </c>
      <c r="BQ4" s="13">
        <v>-3.291790559887886E-2</v>
      </c>
      <c r="BR4" s="13">
        <v>-1.2001144699752331E-2</v>
      </c>
      <c r="BS4" s="13">
        <v>-1.3084841892123221E-2</v>
      </c>
      <c r="BT4" s="13">
        <v>-2.6131108403205872E-2</v>
      </c>
      <c r="BU4" s="13">
        <v>-3.5951588302850723E-2</v>
      </c>
      <c r="BV4" s="13">
        <v>-3.3736389130353928E-2</v>
      </c>
      <c r="BW4" s="13">
        <v>-2.4462303146719929E-2</v>
      </c>
      <c r="BX4" s="13">
        <v>-3.2545313239097602E-2</v>
      </c>
      <c r="BY4" s="13">
        <v>-3.1732853502035141E-2</v>
      </c>
      <c r="BZ4" s="13">
        <v>-3.5243522375822067E-2</v>
      </c>
      <c r="CA4" s="13">
        <v>-3.2394681125879288E-2</v>
      </c>
      <c r="CB4" s="13">
        <v>-2.393621951341629E-2</v>
      </c>
      <c r="CC4" s="13">
        <v>-2.886332385241985E-2</v>
      </c>
      <c r="CD4" s="13">
        <v>-2.6372920721769329E-2</v>
      </c>
      <c r="CE4" s="13">
        <v>-4.0299050509929657E-2</v>
      </c>
      <c r="CF4" s="13">
        <v>-3.2261207699775703E-2</v>
      </c>
      <c r="CG4" s="13">
        <v>-2.9903111979365349E-2</v>
      </c>
      <c r="CH4" s="13">
        <v>-3.120617009699345E-2</v>
      </c>
      <c r="CI4" s="13">
        <v>-3.1554944813251502E-2</v>
      </c>
      <c r="CJ4" s="13">
        <v>-3.2127730548381812E-2</v>
      </c>
      <c r="CK4" s="13">
        <v>-3.1585942953824997E-2</v>
      </c>
      <c r="CL4" s="13">
        <v>-3.109020926058292E-2</v>
      </c>
      <c r="CM4" s="13">
        <v>-3.116690926253796E-2</v>
      </c>
      <c r="CN4" s="13">
        <v>-3.068649023771286E-2</v>
      </c>
      <c r="CO4" s="13">
        <v>-3.051175735890865E-2</v>
      </c>
      <c r="CP4" s="13">
        <v>-3.0179880559444431E-2</v>
      </c>
      <c r="CQ4" s="13">
        <v>-3.0264537781476971E-2</v>
      </c>
      <c r="CR4" s="13">
        <v>-3.0227817595005039E-2</v>
      </c>
      <c r="CS4" s="13">
        <v>-3.038875758647919E-2</v>
      </c>
      <c r="CT4" s="13">
        <v>-2.237749099731445E-2</v>
      </c>
      <c r="CU4" s="13">
        <v>-2.6706485077738758E-2</v>
      </c>
      <c r="CV4" s="13">
        <v>-2.821129746735096E-2</v>
      </c>
      <c r="CW4" s="13">
        <v>-3.3567264676094062E-2</v>
      </c>
      <c r="CX4" s="13">
        <v>-2.7859419584274289E-2</v>
      </c>
      <c r="CY4" s="13">
        <v>-2.30282973498106E-2</v>
      </c>
      <c r="CZ4" s="13">
        <v>-2.6201611384749409E-2</v>
      </c>
      <c r="DA4" s="13">
        <v>-2.9583510011434559E-2</v>
      </c>
      <c r="DB4" s="13">
        <v>-3.3195734024047852E-2</v>
      </c>
      <c r="DC4" s="13">
        <v>-3.1532101333141327E-2</v>
      </c>
      <c r="DD4" s="13">
        <v>-2.9648697003722191E-2</v>
      </c>
      <c r="DE4" s="13">
        <v>-2.8857935220003132E-2</v>
      </c>
      <c r="DF4" s="13">
        <v>-2.8399249538779259E-2</v>
      </c>
      <c r="DG4" s="13">
        <v>-2.6426361873745918E-2</v>
      </c>
      <c r="DH4" s="13">
        <v>-3.0645843595266339E-2</v>
      </c>
      <c r="DI4" s="13">
        <v>-2.9881417751312259E-2</v>
      </c>
      <c r="DJ4" s="13">
        <v>-2.9596960172057148E-2</v>
      </c>
      <c r="DK4" s="13">
        <v>-2.841122634708881E-2</v>
      </c>
      <c r="DL4" s="13">
        <v>-3.0489476397633549E-2</v>
      </c>
      <c r="DM4" s="13">
        <v>-2.7597028762102131E-2</v>
      </c>
      <c r="DN4" s="13">
        <v>-2.8250575065612789E-2</v>
      </c>
      <c r="DO4" s="13">
        <v>-2.7726072818040851E-2</v>
      </c>
      <c r="DP4" s="13">
        <v>-2.715402282774448E-2</v>
      </c>
      <c r="DQ4" s="13">
        <v>-2.6989534497261051E-2</v>
      </c>
      <c r="DR4" s="13">
        <v>-2.888492681086063E-2</v>
      </c>
      <c r="DS4" s="13">
        <v>-2.6225227862596508E-2</v>
      </c>
      <c r="DT4" s="13">
        <v>-0.14326423406600949</v>
      </c>
      <c r="DU4" s="13">
        <v>-4.3057508766651147E-2</v>
      </c>
      <c r="DV4" s="13">
        <v>-3.2543007284402847E-2</v>
      </c>
      <c r="DW4" s="13">
        <v>-2.724632807075977E-2</v>
      </c>
      <c r="DX4" s="13">
        <v>-2.7451477944850922E-2</v>
      </c>
      <c r="DY4" s="13">
        <v>-2.8264472261071209E-2</v>
      </c>
      <c r="DZ4" s="13">
        <v>-2.418005466461182E-2</v>
      </c>
      <c r="EA4" s="13">
        <v>-2.6992777362465858E-2</v>
      </c>
      <c r="EB4" s="13">
        <v>-2.6342380791902539E-2</v>
      </c>
      <c r="EC4" s="13">
        <v>-2.8216563165187839E-2</v>
      </c>
      <c r="ED4" s="13">
        <v>-2.399775572121143E-2</v>
      </c>
      <c r="EE4" s="13">
        <v>-3.5310320556163788E-2</v>
      </c>
      <c r="EF4" s="13">
        <v>-2.9033292084932331E-2</v>
      </c>
    </row>
    <row r="5" spans="1:136" s="1" customFormat="1">
      <c r="B5" s="2" t="s">
        <v>138</v>
      </c>
      <c r="C5" s="13">
        <v>3.8081712555140261E-3</v>
      </c>
      <c r="D5" s="13">
        <v>-5.4777832701802254E-3</v>
      </c>
      <c r="E5" s="13">
        <v>-5.4900660179555416E-3</v>
      </c>
      <c r="F5" s="13">
        <v>-5.114563275128603E-3</v>
      </c>
      <c r="G5" s="13">
        <v>-7.764030247926712E-3</v>
      </c>
      <c r="H5" s="13">
        <v>-7.2011286392807961E-3</v>
      </c>
      <c r="I5" s="13">
        <v>-6.3504916615784168E-3</v>
      </c>
      <c r="J5" s="13">
        <v>-6.4376979134976864E-3</v>
      </c>
      <c r="K5" s="13">
        <v>-7.2753257118165493E-3</v>
      </c>
      <c r="L5" s="13">
        <v>-7.4702142737805843E-3</v>
      </c>
      <c r="M5" s="13">
        <v>-5.9039127081632614E-3</v>
      </c>
      <c r="N5" s="13">
        <v>1.2302654795348641E-2</v>
      </c>
      <c r="O5" s="13">
        <v>2.0934619009494781E-2</v>
      </c>
      <c r="P5" s="13">
        <v>2.7155191637575631E-3</v>
      </c>
      <c r="Q5" s="13">
        <v>3.0463424045592551E-3</v>
      </c>
      <c r="R5" s="13">
        <v>-4.8635075800120831E-3</v>
      </c>
      <c r="S5" s="13">
        <v>-1.6708682524040339E-3</v>
      </c>
      <c r="T5" s="13">
        <v>4.1404878720641136E-3</v>
      </c>
      <c r="U5" s="13">
        <v>2.761553972959518E-3</v>
      </c>
      <c r="V5" s="13">
        <v>-5.1478209206834435E-4</v>
      </c>
      <c r="W5" s="13">
        <v>7.5550959445536137E-4</v>
      </c>
      <c r="X5" s="13">
        <v>-3.1146644614636898E-3</v>
      </c>
      <c r="Y5" s="13">
        <v>-1.131144072860479E-2</v>
      </c>
      <c r="Z5" s="13">
        <v>-2.8005761560052629E-3</v>
      </c>
      <c r="AA5" s="13">
        <v>-8.9693367481231689E-3</v>
      </c>
      <c r="AB5" s="13">
        <v>-8.1666028127074242E-3</v>
      </c>
      <c r="AC5" s="13">
        <v>-1.639714278280735E-2</v>
      </c>
      <c r="AD5" s="13">
        <v>-1.0888714343309401E-2</v>
      </c>
      <c r="AE5" s="13">
        <v>-9.2730158939957619E-3</v>
      </c>
      <c r="AF5" s="13">
        <v>-4.607954528182745E-3</v>
      </c>
      <c r="AG5" s="13">
        <v>-5.8455127291381359E-3</v>
      </c>
      <c r="AH5" s="13">
        <v>-4.9838116392493248E-3</v>
      </c>
      <c r="AI5" s="13">
        <v>-3.626509103924036E-3</v>
      </c>
      <c r="AJ5" s="13">
        <v>-3.818823024630547E-3</v>
      </c>
      <c r="AK5" s="13">
        <v>-4.6545602381229401E-3</v>
      </c>
      <c r="AL5" s="13">
        <v>-5.3977398201823226E-3</v>
      </c>
      <c r="AM5" s="13">
        <v>-6.9995066151022911E-3</v>
      </c>
      <c r="AN5" s="13">
        <v>9.9394354037940502E-4</v>
      </c>
      <c r="AO5" s="13">
        <v>-4.2327293194830418E-3</v>
      </c>
      <c r="AP5" s="13">
        <v>-6.2828082591295242E-3</v>
      </c>
      <c r="AQ5" s="13">
        <v>-2.7964443434029822E-3</v>
      </c>
      <c r="AR5" s="13">
        <v>-3.548022592440248E-3</v>
      </c>
      <c r="AS5" s="13">
        <v>-1.8412303179502489E-3</v>
      </c>
      <c r="AT5" s="13">
        <v>1.7384441569447521E-2</v>
      </c>
      <c r="AU5" s="13">
        <v>-6.634250283241272E-3</v>
      </c>
      <c r="AV5" s="13">
        <v>7.3471954092383376E-3</v>
      </c>
      <c r="AW5" s="13">
        <v>4.724663682281971E-3</v>
      </c>
      <c r="AX5" s="13">
        <v>-1.7786960816010831E-3</v>
      </c>
      <c r="AY5" s="13">
        <v>-9.8629016429185867E-4</v>
      </c>
      <c r="AZ5" s="13">
        <v>1.0417148470878599E-2</v>
      </c>
      <c r="BA5" s="13">
        <v>-1.148949144408107E-3</v>
      </c>
      <c r="BB5" s="13">
        <v>-2.0870927255600691E-3</v>
      </c>
      <c r="BC5" s="13">
        <v>1.336632296442986E-3</v>
      </c>
      <c r="BD5" s="13">
        <v>5.0694281235337257E-3</v>
      </c>
      <c r="BE5" s="13">
        <v>-4.8598065041005611E-3</v>
      </c>
      <c r="BF5" s="13">
        <v>5.1613256800919771E-4</v>
      </c>
      <c r="BG5" s="13">
        <v>-7.0163407362997532E-3</v>
      </c>
      <c r="BH5" s="13">
        <v>-4.1907159611582756E-3</v>
      </c>
      <c r="BI5" s="13">
        <v>3.0854527722112829E-4</v>
      </c>
      <c r="BJ5" s="13">
        <v>-2.9275671113282442E-4</v>
      </c>
      <c r="BK5" s="13">
        <v>-1.1491622775793081E-2</v>
      </c>
      <c r="BL5" s="13">
        <v>-1.2680532410740851E-2</v>
      </c>
      <c r="BM5" s="13">
        <v>-4.4326516799628726E-3</v>
      </c>
      <c r="BN5" s="13">
        <v>-8.944263681769371E-4</v>
      </c>
      <c r="BO5" s="13">
        <v>-4.4179423712193966E-3</v>
      </c>
      <c r="BP5" s="13">
        <v>-8.5916733369231224E-3</v>
      </c>
      <c r="BQ5" s="13">
        <v>-4.4214986264705658E-3</v>
      </c>
      <c r="BR5" s="13">
        <v>1.025303965434432E-3</v>
      </c>
      <c r="BS5" s="13">
        <v>-7.2602357249706984E-4</v>
      </c>
      <c r="BT5" s="13">
        <v>2.21152906306088E-4</v>
      </c>
      <c r="BU5" s="13">
        <v>-4.0715634822845459E-3</v>
      </c>
      <c r="BV5" s="13">
        <v>-1.552917994558811E-3</v>
      </c>
      <c r="BW5" s="13">
        <v>-3.8780455943197012E-3</v>
      </c>
      <c r="BX5" s="13">
        <v>-2.1147832740098238E-3</v>
      </c>
      <c r="BY5" s="13">
        <v>-2.6352899149060249E-3</v>
      </c>
      <c r="BZ5" s="13">
        <v>1.8134823767468331E-3</v>
      </c>
      <c r="CA5" s="13">
        <v>-1.6779374331235889E-2</v>
      </c>
      <c r="CB5" s="13">
        <v>-1.808038167655468E-2</v>
      </c>
      <c r="CC5" s="13">
        <v>-9.0212021023035049E-3</v>
      </c>
      <c r="CD5" s="13">
        <v>-6.0056517831981182E-3</v>
      </c>
      <c r="CE5" s="13">
        <v>4.891709890216589E-3</v>
      </c>
      <c r="CF5" s="13">
        <v>-4.9459007568657398E-3</v>
      </c>
      <c r="CG5" s="13">
        <v>-1.764219487085938E-3</v>
      </c>
      <c r="CH5" s="13">
        <v>-2.2557761985808611E-3</v>
      </c>
      <c r="CI5" s="13">
        <v>-5.7940958067774773E-3</v>
      </c>
      <c r="CJ5" s="13">
        <v>5.3679030388593674E-3</v>
      </c>
      <c r="CK5" s="13">
        <v>-6.5037030726671219E-3</v>
      </c>
      <c r="CL5" s="13">
        <v>-9.2684589326381683E-3</v>
      </c>
      <c r="CM5" s="13">
        <v>3.4533715806901451E-3</v>
      </c>
      <c r="CN5" s="13">
        <v>-1.5305428532883521E-3</v>
      </c>
      <c r="CO5" s="13">
        <v>2.763807307928801E-3</v>
      </c>
      <c r="CP5" s="13">
        <v>-3.0045167077332739E-3</v>
      </c>
      <c r="CQ5" s="13">
        <v>-4.2182006873190403E-3</v>
      </c>
      <c r="CR5" s="13">
        <v>1.238218974322081E-3</v>
      </c>
      <c r="CS5" s="13">
        <v>-5.620910320430994E-3</v>
      </c>
      <c r="CT5" s="13">
        <v>-1.289551146328449E-4</v>
      </c>
      <c r="CU5" s="13">
        <v>-3.5577644594013691E-3</v>
      </c>
      <c r="CV5" s="13">
        <v>-8.8373589096590877E-4</v>
      </c>
      <c r="CW5" s="13">
        <v>-3.7108787801116701E-3</v>
      </c>
      <c r="CX5" s="13">
        <v>-1.892625004984438E-3</v>
      </c>
      <c r="CY5" s="13">
        <v>-2.23894277587533E-3</v>
      </c>
      <c r="CZ5" s="13">
        <v>-2.9421760700643059E-5</v>
      </c>
      <c r="DA5" s="13">
        <v>-1.453497330658138E-3</v>
      </c>
      <c r="DB5" s="13">
        <v>-3.351018531247973E-3</v>
      </c>
      <c r="DC5" s="13">
        <v>-3.9163324981927872E-3</v>
      </c>
      <c r="DD5" s="13">
        <v>-4.7809812240302563E-3</v>
      </c>
      <c r="DE5" s="13">
        <v>-4.4807596132159233E-3</v>
      </c>
      <c r="DF5" s="13">
        <v>-2.3375857621431351E-2</v>
      </c>
      <c r="DG5" s="13">
        <v>-3.9326213300228119E-3</v>
      </c>
      <c r="DH5" s="13">
        <v>-4.3730316683650017E-3</v>
      </c>
      <c r="DI5" s="13">
        <v>-1.565223932266235E-2</v>
      </c>
      <c r="DJ5" s="13">
        <v>6.0370620340108871E-3</v>
      </c>
      <c r="DK5" s="13">
        <v>-8.2938047125935555E-3</v>
      </c>
      <c r="DL5" s="13">
        <v>-4.4081835076212883E-3</v>
      </c>
      <c r="DM5" s="13">
        <v>-4.4374761637300247E-4</v>
      </c>
      <c r="DN5" s="13">
        <v>-3.0054445378482342E-3</v>
      </c>
      <c r="DO5" s="13">
        <v>2.8427736833691601E-3</v>
      </c>
      <c r="DP5" s="13">
        <v>-6.131303496658802E-3</v>
      </c>
      <c r="DQ5" s="13">
        <v>-4.6811853535473347E-3</v>
      </c>
      <c r="DR5" s="13">
        <v>-7.1722459979355344E-3</v>
      </c>
      <c r="DS5" s="13">
        <v>-3.6357224453240629E-3</v>
      </c>
      <c r="DT5" s="13">
        <v>-2.9824208468198782E-4</v>
      </c>
      <c r="DU5" s="13">
        <v>-5.6705139577388763E-3</v>
      </c>
      <c r="DV5" s="13">
        <v>-3.1858636066317558E-3</v>
      </c>
      <c r="DW5" s="13">
        <v>-7.003207691013813E-3</v>
      </c>
      <c r="DX5" s="13">
        <v>-6.6352039575576782E-3</v>
      </c>
      <c r="DY5" s="13">
        <v>-3.2449103891849522E-3</v>
      </c>
      <c r="DZ5" s="13">
        <v>-1.983507070690393E-3</v>
      </c>
      <c r="EA5" s="13">
        <v>-2.5352328084409241E-3</v>
      </c>
      <c r="EB5" s="13">
        <v>-4.4876029714941978E-3</v>
      </c>
      <c r="EC5" s="13">
        <v>-5.3785997442901126E-3</v>
      </c>
      <c r="ED5" s="13">
        <v>-6.4549529924988747E-3</v>
      </c>
      <c r="EE5" s="13">
        <v>-6.2718079425394544E-3</v>
      </c>
      <c r="EF5" s="13">
        <v>-6.1802691780030727E-3</v>
      </c>
    </row>
    <row r="6" spans="1:136" s="1" customFormat="1">
      <c r="A6" s="2" t="s">
        <v>139</v>
      </c>
      <c r="C6" s="13">
        <f t="array" ref="C6">MATCH(MAX(ABS(C3:C5)),ABS(C3:C5),0)</f>
        <v>2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2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2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2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2</v>
      </c>
      <c r="CF6" s="13">
        <f t="array" ref="CF6">MATCH(MAX(ABS(CF3:CF5)),ABS(CF3:CF5),0)</f>
        <v>2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2</v>
      </c>
      <c r="CN6" s="13">
        <f t="array" ref="CN6">MATCH(MAX(ABS(CN3:CN5)),ABS(CN3:CN5),0)</f>
        <v>1</v>
      </c>
      <c r="CO6" s="13">
        <f t="array" ref="CO6">MATCH(MAX(ABS(CO3:CO5)),ABS(CO3:CO5),0)</f>
        <v>2</v>
      </c>
      <c r="CP6" s="13">
        <f t="array" ref="CP6">MATCH(MAX(ABS(CP3:CP5)),ABS(CP3:CP5),0)</f>
        <v>2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2</v>
      </c>
      <c r="CT6" s="13">
        <f t="array" ref="CT6">MATCH(MAX(ABS(CT3:CT5)),ABS(CT3:CT5),0)</f>
        <v>2</v>
      </c>
      <c r="CU6" s="13">
        <f t="array" ref="CU6">MATCH(MAX(ABS(CU3:CU5)),ABS(CU3:CU5),0)</f>
        <v>2</v>
      </c>
      <c r="CV6" s="13">
        <f t="array" ref="CV6">MATCH(MAX(ABS(CV3:CV5)),ABS(CV3:CV5),0)</f>
        <v>2</v>
      </c>
      <c r="CW6" s="13">
        <f t="array" ref="CW6">MATCH(MAX(ABS(CW3:CW5)),ABS(CW3:CW5),0)</f>
        <v>2</v>
      </c>
      <c r="CX6" s="13">
        <f t="array" ref="CX6">MATCH(MAX(ABS(CX3:CX5)),ABS(CX3:CX5),0)</f>
        <v>2</v>
      </c>
      <c r="CY6" s="13">
        <f t="array" ref="CY6">MATCH(MAX(ABS(CY3:CY5)),ABS(CY3:CY5),0)</f>
        <v>1</v>
      </c>
      <c r="CZ6" s="13">
        <f t="array" ref="CZ6">MATCH(MAX(ABS(CZ3:CZ5)),ABS(CZ3:CZ5),0)</f>
        <v>2</v>
      </c>
      <c r="DA6" s="13">
        <f t="array" ref="DA6">MATCH(MAX(ABS(DA3:DA5)),ABS(DA3:DA5),0)</f>
        <v>2</v>
      </c>
      <c r="DB6" s="13">
        <f t="array" ref="DB6">MATCH(MAX(ABS(DB3:DB5)),ABS(DB3:DB5),0)</f>
        <v>2</v>
      </c>
      <c r="DC6" s="13">
        <f t="array" ref="DC6">MATCH(MAX(ABS(DC3:DC5)),ABS(DC3:DC5),0)</f>
        <v>2</v>
      </c>
      <c r="DD6" s="13">
        <f t="array" ref="DD6">MATCH(MAX(ABS(DD3:DD5)),ABS(DD3:DD5),0)</f>
        <v>1</v>
      </c>
      <c r="DE6" s="13">
        <f t="array" ref="DE6">MATCH(MAX(ABS(DE3:DE5)),ABS(DE3:DE5),0)</f>
        <v>2</v>
      </c>
      <c r="DF6" s="13">
        <f t="array" ref="DF6">MATCH(MAX(ABS(DF3:DF5)),ABS(DF3:DF5),0)</f>
        <v>2</v>
      </c>
      <c r="DG6" s="13">
        <f t="array" ref="DG6">MATCH(MAX(ABS(DG3:DG5)),ABS(DG3:DG5),0)</f>
        <v>2</v>
      </c>
      <c r="DH6" s="13">
        <f t="array" ref="DH6">MATCH(MAX(ABS(DH3:DH5)),ABS(DH3:DH5),0)</f>
        <v>2</v>
      </c>
      <c r="DI6" s="13">
        <f t="array" ref="DI6">MATCH(MAX(ABS(DI3:DI5)),ABS(DI3:DI5),0)</f>
        <v>2</v>
      </c>
      <c r="DJ6" s="13">
        <f t="array" ref="DJ6">MATCH(MAX(ABS(DJ3:DJ5)),ABS(DJ3:DJ5),0)</f>
        <v>2</v>
      </c>
      <c r="DK6" s="13">
        <f t="array" ref="DK6">MATCH(MAX(ABS(DK3:DK5)),ABS(DK3:DK5),0)</f>
        <v>2</v>
      </c>
      <c r="DL6" s="13">
        <f t="array" ref="DL6">MATCH(MAX(ABS(DL3:DL5)),ABS(DL3:DL5),0)</f>
        <v>2</v>
      </c>
      <c r="DM6" s="13">
        <f t="array" ref="DM6">MATCH(MAX(ABS(DM3:DM5)),ABS(DM3:DM5),0)</f>
        <v>2</v>
      </c>
      <c r="DN6" s="13">
        <f t="array" ref="DN6">MATCH(MAX(ABS(DN3:DN5)),ABS(DN3:DN5),0)</f>
        <v>2</v>
      </c>
      <c r="DO6" s="13">
        <f t="array" ref="DO6">MATCH(MAX(ABS(DO3:DO5)),ABS(DO3:DO5),0)</f>
        <v>2</v>
      </c>
      <c r="DP6" s="13">
        <f t="array" ref="DP6">MATCH(MAX(ABS(DP3:DP5)),ABS(DP3:DP5),0)</f>
        <v>2</v>
      </c>
      <c r="DQ6" s="13">
        <f t="array" ref="DQ6">MATCH(MAX(ABS(DQ3:DQ5)),ABS(DQ3:DQ5),0)</f>
        <v>2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2</v>
      </c>
      <c r="DU6" s="13">
        <f t="array" ref="DU6">MATCH(MAX(ABS(DU3:DU5)),ABS(DU3:DU5),0)</f>
        <v>2</v>
      </c>
      <c r="DV6" s="13">
        <f t="array" ref="DV6">MATCH(MAX(ABS(DV3:DV5)),ABS(DV3:DV5),0)</f>
        <v>2</v>
      </c>
      <c r="DW6" s="13">
        <f t="array" ref="DW6">MATCH(MAX(ABS(DW3:DW5)),ABS(DW3:DW5),0)</f>
        <v>2</v>
      </c>
      <c r="DX6" s="13">
        <f t="array" ref="DX6">MATCH(MAX(ABS(DX3:DX5)),ABS(DX3:DX5),0)</f>
        <v>2</v>
      </c>
      <c r="DY6" s="13">
        <f t="array" ref="DY6">MATCH(MAX(ABS(DY3:DY5)),ABS(DY3:DY5),0)</f>
        <v>2</v>
      </c>
      <c r="DZ6" s="13">
        <f t="array" ref="DZ6">MATCH(MAX(ABS(DZ3:DZ5)),ABS(DZ3:DZ5),0)</f>
        <v>2</v>
      </c>
      <c r="EA6" s="13">
        <f t="array" ref="EA6">MATCH(MAX(ABS(EA3:EA5)),ABS(EA3:EA5),0)</f>
        <v>2</v>
      </c>
      <c r="EB6" s="13">
        <f t="array" ref="EB6">MATCH(MAX(ABS(EB3:EB5)),ABS(EB3:EB5),0)</f>
        <v>2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2</v>
      </c>
      <c r="EF6" s="13">
        <f t="array" ref="EF6">MATCH(MAX(ABS(EF3:EF5)),ABS(EF3:EF5),0)</f>
        <v>2</v>
      </c>
    </row>
    <row r="7" spans="1:136">
      <c r="C7" s="14" t="str">
        <f t="shared" ref="C7:AH7" si="0">IF(C6=1,"bm",IF(C6=2,"size",IF(C6=3,"mom")))</f>
        <v>size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size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size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size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size</v>
      </c>
      <c r="CF7" s="14" t="str">
        <f t="shared" si="2"/>
        <v>size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size</v>
      </c>
      <c r="CN7" s="14" t="str">
        <f t="shared" si="2"/>
        <v>bm</v>
      </c>
      <c r="CO7" s="14" t="str">
        <f t="shared" si="2"/>
        <v>size</v>
      </c>
      <c r="CP7" s="14" t="str">
        <f t="shared" si="2"/>
        <v>size</v>
      </c>
      <c r="CQ7" s="14" t="str">
        <f t="shared" si="2"/>
        <v>bm</v>
      </c>
      <c r="CR7" s="14" t="str">
        <f t="shared" si="2"/>
        <v>bm</v>
      </c>
      <c r="CS7" s="14" t="str">
        <f t="shared" si="2"/>
        <v>size</v>
      </c>
      <c r="CT7" s="14" t="str">
        <f t="shared" si="2"/>
        <v>size</v>
      </c>
      <c r="CU7" s="14" t="str">
        <f t="shared" ref="CU7:DZ7" si="3">IF(CU6=1,"bm",IF(CU6=2,"size",IF(CU6=3,"mom")))</f>
        <v>size</v>
      </c>
      <c r="CV7" s="14" t="str">
        <f t="shared" si="3"/>
        <v>size</v>
      </c>
      <c r="CW7" s="14" t="str">
        <f t="shared" si="3"/>
        <v>size</v>
      </c>
      <c r="CX7" s="14" t="str">
        <f t="shared" si="3"/>
        <v>size</v>
      </c>
      <c r="CY7" s="14" t="str">
        <f t="shared" si="3"/>
        <v>bm</v>
      </c>
      <c r="CZ7" s="14" t="str">
        <f t="shared" si="3"/>
        <v>size</v>
      </c>
      <c r="DA7" s="14" t="str">
        <f t="shared" si="3"/>
        <v>size</v>
      </c>
      <c r="DB7" s="14" t="str">
        <f t="shared" si="3"/>
        <v>size</v>
      </c>
      <c r="DC7" s="14" t="str">
        <f t="shared" si="3"/>
        <v>size</v>
      </c>
      <c r="DD7" s="14" t="str">
        <f t="shared" si="3"/>
        <v>bm</v>
      </c>
      <c r="DE7" s="14" t="str">
        <f t="shared" si="3"/>
        <v>size</v>
      </c>
      <c r="DF7" s="14" t="str">
        <f t="shared" si="3"/>
        <v>size</v>
      </c>
      <c r="DG7" s="14" t="str">
        <f t="shared" si="3"/>
        <v>size</v>
      </c>
      <c r="DH7" s="14" t="str">
        <f t="shared" si="3"/>
        <v>size</v>
      </c>
      <c r="DI7" s="14" t="str">
        <f t="shared" si="3"/>
        <v>size</v>
      </c>
      <c r="DJ7" s="14" t="str">
        <f t="shared" si="3"/>
        <v>size</v>
      </c>
      <c r="DK7" s="14" t="str">
        <f t="shared" si="3"/>
        <v>size</v>
      </c>
      <c r="DL7" s="14" t="str">
        <f t="shared" si="3"/>
        <v>size</v>
      </c>
      <c r="DM7" s="14" t="str">
        <f t="shared" si="3"/>
        <v>size</v>
      </c>
      <c r="DN7" s="14" t="str">
        <f t="shared" si="3"/>
        <v>size</v>
      </c>
      <c r="DO7" s="14" t="str">
        <f t="shared" si="3"/>
        <v>size</v>
      </c>
      <c r="DP7" s="14" t="str">
        <f t="shared" si="3"/>
        <v>size</v>
      </c>
      <c r="DQ7" s="14" t="str">
        <f t="shared" si="3"/>
        <v>size</v>
      </c>
      <c r="DR7" s="14" t="str">
        <f t="shared" si="3"/>
        <v>bm</v>
      </c>
      <c r="DS7" s="14" t="str">
        <f t="shared" si="3"/>
        <v>bm</v>
      </c>
      <c r="DT7" s="14" t="str">
        <f t="shared" si="3"/>
        <v>size</v>
      </c>
      <c r="DU7" s="14" t="str">
        <f t="shared" si="3"/>
        <v>size</v>
      </c>
      <c r="DV7" s="14" t="str">
        <f t="shared" si="3"/>
        <v>size</v>
      </c>
      <c r="DW7" s="14" t="str">
        <f t="shared" si="3"/>
        <v>size</v>
      </c>
      <c r="DX7" s="14" t="str">
        <f t="shared" si="3"/>
        <v>size</v>
      </c>
      <c r="DY7" s="14" t="str">
        <f t="shared" si="3"/>
        <v>size</v>
      </c>
      <c r="DZ7" s="14" t="str">
        <f t="shared" si="3"/>
        <v>size</v>
      </c>
      <c r="EA7" s="14" t="str">
        <f t="shared" ref="EA7:EF7" si="4">IF(EA6=1,"bm",IF(EA6=2,"size",IF(EA6=3,"mom")))</f>
        <v>size</v>
      </c>
      <c r="EB7" s="14" t="str">
        <f t="shared" si="4"/>
        <v>size</v>
      </c>
      <c r="EC7" s="14" t="str">
        <f t="shared" si="4"/>
        <v>bm</v>
      </c>
      <c r="ED7" s="14" t="str">
        <f t="shared" si="4"/>
        <v>bm</v>
      </c>
      <c r="EE7" s="14" t="str">
        <f t="shared" si="4"/>
        <v>size</v>
      </c>
      <c r="EF7" s="14" t="str">
        <f t="shared" si="4"/>
        <v>size</v>
      </c>
    </row>
    <row r="8" spans="1:136">
      <c r="C8" s="13">
        <f t="shared" ref="C8:AH8" si="5">IF(C6=1,C3,IF(C6=2,C4,IF(C6=3,C5)))</f>
        <v>-8.5349172353744507E-2</v>
      </c>
      <c r="D8" s="13">
        <f t="shared" si="5"/>
        <v>7.545451819896698E-2</v>
      </c>
      <c r="E8" s="13">
        <f t="shared" si="5"/>
        <v>5.3419496864080429E-2</v>
      </c>
      <c r="F8" s="13">
        <f t="shared" si="5"/>
        <v>4.8055462539196007E-2</v>
      </c>
      <c r="G8" s="13">
        <f t="shared" si="5"/>
        <v>5.6244600564241409E-2</v>
      </c>
      <c r="H8" s="13">
        <f t="shared" si="5"/>
        <v>5.3408809006214142E-2</v>
      </c>
      <c r="I8" s="13">
        <f t="shared" si="5"/>
        <v>5.4677728563547127E-2</v>
      </c>
      <c r="J8" s="13">
        <f t="shared" si="5"/>
        <v>6.1407111585140228E-2</v>
      </c>
      <c r="K8" s="13">
        <f t="shared" si="5"/>
        <v>6.1087191104888923E-2</v>
      </c>
      <c r="L8" s="13">
        <f t="shared" si="5"/>
        <v>6.1945471912622452E-2</v>
      </c>
      <c r="M8" s="13">
        <f t="shared" si="5"/>
        <v>6.4090974628925323E-2</v>
      </c>
      <c r="N8" s="13">
        <f t="shared" si="5"/>
        <v>5.0166409462690353E-2</v>
      </c>
      <c r="O8" s="13">
        <f t="shared" si="5"/>
        <v>5.0939202308654792E-2</v>
      </c>
      <c r="P8" s="13">
        <f t="shared" si="5"/>
        <v>5.3945809602737427E-2</v>
      </c>
      <c r="Q8" s="13">
        <f t="shared" si="5"/>
        <v>5.463515967130661E-2</v>
      </c>
      <c r="R8" s="13">
        <f t="shared" si="5"/>
        <v>5.4097041487693787E-2</v>
      </c>
      <c r="S8" s="13">
        <f t="shared" si="5"/>
        <v>5.4209418594837189E-2</v>
      </c>
      <c r="T8" s="13">
        <f t="shared" si="5"/>
        <v>5.6115321815013892E-2</v>
      </c>
      <c r="U8" s="13">
        <f t="shared" si="5"/>
        <v>5.4694335907697678E-2</v>
      </c>
      <c r="V8" s="13">
        <f t="shared" si="5"/>
        <v>5.5520310997962952E-2</v>
      </c>
      <c r="W8" s="13">
        <f t="shared" si="5"/>
        <v>5.7895615696907043E-2</v>
      </c>
      <c r="X8" s="13">
        <f t="shared" si="5"/>
        <v>5.6128561496734619E-2</v>
      </c>
      <c r="Y8" s="13">
        <f t="shared" si="5"/>
        <v>5.4498970508575439E-2</v>
      </c>
      <c r="Z8" s="13">
        <f t="shared" si="5"/>
        <v>5.640922486782074E-2</v>
      </c>
      <c r="AA8" s="13">
        <f t="shared" si="5"/>
        <v>5.4687082767486572E-2</v>
      </c>
      <c r="AB8" s="13">
        <f t="shared" si="5"/>
        <v>5.4479975253343582E-2</v>
      </c>
      <c r="AC8" s="13">
        <f t="shared" si="5"/>
        <v>5.7393115013837807E-2</v>
      </c>
      <c r="AD8" s="13">
        <f t="shared" si="5"/>
        <v>5.7433716952800751E-2</v>
      </c>
      <c r="AE8" s="13">
        <f t="shared" si="5"/>
        <v>4.2686142027378082E-2</v>
      </c>
      <c r="AF8" s="13">
        <f t="shared" si="5"/>
        <v>5.614069476723671E-2</v>
      </c>
      <c r="AG8" s="13">
        <f t="shared" si="5"/>
        <v>5.5614285171031952E-2</v>
      </c>
      <c r="AH8" s="13">
        <f t="shared" si="5"/>
        <v>-2.73332130163908E-2</v>
      </c>
      <c r="AI8" s="13">
        <f t="shared" ref="AI8:BN8" si="6">IF(AI6=1,AI3,IF(AI6=2,AI4,IF(AI6=3,AI5)))</f>
        <v>-3.7235941737890237E-2</v>
      </c>
      <c r="AJ8" s="13">
        <f t="shared" si="6"/>
        <v>-3.4088630229234702E-2</v>
      </c>
      <c r="AK8" s="13">
        <f t="shared" si="6"/>
        <v>3.0455950647592541E-2</v>
      </c>
      <c r="AL8" s="13">
        <f t="shared" si="6"/>
        <v>3.425038605928421E-2</v>
      </c>
      <c r="AM8" s="13">
        <f t="shared" si="6"/>
        <v>3.9540499448776252E-2</v>
      </c>
      <c r="AN8" s="13">
        <f t="shared" si="6"/>
        <v>4.3252840638160713E-2</v>
      </c>
      <c r="AO8" s="13">
        <f t="shared" si="6"/>
        <v>4.4728361070156097E-2</v>
      </c>
      <c r="AP8" s="13">
        <f t="shared" si="6"/>
        <v>4.2892593890428543E-2</v>
      </c>
      <c r="AQ8" s="13">
        <f t="shared" si="6"/>
        <v>4.543033242225647E-2</v>
      </c>
      <c r="AR8" s="13">
        <f t="shared" si="6"/>
        <v>4.4913444668054581E-2</v>
      </c>
      <c r="AS8" s="13">
        <f t="shared" si="6"/>
        <v>-0.1345172971487045</v>
      </c>
      <c r="AT8" s="13">
        <f t="shared" si="6"/>
        <v>4.19180728495121E-2</v>
      </c>
      <c r="AU8" s="13">
        <f t="shared" si="6"/>
        <v>4.1785150766372681E-2</v>
      </c>
      <c r="AV8" s="13">
        <f t="shared" si="6"/>
        <v>4.3081630021333688E-2</v>
      </c>
      <c r="AW8" s="13">
        <f t="shared" si="6"/>
        <v>4.6142738312482827E-2</v>
      </c>
      <c r="AX8" s="13">
        <f t="shared" si="6"/>
        <v>4.5525301247835159E-2</v>
      </c>
      <c r="AY8" s="13">
        <f t="shared" si="6"/>
        <v>4.7935985028743737E-2</v>
      </c>
      <c r="AZ8" s="13">
        <f t="shared" si="6"/>
        <v>4.1659116744995117E-2</v>
      </c>
      <c r="BA8" s="13">
        <f t="shared" si="6"/>
        <v>3.8711324334144592E-2</v>
      </c>
      <c r="BB8" s="13">
        <f t="shared" si="6"/>
        <v>3.8947168737649918E-2</v>
      </c>
      <c r="BC8" s="13">
        <f t="shared" si="6"/>
        <v>4.2427822947502143E-2</v>
      </c>
      <c r="BD8" s="13">
        <f t="shared" si="6"/>
        <v>4.4051360338926322E-2</v>
      </c>
      <c r="BE8" s="13">
        <f t="shared" si="6"/>
        <v>4.56375852227211E-2</v>
      </c>
      <c r="BF8" s="13">
        <f t="shared" si="6"/>
        <v>4.8670642077922821E-2</v>
      </c>
      <c r="BG8" s="13">
        <f t="shared" si="6"/>
        <v>4.9968019127845757E-2</v>
      </c>
      <c r="BH8" s="13">
        <f t="shared" si="6"/>
        <v>5.1808405667543411E-2</v>
      </c>
      <c r="BI8" s="13">
        <f t="shared" si="6"/>
        <v>5.0584189593791962E-2</v>
      </c>
      <c r="BJ8" s="13">
        <f t="shared" si="6"/>
        <v>5.2059561014175422E-2</v>
      </c>
      <c r="BK8" s="13">
        <f t="shared" si="6"/>
        <v>5.2372250705957413E-2</v>
      </c>
      <c r="BL8" s="13">
        <f t="shared" si="6"/>
        <v>5.0854671746492393E-2</v>
      </c>
      <c r="BM8" s="13">
        <f t="shared" si="6"/>
        <v>5.2194196730852127E-2</v>
      </c>
      <c r="BN8" s="13">
        <f t="shared" si="6"/>
        <v>7.9825639724731445E-2</v>
      </c>
      <c r="BO8" s="13">
        <f t="shared" ref="BO8:CT8" si="7">IF(BO6=1,BO3,IF(BO6=2,BO4,IF(BO6=3,BO5)))</f>
        <v>5.4506797343492508E-2</v>
      </c>
      <c r="BP8" s="13">
        <f t="shared" si="7"/>
        <v>4.0165632963180542E-2</v>
      </c>
      <c r="BQ8" s="13">
        <f t="shared" si="7"/>
        <v>5.2233844995498657E-2</v>
      </c>
      <c r="BR8" s="13">
        <f t="shared" si="7"/>
        <v>3.6525636911392212E-2</v>
      </c>
      <c r="BS8" s="13">
        <f t="shared" si="7"/>
        <v>5.2801784127950668E-2</v>
      </c>
      <c r="BT8" s="13">
        <f t="shared" si="7"/>
        <v>4.8056013882160187E-2</v>
      </c>
      <c r="BU8" s="13">
        <f t="shared" si="7"/>
        <v>-9.9144220352172852E-2</v>
      </c>
      <c r="BV8" s="13">
        <f t="shared" si="7"/>
        <v>5.2249498665332787E-2</v>
      </c>
      <c r="BW8" s="13">
        <f t="shared" si="7"/>
        <v>3.9474610239267349E-2</v>
      </c>
      <c r="BX8" s="13">
        <f t="shared" si="7"/>
        <v>4.7410383820533752E-2</v>
      </c>
      <c r="BY8" s="13">
        <f t="shared" si="7"/>
        <v>4.704391211271286E-2</v>
      </c>
      <c r="BZ8" s="13">
        <f t="shared" si="7"/>
        <v>4.6114489436149597E-2</v>
      </c>
      <c r="CA8" s="13">
        <f t="shared" si="7"/>
        <v>4.2742863297462463E-2</v>
      </c>
      <c r="CB8" s="13">
        <f t="shared" si="7"/>
        <v>3.8489740341901779E-2</v>
      </c>
      <c r="CC8" s="13">
        <f t="shared" si="7"/>
        <v>3.745705634355545E-2</v>
      </c>
      <c r="CD8" s="13">
        <f t="shared" si="7"/>
        <v>3.9794288575649261E-2</v>
      </c>
      <c r="CE8" s="13">
        <f t="shared" si="7"/>
        <v>-4.0299050509929657E-2</v>
      </c>
      <c r="CF8" s="13">
        <f t="shared" si="7"/>
        <v>-3.2261207699775703E-2</v>
      </c>
      <c r="CG8" s="13">
        <f t="shared" si="7"/>
        <v>3.5978682339191437E-2</v>
      </c>
      <c r="CH8" s="13">
        <f t="shared" si="7"/>
        <v>3.177894651889801E-2</v>
      </c>
      <c r="CI8" s="13">
        <f t="shared" si="7"/>
        <v>3.4042399376630783E-2</v>
      </c>
      <c r="CJ8" s="13">
        <f t="shared" si="7"/>
        <v>3.8737695664167397E-2</v>
      </c>
      <c r="CK8" s="13">
        <f t="shared" si="7"/>
        <v>3.9908383041620248E-2</v>
      </c>
      <c r="CL8" s="13">
        <f t="shared" si="7"/>
        <v>3.7117619067430503E-2</v>
      </c>
      <c r="CM8" s="13">
        <f t="shared" si="7"/>
        <v>-3.116690926253796E-2</v>
      </c>
      <c r="CN8" s="13">
        <f t="shared" si="7"/>
        <v>4.0649183094501502E-2</v>
      </c>
      <c r="CO8" s="13">
        <f t="shared" si="7"/>
        <v>-3.051175735890865E-2</v>
      </c>
      <c r="CP8" s="13">
        <f t="shared" si="7"/>
        <v>-3.0179880559444431E-2</v>
      </c>
      <c r="CQ8" s="13">
        <f t="shared" si="7"/>
        <v>3.3265896141529083E-2</v>
      </c>
      <c r="CR8" s="13">
        <f t="shared" si="7"/>
        <v>3.3467646688222892E-2</v>
      </c>
      <c r="CS8" s="13">
        <f t="shared" si="7"/>
        <v>-3.038875758647919E-2</v>
      </c>
      <c r="CT8" s="13">
        <f t="shared" si="7"/>
        <v>-2.237749099731445E-2</v>
      </c>
      <c r="CU8" s="13">
        <f t="shared" ref="CU8:DZ8" si="8">IF(CU6=1,CU3,IF(CU6=2,CU4,IF(CU6=3,CU5)))</f>
        <v>-2.6706485077738758E-2</v>
      </c>
      <c r="CV8" s="13">
        <f t="shared" si="8"/>
        <v>-2.821129746735096E-2</v>
      </c>
      <c r="CW8" s="13">
        <f t="shared" si="8"/>
        <v>-3.3567264676094062E-2</v>
      </c>
      <c r="CX8" s="13">
        <f t="shared" si="8"/>
        <v>-2.7859419584274289E-2</v>
      </c>
      <c r="CY8" s="13">
        <f t="shared" si="8"/>
        <v>2.5537870824337009E-2</v>
      </c>
      <c r="CZ8" s="13">
        <f t="shared" si="8"/>
        <v>-2.6201611384749409E-2</v>
      </c>
      <c r="DA8" s="13">
        <f t="shared" si="8"/>
        <v>-2.9583510011434559E-2</v>
      </c>
      <c r="DB8" s="13">
        <f t="shared" si="8"/>
        <v>-3.3195734024047852E-2</v>
      </c>
      <c r="DC8" s="13">
        <f t="shared" si="8"/>
        <v>-3.1532101333141327E-2</v>
      </c>
      <c r="DD8" s="13">
        <f t="shared" si="8"/>
        <v>3.3772524446249008E-2</v>
      </c>
      <c r="DE8" s="13">
        <f t="shared" si="8"/>
        <v>-2.8857935220003132E-2</v>
      </c>
      <c r="DF8" s="13">
        <f t="shared" si="8"/>
        <v>-2.8399249538779259E-2</v>
      </c>
      <c r="DG8" s="13">
        <f t="shared" si="8"/>
        <v>-2.6426361873745918E-2</v>
      </c>
      <c r="DH8" s="13">
        <f t="shared" si="8"/>
        <v>-3.0645843595266339E-2</v>
      </c>
      <c r="DI8" s="13">
        <f t="shared" si="8"/>
        <v>-2.9881417751312259E-2</v>
      </c>
      <c r="DJ8" s="13">
        <f t="shared" si="8"/>
        <v>-2.9596960172057148E-2</v>
      </c>
      <c r="DK8" s="13">
        <f t="shared" si="8"/>
        <v>-2.841122634708881E-2</v>
      </c>
      <c r="DL8" s="13">
        <f t="shared" si="8"/>
        <v>-3.0489476397633549E-2</v>
      </c>
      <c r="DM8" s="13">
        <f t="shared" si="8"/>
        <v>-2.7597028762102131E-2</v>
      </c>
      <c r="DN8" s="13">
        <f t="shared" si="8"/>
        <v>-2.8250575065612789E-2</v>
      </c>
      <c r="DO8" s="13">
        <f t="shared" si="8"/>
        <v>-2.7726072818040851E-2</v>
      </c>
      <c r="DP8" s="13">
        <f t="shared" si="8"/>
        <v>-2.715402282774448E-2</v>
      </c>
      <c r="DQ8" s="13">
        <f t="shared" si="8"/>
        <v>-2.6989534497261051E-2</v>
      </c>
      <c r="DR8" s="13">
        <f t="shared" si="8"/>
        <v>3.2421927899122238E-2</v>
      </c>
      <c r="DS8" s="13">
        <f t="shared" si="8"/>
        <v>2.6365883648395538E-2</v>
      </c>
      <c r="DT8" s="13">
        <f t="shared" si="8"/>
        <v>-0.14326423406600949</v>
      </c>
      <c r="DU8" s="13">
        <f t="shared" si="8"/>
        <v>-4.3057508766651147E-2</v>
      </c>
      <c r="DV8" s="13">
        <f t="shared" si="8"/>
        <v>-3.2543007284402847E-2</v>
      </c>
      <c r="DW8" s="13">
        <f t="shared" si="8"/>
        <v>-2.724632807075977E-2</v>
      </c>
      <c r="DX8" s="13">
        <f t="shared" si="8"/>
        <v>-2.7451477944850922E-2</v>
      </c>
      <c r="DY8" s="13">
        <f t="shared" si="8"/>
        <v>-2.8264472261071209E-2</v>
      </c>
      <c r="DZ8" s="13">
        <f t="shared" si="8"/>
        <v>-2.418005466461182E-2</v>
      </c>
      <c r="EA8" s="13">
        <f t="shared" ref="EA8:EF8" si="9">IF(EA6=1,EA3,IF(EA6=2,EA4,IF(EA6=3,EA5)))</f>
        <v>-2.6992777362465858E-2</v>
      </c>
      <c r="EB8" s="13">
        <f t="shared" si="9"/>
        <v>-2.6342380791902539E-2</v>
      </c>
      <c r="EC8" s="13">
        <f t="shared" si="9"/>
        <v>3.6291155964136117E-2</v>
      </c>
      <c r="ED8" s="13">
        <f t="shared" si="9"/>
        <v>2.4168495088815689E-2</v>
      </c>
      <c r="EE8" s="13">
        <f t="shared" si="9"/>
        <v>-3.5310320556163788E-2</v>
      </c>
      <c r="EF8" s="13">
        <f t="shared" si="9"/>
        <v>-2.9033292084932331E-2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5">
        <v>45689</v>
      </c>
    </row>
    <row r="12" spans="1:136">
      <c r="A12" s="2">
        <v>10</v>
      </c>
      <c r="B12" s="2">
        <v>96</v>
      </c>
      <c r="C12" s="18">
        <v>8.4653999999999993E-2</v>
      </c>
      <c r="D12" s="17">
        <f>C12+預測IC!D12</f>
        <v>0.10547579527187829</v>
      </c>
      <c r="E12" s="17">
        <f>D12+預測IC!E12</f>
        <v>9.8721766913520373E-2</v>
      </c>
      <c r="F12" s="17">
        <f>E12+預測IC!F12</f>
        <v>7.8852941965614029E-2</v>
      </c>
      <c r="G12" s="17">
        <f>F12+預測IC!G12</f>
        <v>8.6757288711542396E-2</v>
      </c>
      <c r="H12" s="17">
        <f>G12+預測IC!H12</f>
        <v>9.6116672473298054E-2</v>
      </c>
      <c r="I12" s="17">
        <f>H12+預測IC!I12</f>
        <v>0.13242060932235006</v>
      </c>
      <c r="J12" s="17">
        <f>I12+預測IC!J12</f>
        <v>0.17620518806722157</v>
      </c>
      <c r="K12" s="17">
        <f>J12+預測IC!K12</f>
        <v>0.16521678421439948</v>
      </c>
      <c r="L12" s="17">
        <f>K12+預測IC!L12</f>
        <v>0.16293955343343622</v>
      </c>
      <c r="M12" s="17">
        <f>L12+預測IC!M12</f>
        <v>0.14738774923327508</v>
      </c>
      <c r="N12" s="17">
        <f>M12+預測IC!N12</f>
        <v>0.19946185690863419</v>
      </c>
      <c r="O12" s="17">
        <f>N12+預測IC!O12</f>
        <v>0.21809174555461316</v>
      </c>
      <c r="P12" s="17">
        <f>O12+預測IC!P12</f>
        <v>0.19667132435015081</v>
      </c>
      <c r="Q12" s="17">
        <f>P12+預測IC!Q12</f>
        <v>0.16287854022924309</v>
      </c>
      <c r="R12" s="17">
        <f>Q12+預測IC!R12</f>
        <v>0.17627604646917883</v>
      </c>
      <c r="S12" s="17">
        <f>R12+預測IC!S12</f>
        <v>0.10522214937457178</v>
      </c>
      <c r="T12" s="17">
        <f>S12+預測IC!T12</f>
        <v>6.1978660555058608E-2</v>
      </c>
      <c r="U12" s="17">
        <f>T12+預測IC!U12</f>
        <v>4.1611440001927617E-2</v>
      </c>
      <c r="V12" s="17">
        <f>U12+預測IC!V12</f>
        <v>8.6641430804776334E-2</v>
      </c>
      <c r="W12" s="17">
        <f>V12+預測IC!W12</f>
        <v>0.10891987277808808</v>
      </c>
      <c r="X12" s="17">
        <f>W12+預測IC!X12</f>
        <v>0.15743914755840255</v>
      </c>
      <c r="Y12" s="17">
        <f>X12+預測IC!Y12</f>
        <v>0.14065077030658646</v>
      </c>
      <c r="Z12" s="17">
        <f>Y12+預測IC!Z12</f>
        <v>0.20427445362216043</v>
      </c>
      <c r="AA12" s="17">
        <f>Z12+預測IC!AA12</f>
        <v>0.16487079222104864</v>
      </c>
      <c r="AB12" s="17">
        <f>AA12+預測IC!AB12</f>
        <v>0.1995599027725268</v>
      </c>
      <c r="AC12" s="17">
        <f>AB12+預測IC!AC12</f>
        <v>0.23467466683617322</v>
      </c>
      <c r="AD12" s="17">
        <f>AC12+預測IC!AD12</f>
        <v>0.24052177683541043</v>
      </c>
      <c r="AE12" s="17">
        <f>AD12+預測IC!AE12</f>
        <v>0.20262415330317984</v>
      </c>
      <c r="AF12" s="17">
        <f>AE12+預測IC!AF12</f>
        <v>0.22305630460704479</v>
      </c>
      <c r="AG12" s="17">
        <f>AF12+預測IC!AG12</f>
        <v>0.25303844953976917</v>
      </c>
      <c r="AH12" s="17">
        <f>AG12+預測IC!AH12</f>
        <v>0.27413886620643585</v>
      </c>
      <c r="AI12" s="17">
        <f>AH12+預測IC!AI12</f>
        <v>0.29738582453976919</v>
      </c>
      <c r="AJ12" s="17">
        <f>AI12+預測IC!AJ12</f>
        <v>0.31844819953976922</v>
      </c>
      <c r="AK12" s="17">
        <f>AJ12+預測IC!AK12</f>
        <v>0.36657190369190362</v>
      </c>
      <c r="AL12" s="17">
        <f>AK12+預測IC!AL12</f>
        <v>0.38443090671382568</v>
      </c>
      <c r="AM12" s="17">
        <f>AL12+預測IC!AM12</f>
        <v>0.41451702232642362</v>
      </c>
      <c r="AN12" s="17">
        <f>AM12+預測IC!AN12</f>
        <v>0.48375025663985216</v>
      </c>
      <c r="AO12" s="17">
        <f>AN12+預測IC!AO12</f>
        <v>0.48597904967952521</v>
      </c>
      <c r="AP12" s="17">
        <f>AO12+預測IC!AP12</f>
        <v>0.45226070489767606</v>
      </c>
      <c r="AQ12" s="17">
        <f>AP12+預測IC!AQ12</f>
        <v>0.44463876850909223</v>
      </c>
      <c r="AR12" s="17">
        <f>AQ12+預測IC!AR12</f>
        <v>0.45816502795905861</v>
      </c>
      <c r="AS12" s="17">
        <f>AR12+預測IC!AS12</f>
        <v>0.45232166337572527</v>
      </c>
      <c r="AT12" s="17">
        <f>AS12+預測IC!AT12</f>
        <v>0.46615656808339645</v>
      </c>
      <c r="AU12" s="17">
        <f>AT12+預測IC!AU12</f>
        <v>0.48686522676427191</v>
      </c>
      <c r="AV12" s="17">
        <f>AU12+預測IC!AV12</f>
        <v>0.4455051420192469</v>
      </c>
      <c r="AW12" s="17">
        <f>AV12+預測IC!AW12</f>
        <v>0.44612661903726297</v>
      </c>
      <c r="AX12" s="17">
        <f>AW12+預測IC!AX12</f>
        <v>0.48972508629068578</v>
      </c>
      <c r="AY12" s="17">
        <f>AX12+預測IC!AY12</f>
        <v>0.51468037935835909</v>
      </c>
      <c r="AZ12" s="17">
        <f>AY12+預測IC!AZ12</f>
        <v>0.5123803532867014</v>
      </c>
      <c r="BA12" s="17">
        <f>AZ12+預測IC!BA12</f>
        <v>0.51731824146994321</v>
      </c>
      <c r="BB12" s="17">
        <f>BA12+預測IC!BB12</f>
        <v>0.53259284672240259</v>
      </c>
      <c r="BC12" s="17">
        <f>BB12+預測IC!BC12</f>
        <v>0.5448656357608791</v>
      </c>
      <c r="BD12" s="17">
        <f>BC12+預測IC!BD12</f>
        <v>0.5584961927025317</v>
      </c>
      <c r="BE12" s="17">
        <f>BD12+預測IC!BE12</f>
        <v>0.57710500254191699</v>
      </c>
      <c r="BF12" s="17">
        <f>BE12+預測IC!BF12</f>
        <v>0.64489735502511714</v>
      </c>
      <c r="BG12" s="17">
        <f>BF12+預測IC!BG12</f>
        <v>0.67856821746637996</v>
      </c>
      <c r="BH12" s="17">
        <f>BG12+預測IC!BH12</f>
        <v>0.69279157747770193</v>
      </c>
      <c r="BI12" s="17">
        <f>BH12+預測IC!BI12</f>
        <v>0.74281283050869273</v>
      </c>
      <c r="BJ12" s="17">
        <f>BI12+預測IC!BJ12</f>
        <v>0.74201683718877487</v>
      </c>
      <c r="BK12" s="17">
        <f>BJ12+預測IC!BK12</f>
        <v>0.72073217222864094</v>
      </c>
      <c r="BL12" s="17">
        <f>BK12+預測IC!BL12</f>
        <v>0.74544141805878961</v>
      </c>
      <c r="BM12" s="17">
        <f>BL12+預測IC!BM12</f>
        <v>0.74027232610255977</v>
      </c>
      <c r="BN12" s="17">
        <f>BM12+預測IC!BN12</f>
        <v>0.75977457610255983</v>
      </c>
      <c r="BO12" s="17">
        <f>BN12+預測IC!BO12</f>
        <v>0.78402088635879674</v>
      </c>
      <c r="BP12" s="17">
        <f>BO12+預測IC!BP12</f>
        <v>0.77351190105350265</v>
      </c>
      <c r="BQ12" s="17">
        <f>BP12+預測IC!BQ12</f>
        <v>0.7874086506722493</v>
      </c>
      <c r="BR12" s="17">
        <f>BQ12+預測IC!BR12</f>
        <v>0.78514764221885047</v>
      </c>
      <c r="BS12" s="17">
        <f>BR12+預測IC!BS12</f>
        <v>0.80401093560324643</v>
      </c>
      <c r="BT12" s="17">
        <f>BS12+預測IC!BT12</f>
        <v>0.82604240428069065</v>
      </c>
      <c r="BU12" s="17">
        <f>BT12+預測IC!BU12</f>
        <v>0.81726088714059419</v>
      </c>
      <c r="BV12" s="17">
        <f>BU12+預測IC!BV12</f>
        <v>0.84032334287378518</v>
      </c>
      <c r="BW12" s="17">
        <f>BV12+預測IC!BW12</f>
        <v>0.81083957415425567</v>
      </c>
      <c r="BX12" s="17">
        <f>BW12+預測IC!BX12</f>
        <v>0.82231673615820577</v>
      </c>
      <c r="BY12" s="17">
        <f>BX12+預測IC!BY12</f>
        <v>0.7889459358266343</v>
      </c>
      <c r="BZ12" s="17">
        <f>BY12+預測IC!BZ12</f>
        <v>0.83430288151790732</v>
      </c>
      <c r="CA12" s="17">
        <f>BZ12+預測IC!CA12</f>
        <v>0.79990259407756481</v>
      </c>
      <c r="CB12" s="17">
        <f>CA12+預測IC!CB12</f>
        <v>0.8018458362093277</v>
      </c>
      <c r="CC12" s="17">
        <f>CB12+預測IC!CC12</f>
        <v>0.7850748718152174</v>
      </c>
      <c r="CD12" s="17">
        <f>CC12+預測IC!CD12</f>
        <v>0.89600850539966992</v>
      </c>
      <c r="CE12" s="17">
        <f>CD12+預測IC!CE12</f>
        <v>1.0500156616496701</v>
      </c>
      <c r="CF12" s="17">
        <f>CE12+預測IC!CF12</f>
        <v>1.0540937033163367</v>
      </c>
      <c r="CG12" s="17">
        <f>CF12+預測IC!CG12</f>
        <v>1.0959509373663998</v>
      </c>
      <c r="CH12" s="17">
        <f>CG12+預測IC!CH12</f>
        <v>1.1592483097443598</v>
      </c>
      <c r="CI12" s="17">
        <f>CH12+預測IC!CI12</f>
        <v>1.1245923973321541</v>
      </c>
      <c r="CJ12" s="17">
        <f>CI12+預測IC!CJ12</f>
        <v>1.1400375778108429</v>
      </c>
      <c r="CK12" s="17">
        <f>CJ12+預測IC!CK12</f>
        <v>1.1528407219656778</v>
      </c>
      <c r="CL12" s="17">
        <f>CK12+預測IC!CL12</f>
        <v>1.2708563296352882</v>
      </c>
      <c r="CM12" s="17">
        <f>CL12+預測IC!CM12</f>
        <v>1.1991477671352881</v>
      </c>
      <c r="CN12" s="17">
        <f>CM12+預測IC!CN12</f>
        <v>1.1720640659207289</v>
      </c>
      <c r="CO12" s="17">
        <f>CN12+預測IC!CO12</f>
        <v>1.2433559200873956</v>
      </c>
      <c r="CP12" s="17">
        <f>CO12+預測IC!CP12</f>
        <v>1.2305601075873955</v>
      </c>
      <c r="CQ12" s="17">
        <f>CP12+預測IC!CQ12</f>
        <v>1.2671323024973291</v>
      </c>
      <c r="CR12" s="17">
        <f>CQ12+預測IC!CR12</f>
        <v>1.2692501809279815</v>
      </c>
      <c r="CS12" s="17">
        <f>CR12+預測IC!CS12</f>
        <v>1.2547408684279815</v>
      </c>
      <c r="CT12" s="17">
        <f>CS12+預測IC!CT12</f>
        <v>1.2868548267613149</v>
      </c>
      <c r="CU12" s="17">
        <f>CT12+預測IC!CU12</f>
        <v>1.3008222017613149</v>
      </c>
      <c r="CV12" s="17">
        <f>CU12+預測IC!CV12</f>
        <v>1.3052256288446482</v>
      </c>
      <c r="CW12" s="17">
        <f>CV12+預測IC!CW12</f>
        <v>1.3349829830113149</v>
      </c>
      <c r="CX12" s="17">
        <f>CW12+預測IC!CX12</f>
        <v>1.3815300975946483</v>
      </c>
      <c r="CY12" s="17">
        <f>CX12+預測IC!CY12</f>
        <v>1.3755471553831577</v>
      </c>
      <c r="CZ12" s="17">
        <f>CY12+預測IC!CZ12</f>
        <v>1.4641096241331577</v>
      </c>
      <c r="DA12" s="17">
        <f>CZ12+預測IC!DA12</f>
        <v>1.501088144966491</v>
      </c>
      <c r="DB12" s="17">
        <f>DA12+預測IC!DB12</f>
        <v>1.5900699991331577</v>
      </c>
      <c r="DC12" s="17">
        <f>DB12+預測IC!DC12</f>
        <v>1.601543051216491</v>
      </c>
      <c r="DD12" s="17">
        <f>DC12+預測IC!DD12</f>
        <v>1.6264320292737315</v>
      </c>
      <c r="DE12" s="17">
        <f>DD12+預測IC!DE12</f>
        <v>1.5891965501070648</v>
      </c>
      <c r="DF12" s="17">
        <f>DE12+預測IC!DF12</f>
        <v>1.6446826542737314</v>
      </c>
      <c r="DG12" s="17">
        <f>DF12+預測IC!DG12</f>
        <v>1.5982726751070646</v>
      </c>
      <c r="DH12" s="17">
        <f>DG12+預測IC!DH12</f>
        <v>1.6594681021903979</v>
      </c>
      <c r="DI12" s="17">
        <f>DH12+預測IC!DI12</f>
        <v>1.7192171126070646</v>
      </c>
      <c r="DJ12" s="17">
        <f>DI12+預測IC!DJ12</f>
        <v>1.7343357896903979</v>
      </c>
      <c r="DK12" s="17">
        <f>DJ12+預測IC!DK12</f>
        <v>1.7024075813570645</v>
      </c>
      <c r="DL12" s="17">
        <f>DK12+預測IC!DL12</f>
        <v>1.7054972271903979</v>
      </c>
      <c r="DM12" s="17">
        <f>DL12+預測IC!DM12</f>
        <v>1.6862596126070646</v>
      </c>
      <c r="DN12" s="17">
        <f>DM12+預測IC!DN12</f>
        <v>1.708176664690398</v>
      </c>
      <c r="DO12" s="17">
        <f>DN12+預測IC!DO12</f>
        <v>1.7387339251070646</v>
      </c>
      <c r="DP12" s="17">
        <f>DO12+預測IC!DP12</f>
        <v>1.7846876855237312</v>
      </c>
      <c r="DQ12" s="17">
        <f>DP12+預測IC!DQ12</f>
        <v>1.7508256334403978</v>
      </c>
      <c r="DR12" s="17">
        <f>DQ12+預測IC!DR12</f>
        <v>1.7696045767197848</v>
      </c>
      <c r="DS12" s="17">
        <f>DR12+預測IC!DS12</f>
        <v>1.7338784212680869</v>
      </c>
      <c r="DT12" s="17">
        <f>DS12+預測IC!DT12</f>
        <v>1.7589962858514203</v>
      </c>
      <c r="DU12" s="17">
        <f>DT12+預測IC!DU12</f>
        <v>1.7017660566847537</v>
      </c>
      <c r="DV12" s="17">
        <f>DU12+預測IC!DV12</f>
        <v>1.7313069316847536</v>
      </c>
      <c r="DW12" s="17">
        <f>DV12+預測IC!DW12</f>
        <v>1.7762744837680868</v>
      </c>
      <c r="DX12" s="17">
        <f>DW12+預測IC!DX12</f>
        <v>1.7973030254347535</v>
      </c>
      <c r="DY12" s="17">
        <f>DX12+預測IC!DY12</f>
        <v>1.8504483379347536</v>
      </c>
      <c r="DZ12" s="17">
        <f>DY12+預測IC!DZ12</f>
        <v>1.8566751816847535</v>
      </c>
      <c r="EA12" s="17">
        <f>DZ12+預測IC!EA12</f>
        <v>1.9077728796014202</v>
      </c>
      <c r="EB12" s="17">
        <f>EA12+預測IC!EB12</f>
        <v>1.9135590462680869</v>
      </c>
      <c r="EC12" s="17">
        <f>EB12+預測IC!EC12</f>
        <v>1.9402105558477523</v>
      </c>
      <c r="ED12" s="17">
        <f>EC12+預測IC!ED12</f>
        <v>1.8797024030392682</v>
      </c>
      <c r="EE12" s="17">
        <f>ED12+預測IC!EE12</f>
        <v>1.8531957155392682</v>
      </c>
      <c r="EF12" s="17">
        <f>EE12+預測IC!EF12</f>
        <v>1.8824291113726015</v>
      </c>
    </row>
    <row r="13" spans="1:136">
      <c r="A13" s="2">
        <v>20</v>
      </c>
      <c r="B13" s="2">
        <v>48</v>
      </c>
      <c r="C13" s="19">
        <v>0.104113</v>
      </c>
      <c r="D13" s="17">
        <f>C13+預測IC!D13</f>
        <v>0.13399061060455877</v>
      </c>
      <c r="E13" s="17">
        <f>D13+預測IC!E13</f>
        <v>9.9493991113205726E-2</v>
      </c>
      <c r="F13" s="17">
        <f>E13+預測IC!F13</f>
        <v>6.4571835230551225E-2</v>
      </c>
      <c r="G13" s="17">
        <f>F13+預測IC!G13</f>
        <v>4.9663855473247837E-2</v>
      </c>
      <c r="H13" s="17">
        <f>G13+預測IC!H13</f>
        <v>6.5594240042592955E-2</v>
      </c>
      <c r="I13" s="17">
        <f>H13+預測IC!I13</f>
        <v>9.8277103027315293E-2</v>
      </c>
      <c r="J13" s="17">
        <f>I13+預測IC!J13</f>
        <v>0.13282699499695999</v>
      </c>
      <c r="K13" s="17">
        <f>J13+預測IC!K13</f>
        <v>8.749600475474098E-2</v>
      </c>
      <c r="L13" s="17">
        <f>K13+預測IC!L13</f>
        <v>5.8360335717295514E-2</v>
      </c>
      <c r="M13" s="17">
        <f>L13+預測IC!M13</f>
        <v>6.6068991979787717E-2</v>
      </c>
      <c r="N13" s="17">
        <f>M13+預測IC!N13</f>
        <v>0.10922094420355458</v>
      </c>
      <c r="O13" s="17">
        <f>N13+預測IC!O13</f>
        <v>0.14549421992347705</v>
      </c>
      <c r="P13" s="17">
        <f>O13+預測IC!P13</f>
        <v>0.1246373068620715</v>
      </c>
      <c r="Q13" s="17">
        <f>P13+預測IC!Q13</f>
        <v>8.0419042634101448E-2</v>
      </c>
      <c r="R13" s="17">
        <f>Q13+預測IC!R13</f>
        <v>8.6908952810175841E-2</v>
      </c>
      <c r="S13" s="17">
        <f>R13+預測IC!S13</f>
        <v>-3.6006345193374756E-2</v>
      </c>
      <c r="T13" s="17">
        <f>S13+預測IC!T13</f>
        <v>-8.8906148102068094E-2</v>
      </c>
      <c r="U13" s="17">
        <f>T13+預測IC!U13</f>
        <v>-0.14306722314376227</v>
      </c>
      <c r="V13" s="17">
        <f>U13+預測IC!V13</f>
        <v>-9.0287484243528615E-2</v>
      </c>
      <c r="W13" s="17">
        <f>V13+預測IC!W13</f>
        <v>-5.9184396359158724E-2</v>
      </c>
      <c r="X13" s="17">
        <f>W13+預測IC!X13</f>
        <v>1.0566572409897841E-2</v>
      </c>
      <c r="Y13" s="17">
        <f>X13+預測IC!Y13</f>
        <v>-1.5905310807444679E-2</v>
      </c>
      <c r="Z13" s="17">
        <f>Y13+預測IC!Z13</f>
        <v>6.2519123997738874E-2</v>
      </c>
      <c r="AA13" s="17">
        <f>Z13+預測IC!AA13</f>
        <v>3.0399613659267591E-2</v>
      </c>
      <c r="AB13" s="17">
        <f>AA13+預測IC!AB13</f>
        <v>7.7077833780644867E-2</v>
      </c>
      <c r="AC13" s="17">
        <f>AB13+預測IC!AC13</f>
        <v>9.8949389942022403E-2</v>
      </c>
      <c r="AD13" s="17">
        <f>AC13+預測IC!AD13</f>
        <v>0.10552843514456318</v>
      </c>
      <c r="AE13" s="17">
        <f>AD13+預測IC!AE13</f>
        <v>6.3011223688772017E-2</v>
      </c>
      <c r="AF13" s="17">
        <f>AE13+預測IC!AF13</f>
        <v>9.4951687523073244E-2</v>
      </c>
      <c r="AG13" s="17">
        <f>AF13+預測IC!AG13</f>
        <v>0.12663347057807614</v>
      </c>
      <c r="AH13" s="17">
        <f>AG13+預測IC!AH13</f>
        <v>0.15850817891140945</v>
      </c>
      <c r="AI13" s="17">
        <f>AH13+預測IC!AI13</f>
        <v>0.1784182205780761</v>
      </c>
      <c r="AJ13" s="17">
        <f>AI13+預測IC!AJ13</f>
        <v>0.19830413724474277</v>
      </c>
      <c r="AK13" s="17">
        <f>AJ13+預測IC!AK13</f>
        <v>0.2642920500553988</v>
      </c>
      <c r="AL13" s="17">
        <f>AK13+預測IC!AL13</f>
        <v>0.28744347865056985</v>
      </c>
      <c r="AM13" s="17">
        <f>AL13+預測IC!AM13</f>
        <v>0.33372592218739877</v>
      </c>
      <c r="AN13" s="17">
        <f>AM13+預測IC!AN13</f>
        <v>0.43905616032343286</v>
      </c>
      <c r="AO13" s="17">
        <f>AN13+預測IC!AO13</f>
        <v>0.44836734822284779</v>
      </c>
      <c r="AP13" s="17">
        <f>AO13+預測IC!AP13</f>
        <v>0.38881650786085009</v>
      </c>
      <c r="AQ13" s="17">
        <f>AP13+預測IC!AQ13</f>
        <v>0.38276721909195038</v>
      </c>
      <c r="AR13" s="17">
        <f>AQ13+預測IC!AR13</f>
        <v>0.39345640462788606</v>
      </c>
      <c r="AS13" s="17">
        <f>AR13+預測IC!AS13</f>
        <v>0.3915199879612194</v>
      </c>
      <c r="AT13" s="17">
        <f>AS13+預測IC!AT13</f>
        <v>0.43198307581565915</v>
      </c>
      <c r="AU13" s="17">
        <f>AT13+預測IC!AU13</f>
        <v>0.47295920229163801</v>
      </c>
      <c r="AV13" s="17">
        <f>AU13+預測IC!AV13</f>
        <v>0.46348372965208495</v>
      </c>
      <c r="AW13" s="17">
        <f>AV13+預測IC!AW13</f>
        <v>0.46756374323514838</v>
      </c>
      <c r="AX13" s="17">
        <f>AW13+預測IC!AX13</f>
        <v>0.5347175310182587</v>
      </c>
      <c r="AY13" s="17">
        <f>AX13+預測IC!AY13</f>
        <v>0.55228187736688361</v>
      </c>
      <c r="AZ13" s="17">
        <f>AY13+預測IC!AZ13</f>
        <v>0.5441784098973842</v>
      </c>
      <c r="BA13" s="17">
        <f>AZ13+預測IC!BA13</f>
        <v>0.55071934750444518</v>
      </c>
      <c r="BB13" s="17">
        <f>BA13+預測IC!BB13</f>
        <v>0.59359472200125607</v>
      </c>
      <c r="BC13" s="17">
        <f>BB13+預測IC!BC13</f>
        <v>0.60487848911291375</v>
      </c>
      <c r="BD13" s="17">
        <f>BC13+預測IC!BD13</f>
        <v>0.60822291749659507</v>
      </c>
      <c r="BE13" s="17">
        <f>BD13+預測IC!BE13</f>
        <v>0.6356147238022366</v>
      </c>
      <c r="BF13" s="17">
        <f>BE13+預測IC!BF13</f>
        <v>0.71954413910973336</v>
      </c>
      <c r="BG13" s="17">
        <f>BF13+預測IC!BG13</f>
        <v>0.76611060144844501</v>
      </c>
      <c r="BH13" s="17">
        <f>BG13+預測IC!BH13</f>
        <v>0.77458633126006404</v>
      </c>
      <c r="BI13" s="17">
        <f>BH13+預測IC!BI13</f>
        <v>0.82699546371676547</v>
      </c>
      <c r="BJ13" s="17">
        <f>BI13+預測IC!BJ13</f>
        <v>0.81014837772650061</v>
      </c>
      <c r="BK13" s="17">
        <f>BJ13+預測IC!BK13</f>
        <v>0.79175735284675119</v>
      </c>
      <c r="BL13" s="17">
        <f>BK13+預測IC!BL13</f>
        <v>0.82370521305992628</v>
      </c>
      <c r="BM13" s="17">
        <f>BL13+預測IC!BM13</f>
        <v>0.84062382867880792</v>
      </c>
      <c r="BN13" s="17">
        <f>BM13+預測IC!BN13</f>
        <v>0.83576599534547458</v>
      </c>
      <c r="BO13" s="17">
        <f>BN13+預測IC!BO13</f>
        <v>0.86664471157894873</v>
      </c>
      <c r="BP13" s="17">
        <f>BO13+預測IC!BP13</f>
        <v>0.87607740727360028</v>
      </c>
      <c r="BQ13" s="17">
        <f>BP13+預測IC!BQ13</f>
        <v>0.91773047106302608</v>
      </c>
      <c r="BR13" s="17">
        <f>BQ13+預測IC!BR13</f>
        <v>0.91104905357946864</v>
      </c>
      <c r="BS13" s="17">
        <f>BR13+預測IC!BS13</f>
        <v>0.91846852541968826</v>
      </c>
      <c r="BT13" s="17">
        <f>BS13+預測IC!BT13</f>
        <v>0.95681203103616108</v>
      </c>
      <c r="BU13" s="17">
        <f>BT13+預測IC!BU13</f>
        <v>0.93910547599960736</v>
      </c>
      <c r="BV13" s="17">
        <f>BU13+預測IC!BV13</f>
        <v>0.95975907287581597</v>
      </c>
      <c r="BW13" s="17">
        <f>BV13+預測IC!BW13</f>
        <v>0.96152231068649296</v>
      </c>
      <c r="BX13" s="17">
        <f>BW13+預測IC!BX13</f>
        <v>0.9826003782105196</v>
      </c>
      <c r="BY13" s="17">
        <f>BX13+預測IC!BY13</f>
        <v>0.96808798054002909</v>
      </c>
      <c r="BZ13" s="17">
        <f>BY13+預測IC!BZ13</f>
        <v>1.0442261035990792</v>
      </c>
      <c r="CA13" s="17">
        <f>BZ13+預測IC!CA13</f>
        <v>1.0106945379986823</v>
      </c>
      <c r="CB13" s="17">
        <f>CA13+預測IC!CB13</f>
        <v>1.0040987112734621</v>
      </c>
      <c r="CC13" s="17">
        <f>CB13+預測IC!CC13</f>
        <v>0.9915677990608287</v>
      </c>
      <c r="CD13" s="17">
        <f>CC13+預測IC!CD13</f>
        <v>1.0966536319531561</v>
      </c>
      <c r="CE13" s="17">
        <f>CD13+預測IC!CE13</f>
        <v>1.2804813611198229</v>
      </c>
      <c r="CF13" s="17">
        <f>CE13+預測IC!CF13</f>
        <v>1.2987105069531562</v>
      </c>
      <c r="CG13" s="17">
        <f>CF13+預測IC!CG13</f>
        <v>1.3391595699221113</v>
      </c>
      <c r="CH13" s="17">
        <f>CG13+預測IC!CH13</f>
        <v>1.3974941817493185</v>
      </c>
      <c r="CI13" s="17">
        <f>CH13+預測IC!CI13</f>
        <v>1.3456406726150552</v>
      </c>
      <c r="CJ13" s="17">
        <f>CI13+預測IC!CJ13</f>
        <v>1.342534584643104</v>
      </c>
      <c r="CK13" s="17">
        <f>CJ13+預測IC!CK13</f>
        <v>1.3745798538795679</v>
      </c>
      <c r="CL13" s="17">
        <f>CK13+預測IC!CL13</f>
        <v>1.4560332199817487</v>
      </c>
      <c r="CM13" s="17">
        <f>CL13+預測IC!CM13</f>
        <v>1.3545808866484155</v>
      </c>
      <c r="CN13" s="17">
        <f>CM13+預測IC!CN13</f>
        <v>1.3276933206495631</v>
      </c>
      <c r="CO13" s="17">
        <f>CN13+預測IC!CO13</f>
        <v>1.4132594664828964</v>
      </c>
      <c r="CP13" s="17">
        <f>CO13+預測IC!CP13</f>
        <v>1.378882008149563</v>
      </c>
      <c r="CQ13" s="17">
        <f>CP13+預測IC!CQ13</f>
        <v>1.4170669583457227</v>
      </c>
      <c r="CR13" s="17">
        <f>CQ13+預測IC!CR13</f>
        <v>1.4253467393433712</v>
      </c>
      <c r="CS13" s="17">
        <f>CR13+預測IC!CS13</f>
        <v>1.4292946976767045</v>
      </c>
      <c r="CT13" s="17">
        <f>CS13+預測IC!CT13</f>
        <v>1.4727568643433713</v>
      </c>
      <c r="CU13" s="17">
        <f>CT13+預測IC!CU13</f>
        <v>1.4837880726767045</v>
      </c>
      <c r="CV13" s="17">
        <f>CU13+預測IC!CV13</f>
        <v>1.5081072601767045</v>
      </c>
      <c r="CW13" s="17">
        <f>CV13+預測IC!CW13</f>
        <v>1.5185637810100379</v>
      </c>
      <c r="CX13" s="17">
        <f>CW13+預測IC!CX13</f>
        <v>1.5235504685100378</v>
      </c>
      <c r="CY13" s="17">
        <f>CX13+預測IC!CY13</f>
        <v>1.5104317283950253</v>
      </c>
      <c r="CZ13" s="17">
        <f>CY13+預測IC!CZ13</f>
        <v>1.6007223533950252</v>
      </c>
      <c r="DA13" s="17">
        <f>CZ13+預測IC!DA13</f>
        <v>1.6501681242283586</v>
      </c>
      <c r="DB13" s="17">
        <f>DA13+預測IC!DB13</f>
        <v>1.7564033742283587</v>
      </c>
      <c r="DC13" s="17">
        <f>DB13+預測IC!DC13</f>
        <v>1.7799444992283586</v>
      </c>
      <c r="DD13" s="17">
        <f>DC13+預測IC!DD13</f>
        <v>1.7906420998290944</v>
      </c>
      <c r="DE13" s="17">
        <f>DD13+預測IC!DE13</f>
        <v>1.748078203995761</v>
      </c>
      <c r="DF13" s="17">
        <f>DE13+預測IC!DF13</f>
        <v>1.8312008914957609</v>
      </c>
      <c r="DG13" s="17">
        <f>DF13+預測IC!DG13</f>
        <v>1.7834715789957609</v>
      </c>
      <c r="DH13" s="17">
        <f>DG13+預測IC!DH13</f>
        <v>1.8721922873290942</v>
      </c>
      <c r="DI13" s="17">
        <f>DH13+預測IC!DI13</f>
        <v>1.9619404123290942</v>
      </c>
      <c r="DJ13" s="17">
        <f>DI13+預測IC!DJ13</f>
        <v>1.9679242664957608</v>
      </c>
      <c r="DK13" s="17">
        <f>DJ13+預測IC!DK13</f>
        <v>1.9485378706624275</v>
      </c>
      <c r="DL13" s="17">
        <f>DK13+預測IC!DL13</f>
        <v>1.9756608081624274</v>
      </c>
      <c r="DM13" s="17">
        <f>DL13+預測IC!DM13</f>
        <v>1.9761927664957608</v>
      </c>
      <c r="DN13" s="17">
        <f>DM13+預測IC!DN13</f>
        <v>1.9931281414957609</v>
      </c>
      <c r="DO13" s="17">
        <f>DN13+預測IC!DO13</f>
        <v>2.0309919956624274</v>
      </c>
      <c r="DP13" s="17">
        <f>DO13+預測IC!DP13</f>
        <v>2.0759891414957607</v>
      </c>
      <c r="DQ13" s="17">
        <f>DP13+預測IC!DQ13</f>
        <v>2.0420225998290942</v>
      </c>
      <c r="DR13" s="17">
        <f>DQ13+預測IC!DR13</f>
        <v>2.0557938091014063</v>
      </c>
      <c r="DS13" s="17">
        <f>DR13+預測IC!DS13</f>
        <v>2.0169061812617364</v>
      </c>
      <c r="DT13" s="17">
        <f>DS13+預測IC!DT13</f>
        <v>2.0677375354284031</v>
      </c>
      <c r="DU13" s="17">
        <f>DT13+預測IC!DU13</f>
        <v>2.0347315770950698</v>
      </c>
      <c r="DV13" s="17">
        <f>DU13+預測IC!DV13</f>
        <v>2.0779879104284031</v>
      </c>
      <c r="DW13" s="17">
        <f>DV13+預測IC!DW13</f>
        <v>2.1200163895950697</v>
      </c>
      <c r="DX13" s="17">
        <f>DW13+預測IC!DX13</f>
        <v>2.1598938270950696</v>
      </c>
      <c r="DY13" s="17">
        <f>DX13+預測IC!DY13</f>
        <v>2.216874972928403</v>
      </c>
      <c r="DZ13" s="17">
        <f>DY13+預測IC!DZ13</f>
        <v>2.2351769520950695</v>
      </c>
      <c r="EA13" s="17">
        <f>DZ13+預測IC!EA13</f>
        <v>2.2972953687617363</v>
      </c>
      <c r="EB13" s="17">
        <f>EA13+預測IC!EB13</f>
        <v>2.2974963895950697</v>
      </c>
      <c r="EC13" s="17">
        <f>EB13+預測IC!EC13</f>
        <v>2.3391561430302987</v>
      </c>
      <c r="ED13" s="17">
        <f>EC13+預測IC!ED13</f>
        <v>2.2734740493710639</v>
      </c>
      <c r="EE13" s="17">
        <f>ED13+預測IC!EE13</f>
        <v>2.2322396743710637</v>
      </c>
      <c r="EF13" s="17">
        <f>EE13+預測IC!EF13</f>
        <v>2.2767527160377306</v>
      </c>
    </row>
    <row r="14" spans="1:136">
      <c r="A14" s="2">
        <v>50</v>
      </c>
      <c r="B14" s="2">
        <v>19</v>
      </c>
      <c r="C14" s="19">
        <v>0.11994199999999999</v>
      </c>
      <c r="D14" s="17">
        <f>C14+預測IC!D14</f>
        <v>0.20328931154330138</v>
      </c>
      <c r="E14" s="17">
        <f>D14+預測IC!E14</f>
        <v>0.15576336827604537</v>
      </c>
      <c r="F14" s="17">
        <f>E14+預測IC!F14</f>
        <v>0.10730922547618552</v>
      </c>
      <c r="G14" s="17">
        <f>F14+預測IC!G14</f>
        <v>6.6289308978260075E-2</v>
      </c>
      <c r="H14" s="17">
        <f>G14+預測IC!H14</f>
        <v>7.3963633249938904E-2</v>
      </c>
      <c r="I14" s="17">
        <f>H14+預測IC!I14</f>
        <v>0.11775099307308121</v>
      </c>
      <c r="J14" s="17">
        <f>I14+預測IC!J14</f>
        <v>0.14106096503799209</v>
      </c>
      <c r="K14" s="17">
        <f>J14+預測IC!K14</f>
        <v>6.8822613239385988E-3</v>
      </c>
      <c r="L14" s="17">
        <f>K14+預測IC!L14</f>
        <v>1.1729458511645405E-2</v>
      </c>
      <c r="M14" s="17">
        <f>L14+預測IC!M14</f>
        <v>1.6723978578433156E-2</v>
      </c>
      <c r="N14" s="17">
        <f>M14+預測IC!N14</f>
        <v>9.9482963272532282E-2</v>
      </c>
      <c r="O14" s="17">
        <f>N14+預測IC!O14</f>
        <v>0.13695875028553878</v>
      </c>
      <c r="P14" s="17">
        <f>O14+預測IC!P14</f>
        <v>7.8612828387297551E-2</v>
      </c>
      <c r="Q14" s="17">
        <f>P14+預測IC!Q14</f>
        <v>-4.5491042784151142E-2</v>
      </c>
      <c r="R14" s="17">
        <f>Q14+預測IC!R14</f>
        <v>-6.1432230081252967E-2</v>
      </c>
      <c r="S14" s="17">
        <f>R14+預測IC!S14</f>
        <v>-0.22732545726596165</v>
      </c>
      <c r="T14" s="17">
        <f>S14+預測IC!T14</f>
        <v>-0.29716693678685752</v>
      </c>
      <c r="U14" s="17">
        <f>T14+預測IC!U14</f>
        <v>-0.40143360142250512</v>
      </c>
      <c r="V14" s="17">
        <f>U14+預測IC!V14</f>
        <v>-0.38134447423712675</v>
      </c>
      <c r="W14" s="17">
        <f>V14+預測IC!W14</f>
        <v>-0.30733631484887375</v>
      </c>
      <c r="X14" s="17">
        <f>W14+預測IC!X14</f>
        <v>-0.19407320653660426</v>
      </c>
      <c r="Y14" s="17">
        <f>X14+預測IC!Y14</f>
        <v>-0.19929308113213617</v>
      </c>
      <c r="Z14" s="17">
        <f>Y14+預測IC!Z14</f>
        <v>-0.16078115485182851</v>
      </c>
      <c r="AA14" s="17">
        <f>Z14+預測IC!AA14</f>
        <v>-0.20023133515391067</v>
      </c>
      <c r="AB14" s="17">
        <f>AA14+預測IC!AB14</f>
        <v>-0.12946195780668046</v>
      </c>
      <c r="AC14" s="17">
        <f>AB14+預測IC!AC14</f>
        <v>-0.14297922661017382</v>
      </c>
      <c r="AD14" s="17">
        <f>AC14+預測IC!AD14</f>
        <v>-0.15589933322139216</v>
      </c>
      <c r="AE14" s="17">
        <f>AD14+預測IC!AE14</f>
        <v>-0.26231140546906972</v>
      </c>
      <c r="AF14" s="17">
        <f>AE14+預測IC!AF14</f>
        <v>-0.22189070292667062</v>
      </c>
      <c r="AG14" s="17">
        <f>AF14+預測IC!AG14</f>
        <v>-0.20136980828010811</v>
      </c>
      <c r="AH14" s="17">
        <f>AG14+預測IC!AH14</f>
        <v>-0.13795986091168705</v>
      </c>
      <c r="AI14" s="17">
        <f>AH14+預測IC!AI14</f>
        <v>-0.12699454512221336</v>
      </c>
      <c r="AJ14" s="17">
        <f>AI14+預測IC!AJ14</f>
        <v>-3.0699860911687055E-2</v>
      </c>
      <c r="AK14" s="17">
        <f>AJ14+預測IC!AK14</f>
        <v>4.6211569946614947E-2</v>
      </c>
      <c r="AL14" s="17">
        <f>AK14+預測IC!AL14</f>
        <v>8.4180759669075664E-2</v>
      </c>
      <c r="AM14" s="17">
        <f>AL14+預測IC!AM14</f>
        <v>0.14542292604770091</v>
      </c>
      <c r="AN14" s="17">
        <f>AM14+預測IC!AN14</f>
        <v>0.24401759281724461</v>
      </c>
      <c r="AO14" s="17">
        <f>AN14+預測IC!AO14</f>
        <v>0.30492329828265458</v>
      </c>
      <c r="AP14" s="17">
        <f>AO14+預測IC!AP14</f>
        <v>0.23494677313057039</v>
      </c>
      <c r="AQ14" s="17">
        <f>AP14+預測IC!AQ14</f>
        <v>0.23457880539281042</v>
      </c>
      <c r="AR14" s="17">
        <f>AQ14+預測IC!AR14</f>
        <v>0.27222464515507333</v>
      </c>
      <c r="AS14" s="17">
        <f>AR14+預測IC!AS14</f>
        <v>0.28148159252349436</v>
      </c>
      <c r="AT14" s="17">
        <f>AS14+預測IC!AT14</f>
        <v>0.31598817220863884</v>
      </c>
      <c r="AU14" s="17">
        <f>AT14+預測IC!AU14</f>
        <v>0.35597982121194266</v>
      </c>
      <c r="AV14" s="17">
        <f>AU14+預測IC!AV14</f>
        <v>0.33729693577832548</v>
      </c>
      <c r="AW14" s="17">
        <f>AV14+預測IC!AW14</f>
        <v>0.31893400427236795</v>
      </c>
      <c r="AX14" s="17">
        <f>AW14+預測IC!AX14</f>
        <v>0.45588503256676066</v>
      </c>
      <c r="AY14" s="17">
        <f>AX14+預測IC!AY14</f>
        <v>0.47095315133852222</v>
      </c>
      <c r="AZ14" s="17">
        <f>AY14+預測IC!AZ14</f>
        <v>0.41760458216636615</v>
      </c>
      <c r="BA14" s="17">
        <f>AZ14+預測IC!BA14</f>
        <v>0.43522622771060926</v>
      </c>
      <c r="BB14" s="17">
        <f>BA14+預測IC!BB14</f>
        <v>0.49696050971228412</v>
      </c>
      <c r="BC14" s="17">
        <f>BB14+預測IC!BC14</f>
        <v>0.48713951075700668</v>
      </c>
      <c r="BD14" s="17">
        <f>BC14+預測IC!BD14</f>
        <v>0.53046729242441204</v>
      </c>
      <c r="BE14" s="17">
        <f>BD14+預測IC!BE14</f>
        <v>0.57425435495989907</v>
      </c>
      <c r="BF14" s="17">
        <f>BE14+預測IC!BF14</f>
        <v>0.6150248765055889</v>
      </c>
      <c r="BG14" s="17">
        <f>BF14+預測IC!BG14</f>
        <v>0.65639914057952164</v>
      </c>
      <c r="BH14" s="17">
        <f>BG14+預測IC!BH14</f>
        <v>0.66174189614812229</v>
      </c>
      <c r="BI14" s="17">
        <f>BH14+預測IC!BI14</f>
        <v>0.71192710903897605</v>
      </c>
      <c r="BJ14" s="17">
        <f>BI14+預測IC!BJ14</f>
        <v>0.69190988536774278</v>
      </c>
      <c r="BK14" s="17">
        <f>BJ14+預測IC!BK14</f>
        <v>0.68631613371066991</v>
      </c>
      <c r="BL14" s="17">
        <f>BK14+預測IC!BL14</f>
        <v>0.74605390055304022</v>
      </c>
      <c r="BM14" s="17">
        <f>BL14+預測IC!BM14</f>
        <v>0.78531111575946733</v>
      </c>
      <c r="BN14" s="17">
        <f>BM14+預測IC!BN14</f>
        <v>0.73873427365420419</v>
      </c>
      <c r="BO14" s="17">
        <f>BN14+預測IC!BO14</f>
        <v>0.77234331933146871</v>
      </c>
      <c r="BP14" s="17">
        <f>BO14+預測IC!BP14</f>
        <v>0.78801705282442791</v>
      </c>
      <c r="BQ14" s="17">
        <f>BP14+預測IC!BQ14</f>
        <v>0.80386057669437871</v>
      </c>
      <c r="BR14" s="17">
        <f>BQ14+預測IC!BR14</f>
        <v>0.77593114716176081</v>
      </c>
      <c r="BS14" s="17">
        <f>BR14+預測IC!BS14</f>
        <v>0.73443719201718294</v>
      </c>
      <c r="BT14" s="17">
        <f>BS14+預測IC!BT14</f>
        <v>0.80845015435349432</v>
      </c>
      <c r="BU14" s="17">
        <f>BT14+預測IC!BU14</f>
        <v>0.81730498971152521</v>
      </c>
      <c r="BV14" s="17">
        <f>BU14+預測IC!BV14</f>
        <v>0.84303217172795264</v>
      </c>
      <c r="BW14" s="17">
        <f>BV14+預測IC!BW14</f>
        <v>0.85554011998554591</v>
      </c>
      <c r="BX14" s="17">
        <f>BW14+預測IC!BX14</f>
        <v>0.91051088010749903</v>
      </c>
      <c r="BY14" s="17">
        <f>BX14+預測IC!BY14</f>
        <v>0.903914586742534</v>
      </c>
      <c r="BZ14" s="17">
        <f>BY14+預測IC!BZ14</f>
        <v>0.96394864357131627</v>
      </c>
      <c r="CA14" s="17">
        <f>BZ14+預測IC!CA14</f>
        <v>0.93948337745637922</v>
      </c>
      <c r="CB14" s="17">
        <f>CA14+預測IC!CB14</f>
        <v>0.96161099399855399</v>
      </c>
      <c r="CC14" s="17">
        <f>CB14+預測IC!CC14</f>
        <v>0.94881691321337536</v>
      </c>
      <c r="CD14" s="17">
        <f>CC14+預測IC!CD14</f>
        <v>1.046833623145573</v>
      </c>
      <c r="CE14" s="17">
        <f>CD14+預測IC!CE14</f>
        <v>1.2173884652508362</v>
      </c>
      <c r="CF14" s="17">
        <f>CE14+預測IC!CF14</f>
        <v>1.1970781494613625</v>
      </c>
      <c r="CG14" s="17">
        <f>CF14+預測IC!CG14</f>
        <v>1.2501451777572015</v>
      </c>
      <c r="CH14" s="17">
        <f>CG14+預測IC!CH14</f>
        <v>1.3148065700354186</v>
      </c>
      <c r="CI14" s="17">
        <f>CH14+預測IC!CI14</f>
        <v>1.2089217926720597</v>
      </c>
      <c r="CJ14" s="17">
        <f>CI14+預測IC!CJ14</f>
        <v>1.1802539377278851</v>
      </c>
      <c r="CK14" s="17">
        <f>CJ14+預測IC!CK14</f>
        <v>1.1942703021185312</v>
      </c>
      <c r="CL14" s="17">
        <f>CK14+預測IC!CL14</f>
        <v>1.2565402569973678</v>
      </c>
      <c r="CM14" s="17">
        <f>CL14+預測IC!CM14</f>
        <v>1.1464724148921048</v>
      </c>
      <c r="CN14" s="17">
        <f>CM14+預測IC!CN14</f>
        <v>1.1234457262211788</v>
      </c>
      <c r="CO14" s="17">
        <f>CN14+預測IC!CO14</f>
        <v>1.2966949893790736</v>
      </c>
      <c r="CP14" s="17">
        <f>CO14+預測IC!CP14</f>
        <v>1.1912152525369684</v>
      </c>
      <c r="CQ14" s="17">
        <f>CP14+預測IC!CQ14</f>
        <v>1.2444268806286429</v>
      </c>
      <c r="CR14" s="17">
        <f>CQ14+預測IC!CR14</f>
        <v>1.3003360182531443</v>
      </c>
      <c r="CS14" s="17">
        <f>CR14+預測IC!CS14</f>
        <v>1.2965209129899864</v>
      </c>
      <c r="CT14" s="17">
        <f>CS14+預測IC!CT14</f>
        <v>1.3583931235163023</v>
      </c>
      <c r="CU14" s="17">
        <f>CT14+預測IC!CU14</f>
        <v>1.4326436498320918</v>
      </c>
      <c r="CV14" s="17">
        <f>CU14+預測IC!CV14</f>
        <v>1.4720433340426182</v>
      </c>
      <c r="CW14" s="17">
        <f>CV14+預測IC!CW14</f>
        <v>1.4802767024636709</v>
      </c>
      <c r="CX14" s="17">
        <f>CW14+預測IC!CX14</f>
        <v>1.5045205972005131</v>
      </c>
      <c r="CY14" s="17">
        <f>CX14+預測IC!CY14</f>
        <v>1.4757614769090388</v>
      </c>
      <c r="CZ14" s="17">
        <f>CY14+預測IC!CZ14</f>
        <v>1.6119341084879861</v>
      </c>
      <c r="DA14" s="17">
        <f>CZ14+預測IC!DA14</f>
        <v>1.6773266874353545</v>
      </c>
      <c r="DB14" s="17">
        <f>DA14+預測IC!DB14</f>
        <v>1.7819347400669334</v>
      </c>
      <c r="DC14" s="17">
        <f>DB14+預測IC!DC14</f>
        <v>1.7966886348037756</v>
      </c>
      <c r="DD14" s="17">
        <f>DC14+預測IC!DD14</f>
        <v>1.7799300850113591</v>
      </c>
      <c r="DE14" s="17">
        <f>DD14+預測IC!DE14</f>
        <v>1.7488725060639907</v>
      </c>
      <c r="DF14" s="17">
        <f>DE14+預測IC!DF14</f>
        <v>1.9504369797482011</v>
      </c>
      <c r="DG14" s="17">
        <f>DF14+預測IC!DG14</f>
        <v>1.9048533481692538</v>
      </c>
      <c r="DH14" s="17">
        <f>DG14+預測IC!DH14</f>
        <v>1.9635959271166221</v>
      </c>
      <c r="DI14" s="17">
        <f>DH14+預測IC!DI14</f>
        <v>2.0502427165903061</v>
      </c>
      <c r="DJ14" s="17">
        <f>DI14+預測IC!DJ14</f>
        <v>2.0661405060639901</v>
      </c>
      <c r="DK14" s="17">
        <f>DJ14+預測IC!DK14</f>
        <v>1.9845188218534637</v>
      </c>
      <c r="DL14" s="17">
        <f>DK14+預測IC!DL14</f>
        <v>1.9752461376429373</v>
      </c>
      <c r="DM14" s="17">
        <f>DL14+預測IC!DM14</f>
        <v>1.9741254534324111</v>
      </c>
      <c r="DN14" s="17">
        <f>DM14+預測IC!DN14</f>
        <v>2.0044253481692533</v>
      </c>
      <c r="DO14" s="17">
        <f>DN14+預測IC!DO14</f>
        <v>2.1070173481692533</v>
      </c>
      <c r="DP14" s="17">
        <f>DO14+預測IC!DP14</f>
        <v>2.1106355060639901</v>
      </c>
      <c r="DQ14" s="17">
        <f>DP14+預測IC!DQ14</f>
        <v>2.0546162955376741</v>
      </c>
      <c r="DR14" s="17">
        <f>DQ14+預測IC!DR14</f>
        <v>2.1072388149966739</v>
      </c>
      <c r="DS14" s="17">
        <f>DR14+預測IC!DS14</f>
        <v>2.0721939087257573</v>
      </c>
      <c r="DT14" s="17">
        <f>DS14+預測IC!DT14</f>
        <v>2.1898662245152312</v>
      </c>
      <c r="DU14" s="17">
        <f>DT14+預測IC!DU14</f>
        <v>2.1210699613573363</v>
      </c>
      <c r="DV14" s="17">
        <f>DU14+預測IC!DV14</f>
        <v>2.1405054876731255</v>
      </c>
      <c r="DW14" s="17">
        <f>DV14+預測IC!DW14</f>
        <v>2.1423153824099677</v>
      </c>
      <c r="DX14" s="17">
        <f>DW14+預測IC!DX14</f>
        <v>2.1810735403047046</v>
      </c>
      <c r="DY14" s="17">
        <f>DX14+預測IC!DY14</f>
        <v>2.2553313824099677</v>
      </c>
      <c r="DZ14" s="17">
        <f>DY14+預測IC!DZ14</f>
        <v>2.29036227714681</v>
      </c>
      <c r="EA14" s="17">
        <f>DZ14+預測IC!EA14</f>
        <v>2.3978878034625994</v>
      </c>
      <c r="EB14" s="17">
        <f>EA14+預測IC!EB14</f>
        <v>2.3727772771468101</v>
      </c>
      <c r="EC14" s="17">
        <f>EB14+預測IC!EC14</f>
        <v>2.3788566592949429</v>
      </c>
      <c r="ED14" s="17">
        <f>EC14+預測IC!ED14</f>
        <v>2.276226950108756</v>
      </c>
      <c r="EE14" s="17">
        <f>ED14+預測IC!EE14</f>
        <v>2.2796262132666509</v>
      </c>
      <c r="EF14" s="17">
        <f>EE14+預測IC!EF14</f>
        <v>2.3051504237929668</v>
      </c>
    </row>
    <row r="15" spans="1:136">
      <c r="A15" s="2">
        <v>100</v>
      </c>
      <c r="B15" s="2">
        <v>10</v>
      </c>
      <c r="C15" s="19">
        <v>0.22764499999999999</v>
      </c>
      <c r="D15" s="17">
        <f>C15+預測IC!D15</f>
        <v>0.24459786479206572</v>
      </c>
      <c r="E15" s="17">
        <f>D15+預測IC!E15</f>
        <v>0.23439943851998221</v>
      </c>
      <c r="F15" s="17">
        <f>E15+預測IC!F15</f>
        <v>0.12583714514679231</v>
      </c>
      <c r="G15" s="17">
        <f>F15+預測IC!G15</f>
        <v>6.5200216475258033E-2</v>
      </c>
      <c r="H15" s="17">
        <f>G15+預測IC!H15</f>
        <v>0.11535804097885111</v>
      </c>
      <c r="I15" s="17">
        <f>H15+預測IC!I15</f>
        <v>0.17378948525871665</v>
      </c>
      <c r="J15" s="17">
        <f>I15+預測IC!J15</f>
        <v>0.2237509505061063</v>
      </c>
      <c r="K15" s="17">
        <f>J15+預測IC!K15</f>
        <v>-6.2843677230264322E-2</v>
      </c>
      <c r="L15" s="17">
        <f>K15+預測IC!L15</f>
        <v>-3.028517207307968E-2</v>
      </c>
      <c r="M15" s="17">
        <f>L15+預測IC!M15</f>
        <v>-4.787462593592421E-3</v>
      </c>
      <c r="N15" s="17">
        <f>M15+預測IC!N15</f>
        <v>0.11608069156738868</v>
      </c>
      <c r="O15" s="17">
        <f>N15+預測IC!O15</f>
        <v>0.18983803581370329</v>
      </c>
      <c r="P15" s="17">
        <f>O15+預測IC!P15</f>
        <v>0.12572185279204151</v>
      </c>
      <c r="Q15" s="17">
        <f>P15+預測IC!Q15</f>
        <v>-2.9814989315770979E-2</v>
      </c>
      <c r="R15" s="17">
        <f>Q15+預測IC!R15</f>
        <v>-8.1944679420888442E-2</v>
      </c>
      <c r="S15" s="17">
        <f>R15+預測IC!S15</f>
        <v>-0.35195257450304224</v>
      </c>
      <c r="T15" s="17">
        <f>S15+預測IC!T15</f>
        <v>-0.41875269944615434</v>
      </c>
      <c r="U15" s="17">
        <f>T15+預測IC!U15</f>
        <v>-0.55572076111342317</v>
      </c>
      <c r="V15" s="17">
        <f>U15+預測IC!V15</f>
        <v>-0.5728526144615359</v>
      </c>
      <c r="W15" s="17">
        <f>V15+預測IC!W15</f>
        <v>-0.47030902047879281</v>
      </c>
      <c r="X15" s="17">
        <f>W15+預測IC!X15</f>
        <v>-0.3434656890151197</v>
      </c>
      <c r="Y15" s="17">
        <f>X15+預測IC!Y15</f>
        <v>-0.32283571464929989</v>
      </c>
      <c r="Z15" s="17">
        <f>Y15+預測IC!Z15</f>
        <v>-0.27611574259594118</v>
      </c>
      <c r="AA15" s="17">
        <f>Z15+預測IC!AA15</f>
        <v>-0.33019688962397487</v>
      </c>
      <c r="AB15" s="17">
        <f>AA15+預測IC!AB15</f>
        <v>-0.24649671710814436</v>
      </c>
      <c r="AC15" s="17">
        <f>AB15+預測IC!AC15</f>
        <v>-0.23001575089995627</v>
      </c>
      <c r="AD15" s="17">
        <f>AC15+預測IC!AD15</f>
        <v>-0.21107946786913784</v>
      </c>
      <c r="AE15" s="17">
        <f>AD15+預測IC!AE15</f>
        <v>-0.30887715187808895</v>
      </c>
      <c r="AF15" s="17">
        <f>AE15+預測IC!AF15</f>
        <v>-0.2430575393810491</v>
      </c>
      <c r="AG15" s="17">
        <f>AF15+預測IC!AG15</f>
        <v>-0.23293406111939355</v>
      </c>
      <c r="AH15" s="17">
        <f>AG15+預測IC!AH15</f>
        <v>-0.24743586111939356</v>
      </c>
      <c r="AI15" s="17">
        <f>AH15+預測IC!AI15</f>
        <v>-0.17315846111939354</v>
      </c>
      <c r="AJ15" s="17">
        <f>AI15+預測IC!AJ15</f>
        <v>-0.16897506111939353</v>
      </c>
      <c r="AK15" s="17">
        <f>AJ15+預測IC!AK15</f>
        <v>-0.10721544146094861</v>
      </c>
      <c r="AL15" s="17">
        <f>AK15+預測IC!AL15</f>
        <v>-6.2783778965134068E-2</v>
      </c>
      <c r="AM15" s="17">
        <f>AL15+預測IC!AM15</f>
        <v>-7.6611568305069572E-3</v>
      </c>
      <c r="AN15" s="17">
        <f>AM15+預測IC!AN15</f>
        <v>9.4027549081876549E-2</v>
      </c>
      <c r="AO15" s="17">
        <f>AN15+預測IC!AO15</f>
        <v>0.15739736154534364</v>
      </c>
      <c r="AP15" s="17">
        <f>AO15+預測IC!AP15</f>
        <v>7.911166765258941E-2</v>
      </c>
      <c r="AQ15" s="17">
        <f>AP15+預測IC!AQ15</f>
        <v>4.1744540856467741E-2</v>
      </c>
      <c r="AR15" s="17">
        <f>AQ15+預測IC!AR15</f>
        <v>0.1320383963323844</v>
      </c>
      <c r="AS15" s="17">
        <f>AR15+預測IC!AS15</f>
        <v>0.1096075963323844</v>
      </c>
      <c r="AT15" s="17">
        <f>AS15+預測IC!AT15</f>
        <v>0.17486258698481297</v>
      </c>
      <c r="AU15" s="17">
        <f>AT15+預測IC!AU15</f>
        <v>0.21480584807427927</v>
      </c>
      <c r="AV15" s="17">
        <f>AU15+預測IC!AV15</f>
        <v>0.16757902974684041</v>
      </c>
      <c r="AW15" s="17">
        <f>AV15+預測IC!AW15</f>
        <v>0.18323896900142136</v>
      </c>
      <c r="AX15" s="17">
        <f>AW15+預測IC!AX15</f>
        <v>0.30847294617615656</v>
      </c>
      <c r="AY15" s="17">
        <f>AX15+預測IC!AY15</f>
        <v>0.33649001028618947</v>
      </c>
      <c r="AZ15" s="17">
        <f>AY15+預測IC!AZ15</f>
        <v>0.24516673021768598</v>
      </c>
      <c r="BA15" s="17">
        <f>AZ15+預測IC!BA15</f>
        <v>0.25578024502533897</v>
      </c>
      <c r="BB15" s="17">
        <f>BA15+預測IC!BB15</f>
        <v>0.36850511110415207</v>
      </c>
      <c r="BC15" s="17">
        <f>BB15+預測IC!BC15</f>
        <v>0.43066025477198233</v>
      </c>
      <c r="BD15" s="17">
        <f>BC15+預測IC!BD15</f>
        <v>0.4837035286767784</v>
      </c>
      <c r="BE15" s="17">
        <f>BD15+預測IC!BE15</f>
        <v>0.53214624969444158</v>
      </c>
      <c r="BF15" s="17">
        <f>BE15+預測IC!BF15</f>
        <v>0.57980922915119371</v>
      </c>
      <c r="BG15" s="17">
        <f>BF15+預測IC!BG15</f>
        <v>0.58229876788575896</v>
      </c>
      <c r="BH15" s="17">
        <f>BG15+預測IC!BH15</f>
        <v>0.61674061336744845</v>
      </c>
      <c r="BI15" s="17">
        <f>BH15+預測IC!BI15</f>
        <v>0.68532727248241809</v>
      </c>
      <c r="BJ15" s="17">
        <f>BI15+預測IC!BJ15</f>
        <v>0.67406224539497284</v>
      </c>
      <c r="BK15" s="17">
        <f>BJ15+預測IC!BK15</f>
        <v>0.6748859976627789</v>
      </c>
      <c r="BL15" s="17">
        <f>BK15+預測IC!BL15</f>
        <v>0.73428986900412729</v>
      </c>
      <c r="BM15" s="17">
        <f>BL15+預測IC!BM15</f>
        <v>0.80111469037085647</v>
      </c>
      <c r="BN15" s="17">
        <f>BM15+預測IC!BN15</f>
        <v>0.73505979037085645</v>
      </c>
      <c r="BO15" s="17">
        <f>BN15+預測IC!BO15</f>
        <v>0.7627942663257874</v>
      </c>
      <c r="BP15" s="17">
        <f>BO15+預測IC!BP15</f>
        <v>0.77697848703359218</v>
      </c>
      <c r="BQ15" s="17">
        <f>BP15+預測IC!BQ15</f>
        <v>0.7897814183239199</v>
      </c>
      <c r="BR15" s="17">
        <f>BQ15+預測IC!BR15</f>
        <v>0.73962398920186023</v>
      </c>
      <c r="BS15" s="17">
        <f>BR15+預測IC!BS15</f>
        <v>0.72280021175157394</v>
      </c>
      <c r="BT15" s="17">
        <f>BS15+預測IC!BT15</f>
        <v>0.81186041748290838</v>
      </c>
      <c r="BU15" s="17">
        <f>BT15+預測IC!BU15</f>
        <v>0.79238399768711487</v>
      </c>
      <c r="BV15" s="17">
        <f>BU15+預測IC!BV15</f>
        <v>0.85129896543966355</v>
      </c>
      <c r="BW15" s="17">
        <f>BV15+預測IC!BW15</f>
        <v>0.8153530753102598</v>
      </c>
      <c r="BX15" s="17">
        <f>BW15+預測IC!BX15</f>
        <v>0.8439889703759913</v>
      </c>
      <c r="BY15" s="17">
        <f>BX15+預測IC!BY15</f>
        <v>0.7822948788969315</v>
      </c>
      <c r="BZ15" s="17">
        <f>BY15+預測IC!BZ15</f>
        <v>0.88520134787427884</v>
      </c>
      <c r="CA15" s="17">
        <f>BZ15+預測IC!CA15</f>
        <v>0.86660932707783656</v>
      </c>
      <c r="CB15" s="17">
        <f>CA15+預測IC!CB15</f>
        <v>0.88166622108966108</v>
      </c>
      <c r="CC15" s="17">
        <f>CB15+預測IC!CC15</f>
        <v>0.72934795603549962</v>
      </c>
      <c r="CD15" s="17">
        <f>CC15+預測IC!CD15</f>
        <v>0.84950003999858403</v>
      </c>
      <c r="CE15" s="17">
        <f>CD15+預測IC!CE15</f>
        <v>0.922867439998584</v>
      </c>
      <c r="CF15" s="17">
        <f>CE15+預測IC!CF15</f>
        <v>0.91924103999858398</v>
      </c>
      <c r="CG15" s="17">
        <f>CF15+預測IC!CG15</f>
        <v>0.91494216074521983</v>
      </c>
      <c r="CH15" s="17">
        <f>CG15+預測IC!CH15</f>
        <v>0.97782811902892119</v>
      </c>
      <c r="CI15" s="17">
        <f>CH15+預測IC!CI15</f>
        <v>0.93902970413394038</v>
      </c>
      <c r="CJ15" s="17">
        <f>CI15+預測IC!CJ15</f>
        <v>0.85198534806122228</v>
      </c>
      <c r="CK15" s="17">
        <f>CJ15+預測IC!CK15</f>
        <v>0.90865799383332169</v>
      </c>
      <c r="CL15" s="17">
        <f>CK15+預測IC!CL15</f>
        <v>0.94007996882656997</v>
      </c>
      <c r="CM15" s="17">
        <f>CL15+預測IC!CM15</f>
        <v>0.83196206882656998</v>
      </c>
      <c r="CN15" s="17">
        <f>CM15+預測IC!CN15</f>
        <v>0.78932795302740966</v>
      </c>
      <c r="CO15" s="17">
        <f>CN15+預測IC!CO15</f>
        <v>0.96268785302740967</v>
      </c>
      <c r="CP15" s="17">
        <f>CO15+預測IC!CP15</f>
        <v>0.92829445302740965</v>
      </c>
      <c r="CQ15" s="17">
        <f>CP15+預測IC!CQ15</f>
        <v>0.96567246379253868</v>
      </c>
      <c r="CR15" s="17">
        <f>CQ15+預測IC!CR15</f>
        <v>1.0139095340807029</v>
      </c>
      <c r="CS15" s="17">
        <f>CR15+預測IC!CS15</f>
        <v>1.030821934080703</v>
      </c>
      <c r="CT15" s="17">
        <f>CS15+預測IC!CT15</f>
        <v>1.0630388340807031</v>
      </c>
      <c r="CU15" s="17">
        <f>CT15+預測IC!CU15</f>
        <v>1.2169024340807031</v>
      </c>
      <c r="CV15" s="17">
        <f>CU15+預測IC!CV15</f>
        <v>1.277346434080703</v>
      </c>
      <c r="CW15" s="17">
        <f>CV15+預測IC!CW15</f>
        <v>1.2500875340807029</v>
      </c>
      <c r="CX15" s="17">
        <f>CW15+預測IC!CX15</f>
        <v>1.267955634080703</v>
      </c>
      <c r="CY15" s="17">
        <f>CX15+預測IC!CY15</f>
        <v>1.2254849610029406</v>
      </c>
      <c r="CZ15" s="17">
        <f>CY15+預測IC!CZ15</f>
        <v>1.3408516610029406</v>
      </c>
      <c r="DA15" s="17">
        <f>CZ15+預測IC!DA15</f>
        <v>1.4297134610029407</v>
      </c>
      <c r="DB15" s="17">
        <f>DA15+預測IC!DB15</f>
        <v>1.5267611610029408</v>
      </c>
      <c r="DC15" s="17">
        <f>DB15+預測IC!DC15</f>
        <v>1.6034876610029407</v>
      </c>
      <c r="DD15" s="17">
        <f>DC15+預測IC!DD15</f>
        <v>1.5540939705030561</v>
      </c>
      <c r="DE15" s="17">
        <f>DD15+預測IC!DE15</f>
        <v>1.488486070503056</v>
      </c>
      <c r="DF15" s="17">
        <f>DE15+預測IC!DF15</f>
        <v>1.791207670503056</v>
      </c>
      <c r="DG15" s="17">
        <f>DF15+預測IC!DG15</f>
        <v>1.7432898705030559</v>
      </c>
      <c r="DH15" s="17">
        <f>DG15+預測IC!DH15</f>
        <v>1.8729133705030558</v>
      </c>
      <c r="DI15" s="17">
        <f>DH15+預測IC!DI15</f>
        <v>1.9157243705030558</v>
      </c>
      <c r="DJ15" s="17">
        <f>DI15+預測IC!DJ15</f>
        <v>1.9632908705030558</v>
      </c>
      <c r="DK15" s="17">
        <f>DJ15+預測IC!DK15</f>
        <v>1.8629618705030557</v>
      </c>
      <c r="DL15" s="17">
        <f>DK15+預測IC!DL15</f>
        <v>1.8707010705030558</v>
      </c>
      <c r="DM15" s="17">
        <f>DL15+預測IC!DM15</f>
        <v>1.8724745705030559</v>
      </c>
      <c r="DN15" s="17">
        <f>DM15+預測IC!DN15</f>
        <v>1.8054543705030559</v>
      </c>
      <c r="DO15" s="17">
        <f>DN15+預測IC!DO15</f>
        <v>1.9649999705030559</v>
      </c>
      <c r="DP15" s="17">
        <f>DO15+預測IC!DP15</f>
        <v>1.9246707705030559</v>
      </c>
      <c r="DQ15" s="17">
        <f>DP15+預測IC!DQ15</f>
        <v>1.8517329705030559</v>
      </c>
      <c r="DR15" s="17">
        <f>DQ15+預測IC!DR15</f>
        <v>1.9217435371209943</v>
      </c>
      <c r="DS15" s="17">
        <f>DR15+預測IC!DS15</f>
        <v>1.8455016287091972</v>
      </c>
      <c r="DT15" s="17">
        <f>DS15+預測IC!DT15</f>
        <v>1.8797983287091973</v>
      </c>
      <c r="DU15" s="17">
        <f>DT15+預測IC!DU15</f>
        <v>1.7626698287091973</v>
      </c>
      <c r="DV15" s="17">
        <f>DU15+預測IC!DV15</f>
        <v>1.8137997287091974</v>
      </c>
      <c r="DW15" s="17">
        <f>DV15+預測IC!DW15</f>
        <v>1.7529729287091973</v>
      </c>
      <c r="DX15" s="17">
        <f>DW15+預測IC!DX15</f>
        <v>1.7809326287091973</v>
      </c>
      <c r="DY15" s="17">
        <f>DX15+預測IC!DY15</f>
        <v>1.9245422287091973</v>
      </c>
      <c r="DZ15" s="17">
        <f>DY15+預測IC!DZ15</f>
        <v>1.9649974287091974</v>
      </c>
      <c r="EA15" s="17">
        <f>DZ15+預測IC!EA15</f>
        <v>2.0741751287091974</v>
      </c>
      <c r="EB15" s="17">
        <f>EA15+預測IC!EB15</f>
        <v>2.0180461287091975</v>
      </c>
      <c r="EC15" s="17">
        <f>EB15+預測IC!EC15</f>
        <v>2.0841279847571439</v>
      </c>
      <c r="ED15" s="17">
        <f>EC15+預測IC!ED15</f>
        <v>1.9707709288218325</v>
      </c>
      <c r="EE15" s="17">
        <f>ED15+預測IC!EE15</f>
        <v>1.9675807288218325</v>
      </c>
      <c r="EF15" s="17">
        <f>EE15+預測IC!EF15</f>
        <v>1.9972248288218326</v>
      </c>
    </row>
    <row r="16" spans="1:136">
      <c r="A16" s="2">
        <v>107</v>
      </c>
      <c r="B16" s="2">
        <v>9</v>
      </c>
      <c r="C16" s="19">
        <v>0.207875</v>
      </c>
      <c r="D16" s="17">
        <f>C16+預測IC!D16</f>
        <v>0.20715475133268296</v>
      </c>
      <c r="E16" s="17">
        <f>D16+預測IC!E16</f>
        <v>0.20432457472259757</v>
      </c>
      <c r="F16" s="17">
        <f>E16+預測IC!F16</f>
        <v>0.10494208186711049</v>
      </c>
      <c r="G16" s="17">
        <f>F16+預測IC!G16</f>
        <v>3.124581674018663E-2</v>
      </c>
      <c r="H16" s="17">
        <f>G16+預測IC!H16</f>
        <v>9.2244821357123474E-2</v>
      </c>
      <c r="I16" s="17">
        <f>H16+預測IC!I16</f>
        <v>0.1497754400227449</v>
      </c>
      <c r="J16" s="17">
        <f>I16+預測IC!J16</f>
        <v>0.19648536606541106</v>
      </c>
      <c r="K16" s="17">
        <f>J16+預測IC!K16</f>
        <v>-8.8185184161121033E-2</v>
      </c>
      <c r="L16" s="17">
        <f>K16+預測IC!L16</f>
        <v>-7.8298649573252235E-2</v>
      </c>
      <c r="M16" s="17">
        <f>L16+預測IC!M16</f>
        <v>-3.7964194848011654E-2</v>
      </c>
      <c r="N16" s="17">
        <f>M16+預測IC!N16</f>
        <v>8.7706430694738644E-2</v>
      </c>
      <c r="O16" s="17">
        <f>N16+預測IC!O16</f>
        <v>0.16753329126585573</v>
      </c>
      <c r="P16" s="17">
        <f>O16+預測IC!P16</f>
        <v>0.10648805947443342</v>
      </c>
      <c r="Q16" s="17">
        <f>P16+預測IC!Q16</f>
        <v>-5.1415010949904569E-2</v>
      </c>
      <c r="R16" s="17">
        <f>Q16+預測IC!R16</f>
        <v>-0.10040598923283109</v>
      </c>
      <c r="S16" s="17">
        <f>R16+預測IC!S16</f>
        <v>-0.38746900963162589</v>
      </c>
      <c r="T16" s="17">
        <f>S16+預測IC!T16</f>
        <v>-0.45468806978922721</v>
      </c>
      <c r="U16" s="17">
        <f>T16+預測IC!U16</f>
        <v>-0.58475054121897174</v>
      </c>
      <c r="V16" s="17">
        <f>U16+預測IC!V16</f>
        <v>-0.59077268655193738</v>
      </c>
      <c r="W16" s="17">
        <f>V16+預測IC!W16</f>
        <v>-0.48910701050412558</v>
      </c>
      <c r="X16" s="17">
        <f>W16+預測IC!X16</f>
        <v>-0.36469722679563876</v>
      </c>
      <c r="Y16" s="17">
        <f>X16+預測IC!Y16</f>
        <v>-0.34451663837600316</v>
      </c>
      <c r="Z16" s="17">
        <f>Y16+預測IC!Z16</f>
        <v>-0.30145870749179143</v>
      </c>
      <c r="AA16" s="17">
        <f>Z16+預測IC!AA16</f>
        <v>-0.34494634332778357</v>
      </c>
      <c r="AB16" s="17">
        <f>AA16+預測IC!AB16</f>
        <v>-0.26996130168980315</v>
      </c>
      <c r="AC16" s="17">
        <f>AB16+預測IC!AC16</f>
        <v>-0.22273506548724259</v>
      </c>
      <c r="AD16" s="17">
        <f>AC16+預測IC!AD16</f>
        <v>-0.22161303963816634</v>
      </c>
      <c r="AE16" s="17">
        <f>AD16+預測IC!AE16</f>
        <v>-0.31811540012677197</v>
      </c>
      <c r="AF16" s="17">
        <f>AE16+預測IC!AF16</f>
        <v>-0.25442955754518282</v>
      </c>
      <c r="AG16" s="17">
        <f>AF16+預測IC!AG16</f>
        <v>-0.24113880450864741</v>
      </c>
      <c r="AH16" s="17">
        <f>AG16+預測IC!AH16</f>
        <v>-0.28524724895309184</v>
      </c>
      <c r="AI16" s="17">
        <f>AH16+預測IC!AI16</f>
        <v>-0.19472413784198073</v>
      </c>
      <c r="AJ16" s="17">
        <f>AI16+預測IC!AJ16</f>
        <v>-0.21235413784198073</v>
      </c>
      <c r="AK16" s="17">
        <f>AJ16+預測IC!AK16</f>
        <v>-0.14793273700960866</v>
      </c>
      <c r="AL16" s="17">
        <f>AK16+預測IC!AL16</f>
        <v>-9.9243803905085415E-2</v>
      </c>
      <c r="AM16" s="17">
        <f>AL16+預測IC!AM16</f>
        <v>-3.3167073303287442E-2</v>
      </c>
      <c r="AN16" s="17">
        <f>AM16+預測IC!AN16</f>
        <v>7.3289126786388159E-2</v>
      </c>
      <c r="AO16" s="17">
        <f>AN16+預測IC!AO16</f>
        <v>0.13471379861230048</v>
      </c>
      <c r="AP16" s="17">
        <f>AO16+預測IC!AP16</f>
        <v>5.6915430466711964E-2</v>
      </c>
      <c r="AQ16" s="17">
        <f>AP16+預測IC!AQ16</f>
        <v>1.8449230320643356E-2</v>
      </c>
      <c r="AR16" s="17">
        <f>AQ16+預測IC!AR16</f>
        <v>0.12174040938113576</v>
      </c>
      <c r="AS16" s="17">
        <f>AR16+預測IC!AS16</f>
        <v>9.3661742714469087E-2</v>
      </c>
      <c r="AT16" s="17">
        <f>AS16+預測IC!AT16</f>
        <v>0.14320889803283909</v>
      </c>
      <c r="AU16" s="17">
        <f>AT16+預測IC!AU16</f>
        <v>0.1850357362877342</v>
      </c>
      <c r="AV16" s="17">
        <f>AU16+預測IC!AV16</f>
        <v>0.17596322950771551</v>
      </c>
      <c r="AW16" s="17">
        <f>AV16+預測IC!AW16</f>
        <v>0.21521615958236617</v>
      </c>
      <c r="AX16" s="17">
        <f>AW16+預測IC!AX16</f>
        <v>0.31604593282633908</v>
      </c>
      <c r="AY16" s="17">
        <f>AX16+預測IC!AY16</f>
        <v>0.34985852267068501</v>
      </c>
      <c r="AZ16" s="17">
        <f>AY16+預測IC!AZ16</f>
        <v>0.2449488874919728</v>
      </c>
      <c r="BA16" s="17">
        <f>AZ16+預測IC!BA16</f>
        <v>0.25987199254955889</v>
      </c>
      <c r="BB16" s="17">
        <f>BA16+預測IC!BB16</f>
        <v>0.36791091670229698</v>
      </c>
      <c r="BC16" s="17">
        <f>BB16+預測IC!BC16</f>
        <v>0.43503238280998885</v>
      </c>
      <c r="BD16" s="17">
        <f>BC16+預測IC!BD16</f>
        <v>0.47096909435589285</v>
      </c>
      <c r="BE16" s="17">
        <f>BD16+預測IC!BE16</f>
        <v>0.52238008875036779</v>
      </c>
      <c r="BF16" s="17">
        <f>BE16+預測IC!BF16</f>
        <v>0.58664814307008606</v>
      </c>
      <c r="BG16" s="17">
        <f>BF16+預測IC!BG16</f>
        <v>0.60012142511804267</v>
      </c>
      <c r="BH16" s="17">
        <f>BG16+預測IC!BH16</f>
        <v>0.58634581063408087</v>
      </c>
      <c r="BI16" s="17">
        <f>BH16+預測IC!BI16</f>
        <v>0.62778961839734271</v>
      </c>
      <c r="BJ16" s="17">
        <f>BI16+預測IC!BJ16</f>
        <v>0.60728580211413508</v>
      </c>
      <c r="BK16" s="17">
        <f>BJ16+預測IC!BK16</f>
        <v>0.61025779240933209</v>
      </c>
      <c r="BL16" s="17">
        <f>BK16+預測IC!BL16</f>
        <v>0.68088135811685524</v>
      </c>
      <c r="BM16" s="17">
        <f>BL16+預測IC!BM16</f>
        <v>0.76240523315882025</v>
      </c>
      <c r="BN16" s="17">
        <f>BM16+預測IC!BN16</f>
        <v>0.69520589982548686</v>
      </c>
      <c r="BO16" s="17">
        <f>BN16+預測IC!BO16</f>
        <v>0.7170962597791446</v>
      </c>
      <c r="BP16" s="17">
        <f>BO16+預測IC!BP16</f>
        <v>0.73793944332672523</v>
      </c>
      <c r="BQ16" s="17">
        <f>BP16+預測IC!BQ16</f>
        <v>0.75441745958165385</v>
      </c>
      <c r="BR16" s="17">
        <f>BQ16+預測IC!BR16</f>
        <v>0.72812061156020946</v>
      </c>
      <c r="BS16" s="17">
        <f>BR16+預測IC!BS16</f>
        <v>0.71492903841274524</v>
      </c>
      <c r="BT16" s="17">
        <f>BS16+預測IC!BT16</f>
        <v>0.80041222968054482</v>
      </c>
      <c r="BU16" s="17">
        <f>BT16+預測IC!BU16</f>
        <v>0.74264711949574436</v>
      </c>
      <c r="BV16" s="17">
        <f>BU16+預測IC!BV16</f>
        <v>0.80335835894258523</v>
      </c>
      <c r="BW16" s="17">
        <f>BV16+預測IC!BW16</f>
        <v>0.73761743151605064</v>
      </c>
      <c r="BX16" s="17">
        <f>BW16+預測IC!BX16</f>
        <v>0.76917666903718163</v>
      </c>
      <c r="BY16" s="17">
        <f>BX16+預測IC!BY16</f>
        <v>0.71861293618993871</v>
      </c>
      <c r="BZ16" s="17">
        <f>BY16+預測IC!BZ16</f>
        <v>0.83013878469158797</v>
      </c>
      <c r="CA16" s="17">
        <f>BZ16+預測IC!CA16</f>
        <v>0.8004243949360248</v>
      </c>
      <c r="CB16" s="17">
        <f>CA16+預測IC!CB16</f>
        <v>0.79899634994680746</v>
      </c>
      <c r="CC16" s="17">
        <f>CB16+預測IC!CC16</f>
        <v>0.63992383546287313</v>
      </c>
      <c r="CD16" s="17">
        <f>CC16+預測IC!CD16</f>
        <v>0.79499510708923493</v>
      </c>
      <c r="CE16" s="17">
        <f>CD16+預測IC!CE16</f>
        <v>0.88860888486701273</v>
      </c>
      <c r="CF16" s="17">
        <f>CE16+預測IC!CF16</f>
        <v>0.87391288486701268</v>
      </c>
      <c r="CG16" s="17">
        <f>CF16+預測IC!CG16</f>
        <v>0.86853436583568255</v>
      </c>
      <c r="CH16" s="17">
        <f>CG16+預測IC!CH16</f>
        <v>0.91023178053870957</v>
      </c>
      <c r="CI16" s="17">
        <f>CH16+預測IC!CI16</f>
        <v>0.87152189871019203</v>
      </c>
      <c r="CJ16" s="17">
        <f>CI16+預測IC!CJ16</f>
        <v>0.82599834792252547</v>
      </c>
      <c r="CK16" s="17">
        <f>CJ16+預測IC!CK16</f>
        <v>0.90247133164021587</v>
      </c>
      <c r="CL16" s="17">
        <f>CK16+預測IC!CL16</f>
        <v>0.91835001397492522</v>
      </c>
      <c r="CM16" s="17">
        <f>CL16+預測IC!CM16</f>
        <v>0.80529568064159196</v>
      </c>
      <c r="CN16" s="17">
        <f>CM16+預測IC!CN16</f>
        <v>0.77223816550064195</v>
      </c>
      <c r="CO16" s="17">
        <f>CN16+預測IC!CO16</f>
        <v>0.98178516550064199</v>
      </c>
      <c r="CP16" s="17">
        <f>CO16+預測IC!CP16</f>
        <v>0.95110060994508638</v>
      </c>
      <c r="CQ16" s="17">
        <f>CP16+預測IC!CQ16</f>
        <v>0.99253621560449679</v>
      </c>
      <c r="CR16" s="17">
        <f>CQ16+預測IC!CR16</f>
        <v>1.0408359822878133</v>
      </c>
      <c r="CS16" s="17">
        <f>CR16+預測IC!CS16</f>
        <v>1.0626442045100355</v>
      </c>
      <c r="CT16" s="17">
        <f>CS16+預測IC!CT16</f>
        <v>1.1115480933989244</v>
      </c>
      <c r="CU16" s="17">
        <f>CT16+預測IC!CU16</f>
        <v>1.2655942045100355</v>
      </c>
      <c r="CV16" s="17">
        <f>CU16+預測IC!CV16</f>
        <v>1.32504764895448</v>
      </c>
      <c r="CW16" s="17">
        <f>CV16+預測IC!CW16</f>
        <v>1.2933729822878133</v>
      </c>
      <c r="CX16" s="17">
        <f>CW16+預測IC!CX16</f>
        <v>1.3000588711767023</v>
      </c>
      <c r="CY16" s="17">
        <f>CX16+預測IC!CY16</f>
        <v>1.2509418220600768</v>
      </c>
      <c r="CZ16" s="17">
        <f>CY16+預測IC!CZ16</f>
        <v>1.4171625998378545</v>
      </c>
      <c r="DA16" s="17">
        <f>CZ16+預測IC!DA16</f>
        <v>1.53534315539341</v>
      </c>
      <c r="DB16" s="17">
        <f>DA16+預測IC!DB16</f>
        <v>1.6333598220600767</v>
      </c>
      <c r="DC16" s="17">
        <f>DB16+預測IC!DC16</f>
        <v>1.6970999331711878</v>
      </c>
      <c r="DD16" s="17">
        <f>DC16+預測IC!DD16</f>
        <v>1.6270289981138302</v>
      </c>
      <c r="DE16" s="17">
        <f>DD16+預測IC!DE16</f>
        <v>1.5707036647804968</v>
      </c>
      <c r="DF16" s="17">
        <f>DE16+預測IC!DF16</f>
        <v>1.8962845536693858</v>
      </c>
      <c r="DG16" s="17">
        <f>DF16+預測IC!DG16</f>
        <v>1.8506075536693858</v>
      </c>
      <c r="DH16" s="17">
        <f>DG16+預測IC!DH16</f>
        <v>1.9877569981138303</v>
      </c>
      <c r="DI16" s="17">
        <f>DH16+預測IC!DI16</f>
        <v>2.0355857758916081</v>
      </c>
      <c r="DJ16" s="17">
        <f>DI16+預測IC!DJ16</f>
        <v>2.0873388870027192</v>
      </c>
      <c r="DK16" s="17">
        <f>DJ16+預測IC!DK16</f>
        <v>1.9910845536693857</v>
      </c>
      <c r="DL16" s="17">
        <f>DK16+預測IC!DL16</f>
        <v>1.9924514425582747</v>
      </c>
      <c r="DM16" s="17">
        <f>DL16+預測IC!DM16</f>
        <v>2.0305867758916079</v>
      </c>
      <c r="DN16" s="17">
        <f>DM16+預測IC!DN16</f>
        <v>1.9738809981138301</v>
      </c>
      <c r="DO16" s="17">
        <f>DN16+預測IC!DO16</f>
        <v>2.1434716647804968</v>
      </c>
      <c r="DP16" s="17">
        <f>DO16+預測IC!DP16</f>
        <v>2.1187562203360524</v>
      </c>
      <c r="DQ16" s="17">
        <f>DP16+預測IC!DQ16</f>
        <v>2.0511962203360525</v>
      </c>
      <c r="DR16" s="17">
        <f>DQ16+預測IC!DR16</f>
        <v>2.1063874719855677</v>
      </c>
      <c r="DS16" s="17">
        <f>DR16+預測IC!DS16</f>
        <v>2.0126354069958134</v>
      </c>
      <c r="DT16" s="17">
        <f>DS16+預測IC!DT16</f>
        <v>2.0446947403291467</v>
      </c>
      <c r="DU16" s="17">
        <f>DT16+預測IC!DU16</f>
        <v>1.9219217403291466</v>
      </c>
      <c r="DV16" s="17">
        <f>DU16+預測IC!DV16</f>
        <v>1.9670735181069243</v>
      </c>
      <c r="DW16" s="17">
        <f>DV16+預測IC!DW16</f>
        <v>1.8957704069958132</v>
      </c>
      <c r="DX16" s="17">
        <f>DW16+預測IC!DX16</f>
        <v>1.9332775181069244</v>
      </c>
      <c r="DY16" s="17">
        <f>DX16+預測IC!DY16</f>
        <v>2.090849295884702</v>
      </c>
      <c r="DZ16" s="17">
        <f>DY16+預測IC!DZ16</f>
        <v>2.1496597403291466</v>
      </c>
      <c r="EA16" s="17">
        <f>DZ16+預測IC!EA16</f>
        <v>2.2894596292180354</v>
      </c>
      <c r="EB16" s="17">
        <f>EA16+預測IC!EB16</f>
        <v>2.2185818514402578</v>
      </c>
      <c r="EC16" s="17">
        <f>EB16+預測IC!EC16</f>
        <v>2.2821139180748276</v>
      </c>
      <c r="ED16" s="17">
        <f>EC16+預測IC!ED16</f>
        <v>2.1666971705759064</v>
      </c>
      <c r="EE16" s="17">
        <f>ED16+預測IC!EE16</f>
        <v>2.1623010594647951</v>
      </c>
      <c r="EF16" s="17">
        <f>EE16+預測IC!EF16</f>
        <v>2.1968495039092395</v>
      </c>
    </row>
    <row r="17" spans="1:136">
      <c r="A17" s="2">
        <v>120</v>
      </c>
      <c r="B17" s="2">
        <v>8</v>
      </c>
      <c r="C17" s="19">
        <v>0.206092</v>
      </c>
      <c r="D17" s="17">
        <f>C17+預測IC!D17</f>
        <v>0.1887576252669122</v>
      </c>
      <c r="E17" s="17">
        <f>D17+預測IC!E17</f>
        <v>0.19613662676221355</v>
      </c>
      <c r="F17" s="17">
        <f>E17+預測IC!F17</f>
        <v>8.329911164491785E-2</v>
      </c>
      <c r="G17" s="17">
        <f>F17+預測IC!G17</f>
        <v>1.207634476673608E-2</v>
      </c>
      <c r="H17" s="17">
        <f>G17+預測IC!H17</f>
        <v>8.8764166329352939E-2</v>
      </c>
      <c r="I17" s="17">
        <f>H17+預測IC!I17</f>
        <v>0.20248919413154043</v>
      </c>
      <c r="J17" s="17">
        <f>I17+預測IC!J17</f>
        <v>0.24434758924976963</v>
      </c>
      <c r="K17" s="17">
        <f>J17+預測IC!K17</f>
        <v>-5.247896185079276E-2</v>
      </c>
      <c r="L17" s="17">
        <f>K17+預測IC!L17</f>
        <v>-4.2768072342634758E-2</v>
      </c>
      <c r="M17" s="17">
        <f>L17+預測IC!M17</f>
        <v>2.2163962640851423E-2</v>
      </c>
      <c r="N17" s="17">
        <f>M17+預測IC!N17</f>
        <v>0.15811239469363664</v>
      </c>
      <c r="O17" s="17">
        <f>N17+預測IC!O17</f>
        <v>0.25933916396597234</v>
      </c>
      <c r="P17" s="17">
        <f>O17+預測IC!P17</f>
        <v>0.19299979482714133</v>
      </c>
      <c r="Q17" s="17">
        <f>P17+預測IC!Q17</f>
        <v>3.1198500212014424E-2</v>
      </c>
      <c r="R17" s="17">
        <f>Q17+預測IC!R17</f>
        <v>-2.0859108692512784E-2</v>
      </c>
      <c r="S17" s="17">
        <f>R17+預測IC!S17</f>
        <v>-0.331512541347811</v>
      </c>
      <c r="T17" s="17">
        <f>S17+預測IC!T17</f>
        <v>-0.40271455588061805</v>
      </c>
      <c r="U17" s="17">
        <f>T17+預測IC!U17</f>
        <v>-0.54398569841917499</v>
      </c>
      <c r="V17" s="17">
        <f>U17+預測IC!V17</f>
        <v>-0.53997450858947649</v>
      </c>
      <c r="W17" s="17">
        <f>V17+預測IC!W17</f>
        <v>-0.420370524577169</v>
      </c>
      <c r="X17" s="17">
        <f>W17+預測IC!X17</f>
        <v>-0.30352432663636542</v>
      </c>
      <c r="Y17" s="17">
        <f>X17+預測IC!Y17</f>
        <v>-0.28059631557371056</v>
      </c>
      <c r="Z17" s="17">
        <f>Y17+預測IC!Z17</f>
        <v>-0.22672782628284477</v>
      </c>
      <c r="AA17" s="17">
        <f>Z17+預測IC!AA17</f>
        <v>-0.26193761586504388</v>
      </c>
      <c r="AB17" s="17">
        <f>AA17+預測IC!AB17</f>
        <v>-0.17708555298687156</v>
      </c>
      <c r="AC17" s="17">
        <f>AB17+預測IC!AC17</f>
        <v>-0.11835686269637777</v>
      </c>
      <c r="AD17" s="17">
        <f>AC17+預測IC!AD17</f>
        <v>-9.6444018522737165E-2</v>
      </c>
      <c r="AE17" s="17">
        <f>AD17+預測IC!AE17</f>
        <v>-0.22360244096996218</v>
      </c>
      <c r="AF17" s="17">
        <f>AE17+預測IC!AF17</f>
        <v>-0.16217313084802204</v>
      </c>
      <c r="AG17" s="17">
        <f>AF17+預測IC!AG17</f>
        <v>-0.13943215006023185</v>
      </c>
      <c r="AH17" s="17">
        <f>AG17+預測IC!AH17</f>
        <v>-0.17135502506023187</v>
      </c>
      <c r="AI17" s="17">
        <f>AH17+預測IC!AI17</f>
        <v>-5.6489900060231871E-2</v>
      </c>
      <c r="AJ17" s="17">
        <f>AI17+預測IC!AJ17</f>
        <v>-7.869815006023187E-2</v>
      </c>
      <c r="AK17" s="17">
        <f>AJ17+預測IC!AK17</f>
        <v>-4.9818753211954281E-3</v>
      </c>
      <c r="AL17" s="17">
        <f>AK17+預測IC!AL17</f>
        <v>4.5742530427361081E-2</v>
      </c>
      <c r="AM17" s="17">
        <f>AL17+預測IC!AM17</f>
        <v>0.12111189801501805</v>
      </c>
      <c r="AN17" s="17">
        <f>AM17+預測IC!AN17</f>
        <v>0.23439901836093574</v>
      </c>
      <c r="AO17" s="17">
        <f>AN17+預測IC!AO17</f>
        <v>0.24703135295665993</v>
      </c>
      <c r="AP17" s="17">
        <f>AO17+預測IC!AP17</f>
        <v>0.16978853853707443</v>
      </c>
      <c r="AQ17" s="17">
        <f>AP17+預測IC!AQ17</f>
        <v>0.10926140113557539</v>
      </c>
      <c r="AR17" s="17">
        <f>AQ17+預測IC!AR17</f>
        <v>0.22319211103039269</v>
      </c>
      <c r="AS17" s="17">
        <f>AR17+預測IC!AS17</f>
        <v>0.1936761110303927</v>
      </c>
      <c r="AT17" s="17">
        <f>AS17+預測IC!AT17</f>
        <v>0.2459439174801149</v>
      </c>
      <c r="AU17" s="17">
        <f>AT17+預測IC!AU17</f>
        <v>0.30049942476680269</v>
      </c>
      <c r="AV17" s="17">
        <f>AU17+預測IC!AV17</f>
        <v>0.27929352198453433</v>
      </c>
      <c r="AW17" s="17">
        <f>AV17+預測IC!AW17</f>
        <v>0.28771541002637113</v>
      </c>
      <c r="AX17" s="17">
        <f>AW17+預測IC!AX17</f>
        <v>0.38395596853517011</v>
      </c>
      <c r="AY17" s="17">
        <f>AX17+預測IC!AY17</f>
        <v>0.41137966522577102</v>
      </c>
      <c r="AZ17" s="17">
        <f>AY17+預測IC!AZ17</f>
        <v>0.28622206296557995</v>
      </c>
      <c r="BA17" s="17">
        <f>AZ17+預測IC!BA17</f>
        <v>0.2960472420726929</v>
      </c>
      <c r="BB17" s="17">
        <f>BA17+預測IC!BB17</f>
        <v>0.41981130518653731</v>
      </c>
      <c r="BC17" s="17">
        <f>BB17+預測IC!BC17</f>
        <v>0.50367450036435091</v>
      </c>
      <c r="BD17" s="17">
        <f>BC17+預測IC!BD17</f>
        <v>0.5260309826105557</v>
      </c>
      <c r="BE17" s="17">
        <f>BD17+預測IC!BE17</f>
        <v>0.60338122484861612</v>
      </c>
      <c r="BF17" s="17">
        <f>BE17+預測IC!BF17</f>
        <v>0.65857872145756979</v>
      </c>
      <c r="BG17" s="17">
        <f>BF17+預測IC!BG17</f>
        <v>0.62318448536953253</v>
      </c>
      <c r="BH17" s="17">
        <f>BG17+預測IC!BH17</f>
        <v>0.63670394622128557</v>
      </c>
      <c r="BI17" s="17">
        <f>BH17+預測IC!BI17</f>
        <v>0.72381589166123284</v>
      </c>
      <c r="BJ17" s="17">
        <f>BI17+預測IC!BJ17</f>
        <v>0.7139578273879964</v>
      </c>
      <c r="BK17" s="17">
        <f>BJ17+預測IC!BK17</f>
        <v>0.70013487531789087</v>
      </c>
      <c r="BL17" s="17">
        <f>BK17+預測IC!BL17</f>
        <v>0.77761784211783702</v>
      </c>
      <c r="BM17" s="17">
        <f>BL17+預測IC!BM17</f>
        <v>0.853615612563697</v>
      </c>
      <c r="BN17" s="17">
        <f>BM17+預測IC!BN17</f>
        <v>0.779957612563697</v>
      </c>
      <c r="BO17" s="17">
        <f>BN17+預測IC!BO17</f>
        <v>0.81513722798042065</v>
      </c>
      <c r="BP17" s="17">
        <f>BO17+預測IC!BP17</f>
        <v>0.85113320763490152</v>
      </c>
      <c r="BQ17" s="17">
        <f>BP17+預測IC!BQ17</f>
        <v>0.86250971808135313</v>
      </c>
      <c r="BR17" s="17">
        <f>BQ17+預測IC!BR17</f>
        <v>0.85286334295660327</v>
      </c>
      <c r="BS17" s="17">
        <f>BR17+預測IC!BS17</f>
        <v>0.84875987384599672</v>
      </c>
      <c r="BT17" s="17">
        <f>BS17+預測IC!BT17</f>
        <v>0.95817625271642004</v>
      </c>
      <c r="BU17" s="17">
        <f>BT17+預測IC!BU17</f>
        <v>0.88704843396566768</v>
      </c>
      <c r="BV17" s="17">
        <f>BU17+預測IC!BV17</f>
        <v>0.95725873698529595</v>
      </c>
      <c r="BW17" s="17">
        <f>BV17+預測IC!BW17</f>
        <v>0.87682702438603011</v>
      </c>
      <c r="BX17" s="17">
        <f>BW17+預測IC!BX17</f>
        <v>0.90564998900570282</v>
      </c>
      <c r="BY17" s="17">
        <f>BX17+預測IC!BY17</f>
        <v>0.82140452137700848</v>
      </c>
      <c r="BZ17" s="17">
        <f>BY17+預測IC!BZ17</f>
        <v>0.94198267725809381</v>
      </c>
      <c r="CA17" s="17">
        <f>BZ17+預測IC!CA17</f>
        <v>0.91404784489960422</v>
      </c>
      <c r="CB17" s="17">
        <f>CA17+預測IC!CB17</f>
        <v>0.90357013740761172</v>
      </c>
      <c r="CC17" s="17">
        <f>CB17+預測IC!CC17</f>
        <v>0.72861216341793078</v>
      </c>
      <c r="CD17" s="17">
        <f>CC17+預測IC!CD17</f>
        <v>0.90157190463707937</v>
      </c>
      <c r="CE17" s="17">
        <f>CD17+預測IC!CE17</f>
        <v>0.99727952963707933</v>
      </c>
      <c r="CF17" s="17">
        <f>CE17+預測IC!CF17</f>
        <v>0.90215577963707938</v>
      </c>
      <c r="CG17" s="17">
        <f>CF17+預測IC!CG17</f>
        <v>0.88662867456200223</v>
      </c>
      <c r="CH17" s="17">
        <f>CG17+預測IC!CH17</f>
        <v>0.94526512116905226</v>
      </c>
      <c r="CI17" s="17">
        <f>CH17+預測IC!CI17</f>
        <v>0.93073393617946376</v>
      </c>
      <c r="CJ17" s="17">
        <f>CI17+預測IC!CJ17</f>
        <v>0.87999161469502174</v>
      </c>
      <c r="CK17" s="17">
        <f>CJ17+預測IC!CK17</f>
        <v>0.9717301873529347</v>
      </c>
      <c r="CL17" s="17">
        <f>CK17+預測IC!CL17</f>
        <v>0.96230384258390345</v>
      </c>
      <c r="CM17" s="17">
        <f>CL17+預測IC!CM17</f>
        <v>0.86681121758390345</v>
      </c>
      <c r="CN17" s="17">
        <f>CM17+預測IC!CN17</f>
        <v>0.84009315643291649</v>
      </c>
      <c r="CO17" s="17">
        <f>CN17+預測IC!CO17</f>
        <v>1.0381735314329166</v>
      </c>
      <c r="CP17" s="17">
        <f>CO17+預測IC!CP17</f>
        <v>1.0165635314329167</v>
      </c>
      <c r="CQ17" s="17">
        <f>CP17+預測IC!CQ17</f>
        <v>1.05765146461632</v>
      </c>
      <c r="CR17" s="17">
        <f>CQ17+預測IC!CR17</f>
        <v>1.1083279553185432</v>
      </c>
      <c r="CS17" s="17">
        <f>CR17+預測IC!CS17</f>
        <v>1.1198745803185433</v>
      </c>
      <c r="CT17" s="17">
        <f>CS17+預測IC!CT17</f>
        <v>1.1785288303185433</v>
      </c>
      <c r="CU17" s="17">
        <f>CT17+預測IC!CU17</f>
        <v>1.2296377053185432</v>
      </c>
      <c r="CV17" s="17">
        <f>CU17+預測IC!CV17</f>
        <v>1.2975290803185433</v>
      </c>
      <c r="CW17" s="17">
        <f>CV17+預測IC!CW17</f>
        <v>1.2743720803185432</v>
      </c>
      <c r="CX17" s="17">
        <f>CW17+預測IC!CX17</f>
        <v>1.2993635803185433</v>
      </c>
      <c r="CY17" s="17">
        <f>CX17+預測IC!CY17</f>
        <v>1.2499802816024532</v>
      </c>
      <c r="CZ17" s="17">
        <f>CY17+預測IC!CZ17</f>
        <v>1.4341161566024532</v>
      </c>
      <c r="DA17" s="17">
        <f>CZ17+預測IC!DA17</f>
        <v>1.5286117816024531</v>
      </c>
      <c r="DB17" s="17">
        <f>DA17+預測IC!DB17</f>
        <v>1.6328827816024531</v>
      </c>
      <c r="DC17" s="17">
        <f>DB17+預測IC!DC17</f>
        <v>1.6867702816024532</v>
      </c>
      <c r="DD17" s="17">
        <f>DC17+預測IC!DD17</f>
        <v>1.6016363485182992</v>
      </c>
      <c r="DE17" s="17">
        <f>DD17+預測IC!DE17</f>
        <v>1.5499709735182992</v>
      </c>
      <c r="DF17" s="17">
        <f>DE17+預測IC!DF17</f>
        <v>1.9021983485182992</v>
      </c>
      <c r="DG17" s="17">
        <f>DF17+預測IC!DG17</f>
        <v>1.8549872235182991</v>
      </c>
      <c r="DH17" s="17">
        <f>DG17+預測IC!DH17</f>
        <v>2.0184205985182992</v>
      </c>
      <c r="DI17" s="17">
        <f>DH17+預測IC!DI17</f>
        <v>2.0886018485182993</v>
      </c>
      <c r="DJ17" s="17">
        <f>DI17+預測IC!DJ17</f>
        <v>2.1457482235182992</v>
      </c>
      <c r="DK17" s="17">
        <f>DJ17+預測IC!DK17</f>
        <v>2.0429683485182992</v>
      </c>
      <c r="DL17" s="17">
        <f>DK17+預測IC!DL17</f>
        <v>2.0371785985182993</v>
      </c>
      <c r="DM17" s="17">
        <f>DL17+預測IC!DM17</f>
        <v>2.0797420985182993</v>
      </c>
      <c r="DN17" s="17">
        <f>DM17+預測IC!DN17</f>
        <v>2.0191155985182991</v>
      </c>
      <c r="DO17" s="17">
        <f>DN17+預測IC!DO17</f>
        <v>2.1988775985182993</v>
      </c>
      <c r="DP17" s="17">
        <f>DO17+預測IC!DP17</f>
        <v>2.1737814735182992</v>
      </c>
      <c r="DQ17" s="17">
        <f>DP17+預測IC!DQ17</f>
        <v>2.1085374735182993</v>
      </c>
      <c r="DR17" s="17">
        <f>DQ17+預測IC!DR17</f>
        <v>2.1644222883946278</v>
      </c>
      <c r="DS17" s="17">
        <f>DR17+預測IC!DS17</f>
        <v>2.0401061285898168</v>
      </c>
      <c r="DT17" s="17">
        <f>DS17+預測IC!DT17</f>
        <v>2.0568491285898167</v>
      </c>
      <c r="DU17" s="17">
        <f>DT17+預測IC!DU17</f>
        <v>1.9273551285898167</v>
      </c>
      <c r="DV17" s="17">
        <f>DU17+預測IC!DV17</f>
        <v>1.9896275035898168</v>
      </c>
      <c r="DW17" s="17">
        <f>DV17+預測IC!DW17</f>
        <v>1.9130277535898168</v>
      </c>
      <c r="DX17" s="17">
        <f>DW17+預測IC!DX17</f>
        <v>1.9571496285898169</v>
      </c>
      <c r="DY17" s="17">
        <f>DX17+預測IC!DY17</f>
        <v>2.0644318785898168</v>
      </c>
      <c r="DZ17" s="17">
        <f>DY17+預測IC!DZ17</f>
        <v>2.1136438785898166</v>
      </c>
      <c r="EA17" s="17">
        <f>DZ17+預測IC!EA17</f>
        <v>2.2782162535898167</v>
      </c>
      <c r="EB17" s="17">
        <f>EA17+預測IC!EB17</f>
        <v>2.2044326285898168</v>
      </c>
      <c r="EC17" s="17">
        <f>EB17+預測IC!EC17</f>
        <v>2.2208578458058774</v>
      </c>
      <c r="ED17" s="17">
        <f>EC17+預測IC!ED17</f>
        <v>2.0925334018769646</v>
      </c>
      <c r="EE17" s="17">
        <f>ED17+預測IC!EE17</f>
        <v>2.0927277768769645</v>
      </c>
      <c r="EF17" s="17">
        <f>EE17+預測IC!EF17</f>
        <v>2.1337125268769643</v>
      </c>
    </row>
    <row r="18" spans="1:136">
      <c r="A18" s="2">
        <v>137</v>
      </c>
      <c r="B18" s="2">
        <v>7</v>
      </c>
      <c r="C18" s="19">
        <v>0.189751</v>
      </c>
      <c r="D18" s="17">
        <f>C18+預測IC!D18</f>
        <v>0.18156353291860727</v>
      </c>
      <c r="E18" s="17">
        <f>D18+預測IC!E18</f>
        <v>0.12256287582039949</v>
      </c>
      <c r="F18" s="17">
        <f>E18+預測IC!F18</f>
        <v>-1.1851498612986205E-2</v>
      </c>
      <c r="G18" s="17">
        <f>F18+預測IC!G18</f>
        <v>-9.2645745633846061E-2</v>
      </c>
      <c r="H18" s="17">
        <f>G18+預測IC!H18</f>
        <v>2.9267043729424042E-2</v>
      </c>
      <c r="I18" s="17">
        <f>H18+預測IC!I18</f>
        <v>0.16476722395266513</v>
      </c>
      <c r="J18" s="17">
        <f>I18+預測IC!J18</f>
        <v>0.20817873970430673</v>
      </c>
      <c r="K18" s="17">
        <f>J18+預測IC!K18</f>
        <v>-0.150503358803593</v>
      </c>
      <c r="L18" s="17">
        <f>K18+預測IC!L18</f>
        <v>-0.13752087195661139</v>
      </c>
      <c r="M18" s="17">
        <f>L18+預測IC!M18</f>
        <v>-5.781829484263494E-2</v>
      </c>
      <c r="N18" s="17">
        <f>M18+預測IC!N18</f>
        <v>8.5174132442136161E-2</v>
      </c>
      <c r="O18" s="17">
        <f>N18+預測IC!O18</f>
        <v>0.18884462207175534</v>
      </c>
      <c r="P18" s="17">
        <f>O18+預測IC!P18</f>
        <v>0.10629201050180757</v>
      </c>
      <c r="Q18" s="17">
        <f>P18+預測IC!Q18</f>
        <v>-8.2683408187682314E-2</v>
      </c>
      <c r="R18" s="17">
        <f>Q18+預測IC!R18</f>
        <v>-0.1441756460596573</v>
      </c>
      <c r="S18" s="17">
        <f>R18+預測IC!S18</f>
        <v>-0.52790827499155157</v>
      </c>
      <c r="T18" s="17">
        <f>S18+預測IC!T18</f>
        <v>-0.58215271502316024</v>
      </c>
      <c r="U18" s="17">
        <f>T18+預測IC!U18</f>
        <v>-0.71464773945297921</v>
      </c>
      <c r="V18" s="17">
        <f>U18+預測IC!V18</f>
        <v>-0.70175260438312836</v>
      </c>
      <c r="W18" s="17">
        <f>V18+預測IC!W18</f>
        <v>-0.56383536646742216</v>
      </c>
      <c r="X18" s="17">
        <f>W18+預測IC!X18</f>
        <v>-0.42038384883258156</v>
      </c>
      <c r="Y18" s="17">
        <f>X18+預測IC!Y18</f>
        <v>-0.40115151447514602</v>
      </c>
      <c r="Z18" s="17">
        <f>Y18+預測IC!Z18</f>
        <v>-0.31191715103462314</v>
      </c>
      <c r="AA18" s="17">
        <f>Z18+預測IC!AA18</f>
        <v>-0.3536223962173472</v>
      </c>
      <c r="AB18" s="17">
        <f>AA18+預測IC!AB18</f>
        <v>-0.268924096486863</v>
      </c>
      <c r="AC18" s="17">
        <f>AB18+預測IC!AC18</f>
        <v>-0.21110108363090574</v>
      </c>
      <c r="AD18" s="17">
        <f>AC18+預測IC!AD18</f>
        <v>-0.18450549325182555</v>
      </c>
      <c r="AE18" s="17">
        <f>AD18+預測IC!AE18</f>
        <v>-0.32803473468090005</v>
      </c>
      <c r="AF18" s="17">
        <f>AE18+預測IC!AF18</f>
        <v>-0.29616131652027444</v>
      </c>
      <c r="AG18" s="17">
        <f>AF18+預測IC!AG18</f>
        <v>-0.26366820042239836</v>
      </c>
      <c r="AH18" s="17">
        <f>AG18+預測IC!AH18</f>
        <v>-0.2995830575652555</v>
      </c>
      <c r="AI18" s="17">
        <f>AH18+預測IC!AI18</f>
        <v>-0.1814966289938269</v>
      </c>
      <c r="AJ18" s="17">
        <f>AI18+預測IC!AJ18</f>
        <v>-0.18882477185096977</v>
      </c>
      <c r="AK18" s="17">
        <f>AJ18+預測IC!AK18</f>
        <v>-0.15867229125334378</v>
      </c>
      <c r="AL18" s="17">
        <f>AK18+預測IC!AL18</f>
        <v>-0.11114452762108605</v>
      </c>
      <c r="AM18" s="17">
        <f>AL18+預測IC!AM18</f>
        <v>-4.4501122196314843E-2</v>
      </c>
      <c r="AN18" s="17">
        <f>AM18+預測IC!AN18</f>
        <v>3.4793517758886949E-2</v>
      </c>
      <c r="AO18" s="17">
        <f>AN18+預測IC!AO18</f>
        <v>4.0221052726579734E-2</v>
      </c>
      <c r="AP18" s="17">
        <f>AO18+預測IC!AP18</f>
        <v>-3.8057539207227237E-2</v>
      </c>
      <c r="AQ18" s="17">
        <f>AP18+預測IC!AQ18</f>
        <v>-0.11428838453367718</v>
      </c>
      <c r="AR18" s="17">
        <f>AQ18+預測IC!AR18</f>
        <v>1.0257121829267024E-2</v>
      </c>
      <c r="AS18" s="17">
        <f>AR18+預測IC!AS18</f>
        <v>-3.5116163885018675E-2</v>
      </c>
      <c r="AT18" s="17">
        <f>AS18+預測IC!AT18</f>
        <v>8.2094859355600069E-3</v>
      </c>
      <c r="AU18" s="17">
        <f>AT18+預測IC!AU18</f>
        <v>7.278513001515155E-2</v>
      </c>
      <c r="AV18" s="17">
        <f>AU18+預測IC!AV18</f>
        <v>4.4016374133434351E-2</v>
      </c>
      <c r="AW18" s="17">
        <f>AV18+預測IC!AW18</f>
        <v>6.8554408374541811E-2</v>
      </c>
      <c r="AX18" s="17">
        <f>AW18+預測IC!AX18</f>
        <v>0.1761152766303779</v>
      </c>
      <c r="AY18" s="17">
        <f>AX18+預測IC!AY18</f>
        <v>0.21089855527152598</v>
      </c>
      <c r="AZ18" s="17">
        <f>AY18+預測IC!AZ18</f>
        <v>6.2489472882626879E-2</v>
      </c>
      <c r="BA18" s="17">
        <f>AZ18+預測IC!BA18</f>
        <v>6.312178380731244E-2</v>
      </c>
      <c r="BB18" s="17">
        <f>BA18+預測IC!BB18</f>
        <v>0.20077782596464955</v>
      </c>
      <c r="BC18" s="17">
        <f>BB18+預測IC!BC18</f>
        <v>0.28397939855797016</v>
      </c>
      <c r="BD18" s="17">
        <f>BC18+預測IC!BD18</f>
        <v>0.25996312687066975</v>
      </c>
      <c r="BE18" s="17">
        <f>BD18+預測IC!BE18</f>
        <v>0.3283243401088326</v>
      </c>
      <c r="BF18" s="17">
        <f>BE18+預測IC!BF18</f>
        <v>0.37420887640841144</v>
      </c>
      <c r="BG18" s="17">
        <f>BF18+預測IC!BG18</f>
        <v>0.35740263518220727</v>
      </c>
      <c r="BH18" s="17">
        <f>BG18+預測IC!BH18</f>
        <v>0.3779064882460127</v>
      </c>
      <c r="BI18" s="17">
        <f>BH18+預測IC!BI18</f>
        <v>0.48690649516467838</v>
      </c>
      <c r="BJ18" s="17">
        <f>BI18+預測IC!BJ18</f>
        <v>0.49286255921513794</v>
      </c>
      <c r="BK18" s="17">
        <f>BJ18+預測IC!BK18</f>
        <v>0.43485931504493536</v>
      </c>
      <c r="BL18" s="17">
        <f>BK18+預測IC!BL18</f>
        <v>0.51601698886513947</v>
      </c>
      <c r="BM18" s="17">
        <f>BL18+預測IC!BM18</f>
        <v>0.61879092792857904</v>
      </c>
      <c r="BN18" s="17">
        <f>BM18+預測IC!BN18</f>
        <v>0.54058078507143614</v>
      </c>
      <c r="BO18" s="17">
        <f>BN18+預測IC!BO18</f>
        <v>0.56080828117781079</v>
      </c>
      <c r="BP18" s="17">
        <f>BO18+預測IC!BP18</f>
        <v>0.60766582151249282</v>
      </c>
      <c r="BQ18" s="17">
        <f>BP18+預測IC!BQ18</f>
        <v>0.60958260562234179</v>
      </c>
      <c r="BR18" s="17">
        <f>BQ18+預測IC!BR18</f>
        <v>0.60383441203838706</v>
      </c>
      <c r="BS18" s="17">
        <f>BR18+預測IC!BS18</f>
        <v>0.59985078694126781</v>
      </c>
      <c r="BT18" s="17">
        <f>BS18+預測IC!BT18</f>
        <v>0.71508753497715438</v>
      </c>
      <c r="BU18" s="17">
        <f>BT18+預測IC!BU18</f>
        <v>0.63441009093711354</v>
      </c>
      <c r="BV18" s="17">
        <f>BU18+預測IC!BV18</f>
        <v>0.71533348621415593</v>
      </c>
      <c r="BW18" s="17">
        <f>BV18+預測IC!BW18</f>
        <v>0.63002239928096049</v>
      </c>
      <c r="BX18" s="17">
        <f>BW18+預測IC!BX18</f>
        <v>0.64904087399699617</v>
      </c>
      <c r="BY18" s="17">
        <f>BX18+預測IC!BY18</f>
        <v>0.52596589817297135</v>
      </c>
      <c r="BZ18" s="17">
        <f>BY18+預測IC!BZ18</f>
        <v>0.67928588597556949</v>
      </c>
      <c r="CA18" s="17">
        <f>BZ18+預測IC!CA18</f>
        <v>0.66320934208270865</v>
      </c>
      <c r="CB18" s="17">
        <f>CA18+預測IC!CB18</f>
        <v>0.63863198547026034</v>
      </c>
      <c r="CC18" s="17">
        <f>CB18+預測IC!CC18</f>
        <v>0.6104585414508602</v>
      </c>
      <c r="CD18" s="17">
        <f>CC18+預測IC!CD18</f>
        <v>0.80417536009769086</v>
      </c>
      <c r="CE18" s="17">
        <f>CD18+預測IC!CE18</f>
        <v>0.88143521724054796</v>
      </c>
      <c r="CF18" s="17">
        <f>CE18+預測IC!CF18</f>
        <v>0.77957621724054793</v>
      </c>
      <c r="CG18" s="17">
        <f>CF18+預測IC!CG18</f>
        <v>0.77677485830113246</v>
      </c>
      <c r="CH18" s="17">
        <f>CG18+預測IC!CH18</f>
        <v>0.93943190498836571</v>
      </c>
      <c r="CI18" s="17">
        <f>CH18+預測IC!CI18</f>
        <v>0.90056276511067623</v>
      </c>
      <c r="CJ18" s="17">
        <f>CI18+預測IC!CJ18</f>
        <v>0.83824908728576653</v>
      </c>
      <c r="CK18" s="17">
        <f>CJ18+預測IC!CK18</f>
        <v>0.92891687157805025</v>
      </c>
      <c r="CL18" s="17">
        <f>CK18+預測IC!CL18</f>
        <v>0.89792732651985718</v>
      </c>
      <c r="CM18" s="17">
        <f>CL18+預測IC!CM18</f>
        <v>0.79515861223414286</v>
      </c>
      <c r="CN18" s="17">
        <f>CM18+預測IC!CN18</f>
        <v>0.76007235825596631</v>
      </c>
      <c r="CO18" s="17">
        <f>CN18+預測IC!CO18</f>
        <v>0.98835435825596629</v>
      </c>
      <c r="CP18" s="17">
        <f>CO18+預測IC!CP18</f>
        <v>0.97285621539882339</v>
      </c>
      <c r="CQ18" s="17">
        <f>CP18+預測IC!CQ18</f>
        <v>1.020832751807091</v>
      </c>
      <c r="CR18" s="17">
        <f>CQ18+預測IC!CR18</f>
        <v>1.075988880523683</v>
      </c>
      <c r="CS18" s="17">
        <f>CR18+預測IC!CS18</f>
        <v>1.1041181662379687</v>
      </c>
      <c r="CT18" s="17">
        <f>CS18+預測IC!CT18</f>
        <v>1.1809890233808258</v>
      </c>
      <c r="CU18" s="17">
        <f>CT18+預測IC!CU18</f>
        <v>1.18573073766654</v>
      </c>
      <c r="CV18" s="17">
        <f>CU18+預測IC!CV18</f>
        <v>1.2486751662379687</v>
      </c>
      <c r="CW18" s="17">
        <f>CV18+預測IC!CW18</f>
        <v>1.2203457376665401</v>
      </c>
      <c r="CX18" s="17">
        <f>CW18+預測IC!CX18</f>
        <v>1.2062664519522543</v>
      </c>
      <c r="CY18" s="17">
        <f>CX18+預測IC!CY18</f>
        <v>1.154909038177472</v>
      </c>
      <c r="CZ18" s="17">
        <f>CY18+預測IC!CZ18</f>
        <v>1.3593214667489006</v>
      </c>
      <c r="DA18" s="17">
        <f>CZ18+預測IC!DA18</f>
        <v>1.4376793238917578</v>
      </c>
      <c r="DB18" s="17">
        <f>DA18+預測IC!DB18</f>
        <v>1.5557933238917578</v>
      </c>
      <c r="DC18" s="17">
        <f>DB18+預測IC!DC18</f>
        <v>1.6050018953203293</v>
      </c>
      <c r="DD18" s="17">
        <f>DC18+預測IC!DD18</f>
        <v>1.5225395418249152</v>
      </c>
      <c r="DE18" s="17">
        <f>DD18+預測IC!DE18</f>
        <v>1.483232827539201</v>
      </c>
      <c r="DF18" s="17">
        <f>DE18+預測IC!DF18</f>
        <v>1.8499263989677726</v>
      </c>
      <c r="DG18" s="17">
        <f>DF18+預測IC!DG18</f>
        <v>1.7951556846820582</v>
      </c>
      <c r="DH18" s="17">
        <f>DG18+預測IC!DH18</f>
        <v>1.9875582561106295</v>
      </c>
      <c r="DI18" s="17">
        <f>DH18+預測IC!DI18</f>
        <v>2.0855211132534865</v>
      </c>
      <c r="DJ18" s="17">
        <f>DI18+預測IC!DJ18</f>
        <v>2.1361761132534864</v>
      </c>
      <c r="DK18" s="17">
        <f>DJ18+預測IC!DK18</f>
        <v>2.0296502561106293</v>
      </c>
      <c r="DL18" s="17">
        <f>DK18+預測IC!DL18</f>
        <v>2.0062406846820577</v>
      </c>
      <c r="DM18" s="17">
        <f>DL18+預測IC!DM18</f>
        <v>2.0646973989677719</v>
      </c>
      <c r="DN18" s="17">
        <f>DM18+預測IC!DN18</f>
        <v>2.007824256110629</v>
      </c>
      <c r="DO18" s="17">
        <f>DN18+預測IC!DO18</f>
        <v>2.2281438275392005</v>
      </c>
      <c r="DP18" s="17">
        <f>DO18+預測IC!DP18</f>
        <v>2.2066339703963433</v>
      </c>
      <c r="DQ18" s="17">
        <f>DP18+預測IC!DQ18</f>
        <v>2.1446792561106292</v>
      </c>
      <c r="DR18" s="17">
        <f>DQ18+預測IC!DR18</f>
        <v>2.22151991088259</v>
      </c>
      <c r="DS18" s="17">
        <f>DR18+預測IC!DS18</f>
        <v>2.0737979124308574</v>
      </c>
      <c r="DT18" s="17">
        <f>DS18+預測IC!DT18</f>
        <v>2.0663901981451431</v>
      </c>
      <c r="DU18" s="17">
        <f>DT18+預測IC!DU18</f>
        <v>1.9076747695737146</v>
      </c>
      <c r="DV18" s="17">
        <f>DU18+預測IC!DV18</f>
        <v>1.9930806267165717</v>
      </c>
      <c r="DW18" s="17">
        <f>DV18+預測IC!DW18</f>
        <v>1.9244427695737145</v>
      </c>
      <c r="DX18" s="17">
        <f>DW18+預測IC!DX18</f>
        <v>1.9862264838594288</v>
      </c>
      <c r="DY18" s="17">
        <f>DX18+預測IC!DY18</f>
        <v>2.1230587695737144</v>
      </c>
      <c r="DZ18" s="17">
        <f>DY18+預測IC!DZ18</f>
        <v>2.1776884838594288</v>
      </c>
      <c r="EA18" s="17">
        <f>DZ18+預測IC!EA18</f>
        <v>2.3766357695737144</v>
      </c>
      <c r="EB18" s="17">
        <f>EA18+預測IC!EB18</f>
        <v>2.2795907695737143</v>
      </c>
      <c r="EC18" s="17">
        <f>EB18+預測IC!EC18</f>
        <v>2.2823548849990858</v>
      </c>
      <c r="ED18" s="17">
        <f>EC18+預測IC!ED18</f>
        <v>2.1718768631333201</v>
      </c>
      <c r="EE18" s="17">
        <f>ED18+預測IC!EE18</f>
        <v>2.1707665774190343</v>
      </c>
      <c r="EF18" s="17">
        <f>EE18+預測IC!EF18</f>
        <v>2.2347184345618913</v>
      </c>
    </row>
    <row r="19" spans="1:136">
      <c r="A19" s="2">
        <v>160</v>
      </c>
      <c r="B19" s="2">
        <v>6</v>
      </c>
      <c r="C19" s="19">
        <v>0.1966</v>
      </c>
      <c r="D19" s="17">
        <f>C19+預測IC!D19</f>
        <v>0.17642920054580424</v>
      </c>
      <c r="E19" s="17">
        <f>D19+預測IC!E19</f>
        <v>0.12153110677839207</v>
      </c>
      <c r="F19" s="17">
        <f>E19+預測IC!F19</f>
        <v>8.2884424892147993E-2</v>
      </c>
      <c r="G19" s="17">
        <f>F19+預測IC!G19</f>
        <v>-1.4627665669452131E-2</v>
      </c>
      <c r="H19" s="17">
        <f>G19+預測IC!H19</f>
        <v>0.13426645636639517</v>
      </c>
      <c r="I19" s="17">
        <f>H19+預測IC!I19</f>
        <v>0.26892078925786167</v>
      </c>
      <c r="J19" s="17">
        <f>I19+預測IC!J19</f>
        <v>0.30435037377805269</v>
      </c>
      <c r="K19" s="17">
        <f>J19+預測IC!K19</f>
        <v>-0.11398747719158153</v>
      </c>
      <c r="L19" s="17">
        <f>K19+預測IC!L19</f>
        <v>-7.0938519556415502E-2</v>
      </c>
      <c r="M19" s="17">
        <f>L19+預測IC!M19</f>
        <v>1.5271819469702214E-2</v>
      </c>
      <c r="N19" s="17">
        <f>M19+預測IC!N19</f>
        <v>0.11061970515968311</v>
      </c>
      <c r="O19" s="17">
        <f>N19+預測IC!O19</f>
        <v>0.20284108817914032</v>
      </c>
      <c r="P19" s="17">
        <f>O19+預測IC!P19</f>
        <v>0.11030690199244321</v>
      </c>
      <c r="Q19" s="17">
        <f>P19+預測IC!Q19</f>
        <v>-8.6856186272076683E-2</v>
      </c>
      <c r="R19" s="17">
        <f>Q19+預測IC!R19</f>
        <v>-0.17715527690293298</v>
      </c>
      <c r="S19" s="17">
        <f>R19+預測IC!S19</f>
        <v>-0.36131539360054099</v>
      </c>
      <c r="T19" s="17">
        <f>S19+預測IC!T19</f>
        <v>-0.38846967158684009</v>
      </c>
      <c r="U19" s="17">
        <f>T19+預測IC!U19</f>
        <v>-0.52416801021876336</v>
      </c>
      <c r="V19" s="17">
        <f>U19+預測IC!V19</f>
        <v>-0.48754932243331206</v>
      </c>
      <c r="W19" s="17">
        <f>V19+預測IC!W19</f>
        <v>-0.34092833171580195</v>
      </c>
      <c r="X19" s="17">
        <f>W19+預測IC!X19</f>
        <v>-0.22428928645170854</v>
      </c>
      <c r="Y19" s="17">
        <f>X19+預測IC!Y19</f>
        <v>-0.19866064892355204</v>
      </c>
      <c r="Z19" s="17">
        <f>Y19+預測IC!Z19</f>
        <v>-0.10704153834752847</v>
      </c>
      <c r="AA19" s="17">
        <f>Z19+預測IC!AA19</f>
        <v>-0.14861172288568419</v>
      </c>
      <c r="AB19" s="17">
        <f>AA19+預測IC!AB19</f>
        <v>-4.63581170017415E-2</v>
      </c>
      <c r="AC19" s="17">
        <f>AB19+預測IC!AC19</f>
        <v>-1.7905282360050179E-2</v>
      </c>
      <c r="AD19" s="17">
        <f>AC19+預測IC!AD19</f>
        <v>1.7183646227900154E-2</v>
      </c>
      <c r="AE19" s="17">
        <f>AD19+預測IC!AE19</f>
        <v>-0.15223241476988963</v>
      </c>
      <c r="AF19" s="17">
        <f>AE19+預測IC!AF19</f>
        <v>-0.11344674796098989</v>
      </c>
      <c r="AG19" s="17">
        <f>AF19+預測IC!AG19</f>
        <v>-9.1310528888442072E-2</v>
      </c>
      <c r="AH19" s="17">
        <f>AG19+預測IC!AH19</f>
        <v>-0.1074018622217754</v>
      </c>
      <c r="AI19" s="17">
        <f>AH19+預測IC!AI19</f>
        <v>-1.5852528888442075E-2</v>
      </c>
      <c r="AJ19" s="17">
        <f>AI19+預測IC!AJ19</f>
        <v>-3.6861955551087452E-3</v>
      </c>
      <c r="AK19" s="17">
        <f>AJ19+預測IC!AK19</f>
        <v>3.8658469508439652E-3</v>
      </c>
      <c r="AL19" s="17">
        <f>AK19+預測IC!AL19</f>
        <v>7.4136792621649517E-2</v>
      </c>
      <c r="AM19" s="17">
        <f>AL19+預測IC!AM19</f>
        <v>0.11724280443305446</v>
      </c>
      <c r="AN19" s="17">
        <f>AM19+預測IC!AN19</f>
        <v>0.20081109879873654</v>
      </c>
      <c r="AO19" s="17">
        <f>AN19+預測IC!AO19</f>
        <v>0.22670400184415096</v>
      </c>
      <c r="AP19" s="17">
        <f>AO19+預測IC!AP19</f>
        <v>0.13912988157129888</v>
      </c>
      <c r="AQ19" s="17">
        <f>AP19+預測IC!AQ19</f>
        <v>5.0877124510648228E-2</v>
      </c>
      <c r="AR19" s="17">
        <f>AQ19+預測IC!AR19</f>
        <v>0.20439468682350564</v>
      </c>
      <c r="AS19" s="17">
        <f>AR19+預測IC!AS19</f>
        <v>0.20070768682350565</v>
      </c>
      <c r="AT19" s="17">
        <f>AS19+預測IC!AT19</f>
        <v>0.25000266858920694</v>
      </c>
      <c r="AU19" s="17">
        <f>AT19+預測IC!AU19</f>
        <v>0.32643138430286112</v>
      </c>
      <c r="AV19" s="17">
        <f>AU19+預測IC!AV19</f>
        <v>0.27639836360588321</v>
      </c>
      <c r="AW19" s="17">
        <f>AV19+預測IC!AW19</f>
        <v>0.2987545317600197</v>
      </c>
      <c r="AX19" s="17">
        <f>AW19+預測IC!AX19</f>
        <v>0.37896094607043257</v>
      </c>
      <c r="AY19" s="17">
        <f>AX19+預測IC!AY19</f>
        <v>0.40848991646381239</v>
      </c>
      <c r="AZ19" s="17">
        <f>AY19+預測IC!AZ19</f>
        <v>0.22161029829563808</v>
      </c>
      <c r="BA19" s="17">
        <f>AZ19+預測IC!BA19</f>
        <v>0.18724641434156505</v>
      </c>
      <c r="BB19" s="17">
        <f>BA19+預測IC!BB19</f>
        <v>0.34699261341399668</v>
      </c>
      <c r="BC19" s="17">
        <f>BB19+預測IC!BC19</f>
        <v>0.41104809976018242</v>
      </c>
      <c r="BD19" s="17">
        <f>BC19+預測IC!BD19</f>
        <v>0.40781370713011428</v>
      </c>
      <c r="BE19" s="17">
        <f>BD19+預測IC!BE19</f>
        <v>0.45894558109378081</v>
      </c>
      <c r="BF19" s="17">
        <f>BE19+預測IC!BF19</f>
        <v>0.47251655524291941</v>
      </c>
      <c r="BG19" s="17">
        <f>BF19+預測IC!BG19</f>
        <v>0.45617289691007723</v>
      </c>
      <c r="BH19" s="17">
        <f>BG19+預測IC!BH19</f>
        <v>0.4581910986115082</v>
      </c>
      <c r="BI19" s="17">
        <f>BH19+預測IC!BI19</f>
        <v>0.58598972743072686</v>
      </c>
      <c r="BJ19" s="17">
        <f>BI19+預測IC!BJ19</f>
        <v>0.60769702896930611</v>
      </c>
      <c r="BK19" s="17">
        <f>BJ19+預測IC!BK19</f>
        <v>0.55594750287731376</v>
      </c>
      <c r="BL19" s="17">
        <f>BK19+預測IC!BL19</f>
        <v>0.63591216102381687</v>
      </c>
      <c r="BM19" s="17">
        <f>BL19+預測IC!BM19</f>
        <v>0.75016276128251258</v>
      </c>
      <c r="BN19" s="17">
        <f>BM19+預測IC!BN19</f>
        <v>0.66874759461584588</v>
      </c>
      <c r="BO19" s="17">
        <f>BN19+預測IC!BO19</f>
        <v>0.69447655588096124</v>
      </c>
      <c r="BP19" s="17">
        <f>BO19+預測IC!BP19</f>
        <v>0.7572953634150934</v>
      </c>
      <c r="BQ19" s="17">
        <f>BP19+預測IC!BQ19</f>
        <v>0.76722940786941651</v>
      </c>
      <c r="BR19" s="17">
        <f>BQ19+預測IC!BR19</f>
        <v>0.7739046538929365</v>
      </c>
      <c r="BS19" s="17">
        <f>BR19+預測IC!BS19</f>
        <v>0.74964831514845442</v>
      </c>
      <c r="BT19" s="17">
        <f>BS19+預測IC!BT19</f>
        <v>0.89128099500202784</v>
      </c>
      <c r="BU19" s="17">
        <f>BT19+預測IC!BU19</f>
        <v>0.81534474376778976</v>
      </c>
      <c r="BV19" s="17">
        <f>BU19+預測IC!BV19</f>
        <v>0.90899998492113609</v>
      </c>
      <c r="BW19" s="17">
        <f>BV19+預測IC!BW19</f>
        <v>0.80003302353749106</v>
      </c>
      <c r="BX19" s="17">
        <f>BW19+預測IC!BX19</f>
        <v>0.83412080880934936</v>
      </c>
      <c r="BY19" s="17">
        <f>BX19+預測IC!BY19</f>
        <v>0.72647107225370111</v>
      </c>
      <c r="BZ19" s="17">
        <f>BY19+預測IC!BZ19</f>
        <v>0.79517319707575496</v>
      </c>
      <c r="CA19" s="17">
        <f>BZ19+預測IC!CA19</f>
        <v>0.76584444185198042</v>
      </c>
      <c r="CB19" s="17">
        <f>CA19+預測IC!CB19</f>
        <v>0.71780327334373561</v>
      </c>
      <c r="CC19" s="17">
        <f>CB19+預測IC!CC19</f>
        <v>0.69308002057790818</v>
      </c>
      <c r="CD19" s="17">
        <f>CC19+預測IC!CD19</f>
        <v>0.90869921867162606</v>
      </c>
      <c r="CE19" s="17">
        <f>CD19+預測IC!CE19</f>
        <v>0.99717338533829269</v>
      </c>
      <c r="CF19" s="17">
        <f>CE19+預測IC!CF19</f>
        <v>0.88547471867162597</v>
      </c>
      <c r="CG19" s="17">
        <f>CF19+預測IC!CG19</f>
        <v>0.83484118865697243</v>
      </c>
      <c r="CH19" s="17">
        <f>CG19+預測IC!CH19</f>
        <v>0.98773105570689879</v>
      </c>
      <c r="CI19" s="17">
        <f>CH19+預測IC!CI19</f>
        <v>0.95066410954670355</v>
      </c>
      <c r="CJ19" s="17">
        <f>CI19+預測IC!CJ19</f>
        <v>0.88872360958066743</v>
      </c>
      <c r="CK19" s="17">
        <f>CJ19+預測IC!CK19</f>
        <v>0.99269132739776567</v>
      </c>
      <c r="CL19" s="17">
        <f>CK19+預測IC!CL19</f>
        <v>0.94945104742297581</v>
      </c>
      <c r="CM19" s="17">
        <f>CL19+預測IC!CM19</f>
        <v>0.83921588075630915</v>
      </c>
      <c r="CN19" s="17">
        <f>CM19+預測IC!CN19</f>
        <v>0.76228322608900567</v>
      </c>
      <c r="CO19" s="17">
        <f>CN19+預測IC!CO19</f>
        <v>1.0135188927556724</v>
      </c>
      <c r="CP19" s="17">
        <f>CO19+預測IC!CP19</f>
        <v>0.98448189275567244</v>
      </c>
      <c r="CQ19" s="17">
        <f>CP19+預測IC!CQ19</f>
        <v>0.98175198460111046</v>
      </c>
      <c r="CR19" s="17">
        <f>CQ19+預測IC!CR19</f>
        <v>1.031446174153513</v>
      </c>
      <c r="CS19" s="17">
        <f>CR19+預測IC!CS19</f>
        <v>1.0752218408201797</v>
      </c>
      <c r="CT19" s="17">
        <f>CS19+預測IC!CT19</f>
        <v>1.1016438408201796</v>
      </c>
      <c r="CU19" s="17">
        <f>CT19+預測IC!CU19</f>
        <v>1.1088011741535129</v>
      </c>
      <c r="CV19" s="17">
        <f>CU19+預測IC!CV19</f>
        <v>1.1849446741535128</v>
      </c>
      <c r="CW19" s="17">
        <f>CV19+預測IC!CW19</f>
        <v>1.1527511741535128</v>
      </c>
      <c r="CX19" s="17">
        <f>CW19+預測IC!CX19</f>
        <v>1.1538786741535128</v>
      </c>
      <c r="CY19" s="17">
        <f>CX19+預測IC!CY19</f>
        <v>1.0829568045891431</v>
      </c>
      <c r="CZ19" s="17">
        <f>CY19+預測IC!CZ19</f>
        <v>1.2409713045891431</v>
      </c>
      <c r="DA19" s="17">
        <f>CZ19+預測IC!DA19</f>
        <v>1.316153804589143</v>
      </c>
      <c r="DB19" s="17">
        <f>DA19+預測IC!DB19</f>
        <v>1.464114804589143</v>
      </c>
      <c r="DC19" s="17">
        <f>DB19+預測IC!DC19</f>
        <v>1.4943914712558097</v>
      </c>
      <c r="DD19" s="17">
        <f>DC19+預測IC!DD19</f>
        <v>1.388134135301009</v>
      </c>
      <c r="DE19" s="17">
        <f>DD19+預測IC!DE19</f>
        <v>1.3821286353010092</v>
      </c>
      <c r="DF19" s="17">
        <f>DE19+預測IC!DF19</f>
        <v>1.5876314686343425</v>
      </c>
      <c r="DG19" s="17">
        <f>DF19+預測IC!DG19</f>
        <v>1.5212569686343425</v>
      </c>
      <c r="DH19" s="17">
        <f>DG19+預測IC!DH19</f>
        <v>1.7458483019676758</v>
      </c>
      <c r="DI19" s="17">
        <f>DH19+預測IC!DI19</f>
        <v>1.8543099686343425</v>
      </c>
      <c r="DJ19" s="17">
        <f>DI19+預測IC!DJ19</f>
        <v>1.9348103019676759</v>
      </c>
      <c r="DK19" s="17">
        <f>DJ19+預測IC!DK19</f>
        <v>1.8133696353010091</v>
      </c>
      <c r="DL19" s="17">
        <f>DK19+預測IC!DL19</f>
        <v>1.7900568019676759</v>
      </c>
      <c r="DM19" s="17">
        <f>DL19+預測IC!DM19</f>
        <v>1.8473566353010091</v>
      </c>
      <c r="DN19" s="17">
        <f>DM19+預測IC!DN19</f>
        <v>1.7830646353010091</v>
      </c>
      <c r="DO19" s="17">
        <f>DN19+預測IC!DO19</f>
        <v>2.032325801967676</v>
      </c>
      <c r="DP19" s="17">
        <f>DO19+預測IC!DP19</f>
        <v>2.0283243019676758</v>
      </c>
      <c r="DQ19" s="17">
        <f>DP19+預測IC!DQ19</f>
        <v>1.9777018019676758</v>
      </c>
      <c r="DR19" s="17">
        <f>DQ19+預測IC!DR19</f>
        <v>2.0536641552927239</v>
      </c>
      <c r="DS19" s="17">
        <f>DR19+預測IC!DS19</f>
        <v>1.8756686083387537</v>
      </c>
      <c r="DT19" s="17">
        <f>DS19+預測IC!DT19</f>
        <v>1.8725921083387538</v>
      </c>
      <c r="DU19" s="17">
        <f>DT19+預測IC!DU19</f>
        <v>1.7220096083387537</v>
      </c>
      <c r="DV19" s="17">
        <f>DU19+預測IC!DV19</f>
        <v>1.7601367750054204</v>
      </c>
      <c r="DW19" s="17">
        <f>DV19+預測IC!DW19</f>
        <v>1.6588397750054205</v>
      </c>
      <c r="DX19" s="17">
        <f>DW19+預測IC!DX19</f>
        <v>1.7671042750054204</v>
      </c>
      <c r="DY19" s="17">
        <f>DX19+預測IC!DY19</f>
        <v>1.9063522750054205</v>
      </c>
      <c r="DZ19" s="17">
        <f>DY19+預測IC!DZ19</f>
        <v>1.9848897750054204</v>
      </c>
      <c r="EA19" s="17">
        <f>DZ19+預測IC!EA19</f>
        <v>2.217937441672087</v>
      </c>
      <c r="EB19" s="17">
        <f>EA19+預測IC!EB19</f>
        <v>2.111688941672087</v>
      </c>
      <c r="EC19" s="17">
        <f>EB19+預測IC!EC19</f>
        <v>2.0994988984483847</v>
      </c>
      <c r="ED19" s="17">
        <f>EC19+預測IC!ED19</f>
        <v>1.9485635814582278</v>
      </c>
      <c r="EE19" s="17">
        <f>ED19+預測IC!EE19</f>
        <v>1.9558699147915612</v>
      </c>
      <c r="EF19" s="17">
        <f>EE19+預測IC!EF19</f>
        <v>2.0298899147915614</v>
      </c>
    </row>
    <row r="20" spans="1:136">
      <c r="A20" s="2">
        <v>192</v>
      </c>
      <c r="B20" s="2">
        <v>5</v>
      </c>
      <c r="C20" s="19">
        <v>0.20155100000000001</v>
      </c>
      <c r="D20" s="17">
        <f>C20+預測IC!D20</f>
        <v>0.20190271826374556</v>
      </c>
      <c r="E20" s="17">
        <f>D20+預測IC!E20</f>
        <v>0.21740270640807954</v>
      </c>
      <c r="F20" s="17">
        <f>E20+預測IC!F20</f>
        <v>0.12618428423603356</v>
      </c>
      <c r="G20" s="17">
        <f>F20+預測IC!G20</f>
        <v>2.5818372317169658E-2</v>
      </c>
      <c r="H20" s="17">
        <f>G20+預測IC!H20</f>
        <v>0.19019037044583956</v>
      </c>
      <c r="I20" s="17">
        <f>H20+預測IC!I20</f>
        <v>0.34833993304694122</v>
      </c>
      <c r="J20" s="17">
        <f>I20+預測IC!J20</f>
        <v>0.38281119177379747</v>
      </c>
      <c r="K20" s="17">
        <f>J20+預測IC!K20</f>
        <v>0.29270253765112347</v>
      </c>
      <c r="L20" s="17">
        <f>K20+預測IC!L20</f>
        <v>0.38841117315565921</v>
      </c>
      <c r="M20" s="17">
        <f>L20+預測IC!M20</f>
        <v>0.48854458751974522</v>
      </c>
      <c r="N20" s="17">
        <f>M20+預測IC!N20</f>
        <v>0.59046951656538516</v>
      </c>
      <c r="O20" s="17">
        <f>N20+預測IC!O20</f>
        <v>0.68957100070985888</v>
      </c>
      <c r="P20" s="17">
        <f>O20+預測IC!P20</f>
        <v>0.59840107304133361</v>
      </c>
      <c r="Q20" s="17">
        <f>P20+預測IC!Q20</f>
        <v>0.38167533403835507</v>
      </c>
      <c r="R20" s="17">
        <f>Q20+預測IC!R20</f>
        <v>0.27242227840088629</v>
      </c>
      <c r="S20" s="17">
        <f>R20+預測IC!S20</f>
        <v>0.11723966007314368</v>
      </c>
      <c r="T20" s="17">
        <f>S20+預測IC!T20</f>
        <v>0.13290257059240304</v>
      </c>
      <c r="U20" s="17">
        <f>T20+預測IC!U20</f>
        <v>-1.5747109525371866E-2</v>
      </c>
      <c r="V20" s="17">
        <f>U20+預測IC!V20</f>
        <v>-3.1030064081829269E-3</v>
      </c>
      <c r="W20" s="17">
        <f>V20+預測IC!W20</f>
        <v>0.16998236976939798</v>
      </c>
      <c r="X20" s="17">
        <f>W20+預測IC!X20</f>
        <v>0.31867957102653155</v>
      </c>
      <c r="Y20" s="17">
        <f>X20+預測IC!Y20</f>
        <v>0.36074706056512879</v>
      </c>
      <c r="Z20" s="17">
        <f>Y20+預測IC!Z20</f>
        <v>0.4663640210487881</v>
      </c>
      <c r="AA20" s="17">
        <f>Z20+預測IC!AA20</f>
        <v>0.444769467661491</v>
      </c>
      <c r="AB20" s="17">
        <f>AA20+預測IC!AB20</f>
        <v>0.52952930838766421</v>
      </c>
      <c r="AC20" s="17">
        <f>AB20+預測IC!AC20</f>
        <v>0.58597265402818377</v>
      </c>
      <c r="AD20" s="17">
        <f>AC20+預測IC!AD20</f>
        <v>0.62042655688001347</v>
      </c>
      <c r="AE20" s="17">
        <f>AD20+預測IC!AE20</f>
        <v>0.42113369254091559</v>
      </c>
      <c r="AF20" s="17">
        <f>AE20+預測IC!AF20</f>
        <v>0.46017837092849556</v>
      </c>
      <c r="AG20" s="17">
        <f>AF20+預測IC!AG20</f>
        <v>0.48783758946838784</v>
      </c>
      <c r="AH20" s="17">
        <f>AG20+預測IC!AH20</f>
        <v>0.46002858946838787</v>
      </c>
      <c r="AI20" s="17">
        <f>AH20+預測IC!AI20</f>
        <v>0.5763657894683879</v>
      </c>
      <c r="AJ20" s="17">
        <f>AI20+預測IC!AJ20</f>
        <v>0.59360638946838784</v>
      </c>
      <c r="AK20" s="17">
        <f>AJ20+預測IC!AK20</f>
        <v>0.58001127397238494</v>
      </c>
      <c r="AL20" s="17">
        <f>AK20+預測IC!AL20</f>
        <v>0.65290472600936189</v>
      </c>
      <c r="AM20" s="17">
        <f>AL20+預測IC!AM20</f>
        <v>0.68600070675816449</v>
      </c>
      <c r="AN20" s="17">
        <f>AM20+預測IC!AN20</f>
        <v>0.7614709002771628</v>
      </c>
      <c r="AO20" s="17">
        <f>AN20+預測IC!AO20</f>
        <v>0.80675598224185119</v>
      </c>
      <c r="AP20" s="17">
        <f>AO20+預測IC!AP20</f>
        <v>0.6750255209864634</v>
      </c>
      <c r="AQ20" s="17">
        <f>AP20+預測IC!AQ20</f>
        <v>0.70247800631941448</v>
      </c>
      <c r="AR20" s="17">
        <f>AQ20+預測IC!AR20</f>
        <v>0.87252701099833874</v>
      </c>
      <c r="AS20" s="17">
        <f>AR20+預測IC!AS20</f>
        <v>0.85538421099833872</v>
      </c>
      <c r="AT20" s="17">
        <f>AS20+預測IC!AT20</f>
        <v>0.86124298475854455</v>
      </c>
      <c r="AU20" s="17">
        <f>AT20+預測IC!AU20</f>
        <v>0.93693537165367036</v>
      </c>
      <c r="AV20" s="17">
        <f>AU20+預測IC!AV20</f>
        <v>0.8823096578711922</v>
      </c>
      <c r="AW20" s="17">
        <f>AV20+預測IC!AW20</f>
        <v>0.88917492605034321</v>
      </c>
      <c r="AX20" s="17">
        <f>AW20+預測IC!AX20</f>
        <v>0.99990747404904479</v>
      </c>
      <c r="AY20" s="17">
        <f>AX20+預測IC!AY20</f>
        <v>1.0385821724919542</v>
      </c>
      <c r="AZ20" s="17">
        <f>AY20+預測IC!AZ20</f>
        <v>0.82477974131486542</v>
      </c>
      <c r="BA20" s="17">
        <f>AZ20+預測IC!BA20</f>
        <v>0.78798087645432491</v>
      </c>
      <c r="BB20" s="17">
        <f>BA20+預測IC!BB20</f>
        <v>0.95563629983089426</v>
      </c>
      <c r="BC20" s="17">
        <f>BB20+預測IC!BC20</f>
        <v>1.0262418675086344</v>
      </c>
      <c r="BD20" s="17">
        <f>BC20+預測IC!BD20</f>
        <v>0.9728120542870371</v>
      </c>
      <c r="BE20" s="17">
        <f>BD20+預測IC!BE20</f>
        <v>0.96686525714777671</v>
      </c>
      <c r="BF20" s="17">
        <f>BE20+預測IC!BF20</f>
        <v>0.97255383947910545</v>
      </c>
      <c r="BG20" s="17">
        <f>BF20+預測IC!BG20</f>
        <v>0.96562769677041205</v>
      </c>
      <c r="BH20" s="17">
        <f>BG20+預測IC!BH20</f>
        <v>0.89402124965630103</v>
      </c>
      <c r="BI20" s="17">
        <f>BH20+預測IC!BI20</f>
        <v>1.025766516741476</v>
      </c>
      <c r="BJ20" s="17">
        <f>BI20+預測IC!BJ20</f>
        <v>1.0473960285746626</v>
      </c>
      <c r="BK20" s="17">
        <f>BJ20+預測IC!BK20</f>
        <v>0.98816286073183535</v>
      </c>
      <c r="BL20" s="17">
        <f>BK20+預測IC!BL20</f>
        <v>1.07445509190829</v>
      </c>
      <c r="BM20" s="17">
        <f>BL20+預測IC!BM20</f>
        <v>1.2113727532367284</v>
      </c>
      <c r="BN20" s="17">
        <f>BM20+預測IC!BN20</f>
        <v>1.2300087532367285</v>
      </c>
      <c r="BO20" s="17">
        <f>BN20+預測IC!BO20</f>
        <v>1.1915470357207494</v>
      </c>
      <c r="BP20" s="17">
        <f>BO20+預測IC!BP20</f>
        <v>1.2519545564837045</v>
      </c>
      <c r="BQ20" s="17">
        <f>BP20+預測IC!BQ20</f>
        <v>1.2674062634445475</v>
      </c>
      <c r="BR20" s="17">
        <f>BQ20+預測IC!BR20</f>
        <v>1.2794798951750201</v>
      </c>
      <c r="BS20" s="17">
        <f>BR20+預測IC!BS20</f>
        <v>1.2848874013662113</v>
      </c>
      <c r="BT20" s="17">
        <f>BS20+預測IC!BT20</f>
        <v>1.4326904345448586</v>
      </c>
      <c r="BU20" s="17">
        <f>BT20+預測IC!BU20</f>
        <v>1.3339354851771519</v>
      </c>
      <c r="BV20" s="17">
        <f>BU20+預測IC!BV20</f>
        <v>1.449853816740224</v>
      </c>
      <c r="BW20" s="17">
        <f>BV20+預測IC!BW20</f>
        <v>1.3143505649277478</v>
      </c>
      <c r="BX20" s="17">
        <f>BW20+預測IC!BX20</f>
        <v>1.345044201610992</v>
      </c>
      <c r="BY20" s="17">
        <f>BX20+預測IC!BY20</f>
        <v>1.2398102352416887</v>
      </c>
      <c r="BZ20" s="17">
        <f>BY20+預測IC!BZ20</f>
        <v>1.3300816395019723</v>
      </c>
      <c r="CA20" s="17">
        <f>BZ20+預測IC!CA20</f>
        <v>1.2899789114502194</v>
      </c>
      <c r="CB20" s="17">
        <f>CA20+預測IC!CB20</f>
        <v>1.2517269614392914</v>
      </c>
      <c r="CC20" s="17">
        <f>CB20+預測IC!CC20</f>
        <v>1.2256839276562264</v>
      </c>
      <c r="CD20" s="17">
        <f>CC20+預測IC!CD20</f>
        <v>1.4067114251468236</v>
      </c>
      <c r="CE20" s="17">
        <f>CD20+預測IC!CE20</f>
        <v>1.4924888251468236</v>
      </c>
      <c r="CF20" s="17">
        <f>CE20+預測IC!CF20</f>
        <v>1.3612804251468236</v>
      </c>
      <c r="CG20" s="17">
        <f>CF20+預測IC!CG20</f>
        <v>1.2622275366167348</v>
      </c>
      <c r="CH20" s="17">
        <f>CG20+預測IC!CH20</f>
        <v>1.3340915622138732</v>
      </c>
      <c r="CI20" s="17">
        <f>CH20+預測IC!CI20</f>
        <v>1.3036968884447913</v>
      </c>
      <c r="CJ20" s="17">
        <f>CI20+預測IC!CJ20</f>
        <v>1.1802565685574402</v>
      </c>
      <c r="CK20" s="17">
        <f>CJ20+預測IC!CK20</f>
        <v>1.2712349653075468</v>
      </c>
      <c r="CL20" s="17">
        <f>CK20+預測IC!CL20</f>
        <v>1.1790500311184178</v>
      </c>
      <c r="CM20" s="17">
        <f>CL20+預測IC!CM20</f>
        <v>1.0822758311184177</v>
      </c>
      <c r="CN20" s="17">
        <f>CM20+預測IC!CN20</f>
        <v>1.1044352424889023</v>
      </c>
      <c r="CO20" s="17">
        <f>CN20+預測IC!CO20</f>
        <v>1.4010086424889023</v>
      </c>
      <c r="CP20" s="17">
        <f>CO20+預測IC!CP20</f>
        <v>1.4084328424889023</v>
      </c>
      <c r="CQ20" s="17">
        <f>CP20+預測IC!CQ20</f>
        <v>1.4145442004179645</v>
      </c>
      <c r="CR20" s="17">
        <f>CQ20+預測IC!CR20</f>
        <v>1.4876604449238149</v>
      </c>
      <c r="CS20" s="17">
        <f>CR20+預測IC!CS20</f>
        <v>1.5099542449238148</v>
      </c>
      <c r="CT20" s="17">
        <f>CS20+預測IC!CT20</f>
        <v>1.5383696449238147</v>
      </c>
      <c r="CU20" s="17">
        <f>CT20+預測IC!CU20</f>
        <v>1.5485924449238146</v>
      </c>
      <c r="CV20" s="17">
        <f>CU20+預測IC!CV20</f>
        <v>1.6455966449238146</v>
      </c>
      <c r="CW20" s="17">
        <f>CV20+預測IC!CW20</f>
        <v>1.6197784449238146</v>
      </c>
      <c r="CX20" s="17">
        <f>CW20+預測IC!CX20</f>
        <v>1.6291654449238147</v>
      </c>
      <c r="CY20" s="17">
        <f>CX20+預測IC!CY20</f>
        <v>1.6166857122555178</v>
      </c>
      <c r="CZ20" s="17">
        <f>CY20+預測IC!CZ20</f>
        <v>1.7449891122555179</v>
      </c>
      <c r="DA20" s="17">
        <f>CZ20+預測IC!DA20</f>
        <v>1.822070712255518</v>
      </c>
      <c r="DB20" s="17">
        <f>DA20+預測IC!DB20</f>
        <v>1.899037712255518</v>
      </c>
      <c r="DC20" s="17">
        <f>DB20+預測IC!DC20</f>
        <v>1.927939712255518</v>
      </c>
      <c r="DD20" s="17">
        <f>DC20+預測IC!DD20</f>
        <v>1.7798308979166955</v>
      </c>
      <c r="DE20" s="17">
        <f>DD20+預測IC!DE20</f>
        <v>1.7493644979166956</v>
      </c>
      <c r="DF20" s="17">
        <f>DE20+預測IC!DF20</f>
        <v>1.9949398979166957</v>
      </c>
      <c r="DG20" s="17">
        <f>DF20+預測IC!DG20</f>
        <v>1.9425940979166956</v>
      </c>
      <c r="DH20" s="17">
        <f>DG20+預測IC!DH20</f>
        <v>2.2208936979166953</v>
      </c>
      <c r="DI20" s="17">
        <f>DH20+預測IC!DI20</f>
        <v>2.3584896979166952</v>
      </c>
      <c r="DJ20" s="17">
        <f>DI20+預測IC!DJ20</f>
        <v>2.439767097916695</v>
      </c>
      <c r="DK20" s="17">
        <f>DJ20+預測IC!DK20</f>
        <v>2.3545824979166952</v>
      </c>
      <c r="DL20" s="17">
        <f>DK20+預測IC!DL20</f>
        <v>2.3647690979166951</v>
      </c>
      <c r="DM20" s="17">
        <f>DL20+預測IC!DM20</f>
        <v>2.4341048979166953</v>
      </c>
      <c r="DN20" s="17">
        <f>DM20+預測IC!DN20</f>
        <v>2.3696464979166953</v>
      </c>
      <c r="DO20" s="17">
        <f>DN20+預測IC!DO20</f>
        <v>2.6276474979166955</v>
      </c>
      <c r="DP20" s="17">
        <f>DO20+預測IC!DP20</f>
        <v>2.6059776979166953</v>
      </c>
      <c r="DQ20" s="17">
        <f>DP20+預測IC!DQ20</f>
        <v>2.5674386979166952</v>
      </c>
      <c r="DR20" s="17">
        <f>DQ20+預測IC!DR20</f>
        <v>2.6459513579449858</v>
      </c>
      <c r="DS20" s="17">
        <f>DR20+預測IC!DS20</f>
        <v>2.4398702603666313</v>
      </c>
      <c r="DT20" s="17">
        <f>DS20+預測IC!DT20</f>
        <v>2.4446990603666312</v>
      </c>
      <c r="DU20" s="17">
        <f>DT20+預測IC!DU20</f>
        <v>2.268323260366631</v>
      </c>
      <c r="DV20" s="17">
        <f>DU20+預測IC!DV20</f>
        <v>2.2381330603666312</v>
      </c>
      <c r="DW20" s="17">
        <f>DV20+預測IC!DW20</f>
        <v>2.1345864603666311</v>
      </c>
      <c r="DX20" s="17">
        <f>DW20+預測IC!DX20</f>
        <v>2.2805706603666311</v>
      </c>
      <c r="DY20" s="17">
        <f>DX20+預測IC!DY20</f>
        <v>2.4021612603666309</v>
      </c>
      <c r="DZ20" s="17">
        <f>DY20+預測IC!DZ20</f>
        <v>2.4923606603666308</v>
      </c>
      <c r="EA20" s="17">
        <f>DZ20+預測IC!EA20</f>
        <v>2.7860518603666309</v>
      </c>
      <c r="EB20" s="17">
        <f>EA20+預測IC!EB20</f>
        <v>2.6797374603666309</v>
      </c>
      <c r="EC20" s="17">
        <f>EB20+預測IC!EC20</f>
        <v>2.7137870417805727</v>
      </c>
      <c r="ED20" s="17">
        <f>EC20+預測IC!ED20</f>
        <v>2.5368681807135625</v>
      </c>
      <c r="EE20" s="17">
        <f>ED20+預測IC!EE20</f>
        <v>2.5386097807135624</v>
      </c>
      <c r="EF20" s="17">
        <f>EE20+預測IC!EF20</f>
        <v>2.6244097807135622</v>
      </c>
    </row>
    <row r="21" spans="1:136">
      <c r="A21" s="2">
        <v>241</v>
      </c>
      <c r="B21" s="2">
        <v>4</v>
      </c>
      <c r="C21" s="19">
        <v>0.21463099999999999</v>
      </c>
      <c r="D21" s="17">
        <f>C21+預測IC!D21</f>
        <v>0.21426329060484078</v>
      </c>
      <c r="E21" s="17">
        <f>D21+預測IC!E21</f>
        <v>0.21398393833404894</v>
      </c>
      <c r="F21" s="17">
        <f>E21+預測IC!F21</f>
        <v>0.16288645448764072</v>
      </c>
      <c r="G21" s="17">
        <f>F21+預測IC!G21</f>
        <v>0.15559031645978927</v>
      </c>
      <c r="H21" s="17">
        <f>G21+預測IC!H21</f>
        <v>0.35425837743955507</v>
      </c>
      <c r="I21" s="17">
        <f>H21+預測IC!I21</f>
        <v>0.50151398556702809</v>
      </c>
      <c r="J21" s="17">
        <f>I21+預測IC!J21</f>
        <v>0.56194931125867043</v>
      </c>
      <c r="K21" s="17">
        <f>J21+預測IC!K21</f>
        <v>0.47297629390464835</v>
      </c>
      <c r="L21" s="17">
        <f>K21+預測IC!L21</f>
        <v>0.58265590135887824</v>
      </c>
      <c r="M21" s="17">
        <f>L21+預測IC!M21</f>
        <v>0.65831655128563882</v>
      </c>
      <c r="N21" s="17">
        <f>M21+預測IC!N21</f>
        <v>0.75790396340858035</v>
      </c>
      <c r="O21" s="17">
        <f>N21+預測IC!O21</f>
        <v>0.88768642193893388</v>
      </c>
      <c r="P21" s="17">
        <f>O21+預測IC!P21</f>
        <v>0.74291382104924897</v>
      </c>
      <c r="Q21" s="17">
        <f>P21+預測IC!Q21</f>
        <v>0.4856037469549967</v>
      </c>
      <c r="R21" s="17">
        <f>Q21+預測IC!R21</f>
        <v>0.39002843584836649</v>
      </c>
      <c r="S21" s="17">
        <f>R21+預測IC!S21</f>
        <v>0.26143815039840951</v>
      </c>
      <c r="T21" s="17">
        <f>S21+預測IC!T21</f>
        <v>0.24739778605820459</v>
      </c>
      <c r="U21" s="17">
        <f>T21+預測IC!U21</f>
        <v>0.16111936844644659</v>
      </c>
      <c r="V21" s="17">
        <f>U21+預測IC!V21</f>
        <v>0.21467698781247779</v>
      </c>
      <c r="W21" s="17">
        <f>V21+預測IC!W21</f>
        <v>0.3724654674279404</v>
      </c>
      <c r="X21" s="17">
        <f>W21+預測IC!X21</f>
        <v>0.56980264601158703</v>
      </c>
      <c r="Y21" s="17">
        <f>X21+預測IC!Y21</f>
        <v>0.59063572890402183</v>
      </c>
      <c r="Z21" s="17">
        <f>Y21+預測IC!Z21</f>
        <v>0.70483971612674634</v>
      </c>
      <c r="AA21" s="17">
        <f>Z21+預測IC!AA21</f>
        <v>0.72433075966684024</v>
      </c>
      <c r="AB21" s="17">
        <f>AA21+預測IC!AB21</f>
        <v>0.85417034206391007</v>
      </c>
      <c r="AC21" s="17">
        <f>AB21+預測IC!AC21</f>
        <v>0.92847147185593248</v>
      </c>
      <c r="AD21" s="17">
        <f>AC21+預測IC!AD21</f>
        <v>0.9751688964086781</v>
      </c>
      <c r="AE21" s="17">
        <f>AD21+預測IC!AE21</f>
        <v>0.73471278591549138</v>
      </c>
      <c r="AF21" s="17">
        <f>AE21+預測IC!AF21</f>
        <v>0.78783839580205439</v>
      </c>
      <c r="AG21" s="17">
        <f>AF21+預測IC!AG21</f>
        <v>0.83214117359184847</v>
      </c>
      <c r="AH21" s="17">
        <f>AG21+預測IC!AH21</f>
        <v>0.78873192359184852</v>
      </c>
      <c r="AI21" s="17">
        <f>AH21+預測IC!AI21</f>
        <v>0.89085617359184854</v>
      </c>
      <c r="AJ21" s="17">
        <f>AI21+預測IC!AJ21</f>
        <v>0.89603967359184855</v>
      </c>
      <c r="AK21" s="17">
        <f>AJ21+預測IC!AK21</f>
        <v>0.86023650597373846</v>
      </c>
      <c r="AL21" s="17">
        <f>AK21+預測IC!AL21</f>
        <v>0.92561632870684907</v>
      </c>
      <c r="AM21" s="17">
        <f>AL21+預測IC!AM21</f>
        <v>0.99415213615447962</v>
      </c>
      <c r="AN21" s="17">
        <f>AM21+預測IC!AN21</f>
        <v>1.1061081922175739</v>
      </c>
      <c r="AO21" s="17">
        <f>AN21+預測IC!AO21</f>
        <v>1.1538345878613006</v>
      </c>
      <c r="AP21" s="17">
        <f>AO21+預測IC!AP21</f>
        <v>1.0812994442912813</v>
      </c>
      <c r="AQ21" s="17">
        <f>AP21+預測IC!AQ21</f>
        <v>1.1581649513018291</v>
      </c>
      <c r="AR21" s="17">
        <f>AQ21+預測IC!AR21</f>
        <v>1.3633472295323104</v>
      </c>
      <c r="AS21" s="17">
        <f>AR21+預測IC!AS21</f>
        <v>1.3803952295323103</v>
      </c>
      <c r="AT21" s="17">
        <f>AS21+預測IC!AT21</f>
        <v>1.3779023182551553</v>
      </c>
      <c r="AU21" s="17">
        <f>AT21+預測IC!AU21</f>
        <v>1.4257119497641124</v>
      </c>
      <c r="AV21" s="17">
        <f>AU21+預測IC!AV21</f>
        <v>1.3701911697019786</v>
      </c>
      <c r="AW21" s="17">
        <f>AV21+預測IC!AW21</f>
        <v>1.3799821996560759</v>
      </c>
      <c r="AX21" s="17">
        <f>AW21+預測IC!AX21</f>
        <v>1.5231298871258327</v>
      </c>
      <c r="AY21" s="17">
        <f>AX21+預測IC!AY21</f>
        <v>1.5701511781038708</v>
      </c>
      <c r="AZ21" s="17">
        <f>AY21+預測IC!AZ21</f>
        <v>1.3152399082067343</v>
      </c>
      <c r="BA21" s="17">
        <f>AZ21+預測IC!BA21</f>
        <v>1.2442077265586484</v>
      </c>
      <c r="BB21" s="17">
        <f>BA21+預測IC!BB21</f>
        <v>1.4695538615969865</v>
      </c>
      <c r="BC21" s="17">
        <f>BB21+預測IC!BC21</f>
        <v>1.5078750093221804</v>
      </c>
      <c r="BD21" s="17">
        <f>BC21+預測IC!BD21</f>
        <v>1.4861241459515526</v>
      </c>
      <c r="BE21" s="17">
        <f>BD21+預測IC!BE21</f>
        <v>1.4924746793489541</v>
      </c>
      <c r="BF21" s="17">
        <f>BE21+預測IC!BF21</f>
        <v>1.4960517795293888</v>
      </c>
      <c r="BG21" s="17">
        <f>BF21+預測IC!BG21</f>
        <v>1.5326869687462015</v>
      </c>
      <c r="BH21" s="17">
        <f>BG21+預測IC!BH21</f>
        <v>1.4563656056074461</v>
      </c>
      <c r="BI21" s="17">
        <f>BH21+預測IC!BI21</f>
        <v>1.6223352017858379</v>
      </c>
      <c r="BJ21" s="17">
        <f>BI21+預測IC!BJ21</f>
        <v>1.6459142279675556</v>
      </c>
      <c r="BK21" s="17">
        <f>BJ21+預測IC!BK21</f>
        <v>1.5774643475880208</v>
      </c>
      <c r="BL21" s="17">
        <f>BK21+預測IC!BL21</f>
        <v>1.7201854402343706</v>
      </c>
      <c r="BM21" s="17">
        <f>BL21+預測IC!BM21</f>
        <v>1.8753054441554704</v>
      </c>
      <c r="BN21" s="17">
        <f>BM21+預測IC!BN21</f>
        <v>1.9010936941554704</v>
      </c>
      <c r="BO21" s="17">
        <f>BN21+預測IC!BO21</f>
        <v>1.8372364577417901</v>
      </c>
      <c r="BP21" s="17">
        <f>BO21+預測IC!BP21</f>
        <v>1.9417455871612044</v>
      </c>
      <c r="BQ21" s="17">
        <f>BP21+預測IC!BQ21</f>
        <v>1.9962878179957093</v>
      </c>
      <c r="BR21" s="17">
        <f>BQ21+預測IC!BR21</f>
        <v>2.0086116801795737</v>
      </c>
      <c r="BS21" s="17">
        <f>BR21+預測IC!BS21</f>
        <v>2.0144718529347498</v>
      </c>
      <c r="BT21" s="17">
        <f>BS21+預測IC!BT21</f>
        <v>2.1467165469091927</v>
      </c>
      <c r="BU21" s="17">
        <f>BT21+預測IC!BU21</f>
        <v>2.0112200847106236</v>
      </c>
      <c r="BV21" s="17">
        <f>BU21+預測IC!BV21</f>
        <v>2.153363084896077</v>
      </c>
      <c r="BW21" s="17">
        <f>BV21+預測IC!BW21</f>
        <v>2.0066838879603459</v>
      </c>
      <c r="BX21" s="17">
        <f>BW21+預測IC!BX21</f>
        <v>2.0036930686759318</v>
      </c>
      <c r="BY21" s="17">
        <f>BX21+預測IC!BY21</f>
        <v>1.9533132174578152</v>
      </c>
      <c r="BZ21" s="17">
        <f>BY21+預測IC!BZ21</f>
        <v>2.0009761461785307</v>
      </c>
      <c r="CA21" s="17">
        <f>BZ21+預測IC!CA21</f>
        <v>1.9404585428761323</v>
      </c>
      <c r="CB21" s="17">
        <f>CA21+預測IC!CB21</f>
        <v>1.8770371516778741</v>
      </c>
      <c r="CC21" s="17">
        <f>CB21+預測IC!CC21</f>
        <v>1.830343602208911</v>
      </c>
      <c r="CD21" s="17">
        <f>CC21+預測IC!CD21</f>
        <v>2.118399666571384</v>
      </c>
      <c r="CE21" s="17">
        <f>CD21+預測IC!CE21</f>
        <v>2.1799141665713839</v>
      </c>
      <c r="CF21" s="17">
        <f>CE21+預測IC!CF21</f>
        <v>2.0527461665713838</v>
      </c>
      <c r="CG21" s="17">
        <f>CF21+預測IC!CG21</f>
        <v>1.9089949774136978</v>
      </c>
      <c r="CH21" s="17">
        <f>CG21+預測IC!CH21</f>
        <v>1.9890952984899095</v>
      </c>
      <c r="CI21" s="17">
        <f>CH21+預測IC!CI21</f>
        <v>1.9085956820989272</v>
      </c>
      <c r="CJ21" s="17">
        <f>CI21+預測IC!CJ21</f>
        <v>1.8229679250824249</v>
      </c>
      <c r="CK21" s="17">
        <f>CJ21+預測IC!CK21</f>
        <v>1.9500184718125591</v>
      </c>
      <c r="CL21" s="17">
        <f>CK21+預測IC!CL21</f>
        <v>1.8161280471895944</v>
      </c>
      <c r="CM21" s="17">
        <f>CL21+預測IC!CM21</f>
        <v>1.6998977971895943</v>
      </c>
      <c r="CN21" s="17">
        <f>CM21+預測IC!CN21</f>
        <v>1.7304366873933699</v>
      </c>
      <c r="CO21" s="17">
        <f>CN21+預測IC!CO21</f>
        <v>2.0659196873933698</v>
      </c>
      <c r="CP21" s="17">
        <f>CO21+預測IC!CP21</f>
        <v>1.9696669373933697</v>
      </c>
      <c r="CQ21" s="17">
        <f>CP21+預測IC!CQ21</f>
        <v>1.9729550291184605</v>
      </c>
      <c r="CR21" s="17">
        <f>CQ21+預測IC!CR21</f>
        <v>2.0637793070981401</v>
      </c>
      <c r="CS21" s="17">
        <f>CR21+預測IC!CS21</f>
        <v>2.0946865570981399</v>
      </c>
      <c r="CT21" s="17">
        <f>CS21+預測IC!CT21</f>
        <v>2.1426813070981399</v>
      </c>
      <c r="CU21" s="17">
        <f>CT21+預測IC!CU21</f>
        <v>2.1446785570981399</v>
      </c>
      <c r="CV21" s="17">
        <f>CU21+預測IC!CV21</f>
        <v>2.2763063070981397</v>
      </c>
      <c r="CW21" s="17">
        <f>CV21+預測IC!CW21</f>
        <v>2.2455535570981398</v>
      </c>
      <c r="CX21" s="17">
        <f>CW21+預測IC!CX21</f>
        <v>2.2589523070981397</v>
      </c>
      <c r="CY21" s="17">
        <f>CX21+預測IC!CY21</f>
        <v>2.2504703906942254</v>
      </c>
      <c r="CZ21" s="17">
        <f>CY21+預測IC!CZ21</f>
        <v>2.4407671406942253</v>
      </c>
      <c r="DA21" s="17">
        <f>CZ21+預測IC!DA21</f>
        <v>2.4824768906942252</v>
      </c>
      <c r="DB21" s="17">
        <f>DA21+預測IC!DB21</f>
        <v>2.5539363906942252</v>
      </c>
      <c r="DC21" s="17">
        <f>DB21+預測IC!DC21</f>
        <v>2.602246390694225</v>
      </c>
      <c r="DD21" s="17">
        <f>DC21+預測IC!DD21</f>
        <v>2.723569079562874</v>
      </c>
      <c r="DE21" s="17">
        <f>DD21+預測IC!DE21</f>
        <v>2.668850079562874</v>
      </c>
      <c r="DF21" s="17">
        <f>DE21+預測IC!DF21</f>
        <v>2.9700018295628738</v>
      </c>
      <c r="DG21" s="17">
        <f>DF21+預測IC!DG21</f>
        <v>2.9105910795628738</v>
      </c>
      <c r="DH21" s="17">
        <f>DG21+預測IC!DH21</f>
        <v>2.992028079562874</v>
      </c>
      <c r="DI21" s="17">
        <f>DH21+預測IC!DI21</f>
        <v>3.171868079562874</v>
      </c>
      <c r="DJ21" s="17">
        <f>DI21+預測IC!DJ21</f>
        <v>3.2451713295628739</v>
      </c>
      <c r="DK21" s="17">
        <f>DJ21+預測IC!DK21</f>
        <v>3.1542780795628738</v>
      </c>
      <c r="DL21" s="17">
        <f>DK21+預測IC!DL21</f>
        <v>3.1864858295628737</v>
      </c>
      <c r="DM21" s="17">
        <f>DL21+預測IC!DM21</f>
        <v>3.2114740795628736</v>
      </c>
      <c r="DN21" s="17">
        <f>DM21+預測IC!DN21</f>
        <v>3.1646023295628734</v>
      </c>
      <c r="DO21" s="17">
        <f>DN21+預測IC!DO21</f>
        <v>3.4962285795628736</v>
      </c>
      <c r="DP21" s="17">
        <f>DO21+預測IC!DP21</f>
        <v>3.4591218295628736</v>
      </c>
      <c r="DQ21" s="17">
        <f>DP21+預測IC!DQ21</f>
        <v>3.4309065795628735</v>
      </c>
      <c r="DR21" s="17">
        <f>DQ21+預測IC!DR21</f>
        <v>3.4810774385999541</v>
      </c>
      <c r="DS21" s="17">
        <f>DR21+預測IC!DS21</f>
        <v>3.2802379647626587</v>
      </c>
      <c r="DT21" s="17">
        <f>DS21+預測IC!DT21</f>
        <v>3.2705284647626587</v>
      </c>
      <c r="DU21" s="17">
        <f>DT21+預測IC!DU21</f>
        <v>3.1219137147626586</v>
      </c>
      <c r="DV21" s="17">
        <f>DU21+預測IC!DV21</f>
        <v>3.0722527147626586</v>
      </c>
      <c r="DW21" s="17">
        <f>DV21+預測IC!DW21</f>
        <v>2.9687167147626585</v>
      </c>
      <c r="DX21" s="17">
        <f>DW21+預測IC!DX21</f>
        <v>3.0832314647626586</v>
      </c>
      <c r="DY21" s="17">
        <f>DX21+預測IC!DY21</f>
        <v>3.2499614647626585</v>
      </c>
      <c r="DZ21" s="17">
        <f>DY21+預測IC!DZ21</f>
        <v>3.3488914647626586</v>
      </c>
      <c r="EA21" s="17">
        <f>DZ21+預測IC!EA21</f>
        <v>3.6149492147626585</v>
      </c>
      <c r="EB21" s="17">
        <f>EA21+預測IC!EB21</f>
        <v>3.5116512147626584</v>
      </c>
      <c r="EC21" s="17">
        <f>EB21+預測IC!EC21</f>
        <v>3.5256882698607006</v>
      </c>
      <c r="ED21" s="17">
        <f>EC21+預測IC!ED21</f>
        <v>3.4711894135125201</v>
      </c>
      <c r="EE21" s="17">
        <f>ED21+預測IC!EE21</f>
        <v>3.4498794135125199</v>
      </c>
      <c r="EF21" s="17">
        <f>EE21+預測IC!EF21</f>
        <v>3.47867391351252</v>
      </c>
    </row>
    <row r="22" spans="1:136">
      <c r="A22" s="2">
        <v>321</v>
      </c>
      <c r="B22" s="2">
        <v>3</v>
      </c>
      <c r="C22" s="19">
        <v>0.20528299999999999</v>
      </c>
      <c r="D22" s="17">
        <f>C22+預測IC!D22</f>
        <v>0.16060210309651346</v>
      </c>
      <c r="E22" s="17">
        <f>D22+預測IC!E22</f>
        <v>0.11957457109589441</v>
      </c>
      <c r="F22" s="17">
        <f>E22+預測IC!F22</f>
        <v>2.2140575516907957E-2</v>
      </c>
      <c r="G22" s="17">
        <f>F22+預測IC!G22</f>
        <v>-1.0814248732890656E-2</v>
      </c>
      <c r="H22" s="17">
        <f>G22+預測IC!H22</f>
        <v>0.16793521475473225</v>
      </c>
      <c r="I22" s="17">
        <f>H22+預測IC!I22</f>
        <v>0.29142838409280203</v>
      </c>
      <c r="J22" s="17">
        <f>I22+預測IC!J22</f>
        <v>0.34402697335814492</v>
      </c>
      <c r="K22" s="17">
        <f>J22+預測IC!K22</f>
        <v>0.19074020270363562</v>
      </c>
      <c r="L22" s="17">
        <f>K22+預測IC!L22</f>
        <v>0.3619235621295368</v>
      </c>
      <c r="M22" s="17">
        <f>L22+預測IC!M22</f>
        <v>0.1367649570659551</v>
      </c>
      <c r="N22" s="17">
        <f>M22+預測IC!N22</f>
        <v>0.27004537608920159</v>
      </c>
      <c r="O22" s="17">
        <f>N22+預測IC!O22</f>
        <v>0.41352572209347399</v>
      </c>
      <c r="P22" s="17">
        <f>O22+預測IC!P22</f>
        <v>0.34074283796465699</v>
      </c>
      <c r="Q22" s="17">
        <f>P22+預測IC!Q22</f>
        <v>6.3965944131605168E-2</v>
      </c>
      <c r="R22" s="17">
        <f>Q22+預測IC!R22</f>
        <v>2.7337509860017116E-2</v>
      </c>
      <c r="S22" s="17">
        <f>R22+預測IC!S22</f>
        <v>-0.14230904569792346</v>
      </c>
      <c r="T22" s="17">
        <f>S22+預測IC!T22</f>
        <v>-0.1625476581747575</v>
      </c>
      <c r="U22" s="17">
        <f>T22+預測IC!U22</f>
        <v>-0.2731376815772617</v>
      </c>
      <c r="V22" s="17">
        <f>U22+預測IC!V22</f>
        <v>-0.23485090505740619</v>
      </c>
      <c r="W22" s="17">
        <f>V22+預測IC!W22</f>
        <v>-2.7370638033108796E-2</v>
      </c>
      <c r="X22" s="17">
        <f>W22+預測IC!X22</f>
        <v>0.18752940969645621</v>
      </c>
      <c r="Y22" s="17">
        <f>X22+預測IC!Y22</f>
        <v>0.20326161810997725</v>
      </c>
      <c r="Z22" s="17">
        <f>Y22+預測IC!Z22</f>
        <v>0.27880988725582329</v>
      </c>
      <c r="AA22" s="17">
        <f>Z22+預測IC!AA22</f>
        <v>0.28585790414268003</v>
      </c>
      <c r="AB22" s="17">
        <f>AA22+預測IC!AB22</f>
        <v>0.42029411685600554</v>
      </c>
      <c r="AC22" s="17">
        <f>AB22+預測IC!AC22</f>
        <v>0.49471449769643294</v>
      </c>
      <c r="AD22" s="17">
        <f>AC22+預測IC!AD22</f>
        <v>0.50718180036700544</v>
      </c>
      <c r="AE22" s="17">
        <f>AD22+預測IC!AE22</f>
        <v>0.27856068876063123</v>
      </c>
      <c r="AF22" s="17">
        <f>AE22+預測IC!AF22</f>
        <v>0.32574300491865538</v>
      </c>
      <c r="AG22" s="17">
        <f>AF22+預測IC!AG22</f>
        <v>0.37858454509438927</v>
      </c>
      <c r="AH22" s="17">
        <f>AG22+預測IC!AH22</f>
        <v>0.37907121176105596</v>
      </c>
      <c r="AI22" s="17">
        <f>AH22+預測IC!AI22</f>
        <v>0.49007587842772266</v>
      </c>
      <c r="AJ22" s="17">
        <f>AI22+預測IC!AJ22</f>
        <v>0.50315721176105599</v>
      </c>
      <c r="AK22" s="17">
        <f>AJ22+預測IC!AK22</f>
        <v>0.60444577250145171</v>
      </c>
      <c r="AL22" s="17">
        <f>AK22+預測IC!AL22</f>
        <v>0.64478673930835206</v>
      </c>
      <c r="AM22" s="17">
        <f>AL22+預測IC!AM22</f>
        <v>0.72887564277605565</v>
      </c>
      <c r="AN22" s="17">
        <f>AM22+預測IC!AN22</f>
        <v>0.84000845243961497</v>
      </c>
      <c r="AO22" s="17">
        <f>AN22+預測IC!AO22</f>
        <v>0.91472582583332063</v>
      </c>
      <c r="AP22" s="17">
        <f>AO22+預測IC!AP22</f>
        <v>0.8521894719453279</v>
      </c>
      <c r="AQ22" s="17">
        <f>AP22+預測IC!AQ22</f>
        <v>0.93161558942392109</v>
      </c>
      <c r="AR22" s="17">
        <f>AQ22+預測IC!AR22</f>
        <v>1.1821482675823036</v>
      </c>
      <c r="AS22" s="17">
        <f>AR22+預測IC!AS22</f>
        <v>1.3467389342489704</v>
      </c>
      <c r="AT22" s="17">
        <f>AS22+預測IC!AT22</f>
        <v>1.321602572408944</v>
      </c>
      <c r="AU22" s="17">
        <f>AT22+預測IC!AU22</f>
        <v>1.3551030243198139</v>
      </c>
      <c r="AV22" s="17">
        <f>AU22+預測IC!AV22</f>
        <v>1.2952898476439338</v>
      </c>
      <c r="AW22" s="17">
        <f>AV22+預測IC!AW22</f>
        <v>1.2651404584369248</v>
      </c>
      <c r="AX22" s="17">
        <f>AW22+預測IC!AX22</f>
        <v>1.4389038584169489</v>
      </c>
      <c r="AY22" s="17">
        <f>AX22+預測IC!AY22</f>
        <v>1.5106372437511795</v>
      </c>
      <c r="AZ22" s="17">
        <f>AY22+預測IC!AZ22</f>
        <v>1.3557334654300273</v>
      </c>
      <c r="BA22" s="17">
        <f>AZ22+預測IC!BA22</f>
        <v>1.3101350402625653</v>
      </c>
      <c r="BB22" s="17">
        <f>BA22+預測IC!BB22</f>
        <v>1.6120649848029882</v>
      </c>
      <c r="BC22" s="17">
        <f>BB22+預測IC!BC22</f>
        <v>1.4812280466800329</v>
      </c>
      <c r="BD22" s="17">
        <f>BC22+預測IC!BD22</f>
        <v>1.4590538652142047</v>
      </c>
      <c r="BE22" s="17">
        <f>BD22+預測IC!BE22</f>
        <v>1.4812700486086852</v>
      </c>
      <c r="BF22" s="17">
        <f>BE22+預測IC!BF22</f>
        <v>1.4949088659470049</v>
      </c>
      <c r="BG22" s="17">
        <f>BF22+預測IC!BG22</f>
        <v>1.541188378115391</v>
      </c>
      <c r="BH22" s="17">
        <f>BG22+預測IC!BH22</f>
        <v>1.4132278357772592</v>
      </c>
      <c r="BI22" s="17">
        <f>BH22+預測IC!BI22</f>
        <v>1.5243165551871662</v>
      </c>
      <c r="BJ22" s="17">
        <f>BI22+預測IC!BJ22</f>
        <v>1.5793129703378872</v>
      </c>
      <c r="BK22" s="17">
        <f>BJ22+預測IC!BK22</f>
        <v>1.537473334404222</v>
      </c>
      <c r="BL22" s="17">
        <f>BK22+預測IC!BL22</f>
        <v>1.6992536734752572</v>
      </c>
      <c r="BM22" s="17">
        <f>BL22+預測IC!BM22</f>
        <v>1.8910507129313043</v>
      </c>
      <c r="BN22" s="17">
        <f>BM22+預測IC!BN22</f>
        <v>1.9739850462646378</v>
      </c>
      <c r="BO22" s="17">
        <f>BN22+預測IC!BO22</f>
        <v>1.9235006171518874</v>
      </c>
      <c r="BP22" s="17">
        <f>BO22+預測IC!BP22</f>
        <v>1.9983361673069937</v>
      </c>
      <c r="BQ22" s="17">
        <f>BP22+預測IC!BQ22</f>
        <v>2.0261662647053065</v>
      </c>
      <c r="BR22" s="17">
        <f>BQ22+預測IC!BR22</f>
        <v>2.0469798741717593</v>
      </c>
      <c r="BS22" s="17">
        <f>BR22+預測IC!BS22</f>
        <v>2.0306070917949604</v>
      </c>
      <c r="BT22" s="17">
        <f>BS22+預測IC!BT22</f>
        <v>2.1611377951315065</v>
      </c>
      <c r="BU22" s="17">
        <f>BT22+預測IC!BU22</f>
        <v>1.9481890289934962</v>
      </c>
      <c r="BV22" s="17">
        <f>BU22+預測IC!BV22</f>
        <v>2.1067330013911052</v>
      </c>
      <c r="BW22" s="17">
        <f>BV22+預測IC!BW22</f>
        <v>1.932064503463498</v>
      </c>
      <c r="BX22" s="17">
        <f>BW22+預測IC!BX22</f>
        <v>1.9687019491554705</v>
      </c>
      <c r="BY22" s="17">
        <f>BX22+預測IC!BY22</f>
        <v>1.9639551627527359</v>
      </c>
      <c r="BZ22" s="17">
        <f>BY22+預測IC!BZ22</f>
        <v>2.0112128986156281</v>
      </c>
      <c r="CA22" s="17">
        <f>BZ22+預測IC!CA22</f>
        <v>1.9837228201353045</v>
      </c>
      <c r="CB22" s="17">
        <f>CA22+預測IC!CB22</f>
        <v>1.8347295418893779</v>
      </c>
      <c r="CC22" s="17">
        <f>CB22+預測IC!CC22</f>
        <v>1.8197438384512215</v>
      </c>
      <c r="CD22" s="17">
        <f>CC22+預測IC!CD22</f>
        <v>2.1536218751639442</v>
      </c>
      <c r="CE22" s="17">
        <f>CD22+預測IC!CE22</f>
        <v>2.2204618751639442</v>
      </c>
      <c r="CF22" s="17">
        <f>CE22+預測IC!CF22</f>
        <v>2.0648912084972775</v>
      </c>
      <c r="CG22" s="17">
        <f>CF22+預測IC!CG22</f>
        <v>1.8616281162946904</v>
      </c>
      <c r="CH22" s="17">
        <f>CG22+預測IC!CH22</f>
        <v>1.9775468875741387</v>
      </c>
      <c r="CI22" s="17">
        <f>CH22+預測IC!CI22</f>
        <v>1.8597671412957795</v>
      </c>
      <c r="CJ22" s="17">
        <f>CI22+預測IC!CJ22</f>
        <v>1.7563876362062167</v>
      </c>
      <c r="CK22" s="17">
        <f>CJ22+預測IC!CK22</f>
        <v>1.7925509788108991</v>
      </c>
      <c r="CL22" s="17">
        <f>CK22+預測IC!CL22</f>
        <v>1.5518991801858584</v>
      </c>
      <c r="CM22" s="17">
        <f>CL22+預測IC!CM22</f>
        <v>1.3320691801858584</v>
      </c>
      <c r="CN22" s="17">
        <f>CM22+預測IC!CN22</f>
        <v>1.3235224083649511</v>
      </c>
      <c r="CO22" s="17">
        <f>CN22+預測IC!CO22</f>
        <v>1.5955814083649511</v>
      </c>
      <c r="CP22" s="17">
        <f>CO22+預測IC!CP22</f>
        <v>1.5142597416982844</v>
      </c>
      <c r="CQ22" s="17">
        <f>CP22+預測IC!CQ22</f>
        <v>1.5019259623726198</v>
      </c>
      <c r="CR22" s="17">
        <f>CQ22+預測IC!CR22</f>
        <v>1.6637763836740118</v>
      </c>
      <c r="CS22" s="17">
        <f>CR22+預測IC!CS22</f>
        <v>1.6882157170073451</v>
      </c>
      <c r="CT22" s="17">
        <f>CS22+預測IC!CT22</f>
        <v>1.7264803836740117</v>
      </c>
      <c r="CU22" s="17">
        <f>CT22+預測IC!CU22</f>
        <v>1.7530610503406783</v>
      </c>
      <c r="CV22" s="17">
        <f>CU22+預測IC!CV22</f>
        <v>1.9361063836740118</v>
      </c>
      <c r="CW22" s="17">
        <f>CV22+預測IC!CW22</f>
        <v>1.9226063836740117</v>
      </c>
      <c r="CX22" s="17">
        <f>CW22+預測IC!CX22</f>
        <v>1.9698947170073451</v>
      </c>
      <c r="CY22" s="17">
        <f>CX22+預測IC!CY22</f>
        <v>1.9619058912338359</v>
      </c>
      <c r="CZ22" s="17">
        <f>CY22+預測IC!CZ22</f>
        <v>2.168602891233836</v>
      </c>
      <c r="DA22" s="17">
        <f>CZ22+預測IC!DA22</f>
        <v>2.201056891233836</v>
      </c>
      <c r="DB22" s="17">
        <f>DA22+預測IC!DB22</f>
        <v>2.2550975579005028</v>
      </c>
      <c r="DC22" s="17">
        <f>DB22+預測IC!DC22</f>
        <v>2.3274408912338362</v>
      </c>
      <c r="DD22" s="17">
        <f>DC22+預測IC!DD22</f>
        <v>2.4753349938066398</v>
      </c>
      <c r="DE22" s="17">
        <f>DD22+預測IC!DE22</f>
        <v>2.3419793271399731</v>
      </c>
      <c r="DF22" s="17">
        <f>DE22+預測IC!DF22</f>
        <v>2.731647327139973</v>
      </c>
      <c r="DG22" s="17">
        <f>DF22+預測IC!DG22</f>
        <v>2.6597563271399731</v>
      </c>
      <c r="DH22" s="17">
        <f>DG22+預測IC!DH22</f>
        <v>2.7412116604733066</v>
      </c>
      <c r="DI22" s="17">
        <f>DH22+預測IC!DI22</f>
        <v>2.8013339938066397</v>
      </c>
      <c r="DJ22" s="17">
        <f>DI22+預測IC!DJ22</f>
        <v>2.8441116604733065</v>
      </c>
      <c r="DK22" s="17">
        <f>DJ22+預測IC!DK22</f>
        <v>2.7526839938066399</v>
      </c>
      <c r="DL22" s="17">
        <f>DK22+預測IC!DL22</f>
        <v>2.7743643271399732</v>
      </c>
      <c r="DM22" s="17">
        <f>DL22+預測IC!DM22</f>
        <v>2.8062486604733063</v>
      </c>
      <c r="DN22" s="17">
        <f>DM22+預測IC!DN22</f>
        <v>2.723078327139973</v>
      </c>
      <c r="DO22" s="17">
        <f>DN22+預測IC!DO22</f>
        <v>2.7987936604733061</v>
      </c>
      <c r="DP22" s="17">
        <f>DO22+預測IC!DP22</f>
        <v>2.6936946604733061</v>
      </c>
      <c r="DQ22" s="17">
        <f>DP22+預測IC!DQ22</f>
        <v>2.6418453271399729</v>
      </c>
      <c r="DR22" s="17">
        <f>DQ22+預測IC!DR22</f>
        <v>2.6357527745246547</v>
      </c>
      <c r="DS22" s="17">
        <f>DR22+預測IC!DS22</f>
        <v>2.4387018529622955</v>
      </c>
      <c r="DT22" s="17">
        <f>DS22+預測IC!DT22</f>
        <v>2.3950195196289621</v>
      </c>
      <c r="DU22" s="17">
        <f>DT22+預測IC!DU22</f>
        <v>2.2334738529622955</v>
      </c>
      <c r="DV22" s="17">
        <f>DU22+預測IC!DV22</f>
        <v>2.2868458529622955</v>
      </c>
      <c r="DW22" s="17">
        <f>DV22+預測IC!DW22</f>
        <v>2.2054298529622955</v>
      </c>
      <c r="DX22" s="17">
        <f>DW22+預測IC!DX22</f>
        <v>2.3826928529622955</v>
      </c>
      <c r="DY22" s="17">
        <f>DX22+預測IC!DY22</f>
        <v>2.5026491862956286</v>
      </c>
      <c r="DZ22" s="17">
        <f>DY22+預測IC!DZ22</f>
        <v>2.6134828529622953</v>
      </c>
      <c r="EA22" s="17">
        <f>DZ22+預測IC!EA22</f>
        <v>2.7538391862956288</v>
      </c>
      <c r="EB22" s="17">
        <f>EA22+預測IC!EB22</f>
        <v>2.6109088529622957</v>
      </c>
      <c r="EC22" s="17">
        <f>EB22+預測IC!EC22</f>
        <v>2.6324039545379341</v>
      </c>
      <c r="ED22" s="17">
        <f>EC22+預測IC!ED22</f>
        <v>2.5549903874803266</v>
      </c>
      <c r="EE22" s="17">
        <f>ED22+預測IC!EE22</f>
        <v>2.5073543874803268</v>
      </c>
      <c r="EF22" s="17">
        <f>EE22+預測IC!EF22</f>
        <v>2.5439470541469933</v>
      </c>
    </row>
    <row r="23" spans="1:136">
      <c r="A23" s="2">
        <v>482</v>
      </c>
      <c r="B23" s="2">
        <v>2</v>
      </c>
      <c r="C23" s="19">
        <v>0.28298899999999999</v>
      </c>
      <c r="D23" s="17">
        <f>C23+預測IC!D23</f>
        <v>0.25317833231457793</v>
      </c>
      <c r="E23" s="17">
        <f>D23+預測IC!E23</f>
        <v>0.17223715974390572</v>
      </c>
      <c r="F23" s="17">
        <f>E23+預測IC!F23</f>
        <v>3.0572250692004005E-2</v>
      </c>
      <c r="G23" s="17">
        <f>F23+預測IC!G23</f>
        <v>-2.1651923154494372E-2</v>
      </c>
      <c r="H23" s="17">
        <f>G23+預測IC!H23</f>
        <v>0.18206638472448072</v>
      </c>
      <c r="I23" s="17">
        <f>H23+預測IC!I23</f>
        <v>0.33021841332477475</v>
      </c>
      <c r="J23" s="17">
        <f>I23+預測IC!J23</f>
        <v>0.23205612217832239</v>
      </c>
      <c r="K23" s="17">
        <f>J23+預測IC!K23</f>
        <v>2.7566645706088799E-2</v>
      </c>
      <c r="L23" s="17">
        <f>K23+預測IC!L23</f>
        <v>8.1610175481687419E-2</v>
      </c>
      <c r="M23" s="17">
        <f>L23+預測IC!M23</f>
        <v>-0.18095917156565289</v>
      </c>
      <c r="N23" s="17">
        <f>M23+預測IC!N23</f>
        <v>-2.4539933929640101E-2</v>
      </c>
      <c r="O23" s="17">
        <f>N23+預測IC!O23</f>
        <v>0.18002444404336199</v>
      </c>
      <c r="P23" s="17">
        <f>O23+預測IC!P23</f>
        <v>8.9622732861236606E-2</v>
      </c>
      <c r="Q23" s="17">
        <f>P23+預測IC!Q23</f>
        <v>0.14919074976175711</v>
      </c>
      <c r="R23" s="17">
        <f>Q23+預測IC!R23</f>
        <v>9.2979606448502061E-2</v>
      </c>
      <c r="S23" s="17">
        <f>R23+預測IC!S23</f>
        <v>-2.0744926378760034E-2</v>
      </c>
      <c r="T23" s="17">
        <f>S23+預測IC!T23</f>
        <v>-2.1118295587238781E-2</v>
      </c>
      <c r="U23" s="17">
        <f>T23+預測IC!U23</f>
        <v>-0.11487571802803315</v>
      </c>
      <c r="V23" s="17">
        <f>U23+預測IC!V23</f>
        <v>-0.13790517513782427</v>
      </c>
      <c r="W23" s="17">
        <f>V23+預測IC!W23</f>
        <v>0.19371397511132024</v>
      </c>
      <c r="X23" s="17">
        <f>W23+預測IC!X23</f>
        <v>0.45779967007461753</v>
      </c>
      <c r="Y23" s="17">
        <f>X23+預測IC!Y23</f>
        <v>0.47245947160510776</v>
      </c>
      <c r="Z23" s="17">
        <f>Y23+預測IC!Z23</f>
        <v>0.50549198704898302</v>
      </c>
      <c r="AA23" s="17">
        <f>Z23+預測IC!AA23</f>
        <v>0.51209827901845328</v>
      </c>
      <c r="AB23" s="17">
        <f>AA23+預測IC!AB23</f>
        <v>0.57613805889523673</v>
      </c>
      <c r="AC23" s="17">
        <f>AB23+預測IC!AC23</f>
        <v>0.65248439704207473</v>
      </c>
      <c r="AD23" s="17">
        <f>AC23+預測IC!AD23</f>
        <v>0.66749529739912217</v>
      </c>
      <c r="AE23" s="17">
        <f>AD23+預測IC!AE23</f>
        <v>0.33515104878659668</v>
      </c>
      <c r="AF23" s="17">
        <f>AE23+預測IC!AF23</f>
        <v>0.40205730887634794</v>
      </c>
      <c r="AG23" s="17">
        <f>AF23+預測IC!AG23</f>
        <v>0.49393096652270813</v>
      </c>
      <c r="AH23" s="17">
        <f>AG23+預測IC!AH23</f>
        <v>0.5312089665227081</v>
      </c>
      <c r="AI23" s="17">
        <f>AH23+預測IC!AI23</f>
        <v>0.74036096652270811</v>
      </c>
      <c r="AJ23" s="17">
        <f>AI23+預測IC!AJ23</f>
        <v>0.76394796652270813</v>
      </c>
      <c r="AK23" s="17">
        <f>AJ23+預測IC!AK23</f>
        <v>0.87805906586989912</v>
      </c>
      <c r="AL23" s="17">
        <f>AK23+預測IC!AL23</f>
        <v>1.0094907790624348</v>
      </c>
      <c r="AM23" s="17">
        <f>AL23+預測IC!AM23</f>
        <v>1.0172602680673</v>
      </c>
      <c r="AN23" s="17">
        <f>AM23+預測IC!AN23</f>
        <v>1.2595749674246006</v>
      </c>
      <c r="AO23" s="17">
        <f>AN23+預測IC!AO23</f>
        <v>1.2542380152331765</v>
      </c>
      <c r="AP23" s="17">
        <f>AO23+預測IC!AP23</f>
        <v>1.2573591145854821</v>
      </c>
      <c r="AQ23" s="17">
        <f>AP23+預測IC!AQ23</f>
        <v>1.3467841068450928</v>
      </c>
      <c r="AR23" s="17">
        <f>AQ23+預測IC!AR23</f>
        <v>1.6835281506901605</v>
      </c>
      <c r="AS23" s="17">
        <f>AR23+預測IC!AS23</f>
        <v>1.7156971506901606</v>
      </c>
      <c r="AT23" s="17">
        <f>AS23+預測IC!AT23</f>
        <v>1.674269428876511</v>
      </c>
      <c r="AU23" s="17">
        <f>AT23+預測IC!AU23</f>
        <v>1.7074149550050153</v>
      </c>
      <c r="AV23" s="17">
        <f>AU23+預測IC!AV23</f>
        <v>1.6797759608076412</v>
      </c>
      <c r="AW23" s="17">
        <f>AV23+預測IC!AW23</f>
        <v>1.6277490509692385</v>
      </c>
      <c r="AX23" s="17">
        <f>AW23+預測IC!AX23</f>
        <v>1.6975872047962826</v>
      </c>
      <c r="AY23" s="17">
        <f>AX23+預測IC!AY23</f>
        <v>1.8678211856368647</v>
      </c>
      <c r="AZ23" s="17">
        <f>AY23+預測IC!AZ23</f>
        <v>1.8040675682358045</v>
      </c>
      <c r="BA23" s="17">
        <f>AZ23+預測IC!BA23</f>
        <v>1.8137143483159053</v>
      </c>
      <c r="BB23" s="17">
        <f>BA23+預測IC!BB23</f>
        <v>1.7626648642130203</v>
      </c>
      <c r="BC23" s="17">
        <f>BB23+預測IC!BC23</f>
        <v>1.4618366150399544</v>
      </c>
      <c r="BD23" s="17">
        <f>BC23+預測IC!BD23</f>
        <v>1.5566674963864047</v>
      </c>
      <c r="BE23" s="17">
        <f>BD23+預測IC!BE23</f>
        <v>1.4852367339891082</v>
      </c>
      <c r="BF23" s="17">
        <f>BE23+預測IC!BF23</f>
        <v>1.462389743384422</v>
      </c>
      <c r="BG23" s="17">
        <f>BF23+預測IC!BG23</f>
        <v>1.5371512145811745</v>
      </c>
      <c r="BH23" s="17">
        <f>BG23+預測IC!BH23</f>
        <v>1.3336672332258874</v>
      </c>
      <c r="BI23" s="17">
        <f>BH23+預測IC!BI23</f>
        <v>1.5247793125490865</v>
      </c>
      <c r="BJ23" s="17">
        <f>BI23+預測IC!BJ23</f>
        <v>1.6287826278170134</v>
      </c>
      <c r="BK23" s="17">
        <f>BJ23+預測IC!BK23</f>
        <v>1.6308167361534909</v>
      </c>
      <c r="BL23" s="17">
        <f>BK23+預測IC!BL23</f>
        <v>1.7803510324037304</v>
      </c>
      <c r="BM23" s="17">
        <f>BL23+預測IC!BM23</f>
        <v>1.9695317191908843</v>
      </c>
      <c r="BN23" s="17">
        <f>BM23+預測IC!BN23</f>
        <v>2.0079817191908842</v>
      </c>
      <c r="BO23" s="17">
        <f>BN23+預測IC!BO23</f>
        <v>2.0445066609368832</v>
      </c>
      <c r="BP23" s="17">
        <f>BO23+預測IC!BP23</f>
        <v>2.1427730601483397</v>
      </c>
      <c r="BQ23" s="17">
        <f>BP23+預測IC!BQ23</f>
        <v>2.2148209615836056</v>
      </c>
      <c r="BR23" s="17">
        <f>BQ23+預測IC!BR23</f>
        <v>2.2326652830475684</v>
      </c>
      <c r="BS23" s="17">
        <f>BR23+預測IC!BS23</f>
        <v>2.1593898943896566</v>
      </c>
      <c r="BT23" s="17">
        <f>BS23+預測IC!BT23</f>
        <v>2.3030397004156535</v>
      </c>
      <c r="BU23" s="17">
        <f>BT23+預測IC!BU23</f>
        <v>2.0973519645697074</v>
      </c>
      <c r="BV23" s="17">
        <f>BU23+預測IC!BV23</f>
        <v>2.2108195329298961</v>
      </c>
      <c r="BW23" s="17">
        <f>BV23+預測IC!BW23</f>
        <v>2.0086671996542047</v>
      </c>
      <c r="BX23" s="17">
        <f>BW23+預測IC!BX23</f>
        <v>2.0004540799269517</v>
      </c>
      <c r="BY23" s="17">
        <f>BX23+預測IC!BY23</f>
        <v>1.990248387232604</v>
      </c>
      <c r="BZ23" s="17">
        <f>BY23+預測IC!BZ23</f>
        <v>1.9979181496644489</v>
      </c>
      <c r="CA23" s="17">
        <f>BZ23+預測IC!CA23</f>
        <v>1.9222649499178197</v>
      </c>
      <c r="CB23" s="17">
        <f>CA23+預測IC!CB23</f>
        <v>1.7046507469253798</v>
      </c>
      <c r="CC23" s="17">
        <f>CB23+預測IC!CC23</f>
        <v>1.9296093744210598</v>
      </c>
      <c r="CD23" s="17">
        <f>CC23+預測IC!CD23</f>
        <v>2.1212858294358448</v>
      </c>
      <c r="CE23" s="17">
        <f>CD23+預測IC!CE23</f>
        <v>2.1808878294358447</v>
      </c>
      <c r="CF23" s="17">
        <f>CE23+預測IC!CF23</f>
        <v>1.9974573294358446</v>
      </c>
      <c r="CG23" s="17">
        <f>CF23+預測IC!CG23</f>
        <v>1.6042135415121679</v>
      </c>
      <c r="CH23" s="17">
        <f>CG23+預測IC!CH23</f>
        <v>1.7844099904335962</v>
      </c>
      <c r="CI23" s="17">
        <f>CH23+預測IC!CI23</f>
        <v>1.4745105733054993</v>
      </c>
      <c r="CJ23" s="17">
        <f>CI23+預測IC!CJ23</f>
        <v>1.4546352057550886</v>
      </c>
      <c r="CK23" s="17">
        <f>CJ23+預測IC!CK23</f>
        <v>1.5507522004830503</v>
      </c>
      <c r="CL23" s="17">
        <f>CK23+預測IC!CL23</f>
        <v>1.1420911878156319</v>
      </c>
      <c r="CM23" s="17">
        <f>CL23+預測IC!CM23</f>
        <v>0.90738618781563196</v>
      </c>
      <c r="CN23" s="17">
        <f>CM23+預測IC!CN23</f>
        <v>0.85438100944582873</v>
      </c>
      <c r="CO23" s="17">
        <f>CN23+預測IC!CO23</f>
        <v>1.1205385094458287</v>
      </c>
      <c r="CP23" s="17">
        <f>CO23+預測IC!CP23</f>
        <v>1.0008210094458287</v>
      </c>
      <c r="CQ23" s="17">
        <f>CP23+預測IC!CQ23</f>
        <v>0.99163726494602289</v>
      </c>
      <c r="CR23" s="17">
        <f>CQ23+預測IC!CR23</f>
        <v>1.0032350687671014</v>
      </c>
      <c r="CS23" s="17">
        <f>CR23+預測IC!CS23</f>
        <v>1.0722500687671015</v>
      </c>
      <c r="CT23" s="17">
        <f>CS23+預測IC!CT23</f>
        <v>1.1376415687671015</v>
      </c>
      <c r="CU23" s="17">
        <f>CT23+預測IC!CU23</f>
        <v>1.1288655687671016</v>
      </c>
      <c r="CV23" s="17">
        <f>CU23+預測IC!CV23</f>
        <v>1.3307150687671017</v>
      </c>
      <c r="CW23" s="17">
        <f>CV23+預測IC!CW23</f>
        <v>1.3948800687671017</v>
      </c>
      <c r="CX23" s="17">
        <f>CW23+預測IC!CX23</f>
        <v>1.3506300687671016</v>
      </c>
      <c r="CY23" s="17">
        <f>CX23+預測IC!CY23</f>
        <v>1.3726765995204802</v>
      </c>
      <c r="CZ23" s="17">
        <f>CY23+預測IC!CZ23</f>
        <v>1.5386820995204802</v>
      </c>
      <c r="DA23" s="17">
        <f>CZ23+預測IC!DA23</f>
        <v>1.6033270995204802</v>
      </c>
      <c r="DB23" s="17">
        <f>DA23+預測IC!DB23</f>
        <v>1.6220750995204802</v>
      </c>
      <c r="DC23" s="17">
        <f>DB23+預測IC!DC23</f>
        <v>1.6944900995204801</v>
      </c>
      <c r="DD23" s="17">
        <f>DC23+預測IC!DD23</f>
        <v>1.9079011439274769</v>
      </c>
      <c r="DE23" s="17">
        <f>DD23+預測IC!DE23</f>
        <v>1.7664566439274769</v>
      </c>
      <c r="DF23" s="17">
        <f>DE23+預測IC!DF23</f>
        <v>2.1752541439274768</v>
      </c>
      <c r="DG23" s="17">
        <f>DF23+預測IC!DG23</f>
        <v>2.1076316439274767</v>
      </c>
      <c r="DH23" s="17">
        <f>DG23+預測IC!DH23</f>
        <v>2.2468596439274768</v>
      </c>
      <c r="DI23" s="17">
        <f>DH23+預測IC!DI23</f>
        <v>2.3429006439274769</v>
      </c>
      <c r="DJ23" s="17">
        <f>DI23+預測IC!DJ23</f>
        <v>2.3090776439274769</v>
      </c>
      <c r="DK23" s="17">
        <f>DJ23+預測IC!DK23</f>
        <v>2.2178341439274769</v>
      </c>
      <c r="DL23" s="17">
        <f>DK23+預測IC!DL23</f>
        <v>2.161228143927477</v>
      </c>
      <c r="DM23" s="17">
        <f>DL23+預測IC!DM23</f>
        <v>2.2077051439274769</v>
      </c>
      <c r="DN23" s="17">
        <f>DM23+預測IC!DN23</f>
        <v>2.089505143927477</v>
      </c>
      <c r="DO23" s="17">
        <f>DN23+預測IC!DO23</f>
        <v>2.2135731439274768</v>
      </c>
      <c r="DP23" s="17">
        <f>DO23+預測IC!DP23</f>
        <v>2.175169643927477</v>
      </c>
      <c r="DQ23" s="17">
        <f>DP23+預測IC!DQ23</f>
        <v>2.054039143927477</v>
      </c>
      <c r="DR23" s="17">
        <f>DQ23+預測IC!DR23</f>
        <v>1.9641531411961703</v>
      </c>
      <c r="DS23" s="17">
        <f>DR23+預測IC!DS23</f>
        <v>1.6760565642771241</v>
      </c>
      <c r="DT23" s="17">
        <f>DS23+預測IC!DT23</f>
        <v>1.6218060642771241</v>
      </c>
      <c r="DU23" s="17">
        <f>DT23+預測IC!DU23</f>
        <v>1.5661680642771241</v>
      </c>
      <c r="DV23" s="17">
        <f>DU23+預測IC!DV23</f>
        <v>1.574301064277124</v>
      </c>
      <c r="DW23" s="17">
        <f>DV23+預測IC!DW23</f>
        <v>1.5973535642771239</v>
      </c>
      <c r="DX23" s="17">
        <f>DW23+預測IC!DX23</f>
        <v>1.916802064277124</v>
      </c>
      <c r="DY23" s="17">
        <f>DX23+預測IC!DY23</f>
        <v>1.862877064277124</v>
      </c>
      <c r="DZ23" s="17">
        <f>DY23+預測IC!DZ23</f>
        <v>1.6457020642771241</v>
      </c>
      <c r="EA23" s="17">
        <f>DZ23+預測IC!EA23</f>
        <v>1.6169450642771241</v>
      </c>
      <c r="EB23" s="17">
        <f>EA23+預測IC!EB23</f>
        <v>1.4787165642771241</v>
      </c>
      <c r="EC23" s="17">
        <f>EB23+預測IC!EC23</f>
        <v>1.4421322479513108</v>
      </c>
      <c r="ED23" s="17">
        <f>EC23+預測IC!ED23</f>
        <v>1.3507063433315298</v>
      </c>
      <c r="EE23" s="17">
        <f>ED23+預測IC!EE23</f>
        <v>1.2814953433315299</v>
      </c>
      <c r="EF23" s="17">
        <f>EE23+預測IC!EF23</f>
        <v>1.37490934333153</v>
      </c>
    </row>
    <row r="24" spans="1:136">
      <c r="A24" s="2">
        <v>964</v>
      </c>
      <c r="B24" s="2">
        <v>1</v>
      </c>
      <c r="C24" s="19">
        <v>9.9113000000000007E-2</v>
      </c>
      <c r="D24" s="17">
        <f>C24+預測IC!D24</f>
        <v>-4.9360099724128914E-3</v>
      </c>
      <c r="E24" s="17">
        <f>D24+預測IC!E24</f>
        <v>6.6464320196884016E-2</v>
      </c>
      <c r="F24" s="17">
        <f>E24+預測IC!F24</f>
        <v>-0.16069522643986478</v>
      </c>
      <c r="G24" s="17">
        <f>F24+預測IC!G24</f>
        <v>6.5064796617707615E-2</v>
      </c>
      <c r="H24" s="17">
        <f>G24+預測IC!H24</f>
        <v>0.31175152510827742</v>
      </c>
      <c r="I24" s="17">
        <f>H24+預測IC!I24</f>
        <v>0.3096395919051339</v>
      </c>
      <c r="J24" s="17">
        <f>I24+預測IC!J24</f>
        <v>0.20966739899499776</v>
      </c>
      <c r="K24" s="17">
        <f>J24+預測IC!K24</f>
        <v>0.18815212064003764</v>
      </c>
      <c r="L24" s="17">
        <f>K24+預測IC!L24</f>
        <v>0.28377537114871976</v>
      </c>
      <c r="M24" s="17">
        <f>L24+預測IC!M24</f>
        <v>-0.17925217305141872</v>
      </c>
      <c r="N24" s="17">
        <f>M24+預測IC!N24</f>
        <v>-3.5121720650985511E-2</v>
      </c>
      <c r="O24" s="17">
        <f>N24+預測IC!O24</f>
        <v>0.20018747275443749</v>
      </c>
      <c r="P24" s="17">
        <f>O24+預測IC!P24</f>
        <v>9.5939058345437991E-2</v>
      </c>
      <c r="Q24" s="17">
        <f>P24+預測IC!Q24</f>
        <v>0.15690401999214426</v>
      </c>
      <c r="R24" s="17">
        <f>Q24+預測IC!R24</f>
        <v>-8.8793350787115449E-2</v>
      </c>
      <c r="S24" s="17">
        <f>R24+預測IC!S24</f>
        <v>-0.44130781184727985</v>
      </c>
      <c r="T24" s="17">
        <f>S24+預測IC!T24</f>
        <v>-0.31761676775549064</v>
      </c>
      <c r="U24" s="17">
        <f>T24+預測IC!U24</f>
        <v>-0.46613544197940865</v>
      </c>
      <c r="V24" s="17">
        <f>U24+預測IC!V24</f>
        <v>-0.53327474481703718</v>
      </c>
      <c r="W24" s="17">
        <f>V24+預測IC!W24</f>
        <v>-3.7562758861094558E-2</v>
      </c>
      <c r="X24" s="17">
        <f>W24+預測IC!X24</f>
        <v>8.0459673644909344E-2</v>
      </c>
      <c r="Y24" s="17">
        <f>X24+預測IC!Y24</f>
        <v>8.9936688571326431E-2</v>
      </c>
      <c r="Z24" s="17">
        <f>Y24+預測IC!Z24</f>
        <v>0.19577901585013344</v>
      </c>
      <c r="AA24" s="17">
        <f>Z24+預測IC!AA24</f>
        <v>0.20932678408771072</v>
      </c>
      <c r="AB24" s="17">
        <f>AA24+預測IC!AB24</f>
        <v>0.40466640676295451</v>
      </c>
      <c r="AC24" s="17">
        <f>AB24+預測IC!AC24</f>
        <v>0.53004678753891954</v>
      </c>
      <c r="AD24" s="17">
        <f>AC24+預測IC!AD24</f>
        <v>0.5378686264315492</v>
      </c>
      <c r="AE24" s="17">
        <f>AD24+預測IC!AE24</f>
        <v>-3.3894948147320525E-3</v>
      </c>
      <c r="AF24" s="17">
        <f>AE24+預測IC!AF24</f>
        <v>1.9132515220058446E-2</v>
      </c>
      <c r="AG24" s="17">
        <f>AF24+預測IC!AG24</f>
        <v>0.15786823284669604</v>
      </c>
      <c r="AH24" s="17">
        <f>AG24+預測IC!AH24</f>
        <v>8.9251232846696046E-2</v>
      </c>
      <c r="AI24" s="17">
        <f>AH24+預測IC!AI24</f>
        <v>0.39966523284669608</v>
      </c>
      <c r="AJ24" s="17">
        <f>AI24+預測IC!AJ24</f>
        <v>0.48510023284669607</v>
      </c>
      <c r="AK24" s="17">
        <f>AJ24+預測IC!AK24</f>
        <v>0.56998418591488842</v>
      </c>
      <c r="AL24" s="17">
        <f>AK24+預測IC!AL24</f>
        <v>0.51530725042425307</v>
      </c>
      <c r="AM24" s="17">
        <f>AL24+預測IC!AM24</f>
        <v>0.49638796900372639</v>
      </c>
      <c r="AN24" s="17">
        <f>AM24+預測IC!AN24</f>
        <v>0.71757743414915764</v>
      </c>
      <c r="AO24" s="17">
        <f>AN24+預測IC!AO24</f>
        <v>0.78366754597814769</v>
      </c>
      <c r="AP24" s="17">
        <f>AO24+預測IC!AP24</f>
        <v>0.76081583048905133</v>
      </c>
      <c r="AQ24" s="17">
        <f>AP24+預測IC!AQ24</f>
        <v>0.80789280332329705</v>
      </c>
      <c r="AR24" s="17">
        <f>AQ24+預測IC!AR24</f>
        <v>0.81753205993090405</v>
      </c>
      <c r="AS24" s="17">
        <f>AR24+預測IC!AS24</f>
        <v>1.055364059930904</v>
      </c>
      <c r="AT24" s="17">
        <f>AS24+預測IC!AT24</f>
        <v>1.0858232674156127</v>
      </c>
      <c r="AU24" s="17">
        <f>AT24+預測IC!AU24</f>
        <v>1.1299185872808371</v>
      </c>
      <c r="AV24" s="17">
        <f>AU24+預測IC!AV24</f>
        <v>1.0427666350939411</v>
      </c>
      <c r="AW24" s="17">
        <f>AV24+預測IC!AW24</f>
        <v>1.0477541766049803</v>
      </c>
      <c r="AX24" s="17">
        <f>AW24+預測IC!AX24</f>
        <v>1.0760603631934047</v>
      </c>
      <c r="AY24" s="17">
        <f>AX24+預測IC!AY24</f>
        <v>1.2441876570782942</v>
      </c>
      <c r="AZ24" s="17">
        <f>AY24+預測IC!AZ24</f>
        <v>1.2820547306779593</v>
      </c>
      <c r="BA24" s="17">
        <f>AZ24+預測IC!BA24</f>
        <v>1.228259998593326</v>
      </c>
      <c r="BB24" s="17">
        <f>BA24+預測IC!BB24</f>
        <v>1.1421009651979912</v>
      </c>
      <c r="BC24" s="17">
        <f>BB24+預測IC!BC24</f>
        <v>0.33888495215361381</v>
      </c>
      <c r="BD24" s="17">
        <f>BC24+預測IC!BD24</f>
        <v>0.52448017140004899</v>
      </c>
      <c r="BE24" s="17">
        <f>BD24+預測IC!BE24</f>
        <v>0.47841581736836214</v>
      </c>
      <c r="BF24" s="17">
        <f>BE24+預測IC!BF24</f>
        <v>0.56606715342245439</v>
      </c>
      <c r="BG24" s="17">
        <f>BF24+預測IC!BG24</f>
        <v>0.59290311928876527</v>
      </c>
      <c r="BH24" s="17">
        <f>BG24+預測IC!BH24</f>
        <v>0.20664778237523029</v>
      </c>
      <c r="BI24" s="17">
        <f>BH24+預測IC!BI24</f>
        <v>0.43027688844527739</v>
      </c>
      <c r="BJ24" s="17">
        <f>BI24+預測IC!BJ24</f>
        <v>0.43362520420016198</v>
      </c>
      <c r="BK24" s="17">
        <f>BJ24+預測IC!BK24</f>
        <v>0.43764875109444823</v>
      </c>
      <c r="BL24" s="17">
        <f>BK24+預測IC!BL24</f>
        <v>0.7548130450191648</v>
      </c>
      <c r="BM24" s="17">
        <f>BL24+預測IC!BM24</f>
        <v>0.76628606413690192</v>
      </c>
      <c r="BN24" s="17">
        <f>BM24+預測IC!BN24</f>
        <v>0.8751970641369019</v>
      </c>
      <c r="BO24" s="17">
        <f>BN24+預測IC!BO24</f>
        <v>0.71408737304126002</v>
      </c>
      <c r="BP24" s="17">
        <f>BO24+預測IC!BP24</f>
        <v>0.83743855417058188</v>
      </c>
      <c r="BQ24" s="17">
        <f>BP24+預測IC!BQ24</f>
        <v>0.77326892084046683</v>
      </c>
      <c r="BR24" s="17">
        <f>BQ24+預測IC!BR24</f>
        <v>0.81562514414388454</v>
      </c>
      <c r="BS24" s="17">
        <f>BR24+預測IC!BS24</f>
        <v>0.81434042665942763</v>
      </c>
      <c r="BT24" s="17">
        <f>BS24+預測IC!BT24</f>
        <v>0.9306111227136149</v>
      </c>
      <c r="BU24" s="17">
        <f>BT24+預測IC!BU24</f>
        <v>0.7022844911536742</v>
      </c>
      <c r="BV24" s="17">
        <f>BU24+預測IC!BV24</f>
        <v>0.81001294504165711</v>
      </c>
      <c r="BW24" s="17">
        <f>BV24+預測IC!BW24</f>
        <v>0.74817706140606399</v>
      </c>
      <c r="BX24" s="17">
        <f>BW24+預測IC!BX24</f>
        <v>0.61521700569560622</v>
      </c>
      <c r="BY24" s="17">
        <f>BX24+預測IC!BY24</f>
        <v>0.72496267486302357</v>
      </c>
      <c r="BZ24" s="17">
        <f>BY24+預測IC!BZ24</f>
        <v>0.98385557371302046</v>
      </c>
      <c r="CA24" s="17">
        <f>BZ24+預測IC!CA24</f>
        <v>0.8686338929396058</v>
      </c>
      <c r="CB24" s="17">
        <f>CA24+預測IC!CB24</f>
        <v>1.0773958672274748</v>
      </c>
      <c r="CC24" s="17">
        <f>CB24+預測IC!CC24</f>
        <v>1.5172503794944086</v>
      </c>
      <c r="CD24" s="17">
        <f>CC24+預測IC!CD24</f>
        <v>1.6615566902366035</v>
      </c>
      <c r="CE24" s="17">
        <f>CD24+預測IC!CE24</f>
        <v>1.8271216902366034</v>
      </c>
      <c r="CF24" s="17">
        <f>CE24+預測IC!CF24</f>
        <v>1.6619916902366034</v>
      </c>
      <c r="CG24" s="17">
        <f>CF24+預測IC!CG24</f>
        <v>1.3381737112175429</v>
      </c>
      <c r="CH24" s="17">
        <f>CG24+預測IC!CH24</f>
        <v>1.6924510080600459</v>
      </c>
      <c r="CI24" s="17">
        <f>CH24+預測IC!CI24</f>
        <v>2.0209028287693105</v>
      </c>
      <c r="CJ24" s="17">
        <f>CI24+預測IC!CJ24</f>
        <v>2.0340123141887299</v>
      </c>
      <c r="CK24" s="17">
        <f>CJ24+預測IC!CK24</f>
        <v>2.1275423935044264</v>
      </c>
      <c r="CL24" s="17">
        <f>CK24+預測IC!CL24</f>
        <v>2.269297726876967</v>
      </c>
      <c r="CM24" s="17">
        <f>CL24+預測IC!CM24</f>
        <v>1.6328577268769671</v>
      </c>
      <c r="CN24" s="17">
        <f>CM24+預測IC!CN24</f>
        <v>1.5251189604197539</v>
      </c>
      <c r="CO24" s="17">
        <f>CN24+預測IC!CO24</f>
        <v>1.977592960419754</v>
      </c>
      <c r="CP24" s="17">
        <f>CO24+預測IC!CP24</f>
        <v>1.728255960419754</v>
      </c>
      <c r="CQ24" s="17">
        <f>CP24+預測IC!CQ24</f>
        <v>1.8429431342830509</v>
      </c>
      <c r="CR24" s="17">
        <f>CQ24+預測IC!CR24</f>
        <v>1.9040279725226077</v>
      </c>
      <c r="CS24" s="17">
        <f>CR24+預測IC!CS24</f>
        <v>1.8771699725226076</v>
      </c>
      <c r="CT24" s="17">
        <f>CS24+預測IC!CT24</f>
        <v>1.7576279725226076</v>
      </c>
      <c r="CU24" s="17">
        <f>CT24+預測IC!CU24</f>
        <v>1.7513259725226076</v>
      </c>
      <c r="CV24" s="17">
        <f>CU24+預測IC!CV24</f>
        <v>2.1128019725226075</v>
      </c>
      <c r="CW24" s="17">
        <f>CV24+預測IC!CW24</f>
        <v>2.1112119725226073</v>
      </c>
      <c r="CX24" s="17">
        <f>CW24+預測IC!CX24</f>
        <v>2.1639819725226075</v>
      </c>
      <c r="CY24" s="17">
        <f>CX24+預測IC!CY24</f>
        <v>2.0839150678857887</v>
      </c>
      <c r="CZ24" s="17">
        <f>CY24+預測IC!CZ24</f>
        <v>2.4065060678857888</v>
      </c>
      <c r="DA24" s="17">
        <f>CZ24+預測IC!DA24</f>
        <v>2.4404860678857889</v>
      </c>
      <c r="DB24" s="17">
        <f>DA24+預測IC!DB24</f>
        <v>2.4239860678857887</v>
      </c>
      <c r="DC24" s="17">
        <f>DB24+預測IC!DC24</f>
        <v>2.6035360678857886</v>
      </c>
      <c r="DD24" s="17">
        <f>DC24+預測IC!DD24</f>
        <v>2.7569174486248946</v>
      </c>
      <c r="DE24" s="17">
        <f>DD24+預測IC!DE24</f>
        <v>2.4502784486248945</v>
      </c>
      <c r="DF24" s="17">
        <f>DE24+預測IC!DF24</f>
        <v>2.9758664486248945</v>
      </c>
      <c r="DG24" s="17">
        <f>DF24+預測IC!DG24</f>
        <v>2.8563214486248945</v>
      </c>
      <c r="DH24" s="17">
        <f>DG24+預測IC!DH24</f>
        <v>3.1221264486248943</v>
      </c>
      <c r="DI24" s="17">
        <f>DH24+預測IC!DI24</f>
        <v>3.1593114486248943</v>
      </c>
      <c r="DJ24" s="17">
        <f>DI24+預測IC!DJ24</f>
        <v>3.1803914486248943</v>
      </c>
      <c r="DK24" s="17">
        <f>DJ24+預測IC!DK24</f>
        <v>3.0607124486248942</v>
      </c>
      <c r="DL24" s="17">
        <f>DK24+預測IC!DL24</f>
        <v>3.0289634486248942</v>
      </c>
      <c r="DM24" s="17">
        <f>DL24+預測IC!DM24</f>
        <v>3.0293734486248942</v>
      </c>
      <c r="DN24" s="17">
        <f>DM24+預測IC!DN24</f>
        <v>2.8803434486248944</v>
      </c>
      <c r="DO24" s="17">
        <f>DN24+預測IC!DO24</f>
        <v>2.9959584486248945</v>
      </c>
      <c r="DP24" s="17">
        <f>DO24+預測IC!DP24</f>
        <v>2.8516314486248944</v>
      </c>
      <c r="DQ24" s="17">
        <f>DP24+預測IC!DQ24</f>
        <v>2.8011454486248946</v>
      </c>
      <c r="DR24" s="17">
        <f>DQ24+預測IC!DR24</f>
        <v>2.7806298184128653</v>
      </c>
      <c r="DS24" s="17">
        <f>DR24+預測IC!DS24</f>
        <v>2.5643682773800198</v>
      </c>
      <c r="DT24" s="17">
        <f>DS24+預測IC!DT24</f>
        <v>2.4896352773800197</v>
      </c>
      <c r="DU24" s="17">
        <f>DT24+預測IC!DU24</f>
        <v>2.5114172773800196</v>
      </c>
      <c r="DV24" s="17">
        <f>DU24+預測IC!DV24</f>
        <v>2.6094642773800194</v>
      </c>
      <c r="DW24" s="17">
        <f>DV24+預測IC!DW24</f>
        <v>2.7106472773800192</v>
      </c>
      <c r="DX24" s="17">
        <f>DW24+預測IC!DX24</f>
        <v>2.9965762773800191</v>
      </c>
      <c r="DY24" s="17">
        <f>DX24+預測IC!DY24</f>
        <v>2.9933362773800192</v>
      </c>
      <c r="DZ24" s="17">
        <f>DY24+預測IC!DZ24</f>
        <v>2.5598262773800191</v>
      </c>
      <c r="EA24" s="17">
        <f>DZ24+預測IC!EA24</f>
        <v>2.504909277380019</v>
      </c>
      <c r="EB24" s="17">
        <f>EA24+預測IC!EB24</f>
        <v>2.3956782773800191</v>
      </c>
      <c r="EC24" s="17">
        <f>EB24+預測IC!EC24</f>
        <v>2.3813683586093402</v>
      </c>
      <c r="ED24" s="17">
        <f>EC24+預測IC!ED24</f>
        <v>2.3251955133109781</v>
      </c>
      <c r="EE24" s="17">
        <f>ED24+預測IC!EE24</f>
        <v>2.217713513310978</v>
      </c>
      <c r="EF24" s="17">
        <f>EE24+預測IC!EF24</f>
        <v>2.3517985133109782</v>
      </c>
    </row>
    <row r="25" spans="1:136">
      <c r="A25" s="2" t="s">
        <v>145</v>
      </c>
      <c r="B25" s="2" t="s">
        <v>146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6"/>
  <sheetViews>
    <sheetView topLeftCell="A19" zoomScale="75" zoomScaleNormal="90" workbookViewId="0">
      <selection activeCell="E18" sqref="E18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5.723077803850174E-2</v>
      </c>
      <c r="D3" s="13">
        <v>7.545451819896698E-2</v>
      </c>
      <c r="E3" s="13">
        <v>5.3419496864080429E-2</v>
      </c>
      <c r="F3" s="13">
        <v>4.8055462539196007E-2</v>
      </c>
      <c r="G3" s="13">
        <v>5.6244600564241409E-2</v>
      </c>
      <c r="H3" s="13">
        <v>5.3408809006214142E-2</v>
      </c>
      <c r="I3" s="13">
        <v>5.4677728563547127E-2</v>
      </c>
      <c r="J3" s="13">
        <v>6.1407111585140228E-2</v>
      </c>
      <c r="K3" s="13">
        <v>6.1087191104888923E-2</v>
      </c>
      <c r="L3" s="13">
        <v>6.1945471912622452E-2</v>
      </c>
      <c r="M3" s="13">
        <v>6.4090974628925323E-2</v>
      </c>
      <c r="N3" s="13">
        <v>5.0166409462690353E-2</v>
      </c>
      <c r="O3" s="13">
        <v>5.0939202308654792E-2</v>
      </c>
      <c r="P3" s="13">
        <v>5.3945809602737427E-2</v>
      </c>
      <c r="Q3" s="13">
        <v>5.463515967130661E-2</v>
      </c>
      <c r="R3" s="13">
        <v>5.4097041487693787E-2</v>
      </c>
      <c r="S3" s="13">
        <v>5.4209418594837189E-2</v>
      </c>
      <c r="T3" s="13">
        <v>5.6115321815013892E-2</v>
      </c>
      <c r="U3" s="13">
        <v>5.4694335907697678E-2</v>
      </c>
      <c r="V3" s="13">
        <v>5.5520310997962952E-2</v>
      </c>
      <c r="W3" s="13">
        <v>5.7895615696907043E-2</v>
      </c>
      <c r="X3" s="13">
        <v>5.6128561496734619E-2</v>
      </c>
      <c r="Y3" s="13">
        <v>5.4498970508575439E-2</v>
      </c>
      <c r="Z3" s="13">
        <v>5.640922486782074E-2</v>
      </c>
      <c r="AA3" s="13">
        <v>5.4687082767486572E-2</v>
      </c>
      <c r="AB3" s="13">
        <v>5.4479975253343582E-2</v>
      </c>
      <c r="AC3" s="13">
        <v>5.7393115013837807E-2</v>
      </c>
      <c r="AD3" s="13">
        <v>5.7433716952800751E-2</v>
      </c>
      <c r="AE3" s="13">
        <v>4.2686142027378082E-2</v>
      </c>
      <c r="AF3" s="13">
        <v>5.614069476723671E-2</v>
      </c>
      <c r="AG3" s="13">
        <v>5.5614285171031952E-2</v>
      </c>
      <c r="AH3" s="13">
        <v>2.0760968327522281E-2</v>
      </c>
      <c r="AI3" s="13">
        <v>2.509923838078976E-2</v>
      </c>
      <c r="AJ3" s="13">
        <v>2.919439785182476E-2</v>
      </c>
      <c r="AK3" s="13">
        <v>3.0455950647592541E-2</v>
      </c>
      <c r="AL3" s="13">
        <v>3.425038605928421E-2</v>
      </c>
      <c r="AM3" s="13">
        <v>3.9540499448776252E-2</v>
      </c>
      <c r="AN3" s="13">
        <v>4.3252840638160713E-2</v>
      </c>
      <c r="AO3" s="13">
        <v>4.4728361070156097E-2</v>
      </c>
      <c r="AP3" s="13">
        <v>4.2892593890428543E-2</v>
      </c>
      <c r="AQ3" s="13">
        <v>4.543033242225647E-2</v>
      </c>
      <c r="AR3" s="13">
        <v>4.4913444668054581E-2</v>
      </c>
      <c r="AS3" s="13">
        <v>4.8380430787801743E-2</v>
      </c>
      <c r="AT3" s="13">
        <v>4.19180728495121E-2</v>
      </c>
      <c r="AU3" s="13">
        <v>4.1785150766372681E-2</v>
      </c>
      <c r="AV3" s="13">
        <v>4.3081630021333688E-2</v>
      </c>
      <c r="AW3" s="13">
        <v>4.6142738312482827E-2</v>
      </c>
      <c r="AX3" s="13">
        <v>4.5525301247835159E-2</v>
      </c>
      <c r="AY3" s="13">
        <v>4.7935985028743737E-2</v>
      </c>
      <c r="AZ3" s="13">
        <v>4.1659116744995117E-2</v>
      </c>
      <c r="BA3" s="13">
        <v>3.8711324334144592E-2</v>
      </c>
      <c r="BB3" s="13">
        <v>3.8947168737649918E-2</v>
      </c>
      <c r="BC3" s="13">
        <v>4.2427822947502143E-2</v>
      </c>
      <c r="BD3" s="13">
        <v>4.4051360338926322E-2</v>
      </c>
      <c r="BE3" s="13">
        <v>4.56375852227211E-2</v>
      </c>
      <c r="BF3" s="13">
        <v>4.8670642077922821E-2</v>
      </c>
      <c r="BG3" s="13">
        <v>4.9968019127845757E-2</v>
      </c>
      <c r="BH3" s="13">
        <v>5.1808405667543411E-2</v>
      </c>
      <c r="BI3" s="13">
        <v>5.0584189593791962E-2</v>
      </c>
      <c r="BJ3" s="13">
        <v>5.2059561014175422E-2</v>
      </c>
      <c r="BK3" s="13">
        <v>5.2372250705957413E-2</v>
      </c>
      <c r="BL3" s="13">
        <v>5.0854671746492393E-2</v>
      </c>
      <c r="BM3" s="13">
        <v>5.2194196730852127E-2</v>
      </c>
      <c r="BN3" s="13">
        <v>5.6162696331739433E-2</v>
      </c>
      <c r="BO3" s="13">
        <v>5.4506797343492508E-2</v>
      </c>
      <c r="BP3" s="13">
        <v>4.0165632963180542E-2</v>
      </c>
      <c r="BQ3" s="13">
        <v>5.2233844995498657E-2</v>
      </c>
      <c r="BR3" s="13">
        <v>3.6525636911392212E-2</v>
      </c>
      <c r="BS3" s="13">
        <v>5.2801784127950668E-2</v>
      </c>
      <c r="BT3" s="13">
        <v>4.8056013882160187E-2</v>
      </c>
      <c r="BU3" s="13">
        <v>-9.9144220352172852E-2</v>
      </c>
      <c r="BV3" s="13">
        <v>5.2249498665332787E-2</v>
      </c>
      <c r="BW3" s="13">
        <v>3.9474610239267349E-2</v>
      </c>
      <c r="BX3" s="13">
        <v>4.7410383820533752E-2</v>
      </c>
      <c r="BY3" s="13">
        <v>4.704391211271286E-2</v>
      </c>
      <c r="BZ3" s="13">
        <v>4.6114489436149597E-2</v>
      </c>
      <c r="CA3" s="13">
        <v>4.2742863297462463E-2</v>
      </c>
      <c r="CB3" s="13">
        <v>3.8489740341901779E-2</v>
      </c>
      <c r="CC3" s="13">
        <v>3.745705634355545E-2</v>
      </c>
      <c r="CD3" s="13">
        <v>3.9794288575649261E-2</v>
      </c>
      <c r="CE3" s="13">
        <v>3.74956876039505E-2</v>
      </c>
      <c r="CF3" s="13">
        <v>2.513935416936874E-2</v>
      </c>
      <c r="CG3" s="13">
        <v>3.5978682339191437E-2</v>
      </c>
      <c r="CH3" s="13">
        <v>3.177894651889801E-2</v>
      </c>
      <c r="CI3" s="13">
        <v>3.4042399376630783E-2</v>
      </c>
      <c r="CJ3" s="13">
        <v>3.8737695664167397E-2</v>
      </c>
      <c r="CK3" s="13">
        <v>3.9908383041620248E-2</v>
      </c>
      <c r="CL3" s="13">
        <v>3.7117619067430503E-2</v>
      </c>
      <c r="CM3" s="13">
        <v>1.7108667641878132E-2</v>
      </c>
      <c r="CN3" s="13">
        <v>4.0649183094501502E-2</v>
      </c>
      <c r="CO3" s="13">
        <v>2.8012029826641079E-2</v>
      </c>
      <c r="CP3" s="13">
        <v>6.033631507307291E-3</v>
      </c>
      <c r="CQ3" s="13">
        <v>3.3265896141529083E-2</v>
      </c>
      <c r="CR3" s="13">
        <v>3.3467646688222892E-2</v>
      </c>
      <c r="CS3" s="13">
        <v>2.295568585395813E-2</v>
      </c>
      <c r="CT3" s="13">
        <v>1.8620189279317859E-2</v>
      </c>
      <c r="CU3" s="13">
        <v>1.673657447099686E-2</v>
      </c>
      <c r="CV3" s="13">
        <v>8.8566392660140991E-3</v>
      </c>
      <c r="CW3" s="13">
        <v>1.8140114843845371E-2</v>
      </c>
      <c r="CX3" s="13">
        <v>2.3012114688754082E-2</v>
      </c>
      <c r="CY3" s="13">
        <v>2.5537870824337009E-2</v>
      </c>
      <c r="CZ3" s="13">
        <v>-1.074089854955673E-2</v>
      </c>
      <c r="DA3" s="13">
        <v>1.7809309065341949E-2</v>
      </c>
      <c r="DB3" s="13">
        <v>3.122199326753616E-2</v>
      </c>
      <c r="DC3" s="13">
        <v>9.9241826683282852E-3</v>
      </c>
      <c r="DD3" s="13">
        <v>3.3772524446249008E-2</v>
      </c>
      <c r="DE3" s="13">
        <v>2.3819208145141602E-2</v>
      </c>
      <c r="DF3" s="13">
        <v>2.5578401982784271E-2</v>
      </c>
      <c r="DG3" s="13">
        <v>1.3096854090690609E-2</v>
      </c>
      <c r="DH3" s="13">
        <v>2.5391291826963421E-2</v>
      </c>
      <c r="DI3" s="13">
        <v>2.3517698049545292E-2</v>
      </c>
      <c r="DJ3" s="13">
        <v>3.1970106065273281E-3</v>
      </c>
      <c r="DK3" s="13">
        <v>6.1636377358809114E-4</v>
      </c>
      <c r="DL3" s="13">
        <v>5.1844632253050804E-3</v>
      </c>
      <c r="DM3" s="13">
        <v>2.578671462833881E-2</v>
      </c>
      <c r="DN3" s="13">
        <v>9.7193727269768715E-3</v>
      </c>
      <c r="DO3" s="13">
        <v>2.619513776153326E-3</v>
      </c>
      <c r="DP3" s="13">
        <v>-4.3171625584363937E-3</v>
      </c>
      <c r="DQ3" s="13">
        <v>2.6535039767622951E-2</v>
      </c>
      <c r="DR3" s="13">
        <v>3.2421927899122238E-2</v>
      </c>
      <c r="DS3" s="13">
        <v>2.6365883648395538E-2</v>
      </c>
      <c r="DT3" s="13">
        <v>1.8022846430540081E-2</v>
      </c>
      <c r="DU3" s="13">
        <v>2.060607448220253E-2</v>
      </c>
      <c r="DV3" s="13">
        <v>2.3552460595965389E-2</v>
      </c>
      <c r="DW3" s="13">
        <v>2.1600417792797089E-2</v>
      </c>
      <c r="DX3" s="13">
        <v>1.422623824328184E-2</v>
      </c>
      <c r="DY3" s="13">
        <v>1.5565707348287111E-2</v>
      </c>
      <c r="DZ3" s="13">
        <v>1.340680755674839E-2</v>
      </c>
      <c r="EA3" s="13">
        <v>4.9481242895126343E-3</v>
      </c>
      <c r="EB3" s="13">
        <v>-1.2768213637173179E-2</v>
      </c>
      <c r="EC3" s="13">
        <v>3.6291155964136117E-2</v>
      </c>
      <c r="ED3" s="13">
        <v>2.4168495088815689E-2</v>
      </c>
      <c r="EE3" s="13">
        <v>2.1592959761619571E-2</v>
      </c>
      <c r="EF3" s="13">
        <v>2.6417184621095661E-2</v>
      </c>
    </row>
    <row r="4" spans="1:136" s="1" customFormat="1">
      <c r="B4" s="2" t="s">
        <v>137</v>
      </c>
      <c r="C4" s="13">
        <v>-8.5349172353744507E-2</v>
      </c>
      <c r="D4" s="13">
        <v>-5.1032040268182748E-2</v>
      </c>
      <c r="E4" s="13">
        <v>-2.3255964741110802E-2</v>
      </c>
      <c r="F4" s="13">
        <v>-3.055583126842976E-2</v>
      </c>
      <c r="G4" s="13">
        <v>-4.1839469224214547E-2</v>
      </c>
      <c r="H4" s="13">
        <v>-2.726390399038792E-2</v>
      </c>
      <c r="I4" s="13">
        <v>-4.8288546502590179E-2</v>
      </c>
      <c r="J4" s="13">
        <v>-3.7313267588615417E-2</v>
      </c>
      <c r="K4" s="13">
        <v>-3.7903524935245507E-2</v>
      </c>
      <c r="L4" s="13">
        <v>-3.7348430603742599E-2</v>
      </c>
      <c r="M4" s="13">
        <v>-3.7616446614265442E-2</v>
      </c>
      <c r="N4" s="13">
        <v>-3.742402046918869E-2</v>
      </c>
      <c r="O4" s="13">
        <v>-3.4556981176137917E-2</v>
      </c>
      <c r="P4" s="13">
        <v>-3.450281172990799E-2</v>
      </c>
      <c r="Q4" s="13">
        <v>-2.779831551015377E-2</v>
      </c>
      <c r="R4" s="13">
        <v>-2.6597736403346062E-2</v>
      </c>
      <c r="S4" s="13">
        <v>-2.858461253345013E-2</v>
      </c>
      <c r="T4" s="13">
        <v>-2.921631932258606E-2</v>
      </c>
      <c r="U4" s="13">
        <v>-2.885173074901104E-2</v>
      </c>
      <c r="V4" s="13">
        <v>-2.8718717396259311E-2</v>
      </c>
      <c r="W4" s="13">
        <v>-2.587226964533329E-2</v>
      </c>
      <c r="X4" s="13">
        <v>-2.8767423704266552E-2</v>
      </c>
      <c r="Y4" s="13">
        <v>-2.8886387124657631E-2</v>
      </c>
      <c r="Z4" s="13">
        <v>-3.020281903445721E-2</v>
      </c>
      <c r="AA4" s="13">
        <v>-2.969782613217831E-2</v>
      </c>
      <c r="AB4" s="13">
        <v>-2.9449734836816791E-2</v>
      </c>
      <c r="AC4" s="13">
        <v>-1.9321048632264141E-2</v>
      </c>
      <c r="AD4" s="13">
        <v>-2.8943898156285289E-2</v>
      </c>
      <c r="AE4" s="13">
        <v>-2.9567476361989972E-2</v>
      </c>
      <c r="AF4" s="13">
        <v>-2.856354787945747E-2</v>
      </c>
      <c r="AG4" s="13">
        <v>-2.832365408539772E-2</v>
      </c>
      <c r="AH4" s="13">
        <v>-2.73332130163908E-2</v>
      </c>
      <c r="AI4" s="13">
        <v>-3.7235941737890237E-2</v>
      </c>
      <c r="AJ4" s="13">
        <v>-3.4088630229234702E-2</v>
      </c>
      <c r="AK4" s="13">
        <v>-2.7424490079283711E-2</v>
      </c>
      <c r="AL4" s="13">
        <v>-2.4591473862528801E-2</v>
      </c>
      <c r="AM4" s="13">
        <v>-2.9777821153402328E-2</v>
      </c>
      <c r="AN4" s="13">
        <v>-3.3753968775272369E-2</v>
      </c>
      <c r="AO4" s="13">
        <v>-3.5720217972993851E-2</v>
      </c>
      <c r="AP4" s="13">
        <v>-1.8044905737042431E-2</v>
      </c>
      <c r="AQ4" s="13">
        <v>-2.374198846518993E-2</v>
      </c>
      <c r="AR4" s="13">
        <v>-3.8850482553243637E-2</v>
      </c>
      <c r="AS4" s="13">
        <v>-0.1345172971487045</v>
      </c>
      <c r="AT4" s="13">
        <v>-2.8492949903011319E-2</v>
      </c>
      <c r="AU4" s="13">
        <v>-3.0869178473949429E-2</v>
      </c>
      <c r="AV4" s="13">
        <v>-3.2064013183116913E-2</v>
      </c>
      <c r="AW4" s="13">
        <v>-2.6232475414872169E-2</v>
      </c>
      <c r="AX4" s="13">
        <v>-2.647383883595467E-2</v>
      </c>
      <c r="AY4" s="13">
        <v>-3.400053083896637E-2</v>
      </c>
      <c r="AZ4" s="13">
        <v>-2.7450913563370701E-2</v>
      </c>
      <c r="BA4" s="13">
        <v>-3.1005732715129849E-2</v>
      </c>
      <c r="BB4" s="13">
        <v>-3.3746343106031418E-2</v>
      </c>
      <c r="BC4" s="13">
        <v>-3.1035987660288811E-2</v>
      </c>
      <c r="BD4" s="13">
        <v>-3.058777749538422E-2</v>
      </c>
      <c r="BE4" s="13">
        <v>-3.2944157719612122E-2</v>
      </c>
      <c r="BF4" s="13">
        <v>-3.123846277594566E-2</v>
      </c>
      <c r="BG4" s="13">
        <v>-3.2052598893642432E-2</v>
      </c>
      <c r="BH4" s="13">
        <v>-3.055793792009354E-2</v>
      </c>
      <c r="BI4" s="13">
        <v>-3.1080937013030049E-2</v>
      </c>
      <c r="BJ4" s="13">
        <v>-3.0351296067237851E-2</v>
      </c>
      <c r="BK4" s="13">
        <v>-3.2760027796030038E-2</v>
      </c>
      <c r="BL4" s="13">
        <v>-3.1334664672613137E-2</v>
      </c>
      <c r="BM4" s="13">
        <v>-3.1740568578243263E-2</v>
      </c>
      <c r="BN4" s="13">
        <v>7.9825639724731445E-2</v>
      </c>
      <c r="BO4" s="13">
        <v>-2.2437060251832008E-2</v>
      </c>
      <c r="BP4" s="13">
        <v>-3.7594955414533622E-2</v>
      </c>
      <c r="BQ4" s="13">
        <v>-3.291790559887886E-2</v>
      </c>
      <c r="BR4" s="13">
        <v>-1.2001144699752331E-2</v>
      </c>
      <c r="BS4" s="13">
        <v>-1.3084841892123221E-2</v>
      </c>
      <c r="BT4" s="13">
        <v>-2.6131108403205872E-2</v>
      </c>
      <c r="BU4" s="13">
        <v>-3.5951588302850723E-2</v>
      </c>
      <c r="BV4" s="13">
        <v>-3.3736389130353928E-2</v>
      </c>
      <c r="BW4" s="13">
        <v>-2.4462303146719929E-2</v>
      </c>
      <c r="BX4" s="13">
        <v>-3.2545313239097602E-2</v>
      </c>
      <c r="BY4" s="13">
        <v>-3.1732853502035141E-2</v>
      </c>
      <c r="BZ4" s="13">
        <v>-3.5243522375822067E-2</v>
      </c>
      <c r="CA4" s="13">
        <v>-3.2394681125879288E-2</v>
      </c>
      <c r="CB4" s="13">
        <v>-2.393621951341629E-2</v>
      </c>
      <c r="CC4" s="13">
        <v>-2.886332385241985E-2</v>
      </c>
      <c r="CD4" s="13">
        <v>-2.6372920721769329E-2</v>
      </c>
      <c r="CE4" s="13">
        <v>-4.0299050509929657E-2</v>
      </c>
      <c r="CF4" s="13">
        <v>-3.2261207699775703E-2</v>
      </c>
      <c r="CG4" s="13">
        <v>-2.9903111979365349E-2</v>
      </c>
      <c r="CH4" s="13">
        <v>-3.120617009699345E-2</v>
      </c>
      <c r="CI4" s="13">
        <v>-3.1554944813251502E-2</v>
      </c>
      <c r="CJ4" s="13">
        <v>-3.2127730548381812E-2</v>
      </c>
      <c r="CK4" s="13">
        <v>-3.1585942953824997E-2</v>
      </c>
      <c r="CL4" s="13">
        <v>-3.109020926058292E-2</v>
      </c>
      <c r="CM4" s="13">
        <v>-3.116690926253796E-2</v>
      </c>
      <c r="CN4" s="13">
        <v>-3.068649023771286E-2</v>
      </c>
      <c r="CO4" s="13">
        <v>-3.051175735890865E-2</v>
      </c>
      <c r="CP4" s="13">
        <v>-3.0179880559444431E-2</v>
      </c>
      <c r="CQ4" s="13">
        <v>-3.0264537781476971E-2</v>
      </c>
      <c r="CR4" s="13">
        <v>-3.0227817595005039E-2</v>
      </c>
      <c r="CS4" s="13">
        <v>-3.038875758647919E-2</v>
      </c>
      <c r="CT4" s="13">
        <v>-2.237749099731445E-2</v>
      </c>
      <c r="CU4" s="13">
        <v>-2.6706485077738758E-2</v>
      </c>
      <c r="CV4" s="13">
        <v>-2.821129746735096E-2</v>
      </c>
      <c r="CW4" s="13">
        <v>-3.3567264676094062E-2</v>
      </c>
      <c r="CX4" s="13">
        <v>-2.7859419584274289E-2</v>
      </c>
      <c r="CY4" s="13">
        <v>-2.30282973498106E-2</v>
      </c>
      <c r="CZ4" s="13">
        <v>-2.6201611384749409E-2</v>
      </c>
      <c r="DA4" s="13">
        <v>-2.9583510011434559E-2</v>
      </c>
      <c r="DB4" s="13">
        <v>-3.3195734024047852E-2</v>
      </c>
      <c r="DC4" s="13">
        <v>-3.1532101333141327E-2</v>
      </c>
      <c r="DD4" s="13">
        <v>-2.9648697003722191E-2</v>
      </c>
      <c r="DE4" s="13">
        <v>-2.8857935220003132E-2</v>
      </c>
      <c r="DF4" s="13">
        <v>-2.8399249538779259E-2</v>
      </c>
      <c r="DG4" s="13">
        <v>-2.6426361873745918E-2</v>
      </c>
      <c r="DH4" s="13">
        <v>-3.0645843595266339E-2</v>
      </c>
      <c r="DI4" s="13">
        <v>-2.9881417751312259E-2</v>
      </c>
      <c r="DJ4" s="13">
        <v>-2.9596960172057148E-2</v>
      </c>
      <c r="DK4" s="13">
        <v>-2.841122634708881E-2</v>
      </c>
      <c r="DL4" s="13">
        <v>-3.0489476397633549E-2</v>
      </c>
      <c r="DM4" s="13">
        <v>-2.7597028762102131E-2</v>
      </c>
      <c r="DN4" s="13">
        <v>-2.8250575065612789E-2</v>
      </c>
      <c r="DO4" s="13">
        <v>-2.7726072818040851E-2</v>
      </c>
      <c r="DP4" s="13">
        <v>-2.715402282774448E-2</v>
      </c>
      <c r="DQ4" s="13">
        <v>-2.6989534497261051E-2</v>
      </c>
      <c r="DR4" s="13">
        <v>-2.888492681086063E-2</v>
      </c>
      <c r="DS4" s="13">
        <v>-2.6225227862596508E-2</v>
      </c>
      <c r="DT4" s="13">
        <v>-0.14326423406600949</v>
      </c>
      <c r="DU4" s="13">
        <v>-4.3057508766651147E-2</v>
      </c>
      <c r="DV4" s="13">
        <v>-3.2543007284402847E-2</v>
      </c>
      <c r="DW4" s="13">
        <v>-2.724632807075977E-2</v>
      </c>
      <c r="DX4" s="13">
        <v>-2.7451477944850922E-2</v>
      </c>
      <c r="DY4" s="13">
        <v>-2.8264472261071209E-2</v>
      </c>
      <c r="DZ4" s="13">
        <v>-2.418005466461182E-2</v>
      </c>
      <c r="EA4" s="13">
        <v>-2.6992777362465858E-2</v>
      </c>
      <c r="EB4" s="13">
        <v>-2.6342380791902539E-2</v>
      </c>
      <c r="EC4" s="13">
        <v>-2.8216563165187839E-2</v>
      </c>
      <c r="ED4" s="13">
        <v>-2.399775572121143E-2</v>
      </c>
      <c r="EE4" s="13">
        <v>-3.5310320556163788E-2</v>
      </c>
      <c r="EF4" s="13">
        <v>-2.9033292084932331E-2</v>
      </c>
    </row>
    <row r="5" spans="1:136" s="1" customFormat="1">
      <c r="B5" s="2" t="s">
        <v>138</v>
      </c>
      <c r="C5" s="13">
        <v>3.8081712555140261E-3</v>
      </c>
      <c r="D5" s="13">
        <v>-5.4777832701802254E-3</v>
      </c>
      <c r="E5" s="13">
        <v>-5.4900660179555416E-3</v>
      </c>
      <c r="F5" s="13">
        <v>-5.114563275128603E-3</v>
      </c>
      <c r="G5" s="13">
        <v>-7.764030247926712E-3</v>
      </c>
      <c r="H5" s="13">
        <v>-7.2011286392807961E-3</v>
      </c>
      <c r="I5" s="13">
        <v>-6.3504916615784168E-3</v>
      </c>
      <c r="J5" s="13">
        <v>-6.4376979134976864E-3</v>
      </c>
      <c r="K5" s="13">
        <v>-7.2753257118165493E-3</v>
      </c>
      <c r="L5" s="13">
        <v>-7.4702142737805843E-3</v>
      </c>
      <c r="M5" s="13">
        <v>-5.9039127081632614E-3</v>
      </c>
      <c r="N5" s="13">
        <v>1.2302654795348641E-2</v>
      </c>
      <c r="O5" s="13">
        <v>2.0934619009494781E-2</v>
      </c>
      <c r="P5" s="13">
        <v>2.7155191637575631E-3</v>
      </c>
      <c r="Q5" s="13">
        <v>3.0463424045592551E-3</v>
      </c>
      <c r="R5" s="13">
        <v>-4.8635075800120831E-3</v>
      </c>
      <c r="S5" s="13">
        <v>-1.6708682524040339E-3</v>
      </c>
      <c r="T5" s="13">
        <v>4.1404878720641136E-3</v>
      </c>
      <c r="U5" s="13">
        <v>2.761553972959518E-3</v>
      </c>
      <c r="V5" s="13">
        <v>-5.1478209206834435E-4</v>
      </c>
      <c r="W5" s="13">
        <v>7.5550959445536137E-4</v>
      </c>
      <c r="X5" s="13">
        <v>-3.1146644614636898E-3</v>
      </c>
      <c r="Y5" s="13">
        <v>-1.131144072860479E-2</v>
      </c>
      <c r="Z5" s="13">
        <v>-2.8005761560052629E-3</v>
      </c>
      <c r="AA5" s="13">
        <v>-8.9693367481231689E-3</v>
      </c>
      <c r="AB5" s="13">
        <v>-8.1666028127074242E-3</v>
      </c>
      <c r="AC5" s="13">
        <v>-1.639714278280735E-2</v>
      </c>
      <c r="AD5" s="13">
        <v>-1.0888714343309401E-2</v>
      </c>
      <c r="AE5" s="13">
        <v>-9.2730158939957619E-3</v>
      </c>
      <c r="AF5" s="13">
        <v>-4.607954528182745E-3</v>
      </c>
      <c r="AG5" s="13">
        <v>-5.8455127291381359E-3</v>
      </c>
      <c r="AH5" s="13">
        <v>-4.9838116392493248E-3</v>
      </c>
      <c r="AI5" s="13">
        <v>-3.626509103924036E-3</v>
      </c>
      <c r="AJ5" s="13">
        <v>-3.818823024630547E-3</v>
      </c>
      <c r="AK5" s="13">
        <v>-4.6545602381229401E-3</v>
      </c>
      <c r="AL5" s="13">
        <v>-5.3977398201823226E-3</v>
      </c>
      <c r="AM5" s="13">
        <v>-6.9995066151022911E-3</v>
      </c>
      <c r="AN5" s="13">
        <v>9.9394354037940502E-4</v>
      </c>
      <c r="AO5" s="13">
        <v>-4.2327293194830418E-3</v>
      </c>
      <c r="AP5" s="13">
        <v>-6.2828082591295242E-3</v>
      </c>
      <c r="AQ5" s="13">
        <v>-2.7964443434029822E-3</v>
      </c>
      <c r="AR5" s="13">
        <v>-3.548022592440248E-3</v>
      </c>
      <c r="AS5" s="13">
        <v>-1.8412303179502489E-3</v>
      </c>
      <c r="AT5" s="13">
        <v>1.7384441569447521E-2</v>
      </c>
      <c r="AU5" s="13">
        <v>-6.634250283241272E-3</v>
      </c>
      <c r="AV5" s="13">
        <v>7.3471954092383376E-3</v>
      </c>
      <c r="AW5" s="13">
        <v>4.724663682281971E-3</v>
      </c>
      <c r="AX5" s="13">
        <v>-1.7786960816010831E-3</v>
      </c>
      <c r="AY5" s="13">
        <v>-9.8629016429185867E-4</v>
      </c>
      <c r="AZ5" s="13">
        <v>1.0417148470878599E-2</v>
      </c>
      <c r="BA5" s="13">
        <v>-1.148949144408107E-3</v>
      </c>
      <c r="BB5" s="13">
        <v>-2.0870927255600691E-3</v>
      </c>
      <c r="BC5" s="13">
        <v>1.336632296442986E-3</v>
      </c>
      <c r="BD5" s="13">
        <v>5.0694281235337257E-3</v>
      </c>
      <c r="BE5" s="13">
        <v>-4.8598065041005611E-3</v>
      </c>
      <c r="BF5" s="13">
        <v>5.1613256800919771E-4</v>
      </c>
      <c r="BG5" s="13">
        <v>-7.0163407362997532E-3</v>
      </c>
      <c r="BH5" s="13">
        <v>-4.1907159611582756E-3</v>
      </c>
      <c r="BI5" s="13">
        <v>3.0854527722112829E-4</v>
      </c>
      <c r="BJ5" s="13">
        <v>-2.9275671113282442E-4</v>
      </c>
      <c r="BK5" s="13">
        <v>-1.1491622775793081E-2</v>
      </c>
      <c r="BL5" s="13">
        <v>-1.2680532410740851E-2</v>
      </c>
      <c r="BM5" s="13">
        <v>-4.4326516799628726E-3</v>
      </c>
      <c r="BN5" s="13">
        <v>-8.944263681769371E-4</v>
      </c>
      <c r="BO5" s="13">
        <v>-4.4179423712193966E-3</v>
      </c>
      <c r="BP5" s="13">
        <v>-8.5916733369231224E-3</v>
      </c>
      <c r="BQ5" s="13">
        <v>-4.4214986264705658E-3</v>
      </c>
      <c r="BR5" s="13">
        <v>1.025303965434432E-3</v>
      </c>
      <c r="BS5" s="13">
        <v>-7.2602357249706984E-4</v>
      </c>
      <c r="BT5" s="13">
        <v>2.21152906306088E-4</v>
      </c>
      <c r="BU5" s="13">
        <v>-4.0715634822845459E-3</v>
      </c>
      <c r="BV5" s="13">
        <v>-1.552917994558811E-3</v>
      </c>
      <c r="BW5" s="13">
        <v>-3.8780455943197012E-3</v>
      </c>
      <c r="BX5" s="13">
        <v>-2.1147832740098238E-3</v>
      </c>
      <c r="BY5" s="13">
        <v>-2.6352899149060249E-3</v>
      </c>
      <c r="BZ5" s="13">
        <v>1.8134823767468331E-3</v>
      </c>
      <c r="CA5" s="13">
        <v>-1.6779374331235889E-2</v>
      </c>
      <c r="CB5" s="13">
        <v>-1.808038167655468E-2</v>
      </c>
      <c r="CC5" s="13">
        <v>-9.0212021023035049E-3</v>
      </c>
      <c r="CD5" s="13">
        <v>-6.0056517831981182E-3</v>
      </c>
      <c r="CE5" s="13">
        <v>4.891709890216589E-3</v>
      </c>
      <c r="CF5" s="13">
        <v>-4.9459007568657398E-3</v>
      </c>
      <c r="CG5" s="13">
        <v>-1.764219487085938E-3</v>
      </c>
      <c r="CH5" s="13">
        <v>-2.2557761985808611E-3</v>
      </c>
      <c r="CI5" s="13">
        <v>-5.7940958067774773E-3</v>
      </c>
      <c r="CJ5" s="13">
        <v>5.3679030388593674E-3</v>
      </c>
      <c r="CK5" s="13">
        <v>-6.5037030726671219E-3</v>
      </c>
      <c r="CL5" s="13">
        <v>-9.2684589326381683E-3</v>
      </c>
      <c r="CM5" s="13">
        <v>3.4533715806901451E-3</v>
      </c>
      <c r="CN5" s="13">
        <v>-1.5305428532883521E-3</v>
      </c>
      <c r="CO5" s="13">
        <v>2.763807307928801E-3</v>
      </c>
      <c r="CP5" s="13">
        <v>-3.0045167077332739E-3</v>
      </c>
      <c r="CQ5" s="13">
        <v>-4.2182006873190403E-3</v>
      </c>
      <c r="CR5" s="13">
        <v>1.238218974322081E-3</v>
      </c>
      <c r="CS5" s="13">
        <v>-5.620910320430994E-3</v>
      </c>
      <c r="CT5" s="13">
        <v>-1.289551146328449E-4</v>
      </c>
      <c r="CU5" s="13">
        <v>-3.5577644594013691E-3</v>
      </c>
      <c r="CV5" s="13">
        <v>-8.8373589096590877E-4</v>
      </c>
      <c r="CW5" s="13">
        <v>-3.7108787801116701E-3</v>
      </c>
      <c r="CX5" s="13">
        <v>-1.892625004984438E-3</v>
      </c>
      <c r="CY5" s="13">
        <v>-2.23894277587533E-3</v>
      </c>
      <c r="CZ5" s="13">
        <v>-2.9421760700643059E-5</v>
      </c>
      <c r="DA5" s="13">
        <v>-1.453497330658138E-3</v>
      </c>
      <c r="DB5" s="13">
        <v>-3.351018531247973E-3</v>
      </c>
      <c r="DC5" s="13">
        <v>-3.9163324981927872E-3</v>
      </c>
      <c r="DD5" s="13">
        <v>-4.7809812240302563E-3</v>
      </c>
      <c r="DE5" s="13">
        <v>-4.4807596132159233E-3</v>
      </c>
      <c r="DF5" s="13">
        <v>-2.3375857621431351E-2</v>
      </c>
      <c r="DG5" s="13">
        <v>-3.9326213300228119E-3</v>
      </c>
      <c r="DH5" s="13">
        <v>-4.3730316683650017E-3</v>
      </c>
      <c r="DI5" s="13">
        <v>-1.565223932266235E-2</v>
      </c>
      <c r="DJ5" s="13">
        <v>6.0370620340108871E-3</v>
      </c>
      <c r="DK5" s="13">
        <v>-8.2938047125935555E-3</v>
      </c>
      <c r="DL5" s="13">
        <v>-4.4081835076212883E-3</v>
      </c>
      <c r="DM5" s="13">
        <v>-4.4374761637300247E-4</v>
      </c>
      <c r="DN5" s="13">
        <v>-3.0054445378482342E-3</v>
      </c>
      <c r="DO5" s="13">
        <v>2.8427736833691601E-3</v>
      </c>
      <c r="DP5" s="13">
        <v>-6.131303496658802E-3</v>
      </c>
      <c r="DQ5" s="13">
        <v>-4.6811853535473347E-3</v>
      </c>
      <c r="DR5" s="13">
        <v>-7.1722459979355344E-3</v>
      </c>
      <c r="DS5" s="13">
        <v>-3.6357224453240629E-3</v>
      </c>
      <c r="DT5" s="13">
        <v>-2.9824208468198782E-4</v>
      </c>
      <c r="DU5" s="13">
        <v>-5.6705139577388763E-3</v>
      </c>
      <c r="DV5" s="13">
        <v>-3.1858636066317558E-3</v>
      </c>
      <c r="DW5" s="13">
        <v>-7.003207691013813E-3</v>
      </c>
      <c r="DX5" s="13">
        <v>-6.6352039575576782E-3</v>
      </c>
      <c r="DY5" s="13">
        <v>-3.2449103891849522E-3</v>
      </c>
      <c r="DZ5" s="13">
        <v>-1.983507070690393E-3</v>
      </c>
      <c r="EA5" s="13">
        <v>-2.5352328084409241E-3</v>
      </c>
      <c r="EB5" s="13">
        <v>-4.4876029714941978E-3</v>
      </c>
      <c r="EC5" s="13">
        <v>-5.3785997442901126E-3</v>
      </c>
      <c r="ED5" s="13">
        <v>-6.4549529924988747E-3</v>
      </c>
      <c r="EE5" s="13">
        <v>-6.2718079425394544E-3</v>
      </c>
      <c r="EF5" s="13">
        <v>-6.1802691780030727E-3</v>
      </c>
    </row>
    <row r="6" spans="1:136" s="1" customFormat="1">
      <c r="A6" s="2" t="s">
        <v>139</v>
      </c>
      <c r="C6" s="13">
        <f t="array" ref="C6">MATCH(MAX(ABS(C3:C5)),ABS(C3:C5),0)</f>
        <v>2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2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2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2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2</v>
      </c>
      <c r="CF6" s="13">
        <f t="array" ref="CF6">MATCH(MAX(ABS(CF3:CF5)),ABS(CF3:CF5),0)</f>
        <v>2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2</v>
      </c>
      <c r="CN6" s="13">
        <f t="array" ref="CN6">MATCH(MAX(ABS(CN3:CN5)),ABS(CN3:CN5),0)</f>
        <v>1</v>
      </c>
      <c r="CO6" s="13">
        <f t="array" ref="CO6">MATCH(MAX(ABS(CO3:CO5)),ABS(CO3:CO5),0)</f>
        <v>2</v>
      </c>
      <c r="CP6" s="13">
        <f t="array" ref="CP6">MATCH(MAX(ABS(CP3:CP5)),ABS(CP3:CP5),0)</f>
        <v>2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2</v>
      </c>
      <c r="CT6" s="13">
        <f t="array" ref="CT6">MATCH(MAX(ABS(CT3:CT5)),ABS(CT3:CT5),0)</f>
        <v>2</v>
      </c>
      <c r="CU6" s="13">
        <f t="array" ref="CU6">MATCH(MAX(ABS(CU3:CU5)),ABS(CU3:CU5),0)</f>
        <v>2</v>
      </c>
      <c r="CV6" s="13">
        <f t="array" ref="CV6">MATCH(MAX(ABS(CV3:CV5)),ABS(CV3:CV5),0)</f>
        <v>2</v>
      </c>
      <c r="CW6" s="13">
        <f t="array" ref="CW6">MATCH(MAX(ABS(CW3:CW5)),ABS(CW3:CW5),0)</f>
        <v>2</v>
      </c>
      <c r="CX6" s="13">
        <f t="array" ref="CX6">MATCH(MAX(ABS(CX3:CX5)),ABS(CX3:CX5),0)</f>
        <v>2</v>
      </c>
      <c r="CY6" s="13">
        <f t="array" ref="CY6">MATCH(MAX(ABS(CY3:CY5)),ABS(CY3:CY5),0)</f>
        <v>1</v>
      </c>
      <c r="CZ6" s="13">
        <f t="array" ref="CZ6">MATCH(MAX(ABS(CZ3:CZ5)),ABS(CZ3:CZ5),0)</f>
        <v>2</v>
      </c>
      <c r="DA6" s="13">
        <f t="array" ref="DA6">MATCH(MAX(ABS(DA3:DA5)),ABS(DA3:DA5),0)</f>
        <v>2</v>
      </c>
      <c r="DB6" s="13">
        <f t="array" ref="DB6">MATCH(MAX(ABS(DB3:DB5)),ABS(DB3:DB5),0)</f>
        <v>2</v>
      </c>
      <c r="DC6" s="13">
        <f t="array" ref="DC6">MATCH(MAX(ABS(DC3:DC5)),ABS(DC3:DC5),0)</f>
        <v>2</v>
      </c>
      <c r="DD6" s="13">
        <f t="array" ref="DD6">MATCH(MAX(ABS(DD3:DD5)),ABS(DD3:DD5),0)</f>
        <v>1</v>
      </c>
      <c r="DE6" s="13">
        <f t="array" ref="DE6">MATCH(MAX(ABS(DE3:DE5)),ABS(DE3:DE5),0)</f>
        <v>2</v>
      </c>
      <c r="DF6" s="13">
        <f t="array" ref="DF6">MATCH(MAX(ABS(DF3:DF5)),ABS(DF3:DF5),0)</f>
        <v>2</v>
      </c>
      <c r="DG6" s="13">
        <f t="array" ref="DG6">MATCH(MAX(ABS(DG3:DG5)),ABS(DG3:DG5),0)</f>
        <v>2</v>
      </c>
      <c r="DH6" s="13">
        <f t="array" ref="DH6">MATCH(MAX(ABS(DH3:DH5)),ABS(DH3:DH5),0)</f>
        <v>2</v>
      </c>
      <c r="DI6" s="13">
        <f t="array" ref="DI6">MATCH(MAX(ABS(DI3:DI5)),ABS(DI3:DI5),0)</f>
        <v>2</v>
      </c>
      <c r="DJ6" s="13">
        <f t="array" ref="DJ6">MATCH(MAX(ABS(DJ3:DJ5)),ABS(DJ3:DJ5),0)</f>
        <v>2</v>
      </c>
      <c r="DK6" s="13">
        <f t="array" ref="DK6">MATCH(MAX(ABS(DK3:DK5)),ABS(DK3:DK5),0)</f>
        <v>2</v>
      </c>
      <c r="DL6" s="13">
        <f t="array" ref="DL6">MATCH(MAX(ABS(DL3:DL5)),ABS(DL3:DL5),0)</f>
        <v>2</v>
      </c>
      <c r="DM6" s="13">
        <f t="array" ref="DM6">MATCH(MAX(ABS(DM3:DM5)),ABS(DM3:DM5),0)</f>
        <v>2</v>
      </c>
      <c r="DN6" s="13">
        <f t="array" ref="DN6">MATCH(MAX(ABS(DN3:DN5)),ABS(DN3:DN5),0)</f>
        <v>2</v>
      </c>
      <c r="DO6" s="13">
        <f t="array" ref="DO6">MATCH(MAX(ABS(DO3:DO5)),ABS(DO3:DO5),0)</f>
        <v>2</v>
      </c>
      <c r="DP6" s="13">
        <f t="array" ref="DP6">MATCH(MAX(ABS(DP3:DP5)),ABS(DP3:DP5),0)</f>
        <v>2</v>
      </c>
      <c r="DQ6" s="13">
        <f t="array" ref="DQ6">MATCH(MAX(ABS(DQ3:DQ5)),ABS(DQ3:DQ5),0)</f>
        <v>2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2</v>
      </c>
      <c r="DU6" s="13">
        <f t="array" ref="DU6">MATCH(MAX(ABS(DU3:DU5)),ABS(DU3:DU5),0)</f>
        <v>2</v>
      </c>
      <c r="DV6" s="13">
        <f t="array" ref="DV6">MATCH(MAX(ABS(DV3:DV5)),ABS(DV3:DV5),0)</f>
        <v>2</v>
      </c>
      <c r="DW6" s="13">
        <f t="array" ref="DW6">MATCH(MAX(ABS(DW3:DW5)),ABS(DW3:DW5),0)</f>
        <v>2</v>
      </c>
      <c r="DX6" s="13">
        <f t="array" ref="DX6">MATCH(MAX(ABS(DX3:DX5)),ABS(DX3:DX5),0)</f>
        <v>2</v>
      </c>
      <c r="DY6" s="13">
        <f t="array" ref="DY6">MATCH(MAX(ABS(DY3:DY5)),ABS(DY3:DY5),0)</f>
        <v>2</v>
      </c>
      <c r="DZ6" s="13">
        <f t="array" ref="DZ6">MATCH(MAX(ABS(DZ3:DZ5)),ABS(DZ3:DZ5),0)</f>
        <v>2</v>
      </c>
      <c r="EA6" s="13">
        <f t="array" ref="EA6">MATCH(MAX(ABS(EA3:EA5)),ABS(EA3:EA5),0)</f>
        <v>2</v>
      </c>
      <c r="EB6" s="13">
        <f t="array" ref="EB6">MATCH(MAX(ABS(EB3:EB5)),ABS(EB3:EB5),0)</f>
        <v>2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2</v>
      </c>
      <c r="EF6" s="13">
        <f t="array" ref="EF6">MATCH(MAX(ABS(EF3:EF5)),ABS(EF3:EF5),0)</f>
        <v>2</v>
      </c>
    </row>
    <row r="7" spans="1:136">
      <c r="C7" s="14" t="str">
        <f t="shared" ref="C7:AH7" si="0">IF(C6=1,"bm",IF(C6=2,"size",IF(C6=3,"mom")))</f>
        <v>size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size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size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size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size</v>
      </c>
      <c r="CF7" s="14" t="str">
        <f t="shared" si="2"/>
        <v>size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size</v>
      </c>
      <c r="CN7" s="14" t="str">
        <f t="shared" si="2"/>
        <v>bm</v>
      </c>
      <c r="CO7" s="14" t="str">
        <f t="shared" si="2"/>
        <v>size</v>
      </c>
      <c r="CP7" s="14" t="str">
        <f t="shared" si="2"/>
        <v>size</v>
      </c>
      <c r="CQ7" s="14" t="str">
        <f t="shared" si="2"/>
        <v>bm</v>
      </c>
      <c r="CR7" s="14" t="str">
        <f t="shared" si="2"/>
        <v>bm</v>
      </c>
      <c r="CS7" s="14" t="str">
        <f t="shared" si="2"/>
        <v>size</v>
      </c>
      <c r="CT7" s="14" t="str">
        <f t="shared" si="2"/>
        <v>size</v>
      </c>
      <c r="CU7" s="14" t="str">
        <f t="shared" ref="CU7:DZ7" si="3">IF(CU6=1,"bm",IF(CU6=2,"size",IF(CU6=3,"mom")))</f>
        <v>size</v>
      </c>
      <c r="CV7" s="14" t="str">
        <f t="shared" si="3"/>
        <v>size</v>
      </c>
      <c r="CW7" s="14" t="str">
        <f t="shared" si="3"/>
        <v>size</v>
      </c>
      <c r="CX7" s="14" t="str">
        <f t="shared" si="3"/>
        <v>size</v>
      </c>
      <c r="CY7" s="14" t="str">
        <f t="shared" si="3"/>
        <v>bm</v>
      </c>
      <c r="CZ7" s="14" t="str">
        <f t="shared" si="3"/>
        <v>size</v>
      </c>
      <c r="DA7" s="14" t="str">
        <f t="shared" si="3"/>
        <v>size</v>
      </c>
      <c r="DB7" s="14" t="str">
        <f t="shared" si="3"/>
        <v>size</v>
      </c>
      <c r="DC7" s="14" t="str">
        <f t="shared" si="3"/>
        <v>size</v>
      </c>
      <c r="DD7" s="14" t="str">
        <f t="shared" si="3"/>
        <v>bm</v>
      </c>
      <c r="DE7" s="14" t="str">
        <f t="shared" si="3"/>
        <v>size</v>
      </c>
      <c r="DF7" s="14" t="str">
        <f t="shared" si="3"/>
        <v>size</v>
      </c>
      <c r="DG7" s="14" t="str">
        <f t="shared" si="3"/>
        <v>size</v>
      </c>
      <c r="DH7" s="14" t="str">
        <f t="shared" si="3"/>
        <v>size</v>
      </c>
      <c r="DI7" s="14" t="str">
        <f t="shared" si="3"/>
        <v>size</v>
      </c>
      <c r="DJ7" s="14" t="str">
        <f t="shared" si="3"/>
        <v>size</v>
      </c>
      <c r="DK7" s="14" t="str">
        <f t="shared" si="3"/>
        <v>size</v>
      </c>
      <c r="DL7" s="14" t="str">
        <f t="shared" si="3"/>
        <v>size</v>
      </c>
      <c r="DM7" s="14" t="str">
        <f t="shared" si="3"/>
        <v>size</v>
      </c>
      <c r="DN7" s="14" t="str">
        <f t="shared" si="3"/>
        <v>size</v>
      </c>
      <c r="DO7" s="14" t="str">
        <f t="shared" si="3"/>
        <v>size</v>
      </c>
      <c r="DP7" s="14" t="str">
        <f t="shared" si="3"/>
        <v>size</v>
      </c>
      <c r="DQ7" s="14" t="str">
        <f t="shared" si="3"/>
        <v>size</v>
      </c>
      <c r="DR7" s="14" t="str">
        <f t="shared" si="3"/>
        <v>bm</v>
      </c>
      <c r="DS7" s="14" t="str">
        <f t="shared" si="3"/>
        <v>bm</v>
      </c>
      <c r="DT7" s="14" t="str">
        <f t="shared" si="3"/>
        <v>size</v>
      </c>
      <c r="DU7" s="14" t="str">
        <f t="shared" si="3"/>
        <v>size</v>
      </c>
      <c r="DV7" s="14" t="str">
        <f t="shared" si="3"/>
        <v>size</v>
      </c>
      <c r="DW7" s="14" t="str">
        <f t="shared" si="3"/>
        <v>size</v>
      </c>
      <c r="DX7" s="14" t="str">
        <f t="shared" si="3"/>
        <v>size</v>
      </c>
      <c r="DY7" s="14" t="str">
        <f t="shared" si="3"/>
        <v>size</v>
      </c>
      <c r="DZ7" s="14" t="str">
        <f t="shared" si="3"/>
        <v>size</v>
      </c>
      <c r="EA7" s="14" t="str">
        <f t="shared" ref="EA7:EF7" si="4">IF(EA6=1,"bm",IF(EA6=2,"size",IF(EA6=3,"mom")))</f>
        <v>size</v>
      </c>
      <c r="EB7" s="14" t="str">
        <f t="shared" si="4"/>
        <v>size</v>
      </c>
      <c r="EC7" s="14" t="str">
        <f t="shared" si="4"/>
        <v>bm</v>
      </c>
      <c r="ED7" s="14" t="str">
        <f t="shared" si="4"/>
        <v>bm</v>
      </c>
      <c r="EE7" s="14" t="str">
        <f t="shared" si="4"/>
        <v>size</v>
      </c>
      <c r="EF7" s="14" t="str">
        <f t="shared" si="4"/>
        <v>size</v>
      </c>
    </row>
    <row r="8" spans="1:136">
      <c r="C8" s="13">
        <f t="shared" ref="C8:AH8" si="5">IF(C6=1,C3,IF(C6=2,C4,IF(C6=3,C5)))</f>
        <v>-8.5349172353744507E-2</v>
      </c>
      <c r="D8" s="13">
        <f t="shared" si="5"/>
        <v>7.545451819896698E-2</v>
      </c>
      <c r="E8" s="13">
        <f t="shared" si="5"/>
        <v>5.3419496864080429E-2</v>
      </c>
      <c r="F8" s="13">
        <f t="shared" si="5"/>
        <v>4.8055462539196007E-2</v>
      </c>
      <c r="G8" s="13">
        <f t="shared" si="5"/>
        <v>5.6244600564241409E-2</v>
      </c>
      <c r="H8" s="13">
        <f t="shared" si="5"/>
        <v>5.3408809006214142E-2</v>
      </c>
      <c r="I8" s="13">
        <f t="shared" si="5"/>
        <v>5.4677728563547127E-2</v>
      </c>
      <c r="J8" s="13">
        <f t="shared" si="5"/>
        <v>6.1407111585140228E-2</v>
      </c>
      <c r="K8" s="13">
        <f t="shared" si="5"/>
        <v>6.1087191104888923E-2</v>
      </c>
      <c r="L8" s="13">
        <f t="shared" si="5"/>
        <v>6.1945471912622452E-2</v>
      </c>
      <c r="M8" s="13">
        <f t="shared" si="5"/>
        <v>6.4090974628925323E-2</v>
      </c>
      <c r="N8" s="13">
        <f t="shared" si="5"/>
        <v>5.0166409462690353E-2</v>
      </c>
      <c r="O8" s="13">
        <f t="shared" si="5"/>
        <v>5.0939202308654792E-2</v>
      </c>
      <c r="P8" s="13">
        <f t="shared" si="5"/>
        <v>5.3945809602737427E-2</v>
      </c>
      <c r="Q8" s="13">
        <f t="shared" si="5"/>
        <v>5.463515967130661E-2</v>
      </c>
      <c r="R8" s="13">
        <f t="shared" si="5"/>
        <v>5.4097041487693787E-2</v>
      </c>
      <c r="S8" s="13">
        <f t="shared" si="5"/>
        <v>5.4209418594837189E-2</v>
      </c>
      <c r="T8" s="13">
        <f t="shared" si="5"/>
        <v>5.6115321815013892E-2</v>
      </c>
      <c r="U8" s="13">
        <f t="shared" si="5"/>
        <v>5.4694335907697678E-2</v>
      </c>
      <c r="V8" s="13">
        <f t="shared" si="5"/>
        <v>5.5520310997962952E-2</v>
      </c>
      <c r="W8" s="13">
        <f t="shared" si="5"/>
        <v>5.7895615696907043E-2</v>
      </c>
      <c r="X8" s="13">
        <f t="shared" si="5"/>
        <v>5.6128561496734619E-2</v>
      </c>
      <c r="Y8" s="13">
        <f t="shared" si="5"/>
        <v>5.4498970508575439E-2</v>
      </c>
      <c r="Z8" s="13">
        <f t="shared" si="5"/>
        <v>5.640922486782074E-2</v>
      </c>
      <c r="AA8" s="13">
        <f t="shared" si="5"/>
        <v>5.4687082767486572E-2</v>
      </c>
      <c r="AB8" s="13">
        <f t="shared" si="5"/>
        <v>5.4479975253343582E-2</v>
      </c>
      <c r="AC8" s="13">
        <f t="shared" si="5"/>
        <v>5.7393115013837807E-2</v>
      </c>
      <c r="AD8" s="13">
        <f t="shared" si="5"/>
        <v>5.7433716952800751E-2</v>
      </c>
      <c r="AE8" s="13">
        <f t="shared" si="5"/>
        <v>4.2686142027378082E-2</v>
      </c>
      <c r="AF8" s="13">
        <f t="shared" si="5"/>
        <v>5.614069476723671E-2</v>
      </c>
      <c r="AG8" s="13">
        <f t="shared" si="5"/>
        <v>5.5614285171031952E-2</v>
      </c>
      <c r="AH8" s="13">
        <f t="shared" si="5"/>
        <v>-2.73332130163908E-2</v>
      </c>
      <c r="AI8" s="13">
        <f t="shared" ref="AI8:BN8" si="6">IF(AI6=1,AI3,IF(AI6=2,AI4,IF(AI6=3,AI5)))</f>
        <v>-3.7235941737890237E-2</v>
      </c>
      <c r="AJ8" s="13">
        <f t="shared" si="6"/>
        <v>-3.4088630229234702E-2</v>
      </c>
      <c r="AK8" s="13">
        <f t="shared" si="6"/>
        <v>3.0455950647592541E-2</v>
      </c>
      <c r="AL8" s="13">
        <f t="shared" si="6"/>
        <v>3.425038605928421E-2</v>
      </c>
      <c r="AM8" s="13">
        <f t="shared" si="6"/>
        <v>3.9540499448776252E-2</v>
      </c>
      <c r="AN8" s="13">
        <f t="shared" si="6"/>
        <v>4.3252840638160713E-2</v>
      </c>
      <c r="AO8" s="13">
        <f t="shared" si="6"/>
        <v>4.4728361070156097E-2</v>
      </c>
      <c r="AP8" s="13">
        <f t="shared" si="6"/>
        <v>4.2892593890428543E-2</v>
      </c>
      <c r="AQ8" s="13">
        <f t="shared" si="6"/>
        <v>4.543033242225647E-2</v>
      </c>
      <c r="AR8" s="13">
        <f t="shared" si="6"/>
        <v>4.4913444668054581E-2</v>
      </c>
      <c r="AS8" s="13">
        <f t="shared" si="6"/>
        <v>-0.1345172971487045</v>
      </c>
      <c r="AT8" s="13">
        <f t="shared" si="6"/>
        <v>4.19180728495121E-2</v>
      </c>
      <c r="AU8" s="13">
        <f t="shared" si="6"/>
        <v>4.1785150766372681E-2</v>
      </c>
      <c r="AV8" s="13">
        <f t="shared" si="6"/>
        <v>4.3081630021333688E-2</v>
      </c>
      <c r="AW8" s="13">
        <f t="shared" si="6"/>
        <v>4.6142738312482827E-2</v>
      </c>
      <c r="AX8" s="13">
        <f t="shared" si="6"/>
        <v>4.5525301247835159E-2</v>
      </c>
      <c r="AY8" s="13">
        <f t="shared" si="6"/>
        <v>4.7935985028743737E-2</v>
      </c>
      <c r="AZ8" s="13">
        <f t="shared" si="6"/>
        <v>4.1659116744995117E-2</v>
      </c>
      <c r="BA8" s="13">
        <f t="shared" si="6"/>
        <v>3.8711324334144592E-2</v>
      </c>
      <c r="BB8" s="13">
        <f t="shared" si="6"/>
        <v>3.8947168737649918E-2</v>
      </c>
      <c r="BC8" s="13">
        <f t="shared" si="6"/>
        <v>4.2427822947502143E-2</v>
      </c>
      <c r="BD8" s="13">
        <f t="shared" si="6"/>
        <v>4.4051360338926322E-2</v>
      </c>
      <c r="BE8" s="13">
        <f t="shared" si="6"/>
        <v>4.56375852227211E-2</v>
      </c>
      <c r="BF8" s="13">
        <f t="shared" si="6"/>
        <v>4.8670642077922821E-2</v>
      </c>
      <c r="BG8" s="13">
        <f t="shared" si="6"/>
        <v>4.9968019127845757E-2</v>
      </c>
      <c r="BH8" s="13">
        <f t="shared" si="6"/>
        <v>5.1808405667543411E-2</v>
      </c>
      <c r="BI8" s="13">
        <f t="shared" si="6"/>
        <v>5.0584189593791962E-2</v>
      </c>
      <c r="BJ8" s="13">
        <f t="shared" si="6"/>
        <v>5.2059561014175422E-2</v>
      </c>
      <c r="BK8" s="13">
        <f t="shared" si="6"/>
        <v>5.2372250705957413E-2</v>
      </c>
      <c r="BL8" s="13">
        <f t="shared" si="6"/>
        <v>5.0854671746492393E-2</v>
      </c>
      <c r="BM8" s="13">
        <f t="shared" si="6"/>
        <v>5.2194196730852127E-2</v>
      </c>
      <c r="BN8" s="13">
        <f t="shared" si="6"/>
        <v>7.9825639724731445E-2</v>
      </c>
      <c r="BO8" s="13">
        <f t="shared" ref="BO8:CT8" si="7">IF(BO6=1,BO3,IF(BO6=2,BO4,IF(BO6=3,BO5)))</f>
        <v>5.4506797343492508E-2</v>
      </c>
      <c r="BP8" s="13">
        <f t="shared" si="7"/>
        <v>4.0165632963180542E-2</v>
      </c>
      <c r="BQ8" s="13">
        <f t="shared" si="7"/>
        <v>5.2233844995498657E-2</v>
      </c>
      <c r="BR8" s="13">
        <f t="shared" si="7"/>
        <v>3.6525636911392212E-2</v>
      </c>
      <c r="BS8" s="13">
        <f t="shared" si="7"/>
        <v>5.2801784127950668E-2</v>
      </c>
      <c r="BT8" s="13">
        <f t="shared" si="7"/>
        <v>4.8056013882160187E-2</v>
      </c>
      <c r="BU8" s="13">
        <f t="shared" si="7"/>
        <v>-9.9144220352172852E-2</v>
      </c>
      <c r="BV8" s="13">
        <f t="shared" si="7"/>
        <v>5.2249498665332787E-2</v>
      </c>
      <c r="BW8" s="13">
        <f t="shared" si="7"/>
        <v>3.9474610239267349E-2</v>
      </c>
      <c r="BX8" s="13">
        <f t="shared" si="7"/>
        <v>4.7410383820533752E-2</v>
      </c>
      <c r="BY8" s="13">
        <f t="shared" si="7"/>
        <v>4.704391211271286E-2</v>
      </c>
      <c r="BZ8" s="13">
        <f t="shared" si="7"/>
        <v>4.6114489436149597E-2</v>
      </c>
      <c r="CA8" s="13">
        <f t="shared" si="7"/>
        <v>4.2742863297462463E-2</v>
      </c>
      <c r="CB8" s="13">
        <f t="shared" si="7"/>
        <v>3.8489740341901779E-2</v>
      </c>
      <c r="CC8" s="13">
        <f t="shared" si="7"/>
        <v>3.745705634355545E-2</v>
      </c>
      <c r="CD8" s="13">
        <f t="shared" si="7"/>
        <v>3.9794288575649261E-2</v>
      </c>
      <c r="CE8" s="13">
        <f t="shared" si="7"/>
        <v>-4.0299050509929657E-2</v>
      </c>
      <c r="CF8" s="13">
        <f t="shared" si="7"/>
        <v>-3.2261207699775703E-2</v>
      </c>
      <c r="CG8" s="13">
        <f t="shared" si="7"/>
        <v>3.5978682339191437E-2</v>
      </c>
      <c r="CH8" s="13">
        <f t="shared" si="7"/>
        <v>3.177894651889801E-2</v>
      </c>
      <c r="CI8" s="13">
        <f t="shared" si="7"/>
        <v>3.4042399376630783E-2</v>
      </c>
      <c r="CJ8" s="13">
        <f t="shared" si="7"/>
        <v>3.8737695664167397E-2</v>
      </c>
      <c r="CK8" s="13">
        <f t="shared" si="7"/>
        <v>3.9908383041620248E-2</v>
      </c>
      <c r="CL8" s="13">
        <f t="shared" si="7"/>
        <v>3.7117619067430503E-2</v>
      </c>
      <c r="CM8" s="13">
        <f t="shared" si="7"/>
        <v>-3.116690926253796E-2</v>
      </c>
      <c r="CN8" s="13">
        <f t="shared" si="7"/>
        <v>4.0649183094501502E-2</v>
      </c>
      <c r="CO8" s="13">
        <f t="shared" si="7"/>
        <v>-3.051175735890865E-2</v>
      </c>
      <c r="CP8" s="13">
        <f t="shared" si="7"/>
        <v>-3.0179880559444431E-2</v>
      </c>
      <c r="CQ8" s="13">
        <f t="shared" si="7"/>
        <v>3.3265896141529083E-2</v>
      </c>
      <c r="CR8" s="13">
        <f t="shared" si="7"/>
        <v>3.3467646688222892E-2</v>
      </c>
      <c r="CS8" s="13">
        <f t="shared" si="7"/>
        <v>-3.038875758647919E-2</v>
      </c>
      <c r="CT8" s="13">
        <f t="shared" si="7"/>
        <v>-2.237749099731445E-2</v>
      </c>
      <c r="CU8" s="13">
        <f t="shared" ref="CU8:DZ8" si="8">IF(CU6=1,CU3,IF(CU6=2,CU4,IF(CU6=3,CU5)))</f>
        <v>-2.6706485077738758E-2</v>
      </c>
      <c r="CV8" s="13">
        <f t="shared" si="8"/>
        <v>-2.821129746735096E-2</v>
      </c>
      <c r="CW8" s="13">
        <f t="shared" si="8"/>
        <v>-3.3567264676094062E-2</v>
      </c>
      <c r="CX8" s="13">
        <f t="shared" si="8"/>
        <v>-2.7859419584274289E-2</v>
      </c>
      <c r="CY8" s="13">
        <f t="shared" si="8"/>
        <v>2.5537870824337009E-2</v>
      </c>
      <c r="CZ8" s="13">
        <f t="shared" si="8"/>
        <v>-2.6201611384749409E-2</v>
      </c>
      <c r="DA8" s="13">
        <f t="shared" si="8"/>
        <v>-2.9583510011434559E-2</v>
      </c>
      <c r="DB8" s="13">
        <f t="shared" si="8"/>
        <v>-3.3195734024047852E-2</v>
      </c>
      <c r="DC8" s="13">
        <f t="shared" si="8"/>
        <v>-3.1532101333141327E-2</v>
      </c>
      <c r="DD8" s="13">
        <f t="shared" si="8"/>
        <v>3.3772524446249008E-2</v>
      </c>
      <c r="DE8" s="13">
        <f t="shared" si="8"/>
        <v>-2.8857935220003132E-2</v>
      </c>
      <c r="DF8" s="13">
        <f t="shared" si="8"/>
        <v>-2.8399249538779259E-2</v>
      </c>
      <c r="DG8" s="13">
        <f t="shared" si="8"/>
        <v>-2.6426361873745918E-2</v>
      </c>
      <c r="DH8" s="13">
        <f t="shared" si="8"/>
        <v>-3.0645843595266339E-2</v>
      </c>
      <c r="DI8" s="13">
        <f t="shared" si="8"/>
        <v>-2.9881417751312259E-2</v>
      </c>
      <c r="DJ8" s="13">
        <f t="shared" si="8"/>
        <v>-2.9596960172057148E-2</v>
      </c>
      <c r="DK8" s="13">
        <f t="shared" si="8"/>
        <v>-2.841122634708881E-2</v>
      </c>
      <c r="DL8" s="13">
        <f t="shared" si="8"/>
        <v>-3.0489476397633549E-2</v>
      </c>
      <c r="DM8" s="13">
        <f t="shared" si="8"/>
        <v>-2.7597028762102131E-2</v>
      </c>
      <c r="DN8" s="13">
        <f t="shared" si="8"/>
        <v>-2.8250575065612789E-2</v>
      </c>
      <c r="DO8" s="13">
        <f t="shared" si="8"/>
        <v>-2.7726072818040851E-2</v>
      </c>
      <c r="DP8" s="13">
        <f t="shared" si="8"/>
        <v>-2.715402282774448E-2</v>
      </c>
      <c r="DQ8" s="13">
        <f t="shared" si="8"/>
        <v>-2.6989534497261051E-2</v>
      </c>
      <c r="DR8" s="13">
        <f t="shared" si="8"/>
        <v>3.2421927899122238E-2</v>
      </c>
      <c r="DS8" s="13">
        <f t="shared" si="8"/>
        <v>2.6365883648395538E-2</v>
      </c>
      <c r="DT8" s="13">
        <f t="shared" si="8"/>
        <v>-0.14326423406600949</v>
      </c>
      <c r="DU8" s="13">
        <f t="shared" si="8"/>
        <v>-4.3057508766651147E-2</v>
      </c>
      <c r="DV8" s="13">
        <f t="shared" si="8"/>
        <v>-3.2543007284402847E-2</v>
      </c>
      <c r="DW8" s="13">
        <f t="shared" si="8"/>
        <v>-2.724632807075977E-2</v>
      </c>
      <c r="DX8" s="13">
        <f t="shared" si="8"/>
        <v>-2.7451477944850922E-2</v>
      </c>
      <c r="DY8" s="13">
        <f t="shared" si="8"/>
        <v>-2.8264472261071209E-2</v>
      </c>
      <c r="DZ8" s="13">
        <f t="shared" si="8"/>
        <v>-2.418005466461182E-2</v>
      </c>
      <c r="EA8" s="13">
        <f t="shared" ref="EA8:EF8" si="9">IF(EA6=1,EA3,IF(EA6=2,EA4,IF(EA6=3,EA5)))</f>
        <v>-2.6992777362465858E-2</v>
      </c>
      <c r="EB8" s="13">
        <f t="shared" si="9"/>
        <v>-2.6342380791902539E-2</v>
      </c>
      <c r="EC8" s="13">
        <f t="shared" si="9"/>
        <v>3.6291155964136117E-2</v>
      </c>
      <c r="ED8" s="13">
        <f t="shared" si="9"/>
        <v>2.4168495088815689E-2</v>
      </c>
      <c r="EE8" s="13">
        <f t="shared" si="9"/>
        <v>-3.5310320556163788E-2</v>
      </c>
      <c r="EF8" s="13">
        <f t="shared" si="9"/>
        <v>-2.9033292084932331E-2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/>
      <c r="B11" s="2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5">
        <v>45689</v>
      </c>
    </row>
    <row r="12" spans="1:136">
      <c r="A12" s="2"/>
      <c r="B12" s="2" t="s">
        <v>185</v>
      </c>
      <c r="C12" s="17">
        <v>8.4653999999999993E-2</v>
      </c>
      <c r="D12" s="17">
        <v>0.10547579527187829</v>
      </c>
      <c r="E12" s="17">
        <v>9.8721766913520373E-2</v>
      </c>
      <c r="F12" s="17">
        <v>7.8852941965614029E-2</v>
      </c>
      <c r="G12" s="17">
        <v>8.6757288711542396E-2</v>
      </c>
      <c r="H12" s="17">
        <v>9.6116672473298054E-2</v>
      </c>
      <c r="I12" s="17">
        <v>0.13242060932235011</v>
      </c>
      <c r="J12" s="17">
        <v>0.1762051880672216</v>
      </c>
      <c r="K12" s="17">
        <v>0.1652167842143995</v>
      </c>
      <c r="L12" s="17">
        <v>0.16293955343343619</v>
      </c>
      <c r="M12" s="17">
        <v>0.14738774923327511</v>
      </c>
      <c r="N12" s="17">
        <v>0.19946185690863419</v>
      </c>
      <c r="O12" s="17">
        <v>0.21809174555461319</v>
      </c>
      <c r="P12" s="17">
        <v>0.19667132435015081</v>
      </c>
      <c r="Q12" s="17">
        <v>0.16287854022924311</v>
      </c>
      <c r="R12" s="17">
        <v>0.1762760464691788</v>
      </c>
      <c r="S12" s="17">
        <v>0.10522214937457181</v>
      </c>
      <c r="T12" s="17">
        <v>6.1978660555058608E-2</v>
      </c>
      <c r="U12" s="17">
        <v>4.1611440001927617E-2</v>
      </c>
      <c r="V12" s="17">
        <v>8.6641430804776334E-2</v>
      </c>
      <c r="W12" s="17">
        <v>0.10891987277808809</v>
      </c>
      <c r="X12" s="17">
        <v>0.15743914755840249</v>
      </c>
      <c r="Y12" s="17">
        <v>0.14065077030658649</v>
      </c>
      <c r="Z12" s="17">
        <v>0.2042744536221604</v>
      </c>
      <c r="AA12" s="17">
        <v>0.16487079222104861</v>
      </c>
      <c r="AB12" s="17">
        <v>0.1995599027725268</v>
      </c>
      <c r="AC12" s="17">
        <v>0.23467466683617319</v>
      </c>
      <c r="AD12" s="17">
        <v>0.2405217768354104</v>
      </c>
      <c r="AE12" s="17">
        <v>0.20262415330317979</v>
      </c>
      <c r="AF12" s="17">
        <v>0.22305630460704479</v>
      </c>
      <c r="AG12" s="17">
        <v>0.25303844953976917</v>
      </c>
      <c r="AH12" s="17">
        <v>0.27413886620643579</v>
      </c>
      <c r="AI12" s="17">
        <v>0.29738582453976919</v>
      </c>
      <c r="AJ12" s="17">
        <v>0.31844819953976922</v>
      </c>
      <c r="AK12" s="17">
        <v>0.36657190369190362</v>
      </c>
      <c r="AL12" s="17">
        <v>0.38443090671382568</v>
      </c>
      <c r="AM12" s="17">
        <v>0.41451702232642362</v>
      </c>
      <c r="AN12" s="17">
        <v>0.48375025663985222</v>
      </c>
      <c r="AO12" s="17">
        <v>0.48597904967952521</v>
      </c>
      <c r="AP12" s="17">
        <v>0.45226070489767611</v>
      </c>
      <c r="AQ12" s="17">
        <v>0.44463876850909217</v>
      </c>
      <c r="AR12" s="17">
        <v>0.45816502795905861</v>
      </c>
      <c r="AS12" s="17">
        <v>0.45232166337572532</v>
      </c>
      <c r="AT12" s="17">
        <v>0.46615656808339639</v>
      </c>
      <c r="AU12" s="17">
        <v>0.48686522676427191</v>
      </c>
      <c r="AV12" s="17">
        <v>0.4455051420192469</v>
      </c>
      <c r="AW12" s="17">
        <v>0.44612661903726297</v>
      </c>
      <c r="AX12" s="17">
        <v>0.48972508629068578</v>
      </c>
      <c r="AY12" s="17">
        <v>0.51468037935835909</v>
      </c>
      <c r="AZ12" s="17">
        <v>0.5123803532867014</v>
      </c>
      <c r="BA12" s="17">
        <v>0.51731824146994321</v>
      </c>
      <c r="BB12" s="17">
        <v>0.53259284672240259</v>
      </c>
      <c r="BC12" s="17">
        <v>0.5448656357608791</v>
      </c>
      <c r="BD12" s="17">
        <v>0.5584961927025317</v>
      </c>
      <c r="BE12" s="17">
        <v>0.57710500254191699</v>
      </c>
      <c r="BF12" s="17">
        <v>0.64489735502511714</v>
      </c>
      <c r="BG12" s="17">
        <v>0.67856821746637996</v>
      </c>
      <c r="BH12" s="17">
        <v>0.69279157747770193</v>
      </c>
      <c r="BI12" s="17">
        <v>0.74281283050869273</v>
      </c>
      <c r="BJ12" s="17">
        <v>0.74201683718877487</v>
      </c>
      <c r="BK12" s="17">
        <v>0.72073217222864094</v>
      </c>
      <c r="BL12" s="17">
        <v>0.74544141805878961</v>
      </c>
      <c r="BM12" s="17">
        <v>0.74027232610255977</v>
      </c>
      <c r="BN12" s="17">
        <v>0.75977457610255983</v>
      </c>
      <c r="BO12" s="17">
        <v>0.78402088635879674</v>
      </c>
      <c r="BP12" s="17">
        <v>0.77351190105350265</v>
      </c>
      <c r="BQ12" s="17">
        <v>0.7874086506722493</v>
      </c>
      <c r="BR12" s="17">
        <v>0.78514764221885047</v>
      </c>
      <c r="BS12" s="17">
        <v>0.80401093560324643</v>
      </c>
      <c r="BT12" s="17">
        <v>0.82604240428069065</v>
      </c>
      <c r="BU12" s="17">
        <v>0.81726088714059419</v>
      </c>
      <c r="BV12" s="17">
        <v>0.84032334287378518</v>
      </c>
      <c r="BW12" s="17">
        <v>0.81083957415425567</v>
      </c>
      <c r="BX12" s="17">
        <v>0.82231673615820577</v>
      </c>
      <c r="BY12" s="17">
        <v>0.7889459358266343</v>
      </c>
      <c r="BZ12" s="17">
        <v>0.83430288151790732</v>
      </c>
      <c r="CA12" s="17">
        <v>0.79990259407756481</v>
      </c>
      <c r="CB12" s="17">
        <v>0.8018458362093277</v>
      </c>
      <c r="CC12" s="17">
        <v>0.7850748718152174</v>
      </c>
      <c r="CD12" s="17">
        <v>0.89600850539966992</v>
      </c>
      <c r="CE12" s="17">
        <v>1.0500156616496701</v>
      </c>
      <c r="CF12" s="17">
        <v>1.0540937033163369</v>
      </c>
      <c r="CG12" s="17">
        <v>1.0959509373664</v>
      </c>
      <c r="CH12" s="17">
        <v>1.15924830974436</v>
      </c>
      <c r="CI12" s="17">
        <v>1.1245923973321541</v>
      </c>
      <c r="CJ12" s="17">
        <v>1.1400375778108429</v>
      </c>
      <c r="CK12" s="17">
        <v>1.152840721965678</v>
      </c>
      <c r="CL12" s="17">
        <v>1.2708563296352879</v>
      </c>
      <c r="CM12" s="17">
        <v>1.1991477671352879</v>
      </c>
      <c r="CN12" s="17">
        <v>1.1720640659207291</v>
      </c>
      <c r="CO12" s="17">
        <v>1.243355920087396</v>
      </c>
      <c r="CP12" s="17">
        <v>1.230560107587396</v>
      </c>
      <c r="CQ12" s="17">
        <v>1.2671323024973291</v>
      </c>
      <c r="CR12" s="17">
        <v>1.269250180927981</v>
      </c>
      <c r="CS12" s="17">
        <v>1.254740868427981</v>
      </c>
      <c r="CT12" s="17">
        <v>1.2868548267613149</v>
      </c>
      <c r="CU12" s="17">
        <v>1.3008222017613149</v>
      </c>
      <c r="CV12" s="17">
        <v>1.305225628844648</v>
      </c>
      <c r="CW12" s="17">
        <v>1.3349829830113149</v>
      </c>
      <c r="CX12" s="17">
        <v>1.3815300975946481</v>
      </c>
      <c r="CY12" s="17">
        <v>1.375547155383158</v>
      </c>
      <c r="CZ12" s="17">
        <v>1.4641096241331579</v>
      </c>
      <c r="DA12" s="17">
        <v>1.501088144966491</v>
      </c>
      <c r="DB12" s="17">
        <v>1.5900699991331579</v>
      </c>
      <c r="DC12" s="17">
        <v>1.601543051216491</v>
      </c>
      <c r="DD12" s="17">
        <v>1.626432029273732</v>
      </c>
      <c r="DE12" s="17">
        <v>1.5891965501070651</v>
      </c>
      <c r="DF12" s="17">
        <v>1.6446826542737309</v>
      </c>
      <c r="DG12" s="17">
        <v>1.5982726751070651</v>
      </c>
      <c r="DH12" s="17">
        <v>1.6594681021903981</v>
      </c>
      <c r="DI12" s="17">
        <v>1.719217112607065</v>
      </c>
      <c r="DJ12" s="17">
        <v>1.7343357896903979</v>
      </c>
      <c r="DK12" s="17">
        <v>1.702407581357064</v>
      </c>
      <c r="DL12" s="17">
        <v>1.7054972271903981</v>
      </c>
      <c r="DM12" s="17">
        <v>1.686259612607065</v>
      </c>
      <c r="DN12" s="17">
        <v>1.708176664690398</v>
      </c>
      <c r="DO12" s="17">
        <v>1.738733925107065</v>
      </c>
      <c r="DP12" s="17">
        <v>1.784687685523731</v>
      </c>
      <c r="DQ12" s="17">
        <v>1.750825633440398</v>
      </c>
      <c r="DR12" s="17">
        <v>1.769604576719785</v>
      </c>
      <c r="DS12" s="17">
        <v>1.7338784212680869</v>
      </c>
      <c r="DT12" s="17">
        <v>1.7589962858514201</v>
      </c>
      <c r="DU12" s="17">
        <v>1.7017660566847539</v>
      </c>
      <c r="DV12" s="17">
        <v>1.731306931684754</v>
      </c>
      <c r="DW12" s="17">
        <v>1.7762744837680871</v>
      </c>
      <c r="DX12" s="17">
        <v>1.797303025434754</v>
      </c>
      <c r="DY12" s="17">
        <v>1.8504483379347541</v>
      </c>
      <c r="DZ12" s="17">
        <v>1.856675181684754</v>
      </c>
      <c r="EA12" s="17">
        <v>1.9077728796014199</v>
      </c>
      <c r="EB12" s="17">
        <v>1.9135590462680869</v>
      </c>
      <c r="EC12" s="17">
        <v>1.940210555847752</v>
      </c>
      <c r="ED12" s="17">
        <v>1.8797024030392679</v>
      </c>
      <c r="EE12" s="17">
        <v>1.853195715539268</v>
      </c>
      <c r="EF12" s="17">
        <v>1.882429111372601</v>
      </c>
    </row>
    <row r="13" spans="1:136">
      <c r="A13" s="2"/>
      <c r="B13" s="2" t="s">
        <v>186</v>
      </c>
      <c r="C13" s="17">
        <v>0.104113</v>
      </c>
      <c r="D13" s="17">
        <v>0.1339906106045588</v>
      </c>
      <c r="E13" s="17">
        <v>9.9493991113205726E-2</v>
      </c>
      <c r="F13" s="17">
        <v>6.4571835230551225E-2</v>
      </c>
      <c r="G13" s="17">
        <v>4.9663855473247837E-2</v>
      </c>
      <c r="H13" s="17">
        <v>6.5594240042592955E-2</v>
      </c>
      <c r="I13" s="17">
        <v>9.8277103027315293E-2</v>
      </c>
      <c r="J13" s="17">
        <v>0.13282699499695999</v>
      </c>
      <c r="K13" s="17">
        <v>8.749600475474098E-2</v>
      </c>
      <c r="L13" s="17">
        <v>5.8360335717295507E-2</v>
      </c>
      <c r="M13" s="17">
        <v>6.6068991979787717E-2</v>
      </c>
      <c r="N13" s="17">
        <v>0.1092209442035546</v>
      </c>
      <c r="O13" s="17">
        <v>0.14549421992347711</v>
      </c>
      <c r="P13" s="17">
        <v>0.1246373068620715</v>
      </c>
      <c r="Q13" s="17">
        <v>8.0419042634101448E-2</v>
      </c>
      <c r="R13" s="17">
        <v>8.6908952810175841E-2</v>
      </c>
      <c r="S13" s="17">
        <v>-3.6006345193374763E-2</v>
      </c>
      <c r="T13" s="17">
        <v>-8.8906148102068094E-2</v>
      </c>
      <c r="U13" s="17">
        <v>-0.1430672231437623</v>
      </c>
      <c r="V13" s="17">
        <v>-9.0287484243528615E-2</v>
      </c>
      <c r="W13" s="17">
        <v>-5.9184396359158717E-2</v>
      </c>
      <c r="X13" s="17">
        <v>1.0566572409897839E-2</v>
      </c>
      <c r="Y13" s="17">
        <v>-1.5905310807444679E-2</v>
      </c>
      <c r="Z13" s="17">
        <v>6.2519123997738874E-2</v>
      </c>
      <c r="AA13" s="17">
        <v>3.0399613659267591E-2</v>
      </c>
      <c r="AB13" s="17">
        <v>7.7077833780644867E-2</v>
      </c>
      <c r="AC13" s="17">
        <v>9.8949389942022403E-2</v>
      </c>
      <c r="AD13" s="17">
        <v>0.1055284351445632</v>
      </c>
      <c r="AE13" s="17">
        <v>6.3011223688772017E-2</v>
      </c>
      <c r="AF13" s="17">
        <v>9.4951687523073244E-2</v>
      </c>
      <c r="AG13" s="17">
        <v>0.12663347057807611</v>
      </c>
      <c r="AH13" s="17">
        <v>0.15850817891140939</v>
      </c>
      <c r="AI13" s="17">
        <v>0.1784182205780761</v>
      </c>
      <c r="AJ13" s="17">
        <v>0.1983041372447428</v>
      </c>
      <c r="AK13" s="17">
        <v>0.2642920500553988</v>
      </c>
      <c r="AL13" s="17">
        <v>0.28744347865056991</v>
      </c>
      <c r="AM13" s="17">
        <v>0.33372592218739883</v>
      </c>
      <c r="AN13" s="17">
        <v>0.43905616032343292</v>
      </c>
      <c r="AO13" s="17">
        <v>0.44836734822284779</v>
      </c>
      <c r="AP13" s="17">
        <v>0.38881650786085009</v>
      </c>
      <c r="AQ13" s="17">
        <v>0.38276721909195038</v>
      </c>
      <c r="AR13" s="17">
        <v>0.39345640462788611</v>
      </c>
      <c r="AS13" s="17">
        <v>0.3915199879612194</v>
      </c>
      <c r="AT13" s="17">
        <v>0.43198307581565909</v>
      </c>
      <c r="AU13" s="17">
        <v>0.47295920229163801</v>
      </c>
      <c r="AV13" s="17">
        <v>0.46348372965208501</v>
      </c>
      <c r="AW13" s="17">
        <v>0.46756374323514838</v>
      </c>
      <c r="AX13" s="17">
        <v>0.5347175310182587</v>
      </c>
      <c r="AY13" s="17">
        <v>0.55228187736688361</v>
      </c>
      <c r="AZ13" s="17">
        <v>0.5441784098973842</v>
      </c>
      <c r="BA13" s="17">
        <v>0.55071934750444518</v>
      </c>
      <c r="BB13" s="17">
        <v>0.59359472200125607</v>
      </c>
      <c r="BC13" s="17">
        <v>0.60487848911291375</v>
      </c>
      <c r="BD13" s="17">
        <v>0.60822291749659507</v>
      </c>
      <c r="BE13" s="17">
        <v>0.6356147238022366</v>
      </c>
      <c r="BF13" s="17">
        <v>0.71954413910973336</v>
      </c>
      <c r="BG13" s="17">
        <v>0.76611060144844501</v>
      </c>
      <c r="BH13" s="17">
        <v>0.77458633126006404</v>
      </c>
      <c r="BI13" s="17">
        <v>0.82699546371676547</v>
      </c>
      <c r="BJ13" s="17">
        <v>0.81014837772650061</v>
      </c>
      <c r="BK13" s="17">
        <v>0.79175735284675119</v>
      </c>
      <c r="BL13" s="17">
        <v>0.82370521305992628</v>
      </c>
      <c r="BM13" s="17">
        <v>0.84062382867880792</v>
      </c>
      <c r="BN13" s="17">
        <v>0.83576599534547458</v>
      </c>
      <c r="BO13" s="17">
        <v>0.86664471157894873</v>
      </c>
      <c r="BP13" s="17">
        <v>0.87607740727360028</v>
      </c>
      <c r="BQ13" s="17">
        <v>0.91773047106302608</v>
      </c>
      <c r="BR13" s="17">
        <v>0.91104905357946864</v>
      </c>
      <c r="BS13" s="17">
        <v>0.91846852541968826</v>
      </c>
      <c r="BT13" s="17">
        <v>0.95681203103616108</v>
      </c>
      <c r="BU13" s="17">
        <v>0.93910547599960736</v>
      </c>
      <c r="BV13" s="17">
        <v>0.95975907287581597</v>
      </c>
      <c r="BW13" s="17">
        <v>0.96152231068649296</v>
      </c>
      <c r="BX13" s="17">
        <v>0.9826003782105196</v>
      </c>
      <c r="BY13" s="17">
        <v>0.96808798054002909</v>
      </c>
      <c r="BZ13" s="17">
        <v>1.044226103599079</v>
      </c>
      <c r="CA13" s="17">
        <v>1.010694537998682</v>
      </c>
      <c r="CB13" s="17">
        <v>1.0040987112734621</v>
      </c>
      <c r="CC13" s="17">
        <v>0.9915677990608287</v>
      </c>
      <c r="CD13" s="17">
        <v>1.0966536319531559</v>
      </c>
      <c r="CE13" s="17">
        <v>1.2804813611198229</v>
      </c>
      <c r="CF13" s="17">
        <v>1.2987105069531559</v>
      </c>
      <c r="CG13" s="17">
        <v>1.339159569922111</v>
      </c>
      <c r="CH13" s="17">
        <v>1.3974941817493181</v>
      </c>
      <c r="CI13" s="17">
        <v>1.3456406726150549</v>
      </c>
      <c r="CJ13" s="17">
        <v>1.342534584643104</v>
      </c>
      <c r="CK13" s="17">
        <v>1.3745798538795679</v>
      </c>
      <c r="CL13" s="17">
        <v>1.4560332199817489</v>
      </c>
      <c r="CM13" s="17">
        <v>1.354580886648415</v>
      </c>
      <c r="CN13" s="17">
        <v>1.3276933206495629</v>
      </c>
      <c r="CO13" s="17">
        <v>1.4132594664828959</v>
      </c>
      <c r="CP13" s="17">
        <v>1.378882008149563</v>
      </c>
      <c r="CQ13" s="17">
        <v>1.4170669583457229</v>
      </c>
      <c r="CR13" s="17">
        <v>1.425346739343371</v>
      </c>
      <c r="CS13" s="17">
        <v>1.429294697676704</v>
      </c>
      <c r="CT13" s="17">
        <v>1.4727568643433711</v>
      </c>
      <c r="CU13" s="17">
        <v>1.483788072676705</v>
      </c>
      <c r="CV13" s="17">
        <v>1.508107260176704</v>
      </c>
      <c r="CW13" s="17">
        <v>1.5185637810100381</v>
      </c>
      <c r="CX13" s="17">
        <v>1.5235504685100381</v>
      </c>
      <c r="CY13" s="17">
        <v>1.510431728395025</v>
      </c>
      <c r="CZ13" s="17">
        <v>1.600722353395025</v>
      </c>
      <c r="DA13" s="17">
        <v>1.650168124228359</v>
      </c>
      <c r="DB13" s="17">
        <v>1.7564033742283589</v>
      </c>
      <c r="DC13" s="17">
        <v>1.7799444992283591</v>
      </c>
      <c r="DD13" s="17">
        <v>1.7906420998290939</v>
      </c>
      <c r="DE13" s="17">
        <v>1.748078203995761</v>
      </c>
      <c r="DF13" s="17">
        <v>1.8312008914957609</v>
      </c>
      <c r="DG13" s="17">
        <v>1.7834715789957609</v>
      </c>
      <c r="DH13" s="17">
        <v>1.8721922873290939</v>
      </c>
      <c r="DI13" s="17">
        <v>1.961940412329094</v>
      </c>
      <c r="DJ13" s="17">
        <v>1.967924266495761</v>
      </c>
      <c r="DK13" s="17">
        <v>1.948537870662427</v>
      </c>
      <c r="DL13" s="17">
        <v>1.975660808162427</v>
      </c>
      <c r="DM13" s="17">
        <v>1.976192766495761</v>
      </c>
      <c r="DN13" s="17">
        <v>1.9931281414957609</v>
      </c>
      <c r="DO13" s="17">
        <v>2.0309919956624269</v>
      </c>
      <c r="DP13" s="17">
        <v>2.0759891414957612</v>
      </c>
      <c r="DQ13" s="17">
        <v>2.0420225998290942</v>
      </c>
      <c r="DR13" s="17">
        <v>2.0557938091014059</v>
      </c>
      <c r="DS13" s="17">
        <v>2.0169061812617359</v>
      </c>
      <c r="DT13" s="17">
        <v>2.0677375354284031</v>
      </c>
      <c r="DU13" s="17">
        <v>2.0347315770950698</v>
      </c>
      <c r="DV13" s="17">
        <v>2.0779879104284031</v>
      </c>
      <c r="DW13" s="17">
        <v>2.1200163895950701</v>
      </c>
      <c r="DX13" s="17">
        <v>2.1598938270950701</v>
      </c>
      <c r="DY13" s="17">
        <v>2.216874972928403</v>
      </c>
      <c r="DZ13" s="17">
        <v>2.2351769520950699</v>
      </c>
      <c r="EA13" s="17">
        <v>2.2972953687617359</v>
      </c>
      <c r="EB13" s="17">
        <v>2.2974963895950702</v>
      </c>
      <c r="EC13" s="17">
        <v>2.3391561430302992</v>
      </c>
      <c r="ED13" s="17">
        <v>2.2734740493710639</v>
      </c>
      <c r="EE13" s="17">
        <v>2.2322396743710642</v>
      </c>
      <c r="EF13" s="17">
        <v>2.276752716037731</v>
      </c>
    </row>
    <row r="14" spans="1:136">
      <c r="A14" s="2"/>
      <c r="B14" s="2" t="s">
        <v>187</v>
      </c>
      <c r="C14" s="17">
        <v>0.11994199999999999</v>
      </c>
      <c r="D14" s="17">
        <v>0.2032893115433014</v>
      </c>
      <c r="E14" s="17">
        <v>0.15576336827604539</v>
      </c>
      <c r="F14" s="17">
        <v>0.1073092254761855</v>
      </c>
      <c r="G14" s="17">
        <v>6.6289308978260075E-2</v>
      </c>
      <c r="H14" s="17">
        <v>7.3963633249938904E-2</v>
      </c>
      <c r="I14" s="17">
        <v>0.11775099307308121</v>
      </c>
      <c r="J14" s="17">
        <v>0.14106096503799209</v>
      </c>
      <c r="K14" s="17">
        <v>6.8822613239385988E-3</v>
      </c>
      <c r="L14" s="17">
        <v>1.17294585116454E-2</v>
      </c>
      <c r="M14" s="17">
        <v>1.6723978578433159E-2</v>
      </c>
      <c r="N14" s="17">
        <v>9.9482963272532282E-2</v>
      </c>
      <c r="O14" s="17">
        <v>0.13695875028553881</v>
      </c>
      <c r="P14" s="17">
        <v>7.8612828387297551E-2</v>
      </c>
      <c r="Q14" s="17">
        <v>-4.5491042784151142E-2</v>
      </c>
      <c r="R14" s="17">
        <v>-6.1432230081252967E-2</v>
      </c>
      <c r="S14" s="17">
        <v>-0.22732545726596171</v>
      </c>
      <c r="T14" s="17">
        <v>-0.29716693678685752</v>
      </c>
      <c r="U14" s="17">
        <v>-0.40143360142250512</v>
      </c>
      <c r="V14" s="17">
        <v>-0.38134447423712681</v>
      </c>
      <c r="W14" s="17">
        <v>-0.30733631484887369</v>
      </c>
      <c r="X14" s="17">
        <v>-0.19407320653660429</v>
      </c>
      <c r="Y14" s="17">
        <v>-0.1992930811321362</v>
      </c>
      <c r="Z14" s="17">
        <v>-0.16078115485182851</v>
      </c>
      <c r="AA14" s="17">
        <v>-0.2002313351539107</v>
      </c>
      <c r="AB14" s="17">
        <v>-0.12946195780668049</v>
      </c>
      <c r="AC14" s="17">
        <v>-0.14297922661017379</v>
      </c>
      <c r="AD14" s="17">
        <v>-0.15589933322139221</v>
      </c>
      <c r="AE14" s="17">
        <v>-0.26231140546906972</v>
      </c>
      <c r="AF14" s="17">
        <v>-0.2218907029266706</v>
      </c>
      <c r="AG14" s="17">
        <v>-0.20136980828010809</v>
      </c>
      <c r="AH14" s="17">
        <v>-0.13795986091168699</v>
      </c>
      <c r="AI14" s="17">
        <v>-0.12699454512221339</v>
      </c>
      <c r="AJ14" s="17">
        <v>-3.0699860911687051E-2</v>
      </c>
      <c r="AK14" s="17">
        <v>4.6211569946614947E-2</v>
      </c>
      <c r="AL14" s="17">
        <v>8.4180759669075664E-2</v>
      </c>
      <c r="AM14" s="17">
        <v>0.14542292604770091</v>
      </c>
      <c r="AN14" s="17">
        <v>0.24401759281724461</v>
      </c>
      <c r="AO14" s="17">
        <v>0.30492329828265458</v>
      </c>
      <c r="AP14" s="17">
        <v>0.23494677313057041</v>
      </c>
      <c r="AQ14" s="17">
        <v>0.2345788053928104</v>
      </c>
      <c r="AR14" s="17">
        <v>0.27222464515507327</v>
      </c>
      <c r="AS14" s="17">
        <v>0.28148159252349442</v>
      </c>
      <c r="AT14" s="17">
        <v>0.31598817220863878</v>
      </c>
      <c r="AU14" s="17">
        <v>0.35597982121194272</v>
      </c>
      <c r="AV14" s="17">
        <v>0.33729693577832548</v>
      </c>
      <c r="AW14" s="17">
        <v>0.31893400427236801</v>
      </c>
      <c r="AX14" s="17">
        <v>0.45588503256676072</v>
      </c>
      <c r="AY14" s="17">
        <v>0.47095315133852222</v>
      </c>
      <c r="AZ14" s="17">
        <v>0.41760458216636609</v>
      </c>
      <c r="BA14" s="17">
        <v>0.43522622771060931</v>
      </c>
      <c r="BB14" s="17">
        <v>0.49696050971228412</v>
      </c>
      <c r="BC14" s="17">
        <v>0.48713951075700668</v>
      </c>
      <c r="BD14" s="17">
        <v>0.53046729242441204</v>
      </c>
      <c r="BE14" s="17">
        <v>0.57425435495989907</v>
      </c>
      <c r="BF14" s="17">
        <v>0.6150248765055889</v>
      </c>
      <c r="BG14" s="17">
        <v>0.65639914057952164</v>
      </c>
      <c r="BH14" s="17">
        <v>0.66174189614812229</v>
      </c>
      <c r="BI14" s="17">
        <v>0.71192710903897605</v>
      </c>
      <c r="BJ14" s="17">
        <v>0.69190988536774278</v>
      </c>
      <c r="BK14" s="17">
        <v>0.68631613371066991</v>
      </c>
      <c r="BL14" s="17">
        <v>0.74605390055304022</v>
      </c>
      <c r="BM14" s="17">
        <v>0.78531111575946733</v>
      </c>
      <c r="BN14" s="17">
        <v>0.73873427365420419</v>
      </c>
      <c r="BO14" s="17">
        <v>0.77234331933146871</v>
      </c>
      <c r="BP14" s="17">
        <v>0.78801705282442791</v>
      </c>
      <c r="BQ14" s="17">
        <v>0.80386057669437871</v>
      </c>
      <c r="BR14" s="17">
        <v>0.77593114716176081</v>
      </c>
      <c r="BS14" s="17">
        <v>0.73443719201718294</v>
      </c>
      <c r="BT14" s="17">
        <v>0.80845015435349432</v>
      </c>
      <c r="BU14" s="17">
        <v>0.81730498971152521</v>
      </c>
      <c r="BV14" s="17">
        <v>0.84303217172795264</v>
      </c>
      <c r="BW14" s="17">
        <v>0.85554011998554591</v>
      </c>
      <c r="BX14" s="17">
        <v>0.91051088010749903</v>
      </c>
      <c r="BY14" s="17">
        <v>0.903914586742534</v>
      </c>
      <c r="BZ14" s="17">
        <v>0.96394864357131627</v>
      </c>
      <c r="CA14" s="17">
        <v>0.93948337745637922</v>
      </c>
      <c r="CB14" s="17">
        <v>0.96161099399855399</v>
      </c>
      <c r="CC14" s="17">
        <v>0.94881691321337536</v>
      </c>
      <c r="CD14" s="17">
        <v>1.046833623145573</v>
      </c>
      <c r="CE14" s="17">
        <v>1.217388465250836</v>
      </c>
      <c r="CF14" s="17">
        <v>1.197078149461362</v>
      </c>
      <c r="CG14" s="17">
        <v>1.250145177757201</v>
      </c>
      <c r="CH14" s="17">
        <v>1.314806570035419</v>
      </c>
      <c r="CI14" s="17">
        <v>1.2089217926720599</v>
      </c>
      <c r="CJ14" s="17">
        <v>1.1802539377278849</v>
      </c>
      <c r="CK14" s="17">
        <v>1.194270302118531</v>
      </c>
      <c r="CL14" s="17">
        <v>1.256540256997368</v>
      </c>
      <c r="CM14" s="17">
        <v>1.1464724148921051</v>
      </c>
      <c r="CN14" s="17">
        <v>1.123445726221179</v>
      </c>
      <c r="CO14" s="17">
        <v>1.296694989379074</v>
      </c>
      <c r="CP14" s="17">
        <v>1.1912152525369679</v>
      </c>
      <c r="CQ14" s="17">
        <v>1.2444268806286429</v>
      </c>
      <c r="CR14" s="17">
        <v>1.300336018253144</v>
      </c>
      <c r="CS14" s="17">
        <v>1.296520912989986</v>
      </c>
      <c r="CT14" s="17">
        <v>1.358393123516302</v>
      </c>
      <c r="CU14" s="17">
        <v>1.432643649832092</v>
      </c>
      <c r="CV14" s="17">
        <v>1.472043334042618</v>
      </c>
      <c r="CW14" s="17">
        <v>1.4802767024636709</v>
      </c>
      <c r="CX14" s="17">
        <v>1.5045205972005129</v>
      </c>
      <c r="CY14" s="17">
        <v>1.475761476909039</v>
      </c>
      <c r="CZ14" s="17">
        <v>1.6119341084879859</v>
      </c>
      <c r="DA14" s="17">
        <v>1.677326687435355</v>
      </c>
      <c r="DB14" s="17">
        <v>1.781934740066933</v>
      </c>
      <c r="DC14" s="17">
        <v>1.7966886348037761</v>
      </c>
      <c r="DD14" s="17">
        <v>1.7799300850113591</v>
      </c>
      <c r="DE14" s="17">
        <v>1.7488725060639909</v>
      </c>
      <c r="DF14" s="17">
        <v>1.9504369797482011</v>
      </c>
      <c r="DG14" s="17">
        <v>1.904853348169254</v>
      </c>
      <c r="DH14" s="17">
        <v>1.9635959271166219</v>
      </c>
      <c r="DI14" s="17">
        <v>2.0502427165903061</v>
      </c>
      <c r="DJ14" s="17">
        <v>2.0661405060639901</v>
      </c>
      <c r="DK14" s="17">
        <v>1.984518821853464</v>
      </c>
      <c r="DL14" s="17">
        <v>1.9752461376429371</v>
      </c>
      <c r="DM14" s="17">
        <v>1.9741254534324111</v>
      </c>
      <c r="DN14" s="17">
        <v>2.0044253481692529</v>
      </c>
      <c r="DO14" s="17">
        <v>2.1070173481692529</v>
      </c>
      <c r="DP14" s="17">
        <v>2.1106355060639901</v>
      </c>
      <c r="DQ14" s="17">
        <v>2.0546162955376741</v>
      </c>
      <c r="DR14" s="17">
        <v>2.1072388149966739</v>
      </c>
      <c r="DS14" s="17">
        <v>2.0721939087257568</v>
      </c>
      <c r="DT14" s="17">
        <v>2.1898662245152312</v>
      </c>
      <c r="DU14" s="17">
        <v>2.1210699613573358</v>
      </c>
      <c r="DV14" s="17">
        <v>2.140505487673126</v>
      </c>
      <c r="DW14" s="17">
        <v>2.1423153824099681</v>
      </c>
      <c r="DX14" s="17">
        <v>2.181073540304705</v>
      </c>
      <c r="DY14" s="17">
        <v>2.2553313824099681</v>
      </c>
      <c r="DZ14" s="17">
        <v>2.29036227714681</v>
      </c>
      <c r="EA14" s="17">
        <v>2.397887803462599</v>
      </c>
      <c r="EB14" s="17">
        <v>2.3727772771468101</v>
      </c>
      <c r="EC14" s="17">
        <v>2.3788566592949429</v>
      </c>
      <c r="ED14" s="17">
        <v>2.276226950108756</v>
      </c>
      <c r="EE14" s="17">
        <v>2.2796262132666509</v>
      </c>
      <c r="EF14" s="17">
        <v>2.3051504237929672</v>
      </c>
    </row>
    <row r="15" spans="1:136">
      <c r="A15" s="2"/>
      <c r="B15" s="2" t="s">
        <v>188</v>
      </c>
      <c r="C15" s="17">
        <v>0.22764499999999999</v>
      </c>
      <c r="D15" s="17">
        <v>0.24459786479206569</v>
      </c>
      <c r="E15" s="17">
        <v>0.23439943851998221</v>
      </c>
      <c r="F15" s="17">
        <v>0.12583714514679231</v>
      </c>
      <c r="G15" s="17">
        <v>6.5200216475258033E-2</v>
      </c>
      <c r="H15" s="17">
        <v>0.11535804097885111</v>
      </c>
      <c r="I15" s="17">
        <v>0.17378948525871671</v>
      </c>
      <c r="J15" s="17">
        <v>0.2237509505061063</v>
      </c>
      <c r="K15" s="17">
        <v>-6.2843677230264322E-2</v>
      </c>
      <c r="L15" s="17">
        <v>-3.028517207307968E-2</v>
      </c>
      <c r="M15" s="17">
        <v>-4.787462593592421E-3</v>
      </c>
      <c r="N15" s="17">
        <v>0.11608069156738871</v>
      </c>
      <c r="O15" s="17">
        <v>0.18983803581370329</v>
      </c>
      <c r="P15" s="17">
        <v>0.12572185279204151</v>
      </c>
      <c r="Q15" s="17">
        <v>-2.9814989315770979E-2</v>
      </c>
      <c r="R15" s="17">
        <v>-8.1944679420888442E-2</v>
      </c>
      <c r="S15" s="17">
        <v>-0.35195257450304218</v>
      </c>
      <c r="T15" s="17">
        <v>-0.41875269944615429</v>
      </c>
      <c r="U15" s="17">
        <v>-0.55572076111342317</v>
      </c>
      <c r="V15" s="17">
        <v>-0.5728526144615359</v>
      </c>
      <c r="W15" s="17">
        <v>-0.47030902047879281</v>
      </c>
      <c r="X15" s="17">
        <v>-0.3434656890151197</v>
      </c>
      <c r="Y15" s="17">
        <v>-0.32283571464929989</v>
      </c>
      <c r="Z15" s="17">
        <v>-0.27611574259594118</v>
      </c>
      <c r="AA15" s="17">
        <v>-0.33019688962397492</v>
      </c>
      <c r="AB15" s="17">
        <v>-0.24649671710814439</v>
      </c>
      <c r="AC15" s="17">
        <v>-0.23001575089995629</v>
      </c>
      <c r="AD15" s="17">
        <v>-0.21107946786913781</v>
      </c>
      <c r="AE15" s="17">
        <v>-0.30887715187808901</v>
      </c>
      <c r="AF15" s="17">
        <v>-0.2430575393810491</v>
      </c>
      <c r="AG15" s="17">
        <v>-0.23293406111939349</v>
      </c>
      <c r="AH15" s="17">
        <v>-0.24743586111939361</v>
      </c>
      <c r="AI15" s="17">
        <v>-0.17315846111939351</v>
      </c>
      <c r="AJ15" s="17">
        <v>-0.1689750611193935</v>
      </c>
      <c r="AK15" s="17">
        <v>-0.10721544146094859</v>
      </c>
      <c r="AL15" s="17">
        <v>-6.2783778965134068E-2</v>
      </c>
      <c r="AM15" s="17">
        <v>-7.6611568305069572E-3</v>
      </c>
      <c r="AN15" s="17">
        <v>9.4027549081876549E-2</v>
      </c>
      <c r="AO15" s="17">
        <v>0.15739736154534359</v>
      </c>
      <c r="AP15" s="17">
        <v>7.911166765258941E-2</v>
      </c>
      <c r="AQ15" s="17">
        <v>4.1744540856467741E-2</v>
      </c>
      <c r="AR15" s="17">
        <v>0.1320383963323844</v>
      </c>
      <c r="AS15" s="17">
        <v>0.1096075963323844</v>
      </c>
      <c r="AT15" s="17">
        <v>0.174862586984813</v>
      </c>
      <c r="AU15" s="17">
        <v>0.2148058480742793</v>
      </c>
      <c r="AV15" s="17">
        <v>0.16757902974684041</v>
      </c>
      <c r="AW15" s="17">
        <v>0.18323896900142139</v>
      </c>
      <c r="AX15" s="17">
        <v>0.30847294617615661</v>
      </c>
      <c r="AY15" s="17">
        <v>0.33649001028618952</v>
      </c>
      <c r="AZ15" s="17">
        <v>0.24516673021768601</v>
      </c>
      <c r="BA15" s="17">
        <v>0.25578024502533903</v>
      </c>
      <c r="BB15" s="17">
        <v>0.36850511110415213</v>
      </c>
      <c r="BC15" s="17">
        <v>0.43066025477198228</v>
      </c>
      <c r="BD15" s="17">
        <v>0.4837035286767784</v>
      </c>
      <c r="BE15" s="17">
        <v>0.53214624969444158</v>
      </c>
      <c r="BF15" s="17">
        <v>0.57980922915119371</v>
      </c>
      <c r="BG15" s="17">
        <v>0.58229876788575896</v>
      </c>
      <c r="BH15" s="17">
        <v>0.61674061336744845</v>
      </c>
      <c r="BI15" s="17">
        <v>0.68532727248241809</v>
      </c>
      <c r="BJ15" s="17">
        <v>0.67406224539497284</v>
      </c>
      <c r="BK15" s="17">
        <v>0.6748859976627789</v>
      </c>
      <c r="BL15" s="17">
        <v>0.73428986900412729</v>
      </c>
      <c r="BM15" s="17">
        <v>0.80111469037085647</v>
      </c>
      <c r="BN15" s="17">
        <v>0.73505979037085645</v>
      </c>
      <c r="BO15" s="17">
        <v>0.7627942663257874</v>
      </c>
      <c r="BP15" s="17">
        <v>0.77697848703359218</v>
      </c>
      <c r="BQ15" s="17">
        <v>0.7897814183239199</v>
      </c>
      <c r="BR15" s="17">
        <v>0.73962398920186023</v>
      </c>
      <c r="BS15" s="17">
        <v>0.72280021175157394</v>
      </c>
      <c r="BT15" s="17">
        <v>0.81186041748290838</v>
      </c>
      <c r="BU15" s="17">
        <v>0.79238399768711487</v>
      </c>
      <c r="BV15" s="17">
        <v>0.85129896543966355</v>
      </c>
      <c r="BW15" s="17">
        <v>0.8153530753102598</v>
      </c>
      <c r="BX15" s="17">
        <v>0.8439889703759913</v>
      </c>
      <c r="BY15" s="17">
        <v>0.7822948788969315</v>
      </c>
      <c r="BZ15" s="17">
        <v>0.88520134787427884</v>
      </c>
      <c r="CA15" s="17">
        <v>0.86660932707783656</v>
      </c>
      <c r="CB15" s="17">
        <v>0.88166622108966108</v>
      </c>
      <c r="CC15" s="17">
        <v>0.72934795603549962</v>
      </c>
      <c r="CD15" s="17">
        <v>0.84950003999858403</v>
      </c>
      <c r="CE15" s="17">
        <v>0.922867439998584</v>
      </c>
      <c r="CF15" s="17">
        <v>0.91924103999858398</v>
      </c>
      <c r="CG15" s="17">
        <v>0.91494216074521983</v>
      </c>
      <c r="CH15" s="17">
        <v>0.97782811902892119</v>
      </c>
      <c r="CI15" s="17">
        <v>0.93902970413394038</v>
      </c>
      <c r="CJ15" s="17">
        <v>0.85198534806122228</v>
      </c>
      <c r="CK15" s="17">
        <v>0.90865799383332169</v>
      </c>
      <c r="CL15" s="17">
        <v>0.94007996882656997</v>
      </c>
      <c r="CM15" s="17">
        <v>0.83196206882656998</v>
      </c>
      <c r="CN15" s="17">
        <v>0.78932795302740966</v>
      </c>
      <c r="CO15" s="17">
        <v>0.96268785302740967</v>
      </c>
      <c r="CP15" s="17">
        <v>0.92829445302740965</v>
      </c>
      <c r="CQ15" s="17">
        <v>0.96567246379253868</v>
      </c>
      <c r="CR15" s="17">
        <v>1.0139095340807029</v>
      </c>
      <c r="CS15" s="17">
        <v>1.030821934080703</v>
      </c>
      <c r="CT15" s="17">
        <v>1.0630388340807031</v>
      </c>
      <c r="CU15" s="17">
        <v>1.2169024340807031</v>
      </c>
      <c r="CV15" s="17">
        <v>1.277346434080703</v>
      </c>
      <c r="CW15" s="17">
        <v>1.2500875340807029</v>
      </c>
      <c r="CX15" s="17">
        <v>1.267955634080703</v>
      </c>
      <c r="CY15" s="17">
        <v>1.225484961002941</v>
      </c>
      <c r="CZ15" s="17">
        <v>1.3408516610029411</v>
      </c>
      <c r="DA15" s="17">
        <v>1.4297134610029409</v>
      </c>
      <c r="DB15" s="17">
        <v>1.526761161002941</v>
      </c>
      <c r="DC15" s="17">
        <v>1.6034876610029409</v>
      </c>
      <c r="DD15" s="17">
        <v>1.5540939705030561</v>
      </c>
      <c r="DE15" s="17">
        <v>1.488486070503056</v>
      </c>
      <c r="DF15" s="17">
        <v>1.791207670503056</v>
      </c>
      <c r="DG15" s="17">
        <v>1.7432898705030559</v>
      </c>
      <c r="DH15" s="17">
        <v>1.8729133705030561</v>
      </c>
      <c r="DI15" s="17">
        <v>1.915724370503056</v>
      </c>
      <c r="DJ15" s="17">
        <v>1.9632908705030561</v>
      </c>
      <c r="DK15" s="17">
        <v>1.862961870503056</v>
      </c>
      <c r="DL15" s="17">
        <v>1.870701070503056</v>
      </c>
      <c r="DM15" s="17">
        <v>1.8724745705030561</v>
      </c>
      <c r="DN15" s="17">
        <v>1.8054543705030559</v>
      </c>
      <c r="DO15" s="17">
        <v>1.9649999705030561</v>
      </c>
      <c r="DP15" s="17">
        <v>1.9246707705030559</v>
      </c>
      <c r="DQ15" s="17">
        <v>1.8517329705030561</v>
      </c>
      <c r="DR15" s="17">
        <v>1.9217435371209941</v>
      </c>
      <c r="DS15" s="17">
        <v>1.845501628709197</v>
      </c>
      <c r="DT15" s="17">
        <v>1.8797983287091971</v>
      </c>
      <c r="DU15" s="17">
        <v>1.7626698287091971</v>
      </c>
      <c r="DV15" s="17">
        <v>1.8137997287091969</v>
      </c>
      <c r="DW15" s="17">
        <v>1.7529729287091971</v>
      </c>
      <c r="DX15" s="17">
        <v>1.7809326287091971</v>
      </c>
      <c r="DY15" s="17">
        <v>1.9245422287091969</v>
      </c>
      <c r="DZ15" s="17">
        <v>1.9649974287091969</v>
      </c>
      <c r="EA15" s="17">
        <v>2.074175128709197</v>
      </c>
      <c r="EB15" s="17">
        <v>2.018046128709198</v>
      </c>
      <c r="EC15" s="17">
        <v>2.0841279847571439</v>
      </c>
      <c r="ED15" s="17">
        <v>1.970770928821832</v>
      </c>
      <c r="EE15" s="17">
        <v>1.967580728821833</v>
      </c>
      <c r="EF15" s="17">
        <v>1.9972248288218331</v>
      </c>
    </row>
    <row r="16" spans="1:136">
      <c r="A16" s="2"/>
      <c r="B16" s="2" t="s">
        <v>189</v>
      </c>
      <c r="C16" s="17">
        <v>0.207875</v>
      </c>
      <c r="D16" s="17">
        <v>0.20715475133268299</v>
      </c>
      <c r="E16" s="17">
        <v>0.2043245747225976</v>
      </c>
      <c r="F16" s="17">
        <v>0.1049420818671105</v>
      </c>
      <c r="G16" s="17">
        <v>3.124581674018663E-2</v>
      </c>
      <c r="H16" s="17">
        <v>9.2244821357123474E-2</v>
      </c>
      <c r="I16" s="17">
        <v>0.1497754400227449</v>
      </c>
      <c r="J16" s="17">
        <v>0.19648536606541109</v>
      </c>
      <c r="K16" s="17">
        <v>-8.8185184161121033E-2</v>
      </c>
      <c r="L16" s="17">
        <v>-7.8298649573252235E-2</v>
      </c>
      <c r="M16" s="17">
        <v>-3.7964194848011647E-2</v>
      </c>
      <c r="N16" s="17">
        <v>8.7706430694738644E-2</v>
      </c>
      <c r="O16" s="17">
        <v>0.1675332912658557</v>
      </c>
      <c r="P16" s="17">
        <v>0.10648805947443341</v>
      </c>
      <c r="Q16" s="17">
        <v>-5.1415010949904569E-2</v>
      </c>
      <c r="R16" s="17">
        <v>-0.1004059892328311</v>
      </c>
      <c r="S16" s="17">
        <v>-0.38746900963162589</v>
      </c>
      <c r="T16" s="17">
        <v>-0.45468806978922721</v>
      </c>
      <c r="U16" s="17">
        <v>-0.58475054121897174</v>
      </c>
      <c r="V16" s="17">
        <v>-0.59077268655193738</v>
      </c>
      <c r="W16" s="17">
        <v>-0.48910701050412558</v>
      </c>
      <c r="X16" s="17">
        <v>-0.36469722679563882</v>
      </c>
      <c r="Y16" s="17">
        <v>-0.34451663837600321</v>
      </c>
      <c r="Z16" s="17">
        <v>-0.30145870749179138</v>
      </c>
      <c r="AA16" s="17">
        <v>-0.34494634332778362</v>
      </c>
      <c r="AB16" s="17">
        <v>-0.26996130168980309</v>
      </c>
      <c r="AC16" s="17">
        <v>-0.22273506548724259</v>
      </c>
      <c r="AD16" s="17">
        <v>-0.22161303963816631</v>
      </c>
      <c r="AE16" s="17">
        <v>-0.31811540012677197</v>
      </c>
      <c r="AF16" s="17">
        <v>-0.25442955754518282</v>
      </c>
      <c r="AG16" s="17">
        <v>-0.24113880450864739</v>
      </c>
      <c r="AH16" s="17">
        <v>-0.28524724895309178</v>
      </c>
      <c r="AI16" s="17">
        <v>-0.1947241378419807</v>
      </c>
      <c r="AJ16" s="17">
        <v>-0.21235413784198071</v>
      </c>
      <c r="AK16" s="17">
        <v>-0.14793273700960871</v>
      </c>
      <c r="AL16" s="17">
        <v>-9.9243803905085415E-2</v>
      </c>
      <c r="AM16" s="17">
        <v>-3.3167073303287442E-2</v>
      </c>
      <c r="AN16" s="17">
        <v>7.3289126786388159E-2</v>
      </c>
      <c r="AO16" s="17">
        <v>0.13471379861230051</v>
      </c>
      <c r="AP16" s="17">
        <v>5.6915430466711957E-2</v>
      </c>
      <c r="AQ16" s="17">
        <v>1.844923032064336E-2</v>
      </c>
      <c r="AR16" s="17">
        <v>0.1217404093811358</v>
      </c>
      <c r="AS16" s="17">
        <v>9.3661742714469087E-2</v>
      </c>
      <c r="AT16" s="17">
        <v>0.14320889803283909</v>
      </c>
      <c r="AU16" s="17">
        <v>0.1850357362877342</v>
      </c>
      <c r="AV16" s="17">
        <v>0.17596322950771551</v>
      </c>
      <c r="AW16" s="17">
        <v>0.2152161595823662</v>
      </c>
      <c r="AX16" s="17">
        <v>0.31604593282633908</v>
      </c>
      <c r="AY16" s="17">
        <v>0.34985852267068501</v>
      </c>
      <c r="AZ16" s="17">
        <v>0.2449488874919728</v>
      </c>
      <c r="BA16" s="17">
        <v>0.25987199254955889</v>
      </c>
      <c r="BB16" s="17">
        <v>0.36791091670229698</v>
      </c>
      <c r="BC16" s="17">
        <v>0.43503238280998879</v>
      </c>
      <c r="BD16" s="17">
        <v>0.47096909435589279</v>
      </c>
      <c r="BE16" s="17">
        <v>0.52238008875036779</v>
      </c>
      <c r="BF16" s="17">
        <v>0.58664814307008606</v>
      </c>
      <c r="BG16" s="17">
        <v>0.60012142511804267</v>
      </c>
      <c r="BH16" s="17">
        <v>0.58634581063408087</v>
      </c>
      <c r="BI16" s="17">
        <v>0.62778961839734271</v>
      </c>
      <c r="BJ16" s="17">
        <v>0.60728580211413508</v>
      </c>
      <c r="BK16" s="17">
        <v>0.61025779240933209</v>
      </c>
      <c r="BL16" s="17">
        <v>0.68088135811685524</v>
      </c>
      <c r="BM16" s="17">
        <v>0.76240523315882025</v>
      </c>
      <c r="BN16" s="17">
        <v>0.69520589982548686</v>
      </c>
      <c r="BO16" s="17">
        <v>0.7170962597791446</v>
      </c>
      <c r="BP16" s="17">
        <v>0.73793944332672523</v>
      </c>
      <c r="BQ16" s="17">
        <v>0.75441745958165385</v>
      </c>
      <c r="BR16" s="17">
        <v>0.72812061156020946</v>
      </c>
      <c r="BS16" s="17">
        <v>0.71492903841274524</v>
      </c>
      <c r="BT16" s="17">
        <v>0.80041222968054482</v>
      </c>
      <c r="BU16" s="17">
        <v>0.74264711949574436</v>
      </c>
      <c r="BV16" s="17">
        <v>0.80335835894258523</v>
      </c>
      <c r="BW16" s="17">
        <v>0.73761743151605064</v>
      </c>
      <c r="BX16" s="17">
        <v>0.76917666903718163</v>
      </c>
      <c r="BY16" s="17">
        <v>0.71861293618993871</v>
      </c>
      <c r="BZ16" s="17">
        <v>0.83013878469158797</v>
      </c>
      <c r="CA16" s="17">
        <v>0.8004243949360248</v>
      </c>
      <c r="CB16" s="17">
        <v>0.79899634994680746</v>
      </c>
      <c r="CC16" s="17">
        <v>0.63992383546287313</v>
      </c>
      <c r="CD16" s="17">
        <v>0.79499510708923493</v>
      </c>
      <c r="CE16" s="17">
        <v>0.88860888486701273</v>
      </c>
      <c r="CF16" s="17">
        <v>0.87391288486701268</v>
      </c>
      <c r="CG16" s="17">
        <v>0.86853436583568255</v>
      </c>
      <c r="CH16" s="17">
        <v>0.91023178053870957</v>
      </c>
      <c r="CI16" s="17">
        <v>0.87152189871019203</v>
      </c>
      <c r="CJ16" s="17">
        <v>0.82599834792252547</v>
      </c>
      <c r="CK16" s="17">
        <v>0.90247133164021587</v>
      </c>
      <c r="CL16" s="17">
        <v>0.91835001397492522</v>
      </c>
      <c r="CM16" s="17">
        <v>0.80529568064159196</v>
      </c>
      <c r="CN16" s="17">
        <v>0.77223816550064195</v>
      </c>
      <c r="CO16" s="17">
        <v>0.98178516550064199</v>
      </c>
      <c r="CP16" s="17">
        <v>0.95110060994508638</v>
      </c>
      <c r="CQ16" s="17">
        <v>0.99253621560449679</v>
      </c>
      <c r="CR16" s="17">
        <v>1.040835982287813</v>
      </c>
      <c r="CS16" s="17">
        <v>1.0626442045100351</v>
      </c>
      <c r="CT16" s="17">
        <v>1.1115480933989239</v>
      </c>
      <c r="CU16" s="17">
        <v>1.265594204510035</v>
      </c>
      <c r="CV16" s="17">
        <v>1.32504764895448</v>
      </c>
      <c r="CW16" s="17">
        <v>1.2933729822878131</v>
      </c>
      <c r="CX16" s="17">
        <v>1.300058871176702</v>
      </c>
      <c r="CY16" s="17">
        <v>1.250941822060077</v>
      </c>
      <c r="CZ16" s="17">
        <v>1.417162599837855</v>
      </c>
      <c r="DA16" s="17">
        <v>1.53534315539341</v>
      </c>
      <c r="DB16" s="17">
        <v>1.6333598220600769</v>
      </c>
      <c r="DC16" s="17">
        <v>1.697099933171188</v>
      </c>
      <c r="DD16" s="17">
        <v>1.6270289981138299</v>
      </c>
      <c r="DE16" s="17">
        <v>1.5707036647804971</v>
      </c>
      <c r="DF16" s="17">
        <v>1.896284553669386</v>
      </c>
      <c r="DG16" s="17">
        <v>1.850607553669386</v>
      </c>
      <c r="DH16" s="17">
        <v>1.9877569981138301</v>
      </c>
      <c r="DI16" s="17">
        <v>2.0355857758916081</v>
      </c>
      <c r="DJ16" s="17">
        <v>2.0873388870027192</v>
      </c>
      <c r="DK16" s="17">
        <v>1.991084553669386</v>
      </c>
      <c r="DL16" s="17">
        <v>1.9924514425582751</v>
      </c>
      <c r="DM16" s="17">
        <v>2.0305867758916079</v>
      </c>
      <c r="DN16" s="17">
        <v>1.9738809981138301</v>
      </c>
      <c r="DO16" s="17">
        <v>2.1434716647804972</v>
      </c>
      <c r="DP16" s="17">
        <v>2.1187562203360519</v>
      </c>
      <c r="DQ16" s="17">
        <v>2.051196220336053</v>
      </c>
      <c r="DR16" s="17">
        <v>2.1063874719855682</v>
      </c>
      <c r="DS16" s="17">
        <v>2.012635406995813</v>
      </c>
      <c r="DT16" s="17">
        <v>2.0446947403291471</v>
      </c>
      <c r="DU16" s="17">
        <v>1.9219217403291471</v>
      </c>
      <c r="DV16" s="17">
        <v>1.9670735181069241</v>
      </c>
      <c r="DW16" s="17">
        <v>1.895770406995813</v>
      </c>
      <c r="DX16" s="17">
        <v>1.9332775181069239</v>
      </c>
      <c r="DY16" s="17">
        <v>2.090849295884702</v>
      </c>
      <c r="DZ16" s="17">
        <v>2.1496597403291471</v>
      </c>
      <c r="EA16" s="17">
        <v>2.2894596292180349</v>
      </c>
      <c r="EB16" s="17">
        <v>2.2185818514402582</v>
      </c>
      <c r="EC16" s="17">
        <v>2.282113918074828</v>
      </c>
      <c r="ED16" s="17">
        <v>2.1666971705759059</v>
      </c>
      <c r="EE16" s="17">
        <v>2.1623010594647951</v>
      </c>
      <c r="EF16" s="17">
        <v>2.1968495039092391</v>
      </c>
    </row>
    <row r="17" spans="1:136">
      <c r="A17" s="2"/>
      <c r="B17" s="2" t="s">
        <v>190</v>
      </c>
      <c r="C17" s="17">
        <v>0.206092</v>
      </c>
      <c r="D17" s="17">
        <v>0.1887576252669122</v>
      </c>
      <c r="E17" s="17">
        <v>0.19613662676221361</v>
      </c>
      <c r="F17" s="17">
        <v>8.329911164491785E-2</v>
      </c>
      <c r="G17" s="17">
        <v>1.207634476673608E-2</v>
      </c>
      <c r="H17" s="17">
        <v>8.8764166329352939E-2</v>
      </c>
      <c r="I17" s="17">
        <v>0.2024891941315404</v>
      </c>
      <c r="J17" s="17">
        <v>0.2443475892497696</v>
      </c>
      <c r="K17" s="17">
        <v>-5.247896185079276E-2</v>
      </c>
      <c r="L17" s="17">
        <v>-4.2768072342634758E-2</v>
      </c>
      <c r="M17" s="17">
        <v>2.2163962640851419E-2</v>
      </c>
      <c r="N17" s="17">
        <v>0.15811239469363661</v>
      </c>
      <c r="O17" s="17">
        <v>0.25933916396597229</v>
      </c>
      <c r="P17" s="17">
        <v>0.1929997948271413</v>
      </c>
      <c r="Q17" s="17">
        <v>3.119850021201442E-2</v>
      </c>
      <c r="R17" s="17">
        <v>-2.0859108692512781E-2</v>
      </c>
      <c r="S17" s="17">
        <v>-0.331512541347811</v>
      </c>
      <c r="T17" s="17">
        <v>-0.40271455588061811</v>
      </c>
      <c r="U17" s="17">
        <v>-0.54398569841917499</v>
      </c>
      <c r="V17" s="17">
        <v>-0.53997450858947649</v>
      </c>
      <c r="W17" s="17">
        <v>-0.420370524577169</v>
      </c>
      <c r="X17" s="17">
        <v>-0.30352432663636542</v>
      </c>
      <c r="Y17" s="17">
        <v>-0.28059631557371062</v>
      </c>
      <c r="Z17" s="17">
        <v>-0.2267278262828448</v>
      </c>
      <c r="AA17" s="17">
        <v>-0.26193761586504388</v>
      </c>
      <c r="AB17" s="17">
        <v>-0.17708555298687159</v>
      </c>
      <c r="AC17" s="17">
        <v>-0.1183568626963778</v>
      </c>
      <c r="AD17" s="17">
        <v>-9.6444018522737165E-2</v>
      </c>
      <c r="AE17" s="17">
        <v>-0.22360244096996221</v>
      </c>
      <c r="AF17" s="17">
        <v>-0.16217313084802201</v>
      </c>
      <c r="AG17" s="17">
        <v>-0.13943215006023191</v>
      </c>
      <c r="AH17" s="17">
        <v>-0.1713550250602319</v>
      </c>
      <c r="AI17" s="17">
        <v>-5.6489900060231871E-2</v>
      </c>
      <c r="AJ17" s="17">
        <v>-7.869815006023187E-2</v>
      </c>
      <c r="AK17" s="17">
        <v>-4.9818753211954281E-3</v>
      </c>
      <c r="AL17" s="17">
        <v>4.5742530427361081E-2</v>
      </c>
      <c r="AM17" s="17">
        <v>0.12111189801501809</v>
      </c>
      <c r="AN17" s="17">
        <v>0.23439901836093571</v>
      </c>
      <c r="AO17" s="17">
        <v>0.2470313529566599</v>
      </c>
      <c r="AP17" s="17">
        <v>0.1697885385370744</v>
      </c>
      <c r="AQ17" s="17">
        <v>0.10926140113557541</v>
      </c>
      <c r="AR17" s="17">
        <v>0.22319211103039269</v>
      </c>
      <c r="AS17" s="17">
        <v>0.1936761110303927</v>
      </c>
      <c r="AT17" s="17">
        <v>0.2459439174801149</v>
      </c>
      <c r="AU17" s="17">
        <v>0.30049942476680269</v>
      </c>
      <c r="AV17" s="17">
        <v>0.27929352198453428</v>
      </c>
      <c r="AW17" s="17">
        <v>0.28771541002637108</v>
      </c>
      <c r="AX17" s="17">
        <v>0.38395596853517011</v>
      </c>
      <c r="AY17" s="17">
        <v>0.41137966522577102</v>
      </c>
      <c r="AZ17" s="17">
        <v>0.28622206296557989</v>
      </c>
      <c r="BA17" s="17">
        <v>0.2960472420726929</v>
      </c>
      <c r="BB17" s="17">
        <v>0.41981130518653731</v>
      </c>
      <c r="BC17" s="17">
        <v>0.50367450036435091</v>
      </c>
      <c r="BD17" s="17">
        <v>0.5260309826105557</v>
      </c>
      <c r="BE17" s="17">
        <v>0.60338122484861612</v>
      </c>
      <c r="BF17" s="17">
        <v>0.65857872145756979</v>
      </c>
      <c r="BG17" s="17">
        <v>0.62318448536953253</v>
      </c>
      <c r="BH17" s="17">
        <v>0.63670394622128557</v>
      </c>
      <c r="BI17" s="17">
        <v>0.72381589166123284</v>
      </c>
      <c r="BJ17" s="17">
        <v>0.7139578273879964</v>
      </c>
      <c r="BK17" s="17">
        <v>0.70013487531789087</v>
      </c>
      <c r="BL17" s="17">
        <v>0.77761784211783702</v>
      </c>
      <c r="BM17" s="17">
        <v>0.853615612563697</v>
      </c>
      <c r="BN17" s="17">
        <v>0.779957612563697</v>
      </c>
      <c r="BO17" s="17">
        <v>0.81513722798042065</v>
      </c>
      <c r="BP17" s="17">
        <v>0.85113320763490152</v>
      </c>
      <c r="BQ17" s="17">
        <v>0.86250971808135313</v>
      </c>
      <c r="BR17" s="17">
        <v>0.85286334295660327</v>
      </c>
      <c r="BS17" s="17">
        <v>0.84875987384599672</v>
      </c>
      <c r="BT17" s="17">
        <v>0.95817625271642004</v>
      </c>
      <c r="BU17" s="17">
        <v>0.88704843396566768</v>
      </c>
      <c r="BV17" s="17">
        <v>0.95725873698529595</v>
      </c>
      <c r="BW17" s="17">
        <v>0.87682702438603011</v>
      </c>
      <c r="BX17" s="17">
        <v>0.90564998900570282</v>
      </c>
      <c r="BY17" s="17">
        <v>0.82140452137700848</v>
      </c>
      <c r="BZ17" s="17">
        <v>0.94198267725809381</v>
      </c>
      <c r="CA17" s="17">
        <v>0.91404784489960422</v>
      </c>
      <c r="CB17" s="17">
        <v>0.90357013740761172</v>
      </c>
      <c r="CC17" s="17">
        <v>0.72861216341793078</v>
      </c>
      <c r="CD17" s="17">
        <v>0.90157190463707937</v>
      </c>
      <c r="CE17" s="17">
        <v>0.99727952963707933</v>
      </c>
      <c r="CF17" s="17">
        <v>0.90215577963707938</v>
      </c>
      <c r="CG17" s="17">
        <v>0.88662867456200223</v>
      </c>
      <c r="CH17" s="17">
        <v>0.94526512116905226</v>
      </c>
      <c r="CI17" s="17">
        <v>0.93073393617946376</v>
      </c>
      <c r="CJ17" s="17">
        <v>0.87999161469502174</v>
      </c>
      <c r="CK17" s="17">
        <v>0.9717301873529347</v>
      </c>
      <c r="CL17" s="17">
        <v>0.96230384258390345</v>
      </c>
      <c r="CM17" s="17">
        <v>0.86681121758390345</v>
      </c>
      <c r="CN17" s="17">
        <v>0.84009315643291649</v>
      </c>
      <c r="CO17" s="17">
        <v>1.038173531432917</v>
      </c>
      <c r="CP17" s="17">
        <v>1.0165635314329169</v>
      </c>
      <c r="CQ17" s="17">
        <v>1.05765146461632</v>
      </c>
      <c r="CR17" s="17">
        <v>1.108327955318543</v>
      </c>
      <c r="CS17" s="17">
        <v>1.119874580318543</v>
      </c>
      <c r="CT17" s="17">
        <v>1.1785288303185431</v>
      </c>
      <c r="CU17" s="17">
        <v>1.229637705318543</v>
      </c>
      <c r="CV17" s="17">
        <v>1.2975290803185431</v>
      </c>
      <c r="CW17" s="17">
        <v>1.274372080318543</v>
      </c>
      <c r="CX17" s="17">
        <v>1.299363580318543</v>
      </c>
      <c r="CY17" s="17">
        <v>1.249980281602453</v>
      </c>
      <c r="CZ17" s="17">
        <v>1.434116156602453</v>
      </c>
      <c r="DA17" s="17">
        <v>1.5286117816024529</v>
      </c>
      <c r="DB17" s="17">
        <v>1.6328827816024529</v>
      </c>
      <c r="DC17" s="17">
        <v>1.686770281602453</v>
      </c>
      <c r="DD17" s="17">
        <v>1.6016363485182989</v>
      </c>
      <c r="DE17" s="17">
        <v>1.5499709735182989</v>
      </c>
      <c r="DF17" s="17">
        <v>1.9021983485182989</v>
      </c>
      <c r="DG17" s="17">
        <v>1.8549872235182989</v>
      </c>
      <c r="DH17" s="17">
        <v>2.0184205985182988</v>
      </c>
      <c r="DI17" s="17">
        <v>2.0886018485182989</v>
      </c>
      <c r="DJ17" s="17">
        <v>2.1457482235182992</v>
      </c>
      <c r="DK17" s="17">
        <v>2.0429683485182988</v>
      </c>
      <c r="DL17" s="17">
        <v>2.0371785985182989</v>
      </c>
      <c r="DM17" s="17">
        <v>2.0797420985182988</v>
      </c>
      <c r="DN17" s="17">
        <v>2.0191155985182991</v>
      </c>
      <c r="DO17" s="17">
        <v>2.1988775985182989</v>
      </c>
      <c r="DP17" s="17">
        <v>2.1737814735182992</v>
      </c>
      <c r="DQ17" s="17">
        <v>2.1085374735182989</v>
      </c>
      <c r="DR17" s="17">
        <v>2.1644222883946278</v>
      </c>
      <c r="DS17" s="17">
        <v>2.0401061285898172</v>
      </c>
      <c r="DT17" s="17">
        <v>2.0568491285898172</v>
      </c>
      <c r="DU17" s="17">
        <v>1.9273551285898169</v>
      </c>
      <c r="DV17" s="17">
        <v>1.989627503589817</v>
      </c>
      <c r="DW17" s="17">
        <v>1.913027753589817</v>
      </c>
      <c r="DX17" s="17">
        <v>1.9571496285898169</v>
      </c>
      <c r="DY17" s="17">
        <v>2.0644318785898168</v>
      </c>
      <c r="DZ17" s="17">
        <v>2.1136438785898171</v>
      </c>
      <c r="EA17" s="17">
        <v>2.2782162535898172</v>
      </c>
      <c r="EB17" s="17">
        <v>2.2044326285898168</v>
      </c>
      <c r="EC17" s="17">
        <v>2.220857845805877</v>
      </c>
      <c r="ED17" s="17">
        <v>2.092533401876965</v>
      </c>
      <c r="EE17" s="17">
        <v>2.092727776876965</v>
      </c>
      <c r="EF17" s="17">
        <v>2.1337125268769639</v>
      </c>
    </row>
    <row r="18" spans="1:136">
      <c r="A18" s="2"/>
      <c r="B18" s="2" t="s">
        <v>191</v>
      </c>
      <c r="C18" s="17">
        <v>0.189751</v>
      </c>
      <c r="D18" s="17">
        <v>0.1815635329186073</v>
      </c>
      <c r="E18" s="17">
        <v>0.1225628758203995</v>
      </c>
      <c r="F18" s="17">
        <v>-1.1851498612986211E-2</v>
      </c>
      <c r="G18" s="17">
        <v>-9.2645745633846061E-2</v>
      </c>
      <c r="H18" s="17">
        <v>2.9267043729424042E-2</v>
      </c>
      <c r="I18" s="17">
        <v>0.1647672239526651</v>
      </c>
      <c r="J18" s="17">
        <v>0.2081787397043067</v>
      </c>
      <c r="K18" s="17">
        <v>-0.150503358803593</v>
      </c>
      <c r="L18" s="17">
        <v>-0.13752087195661139</v>
      </c>
      <c r="M18" s="17">
        <v>-5.781829484263494E-2</v>
      </c>
      <c r="N18" s="17">
        <v>8.5174132442136161E-2</v>
      </c>
      <c r="O18" s="17">
        <v>0.18884462207175531</v>
      </c>
      <c r="P18" s="17">
        <v>0.1062920105018076</v>
      </c>
      <c r="Q18" s="17">
        <v>-8.2683408187682314E-2</v>
      </c>
      <c r="R18" s="17">
        <v>-0.1441756460596573</v>
      </c>
      <c r="S18" s="17">
        <v>-0.52790827499155157</v>
      </c>
      <c r="T18" s="17">
        <v>-0.58215271502316024</v>
      </c>
      <c r="U18" s="17">
        <v>-0.71464773945297921</v>
      </c>
      <c r="V18" s="17">
        <v>-0.70175260438312836</v>
      </c>
      <c r="W18" s="17">
        <v>-0.56383536646742216</v>
      </c>
      <c r="X18" s="17">
        <v>-0.42038384883258162</v>
      </c>
      <c r="Y18" s="17">
        <v>-0.40115151447514602</v>
      </c>
      <c r="Z18" s="17">
        <v>-0.31191715103462309</v>
      </c>
      <c r="AA18" s="17">
        <v>-0.3536223962173472</v>
      </c>
      <c r="AB18" s="17">
        <v>-0.268924096486863</v>
      </c>
      <c r="AC18" s="17">
        <v>-0.21110108363090571</v>
      </c>
      <c r="AD18" s="17">
        <v>-0.18450549325182561</v>
      </c>
      <c r="AE18" s="17">
        <v>-0.32803473468090011</v>
      </c>
      <c r="AF18" s="17">
        <v>-0.29616131652027439</v>
      </c>
      <c r="AG18" s="17">
        <v>-0.26366820042239841</v>
      </c>
      <c r="AH18" s="17">
        <v>-0.2995830575652555</v>
      </c>
      <c r="AI18" s="17">
        <v>-0.1814966289938269</v>
      </c>
      <c r="AJ18" s="17">
        <v>-0.1888247718509698</v>
      </c>
      <c r="AK18" s="17">
        <v>-0.15867229125334381</v>
      </c>
      <c r="AL18" s="17">
        <v>-0.11114452762108611</v>
      </c>
      <c r="AM18" s="17">
        <v>-4.4501122196314843E-2</v>
      </c>
      <c r="AN18" s="17">
        <v>3.4793517758886949E-2</v>
      </c>
      <c r="AO18" s="17">
        <v>4.0221052726579727E-2</v>
      </c>
      <c r="AP18" s="17">
        <v>-3.8057539207227237E-2</v>
      </c>
      <c r="AQ18" s="17">
        <v>-0.11428838453367721</v>
      </c>
      <c r="AR18" s="17">
        <v>1.0257121829267021E-2</v>
      </c>
      <c r="AS18" s="17">
        <v>-3.5116163885018682E-2</v>
      </c>
      <c r="AT18" s="17">
        <v>8.2094859355600069E-3</v>
      </c>
      <c r="AU18" s="17">
        <v>7.278513001515155E-2</v>
      </c>
      <c r="AV18" s="17">
        <v>4.4016374133434351E-2</v>
      </c>
      <c r="AW18" s="17">
        <v>6.8554408374541811E-2</v>
      </c>
      <c r="AX18" s="17">
        <v>0.1761152766303779</v>
      </c>
      <c r="AY18" s="17">
        <v>0.21089855527152601</v>
      </c>
      <c r="AZ18" s="17">
        <v>6.2489472882626879E-2</v>
      </c>
      <c r="BA18" s="17">
        <v>6.312178380731244E-2</v>
      </c>
      <c r="BB18" s="17">
        <v>0.20077782596464949</v>
      </c>
      <c r="BC18" s="17">
        <v>0.28397939855797022</v>
      </c>
      <c r="BD18" s="17">
        <v>0.25996312687066969</v>
      </c>
      <c r="BE18" s="17">
        <v>0.3283243401088326</v>
      </c>
      <c r="BF18" s="17">
        <v>0.37420887640841138</v>
      </c>
      <c r="BG18" s="17">
        <v>0.35740263518220727</v>
      </c>
      <c r="BH18" s="17">
        <v>0.3779064882460127</v>
      </c>
      <c r="BI18" s="17">
        <v>0.48690649516467838</v>
      </c>
      <c r="BJ18" s="17">
        <v>0.49286255921513789</v>
      </c>
      <c r="BK18" s="17">
        <v>0.43485931504493541</v>
      </c>
      <c r="BL18" s="17">
        <v>0.51601698886513947</v>
      </c>
      <c r="BM18" s="17">
        <v>0.61879092792857904</v>
      </c>
      <c r="BN18" s="17">
        <v>0.54058078507143614</v>
      </c>
      <c r="BO18" s="17">
        <v>0.56080828117781079</v>
      </c>
      <c r="BP18" s="17">
        <v>0.60766582151249282</v>
      </c>
      <c r="BQ18" s="17">
        <v>0.60958260562234179</v>
      </c>
      <c r="BR18" s="17">
        <v>0.60383441203838706</v>
      </c>
      <c r="BS18" s="17">
        <v>0.59985078694126781</v>
      </c>
      <c r="BT18" s="17">
        <v>0.71508753497715438</v>
      </c>
      <c r="BU18" s="17">
        <v>0.63441009093711354</v>
      </c>
      <c r="BV18" s="17">
        <v>0.71533348621415593</v>
      </c>
      <c r="BW18" s="17">
        <v>0.63002239928096049</v>
      </c>
      <c r="BX18" s="17">
        <v>0.64904087399699617</v>
      </c>
      <c r="BY18" s="17">
        <v>0.52596589817297135</v>
      </c>
      <c r="BZ18" s="17">
        <v>0.67928588597556949</v>
      </c>
      <c r="CA18" s="17">
        <v>0.66320934208270865</v>
      </c>
      <c r="CB18" s="17">
        <v>0.63863198547026034</v>
      </c>
      <c r="CC18" s="17">
        <v>0.6104585414508602</v>
      </c>
      <c r="CD18" s="17">
        <v>0.80417536009769086</v>
      </c>
      <c r="CE18" s="17">
        <v>0.88143521724054796</v>
      </c>
      <c r="CF18" s="17">
        <v>0.77957621724054793</v>
      </c>
      <c r="CG18" s="17">
        <v>0.77677485830113246</v>
      </c>
      <c r="CH18" s="17">
        <v>0.93943190498836571</v>
      </c>
      <c r="CI18" s="17">
        <v>0.90056276511067623</v>
      </c>
      <c r="CJ18" s="17">
        <v>0.83824908728576653</v>
      </c>
      <c r="CK18" s="17">
        <v>0.92891687157805025</v>
      </c>
      <c r="CL18" s="17">
        <v>0.89792732651985718</v>
      </c>
      <c r="CM18" s="17">
        <v>0.79515861223414286</v>
      </c>
      <c r="CN18" s="17">
        <v>0.76007235825596631</v>
      </c>
      <c r="CO18" s="17">
        <v>0.98835435825596629</v>
      </c>
      <c r="CP18" s="17">
        <v>0.97285621539882339</v>
      </c>
      <c r="CQ18" s="17">
        <v>1.020832751807091</v>
      </c>
      <c r="CR18" s="17">
        <v>1.075988880523683</v>
      </c>
      <c r="CS18" s="17">
        <v>1.1041181662379691</v>
      </c>
      <c r="CT18" s="17">
        <v>1.180989023380826</v>
      </c>
      <c r="CU18" s="17">
        <v>1.18573073766654</v>
      </c>
      <c r="CV18" s="17">
        <v>1.2486751662379689</v>
      </c>
      <c r="CW18" s="17">
        <v>1.2203457376665401</v>
      </c>
      <c r="CX18" s="17">
        <v>1.2062664519522539</v>
      </c>
      <c r="CY18" s="17">
        <v>1.154909038177472</v>
      </c>
      <c r="CZ18" s="17">
        <v>1.3593214667489011</v>
      </c>
      <c r="DA18" s="17">
        <v>1.437679323891758</v>
      </c>
      <c r="DB18" s="17">
        <v>1.5557933238917581</v>
      </c>
      <c r="DC18" s="17">
        <v>1.6050018953203291</v>
      </c>
      <c r="DD18" s="17">
        <v>1.522539541824915</v>
      </c>
      <c r="DE18" s="17">
        <v>1.483232827539201</v>
      </c>
      <c r="DF18" s="17">
        <v>1.849926398967773</v>
      </c>
      <c r="DG18" s="17">
        <v>1.795155684682058</v>
      </c>
      <c r="DH18" s="17">
        <v>1.98755825611063</v>
      </c>
      <c r="DI18" s="17">
        <v>2.085521113253487</v>
      </c>
      <c r="DJ18" s="17">
        <v>2.136176113253486</v>
      </c>
      <c r="DK18" s="17">
        <v>2.0296502561106289</v>
      </c>
      <c r="DL18" s="17">
        <v>2.0062406846820582</v>
      </c>
      <c r="DM18" s="17">
        <v>2.0646973989677719</v>
      </c>
      <c r="DN18" s="17">
        <v>2.007824256110629</v>
      </c>
      <c r="DO18" s="17">
        <v>2.2281438275392</v>
      </c>
      <c r="DP18" s="17">
        <v>2.2066339703963429</v>
      </c>
      <c r="DQ18" s="17">
        <v>2.1446792561106292</v>
      </c>
      <c r="DR18" s="17">
        <v>2.22151991088259</v>
      </c>
      <c r="DS18" s="17">
        <v>2.073797912430857</v>
      </c>
      <c r="DT18" s="17">
        <v>2.0663901981451431</v>
      </c>
      <c r="DU18" s="17">
        <v>1.9076747695737151</v>
      </c>
      <c r="DV18" s="17">
        <v>1.9930806267165719</v>
      </c>
      <c r="DW18" s="17">
        <v>1.924442769573715</v>
      </c>
      <c r="DX18" s="17">
        <v>1.986226483859429</v>
      </c>
      <c r="DY18" s="17">
        <v>2.123058769573714</v>
      </c>
      <c r="DZ18" s="17">
        <v>2.1776884838594288</v>
      </c>
      <c r="EA18" s="17">
        <v>2.3766357695737139</v>
      </c>
      <c r="EB18" s="17">
        <v>2.2795907695737139</v>
      </c>
      <c r="EC18" s="17">
        <v>2.2823548849990858</v>
      </c>
      <c r="ED18" s="17">
        <v>2.1718768631333201</v>
      </c>
      <c r="EE18" s="17">
        <v>2.1707665774190339</v>
      </c>
      <c r="EF18" s="17">
        <v>2.2347184345618909</v>
      </c>
    </row>
    <row r="19" spans="1:136">
      <c r="A19" s="2"/>
      <c r="B19" s="2" t="s">
        <v>192</v>
      </c>
      <c r="C19" s="17">
        <v>0.1966</v>
      </c>
      <c r="D19" s="17">
        <v>0.17642920054580419</v>
      </c>
      <c r="E19" s="17">
        <v>0.1215311067783921</v>
      </c>
      <c r="F19" s="17">
        <v>8.2884424892147993E-2</v>
      </c>
      <c r="G19" s="17">
        <v>-1.4627665669452131E-2</v>
      </c>
      <c r="H19" s="17">
        <v>0.1342664563663952</v>
      </c>
      <c r="I19" s="17">
        <v>0.26892078925786173</v>
      </c>
      <c r="J19" s="17">
        <v>0.30435037377805269</v>
      </c>
      <c r="K19" s="17">
        <v>-0.1139874771915815</v>
      </c>
      <c r="L19" s="17">
        <v>-7.0938519556415502E-2</v>
      </c>
      <c r="M19" s="17">
        <v>1.527181946970221E-2</v>
      </c>
      <c r="N19" s="17">
        <v>0.1106197051596831</v>
      </c>
      <c r="O19" s="17">
        <v>0.20284108817914029</v>
      </c>
      <c r="P19" s="17">
        <v>0.1103069019924432</v>
      </c>
      <c r="Q19" s="17">
        <v>-8.6856186272076683E-2</v>
      </c>
      <c r="R19" s="17">
        <v>-0.17715527690293301</v>
      </c>
      <c r="S19" s="17">
        <v>-0.36131539360054099</v>
      </c>
      <c r="T19" s="17">
        <v>-0.38846967158684009</v>
      </c>
      <c r="U19" s="17">
        <v>-0.52416801021876336</v>
      </c>
      <c r="V19" s="17">
        <v>-0.48754932243331212</v>
      </c>
      <c r="W19" s="17">
        <v>-0.34092833171580189</v>
      </c>
      <c r="X19" s="17">
        <v>-0.22428928645170851</v>
      </c>
      <c r="Y19" s="17">
        <v>-0.19866064892355201</v>
      </c>
      <c r="Z19" s="17">
        <v>-0.1070415383475285</v>
      </c>
      <c r="AA19" s="17">
        <v>-0.14861172288568419</v>
      </c>
      <c r="AB19" s="17">
        <v>-4.63581170017415E-2</v>
      </c>
      <c r="AC19" s="17">
        <v>-1.7905282360050179E-2</v>
      </c>
      <c r="AD19" s="17">
        <v>1.718364622790015E-2</v>
      </c>
      <c r="AE19" s="17">
        <v>-0.15223241476988961</v>
      </c>
      <c r="AF19" s="17">
        <v>-0.1134467479609899</v>
      </c>
      <c r="AG19" s="17">
        <v>-9.1310528888442072E-2</v>
      </c>
      <c r="AH19" s="17">
        <v>-0.1074018622217754</v>
      </c>
      <c r="AI19" s="17">
        <v>-1.5852528888442071E-2</v>
      </c>
      <c r="AJ19" s="17">
        <v>-3.6861955551087452E-3</v>
      </c>
      <c r="AK19" s="17">
        <v>3.8658469508439648E-3</v>
      </c>
      <c r="AL19" s="17">
        <v>7.4136792621649517E-2</v>
      </c>
      <c r="AM19" s="17">
        <v>0.1172428044330545</v>
      </c>
      <c r="AN19" s="17">
        <v>0.20081109879873649</v>
      </c>
      <c r="AO19" s="17">
        <v>0.22670400184415099</v>
      </c>
      <c r="AP19" s="17">
        <v>0.13912988157129891</v>
      </c>
      <c r="AQ19" s="17">
        <v>5.0877124510648228E-2</v>
      </c>
      <c r="AR19" s="17">
        <v>0.20439468682350559</v>
      </c>
      <c r="AS19" s="17">
        <v>0.20070768682350559</v>
      </c>
      <c r="AT19" s="17">
        <v>0.25000266858920689</v>
      </c>
      <c r="AU19" s="17">
        <v>0.32643138430286112</v>
      </c>
      <c r="AV19" s="17">
        <v>0.27639836360588321</v>
      </c>
      <c r="AW19" s="17">
        <v>0.2987545317600197</v>
      </c>
      <c r="AX19" s="17">
        <v>0.37896094607043262</v>
      </c>
      <c r="AY19" s="17">
        <v>0.40848991646381239</v>
      </c>
      <c r="AZ19" s="17">
        <v>0.22161029829563811</v>
      </c>
      <c r="BA19" s="17">
        <v>0.18724641434156511</v>
      </c>
      <c r="BB19" s="17">
        <v>0.34699261341399668</v>
      </c>
      <c r="BC19" s="17">
        <v>0.41104809976018242</v>
      </c>
      <c r="BD19" s="17">
        <v>0.40781370713011428</v>
      </c>
      <c r="BE19" s="17">
        <v>0.45894558109378081</v>
      </c>
      <c r="BF19" s="17">
        <v>0.47251655524291941</v>
      </c>
      <c r="BG19" s="17">
        <v>0.45617289691007717</v>
      </c>
      <c r="BH19" s="17">
        <v>0.4581910986115082</v>
      </c>
      <c r="BI19" s="17">
        <v>0.58598972743072686</v>
      </c>
      <c r="BJ19" s="17">
        <v>0.60769702896930611</v>
      </c>
      <c r="BK19" s="17">
        <v>0.55594750287731376</v>
      </c>
      <c r="BL19" s="17">
        <v>0.63591216102381687</v>
      </c>
      <c r="BM19" s="17">
        <v>0.75016276128251258</v>
      </c>
      <c r="BN19" s="17">
        <v>0.66874759461584588</v>
      </c>
      <c r="BO19" s="17">
        <v>0.69447655588096124</v>
      </c>
      <c r="BP19" s="17">
        <v>0.7572953634150934</v>
      </c>
      <c r="BQ19" s="17">
        <v>0.76722940786941651</v>
      </c>
      <c r="BR19" s="17">
        <v>0.7739046538929365</v>
      </c>
      <c r="BS19" s="17">
        <v>0.74964831514845442</v>
      </c>
      <c r="BT19" s="17">
        <v>0.89128099500202784</v>
      </c>
      <c r="BU19" s="17">
        <v>0.81534474376778976</v>
      </c>
      <c r="BV19" s="17">
        <v>0.90899998492113609</v>
      </c>
      <c r="BW19" s="17">
        <v>0.80003302353749106</v>
      </c>
      <c r="BX19" s="17">
        <v>0.83412080880934936</v>
      </c>
      <c r="BY19" s="17">
        <v>0.72647107225370111</v>
      </c>
      <c r="BZ19" s="17">
        <v>0.79517319707575496</v>
      </c>
      <c r="CA19" s="17">
        <v>0.76584444185198042</v>
      </c>
      <c r="CB19" s="17">
        <v>0.71780327334373561</v>
      </c>
      <c r="CC19" s="17">
        <v>0.69308002057790818</v>
      </c>
      <c r="CD19" s="17">
        <v>0.90869921867162606</v>
      </c>
      <c r="CE19" s="17">
        <v>0.99717338533829269</v>
      </c>
      <c r="CF19" s="17">
        <v>0.88547471867162597</v>
      </c>
      <c r="CG19" s="17">
        <v>0.83484118865697243</v>
      </c>
      <c r="CH19" s="17">
        <v>0.98773105570689879</v>
      </c>
      <c r="CI19" s="17">
        <v>0.95066410954670355</v>
      </c>
      <c r="CJ19" s="17">
        <v>0.88872360958066743</v>
      </c>
      <c r="CK19" s="17">
        <v>0.99269132739776567</v>
      </c>
      <c r="CL19" s="17">
        <v>0.94945104742297581</v>
      </c>
      <c r="CM19" s="17">
        <v>0.83921588075630915</v>
      </c>
      <c r="CN19" s="17">
        <v>0.76228322608900567</v>
      </c>
      <c r="CO19" s="17">
        <v>1.013518892755672</v>
      </c>
      <c r="CP19" s="17">
        <v>0.98448189275567244</v>
      </c>
      <c r="CQ19" s="17">
        <v>0.98175198460111046</v>
      </c>
      <c r="CR19" s="17">
        <v>1.031446174153513</v>
      </c>
      <c r="CS19" s="17">
        <v>1.0752218408201799</v>
      </c>
      <c r="CT19" s="17">
        <v>1.1016438408201801</v>
      </c>
      <c r="CU19" s="17">
        <v>1.1088011741535131</v>
      </c>
      <c r="CV19" s="17">
        <v>1.184944674153513</v>
      </c>
      <c r="CW19" s="17">
        <v>1.152751174153513</v>
      </c>
      <c r="CX19" s="17">
        <v>1.153878674153513</v>
      </c>
      <c r="CY19" s="17">
        <v>1.0829568045891429</v>
      </c>
      <c r="CZ19" s="17">
        <v>1.2409713045891431</v>
      </c>
      <c r="DA19" s="17">
        <v>1.316153804589143</v>
      </c>
      <c r="DB19" s="17">
        <v>1.464114804589143</v>
      </c>
      <c r="DC19" s="17">
        <v>1.49439147125581</v>
      </c>
      <c r="DD19" s="17">
        <v>1.388134135301009</v>
      </c>
      <c r="DE19" s="17">
        <v>1.3821286353010089</v>
      </c>
      <c r="DF19" s="17">
        <v>1.587631468634342</v>
      </c>
      <c r="DG19" s="17">
        <v>1.521256968634342</v>
      </c>
      <c r="DH19" s="17">
        <v>1.745848301967676</v>
      </c>
      <c r="DI19" s="17">
        <v>1.8543099686343421</v>
      </c>
      <c r="DJ19" s="17">
        <v>1.9348103019676759</v>
      </c>
      <c r="DK19" s="17">
        <v>1.8133696353010089</v>
      </c>
      <c r="DL19" s="17">
        <v>1.7900568019676759</v>
      </c>
      <c r="DM19" s="17">
        <v>1.8473566353010089</v>
      </c>
      <c r="DN19" s="17">
        <v>1.7830646353010089</v>
      </c>
      <c r="DO19" s="17">
        <v>2.032325801967676</v>
      </c>
      <c r="DP19" s="17">
        <v>2.0283243019676762</v>
      </c>
      <c r="DQ19" s="17">
        <v>1.977701801967676</v>
      </c>
      <c r="DR19" s="17">
        <v>2.0536641552927239</v>
      </c>
      <c r="DS19" s="17">
        <v>1.8756686083387539</v>
      </c>
      <c r="DT19" s="17">
        <v>1.872592108338754</v>
      </c>
      <c r="DU19" s="17">
        <v>1.7220096083387539</v>
      </c>
      <c r="DV19" s="17">
        <v>1.76013677500542</v>
      </c>
      <c r="DW19" s="17">
        <v>1.65883977500542</v>
      </c>
      <c r="DX19" s="17">
        <v>1.76710427500542</v>
      </c>
      <c r="DY19" s="17">
        <v>1.90635227500542</v>
      </c>
      <c r="DZ19" s="17">
        <v>1.98488977500542</v>
      </c>
      <c r="EA19" s="17">
        <v>2.217937441672087</v>
      </c>
      <c r="EB19" s="17">
        <v>2.111688941672087</v>
      </c>
      <c r="EC19" s="17">
        <v>2.0994988984483851</v>
      </c>
      <c r="ED19" s="17">
        <v>1.9485635814582281</v>
      </c>
      <c r="EE19" s="17">
        <v>1.955869914791561</v>
      </c>
      <c r="EF19" s="17">
        <v>2.029889914791561</v>
      </c>
    </row>
    <row r="20" spans="1:136">
      <c r="A20" s="2"/>
      <c r="B20" s="2" t="s">
        <v>193</v>
      </c>
      <c r="C20" s="17">
        <v>0.20155100000000001</v>
      </c>
      <c r="D20" s="17">
        <v>0.20190271826374559</v>
      </c>
      <c r="E20" s="17">
        <v>0.21740270640807949</v>
      </c>
      <c r="F20" s="17">
        <v>0.12618428423603359</v>
      </c>
      <c r="G20" s="17">
        <v>2.5818372317169661E-2</v>
      </c>
      <c r="H20" s="17">
        <v>0.19019037044583961</v>
      </c>
      <c r="I20" s="17">
        <v>0.34833993304694122</v>
      </c>
      <c r="J20" s="17">
        <v>0.38281119177379752</v>
      </c>
      <c r="K20" s="17">
        <v>0.29270253765112347</v>
      </c>
      <c r="L20" s="17">
        <v>0.38841117315565921</v>
      </c>
      <c r="M20" s="17">
        <v>0.48854458751974522</v>
      </c>
      <c r="N20" s="17">
        <v>0.59046951656538516</v>
      </c>
      <c r="O20" s="17">
        <v>0.68957100070985888</v>
      </c>
      <c r="P20" s="17">
        <v>0.59840107304133361</v>
      </c>
      <c r="Q20" s="17">
        <v>0.38167533403835507</v>
      </c>
      <c r="R20" s="17">
        <v>0.27242227840088629</v>
      </c>
      <c r="S20" s="17">
        <v>0.11723966007314369</v>
      </c>
      <c r="T20" s="17">
        <v>0.13290257059240301</v>
      </c>
      <c r="U20" s="17">
        <v>-1.574710952537187E-2</v>
      </c>
      <c r="V20" s="17">
        <v>-3.1030064081829269E-3</v>
      </c>
      <c r="W20" s="17">
        <v>0.16998236976939801</v>
      </c>
      <c r="X20" s="17">
        <v>0.31867957102653149</v>
      </c>
      <c r="Y20" s="17">
        <v>0.36074706056512879</v>
      </c>
      <c r="Z20" s="17">
        <v>0.4663640210487881</v>
      </c>
      <c r="AA20" s="17">
        <v>0.444769467661491</v>
      </c>
      <c r="AB20" s="17">
        <v>0.52952930838766421</v>
      </c>
      <c r="AC20" s="17">
        <v>0.58597265402818377</v>
      </c>
      <c r="AD20" s="17">
        <v>0.62042655688001347</v>
      </c>
      <c r="AE20" s="17">
        <v>0.42113369254091559</v>
      </c>
      <c r="AF20" s="17">
        <v>0.46017837092849562</v>
      </c>
      <c r="AG20" s="17">
        <v>0.48783758946838779</v>
      </c>
      <c r="AH20" s="17">
        <v>0.46002858946838793</v>
      </c>
      <c r="AI20" s="17">
        <v>0.5763657894683879</v>
      </c>
      <c r="AJ20" s="17">
        <v>0.59360638946838784</v>
      </c>
      <c r="AK20" s="17">
        <v>0.58001127397238494</v>
      </c>
      <c r="AL20" s="17">
        <v>0.65290472600936189</v>
      </c>
      <c r="AM20" s="17">
        <v>0.68600070675816449</v>
      </c>
      <c r="AN20" s="17">
        <v>0.7614709002771628</v>
      </c>
      <c r="AO20" s="17">
        <v>0.80675598224185119</v>
      </c>
      <c r="AP20" s="17">
        <v>0.6750255209864634</v>
      </c>
      <c r="AQ20" s="17">
        <v>0.70247800631941448</v>
      </c>
      <c r="AR20" s="17">
        <v>0.87252701099833874</v>
      </c>
      <c r="AS20" s="17">
        <v>0.85538421099833872</v>
      </c>
      <c r="AT20" s="17">
        <v>0.86124298475854455</v>
      </c>
      <c r="AU20" s="17">
        <v>0.93693537165367036</v>
      </c>
      <c r="AV20" s="17">
        <v>0.8823096578711922</v>
      </c>
      <c r="AW20" s="17">
        <v>0.88917492605034321</v>
      </c>
      <c r="AX20" s="17">
        <v>0.99990747404904479</v>
      </c>
      <c r="AY20" s="17">
        <v>1.0385821724919539</v>
      </c>
      <c r="AZ20" s="17">
        <v>0.82477974131486542</v>
      </c>
      <c r="BA20" s="17">
        <v>0.78798087645432491</v>
      </c>
      <c r="BB20" s="17">
        <v>0.95563629983089426</v>
      </c>
      <c r="BC20" s="17">
        <v>1.026241867508634</v>
      </c>
      <c r="BD20" s="17">
        <v>0.9728120542870371</v>
      </c>
      <c r="BE20" s="17">
        <v>0.96686525714777671</v>
      </c>
      <c r="BF20" s="17">
        <v>0.97255383947910545</v>
      </c>
      <c r="BG20" s="17">
        <v>0.96562769677041205</v>
      </c>
      <c r="BH20" s="17">
        <v>0.89402124965630103</v>
      </c>
      <c r="BI20" s="17">
        <v>1.025766516741476</v>
      </c>
      <c r="BJ20" s="17">
        <v>1.0473960285746631</v>
      </c>
      <c r="BK20" s="17">
        <v>0.98816286073183535</v>
      </c>
      <c r="BL20" s="17">
        <v>1.07445509190829</v>
      </c>
      <c r="BM20" s="17">
        <v>1.211372753236728</v>
      </c>
      <c r="BN20" s="17">
        <v>1.230008753236729</v>
      </c>
      <c r="BO20" s="17">
        <v>1.1915470357207489</v>
      </c>
      <c r="BP20" s="17">
        <v>1.251954556483704</v>
      </c>
      <c r="BQ20" s="17">
        <v>1.267406263444548</v>
      </c>
      <c r="BR20" s="17">
        <v>1.2794798951750199</v>
      </c>
      <c r="BS20" s="17">
        <v>1.284887401366211</v>
      </c>
      <c r="BT20" s="17">
        <v>1.432690434544859</v>
      </c>
      <c r="BU20" s="17">
        <v>1.3339354851771521</v>
      </c>
      <c r="BV20" s="17">
        <v>1.449853816740224</v>
      </c>
      <c r="BW20" s="17">
        <v>1.314350564927748</v>
      </c>
      <c r="BX20" s="17">
        <v>1.345044201610992</v>
      </c>
      <c r="BY20" s="17">
        <v>1.2398102352416891</v>
      </c>
      <c r="BZ20" s="17">
        <v>1.3300816395019719</v>
      </c>
      <c r="CA20" s="17">
        <v>1.2899789114502189</v>
      </c>
      <c r="CB20" s="17">
        <v>1.251726961439291</v>
      </c>
      <c r="CC20" s="17">
        <v>1.2256839276562259</v>
      </c>
      <c r="CD20" s="17">
        <v>1.406711425146824</v>
      </c>
      <c r="CE20" s="17">
        <v>1.492488825146824</v>
      </c>
      <c r="CF20" s="17">
        <v>1.361280425146824</v>
      </c>
      <c r="CG20" s="17">
        <v>1.262227536616735</v>
      </c>
      <c r="CH20" s="17">
        <v>1.3340915622138729</v>
      </c>
      <c r="CI20" s="17">
        <v>1.303696888444791</v>
      </c>
      <c r="CJ20" s="17">
        <v>1.18025656855744</v>
      </c>
      <c r="CK20" s="17">
        <v>1.271234965307547</v>
      </c>
      <c r="CL20" s="17">
        <v>1.179050031118418</v>
      </c>
      <c r="CM20" s="17">
        <v>1.082275831118418</v>
      </c>
      <c r="CN20" s="17">
        <v>1.1044352424889019</v>
      </c>
      <c r="CO20" s="17">
        <v>1.4010086424889019</v>
      </c>
      <c r="CP20" s="17">
        <v>1.4084328424889021</v>
      </c>
      <c r="CQ20" s="17">
        <v>1.414544200417964</v>
      </c>
      <c r="CR20" s="17">
        <v>1.4876604449238151</v>
      </c>
      <c r="CS20" s="17">
        <v>1.509954244923815</v>
      </c>
      <c r="CT20" s="17">
        <v>1.5383696449238149</v>
      </c>
      <c r="CU20" s="17">
        <v>1.5485924449238151</v>
      </c>
      <c r="CV20" s="17">
        <v>1.6455966449238151</v>
      </c>
      <c r="CW20" s="17">
        <v>1.6197784449238151</v>
      </c>
      <c r="CX20" s="17">
        <v>1.6291654449238151</v>
      </c>
      <c r="CY20" s="17">
        <v>1.616685712255518</v>
      </c>
      <c r="CZ20" s="17">
        <v>1.7449891122555179</v>
      </c>
      <c r="DA20" s="17">
        <v>1.822070712255518</v>
      </c>
      <c r="DB20" s="17">
        <v>1.899037712255518</v>
      </c>
      <c r="DC20" s="17">
        <v>1.927939712255518</v>
      </c>
      <c r="DD20" s="17">
        <v>1.779830897916695</v>
      </c>
      <c r="DE20" s="17">
        <v>1.749364497916696</v>
      </c>
      <c r="DF20" s="17">
        <v>1.9949398979166959</v>
      </c>
      <c r="DG20" s="17">
        <v>1.942594097916696</v>
      </c>
      <c r="DH20" s="17">
        <v>2.2208936979166949</v>
      </c>
      <c r="DI20" s="17">
        <v>2.3584896979166952</v>
      </c>
      <c r="DJ20" s="17">
        <v>2.439767097916695</v>
      </c>
      <c r="DK20" s="17">
        <v>2.3545824979166952</v>
      </c>
      <c r="DL20" s="17">
        <v>2.3647690979166951</v>
      </c>
      <c r="DM20" s="17">
        <v>2.4341048979166948</v>
      </c>
      <c r="DN20" s="17">
        <v>2.3696464979166949</v>
      </c>
      <c r="DO20" s="17">
        <v>2.6276474979166951</v>
      </c>
      <c r="DP20" s="17">
        <v>2.6059776979166949</v>
      </c>
      <c r="DQ20" s="17">
        <v>2.5674386979166952</v>
      </c>
      <c r="DR20" s="17">
        <v>2.6459513579449858</v>
      </c>
      <c r="DS20" s="17">
        <v>2.4398702603666309</v>
      </c>
      <c r="DT20" s="17">
        <v>2.4446990603666312</v>
      </c>
      <c r="DU20" s="17">
        <v>2.268323260366631</v>
      </c>
      <c r="DV20" s="17">
        <v>2.2381330603666312</v>
      </c>
      <c r="DW20" s="17">
        <v>2.1345864603666311</v>
      </c>
      <c r="DX20" s="17">
        <v>2.2805706603666311</v>
      </c>
      <c r="DY20" s="17">
        <v>2.4021612603666309</v>
      </c>
      <c r="DZ20" s="17">
        <v>2.4923606603666308</v>
      </c>
      <c r="EA20" s="17">
        <v>2.7860518603666309</v>
      </c>
      <c r="EB20" s="17">
        <v>2.6797374603666309</v>
      </c>
      <c r="EC20" s="17">
        <v>2.7137870417805732</v>
      </c>
      <c r="ED20" s="17">
        <v>2.536868180713562</v>
      </c>
      <c r="EE20" s="17">
        <v>2.5386097807135619</v>
      </c>
      <c r="EF20" s="17">
        <v>2.6244097807135618</v>
      </c>
    </row>
    <row r="21" spans="1:136">
      <c r="A21" s="2"/>
      <c r="B21" s="2" t="s">
        <v>194</v>
      </c>
      <c r="C21" s="17">
        <v>0.21463099999999999</v>
      </c>
      <c r="D21" s="17">
        <v>0.21426329060484081</v>
      </c>
      <c r="E21" s="17">
        <v>0.21398393833404891</v>
      </c>
      <c r="F21" s="17">
        <v>0.16288645448764069</v>
      </c>
      <c r="G21" s="17">
        <v>0.1555903164597893</v>
      </c>
      <c r="H21" s="17">
        <v>0.35425837743955513</v>
      </c>
      <c r="I21" s="17">
        <v>0.50151398556702809</v>
      </c>
      <c r="J21" s="17">
        <v>0.56194931125867043</v>
      </c>
      <c r="K21" s="17">
        <v>0.47297629390464829</v>
      </c>
      <c r="L21" s="17">
        <v>0.58265590135887824</v>
      </c>
      <c r="M21" s="17">
        <v>0.65831655128563882</v>
      </c>
      <c r="N21" s="17">
        <v>0.75790396340858035</v>
      </c>
      <c r="O21" s="17">
        <v>0.88768642193893388</v>
      </c>
      <c r="P21" s="17">
        <v>0.74291382104924897</v>
      </c>
      <c r="Q21" s="17">
        <v>0.4856037469549967</v>
      </c>
      <c r="R21" s="17">
        <v>0.39002843584836649</v>
      </c>
      <c r="S21" s="17">
        <v>0.26143815039840951</v>
      </c>
      <c r="T21" s="17">
        <v>0.24739778605820459</v>
      </c>
      <c r="U21" s="17">
        <v>0.16111936844644659</v>
      </c>
      <c r="V21" s="17">
        <v>0.21467698781247779</v>
      </c>
      <c r="W21" s="17">
        <v>0.3724654674279404</v>
      </c>
      <c r="X21" s="17">
        <v>0.56980264601158703</v>
      </c>
      <c r="Y21" s="17">
        <v>0.59063572890402183</v>
      </c>
      <c r="Z21" s="17">
        <v>0.70483971612674634</v>
      </c>
      <c r="AA21" s="17">
        <v>0.72433075966684024</v>
      </c>
      <c r="AB21" s="17">
        <v>0.85417034206391007</v>
      </c>
      <c r="AC21" s="17">
        <v>0.92847147185593248</v>
      </c>
      <c r="AD21" s="17">
        <v>0.9751688964086781</v>
      </c>
      <c r="AE21" s="17">
        <v>0.73471278591549138</v>
      </c>
      <c r="AF21" s="17">
        <v>0.78783839580205439</v>
      </c>
      <c r="AG21" s="17">
        <v>0.83214117359184847</v>
      </c>
      <c r="AH21" s="17">
        <v>0.78873192359184852</v>
      </c>
      <c r="AI21" s="17">
        <v>0.89085617359184854</v>
      </c>
      <c r="AJ21" s="17">
        <v>0.89603967359184855</v>
      </c>
      <c r="AK21" s="17">
        <v>0.86023650597373846</v>
      </c>
      <c r="AL21" s="17">
        <v>0.92561632870684907</v>
      </c>
      <c r="AM21" s="17">
        <v>0.99415213615447962</v>
      </c>
      <c r="AN21" s="17">
        <v>1.1061081922175739</v>
      </c>
      <c r="AO21" s="17">
        <v>1.153834587861301</v>
      </c>
      <c r="AP21" s="17">
        <v>1.0812994442912811</v>
      </c>
      <c r="AQ21" s="17">
        <v>1.1581649513018291</v>
      </c>
      <c r="AR21" s="17">
        <v>1.3633472295323099</v>
      </c>
      <c r="AS21" s="17">
        <v>1.3803952295323101</v>
      </c>
      <c r="AT21" s="17">
        <v>1.3779023182551551</v>
      </c>
      <c r="AU21" s="17">
        <v>1.425711949764112</v>
      </c>
      <c r="AV21" s="17">
        <v>1.3701911697019791</v>
      </c>
      <c r="AW21" s="17">
        <v>1.3799821996560759</v>
      </c>
      <c r="AX21" s="17">
        <v>1.523129887125833</v>
      </c>
      <c r="AY21" s="17">
        <v>1.5701511781038711</v>
      </c>
      <c r="AZ21" s="17">
        <v>1.3152399082067341</v>
      </c>
      <c r="BA21" s="17">
        <v>1.244207726558648</v>
      </c>
      <c r="BB21" s="17">
        <v>1.469553861596987</v>
      </c>
      <c r="BC21" s="17">
        <v>1.50787500932218</v>
      </c>
      <c r="BD21" s="17">
        <v>1.4861241459515531</v>
      </c>
      <c r="BE21" s="17">
        <v>1.4924746793489541</v>
      </c>
      <c r="BF21" s="17">
        <v>1.4960517795293891</v>
      </c>
      <c r="BG21" s="17">
        <v>1.532686968746201</v>
      </c>
      <c r="BH21" s="17">
        <v>1.4563656056074461</v>
      </c>
      <c r="BI21" s="17">
        <v>1.6223352017858379</v>
      </c>
      <c r="BJ21" s="17">
        <v>1.645914227967556</v>
      </c>
      <c r="BK21" s="17">
        <v>1.577464347588021</v>
      </c>
      <c r="BL21" s="17">
        <v>1.720185440234371</v>
      </c>
      <c r="BM21" s="17">
        <v>1.87530544415547</v>
      </c>
      <c r="BN21" s="17">
        <v>1.9010936941554699</v>
      </c>
      <c r="BO21" s="17">
        <v>1.8372364577417899</v>
      </c>
      <c r="BP21" s="17">
        <v>1.9417455871612039</v>
      </c>
      <c r="BQ21" s="17">
        <v>1.9962878179957091</v>
      </c>
      <c r="BR21" s="17">
        <v>2.0086116801795741</v>
      </c>
      <c r="BS21" s="17">
        <v>2.0144718529347498</v>
      </c>
      <c r="BT21" s="17">
        <v>2.1467165469091931</v>
      </c>
      <c r="BU21" s="17">
        <v>2.0112200847106241</v>
      </c>
      <c r="BV21" s="17">
        <v>2.153363084896077</v>
      </c>
      <c r="BW21" s="17">
        <v>2.0066838879603459</v>
      </c>
      <c r="BX21" s="17">
        <v>2.0036930686759322</v>
      </c>
      <c r="BY21" s="17">
        <v>1.9533132174578149</v>
      </c>
      <c r="BZ21" s="17">
        <v>2.0009761461785311</v>
      </c>
      <c r="CA21" s="17">
        <v>1.9404585428761321</v>
      </c>
      <c r="CB21" s="17">
        <v>1.8770371516778741</v>
      </c>
      <c r="CC21" s="17">
        <v>1.830343602208911</v>
      </c>
      <c r="CD21" s="17">
        <v>2.118399666571384</v>
      </c>
      <c r="CE21" s="17">
        <v>2.1799141665713839</v>
      </c>
      <c r="CF21" s="17">
        <v>2.0527461665713842</v>
      </c>
      <c r="CG21" s="17">
        <v>1.9089949774136981</v>
      </c>
      <c r="CH21" s="17">
        <v>1.98909529848991</v>
      </c>
      <c r="CI21" s="17">
        <v>1.9085956820989269</v>
      </c>
      <c r="CJ21" s="17">
        <v>1.8229679250824249</v>
      </c>
      <c r="CK21" s="17">
        <v>1.9500184718125591</v>
      </c>
      <c r="CL21" s="17">
        <v>1.816128047189594</v>
      </c>
      <c r="CM21" s="17">
        <v>1.6998977971895941</v>
      </c>
      <c r="CN21" s="17">
        <v>1.7304366873933701</v>
      </c>
      <c r="CO21" s="17">
        <v>2.0659196873933698</v>
      </c>
      <c r="CP21" s="17">
        <v>1.96966693739337</v>
      </c>
      <c r="CQ21" s="17">
        <v>1.972955029118461</v>
      </c>
      <c r="CR21" s="17">
        <v>2.0637793070981401</v>
      </c>
      <c r="CS21" s="17">
        <v>2.0946865570981399</v>
      </c>
      <c r="CT21" s="17">
        <v>2.1426813070981399</v>
      </c>
      <c r="CU21" s="17">
        <v>2.1446785570981399</v>
      </c>
      <c r="CV21" s="17">
        <v>2.2763063070981402</v>
      </c>
      <c r="CW21" s="17">
        <v>2.2455535570981402</v>
      </c>
      <c r="CX21" s="17">
        <v>2.2589523070981401</v>
      </c>
      <c r="CY21" s="17">
        <v>2.2504703906942249</v>
      </c>
      <c r="CZ21" s="17">
        <v>2.4407671406942248</v>
      </c>
      <c r="DA21" s="17">
        <v>2.4824768906942252</v>
      </c>
      <c r="DB21" s="17">
        <v>2.5539363906942252</v>
      </c>
      <c r="DC21" s="17">
        <v>2.602246390694225</v>
      </c>
      <c r="DD21" s="17">
        <v>2.723569079562874</v>
      </c>
      <c r="DE21" s="17">
        <v>2.668850079562874</v>
      </c>
      <c r="DF21" s="17">
        <v>2.9700018295628738</v>
      </c>
      <c r="DG21" s="17">
        <v>2.9105910795628742</v>
      </c>
      <c r="DH21" s="17">
        <v>2.992028079562874</v>
      </c>
      <c r="DI21" s="17">
        <v>3.171868079562874</v>
      </c>
      <c r="DJ21" s="17">
        <v>3.2451713295628739</v>
      </c>
      <c r="DK21" s="17">
        <v>3.1542780795628742</v>
      </c>
      <c r="DL21" s="17">
        <v>3.1864858295628742</v>
      </c>
      <c r="DM21" s="17">
        <v>3.211474079562874</v>
      </c>
      <c r="DN21" s="17">
        <v>3.1646023295628729</v>
      </c>
      <c r="DO21" s="17">
        <v>3.496228579562874</v>
      </c>
      <c r="DP21" s="17">
        <v>3.4591218295628741</v>
      </c>
      <c r="DQ21" s="17">
        <v>3.430906579562873</v>
      </c>
      <c r="DR21" s="17">
        <v>3.4810774385999541</v>
      </c>
      <c r="DS21" s="17">
        <v>3.2802379647626592</v>
      </c>
      <c r="DT21" s="17">
        <v>3.2705284647626591</v>
      </c>
      <c r="DU21" s="17">
        <v>3.121913714762659</v>
      </c>
      <c r="DV21" s="17">
        <v>3.072252714762659</v>
      </c>
      <c r="DW21" s="17">
        <v>2.968716714762659</v>
      </c>
      <c r="DX21" s="17">
        <v>3.0832314647626591</v>
      </c>
      <c r="DY21" s="17">
        <v>3.249961464762658</v>
      </c>
      <c r="DZ21" s="17">
        <v>3.3488914647626591</v>
      </c>
      <c r="EA21" s="17">
        <v>3.614949214762659</v>
      </c>
      <c r="EB21" s="17">
        <v>3.511651214762658</v>
      </c>
      <c r="EC21" s="17">
        <v>3.5256882698607011</v>
      </c>
      <c r="ED21" s="17">
        <v>3.4711894135125201</v>
      </c>
      <c r="EE21" s="17">
        <v>3.4498794135125199</v>
      </c>
      <c r="EF21" s="17">
        <v>3.47867391351252</v>
      </c>
    </row>
    <row r="22" spans="1:136">
      <c r="A22" s="2"/>
      <c r="B22" s="2" t="s">
        <v>195</v>
      </c>
      <c r="C22" s="17">
        <v>0.20528299999999999</v>
      </c>
      <c r="D22" s="17">
        <v>0.16060210309651349</v>
      </c>
      <c r="E22" s="17">
        <v>0.11957457109589439</v>
      </c>
      <c r="F22" s="17">
        <v>2.214057551690796E-2</v>
      </c>
      <c r="G22" s="17">
        <v>-1.081424873289066E-2</v>
      </c>
      <c r="H22" s="17">
        <v>0.16793521475473219</v>
      </c>
      <c r="I22" s="17">
        <v>0.29142838409280197</v>
      </c>
      <c r="J22" s="17">
        <v>0.34402697335814492</v>
      </c>
      <c r="K22" s="17">
        <v>0.19074020270363559</v>
      </c>
      <c r="L22" s="17">
        <v>0.3619235621295368</v>
      </c>
      <c r="M22" s="17">
        <v>0.1367649570659551</v>
      </c>
      <c r="N22" s="17">
        <v>0.27004537608920159</v>
      </c>
      <c r="O22" s="17">
        <v>0.41352572209347399</v>
      </c>
      <c r="P22" s="17">
        <v>0.34074283796465699</v>
      </c>
      <c r="Q22" s="17">
        <v>6.3965944131605168E-2</v>
      </c>
      <c r="R22" s="17">
        <v>2.7337509860017119E-2</v>
      </c>
      <c r="S22" s="17">
        <v>-0.14230904569792349</v>
      </c>
      <c r="T22" s="17">
        <v>-0.1625476581747575</v>
      </c>
      <c r="U22" s="17">
        <v>-0.2731376815772617</v>
      </c>
      <c r="V22" s="17">
        <v>-0.23485090505740619</v>
      </c>
      <c r="W22" s="17">
        <v>-2.73706380331088E-2</v>
      </c>
      <c r="X22" s="17">
        <v>0.18752940969645621</v>
      </c>
      <c r="Y22" s="17">
        <v>0.20326161810997731</v>
      </c>
      <c r="Z22" s="17">
        <v>0.27880988725582329</v>
      </c>
      <c r="AA22" s="17">
        <v>0.28585790414267997</v>
      </c>
      <c r="AB22" s="17">
        <v>0.42029411685600548</v>
      </c>
      <c r="AC22" s="17">
        <v>0.49471449769643289</v>
      </c>
      <c r="AD22" s="17">
        <v>0.50718180036700544</v>
      </c>
      <c r="AE22" s="17">
        <v>0.27856068876063123</v>
      </c>
      <c r="AF22" s="17">
        <v>0.32574300491865538</v>
      </c>
      <c r="AG22" s="17">
        <v>0.37858454509438932</v>
      </c>
      <c r="AH22" s="17">
        <v>0.37907121176105602</v>
      </c>
      <c r="AI22" s="17">
        <v>0.49007587842772271</v>
      </c>
      <c r="AJ22" s="17">
        <v>0.50315721176105599</v>
      </c>
      <c r="AK22" s="17">
        <v>0.60444577250145171</v>
      </c>
      <c r="AL22" s="17">
        <v>0.64478673930835206</v>
      </c>
      <c r="AM22" s="17">
        <v>0.72887564277605565</v>
      </c>
      <c r="AN22" s="17">
        <v>0.84000845243961497</v>
      </c>
      <c r="AO22" s="17">
        <v>0.91472582583332063</v>
      </c>
      <c r="AP22" s="17">
        <v>0.8521894719453279</v>
      </c>
      <c r="AQ22" s="17">
        <v>0.93161558942392109</v>
      </c>
      <c r="AR22" s="17">
        <v>1.1821482675823041</v>
      </c>
      <c r="AS22" s="17">
        <v>1.34673893424897</v>
      </c>
      <c r="AT22" s="17">
        <v>1.321602572408944</v>
      </c>
      <c r="AU22" s="17">
        <v>1.3551030243198141</v>
      </c>
      <c r="AV22" s="17">
        <v>1.2952898476439341</v>
      </c>
      <c r="AW22" s="17">
        <v>1.265140458436925</v>
      </c>
      <c r="AX22" s="17">
        <v>1.4389038584169489</v>
      </c>
      <c r="AY22" s="17">
        <v>1.510637243751179</v>
      </c>
      <c r="AZ22" s="17">
        <v>1.355733465430027</v>
      </c>
      <c r="BA22" s="17">
        <v>1.3101350402625651</v>
      </c>
      <c r="BB22" s="17">
        <v>1.612064984802988</v>
      </c>
      <c r="BC22" s="17">
        <v>1.4812280466800329</v>
      </c>
      <c r="BD22" s="17">
        <v>1.4590538652142051</v>
      </c>
      <c r="BE22" s="17">
        <v>1.4812700486086849</v>
      </c>
      <c r="BF22" s="17">
        <v>1.4949088659470049</v>
      </c>
      <c r="BG22" s="17">
        <v>1.541188378115391</v>
      </c>
      <c r="BH22" s="17">
        <v>1.413227835777259</v>
      </c>
      <c r="BI22" s="17">
        <v>1.524316555187166</v>
      </c>
      <c r="BJ22" s="17">
        <v>1.579312970337887</v>
      </c>
      <c r="BK22" s="17">
        <v>1.537473334404222</v>
      </c>
      <c r="BL22" s="17">
        <v>1.699253673475257</v>
      </c>
      <c r="BM22" s="17">
        <v>1.8910507129313039</v>
      </c>
      <c r="BN22" s="17">
        <v>1.973985046264638</v>
      </c>
      <c r="BO22" s="17">
        <v>1.9235006171518869</v>
      </c>
      <c r="BP22" s="17">
        <v>1.9983361673069939</v>
      </c>
      <c r="BQ22" s="17">
        <v>2.026166264705306</v>
      </c>
      <c r="BR22" s="17">
        <v>2.0469798741717589</v>
      </c>
      <c r="BS22" s="17">
        <v>2.0306070917949599</v>
      </c>
      <c r="BT22" s="17">
        <v>2.1611377951315069</v>
      </c>
      <c r="BU22" s="17">
        <v>1.948189028993496</v>
      </c>
      <c r="BV22" s="17">
        <v>2.1067330013911052</v>
      </c>
      <c r="BW22" s="17">
        <v>1.932064503463498</v>
      </c>
      <c r="BX22" s="17">
        <v>1.96870194915547</v>
      </c>
      <c r="BY22" s="17">
        <v>1.9639551627527361</v>
      </c>
      <c r="BZ22" s="17">
        <v>2.0112128986156281</v>
      </c>
      <c r="CA22" s="17">
        <v>1.983722820135305</v>
      </c>
      <c r="CB22" s="17">
        <v>1.8347295418893781</v>
      </c>
      <c r="CC22" s="17">
        <v>1.819743838451221</v>
      </c>
      <c r="CD22" s="17">
        <v>2.1536218751639442</v>
      </c>
      <c r="CE22" s="17">
        <v>2.2204618751639442</v>
      </c>
      <c r="CF22" s="17">
        <v>2.064891208497277</v>
      </c>
      <c r="CG22" s="17">
        <v>1.8616281162946899</v>
      </c>
      <c r="CH22" s="17">
        <v>1.9775468875741391</v>
      </c>
      <c r="CI22" s="17">
        <v>1.859767141295779</v>
      </c>
      <c r="CJ22" s="17">
        <v>1.756387636206217</v>
      </c>
      <c r="CK22" s="17">
        <v>1.7925509788108991</v>
      </c>
      <c r="CL22" s="17">
        <v>1.5518991801858579</v>
      </c>
      <c r="CM22" s="17">
        <v>1.332069180185858</v>
      </c>
      <c r="CN22" s="17">
        <v>1.3235224083649511</v>
      </c>
      <c r="CO22" s="17">
        <v>1.5955814083649511</v>
      </c>
      <c r="CP22" s="17">
        <v>1.5142597416982839</v>
      </c>
      <c r="CQ22" s="17">
        <v>1.50192596237262</v>
      </c>
      <c r="CR22" s="17">
        <v>1.663776383674012</v>
      </c>
      <c r="CS22" s="17">
        <v>1.6882157170073451</v>
      </c>
      <c r="CT22" s="17">
        <v>1.7264803836740119</v>
      </c>
      <c r="CU22" s="17">
        <v>1.7530610503406781</v>
      </c>
      <c r="CV22" s="17">
        <v>1.936106383674012</v>
      </c>
      <c r="CW22" s="17">
        <v>1.9226063836740119</v>
      </c>
      <c r="CX22" s="17">
        <v>1.9698947170073451</v>
      </c>
      <c r="CY22" s="17">
        <v>1.9619058912338361</v>
      </c>
      <c r="CZ22" s="17">
        <v>2.168602891233836</v>
      </c>
      <c r="DA22" s="17">
        <v>2.201056891233836</v>
      </c>
      <c r="DB22" s="17">
        <v>2.2550975579005028</v>
      </c>
      <c r="DC22" s="17">
        <v>2.3274408912338358</v>
      </c>
      <c r="DD22" s="17">
        <v>2.4753349938066398</v>
      </c>
      <c r="DE22" s="17">
        <v>2.3419793271399731</v>
      </c>
      <c r="DF22" s="17">
        <v>2.731647327139973</v>
      </c>
      <c r="DG22" s="17">
        <v>2.6597563271399731</v>
      </c>
      <c r="DH22" s="17">
        <v>2.741211660473307</v>
      </c>
      <c r="DI22" s="17">
        <v>2.8013339938066402</v>
      </c>
      <c r="DJ22" s="17">
        <v>2.844111660473307</v>
      </c>
      <c r="DK22" s="17">
        <v>2.7526839938066399</v>
      </c>
      <c r="DL22" s="17">
        <v>2.7743643271399732</v>
      </c>
      <c r="DM22" s="17">
        <v>2.8062486604733059</v>
      </c>
      <c r="DN22" s="17">
        <v>2.723078327139973</v>
      </c>
      <c r="DO22" s="17">
        <v>2.7987936604733061</v>
      </c>
      <c r="DP22" s="17">
        <v>2.6936946604733061</v>
      </c>
      <c r="DQ22" s="17">
        <v>2.6418453271399729</v>
      </c>
      <c r="DR22" s="17">
        <v>2.6357527745246552</v>
      </c>
      <c r="DS22" s="17">
        <v>2.438701852962295</v>
      </c>
      <c r="DT22" s="17">
        <v>2.3950195196289621</v>
      </c>
      <c r="DU22" s="17">
        <v>2.2334738529622959</v>
      </c>
      <c r="DV22" s="17">
        <v>2.286845852962295</v>
      </c>
      <c r="DW22" s="17">
        <v>2.205429852962296</v>
      </c>
      <c r="DX22" s="17">
        <v>2.382692852962295</v>
      </c>
      <c r="DY22" s="17">
        <v>2.502649186295629</v>
      </c>
      <c r="DZ22" s="17">
        <v>2.6134828529622949</v>
      </c>
      <c r="EA22" s="17">
        <v>2.7538391862956288</v>
      </c>
      <c r="EB22" s="17">
        <v>2.6109088529622961</v>
      </c>
      <c r="EC22" s="17">
        <v>2.6324039545379341</v>
      </c>
      <c r="ED22" s="17">
        <v>2.554990387480327</v>
      </c>
      <c r="EE22" s="17">
        <v>2.5073543874803268</v>
      </c>
      <c r="EF22" s="17">
        <v>2.5439470541469928</v>
      </c>
    </row>
    <row r="23" spans="1:136">
      <c r="A23" s="2"/>
      <c r="B23" s="2" t="s">
        <v>196</v>
      </c>
      <c r="C23" s="17">
        <v>0.28298899999999999</v>
      </c>
      <c r="D23" s="17">
        <v>0.25317833231457793</v>
      </c>
      <c r="E23" s="17">
        <v>0.17223715974390569</v>
      </c>
      <c r="F23" s="17">
        <v>3.0572250692004001E-2</v>
      </c>
      <c r="G23" s="17">
        <v>-2.1651923154494369E-2</v>
      </c>
      <c r="H23" s="17">
        <v>0.1820663847244807</v>
      </c>
      <c r="I23" s="17">
        <v>0.33021841332477481</v>
      </c>
      <c r="J23" s="17">
        <v>0.23205612217832239</v>
      </c>
      <c r="K23" s="17">
        <v>2.7566645706088799E-2</v>
      </c>
      <c r="L23" s="17">
        <v>8.1610175481687419E-2</v>
      </c>
      <c r="M23" s="17">
        <v>-0.18095917156565289</v>
      </c>
      <c r="N23" s="17">
        <v>-2.4539933929640101E-2</v>
      </c>
      <c r="O23" s="17">
        <v>0.18002444404336199</v>
      </c>
      <c r="P23" s="17">
        <v>8.9622732861236606E-2</v>
      </c>
      <c r="Q23" s="17">
        <v>0.14919074976175711</v>
      </c>
      <c r="R23" s="17">
        <v>9.2979606448502061E-2</v>
      </c>
      <c r="S23" s="17">
        <v>-2.0744926378760031E-2</v>
      </c>
      <c r="T23" s="17">
        <v>-2.1118295587238781E-2</v>
      </c>
      <c r="U23" s="17">
        <v>-0.11487571802803311</v>
      </c>
      <c r="V23" s="17">
        <v>-0.1379051751378243</v>
      </c>
      <c r="W23" s="17">
        <v>0.19371397511132021</v>
      </c>
      <c r="X23" s="17">
        <v>0.45779967007461753</v>
      </c>
      <c r="Y23" s="17">
        <v>0.47245947160510782</v>
      </c>
      <c r="Z23" s="17">
        <v>0.50549198704898302</v>
      </c>
      <c r="AA23" s="17">
        <v>0.51209827901845328</v>
      </c>
      <c r="AB23" s="17">
        <v>0.57613805889523673</v>
      </c>
      <c r="AC23" s="17">
        <v>0.65248439704207473</v>
      </c>
      <c r="AD23" s="17">
        <v>0.66749529739912217</v>
      </c>
      <c r="AE23" s="17">
        <v>0.33515104878659668</v>
      </c>
      <c r="AF23" s="17">
        <v>0.40205730887634789</v>
      </c>
      <c r="AG23" s="17">
        <v>0.49393096652270813</v>
      </c>
      <c r="AH23" s="17">
        <v>0.5312089665227081</v>
      </c>
      <c r="AI23" s="17">
        <v>0.74036096652270811</v>
      </c>
      <c r="AJ23" s="17">
        <v>0.76394796652270813</v>
      </c>
      <c r="AK23" s="17">
        <v>0.87805906586989912</v>
      </c>
      <c r="AL23" s="17">
        <v>1.009490779062435</v>
      </c>
      <c r="AM23" s="17">
        <v>1.0172602680673</v>
      </c>
      <c r="AN23" s="17">
        <v>1.2595749674246011</v>
      </c>
      <c r="AO23" s="17">
        <v>1.254238015233176</v>
      </c>
      <c r="AP23" s="17">
        <v>1.2573591145854821</v>
      </c>
      <c r="AQ23" s="17">
        <v>1.346784106845093</v>
      </c>
      <c r="AR23" s="17">
        <v>1.68352815069016</v>
      </c>
      <c r="AS23" s="17">
        <v>1.715697150690161</v>
      </c>
      <c r="AT23" s="17">
        <v>1.674269428876511</v>
      </c>
      <c r="AU23" s="17">
        <v>1.7074149550050151</v>
      </c>
      <c r="AV23" s="17">
        <v>1.679775960807641</v>
      </c>
      <c r="AW23" s="17">
        <v>1.6277490509692381</v>
      </c>
      <c r="AX23" s="17">
        <v>1.697587204796283</v>
      </c>
      <c r="AY23" s="17">
        <v>1.8678211856368649</v>
      </c>
      <c r="AZ23" s="17">
        <v>1.8040675682358041</v>
      </c>
      <c r="BA23" s="17">
        <v>1.8137143483159051</v>
      </c>
      <c r="BB23" s="17">
        <v>1.76266486421302</v>
      </c>
      <c r="BC23" s="17">
        <v>1.461836615039954</v>
      </c>
      <c r="BD23" s="17">
        <v>1.5566674963864049</v>
      </c>
      <c r="BE23" s="17">
        <v>1.4852367339891079</v>
      </c>
      <c r="BF23" s="17">
        <v>1.462389743384422</v>
      </c>
      <c r="BG23" s="17">
        <v>1.537151214581175</v>
      </c>
      <c r="BH23" s="17">
        <v>1.333667233225887</v>
      </c>
      <c r="BI23" s="17">
        <v>1.5247793125490861</v>
      </c>
      <c r="BJ23" s="17">
        <v>1.628782627817013</v>
      </c>
      <c r="BK23" s="17">
        <v>1.6308167361534911</v>
      </c>
      <c r="BL23" s="17">
        <v>1.7803510324037299</v>
      </c>
      <c r="BM23" s="17">
        <v>1.9695317191908841</v>
      </c>
      <c r="BN23" s="17">
        <v>2.0079817191908842</v>
      </c>
      <c r="BO23" s="17">
        <v>2.0445066609368832</v>
      </c>
      <c r="BP23" s="17">
        <v>2.1427730601483401</v>
      </c>
      <c r="BQ23" s="17">
        <v>2.2148209615836061</v>
      </c>
      <c r="BR23" s="17">
        <v>2.232665283047568</v>
      </c>
      <c r="BS23" s="17">
        <v>2.159389894389657</v>
      </c>
      <c r="BT23" s="17">
        <v>2.303039700415654</v>
      </c>
      <c r="BU23" s="17">
        <v>2.097351964569707</v>
      </c>
      <c r="BV23" s="17">
        <v>2.2108195329298961</v>
      </c>
      <c r="BW23" s="17">
        <v>2.0086671996542051</v>
      </c>
      <c r="BX23" s="17">
        <v>2.0004540799269521</v>
      </c>
      <c r="BY23" s="17">
        <v>1.990248387232604</v>
      </c>
      <c r="BZ23" s="17">
        <v>1.9979181496644489</v>
      </c>
      <c r="CA23" s="17">
        <v>1.9222649499178199</v>
      </c>
      <c r="CB23" s="17">
        <v>1.70465074692538</v>
      </c>
      <c r="CC23" s="17">
        <v>1.9296093744210601</v>
      </c>
      <c r="CD23" s="17">
        <v>2.1212858294358452</v>
      </c>
      <c r="CE23" s="17">
        <v>2.1808878294358451</v>
      </c>
      <c r="CF23" s="17">
        <v>1.9974573294358451</v>
      </c>
      <c r="CG23" s="17">
        <v>1.6042135415121681</v>
      </c>
      <c r="CH23" s="17">
        <v>1.7844099904335959</v>
      </c>
      <c r="CI23" s="17">
        <v>1.4745105733054991</v>
      </c>
      <c r="CJ23" s="17">
        <v>1.4546352057550891</v>
      </c>
      <c r="CK23" s="17">
        <v>1.5507522004830501</v>
      </c>
      <c r="CL23" s="17">
        <v>1.1420911878156319</v>
      </c>
      <c r="CM23" s="17">
        <v>0.90738618781563196</v>
      </c>
      <c r="CN23" s="17">
        <v>0.85438100944582873</v>
      </c>
      <c r="CO23" s="17">
        <v>1.1205385094458289</v>
      </c>
      <c r="CP23" s="17">
        <v>1.000821009445829</v>
      </c>
      <c r="CQ23" s="17">
        <v>0.99163726494602289</v>
      </c>
      <c r="CR23" s="17">
        <v>1.003235068767101</v>
      </c>
      <c r="CS23" s="17">
        <v>1.072250068767101</v>
      </c>
      <c r="CT23" s="17">
        <v>1.137641568767102</v>
      </c>
      <c r="CU23" s="17">
        <v>1.1288655687671021</v>
      </c>
      <c r="CV23" s="17">
        <v>1.3307150687671021</v>
      </c>
      <c r="CW23" s="17">
        <v>1.3948800687671019</v>
      </c>
      <c r="CX23" s="17">
        <v>1.350630068767102</v>
      </c>
      <c r="CY23" s="17">
        <v>1.3726765995204799</v>
      </c>
      <c r="CZ23" s="17">
        <v>1.53868209952048</v>
      </c>
      <c r="DA23" s="17">
        <v>1.60332709952048</v>
      </c>
      <c r="DB23" s="17">
        <v>1.62207509952048</v>
      </c>
      <c r="DC23" s="17">
        <v>1.6944900995204799</v>
      </c>
      <c r="DD23" s="17">
        <v>1.9079011439274769</v>
      </c>
      <c r="DE23" s="17">
        <v>1.7664566439274769</v>
      </c>
      <c r="DF23" s="17">
        <v>2.1752541439274768</v>
      </c>
      <c r="DG23" s="17">
        <v>2.1076316439274771</v>
      </c>
      <c r="DH23" s="17">
        <v>2.2468596439274768</v>
      </c>
      <c r="DI23" s="17">
        <v>2.3429006439274769</v>
      </c>
      <c r="DJ23" s="17">
        <v>2.3090776439274769</v>
      </c>
      <c r="DK23" s="17">
        <v>2.2178341439274769</v>
      </c>
      <c r="DL23" s="17">
        <v>2.161228143927477</v>
      </c>
      <c r="DM23" s="17">
        <v>2.2077051439274769</v>
      </c>
      <c r="DN23" s="17">
        <v>2.089505143927477</v>
      </c>
      <c r="DO23" s="17">
        <v>2.2135731439274768</v>
      </c>
      <c r="DP23" s="17">
        <v>2.175169643927477</v>
      </c>
      <c r="DQ23" s="17">
        <v>2.054039143927477</v>
      </c>
      <c r="DR23" s="17">
        <v>1.9641531411961699</v>
      </c>
      <c r="DS23" s="17">
        <v>1.6760565642771239</v>
      </c>
      <c r="DT23" s="17">
        <v>1.6218060642771239</v>
      </c>
      <c r="DU23" s="17">
        <v>1.5661680642771241</v>
      </c>
      <c r="DV23" s="17">
        <v>1.574301064277124</v>
      </c>
      <c r="DW23" s="17">
        <v>1.5973535642771239</v>
      </c>
      <c r="DX23" s="17">
        <v>1.916802064277124</v>
      </c>
      <c r="DY23" s="17">
        <v>1.862877064277124</v>
      </c>
      <c r="DZ23" s="17">
        <v>1.6457020642771241</v>
      </c>
      <c r="EA23" s="17">
        <v>1.6169450642771239</v>
      </c>
      <c r="EB23" s="17">
        <v>1.4787165642771241</v>
      </c>
      <c r="EC23" s="17">
        <v>1.442132247951311</v>
      </c>
      <c r="ED23" s="17">
        <v>1.3507063433315301</v>
      </c>
      <c r="EE23" s="17">
        <v>1.2814953433315299</v>
      </c>
      <c r="EF23" s="17">
        <v>1.37490934333153</v>
      </c>
    </row>
    <row r="24" spans="1:136">
      <c r="A24" s="2"/>
      <c r="B24" s="2" t="s">
        <v>197</v>
      </c>
      <c r="C24" s="17">
        <v>9.9113000000000007E-2</v>
      </c>
      <c r="D24" s="17">
        <v>-4.9360099724128914E-3</v>
      </c>
      <c r="E24" s="17">
        <v>6.6464320196884016E-2</v>
      </c>
      <c r="F24" s="17">
        <v>-0.16069522643986481</v>
      </c>
      <c r="G24" s="17">
        <v>6.5064796617707615E-2</v>
      </c>
      <c r="H24" s="17">
        <v>0.31175152510827742</v>
      </c>
      <c r="I24" s="17">
        <v>0.3096395919051339</v>
      </c>
      <c r="J24" s="17">
        <v>0.20966739899499781</v>
      </c>
      <c r="K24" s="17">
        <v>0.18815212064003761</v>
      </c>
      <c r="L24" s="17">
        <v>0.28377537114871981</v>
      </c>
      <c r="M24" s="17">
        <v>-0.17925217305141869</v>
      </c>
      <c r="N24" s="17">
        <v>-3.5121720650985511E-2</v>
      </c>
      <c r="O24" s="17">
        <v>0.20018747275443749</v>
      </c>
      <c r="P24" s="17">
        <v>9.5939058345437991E-2</v>
      </c>
      <c r="Q24" s="17">
        <v>0.15690401999214429</v>
      </c>
      <c r="R24" s="17">
        <v>-8.8793350787115449E-2</v>
      </c>
      <c r="S24" s="17">
        <v>-0.44130781184727991</v>
      </c>
      <c r="T24" s="17">
        <v>-0.31761676775549058</v>
      </c>
      <c r="U24" s="17">
        <v>-0.46613544197940859</v>
      </c>
      <c r="V24" s="17">
        <v>-0.53327474481703718</v>
      </c>
      <c r="W24" s="17">
        <v>-3.7562758861094558E-2</v>
      </c>
      <c r="X24" s="17">
        <v>8.0459673644909344E-2</v>
      </c>
      <c r="Y24" s="17">
        <v>8.9936688571326431E-2</v>
      </c>
      <c r="Z24" s="17">
        <v>0.19577901585013341</v>
      </c>
      <c r="AA24" s="17">
        <v>0.20932678408771069</v>
      </c>
      <c r="AB24" s="17">
        <v>0.40466640676295451</v>
      </c>
      <c r="AC24" s="17">
        <v>0.53004678753891954</v>
      </c>
      <c r="AD24" s="17">
        <v>0.5378686264315492</v>
      </c>
      <c r="AE24" s="17">
        <v>-3.3894948147320521E-3</v>
      </c>
      <c r="AF24" s="17">
        <v>1.913251522005845E-2</v>
      </c>
      <c r="AG24" s="17">
        <v>0.15786823284669599</v>
      </c>
      <c r="AH24" s="17">
        <v>8.9251232846696046E-2</v>
      </c>
      <c r="AI24" s="17">
        <v>0.39966523284669608</v>
      </c>
      <c r="AJ24" s="17">
        <v>0.48510023284669612</v>
      </c>
      <c r="AK24" s="17">
        <v>0.56998418591488842</v>
      </c>
      <c r="AL24" s="17">
        <v>0.51530725042425307</v>
      </c>
      <c r="AM24" s="17">
        <v>0.49638796900372639</v>
      </c>
      <c r="AN24" s="17">
        <v>0.71757743414915764</v>
      </c>
      <c r="AO24" s="17">
        <v>0.78366754597814769</v>
      </c>
      <c r="AP24" s="17">
        <v>0.76081583048905133</v>
      </c>
      <c r="AQ24" s="17">
        <v>0.80789280332329705</v>
      </c>
      <c r="AR24" s="17">
        <v>0.81753205993090405</v>
      </c>
      <c r="AS24" s="17">
        <v>1.055364059930904</v>
      </c>
      <c r="AT24" s="17">
        <v>1.085823267415613</v>
      </c>
      <c r="AU24" s="17">
        <v>1.1299185872808371</v>
      </c>
      <c r="AV24" s="17">
        <v>1.0427666350939411</v>
      </c>
      <c r="AW24" s="17">
        <v>1.04775417660498</v>
      </c>
      <c r="AX24" s="17">
        <v>1.0760603631934049</v>
      </c>
      <c r="AY24" s="17">
        <v>1.2441876570782939</v>
      </c>
      <c r="AZ24" s="17">
        <v>1.2820547306779591</v>
      </c>
      <c r="BA24" s="17">
        <v>1.228259998593326</v>
      </c>
      <c r="BB24" s="17">
        <v>1.142100965197991</v>
      </c>
      <c r="BC24" s="17">
        <v>0.33888495215361381</v>
      </c>
      <c r="BD24" s="17">
        <v>0.52448017140004899</v>
      </c>
      <c r="BE24" s="17">
        <v>0.47841581736836208</v>
      </c>
      <c r="BF24" s="17">
        <v>0.56606715342245439</v>
      </c>
      <c r="BG24" s="17">
        <v>0.59290311928876527</v>
      </c>
      <c r="BH24" s="17">
        <v>0.20664778237523029</v>
      </c>
      <c r="BI24" s="17">
        <v>0.43027688844527739</v>
      </c>
      <c r="BJ24" s="17">
        <v>0.43362520420016198</v>
      </c>
      <c r="BK24" s="17">
        <v>0.43764875109444817</v>
      </c>
      <c r="BL24" s="17">
        <v>0.7548130450191648</v>
      </c>
      <c r="BM24" s="17">
        <v>0.76628606413690192</v>
      </c>
      <c r="BN24" s="17">
        <v>0.8751970641369019</v>
      </c>
      <c r="BO24" s="17">
        <v>0.71408737304126002</v>
      </c>
      <c r="BP24" s="17">
        <v>0.83743855417058188</v>
      </c>
      <c r="BQ24" s="17">
        <v>0.77326892084046683</v>
      </c>
      <c r="BR24" s="17">
        <v>0.81562514414388454</v>
      </c>
      <c r="BS24" s="17">
        <v>0.81434042665942763</v>
      </c>
      <c r="BT24" s="17">
        <v>0.9306111227136149</v>
      </c>
      <c r="BU24" s="17">
        <v>0.7022844911536742</v>
      </c>
      <c r="BV24" s="17">
        <v>0.81001294504165711</v>
      </c>
      <c r="BW24" s="17">
        <v>0.74817706140606399</v>
      </c>
      <c r="BX24" s="17">
        <v>0.61521700569560622</v>
      </c>
      <c r="BY24" s="17">
        <v>0.72496267486302357</v>
      </c>
      <c r="BZ24" s="17">
        <v>0.98385557371302046</v>
      </c>
      <c r="CA24" s="17">
        <v>0.8686338929396058</v>
      </c>
      <c r="CB24" s="17">
        <v>1.077395867227475</v>
      </c>
      <c r="CC24" s="17">
        <v>1.517250379494409</v>
      </c>
      <c r="CD24" s="17">
        <v>1.661556690236603</v>
      </c>
      <c r="CE24" s="17">
        <v>1.827121690236603</v>
      </c>
      <c r="CF24" s="17">
        <v>1.661991690236603</v>
      </c>
      <c r="CG24" s="17">
        <v>1.3381737112175429</v>
      </c>
      <c r="CH24" s="17">
        <v>1.6924510080600459</v>
      </c>
      <c r="CI24" s="17">
        <v>2.02090282876931</v>
      </c>
      <c r="CJ24" s="17">
        <v>2.0340123141887299</v>
      </c>
      <c r="CK24" s="17">
        <v>2.127542393504426</v>
      </c>
      <c r="CL24" s="17">
        <v>2.269297726876967</v>
      </c>
      <c r="CM24" s="17">
        <v>1.6328577268769671</v>
      </c>
      <c r="CN24" s="17">
        <v>1.5251189604197539</v>
      </c>
      <c r="CO24" s="17">
        <v>1.977592960419754</v>
      </c>
      <c r="CP24" s="17">
        <v>1.728255960419754</v>
      </c>
      <c r="CQ24" s="17">
        <v>1.8429431342830509</v>
      </c>
      <c r="CR24" s="17">
        <v>1.9040279725226079</v>
      </c>
      <c r="CS24" s="17">
        <v>1.8771699725226081</v>
      </c>
      <c r="CT24" s="17">
        <v>1.7576279725226081</v>
      </c>
      <c r="CU24" s="17">
        <v>1.751325972522608</v>
      </c>
      <c r="CV24" s="17">
        <v>2.112801972522607</v>
      </c>
      <c r="CW24" s="17">
        <v>2.1112119725226068</v>
      </c>
      <c r="CX24" s="17">
        <v>2.163981972522607</v>
      </c>
      <c r="CY24" s="17">
        <v>2.0839150678857892</v>
      </c>
      <c r="CZ24" s="17">
        <v>2.4065060678857888</v>
      </c>
      <c r="DA24" s="17">
        <v>2.4404860678857889</v>
      </c>
      <c r="DB24" s="17">
        <v>2.4239860678857892</v>
      </c>
      <c r="DC24" s="17">
        <v>2.6035360678857891</v>
      </c>
      <c r="DD24" s="17">
        <v>2.7569174486248951</v>
      </c>
      <c r="DE24" s="17">
        <v>2.450278448624895</v>
      </c>
      <c r="DF24" s="17">
        <v>2.975866448624894</v>
      </c>
      <c r="DG24" s="17">
        <v>2.856321448624894</v>
      </c>
      <c r="DH24" s="17">
        <v>3.1221264486248939</v>
      </c>
      <c r="DI24" s="17">
        <v>3.1593114486248939</v>
      </c>
      <c r="DJ24" s="17">
        <v>3.1803914486248939</v>
      </c>
      <c r="DK24" s="17">
        <v>3.0607124486248942</v>
      </c>
      <c r="DL24" s="17">
        <v>3.0289634486248942</v>
      </c>
      <c r="DM24" s="17">
        <v>3.0293734486248942</v>
      </c>
      <c r="DN24" s="17">
        <v>2.880343448624894</v>
      </c>
      <c r="DO24" s="17">
        <v>2.995958448624894</v>
      </c>
      <c r="DP24" s="17">
        <v>2.8516314486248939</v>
      </c>
      <c r="DQ24" s="17">
        <v>2.801145448624895</v>
      </c>
      <c r="DR24" s="17">
        <v>2.7806298184128648</v>
      </c>
      <c r="DS24" s="17">
        <v>2.5643682773800198</v>
      </c>
      <c r="DT24" s="17">
        <v>2.4896352773800201</v>
      </c>
      <c r="DU24" s="17">
        <v>2.5114172773800201</v>
      </c>
      <c r="DV24" s="17">
        <v>2.609464277380019</v>
      </c>
      <c r="DW24" s="17">
        <v>2.7106472773800192</v>
      </c>
      <c r="DX24" s="17">
        <v>2.9965762773800191</v>
      </c>
      <c r="DY24" s="17">
        <v>2.9933362773800192</v>
      </c>
      <c r="DZ24" s="17">
        <v>2.5598262773800191</v>
      </c>
      <c r="EA24" s="17">
        <v>2.504909277380019</v>
      </c>
      <c r="EB24" s="17">
        <v>2.3956782773800191</v>
      </c>
      <c r="EC24" s="17">
        <v>2.3813683586093402</v>
      </c>
      <c r="ED24" s="17">
        <v>2.3251955133109781</v>
      </c>
      <c r="EE24" s="17">
        <v>2.217713513310978</v>
      </c>
      <c r="EF24" s="17">
        <v>2.3517985133109778</v>
      </c>
    </row>
    <row r="25" spans="1:136">
      <c r="A25" s="2"/>
      <c r="B25" s="2" t="s">
        <v>145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topLeftCell="A10" zoomScale="178" workbookViewId="0">
      <selection activeCell="C22" sqref="C22"/>
    </sheetView>
  </sheetViews>
  <sheetFormatPr baseColWidth="10" defaultColWidth="8.83203125" defaultRowHeight="15"/>
  <cols>
    <col min="1" max="1" width="14.1640625" style="12" customWidth="1"/>
  </cols>
  <sheetData>
    <row r="1" spans="1:136">
      <c r="A1" t="s">
        <v>198</v>
      </c>
    </row>
    <row r="2" spans="1:136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</row>
    <row r="3" spans="1:136">
      <c r="B3" t="s">
        <v>136</v>
      </c>
      <c r="C3" s="7">
        <v>7.9040621616132428E-2</v>
      </c>
      <c r="D3" s="7">
        <v>0.17983518543162419</v>
      </c>
      <c r="E3" s="7">
        <v>1.5558542820582799E-2</v>
      </c>
      <c r="F3" s="7">
        <v>-2.1374203652038289E-2</v>
      </c>
      <c r="G3" s="7">
        <v>-8.0895058721012214E-3</v>
      </c>
      <c r="H3" s="7">
        <v>-1.5424142996262571E-2</v>
      </c>
      <c r="I3" s="7">
        <v>-0.1970079222252091</v>
      </c>
      <c r="J3" s="7">
        <v>0.27879379848666003</v>
      </c>
      <c r="K3" s="7">
        <v>-5.8042552738333253E-3</v>
      </c>
      <c r="L3" s="7">
        <v>-4.7625460802946967E-2</v>
      </c>
      <c r="M3" s="7">
        <v>-5.2692769603885914E-3</v>
      </c>
      <c r="N3" s="7">
        <v>-0.1907915725736046</v>
      </c>
      <c r="O3" s="7">
        <v>0.31104453537531868</v>
      </c>
      <c r="P3" s="7">
        <v>0.1137423411079562</v>
      </c>
      <c r="Q3" s="7">
        <v>-0.12249966541698799</v>
      </c>
      <c r="R3" s="7">
        <v>-0.1125772096752599</v>
      </c>
      <c r="S3" s="7">
        <v>0.1047628479068862</v>
      </c>
      <c r="T3" s="7">
        <v>-0.1451144301876503</v>
      </c>
      <c r="U3" s="7">
        <v>-0.26268964672070189</v>
      </c>
      <c r="V3" s="7">
        <v>2.009334481821196E-3</v>
      </c>
      <c r="W3" s="7">
        <v>0.12943264471598109</v>
      </c>
      <c r="X3" s="7">
        <v>-8.859040691762049E-2</v>
      </c>
      <c r="Y3" s="7">
        <v>0.27865156855692891</v>
      </c>
      <c r="Z3" s="7">
        <v>0.1034271724790103</v>
      </c>
      <c r="AA3" s="7">
        <v>0.48570701238273079</v>
      </c>
      <c r="AB3" s="7">
        <v>-0.23509490687265411</v>
      </c>
      <c r="AC3" s="7">
        <v>1.2145875696980829E-2</v>
      </c>
      <c r="AD3" s="7">
        <v>2.4576879822336362E-2</v>
      </c>
      <c r="AE3" s="7">
        <v>-6.1133662722790971E-3</v>
      </c>
      <c r="AF3" s="7">
        <v>-5.6971515948832707E-2</v>
      </c>
      <c r="AG3" s="7">
        <v>0.1202382386574528</v>
      </c>
      <c r="AH3" s="7">
        <v>4.4012260680666333E-2</v>
      </c>
      <c r="AI3" s="7">
        <v>0.16346824092386009</v>
      </c>
      <c r="AJ3" s="7">
        <v>6.8233888505041862E-2</v>
      </c>
      <c r="AK3" s="7">
        <v>8.7340318019473118E-2</v>
      </c>
      <c r="AL3" s="7">
        <v>0.18601906455501879</v>
      </c>
      <c r="AM3" s="7">
        <v>9.6461005928937582E-2</v>
      </c>
      <c r="AN3" s="7">
        <v>0.20788493486511331</v>
      </c>
      <c r="AO3" s="7">
        <v>0.11987464702588579</v>
      </c>
      <c r="AP3" s="7">
        <v>-2.8675104661629199E-2</v>
      </c>
      <c r="AQ3" s="7">
        <v>-0.2120280442754702</v>
      </c>
      <c r="AR3" s="7">
        <v>-3.2704510357730587E-2</v>
      </c>
      <c r="AS3" s="7">
        <v>0.14122641902805161</v>
      </c>
      <c r="AT3" s="7">
        <v>-3.4747272652197507E-2</v>
      </c>
      <c r="AU3" s="7">
        <v>4.5616594078816568E-2</v>
      </c>
      <c r="AV3" s="7">
        <v>2.2144326545282141E-2</v>
      </c>
      <c r="AW3" s="7">
        <v>-0.17266700355485989</v>
      </c>
      <c r="AX3" s="7">
        <v>7.5979339060004814E-2</v>
      </c>
      <c r="AY3" s="7">
        <v>9.1669895598312512E-3</v>
      </c>
      <c r="AZ3" s="7">
        <v>1.5811638424496791E-2</v>
      </c>
      <c r="BA3" s="7">
        <v>0.1596223887210684</v>
      </c>
      <c r="BB3" s="7">
        <v>-0.12355126364150031</v>
      </c>
      <c r="BC3" s="7">
        <v>0.15614706721655541</v>
      </c>
      <c r="BD3" s="7">
        <v>0.16786712695784009</v>
      </c>
      <c r="BE3" s="7">
        <v>-0.1307095148892152</v>
      </c>
      <c r="BF3" s="7">
        <v>1.004111774608712E-2</v>
      </c>
      <c r="BG3" s="7">
        <v>0.31562101483380489</v>
      </c>
      <c r="BH3" s="7">
        <v>0.27021360932664601</v>
      </c>
      <c r="BI3" s="7">
        <v>5.6087308194300967E-2</v>
      </c>
      <c r="BJ3" s="7">
        <v>-2.428144716888792E-3</v>
      </c>
      <c r="BK3" s="7">
        <v>7.9795011400059179E-2</v>
      </c>
      <c r="BL3" s="7">
        <v>-2.3464502785466301E-2</v>
      </c>
      <c r="BM3" s="7">
        <v>9.4115599855399634E-2</v>
      </c>
      <c r="BN3" s="7">
        <v>1.8770326613512078E-2</v>
      </c>
      <c r="BO3" s="7">
        <v>-0.14839887615687969</v>
      </c>
      <c r="BP3" s="7">
        <v>4.107337954030732E-2</v>
      </c>
      <c r="BQ3" s="7">
        <v>-8.3183003971063707E-2</v>
      </c>
      <c r="BR3" s="7">
        <v>0.21369643032545599</v>
      </c>
      <c r="BS3" s="7">
        <v>-6.8149447486198445E-2</v>
      </c>
      <c r="BT3" s="7">
        <v>0.14424087762590629</v>
      </c>
      <c r="BU3" s="7">
        <v>0.11401522994132141</v>
      </c>
      <c r="BV3" s="7">
        <v>4.801166723024719E-3</v>
      </c>
      <c r="BW3" s="7">
        <v>0.11476889041196631</v>
      </c>
      <c r="BX3" s="7">
        <v>-9.0964923920277552E-2</v>
      </c>
      <c r="BY3" s="7">
        <v>0.11808451667450549</v>
      </c>
      <c r="BZ3" s="7">
        <v>-0.1410200400283034</v>
      </c>
      <c r="CA3" s="7">
        <v>7.4952845793382461E-2</v>
      </c>
      <c r="CB3" s="7">
        <v>-0.17068809420813311</v>
      </c>
      <c r="CC3" s="7">
        <v>8.5908462508696548E-2</v>
      </c>
      <c r="CD3" s="7">
        <v>3.0939148675174891E-2</v>
      </c>
      <c r="CE3" s="7">
        <v>0.21825654845162559</v>
      </c>
      <c r="CF3" s="7">
        <v>-0.1410466608471542</v>
      </c>
      <c r="CG3" s="7">
        <v>0.1002648354568221</v>
      </c>
      <c r="CH3" s="7">
        <v>4.561217918655408E-2</v>
      </c>
      <c r="CI3" s="7">
        <v>9.0372406724707033E-2</v>
      </c>
      <c r="CJ3" s="7">
        <v>-0.39056585729995208</v>
      </c>
      <c r="CK3" s="7">
        <v>-0.1094505841467153</v>
      </c>
      <c r="CL3" s="7">
        <v>-4.349854958948618E-2</v>
      </c>
      <c r="CM3" s="7">
        <v>0.1846143777910941</v>
      </c>
      <c r="CN3" s="7">
        <v>-0.39777868940720429</v>
      </c>
      <c r="CO3" s="7">
        <v>-9.7839711643685545E-2</v>
      </c>
      <c r="CP3" s="7">
        <v>-9.426417275536908E-2</v>
      </c>
      <c r="CQ3" s="7">
        <v>0.1719508179227969</v>
      </c>
      <c r="CR3" s="7">
        <v>6.1937752450725032E-2</v>
      </c>
      <c r="CS3" s="7">
        <v>-4.6146612606264681E-2</v>
      </c>
      <c r="CT3" s="7">
        <v>-1.1541379756887181E-2</v>
      </c>
      <c r="CU3" s="7">
        <v>-3.3298799782413353E-2</v>
      </c>
      <c r="CV3" s="7">
        <v>-2.1859147285423371E-2</v>
      </c>
      <c r="CW3" s="7">
        <v>3.9730772293418759E-2</v>
      </c>
      <c r="CX3" s="7">
        <v>-5.4060803392226853E-2</v>
      </c>
      <c r="CY3" s="7">
        <v>2.687080278938447E-2</v>
      </c>
      <c r="CZ3" s="7">
        <v>9.8156222827321893E-2</v>
      </c>
      <c r="DA3" s="7">
        <v>0.31191401999076479</v>
      </c>
      <c r="DB3" s="7">
        <v>-0.1557252615503073</v>
      </c>
      <c r="DC3" s="7">
        <v>-0.1877698733748154</v>
      </c>
      <c r="DD3" s="7">
        <v>-0.16882595651231219</v>
      </c>
      <c r="DE3" s="7">
        <v>0.16874399575438129</v>
      </c>
      <c r="DF3" s="7">
        <v>-9.1094675706205552E-2</v>
      </c>
      <c r="DG3" s="7">
        <v>-7.6287293877835782E-2</v>
      </c>
      <c r="DH3" s="7">
        <v>7.0221693802381413E-3</v>
      </c>
      <c r="DI3" s="7">
        <v>-2.1000382633728498E-3</v>
      </c>
      <c r="DJ3" s="7">
        <v>-6.8286379709951939E-2</v>
      </c>
      <c r="DK3" s="7">
        <v>4.5815090263610248E-2</v>
      </c>
      <c r="DL3" s="7">
        <v>-5.8209946840535542E-2</v>
      </c>
      <c r="DM3" s="7">
        <v>-7.0753845764884304E-2</v>
      </c>
      <c r="DN3" s="7">
        <v>2.8209852005243619E-2</v>
      </c>
      <c r="DO3" s="7">
        <v>-7.0120490357447773E-2</v>
      </c>
      <c r="DP3" s="7">
        <v>0.1609671486675571</v>
      </c>
      <c r="DQ3" s="7">
        <v>0.15477541257526009</v>
      </c>
      <c r="DR3" s="7">
        <v>-0.1084011796207669</v>
      </c>
      <c r="DS3" s="7">
        <v>0.11315866159628871</v>
      </c>
      <c r="DT3" s="7">
        <v>-9.1924478693107325E-2</v>
      </c>
      <c r="DU3" s="7">
        <v>-6.6151009182965181E-2</v>
      </c>
      <c r="DV3" s="7">
        <v>-7.3979125425596259E-2</v>
      </c>
      <c r="DW3" s="7">
        <v>6.6618381751488459E-2</v>
      </c>
      <c r="DX3" s="7">
        <v>6.9180839339883643E-2</v>
      </c>
      <c r="DY3" s="7">
        <v>-0.1020143752545596</v>
      </c>
      <c r="DZ3" s="7">
        <v>0.26467995828442159</v>
      </c>
      <c r="EA3" s="7">
        <v>-8.9146065677995434E-2</v>
      </c>
      <c r="EB3" s="7">
        <v>0.19478075764446831</v>
      </c>
      <c r="EC3" s="7">
        <v>-2.9992963587027192E-2</v>
      </c>
      <c r="ED3" s="7">
        <v>2.8755087358344141E-2</v>
      </c>
      <c r="EE3" s="7">
        <v>-8.7170363159390307E-2</v>
      </c>
      <c r="EF3" s="7">
        <v>-2.107712607482665E-2</v>
      </c>
    </row>
    <row r="4" spans="1:136">
      <c r="B4" t="s">
        <v>137</v>
      </c>
      <c r="C4" s="7">
        <v>-0.2039249712326647</v>
      </c>
      <c r="D4" s="7">
        <v>-0.1964237658858288</v>
      </c>
      <c r="E4" s="7">
        <v>-0.25001562319789628</v>
      </c>
      <c r="F4" s="7">
        <v>4.6225301858132888E-2</v>
      </c>
      <c r="G4" s="7">
        <v>3.2330243247768557E-2</v>
      </c>
      <c r="H4" s="7">
        <v>-5.1603684781703407E-2</v>
      </c>
      <c r="I4" s="7">
        <v>-7.1932762783788462E-4</v>
      </c>
      <c r="J4" s="7">
        <v>4.7735584517047507E-2</v>
      </c>
      <c r="K4" s="7">
        <v>-0.10000933785236479</v>
      </c>
      <c r="L4" s="7">
        <v>-1.5861567150846408E-2</v>
      </c>
      <c r="M4" s="7">
        <v>-5.3940441895917957E-2</v>
      </c>
      <c r="N4" s="7">
        <v>-3.006128637493433E-2</v>
      </c>
      <c r="O4" s="7">
        <v>-0.1863663761089018</v>
      </c>
      <c r="P4" s="7">
        <v>3.0686804370747112E-2</v>
      </c>
      <c r="Q4" s="7">
        <v>9.6560631213524317E-2</v>
      </c>
      <c r="R4" s="7">
        <v>-9.3806844009220569E-2</v>
      </c>
      <c r="S4" s="7">
        <v>2.384641514176522E-2</v>
      </c>
      <c r="T4" s="7">
        <v>7.3443894560089262E-2</v>
      </c>
      <c r="U4" s="7">
        <v>6.8552151821030796E-3</v>
      </c>
      <c r="V4" s="7">
        <v>-2.2154839675355479E-2</v>
      </c>
      <c r="W4" s="7">
        <v>-7.0055171589089582E-3</v>
      </c>
      <c r="X4" s="7">
        <v>-0.1692982319172103</v>
      </c>
      <c r="Y4" s="7">
        <v>-0.23320259238128571</v>
      </c>
      <c r="Z4" s="7">
        <v>-1.0288574917018071E-2</v>
      </c>
      <c r="AA4" s="7">
        <v>-2.5866334724611311E-3</v>
      </c>
      <c r="AB4" s="7">
        <v>-0.1637843756315753</v>
      </c>
      <c r="AC4" s="7">
        <v>-6.4688800973662808E-2</v>
      </c>
      <c r="AD4" s="7">
        <v>-5.3477424616254148E-2</v>
      </c>
      <c r="AE4" s="7">
        <v>4.309073895244353E-2</v>
      </c>
      <c r="AF4" s="7">
        <v>8.0218323830894889E-2</v>
      </c>
      <c r="AG4" s="7">
        <v>-0.1002521131150758</v>
      </c>
      <c r="AH4" s="7">
        <v>0.1185404057803101</v>
      </c>
      <c r="AI4" s="7">
        <v>-8.6514098466683009E-2</v>
      </c>
      <c r="AJ4" s="7">
        <v>-9.6720591922766275E-2</v>
      </c>
      <c r="AK4" s="7">
        <v>7.714821270149308E-2</v>
      </c>
      <c r="AL4" s="7">
        <v>2.0174232134641201E-2</v>
      </c>
      <c r="AM4" s="7">
        <v>-6.7241324666724722E-3</v>
      </c>
      <c r="AN4" s="7">
        <v>1.122578986331213E-2</v>
      </c>
      <c r="AO4" s="7">
        <v>-4.4498439328666713E-2</v>
      </c>
      <c r="AP4" s="7">
        <v>7.9516907835369466E-2</v>
      </c>
      <c r="AQ4" s="7">
        <v>-9.1550116191305264E-2</v>
      </c>
      <c r="AR4" s="7">
        <v>0.1142424157596746</v>
      </c>
      <c r="AS4" s="7">
        <v>8.2448436759978705E-2</v>
      </c>
      <c r="AT4" s="7">
        <v>9.7249827762322383E-3</v>
      </c>
      <c r="AU4" s="7">
        <v>-3.4605903137480347E-2</v>
      </c>
      <c r="AV4" s="7">
        <v>-0.2174533789678712</v>
      </c>
      <c r="AW4" s="7">
        <v>5.2334484190899033E-2</v>
      </c>
      <c r="AX4" s="7">
        <v>1.384542021274626E-2</v>
      </c>
      <c r="AY4" s="7">
        <v>0.106382535700245</v>
      </c>
      <c r="AZ4" s="7">
        <v>1.573201072361563E-2</v>
      </c>
      <c r="BA4" s="7">
        <v>-0.15377072052847751</v>
      </c>
      <c r="BB4" s="7">
        <v>-0.25244423454125631</v>
      </c>
      <c r="BC4" s="7">
        <v>-0.14982873402575869</v>
      </c>
      <c r="BD4" s="7">
        <v>-2.2554321715718469E-2</v>
      </c>
      <c r="BE4" s="7">
        <v>-3.1285268658100662E-2</v>
      </c>
      <c r="BF4" s="7">
        <v>0.1240869826657605</v>
      </c>
      <c r="BG4" s="7">
        <v>-7.4642493295524304E-2</v>
      </c>
      <c r="BH4" s="7">
        <v>-6.4841754756111314E-2</v>
      </c>
      <c r="BI4" s="7">
        <v>1.8201446010561281E-2</v>
      </c>
      <c r="BJ4" s="7">
        <v>-0.15018846614211159</v>
      </c>
      <c r="BK4" s="7">
        <v>-5.9172596101159769E-2</v>
      </c>
      <c r="BL4" s="7">
        <v>-4.7948186331197462E-2</v>
      </c>
      <c r="BM4" s="7">
        <v>2.052177888404572E-2</v>
      </c>
      <c r="BN4" s="7">
        <v>4.0184826284235697E-2</v>
      </c>
      <c r="BO4" s="7">
        <v>4.4253141477314628E-2</v>
      </c>
      <c r="BP4" s="7">
        <v>8.2144881969639982E-2</v>
      </c>
      <c r="BQ4" s="7">
        <v>3.034994243067857E-2</v>
      </c>
      <c r="BR4" s="7">
        <v>-0.1178677152142722</v>
      </c>
      <c r="BS4" s="7">
        <v>-1.7435734218624429E-2</v>
      </c>
      <c r="BT4" s="7">
        <v>-3.4138675888959469E-2</v>
      </c>
      <c r="BU4" s="7">
        <v>-4.6293256972850472E-2</v>
      </c>
      <c r="BV4" s="7">
        <v>0.17074793581774189</v>
      </c>
      <c r="BW4" s="7">
        <v>-0.1002724725514543</v>
      </c>
      <c r="BX4" s="7">
        <v>-7.1039208889066785E-2</v>
      </c>
      <c r="BY4" s="7">
        <v>-0.17569208578460399</v>
      </c>
      <c r="BZ4" s="7">
        <v>8.5263289590539415E-2</v>
      </c>
      <c r="CA4" s="7">
        <v>1.455569009171143E-2</v>
      </c>
      <c r="CB4" s="7">
        <v>0.19268600459385959</v>
      </c>
      <c r="CC4" s="7">
        <v>-0.29881238545137911</v>
      </c>
      <c r="CD4" s="7">
        <v>-0.1349379461871649</v>
      </c>
      <c r="CE4" s="7">
        <v>-5.6657895268028113E-2</v>
      </c>
      <c r="CF4" s="7">
        <v>-0.11375971139280951</v>
      </c>
      <c r="CG4" s="7">
        <v>5.7622067517158371E-2</v>
      </c>
      <c r="CH4" s="7">
        <v>-4.001254466679427E-3</v>
      </c>
      <c r="CI4" s="7">
        <v>7.7424647921532141E-2</v>
      </c>
      <c r="CJ4" s="7">
        <v>2.6114056760381029E-2</v>
      </c>
      <c r="CK4" s="7">
        <v>-2.240001723672691E-2</v>
      </c>
      <c r="CL4" s="7">
        <v>-7.0095624035594994E-2</v>
      </c>
      <c r="CM4" s="7">
        <v>4.3436542483707541E-2</v>
      </c>
      <c r="CN4" s="7">
        <v>0.18690672157174859</v>
      </c>
      <c r="CO4" s="7">
        <v>4.446453202920253E-3</v>
      </c>
      <c r="CP4" s="7">
        <v>2.4151386485087301E-2</v>
      </c>
      <c r="CQ4" s="7">
        <v>-3.1460764321860069E-2</v>
      </c>
      <c r="CR4" s="7">
        <v>-0.29662338596077831</v>
      </c>
      <c r="CS4" s="7">
        <v>-0.27970336465505241</v>
      </c>
      <c r="CT4" s="7">
        <v>7.8684619263164279E-2</v>
      </c>
      <c r="CU4" s="7">
        <v>-0.11218630160750109</v>
      </c>
      <c r="CV4" s="7">
        <v>0.11296132499189331</v>
      </c>
      <c r="CW4" s="7">
        <v>-4.1031038792660013E-2</v>
      </c>
      <c r="CX4" s="7">
        <v>6.6400736315959108E-2</v>
      </c>
      <c r="CY4" s="7">
        <v>-0.17738472354507101</v>
      </c>
      <c r="CZ4" s="7">
        <v>-0.14025649491331291</v>
      </c>
      <c r="DA4" s="7">
        <v>-0.22065215831468171</v>
      </c>
      <c r="DB4" s="7">
        <v>-4.7530422130282801E-2</v>
      </c>
      <c r="DC4" s="7">
        <v>-0.1384211204142467</v>
      </c>
      <c r="DD4" s="7">
        <v>0.10113629887646169</v>
      </c>
      <c r="DE4" s="7">
        <v>4.5885478784697398E-2</v>
      </c>
      <c r="DF4" s="7">
        <v>4.9743559277015237E-2</v>
      </c>
      <c r="DG4" s="7">
        <v>-0.137130303806142</v>
      </c>
      <c r="DH4" s="7">
        <v>0.15813722836365329</v>
      </c>
      <c r="DI4" s="7">
        <v>-5.8844921242510402E-2</v>
      </c>
      <c r="DJ4" s="7">
        <v>-0.1256585188069437</v>
      </c>
      <c r="DK4" s="7">
        <v>-0.17054839142057079</v>
      </c>
      <c r="DL4" s="7">
        <v>8.7111231199973105E-2</v>
      </c>
      <c r="DM4" s="7">
        <v>0.22121757588715951</v>
      </c>
      <c r="DN4" s="7">
        <v>8.2980876911495471E-2</v>
      </c>
      <c r="DO4" s="7">
        <v>-3.4106922891275808E-2</v>
      </c>
      <c r="DP4" s="7">
        <v>-7.2756652210209438E-2</v>
      </c>
      <c r="DQ4" s="7">
        <v>-0.1680556719972266</v>
      </c>
      <c r="DR4" s="7">
        <v>-0.12816572962436371</v>
      </c>
      <c r="DS4" s="7">
        <v>-7.759167425624014E-2</v>
      </c>
      <c r="DT4" s="7">
        <v>-0.20203504768606001</v>
      </c>
      <c r="DU4" s="7">
        <v>-5.5486709118024891E-2</v>
      </c>
      <c r="DV4" s="7">
        <v>8.2663101688531526E-3</v>
      </c>
      <c r="DW4" s="7">
        <v>-1.40933401356591E-2</v>
      </c>
      <c r="DX4" s="7">
        <v>-9.0217886051373597E-2</v>
      </c>
      <c r="DY4" s="7">
        <v>9.7821812382289153E-2</v>
      </c>
      <c r="DZ4" s="7">
        <v>-0.12757008956569391</v>
      </c>
      <c r="EA4" s="7">
        <v>-0.1945089543306722</v>
      </c>
      <c r="EB4" s="7">
        <v>-0.31627292637508481</v>
      </c>
      <c r="EC4" s="7">
        <v>4.5255164501341483E-2</v>
      </c>
      <c r="ED4" s="7">
        <v>5.6017206552507297E-2</v>
      </c>
      <c r="EE4" s="7">
        <v>0.1196917374403057</v>
      </c>
      <c r="EF4" s="7">
        <v>0.24309353172991879</v>
      </c>
    </row>
    <row r="5" spans="1:136">
      <c r="B5" t="s">
        <v>138</v>
      </c>
      <c r="C5" s="7">
        <v>-0.20935361149472831</v>
      </c>
      <c r="D5" s="7">
        <v>-0.1072455023751924</v>
      </c>
      <c r="E5" s="7">
        <v>0.52501530683772435</v>
      </c>
      <c r="F5" s="7">
        <v>4.6823768151851013E-2</v>
      </c>
      <c r="G5" s="7">
        <v>-0.21046493626235849</v>
      </c>
      <c r="H5" s="7">
        <v>0.47449114813492221</v>
      </c>
      <c r="I5" s="7">
        <v>0.14680892480266791</v>
      </c>
      <c r="J5" s="7">
        <v>-5.6142242586696901E-2</v>
      </c>
      <c r="K5" s="7">
        <v>0.27557732059741852</v>
      </c>
      <c r="L5" s="7">
        <v>-0.429803895577967</v>
      </c>
      <c r="M5" s="7">
        <v>0.32349590077241003</v>
      </c>
      <c r="N5" s="7">
        <v>-0.34825072939559049</v>
      </c>
      <c r="O5" s="7">
        <v>-9.75267647927303E-2</v>
      </c>
      <c r="P5" s="7">
        <v>0.39540466236699251</v>
      </c>
      <c r="Q5" s="7">
        <v>4.8478108376362662E-2</v>
      </c>
      <c r="R5" s="7">
        <v>-9.8985600985133329E-2</v>
      </c>
      <c r="S5" s="7">
        <v>0.305793727896155</v>
      </c>
      <c r="T5" s="7">
        <v>7.2165930759538061E-2</v>
      </c>
      <c r="U5" s="7">
        <v>-4.9009230430883954E-4</v>
      </c>
      <c r="V5" s="7">
        <v>-0.13929554545575701</v>
      </c>
      <c r="W5" s="7">
        <v>-0.39469257513977751</v>
      </c>
      <c r="X5" s="7">
        <v>-0.12931156060545229</v>
      </c>
      <c r="Y5" s="7">
        <v>-0.68125891047001907</v>
      </c>
      <c r="Z5" s="7">
        <v>-4.1938156243548769E-3</v>
      </c>
      <c r="AA5" s="7">
        <v>1.8560125119517271E-2</v>
      </c>
      <c r="AB5" s="7">
        <v>0.20113094605220941</v>
      </c>
      <c r="AC5" s="7">
        <v>-8.9483378930757945E-2</v>
      </c>
      <c r="AD5" s="7">
        <v>0.1451410860629446</v>
      </c>
      <c r="AE5" s="7">
        <v>7.4624119096799141E-2</v>
      </c>
      <c r="AF5" s="7">
        <v>0.17580443763613759</v>
      </c>
      <c r="AG5" s="7">
        <v>-0.30331265835277282</v>
      </c>
      <c r="AH5" s="7">
        <v>-0.3483397071352336</v>
      </c>
      <c r="AI5" s="7">
        <v>0.25873608106819568</v>
      </c>
      <c r="AJ5" s="7">
        <v>-0.48879761544229228</v>
      </c>
      <c r="AK5" s="7">
        <v>0.13252874976468179</v>
      </c>
      <c r="AL5" s="7">
        <v>-2.3800153911279789E-2</v>
      </c>
      <c r="AM5" s="7">
        <v>1.173620113508929E-2</v>
      </c>
      <c r="AN5" s="7">
        <v>-7.4812103146932943E-2</v>
      </c>
      <c r="AO5" s="7">
        <v>0.1844777721646908</v>
      </c>
      <c r="AP5" s="7">
        <v>3.2454138263480981E-2</v>
      </c>
      <c r="AQ5" s="7">
        <v>0.15120275047085749</v>
      </c>
      <c r="AR5" s="7">
        <v>-9.5283188802216146E-2</v>
      </c>
      <c r="AS5" s="7">
        <v>-0.1260032609462903</v>
      </c>
      <c r="AT5" s="7">
        <v>0.1516753034210738</v>
      </c>
      <c r="AU5" s="7">
        <v>-0.2007889112295945</v>
      </c>
      <c r="AV5" s="7">
        <v>7.8901861222600136E-2</v>
      </c>
      <c r="AW5" s="7">
        <v>6.6907089587781021E-4</v>
      </c>
      <c r="AX5" s="7">
        <v>0.1123518508204545</v>
      </c>
      <c r="AY5" s="7">
        <v>-0.11800901394968941</v>
      </c>
      <c r="AZ5" s="7">
        <v>0.20623475003072961</v>
      </c>
      <c r="BA5" s="7">
        <v>-3.97937801882461E-2</v>
      </c>
      <c r="BB5" s="7">
        <v>8.3008355637714748E-2</v>
      </c>
      <c r="BC5" s="7">
        <v>-0.13000300529739819</v>
      </c>
      <c r="BD5" s="7">
        <v>-0.1064312900594583</v>
      </c>
      <c r="BE5" s="7">
        <v>0.1158849362838152</v>
      </c>
      <c r="BF5" s="7">
        <v>-0.28526717215295749</v>
      </c>
      <c r="BG5" s="7">
        <v>-0.1509842362786851</v>
      </c>
      <c r="BH5" s="7">
        <v>2.9341057503422599E-3</v>
      </c>
      <c r="BI5" s="7">
        <v>5.8262514508516133E-2</v>
      </c>
      <c r="BJ5" s="7">
        <v>-0.25989264623200092</v>
      </c>
      <c r="BK5" s="7">
        <v>0.18474040199136449</v>
      </c>
      <c r="BL5" s="7">
        <v>-0.26914540554674848</v>
      </c>
      <c r="BM5" s="7">
        <v>0.17150836470177749</v>
      </c>
      <c r="BN5" s="7">
        <v>-0.18088850446581761</v>
      </c>
      <c r="BO5" s="7">
        <v>-6.3206745350197338E-2</v>
      </c>
      <c r="BP5" s="7">
        <v>7.1774957077323495E-2</v>
      </c>
      <c r="BQ5" s="7">
        <v>-0.1686195689897588</v>
      </c>
      <c r="BR5" s="7">
        <v>-2.545873273363362E-2</v>
      </c>
      <c r="BS5" s="7">
        <v>0.1245446019666267</v>
      </c>
      <c r="BT5" s="7">
        <v>0.20782503929497201</v>
      </c>
      <c r="BU5" s="7">
        <v>-6.0037446829220693E-2</v>
      </c>
      <c r="BV5" s="7">
        <v>-5.1905003051803483E-2</v>
      </c>
      <c r="BW5" s="7">
        <v>-0.12680819125864681</v>
      </c>
      <c r="BX5" s="7">
        <v>-0.1052510446788132</v>
      </c>
      <c r="BY5" s="7">
        <v>5.3601773045040088E-2</v>
      </c>
      <c r="BZ5" s="7">
        <v>-3.4388144014312297E-2</v>
      </c>
      <c r="CA5" s="7">
        <v>-2.0069736378605839E-2</v>
      </c>
      <c r="CB5" s="7">
        <v>8.4300430524421641E-2</v>
      </c>
      <c r="CC5" s="7">
        <v>-0.110410835022124</v>
      </c>
      <c r="CD5" s="7">
        <v>0.32740031270766617</v>
      </c>
      <c r="CE5" s="7">
        <v>-1.5012168586274939E-2</v>
      </c>
      <c r="CF5" s="7">
        <v>-0.14937021175902551</v>
      </c>
      <c r="CG5" s="7">
        <v>0.16297301454092969</v>
      </c>
      <c r="CH5" s="7">
        <v>-6.896103144523659E-2</v>
      </c>
      <c r="CI5" s="7">
        <v>-0.11541146458518491</v>
      </c>
      <c r="CJ5" s="7">
        <v>-0.26303527345610228</v>
      </c>
      <c r="CK5" s="7">
        <v>0.37924960384624179</v>
      </c>
      <c r="CL5" s="7">
        <v>-7.6790699983737498E-2</v>
      </c>
      <c r="CM5" s="7">
        <v>4.2652506298582429E-2</v>
      </c>
      <c r="CN5" s="7">
        <v>-0.1516858867131603</v>
      </c>
      <c r="CO5" s="7">
        <v>0.43724307982140581</v>
      </c>
      <c r="CP5" s="7">
        <v>-3.9926150423868351E-3</v>
      </c>
      <c r="CQ5" s="7">
        <v>-0.49916489273431458</v>
      </c>
      <c r="CR5" s="7">
        <v>0.33988683275055442</v>
      </c>
      <c r="CS5" s="7">
        <v>-0.18986441617449731</v>
      </c>
      <c r="CT5" s="7">
        <v>0.2246321236344469</v>
      </c>
      <c r="CU5" s="7">
        <v>-0.25170889936125151</v>
      </c>
      <c r="CV5" s="7">
        <v>-6.0592355965027593E-2</v>
      </c>
      <c r="CW5" s="7">
        <v>0.2109010090070762</v>
      </c>
      <c r="CX5" s="7">
        <v>0.25025019061541082</v>
      </c>
      <c r="CY5" s="7">
        <v>-0.52414963758384503</v>
      </c>
      <c r="CZ5" s="7">
        <v>0.82142749669553927</v>
      </c>
      <c r="DA5" s="7">
        <v>-0.17651348566266811</v>
      </c>
      <c r="DB5" s="7">
        <v>0.13125649202051129</v>
      </c>
      <c r="DC5" s="7">
        <v>0.17576145031796331</v>
      </c>
      <c r="DD5" s="7">
        <v>-0.42086343262939768</v>
      </c>
      <c r="DE5" s="7">
        <v>-0.22795497779214821</v>
      </c>
      <c r="DF5" s="7">
        <v>-0.3368819221783515</v>
      </c>
      <c r="DG5" s="7">
        <v>-0.44413532346609758</v>
      </c>
      <c r="DH5" s="7">
        <v>-4.27982998765781E-2</v>
      </c>
      <c r="DI5" s="7">
        <v>0.30948159020781918</v>
      </c>
      <c r="DJ5" s="7">
        <v>-0.28667223643824391</v>
      </c>
      <c r="DK5" s="7">
        <v>0.84630493967791443</v>
      </c>
      <c r="DL5" s="7">
        <v>-0.1693329876927529</v>
      </c>
      <c r="DM5" s="7">
        <v>-0.4391099461359883</v>
      </c>
      <c r="DN5" s="7">
        <v>0.74761868532509412</v>
      </c>
      <c r="DO5" s="7">
        <v>-0.40009342240963602</v>
      </c>
      <c r="DP5" s="7">
        <v>-4.4799489944027257E-2</v>
      </c>
      <c r="DQ5" s="7">
        <v>-0.58861281581662461</v>
      </c>
      <c r="DR5" s="7">
        <v>-6.4257074862891627E-3</v>
      </c>
      <c r="DS5" s="7">
        <v>-0.19880266564910609</v>
      </c>
      <c r="DT5" s="7">
        <v>0.41307307328401038</v>
      </c>
      <c r="DU5" s="7">
        <v>-0.17063643177968549</v>
      </c>
      <c r="DV5" s="7">
        <v>0.68807702540912619</v>
      </c>
      <c r="DW5" s="7">
        <v>4.0827356191794333E-2</v>
      </c>
      <c r="DX5" s="7">
        <v>-0.1999673354250954</v>
      </c>
      <c r="DY5" s="7">
        <v>0.56631330445582462</v>
      </c>
      <c r="DZ5" s="7">
        <v>0.47368914822135011</v>
      </c>
      <c r="EA5" s="7">
        <v>9.5631863057402539E-2</v>
      </c>
      <c r="EB5" s="7">
        <v>-1.0762939402606311</v>
      </c>
      <c r="EC5" s="7">
        <v>-0.13598026508787489</v>
      </c>
      <c r="ED5" s="7">
        <v>-0.2734944373108647</v>
      </c>
      <c r="EE5" s="7">
        <v>0.6014180383447254</v>
      </c>
      <c r="EF5" s="7">
        <v>6.7940871428030583E-3</v>
      </c>
    </row>
    <row r="7" spans="1:136">
      <c r="A7" t="s">
        <v>199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9">
        <v>0.109105830631824</v>
      </c>
      <c r="D9" s="9">
        <v>1.4576582608432649E-2</v>
      </c>
      <c r="E9" s="9">
        <v>-3.6154356576976902E-2</v>
      </c>
      <c r="F9" s="9">
        <v>-4.742600977062153E-3</v>
      </c>
      <c r="G9" s="9">
        <v>-5.7477531385562736E-3</v>
      </c>
      <c r="H9" s="9">
        <v>4.9378023156909527E-2</v>
      </c>
      <c r="I9" s="9">
        <v>0.18325176920476779</v>
      </c>
      <c r="J9" s="9">
        <v>0.1164863088741452</v>
      </c>
      <c r="K9" s="9">
        <v>-3.0594945598924051E-2</v>
      </c>
      <c r="L9" s="9">
        <v>1.9828051430277011E-2</v>
      </c>
      <c r="M9" s="9">
        <v>-2.0999006362740089E-2</v>
      </c>
      <c r="N9" s="9">
        <v>0.1497794247734946</v>
      </c>
      <c r="O9" s="9">
        <v>1.5463406170905081E-2</v>
      </c>
      <c r="P9" s="9">
        <v>-9.1792321477913982E-2</v>
      </c>
      <c r="Q9" s="9">
        <v>-7.7409013100986537E-2</v>
      </c>
      <c r="R9" s="9">
        <v>5.4776596014220982E-2</v>
      </c>
      <c r="S9" s="9">
        <v>-0.12533438670858049</v>
      </c>
      <c r="T9" s="9">
        <v>-0.1190534205538864</v>
      </c>
      <c r="U9" s="9">
        <v>-3.777005083138045E-2</v>
      </c>
      <c r="V9" s="9">
        <v>8.1183823152198617E-2</v>
      </c>
      <c r="W9" s="9">
        <v>8.4008967865119855E-2</v>
      </c>
      <c r="X9" s="9">
        <v>0.14701135657134901</v>
      </c>
      <c r="Y9" s="9">
        <v>-0.12536053701812139</v>
      </c>
      <c r="Z9" s="9">
        <v>0.1919535535452612</v>
      </c>
      <c r="AA9" s="9">
        <v>-8.4370782422902996E-2</v>
      </c>
      <c r="AB9" s="9">
        <v>7.2897613803716274E-2</v>
      </c>
      <c r="AC9" s="9">
        <v>0.10260456025692451</v>
      </c>
      <c r="AD9" s="9">
        <v>1.5770167253116588E-2</v>
      </c>
      <c r="AE9" s="9">
        <v>-0.15200716210156701</v>
      </c>
      <c r="AF9" s="9">
        <v>5.9250251506559243E-2</v>
      </c>
      <c r="AG9" s="9">
        <v>0.13005883770177931</v>
      </c>
      <c r="AH9" s="9">
        <v>0.11525639530312259</v>
      </c>
      <c r="AI9" s="9">
        <v>3.2606621901195412E-2</v>
      </c>
      <c r="AJ9" s="9">
        <v>2.79991148643382E-2</v>
      </c>
      <c r="AK9" s="9">
        <v>0.14657041796408479</v>
      </c>
      <c r="AL9" s="9">
        <v>4.0841921466891577E-2</v>
      </c>
      <c r="AM9" s="9">
        <v>0.13137636706820099</v>
      </c>
      <c r="AN9" s="9">
        <v>0.22143295930140211</v>
      </c>
      <c r="AO9" s="9">
        <v>-2.0941038924054418E-2</v>
      </c>
      <c r="AP9" s="9">
        <v>-0.13715995040864579</v>
      </c>
      <c r="AQ9" s="9">
        <v>-2.4882854865750599E-2</v>
      </c>
      <c r="AR9" s="9">
        <v>1.551397070984222E-2</v>
      </c>
      <c r="AS9" s="9">
        <v>3.4373036510765703E-2</v>
      </c>
      <c r="AT9" s="9">
        <v>6.3095686135752824E-2</v>
      </c>
      <c r="AU9" s="9">
        <v>4.3237695395113553E-2</v>
      </c>
      <c r="AV9" s="9">
        <v>-7.4230367380587331E-2</v>
      </c>
      <c r="AW9" s="9">
        <v>2.7994827208502701E-2</v>
      </c>
      <c r="AX9" s="9">
        <v>0.1198644178103629</v>
      </c>
      <c r="AY9" s="9">
        <v>7.6559571245744709E-2</v>
      </c>
      <c r="AZ9" s="9">
        <v>-2.1730386111293399E-2</v>
      </c>
      <c r="BA9" s="9">
        <v>-1.2464632784982711E-3</v>
      </c>
      <c r="BB9" s="9">
        <v>0.10099582217884891</v>
      </c>
      <c r="BC9" s="9">
        <v>2.9826929857085831E-2</v>
      </c>
      <c r="BD9" s="9">
        <v>8.6757683796749117E-3</v>
      </c>
      <c r="BE9" s="9">
        <v>6.8557206018591665E-2</v>
      </c>
      <c r="BF9" s="9">
        <v>0.15691259652648329</v>
      </c>
      <c r="BG9" s="9">
        <v>0.1592037331379933</v>
      </c>
      <c r="BH9" s="9">
        <v>6.1121667651573217E-2</v>
      </c>
      <c r="BI9" s="9">
        <v>9.6912851275401127E-2</v>
      </c>
      <c r="BJ9" s="9">
        <v>-5.4746248471514068E-2</v>
      </c>
      <c r="BK9" s="9">
        <v>-8.7492963132843785E-2</v>
      </c>
      <c r="BL9" s="9">
        <v>9.4426745861656128E-2</v>
      </c>
      <c r="BM9" s="9">
        <v>-2.2191058729398399E-2</v>
      </c>
      <c r="BN9" s="9">
        <v>1.562861243910833E-2</v>
      </c>
      <c r="BO9" s="9">
        <v>8.1418240100881306E-2</v>
      </c>
      <c r="BP9" s="9">
        <v>-1.8508942424783719E-2</v>
      </c>
      <c r="BQ9" s="9">
        <v>6.8729568027927734E-2</v>
      </c>
      <c r="BR9" s="9">
        <v>3.1023605185006549E-3</v>
      </c>
      <c r="BS9" s="9">
        <v>7.4964417651561921E-2</v>
      </c>
      <c r="BT9" s="9">
        <v>4.5201587698112312E-2</v>
      </c>
      <c r="BU9" s="9">
        <v>2.5677329398223779E-2</v>
      </c>
      <c r="BV9" s="9">
        <v>9.180403106274436E-2</v>
      </c>
      <c r="BW9" s="9">
        <v>-2.6353999034970911E-2</v>
      </c>
      <c r="BX9" s="9">
        <v>1.9394832235212069E-2</v>
      </c>
      <c r="BY9" s="9">
        <v>-7.6838899317359197E-2</v>
      </c>
      <c r="BZ9" s="9">
        <v>0.1133093139289441</v>
      </c>
      <c r="CA9" s="9">
        <v>-0.10735493495839039</v>
      </c>
      <c r="CB9" s="9">
        <v>4.0844788501696747E-2</v>
      </c>
      <c r="CC9" s="9">
        <v>-1.9801708972640539E-2</v>
      </c>
      <c r="CD9" s="9">
        <v>0.1883770899619405</v>
      </c>
      <c r="CE9" s="9">
        <v>5.5574905720929421E-2</v>
      </c>
      <c r="CF9" s="9">
        <v>7.4872074365934668E-2</v>
      </c>
      <c r="CG9" s="9">
        <v>0.1000001919024945</v>
      </c>
      <c r="CH9" s="9">
        <v>0.1360217220005796</v>
      </c>
      <c r="CI9" s="9">
        <v>-9.3741014702459921E-2</v>
      </c>
      <c r="CJ9" s="9">
        <v>3.9305991202356373E-3</v>
      </c>
      <c r="CK9" s="9">
        <v>5.6507776574398372E-2</v>
      </c>
      <c r="CL9" s="9">
        <v>0.26354577822564818</v>
      </c>
      <c r="CM9" s="9">
        <v>-9.5554349157474378E-3</v>
      </c>
      <c r="CN9" s="9">
        <v>-3.1511899508967982E-2</v>
      </c>
      <c r="CO9" s="9">
        <v>-2.2619031528730349E-2</v>
      </c>
      <c r="CP9" s="9">
        <v>0.13265560934539161</v>
      </c>
      <c r="CQ9" s="9">
        <v>0.1330727797426777</v>
      </c>
      <c r="CR9" s="9">
        <v>-1.4956408370414089E-2</v>
      </c>
      <c r="CS9" s="9">
        <v>-3.3419937997587537E-2</v>
      </c>
      <c r="CT9" s="9">
        <v>1.228120855821169E-2</v>
      </c>
      <c r="CU9" s="9">
        <v>0.11681498356736621</v>
      </c>
      <c r="CV9" s="9">
        <v>-3.1589453565969692E-3</v>
      </c>
      <c r="CW9" s="9">
        <v>3.8217758352757383E-2</v>
      </c>
      <c r="CX9" s="9">
        <v>0.13917409482071269</v>
      </c>
      <c r="CY9" s="9">
        <v>-2.3712287606589749E-2</v>
      </c>
      <c r="CZ9" s="9">
        <v>0.21835291106172269</v>
      </c>
      <c r="DA9" s="9">
        <v>-5.796736233046404E-2</v>
      </c>
      <c r="DB9" s="9">
        <v>-1.410421852050941E-2</v>
      </c>
      <c r="DC9" s="9">
        <v>0.11395608079284369</v>
      </c>
      <c r="DD9" s="9">
        <v>7.4472261891957006E-2</v>
      </c>
      <c r="DE9" s="9">
        <v>-8.9969275376677231E-4</v>
      </c>
      <c r="DF9" s="9">
        <v>9.7707180382245536E-4</v>
      </c>
      <c r="DG9" s="9">
        <v>-7.2980095070914866E-2</v>
      </c>
      <c r="DH9" s="9">
        <v>-2.384528684741952E-2</v>
      </c>
      <c r="DI9" s="9">
        <v>-0.101530671996864</v>
      </c>
      <c r="DJ9" s="9">
        <v>2.7692536462605249E-2</v>
      </c>
      <c r="DK9" s="9">
        <v>-4.9335152901351147E-2</v>
      </c>
      <c r="DL9" s="9">
        <v>-5.6993575669654463E-3</v>
      </c>
      <c r="DM9" s="9">
        <v>-3.698176006290884E-2</v>
      </c>
      <c r="DN9" s="9">
        <v>0.1098129862949979</v>
      </c>
      <c r="DO9" s="9">
        <v>4.2036825231170707E-2</v>
      </c>
      <c r="DP9" s="9">
        <v>8.4566668006112469E-2</v>
      </c>
      <c r="DQ9" s="9">
        <v>-0.11027981086457481</v>
      </c>
      <c r="DR9" s="9">
        <v>9.4328709127723676E-2</v>
      </c>
      <c r="DS9" s="9">
        <v>-7.1906912609422696E-2</v>
      </c>
      <c r="DT9" s="9">
        <v>-9.6236429507091506E-2</v>
      </c>
      <c r="DU9" s="9">
        <v>2.3455494098847921E-3</v>
      </c>
      <c r="DV9" s="9">
        <v>0.13401742358239299</v>
      </c>
      <c r="DW9" s="9">
        <v>9.4732519114383587E-2</v>
      </c>
      <c r="DX9" s="9">
        <v>-0.1037731978548066</v>
      </c>
      <c r="DY9" s="9">
        <v>7.5762154171076845E-2</v>
      </c>
      <c r="DZ9" s="9">
        <v>-3.1829720434029513E-2</v>
      </c>
      <c r="EA9" s="9">
        <v>0.16130801932992569</v>
      </c>
      <c r="EB9" s="9">
        <v>1.020353315832318E-2</v>
      </c>
      <c r="EC9" s="9">
        <v>7.3988425168607055E-2</v>
      </c>
      <c r="ED9" s="9">
        <v>-0.15737687498945321</v>
      </c>
      <c r="EE9" s="9">
        <v>7.9137553498671423E-2</v>
      </c>
      <c r="EF9" s="9">
        <v>7.252854687485949E-2</v>
      </c>
    </row>
    <row r="10" spans="1:136">
      <c r="B10" t="s">
        <v>137</v>
      </c>
      <c r="C10" s="9">
        <v>-0.24758870953733739</v>
      </c>
      <c r="D10" s="9">
        <v>-0.27469330301591988</v>
      </c>
      <c r="E10" s="9">
        <v>-8.4648385226775952E-2</v>
      </c>
      <c r="F10" s="9">
        <v>2.264463125499239E-2</v>
      </c>
      <c r="G10" s="9">
        <v>-4.968000079578011E-2</v>
      </c>
      <c r="H10" s="9">
        <v>-0.100759633161552</v>
      </c>
      <c r="I10" s="9">
        <v>-1.2522721374844691E-2</v>
      </c>
      <c r="J10" s="9">
        <v>7.8736550465264579E-2</v>
      </c>
      <c r="K10" s="9">
        <v>-3.418510024326199E-2</v>
      </c>
      <c r="L10" s="9">
        <v>8.8406797789969321E-2</v>
      </c>
      <c r="M10" s="9">
        <v>-3.063454560011507E-3</v>
      </c>
      <c r="N10" s="9">
        <v>-0.21221799304980321</v>
      </c>
      <c r="O10" s="9">
        <v>-3.6805388582279122E-2</v>
      </c>
      <c r="P10" s="9">
        <v>7.1033118877316462E-2</v>
      </c>
      <c r="Q10" s="9">
        <v>-7.1261132998910126E-2</v>
      </c>
      <c r="R10" s="9">
        <v>2.1560446706208151E-2</v>
      </c>
      <c r="S10" s="9">
        <v>0.10111125807516751</v>
      </c>
      <c r="T10" s="9">
        <v>4.3224739792793003E-2</v>
      </c>
      <c r="U10" s="9">
        <v>1.488194958969411E-2</v>
      </c>
      <c r="V10" s="9">
        <v>6.3260243037239986E-3</v>
      </c>
      <c r="W10" s="9">
        <v>-0.1435529784595129</v>
      </c>
      <c r="X10" s="9">
        <v>-6.4282172013507929E-2</v>
      </c>
      <c r="Y10" s="9">
        <v>-1.9034202878042191E-2</v>
      </c>
      <c r="Z10" s="9">
        <v>-2.0644556245472189E-2</v>
      </c>
      <c r="AA10" s="9">
        <v>3.3059540377865217E-2</v>
      </c>
      <c r="AB10" s="9">
        <v>-1.9418226776777941E-2</v>
      </c>
      <c r="AC10" s="9">
        <v>-6.3126838764061721E-2</v>
      </c>
      <c r="AD10" s="9">
        <v>-6.5629712146108229E-2</v>
      </c>
      <c r="AE10" s="9">
        <v>0.1379956892668254</v>
      </c>
      <c r="AF10" s="9">
        <v>-0.1005679184552228</v>
      </c>
      <c r="AG10" s="9">
        <v>-3.7969091150733998E-2</v>
      </c>
      <c r="AH10" s="9">
        <v>-4.5839537807496208E-2</v>
      </c>
      <c r="AI10" s="9">
        <v>-5.1034095516539722E-2</v>
      </c>
      <c r="AJ10" s="9">
        <v>-3.2204408877165632E-3</v>
      </c>
      <c r="AK10" s="9">
        <v>4.8952958975013116E-4</v>
      </c>
      <c r="AL10" s="9">
        <v>-0.1064467536119352</v>
      </c>
      <c r="AM10" s="9">
        <v>-1.3723973583554899E-2</v>
      </c>
      <c r="AN10" s="9">
        <v>-0.1219647076543238</v>
      </c>
      <c r="AO10" s="9">
        <v>-4.858966597382592E-2</v>
      </c>
      <c r="AP10" s="9">
        <v>-1.903150433663008E-3</v>
      </c>
      <c r="AQ10" s="9">
        <v>2.9067484813314101E-2</v>
      </c>
      <c r="AR10" s="9">
        <v>5.2635776863899968E-2</v>
      </c>
      <c r="AS10" s="9">
        <v>-1.289325857571229E-2</v>
      </c>
      <c r="AT10" s="9">
        <v>-2.131134772842519E-3</v>
      </c>
      <c r="AU10" s="9">
        <v>-0.15538438197178719</v>
      </c>
      <c r="AV10" s="9">
        <v>1.268178414302561E-2</v>
      </c>
      <c r="AW10" s="9">
        <v>-1.1942321618877561E-2</v>
      </c>
      <c r="AX10" s="9">
        <v>-4.2537914968475456E-3</v>
      </c>
      <c r="AY10" s="9">
        <v>2.930087158954232E-2</v>
      </c>
      <c r="AZ10" s="9">
        <v>-0.13412750113921701</v>
      </c>
      <c r="BA10" s="9">
        <v>-0.13711152966130111</v>
      </c>
      <c r="BB10" s="9">
        <v>1.7546605068716691E-3</v>
      </c>
      <c r="BC10" s="9">
        <v>2.5117126105990401E-2</v>
      </c>
      <c r="BD10" s="9">
        <v>-0.11960190660895841</v>
      </c>
      <c r="BE10" s="9">
        <v>0.1357616496399312</v>
      </c>
      <c r="BF10" s="9">
        <v>4.7091161676368357E-2</v>
      </c>
      <c r="BG10" s="9">
        <v>-2.605004393557599E-2</v>
      </c>
      <c r="BH10" s="9">
        <v>4.3752773670266483E-2</v>
      </c>
      <c r="BI10" s="9">
        <v>-8.1391827895093402E-2</v>
      </c>
      <c r="BJ10" s="9">
        <v>-0.10060082155953699</v>
      </c>
      <c r="BK10" s="9">
        <v>9.0490079041763594E-2</v>
      </c>
      <c r="BL10" s="9">
        <v>-3.0898458704964389E-2</v>
      </c>
      <c r="BM10" s="9">
        <v>5.8814186622603987E-2</v>
      </c>
      <c r="BN10" s="9">
        <v>8.1345639246770615E-2</v>
      </c>
      <c r="BO10" s="9">
        <v>-7.7164168976593351E-3</v>
      </c>
      <c r="BP10" s="9">
        <v>0.1067348704344353</v>
      </c>
      <c r="BQ10" s="9">
        <v>-2.7156341096342261E-2</v>
      </c>
      <c r="BR10" s="9">
        <v>-5.4431018659150447E-2</v>
      </c>
      <c r="BS10" s="9">
        <v>-6.822927751511014E-2</v>
      </c>
      <c r="BT10" s="9">
        <v>9.8612222991557266E-2</v>
      </c>
      <c r="BU10" s="9">
        <v>0.1283985422991091</v>
      </c>
      <c r="BV10" s="9">
        <v>-7.8402519476778718E-2</v>
      </c>
      <c r="BW10" s="9">
        <v>-0.1191337216524913</v>
      </c>
      <c r="BX10" s="9">
        <v>-4.6890096077604589E-2</v>
      </c>
      <c r="BY10" s="9">
        <v>0.10169834364209621</v>
      </c>
      <c r="BZ10" s="9">
        <v>-2.5680084240218899E-2</v>
      </c>
      <c r="CA10" s="9">
        <v>-8.3301790010408508E-2</v>
      </c>
      <c r="CB10" s="9">
        <v>-0.15782764847875469</v>
      </c>
      <c r="CC10" s="9">
        <v>-7.1052571704280934E-2</v>
      </c>
      <c r="CD10" s="9">
        <v>-7.3875492145199798E-2</v>
      </c>
      <c r="CE10" s="9">
        <v>-0.23678647002516851</v>
      </c>
      <c r="CF10" s="9">
        <v>3.2627706277002622E-2</v>
      </c>
      <c r="CG10" s="9">
        <v>1.3423084626575861E-2</v>
      </c>
      <c r="CH10" s="9">
        <v>-2.7966658799032269E-3</v>
      </c>
      <c r="CI10" s="9">
        <v>4.7925699911805238E-2</v>
      </c>
      <c r="CJ10" s="9">
        <v>-3.2520192681292038E-3</v>
      </c>
      <c r="CK10" s="9">
        <v>-7.570819035307215E-2</v>
      </c>
      <c r="CL10" s="9">
        <v>-4.439725585073561E-2</v>
      </c>
      <c r="CM10" s="9">
        <v>0.17898858319392719</v>
      </c>
      <c r="CN10" s="9">
        <v>5.799426642317386E-2</v>
      </c>
      <c r="CO10" s="9">
        <v>-0.13939018969183081</v>
      </c>
      <c r="CP10" s="9">
        <v>6.4714670503515537E-2</v>
      </c>
      <c r="CQ10" s="9">
        <v>-0.18118788880647541</v>
      </c>
      <c r="CR10" s="9">
        <v>-8.8633532328162568E-2</v>
      </c>
      <c r="CS10" s="9">
        <v>-2.532177470861038E-2</v>
      </c>
      <c r="CT10" s="9">
        <v>-0.11307907407472829</v>
      </c>
      <c r="CU10" s="9">
        <v>8.095957294189474E-3</v>
      </c>
      <c r="CV10" s="9">
        <v>-4.5200208394220349E-2</v>
      </c>
      <c r="CW10" s="9">
        <v>-5.8941225467328592E-2</v>
      </c>
      <c r="CX10" s="9">
        <v>-0.1077283016776811</v>
      </c>
      <c r="CY10" s="9">
        <v>-9.6503499496267492E-2</v>
      </c>
      <c r="CZ10" s="9">
        <v>-0.2103543453191653</v>
      </c>
      <c r="DA10" s="9">
        <v>-0.10996113735654101</v>
      </c>
      <c r="DB10" s="9">
        <v>-0.1908204716293295</v>
      </c>
      <c r="DC10" s="9">
        <v>-2.0727272402408872E-2</v>
      </c>
      <c r="DD10" s="9">
        <v>8.7029095351123936E-2</v>
      </c>
      <c r="DE10" s="9">
        <v>8.2024592921593045E-2</v>
      </c>
      <c r="DF10" s="9">
        <v>-0.166876664789437</v>
      </c>
      <c r="DG10" s="9">
        <v>0.22243808581717431</v>
      </c>
      <c r="DH10" s="9">
        <v>-0.144297746243673</v>
      </c>
      <c r="DI10" s="9">
        <v>-0.1196199522370443</v>
      </c>
      <c r="DJ10" s="9">
        <v>-0.10159274396951661</v>
      </c>
      <c r="DK10" s="9">
        <v>9.2855058740681395E-2</v>
      </c>
      <c r="DL10" s="9">
        <v>-4.2630490096108087E-2</v>
      </c>
      <c r="DM10" s="9">
        <v>8.2732072899953643E-2</v>
      </c>
      <c r="DN10" s="9">
        <v>-3.1049452465540091E-2</v>
      </c>
      <c r="DO10" s="9">
        <v>-9.8141990492640205E-2</v>
      </c>
      <c r="DP10" s="9">
        <v>-0.13058888143944061</v>
      </c>
      <c r="DQ10" s="9">
        <v>4.8655718251279387E-2</v>
      </c>
      <c r="DR10" s="9">
        <v>-3.9251909935401189E-2</v>
      </c>
      <c r="DS10" s="9">
        <v>-0.1610301993932845</v>
      </c>
      <c r="DT10" s="9">
        <v>-7.8883966483063367E-2</v>
      </c>
      <c r="DU10" s="9">
        <v>0.16407715854109439</v>
      </c>
      <c r="DV10" s="9">
        <v>7.5052515397744431E-3</v>
      </c>
      <c r="DW10" s="9">
        <v>-0.1016452501185193</v>
      </c>
      <c r="DX10" s="9">
        <v>-5.6040292492535823E-2</v>
      </c>
      <c r="DY10" s="9">
        <v>-0.1066566396478186</v>
      </c>
      <c r="DZ10" s="9">
        <v>-6.9186575508287662E-2</v>
      </c>
      <c r="EA10" s="9">
        <v>-0.12618865773840809</v>
      </c>
      <c r="EB10" s="9">
        <v>-6.4737118328050736E-2</v>
      </c>
      <c r="EC10" s="9">
        <v>5.142607344157852E-2</v>
      </c>
      <c r="ED10" s="9">
        <v>3.4496728436731378E-2</v>
      </c>
      <c r="EE10" s="9">
        <v>0.15767759835539891</v>
      </c>
      <c r="EF10" s="9">
        <v>-0.12718001699129389</v>
      </c>
    </row>
    <row r="11" spans="1:136">
      <c r="B11" t="s">
        <v>138</v>
      </c>
      <c r="C11" s="9">
        <v>-5.4244781267602057E-2</v>
      </c>
      <c r="D11" s="9">
        <v>4.5377022463556939E-2</v>
      </c>
      <c r="E11" s="9">
        <v>-1.7752272607948309E-2</v>
      </c>
      <c r="F11" s="9">
        <v>-8.7687354470119203E-2</v>
      </c>
      <c r="G11" s="9">
        <v>0.1027592597916023</v>
      </c>
      <c r="H11" s="9">
        <v>2.5113717342445511E-3</v>
      </c>
      <c r="I11" s="9">
        <v>-1.8303552483615069E-2</v>
      </c>
      <c r="J11" s="9">
        <v>2.2110525104917209E-2</v>
      </c>
      <c r="K11" s="9">
        <v>7.7258045731841044E-2</v>
      </c>
      <c r="L11" s="9">
        <v>9.3440783982297517E-3</v>
      </c>
      <c r="M11" s="9">
        <v>5.3602181204841143E-2</v>
      </c>
      <c r="N11" s="9">
        <v>-6.7877357290963961E-2</v>
      </c>
      <c r="O11" s="9">
        <v>6.4929886491987929E-2</v>
      </c>
      <c r="P11" s="9">
        <v>4.8806817542238106E-3</v>
      </c>
      <c r="Q11" s="9">
        <v>1.919781824762783E-2</v>
      </c>
      <c r="R11" s="9">
        <v>-5.4653492448842392E-3</v>
      </c>
      <c r="S11" s="9">
        <v>3.6551467134004201E-2</v>
      </c>
      <c r="T11" s="9">
        <v>0.12918506866843241</v>
      </c>
      <c r="U11" s="9">
        <v>1.369240766293847E-2</v>
      </c>
      <c r="V11" s="9">
        <v>1.529525194063162E-2</v>
      </c>
      <c r="W11" s="9">
        <v>-0.10468571910271469</v>
      </c>
      <c r="X11" s="9">
        <v>-0.29384805056845642</v>
      </c>
      <c r="Y11" s="9">
        <v>5.9212485033458218E-2</v>
      </c>
      <c r="Z11" s="9">
        <v>-0.18494831245363619</v>
      </c>
      <c r="AA11" s="9">
        <v>9.8247438772127521E-2</v>
      </c>
      <c r="AB11" s="9">
        <v>-6.5734107189282197E-4</v>
      </c>
      <c r="AC11" s="9">
        <v>-0.1036861156532312</v>
      </c>
      <c r="AD11" s="9">
        <v>3.5450938075395509E-3</v>
      </c>
      <c r="AE11" s="9">
        <v>0.17560148677061019</v>
      </c>
      <c r="AF11" s="9">
        <v>-0.1550331010885124</v>
      </c>
      <c r="AG11" s="9">
        <v>-2.6328625232284051E-2</v>
      </c>
      <c r="AH11" s="9">
        <v>-4.9988101579694936E-3</v>
      </c>
      <c r="AI11" s="9">
        <v>2.8067714594873169E-2</v>
      </c>
      <c r="AJ11" s="9">
        <v>-2.2384193940381401E-2</v>
      </c>
      <c r="AK11" s="9">
        <v>-4.7020825392250949E-2</v>
      </c>
      <c r="AL11" s="9">
        <v>-0.10156151199043489</v>
      </c>
      <c r="AM11" s="9">
        <v>2.3525148704495701E-2</v>
      </c>
      <c r="AN11" s="9">
        <v>5.2525230105422573E-2</v>
      </c>
      <c r="AO11" s="9">
        <v>5.8502893637957562E-2</v>
      </c>
      <c r="AP11" s="9">
        <v>3.3447356041428761E-2</v>
      </c>
      <c r="AQ11" s="9">
        <v>1.430036545094069E-2</v>
      </c>
      <c r="AR11" s="9">
        <v>3.5903594729592501E-2</v>
      </c>
      <c r="AS11" s="9">
        <v>3.9782285287992311E-2</v>
      </c>
      <c r="AT11" s="9">
        <v>0.1484561956282951</v>
      </c>
      <c r="AU11" s="9">
        <v>-4.078729487218978E-2</v>
      </c>
      <c r="AV11" s="9">
        <v>0.13895895413073689</v>
      </c>
      <c r="AW11" s="9">
        <v>5.9863283397122782E-2</v>
      </c>
      <c r="AX11" s="9">
        <v>-0.1497898129881709</v>
      </c>
      <c r="AY11" s="9">
        <v>6.1595851435820623E-2</v>
      </c>
      <c r="AZ11" s="9">
        <v>-6.1949751488506538E-2</v>
      </c>
      <c r="BA11" s="9">
        <v>-2.389264381020083E-3</v>
      </c>
      <c r="BB11" s="9">
        <v>-0.14887029613688371</v>
      </c>
      <c r="BC11" s="9">
        <v>6.0350517971681748E-2</v>
      </c>
      <c r="BD11" s="9">
        <v>-1.468575255625916E-2</v>
      </c>
      <c r="BE11" s="9">
        <v>-0.14651529968819679</v>
      </c>
      <c r="BF11" s="9">
        <v>-0.2087626486148127</v>
      </c>
      <c r="BG11" s="9">
        <v>-0.20144325578474859</v>
      </c>
      <c r="BH11" s="9">
        <v>-0.11804991677814031</v>
      </c>
      <c r="BI11" s="9">
        <v>-7.7026576071686378E-2</v>
      </c>
      <c r="BJ11" s="9">
        <v>-3.6220317042829728E-2</v>
      </c>
      <c r="BK11" s="9">
        <v>-1.8907268725092598E-2</v>
      </c>
      <c r="BL11" s="9">
        <v>-0.17125563757433929</v>
      </c>
      <c r="BM11" s="9">
        <v>0.13291749710961351</v>
      </c>
      <c r="BN11" s="9">
        <v>-3.5907701607395578E-2</v>
      </c>
      <c r="BO11" s="9">
        <v>2.1344518209370389E-2</v>
      </c>
      <c r="BP11" s="9">
        <v>4.9634822871427897E-2</v>
      </c>
      <c r="BQ11" s="9">
        <v>-1.7211216417584319E-2</v>
      </c>
      <c r="BR11" s="9">
        <v>0.18982724311105359</v>
      </c>
      <c r="BS11" s="9">
        <v>-9.7605037382284945E-2</v>
      </c>
      <c r="BT11" s="9">
        <v>3.7831444138355132E-2</v>
      </c>
      <c r="BU11" s="9">
        <v>5.6008305208474198E-2</v>
      </c>
      <c r="BV11" s="9">
        <v>-0.1167370363031352</v>
      </c>
      <c r="BW11" s="9">
        <v>-0.1413229882478122</v>
      </c>
      <c r="BX11" s="9">
        <v>-3.3770258788579869E-3</v>
      </c>
      <c r="BY11" s="9">
        <v>0.13033606071126891</v>
      </c>
      <c r="BZ11" s="9">
        <v>3.1697731081681189E-2</v>
      </c>
      <c r="CA11" s="9">
        <v>4.0555037474470507E-2</v>
      </c>
      <c r="CB11" s="9">
        <v>-4.2037331365292897E-2</v>
      </c>
      <c r="CC11" s="9">
        <v>5.0013723389441531E-2</v>
      </c>
      <c r="CD11" s="9">
        <v>-6.8456279312897411E-2</v>
      </c>
      <c r="CE11" s="9">
        <v>-8.0832090081974353E-2</v>
      </c>
      <c r="CF11" s="9">
        <v>-1.948310790200239E-3</v>
      </c>
      <c r="CG11" s="9">
        <v>-0.1182090018050031</v>
      </c>
      <c r="CH11" s="9">
        <v>-3.67198859644461E-2</v>
      </c>
      <c r="CI11" s="9">
        <v>-8.3332793120616616E-2</v>
      </c>
      <c r="CJ11" s="9">
        <v>0.23067286701975129</v>
      </c>
      <c r="CK11" s="9">
        <v>0.1327785225954993</v>
      </c>
      <c r="CL11" s="9">
        <v>0.1412873189704931</v>
      </c>
      <c r="CM11" s="9">
        <v>-0.11268938730850959</v>
      </c>
      <c r="CN11" s="9">
        <v>0.22348855763592371</v>
      </c>
      <c r="CO11" s="9">
        <v>-0.10441916957268479</v>
      </c>
      <c r="CP11" s="9">
        <v>-1.442822447791231E-2</v>
      </c>
      <c r="CQ11" s="9">
        <v>-0.20723337326778599</v>
      </c>
      <c r="CR11" s="9">
        <v>-0.1348638695123113</v>
      </c>
      <c r="CS11" s="9">
        <v>7.3007738807373504E-2</v>
      </c>
      <c r="CT11" s="9">
        <v>-3.0218378407130288E-2</v>
      </c>
      <c r="CU11" s="9">
        <v>-0.28688917437274702</v>
      </c>
      <c r="CV11" s="9">
        <v>0.2307305381875536</v>
      </c>
      <c r="CW11" s="9">
        <v>9.1075698514216888E-2</v>
      </c>
      <c r="CX11" s="9">
        <v>-0.1224857321642277</v>
      </c>
      <c r="CY11" s="9">
        <v>7.8381925305362449E-2</v>
      </c>
      <c r="CZ11" s="9">
        <v>-4.5950103566863888E-2</v>
      </c>
      <c r="DA11" s="9">
        <v>8.2670164530151122E-2</v>
      </c>
      <c r="DB11" s="9">
        <v>0.14934927010032351</v>
      </c>
      <c r="DC11" s="9">
        <v>-4.7798705164587528E-2</v>
      </c>
      <c r="DD11" s="9">
        <v>-0.1645134604307108</v>
      </c>
      <c r="DE11" s="9">
        <v>-0.1105683533423189</v>
      </c>
      <c r="DF11" s="9">
        <v>5.7416867202733347E-2</v>
      </c>
      <c r="DG11" s="9">
        <v>-0.21489021548963169</v>
      </c>
      <c r="DH11" s="9">
        <v>6.2997155047871164E-2</v>
      </c>
      <c r="DI11" s="9">
        <v>6.7721109014009601E-2</v>
      </c>
      <c r="DJ11" s="9">
        <v>0.1188020770386063</v>
      </c>
      <c r="DK11" s="9">
        <v>7.2827306455158416E-3</v>
      </c>
      <c r="DL11" s="9">
        <v>7.1320599005857979E-2</v>
      </c>
      <c r="DM11" s="9">
        <v>2.1021900655620821E-2</v>
      </c>
      <c r="DN11" s="9">
        <v>-3.0403223939335849E-2</v>
      </c>
      <c r="DO11" s="9">
        <v>-9.694965661135331E-2</v>
      </c>
      <c r="DP11" s="9">
        <v>-0.23067649178859881</v>
      </c>
      <c r="DQ11" s="9">
        <v>0.238184312236043</v>
      </c>
      <c r="DR11" s="9">
        <v>3.5748752036958448E-3</v>
      </c>
      <c r="DS11" s="9">
        <v>0.13395561672683809</v>
      </c>
      <c r="DT11" s="9">
        <v>0.11510609642796051</v>
      </c>
      <c r="DU11" s="9">
        <v>0.1040797891887878</v>
      </c>
      <c r="DV11" s="9">
        <v>-5.4611063064875308E-2</v>
      </c>
      <c r="DW11" s="9">
        <v>-3.3290193961398547E-2</v>
      </c>
      <c r="DX11" s="9">
        <v>5.5094916778075383E-2</v>
      </c>
      <c r="DY11" s="9">
        <v>6.8793773385234666E-2</v>
      </c>
      <c r="DZ11" s="9">
        <v>1.4480773118257949E-2</v>
      </c>
      <c r="EA11" s="9">
        <v>-0.29313654086030699</v>
      </c>
      <c r="EB11" s="9">
        <v>-0.14097501940218221</v>
      </c>
      <c r="EC11" s="9">
        <v>-1.2209361583162239E-2</v>
      </c>
      <c r="ED11" s="9">
        <v>5.816768758959897E-2</v>
      </c>
      <c r="EE11" s="9">
        <v>-0.14440301349005499</v>
      </c>
      <c r="EF11" s="9">
        <v>-9.7009034240055067E-2</v>
      </c>
    </row>
    <row r="13" spans="1:136">
      <c r="A13" s="10" t="s">
        <v>200</v>
      </c>
      <c r="B13" s="10" t="s">
        <v>136</v>
      </c>
      <c r="C13" s="7">
        <f t="shared" ref="C13:AH13" si="0">(C3-C9)^2</f>
        <v>9.0391679315722159E-4</v>
      </c>
      <c r="D13" s="7">
        <f t="shared" si="0"/>
        <v>2.7310405807073373E-2</v>
      </c>
      <c r="E13" s="7">
        <f t="shared" si="0"/>
        <v>2.6742239641021305E-3</v>
      </c>
      <c r="F13" s="7">
        <f t="shared" si="0"/>
        <v>2.7661020753827335E-4</v>
      </c>
      <c r="G13" s="7">
        <f t="shared" si="0"/>
        <v>5.4838058650652354E-6</v>
      </c>
      <c r="H13" s="7">
        <f t="shared" si="0"/>
        <v>4.1993207381433228E-3</v>
      </c>
      <c r="I13" s="7">
        <f t="shared" si="0"/>
        <v>0.14459743292642124</v>
      </c>
      <c r="J13" s="7">
        <f t="shared" si="0"/>
        <v>2.6343721184316615E-2</v>
      </c>
      <c r="K13" s="7">
        <f t="shared" si="0"/>
        <v>6.1457832679454689E-4</v>
      </c>
      <c r="L13" s="7">
        <f t="shared" si="0"/>
        <v>4.5499763125976967E-3</v>
      </c>
      <c r="M13" s="7">
        <f t="shared" si="0"/>
        <v>2.474243870712012E-4</v>
      </c>
      <c r="N13" s="7">
        <f t="shared" si="0"/>
        <v>0.11598860423399783</v>
      </c>
      <c r="O13" s="7">
        <f t="shared" si="0"/>
        <v>8.7368203941756248E-2</v>
      </c>
      <c r="P13" s="7">
        <f t="shared" si="0"/>
        <v>4.2244497524287494E-2</v>
      </c>
      <c r="Q13" s="7">
        <f t="shared" si="0"/>
        <v>2.0331669262825276E-3</v>
      </c>
      <c r="R13" s="7">
        <f t="shared" si="0"/>
        <v>2.8007296278752526E-2</v>
      </c>
      <c r="S13" s="7">
        <f t="shared" si="0"/>
        <v>5.2944737377685125E-2</v>
      </c>
      <c r="T13" s="7">
        <f t="shared" si="0"/>
        <v>6.7917622313113475E-4</v>
      </c>
      <c r="U13" s="7">
        <f t="shared" si="0"/>
        <v>5.0588824615015654E-2</v>
      </c>
      <c r="V13" s="7">
        <f t="shared" si="0"/>
        <v>6.268599656215723E-3</v>
      </c>
      <c r="W13" s="7">
        <f t="shared" si="0"/>
        <v>2.0633104186514673E-3</v>
      </c>
      <c r="X13" s="7">
        <f t="shared" si="0"/>
        <v>5.5508190959112316E-2</v>
      </c>
      <c r="Y13" s="7">
        <f t="shared" si="0"/>
        <v>0.16322578145118558</v>
      </c>
      <c r="Z13" s="7">
        <f t="shared" si="0"/>
        <v>7.8369201446870651E-3</v>
      </c>
      <c r="AA13" s="7">
        <f t="shared" si="0"/>
        <v>0.32498869213045434</v>
      </c>
      <c r="AB13" s="7">
        <f t="shared" si="0"/>
        <v>9.4859392792584443E-2</v>
      </c>
      <c r="AC13" s="7">
        <f t="shared" si="0"/>
        <v>8.1827736123153919E-3</v>
      </c>
      <c r="AD13" s="7">
        <f t="shared" si="0"/>
        <v>7.7558186276853539E-5</v>
      </c>
      <c r="AE13" s="7">
        <f t="shared" si="0"/>
        <v>2.1284999661477948E-2</v>
      </c>
      <c r="AF13" s="7">
        <f t="shared" si="0"/>
        <v>1.3507499230455203E-2</v>
      </c>
      <c r="AG13" s="7">
        <f t="shared" si="0"/>
        <v>9.6444165589426841E-5</v>
      </c>
      <c r="AH13" s="7">
        <f t="shared" si="0"/>
        <v>5.075726718102672E-3</v>
      </c>
      <c r="AI13" s="7">
        <f t="shared" ref="AI13:BN13" si="1">(AI3-AI9)^2</f>
        <v>1.7124763333233036E-2</v>
      </c>
      <c r="AJ13" s="7">
        <f t="shared" si="1"/>
        <v>1.618837009918662E-3</v>
      </c>
      <c r="AK13" s="7">
        <f t="shared" si="1"/>
        <v>3.5082047394486881E-3</v>
      </c>
      <c r="AL13" s="7">
        <f t="shared" si="1"/>
        <v>2.1076402875230563E-2</v>
      </c>
      <c r="AM13" s="7">
        <f t="shared" si="1"/>
        <v>1.2190824434851857E-3</v>
      </c>
      <c r="AN13" s="7">
        <f t="shared" si="1"/>
        <v>1.8354896612627852E-4</v>
      </c>
      <c r="AO13" s="7">
        <f t="shared" si="1"/>
        <v>1.9829057409552188E-2</v>
      </c>
      <c r="AP13" s="7">
        <f t="shared" si="1"/>
        <v>1.1768961756753982E-2</v>
      </c>
      <c r="AQ13" s="7">
        <f t="shared" si="1"/>
        <v>3.502332191919983E-2</v>
      </c>
      <c r="AR13" s="7">
        <f t="shared" si="1"/>
        <v>2.3250219164638775E-3</v>
      </c>
      <c r="AS13" s="7">
        <f t="shared" si="1"/>
        <v>1.1417645355385421E-2</v>
      </c>
      <c r="AT13" s="7">
        <f t="shared" si="1"/>
        <v>9.5732445843805455E-3</v>
      </c>
      <c r="AU13" s="7">
        <f t="shared" si="1"/>
        <v>5.6591589473239378E-6</v>
      </c>
      <c r="AV13" s="7">
        <f t="shared" si="1"/>
        <v>9.2880816293050231E-3</v>
      </c>
      <c r="AW13" s="7">
        <f t="shared" si="1"/>
        <v>4.0265170325304363E-2</v>
      </c>
      <c r="AX13" s="7">
        <f t="shared" si="1"/>
        <v>1.9259001369251311E-3</v>
      </c>
      <c r="AY13" s="7">
        <f t="shared" si="1"/>
        <v>4.5417600662925181E-3</v>
      </c>
      <c r="AZ13" s="7">
        <f t="shared" si="1"/>
        <v>1.4094036062458726E-3</v>
      </c>
      <c r="BA13" s="7">
        <f t="shared" si="1"/>
        <v>2.587878754365849E-2</v>
      </c>
      <c r="BB13" s="7">
        <f t="shared" si="1"/>
        <v>5.0421393750411277E-2</v>
      </c>
      <c r="BC13" s="7">
        <f t="shared" si="1"/>
        <v>1.5956777102515265E-2</v>
      </c>
      <c r="BD13" s="7">
        <f t="shared" si="1"/>
        <v>2.5341888645961968E-2</v>
      </c>
      <c r="BE13" s="7">
        <f t="shared" si="1"/>
        <v>3.9707226061349792E-2</v>
      </c>
      <c r="BF13" s="7">
        <f t="shared" si="1"/>
        <v>2.157123127914036E-2</v>
      </c>
      <c r="BG13" s="7">
        <f t="shared" si="1"/>
        <v>2.4466366013106877E-2</v>
      </c>
      <c r="BH13" s="7">
        <f t="shared" si="1"/>
        <v>4.3719440073452034E-2</v>
      </c>
      <c r="BI13" s="7">
        <f t="shared" si="1"/>
        <v>1.6667249678667651E-3</v>
      </c>
      <c r="BJ13" s="7">
        <f t="shared" si="1"/>
        <v>2.7371839804797354E-3</v>
      </c>
      <c r="BK13" s="7">
        <f t="shared" si="1"/>
        <v>2.7985266423321185E-2</v>
      </c>
      <c r="BL13" s="7">
        <f t="shared" si="1"/>
        <v>1.3898346507577646E-2</v>
      </c>
      <c r="BM13" s="7">
        <f t="shared" si="1"/>
        <v>1.3527238831160774E-2</v>
      </c>
      <c r="BN13" s="7">
        <f t="shared" si="1"/>
        <v>9.8703679536494291E-6</v>
      </c>
      <c r="BO13" s="7">
        <f t="shared" ref="BO13:CT13" si="2">(BO3-BO9)^2</f>
        <v>5.2815906925033233E-2</v>
      </c>
      <c r="BP13" s="7">
        <f t="shared" si="2"/>
        <v>3.5500530907517703E-3</v>
      </c>
      <c r="BQ13" s="7">
        <f t="shared" si="2"/>
        <v>2.307742953134876E-2</v>
      </c>
      <c r="BR13" s="7">
        <f t="shared" si="2"/>
        <v>4.4349862237856773E-2</v>
      </c>
      <c r="BS13" s="7">
        <f t="shared" si="2"/>
        <v>2.0481578394669062E-2</v>
      </c>
      <c r="BT13" s="7">
        <f t="shared" si="2"/>
        <v>9.808780949401635E-3</v>
      </c>
      <c r="BU13" s="7">
        <f t="shared" si="2"/>
        <v>7.8035846723622064E-3</v>
      </c>
      <c r="BV13" s="7">
        <f t="shared" si="2"/>
        <v>7.5694984033156595E-3</v>
      </c>
      <c r="BW13" s="7">
        <f t="shared" si="2"/>
        <v>1.9915669925852461E-2</v>
      </c>
      <c r="BX13" s="7">
        <f t="shared" si="2"/>
        <v>1.2179275778699129E-2</v>
      </c>
      <c r="BY13" s="7">
        <f t="shared" si="2"/>
        <v>3.7995138101937533E-2</v>
      </c>
      <c r="BZ13" s="7">
        <f t="shared" si="2"/>
        <v>6.4683420284310872E-2</v>
      </c>
      <c r="CA13" s="7">
        <f t="shared" si="2"/>
        <v>3.3236126922636479E-2</v>
      </c>
      <c r="CB13" s="7">
        <f t="shared" si="2"/>
        <v>4.4746160467530625E-2</v>
      </c>
      <c r="CC13" s="7">
        <f t="shared" si="2"/>
        <v>1.1174640354613692E-2</v>
      </c>
      <c r="CD13" s="7">
        <f t="shared" si="2"/>
        <v>2.4786705356615056E-2</v>
      </c>
      <c r="CE13" s="7">
        <f t="shared" si="2"/>
        <v>2.6465316881557874E-2</v>
      </c>
      <c r="CF13" s="7">
        <f t="shared" si="2"/>
        <v>4.662090021601998E-2</v>
      </c>
      <c r="CG13" s="7">
        <f t="shared" si="2"/>
        <v>7.0036210847148845E-8</v>
      </c>
      <c r="CH13" s="7">
        <f t="shared" si="2"/>
        <v>8.1738854318411137E-3</v>
      </c>
      <c r="CI13" s="7">
        <f t="shared" si="2"/>
        <v>3.3897751949617583E-2</v>
      </c>
      <c r="CJ13" s="7">
        <f t="shared" si="2"/>
        <v>0.15562745412808507</v>
      </c>
      <c r="CK13" s="7">
        <f t="shared" si="2"/>
        <v>2.7542177493239284E-2</v>
      </c>
      <c r="CL13" s="7">
        <f t="shared" si="2"/>
        <v>9.4276219243447687E-2</v>
      </c>
      <c r="CM13" s="7">
        <f t="shared" si="2"/>
        <v>3.7701916166609915E-2</v>
      </c>
      <c r="CN13" s="7">
        <f t="shared" si="2"/>
        <v>0.13415136138235878</v>
      </c>
      <c r="CO13" s="7">
        <f t="shared" si="2"/>
        <v>5.6581507169564159E-3</v>
      </c>
      <c r="CP13" s="7">
        <f t="shared" si="2"/>
        <v>5.1492587508656713E-2</v>
      </c>
      <c r="CQ13" s="7">
        <f t="shared" si="2"/>
        <v>1.5115018527348063E-3</v>
      </c>
      <c r="CR13" s="7">
        <f t="shared" si="2"/>
        <v>5.9127119683872065E-3</v>
      </c>
      <c r="CS13" s="7">
        <f t="shared" si="2"/>
        <v>1.6196824659514753E-4</v>
      </c>
      <c r="CT13" s="7">
        <f t="shared" si="2"/>
        <v>5.6751571403068515E-4</v>
      </c>
      <c r="CU13" s="7">
        <f t="shared" ref="CU13:DZ13" si="3">(CU3-CU9)^2</f>
        <v>2.2534147951584559E-2</v>
      </c>
      <c r="CV13" s="7">
        <f t="shared" si="3"/>
        <v>3.4969755217888264E-4</v>
      </c>
      <c r="CW13" s="7">
        <f t="shared" si="3"/>
        <v>2.2892111846356651E-6</v>
      </c>
      <c r="CX13" s="7">
        <f t="shared" si="3"/>
        <v>3.7339725887365109E-2</v>
      </c>
      <c r="CY13" s="7">
        <f t="shared" si="3"/>
        <v>2.5586490340072997E-3</v>
      </c>
      <c r="CZ13" s="7">
        <f t="shared" si="3"/>
        <v>1.4447243862517743E-2</v>
      </c>
      <c r="DA13" s="7">
        <f t="shared" si="3"/>
        <v>0.13681223698786302</v>
      </c>
      <c r="DB13" s="7">
        <f t="shared" si="3"/>
        <v>2.0056519828847864E-2</v>
      </c>
      <c r="DC13" s="7">
        <f t="shared" si="3"/>
        <v>9.1038551418384336E-2</v>
      </c>
      <c r="DD13" s="7">
        <f t="shared" si="3"/>
        <v>5.9194023078691468E-2</v>
      </c>
      <c r="DE13" s="7">
        <f t="shared" si="3"/>
        <v>2.877898105064957E-2</v>
      </c>
      <c r="DF13" s="7">
        <f t="shared" si="3"/>
        <v>8.4772066895503467E-3</v>
      </c>
      <c r="DG13" s="7">
        <f t="shared" si="3"/>
        <v>1.0937563948499131E-5</v>
      </c>
      <c r="DH13" s="7">
        <f t="shared" si="3"/>
        <v>9.5279985396636176E-4</v>
      </c>
      <c r="DI13" s="7">
        <f t="shared" si="3"/>
        <v>9.8864509246436669E-3</v>
      </c>
      <c r="DJ13" s="7">
        <f t="shared" si="3"/>
        <v>9.2119523496587592E-3</v>
      </c>
      <c r="DK13" s="7">
        <f t="shared" si="3"/>
        <v>9.0535687743512842E-3</v>
      </c>
      <c r="DL13" s="7">
        <f t="shared" si="3"/>
        <v>2.7573619858575747E-3</v>
      </c>
      <c r="DM13" s="7">
        <f t="shared" si="3"/>
        <v>1.1405537726615757E-3</v>
      </c>
      <c r="DN13" s="7">
        <f t="shared" si="3"/>
        <v>6.6590715259116718E-3</v>
      </c>
      <c r="DO13" s="7">
        <f t="shared" si="3"/>
        <v>1.2579263440044963E-2</v>
      </c>
      <c r="DP13" s="7">
        <f t="shared" si="3"/>
        <v>5.8370334452997746E-3</v>
      </c>
      <c r="DQ13" s="7">
        <f t="shared" si="3"/>
        <v>7.0254271472740798E-2</v>
      </c>
      <c r="DR13" s="7">
        <f t="shared" si="3"/>
        <v>4.1099407791975365E-2</v>
      </c>
      <c r="DS13" s="7">
        <f t="shared" si="3"/>
        <v>3.424926675608967E-2</v>
      </c>
      <c r="DT13" s="7">
        <f t="shared" si="3"/>
        <v>1.8592919822218837E-5</v>
      </c>
      <c r="DU13" s="7">
        <f t="shared" si="3"/>
        <v>4.69177853906373E-3</v>
      </c>
      <c r="DV13" s="7">
        <f t="shared" si="3"/>
        <v>4.3262564399232872E-2</v>
      </c>
      <c r="DW13" s="7">
        <f t="shared" si="3"/>
        <v>7.9040471965973586E-4</v>
      </c>
      <c r="DX13" s="7">
        <f t="shared" si="3"/>
        <v>2.9913098981942294E-2</v>
      </c>
      <c r="DY13" s="7">
        <f t="shared" si="3"/>
        <v>3.1604494414624179E-2</v>
      </c>
      <c r="DZ13" s="7">
        <f t="shared" si="3"/>
        <v>8.7917989573719116E-2</v>
      </c>
      <c r="EA13" s="7">
        <f t="shared" ref="EA13:EF13" si="4">(EA3-EA9)^2</f>
        <v>6.2727248697154972E-2</v>
      </c>
      <c r="EB13" s="7">
        <f t="shared" si="4"/>
        <v>3.4068751799008819E-2</v>
      </c>
      <c r="EC13" s="7">
        <f t="shared" si="4"/>
        <v>1.081212920755034E-2</v>
      </c>
      <c r="ED13" s="7">
        <f t="shared" si="4"/>
        <v>3.4645107407441852E-2</v>
      </c>
      <c r="EE13" s="7">
        <f t="shared" si="4"/>
        <v>2.76583231431448E-2</v>
      </c>
      <c r="EF13" s="7">
        <f t="shared" si="4"/>
        <v>8.7620220083636027E-3</v>
      </c>
    </row>
    <row r="14" spans="1:136">
      <c r="A14" s="10"/>
      <c r="B14" s="10" t="s">
        <v>137</v>
      </c>
      <c r="C14" s="7">
        <f t="shared" ref="C14:AH14" si="5">(C4-C10)^2</f>
        <v>1.9065220427389405E-3</v>
      </c>
      <c r="D14" s="7">
        <f t="shared" si="5"/>
        <v>6.1261204425587055E-3</v>
      </c>
      <c r="E14" s="7">
        <f t="shared" si="5"/>
        <v>2.7346323394197139E-2</v>
      </c>
      <c r="F14" s="7">
        <f t="shared" si="5"/>
        <v>5.5604802609381446E-4</v>
      </c>
      <c r="G14" s="7">
        <f t="shared" si="5"/>
        <v>6.7256801280824105E-3</v>
      </c>
      <c r="H14" s="7">
        <f t="shared" si="5"/>
        <v>2.4163072611223389E-3</v>
      </c>
      <c r="I14" s="7">
        <f t="shared" si="5"/>
        <v>1.3932010394687936E-4</v>
      </c>
      <c r="J14" s="7">
        <f t="shared" si="5"/>
        <v>9.6105988972251442E-4</v>
      </c>
      <c r="K14" s="7">
        <f t="shared" si="5"/>
        <v>4.3328302568196239E-3</v>
      </c>
      <c r="L14" s="7">
        <f t="shared" si="5"/>
        <v>1.0871891927431132E-2</v>
      </c>
      <c r="M14" s="7">
        <f t="shared" si="5"/>
        <v>2.5884678403779852E-3</v>
      </c>
      <c r="N14" s="7">
        <f t="shared" si="5"/>
        <v>3.3181065786634226E-2</v>
      </c>
      <c r="O14" s="7">
        <f t="shared" si="5"/>
        <v>2.2368488989938581E-2</v>
      </c>
      <c r="P14" s="7">
        <f t="shared" si="5"/>
        <v>1.6278250942630085E-3</v>
      </c>
      <c r="Q14" s="7">
        <f t="shared" si="5"/>
        <v>2.8164144543373942E-2</v>
      </c>
      <c r="R14" s="7">
        <f t="shared" si="5"/>
        <v>1.3309611767018248E-2</v>
      </c>
      <c r="S14" s="7">
        <f t="shared" si="5"/>
        <v>5.969855953523325E-3</v>
      </c>
      <c r="T14" s="7">
        <f t="shared" si="5"/>
        <v>9.1319731484980425E-4</v>
      </c>
      <c r="U14" s="7">
        <f t="shared" si="5"/>
        <v>6.4428465250005744E-5</v>
      </c>
      <c r="V14" s="7">
        <f t="shared" si="5"/>
        <v>8.1115961299482698E-4</v>
      </c>
      <c r="W14" s="7">
        <f t="shared" si="5"/>
        <v>1.8645209187639931E-2</v>
      </c>
      <c r="X14" s="7">
        <f t="shared" si="5"/>
        <v>1.1028372837698005E-2</v>
      </c>
      <c r="Y14" s="7">
        <f t="shared" si="5"/>
        <v>4.5868099062413029E-2</v>
      </c>
      <c r="Z14" s="7">
        <f t="shared" si="5"/>
        <v>1.0724634927529033E-4</v>
      </c>
      <c r="AA14" s="7">
        <f t="shared" si="5"/>
        <v>1.2706497101676898E-3</v>
      </c>
      <c r="AB14" s="7">
        <f t="shared" si="5"/>
        <v>2.0841584935165511E-2</v>
      </c>
      <c r="AC14" s="7">
        <f t="shared" si="5"/>
        <v>2.4397259442219089E-6</v>
      </c>
      <c r="AD14" s="7">
        <f t="shared" si="5"/>
        <v>1.4767809220824702E-4</v>
      </c>
      <c r="AE14" s="7">
        <f t="shared" si="5"/>
        <v>9.0069495941752908E-3</v>
      </c>
      <c r="AF14" s="7">
        <f t="shared" si="5"/>
        <v>3.2683665399934843E-2</v>
      </c>
      <c r="AG14" s="7">
        <f t="shared" si="5"/>
        <v>3.8791748250106835E-3</v>
      </c>
      <c r="AH14" s="7">
        <f t="shared" si="5"/>
        <v>2.7020765853930383E-2</v>
      </c>
      <c r="AI14" s="7">
        <f t="shared" ref="AI14:BN14" si="6">(AI4-AI10)^2</f>
        <v>1.2588306093421764E-3</v>
      </c>
      <c r="AJ14" s="7">
        <f t="shared" si="6"/>
        <v>8.742278243577109E-3</v>
      </c>
      <c r="AK14" s="7">
        <f t="shared" si="6"/>
        <v>5.8765536964266243E-3</v>
      </c>
      <c r="AL14" s="7">
        <f t="shared" si="6"/>
        <v>1.6032874031434705E-2</v>
      </c>
      <c r="AM14" s="7">
        <f t="shared" si="6"/>
        <v>4.8997775661597823E-5</v>
      </c>
      <c r="AN14" s="7">
        <f t="shared" si="6"/>
        <v>1.773970862899538E-2</v>
      </c>
      <c r="AO14" s="7">
        <f t="shared" si="6"/>
        <v>1.6738135462060661E-5</v>
      </c>
      <c r="AP14" s="7">
        <f t="shared" si="6"/>
        <v>6.629225888532644E-3</v>
      </c>
      <c r="AQ14" s="7">
        <f t="shared" si="6"/>
        <v>1.4548605672109555E-2</v>
      </c>
      <c r="AR14" s="7">
        <f t="shared" si="6"/>
        <v>3.7953779560343718E-3</v>
      </c>
      <c r="AS14" s="7">
        <f t="shared" si="6"/>
        <v>9.0900388694837211E-3</v>
      </c>
      <c r="AT14" s="7">
        <f t="shared" si="6"/>
        <v>1.4056752333747844E-4</v>
      </c>
      <c r="AU14" s="7">
        <f t="shared" si="6"/>
        <v>1.4587440949529105E-2</v>
      </c>
      <c r="AV14" s="7">
        <f t="shared" si="6"/>
        <v>5.2962193300079084E-2</v>
      </c>
      <c r="AW14" s="7">
        <f t="shared" si="6"/>
        <v>4.1315077651077311E-3</v>
      </c>
      <c r="AX14" s="7">
        <f t="shared" si="6"/>
        <v>3.2758146450869748E-4</v>
      </c>
      <c r="AY14" s="7">
        <f t="shared" si="6"/>
        <v>5.9415829420751895E-3</v>
      </c>
      <c r="AZ14" s="7">
        <f t="shared" si="6"/>
        <v>2.2457873295766477E-2</v>
      </c>
      <c r="BA14" s="7">
        <f t="shared" si="6"/>
        <v>2.775286403490137E-4</v>
      </c>
      <c r="BB14" s="7">
        <f t="shared" si="6"/>
        <v>6.4617078243689188E-2</v>
      </c>
      <c r="BC14" s="7">
        <f t="shared" si="6"/>
        <v>3.0606053977237518E-2</v>
      </c>
      <c r="BD14" s="7">
        <f t="shared" si="6"/>
        <v>9.4182337336106113E-3</v>
      </c>
      <c r="BE14" s="7">
        <f t="shared" si="6"/>
        <v>2.7904672912869334E-2</v>
      </c>
      <c r="BF14" s="7">
        <f t="shared" si="6"/>
        <v>5.9283564498305201E-3</v>
      </c>
      <c r="BG14" s="7">
        <f t="shared" si="6"/>
        <v>2.3612261347991416E-3</v>
      </c>
      <c r="BH14" s="7">
        <f t="shared" si="6"/>
        <v>1.1792771604147373E-2</v>
      </c>
      <c r="BI14" s="7">
        <f t="shared" si="6"/>
        <v>9.918820207246758E-3</v>
      </c>
      <c r="BJ14" s="7">
        <f t="shared" si="6"/>
        <v>2.4589344952477402E-3</v>
      </c>
      <c r="BK14" s="7">
        <f t="shared" si="6"/>
        <v>2.239891633093621E-2</v>
      </c>
      <c r="BL14" s="7">
        <f t="shared" si="6"/>
        <v>2.9069321212873528E-4</v>
      </c>
      <c r="BM14" s="7">
        <f t="shared" si="6"/>
        <v>1.4663084904159972E-3</v>
      </c>
      <c r="BN14" s="7">
        <f t="shared" si="6"/>
        <v>1.6942125237367825E-3</v>
      </c>
      <c r="BO14" s="7">
        <f t="shared" ref="BO14:CT14" si="7">(BO4-BO10)^2</f>
        <v>2.7008349976898262E-3</v>
      </c>
      <c r="BP14" s="7">
        <f t="shared" si="7"/>
        <v>6.0466753269876696E-4</v>
      </c>
      <c r="BQ14" s="7">
        <f t="shared" si="7"/>
        <v>3.3069726450901077E-3</v>
      </c>
      <c r="BR14" s="7">
        <f t="shared" si="7"/>
        <v>4.0242144698265942E-3</v>
      </c>
      <c r="BS14" s="7">
        <f t="shared" si="7"/>
        <v>2.5799840406119682E-3</v>
      </c>
      <c r="BT14" s="7">
        <f t="shared" si="7"/>
        <v>1.7622801153585176E-2</v>
      </c>
      <c r="BU14" s="7">
        <f t="shared" si="7"/>
        <v>3.0517224732874614E-2</v>
      </c>
      <c r="BV14" s="7">
        <f t="shared" si="7"/>
        <v>6.2075949373466922E-2</v>
      </c>
      <c r="BW14" s="7">
        <f t="shared" si="7"/>
        <v>3.5574671765136882E-4</v>
      </c>
      <c r="BX14" s="7">
        <f t="shared" si="7"/>
        <v>5.8317964958072761E-4</v>
      </c>
      <c r="BY14" s="7">
        <f t="shared" si="7"/>
        <v>7.6945450337529156E-2</v>
      </c>
      <c r="BZ14" s="7">
        <f t="shared" si="7"/>
        <v>1.2308432196951387E-2</v>
      </c>
      <c r="CA14" s="7">
        <f t="shared" si="7"/>
        <v>9.5760864119367982E-3</v>
      </c>
      <c r="CB14" s="7">
        <f t="shared" si="7"/>
        <v>0.12285982099030901</v>
      </c>
      <c r="CC14" s="7">
        <f t="shared" si="7"/>
        <v>5.1874532758112858E-2</v>
      </c>
      <c r="CD14" s="7">
        <f t="shared" si="7"/>
        <v>3.7286232936271E-3</v>
      </c>
      <c r="CE14" s="7">
        <f t="shared" si="7"/>
        <v>3.2446303444038711E-2</v>
      </c>
      <c r="CF14" s="7">
        <f t="shared" si="7"/>
        <v>2.1429276052036018E-2</v>
      </c>
      <c r="CG14" s="7">
        <f t="shared" si="7"/>
        <v>1.9535500885620055E-3</v>
      </c>
      <c r="CH14" s="7">
        <f t="shared" si="7"/>
        <v>1.4510336633914827E-6</v>
      </c>
      <c r="CI14" s="7">
        <f t="shared" si="7"/>
        <v>8.7018793368057081E-4</v>
      </c>
      <c r="CJ14" s="7">
        <f t="shared" si="7"/>
        <v>8.6236642131224338E-4</v>
      </c>
      <c r="CK14" s="7">
        <f t="shared" si="7"/>
        <v>2.8417613210022334E-3</v>
      </c>
      <c r="CL14" s="7">
        <f t="shared" si="7"/>
        <v>6.6040612736459304E-4</v>
      </c>
      <c r="CM14" s="7">
        <f t="shared" si="7"/>
        <v>1.8374355740705044E-2</v>
      </c>
      <c r="CN14" s="7">
        <f t="shared" si="7"/>
        <v>1.6618421092433295E-2</v>
      </c>
      <c r="CO14" s="7">
        <f t="shared" si="7"/>
        <v>2.0688979839232142E-2</v>
      </c>
      <c r="CP14" s="7">
        <f t="shared" si="7"/>
        <v>1.6453800103596755E-3</v>
      </c>
      <c r="CQ14" s="7">
        <f t="shared" si="7"/>
        <v>2.2418211806431498E-2</v>
      </c>
      <c r="CR14" s="7">
        <f t="shared" si="7"/>
        <v>4.3259779214116917E-2</v>
      </c>
      <c r="CS14" s="7">
        <f t="shared" si="7"/>
        <v>6.4709993303679783E-2</v>
      </c>
      <c r="CT14" s="7">
        <f t="shared" si="7"/>
        <v>3.6773314082589298E-2</v>
      </c>
      <c r="CU14" s="7">
        <f t="shared" ref="CU14:DZ14" si="8">(CU4-CU10)^2</f>
        <v>1.4467821806493321E-2</v>
      </c>
      <c r="CV14" s="7">
        <f t="shared" si="8"/>
        <v>2.5015070643046748E-2</v>
      </c>
      <c r="CW14" s="7">
        <f t="shared" si="8"/>
        <v>3.2077478672147596E-4</v>
      </c>
      <c r="CX14" s="7">
        <f t="shared" si="8"/>
        <v>3.0320921872590598E-2</v>
      </c>
      <c r="CY14" s="7">
        <f t="shared" si="8"/>
        <v>6.5417724036327526E-3</v>
      </c>
      <c r="CZ14" s="7">
        <f t="shared" si="8"/>
        <v>4.9137086315212608E-3</v>
      </c>
      <c r="DA14" s="7">
        <f t="shared" si="8"/>
        <v>1.2252502120755545E-2</v>
      </c>
      <c r="DB14" s="7">
        <f t="shared" si="8"/>
        <v>2.0532038285439251E-2</v>
      </c>
      <c r="DC14" s="7">
        <f t="shared" si="8"/>
        <v>1.3851841859833583E-2</v>
      </c>
      <c r="DD14" s="7">
        <f t="shared" si="8"/>
        <v>1.9901319130530206E-4</v>
      </c>
      <c r="DE14" s="7">
        <f t="shared" si="8"/>
        <v>1.3060355705995709E-3</v>
      </c>
      <c r="DF14" s="7">
        <f t="shared" si="8"/>
        <v>4.6924321474599968E-2</v>
      </c>
      <c r="DG14" s="7">
        <f t="shared" si="8"/>
        <v>0.12928942681630498</v>
      </c>
      <c r="DH14" s="7">
        <f t="shared" si="8"/>
        <v>9.1466913865734079E-2</v>
      </c>
      <c r="DI14" s="7">
        <f t="shared" si="8"/>
        <v>3.693604392386556E-3</v>
      </c>
      <c r="DJ14" s="7">
        <f t="shared" si="8"/>
        <v>5.7916151852573929E-4</v>
      </c>
      <c r="DK14" s="7">
        <f t="shared" si="8"/>
        <v>6.9381377556851281E-2</v>
      </c>
      <c r="DL14" s="7">
        <f t="shared" si="8"/>
        <v>1.6832914244870007E-2</v>
      </c>
      <c r="DM14" s="7">
        <f t="shared" si="8"/>
        <v>1.9178234537619403E-2</v>
      </c>
      <c r="DN14" s="7">
        <f t="shared" si="8"/>
        <v>1.3002916017835217E-2</v>
      </c>
      <c r="DO14" s="7">
        <f t="shared" si="8"/>
        <v>4.1004898827113091E-3</v>
      </c>
      <c r="DP14" s="7">
        <f t="shared" si="8"/>
        <v>3.3445667376223406E-3</v>
      </c>
      <c r="DQ14" s="7">
        <f t="shared" si="8"/>
        <v>4.6963826663440261E-2</v>
      </c>
      <c r="DR14" s="7">
        <f t="shared" si="8"/>
        <v>7.9056673316813385E-3</v>
      </c>
      <c r="DS14" s="7">
        <f t="shared" si="8"/>
        <v>6.9619874770451839E-3</v>
      </c>
      <c r="DT14" s="7">
        <f t="shared" si="8"/>
        <v>1.5166188801467074E-2</v>
      </c>
      <c r="DU14" s="7">
        <f t="shared" si="8"/>
        <v>4.8208291981431249E-2</v>
      </c>
      <c r="DV14" s="7">
        <f t="shared" si="8"/>
        <v>5.7921023689516471E-7</v>
      </c>
      <c r="DW14" s="7">
        <f t="shared" si="8"/>
        <v>7.6653369416468543E-3</v>
      </c>
      <c r="DX14" s="7">
        <f t="shared" si="8"/>
        <v>1.1681079014731093E-3</v>
      </c>
      <c r="DY14" s="7">
        <f t="shared" si="8"/>
        <v>4.1811437344629075E-2</v>
      </c>
      <c r="DZ14" s="7">
        <f t="shared" si="8"/>
        <v>3.4086347136913523E-3</v>
      </c>
      <c r="EA14" s="7">
        <f t="shared" ref="EA14:EF14" si="9">(EA4-EA10)^2</f>
        <v>4.667662926454934E-3</v>
      </c>
      <c r="EB14" s="7">
        <f t="shared" si="9"/>
        <v>6.3270262729874363E-2</v>
      </c>
      <c r="EC14" s="7">
        <f t="shared" si="9"/>
        <v>3.8080117148697387E-5</v>
      </c>
      <c r="ED14" s="7">
        <f t="shared" si="9"/>
        <v>4.6313097833159024E-4</v>
      </c>
      <c r="EE14" s="7">
        <f t="shared" si="9"/>
        <v>1.4429256294608056E-3</v>
      </c>
      <c r="EF14" s="7">
        <f t="shared" si="9"/>
        <v>0.13710250088260023</v>
      </c>
    </row>
    <row r="15" spans="1:136">
      <c r="A15" s="10"/>
      <c r="B15" s="10" t="s">
        <v>138</v>
      </c>
      <c r="C15" s="7">
        <f t="shared" ref="C15:AH15" si="10">(C5-C11)^2</f>
        <v>2.405874921442747E-2</v>
      </c>
      <c r="D15" s="7">
        <f t="shared" si="10"/>
        <v>2.3293635088154657E-2</v>
      </c>
      <c r="E15" s="7">
        <f t="shared" si="10"/>
        <v>0.29459664529731461</v>
      </c>
      <c r="F15" s="7">
        <f t="shared" si="10"/>
        <v>1.8093242109022706E-2</v>
      </c>
      <c r="G15" s="7">
        <f t="shared" si="10"/>
        <v>9.8109396993650066E-2</v>
      </c>
      <c r="H15" s="7">
        <f t="shared" si="10"/>
        <v>0.22276490933123369</v>
      </c>
      <c r="I15" s="7">
        <f t="shared" si="10"/>
        <v>2.7262130155613313E-2</v>
      </c>
      <c r="J15" s="7">
        <f t="shared" si="10"/>
        <v>6.1234956513977253E-3</v>
      </c>
      <c r="K15" s="7">
        <f t="shared" si="10"/>
        <v>3.9330534783208478E-2</v>
      </c>
      <c r="L15" s="7">
        <f t="shared" si="10"/>
        <v>0.19285094304739839</v>
      </c>
      <c r="M15" s="7">
        <f t="shared" si="10"/>
        <v>7.2842619862017524E-2</v>
      </c>
      <c r="N15" s="7">
        <f t="shared" si="10"/>
        <v>7.8609227785319369E-2</v>
      </c>
      <c r="O15" s="7">
        <f t="shared" si="10"/>
        <v>2.6392163546644542E-2</v>
      </c>
      <c r="P15" s="7">
        <f t="shared" si="10"/>
        <v>0.15250897943364217</v>
      </c>
      <c r="Q15" s="7">
        <f t="shared" si="10"/>
        <v>8.5733539002288647E-4</v>
      </c>
      <c r="R15" s="7">
        <f t="shared" si="10"/>
        <v>8.7460374855595612E-3</v>
      </c>
      <c r="S15" s="7">
        <f t="shared" si="10"/>
        <v>7.2491394980314011E-2</v>
      </c>
      <c r="T15" s="7">
        <f t="shared" si="10"/>
        <v>3.2511820878735123E-3</v>
      </c>
      <c r="U15" s="7">
        <f t="shared" si="10"/>
        <v>2.0114330532096993E-4</v>
      </c>
      <c r="V15" s="7">
        <f t="shared" si="10"/>
        <v>2.3898314639651273E-2</v>
      </c>
      <c r="W15" s="7">
        <f t="shared" si="10"/>
        <v>8.4103976548501685E-2</v>
      </c>
      <c r="X15" s="7">
        <f t="shared" si="10"/>
        <v>2.7072256529345758E-2</v>
      </c>
      <c r="Y15" s="7">
        <f t="shared" si="10"/>
        <v>0.5482978875588671</v>
      </c>
      <c r="Z15" s="7">
        <f t="shared" si="10"/>
        <v>3.2672188124006664E-2</v>
      </c>
      <c r="AA15" s="7">
        <f t="shared" si="10"/>
        <v>6.3500679571694843E-3</v>
      </c>
      <c r="AB15" s="7">
        <f t="shared" si="10"/>
        <v>4.0718512820479127E-2</v>
      </c>
      <c r="AC15" s="7">
        <f t="shared" si="10"/>
        <v>2.0171773040789036E-4</v>
      </c>
      <c r="AD15" s="7">
        <f t="shared" si="10"/>
        <v>2.0049425022792722E-2</v>
      </c>
      <c r="AE15" s="7">
        <f t="shared" si="10"/>
        <v>1.0196428782332021E-2</v>
      </c>
      <c r="AF15" s="7">
        <f t="shared" si="10"/>
        <v>0.10945347702938428</v>
      </c>
      <c r="AG15" s="7">
        <f t="shared" si="10"/>
        <v>7.6720154603692012E-2</v>
      </c>
      <c r="AH15" s="7">
        <f t="shared" si="10"/>
        <v>0.11788297153715228</v>
      </c>
      <c r="AI15" s="7">
        <f t="shared" ref="AI15:BN15" si="11">(AI5-AI11)^2</f>
        <v>5.3207895291471012E-2</v>
      </c>
      <c r="AJ15" s="7">
        <f t="shared" si="11"/>
        <v>0.21754147975711921</v>
      </c>
      <c r="AK15" s="7">
        <f t="shared" si="11"/>
        <v>3.2238049939035035E-2</v>
      </c>
      <c r="AL15" s="7">
        <f t="shared" si="11"/>
        <v>6.0468288103145808E-3</v>
      </c>
      <c r="AM15" s="7">
        <f t="shared" si="11"/>
        <v>1.3897928479421332E-4</v>
      </c>
      <c r="AN15" s="7">
        <f t="shared" si="11"/>
        <v>1.6214796439821447E-2</v>
      </c>
      <c r="AO15" s="7">
        <f t="shared" si="11"/>
        <v>1.5869670019825192E-2</v>
      </c>
      <c r="AP15" s="7">
        <f t="shared" si="11"/>
        <v>9.8648155443152602E-7</v>
      </c>
      <c r="AQ15" s="7">
        <f t="shared" si="11"/>
        <v>1.8742263024141542E-2</v>
      </c>
      <c r="AR15" s="7">
        <f t="shared" si="11"/>
        <v>1.7209972173421621E-2</v>
      </c>
      <c r="AS15" s="7">
        <f t="shared" si="11"/>
        <v>2.7484847340199452E-2</v>
      </c>
      <c r="AT15" s="7">
        <f t="shared" si="11"/>
        <v>1.0362654981528571E-5</v>
      </c>
      <c r="AU15" s="7">
        <f t="shared" si="11"/>
        <v>2.5600517236982125E-2</v>
      </c>
      <c r="AV15" s="7">
        <f t="shared" si="11"/>
        <v>3.6068544085765698E-3</v>
      </c>
      <c r="AW15" s="7">
        <f t="shared" si="11"/>
        <v>3.5039547936425467E-3</v>
      </c>
      <c r="AX15" s="7">
        <f t="shared" si="11"/>
        <v>6.8718251904354391E-2</v>
      </c>
      <c r="AY15" s="7">
        <f t="shared" si="11"/>
        <v>3.2257907670147176E-2</v>
      </c>
      <c r="AZ15" s="7">
        <f t="shared" si="11"/>
        <v>7.1922926855121166E-2</v>
      </c>
      <c r="BA15" s="7">
        <f t="shared" si="11"/>
        <v>1.3990978027730208E-3</v>
      </c>
      <c r="BB15" s="7">
        <f t="shared" si="11"/>
        <v>5.3767709148805493E-2</v>
      </c>
      <c r="BC15" s="7">
        <f t="shared" si="11"/>
        <v>3.6234463820952162E-2</v>
      </c>
      <c r="BD15" s="7">
        <f t="shared" si="11"/>
        <v>8.4172436517509202E-3</v>
      </c>
      <c r="BE15" s="7">
        <f t="shared" si="11"/>
        <v>6.8853883838167582E-2</v>
      </c>
      <c r="BF15" s="7">
        <f t="shared" si="11"/>
        <v>5.8529421217985511E-3</v>
      </c>
      <c r="BG15" s="7">
        <f t="shared" si="11"/>
        <v>2.5461126495132957E-3</v>
      </c>
      <c r="BH15" s="7">
        <f t="shared" si="11"/>
        <v>1.4637133707172376E-2</v>
      </c>
      <c r="BI15" s="7">
        <f t="shared" si="11"/>
        <v>1.8303138030018238E-2</v>
      </c>
      <c r="BJ15" s="7">
        <f t="shared" si="11"/>
        <v>5.0029310844908956E-2</v>
      </c>
      <c r="BK15" s="7">
        <f t="shared" si="11"/>
        <v>4.1472373788238537E-2</v>
      </c>
      <c r="BL15" s="7">
        <f t="shared" si="11"/>
        <v>9.582406673692109E-3</v>
      </c>
      <c r="BM15" s="7">
        <f t="shared" si="11"/>
        <v>1.4892550615159326E-3</v>
      </c>
      <c r="BN15" s="7">
        <f t="shared" si="11"/>
        <v>2.1019433197472629E-2</v>
      </c>
      <c r="BO15" s="7">
        <f t="shared" ref="BO15:CT15" si="12">(BO5-BO11)^2</f>
        <v>7.1489161695194852E-3</v>
      </c>
      <c r="BP15" s="7">
        <f t="shared" si="12"/>
        <v>4.9018554265506831E-4</v>
      </c>
      <c r="BQ15" s="7">
        <f t="shared" si="12"/>
        <v>2.2924489228619893E-2</v>
      </c>
      <c r="BR15" s="7">
        <f t="shared" si="12"/>
        <v>4.6348051395399242E-2</v>
      </c>
      <c r="BS15" s="7">
        <f t="shared" si="12"/>
        <v>4.9350462262851509E-2</v>
      </c>
      <c r="BT15" s="7">
        <f t="shared" si="12"/>
        <v>2.8897822394271758E-2</v>
      </c>
      <c r="BU15" s="7">
        <f t="shared" si="12"/>
        <v>1.3466616565994167E-2</v>
      </c>
      <c r="BV15" s="7">
        <f t="shared" si="12"/>
        <v>4.2031925355017815E-3</v>
      </c>
      <c r="BW15" s="7">
        <f t="shared" si="12"/>
        <v>2.1067933163668452E-4</v>
      </c>
      <c r="BX15" s="7">
        <f t="shared" si="12"/>
        <v>1.0378315706453627E-2</v>
      </c>
      <c r="BY15" s="7">
        <f t="shared" si="12"/>
        <v>5.8881509036435567E-3</v>
      </c>
      <c r="BZ15" s="7">
        <f t="shared" si="12"/>
        <v>4.3673428872032516E-3</v>
      </c>
      <c r="CA15" s="7">
        <f t="shared" si="12"/>
        <v>3.6753632047366491E-3</v>
      </c>
      <c r="CB15" s="7">
        <f t="shared" si="12"/>
        <v>1.596123007930221E-2</v>
      </c>
      <c r="CC15" s="7">
        <f t="shared" si="12"/>
        <v>2.5736038941545799E-2</v>
      </c>
      <c r="CD15" s="7">
        <f t="shared" si="12"/>
        <v>0.1567024414461349</v>
      </c>
      <c r="CE15" s="7">
        <f t="shared" si="12"/>
        <v>4.3322620657000339E-3</v>
      </c>
      <c r="CF15" s="7">
        <f t="shared" si="12"/>
        <v>2.1733216885262124E-2</v>
      </c>
      <c r="CG15" s="7">
        <f t="shared" si="12"/>
        <v>7.9063326316364396E-2</v>
      </c>
      <c r="CH15" s="7">
        <f t="shared" si="12"/>
        <v>1.0394914619134971E-3</v>
      </c>
      <c r="CI15" s="7">
        <f t="shared" si="12"/>
        <v>1.0290411629317079E-3</v>
      </c>
      <c r="CJ15" s="7">
        <f t="shared" si="12"/>
        <v>0.24374772797212513</v>
      </c>
      <c r="CK15" s="7">
        <f t="shared" si="12"/>
        <v>6.0747993892910107E-2</v>
      </c>
      <c r="CL15" s="7">
        <f t="shared" si="12"/>
        <v>4.7558022351001761E-2</v>
      </c>
      <c r="CM15" s="7">
        <f t="shared" si="12"/>
        <v>2.41311039094371E-2</v>
      </c>
      <c r="CN15" s="7">
        <f t="shared" si="12"/>
        <v>0.14075586369264392</v>
      </c>
      <c r="CO15" s="7">
        <f t="shared" si="12"/>
        <v>0.29339799241866599</v>
      </c>
      <c r="CP15" s="7">
        <f t="shared" si="12"/>
        <v>1.0890194429082833E-4</v>
      </c>
      <c r="CQ15" s="7">
        <f t="shared" si="12"/>
        <v>8.5224012058036175E-2</v>
      </c>
      <c r="CR15" s="7">
        <f t="shared" si="12"/>
        <v>0.2253882292990842</v>
      </c>
      <c r="CS15" s="7">
        <f t="shared" si="12"/>
        <v>6.9101769864812715E-2</v>
      </c>
      <c r="CT15" s="7">
        <f t="shared" si="12"/>
        <v>6.4948778390843925E-2</v>
      </c>
      <c r="CU15" s="7">
        <f t="shared" ref="CU15:DZ15" si="13">(CU5-CU11)^2</f>
        <v>1.2376517498844553E-3</v>
      </c>
      <c r="CV15" s="7">
        <f t="shared" si="13"/>
        <v>8.4869028657436008E-2</v>
      </c>
      <c r="CW15" s="7">
        <f t="shared" si="13"/>
        <v>1.435810503471014E-2</v>
      </c>
      <c r="CX15" s="7">
        <f t="shared" si="13"/>
        <v>0.13893206813038864</v>
      </c>
      <c r="CY15" s="7">
        <f t="shared" si="13"/>
        <v>0.36304428427771102</v>
      </c>
      <c r="CZ15" s="7">
        <f t="shared" si="13"/>
        <v>0.75234390143696528</v>
      </c>
      <c r="DA15" s="7">
        <f t="shared" si="13"/>
        <v>6.7176164527273693E-2</v>
      </c>
      <c r="DB15" s="7">
        <f t="shared" si="13"/>
        <v>3.273486186453334E-4</v>
      </c>
      <c r="DC15" s="7">
        <f t="shared" si="13"/>
        <v>4.9979143119382306E-2</v>
      </c>
      <c r="DD15" s="7">
        <f t="shared" si="13"/>
        <v>6.5715308246267534E-2</v>
      </c>
      <c r="DE15" s="7">
        <f t="shared" si="13"/>
        <v>1.3779619599725264E-2</v>
      </c>
      <c r="DF15" s="7">
        <f t="shared" si="13"/>
        <v>0.15547153530738914</v>
      </c>
      <c r="DG15" s="7">
        <f t="shared" si="13"/>
        <v>5.25533195311415E-2</v>
      </c>
      <c r="DH15" s="7">
        <f t="shared" si="13"/>
        <v>1.1192678282671176E-2</v>
      </c>
      <c r="DI15" s="7">
        <f t="shared" si="13"/>
        <v>5.8448130267062352E-2</v>
      </c>
      <c r="DJ15" s="7">
        <f t="shared" si="13"/>
        <v>0.16440941888952298</v>
      </c>
      <c r="DK15" s="7">
        <f t="shared" si="13"/>
        <v>0.70395826724960586</v>
      </c>
      <c r="DL15" s="7">
        <f t="shared" si="13"/>
        <v>5.7914148790905819E-2</v>
      </c>
      <c r="DM15" s="7">
        <f t="shared" si="13"/>
        <v>0.21172131643185685</v>
      </c>
      <c r="DN15" s="7">
        <f t="shared" si="13"/>
        <v>0.60531809129546887</v>
      </c>
      <c r="DO15" s="7">
        <f t="shared" si="13"/>
        <v>9.1896142742364087E-2</v>
      </c>
      <c r="DP15" s="7">
        <f t="shared" si="13"/>
        <v>3.4550259814726862E-2</v>
      </c>
      <c r="DQ15" s="7">
        <f t="shared" si="13"/>
        <v>0.68359349095613919</v>
      </c>
      <c r="DR15" s="7">
        <f t="shared" si="13"/>
        <v>1.0001165413922777E-4</v>
      </c>
      <c r="DS15" s="7">
        <f t="shared" si="13"/>
        <v>0.11072807448978861</v>
      </c>
      <c r="DT15" s="7">
        <f t="shared" si="13"/>
        <v>8.8784319296733777E-2</v>
      </c>
      <c r="DU15" s="7">
        <f t="shared" si="13"/>
        <v>7.5469002063199023E-2</v>
      </c>
      <c r="DV15" s="7">
        <f t="shared" si="13"/>
        <v>0.55158559676116625</v>
      </c>
      <c r="DW15" s="7">
        <f t="shared" si="13"/>
        <v>5.4934112407110615E-3</v>
      </c>
      <c r="DX15" s="7">
        <f t="shared" si="13"/>
        <v>6.5056752498953915E-2</v>
      </c>
      <c r="DY15" s="7">
        <f t="shared" si="13"/>
        <v>0.2475256837966997</v>
      </c>
      <c r="DZ15" s="7">
        <f t="shared" si="13"/>
        <v>0.21087233176482217</v>
      </c>
      <c r="EA15" s="7">
        <f t="shared" ref="EA15:EF15" si="14">(EA5-EA11)^2</f>
        <v>0.15114087188472333</v>
      </c>
      <c r="EB15" s="7">
        <f t="shared" si="14"/>
        <v>0.87482148371581347</v>
      </c>
      <c r="EC15" s="7">
        <f t="shared" si="14"/>
        <v>1.531923655437289E-2</v>
      </c>
      <c r="ED15" s="7">
        <f t="shared" si="14"/>
        <v>0.10999976509349076</v>
      </c>
      <c r="EE15" s="7">
        <f t="shared" si="14"/>
        <v>0.55624904135993825</v>
      </c>
      <c r="EF15" s="7">
        <f t="shared" si="14"/>
        <v>1.0775088008824379E-2</v>
      </c>
    </row>
    <row r="17" spans="1:136">
      <c r="A17" t="s">
        <v>201</v>
      </c>
      <c r="B17" t="s">
        <v>136</v>
      </c>
      <c r="C17" s="7">
        <f t="shared" ref="C17:AH17" si="15">C9^2</f>
        <v>1.1904082277860264E-2</v>
      </c>
      <c r="D17" s="7">
        <f t="shared" si="15"/>
        <v>2.1247676054046116E-4</v>
      </c>
      <c r="E17" s="7">
        <f t="shared" si="15"/>
        <v>1.3071374994951929E-3</v>
      </c>
      <c r="F17" s="7">
        <f t="shared" si="15"/>
        <v>2.2492264027630889E-5</v>
      </c>
      <c r="G17" s="7">
        <f t="shared" si="15"/>
        <v>3.3036666141783492E-5</v>
      </c>
      <c r="H17" s="7">
        <f t="shared" si="15"/>
        <v>2.4381891708842936E-3</v>
      </c>
      <c r="I17" s="7">
        <f t="shared" si="15"/>
        <v>3.3581210916677484E-2</v>
      </c>
      <c r="J17" s="7">
        <f t="shared" si="15"/>
        <v>1.3569060155122757E-2</v>
      </c>
      <c r="K17" s="7">
        <f t="shared" si="15"/>
        <v>9.3605069620112215E-4</v>
      </c>
      <c r="L17" s="7">
        <f t="shared" si="15"/>
        <v>3.9315162352171023E-4</v>
      </c>
      <c r="M17" s="7">
        <f t="shared" si="15"/>
        <v>4.4095826822239875E-4</v>
      </c>
      <c r="N17" s="7">
        <f t="shared" si="15"/>
        <v>2.2433876085478928E-2</v>
      </c>
      <c r="O17" s="7">
        <f t="shared" si="15"/>
        <v>2.3911693040638534E-4</v>
      </c>
      <c r="P17" s="7">
        <f t="shared" si="15"/>
        <v>8.4258302823047079E-3</v>
      </c>
      <c r="Q17" s="7">
        <f t="shared" si="15"/>
        <v>5.9921553092687051E-3</v>
      </c>
      <c r="R17" s="7">
        <f t="shared" si="15"/>
        <v>3.0004754709051702E-3</v>
      </c>
      <c r="S17" s="7">
        <f t="shared" si="15"/>
        <v>1.5708708491616E-2</v>
      </c>
      <c r="T17" s="7">
        <f t="shared" si="15"/>
        <v>1.4173716945580542E-2</v>
      </c>
      <c r="U17" s="7">
        <f t="shared" si="15"/>
        <v>1.4265767398050631E-3</v>
      </c>
      <c r="V17" s="7">
        <f t="shared" si="15"/>
        <v>6.5908131416074602E-3</v>
      </c>
      <c r="W17" s="7">
        <f t="shared" si="15"/>
        <v>7.0575066817627407E-3</v>
      </c>
      <c r="X17" s="7">
        <f t="shared" si="15"/>
        <v>2.1612338960948319E-2</v>
      </c>
      <c r="Y17" s="7">
        <f t="shared" si="15"/>
        <v>1.5715264241471783E-2</v>
      </c>
      <c r="Z17" s="7">
        <f t="shared" si="15"/>
        <v>3.6846166718653456E-2</v>
      </c>
      <c r="AA17" s="7">
        <f t="shared" si="15"/>
        <v>7.1184289266528374E-3</v>
      </c>
      <c r="AB17" s="7">
        <f t="shared" si="15"/>
        <v>5.3140620982757656E-3</v>
      </c>
      <c r="AC17" s="7">
        <f t="shared" si="15"/>
        <v>1.0527695785516851E-2</v>
      </c>
      <c r="AD17" s="7">
        <f t="shared" si="15"/>
        <v>2.4869817519127077E-4</v>
      </c>
      <c r="AE17" s="7">
        <f t="shared" si="15"/>
        <v>2.3106177330172069E-2</v>
      </c>
      <c r="AF17" s="7">
        <f t="shared" si="15"/>
        <v>3.5105923035905259E-3</v>
      </c>
      <c r="AG17" s="7">
        <f t="shared" si="15"/>
        <v>1.6915301264337771E-2</v>
      </c>
      <c r="AH17" s="7">
        <f t="shared" si="15"/>
        <v>1.328403665826966E-2</v>
      </c>
      <c r="AI17" s="7">
        <f t="shared" ref="AI17:BN17" si="16">AI9^2</f>
        <v>1.0631917918075163E-3</v>
      </c>
      <c r="AJ17" s="7">
        <f t="shared" si="16"/>
        <v>7.8395043318640434E-4</v>
      </c>
      <c r="AK17" s="7">
        <f t="shared" si="16"/>
        <v>2.1482887422166509E-2</v>
      </c>
      <c r="AL17" s="7">
        <f t="shared" si="16"/>
        <v>1.668062549107739E-3</v>
      </c>
      <c r="AM17" s="7">
        <f t="shared" si="16"/>
        <v>1.7259749824038686E-2</v>
      </c>
      <c r="AN17" s="7">
        <f t="shared" si="16"/>
        <v>4.9032555464976403E-2</v>
      </c>
      <c r="AO17" s="7">
        <f t="shared" si="16"/>
        <v>4.3852711121876225E-4</v>
      </c>
      <c r="AP17" s="7">
        <f t="shared" si="16"/>
        <v>1.8812851996102171E-2</v>
      </c>
      <c r="AQ17" s="7">
        <f t="shared" si="16"/>
        <v>6.1915646627000822E-4</v>
      </c>
      <c r="AR17" s="7">
        <f t="shared" si="16"/>
        <v>2.4068328718584233E-4</v>
      </c>
      <c r="AS17" s="7">
        <f t="shared" si="16"/>
        <v>1.1815056389704321E-3</v>
      </c>
      <c r="AT17" s="7">
        <f t="shared" si="16"/>
        <v>3.9810656089414309E-3</v>
      </c>
      <c r="AU17" s="7">
        <f t="shared" si="16"/>
        <v>1.8694983030806238E-3</v>
      </c>
      <c r="AV17" s="7">
        <f t="shared" si="16"/>
        <v>5.5101474414569638E-3</v>
      </c>
      <c r="AW17" s="7">
        <f t="shared" si="16"/>
        <v>7.8371035043392316E-4</v>
      </c>
      <c r="AX17" s="7">
        <f t="shared" si="16"/>
        <v>1.4367478657017244E-2</v>
      </c>
      <c r="AY17" s="7">
        <f t="shared" si="16"/>
        <v>5.8613679493322605E-3</v>
      </c>
      <c r="AZ17" s="7">
        <f t="shared" si="16"/>
        <v>4.7220968054589304E-4</v>
      </c>
      <c r="BA17" s="7">
        <f t="shared" si="16"/>
        <v>1.5536707046446584E-6</v>
      </c>
      <c r="BB17" s="7">
        <f t="shared" si="16"/>
        <v>1.0200156097581669E-2</v>
      </c>
      <c r="BC17" s="7">
        <f t="shared" si="16"/>
        <v>8.8964574469951819E-4</v>
      </c>
      <c r="BD17" s="7">
        <f t="shared" si="16"/>
        <v>7.5268956977767048E-5</v>
      </c>
      <c r="BE17" s="7">
        <f t="shared" si="16"/>
        <v>4.7000904970756216E-3</v>
      </c>
      <c r="BF17" s="7">
        <f t="shared" si="16"/>
        <v>2.4621562948682934E-2</v>
      </c>
      <c r="BG17" s="7">
        <f t="shared" si="16"/>
        <v>2.5345828645073384E-2</v>
      </c>
      <c r="BH17" s="7">
        <f t="shared" si="16"/>
        <v>3.7358582565093718E-3</v>
      </c>
      <c r="BI17" s="7">
        <f t="shared" si="16"/>
        <v>9.3921007423280172E-3</v>
      </c>
      <c r="BJ17" s="7">
        <f t="shared" si="16"/>
        <v>2.9971517217047563E-3</v>
      </c>
      <c r="BK17" s="7">
        <f t="shared" si="16"/>
        <v>7.6550185977651616E-3</v>
      </c>
      <c r="BL17" s="7">
        <f t="shared" si="16"/>
        <v>8.9164103340217925E-3</v>
      </c>
      <c r="BM17" s="7">
        <f t="shared" si="16"/>
        <v>4.9244308753160887E-4</v>
      </c>
      <c r="BN17" s="7">
        <f t="shared" si="16"/>
        <v>2.4425352677185161E-4</v>
      </c>
      <c r="BO17" s="7">
        <f t="shared" ref="BO17:CT17" si="17">BO9^2</f>
        <v>6.6289298211247571E-3</v>
      </c>
      <c r="BP17" s="7">
        <f t="shared" si="17"/>
        <v>3.4258094968395863E-4</v>
      </c>
      <c r="BQ17" s="7">
        <f t="shared" si="17"/>
        <v>4.7237535213055463E-3</v>
      </c>
      <c r="BR17" s="7">
        <f t="shared" si="17"/>
        <v>9.6246407867516525E-6</v>
      </c>
      <c r="BS17" s="7">
        <f t="shared" si="17"/>
        <v>5.6196639138378088E-3</v>
      </c>
      <c r="BT17" s="7">
        <f t="shared" si="17"/>
        <v>2.0431835304301382E-3</v>
      </c>
      <c r="BU17" s="7">
        <f t="shared" si="17"/>
        <v>6.5932524502488709E-4</v>
      </c>
      <c r="BV17" s="7">
        <f t="shared" si="17"/>
        <v>8.427980119369332E-3</v>
      </c>
      <c r="BW17" s="7">
        <f t="shared" si="17"/>
        <v>6.9453326513524774E-4</v>
      </c>
      <c r="BX17" s="7">
        <f t="shared" si="17"/>
        <v>3.7615951743202121E-4</v>
      </c>
      <c r="BY17" s="7">
        <f t="shared" si="17"/>
        <v>5.9042164483032638E-3</v>
      </c>
      <c r="BZ17" s="7">
        <f t="shared" si="17"/>
        <v>1.2839000623048005E-2</v>
      </c>
      <c r="CA17" s="7">
        <f t="shared" si="17"/>
        <v>1.1525082059920233E-2</v>
      </c>
      <c r="CB17" s="7">
        <f t="shared" si="17"/>
        <v>1.6682967477483388E-3</v>
      </c>
      <c r="CC17" s="7">
        <f t="shared" si="17"/>
        <v>3.9210767823715285E-4</v>
      </c>
      <c r="CD17" s="7">
        <f t="shared" si="17"/>
        <v>3.548592802252902E-2</v>
      </c>
      <c r="CE17" s="7">
        <f t="shared" si="17"/>
        <v>3.0885701458901937E-3</v>
      </c>
      <c r="CF17" s="7">
        <f t="shared" si="17"/>
        <v>5.6058275198580514E-3</v>
      </c>
      <c r="CG17" s="7">
        <f t="shared" si="17"/>
        <v>1.0000038380535725E-2</v>
      </c>
      <c r="CH17" s="7">
        <f t="shared" si="17"/>
        <v>1.850190885600296E-2</v>
      </c>
      <c r="CI17" s="7">
        <f t="shared" si="17"/>
        <v>8.7873778374468071E-3</v>
      </c>
      <c r="CJ17" s="7">
        <f t="shared" si="17"/>
        <v>1.5449609443997168E-5</v>
      </c>
      <c r="CK17" s="7">
        <f t="shared" si="17"/>
        <v>3.1931288133821255E-3</v>
      </c>
      <c r="CL17" s="7">
        <f t="shared" si="17"/>
        <v>6.9456377220562526E-2</v>
      </c>
      <c r="CM17" s="7">
        <f t="shared" si="17"/>
        <v>9.1306336429085243E-5</v>
      </c>
      <c r="CN17" s="7">
        <f t="shared" si="17"/>
        <v>9.9299981066329653E-4</v>
      </c>
      <c r="CO17" s="7">
        <f t="shared" si="17"/>
        <v>5.1162058729769763E-4</v>
      </c>
      <c r="CP17" s="7">
        <f t="shared" si="17"/>
        <v>1.7597510690797149E-2</v>
      </c>
      <c r="CQ17" s="7">
        <f t="shared" si="17"/>
        <v>1.7708364708443211E-2</v>
      </c>
      <c r="CR17" s="7">
        <f t="shared" si="17"/>
        <v>2.2369415134259262E-4</v>
      </c>
      <c r="CS17" s="7">
        <f t="shared" si="17"/>
        <v>1.1168922557625953E-3</v>
      </c>
      <c r="CT17" s="7">
        <f t="shared" si="17"/>
        <v>1.5082808365029206E-4</v>
      </c>
      <c r="CU17" s="7">
        <f t="shared" ref="CU17:DZ17" si="18">CU9^2</f>
        <v>1.3645740385844037E-2</v>
      </c>
      <c r="CV17" s="7">
        <f t="shared" si="18"/>
        <v>9.9789357659655527E-6</v>
      </c>
      <c r="CW17" s="7">
        <f t="shared" si="18"/>
        <v>1.4605970535097568E-3</v>
      </c>
      <c r="CX17" s="7">
        <f t="shared" si="18"/>
        <v>1.9369428669164728E-2</v>
      </c>
      <c r="CY17" s="7">
        <f t="shared" si="18"/>
        <v>5.6227258353762984E-4</v>
      </c>
      <c r="CZ17" s="7">
        <f t="shared" si="18"/>
        <v>4.7677993769128582E-2</v>
      </c>
      <c r="DA17" s="7">
        <f t="shared" si="18"/>
        <v>3.3602150955513014E-3</v>
      </c>
      <c r="DB17" s="7">
        <f t="shared" si="18"/>
        <v>1.9892898007428065E-4</v>
      </c>
      <c r="DC17" s="7">
        <f t="shared" si="18"/>
        <v>1.298598834966512E-2</v>
      </c>
      <c r="DD17" s="7">
        <f t="shared" si="18"/>
        <v>5.5461177913042319E-3</v>
      </c>
      <c r="DE17" s="7">
        <f t="shared" si="18"/>
        <v>8.0944705118043796E-7</v>
      </c>
      <c r="DF17" s="7">
        <f t="shared" si="18"/>
        <v>9.5466930982486662E-7</v>
      </c>
      <c r="DG17" s="7">
        <f t="shared" si="18"/>
        <v>5.3260942765597724E-3</v>
      </c>
      <c r="DH17" s="7">
        <f t="shared" si="18"/>
        <v>5.6859770483571833E-4</v>
      </c>
      <c r="DI17" s="7">
        <f t="shared" si="18"/>
        <v>1.0308477356134783E-2</v>
      </c>
      <c r="DJ17" s="7">
        <f t="shared" si="18"/>
        <v>7.6687657573272126E-4</v>
      </c>
      <c r="DK17" s="7">
        <f t="shared" si="18"/>
        <v>2.4339573117996964E-3</v>
      </c>
      <c r="DL17" s="7">
        <f t="shared" si="18"/>
        <v>3.248267667612629E-5</v>
      </c>
      <c r="DM17" s="7">
        <f t="shared" si="18"/>
        <v>1.3676505773505593E-3</v>
      </c>
      <c r="DN17" s="7">
        <f t="shared" si="18"/>
        <v>1.2058891959025398E-2</v>
      </c>
      <c r="DO17" s="7">
        <f t="shared" si="18"/>
        <v>1.7670946755159902E-3</v>
      </c>
      <c r="DP17" s="7">
        <f t="shared" si="18"/>
        <v>7.1515213376560464E-3</v>
      </c>
      <c r="DQ17" s="7">
        <f t="shared" si="18"/>
        <v>1.2161636684326392E-2</v>
      </c>
      <c r="DR17" s="7">
        <f t="shared" si="18"/>
        <v>8.8979053657027001E-3</v>
      </c>
      <c r="DS17" s="7">
        <f t="shared" si="18"/>
        <v>5.1706040810191528E-3</v>
      </c>
      <c r="DT17" s="7">
        <f t="shared" si="18"/>
        <v>9.2614503642733919E-3</v>
      </c>
      <c r="DU17" s="7">
        <f t="shared" si="18"/>
        <v>5.5016020342108963E-6</v>
      </c>
      <c r="DV17" s="7">
        <f t="shared" si="18"/>
        <v>1.7960669823662546E-2</v>
      </c>
      <c r="DW17" s="7">
        <f t="shared" si="18"/>
        <v>8.9742501777570517E-3</v>
      </c>
      <c r="DX17" s="7">
        <f t="shared" si="18"/>
        <v>1.0768876593012837E-2</v>
      </c>
      <c r="DY17" s="7">
        <f t="shared" si="18"/>
        <v>5.7399040046420165E-3</v>
      </c>
      <c r="DZ17" s="7">
        <f t="shared" si="18"/>
        <v>1.0131311029084758E-3</v>
      </c>
      <c r="EA17" s="7">
        <f t="shared" ref="EA17:EF17" si="19">EA9^2</f>
        <v>2.6020277100143683E-2</v>
      </c>
      <c r="EB17" s="7">
        <f t="shared" si="19"/>
        <v>1.0411208891300061E-4</v>
      </c>
      <c r="EC17" s="7">
        <f t="shared" si="19"/>
        <v>5.4742870589305657E-3</v>
      </c>
      <c r="ED17" s="7">
        <f t="shared" si="19"/>
        <v>2.4767480781445986E-2</v>
      </c>
      <c r="EE17" s="7">
        <f t="shared" si="19"/>
        <v>6.2627523737550815E-3</v>
      </c>
      <c r="EF17" s="7">
        <f t="shared" si="19"/>
        <v>5.2603901117786907E-3</v>
      </c>
    </row>
    <row r="18" spans="1:136">
      <c r="B18" t="s">
        <v>137</v>
      </c>
      <c r="C18" s="7">
        <f t="shared" ref="C18:AH18" si="20">C10^2</f>
        <v>6.1300169090364023E-2</v>
      </c>
      <c r="D18" s="7">
        <f t="shared" si="20"/>
        <v>7.5456410721795972E-2</v>
      </c>
      <c r="E18" s="7">
        <f t="shared" si="20"/>
        <v>7.1653491215006608E-3</v>
      </c>
      <c r="F18" s="7">
        <f t="shared" si="20"/>
        <v>5.1277932467457823E-4</v>
      </c>
      <c r="G18" s="7">
        <f t="shared" si="20"/>
        <v>2.4681024790687124E-3</v>
      </c>
      <c r="H18" s="7">
        <f t="shared" si="20"/>
        <v>1.0152503674850528E-2</v>
      </c>
      <c r="I18" s="7">
        <f t="shared" si="20"/>
        <v>1.568185506319921E-4</v>
      </c>
      <c r="J18" s="7">
        <f t="shared" si="20"/>
        <v>6.1994443791691554E-3</v>
      </c>
      <c r="K18" s="7">
        <f t="shared" si="20"/>
        <v>1.1686210786418709E-3</v>
      </c>
      <c r="L18" s="7">
        <f t="shared" si="20"/>
        <v>7.8157618954765237E-3</v>
      </c>
      <c r="M18" s="7">
        <f t="shared" si="20"/>
        <v>9.384753841255295E-6</v>
      </c>
      <c r="N18" s="7">
        <f t="shared" si="20"/>
        <v>4.5036476574086326E-2</v>
      </c>
      <c r="O18" s="7">
        <f t="shared" si="20"/>
        <v>1.3546366286925624E-3</v>
      </c>
      <c r="P18" s="7">
        <f t="shared" si="20"/>
        <v>5.0457039774389721E-3</v>
      </c>
      <c r="Q18" s="7">
        <f t="shared" si="20"/>
        <v>5.0781490762883581E-3</v>
      </c>
      <c r="R18" s="7">
        <f t="shared" si="20"/>
        <v>4.6485286217124193E-4</v>
      </c>
      <c r="S18" s="7">
        <f t="shared" si="20"/>
        <v>1.0223486509543127E-2</v>
      </c>
      <c r="T18" s="7">
        <f t="shared" si="20"/>
        <v>1.8683781301546628E-3</v>
      </c>
      <c r="U18" s="7">
        <f t="shared" si="20"/>
        <v>2.2147242359019667E-4</v>
      </c>
      <c r="V18" s="7">
        <f t="shared" si="20"/>
        <v>4.0018583491306699E-5</v>
      </c>
      <c r="W18" s="7">
        <f t="shared" si="20"/>
        <v>2.0607457624597373E-2</v>
      </c>
      <c r="X18" s="7">
        <f t="shared" si="20"/>
        <v>4.1321976387742217E-3</v>
      </c>
      <c r="Y18" s="7">
        <f t="shared" si="20"/>
        <v>3.6230087920246964E-4</v>
      </c>
      <c r="Z18" s="7">
        <f t="shared" si="20"/>
        <v>4.2619770257246479E-4</v>
      </c>
      <c r="AA18" s="7">
        <f t="shared" si="20"/>
        <v>1.0929332099957007E-3</v>
      </c>
      <c r="AB18" s="7">
        <f t="shared" si="20"/>
        <v>3.7706753115437583E-4</v>
      </c>
      <c r="AC18" s="7">
        <f t="shared" si="20"/>
        <v>3.9849977723438457E-3</v>
      </c>
      <c r="AD18" s="7">
        <f t="shared" si="20"/>
        <v>4.3072591163810263E-3</v>
      </c>
      <c r="AE18" s="7">
        <f t="shared" si="20"/>
        <v>1.9042810256226231E-2</v>
      </c>
      <c r="AF18" s="7">
        <f t="shared" si="20"/>
        <v>1.0113906222416341E-2</v>
      </c>
      <c r="AG18" s="7">
        <f t="shared" si="20"/>
        <v>1.4416518828127469E-3</v>
      </c>
      <c r="AH18" s="7">
        <f t="shared" si="20"/>
        <v>2.1012632264048744E-3</v>
      </c>
      <c r="AI18" s="7">
        <f t="shared" ref="AI18:BN18" si="21">AI10^2</f>
        <v>2.6044789051912999E-3</v>
      </c>
      <c r="AJ18" s="7">
        <f t="shared" si="21"/>
        <v>1.0371239511276646E-5</v>
      </c>
      <c r="AK18" s="7">
        <f t="shared" si="21"/>
        <v>2.3963921924093171E-7</v>
      </c>
      <c r="AL18" s="7">
        <f t="shared" si="21"/>
        <v>1.1330911354520039E-2</v>
      </c>
      <c r="AM18" s="7">
        <f t="shared" si="21"/>
        <v>1.883474509221127E-4</v>
      </c>
      <c r="AN18" s="7">
        <f t="shared" si="21"/>
        <v>1.4875389913204669E-2</v>
      </c>
      <c r="AO18" s="7">
        <f t="shared" si="21"/>
        <v>2.3609556394479764E-3</v>
      </c>
      <c r="AP18" s="7">
        <f t="shared" si="21"/>
        <v>3.6219815731516953E-6</v>
      </c>
      <c r="AQ18" s="7">
        <f t="shared" si="21"/>
        <v>8.4491867337224593E-4</v>
      </c>
      <c r="AR18" s="7">
        <f t="shared" si="21"/>
        <v>2.7705250060662671E-3</v>
      </c>
      <c r="AS18" s="7">
        <f t="shared" si="21"/>
        <v>1.6623611670017849E-4</v>
      </c>
      <c r="AT18" s="7">
        <f t="shared" si="21"/>
        <v>4.541735420018535E-6</v>
      </c>
      <c r="AU18" s="7">
        <f t="shared" si="21"/>
        <v>2.4144306160754265E-2</v>
      </c>
      <c r="AV18" s="7">
        <f t="shared" si="21"/>
        <v>1.6082764905029582E-4</v>
      </c>
      <c r="AW18" s="7">
        <f t="shared" si="21"/>
        <v>1.4261904564871037E-4</v>
      </c>
      <c r="AX18" s="7">
        <f t="shared" si="21"/>
        <v>1.8094742098652484E-5</v>
      </c>
      <c r="AY18" s="7">
        <f t="shared" si="21"/>
        <v>8.5854107590684829E-4</v>
      </c>
      <c r="AZ18" s="7">
        <f t="shared" si="21"/>
        <v>1.7990186561850662E-2</v>
      </c>
      <c r="BA18" s="7">
        <f t="shared" si="21"/>
        <v>1.8799571566061855E-2</v>
      </c>
      <c r="BB18" s="7">
        <f t="shared" si="21"/>
        <v>3.0788334943751427E-6</v>
      </c>
      <c r="BC18" s="7">
        <f t="shared" si="21"/>
        <v>6.3087002382422445E-4</v>
      </c>
      <c r="BD18" s="7">
        <f t="shared" si="21"/>
        <v>1.4304616064498009E-2</v>
      </c>
      <c r="BE18" s="7">
        <f t="shared" si="21"/>
        <v>1.8431225512955431E-2</v>
      </c>
      <c r="BF18" s="7">
        <f t="shared" si="21"/>
        <v>2.2175775080298639E-3</v>
      </c>
      <c r="BG18" s="7">
        <f t="shared" si="21"/>
        <v>6.7860478904543942E-4</v>
      </c>
      <c r="BH18" s="7">
        <f t="shared" si="21"/>
        <v>1.9143052038415641E-3</v>
      </c>
      <c r="BI18" s="7">
        <f t="shared" si="21"/>
        <v>6.6246296481045049E-3</v>
      </c>
      <c r="BJ18" s="7">
        <f t="shared" si="21"/>
        <v>1.0120525298453803E-2</v>
      </c>
      <c r="BK18" s="7">
        <f t="shared" si="21"/>
        <v>8.1884544049846235E-3</v>
      </c>
      <c r="BL18" s="7">
        <f t="shared" si="21"/>
        <v>9.5471475034238963E-4</v>
      </c>
      <c r="BM18" s="7">
        <f t="shared" si="21"/>
        <v>3.4591085480784899E-3</v>
      </c>
      <c r="BN18" s="7">
        <f t="shared" si="21"/>
        <v>6.617113024465748E-3</v>
      </c>
      <c r="BO18" s="7">
        <f t="shared" ref="BO18:CT18" si="22">BO10^2</f>
        <v>5.9543089738482516E-5</v>
      </c>
      <c r="BP18" s="7">
        <f t="shared" si="22"/>
        <v>1.1392332566655691E-2</v>
      </c>
      <c r="BQ18" s="7">
        <f t="shared" si="22"/>
        <v>7.3746686174088762E-4</v>
      </c>
      <c r="BR18" s="7">
        <f t="shared" si="22"/>
        <v>2.962735792272784E-3</v>
      </c>
      <c r="BS18" s="7">
        <f t="shared" si="22"/>
        <v>4.6552343102339144E-3</v>
      </c>
      <c r="BT18" s="7">
        <f t="shared" si="22"/>
        <v>9.7243705233366149E-3</v>
      </c>
      <c r="BU18" s="7">
        <f t="shared" si="22"/>
        <v>1.6486185664536111E-2</v>
      </c>
      <c r="BV18" s="7">
        <f t="shared" si="22"/>
        <v>6.1469550603066659E-3</v>
      </c>
      <c r="BW18" s="7">
        <f t="shared" si="22"/>
        <v>1.4192843634773274E-2</v>
      </c>
      <c r="BX18" s="7">
        <f t="shared" si="22"/>
        <v>2.1986811101669893E-3</v>
      </c>
      <c r="BY18" s="7">
        <f t="shared" si="22"/>
        <v>1.034255309954589E-2</v>
      </c>
      <c r="BZ18" s="7">
        <f t="shared" si="22"/>
        <v>6.5946672658473903E-4</v>
      </c>
      <c r="CA18" s="7">
        <f t="shared" si="22"/>
        <v>6.9391882189381946E-3</v>
      </c>
      <c r="CB18" s="7">
        <f t="shared" si="22"/>
        <v>2.4909566624333357E-2</v>
      </c>
      <c r="CC18" s="7">
        <f t="shared" si="22"/>
        <v>5.0484679457919839E-3</v>
      </c>
      <c r="CD18" s="7">
        <f t="shared" si="22"/>
        <v>5.4575883396954768E-3</v>
      </c>
      <c r="CE18" s="7">
        <f t="shared" si="22"/>
        <v>5.6067832386980022E-2</v>
      </c>
      <c r="CF18" s="7">
        <f t="shared" si="22"/>
        <v>1.0645672168983563E-3</v>
      </c>
      <c r="CG18" s="7">
        <f t="shared" si="22"/>
        <v>1.8017920089221721E-4</v>
      </c>
      <c r="CH18" s="7">
        <f t="shared" si="22"/>
        <v>7.8213400438148902E-6</v>
      </c>
      <c r="CI18" s="7">
        <f t="shared" si="22"/>
        <v>2.2968727120364087E-3</v>
      </c>
      <c r="CJ18" s="7">
        <f t="shared" si="22"/>
        <v>1.0575629320283603E-5</v>
      </c>
      <c r="CK18" s="7">
        <f t="shared" si="22"/>
        <v>5.7317300865370067E-3</v>
      </c>
      <c r="CL18" s="7">
        <f t="shared" si="22"/>
        <v>1.9711163270756775E-3</v>
      </c>
      <c r="CM18" s="7">
        <f t="shared" si="22"/>
        <v>3.2036912913769394E-2</v>
      </c>
      <c r="CN18" s="7">
        <f t="shared" si="22"/>
        <v>3.3633349379620708E-3</v>
      </c>
      <c r="CO18" s="7">
        <f t="shared" si="22"/>
        <v>1.9429624982324575E-2</v>
      </c>
      <c r="CP18" s="7">
        <f t="shared" si="22"/>
        <v>4.1879885783785839E-3</v>
      </c>
      <c r="CQ18" s="7">
        <f t="shared" si="22"/>
        <v>3.2829051050147696E-2</v>
      </c>
      <c r="CR18" s="7">
        <f t="shared" si="22"/>
        <v>7.8559030529674386E-3</v>
      </c>
      <c r="CS18" s="7">
        <f t="shared" si="22"/>
        <v>6.411922743936203E-4</v>
      </c>
      <c r="CT18" s="7">
        <f t="shared" si="22"/>
        <v>1.2786876993597889E-2</v>
      </c>
      <c r="CU18" s="7">
        <f t="shared" ref="CU18:DZ18" si="23">CU10^2</f>
        <v>6.5544524509339751E-5</v>
      </c>
      <c r="CV18" s="7">
        <f t="shared" si="23"/>
        <v>2.0430588388809477E-3</v>
      </c>
      <c r="CW18" s="7">
        <f t="shared" si="23"/>
        <v>3.4740680595904648E-3</v>
      </c>
      <c r="CX18" s="7">
        <f t="shared" si="23"/>
        <v>1.160538698235747E-2</v>
      </c>
      <c r="CY18" s="7">
        <f t="shared" si="23"/>
        <v>9.3129254150261E-3</v>
      </c>
      <c r="CZ18" s="7">
        <f t="shared" si="23"/>
        <v>4.424895059465464E-2</v>
      </c>
      <c r="DA18" s="7">
        <f t="shared" si="23"/>
        <v>1.2091451728744079E-2</v>
      </c>
      <c r="DB18" s="7">
        <f t="shared" si="23"/>
        <v>3.6412452392839745E-2</v>
      </c>
      <c r="DC18" s="7">
        <f t="shared" si="23"/>
        <v>4.2961982124366043E-4</v>
      </c>
      <c r="DD18" s="7">
        <f t="shared" si="23"/>
        <v>7.5740634376350218E-3</v>
      </c>
      <c r="DE18" s="7">
        <f t="shared" si="23"/>
        <v>6.728033843953052E-3</v>
      </c>
      <c r="DF18" s="7">
        <f t="shared" si="23"/>
        <v>2.7847821251246123E-2</v>
      </c>
      <c r="DG18" s="7">
        <f t="shared" si="23"/>
        <v>4.9478702022008603E-2</v>
      </c>
      <c r="DH18" s="7">
        <f t="shared" si="23"/>
        <v>2.0821839571003448E-2</v>
      </c>
      <c r="DI18" s="7">
        <f t="shared" si="23"/>
        <v>1.4308932973192761E-2</v>
      </c>
      <c r="DJ18" s="7">
        <f t="shared" si="23"/>
        <v>1.0321085627255753E-2</v>
      </c>
      <c r="DK18" s="7">
        <f t="shared" si="23"/>
        <v>8.6220619337353931E-3</v>
      </c>
      <c r="DL18" s="7">
        <f t="shared" si="23"/>
        <v>1.8173586858343696E-3</v>
      </c>
      <c r="DM18" s="7">
        <f t="shared" si="23"/>
        <v>6.8445958863232442E-3</v>
      </c>
      <c r="DN18" s="7">
        <f t="shared" si="23"/>
        <v>9.6406849840983359E-4</v>
      </c>
      <c r="DO18" s="7">
        <f t="shared" si="23"/>
        <v>9.6318502978574808E-3</v>
      </c>
      <c r="DP18" s="7">
        <f t="shared" si="23"/>
        <v>1.7053455955604278E-2</v>
      </c>
      <c r="DQ18" s="7">
        <f t="shared" si="23"/>
        <v>2.3673789185478821E-3</v>
      </c>
      <c r="DR18" s="7">
        <f t="shared" si="23"/>
        <v>1.5407124335768466E-3</v>
      </c>
      <c r="DS18" s="7">
        <f t="shared" si="23"/>
        <v>2.5930725116640962E-2</v>
      </c>
      <c r="DT18" s="7">
        <f t="shared" si="23"/>
        <v>6.2226801681010647E-3</v>
      </c>
      <c r="DU18" s="7">
        <f t="shared" si="23"/>
        <v>2.6921313954919424E-2</v>
      </c>
      <c r="DV18" s="7">
        <f t="shared" si="23"/>
        <v>5.6328800675286651E-5</v>
      </c>
      <c r="DW18" s="7">
        <f t="shared" si="23"/>
        <v>1.0331756871656347E-2</v>
      </c>
      <c r="DX18" s="7">
        <f t="shared" si="23"/>
        <v>3.1405143826489668E-3</v>
      </c>
      <c r="DY18" s="7">
        <f t="shared" si="23"/>
        <v>1.137563878096463E-2</v>
      </c>
      <c r="DZ18" s="7">
        <f t="shared" si="23"/>
        <v>4.7867822305639905E-3</v>
      </c>
      <c r="EA18" s="7">
        <f t="shared" ref="EA18:EF18" si="24">EA10^2</f>
        <v>1.59235773418211E-2</v>
      </c>
      <c r="EB18" s="7">
        <f t="shared" si="24"/>
        <v>4.1908944894200424E-3</v>
      </c>
      <c r="EC18" s="7">
        <f t="shared" si="24"/>
        <v>2.6446410296186275E-3</v>
      </c>
      <c r="ED18" s="7">
        <f t="shared" si="24"/>
        <v>1.1900242728375913E-3</v>
      </c>
      <c r="EE18" s="7">
        <f t="shared" si="24"/>
        <v>2.4862225023126495E-2</v>
      </c>
      <c r="EF18" s="7">
        <f t="shared" si="24"/>
        <v>1.6174756721905801E-2</v>
      </c>
    </row>
    <row r="19" spans="1:136">
      <c r="B19" t="s">
        <v>138</v>
      </c>
      <c r="C19" s="7">
        <f t="shared" ref="C19:AH19" si="25">C11^2</f>
        <v>2.9424962947699911E-3</v>
      </c>
      <c r="D19" s="7">
        <f t="shared" si="25"/>
        <v>2.059074167658151E-3</v>
      </c>
      <c r="E19" s="7">
        <f t="shared" si="25"/>
        <v>3.1514318274691188E-4</v>
      </c>
      <c r="F19" s="7">
        <f t="shared" si="25"/>
        <v>7.6890721339683337E-3</v>
      </c>
      <c r="G19" s="7">
        <f t="shared" si="25"/>
        <v>1.0559465472918014E-2</v>
      </c>
      <c r="H19" s="7">
        <f t="shared" si="25"/>
        <v>6.3069879875624846E-6</v>
      </c>
      <c r="I19" s="7">
        <f t="shared" si="25"/>
        <v>3.3502003352045134E-4</v>
      </c>
      <c r="J19" s="7">
        <f t="shared" si="25"/>
        <v>4.8887532041517415E-4</v>
      </c>
      <c r="K19" s="7">
        <f t="shared" si="25"/>
        <v>5.9688056303032417E-3</v>
      </c>
      <c r="L19" s="7">
        <f t="shared" si="25"/>
        <v>8.7311801112263879E-5</v>
      </c>
      <c r="M19" s="7">
        <f t="shared" si="25"/>
        <v>2.873193829916625E-3</v>
      </c>
      <c r="N19" s="7">
        <f t="shared" si="25"/>
        <v>4.6073356328051786E-3</v>
      </c>
      <c r="O19" s="7">
        <f t="shared" si="25"/>
        <v>4.2158901598624366E-3</v>
      </c>
      <c r="P19" s="7">
        <f t="shared" si="25"/>
        <v>2.3821054386013211E-5</v>
      </c>
      <c r="Q19" s="7">
        <f t="shared" si="25"/>
        <v>3.6855622546895207E-4</v>
      </c>
      <c r="R19" s="7">
        <f t="shared" si="25"/>
        <v>2.9870042368556722E-5</v>
      </c>
      <c r="S19" s="7">
        <f t="shared" si="25"/>
        <v>1.3360097496481892E-3</v>
      </c>
      <c r="T19" s="7">
        <f t="shared" si="25"/>
        <v>1.6688781966867596E-2</v>
      </c>
      <c r="U19" s="7">
        <f t="shared" si="25"/>
        <v>1.8748202760809614E-4</v>
      </c>
      <c r="V19" s="7">
        <f t="shared" si="25"/>
        <v>2.3394473192739536E-4</v>
      </c>
      <c r="W19" s="7">
        <f t="shared" si="25"/>
        <v>1.0959099784052484E-2</v>
      </c>
      <c r="X19" s="7">
        <f t="shared" si="25"/>
        <v>8.6346676822882121E-2</v>
      </c>
      <c r="Y19" s="7">
        <f t="shared" si="25"/>
        <v>3.5061183838375133E-3</v>
      </c>
      <c r="Z19" s="7">
        <f t="shared" si="25"/>
        <v>3.4205878279447842E-2</v>
      </c>
      <c r="AA19" s="7">
        <f t="shared" si="25"/>
        <v>9.6525592252829466E-3</v>
      </c>
      <c r="AB19" s="7">
        <f t="shared" si="25"/>
        <v>4.3209728479720412E-7</v>
      </c>
      <c r="AC19" s="7">
        <f t="shared" si="25"/>
        <v>1.0750810579255237E-2</v>
      </c>
      <c r="AD19" s="7">
        <f t="shared" si="25"/>
        <v>1.2567690104255271E-5</v>
      </c>
      <c r="AE19" s="7">
        <f t="shared" si="25"/>
        <v>3.0835882156048783E-2</v>
      </c>
      <c r="AF19" s="7">
        <f t="shared" si="25"/>
        <v>2.4035262433120905E-2</v>
      </c>
      <c r="AG19" s="7">
        <f t="shared" si="25"/>
        <v>6.9319650662206438E-4</v>
      </c>
      <c r="AH19" s="7">
        <f t="shared" si="25"/>
        <v>2.4988102995418992E-5</v>
      </c>
      <c r="AI19" s="7">
        <f t="shared" ref="AI19:BN19" si="26">AI11^2</f>
        <v>7.8779660257925624E-4</v>
      </c>
      <c r="AJ19" s="7">
        <f t="shared" si="26"/>
        <v>5.0105213836060746E-4</v>
      </c>
      <c r="AK19" s="7">
        <f t="shared" si="26"/>
        <v>2.2109580205685515E-3</v>
      </c>
      <c r="AL19" s="7">
        <f t="shared" si="26"/>
        <v>1.0314740717783251E-2</v>
      </c>
      <c r="AM19" s="7">
        <f t="shared" si="26"/>
        <v>5.5343262156863572E-4</v>
      </c>
      <c r="AN19" s="7">
        <f t="shared" si="26"/>
        <v>2.7588997976275898E-3</v>
      </c>
      <c r="AO19" s="7">
        <f t="shared" si="26"/>
        <v>3.4225885640141755E-3</v>
      </c>
      <c r="AP19" s="7">
        <f t="shared" si="26"/>
        <v>1.118725626162101E-3</v>
      </c>
      <c r="AQ19" s="7">
        <f t="shared" si="26"/>
        <v>2.0450045203045813E-4</v>
      </c>
      <c r="AR19" s="7">
        <f t="shared" si="26"/>
        <v>1.2890681145068224E-3</v>
      </c>
      <c r="AS19" s="7">
        <f t="shared" si="26"/>
        <v>1.5826302227352094E-3</v>
      </c>
      <c r="AT19" s="7">
        <f t="shared" si="26"/>
        <v>2.2039242020426623E-2</v>
      </c>
      <c r="AU19" s="7">
        <f t="shared" si="26"/>
        <v>1.6636034229909587E-3</v>
      </c>
      <c r="AV19" s="7">
        <f t="shared" si="26"/>
        <v>1.9309590933108238E-2</v>
      </c>
      <c r="AW19" s="7">
        <f t="shared" si="26"/>
        <v>3.5836126990842362E-3</v>
      </c>
      <c r="AX19" s="7">
        <f t="shared" si="26"/>
        <v>2.2436988075031212E-2</v>
      </c>
      <c r="AY19" s="7">
        <f t="shared" si="26"/>
        <v>3.7940489141036855E-3</v>
      </c>
      <c r="AZ19" s="7">
        <f t="shared" si="26"/>
        <v>3.8377717094877179E-3</v>
      </c>
      <c r="BA19" s="7">
        <f t="shared" si="26"/>
        <v>5.7085842824112805E-6</v>
      </c>
      <c r="BB19" s="7">
        <f t="shared" si="26"/>
        <v>2.2162365071883454E-2</v>
      </c>
      <c r="BC19" s="7">
        <f t="shared" si="26"/>
        <v>3.6421850194502817E-3</v>
      </c>
      <c r="BD19" s="7">
        <f t="shared" si="26"/>
        <v>2.1567132814367246E-4</v>
      </c>
      <c r="BE19" s="7">
        <f t="shared" si="26"/>
        <v>2.1466733042722119E-2</v>
      </c>
      <c r="BF19" s="7">
        <f t="shared" si="26"/>
        <v>4.3581843456671758E-2</v>
      </c>
      <c r="BG19" s="7">
        <f t="shared" si="26"/>
        <v>4.0579385301159648E-2</v>
      </c>
      <c r="BH19" s="7">
        <f t="shared" si="26"/>
        <v>1.3935782851325853E-2</v>
      </c>
      <c r="BI19" s="7">
        <f t="shared" si="26"/>
        <v>5.9330934213272886E-3</v>
      </c>
      <c r="BJ19" s="7">
        <f t="shared" si="26"/>
        <v>1.3119113666831017E-3</v>
      </c>
      <c r="BK19" s="7">
        <f t="shared" si="26"/>
        <v>3.5748481064286472E-4</v>
      </c>
      <c r="BL19" s="7">
        <f t="shared" si="26"/>
        <v>2.9328493400993451E-2</v>
      </c>
      <c r="BM19" s="7">
        <f t="shared" si="26"/>
        <v>1.7667061037884114E-2</v>
      </c>
      <c r="BN19" s="7">
        <f t="shared" si="26"/>
        <v>1.2893630347257589E-3</v>
      </c>
      <c r="BO19" s="7">
        <f t="shared" ref="BO19:CT19" si="27">BO11^2</f>
        <v>4.555884575901441E-4</v>
      </c>
      <c r="BP19" s="7">
        <f t="shared" si="27"/>
        <v>2.4636156414780219E-3</v>
      </c>
      <c r="BQ19" s="7">
        <f t="shared" si="27"/>
        <v>2.9622597057292401E-4</v>
      </c>
      <c r="BR19" s="7">
        <f t="shared" si="27"/>
        <v>3.6034382227143044E-2</v>
      </c>
      <c r="BS19" s="7">
        <f t="shared" si="27"/>
        <v>9.5267433223972416E-3</v>
      </c>
      <c r="BT19" s="7">
        <f t="shared" si="27"/>
        <v>1.4312181655934848E-3</v>
      </c>
      <c r="BU19" s="7">
        <f t="shared" si="27"/>
        <v>3.1369302523255979E-3</v>
      </c>
      <c r="BV19" s="7">
        <f t="shared" si="27"/>
        <v>1.3627535644839506E-2</v>
      </c>
      <c r="BW19" s="7">
        <f t="shared" si="27"/>
        <v>1.9972187007291264E-2</v>
      </c>
      <c r="BX19" s="7">
        <f t="shared" si="27"/>
        <v>1.140430378647656E-5</v>
      </c>
      <c r="BY19" s="7">
        <f t="shared" si="27"/>
        <v>1.6987488721731576E-2</v>
      </c>
      <c r="BZ19" s="7">
        <f t="shared" si="27"/>
        <v>1.0047461557265778E-3</v>
      </c>
      <c r="CA19" s="7">
        <f t="shared" si="27"/>
        <v>1.6447110645557072E-3</v>
      </c>
      <c r="CB19" s="7">
        <f t="shared" si="27"/>
        <v>1.767137228315438E-3</v>
      </c>
      <c r="CC19" s="7">
        <f t="shared" si="27"/>
        <v>2.5013725272755708E-3</v>
      </c>
      <c r="CD19" s="7">
        <f t="shared" si="27"/>
        <v>4.6862621773654262E-3</v>
      </c>
      <c r="CE19" s="7">
        <f t="shared" si="27"/>
        <v>6.5338267870204162E-3</v>
      </c>
      <c r="CF19" s="7">
        <f t="shared" si="27"/>
        <v>3.7959149352106796E-6</v>
      </c>
      <c r="CG19" s="7">
        <f t="shared" si="27"/>
        <v>1.3973368107735227E-2</v>
      </c>
      <c r="CH19" s="7">
        <f t="shared" si="27"/>
        <v>1.3483500252419256E-3</v>
      </c>
      <c r="CI19" s="7">
        <f t="shared" si="27"/>
        <v>6.944354409283488E-3</v>
      </c>
      <c r="CJ19" s="7">
        <f t="shared" si="27"/>
        <v>5.3209971579111864E-2</v>
      </c>
      <c r="CK19" s="7">
        <f t="shared" si="27"/>
        <v>1.7630136062643516E-2</v>
      </c>
      <c r="CL19" s="7">
        <f t="shared" si="27"/>
        <v>1.9962106501869858E-2</v>
      </c>
      <c r="CM19" s="7">
        <f t="shared" si="27"/>
        <v>1.2698898011967283E-2</v>
      </c>
      <c r="CN19" s="7">
        <f t="shared" si="27"/>
        <v>4.9947135394185591E-2</v>
      </c>
      <c r="CO19" s="7">
        <f t="shared" si="27"/>
        <v>1.0903362974249101E-2</v>
      </c>
      <c r="CP19" s="7">
        <f t="shared" si="27"/>
        <v>2.0817366158502797E-4</v>
      </c>
      <c r="CQ19" s="7">
        <f t="shared" si="27"/>
        <v>4.2945670995945519E-2</v>
      </c>
      <c r="CR19" s="7">
        <f t="shared" si="27"/>
        <v>1.818826329983373E-2</v>
      </c>
      <c r="CS19" s="7">
        <f t="shared" si="27"/>
        <v>5.330129925765671E-3</v>
      </c>
      <c r="CT19" s="7">
        <f t="shared" si="27"/>
        <v>9.1315039355651805E-4</v>
      </c>
      <c r="CU19" s="7">
        <f t="shared" ref="CU19:DZ19" si="28">CU11^2</f>
        <v>8.2305398372276448E-2</v>
      </c>
      <c r="CV19" s="7">
        <f t="shared" si="28"/>
        <v>5.323658125231813E-2</v>
      </c>
      <c r="CW19" s="7">
        <f t="shared" si="28"/>
        <v>8.2947828598525283E-3</v>
      </c>
      <c r="CX19" s="7">
        <f t="shared" si="28"/>
        <v>1.5002754583806925E-2</v>
      </c>
      <c r="CY19" s="7">
        <f t="shared" si="28"/>
        <v>6.1437262145754186E-3</v>
      </c>
      <c r="CZ19" s="7">
        <f t="shared" si="28"/>
        <v>2.1114120178055175E-3</v>
      </c>
      <c r="DA19" s="7">
        <f t="shared" si="28"/>
        <v>6.8343561034422563E-3</v>
      </c>
      <c r="DB19" s="7">
        <f t="shared" si="28"/>
        <v>2.2305204479499383E-2</v>
      </c>
      <c r="DC19" s="7">
        <f t="shared" si="28"/>
        <v>2.2847162154111663E-3</v>
      </c>
      <c r="DD19" s="7">
        <f t="shared" si="28"/>
        <v>2.7064678662887049E-2</v>
      </c>
      <c r="DE19" s="7">
        <f t="shared" si="28"/>
        <v>1.2225360760831885E-2</v>
      </c>
      <c r="DF19" s="7">
        <f t="shared" si="28"/>
        <v>3.2966966393763162E-3</v>
      </c>
      <c r="DG19" s="7">
        <f t="shared" si="28"/>
        <v>4.6177804713180344E-2</v>
      </c>
      <c r="DH19" s="7">
        <f t="shared" si="28"/>
        <v>3.9686415441255191E-3</v>
      </c>
      <c r="DI19" s="7">
        <f t="shared" si="28"/>
        <v>4.5861486060873721E-3</v>
      </c>
      <c r="DJ19" s="7">
        <f t="shared" si="28"/>
        <v>1.4113933508686947E-2</v>
      </c>
      <c r="DK19" s="7">
        <f t="shared" si="28"/>
        <v>5.3038165655135587E-5</v>
      </c>
      <c r="DL19" s="7">
        <f t="shared" si="28"/>
        <v>5.0866278425543898E-3</v>
      </c>
      <c r="DM19" s="7">
        <f t="shared" si="28"/>
        <v>4.4192030717479113E-4</v>
      </c>
      <c r="DN19" s="7">
        <f t="shared" si="28"/>
        <v>9.2435602590540443E-4</v>
      </c>
      <c r="DO19" s="7">
        <f t="shared" si="28"/>
        <v>9.3992359170593232E-3</v>
      </c>
      <c r="DP19" s="7">
        <f t="shared" si="28"/>
        <v>5.3211643863895493E-2</v>
      </c>
      <c r="DQ19" s="7">
        <f t="shared" si="28"/>
        <v>5.6731766595356822E-2</v>
      </c>
      <c r="DR19" s="7">
        <f t="shared" si="28"/>
        <v>1.2779732721999408E-5</v>
      </c>
      <c r="DS19" s="7">
        <f t="shared" si="28"/>
        <v>1.7944107252667544E-2</v>
      </c>
      <c r="DT19" s="7">
        <f t="shared" si="28"/>
        <v>1.3249413434882942E-2</v>
      </c>
      <c r="DU19" s="7">
        <f t="shared" si="28"/>
        <v>1.0832602517582508E-2</v>
      </c>
      <c r="DV19" s="7">
        <f t="shared" si="28"/>
        <v>2.9823682090757879E-3</v>
      </c>
      <c r="DW19" s="7">
        <f t="shared" si="28"/>
        <v>1.1082370139875364E-3</v>
      </c>
      <c r="DX19" s="7">
        <f t="shared" si="28"/>
        <v>3.0354498547830525E-3</v>
      </c>
      <c r="DY19" s="7">
        <f t="shared" si="28"/>
        <v>4.7325832565790213E-3</v>
      </c>
      <c r="DZ19" s="7">
        <f t="shared" si="28"/>
        <v>2.0969279010246204E-4</v>
      </c>
      <c r="EA19" s="7">
        <f t="shared" ref="EA19:EF19" si="29">EA11^2</f>
        <v>8.5929031587546431E-2</v>
      </c>
      <c r="EB19" s="7">
        <f t="shared" si="29"/>
        <v>1.987395609544565E-2</v>
      </c>
      <c r="EC19" s="7">
        <f t="shared" si="29"/>
        <v>1.4906851026839793E-4</v>
      </c>
      <c r="ED19" s="7">
        <f t="shared" si="29"/>
        <v>3.3834798795211859E-3</v>
      </c>
      <c r="EE19" s="7">
        <f t="shared" si="29"/>
        <v>2.0852230305009004E-2</v>
      </c>
      <c r="EF19" s="7">
        <f t="shared" si="29"/>
        <v>9.4107527241881761E-3</v>
      </c>
    </row>
    <row r="21" spans="1:136">
      <c r="A21" t="s">
        <v>202</v>
      </c>
      <c r="B21" s="11">
        <f>1-SUM(C13:EF15)/SUM(C17:EF19)</f>
        <v>-3.7892493511856324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21"/>
  <sheetViews>
    <sheetView workbookViewId="0">
      <selection activeCell="G10" sqref="G10"/>
    </sheetView>
  </sheetViews>
  <sheetFormatPr baseColWidth="10" defaultColWidth="8.83203125" defaultRowHeight="15"/>
  <cols>
    <col min="1" max="1" width="13.83203125" style="12" customWidth="1"/>
  </cols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3">
        <v>5.723077803850174E-2</v>
      </c>
      <c r="D3" s="13">
        <v>7.545451819896698E-2</v>
      </c>
      <c r="E3" s="13">
        <v>5.3419496864080429E-2</v>
      </c>
      <c r="F3" s="13">
        <v>4.8055462539196007E-2</v>
      </c>
      <c r="G3" s="13">
        <v>5.6244600564241409E-2</v>
      </c>
      <c r="H3" s="13">
        <v>5.3408809006214142E-2</v>
      </c>
      <c r="I3" s="13">
        <v>5.4677728563547127E-2</v>
      </c>
      <c r="J3" s="13">
        <v>6.1407111585140228E-2</v>
      </c>
      <c r="K3" s="13">
        <v>6.1087191104888923E-2</v>
      </c>
      <c r="L3" s="13">
        <v>6.1945471912622452E-2</v>
      </c>
      <c r="M3" s="13">
        <v>6.4090974628925323E-2</v>
      </c>
      <c r="N3" s="13">
        <v>5.0166409462690353E-2</v>
      </c>
      <c r="O3" s="13">
        <v>5.0939202308654792E-2</v>
      </c>
      <c r="P3" s="13">
        <v>5.3945809602737427E-2</v>
      </c>
      <c r="Q3" s="13">
        <v>5.463515967130661E-2</v>
      </c>
      <c r="R3" s="13">
        <v>5.4097041487693787E-2</v>
      </c>
      <c r="S3" s="13">
        <v>5.4209418594837189E-2</v>
      </c>
      <c r="T3" s="13">
        <v>5.6115321815013892E-2</v>
      </c>
      <c r="U3" s="13">
        <v>5.4694335907697678E-2</v>
      </c>
      <c r="V3" s="13">
        <v>5.5520310997962952E-2</v>
      </c>
      <c r="W3" s="13">
        <v>5.7895615696907043E-2</v>
      </c>
      <c r="X3" s="13">
        <v>5.6128561496734619E-2</v>
      </c>
      <c r="Y3" s="13">
        <v>5.4498970508575439E-2</v>
      </c>
      <c r="Z3" s="13">
        <v>5.640922486782074E-2</v>
      </c>
      <c r="AA3" s="13">
        <v>5.4687082767486572E-2</v>
      </c>
      <c r="AB3" s="13">
        <v>5.4479975253343582E-2</v>
      </c>
      <c r="AC3" s="13">
        <v>5.7393115013837807E-2</v>
      </c>
      <c r="AD3" s="13">
        <v>5.7433716952800751E-2</v>
      </c>
      <c r="AE3" s="13">
        <v>4.2686142027378082E-2</v>
      </c>
      <c r="AF3" s="13">
        <v>5.614069476723671E-2</v>
      </c>
      <c r="AG3" s="13">
        <v>5.5614285171031952E-2</v>
      </c>
      <c r="AH3" s="13">
        <v>2.0760968327522281E-2</v>
      </c>
      <c r="AI3" s="13">
        <v>2.509923838078976E-2</v>
      </c>
      <c r="AJ3" s="13">
        <v>2.919439785182476E-2</v>
      </c>
      <c r="AK3" s="13">
        <v>3.0455950647592541E-2</v>
      </c>
      <c r="AL3" s="13">
        <v>3.425038605928421E-2</v>
      </c>
      <c r="AM3" s="13">
        <v>3.9540499448776252E-2</v>
      </c>
      <c r="AN3" s="13">
        <v>4.3252840638160713E-2</v>
      </c>
      <c r="AO3" s="13">
        <v>4.4728361070156097E-2</v>
      </c>
      <c r="AP3" s="13">
        <v>4.2892593890428543E-2</v>
      </c>
      <c r="AQ3" s="13">
        <v>4.543033242225647E-2</v>
      </c>
      <c r="AR3" s="13">
        <v>4.4913444668054581E-2</v>
      </c>
      <c r="AS3" s="13">
        <v>4.8380430787801743E-2</v>
      </c>
      <c r="AT3" s="13">
        <v>4.19180728495121E-2</v>
      </c>
      <c r="AU3" s="13">
        <v>4.1785150766372681E-2</v>
      </c>
      <c r="AV3" s="13">
        <v>4.3081630021333688E-2</v>
      </c>
      <c r="AW3" s="13">
        <v>4.6142738312482827E-2</v>
      </c>
      <c r="AX3" s="13">
        <v>4.5525301247835159E-2</v>
      </c>
      <c r="AY3" s="13">
        <v>4.7935985028743737E-2</v>
      </c>
      <c r="AZ3" s="13">
        <v>4.1659116744995117E-2</v>
      </c>
      <c r="BA3" s="13">
        <v>3.8711324334144592E-2</v>
      </c>
      <c r="BB3" s="13">
        <v>3.8947168737649918E-2</v>
      </c>
      <c r="BC3" s="13">
        <v>4.2427822947502143E-2</v>
      </c>
      <c r="BD3" s="13">
        <v>4.4051360338926322E-2</v>
      </c>
      <c r="BE3" s="13">
        <v>4.56375852227211E-2</v>
      </c>
      <c r="BF3" s="13">
        <v>4.8670642077922821E-2</v>
      </c>
      <c r="BG3" s="13">
        <v>4.9968019127845757E-2</v>
      </c>
      <c r="BH3" s="13">
        <v>5.1808405667543411E-2</v>
      </c>
      <c r="BI3" s="13">
        <v>5.0584189593791962E-2</v>
      </c>
      <c r="BJ3" s="13">
        <v>5.2059561014175422E-2</v>
      </c>
      <c r="BK3" s="13">
        <v>5.2372250705957413E-2</v>
      </c>
      <c r="BL3" s="13">
        <v>5.0854671746492393E-2</v>
      </c>
      <c r="BM3" s="13">
        <v>5.2194196730852127E-2</v>
      </c>
      <c r="BN3" s="13">
        <v>5.6162696331739433E-2</v>
      </c>
      <c r="BO3" s="13">
        <v>5.4506797343492508E-2</v>
      </c>
      <c r="BP3" s="13">
        <v>4.0165632963180542E-2</v>
      </c>
      <c r="BQ3" s="13">
        <v>5.2233844995498657E-2</v>
      </c>
      <c r="BR3" s="13">
        <v>3.6525636911392212E-2</v>
      </c>
      <c r="BS3" s="13">
        <v>5.2801784127950668E-2</v>
      </c>
      <c r="BT3" s="13">
        <v>4.8056013882160187E-2</v>
      </c>
      <c r="BU3" s="13">
        <v>-9.9144220352172852E-2</v>
      </c>
      <c r="BV3" s="13">
        <v>5.2249498665332787E-2</v>
      </c>
      <c r="BW3" s="13">
        <v>3.9474610239267349E-2</v>
      </c>
      <c r="BX3" s="13">
        <v>4.7410383820533752E-2</v>
      </c>
      <c r="BY3" s="13">
        <v>4.704391211271286E-2</v>
      </c>
      <c r="BZ3" s="13">
        <v>4.6114489436149597E-2</v>
      </c>
      <c r="CA3" s="13">
        <v>4.2742863297462463E-2</v>
      </c>
      <c r="CB3" s="13">
        <v>3.8489740341901779E-2</v>
      </c>
      <c r="CC3" s="13">
        <v>3.745705634355545E-2</v>
      </c>
      <c r="CD3" s="13">
        <v>3.9794288575649261E-2</v>
      </c>
      <c r="CE3" s="13">
        <v>3.74956876039505E-2</v>
      </c>
      <c r="CF3" s="13">
        <v>2.513935416936874E-2</v>
      </c>
      <c r="CG3" s="13">
        <v>3.5978682339191437E-2</v>
      </c>
      <c r="CH3" s="13">
        <v>3.177894651889801E-2</v>
      </c>
      <c r="CI3" s="13">
        <v>3.4042399376630783E-2</v>
      </c>
      <c r="CJ3" s="13">
        <v>3.8737695664167397E-2</v>
      </c>
      <c r="CK3" s="13">
        <v>3.9908383041620248E-2</v>
      </c>
      <c r="CL3" s="13">
        <v>3.7117619067430503E-2</v>
      </c>
      <c r="CM3" s="13">
        <v>1.7108667641878132E-2</v>
      </c>
      <c r="CN3" s="13">
        <v>4.0649183094501502E-2</v>
      </c>
      <c r="CO3" s="13">
        <v>2.8012029826641079E-2</v>
      </c>
      <c r="CP3" s="13">
        <v>6.033631507307291E-3</v>
      </c>
      <c r="CQ3" s="13">
        <v>3.3265896141529083E-2</v>
      </c>
      <c r="CR3" s="13">
        <v>3.3467646688222892E-2</v>
      </c>
      <c r="CS3" s="13">
        <v>2.295568585395813E-2</v>
      </c>
      <c r="CT3" s="13">
        <v>1.8620189279317859E-2</v>
      </c>
      <c r="CU3" s="13">
        <v>1.673657447099686E-2</v>
      </c>
      <c r="CV3" s="13">
        <v>8.8566392660140991E-3</v>
      </c>
      <c r="CW3" s="13">
        <v>1.8140114843845371E-2</v>
      </c>
      <c r="CX3" s="13">
        <v>2.3012114688754082E-2</v>
      </c>
      <c r="CY3" s="13">
        <v>2.5537870824337009E-2</v>
      </c>
      <c r="CZ3" s="13">
        <v>-1.074089854955673E-2</v>
      </c>
      <c r="DA3" s="13">
        <v>1.7809309065341949E-2</v>
      </c>
      <c r="DB3" s="13">
        <v>3.122199326753616E-2</v>
      </c>
      <c r="DC3" s="13">
        <v>9.9241826683282852E-3</v>
      </c>
      <c r="DD3" s="13">
        <v>3.3772524446249008E-2</v>
      </c>
      <c r="DE3" s="13">
        <v>2.3819208145141602E-2</v>
      </c>
      <c r="DF3" s="13">
        <v>2.5578401982784271E-2</v>
      </c>
      <c r="DG3" s="13">
        <v>1.3096854090690609E-2</v>
      </c>
      <c r="DH3" s="13">
        <v>2.5391291826963421E-2</v>
      </c>
      <c r="DI3" s="13">
        <v>2.3517698049545292E-2</v>
      </c>
      <c r="DJ3" s="13">
        <v>3.1970106065273281E-3</v>
      </c>
      <c r="DK3" s="13">
        <v>6.1636377358809114E-4</v>
      </c>
      <c r="DL3" s="13">
        <v>5.1844632253050804E-3</v>
      </c>
      <c r="DM3" s="13">
        <v>2.578671462833881E-2</v>
      </c>
      <c r="DN3" s="13">
        <v>9.7193727269768715E-3</v>
      </c>
      <c r="DO3" s="13">
        <v>2.619513776153326E-3</v>
      </c>
      <c r="DP3" s="13">
        <v>-4.3171625584363937E-3</v>
      </c>
      <c r="DQ3" s="13">
        <v>2.6535039767622951E-2</v>
      </c>
      <c r="DR3" s="13">
        <v>3.2421927899122238E-2</v>
      </c>
      <c r="DS3" s="13">
        <v>2.6365883648395538E-2</v>
      </c>
      <c r="DT3" s="13">
        <v>1.8022846430540081E-2</v>
      </c>
      <c r="DU3" s="13">
        <v>2.060607448220253E-2</v>
      </c>
      <c r="DV3" s="13">
        <v>2.3552460595965389E-2</v>
      </c>
      <c r="DW3" s="13">
        <v>2.1600417792797089E-2</v>
      </c>
      <c r="DX3" s="13">
        <v>1.422623824328184E-2</v>
      </c>
      <c r="DY3" s="13">
        <v>1.5565707348287111E-2</v>
      </c>
      <c r="DZ3" s="13">
        <v>1.340680755674839E-2</v>
      </c>
      <c r="EA3" s="13">
        <v>4.9481242895126343E-3</v>
      </c>
      <c r="EB3" s="13">
        <v>-1.2768213637173179E-2</v>
      </c>
      <c r="EC3" s="13">
        <v>3.6291155964136117E-2</v>
      </c>
      <c r="ED3" s="13">
        <v>2.4168495088815689E-2</v>
      </c>
      <c r="EE3" s="13">
        <v>2.1592959761619571E-2</v>
      </c>
      <c r="EF3" s="13">
        <v>2.6417184621095661E-2</v>
      </c>
    </row>
    <row r="4" spans="1:136">
      <c r="A4" s="1"/>
      <c r="B4" s="2" t="s">
        <v>137</v>
      </c>
      <c r="C4" s="13">
        <v>-8.5349172353744507E-2</v>
      </c>
      <c r="D4" s="13">
        <v>-5.1032040268182748E-2</v>
      </c>
      <c r="E4" s="13">
        <v>-2.3255964741110802E-2</v>
      </c>
      <c r="F4" s="13">
        <v>-3.055583126842976E-2</v>
      </c>
      <c r="G4" s="13">
        <v>-4.1839469224214547E-2</v>
      </c>
      <c r="H4" s="13">
        <v>-2.726390399038792E-2</v>
      </c>
      <c r="I4" s="13">
        <v>-4.8288546502590179E-2</v>
      </c>
      <c r="J4" s="13">
        <v>-3.7313267588615417E-2</v>
      </c>
      <c r="K4" s="13">
        <v>-3.7903524935245507E-2</v>
      </c>
      <c r="L4" s="13">
        <v>-3.7348430603742599E-2</v>
      </c>
      <c r="M4" s="13">
        <v>-3.7616446614265442E-2</v>
      </c>
      <c r="N4" s="13">
        <v>-3.742402046918869E-2</v>
      </c>
      <c r="O4" s="13">
        <v>-3.4556981176137917E-2</v>
      </c>
      <c r="P4" s="13">
        <v>-3.450281172990799E-2</v>
      </c>
      <c r="Q4" s="13">
        <v>-2.779831551015377E-2</v>
      </c>
      <c r="R4" s="13">
        <v>-2.6597736403346062E-2</v>
      </c>
      <c r="S4" s="13">
        <v>-2.858461253345013E-2</v>
      </c>
      <c r="T4" s="13">
        <v>-2.921631932258606E-2</v>
      </c>
      <c r="U4" s="13">
        <v>-2.885173074901104E-2</v>
      </c>
      <c r="V4" s="13">
        <v>-2.8718717396259311E-2</v>
      </c>
      <c r="W4" s="13">
        <v>-2.587226964533329E-2</v>
      </c>
      <c r="X4" s="13">
        <v>-2.8767423704266552E-2</v>
      </c>
      <c r="Y4" s="13">
        <v>-2.8886387124657631E-2</v>
      </c>
      <c r="Z4" s="13">
        <v>-3.020281903445721E-2</v>
      </c>
      <c r="AA4" s="13">
        <v>-2.969782613217831E-2</v>
      </c>
      <c r="AB4" s="13">
        <v>-2.9449734836816791E-2</v>
      </c>
      <c r="AC4" s="13">
        <v>-1.9321048632264141E-2</v>
      </c>
      <c r="AD4" s="13">
        <v>-2.8943898156285289E-2</v>
      </c>
      <c r="AE4" s="13">
        <v>-2.9567476361989972E-2</v>
      </c>
      <c r="AF4" s="13">
        <v>-2.856354787945747E-2</v>
      </c>
      <c r="AG4" s="13">
        <v>-2.832365408539772E-2</v>
      </c>
      <c r="AH4" s="13">
        <v>-2.73332130163908E-2</v>
      </c>
      <c r="AI4" s="13">
        <v>-3.7235941737890237E-2</v>
      </c>
      <c r="AJ4" s="13">
        <v>-3.4088630229234702E-2</v>
      </c>
      <c r="AK4" s="13">
        <v>-2.7424490079283711E-2</v>
      </c>
      <c r="AL4" s="13">
        <v>-2.4591473862528801E-2</v>
      </c>
      <c r="AM4" s="13">
        <v>-2.9777821153402328E-2</v>
      </c>
      <c r="AN4" s="13">
        <v>-3.3753968775272369E-2</v>
      </c>
      <c r="AO4" s="13">
        <v>-3.5720217972993851E-2</v>
      </c>
      <c r="AP4" s="13">
        <v>-1.8044905737042431E-2</v>
      </c>
      <c r="AQ4" s="13">
        <v>-2.374198846518993E-2</v>
      </c>
      <c r="AR4" s="13">
        <v>-3.8850482553243637E-2</v>
      </c>
      <c r="AS4" s="13">
        <v>-0.1345172971487045</v>
      </c>
      <c r="AT4" s="13">
        <v>-2.8492949903011319E-2</v>
      </c>
      <c r="AU4" s="13">
        <v>-3.0869178473949429E-2</v>
      </c>
      <c r="AV4" s="13">
        <v>-3.2064013183116913E-2</v>
      </c>
      <c r="AW4" s="13">
        <v>-2.6232475414872169E-2</v>
      </c>
      <c r="AX4" s="13">
        <v>-2.647383883595467E-2</v>
      </c>
      <c r="AY4" s="13">
        <v>-3.400053083896637E-2</v>
      </c>
      <c r="AZ4" s="13">
        <v>-2.7450913563370701E-2</v>
      </c>
      <c r="BA4" s="13">
        <v>-3.1005732715129849E-2</v>
      </c>
      <c r="BB4" s="13">
        <v>-3.3746343106031418E-2</v>
      </c>
      <c r="BC4" s="13">
        <v>-3.1035987660288811E-2</v>
      </c>
      <c r="BD4" s="13">
        <v>-3.058777749538422E-2</v>
      </c>
      <c r="BE4" s="13">
        <v>-3.2944157719612122E-2</v>
      </c>
      <c r="BF4" s="13">
        <v>-3.123846277594566E-2</v>
      </c>
      <c r="BG4" s="13">
        <v>-3.2052598893642432E-2</v>
      </c>
      <c r="BH4" s="13">
        <v>-3.055793792009354E-2</v>
      </c>
      <c r="BI4" s="13">
        <v>-3.1080937013030049E-2</v>
      </c>
      <c r="BJ4" s="13">
        <v>-3.0351296067237851E-2</v>
      </c>
      <c r="BK4" s="13">
        <v>-3.2760027796030038E-2</v>
      </c>
      <c r="BL4" s="13">
        <v>-3.1334664672613137E-2</v>
      </c>
      <c r="BM4" s="13">
        <v>-3.1740568578243263E-2</v>
      </c>
      <c r="BN4" s="13">
        <v>7.9825639724731445E-2</v>
      </c>
      <c r="BO4" s="13">
        <v>-2.2437060251832008E-2</v>
      </c>
      <c r="BP4" s="13">
        <v>-3.7594955414533622E-2</v>
      </c>
      <c r="BQ4" s="13">
        <v>-3.291790559887886E-2</v>
      </c>
      <c r="BR4" s="13">
        <v>-1.2001144699752331E-2</v>
      </c>
      <c r="BS4" s="13">
        <v>-1.3084841892123221E-2</v>
      </c>
      <c r="BT4" s="13">
        <v>-2.6131108403205872E-2</v>
      </c>
      <c r="BU4" s="13">
        <v>-3.5951588302850723E-2</v>
      </c>
      <c r="BV4" s="13">
        <v>-3.3736389130353928E-2</v>
      </c>
      <c r="BW4" s="13">
        <v>-2.4462303146719929E-2</v>
      </c>
      <c r="BX4" s="13">
        <v>-3.2545313239097602E-2</v>
      </c>
      <c r="BY4" s="13">
        <v>-3.1732853502035141E-2</v>
      </c>
      <c r="BZ4" s="13">
        <v>-3.5243522375822067E-2</v>
      </c>
      <c r="CA4" s="13">
        <v>-3.2394681125879288E-2</v>
      </c>
      <c r="CB4" s="13">
        <v>-2.393621951341629E-2</v>
      </c>
      <c r="CC4" s="13">
        <v>-2.886332385241985E-2</v>
      </c>
      <c r="CD4" s="13">
        <v>-2.6372920721769329E-2</v>
      </c>
      <c r="CE4" s="13">
        <v>-4.0299050509929657E-2</v>
      </c>
      <c r="CF4" s="13">
        <v>-3.2261207699775703E-2</v>
      </c>
      <c r="CG4" s="13">
        <v>-2.9903111979365349E-2</v>
      </c>
      <c r="CH4" s="13">
        <v>-3.120617009699345E-2</v>
      </c>
      <c r="CI4" s="13">
        <v>-3.1554944813251502E-2</v>
      </c>
      <c r="CJ4" s="13">
        <v>-3.2127730548381812E-2</v>
      </c>
      <c r="CK4" s="13">
        <v>-3.1585942953824997E-2</v>
      </c>
      <c r="CL4" s="13">
        <v>-3.109020926058292E-2</v>
      </c>
      <c r="CM4" s="13">
        <v>-3.116690926253796E-2</v>
      </c>
      <c r="CN4" s="13">
        <v>-3.068649023771286E-2</v>
      </c>
      <c r="CO4" s="13">
        <v>-3.051175735890865E-2</v>
      </c>
      <c r="CP4" s="13">
        <v>-3.0179880559444431E-2</v>
      </c>
      <c r="CQ4" s="13">
        <v>-3.0264537781476971E-2</v>
      </c>
      <c r="CR4" s="13">
        <v>-3.0227817595005039E-2</v>
      </c>
      <c r="CS4" s="13">
        <v>-3.038875758647919E-2</v>
      </c>
      <c r="CT4" s="13">
        <v>-2.237749099731445E-2</v>
      </c>
      <c r="CU4" s="13">
        <v>-2.6706485077738758E-2</v>
      </c>
      <c r="CV4" s="13">
        <v>-2.821129746735096E-2</v>
      </c>
      <c r="CW4" s="13">
        <v>-3.3567264676094062E-2</v>
      </c>
      <c r="CX4" s="13">
        <v>-2.7859419584274289E-2</v>
      </c>
      <c r="CY4" s="13">
        <v>-2.30282973498106E-2</v>
      </c>
      <c r="CZ4" s="13">
        <v>-2.6201611384749409E-2</v>
      </c>
      <c r="DA4" s="13">
        <v>-2.9583510011434559E-2</v>
      </c>
      <c r="DB4" s="13">
        <v>-3.3195734024047852E-2</v>
      </c>
      <c r="DC4" s="13">
        <v>-3.1532101333141327E-2</v>
      </c>
      <c r="DD4" s="13">
        <v>-2.9648697003722191E-2</v>
      </c>
      <c r="DE4" s="13">
        <v>-2.8857935220003132E-2</v>
      </c>
      <c r="DF4" s="13">
        <v>-2.8399249538779259E-2</v>
      </c>
      <c r="DG4" s="13">
        <v>-2.6426361873745918E-2</v>
      </c>
      <c r="DH4" s="13">
        <v>-3.0645843595266339E-2</v>
      </c>
      <c r="DI4" s="13">
        <v>-2.9881417751312259E-2</v>
      </c>
      <c r="DJ4" s="13">
        <v>-2.9596960172057148E-2</v>
      </c>
      <c r="DK4" s="13">
        <v>-2.841122634708881E-2</v>
      </c>
      <c r="DL4" s="13">
        <v>-3.0489476397633549E-2</v>
      </c>
      <c r="DM4" s="13">
        <v>-2.7597028762102131E-2</v>
      </c>
      <c r="DN4" s="13">
        <v>-2.8250575065612789E-2</v>
      </c>
      <c r="DO4" s="13">
        <v>-2.7726072818040851E-2</v>
      </c>
      <c r="DP4" s="13">
        <v>-2.715402282774448E-2</v>
      </c>
      <c r="DQ4" s="13">
        <v>-2.6989534497261051E-2</v>
      </c>
      <c r="DR4" s="13">
        <v>-2.888492681086063E-2</v>
      </c>
      <c r="DS4" s="13">
        <v>-2.6225227862596508E-2</v>
      </c>
      <c r="DT4" s="13">
        <v>-0.14326423406600949</v>
      </c>
      <c r="DU4" s="13">
        <v>-4.3057508766651147E-2</v>
      </c>
      <c r="DV4" s="13">
        <v>-3.2543007284402847E-2</v>
      </c>
      <c r="DW4" s="13">
        <v>-2.724632807075977E-2</v>
      </c>
      <c r="DX4" s="13">
        <v>-2.7451477944850922E-2</v>
      </c>
      <c r="DY4" s="13">
        <v>-2.8264472261071209E-2</v>
      </c>
      <c r="DZ4" s="13">
        <v>-2.418005466461182E-2</v>
      </c>
      <c r="EA4" s="13">
        <v>-2.6992777362465858E-2</v>
      </c>
      <c r="EB4" s="13">
        <v>-2.6342380791902539E-2</v>
      </c>
      <c r="EC4" s="13">
        <v>-2.8216563165187839E-2</v>
      </c>
      <c r="ED4" s="13">
        <v>-2.399775572121143E-2</v>
      </c>
      <c r="EE4" s="13">
        <v>-3.5310320556163788E-2</v>
      </c>
      <c r="EF4" s="13">
        <v>-2.9033292084932331E-2</v>
      </c>
    </row>
    <row r="5" spans="1:136">
      <c r="A5" s="1"/>
      <c r="B5" s="2" t="s">
        <v>138</v>
      </c>
      <c r="C5" s="13">
        <v>3.8081712555140261E-3</v>
      </c>
      <c r="D5" s="13">
        <v>-5.4777832701802254E-3</v>
      </c>
      <c r="E5" s="13">
        <v>-5.4900660179555416E-3</v>
      </c>
      <c r="F5" s="13">
        <v>-5.114563275128603E-3</v>
      </c>
      <c r="G5" s="13">
        <v>-7.764030247926712E-3</v>
      </c>
      <c r="H5" s="13">
        <v>-7.2011286392807961E-3</v>
      </c>
      <c r="I5" s="13">
        <v>-6.3504916615784168E-3</v>
      </c>
      <c r="J5" s="13">
        <v>-6.4376979134976864E-3</v>
      </c>
      <c r="K5" s="13">
        <v>-7.2753257118165493E-3</v>
      </c>
      <c r="L5" s="13">
        <v>-7.4702142737805843E-3</v>
      </c>
      <c r="M5" s="13">
        <v>-5.9039127081632614E-3</v>
      </c>
      <c r="N5" s="13">
        <v>1.2302654795348641E-2</v>
      </c>
      <c r="O5" s="13">
        <v>2.0934619009494781E-2</v>
      </c>
      <c r="P5" s="13">
        <v>2.7155191637575631E-3</v>
      </c>
      <c r="Q5" s="13">
        <v>3.0463424045592551E-3</v>
      </c>
      <c r="R5" s="13">
        <v>-4.8635075800120831E-3</v>
      </c>
      <c r="S5" s="13">
        <v>-1.6708682524040339E-3</v>
      </c>
      <c r="T5" s="13">
        <v>4.1404878720641136E-3</v>
      </c>
      <c r="U5" s="13">
        <v>2.761553972959518E-3</v>
      </c>
      <c r="V5" s="13">
        <v>-5.1478209206834435E-4</v>
      </c>
      <c r="W5" s="13">
        <v>7.5550959445536137E-4</v>
      </c>
      <c r="X5" s="13">
        <v>-3.1146644614636898E-3</v>
      </c>
      <c r="Y5" s="13">
        <v>-1.131144072860479E-2</v>
      </c>
      <c r="Z5" s="13">
        <v>-2.8005761560052629E-3</v>
      </c>
      <c r="AA5" s="13">
        <v>-8.9693367481231689E-3</v>
      </c>
      <c r="AB5" s="13">
        <v>-8.1666028127074242E-3</v>
      </c>
      <c r="AC5" s="13">
        <v>-1.639714278280735E-2</v>
      </c>
      <c r="AD5" s="13">
        <v>-1.0888714343309401E-2</v>
      </c>
      <c r="AE5" s="13">
        <v>-9.2730158939957619E-3</v>
      </c>
      <c r="AF5" s="13">
        <v>-4.607954528182745E-3</v>
      </c>
      <c r="AG5" s="13">
        <v>-5.8455127291381359E-3</v>
      </c>
      <c r="AH5" s="13">
        <v>-4.9838116392493248E-3</v>
      </c>
      <c r="AI5" s="13">
        <v>-3.626509103924036E-3</v>
      </c>
      <c r="AJ5" s="13">
        <v>-3.818823024630547E-3</v>
      </c>
      <c r="AK5" s="13">
        <v>-4.6545602381229401E-3</v>
      </c>
      <c r="AL5" s="13">
        <v>-5.3977398201823226E-3</v>
      </c>
      <c r="AM5" s="13">
        <v>-6.9995066151022911E-3</v>
      </c>
      <c r="AN5" s="13">
        <v>9.9394354037940502E-4</v>
      </c>
      <c r="AO5" s="13">
        <v>-4.2327293194830418E-3</v>
      </c>
      <c r="AP5" s="13">
        <v>-6.2828082591295242E-3</v>
      </c>
      <c r="AQ5" s="13">
        <v>-2.7964443434029822E-3</v>
      </c>
      <c r="AR5" s="13">
        <v>-3.548022592440248E-3</v>
      </c>
      <c r="AS5" s="13">
        <v>-1.8412303179502489E-3</v>
      </c>
      <c r="AT5" s="13">
        <v>1.7384441569447521E-2</v>
      </c>
      <c r="AU5" s="13">
        <v>-6.634250283241272E-3</v>
      </c>
      <c r="AV5" s="13">
        <v>7.3471954092383376E-3</v>
      </c>
      <c r="AW5" s="13">
        <v>4.724663682281971E-3</v>
      </c>
      <c r="AX5" s="13">
        <v>-1.7786960816010831E-3</v>
      </c>
      <c r="AY5" s="13">
        <v>-9.8629016429185867E-4</v>
      </c>
      <c r="AZ5" s="13">
        <v>1.0417148470878599E-2</v>
      </c>
      <c r="BA5" s="13">
        <v>-1.148949144408107E-3</v>
      </c>
      <c r="BB5" s="13">
        <v>-2.0870927255600691E-3</v>
      </c>
      <c r="BC5" s="13">
        <v>1.336632296442986E-3</v>
      </c>
      <c r="BD5" s="13">
        <v>5.0694281235337257E-3</v>
      </c>
      <c r="BE5" s="13">
        <v>-4.8598065041005611E-3</v>
      </c>
      <c r="BF5" s="13">
        <v>5.1613256800919771E-4</v>
      </c>
      <c r="BG5" s="13">
        <v>-7.0163407362997532E-3</v>
      </c>
      <c r="BH5" s="13">
        <v>-4.1907159611582756E-3</v>
      </c>
      <c r="BI5" s="13">
        <v>3.0854527722112829E-4</v>
      </c>
      <c r="BJ5" s="13">
        <v>-2.9275671113282442E-4</v>
      </c>
      <c r="BK5" s="13">
        <v>-1.1491622775793081E-2</v>
      </c>
      <c r="BL5" s="13">
        <v>-1.2680532410740851E-2</v>
      </c>
      <c r="BM5" s="13">
        <v>-4.4326516799628726E-3</v>
      </c>
      <c r="BN5" s="13">
        <v>-8.944263681769371E-4</v>
      </c>
      <c r="BO5" s="13">
        <v>-4.4179423712193966E-3</v>
      </c>
      <c r="BP5" s="13">
        <v>-8.5916733369231224E-3</v>
      </c>
      <c r="BQ5" s="13">
        <v>-4.4214986264705658E-3</v>
      </c>
      <c r="BR5" s="13">
        <v>1.025303965434432E-3</v>
      </c>
      <c r="BS5" s="13">
        <v>-7.2602357249706984E-4</v>
      </c>
      <c r="BT5" s="13">
        <v>2.21152906306088E-4</v>
      </c>
      <c r="BU5" s="13">
        <v>-4.0715634822845459E-3</v>
      </c>
      <c r="BV5" s="13">
        <v>-1.552917994558811E-3</v>
      </c>
      <c r="BW5" s="13">
        <v>-3.8780455943197012E-3</v>
      </c>
      <c r="BX5" s="13">
        <v>-2.1147832740098238E-3</v>
      </c>
      <c r="BY5" s="13">
        <v>-2.6352899149060249E-3</v>
      </c>
      <c r="BZ5" s="13">
        <v>1.8134823767468331E-3</v>
      </c>
      <c r="CA5" s="13">
        <v>-1.6779374331235889E-2</v>
      </c>
      <c r="CB5" s="13">
        <v>-1.808038167655468E-2</v>
      </c>
      <c r="CC5" s="13">
        <v>-9.0212021023035049E-3</v>
      </c>
      <c r="CD5" s="13">
        <v>-6.0056517831981182E-3</v>
      </c>
      <c r="CE5" s="13">
        <v>4.891709890216589E-3</v>
      </c>
      <c r="CF5" s="13">
        <v>-4.9459007568657398E-3</v>
      </c>
      <c r="CG5" s="13">
        <v>-1.764219487085938E-3</v>
      </c>
      <c r="CH5" s="13">
        <v>-2.2557761985808611E-3</v>
      </c>
      <c r="CI5" s="13">
        <v>-5.7940958067774773E-3</v>
      </c>
      <c r="CJ5" s="13">
        <v>5.3679030388593674E-3</v>
      </c>
      <c r="CK5" s="13">
        <v>-6.5037030726671219E-3</v>
      </c>
      <c r="CL5" s="13">
        <v>-9.2684589326381683E-3</v>
      </c>
      <c r="CM5" s="13">
        <v>3.4533715806901451E-3</v>
      </c>
      <c r="CN5" s="13">
        <v>-1.5305428532883521E-3</v>
      </c>
      <c r="CO5" s="13">
        <v>2.763807307928801E-3</v>
      </c>
      <c r="CP5" s="13">
        <v>-3.0045167077332739E-3</v>
      </c>
      <c r="CQ5" s="13">
        <v>-4.2182006873190403E-3</v>
      </c>
      <c r="CR5" s="13">
        <v>1.238218974322081E-3</v>
      </c>
      <c r="CS5" s="13">
        <v>-5.620910320430994E-3</v>
      </c>
      <c r="CT5" s="13">
        <v>-1.289551146328449E-4</v>
      </c>
      <c r="CU5" s="13">
        <v>-3.5577644594013691E-3</v>
      </c>
      <c r="CV5" s="13">
        <v>-8.8373589096590877E-4</v>
      </c>
      <c r="CW5" s="13">
        <v>-3.7108787801116701E-3</v>
      </c>
      <c r="CX5" s="13">
        <v>-1.892625004984438E-3</v>
      </c>
      <c r="CY5" s="13">
        <v>-2.23894277587533E-3</v>
      </c>
      <c r="CZ5" s="13">
        <v>-2.9421760700643059E-5</v>
      </c>
      <c r="DA5" s="13">
        <v>-1.453497330658138E-3</v>
      </c>
      <c r="DB5" s="13">
        <v>-3.351018531247973E-3</v>
      </c>
      <c r="DC5" s="13">
        <v>-3.9163324981927872E-3</v>
      </c>
      <c r="DD5" s="13">
        <v>-4.7809812240302563E-3</v>
      </c>
      <c r="DE5" s="13">
        <v>-4.4807596132159233E-3</v>
      </c>
      <c r="DF5" s="13">
        <v>-2.3375857621431351E-2</v>
      </c>
      <c r="DG5" s="13">
        <v>-3.9326213300228119E-3</v>
      </c>
      <c r="DH5" s="13">
        <v>-4.3730316683650017E-3</v>
      </c>
      <c r="DI5" s="13">
        <v>-1.565223932266235E-2</v>
      </c>
      <c r="DJ5" s="13">
        <v>6.0370620340108871E-3</v>
      </c>
      <c r="DK5" s="13">
        <v>-8.2938047125935555E-3</v>
      </c>
      <c r="DL5" s="13">
        <v>-4.4081835076212883E-3</v>
      </c>
      <c r="DM5" s="13">
        <v>-4.4374761637300247E-4</v>
      </c>
      <c r="DN5" s="13">
        <v>-3.0054445378482342E-3</v>
      </c>
      <c r="DO5" s="13">
        <v>2.8427736833691601E-3</v>
      </c>
      <c r="DP5" s="13">
        <v>-6.131303496658802E-3</v>
      </c>
      <c r="DQ5" s="13">
        <v>-4.6811853535473347E-3</v>
      </c>
      <c r="DR5" s="13">
        <v>-7.1722459979355344E-3</v>
      </c>
      <c r="DS5" s="13">
        <v>-3.6357224453240629E-3</v>
      </c>
      <c r="DT5" s="13">
        <v>-2.9824208468198782E-4</v>
      </c>
      <c r="DU5" s="13">
        <v>-5.6705139577388763E-3</v>
      </c>
      <c r="DV5" s="13">
        <v>-3.1858636066317558E-3</v>
      </c>
      <c r="DW5" s="13">
        <v>-7.003207691013813E-3</v>
      </c>
      <c r="DX5" s="13">
        <v>-6.6352039575576782E-3</v>
      </c>
      <c r="DY5" s="13">
        <v>-3.2449103891849522E-3</v>
      </c>
      <c r="DZ5" s="13">
        <v>-1.983507070690393E-3</v>
      </c>
      <c r="EA5" s="13">
        <v>-2.5352328084409241E-3</v>
      </c>
      <c r="EB5" s="13">
        <v>-4.4876029714941978E-3</v>
      </c>
      <c r="EC5" s="13">
        <v>-5.3785997442901126E-3</v>
      </c>
      <c r="ED5" s="13">
        <v>-6.4549529924988747E-3</v>
      </c>
      <c r="EE5" s="13">
        <v>-6.2718079425394544E-3</v>
      </c>
      <c r="EF5" s="13">
        <v>-6.1802691780030727E-3</v>
      </c>
    </row>
    <row r="7" spans="1:136">
      <c r="A7" t="s">
        <v>199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16">
        <v>0.109105830631824</v>
      </c>
      <c r="D9" s="16">
        <v>1.4576582608432649E-2</v>
      </c>
      <c r="E9" s="16">
        <v>-3.6154356576976902E-2</v>
      </c>
      <c r="F9" s="16">
        <v>-4.742600977062153E-3</v>
      </c>
      <c r="G9" s="16">
        <v>-5.7477531385562736E-3</v>
      </c>
      <c r="H9" s="16">
        <v>4.9378023156909527E-2</v>
      </c>
      <c r="I9" s="16">
        <v>0.18325176920476779</v>
      </c>
      <c r="J9" s="16">
        <v>0.1164863088741452</v>
      </c>
      <c r="K9" s="16">
        <v>-3.0594945598924051E-2</v>
      </c>
      <c r="L9" s="16">
        <v>1.9828051430277011E-2</v>
      </c>
      <c r="M9" s="16">
        <v>-2.0999006362740089E-2</v>
      </c>
      <c r="N9" s="16">
        <v>0.1497794247734946</v>
      </c>
      <c r="O9" s="16">
        <v>1.5463406170905081E-2</v>
      </c>
      <c r="P9" s="16">
        <v>-9.1792321477913982E-2</v>
      </c>
      <c r="Q9" s="16">
        <v>-7.7409013100986537E-2</v>
      </c>
      <c r="R9" s="16">
        <v>5.4776596014220982E-2</v>
      </c>
      <c r="S9" s="16">
        <v>-0.12533438670858049</v>
      </c>
      <c r="T9" s="16">
        <v>-0.1190534205538864</v>
      </c>
      <c r="U9" s="16">
        <v>-3.777005083138045E-2</v>
      </c>
      <c r="V9" s="16">
        <v>8.1183823152198617E-2</v>
      </c>
      <c r="W9" s="16">
        <v>8.4008967865119855E-2</v>
      </c>
      <c r="X9" s="16">
        <v>0.14701135657134901</v>
      </c>
      <c r="Y9" s="16">
        <v>-0.12536053701812139</v>
      </c>
      <c r="Z9" s="16">
        <v>0.1919535535452612</v>
      </c>
      <c r="AA9" s="16">
        <v>-8.4370782422902996E-2</v>
      </c>
      <c r="AB9" s="16">
        <v>7.2897613803716274E-2</v>
      </c>
      <c r="AC9" s="16">
        <v>0.10260456025692451</v>
      </c>
      <c r="AD9" s="16">
        <v>1.5770167253116588E-2</v>
      </c>
      <c r="AE9" s="16">
        <v>-0.15200716210156701</v>
      </c>
      <c r="AF9" s="16">
        <v>5.9250251506559243E-2</v>
      </c>
      <c r="AG9" s="16">
        <v>0.13005883770177931</v>
      </c>
      <c r="AH9" s="16">
        <v>0.11525639530312259</v>
      </c>
      <c r="AI9" s="16">
        <v>3.2606621901195412E-2</v>
      </c>
      <c r="AJ9" s="16">
        <v>2.79991148643382E-2</v>
      </c>
      <c r="AK9" s="16">
        <v>0.14657041796408479</v>
      </c>
      <c r="AL9" s="16">
        <v>4.0841921466891577E-2</v>
      </c>
      <c r="AM9" s="16">
        <v>0.13137636706820099</v>
      </c>
      <c r="AN9" s="16">
        <v>0.22143295930140211</v>
      </c>
      <c r="AO9" s="16">
        <v>-2.0941038924054418E-2</v>
      </c>
      <c r="AP9" s="16">
        <v>-0.13715995040864579</v>
      </c>
      <c r="AQ9" s="16">
        <v>-2.4882854865750599E-2</v>
      </c>
      <c r="AR9" s="16">
        <v>1.551397070984222E-2</v>
      </c>
      <c r="AS9" s="16">
        <v>3.4373036510765703E-2</v>
      </c>
      <c r="AT9" s="16">
        <v>6.3095686135752824E-2</v>
      </c>
      <c r="AU9" s="16">
        <v>4.3237695395113553E-2</v>
      </c>
      <c r="AV9" s="16">
        <v>-7.4230367380587331E-2</v>
      </c>
      <c r="AW9" s="16">
        <v>2.7994827208502701E-2</v>
      </c>
      <c r="AX9" s="16">
        <v>0.1198644178103629</v>
      </c>
      <c r="AY9" s="16">
        <v>7.6559571245744709E-2</v>
      </c>
      <c r="AZ9" s="16">
        <v>-2.1730386111293399E-2</v>
      </c>
      <c r="BA9" s="16">
        <v>-1.2464632784982711E-3</v>
      </c>
      <c r="BB9" s="16">
        <v>0.10099582217884891</v>
      </c>
      <c r="BC9" s="16">
        <v>2.9826929857085831E-2</v>
      </c>
      <c r="BD9" s="16">
        <v>8.6757683796749117E-3</v>
      </c>
      <c r="BE9" s="16">
        <v>6.8557206018591665E-2</v>
      </c>
      <c r="BF9" s="16">
        <v>0.15691259652648329</v>
      </c>
      <c r="BG9" s="16">
        <v>0.1592037331379933</v>
      </c>
      <c r="BH9" s="16">
        <v>6.1121667651573217E-2</v>
      </c>
      <c r="BI9" s="16">
        <v>9.6912851275401127E-2</v>
      </c>
      <c r="BJ9" s="16">
        <v>-5.4746248471514068E-2</v>
      </c>
      <c r="BK9" s="16">
        <v>-8.7492963132843785E-2</v>
      </c>
      <c r="BL9" s="16">
        <v>9.4426745861656128E-2</v>
      </c>
      <c r="BM9" s="16">
        <v>-2.2191058729398399E-2</v>
      </c>
      <c r="BN9" s="16">
        <v>1.562861243910833E-2</v>
      </c>
      <c r="BO9" s="16">
        <v>8.1418240100881306E-2</v>
      </c>
      <c r="BP9" s="16">
        <v>-1.8508942424783719E-2</v>
      </c>
      <c r="BQ9" s="16">
        <v>6.8729568027927734E-2</v>
      </c>
      <c r="BR9" s="16">
        <v>3.1023605185006549E-3</v>
      </c>
      <c r="BS9" s="16">
        <v>7.4964417651561921E-2</v>
      </c>
      <c r="BT9" s="16">
        <v>4.5201587698112312E-2</v>
      </c>
      <c r="BU9" s="16">
        <v>2.5677329398223779E-2</v>
      </c>
      <c r="BV9" s="16">
        <v>9.180403106274436E-2</v>
      </c>
      <c r="BW9" s="16">
        <v>-2.6353999034970911E-2</v>
      </c>
      <c r="BX9" s="16">
        <v>1.9394832235212069E-2</v>
      </c>
      <c r="BY9" s="16">
        <v>-7.6838899317359197E-2</v>
      </c>
      <c r="BZ9" s="16">
        <v>0.1133093139289441</v>
      </c>
      <c r="CA9" s="16">
        <v>-0.10735493495839039</v>
      </c>
      <c r="CB9" s="16">
        <v>4.0844788501696747E-2</v>
      </c>
      <c r="CC9" s="16">
        <v>-1.9801708972640539E-2</v>
      </c>
      <c r="CD9" s="16">
        <v>0.1883770899619405</v>
      </c>
      <c r="CE9" s="16">
        <v>5.5574905720929421E-2</v>
      </c>
      <c r="CF9" s="16">
        <v>7.4872074365934668E-2</v>
      </c>
      <c r="CG9" s="16">
        <v>0.1000001919024945</v>
      </c>
      <c r="CH9" s="16">
        <v>0.1360217220005796</v>
      </c>
      <c r="CI9" s="16">
        <v>-9.3741014702459921E-2</v>
      </c>
      <c r="CJ9" s="16">
        <v>3.9305991202356373E-3</v>
      </c>
      <c r="CK9" s="16">
        <v>5.6507776574398372E-2</v>
      </c>
      <c r="CL9" s="16">
        <v>0.26354577822564818</v>
      </c>
      <c r="CM9" s="16">
        <v>-9.5554349157474378E-3</v>
      </c>
      <c r="CN9" s="16">
        <v>-3.1511899508967982E-2</v>
      </c>
      <c r="CO9" s="16">
        <v>-2.2619031528730349E-2</v>
      </c>
      <c r="CP9" s="16">
        <v>0.13265560934539161</v>
      </c>
      <c r="CQ9" s="16">
        <v>0.1330727797426777</v>
      </c>
      <c r="CR9" s="16">
        <v>-1.4956408370414089E-2</v>
      </c>
      <c r="CS9" s="16">
        <v>-3.3419937997587537E-2</v>
      </c>
      <c r="CT9" s="16">
        <v>1.228120855821169E-2</v>
      </c>
      <c r="CU9" s="16">
        <v>0.11681498356736621</v>
      </c>
      <c r="CV9" s="16">
        <v>-3.1589453565969692E-3</v>
      </c>
      <c r="CW9" s="16">
        <v>3.8217758352757383E-2</v>
      </c>
      <c r="CX9" s="16">
        <v>0.13917409482071269</v>
      </c>
      <c r="CY9" s="16">
        <v>-2.3712287606589749E-2</v>
      </c>
      <c r="CZ9" s="16">
        <v>0.21835291106172269</v>
      </c>
      <c r="DA9" s="16">
        <v>-5.796736233046404E-2</v>
      </c>
      <c r="DB9" s="16">
        <v>-1.410421852050941E-2</v>
      </c>
      <c r="DC9" s="16">
        <v>0.11395608079284369</v>
      </c>
      <c r="DD9" s="16">
        <v>7.4472261891957006E-2</v>
      </c>
      <c r="DE9" s="16">
        <v>-8.9969275376677231E-4</v>
      </c>
      <c r="DF9" s="16">
        <v>9.7707180382245536E-4</v>
      </c>
      <c r="DG9" s="16">
        <v>-7.2980095070914866E-2</v>
      </c>
      <c r="DH9" s="16">
        <v>-2.384528684741952E-2</v>
      </c>
      <c r="DI9" s="16">
        <v>-0.101530671996864</v>
      </c>
      <c r="DJ9" s="16">
        <v>2.7692536462605249E-2</v>
      </c>
      <c r="DK9" s="16">
        <v>-4.9335152901351147E-2</v>
      </c>
      <c r="DL9" s="16">
        <v>-5.6993575669654463E-3</v>
      </c>
      <c r="DM9" s="16">
        <v>-3.698176006290884E-2</v>
      </c>
      <c r="DN9" s="16">
        <v>0.1098129862949979</v>
      </c>
      <c r="DO9" s="16">
        <v>4.2036825231170707E-2</v>
      </c>
      <c r="DP9" s="16">
        <v>8.4566668006112469E-2</v>
      </c>
      <c r="DQ9" s="16">
        <v>-0.11027981086457481</v>
      </c>
      <c r="DR9" s="16">
        <v>9.4328709127723676E-2</v>
      </c>
      <c r="DS9" s="16">
        <v>-7.1906912609422696E-2</v>
      </c>
      <c r="DT9" s="16">
        <v>-9.6236429507091506E-2</v>
      </c>
      <c r="DU9" s="16">
        <v>2.3455494098847921E-3</v>
      </c>
      <c r="DV9" s="16">
        <v>0.13401742358239299</v>
      </c>
      <c r="DW9" s="16">
        <v>9.4732519114383587E-2</v>
      </c>
      <c r="DX9" s="16">
        <v>-0.1037731978548066</v>
      </c>
      <c r="DY9" s="16">
        <v>7.5762154171076845E-2</v>
      </c>
      <c r="DZ9" s="16">
        <v>-3.1829720434029513E-2</v>
      </c>
      <c r="EA9" s="16">
        <v>0.16130801932992569</v>
      </c>
      <c r="EB9" s="16">
        <v>1.020353315832318E-2</v>
      </c>
      <c r="EC9" s="16">
        <v>7.3988425168607055E-2</v>
      </c>
      <c r="ED9" s="16">
        <v>-0.15737687498945321</v>
      </c>
      <c r="EE9" s="16">
        <v>7.9137553498671423E-2</v>
      </c>
      <c r="EF9" s="16">
        <v>7.252854687485949E-2</v>
      </c>
    </row>
    <row r="10" spans="1:136">
      <c r="B10" t="s">
        <v>137</v>
      </c>
      <c r="C10" s="16">
        <v>-0.24758870953733739</v>
      </c>
      <c r="D10" s="16">
        <v>-0.27469330301591988</v>
      </c>
      <c r="E10" s="16">
        <v>-8.4648385226775952E-2</v>
      </c>
      <c r="F10" s="16">
        <v>2.264463125499239E-2</v>
      </c>
      <c r="G10" s="16">
        <v>-4.968000079578011E-2</v>
      </c>
      <c r="H10" s="16">
        <v>-0.100759633161552</v>
      </c>
      <c r="I10" s="16">
        <v>-1.2522721374844691E-2</v>
      </c>
      <c r="J10" s="16">
        <v>7.8736550465264579E-2</v>
      </c>
      <c r="K10" s="16">
        <v>-3.418510024326199E-2</v>
      </c>
      <c r="L10" s="16">
        <v>8.8406797789969321E-2</v>
      </c>
      <c r="M10" s="16">
        <v>-3.063454560011507E-3</v>
      </c>
      <c r="N10" s="16">
        <v>-0.21221799304980321</v>
      </c>
      <c r="O10" s="16">
        <v>-3.6805388582279122E-2</v>
      </c>
      <c r="P10" s="16">
        <v>7.1033118877316462E-2</v>
      </c>
      <c r="Q10" s="16">
        <v>-7.1261132998910126E-2</v>
      </c>
      <c r="R10" s="16">
        <v>2.1560446706208151E-2</v>
      </c>
      <c r="S10" s="16">
        <v>0.10111125807516751</v>
      </c>
      <c r="T10" s="16">
        <v>4.3224739792793003E-2</v>
      </c>
      <c r="U10" s="16">
        <v>1.488194958969411E-2</v>
      </c>
      <c r="V10" s="16">
        <v>6.3260243037239986E-3</v>
      </c>
      <c r="W10" s="16">
        <v>-0.1435529784595129</v>
      </c>
      <c r="X10" s="16">
        <v>-6.4282172013507929E-2</v>
      </c>
      <c r="Y10" s="16">
        <v>-1.9034202878042191E-2</v>
      </c>
      <c r="Z10" s="16">
        <v>-2.0644556245472189E-2</v>
      </c>
      <c r="AA10" s="16">
        <v>3.3059540377865217E-2</v>
      </c>
      <c r="AB10" s="16">
        <v>-1.9418226776777941E-2</v>
      </c>
      <c r="AC10" s="16">
        <v>-6.3126838764061721E-2</v>
      </c>
      <c r="AD10" s="16">
        <v>-6.5629712146108229E-2</v>
      </c>
      <c r="AE10" s="16">
        <v>0.1379956892668254</v>
      </c>
      <c r="AF10" s="16">
        <v>-0.1005679184552228</v>
      </c>
      <c r="AG10" s="16">
        <v>-3.7969091150733998E-2</v>
      </c>
      <c r="AH10" s="16">
        <v>-4.5839537807496208E-2</v>
      </c>
      <c r="AI10" s="16">
        <v>-5.1034095516539722E-2</v>
      </c>
      <c r="AJ10" s="16">
        <v>-3.2204408877165632E-3</v>
      </c>
      <c r="AK10" s="16">
        <v>4.8952958975013116E-4</v>
      </c>
      <c r="AL10" s="16">
        <v>-0.1064467536119352</v>
      </c>
      <c r="AM10" s="16">
        <v>-1.3723973583554899E-2</v>
      </c>
      <c r="AN10" s="16">
        <v>-0.1219647076543238</v>
      </c>
      <c r="AO10" s="16">
        <v>-4.858966597382592E-2</v>
      </c>
      <c r="AP10" s="16">
        <v>-1.903150433663008E-3</v>
      </c>
      <c r="AQ10" s="16">
        <v>2.9067484813314101E-2</v>
      </c>
      <c r="AR10" s="16">
        <v>5.2635776863899968E-2</v>
      </c>
      <c r="AS10" s="16">
        <v>-1.289325857571229E-2</v>
      </c>
      <c r="AT10" s="16">
        <v>-2.131134772842519E-3</v>
      </c>
      <c r="AU10" s="16">
        <v>-0.15538438197178719</v>
      </c>
      <c r="AV10" s="16">
        <v>1.268178414302561E-2</v>
      </c>
      <c r="AW10" s="16">
        <v>-1.1942321618877561E-2</v>
      </c>
      <c r="AX10" s="16">
        <v>-4.2537914968475456E-3</v>
      </c>
      <c r="AY10" s="16">
        <v>2.930087158954232E-2</v>
      </c>
      <c r="AZ10" s="16">
        <v>-0.13412750113921701</v>
      </c>
      <c r="BA10" s="16">
        <v>-0.13711152966130111</v>
      </c>
      <c r="BB10" s="16">
        <v>1.7546605068716691E-3</v>
      </c>
      <c r="BC10" s="16">
        <v>2.5117126105990401E-2</v>
      </c>
      <c r="BD10" s="16">
        <v>-0.11960190660895841</v>
      </c>
      <c r="BE10" s="16">
        <v>0.1357616496399312</v>
      </c>
      <c r="BF10" s="16">
        <v>4.7091161676368357E-2</v>
      </c>
      <c r="BG10" s="16">
        <v>-2.605004393557599E-2</v>
      </c>
      <c r="BH10" s="16">
        <v>4.3752773670266483E-2</v>
      </c>
      <c r="BI10" s="16">
        <v>-8.1391827895093402E-2</v>
      </c>
      <c r="BJ10" s="16">
        <v>-0.10060082155953699</v>
      </c>
      <c r="BK10" s="16">
        <v>9.0490079041763594E-2</v>
      </c>
      <c r="BL10" s="16">
        <v>-3.0898458704964389E-2</v>
      </c>
      <c r="BM10" s="16">
        <v>5.8814186622603987E-2</v>
      </c>
      <c r="BN10" s="16">
        <v>8.1345639246770615E-2</v>
      </c>
      <c r="BO10" s="16">
        <v>-7.7164168976593351E-3</v>
      </c>
      <c r="BP10" s="16">
        <v>0.1067348704344353</v>
      </c>
      <c r="BQ10" s="16">
        <v>-2.7156341096342261E-2</v>
      </c>
      <c r="BR10" s="16">
        <v>-5.4431018659150447E-2</v>
      </c>
      <c r="BS10" s="16">
        <v>-6.822927751511014E-2</v>
      </c>
      <c r="BT10" s="16">
        <v>9.8612222991557266E-2</v>
      </c>
      <c r="BU10" s="16">
        <v>0.1283985422991091</v>
      </c>
      <c r="BV10" s="16">
        <v>-7.8402519476778718E-2</v>
      </c>
      <c r="BW10" s="16">
        <v>-0.1191337216524913</v>
      </c>
      <c r="BX10" s="16">
        <v>-4.6890096077604589E-2</v>
      </c>
      <c r="BY10" s="16">
        <v>0.10169834364209621</v>
      </c>
      <c r="BZ10" s="16">
        <v>-2.5680084240218899E-2</v>
      </c>
      <c r="CA10" s="16">
        <v>-8.3301790010408508E-2</v>
      </c>
      <c r="CB10" s="16">
        <v>-0.15782764847875469</v>
      </c>
      <c r="CC10" s="16">
        <v>-7.1052571704280934E-2</v>
      </c>
      <c r="CD10" s="16">
        <v>-7.3875492145199798E-2</v>
      </c>
      <c r="CE10" s="16">
        <v>-0.23678647002516851</v>
      </c>
      <c r="CF10" s="16">
        <v>3.2627706277002622E-2</v>
      </c>
      <c r="CG10" s="16">
        <v>1.3423084626575861E-2</v>
      </c>
      <c r="CH10" s="16">
        <v>-2.7966658799032269E-3</v>
      </c>
      <c r="CI10" s="16">
        <v>4.7925699911805238E-2</v>
      </c>
      <c r="CJ10" s="16">
        <v>-3.2520192681292038E-3</v>
      </c>
      <c r="CK10" s="16">
        <v>-7.570819035307215E-2</v>
      </c>
      <c r="CL10" s="16">
        <v>-4.439725585073561E-2</v>
      </c>
      <c r="CM10" s="16">
        <v>0.17898858319392719</v>
      </c>
      <c r="CN10" s="16">
        <v>5.799426642317386E-2</v>
      </c>
      <c r="CO10" s="16">
        <v>-0.13939018969183081</v>
      </c>
      <c r="CP10" s="16">
        <v>6.4714670503515537E-2</v>
      </c>
      <c r="CQ10" s="16">
        <v>-0.18118788880647541</v>
      </c>
      <c r="CR10" s="16">
        <v>-8.8633532328162568E-2</v>
      </c>
      <c r="CS10" s="16">
        <v>-2.532177470861038E-2</v>
      </c>
      <c r="CT10" s="16">
        <v>-0.11307907407472829</v>
      </c>
      <c r="CU10" s="16">
        <v>8.095957294189474E-3</v>
      </c>
      <c r="CV10" s="16">
        <v>-4.5200208394220349E-2</v>
      </c>
      <c r="CW10" s="16">
        <v>-5.8941225467328592E-2</v>
      </c>
      <c r="CX10" s="16">
        <v>-0.1077283016776811</v>
      </c>
      <c r="CY10" s="16">
        <v>-9.6503499496267492E-2</v>
      </c>
      <c r="CZ10" s="16">
        <v>-0.2103543453191653</v>
      </c>
      <c r="DA10" s="16">
        <v>-0.10996113735654101</v>
      </c>
      <c r="DB10" s="16">
        <v>-0.1908204716293295</v>
      </c>
      <c r="DC10" s="16">
        <v>-2.0727272402408872E-2</v>
      </c>
      <c r="DD10" s="16">
        <v>8.7029095351123936E-2</v>
      </c>
      <c r="DE10" s="16">
        <v>8.2024592921593045E-2</v>
      </c>
      <c r="DF10" s="16">
        <v>-0.166876664789437</v>
      </c>
      <c r="DG10" s="16">
        <v>0.22243808581717431</v>
      </c>
      <c r="DH10" s="16">
        <v>-0.144297746243673</v>
      </c>
      <c r="DI10" s="16">
        <v>-0.1196199522370443</v>
      </c>
      <c r="DJ10" s="16">
        <v>-0.10159274396951661</v>
      </c>
      <c r="DK10" s="16">
        <v>9.2855058740681395E-2</v>
      </c>
      <c r="DL10" s="16">
        <v>-4.2630490096108087E-2</v>
      </c>
      <c r="DM10" s="16">
        <v>8.2732072899953643E-2</v>
      </c>
      <c r="DN10" s="16">
        <v>-3.1049452465540091E-2</v>
      </c>
      <c r="DO10" s="16">
        <v>-9.8141990492640205E-2</v>
      </c>
      <c r="DP10" s="16">
        <v>-0.13058888143944061</v>
      </c>
      <c r="DQ10" s="16">
        <v>4.8655718251279387E-2</v>
      </c>
      <c r="DR10" s="16">
        <v>-3.9251909935401189E-2</v>
      </c>
      <c r="DS10" s="16">
        <v>-0.1610301993932845</v>
      </c>
      <c r="DT10" s="16">
        <v>-7.8883966483063367E-2</v>
      </c>
      <c r="DU10" s="16">
        <v>0.16407715854109439</v>
      </c>
      <c r="DV10" s="16">
        <v>7.5052515397744431E-3</v>
      </c>
      <c r="DW10" s="16">
        <v>-0.1016452501185193</v>
      </c>
      <c r="DX10" s="16">
        <v>-5.6040292492535823E-2</v>
      </c>
      <c r="DY10" s="16">
        <v>-0.1066566396478186</v>
      </c>
      <c r="DZ10" s="16">
        <v>-6.9186575508287662E-2</v>
      </c>
      <c r="EA10" s="16">
        <v>-0.12618865773840809</v>
      </c>
      <c r="EB10" s="16">
        <v>-6.4737118328050736E-2</v>
      </c>
      <c r="EC10" s="16">
        <v>5.142607344157852E-2</v>
      </c>
      <c r="ED10" s="16">
        <v>3.4496728436731378E-2</v>
      </c>
      <c r="EE10" s="16">
        <v>0.15767759835539891</v>
      </c>
      <c r="EF10" s="16">
        <v>-0.12718001699129389</v>
      </c>
    </row>
    <row r="11" spans="1:136">
      <c r="B11" t="s">
        <v>138</v>
      </c>
      <c r="C11" s="16">
        <v>-5.4244781267602057E-2</v>
      </c>
      <c r="D11" s="16">
        <v>4.5377022463556939E-2</v>
      </c>
      <c r="E11" s="16">
        <v>-1.7752272607948309E-2</v>
      </c>
      <c r="F11" s="16">
        <v>-8.7687354470119203E-2</v>
      </c>
      <c r="G11" s="16">
        <v>0.1027592597916023</v>
      </c>
      <c r="H11" s="16">
        <v>2.5113717342445511E-3</v>
      </c>
      <c r="I11" s="16">
        <v>-1.8303552483615069E-2</v>
      </c>
      <c r="J11" s="16">
        <v>2.2110525104917209E-2</v>
      </c>
      <c r="K11" s="16">
        <v>7.7258045731841044E-2</v>
      </c>
      <c r="L11" s="16">
        <v>9.3440783982297517E-3</v>
      </c>
      <c r="M11" s="16">
        <v>5.3602181204841143E-2</v>
      </c>
      <c r="N11" s="16">
        <v>-6.7877357290963961E-2</v>
      </c>
      <c r="O11" s="16">
        <v>6.4929886491987929E-2</v>
      </c>
      <c r="P11" s="16">
        <v>4.8806817542238106E-3</v>
      </c>
      <c r="Q11" s="16">
        <v>1.919781824762783E-2</v>
      </c>
      <c r="R11" s="16">
        <v>-5.4653492448842392E-3</v>
      </c>
      <c r="S11" s="16">
        <v>3.6551467134004201E-2</v>
      </c>
      <c r="T11" s="16">
        <v>0.12918506866843241</v>
      </c>
      <c r="U11" s="16">
        <v>1.369240766293847E-2</v>
      </c>
      <c r="V11" s="16">
        <v>1.529525194063162E-2</v>
      </c>
      <c r="W11" s="16">
        <v>-0.10468571910271469</v>
      </c>
      <c r="X11" s="16">
        <v>-0.29384805056845642</v>
      </c>
      <c r="Y11" s="16">
        <v>5.9212485033458218E-2</v>
      </c>
      <c r="Z11" s="16">
        <v>-0.18494831245363619</v>
      </c>
      <c r="AA11" s="16">
        <v>9.8247438772127521E-2</v>
      </c>
      <c r="AB11" s="16">
        <v>-6.5734107189282197E-4</v>
      </c>
      <c r="AC11" s="16">
        <v>-0.1036861156532312</v>
      </c>
      <c r="AD11" s="16">
        <v>3.5450938075395509E-3</v>
      </c>
      <c r="AE11" s="16">
        <v>0.17560148677061019</v>
      </c>
      <c r="AF11" s="16">
        <v>-0.1550331010885124</v>
      </c>
      <c r="AG11" s="16">
        <v>-2.6328625232284051E-2</v>
      </c>
      <c r="AH11" s="16">
        <v>-4.9988101579694936E-3</v>
      </c>
      <c r="AI11" s="16">
        <v>2.8067714594873169E-2</v>
      </c>
      <c r="AJ11" s="16">
        <v>-2.2384193940381401E-2</v>
      </c>
      <c r="AK11" s="16">
        <v>-4.7020825392250949E-2</v>
      </c>
      <c r="AL11" s="16">
        <v>-0.10156151199043489</v>
      </c>
      <c r="AM11" s="16">
        <v>2.3525148704495701E-2</v>
      </c>
      <c r="AN11" s="16">
        <v>5.2525230105422573E-2</v>
      </c>
      <c r="AO11" s="16">
        <v>5.8502893637957562E-2</v>
      </c>
      <c r="AP11" s="16">
        <v>3.3447356041428761E-2</v>
      </c>
      <c r="AQ11" s="16">
        <v>1.430036545094069E-2</v>
      </c>
      <c r="AR11" s="16">
        <v>3.5903594729592501E-2</v>
      </c>
      <c r="AS11" s="16">
        <v>3.9782285287992311E-2</v>
      </c>
      <c r="AT11" s="16">
        <v>0.1484561956282951</v>
      </c>
      <c r="AU11" s="16">
        <v>-4.078729487218978E-2</v>
      </c>
      <c r="AV11" s="16">
        <v>0.13895895413073689</v>
      </c>
      <c r="AW11" s="16">
        <v>5.9863283397122782E-2</v>
      </c>
      <c r="AX11" s="16">
        <v>-0.1497898129881709</v>
      </c>
      <c r="AY11" s="16">
        <v>6.1595851435820623E-2</v>
      </c>
      <c r="AZ11" s="16">
        <v>-6.1949751488506538E-2</v>
      </c>
      <c r="BA11" s="16">
        <v>-2.389264381020083E-3</v>
      </c>
      <c r="BB11" s="16">
        <v>-0.14887029613688371</v>
      </c>
      <c r="BC11" s="16">
        <v>6.0350517971681748E-2</v>
      </c>
      <c r="BD11" s="16">
        <v>-1.468575255625916E-2</v>
      </c>
      <c r="BE11" s="16">
        <v>-0.14651529968819679</v>
      </c>
      <c r="BF11" s="16">
        <v>-0.2087626486148127</v>
      </c>
      <c r="BG11" s="16">
        <v>-0.20144325578474859</v>
      </c>
      <c r="BH11" s="16">
        <v>-0.11804991677814031</v>
      </c>
      <c r="BI11" s="16">
        <v>-7.7026576071686378E-2</v>
      </c>
      <c r="BJ11" s="16">
        <v>-3.6220317042829728E-2</v>
      </c>
      <c r="BK11" s="16">
        <v>-1.8907268725092598E-2</v>
      </c>
      <c r="BL11" s="16">
        <v>-0.17125563757433929</v>
      </c>
      <c r="BM11" s="16">
        <v>0.13291749710961351</v>
      </c>
      <c r="BN11" s="16">
        <v>-3.5907701607395578E-2</v>
      </c>
      <c r="BO11" s="16">
        <v>2.1344518209370389E-2</v>
      </c>
      <c r="BP11" s="16">
        <v>4.9634822871427897E-2</v>
      </c>
      <c r="BQ11" s="16">
        <v>-1.7211216417584319E-2</v>
      </c>
      <c r="BR11" s="16">
        <v>0.18982724311105359</v>
      </c>
      <c r="BS11" s="16">
        <v>-9.7605037382284945E-2</v>
      </c>
      <c r="BT11" s="16">
        <v>3.7831444138355132E-2</v>
      </c>
      <c r="BU11" s="16">
        <v>5.6008305208474198E-2</v>
      </c>
      <c r="BV11" s="16">
        <v>-0.1167370363031352</v>
      </c>
      <c r="BW11" s="16">
        <v>-0.1413229882478122</v>
      </c>
      <c r="BX11" s="16">
        <v>-3.3770258788579869E-3</v>
      </c>
      <c r="BY11" s="16">
        <v>0.13033606071126891</v>
      </c>
      <c r="BZ11" s="16">
        <v>3.1697731081681189E-2</v>
      </c>
      <c r="CA11" s="16">
        <v>4.0555037474470507E-2</v>
      </c>
      <c r="CB11" s="16">
        <v>-4.2037331365292897E-2</v>
      </c>
      <c r="CC11" s="16">
        <v>5.0013723389441531E-2</v>
      </c>
      <c r="CD11" s="16">
        <v>-6.8456279312897411E-2</v>
      </c>
      <c r="CE11" s="16">
        <v>-8.0832090081974353E-2</v>
      </c>
      <c r="CF11" s="16">
        <v>-1.948310790200239E-3</v>
      </c>
      <c r="CG11" s="16">
        <v>-0.1182090018050031</v>
      </c>
      <c r="CH11" s="16">
        <v>-3.67198859644461E-2</v>
      </c>
      <c r="CI11" s="16">
        <v>-8.3332793120616616E-2</v>
      </c>
      <c r="CJ11" s="16">
        <v>0.23067286701975129</v>
      </c>
      <c r="CK11" s="16">
        <v>0.1327785225954993</v>
      </c>
      <c r="CL11" s="16">
        <v>0.1412873189704931</v>
      </c>
      <c r="CM11" s="16">
        <v>-0.11268938730850959</v>
      </c>
      <c r="CN11" s="16">
        <v>0.22348855763592371</v>
      </c>
      <c r="CO11" s="16">
        <v>-0.10441916957268479</v>
      </c>
      <c r="CP11" s="16">
        <v>-1.442822447791231E-2</v>
      </c>
      <c r="CQ11" s="16">
        <v>-0.20723337326778599</v>
      </c>
      <c r="CR11" s="16">
        <v>-0.1348638695123113</v>
      </c>
      <c r="CS11" s="16">
        <v>7.3007738807373504E-2</v>
      </c>
      <c r="CT11" s="16">
        <v>-3.0218378407130288E-2</v>
      </c>
      <c r="CU11" s="16">
        <v>-0.28688917437274702</v>
      </c>
      <c r="CV11" s="16">
        <v>0.2307305381875536</v>
      </c>
      <c r="CW11" s="16">
        <v>9.1075698514216888E-2</v>
      </c>
      <c r="CX11" s="16">
        <v>-0.1224857321642277</v>
      </c>
      <c r="CY11" s="16">
        <v>7.8381925305362449E-2</v>
      </c>
      <c r="CZ11" s="16">
        <v>-4.5950103566863888E-2</v>
      </c>
      <c r="DA11" s="16">
        <v>8.2670164530151122E-2</v>
      </c>
      <c r="DB11" s="16">
        <v>0.14934927010032351</v>
      </c>
      <c r="DC11" s="16">
        <v>-4.7798705164587528E-2</v>
      </c>
      <c r="DD11" s="16">
        <v>-0.1645134604307108</v>
      </c>
      <c r="DE11" s="16">
        <v>-0.1105683533423189</v>
      </c>
      <c r="DF11" s="16">
        <v>5.7416867202733347E-2</v>
      </c>
      <c r="DG11" s="16">
        <v>-0.21489021548963169</v>
      </c>
      <c r="DH11" s="16">
        <v>6.2997155047871164E-2</v>
      </c>
      <c r="DI11" s="16">
        <v>6.7721109014009601E-2</v>
      </c>
      <c r="DJ11" s="16">
        <v>0.1188020770386063</v>
      </c>
      <c r="DK11" s="16">
        <v>7.2827306455158416E-3</v>
      </c>
      <c r="DL11" s="16">
        <v>7.1320599005857979E-2</v>
      </c>
      <c r="DM11" s="16">
        <v>2.1021900655620821E-2</v>
      </c>
      <c r="DN11" s="16">
        <v>-3.0403223939335849E-2</v>
      </c>
      <c r="DO11" s="16">
        <v>-9.694965661135331E-2</v>
      </c>
      <c r="DP11" s="16">
        <v>-0.23067649178859881</v>
      </c>
      <c r="DQ11" s="16">
        <v>0.238184312236043</v>
      </c>
      <c r="DR11" s="16">
        <v>3.5748752036958448E-3</v>
      </c>
      <c r="DS11" s="16">
        <v>0.13395561672683809</v>
      </c>
      <c r="DT11" s="16">
        <v>0.11510609642796051</v>
      </c>
      <c r="DU11" s="16">
        <v>0.1040797891887878</v>
      </c>
      <c r="DV11" s="16">
        <v>-5.4611063064875308E-2</v>
      </c>
      <c r="DW11" s="16">
        <v>-3.3290193961398547E-2</v>
      </c>
      <c r="DX11" s="16">
        <v>5.5094916778075383E-2</v>
      </c>
      <c r="DY11" s="16">
        <v>6.8793773385234666E-2</v>
      </c>
      <c r="DZ11" s="16">
        <v>1.4480773118257949E-2</v>
      </c>
      <c r="EA11" s="16">
        <v>-0.29313654086030699</v>
      </c>
      <c r="EB11" s="16">
        <v>-0.14097501940218221</v>
      </c>
      <c r="EC11" s="16">
        <v>-1.2209361583162239E-2</v>
      </c>
      <c r="ED11" s="16">
        <v>5.816768758959897E-2</v>
      </c>
      <c r="EE11" s="16">
        <v>-0.14440301349005499</v>
      </c>
      <c r="EF11" s="16">
        <v>-9.7009034240055067E-2</v>
      </c>
    </row>
    <row r="13" spans="1:136">
      <c r="A13" t="s">
        <v>200</v>
      </c>
      <c r="B13" t="s">
        <v>136</v>
      </c>
      <c r="C13" s="15">
        <f t="shared" ref="C13:AH13" si="0">(C3-C9)^2</f>
        <v>2.6910210815599502E-3</v>
      </c>
      <c r="D13" s="15">
        <f t="shared" si="0"/>
        <v>3.7061230417652466E-3</v>
      </c>
      <c r="E13" s="15">
        <f t="shared" si="0"/>
        <v>8.0234752202800203E-3</v>
      </c>
      <c r="F13" s="15">
        <f t="shared" si="0"/>
        <v>2.7876355110668309E-3</v>
      </c>
      <c r="G13" s="15">
        <f t="shared" si="0"/>
        <v>3.8430519176127732E-3</v>
      </c>
      <c r="H13" s="15">
        <f t="shared" si="0"/>
        <v>1.6247234562954325E-5</v>
      </c>
      <c r="I13" s="15">
        <f t="shared" si="0"/>
        <v>1.6531283926810261E-2</v>
      </c>
      <c r="J13" s="15">
        <f t="shared" si="0"/>
        <v>3.0337179740011324E-3</v>
      </c>
      <c r="K13" s="15">
        <f t="shared" si="0"/>
        <v>8.4056141905766504E-3</v>
      </c>
      <c r="L13" s="15">
        <f t="shared" si="0"/>
        <v>1.7738771080866916E-3</v>
      </c>
      <c r="M13" s="15">
        <f t="shared" si="0"/>
        <v>7.2403048651619815E-3</v>
      </c>
      <c r="N13" s="15">
        <f t="shared" si="0"/>
        <v>9.9227528193105204E-3</v>
      </c>
      <c r="O13" s="15">
        <f t="shared" si="0"/>
        <v>1.2585321116071774E-3</v>
      </c>
      <c r="P13" s="15">
        <f t="shared" si="0"/>
        <v>2.1239602850881136E-2</v>
      </c>
      <c r="Q13" s="15">
        <f t="shared" si="0"/>
        <v>1.7435663563119198E-2</v>
      </c>
      <c r="R13" s="15">
        <f t="shared" si="0"/>
        <v>4.6179435452360117E-7</v>
      </c>
      <c r="S13" s="15">
        <f t="shared" si="0"/>
        <v>3.2235978022831555E-2</v>
      </c>
      <c r="T13" s="15">
        <f t="shared" si="0"/>
        <v>3.0684088303102163E-2</v>
      </c>
      <c r="U13" s="15">
        <f t="shared" si="0"/>
        <v>8.5496628150338073E-3</v>
      </c>
      <c r="V13" s="15">
        <f t="shared" si="0"/>
        <v>6.5861585609060171E-4</v>
      </c>
      <c r="W13" s="15">
        <f t="shared" si="0"/>
        <v>6.8190716146110473E-4</v>
      </c>
      <c r="X13" s="15">
        <f t="shared" si="0"/>
        <v>8.2596824405743521E-3</v>
      </c>
      <c r="Y13" s="15">
        <f t="shared" si="0"/>
        <v>3.2349442447745916E-2</v>
      </c>
      <c r="Z13" s="15">
        <f t="shared" si="0"/>
        <v>1.8372265036618006E-2</v>
      </c>
      <c r="AA13" s="15">
        <f t="shared" si="0"/>
        <v>1.9337089871308558E-2</v>
      </c>
      <c r="AB13" s="15">
        <f t="shared" si="0"/>
        <v>3.3920940977217429E-4</v>
      </c>
      <c r="AC13" s="15">
        <f t="shared" si="0"/>
        <v>2.0440747809686269E-3</v>
      </c>
      <c r="AD13" s="15">
        <f t="shared" si="0"/>
        <v>1.7358513735780525E-3</v>
      </c>
      <c r="AE13" s="15">
        <f t="shared" si="0"/>
        <v>3.7905482672645908E-2</v>
      </c>
      <c r="AF13" s="15">
        <f t="shared" si="0"/>
        <v>9.6693431150661852E-6</v>
      </c>
      <c r="AG13" s="15">
        <f t="shared" si="0"/>
        <v>5.5419914015032035E-3</v>
      </c>
      <c r="AH13" s="15">
        <f t="shared" si="0"/>
        <v>8.9293857193010126E-3</v>
      </c>
      <c r="AI13" s="15">
        <f t="shared" ref="AI13:BN13" si="1">(AI3-AI9)^2</f>
        <v>5.6360807322458358E-5</v>
      </c>
      <c r="AJ13" s="15">
        <f t="shared" si="1"/>
        <v>1.4287014201747963E-6</v>
      </c>
      <c r="AK13" s="15">
        <f t="shared" si="1"/>
        <v>1.3482569520192746E-2</v>
      </c>
      <c r="AL13" s="15">
        <f t="shared" si="1"/>
        <v>4.3448339029741619E-5</v>
      </c>
      <c r="AM13" s="15">
        <f t="shared" si="1"/>
        <v>8.4338265814125069E-3</v>
      </c>
      <c r="AN13" s="15">
        <f t="shared" si="1"/>
        <v>3.1748154686846788E-2</v>
      </c>
      <c r="AO13" s="15">
        <f t="shared" si="1"/>
        <v>4.3124700955996156E-3</v>
      </c>
      <c r="AP13" s="15">
        <f t="shared" si="1"/>
        <v>3.2418918708570124E-2</v>
      </c>
      <c r="AQ13" s="15">
        <f t="shared" si="1"/>
        <v>4.9439443065983583E-3</v>
      </c>
      <c r="AR13" s="15">
        <f t="shared" si="1"/>
        <v>8.6432906901960671E-4</v>
      </c>
      <c r="AS13" s="15">
        <f t="shared" si="1"/>
        <v>1.9620709443234199E-4</v>
      </c>
      <c r="AT13" s="15">
        <f t="shared" si="1"/>
        <v>4.4849130450155963E-4</v>
      </c>
      <c r="AU13" s="15">
        <f t="shared" si="1"/>
        <v>2.1098858984839576E-6</v>
      </c>
      <c r="AV13" s="15">
        <f t="shared" si="1"/>
        <v>1.3762104734428326E-2</v>
      </c>
      <c r="AW13" s="15">
        <f t="shared" si="1"/>
        <v>3.2934667743796515E-4</v>
      </c>
      <c r="AX13" s="15">
        <f t="shared" si="1"/>
        <v>5.5263042512970866E-3</v>
      </c>
      <c r="AY13" s="15">
        <f t="shared" si="1"/>
        <v>8.1930968792208805E-4</v>
      </c>
      <c r="AZ13" s="15">
        <f t="shared" si="1"/>
        <v>4.0182290723674097E-3</v>
      </c>
      <c r="BA13" s="15">
        <f t="shared" si="1"/>
        <v>1.5966247908970753E-3</v>
      </c>
      <c r="BB13" s="15">
        <f t="shared" si="1"/>
        <v>3.8500353938660152E-3</v>
      </c>
      <c r="BC13" s="15">
        <f t="shared" si="1"/>
        <v>1.5878250667610155E-4</v>
      </c>
      <c r="BD13" s="15">
        <f t="shared" si="1"/>
        <v>1.2514325064674533E-3</v>
      </c>
      <c r="BE13" s="15">
        <f t="shared" si="1"/>
        <v>5.2530901742650247E-4</v>
      </c>
      <c r="BF13" s="15">
        <f t="shared" si="1"/>
        <v>1.171632070284424E-2</v>
      </c>
      <c r="BG13" s="15">
        <f t="shared" si="1"/>
        <v>1.1932441215306741E-2</v>
      </c>
      <c r="BH13" s="15">
        <f t="shared" si="1"/>
        <v>8.6736848783174785E-5</v>
      </c>
      <c r="BI13" s="15">
        <f t="shared" si="1"/>
        <v>2.1463448932090012E-3</v>
      </c>
      <c r="BJ13" s="15">
        <f t="shared" si="1"/>
        <v>1.1407480939893399E-2</v>
      </c>
      <c r="BK13" s="15">
        <f t="shared" si="1"/>
        <v>1.9562278042173583E-2</v>
      </c>
      <c r="BL13" s="15">
        <f t="shared" si="1"/>
        <v>1.8985256426973217E-3</v>
      </c>
      <c r="BM13" s="15">
        <f t="shared" si="1"/>
        <v>5.5331662298867311E-3</v>
      </c>
      <c r="BN13" s="15">
        <f t="shared" si="1"/>
        <v>1.6430119570148565E-3</v>
      </c>
      <c r="BO13" s="15">
        <f t="shared" ref="BO13:CT13" si="2">(BO3-BO9)^2</f>
        <v>7.2422575128421398E-4</v>
      </c>
      <c r="BP13" s="15">
        <f t="shared" si="2"/>
        <v>3.4427057969579019E-3</v>
      </c>
      <c r="BQ13" s="15">
        <f t="shared" si="2"/>
        <v>2.7210887836261112E-4</v>
      </c>
      <c r="BR13" s="15">
        <f t="shared" si="2"/>
        <v>1.117115404835622E-3</v>
      </c>
      <c r="BS13" s="15">
        <f t="shared" si="2"/>
        <v>4.9118232470189737E-4</v>
      </c>
      <c r="BT13" s="15">
        <f t="shared" si="2"/>
        <v>8.1477488401781091E-6</v>
      </c>
      <c r="BU13" s="15">
        <f t="shared" si="2"/>
        <v>1.5580419282090743E-2</v>
      </c>
      <c r="BV13" s="15">
        <f t="shared" si="2"/>
        <v>1.5645610331778816E-3</v>
      </c>
      <c r="BW13" s="15">
        <f t="shared" si="2"/>
        <v>4.3334057989803266E-3</v>
      </c>
      <c r="BX13" s="15">
        <f t="shared" si="2"/>
        <v>7.8487113062982025E-4</v>
      </c>
      <c r="BY13" s="15">
        <f t="shared" si="2"/>
        <v>1.5346950967818792E-2</v>
      </c>
      <c r="BZ13" s="15">
        <f t="shared" si="2"/>
        <v>4.5151444386174553E-3</v>
      </c>
      <c r="CA13" s="15">
        <f t="shared" si="2"/>
        <v>2.2529349041254702E-2</v>
      </c>
      <c r="CB13" s="15">
        <f t="shared" si="2"/>
        <v>5.5462518349536627E-6</v>
      </c>
      <c r="CC13" s="15">
        <f t="shared" si="2"/>
        <v>3.2785662055352088E-3</v>
      </c>
      <c r="CD13" s="15">
        <f t="shared" si="2"/>
        <v>2.2076848867798069E-2</v>
      </c>
      <c r="CE13" s="15">
        <f t="shared" si="2"/>
        <v>3.2685812772129884E-4</v>
      </c>
      <c r="CF13" s="15">
        <f t="shared" si="2"/>
        <v>2.4733434581499163E-3</v>
      </c>
      <c r="CG13" s="15">
        <f t="shared" si="2"/>
        <v>4.0987536867641049E-3</v>
      </c>
      <c r="CH13" s="15">
        <f t="shared" si="2"/>
        <v>1.0866556240124278E-2</v>
      </c>
      <c r="CI13" s="15">
        <f t="shared" si="2"/>
        <v>1.6328600913708361E-2</v>
      </c>
      <c r="CJ13" s="15">
        <f t="shared" si="2"/>
        <v>1.211533969818586E-3</v>
      </c>
      <c r="CK13" s="15">
        <f t="shared" si="2"/>
        <v>2.7553986565603621E-4</v>
      </c>
      <c r="CL13" s="15">
        <f t="shared" si="2"/>
        <v>5.1269711259779159E-2</v>
      </c>
      <c r="CM13" s="15">
        <f t="shared" si="2"/>
        <v>7.1097436520357437E-4</v>
      </c>
      <c r="CN13" s="15">
        <f t="shared" si="2"/>
        <v>5.2072218425047462E-3</v>
      </c>
      <c r="CO13" s="15">
        <f t="shared" si="2"/>
        <v>2.5635043739713863E-3</v>
      </c>
      <c r="CP13" s="15">
        <f t="shared" si="2"/>
        <v>1.6033125271628316E-2</v>
      </c>
      <c r="CQ13" s="15">
        <f t="shared" si="2"/>
        <v>9.9614140141732286E-3</v>
      </c>
      <c r="CR13" s="15">
        <f t="shared" si="2"/>
        <v>2.3448891083219054E-3</v>
      </c>
      <c r="CS13" s="15">
        <f t="shared" si="2"/>
        <v>3.1782109646509649E-3</v>
      </c>
      <c r="CT13" s="15">
        <f t="shared" si="2"/>
        <v>4.0182676582555683E-5</v>
      </c>
      <c r="CU13" s="15">
        <f t="shared" ref="CU13:DZ13" si="3">(CU3-CU9)^2</f>
        <v>1.0015687967260264E-2</v>
      </c>
      <c r="CV13" s="15">
        <f t="shared" si="3"/>
        <v>1.4437427382312757E-4</v>
      </c>
      <c r="CW13" s="15">
        <f t="shared" si="3"/>
        <v>4.0311176887095664E-4</v>
      </c>
      <c r="CX13" s="15">
        <f t="shared" si="3"/>
        <v>1.3493605628177547E-2</v>
      </c>
      <c r="CY13" s="15">
        <f t="shared" si="3"/>
        <v>2.4255781054713858E-3</v>
      </c>
      <c r="CZ13" s="15">
        <f t="shared" si="3"/>
        <v>5.2483973602209147E-2</v>
      </c>
      <c r="DA13" s="15">
        <f t="shared" si="3"/>
        <v>5.7421039278279613E-3</v>
      </c>
      <c r="DB13" s="15">
        <f t="shared" si="3"/>
        <v>2.0544654750547613E-3</v>
      </c>
      <c r="DC13" s="15">
        <f t="shared" si="3"/>
        <v>1.0822635827389553E-2</v>
      </c>
      <c r="DD13" s="15">
        <f t="shared" si="3"/>
        <v>1.6564686281495657E-3</v>
      </c>
      <c r="DE13" s="15">
        <f t="shared" si="3"/>
        <v>6.1102406165005317E-4</v>
      </c>
      <c r="DF13" s="15">
        <f t="shared" si="3"/>
        <v>6.0522544657429743E-4</v>
      </c>
      <c r="DG13" s="15">
        <f t="shared" si="3"/>
        <v>7.4092411769696139E-3</v>
      </c>
      <c r="DH13" s="15">
        <f t="shared" si="3"/>
        <v>2.4242406795587012E-3</v>
      </c>
      <c r="DI13" s="15">
        <f t="shared" si="3"/>
        <v>1.563709485126371E-2</v>
      </c>
      <c r="DJ13" s="15">
        <f t="shared" si="3"/>
        <v>6.0003078696578191E-4</v>
      </c>
      <c r="DK13" s="15">
        <f t="shared" si="3"/>
        <v>2.4951540181267326E-3</v>
      </c>
      <c r="DL13" s="15">
        <f t="shared" si="3"/>
        <v>1.1845755503826022E-4</v>
      </c>
      <c r="DM13" s="15">
        <f t="shared" si="3"/>
        <v>3.9398814150657961E-3</v>
      </c>
      <c r="DN13" s="15">
        <f t="shared" si="3"/>
        <v>1.0018731477104324E-2</v>
      </c>
      <c r="DO13" s="15">
        <f t="shared" si="3"/>
        <v>1.5537244423418444E-3</v>
      </c>
      <c r="DP13" s="15">
        <f t="shared" si="3"/>
        <v>7.9003353358274315E-3</v>
      </c>
      <c r="DQ13" s="15">
        <f t="shared" si="3"/>
        <v>1.8718303353510581E-2</v>
      </c>
      <c r="DR13" s="15">
        <f t="shared" si="3"/>
        <v>3.8324495620859194E-3</v>
      </c>
      <c r="DS13" s="15">
        <f t="shared" si="3"/>
        <v>9.6575424843306536E-3</v>
      </c>
      <c r="DT13" s="15">
        <f t="shared" si="3"/>
        <v>1.3055182137791837E-2</v>
      </c>
      <c r="DU13" s="15">
        <f t="shared" si="3"/>
        <v>3.3344677591674475E-4</v>
      </c>
      <c r="DV13" s="15">
        <f t="shared" si="3"/>
        <v>1.2202508047592821E-2</v>
      </c>
      <c r="DW13" s="15">
        <f t="shared" si="3"/>
        <v>5.3483042437107936E-3</v>
      </c>
      <c r="DX13" s="15">
        <f t="shared" si="3"/>
        <v>1.3923866919466857E-2</v>
      </c>
      <c r="DY13" s="15">
        <f t="shared" si="3"/>
        <v>3.6236122100889523E-3</v>
      </c>
      <c r="DZ13" s="15">
        <f t="shared" si="3"/>
        <v>2.0463434646604325E-3</v>
      </c>
      <c r="EA13" s="15">
        <f t="shared" ref="EA13:EF13" si="4">(EA3-EA9)^2</f>
        <v>2.4448416777048988E-2</v>
      </c>
      <c r="EB13" s="15">
        <f t="shared" si="4"/>
        <v>5.2770115083639719E-4</v>
      </c>
      <c r="EC13" s="15">
        <f t="shared" si="4"/>
        <v>1.421084105474353E-3</v>
      </c>
      <c r="ED13" s="15">
        <f t="shared" si="4"/>
        <v>3.2958721396855614E-2</v>
      </c>
      <c r="EE13" s="15">
        <f t="shared" si="4"/>
        <v>3.3113802683623476E-3</v>
      </c>
      <c r="EF13" s="15">
        <f t="shared" si="4"/>
        <v>2.1262577288978361E-3</v>
      </c>
    </row>
    <row r="14" spans="1:136">
      <c r="B14" t="s">
        <v>137</v>
      </c>
      <c r="C14" s="15">
        <f t="shared" ref="C14:AH14" si="5">(C4-C10)^2</f>
        <v>2.6321667425546418E-2</v>
      </c>
      <c r="D14" s="15">
        <f t="shared" si="5"/>
        <v>5.00243604539123E-2</v>
      </c>
      <c r="E14" s="15">
        <f t="shared" si="5"/>
        <v>3.7690292930887179E-3</v>
      </c>
      <c r="F14" s="15">
        <f t="shared" si="5"/>
        <v>2.8302892127060448E-3</v>
      </c>
      <c r="G14" s="15">
        <f t="shared" si="5"/>
        <v>6.1473935324716359E-5</v>
      </c>
      <c r="H14" s="15">
        <f t="shared" si="5"/>
        <v>5.4016222064010985E-3</v>
      </c>
      <c r="I14" s="15">
        <f t="shared" si="5"/>
        <v>1.2791942470684707E-3</v>
      </c>
      <c r="J14" s="15">
        <f t="shared" si="5"/>
        <v>1.3467560270338652E-2</v>
      </c>
      <c r="K14" s="15">
        <f t="shared" si="5"/>
        <v>1.3826682189952714E-5</v>
      </c>
      <c r="L14" s="15">
        <f t="shared" si="5"/>
        <v>1.5814377468354648E-2</v>
      </c>
      <c r="M14" s="15">
        <f t="shared" si="5"/>
        <v>1.1939092599013354E-3</v>
      </c>
      <c r="N14" s="15">
        <f t="shared" si="5"/>
        <v>3.055293285051262E-2</v>
      </c>
      <c r="O14" s="15">
        <f t="shared" si="5"/>
        <v>5.055335863990621E-6</v>
      </c>
      <c r="P14" s="15">
        <f t="shared" si="5"/>
        <v>1.1137832649132895E-2</v>
      </c>
      <c r="Q14" s="15">
        <f t="shared" si="5"/>
        <v>1.8890165040609454E-3</v>
      </c>
      <c r="R14" s="15">
        <f t="shared" si="5"/>
        <v>2.3192106004133527E-3</v>
      </c>
      <c r="S14" s="15">
        <f t="shared" si="5"/>
        <v>1.6821018852927291E-2</v>
      </c>
      <c r="T14" s="15">
        <f t="shared" si="5"/>
        <v>5.2477070457578453E-3</v>
      </c>
      <c r="U14" s="15">
        <f t="shared" si="5"/>
        <v>1.9126347959680455E-3</v>
      </c>
      <c r="V14" s="15">
        <f t="shared" si="5"/>
        <v>1.2281339208185492E-3</v>
      </c>
      <c r="W14" s="15">
        <f t="shared" si="5"/>
        <v>1.3848749227007731E-2</v>
      </c>
      <c r="X14" s="15">
        <f t="shared" si="5"/>
        <v>1.2612973474687636E-3</v>
      </c>
      <c r="Y14" s="15">
        <f t="shared" si="5"/>
        <v>9.7065534429257447E-5</v>
      </c>
      <c r="Z14" s="15">
        <f t="shared" si="5"/>
        <v>9.1360387543295719E-5</v>
      </c>
      <c r="AA14" s="15">
        <f t="shared" si="5"/>
        <v>3.9384870512759332E-3</v>
      </c>
      <c r="AB14" s="15">
        <f t="shared" si="5"/>
        <v>1.0063115395862442E-4</v>
      </c>
      <c r="AC14" s="15">
        <f t="shared" si="5"/>
        <v>1.9189472490710945E-3</v>
      </c>
      <c r="AD14" s="15">
        <f t="shared" si="5"/>
        <v>1.3458489480958889E-3</v>
      </c>
      <c r="AE14" s="15">
        <f t="shared" si="5"/>
        <v>2.8077414475549813E-2</v>
      </c>
      <c r="AF14" s="15">
        <f t="shared" si="5"/>
        <v>5.1846293820121386E-3</v>
      </c>
      <c r="AG14" s="15">
        <f t="shared" si="5"/>
        <v>9.3034456181362912E-5</v>
      </c>
      <c r="AH14" s="15">
        <f t="shared" si="5"/>
        <v>3.4248405727388263E-4</v>
      </c>
      <c r="AI14" s="15">
        <f t="shared" ref="AI14:BN14" si="6">(AI4-AI10)^2</f>
        <v>1.9038904769925908E-4</v>
      </c>
      <c r="AJ14" s="15">
        <f t="shared" si="6"/>
        <v>9.5284511322381391E-4</v>
      </c>
      <c r="AK14" s="15">
        <f t="shared" si="6"/>
        <v>7.7919249408320811E-4</v>
      </c>
      <c r="AL14" s="15">
        <f t="shared" si="6"/>
        <v>6.7002868228535819E-3</v>
      </c>
      <c r="AM14" s="15">
        <f t="shared" si="6"/>
        <v>2.577260217958962E-4</v>
      </c>
      <c r="AN14" s="15">
        <f t="shared" si="6"/>
        <v>7.7811344535881951E-3</v>
      </c>
      <c r="AO14" s="15">
        <f t="shared" si="6"/>
        <v>1.6562269184612055E-4</v>
      </c>
      <c r="AP14" s="15">
        <f t="shared" si="6"/>
        <v>2.6055626427417774E-4</v>
      </c>
      <c r="AQ14" s="15">
        <f t="shared" si="6"/>
        <v>2.7888404679530317E-3</v>
      </c>
      <c r="AR14" s="15">
        <f t="shared" si="6"/>
        <v>8.3697356621408973E-3</v>
      </c>
      <c r="AS14" s="15">
        <f t="shared" si="6"/>
        <v>1.4792406758804697E-2</v>
      </c>
      <c r="AT14" s="15">
        <f t="shared" si="6"/>
        <v>6.9494529695719666E-4</v>
      </c>
      <c r="AU14" s="15">
        <f t="shared" si="6"/>
        <v>1.5504035902107948E-2</v>
      </c>
      <c r="AV14" s="15">
        <f t="shared" si="6"/>
        <v>2.0021863783522232E-3</v>
      </c>
      <c r="AW14" s="15">
        <f t="shared" si="6"/>
        <v>2.0420849551317912E-4</v>
      </c>
      <c r="AX14" s="15">
        <f t="shared" si="6"/>
        <v>4.9373050375216157E-4</v>
      </c>
      <c r="AY14" s="15">
        <f t="shared" si="6"/>
        <v>4.0070675494160062E-3</v>
      </c>
      <c r="AZ14" s="15">
        <f t="shared" si="6"/>
        <v>1.1379894336827207E-2</v>
      </c>
      <c r="BA14" s="15">
        <f t="shared" si="6"/>
        <v>1.1258440145582126E-2</v>
      </c>
      <c r="BB14" s="15">
        <f t="shared" si="6"/>
        <v>1.2603212575233579E-3</v>
      </c>
      <c r="BC14" s="15">
        <f t="shared" si="6"/>
        <v>3.1531721856486957E-3</v>
      </c>
      <c r="BD14" s="15">
        <f t="shared" si="6"/>
        <v>7.9235151818480565E-3</v>
      </c>
      <c r="BE14" s="15">
        <f t="shared" si="6"/>
        <v>2.8461649436835344E-2</v>
      </c>
      <c r="BF14" s="15">
        <f t="shared" si="6"/>
        <v>6.1355300668405506E-3</v>
      </c>
      <c r="BG14" s="15">
        <f t="shared" si="6"/>
        <v>3.6030666024608029E-5</v>
      </c>
      <c r="BH14" s="15">
        <f t="shared" si="6"/>
        <v>5.5220818570656683E-3</v>
      </c>
      <c r="BI14" s="15">
        <f t="shared" si="6"/>
        <v>2.531185741346885E-3</v>
      </c>
      <c r="BJ14" s="15">
        <f t="shared" si="6"/>
        <v>4.9349958318931865E-3</v>
      </c>
      <c r="BK14" s="15">
        <f t="shared" si="6"/>
        <v>1.5190588835527546E-2</v>
      </c>
      <c r="BL14" s="15">
        <f t="shared" si="6"/>
        <v>1.9027564621238048E-7</v>
      </c>
      <c r="BM14" s="15">
        <f t="shared" si="6"/>
        <v>8.2001636894853715E-3</v>
      </c>
      <c r="BN14" s="15">
        <f t="shared" si="6"/>
        <v>2.3103985469993049E-6</v>
      </c>
      <c r="BO14" s="15">
        <f t="shared" ref="BO14:CT14" si="7">(BO4-BO10)^2</f>
        <v>2.1669734076074806E-4</v>
      </c>
      <c r="BP14" s="15">
        <f t="shared" si="7"/>
        <v>2.0831098629593696E-2</v>
      </c>
      <c r="BQ14" s="15">
        <f t="shared" si="7"/>
        <v>3.3195625516889814E-5</v>
      </c>
      <c r="BR14" s="15">
        <f t="shared" si="7"/>
        <v>1.8002942042104103E-3</v>
      </c>
      <c r="BS14" s="15">
        <f t="shared" si="7"/>
        <v>3.0409087801777485E-3</v>
      </c>
      <c r="BT14" s="15">
        <f t="shared" si="7"/>
        <v>1.5560898727463699E-2</v>
      </c>
      <c r="BU14" s="15">
        <f t="shared" si="7"/>
        <v>2.7010965428881251E-2</v>
      </c>
      <c r="BV14" s="15">
        <f t="shared" si="7"/>
        <v>1.9950632001238095E-3</v>
      </c>
      <c r="BW14" s="15">
        <f t="shared" si="7"/>
        <v>8.9626774818949081E-3</v>
      </c>
      <c r="BX14" s="15">
        <f t="shared" si="7"/>
        <v>2.0577279468392455E-4</v>
      </c>
      <c r="BY14" s="15">
        <f t="shared" si="7"/>
        <v>1.7803884371316046E-2</v>
      </c>
      <c r="BZ14" s="15">
        <f t="shared" si="7"/>
        <v>9.1459348973509005E-5</v>
      </c>
      <c r="CA14" s="15">
        <f t="shared" si="7"/>
        <v>2.5915337349813137E-3</v>
      </c>
      <c r="CB14" s="15">
        <f t="shared" si="7"/>
        <v>1.792691475038026E-2</v>
      </c>
      <c r="CC14" s="15">
        <f t="shared" si="7"/>
        <v>1.7799326343057647E-3</v>
      </c>
      <c r="CD14" s="15">
        <f t="shared" si="7"/>
        <v>2.2564942918381127E-3</v>
      </c>
      <c r="CE14" s="15">
        <f t="shared" si="7"/>
        <v>3.8607306027757464E-2</v>
      </c>
      <c r="CF14" s="15">
        <f t="shared" si="7"/>
        <v>4.2105711570857365E-3</v>
      </c>
      <c r="CG14" s="15">
        <f t="shared" si="7"/>
        <v>1.8771593123366717E-3</v>
      </c>
      <c r="CH14" s="15">
        <f t="shared" si="7"/>
        <v>8.0709992986086716E-4</v>
      </c>
      <c r="CI14" s="15">
        <f t="shared" si="7"/>
        <v>6.3171728859106897E-3</v>
      </c>
      <c r="CJ14" s="15">
        <f t="shared" si="7"/>
        <v>8.3380670194050765E-4</v>
      </c>
      <c r="CK14" s="15">
        <f t="shared" si="7"/>
        <v>1.9467727155603721E-3</v>
      </c>
      <c r="CL14" s="15">
        <f t="shared" si="7"/>
        <v>1.7707748895249434E-4</v>
      </c>
      <c r="CM14" s="15">
        <f t="shared" si="7"/>
        <v>4.4165331009619377E-2</v>
      </c>
      <c r="CN14" s="15">
        <f t="shared" si="7"/>
        <v>7.864276601947405E-3</v>
      </c>
      <c r="CO14" s="15">
        <f t="shared" si="7"/>
        <v>1.1854513027274709E-2</v>
      </c>
      <c r="CP14" s="15">
        <f t="shared" si="7"/>
        <v>9.0049758214407159E-3</v>
      </c>
      <c r="CQ14" s="15">
        <f t="shared" si="7"/>
        <v>2.2777857884614894E-2</v>
      </c>
      <c r="CR14" s="15">
        <f t="shared" si="7"/>
        <v>3.4112275134909747E-3</v>
      </c>
      <c r="CS14" s="15">
        <f t="shared" si="7"/>
        <v>2.5674315484615688E-5</v>
      </c>
      <c r="CT14" s="15">
        <f t="shared" si="7"/>
        <v>8.2267771727490054E-3</v>
      </c>
      <c r="CU14" s="15">
        <f t="shared" ref="CU14:DZ14" si="8">(CU4-CU10)^2</f>
        <v>1.2112099950513857E-3</v>
      </c>
      <c r="CV14" s="15">
        <f t="shared" si="8"/>
        <v>2.8862309448110215E-4</v>
      </c>
      <c r="CW14" s="15">
        <f t="shared" si="8"/>
        <v>6.438378862351073E-4</v>
      </c>
      <c r="CX14" s="15">
        <f t="shared" si="8"/>
        <v>6.3790383268505189E-3</v>
      </c>
      <c r="CY14" s="15">
        <f t="shared" si="8"/>
        <v>5.3986053304627031E-3</v>
      </c>
      <c r="CZ14" s="15">
        <f t="shared" si="8"/>
        <v>3.3912229415519773E-2</v>
      </c>
      <c r="DA14" s="15">
        <f t="shared" si="8"/>
        <v>6.4605629776288039E-3</v>
      </c>
      <c r="DB14" s="15">
        <f t="shared" si="8"/>
        <v>2.4845557905133889E-2</v>
      </c>
      <c r="DC14" s="15">
        <f t="shared" si="8"/>
        <v>1.1674432822239305E-4</v>
      </c>
      <c r="DD14" s="15">
        <f t="shared" si="8"/>
        <v>1.3613707228800589E-2</v>
      </c>
      <c r="DE14" s="15">
        <f t="shared" si="8"/>
        <v>1.2294935047071867E-2</v>
      </c>
      <c r="DF14" s="15">
        <f t="shared" si="8"/>
        <v>1.9175994534503096E-2</v>
      </c>
      <c r="DG14" s="15">
        <f t="shared" si="8"/>
        <v>6.1933513324506771E-2</v>
      </c>
      <c r="DH14" s="15">
        <f t="shared" si="8"/>
        <v>1.2916754975602905E-2</v>
      </c>
      <c r="DI14" s="15">
        <f t="shared" si="8"/>
        <v>8.0530045716469198E-3</v>
      </c>
      <c r="DJ14" s="15">
        <f t="shared" si="8"/>
        <v>5.1833928846105248E-3</v>
      </c>
      <c r="DK14" s="15">
        <f t="shared" si="8"/>
        <v>1.4705511898988359E-2</v>
      </c>
      <c r="DL14" s="15">
        <f t="shared" si="8"/>
        <v>1.4740421362654637E-4</v>
      </c>
      <c r="DM14" s="15">
        <f t="shared" si="8"/>
        <v>1.2172510673556238E-2</v>
      </c>
      <c r="DN14" s="15">
        <f t="shared" si="8"/>
        <v>7.8337146998238108E-6</v>
      </c>
      <c r="DO14" s="15">
        <f t="shared" si="8"/>
        <v>4.9584014619559538E-3</v>
      </c>
      <c r="DP14" s="15">
        <f t="shared" si="8"/>
        <v>1.0698769976021569E-2</v>
      </c>
      <c r="DQ14" s="15">
        <f t="shared" si="8"/>
        <v>5.7222042633905644E-3</v>
      </c>
      <c r="DR14" s="15">
        <f t="shared" si="8"/>
        <v>1.0747433910450871E-4</v>
      </c>
      <c r="DS14" s="15">
        <f t="shared" si="8"/>
        <v>1.8172380349389599E-2</v>
      </c>
      <c r="DT14" s="15">
        <f t="shared" si="8"/>
        <v>4.144818854051744E-3</v>
      </c>
      <c r="DU14" s="15">
        <f t="shared" si="8"/>
        <v>4.2904770400690434E-2</v>
      </c>
      <c r="DV14" s="15">
        <f t="shared" si="8"/>
        <v>1.6038630348482942E-3</v>
      </c>
      <c r="DW14" s="15">
        <f t="shared" si="8"/>
        <v>5.5351996018685986E-3</v>
      </c>
      <c r="DX14" s="15">
        <f t="shared" si="8"/>
        <v>8.1732031724191987E-4</v>
      </c>
      <c r="DY14" s="15">
        <f t="shared" si="8"/>
        <v>6.1453319075918224E-3</v>
      </c>
      <c r="DZ14" s="15">
        <f t="shared" si="8"/>
        <v>2.0255869184522286E-3</v>
      </c>
      <c r="EA14" s="15">
        <f t="shared" ref="EA14:EF14" si="9">(EA4-EA10)^2</f>
        <v>9.8398226835582428E-3</v>
      </c>
      <c r="EB14" s="15">
        <f t="shared" si="9"/>
        <v>1.4741558704697069E-3</v>
      </c>
      <c r="EC14" s="15">
        <f t="shared" si="9"/>
        <v>6.3429495656774412E-3</v>
      </c>
      <c r="ED14" s="15">
        <f t="shared" si="9"/>
        <v>3.4216046769038225E-3</v>
      </c>
      <c r="EE14" s="15">
        <f t="shared" si="9"/>
        <v>3.7244336845815899E-2</v>
      </c>
      <c r="EF14" s="15">
        <f t="shared" si="9"/>
        <v>9.6327796098450123E-3</v>
      </c>
    </row>
    <row r="15" spans="1:136">
      <c r="B15" t="s">
        <v>138</v>
      </c>
      <c r="C15" s="15">
        <f t="shared" ref="C15:AH15" si="10">(C5-C11)^2</f>
        <v>3.3701452966511699E-3</v>
      </c>
      <c r="D15" s="15">
        <f t="shared" si="10"/>
        <v>2.5862112662161465E-3</v>
      </c>
      <c r="E15" s="15">
        <f t="shared" si="10"/>
        <v>1.5036171045566205E-4</v>
      </c>
      <c r="F15" s="15">
        <f t="shared" si="10"/>
        <v>6.8182658457315174E-3</v>
      </c>
      <c r="G15" s="15">
        <f t="shared" si="10"/>
        <v>1.2215397641161854E-2</v>
      </c>
      <c r="H15" s="15">
        <f t="shared" si="10"/>
        <v>9.4332663505730004E-5</v>
      </c>
      <c r="I15" s="15">
        <f t="shared" si="10"/>
        <v>1.4287566301530752E-4</v>
      </c>
      <c r="J15" s="15">
        <f t="shared" si="10"/>
        <v>8.1500103750915408E-4</v>
      </c>
      <c r="K15" s="15">
        <f t="shared" si="10"/>
        <v>7.1458908876313853E-3</v>
      </c>
      <c r="L15" s="15">
        <f t="shared" si="10"/>
        <v>2.8272043806002053E-4</v>
      </c>
      <c r="M15" s="15">
        <f t="shared" si="10"/>
        <v>3.5409752127832997E-3</v>
      </c>
      <c r="N15" s="15">
        <f t="shared" si="10"/>
        <v>6.4288343381612356E-3</v>
      </c>
      <c r="O15" s="15">
        <f t="shared" si="10"/>
        <v>1.935583560856119E-3</v>
      </c>
      <c r="P15" s="15">
        <f t="shared" si="10"/>
        <v>4.6879290431545116E-6</v>
      </c>
      <c r="Q15" s="15">
        <f t="shared" si="10"/>
        <v>2.6087017190922775E-4</v>
      </c>
      <c r="R15" s="15">
        <f t="shared" si="10"/>
        <v>3.6221338957608868E-7</v>
      </c>
      <c r="S15" s="15">
        <f t="shared" si="10"/>
        <v>1.4609469223910751E-3</v>
      </c>
      <c r="T15" s="15">
        <f t="shared" si="10"/>
        <v>1.5636147186539478E-2</v>
      </c>
      <c r="U15" s="15">
        <f t="shared" si="10"/>
        <v>1.1948356239172646E-4</v>
      </c>
      <c r="V15" s="15">
        <f t="shared" si="10"/>
        <v>2.4995717611513114E-4</v>
      </c>
      <c r="W15" s="15">
        <f t="shared" si="10"/>
        <v>1.1117852709168917E-2</v>
      </c>
      <c r="X15" s="15">
        <f t="shared" si="10"/>
        <v>8.4525901797237707E-2</v>
      </c>
      <c r="Y15" s="15">
        <f t="shared" si="10"/>
        <v>4.9736241048929748E-3</v>
      </c>
      <c r="Z15" s="15">
        <f t="shared" si="10"/>
        <v>3.3177797838351293E-2</v>
      </c>
      <c r="AA15" s="15">
        <f t="shared" si="10"/>
        <v>1.1495436952959827E-2</v>
      </c>
      <c r="AB15" s="15">
        <f t="shared" si="10"/>
        <v>5.6389011892061946E-5</v>
      </c>
      <c r="AC15" s="15">
        <f t="shared" si="10"/>
        <v>7.6193647847735907E-3</v>
      </c>
      <c r="AD15" s="15">
        <f t="shared" si="10"/>
        <v>2.083348177355136E-4</v>
      </c>
      <c r="AE15" s="15">
        <f t="shared" si="10"/>
        <v>3.4178581735485394E-2</v>
      </c>
      <c r="AF15" s="15">
        <f t="shared" si="10"/>
        <v>2.2627724717696657E-2</v>
      </c>
      <c r="AG15" s="15">
        <f t="shared" si="10"/>
        <v>4.1955789781653253E-4</v>
      </c>
      <c r="AH15" s="15">
        <f t="shared" si="10"/>
        <v>2.2495556379925463E-10</v>
      </c>
      <c r="AI15" s="15">
        <f t="shared" ref="AI15:BN15" si="11">(AI5-AI11)^2</f>
        <v>1.0045238158693985E-3</v>
      </c>
      <c r="AJ15" s="15">
        <f t="shared" si="11"/>
        <v>3.4467299723940772E-4</v>
      </c>
      <c r="AK15" s="15">
        <f t="shared" si="11"/>
        <v>1.7949004231098812E-3</v>
      </c>
      <c r="AL15" s="15">
        <f t="shared" si="11"/>
        <v>9.2474710780122427E-3</v>
      </c>
      <c r="AM15" s="15">
        <f t="shared" si="11"/>
        <v>9.3175458238026199E-4</v>
      </c>
      <c r="AN15" s="15">
        <f t="shared" si="11"/>
        <v>2.6554734950485982E-3</v>
      </c>
      <c r="AO15" s="15">
        <f t="shared" si="11"/>
        <v>3.9357583878581485E-3</v>
      </c>
      <c r="AP15" s="15">
        <f t="shared" si="11"/>
        <v>1.578485955349356E-3</v>
      </c>
      <c r="AQ15" s="15">
        <f t="shared" si="11"/>
        <v>2.923009051439657E-4</v>
      </c>
      <c r="AR15" s="15">
        <f t="shared" si="11"/>
        <v>1.5564301093241144E-3</v>
      </c>
      <c r="AS15" s="15">
        <f t="shared" si="11"/>
        <v>1.7325170513981438E-3</v>
      </c>
      <c r="AT15" s="15">
        <f t="shared" si="11"/>
        <v>1.7179804712063027E-2</v>
      </c>
      <c r="AU15" s="15">
        <f t="shared" si="11"/>
        <v>1.166430454694705E-3</v>
      </c>
      <c r="AV15" s="15">
        <f t="shared" si="11"/>
        <v>1.732165503376595E-2</v>
      </c>
      <c r="AW15" s="15">
        <f t="shared" si="11"/>
        <v>3.0402673840578317E-3</v>
      </c>
      <c r="AX15" s="15">
        <f t="shared" si="11"/>
        <v>2.1907290727930278E-2</v>
      </c>
      <c r="AY15" s="15">
        <f t="shared" si="11"/>
        <v>3.9165244472565289E-3</v>
      </c>
      <c r="AZ15" s="15">
        <f t="shared" si="11"/>
        <v>5.2369682097316572E-3</v>
      </c>
      <c r="BA15" s="15">
        <f t="shared" si="11"/>
        <v>1.538381886171822E-6</v>
      </c>
      <c r="BB15" s="15">
        <f t="shared" si="11"/>
        <v>2.1545308803690013E-2</v>
      </c>
      <c r="BC15" s="15">
        <f t="shared" si="11"/>
        <v>3.4826387024901508E-3</v>
      </c>
      <c r="BD15" s="15">
        <f t="shared" si="11"/>
        <v>3.9026716369126212E-4</v>
      </c>
      <c r="BE15" s="15">
        <f t="shared" si="11"/>
        <v>2.0066278749229532E-2</v>
      </c>
      <c r="BF15" s="15">
        <f t="shared" si="11"/>
        <v>4.3797608253367447E-2</v>
      </c>
      <c r="BG15" s="15">
        <f t="shared" si="11"/>
        <v>3.780182529525674E-2</v>
      </c>
      <c r="BH15" s="15">
        <f t="shared" si="11"/>
        <v>1.2963917610681842E-2</v>
      </c>
      <c r="BI15" s="15">
        <f t="shared" si="11"/>
        <v>5.9807209940502494E-3</v>
      </c>
      <c r="BJ15" s="15">
        <f t="shared" si="11"/>
        <v>1.290789591387721E-3</v>
      </c>
      <c r="BK15" s="15">
        <f t="shared" si="11"/>
        <v>5.4991804845362343E-5</v>
      </c>
      <c r="BL15" s="15">
        <f t="shared" si="11"/>
        <v>2.5146063977646304E-2</v>
      </c>
      <c r="BM15" s="15">
        <f t="shared" si="11"/>
        <v>1.8865063372518771E-2</v>
      </c>
      <c r="BN15" s="15">
        <f t="shared" si="11"/>
        <v>1.2259294429772811E-3</v>
      </c>
      <c r="BO15" s="15">
        <f t="shared" ref="BO15:CT15" si="12">(BO5-BO11)^2</f>
        <v>6.637043751664426E-4</v>
      </c>
      <c r="BP15" s="15">
        <f t="shared" si="12"/>
        <v>3.3903248607011155E-3</v>
      </c>
      <c r="BQ15" s="15">
        <f t="shared" si="12"/>
        <v>1.6357688117633166E-4</v>
      </c>
      <c r="BR15" s="15">
        <f t="shared" si="12"/>
        <v>3.5646172225146079E-2</v>
      </c>
      <c r="BS15" s="15">
        <f t="shared" si="12"/>
        <v>9.3855433167570699E-3</v>
      </c>
      <c r="BT15" s="15">
        <f t="shared" si="12"/>
        <v>1.4145340065595451E-3</v>
      </c>
      <c r="BU15" s="15">
        <f t="shared" si="12"/>
        <v>3.6095906218988126E-3</v>
      </c>
      <c r="BV15" s="15">
        <f t="shared" si="12"/>
        <v>1.3267381110524123E-2</v>
      </c>
      <c r="BW15" s="15">
        <f t="shared" si="12"/>
        <v>1.8891112261021841E-2</v>
      </c>
      <c r="BX15" s="15">
        <f t="shared" si="12"/>
        <v>1.5932563934938761E-6</v>
      </c>
      <c r="BY15" s="15">
        <f t="shared" si="12"/>
        <v>1.7681380087349152E-2</v>
      </c>
      <c r="BZ15" s="15">
        <f t="shared" si="12"/>
        <v>8.9306832065837074E-4</v>
      </c>
      <c r="CA15" s="15">
        <f t="shared" si="12"/>
        <v>3.2872347771063246E-3</v>
      </c>
      <c r="CB15" s="15">
        <f t="shared" si="12"/>
        <v>5.739354383887342E-4</v>
      </c>
      <c r="CC15" s="15">
        <f t="shared" si="12"/>
        <v>3.485122427815888E-3</v>
      </c>
      <c r="CD15" s="15">
        <f t="shared" si="12"/>
        <v>3.9000808788532352E-3</v>
      </c>
      <c r="CE15" s="15">
        <f t="shared" si="12"/>
        <v>7.3485698816722041E-3</v>
      </c>
      <c r="CF15" s="15">
        <f t="shared" si="12"/>
        <v>8.9855456082536788E-6</v>
      </c>
      <c r="CG15" s="15">
        <f t="shared" si="12"/>
        <v>1.3559387329067113E-2</v>
      </c>
      <c r="CH15" s="15">
        <f t="shared" si="12"/>
        <v>1.1877748619536078E-3</v>
      </c>
      <c r="CI15" s="15">
        <f t="shared" si="12"/>
        <v>6.0122495811271645E-3</v>
      </c>
      <c r="CJ15" s="15">
        <f t="shared" si="12"/>
        <v>5.0762326794431004E-2</v>
      </c>
      <c r="CK15" s="15">
        <f t="shared" si="12"/>
        <v>1.9399538387078037E-2</v>
      </c>
      <c r="CL15" s="15">
        <f t="shared" si="12"/>
        <v>2.2667042260016989E-2</v>
      </c>
      <c r="CM15" s="15">
        <f t="shared" si="12"/>
        <v>1.3489140442394786E-2</v>
      </c>
      <c r="CN15" s="15">
        <f t="shared" si="12"/>
        <v>5.0633595584974114E-2</v>
      </c>
      <c r="CO15" s="15">
        <f t="shared" si="12"/>
        <v>1.1488190532990149E-2</v>
      </c>
      <c r="CP15" s="15">
        <f t="shared" si="12"/>
        <v>1.305010992184489E-4</v>
      </c>
      <c r="CQ15" s="15">
        <f t="shared" si="12"/>
        <v>4.1215160297876779E-2</v>
      </c>
      <c r="CR15" s="15">
        <f t="shared" si="12"/>
        <v>1.8523778490423384E-2</v>
      </c>
      <c r="CS15" s="15">
        <f t="shared" si="12"/>
        <v>6.182464463663391E-3</v>
      </c>
      <c r="CT15" s="15">
        <f t="shared" si="12"/>
        <v>9.0537339407508767E-4</v>
      </c>
      <c r="CU15" s="15">
        <f t="shared" ref="CU15:DZ15" si="13">(CU5-CU11)^2</f>
        <v>8.027668784348431E-2</v>
      </c>
      <c r="CV15" s="15">
        <f t="shared" si="13"/>
        <v>5.3645171956919549E-2</v>
      </c>
      <c r="CW15" s="15">
        <f t="shared" si="13"/>
        <v>8.9844952351737228E-3</v>
      </c>
      <c r="CX15" s="15">
        <f t="shared" si="13"/>
        <v>1.4542697494320729E-2</v>
      </c>
      <c r="CY15" s="15">
        <f t="shared" si="13"/>
        <v>6.4997243701723443E-3</v>
      </c>
      <c r="CZ15" s="15">
        <f t="shared" si="13"/>
        <v>2.1087090175428919E-3</v>
      </c>
      <c r="DA15" s="15">
        <f t="shared" si="13"/>
        <v>7.0767904848717741E-3</v>
      </c>
      <c r="DB15" s="15">
        <f t="shared" si="13"/>
        <v>2.3317378148165237E-2</v>
      </c>
      <c r="DC15" s="15">
        <f t="shared" si="13"/>
        <v>1.9256626308323482E-3</v>
      </c>
      <c r="DD15" s="15">
        <f t="shared" si="13"/>
        <v>2.5514464913512634E-2</v>
      </c>
      <c r="DE15" s="15">
        <f t="shared" si="13"/>
        <v>1.125457754323121E-2</v>
      </c>
      <c r="DF15" s="15">
        <f t="shared" si="13"/>
        <v>6.5274643845131975E-3</v>
      </c>
      <c r="DG15" s="15">
        <f t="shared" si="13"/>
        <v>4.4503106533610247E-2</v>
      </c>
      <c r="DH15" s="15">
        <f t="shared" si="13"/>
        <v>4.5387420581805239E-3</v>
      </c>
      <c r="DI15" s="15">
        <f t="shared" si="13"/>
        <v>6.9511152128680399E-3</v>
      </c>
      <c r="DJ15" s="15">
        <f t="shared" si="13"/>
        <v>1.271594860898663E-2</v>
      </c>
      <c r="DK15" s="15">
        <f t="shared" si="13"/>
        <v>2.4262845376243225E-4</v>
      </c>
      <c r="DL15" s="15">
        <f t="shared" si="13"/>
        <v>5.734848500973843E-3</v>
      </c>
      <c r="DM15" s="15">
        <f t="shared" si="13"/>
        <v>4.6077405573695141E-4</v>
      </c>
      <c r="DN15" s="15">
        <f t="shared" si="13"/>
        <v>7.5063831613257908E-4</v>
      </c>
      <c r="DO15" s="15">
        <f t="shared" si="13"/>
        <v>9.9585291441270426E-3</v>
      </c>
      <c r="DP15" s="15">
        <f t="shared" si="13"/>
        <v>5.0420541585062789E-2</v>
      </c>
      <c r="DQ15" s="15">
        <f t="shared" si="13"/>
        <v>5.8983649919439309E-2</v>
      </c>
      <c r="DR15" s="15">
        <f t="shared" si="13"/>
        <v>1.1550061412255472E-4</v>
      </c>
      <c r="DS15" s="15">
        <f t="shared" si="13"/>
        <v>1.8931376615188962E-2</v>
      </c>
      <c r="DT15" s="15">
        <f t="shared" si="13"/>
        <v>1.331816134754058E-2</v>
      </c>
      <c r="DU15" s="15">
        <f t="shared" si="13"/>
        <v>1.2045129040754502E-2</v>
      </c>
      <c r="DV15" s="15">
        <f t="shared" si="13"/>
        <v>2.6445511393201329E-3</v>
      </c>
      <c r="DW15" s="15">
        <f t="shared" si="13"/>
        <v>6.9100564717939554E-4</v>
      </c>
      <c r="DX15" s="15">
        <f t="shared" si="13"/>
        <v>3.8106078060358346E-3</v>
      </c>
      <c r="DY15" s="15">
        <f t="shared" si="13"/>
        <v>5.1895719599508285E-3</v>
      </c>
      <c r="DZ15" s="15">
        <f t="shared" si="13"/>
        <v>2.7107252214019682E-4</v>
      </c>
      <c r="EA15" s="15">
        <f t="shared" ref="EA15:EF15" si="14">(EA5-EA11)^2</f>
        <v>8.4449120241455553E-2</v>
      </c>
      <c r="EB15" s="15">
        <f t="shared" si="14"/>
        <v>1.8628814843924046E-2</v>
      </c>
      <c r="EC15" s="15">
        <f t="shared" si="14"/>
        <v>4.6659307299391718E-5</v>
      </c>
      <c r="ED15" s="15">
        <f t="shared" si="14"/>
        <v>4.1760856758029999E-3</v>
      </c>
      <c r="EE15" s="15">
        <f t="shared" si="14"/>
        <v>1.9080229946009986E-2</v>
      </c>
      <c r="EF15" s="15">
        <f t="shared" si="14"/>
        <v>8.2498645626974364E-3</v>
      </c>
    </row>
    <row r="17" spans="1:136">
      <c r="A17" t="s">
        <v>201</v>
      </c>
      <c r="B17" t="s">
        <v>136</v>
      </c>
      <c r="C17" s="15">
        <f t="shared" ref="C17:AH17" si="15">C9^2</f>
        <v>1.1904082277860264E-2</v>
      </c>
      <c r="D17" s="15">
        <f t="shared" si="15"/>
        <v>2.1247676054046116E-4</v>
      </c>
      <c r="E17" s="15">
        <f t="shared" si="15"/>
        <v>1.3071374994951929E-3</v>
      </c>
      <c r="F17" s="15">
        <f t="shared" si="15"/>
        <v>2.2492264027630889E-5</v>
      </c>
      <c r="G17" s="15">
        <f t="shared" si="15"/>
        <v>3.3036666141783492E-5</v>
      </c>
      <c r="H17" s="15">
        <f t="shared" si="15"/>
        <v>2.4381891708842936E-3</v>
      </c>
      <c r="I17" s="15">
        <f t="shared" si="15"/>
        <v>3.3581210916677484E-2</v>
      </c>
      <c r="J17" s="15">
        <f t="shared" si="15"/>
        <v>1.3569060155122757E-2</v>
      </c>
      <c r="K17" s="15">
        <f t="shared" si="15"/>
        <v>9.3605069620112215E-4</v>
      </c>
      <c r="L17" s="15">
        <f t="shared" si="15"/>
        <v>3.9315162352171023E-4</v>
      </c>
      <c r="M17" s="15">
        <f t="shared" si="15"/>
        <v>4.4095826822239875E-4</v>
      </c>
      <c r="N17" s="15">
        <f t="shared" si="15"/>
        <v>2.2433876085478928E-2</v>
      </c>
      <c r="O17" s="15">
        <f t="shared" si="15"/>
        <v>2.3911693040638534E-4</v>
      </c>
      <c r="P17" s="15">
        <f t="shared" si="15"/>
        <v>8.4258302823047079E-3</v>
      </c>
      <c r="Q17" s="15">
        <f t="shared" si="15"/>
        <v>5.9921553092687051E-3</v>
      </c>
      <c r="R17" s="15">
        <f t="shared" si="15"/>
        <v>3.0004754709051702E-3</v>
      </c>
      <c r="S17" s="15">
        <f t="shared" si="15"/>
        <v>1.5708708491616E-2</v>
      </c>
      <c r="T17" s="15">
        <f t="shared" si="15"/>
        <v>1.4173716945580542E-2</v>
      </c>
      <c r="U17" s="15">
        <f t="shared" si="15"/>
        <v>1.4265767398050631E-3</v>
      </c>
      <c r="V17" s="15">
        <f t="shared" si="15"/>
        <v>6.5908131416074602E-3</v>
      </c>
      <c r="W17" s="15">
        <f t="shared" si="15"/>
        <v>7.0575066817627407E-3</v>
      </c>
      <c r="X17" s="15">
        <f t="shared" si="15"/>
        <v>2.1612338960948319E-2</v>
      </c>
      <c r="Y17" s="15">
        <f t="shared" si="15"/>
        <v>1.5715264241471783E-2</v>
      </c>
      <c r="Z17" s="15">
        <f t="shared" si="15"/>
        <v>3.6846166718653456E-2</v>
      </c>
      <c r="AA17" s="15">
        <f t="shared" si="15"/>
        <v>7.1184289266528374E-3</v>
      </c>
      <c r="AB17" s="15">
        <f t="shared" si="15"/>
        <v>5.3140620982757656E-3</v>
      </c>
      <c r="AC17" s="15">
        <f t="shared" si="15"/>
        <v>1.0527695785516851E-2</v>
      </c>
      <c r="AD17" s="15">
        <f t="shared" si="15"/>
        <v>2.4869817519127077E-4</v>
      </c>
      <c r="AE17" s="15">
        <f t="shared" si="15"/>
        <v>2.3106177330172069E-2</v>
      </c>
      <c r="AF17" s="15">
        <f t="shared" si="15"/>
        <v>3.5105923035905259E-3</v>
      </c>
      <c r="AG17" s="15">
        <f t="shared" si="15"/>
        <v>1.6915301264337771E-2</v>
      </c>
      <c r="AH17" s="15">
        <f t="shared" si="15"/>
        <v>1.328403665826966E-2</v>
      </c>
      <c r="AI17" s="15">
        <f t="shared" ref="AI17:BN17" si="16">AI9^2</f>
        <v>1.0631917918075163E-3</v>
      </c>
      <c r="AJ17" s="15">
        <f t="shared" si="16"/>
        <v>7.8395043318640434E-4</v>
      </c>
      <c r="AK17" s="15">
        <f t="shared" si="16"/>
        <v>2.1482887422166509E-2</v>
      </c>
      <c r="AL17" s="15">
        <f t="shared" si="16"/>
        <v>1.668062549107739E-3</v>
      </c>
      <c r="AM17" s="15">
        <f t="shared" si="16"/>
        <v>1.7259749824038686E-2</v>
      </c>
      <c r="AN17" s="15">
        <f t="shared" si="16"/>
        <v>4.9032555464976403E-2</v>
      </c>
      <c r="AO17" s="15">
        <f t="shared" si="16"/>
        <v>4.3852711121876225E-4</v>
      </c>
      <c r="AP17" s="15">
        <f t="shared" si="16"/>
        <v>1.8812851996102171E-2</v>
      </c>
      <c r="AQ17" s="15">
        <f t="shared" si="16"/>
        <v>6.1915646627000822E-4</v>
      </c>
      <c r="AR17" s="15">
        <f t="shared" si="16"/>
        <v>2.4068328718584233E-4</v>
      </c>
      <c r="AS17" s="15">
        <f t="shared" si="16"/>
        <v>1.1815056389704321E-3</v>
      </c>
      <c r="AT17" s="15">
        <f t="shared" si="16"/>
        <v>3.9810656089414309E-3</v>
      </c>
      <c r="AU17" s="15">
        <f t="shared" si="16"/>
        <v>1.8694983030806238E-3</v>
      </c>
      <c r="AV17" s="15">
        <f t="shared" si="16"/>
        <v>5.5101474414569638E-3</v>
      </c>
      <c r="AW17" s="15">
        <f t="shared" si="16"/>
        <v>7.8371035043392316E-4</v>
      </c>
      <c r="AX17" s="15">
        <f t="shared" si="16"/>
        <v>1.4367478657017244E-2</v>
      </c>
      <c r="AY17" s="15">
        <f t="shared" si="16"/>
        <v>5.8613679493322605E-3</v>
      </c>
      <c r="AZ17" s="15">
        <f t="shared" si="16"/>
        <v>4.7220968054589304E-4</v>
      </c>
      <c r="BA17" s="15">
        <f t="shared" si="16"/>
        <v>1.5536707046446584E-6</v>
      </c>
      <c r="BB17" s="15">
        <f t="shared" si="16"/>
        <v>1.0200156097581669E-2</v>
      </c>
      <c r="BC17" s="15">
        <f t="shared" si="16"/>
        <v>8.8964574469951819E-4</v>
      </c>
      <c r="BD17" s="15">
        <f t="shared" si="16"/>
        <v>7.5268956977767048E-5</v>
      </c>
      <c r="BE17" s="15">
        <f t="shared" si="16"/>
        <v>4.7000904970756216E-3</v>
      </c>
      <c r="BF17" s="15">
        <f t="shared" si="16"/>
        <v>2.4621562948682934E-2</v>
      </c>
      <c r="BG17" s="15">
        <f t="shared" si="16"/>
        <v>2.5345828645073384E-2</v>
      </c>
      <c r="BH17" s="15">
        <f t="shared" si="16"/>
        <v>3.7358582565093718E-3</v>
      </c>
      <c r="BI17" s="15">
        <f t="shared" si="16"/>
        <v>9.3921007423280172E-3</v>
      </c>
      <c r="BJ17" s="15">
        <f t="shared" si="16"/>
        <v>2.9971517217047563E-3</v>
      </c>
      <c r="BK17" s="15">
        <f t="shared" si="16"/>
        <v>7.6550185977651616E-3</v>
      </c>
      <c r="BL17" s="15">
        <f t="shared" si="16"/>
        <v>8.9164103340217925E-3</v>
      </c>
      <c r="BM17" s="15">
        <f t="shared" si="16"/>
        <v>4.9244308753160887E-4</v>
      </c>
      <c r="BN17" s="15">
        <f t="shared" si="16"/>
        <v>2.4425352677185161E-4</v>
      </c>
      <c r="BO17" s="15">
        <f t="shared" ref="BO17:CT17" si="17">BO9^2</f>
        <v>6.6289298211247571E-3</v>
      </c>
      <c r="BP17" s="15">
        <f t="shared" si="17"/>
        <v>3.4258094968395863E-4</v>
      </c>
      <c r="BQ17" s="15">
        <f t="shared" si="17"/>
        <v>4.7237535213055463E-3</v>
      </c>
      <c r="BR17" s="15">
        <f t="shared" si="17"/>
        <v>9.6246407867516525E-6</v>
      </c>
      <c r="BS17" s="15">
        <f t="shared" si="17"/>
        <v>5.6196639138378088E-3</v>
      </c>
      <c r="BT17" s="15">
        <f t="shared" si="17"/>
        <v>2.0431835304301382E-3</v>
      </c>
      <c r="BU17" s="15">
        <f t="shared" si="17"/>
        <v>6.5932524502488709E-4</v>
      </c>
      <c r="BV17" s="15">
        <f t="shared" si="17"/>
        <v>8.427980119369332E-3</v>
      </c>
      <c r="BW17" s="15">
        <f t="shared" si="17"/>
        <v>6.9453326513524774E-4</v>
      </c>
      <c r="BX17" s="15">
        <f t="shared" si="17"/>
        <v>3.7615951743202121E-4</v>
      </c>
      <c r="BY17" s="15">
        <f t="shared" si="17"/>
        <v>5.9042164483032638E-3</v>
      </c>
      <c r="BZ17" s="15">
        <f t="shared" si="17"/>
        <v>1.2839000623048005E-2</v>
      </c>
      <c r="CA17" s="15">
        <f t="shared" si="17"/>
        <v>1.1525082059920233E-2</v>
      </c>
      <c r="CB17" s="15">
        <f t="shared" si="17"/>
        <v>1.6682967477483388E-3</v>
      </c>
      <c r="CC17" s="15">
        <f t="shared" si="17"/>
        <v>3.9210767823715285E-4</v>
      </c>
      <c r="CD17" s="15">
        <f t="shared" si="17"/>
        <v>3.548592802252902E-2</v>
      </c>
      <c r="CE17" s="15">
        <f t="shared" si="17"/>
        <v>3.0885701458901937E-3</v>
      </c>
      <c r="CF17" s="15">
        <f t="shared" si="17"/>
        <v>5.6058275198580514E-3</v>
      </c>
      <c r="CG17" s="15">
        <f t="shared" si="17"/>
        <v>1.0000038380535725E-2</v>
      </c>
      <c r="CH17" s="15">
        <f t="shared" si="17"/>
        <v>1.850190885600296E-2</v>
      </c>
      <c r="CI17" s="15">
        <f t="shared" si="17"/>
        <v>8.7873778374468071E-3</v>
      </c>
      <c r="CJ17" s="15">
        <f t="shared" si="17"/>
        <v>1.5449609443997168E-5</v>
      </c>
      <c r="CK17" s="15">
        <f t="shared" si="17"/>
        <v>3.1931288133821255E-3</v>
      </c>
      <c r="CL17" s="15">
        <f t="shared" si="17"/>
        <v>6.9456377220562526E-2</v>
      </c>
      <c r="CM17" s="15">
        <f t="shared" si="17"/>
        <v>9.1306336429085243E-5</v>
      </c>
      <c r="CN17" s="15">
        <f t="shared" si="17"/>
        <v>9.9299981066329653E-4</v>
      </c>
      <c r="CO17" s="15">
        <f t="shared" si="17"/>
        <v>5.1162058729769763E-4</v>
      </c>
      <c r="CP17" s="15">
        <f t="shared" si="17"/>
        <v>1.7597510690797149E-2</v>
      </c>
      <c r="CQ17" s="15">
        <f t="shared" si="17"/>
        <v>1.7708364708443211E-2</v>
      </c>
      <c r="CR17" s="15">
        <f t="shared" si="17"/>
        <v>2.2369415134259262E-4</v>
      </c>
      <c r="CS17" s="15">
        <f t="shared" si="17"/>
        <v>1.1168922557625953E-3</v>
      </c>
      <c r="CT17" s="15">
        <f t="shared" si="17"/>
        <v>1.5082808365029206E-4</v>
      </c>
      <c r="CU17" s="15">
        <f t="shared" ref="CU17:DZ17" si="18">CU9^2</f>
        <v>1.3645740385844037E-2</v>
      </c>
      <c r="CV17" s="15">
        <f t="shared" si="18"/>
        <v>9.9789357659655527E-6</v>
      </c>
      <c r="CW17" s="15">
        <f t="shared" si="18"/>
        <v>1.4605970535097568E-3</v>
      </c>
      <c r="CX17" s="15">
        <f t="shared" si="18"/>
        <v>1.9369428669164728E-2</v>
      </c>
      <c r="CY17" s="15">
        <f t="shared" si="18"/>
        <v>5.6227258353762984E-4</v>
      </c>
      <c r="CZ17" s="15">
        <f t="shared" si="18"/>
        <v>4.7677993769128582E-2</v>
      </c>
      <c r="DA17" s="15">
        <f t="shared" si="18"/>
        <v>3.3602150955513014E-3</v>
      </c>
      <c r="DB17" s="15">
        <f t="shared" si="18"/>
        <v>1.9892898007428065E-4</v>
      </c>
      <c r="DC17" s="15">
        <f t="shared" si="18"/>
        <v>1.298598834966512E-2</v>
      </c>
      <c r="DD17" s="15">
        <f t="shared" si="18"/>
        <v>5.5461177913042319E-3</v>
      </c>
      <c r="DE17" s="15">
        <f t="shared" si="18"/>
        <v>8.0944705118043796E-7</v>
      </c>
      <c r="DF17" s="15">
        <f t="shared" si="18"/>
        <v>9.5466930982486662E-7</v>
      </c>
      <c r="DG17" s="15">
        <f t="shared" si="18"/>
        <v>5.3260942765597724E-3</v>
      </c>
      <c r="DH17" s="15">
        <f t="shared" si="18"/>
        <v>5.6859770483571833E-4</v>
      </c>
      <c r="DI17" s="15">
        <f t="shared" si="18"/>
        <v>1.0308477356134783E-2</v>
      </c>
      <c r="DJ17" s="15">
        <f t="shared" si="18"/>
        <v>7.6687657573272126E-4</v>
      </c>
      <c r="DK17" s="15">
        <f t="shared" si="18"/>
        <v>2.4339573117996964E-3</v>
      </c>
      <c r="DL17" s="15">
        <f t="shared" si="18"/>
        <v>3.248267667612629E-5</v>
      </c>
      <c r="DM17" s="15">
        <f t="shared" si="18"/>
        <v>1.3676505773505593E-3</v>
      </c>
      <c r="DN17" s="15">
        <f t="shared" si="18"/>
        <v>1.2058891959025398E-2</v>
      </c>
      <c r="DO17" s="15">
        <f t="shared" si="18"/>
        <v>1.7670946755159902E-3</v>
      </c>
      <c r="DP17" s="15">
        <f t="shared" si="18"/>
        <v>7.1515213376560464E-3</v>
      </c>
      <c r="DQ17" s="15">
        <f t="shared" si="18"/>
        <v>1.2161636684326392E-2</v>
      </c>
      <c r="DR17" s="15">
        <f t="shared" si="18"/>
        <v>8.8979053657027001E-3</v>
      </c>
      <c r="DS17" s="15">
        <f t="shared" si="18"/>
        <v>5.1706040810191528E-3</v>
      </c>
      <c r="DT17" s="15">
        <f t="shared" si="18"/>
        <v>9.2614503642733919E-3</v>
      </c>
      <c r="DU17" s="15">
        <f t="shared" si="18"/>
        <v>5.5016020342108963E-6</v>
      </c>
      <c r="DV17" s="15">
        <f t="shared" si="18"/>
        <v>1.7960669823662546E-2</v>
      </c>
      <c r="DW17" s="15">
        <f t="shared" si="18"/>
        <v>8.9742501777570517E-3</v>
      </c>
      <c r="DX17" s="15">
        <f t="shared" si="18"/>
        <v>1.0768876593012837E-2</v>
      </c>
      <c r="DY17" s="15">
        <f t="shared" si="18"/>
        <v>5.7399040046420165E-3</v>
      </c>
      <c r="DZ17" s="15">
        <f t="shared" si="18"/>
        <v>1.0131311029084758E-3</v>
      </c>
      <c r="EA17" s="15">
        <f t="shared" ref="EA17:EF17" si="19">EA9^2</f>
        <v>2.6020277100143683E-2</v>
      </c>
      <c r="EB17" s="15">
        <f t="shared" si="19"/>
        <v>1.0411208891300061E-4</v>
      </c>
      <c r="EC17" s="15">
        <f t="shared" si="19"/>
        <v>5.4742870589305657E-3</v>
      </c>
      <c r="ED17" s="15">
        <f t="shared" si="19"/>
        <v>2.4767480781445986E-2</v>
      </c>
      <c r="EE17" s="15">
        <f t="shared" si="19"/>
        <v>6.2627523737550815E-3</v>
      </c>
      <c r="EF17" s="15">
        <f t="shared" si="19"/>
        <v>5.2603901117786907E-3</v>
      </c>
    </row>
    <row r="18" spans="1:136">
      <c r="B18" t="s">
        <v>137</v>
      </c>
      <c r="C18" s="15">
        <f t="shared" ref="C18:AH18" si="20">C10^2</f>
        <v>6.1300169090364023E-2</v>
      </c>
      <c r="D18" s="15">
        <f t="shared" si="20"/>
        <v>7.5456410721795972E-2</v>
      </c>
      <c r="E18" s="15">
        <f t="shared" si="20"/>
        <v>7.1653491215006608E-3</v>
      </c>
      <c r="F18" s="15">
        <f t="shared" si="20"/>
        <v>5.1277932467457823E-4</v>
      </c>
      <c r="G18" s="15">
        <f t="shared" si="20"/>
        <v>2.4681024790687124E-3</v>
      </c>
      <c r="H18" s="15">
        <f t="shared" si="20"/>
        <v>1.0152503674850528E-2</v>
      </c>
      <c r="I18" s="15">
        <f t="shared" si="20"/>
        <v>1.568185506319921E-4</v>
      </c>
      <c r="J18" s="15">
        <f t="shared" si="20"/>
        <v>6.1994443791691554E-3</v>
      </c>
      <c r="K18" s="15">
        <f t="shared" si="20"/>
        <v>1.1686210786418709E-3</v>
      </c>
      <c r="L18" s="15">
        <f t="shared" si="20"/>
        <v>7.8157618954765237E-3</v>
      </c>
      <c r="M18" s="15">
        <f t="shared" si="20"/>
        <v>9.384753841255295E-6</v>
      </c>
      <c r="N18" s="15">
        <f t="shared" si="20"/>
        <v>4.5036476574086326E-2</v>
      </c>
      <c r="O18" s="15">
        <f t="shared" si="20"/>
        <v>1.3546366286925624E-3</v>
      </c>
      <c r="P18" s="15">
        <f t="shared" si="20"/>
        <v>5.0457039774389721E-3</v>
      </c>
      <c r="Q18" s="15">
        <f t="shared" si="20"/>
        <v>5.0781490762883581E-3</v>
      </c>
      <c r="R18" s="15">
        <f t="shared" si="20"/>
        <v>4.6485286217124193E-4</v>
      </c>
      <c r="S18" s="15">
        <f t="shared" si="20"/>
        <v>1.0223486509543127E-2</v>
      </c>
      <c r="T18" s="15">
        <f t="shared" si="20"/>
        <v>1.8683781301546628E-3</v>
      </c>
      <c r="U18" s="15">
        <f t="shared" si="20"/>
        <v>2.2147242359019667E-4</v>
      </c>
      <c r="V18" s="15">
        <f t="shared" si="20"/>
        <v>4.0018583491306699E-5</v>
      </c>
      <c r="W18" s="15">
        <f t="shared" si="20"/>
        <v>2.0607457624597373E-2</v>
      </c>
      <c r="X18" s="15">
        <f t="shared" si="20"/>
        <v>4.1321976387742217E-3</v>
      </c>
      <c r="Y18" s="15">
        <f t="shared" si="20"/>
        <v>3.6230087920246964E-4</v>
      </c>
      <c r="Z18" s="15">
        <f t="shared" si="20"/>
        <v>4.2619770257246479E-4</v>
      </c>
      <c r="AA18" s="15">
        <f t="shared" si="20"/>
        <v>1.0929332099957007E-3</v>
      </c>
      <c r="AB18" s="15">
        <f t="shared" si="20"/>
        <v>3.7706753115437583E-4</v>
      </c>
      <c r="AC18" s="15">
        <f t="shared" si="20"/>
        <v>3.9849977723438457E-3</v>
      </c>
      <c r="AD18" s="15">
        <f t="shared" si="20"/>
        <v>4.3072591163810263E-3</v>
      </c>
      <c r="AE18" s="15">
        <f t="shared" si="20"/>
        <v>1.9042810256226231E-2</v>
      </c>
      <c r="AF18" s="15">
        <f t="shared" si="20"/>
        <v>1.0113906222416341E-2</v>
      </c>
      <c r="AG18" s="15">
        <f t="shared" si="20"/>
        <v>1.4416518828127469E-3</v>
      </c>
      <c r="AH18" s="15">
        <f t="shared" si="20"/>
        <v>2.1012632264048744E-3</v>
      </c>
      <c r="AI18" s="15">
        <f t="shared" ref="AI18:BN18" si="21">AI10^2</f>
        <v>2.6044789051912999E-3</v>
      </c>
      <c r="AJ18" s="15">
        <f t="shared" si="21"/>
        <v>1.0371239511276646E-5</v>
      </c>
      <c r="AK18" s="15">
        <f t="shared" si="21"/>
        <v>2.3963921924093171E-7</v>
      </c>
      <c r="AL18" s="15">
        <f t="shared" si="21"/>
        <v>1.1330911354520039E-2</v>
      </c>
      <c r="AM18" s="15">
        <f t="shared" si="21"/>
        <v>1.883474509221127E-4</v>
      </c>
      <c r="AN18" s="15">
        <f t="shared" si="21"/>
        <v>1.4875389913204669E-2</v>
      </c>
      <c r="AO18" s="15">
        <f t="shared" si="21"/>
        <v>2.3609556394479764E-3</v>
      </c>
      <c r="AP18" s="15">
        <f t="shared" si="21"/>
        <v>3.6219815731516953E-6</v>
      </c>
      <c r="AQ18" s="15">
        <f t="shared" si="21"/>
        <v>8.4491867337224593E-4</v>
      </c>
      <c r="AR18" s="15">
        <f t="shared" si="21"/>
        <v>2.7705250060662671E-3</v>
      </c>
      <c r="AS18" s="15">
        <f t="shared" si="21"/>
        <v>1.6623611670017849E-4</v>
      </c>
      <c r="AT18" s="15">
        <f t="shared" si="21"/>
        <v>4.541735420018535E-6</v>
      </c>
      <c r="AU18" s="15">
        <f t="shared" si="21"/>
        <v>2.4144306160754265E-2</v>
      </c>
      <c r="AV18" s="15">
        <f t="shared" si="21"/>
        <v>1.6082764905029582E-4</v>
      </c>
      <c r="AW18" s="15">
        <f t="shared" si="21"/>
        <v>1.4261904564871037E-4</v>
      </c>
      <c r="AX18" s="15">
        <f t="shared" si="21"/>
        <v>1.8094742098652484E-5</v>
      </c>
      <c r="AY18" s="15">
        <f t="shared" si="21"/>
        <v>8.5854107590684829E-4</v>
      </c>
      <c r="AZ18" s="15">
        <f t="shared" si="21"/>
        <v>1.7990186561850662E-2</v>
      </c>
      <c r="BA18" s="15">
        <f t="shared" si="21"/>
        <v>1.8799571566061855E-2</v>
      </c>
      <c r="BB18" s="15">
        <f t="shared" si="21"/>
        <v>3.0788334943751427E-6</v>
      </c>
      <c r="BC18" s="15">
        <f t="shared" si="21"/>
        <v>6.3087002382422445E-4</v>
      </c>
      <c r="BD18" s="15">
        <f t="shared" si="21"/>
        <v>1.4304616064498009E-2</v>
      </c>
      <c r="BE18" s="15">
        <f t="shared" si="21"/>
        <v>1.8431225512955431E-2</v>
      </c>
      <c r="BF18" s="15">
        <f t="shared" si="21"/>
        <v>2.2175775080298639E-3</v>
      </c>
      <c r="BG18" s="15">
        <f t="shared" si="21"/>
        <v>6.7860478904543942E-4</v>
      </c>
      <c r="BH18" s="15">
        <f t="shared" si="21"/>
        <v>1.9143052038415641E-3</v>
      </c>
      <c r="BI18" s="15">
        <f t="shared" si="21"/>
        <v>6.6246296481045049E-3</v>
      </c>
      <c r="BJ18" s="15">
        <f t="shared" si="21"/>
        <v>1.0120525298453803E-2</v>
      </c>
      <c r="BK18" s="15">
        <f t="shared" si="21"/>
        <v>8.1884544049846235E-3</v>
      </c>
      <c r="BL18" s="15">
        <f t="shared" si="21"/>
        <v>9.5471475034238963E-4</v>
      </c>
      <c r="BM18" s="15">
        <f t="shared" si="21"/>
        <v>3.4591085480784899E-3</v>
      </c>
      <c r="BN18" s="15">
        <f t="shared" si="21"/>
        <v>6.617113024465748E-3</v>
      </c>
      <c r="BO18" s="15">
        <f t="shared" ref="BO18:CT18" si="22">BO10^2</f>
        <v>5.9543089738482516E-5</v>
      </c>
      <c r="BP18" s="15">
        <f t="shared" si="22"/>
        <v>1.1392332566655691E-2</v>
      </c>
      <c r="BQ18" s="15">
        <f t="shared" si="22"/>
        <v>7.3746686174088762E-4</v>
      </c>
      <c r="BR18" s="15">
        <f t="shared" si="22"/>
        <v>2.962735792272784E-3</v>
      </c>
      <c r="BS18" s="15">
        <f t="shared" si="22"/>
        <v>4.6552343102339144E-3</v>
      </c>
      <c r="BT18" s="15">
        <f t="shared" si="22"/>
        <v>9.7243705233366149E-3</v>
      </c>
      <c r="BU18" s="15">
        <f t="shared" si="22"/>
        <v>1.6486185664536111E-2</v>
      </c>
      <c r="BV18" s="15">
        <f t="shared" si="22"/>
        <v>6.1469550603066659E-3</v>
      </c>
      <c r="BW18" s="15">
        <f t="shared" si="22"/>
        <v>1.4192843634773274E-2</v>
      </c>
      <c r="BX18" s="15">
        <f t="shared" si="22"/>
        <v>2.1986811101669893E-3</v>
      </c>
      <c r="BY18" s="15">
        <f t="shared" si="22"/>
        <v>1.034255309954589E-2</v>
      </c>
      <c r="BZ18" s="15">
        <f t="shared" si="22"/>
        <v>6.5946672658473903E-4</v>
      </c>
      <c r="CA18" s="15">
        <f t="shared" si="22"/>
        <v>6.9391882189381946E-3</v>
      </c>
      <c r="CB18" s="15">
        <f t="shared" si="22"/>
        <v>2.4909566624333357E-2</v>
      </c>
      <c r="CC18" s="15">
        <f t="shared" si="22"/>
        <v>5.0484679457919839E-3</v>
      </c>
      <c r="CD18" s="15">
        <f t="shared" si="22"/>
        <v>5.4575883396954768E-3</v>
      </c>
      <c r="CE18" s="15">
        <f t="shared" si="22"/>
        <v>5.6067832386980022E-2</v>
      </c>
      <c r="CF18" s="15">
        <f t="shared" si="22"/>
        <v>1.0645672168983563E-3</v>
      </c>
      <c r="CG18" s="15">
        <f t="shared" si="22"/>
        <v>1.8017920089221721E-4</v>
      </c>
      <c r="CH18" s="15">
        <f t="shared" si="22"/>
        <v>7.8213400438148902E-6</v>
      </c>
      <c r="CI18" s="15">
        <f t="shared" si="22"/>
        <v>2.2968727120364087E-3</v>
      </c>
      <c r="CJ18" s="15">
        <f t="shared" si="22"/>
        <v>1.0575629320283603E-5</v>
      </c>
      <c r="CK18" s="15">
        <f t="shared" si="22"/>
        <v>5.7317300865370067E-3</v>
      </c>
      <c r="CL18" s="15">
        <f t="shared" si="22"/>
        <v>1.9711163270756775E-3</v>
      </c>
      <c r="CM18" s="15">
        <f t="shared" si="22"/>
        <v>3.2036912913769394E-2</v>
      </c>
      <c r="CN18" s="15">
        <f t="shared" si="22"/>
        <v>3.3633349379620708E-3</v>
      </c>
      <c r="CO18" s="15">
        <f t="shared" si="22"/>
        <v>1.9429624982324575E-2</v>
      </c>
      <c r="CP18" s="15">
        <f t="shared" si="22"/>
        <v>4.1879885783785839E-3</v>
      </c>
      <c r="CQ18" s="15">
        <f t="shared" si="22"/>
        <v>3.2829051050147696E-2</v>
      </c>
      <c r="CR18" s="15">
        <f t="shared" si="22"/>
        <v>7.8559030529674386E-3</v>
      </c>
      <c r="CS18" s="15">
        <f t="shared" si="22"/>
        <v>6.411922743936203E-4</v>
      </c>
      <c r="CT18" s="15">
        <f t="shared" si="22"/>
        <v>1.2786876993597889E-2</v>
      </c>
      <c r="CU18" s="15">
        <f t="shared" ref="CU18:DZ18" si="23">CU10^2</f>
        <v>6.5544524509339751E-5</v>
      </c>
      <c r="CV18" s="15">
        <f t="shared" si="23"/>
        <v>2.0430588388809477E-3</v>
      </c>
      <c r="CW18" s="15">
        <f t="shared" si="23"/>
        <v>3.4740680595904648E-3</v>
      </c>
      <c r="CX18" s="15">
        <f t="shared" si="23"/>
        <v>1.160538698235747E-2</v>
      </c>
      <c r="CY18" s="15">
        <f t="shared" si="23"/>
        <v>9.3129254150261E-3</v>
      </c>
      <c r="CZ18" s="15">
        <f t="shared" si="23"/>
        <v>4.424895059465464E-2</v>
      </c>
      <c r="DA18" s="15">
        <f t="shared" si="23"/>
        <v>1.2091451728744079E-2</v>
      </c>
      <c r="DB18" s="15">
        <f t="shared" si="23"/>
        <v>3.6412452392839745E-2</v>
      </c>
      <c r="DC18" s="15">
        <f t="shared" si="23"/>
        <v>4.2961982124366043E-4</v>
      </c>
      <c r="DD18" s="15">
        <f t="shared" si="23"/>
        <v>7.5740634376350218E-3</v>
      </c>
      <c r="DE18" s="15">
        <f t="shared" si="23"/>
        <v>6.728033843953052E-3</v>
      </c>
      <c r="DF18" s="15">
        <f t="shared" si="23"/>
        <v>2.7847821251246123E-2</v>
      </c>
      <c r="DG18" s="15">
        <f t="shared" si="23"/>
        <v>4.9478702022008603E-2</v>
      </c>
      <c r="DH18" s="15">
        <f t="shared" si="23"/>
        <v>2.0821839571003448E-2</v>
      </c>
      <c r="DI18" s="15">
        <f t="shared" si="23"/>
        <v>1.4308932973192761E-2</v>
      </c>
      <c r="DJ18" s="15">
        <f t="shared" si="23"/>
        <v>1.0321085627255753E-2</v>
      </c>
      <c r="DK18" s="15">
        <f t="shared" si="23"/>
        <v>8.6220619337353931E-3</v>
      </c>
      <c r="DL18" s="15">
        <f t="shared" si="23"/>
        <v>1.8173586858343696E-3</v>
      </c>
      <c r="DM18" s="15">
        <f t="shared" si="23"/>
        <v>6.8445958863232442E-3</v>
      </c>
      <c r="DN18" s="15">
        <f t="shared" si="23"/>
        <v>9.6406849840983359E-4</v>
      </c>
      <c r="DO18" s="15">
        <f t="shared" si="23"/>
        <v>9.6318502978574808E-3</v>
      </c>
      <c r="DP18" s="15">
        <f t="shared" si="23"/>
        <v>1.7053455955604278E-2</v>
      </c>
      <c r="DQ18" s="15">
        <f t="shared" si="23"/>
        <v>2.3673789185478821E-3</v>
      </c>
      <c r="DR18" s="15">
        <f t="shared" si="23"/>
        <v>1.5407124335768466E-3</v>
      </c>
      <c r="DS18" s="15">
        <f t="shared" si="23"/>
        <v>2.5930725116640962E-2</v>
      </c>
      <c r="DT18" s="15">
        <f t="shared" si="23"/>
        <v>6.2226801681010647E-3</v>
      </c>
      <c r="DU18" s="15">
        <f t="shared" si="23"/>
        <v>2.6921313954919424E-2</v>
      </c>
      <c r="DV18" s="15">
        <f t="shared" si="23"/>
        <v>5.6328800675286651E-5</v>
      </c>
      <c r="DW18" s="15">
        <f t="shared" si="23"/>
        <v>1.0331756871656347E-2</v>
      </c>
      <c r="DX18" s="15">
        <f t="shared" si="23"/>
        <v>3.1405143826489668E-3</v>
      </c>
      <c r="DY18" s="15">
        <f t="shared" si="23"/>
        <v>1.137563878096463E-2</v>
      </c>
      <c r="DZ18" s="15">
        <f t="shared" si="23"/>
        <v>4.7867822305639905E-3</v>
      </c>
      <c r="EA18" s="15">
        <f t="shared" ref="EA18:EF18" si="24">EA10^2</f>
        <v>1.59235773418211E-2</v>
      </c>
      <c r="EB18" s="15">
        <f t="shared" si="24"/>
        <v>4.1908944894200424E-3</v>
      </c>
      <c r="EC18" s="15">
        <f t="shared" si="24"/>
        <v>2.6446410296186275E-3</v>
      </c>
      <c r="ED18" s="15">
        <f t="shared" si="24"/>
        <v>1.1900242728375913E-3</v>
      </c>
      <c r="EE18" s="15">
        <f t="shared" si="24"/>
        <v>2.4862225023126495E-2</v>
      </c>
      <c r="EF18" s="15">
        <f t="shared" si="24"/>
        <v>1.6174756721905801E-2</v>
      </c>
    </row>
    <row r="19" spans="1:136">
      <c r="B19" t="s">
        <v>138</v>
      </c>
      <c r="C19" s="15">
        <f t="shared" ref="C19:AH19" si="25">C11^2</f>
        <v>2.9424962947699911E-3</v>
      </c>
      <c r="D19" s="15">
        <f t="shared" si="25"/>
        <v>2.059074167658151E-3</v>
      </c>
      <c r="E19" s="15">
        <f t="shared" si="25"/>
        <v>3.1514318274691188E-4</v>
      </c>
      <c r="F19" s="15">
        <f t="shared" si="25"/>
        <v>7.6890721339683337E-3</v>
      </c>
      <c r="G19" s="15">
        <f t="shared" si="25"/>
        <v>1.0559465472918014E-2</v>
      </c>
      <c r="H19" s="15">
        <f t="shared" si="25"/>
        <v>6.3069879875624846E-6</v>
      </c>
      <c r="I19" s="15">
        <f t="shared" si="25"/>
        <v>3.3502003352045134E-4</v>
      </c>
      <c r="J19" s="15">
        <f t="shared" si="25"/>
        <v>4.8887532041517415E-4</v>
      </c>
      <c r="K19" s="15">
        <f t="shared" si="25"/>
        <v>5.9688056303032417E-3</v>
      </c>
      <c r="L19" s="15">
        <f t="shared" si="25"/>
        <v>8.7311801112263879E-5</v>
      </c>
      <c r="M19" s="15">
        <f t="shared" si="25"/>
        <v>2.873193829916625E-3</v>
      </c>
      <c r="N19" s="15">
        <f t="shared" si="25"/>
        <v>4.6073356328051786E-3</v>
      </c>
      <c r="O19" s="15">
        <f t="shared" si="25"/>
        <v>4.2158901598624366E-3</v>
      </c>
      <c r="P19" s="15">
        <f t="shared" si="25"/>
        <v>2.3821054386013211E-5</v>
      </c>
      <c r="Q19" s="15">
        <f t="shared" si="25"/>
        <v>3.6855622546895207E-4</v>
      </c>
      <c r="R19" s="15">
        <f t="shared" si="25"/>
        <v>2.9870042368556722E-5</v>
      </c>
      <c r="S19" s="15">
        <f t="shared" si="25"/>
        <v>1.3360097496481892E-3</v>
      </c>
      <c r="T19" s="15">
        <f t="shared" si="25"/>
        <v>1.6688781966867596E-2</v>
      </c>
      <c r="U19" s="15">
        <f t="shared" si="25"/>
        <v>1.8748202760809614E-4</v>
      </c>
      <c r="V19" s="15">
        <f t="shared" si="25"/>
        <v>2.3394473192739536E-4</v>
      </c>
      <c r="W19" s="15">
        <f t="shared" si="25"/>
        <v>1.0959099784052484E-2</v>
      </c>
      <c r="X19" s="15">
        <f t="shared" si="25"/>
        <v>8.6346676822882121E-2</v>
      </c>
      <c r="Y19" s="15">
        <f t="shared" si="25"/>
        <v>3.5061183838375133E-3</v>
      </c>
      <c r="Z19" s="15">
        <f t="shared" si="25"/>
        <v>3.4205878279447842E-2</v>
      </c>
      <c r="AA19" s="15">
        <f t="shared" si="25"/>
        <v>9.6525592252829466E-3</v>
      </c>
      <c r="AB19" s="15">
        <f t="shared" si="25"/>
        <v>4.3209728479720412E-7</v>
      </c>
      <c r="AC19" s="15">
        <f t="shared" si="25"/>
        <v>1.0750810579255237E-2</v>
      </c>
      <c r="AD19" s="15">
        <f t="shared" si="25"/>
        <v>1.2567690104255271E-5</v>
      </c>
      <c r="AE19" s="15">
        <f t="shared" si="25"/>
        <v>3.0835882156048783E-2</v>
      </c>
      <c r="AF19" s="15">
        <f t="shared" si="25"/>
        <v>2.4035262433120905E-2</v>
      </c>
      <c r="AG19" s="15">
        <f t="shared" si="25"/>
        <v>6.9319650662206438E-4</v>
      </c>
      <c r="AH19" s="15">
        <f t="shared" si="25"/>
        <v>2.4988102995418992E-5</v>
      </c>
      <c r="AI19" s="15">
        <f t="shared" ref="AI19:BN19" si="26">AI11^2</f>
        <v>7.8779660257925624E-4</v>
      </c>
      <c r="AJ19" s="15">
        <f t="shared" si="26"/>
        <v>5.0105213836060746E-4</v>
      </c>
      <c r="AK19" s="15">
        <f t="shared" si="26"/>
        <v>2.2109580205685515E-3</v>
      </c>
      <c r="AL19" s="15">
        <f t="shared" si="26"/>
        <v>1.0314740717783251E-2</v>
      </c>
      <c r="AM19" s="15">
        <f t="shared" si="26"/>
        <v>5.5343262156863572E-4</v>
      </c>
      <c r="AN19" s="15">
        <f t="shared" si="26"/>
        <v>2.7588997976275898E-3</v>
      </c>
      <c r="AO19" s="15">
        <f t="shared" si="26"/>
        <v>3.4225885640141755E-3</v>
      </c>
      <c r="AP19" s="15">
        <f t="shared" si="26"/>
        <v>1.118725626162101E-3</v>
      </c>
      <c r="AQ19" s="15">
        <f t="shared" si="26"/>
        <v>2.0450045203045813E-4</v>
      </c>
      <c r="AR19" s="15">
        <f t="shared" si="26"/>
        <v>1.2890681145068224E-3</v>
      </c>
      <c r="AS19" s="15">
        <f t="shared" si="26"/>
        <v>1.5826302227352094E-3</v>
      </c>
      <c r="AT19" s="15">
        <f t="shared" si="26"/>
        <v>2.2039242020426623E-2</v>
      </c>
      <c r="AU19" s="15">
        <f t="shared" si="26"/>
        <v>1.6636034229909587E-3</v>
      </c>
      <c r="AV19" s="15">
        <f t="shared" si="26"/>
        <v>1.9309590933108238E-2</v>
      </c>
      <c r="AW19" s="15">
        <f t="shared" si="26"/>
        <v>3.5836126990842362E-3</v>
      </c>
      <c r="AX19" s="15">
        <f t="shared" si="26"/>
        <v>2.2436988075031212E-2</v>
      </c>
      <c r="AY19" s="15">
        <f t="shared" si="26"/>
        <v>3.7940489141036855E-3</v>
      </c>
      <c r="AZ19" s="15">
        <f t="shared" si="26"/>
        <v>3.8377717094877179E-3</v>
      </c>
      <c r="BA19" s="15">
        <f t="shared" si="26"/>
        <v>5.7085842824112805E-6</v>
      </c>
      <c r="BB19" s="15">
        <f t="shared" si="26"/>
        <v>2.2162365071883454E-2</v>
      </c>
      <c r="BC19" s="15">
        <f t="shared" si="26"/>
        <v>3.6421850194502817E-3</v>
      </c>
      <c r="BD19" s="15">
        <f t="shared" si="26"/>
        <v>2.1567132814367246E-4</v>
      </c>
      <c r="BE19" s="15">
        <f t="shared" si="26"/>
        <v>2.1466733042722119E-2</v>
      </c>
      <c r="BF19" s="15">
        <f t="shared" si="26"/>
        <v>4.3581843456671758E-2</v>
      </c>
      <c r="BG19" s="15">
        <f t="shared" si="26"/>
        <v>4.0579385301159648E-2</v>
      </c>
      <c r="BH19" s="15">
        <f t="shared" si="26"/>
        <v>1.3935782851325853E-2</v>
      </c>
      <c r="BI19" s="15">
        <f t="shared" si="26"/>
        <v>5.9330934213272886E-3</v>
      </c>
      <c r="BJ19" s="15">
        <f t="shared" si="26"/>
        <v>1.3119113666831017E-3</v>
      </c>
      <c r="BK19" s="15">
        <f t="shared" si="26"/>
        <v>3.5748481064286472E-4</v>
      </c>
      <c r="BL19" s="15">
        <f t="shared" si="26"/>
        <v>2.9328493400993451E-2</v>
      </c>
      <c r="BM19" s="15">
        <f t="shared" si="26"/>
        <v>1.7667061037884114E-2</v>
      </c>
      <c r="BN19" s="15">
        <f t="shared" si="26"/>
        <v>1.2893630347257589E-3</v>
      </c>
      <c r="BO19" s="15">
        <f t="shared" ref="BO19:CT19" si="27">BO11^2</f>
        <v>4.555884575901441E-4</v>
      </c>
      <c r="BP19" s="15">
        <f t="shared" si="27"/>
        <v>2.4636156414780219E-3</v>
      </c>
      <c r="BQ19" s="15">
        <f t="shared" si="27"/>
        <v>2.9622597057292401E-4</v>
      </c>
      <c r="BR19" s="15">
        <f t="shared" si="27"/>
        <v>3.6034382227143044E-2</v>
      </c>
      <c r="BS19" s="15">
        <f t="shared" si="27"/>
        <v>9.5267433223972416E-3</v>
      </c>
      <c r="BT19" s="15">
        <f t="shared" si="27"/>
        <v>1.4312181655934848E-3</v>
      </c>
      <c r="BU19" s="15">
        <f t="shared" si="27"/>
        <v>3.1369302523255979E-3</v>
      </c>
      <c r="BV19" s="15">
        <f t="shared" si="27"/>
        <v>1.3627535644839506E-2</v>
      </c>
      <c r="BW19" s="15">
        <f t="shared" si="27"/>
        <v>1.9972187007291264E-2</v>
      </c>
      <c r="BX19" s="15">
        <f t="shared" si="27"/>
        <v>1.140430378647656E-5</v>
      </c>
      <c r="BY19" s="15">
        <f t="shared" si="27"/>
        <v>1.6987488721731576E-2</v>
      </c>
      <c r="BZ19" s="15">
        <f t="shared" si="27"/>
        <v>1.0047461557265778E-3</v>
      </c>
      <c r="CA19" s="15">
        <f t="shared" si="27"/>
        <v>1.6447110645557072E-3</v>
      </c>
      <c r="CB19" s="15">
        <f t="shared" si="27"/>
        <v>1.767137228315438E-3</v>
      </c>
      <c r="CC19" s="15">
        <f t="shared" si="27"/>
        <v>2.5013725272755708E-3</v>
      </c>
      <c r="CD19" s="15">
        <f t="shared" si="27"/>
        <v>4.6862621773654262E-3</v>
      </c>
      <c r="CE19" s="15">
        <f t="shared" si="27"/>
        <v>6.5338267870204162E-3</v>
      </c>
      <c r="CF19" s="15">
        <f t="shared" si="27"/>
        <v>3.7959149352106796E-6</v>
      </c>
      <c r="CG19" s="15">
        <f t="shared" si="27"/>
        <v>1.3973368107735227E-2</v>
      </c>
      <c r="CH19" s="15">
        <f t="shared" si="27"/>
        <v>1.3483500252419256E-3</v>
      </c>
      <c r="CI19" s="15">
        <f t="shared" si="27"/>
        <v>6.944354409283488E-3</v>
      </c>
      <c r="CJ19" s="15">
        <f t="shared" si="27"/>
        <v>5.3209971579111864E-2</v>
      </c>
      <c r="CK19" s="15">
        <f t="shared" si="27"/>
        <v>1.7630136062643516E-2</v>
      </c>
      <c r="CL19" s="15">
        <f t="shared" si="27"/>
        <v>1.9962106501869858E-2</v>
      </c>
      <c r="CM19" s="15">
        <f t="shared" si="27"/>
        <v>1.2698898011967283E-2</v>
      </c>
      <c r="CN19" s="15">
        <f t="shared" si="27"/>
        <v>4.9947135394185591E-2</v>
      </c>
      <c r="CO19" s="15">
        <f t="shared" si="27"/>
        <v>1.0903362974249101E-2</v>
      </c>
      <c r="CP19" s="15">
        <f t="shared" si="27"/>
        <v>2.0817366158502797E-4</v>
      </c>
      <c r="CQ19" s="15">
        <f t="shared" si="27"/>
        <v>4.2945670995945519E-2</v>
      </c>
      <c r="CR19" s="15">
        <f t="shared" si="27"/>
        <v>1.818826329983373E-2</v>
      </c>
      <c r="CS19" s="15">
        <f t="shared" si="27"/>
        <v>5.330129925765671E-3</v>
      </c>
      <c r="CT19" s="15">
        <f t="shared" si="27"/>
        <v>9.1315039355651805E-4</v>
      </c>
      <c r="CU19" s="15">
        <f t="shared" ref="CU19:DZ19" si="28">CU11^2</f>
        <v>8.2305398372276448E-2</v>
      </c>
      <c r="CV19" s="15">
        <f t="shared" si="28"/>
        <v>5.323658125231813E-2</v>
      </c>
      <c r="CW19" s="15">
        <f t="shared" si="28"/>
        <v>8.2947828598525283E-3</v>
      </c>
      <c r="CX19" s="15">
        <f t="shared" si="28"/>
        <v>1.5002754583806925E-2</v>
      </c>
      <c r="CY19" s="15">
        <f t="shared" si="28"/>
        <v>6.1437262145754186E-3</v>
      </c>
      <c r="CZ19" s="15">
        <f t="shared" si="28"/>
        <v>2.1114120178055175E-3</v>
      </c>
      <c r="DA19" s="15">
        <f t="shared" si="28"/>
        <v>6.8343561034422563E-3</v>
      </c>
      <c r="DB19" s="15">
        <f t="shared" si="28"/>
        <v>2.2305204479499383E-2</v>
      </c>
      <c r="DC19" s="15">
        <f t="shared" si="28"/>
        <v>2.2847162154111663E-3</v>
      </c>
      <c r="DD19" s="15">
        <f t="shared" si="28"/>
        <v>2.7064678662887049E-2</v>
      </c>
      <c r="DE19" s="15">
        <f t="shared" si="28"/>
        <v>1.2225360760831885E-2</v>
      </c>
      <c r="DF19" s="15">
        <f t="shared" si="28"/>
        <v>3.2966966393763162E-3</v>
      </c>
      <c r="DG19" s="15">
        <f t="shared" si="28"/>
        <v>4.6177804713180344E-2</v>
      </c>
      <c r="DH19" s="15">
        <f t="shared" si="28"/>
        <v>3.9686415441255191E-3</v>
      </c>
      <c r="DI19" s="15">
        <f t="shared" si="28"/>
        <v>4.5861486060873721E-3</v>
      </c>
      <c r="DJ19" s="15">
        <f t="shared" si="28"/>
        <v>1.4113933508686947E-2</v>
      </c>
      <c r="DK19" s="15">
        <f t="shared" si="28"/>
        <v>5.3038165655135587E-5</v>
      </c>
      <c r="DL19" s="15">
        <f t="shared" si="28"/>
        <v>5.0866278425543898E-3</v>
      </c>
      <c r="DM19" s="15">
        <f t="shared" si="28"/>
        <v>4.4192030717479113E-4</v>
      </c>
      <c r="DN19" s="15">
        <f t="shared" si="28"/>
        <v>9.2435602590540443E-4</v>
      </c>
      <c r="DO19" s="15">
        <f t="shared" si="28"/>
        <v>9.3992359170593232E-3</v>
      </c>
      <c r="DP19" s="15">
        <f t="shared" si="28"/>
        <v>5.3211643863895493E-2</v>
      </c>
      <c r="DQ19" s="15">
        <f t="shared" si="28"/>
        <v>5.6731766595356822E-2</v>
      </c>
      <c r="DR19" s="15">
        <f t="shared" si="28"/>
        <v>1.2779732721999408E-5</v>
      </c>
      <c r="DS19" s="15">
        <f t="shared" si="28"/>
        <v>1.7944107252667544E-2</v>
      </c>
      <c r="DT19" s="15">
        <f t="shared" si="28"/>
        <v>1.3249413434882942E-2</v>
      </c>
      <c r="DU19" s="15">
        <f t="shared" si="28"/>
        <v>1.0832602517582508E-2</v>
      </c>
      <c r="DV19" s="15">
        <f t="shared" si="28"/>
        <v>2.9823682090757879E-3</v>
      </c>
      <c r="DW19" s="15">
        <f t="shared" si="28"/>
        <v>1.1082370139875364E-3</v>
      </c>
      <c r="DX19" s="15">
        <f t="shared" si="28"/>
        <v>3.0354498547830525E-3</v>
      </c>
      <c r="DY19" s="15">
        <f t="shared" si="28"/>
        <v>4.7325832565790213E-3</v>
      </c>
      <c r="DZ19" s="15">
        <f t="shared" si="28"/>
        <v>2.0969279010246204E-4</v>
      </c>
      <c r="EA19" s="15">
        <f t="shared" ref="EA19:EF19" si="29">EA11^2</f>
        <v>8.5929031587546431E-2</v>
      </c>
      <c r="EB19" s="15">
        <f t="shared" si="29"/>
        <v>1.987395609544565E-2</v>
      </c>
      <c r="EC19" s="15">
        <f t="shared" si="29"/>
        <v>1.4906851026839793E-4</v>
      </c>
      <c r="ED19" s="15">
        <f t="shared" si="29"/>
        <v>3.3834798795211859E-3</v>
      </c>
      <c r="EE19" s="15">
        <f t="shared" si="29"/>
        <v>2.0852230305009004E-2</v>
      </c>
      <c r="EF19" s="15">
        <f t="shared" si="29"/>
        <v>9.4107527241881761E-3</v>
      </c>
    </row>
    <row r="21" spans="1:136">
      <c r="A21" t="s">
        <v>202</v>
      </c>
      <c r="B21" s="11">
        <f>1-SUM(C13:EF15)/SUM(C17:EF19)</f>
        <v>5.2136159895610379E-2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F25"/>
  <sheetViews>
    <sheetView topLeftCell="E28" zoomScale="74" workbookViewId="0">
      <selection activeCell="U46" sqref="U46"/>
    </sheetView>
  </sheetViews>
  <sheetFormatPr baseColWidth="10" defaultRowHeight="15"/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3">
        <v>5.723077803850174E-2</v>
      </c>
      <c r="D3" s="13">
        <v>7.545451819896698E-2</v>
      </c>
      <c r="E3" s="13">
        <v>5.3419496864080429E-2</v>
      </c>
      <c r="F3" s="13">
        <v>4.8055462539196007E-2</v>
      </c>
      <c r="G3" s="13">
        <v>5.6244600564241409E-2</v>
      </c>
      <c r="H3" s="13">
        <v>5.3408809006214142E-2</v>
      </c>
      <c r="I3" s="13">
        <v>5.4677728563547127E-2</v>
      </c>
      <c r="J3" s="13">
        <v>6.1407111585140228E-2</v>
      </c>
      <c r="K3" s="13">
        <v>6.1087191104888923E-2</v>
      </c>
      <c r="L3" s="13">
        <v>6.1945471912622452E-2</v>
      </c>
      <c r="M3" s="13">
        <v>6.4090974628925323E-2</v>
      </c>
      <c r="N3" s="13">
        <v>5.0166409462690353E-2</v>
      </c>
      <c r="O3" s="13">
        <v>5.0939202308654792E-2</v>
      </c>
      <c r="P3" s="13">
        <v>5.3945809602737427E-2</v>
      </c>
      <c r="Q3" s="13">
        <v>5.463515967130661E-2</v>
      </c>
      <c r="R3" s="13">
        <v>5.4097041487693787E-2</v>
      </c>
      <c r="S3" s="13">
        <v>5.4209418594837189E-2</v>
      </c>
      <c r="T3" s="13">
        <v>5.6115321815013892E-2</v>
      </c>
      <c r="U3" s="13">
        <v>5.4694335907697678E-2</v>
      </c>
      <c r="V3" s="13">
        <v>5.5520310997962952E-2</v>
      </c>
      <c r="W3" s="13">
        <v>5.7895615696907043E-2</v>
      </c>
      <c r="X3" s="13">
        <v>5.6128561496734619E-2</v>
      </c>
      <c r="Y3" s="13">
        <v>5.4498970508575439E-2</v>
      </c>
      <c r="Z3" s="13">
        <v>5.640922486782074E-2</v>
      </c>
      <c r="AA3" s="13">
        <v>5.4687082767486572E-2</v>
      </c>
      <c r="AB3" s="13">
        <v>5.4479975253343582E-2</v>
      </c>
      <c r="AC3" s="13">
        <v>5.7393115013837807E-2</v>
      </c>
      <c r="AD3" s="13">
        <v>5.7433716952800751E-2</v>
      </c>
      <c r="AE3" s="13">
        <v>4.2686142027378082E-2</v>
      </c>
      <c r="AF3" s="13">
        <v>5.614069476723671E-2</v>
      </c>
      <c r="AG3" s="13">
        <v>5.5614285171031952E-2</v>
      </c>
      <c r="AH3" s="13">
        <v>2.0760968327522281E-2</v>
      </c>
      <c r="AI3" s="13">
        <v>2.509923838078976E-2</v>
      </c>
      <c r="AJ3" s="13">
        <v>2.919439785182476E-2</v>
      </c>
      <c r="AK3" s="13">
        <v>3.0455950647592541E-2</v>
      </c>
      <c r="AL3" s="13">
        <v>3.425038605928421E-2</v>
      </c>
      <c r="AM3" s="13">
        <v>3.9540499448776252E-2</v>
      </c>
      <c r="AN3" s="13">
        <v>4.3252840638160713E-2</v>
      </c>
      <c r="AO3" s="13">
        <v>4.4728361070156097E-2</v>
      </c>
      <c r="AP3" s="13">
        <v>4.2892593890428543E-2</v>
      </c>
      <c r="AQ3" s="13">
        <v>4.543033242225647E-2</v>
      </c>
      <c r="AR3" s="13">
        <v>4.4913444668054581E-2</v>
      </c>
      <c r="AS3" s="13">
        <v>4.8380430787801743E-2</v>
      </c>
      <c r="AT3" s="13">
        <v>4.19180728495121E-2</v>
      </c>
      <c r="AU3" s="13">
        <v>4.1785150766372681E-2</v>
      </c>
      <c r="AV3" s="13">
        <v>4.3081630021333688E-2</v>
      </c>
      <c r="AW3" s="13">
        <v>4.6142738312482827E-2</v>
      </c>
      <c r="AX3" s="13">
        <v>4.5525301247835159E-2</v>
      </c>
      <c r="AY3" s="13">
        <v>4.7935985028743737E-2</v>
      </c>
      <c r="AZ3" s="13">
        <v>4.1659116744995117E-2</v>
      </c>
      <c r="BA3" s="13">
        <v>3.8711324334144592E-2</v>
      </c>
      <c r="BB3" s="13">
        <v>3.8947168737649918E-2</v>
      </c>
      <c r="BC3" s="13">
        <v>4.2427822947502143E-2</v>
      </c>
      <c r="BD3" s="13">
        <v>4.4051360338926322E-2</v>
      </c>
      <c r="BE3" s="13">
        <v>4.56375852227211E-2</v>
      </c>
      <c r="BF3" s="13">
        <v>4.8670642077922821E-2</v>
      </c>
      <c r="BG3" s="13">
        <v>4.9968019127845757E-2</v>
      </c>
      <c r="BH3" s="13">
        <v>5.1808405667543411E-2</v>
      </c>
      <c r="BI3" s="13">
        <v>5.0584189593791962E-2</v>
      </c>
      <c r="BJ3" s="13">
        <v>5.2059561014175422E-2</v>
      </c>
      <c r="BK3" s="13">
        <v>5.2372250705957413E-2</v>
      </c>
      <c r="BL3" s="13">
        <v>5.0854671746492393E-2</v>
      </c>
      <c r="BM3" s="13">
        <v>5.2194196730852127E-2</v>
      </c>
      <c r="BN3" s="13">
        <v>5.6162696331739433E-2</v>
      </c>
      <c r="BO3" s="13">
        <v>5.4506797343492508E-2</v>
      </c>
      <c r="BP3" s="13">
        <v>4.0165632963180542E-2</v>
      </c>
      <c r="BQ3" s="13">
        <v>5.2233844995498657E-2</v>
      </c>
      <c r="BR3" s="13">
        <v>3.6525636911392212E-2</v>
      </c>
      <c r="BS3" s="13">
        <v>5.2801784127950668E-2</v>
      </c>
      <c r="BT3" s="13">
        <v>4.8056013882160187E-2</v>
      </c>
      <c r="BU3" s="13">
        <v>-9.9144220352172852E-2</v>
      </c>
      <c r="BV3" s="13">
        <v>5.2249498665332787E-2</v>
      </c>
      <c r="BW3" s="13">
        <v>3.9474610239267349E-2</v>
      </c>
      <c r="BX3" s="13">
        <v>4.7410383820533752E-2</v>
      </c>
      <c r="BY3" s="13">
        <v>4.704391211271286E-2</v>
      </c>
      <c r="BZ3" s="13">
        <v>4.6114489436149597E-2</v>
      </c>
      <c r="CA3" s="13">
        <v>4.2742863297462463E-2</v>
      </c>
      <c r="CB3" s="13">
        <v>3.8489740341901779E-2</v>
      </c>
      <c r="CC3" s="13">
        <v>3.745705634355545E-2</v>
      </c>
      <c r="CD3" s="13">
        <v>3.9794288575649261E-2</v>
      </c>
      <c r="CE3" s="13">
        <v>3.74956876039505E-2</v>
      </c>
      <c r="CF3" s="13">
        <v>2.513935416936874E-2</v>
      </c>
      <c r="CG3" s="13">
        <v>3.5978682339191437E-2</v>
      </c>
      <c r="CH3" s="13">
        <v>3.177894651889801E-2</v>
      </c>
      <c r="CI3" s="13">
        <v>3.4042399376630783E-2</v>
      </c>
      <c r="CJ3" s="13">
        <v>3.8737695664167397E-2</v>
      </c>
      <c r="CK3" s="13">
        <v>3.9908383041620248E-2</v>
      </c>
      <c r="CL3" s="13">
        <v>3.7117619067430503E-2</v>
      </c>
      <c r="CM3" s="13">
        <v>1.7108667641878132E-2</v>
      </c>
      <c r="CN3" s="13">
        <v>4.0649183094501502E-2</v>
      </c>
      <c r="CO3" s="13">
        <v>2.8012029826641079E-2</v>
      </c>
      <c r="CP3" s="13">
        <v>6.033631507307291E-3</v>
      </c>
      <c r="CQ3" s="13">
        <v>3.3265896141529083E-2</v>
      </c>
      <c r="CR3" s="13">
        <v>3.3467646688222892E-2</v>
      </c>
      <c r="CS3" s="13">
        <v>2.295568585395813E-2</v>
      </c>
      <c r="CT3" s="13">
        <v>1.8620189279317859E-2</v>
      </c>
      <c r="CU3" s="13">
        <v>1.673657447099686E-2</v>
      </c>
      <c r="CV3" s="13">
        <v>8.8566392660140991E-3</v>
      </c>
      <c r="CW3" s="13">
        <v>1.8140114843845371E-2</v>
      </c>
      <c r="CX3" s="13">
        <v>2.3012114688754082E-2</v>
      </c>
      <c r="CY3" s="13">
        <v>2.5537870824337009E-2</v>
      </c>
      <c r="CZ3" s="13">
        <v>-1.074089854955673E-2</v>
      </c>
      <c r="DA3" s="13">
        <v>1.7809309065341949E-2</v>
      </c>
      <c r="DB3" s="13">
        <v>3.122199326753616E-2</v>
      </c>
      <c r="DC3" s="13">
        <v>9.9241826683282852E-3</v>
      </c>
      <c r="DD3" s="13">
        <v>3.3772524446249008E-2</v>
      </c>
      <c r="DE3" s="13">
        <v>2.3819208145141602E-2</v>
      </c>
      <c r="DF3" s="13">
        <v>2.5578401982784271E-2</v>
      </c>
      <c r="DG3" s="13">
        <v>1.3096854090690609E-2</v>
      </c>
      <c r="DH3" s="13">
        <v>2.5391291826963421E-2</v>
      </c>
      <c r="DI3" s="13">
        <v>2.3517698049545292E-2</v>
      </c>
      <c r="DJ3" s="13">
        <v>3.1970106065273281E-3</v>
      </c>
      <c r="DK3" s="13">
        <v>6.1636377358809114E-4</v>
      </c>
      <c r="DL3" s="13">
        <v>5.1844632253050804E-3</v>
      </c>
      <c r="DM3" s="13">
        <v>2.578671462833881E-2</v>
      </c>
      <c r="DN3" s="13">
        <v>9.7193727269768715E-3</v>
      </c>
      <c r="DO3" s="13">
        <v>2.619513776153326E-3</v>
      </c>
      <c r="DP3" s="13">
        <v>-4.3171625584363937E-3</v>
      </c>
      <c r="DQ3" s="13">
        <v>2.6535039767622951E-2</v>
      </c>
      <c r="DR3" s="13">
        <v>3.2421927899122238E-2</v>
      </c>
      <c r="DS3" s="13">
        <v>2.6365883648395538E-2</v>
      </c>
      <c r="DT3" s="13">
        <v>1.8022846430540081E-2</v>
      </c>
      <c r="DU3" s="13">
        <v>2.060607448220253E-2</v>
      </c>
      <c r="DV3" s="13">
        <v>2.3552460595965389E-2</v>
      </c>
      <c r="DW3" s="13">
        <v>2.1600417792797089E-2</v>
      </c>
      <c r="DX3" s="13">
        <v>1.422623824328184E-2</v>
      </c>
      <c r="DY3" s="13">
        <v>1.5565707348287111E-2</v>
      </c>
      <c r="DZ3" s="13">
        <v>1.340680755674839E-2</v>
      </c>
      <c r="EA3" s="13">
        <v>4.9481242895126343E-3</v>
      </c>
      <c r="EB3" s="13">
        <v>-1.2768213637173179E-2</v>
      </c>
      <c r="EC3" s="13">
        <v>3.6291155964136117E-2</v>
      </c>
      <c r="ED3" s="13">
        <v>2.4168495088815689E-2</v>
      </c>
      <c r="EE3" s="13">
        <v>2.1592959761619571E-2</v>
      </c>
      <c r="EF3" s="13">
        <v>2.6417184621095661E-2</v>
      </c>
    </row>
    <row r="4" spans="1:136">
      <c r="A4" s="1"/>
      <c r="B4" s="2" t="s">
        <v>137</v>
      </c>
      <c r="C4" s="13">
        <v>-8.5349172353744507E-2</v>
      </c>
      <c r="D4" s="13">
        <v>-5.1032040268182748E-2</v>
      </c>
      <c r="E4" s="13">
        <v>-2.3255964741110802E-2</v>
      </c>
      <c r="F4" s="13">
        <v>-3.055583126842976E-2</v>
      </c>
      <c r="G4" s="13">
        <v>-4.1839469224214547E-2</v>
      </c>
      <c r="H4" s="13">
        <v>-2.726390399038792E-2</v>
      </c>
      <c r="I4" s="13">
        <v>-4.8288546502590179E-2</v>
      </c>
      <c r="J4" s="13">
        <v>-3.7313267588615417E-2</v>
      </c>
      <c r="K4" s="13">
        <v>-3.7903524935245507E-2</v>
      </c>
      <c r="L4" s="13">
        <v>-3.7348430603742599E-2</v>
      </c>
      <c r="M4" s="13">
        <v>-3.7616446614265442E-2</v>
      </c>
      <c r="N4" s="13">
        <v>-3.742402046918869E-2</v>
      </c>
      <c r="O4" s="13">
        <v>-3.4556981176137917E-2</v>
      </c>
      <c r="P4" s="13">
        <v>-3.450281172990799E-2</v>
      </c>
      <c r="Q4" s="13">
        <v>-2.779831551015377E-2</v>
      </c>
      <c r="R4" s="13">
        <v>-2.6597736403346062E-2</v>
      </c>
      <c r="S4" s="13">
        <v>-2.858461253345013E-2</v>
      </c>
      <c r="T4" s="13">
        <v>-2.921631932258606E-2</v>
      </c>
      <c r="U4" s="13">
        <v>-2.885173074901104E-2</v>
      </c>
      <c r="V4" s="13">
        <v>-2.8718717396259311E-2</v>
      </c>
      <c r="W4" s="13">
        <v>-2.587226964533329E-2</v>
      </c>
      <c r="X4" s="13">
        <v>-2.8767423704266552E-2</v>
      </c>
      <c r="Y4" s="13">
        <v>-2.8886387124657631E-2</v>
      </c>
      <c r="Z4" s="13">
        <v>-3.020281903445721E-2</v>
      </c>
      <c r="AA4" s="13">
        <v>-2.969782613217831E-2</v>
      </c>
      <c r="AB4" s="13">
        <v>-2.9449734836816791E-2</v>
      </c>
      <c r="AC4" s="13">
        <v>-1.9321048632264141E-2</v>
      </c>
      <c r="AD4" s="13">
        <v>-2.8943898156285289E-2</v>
      </c>
      <c r="AE4" s="13">
        <v>-2.9567476361989972E-2</v>
      </c>
      <c r="AF4" s="13">
        <v>-2.856354787945747E-2</v>
      </c>
      <c r="AG4" s="13">
        <v>-2.832365408539772E-2</v>
      </c>
      <c r="AH4" s="13">
        <v>-2.73332130163908E-2</v>
      </c>
      <c r="AI4" s="13">
        <v>-3.7235941737890237E-2</v>
      </c>
      <c r="AJ4" s="13">
        <v>-3.4088630229234702E-2</v>
      </c>
      <c r="AK4" s="13">
        <v>-2.7424490079283711E-2</v>
      </c>
      <c r="AL4" s="13">
        <v>-2.4591473862528801E-2</v>
      </c>
      <c r="AM4" s="13">
        <v>-2.9777821153402328E-2</v>
      </c>
      <c r="AN4" s="13">
        <v>-3.3753968775272369E-2</v>
      </c>
      <c r="AO4" s="13">
        <v>-3.5720217972993851E-2</v>
      </c>
      <c r="AP4" s="13">
        <v>-1.8044905737042431E-2</v>
      </c>
      <c r="AQ4" s="13">
        <v>-2.374198846518993E-2</v>
      </c>
      <c r="AR4" s="13">
        <v>-3.8850482553243637E-2</v>
      </c>
      <c r="AS4" s="13">
        <v>-0.1345172971487045</v>
      </c>
      <c r="AT4" s="13">
        <v>-2.8492949903011319E-2</v>
      </c>
      <c r="AU4" s="13">
        <v>-3.0869178473949429E-2</v>
      </c>
      <c r="AV4" s="13">
        <v>-3.2064013183116913E-2</v>
      </c>
      <c r="AW4" s="13">
        <v>-2.6232475414872169E-2</v>
      </c>
      <c r="AX4" s="13">
        <v>-2.647383883595467E-2</v>
      </c>
      <c r="AY4" s="13">
        <v>-3.400053083896637E-2</v>
      </c>
      <c r="AZ4" s="13">
        <v>-2.7450913563370701E-2</v>
      </c>
      <c r="BA4" s="13">
        <v>-3.1005732715129849E-2</v>
      </c>
      <c r="BB4" s="13">
        <v>-3.3746343106031418E-2</v>
      </c>
      <c r="BC4" s="13">
        <v>-3.1035987660288811E-2</v>
      </c>
      <c r="BD4" s="13">
        <v>-3.058777749538422E-2</v>
      </c>
      <c r="BE4" s="13">
        <v>-3.2944157719612122E-2</v>
      </c>
      <c r="BF4" s="13">
        <v>-3.123846277594566E-2</v>
      </c>
      <c r="BG4" s="13">
        <v>-3.2052598893642432E-2</v>
      </c>
      <c r="BH4" s="13">
        <v>-3.055793792009354E-2</v>
      </c>
      <c r="BI4" s="13">
        <v>-3.1080937013030049E-2</v>
      </c>
      <c r="BJ4" s="13">
        <v>-3.0351296067237851E-2</v>
      </c>
      <c r="BK4" s="13">
        <v>-3.2760027796030038E-2</v>
      </c>
      <c r="BL4" s="13">
        <v>-3.1334664672613137E-2</v>
      </c>
      <c r="BM4" s="13">
        <v>-3.1740568578243263E-2</v>
      </c>
      <c r="BN4" s="13">
        <v>7.9825639724731445E-2</v>
      </c>
      <c r="BO4" s="13">
        <v>-2.2437060251832008E-2</v>
      </c>
      <c r="BP4" s="13">
        <v>-3.7594955414533622E-2</v>
      </c>
      <c r="BQ4" s="13">
        <v>-3.291790559887886E-2</v>
      </c>
      <c r="BR4" s="13">
        <v>-1.2001144699752331E-2</v>
      </c>
      <c r="BS4" s="13">
        <v>-1.3084841892123221E-2</v>
      </c>
      <c r="BT4" s="13">
        <v>-2.6131108403205872E-2</v>
      </c>
      <c r="BU4" s="13">
        <v>-3.5951588302850723E-2</v>
      </c>
      <c r="BV4" s="13">
        <v>-3.3736389130353928E-2</v>
      </c>
      <c r="BW4" s="13">
        <v>-2.4462303146719929E-2</v>
      </c>
      <c r="BX4" s="13">
        <v>-3.2545313239097602E-2</v>
      </c>
      <c r="BY4" s="13">
        <v>-3.1732853502035141E-2</v>
      </c>
      <c r="BZ4" s="13">
        <v>-3.5243522375822067E-2</v>
      </c>
      <c r="CA4" s="13">
        <v>-3.2394681125879288E-2</v>
      </c>
      <c r="CB4" s="13">
        <v>-2.393621951341629E-2</v>
      </c>
      <c r="CC4" s="13">
        <v>-2.886332385241985E-2</v>
      </c>
      <c r="CD4" s="13">
        <v>-2.6372920721769329E-2</v>
      </c>
      <c r="CE4" s="13">
        <v>-4.0299050509929657E-2</v>
      </c>
      <c r="CF4" s="13">
        <v>-3.2261207699775703E-2</v>
      </c>
      <c r="CG4" s="13">
        <v>-2.9903111979365349E-2</v>
      </c>
      <c r="CH4" s="13">
        <v>-3.120617009699345E-2</v>
      </c>
      <c r="CI4" s="13">
        <v>-3.1554944813251502E-2</v>
      </c>
      <c r="CJ4" s="13">
        <v>-3.2127730548381812E-2</v>
      </c>
      <c r="CK4" s="13">
        <v>-3.1585942953824997E-2</v>
      </c>
      <c r="CL4" s="13">
        <v>-3.109020926058292E-2</v>
      </c>
      <c r="CM4" s="13">
        <v>-3.116690926253796E-2</v>
      </c>
      <c r="CN4" s="13">
        <v>-3.068649023771286E-2</v>
      </c>
      <c r="CO4" s="13">
        <v>-3.051175735890865E-2</v>
      </c>
      <c r="CP4" s="13">
        <v>-3.0179880559444431E-2</v>
      </c>
      <c r="CQ4" s="13">
        <v>-3.0264537781476971E-2</v>
      </c>
      <c r="CR4" s="13">
        <v>-3.0227817595005039E-2</v>
      </c>
      <c r="CS4" s="13">
        <v>-3.038875758647919E-2</v>
      </c>
      <c r="CT4" s="13">
        <v>-2.237749099731445E-2</v>
      </c>
      <c r="CU4" s="13">
        <v>-2.6706485077738758E-2</v>
      </c>
      <c r="CV4" s="13">
        <v>-2.821129746735096E-2</v>
      </c>
      <c r="CW4" s="13">
        <v>-3.3567264676094062E-2</v>
      </c>
      <c r="CX4" s="13">
        <v>-2.7859419584274289E-2</v>
      </c>
      <c r="CY4" s="13">
        <v>-2.30282973498106E-2</v>
      </c>
      <c r="CZ4" s="13">
        <v>-2.6201611384749409E-2</v>
      </c>
      <c r="DA4" s="13">
        <v>-2.9583510011434559E-2</v>
      </c>
      <c r="DB4" s="13">
        <v>-3.3195734024047852E-2</v>
      </c>
      <c r="DC4" s="13">
        <v>-3.1532101333141327E-2</v>
      </c>
      <c r="DD4" s="13">
        <v>-2.9648697003722191E-2</v>
      </c>
      <c r="DE4" s="13">
        <v>-2.8857935220003132E-2</v>
      </c>
      <c r="DF4" s="13">
        <v>-2.8399249538779259E-2</v>
      </c>
      <c r="DG4" s="13">
        <v>-2.6426361873745918E-2</v>
      </c>
      <c r="DH4" s="13">
        <v>-3.0645843595266339E-2</v>
      </c>
      <c r="DI4" s="13">
        <v>-2.9881417751312259E-2</v>
      </c>
      <c r="DJ4" s="13">
        <v>-2.9596960172057148E-2</v>
      </c>
      <c r="DK4" s="13">
        <v>-2.841122634708881E-2</v>
      </c>
      <c r="DL4" s="13">
        <v>-3.0489476397633549E-2</v>
      </c>
      <c r="DM4" s="13">
        <v>-2.7597028762102131E-2</v>
      </c>
      <c r="DN4" s="13">
        <v>-2.8250575065612789E-2</v>
      </c>
      <c r="DO4" s="13">
        <v>-2.7726072818040851E-2</v>
      </c>
      <c r="DP4" s="13">
        <v>-2.715402282774448E-2</v>
      </c>
      <c r="DQ4" s="13">
        <v>-2.6989534497261051E-2</v>
      </c>
      <c r="DR4" s="13">
        <v>-2.888492681086063E-2</v>
      </c>
      <c r="DS4" s="13">
        <v>-2.6225227862596508E-2</v>
      </c>
      <c r="DT4" s="13">
        <v>-0.14326423406600949</v>
      </c>
      <c r="DU4" s="13">
        <v>-4.3057508766651147E-2</v>
      </c>
      <c r="DV4" s="13">
        <v>-3.2543007284402847E-2</v>
      </c>
      <c r="DW4" s="13">
        <v>-2.724632807075977E-2</v>
      </c>
      <c r="DX4" s="13">
        <v>-2.7451477944850922E-2</v>
      </c>
      <c r="DY4" s="13">
        <v>-2.8264472261071209E-2</v>
      </c>
      <c r="DZ4" s="13">
        <v>-2.418005466461182E-2</v>
      </c>
      <c r="EA4" s="13">
        <v>-2.6992777362465858E-2</v>
      </c>
      <c r="EB4" s="13">
        <v>-2.6342380791902539E-2</v>
      </c>
      <c r="EC4" s="13">
        <v>-2.8216563165187839E-2</v>
      </c>
      <c r="ED4" s="13">
        <v>-2.399775572121143E-2</v>
      </c>
      <c r="EE4" s="13">
        <v>-3.5310320556163788E-2</v>
      </c>
      <c r="EF4" s="13">
        <v>-2.9033292084932331E-2</v>
      </c>
    </row>
    <row r="5" spans="1:136">
      <c r="A5" s="1"/>
      <c r="B5" s="2" t="s">
        <v>138</v>
      </c>
      <c r="C5" s="13">
        <v>3.8081712555140261E-3</v>
      </c>
      <c r="D5" s="13">
        <v>-5.4777832701802254E-3</v>
      </c>
      <c r="E5" s="13">
        <v>-5.4900660179555416E-3</v>
      </c>
      <c r="F5" s="13">
        <v>-5.114563275128603E-3</v>
      </c>
      <c r="G5" s="13">
        <v>-7.764030247926712E-3</v>
      </c>
      <c r="H5" s="13">
        <v>-7.2011286392807961E-3</v>
      </c>
      <c r="I5" s="13">
        <v>-6.3504916615784168E-3</v>
      </c>
      <c r="J5" s="13">
        <v>-6.4376979134976864E-3</v>
      </c>
      <c r="K5" s="13">
        <v>-7.2753257118165493E-3</v>
      </c>
      <c r="L5" s="13">
        <v>-7.4702142737805843E-3</v>
      </c>
      <c r="M5" s="13">
        <v>-5.9039127081632614E-3</v>
      </c>
      <c r="N5" s="13">
        <v>1.2302654795348641E-2</v>
      </c>
      <c r="O5" s="13">
        <v>2.0934619009494781E-2</v>
      </c>
      <c r="P5" s="13">
        <v>2.7155191637575631E-3</v>
      </c>
      <c r="Q5" s="13">
        <v>3.0463424045592551E-3</v>
      </c>
      <c r="R5" s="13">
        <v>-4.8635075800120831E-3</v>
      </c>
      <c r="S5" s="13">
        <v>-1.6708682524040339E-3</v>
      </c>
      <c r="T5" s="13">
        <v>4.1404878720641136E-3</v>
      </c>
      <c r="U5" s="13">
        <v>2.761553972959518E-3</v>
      </c>
      <c r="V5" s="13">
        <v>-5.1478209206834435E-4</v>
      </c>
      <c r="W5" s="13">
        <v>7.5550959445536137E-4</v>
      </c>
      <c r="X5" s="13">
        <v>-3.1146644614636898E-3</v>
      </c>
      <c r="Y5" s="13">
        <v>-1.131144072860479E-2</v>
      </c>
      <c r="Z5" s="13">
        <v>-2.8005761560052629E-3</v>
      </c>
      <c r="AA5" s="13">
        <v>-8.9693367481231689E-3</v>
      </c>
      <c r="AB5" s="13">
        <v>-8.1666028127074242E-3</v>
      </c>
      <c r="AC5" s="13">
        <v>-1.639714278280735E-2</v>
      </c>
      <c r="AD5" s="13">
        <v>-1.0888714343309401E-2</v>
      </c>
      <c r="AE5" s="13">
        <v>-9.2730158939957619E-3</v>
      </c>
      <c r="AF5" s="13">
        <v>-4.607954528182745E-3</v>
      </c>
      <c r="AG5" s="13">
        <v>-5.8455127291381359E-3</v>
      </c>
      <c r="AH5" s="13">
        <v>-4.9838116392493248E-3</v>
      </c>
      <c r="AI5" s="13">
        <v>-3.626509103924036E-3</v>
      </c>
      <c r="AJ5" s="13">
        <v>-3.818823024630547E-3</v>
      </c>
      <c r="AK5" s="13">
        <v>-4.6545602381229401E-3</v>
      </c>
      <c r="AL5" s="13">
        <v>-5.3977398201823226E-3</v>
      </c>
      <c r="AM5" s="13">
        <v>-6.9995066151022911E-3</v>
      </c>
      <c r="AN5" s="13">
        <v>9.9394354037940502E-4</v>
      </c>
      <c r="AO5" s="13">
        <v>-4.2327293194830418E-3</v>
      </c>
      <c r="AP5" s="13">
        <v>-6.2828082591295242E-3</v>
      </c>
      <c r="AQ5" s="13">
        <v>-2.7964443434029822E-3</v>
      </c>
      <c r="AR5" s="13">
        <v>-3.548022592440248E-3</v>
      </c>
      <c r="AS5" s="13">
        <v>-1.8412303179502489E-3</v>
      </c>
      <c r="AT5" s="13">
        <v>1.7384441569447521E-2</v>
      </c>
      <c r="AU5" s="13">
        <v>-6.634250283241272E-3</v>
      </c>
      <c r="AV5" s="13">
        <v>7.3471954092383376E-3</v>
      </c>
      <c r="AW5" s="13">
        <v>4.724663682281971E-3</v>
      </c>
      <c r="AX5" s="13">
        <v>-1.7786960816010831E-3</v>
      </c>
      <c r="AY5" s="13">
        <v>-9.8629016429185867E-4</v>
      </c>
      <c r="AZ5" s="13">
        <v>1.0417148470878599E-2</v>
      </c>
      <c r="BA5" s="13">
        <v>-1.148949144408107E-3</v>
      </c>
      <c r="BB5" s="13">
        <v>-2.0870927255600691E-3</v>
      </c>
      <c r="BC5" s="13">
        <v>1.336632296442986E-3</v>
      </c>
      <c r="BD5" s="13">
        <v>5.0694281235337257E-3</v>
      </c>
      <c r="BE5" s="13">
        <v>-4.8598065041005611E-3</v>
      </c>
      <c r="BF5" s="13">
        <v>5.1613256800919771E-4</v>
      </c>
      <c r="BG5" s="13">
        <v>-7.0163407362997532E-3</v>
      </c>
      <c r="BH5" s="13">
        <v>-4.1907159611582756E-3</v>
      </c>
      <c r="BI5" s="13">
        <v>3.0854527722112829E-4</v>
      </c>
      <c r="BJ5" s="13">
        <v>-2.9275671113282442E-4</v>
      </c>
      <c r="BK5" s="13">
        <v>-1.1491622775793081E-2</v>
      </c>
      <c r="BL5" s="13">
        <v>-1.2680532410740851E-2</v>
      </c>
      <c r="BM5" s="13">
        <v>-4.4326516799628726E-3</v>
      </c>
      <c r="BN5" s="13">
        <v>-8.944263681769371E-4</v>
      </c>
      <c r="BO5" s="13">
        <v>-4.4179423712193966E-3</v>
      </c>
      <c r="BP5" s="13">
        <v>-8.5916733369231224E-3</v>
      </c>
      <c r="BQ5" s="13">
        <v>-4.4214986264705658E-3</v>
      </c>
      <c r="BR5" s="13">
        <v>1.025303965434432E-3</v>
      </c>
      <c r="BS5" s="13">
        <v>-7.2602357249706984E-4</v>
      </c>
      <c r="BT5" s="13">
        <v>2.21152906306088E-4</v>
      </c>
      <c r="BU5" s="13">
        <v>-4.0715634822845459E-3</v>
      </c>
      <c r="BV5" s="13">
        <v>-1.552917994558811E-3</v>
      </c>
      <c r="BW5" s="13">
        <v>-3.8780455943197012E-3</v>
      </c>
      <c r="BX5" s="13">
        <v>-2.1147832740098238E-3</v>
      </c>
      <c r="BY5" s="13">
        <v>-2.6352899149060249E-3</v>
      </c>
      <c r="BZ5" s="13">
        <v>1.8134823767468331E-3</v>
      </c>
      <c r="CA5" s="13">
        <v>-1.6779374331235889E-2</v>
      </c>
      <c r="CB5" s="13">
        <v>-1.808038167655468E-2</v>
      </c>
      <c r="CC5" s="13">
        <v>-9.0212021023035049E-3</v>
      </c>
      <c r="CD5" s="13">
        <v>-6.0056517831981182E-3</v>
      </c>
      <c r="CE5" s="13">
        <v>4.891709890216589E-3</v>
      </c>
      <c r="CF5" s="13">
        <v>-4.9459007568657398E-3</v>
      </c>
      <c r="CG5" s="13">
        <v>-1.764219487085938E-3</v>
      </c>
      <c r="CH5" s="13">
        <v>-2.2557761985808611E-3</v>
      </c>
      <c r="CI5" s="13">
        <v>-5.7940958067774773E-3</v>
      </c>
      <c r="CJ5" s="13">
        <v>5.3679030388593674E-3</v>
      </c>
      <c r="CK5" s="13">
        <v>-6.5037030726671219E-3</v>
      </c>
      <c r="CL5" s="13">
        <v>-9.2684589326381683E-3</v>
      </c>
      <c r="CM5" s="13">
        <v>3.4533715806901451E-3</v>
      </c>
      <c r="CN5" s="13">
        <v>-1.5305428532883521E-3</v>
      </c>
      <c r="CO5" s="13">
        <v>2.763807307928801E-3</v>
      </c>
      <c r="CP5" s="13">
        <v>-3.0045167077332739E-3</v>
      </c>
      <c r="CQ5" s="13">
        <v>-4.2182006873190403E-3</v>
      </c>
      <c r="CR5" s="13">
        <v>1.238218974322081E-3</v>
      </c>
      <c r="CS5" s="13">
        <v>-5.620910320430994E-3</v>
      </c>
      <c r="CT5" s="13">
        <v>-1.289551146328449E-4</v>
      </c>
      <c r="CU5" s="13">
        <v>-3.5577644594013691E-3</v>
      </c>
      <c r="CV5" s="13">
        <v>-8.8373589096590877E-4</v>
      </c>
      <c r="CW5" s="13">
        <v>-3.7108787801116701E-3</v>
      </c>
      <c r="CX5" s="13">
        <v>-1.892625004984438E-3</v>
      </c>
      <c r="CY5" s="13">
        <v>-2.23894277587533E-3</v>
      </c>
      <c r="CZ5" s="13">
        <v>-2.9421760700643059E-5</v>
      </c>
      <c r="DA5" s="13">
        <v>-1.453497330658138E-3</v>
      </c>
      <c r="DB5" s="13">
        <v>-3.351018531247973E-3</v>
      </c>
      <c r="DC5" s="13">
        <v>-3.9163324981927872E-3</v>
      </c>
      <c r="DD5" s="13">
        <v>-4.7809812240302563E-3</v>
      </c>
      <c r="DE5" s="13">
        <v>-4.4807596132159233E-3</v>
      </c>
      <c r="DF5" s="13">
        <v>-2.3375857621431351E-2</v>
      </c>
      <c r="DG5" s="13">
        <v>-3.9326213300228119E-3</v>
      </c>
      <c r="DH5" s="13">
        <v>-4.3730316683650017E-3</v>
      </c>
      <c r="DI5" s="13">
        <v>-1.565223932266235E-2</v>
      </c>
      <c r="DJ5" s="13">
        <v>6.0370620340108871E-3</v>
      </c>
      <c r="DK5" s="13">
        <v>-8.2938047125935555E-3</v>
      </c>
      <c r="DL5" s="13">
        <v>-4.4081835076212883E-3</v>
      </c>
      <c r="DM5" s="13">
        <v>-4.4374761637300247E-4</v>
      </c>
      <c r="DN5" s="13">
        <v>-3.0054445378482342E-3</v>
      </c>
      <c r="DO5" s="13">
        <v>2.8427736833691601E-3</v>
      </c>
      <c r="DP5" s="13">
        <v>-6.131303496658802E-3</v>
      </c>
      <c r="DQ5" s="13">
        <v>-4.6811853535473347E-3</v>
      </c>
      <c r="DR5" s="13">
        <v>-7.1722459979355344E-3</v>
      </c>
      <c r="DS5" s="13">
        <v>-3.6357224453240629E-3</v>
      </c>
      <c r="DT5" s="13">
        <v>-2.9824208468198782E-4</v>
      </c>
      <c r="DU5" s="13">
        <v>-5.6705139577388763E-3</v>
      </c>
      <c r="DV5" s="13">
        <v>-3.1858636066317558E-3</v>
      </c>
      <c r="DW5" s="13">
        <v>-7.003207691013813E-3</v>
      </c>
      <c r="DX5" s="13">
        <v>-6.6352039575576782E-3</v>
      </c>
      <c r="DY5" s="13">
        <v>-3.2449103891849522E-3</v>
      </c>
      <c r="DZ5" s="13">
        <v>-1.983507070690393E-3</v>
      </c>
      <c r="EA5" s="13">
        <v>-2.5352328084409241E-3</v>
      </c>
      <c r="EB5" s="13">
        <v>-4.4876029714941978E-3</v>
      </c>
      <c r="EC5" s="13">
        <v>-5.3785997442901126E-3</v>
      </c>
      <c r="ED5" s="13">
        <v>-6.4549529924988747E-3</v>
      </c>
      <c r="EE5" s="13">
        <v>-6.2718079425394544E-3</v>
      </c>
      <c r="EF5" s="13">
        <v>-6.1802691780030727E-3</v>
      </c>
    </row>
    <row r="6" spans="1:136">
      <c r="A6" s="2" t="s">
        <v>139</v>
      </c>
      <c r="B6" s="1"/>
      <c r="C6" s="13">
        <f t="array" ref="C6">MATCH(MAX(ABS(C3:C5)),ABS(C3:C5),0)</f>
        <v>2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2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2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2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2</v>
      </c>
      <c r="CF6" s="13">
        <f t="array" ref="CF6">MATCH(MAX(ABS(CF3:CF5)),ABS(CF3:CF5),0)</f>
        <v>2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2</v>
      </c>
      <c r="CN6" s="13">
        <f t="array" ref="CN6">MATCH(MAX(ABS(CN3:CN5)),ABS(CN3:CN5),0)</f>
        <v>1</v>
      </c>
      <c r="CO6" s="13">
        <f t="array" ref="CO6">MATCH(MAX(ABS(CO3:CO5)),ABS(CO3:CO5),0)</f>
        <v>2</v>
      </c>
      <c r="CP6" s="13">
        <f t="array" ref="CP6">MATCH(MAX(ABS(CP3:CP5)),ABS(CP3:CP5),0)</f>
        <v>2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2</v>
      </c>
      <c r="CT6" s="13">
        <f t="array" ref="CT6">MATCH(MAX(ABS(CT3:CT5)),ABS(CT3:CT5),0)</f>
        <v>2</v>
      </c>
      <c r="CU6" s="13">
        <f t="array" ref="CU6">MATCH(MAX(ABS(CU3:CU5)),ABS(CU3:CU5),0)</f>
        <v>2</v>
      </c>
      <c r="CV6" s="13">
        <f t="array" ref="CV6">MATCH(MAX(ABS(CV3:CV5)),ABS(CV3:CV5),0)</f>
        <v>2</v>
      </c>
      <c r="CW6" s="13">
        <f t="array" ref="CW6">MATCH(MAX(ABS(CW3:CW5)),ABS(CW3:CW5),0)</f>
        <v>2</v>
      </c>
      <c r="CX6" s="13">
        <f t="array" ref="CX6">MATCH(MAX(ABS(CX3:CX5)),ABS(CX3:CX5),0)</f>
        <v>2</v>
      </c>
      <c r="CY6" s="13">
        <f t="array" ref="CY6">MATCH(MAX(ABS(CY3:CY5)),ABS(CY3:CY5),0)</f>
        <v>1</v>
      </c>
      <c r="CZ6" s="13">
        <f t="array" ref="CZ6">MATCH(MAX(ABS(CZ3:CZ5)),ABS(CZ3:CZ5),0)</f>
        <v>2</v>
      </c>
      <c r="DA6" s="13">
        <f t="array" ref="DA6">MATCH(MAX(ABS(DA3:DA5)),ABS(DA3:DA5),0)</f>
        <v>2</v>
      </c>
      <c r="DB6" s="13">
        <f t="array" ref="DB6">MATCH(MAX(ABS(DB3:DB5)),ABS(DB3:DB5),0)</f>
        <v>2</v>
      </c>
      <c r="DC6" s="13">
        <f t="array" ref="DC6">MATCH(MAX(ABS(DC3:DC5)),ABS(DC3:DC5),0)</f>
        <v>2</v>
      </c>
      <c r="DD6" s="13">
        <f t="array" ref="DD6">MATCH(MAX(ABS(DD3:DD5)),ABS(DD3:DD5),0)</f>
        <v>1</v>
      </c>
      <c r="DE6" s="13">
        <f t="array" ref="DE6">MATCH(MAX(ABS(DE3:DE5)),ABS(DE3:DE5),0)</f>
        <v>2</v>
      </c>
      <c r="DF6" s="13">
        <f t="array" ref="DF6">MATCH(MAX(ABS(DF3:DF5)),ABS(DF3:DF5),0)</f>
        <v>2</v>
      </c>
      <c r="DG6" s="13">
        <f t="array" ref="DG6">MATCH(MAX(ABS(DG3:DG5)),ABS(DG3:DG5),0)</f>
        <v>2</v>
      </c>
      <c r="DH6" s="13">
        <f t="array" ref="DH6">MATCH(MAX(ABS(DH3:DH5)),ABS(DH3:DH5),0)</f>
        <v>2</v>
      </c>
      <c r="DI6" s="13">
        <f t="array" ref="DI6">MATCH(MAX(ABS(DI3:DI5)),ABS(DI3:DI5),0)</f>
        <v>2</v>
      </c>
      <c r="DJ6" s="13">
        <f t="array" ref="DJ6">MATCH(MAX(ABS(DJ3:DJ5)),ABS(DJ3:DJ5),0)</f>
        <v>2</v>
      </c>
      <c r="DK6" s="13">
        <f t="array" ref="DK6">MATCH(MAX(ABS(DK3:DK5)),ABS(DK3:DK5),0)</f>
        <v>2</v>
      </c>
      <c r="DL6" s="13">
        <f t="array" ref="DL6">MATCH(MAX(ABS(DL3:DL5)),ABS(DL3:DL5),0)</f>
        <v>2</v>
      </c>
      <c r="DM6" s="13">
        <f t="array" ref="DM6">MATCH(MAX(ABS(DM3:DM5)),ABS(DM3:DM5),0)</f>
        <v>2</v>
      </c>
      <c r="DN6" s="13">
        <f t="array" ref="DN6">MATCH(MAX(ABS(DN3:DN5)),ABS(DN3:DN5),0)</f>
        <v>2</v>
      </c>
      <c r="DO6" s="13">
        <f t="array" ref="DO6">MATCH(MAX(ABS(DO3:DO5)),ABS(DO3:DO5),0)</f>
        <v>2</v>
      </c>
      <c r="DP6" s="13">
        <f t="array" ref="DP6">MATCH(MAX(ABS(DP3:DP5)),ABS(DP3:DP5),0)</f>
        <v>2</v>
      </c>
      <c r="DQ6" s="13">
        <f t="array" ref="DQ6">MATCH(MAX(ABS(DQ3:DQ5)),ABS(DQ3:DQ5),0)</f>
        <v>2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2</v>
      </c>
      <c r="DU6" s="13">
        <f t="array" ref="DU6">MATCH(MAX(ABS(DU3:DU5)),ABS(DU3:DU5),0)</f>
        <v>2</v>
      </c>
      <c r="DV6" s="13">
        <f t="array" ref="DV6">MATCH(MAX(ABS(DV3:DV5)),ABS(DV3:DV5),0)</f>
        <v>2</v>
      </c>
      <c r="DW6" s="13">
        <f t="array" ref="DW6">MATCH(MAX(ABS(DW3:DW5)),ABS(DW3:DW5),0)</f>
        <v>2</v>
      </c>
      <c r="DX6" s="13">
        <f t="array" ref="DX6">MATCH(MAX(ABS(DX3:DX5)),ABS(DX3:DX5),0)</f>
        <v>2</v>
      </c>
      <c r="DY6" s="13">
        <f t="array" ref="DY6">MATCH(MAX(ABS(DY3:DY5)),ABS(DY3:DY5),0)</f>
        <v>2</v>
      </c>
      <c r="DZ6" s="13">
        <f t="array" ref="DZ6">MATCH(MAX(ABS(DZ3:DZ5)),ABS(DZ3:DZ5),0)</f>
        <v>2</v>
      </c>
      <c r="EA6" s="13">
        <f t="array" ref="EA6">MATCH(MAX(ABS(EA3:EA5)),ABS(EA3:EA5),0)</f>
        <v>2</v>
      </c>
      <c r="EB6" s="13">
        <f t="array" ref="EB6">MATCH(MAX(ABS(EB3:EB5)),ABS(EB3:EB5),0)</f>
        <v>2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2</v>
      </c>
      <c r="EF6" s="13">
        <f t="array" ref="EF6">MATCH(MAX(ABS(EF3:EF5)),ABS(EF3:EF5),0)</f>
        <v>2</v>
      </c>
    </row>
    <row r="7" spans="1:136">
      <c r="C7" s="14" t="str">
        <f t="shared" ref="C7:AH7" si="0">IF(C6=1,"bm",IF(C6=2,"size",IF(C6=3,"mom")))</f>
        <v>size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size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size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size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size</v>
      </c>
      <c r="CF7" s="14" t="str">
        <f t="shared" si="2"/>
        <v>size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size</v>
      </c>
      <c r="CN7" s="14" t="str">
        <f t="shared" si="2"/>
        <v>bm</v>
      </c>
      <c r="CO7" s="14" t="str">
        <f t="shared" si="2"/>
        <v>size</v>
      </c>
      <c r="CP7" s="14" t="str">
        <f t="shared" si="2"/>
        <v>size</v>
      </c>
      <c r="CQ7" s="14" t="str">
        <f t="shared" si="2"/>
        <v>bm</v>
      </c>
      <c r="CR7" s="14" t="str">
        <f t="shared" si="2"/>
        <v>bm</v>
      </c>
      <c r="CS7" s="14" t="str">
        <f t="shared" si="2"/>
        <v>size</v>
      </c>
      <c r="CT7" s="14" t="str">
        <f t="shared" si="2"/>
        <v>size</v>
      </c>
      <c r="CU7" s="14" t="str">
        <f t="shared" ref="CU7:DZ7" si="3">IF(CU6=1,"bm",IF(CU6=2,"size",IF(CU6=3,"mom")))</f>
        <v>size</v>
      </c>
      <c r="CV7" s="14" t="str">
        <f t="shared" si="3"/>
        <v>size</v>
      </c>
      <c r="CW7" s="14" t="str">
        <f t="shared" si="3"/>
        <v>size</v>
      </c>
      <c r="CX7" s="14" t="str">
        <f t="shared" si="3"/>
        <v>size</v>
      </c>
      <c r="CY7" s="14" t="str">
        <f t="shared" si="3"/>
        <v>bm</v>
      </c>
      <c r="CZ7" s="14" t="str">
        <f t="shared" si="3"/>
        <v>size</v>
      </c>
      <c r="DA7" s="14" t="str">
        <f t="shared" si="3"/>
        <v>size</v>
      </c>
      <c r="DB7" s="14" t="str">
        <f t="shared" si="3"/>
        <v>size</v>
      </c>
      <c r="DC7" s="14" t="str">
        <f t="shared" si="3"/>
        <v>size</v>
      </c>
      <c r="DD7" s="14" t="str">
        <f t="shared" si="3"/>
        <v>bm</v>
      </c>
      <c r="DE7" s="14" t="str">
        <f t="shared" si="3"/>
        <v>size</v>
      </c>
      <c r="DF7" s="14" t="str">
        <f t="shared" si="3"/>
        <v>size</v>
      </c>
      <c r="DG7" s="14" t="str">
        <f t="shared" si="3"/>
        <v>size</v>
      </c>
      <c r="DH7" s="14" t="str">
        <f t="shared" si="3"/>
        <v>size</v>
      </c>
      <c r="DI7" s="14" t="str">
        <f t="shared" si="3"/>
        <v>size</v>
      </c>
      <c r="DJ7" s="14" t="str">
        <f t="shared" si="3"/>
        <v>size</v>
      </c>
      <c r="DK7" s="14" t="str">
        <f t="shared" si="3"/>
        <v>size</v>
      </c>
      <c r="DL7" s="14" t="str">
        <f t="shared" si="3"/>
        <v>size</v>
      </c>
      <c r="DM7" s="14" t="str">
        <f t="shared" si="3"/>
        <v>size</v>
      </c>
      <c r="DN7" s="14" t="str">
        <f t="shared" si="3"/>
        <v>size</v>
      </c>
      <c r="DO7" s="14" t="str">
        <f t="shared" si="3"/>
        <v>size</v>
      </c>
      <c r="DP7" s="14" t="str">
        <f t="shared" si="3"/>
        <v>size</v>
      </c>
      <c r="DQ7" s="14" t="str">
        <f t="shared" si="3"/>
        <v>size</v>
      </c>
      <c r="DR7" s="14" t="str">
        <f t="shared" si="3"/>
        <v>bm</v>
      </c>
      <c r="DS7" s="14" t="str">
        <f t="shared" si="3"/>
        <v>bm</v>
      </c>
      <c r="DT7" s="14" t="str">
        <f t="shared" si="3"/>
        <v>size</v>
      </c>
      <c r="DU7" s="14" t="str">
        <f t="shared" si="3"/>
        <v>size</v>
      </c>
      <c r="DV7" s="14" t="str">
        <f t="shared" si="3"/>
        <v>size</v>
      </c>
      <c r="DW7" s="14" t="str">
        <f t="shared" si="3"/>
        <v>size</v>
      </c>
      <c r="DX7" s="14" t="str">
        <f t="shared" si="3"/>
        <v>size</v>
      </c>
      <c r="DY7" s="14" t="str">
        <f t="shared" si="3"/>
        <v>size</v>
      </c>
      <c r="DZ7" s="14" t="str">
        <f t="shared" si="3"/>
        <v>size</v>
      </c>
      <c r="EA7" s="14" t="str">
        <f t="shared" ref="EA7:EF7" si="4">IF(EA6=1,"bm",IF(EA6=2,"size",IF(EA6=3,"mom")))</f>
        <v>size</v>
      </c>
      <c r="EB7" s="14" t="str">
        <f t="shared" si="4"/>
        <v>size</v>
      </c>
      <c r="EC7" s="14" t="str">
        <f t="shared" si="4"/>
        <v>bm</v>
      </c>
      <c r="ED7" s="14" t="str">
        <f t="shared" si="4"/>
        <v>bm</v>
      </c>
      <c r="EE7" s="14" t="str">
        <f t="shared" si="4"/>
        <v>size</v>
      </c>
      <c r="EF7" s="14" t="str">
        <f t="shared" si="4"/>
        <v>size</v>
      </c>
    </row>
    <row r="8" spans="1:136">
      <c r="C8" s="13">
        <f t="shared" ref="C8:AH8" si="5">IF(C6=1,C3,IF(C6=2,C4,IF(C6=3,C5)))</f>
        <v>-8.5349172353744507E-2</v>
      </c>
      <c r="D8" s="13">
        <f t="shared" si="5"/>
        <v>7.545451819896698E-2</v>
      </c>
      <c r="E8" s="13">
        <f t="shared" si="5"/>
        <v>5.3419496864080429E-2</v>
      </c>
      <c r="F8" s="13">
        <f t="shared" si="5"/>
        <v>4.8055462539196007E-2</v>
      </c>
      <c r="G8" s="13">
        <f t="shared" si="5"/>
        <v>5.6244600564241409E-2</v>
      </c>
      <c r="H8" s="13">
        <f t="shared" si="5"/>
        <v>5.3408809006214142E-2</v>
      </c>
      <c r="I8" s="13">
        <f t="shared" si="5"/>
        <v>5.4677728563547127E-2</v>
      </c>
      <c r="J8" s="13">
        <f t="shared" si="5"/>
        <v>6.1407111585140228E-2</v>
      </c>
      <c r="K8" s="13">
        <f t="shared" si="5"/>
        <v>6.1087191104888923E-2</v>
      </c>
      <c r="L8" s="13">
        <f t="shared" si="5"/>
        <v>6.1945471912622452E-2</v>
      </c>
      <c r="M8" s="13">
        <f t="shared" si="5"/>
        <v>6.4090974628925323E-2</v>
      </c>
      <c r="N8" s="13">
        <f t="shared" si="5"/>
        <v>5.0166409462690353E-2</v>
      </c>
      <c r="O8" s="13">
        <f t="shared" si="5"/>
        <v>5.0939202308654792E-2</v>
      </c>
      <c r="P8" s="13">
        <f t="shared" si="5"/>
        <v>5.3945809602737427E-2</v>
      </c>
      <c r="Q8" s="13">
        <f t="shared" si="5"/>
        <v>5.463515967130661E-2</v>
      </c>
      <c r="R8" s="13">
        <f t="shared" si="5"/>
        <v>5.4097041487693787E-2</v>
      </c>
      <c r="S8" s="13">
        <f t="shared" si="5"/>
        <v>5.4209418594837189E-2</v>
      </c>
      <c r="T8" s="13">
        <f t="shared" si="5"/>
        <v>5.6115321815013892E-2</v>
      </c>
      <c r="U8" s="13">
        <f t="shared" si="5"/>
        <v>5.4694335907697678E-2</v>
      </c>
      <c r="V8" s="13">
        <f t="shared" si="5"/>
        <v>5.5520310997962952E-2</v>
      </c>
      <c r="W8" s="13">
        <f t="shared" si="5"/>
        <v>5.7895615696907043E-2</v>
      </c>
      <c r="X8" s="13">
        <f t="shared" si="5"/>
        <v>5.6128561496734619E-2</v>
      </c>
      <c r="Y8" s="13">
        <f t="shared" si="5"/>
        <v>5.4498970508575439E-2</v>
      </c>
      <c r="Z8" s="13">
        <f t="shared" si="5"/>
        <v>5.640922486782074E-2</v>
      </c>
      <c r="AA8" s="13">
        <f t="shared" si="5"/>
        <v>5.4687082767486572E-2</v>
      </c>
      <c r="AB8" s="13">
        <f t="shared" si="5"/>
        <v>5.4479975253343582E-2</v>
      </c>
      <c r="AC8" s="13">
        <f t="shared" si="5"/>
        <v>5.7393115013837807E-2</v>
      </c>
      <c r="AD8" s="13">
        <f t="shared" si="5"/>
        <v>5.7433716952800751E-2</v>
      </c>
      <c r="AE8" s="13">
        <f t="shared" si="5"/>
        <v>4.2686142027378082E-2</v>
      </c>
      <c r="AF8" s="13">
        <f t="shared" si="5"/>
        <v>5.614069476723671E-2</v>
      </c>
      <c r="AG8" s="13">
        <f t="shared" si="5"/>
        <v>5.5614285171031952E-2</v>
      </c>
      <c r="AH8" s="13">
        <f t="shared" si="5"/>
        <v>-2.73332130163908E-2</v>
      </c>
      <c r="AI8" s="13">
        <f t="shared" ref="AI8:BN8" si="6">IF(AI6=1,AI3,IF(AI6=2,AI4,IF(AI6=3,AI5)))</f>
        <v>-3.7235941737890237E-2</v>
      </c>
      <c r="AJ8" s="13">
        <f t="shared" si="6"/>
        <v>-3.4088630229234702E-2</v>
      </c>
      <c r="AK8" s="13">
        <f t="shared" si="6"/>
        <v>3.0455950647592541E-2</v>
      </c>
      <c r="AL8" s="13">
        <f t="shared" si="6"/>
        <v>3.425038605928421E-2</v>
      </c>
      <c r="AM8" s="13">
        <f t="shared" si="6"/>
        <v>3.9540499448776252E-2</v>
      </c>
      <c r="AN8" s="13">
        <f t="shared" si="6"/>
        <v>4.3252840638160713E-2</v>
      </c>
      <c r="AO8" s="13">
        <f t="shared" si="6"/>
        <v>4.4728361070156097E-2</v>
      </c>
      <c r="AP8" s="13">
        <f t="shared" si="6"/>
        <v>4.2892593890428543E-2</v>
      </c>
      <c r="AQ8" s="13">
        <f t="shared" si="6"/>
        <v>4.543033242225647E-2</v>
      </c>
      <c r="AR8" s="13">
        <f t="shared" si="6"/>
        <v>4.4913444668054581E-2</v>
      </c>
      <c r="AS8" s="13">
        <f t="shared" si="6"/>
        <v>-0.1345172971487045</v>
      </c>
      <c r="AT8" s="13">
        <f t="shared" si="6"/>
        <v>4.19180728495121E-2</v>
      </c>
      <c r="AU8" s="13">
        <f t="shared" si="6"/>
        <v>4.1785150766372681E-2</v>
      </c>
      <c r="AV8" s="13">
        <f t="shared" si="6"/>
        <v>4.3081630021333688E-2</v>
      </c>
      <c r="AW8" s="13">
        <f t="shared" si="6"/>
        <v>4.6142738312482827E-2</v>
      </c>
      <c r="AX8" s="13">
        <f t="shared" si="6"/>
        <v>4.5525301247835159E-2</v>
      </c>
      <c r="AY8" s="13">
        <f t="shared" si="6"/>
        <v>4.7935985028743737E-2</v>
      </c>
      <c r="AZ8" s="13">
        <f t="shared" si="6"/>
        <v>4.1659116744995117E-2</v>
      </c>
      <c r="BA8" s="13">
        <f t="shared" si="6"/>
        <v>3.8711324334144592E-2</v>
      </c>
      <c r="BB8" s="13">
        <f t="shared" si="6"/>
        <v>3.8947168737649918E-2</v>
      </c>
      <c r="BC8" s="13">
        <f t="shared" si="6"/>
        <v>4.2427822947502143E-2</v>
      </c>
      <c r="BD8" s="13">
        <f t="shared" si="6"/>
        <v>4.4051360338926322E-2</v>
      </c>
      <c r="BE8" s="13">
        <f t="shared" si="6"/>
        <v>4.56375852227211E-2</v>
      </c>
      <c r="BF8" s="13">
        <f t="shared" si="6"/>
        <v>4.8670642077922821E-2</v>
      </c>
      <c r="BG8" s="13">
        <f t="shared" si="6"/>
        <v>4.9968019127845757E-2</v>
      </c>
      <c r="BH8" s="13">
        <f t="shared" si="6"/>
        <v>5.1808405667543411E-2</v>
      </c>
      <c r="BI8" s="13">
        <f t="shared" si="6"/>
        <v>5.0584189593791962E-2</v>
      </c>
      <c r="BJ8" s="13">
        <f t="shared" si="6"/>
        <v>5.2059561014175422E-2</v>
      </c>
      <c r="BK8" s="13">
        <f t="shared" si="6"/>
        <v>5.2372250705957413E-2</v>
      </c>
      <c r="BL8" s="13">
        <f t="shared" si="6"/>
        <v>5.0854671746492393E-2</v>
      </c>
      <c r="BM8" s="13">
        <f t="shared" si="6"/>
        <v>5.2194196730852127E-2</v>
      </c>
      <c r="BN8" s="13">
        <f t="shared" si="6"/>
        <v>7.9825639724731445E-2</v>
      </c>
      <c r="BO8" s="13">
        <f t="shared" ref="BO8:CT8" si="7">IF(BO6=1,BO3,IF(BO6=2,BO4,IF(BO6=3,BO5)))</f>
        <v>5.4506797343492508E-2</v>
      </c>
      <c r="BP8" s="13">
        <f t="shared" si="7"/>
        <v>4.0165632963180542E-2</v>
      </c>
      <c r="BQ8" s="13">
        <f t="shared" si="7"/>
        <v>5.2233844995498657E-2</v>
      </c>
      <c r="BR8" s="13">
        <f t="shared" si="7"/>
        <v>3.6525636911392212E-2</v>
      </c>
      <c r="BS8" s="13">
        <f t="shared" si="7"/>
        <v>5.2801784127950668E-2</v>
      </c>
      <c r="BT8" s="13">
        <f t="shared" si="7"/>
        <v>4.8056013882160187E-2</v>
      </c>
      <c r="BU8" s="13">
        <f t="shared" si="7"/>
        <v>-9.9144220352172852E-2</v>
      </c>
      <c r="BV8" s="13">
        <f t="shared" si="7"/>
        <v>5.2249498665332787E-2</v>
      </c>
      <c r="BW8" s="13">
        <f t="shared" si="7"/>
        <v>3.9474610239267349E-2</v>
      </c>
      <c r="BX8" s="13">
        <f t="shared" si="7"/>
        <v>4.7410383820533752E-2</v>
      </c>
      <c r="BY8" s="13">
        <f t="shared" si="7"/>
        <v>4.704391211271286E-2</v>
      </c>
      <c r="BZ8" s="13">
        <f t="shared" si="7"/>
        <v>4.6114489436149597E-2</v>
      </c>
      <c r="CA8" s="13">
        <f t="shared" si="7"/>
        <v>4.2742863297462463E-2</v>
      </c>
      <c r="CB8" s="13">
        <f t="shared" si="7"/>
        <v>3.8489740341901779E-2</v>
      </c>
      <c r="CC8" s="13">
        <f t="shared" si="7"/>
        <v>3.745705634355545E-2</v>
      </c>
      <c r="CD8" s="13">
        <f t="shared" si="7"/>
        <v>3.9794288575649261E-2</v>
      </c>
      <c r="CE8" s="13">
        <f t="shared" si="7"/>
        <v>-4.0299050509929657E-2</v>
      </c>
      <c r="CF8" s="13">
        <f t="shared" si="7"/>
        <v>-3.2261207699775703E-2</v>
      </c>
      <c r="CG8" s="13">
        <f t="shared" si="7"/>
        <v>3.5978682339191437E-2</v>
      </c>
      <c r="CH8" s="13">
        <f t="shared" si="7"/>
        <v>3.177894651889801E-2</v>
      </c>
      <c r="CI8" s="13">
        <f t="shared" si="7"/>
        <v>3.4042399376630783E-2</v>
      </c>
      <c r="CJ8" s="13">
        <f t="shared" si="7"/>
        <v>3.8737695664167397E-2</v>
      </c>
      <c r="CK8" s="13">
        <f t="shared" si="7"/>
        <v>3.9908383041620248E-2</v>
      </c>
      <c r="CL8" s="13">
        <f t="shared" si="7"/>
        <v>3.7117619067430503E-2</v>
      </c>
      <c r="CM8" s="13">
        <f t="shared" si="7"/>
        <v>-3.116690926253796E-2</v>
      </c>
      <c r="CN8" s="13">
        <f t="shared" si="7"/>
        <v>4.0649183094501502E-2</v>
      </c>
      <c r="CO8" s="13">
        <f t="shared" si="7"/>
        <v>-3.051175735890865E-2</v>
      </c>
      <c r="CP8" s="13">
        <f t="shared" si="7"/>
        <v>-3.0179880559444431E-2</v>
      </c>
      <c r="CQ8" s="13">
        <f t="shared" si="7"/>
        <v>3.3265896141529083E-2</v>
      </c>
      <c r="CR8" s="13">
        <f t="shared" si="7"/>
        <v>3.3467646688222892E-2</v>
      </c>
      <c r="CS8" s="13">
        <f t="shared" si="7"/>
        <v>-3.038875758647919E-2</v>
      </c>
      <c r="CT8" s="13">
        <f t="shared" si="7"/>
        <v>-2.237749099731445E-2</v>
      </c>
      <c r="CU8" s="13">
        <f t="shared" ref="CU8:DZ8" si="8">IF(CU6=1,CU3,IF(CU6=2,CU4,IF(CU6=3,CU5)))</f>
        <v>-2.6706485077738758E-2</v>
      </c>
      <c r="CV8" s="13">
        <f t="shared" si="8"/>
        <v>-2.821129746735096E-2</v>
      </c>
      <c r="CW8" s="13">
        <f t="shared" si="8"/>
        <v>-3.3567264676094062E-2</v>
      </c>
      <c r="CX8" s="13">
        <f t="shared" si="8"/>
        <v>-2.7859419584274289E-2</v>
      </c>
      <c r="CY8" s="13">
        <f t="shared" si="8"/>
        <v>2.5537870824337009E-2</v>
      </c>
      <c r="CZ8" s="13">
        <f t="shared" si="8"/>
        <v>-2.6201611384749409E-2</v>
      </c>
      <c r="DA8" s="13">
        <f t="shared" si="8"/>
        <v>-2.9583510011434559E-2</v>
      </c>
      <c r="DB8" s="13">
        <f t="shared" si="8"/>
        <v>-3.3195734024047852E-2</v>
      </c>
      <c r="DC8" s="13">
        <f t="shared" si="8"/>
        <v>-3.1532101333141327E-2</v>
      </c>
      <c r="DD8" s="13">
        <f t="shared" si="8"/>
        <v>3.3772524446249008E-2</v>
      </c>
      <c r="DE8" s="13">
        <f t="shared" si="8"/>
        <v>-2.8857935220003132E-2</v>
      </c>
      <c r="DF8" s="13">
        <f t="shared" si="8"/>
        <v>-2.8399249538779259E-2</v>
      </c>
      <c r="DG8" s="13">
        <f t="shared" si="8"/>
        <v>-2.6426361873745918E-2</v>
      </c>
      <c r="DH8" s="13">
        <f t="shared" si="8"/>
        <v>-3.0645843595266339E-2</v>
      </c>
      <c r="DI8" s="13">
        <f t="shared" si="8"/>
        <v>-2.9881417751312259E-2</v>
      </c>
      <c r="DJ8" s="13">
        <f t="shared" si="8"/>
        <v>-2.9596960172057148E-2</v>
      </c>
      <c r="DK8" s="13">
        <f t="shared" si="8"/>
        <v>-2.841122634708881E-2</v>
      </c>
      <c r="DL8" s="13">
        <f t="shared" si="8"/>
        <v>-3.0489476397633549E-2</v>
      </c>
      <c r="DM8" s="13">
        <f t="shared" si="8"/>
        <v>-2.7597028762102131E-2</v>
      </c>
      <c r="DN8" s="13">
        <f t="shared" si="8"/>
        <v>-2.8250575065612789E-2</v>
      </c>
      <c r="DO8" s="13">
        <f t="shared" si="8"/>
        <v>-2.7726072818040851E-2</v>
      </c>
      <c r="DP8" s="13">
        <f t="shared" si="8"/>
        <v>-2.715402282774448E-2</v>
      </c>
      <c r="DQ8" s="13">
        <f t="shared" si="8"/>
        <v>-2.6989534497261051E-2</v>
      </c>
      <c r="DR8" s="13">
        <f t="shared" si="8"/>
        <v>3.2421927899122238E-2</v>
      </c>
      <c r="DS8" s="13">
        <f t="shared" si="8"/>
        <v>2.6365883648395538E-2</v>
      </c>
      <c r="DT8" s="13">
        <f t="shared" si="8"/>
        <v>-0.14326423406600949</v>
      </c>
      <c r="DU8" s="13">
        <f t="shared" si="8"/>
        <v>-4.3057508766651147E-2</v>
      </c>
      <c r="DV8" s="13">
        <f t="shared" si="8"/>
        <v>-3.2543007284402847E-2</v>
      </c>
      <c r="DW8" s="13">
        <f t="shared" si="8"/>
        <v>-2.724632807075977E-2</v>
      </c>
      <c r="DX8" s="13">
        <f t="shared" si="8"/>
        <v>-2.7451477944850922E-2</v>
      </c>
      <c r="DY8" s="13">
        <f t="shared" si="8"/>
        <v>-2.8264472261071209E-2</v>
      </c>
      <c r="DZ8" s="13">
        <f t="shared" si="8"/>
        <v>-2.418005466461182E-2</v>
      </c>
      <c r="EA8" s="13">
        <f t="shared" ref="EA8:EF8" si="9">IF(EA6=1,EA3,IF(EA6=2,EA4,IF(EA6=3,EA5)))</f>
        <v>-2.6992777362465858E-2</v>
      </c>
      <c r="EB8" s="13">
        <f t="shared" si="9"/>
        <v>-2.6342380791902539E-2</v>
      </c>
      <c r="EC8" s="13">
        <f t="shared" si="9"/>
        <v>3.6291155964136117E-2</v>
      </c>
      <c r="ED8" s="13">
        <f t="shared" si="9"/>
        <v>2.4168495088815689E-2</v>
      </c>
      <c r="EE8" s="13">
        <f t="shared" si="9"/>
        <v>-3.5310320556163788E-2</v>
      </c>
      <c r="EF8" s="13">
        <f t="shared" si="9"/>
        <v>-2.9033292084932331E-2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0" t="s">
        <v>203</v>
      </c>
      <c r="B11" s="20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144</v>
      </c>
    </row>
    <row r="12" spans="1:136">
      <c r="A12" s="20">
        <v>96</v>
      </c>
      <c r="B12" s="20" t="s">
        <v>185</v>
      </c>
      <c r="C12" s="13">
        <f t="array" ref="C12">PRODUCT(1+預測IC!$C12:C12)-1</f>
        <v>8.4653541666666721E-2</v>
      </c>
      <c r="D12" s="13">
        <f t="array" ref="D12">PRODUCT(1+預測IC!$C12:D12)-1</f>
        <v>0.10723797565216775</v>
      </c>
      <c r="E12" s="13">
        <f t="array" ref="E12">PRODUCT(1+預測IC!$C12:E12)-1</f>
        <v>9.9759658965162146E-2</v>
      </c>
      <c r="F12" s="13">
        <f t="array" ref="F12">PRODUCT(1+預測IC!$C12:F12)-1</f>
        <v>7.7908726816414253E-2</v>
      </c>
      <c r="G12" s="13">
        <f t="array" ref="G12">PRODUCT(1+預測IC!$C12:G12)-1</f>
        <v>8.642889115363328E-2</v>
      </c>
      <c r="H12" s="13">
        <f t="array" ref="H12">PRODUCT(1+預測IC!$C12:H12)-1</f>
        <v>9.6597196075798752E-2</v>
      </c>
      <c r="I12" s="13">
        <f t="array" ref="I12">PRODUCT(1+預測IC!$C12:I12)-1</f>
        <v>0.13640799143098215</v>
      </c>
      <c r="J12" s="13">
        <f t="array" ref="J12">PRODUCT(1+預測IC!$C12:J12)-1</f>
        <v>0.18616513661809342</v>
      </c>
      <c r="K12" s="13">
        <f t="array" ref="K12">PRODUCT(1+預測IC!$C12:K12)-1</f>
        <v>0.17313107506079595</v>
      </c>
      <c r="L12" s="13">
        <f t="array" ref="L12">PRODUCT(1+預測IC!$C12:L12)-1</f>
        <v>0.17045958486656287</v>
      </c>
      <c r="M12" s="13">
        <f t="array" ref="M12">PRODUCT(1+預測IC!$C12:M12)-1</f>
        <v>0.15225682657851625</v>
      </c>
      <c r="N12" s="13">
        <f t="array" ref="N12">PRODUCT(1+預測IC!$C12:N12)-1</f>
        <v>0.21225957263543349</v>
      </c>
      <c r="O12" s="13">
        <f t="array" ref="O12">PRODUCT(1+預測IC!$C12:O12)-1</f>
        <v>0.23484383348365379</v>
      </c>
      <c r="P12" s="13">
        <f t="array" ref="P12">PRODUCT(1+預測IC!$C12:P12)-1</f>
        <v>0.20839295844870098</v>
      </c>
      <c r="Q12" s="13">
        <f t="array" ref="Q12">PRODUCT(1+預測IC!$C12:Q12)-1</f>
        <v>0.16755799607061905</v>
      </c>
      <c r="R12" s="13">
        <f t="array" ref="R12">PRODUCT(1+預測IC!$C12:R12)-1</f>
        <v>0.18320036160846187</v>
      </c>
      <c r="S12" s="13">
        <f t="array" ref="S12">PRODUCT(1+預測IC!$C12:S12)-1</f>
        <v>9.9129364872432291E-2</v>
      </c>
      <c r="T12" s="13">
        <f t="array" ref="T12">PRODUCT(1+預測IC!$C12:T12)-1</f>
        <v>5.1599176471372799E-2</v>
      </c>
      <c r="U12" s="13">
        <f t="array" ref="U12">PRODUCT(1+預測IC!$C12:U12)-1</f>
        <v>3.0181024110689458E-2</v>
      </c>
      <c r="V12" s="13">
        <f t="array" ref="V12">PRODUCT(1+預測IC!$C12:V12)-1</f>
        <v>7.6570066151663063E-2</v>
      </c>
      <c r="W12" s="13">
        <f t="array" ref="W12">PRODUCT(1+預測IC!$C12:W12)-1</f>
        <v>0.10055436990062727</v>
      </c>
      <c r="X12" s="13">
        <f t="array" ref="X12">PRODUCT(1+預測IC!$C12:X12)-1</f>
        <v>0.1539524697845116</v>
      </c>
      <c r="Y12" s="13">
        <f t="array" ref="Y12">PRODUCT(1+預測IC!$C12:Y12)-1</f>
        <v>0.13457948039110423</v>
      </c>
      <c r="Z12" s="13">
        <f t="array" ref="Z12">PRODUCT(1+預測IC!$C12:Z12)-1</f>
        <v>0.2067656059478562</v>
      </c>
      <c r="AA12" s="13">
        <f t="array" ref="AA12">PRODUCT(1+預測IC!$C12:AA12)-1</f>
        <v>0.1592146226205795</v>
      </c>
      <c r="AB12" s="13">
        <f t="array" ref="AB12">PRODUCT(1+預測IC!$C12:AB12)-1</f>
        <v>0.19942674681755479</v>
      </c>
      <c r="AC12" s="13">
        <f t="array" ref="AC12">PRODUCT(1+預測IC!$C12:AC12)-1</f>
        <v>0.24154433404368025</v>
      </c>
      <c r="AD12" s="13">
        <f t="array" ref="AD12">PRODUCT(1+預測IC!$C12:AD12)-1</f>
        <v>0.24880378033376327</v>
      </c>
      <c r="AE12" s="13">
        <f t="array" ref="AE12">PRODUCT(1+預測IC!$C12:AE12)-1</f>
        <v>0.20147708480104787</v>
      </c>
      <c r="AF12" s="13">
        <f t="array" ref="AF12">PRODUCT(1+預測IC!$C12:AF12)-1</f>
        <v>0.22602584638582957</v>
      </c>
      <c r="AG12" s="13">
        <f t="array" ref="AG12">PRODUCT(1+預測IC!$C12:AG12)-1</f>
        <v>0.26278473100343569</v>
      </c>
      <c r="AH12" s="13">
        <f t="array" ref="AH12">PRODUCT(1+預測IC!$C12:AH12)-1</f>
        <v>0.28943001498791276</v>
      </c>
      <c r="AI12" s="13">
        <f t="array" ref="AI12">PRODUCT(1+預測IC!$C12:AI12)-1</f>
        <v>0.31940534082008609</v>
      </c>
      <c r="AJ12" s="13">
        <f t="array" ref="AJ12">PRODUCT(1+預測IC!$C12:AJ12)-1</f>
        <v>0.34719515088544162</v>
      </c>
      <c r="AK12" s="13">
        <f t="array" ref="AK12">PRODUCT(1+預測IC!$C12:AK12)-1</f>
        <v>0.41202717176184289</v>
      </c>
      <c r="AL12" s="13">
        <f t="array" ref="AL12">PRODUCT(1+預測IC!$C12:AL12)-1</f>
        <v>0.43724456928937383</v>
      </c>
      <c r="AM12" s="13">
        <f t="array" ref="AM12">PRODUCT(1+預測IC!$C12:AM12)-1</f>
        <v>0.48048567556459254</v>
      </c>
      <c r="AN12" s="13">
        <f t="array" ref="AN12">PRODUCT(1+預測IC!$C12:AN12)-1</f>
        <v>0.5829844872386305</v>
      </c>
      <c r="AO12" s="13">
        <f t="array" ref="AO12">PRODUCT(1+預測IC!$C12:AO12)-1</f>
        <v>0.58651263204569859</v>
      </c>
      <c r="AP12" s="13">
        <f t="array" ref="AP12">PRODUCT(1+預測IC!$C12:AP12)-1</f>
        <v>0.53301805211762265</v>
      </c>
      <c r="AQ12" s="13">
        <f t="array" ref="AQ12">PRODUCT(1+預測IC!$C12:AQ12)-1</f>
        <v>0.5213334860418315</v>
      </c>
      <c r="AR12" s="13">
        <f t="array" ref="AR12">PRODUCT(1+預測IC!$C12:AR12)-1</f>
        <v>0.54191143748395509</v>
      </c>
      <c r="AS12" s="13">
        <f t="array" ref="AS12">PRODUCT(1+預測IC!$C12:AS12)-1</f>
        <v>0.53290148679952476</v>
      </c>
      <c r="AT12" s="13">
        <f t="array" ref="AT12">PRODUCT(1+預測IC!$C12:AT12)-1</f>
        <v>0.5541090327956435</v>
      </c>
      <c r="AU12" s="13">
        <f t="array" ref="AU12">PRODUCT(1+預測IC!$C12:AU12)-1</f>
        <v>0.58629254630867389</v>
      </c>
      <c r="AV12" s="13">
        <f t="array" ref="AV12">PRODUCT(1+預測IC!$C12:AV12)-1</f>
        <v>0.52068335216294548</v>
      </c>
      <c r="AW12" s="13">
        <f t="array" ref="AW12">PRODUCT(1+預測IC!$C12:AW12)-1</f>
        <v>0.52162842191799452</v>
      </c>
      <c r="AX12" s="13">
        <f t="array" ref="AX12">PRODUCT(1+預測IC!$C12:AX12)-1</f>
        <v>0.5879690888428637</v>
      </c>
      <c r="AY12" s="13">
        <f t="array" ref="AY12">PRODUCT(1+預測IC!$C12:AY12)-1</f>
        <v>0.62759732283734349</v>
      </c>
      <c r="AZ12" s="13">
        <f t="array" ref="AZ12">PRODUCT(1+預測IC!$C12:AZ12)-1</f>
        <v>0.62385380656065736</v>
      </c>
      <c r="BA12" s="13">
        <f t="array" ref="BA12">PRODUCT(1+預測IC!$C12:BA12)-1</f>
        <v>0.63187221508338554</v>
      </c>
      <c r="BB12" s="13">
        <f t="array" ref="BB12">PRODUCT(1+預測IC!$C12:BB12)-1</f>
        <v>0.65679841899124103</v>
      </c>
      <c r="BC12" s="13">
        <f t="array" ref="BC12">PRODUCT(1+預測IC!$C12:BC12)-1</f>
        <v>0.67713195646680169</v>
      </c>
      <c r="BD12" s="13">
        <f t="array" ref="BD12">PRODUCT(1+預測IC!$C12:BD12)-1</f>
        <v>0.69999219909808774</v>
      </c>
      <c r="BE12" s="13">
        <f t="array" ref="BE12">PRODUCT(1+預測IC!$C12:BE12)-1</f>
        <v>0.73162703065954249</v>
      </c>
      <c r="BF12" s="13">
        <f t="array" ref="BF12">PRODUCT(1+預測IC!$C12:BF12)-1</f>
        <v>0.84901810069145123</v>
      </c>
      <c r="BG12" s="13">
        <f t="array" ref="BG12">PRODUCT(1+預測IC!$C12:BG12)-1</f>
        <v>0.91127613481123793</v>
      </c>
      <c r="BH12" s="13">
        <f t="array" ref="BH12">PRODUCT(1+預測IC!$C12:BH12)-1</f>
        <v>0.93846090335770604</v>
      </c>
      <c r="BI12" s="13">
        <f t="array" ref="BI12">PRODUCT(1+預測IC!$C12:BI12)-1</f>
        <v>1.0354251466952449</v>
      </c>
      <c r="BJ12" s="13">
        <f t="array" ref="BJ12">PRODUCT(1+預測IC!$C12:BJ12)-1</f>
        <v>1.0338049618752825</v>
      </c>
      <c r="BK12" s="13">
        <f t="array" ref="BK12">PRODUCT(1+預測IC!$C12:BK12)-1</f>
        <v>0.99051610466750906</v>
      </c>
      <c r="BL12" s="13">
        <f t="array" ref="BL12">PRODUCT(1+預測IC!$C12:BL12)-1</f>
        <v>1.0397002564266082</v>
      </c>
      <c r="BM12" s="13">
        <f t="array" ref="BM12">PRODUCT(1+預測IC!$C12:BM12)-1</f>
        <v>1.0291568582379935</v>
      </c>
      <c r="BN12" s="13">
        <f t="array" ref="BN12">PRODUCT(1+預測IC!$C12:BN12)-1</f>
        <v>1.0687299825765653</v>
      </c>
      <c r="BO12" s="13">
        <f t="array" ref="BO12">PRODUCT(1+預測IC!$C12:BO12)-1</f>
        <v>1.1188890515704961</v>
      </c>
      <c r="BP12" s="13">
        <f t="array" ref="BP12">PRODUCT(1+預測IC!$C12:BP12)-1</f>
        <v>1.0966216776639932</v>
      </c>
      <c r="BQ12" s="13">
        <f t="array" ref="BQ12">PRODUCT(1+預測IC!$C12:BQ12)-1</f>
        <v>1.1257579041637267</v>
      </c>
      <c r="BR12" s="13">
        <f t="array" ref="BR12">PRODUCT(1+預測IC!$C12:BR12)-1</f>
        <v>1.1209515475725329</v>
      </c>
      <c r="BS12" s="13">
        <f t="array" ref="BS12">PRODUCT(1+預測IC!$C12:BS12)-1</f>
        <v>1.1609596788684824</v>
      </c>
      <c r="BT12" s="13">
        <f t="array" ref="BT12">PRODUCT(1+預測IC!$C12:BT12)-1</f>
        <v>1.2085687943466934</v>
      </c>
      <c r="BU12" s="13">
        <f t="array" ref="BU12">PRODUCT(1+預測IC!$C12:BU12)-1</f>
        <v>1.1891742096240558</v>
      </c>
      <c r="BV12" s="13">
        <f t="array" ref="BV12">PRODUCT(1+預測IC!$C12:BV12)-1</f>
        <v>1.2396619429257543</v>
      </c>
      <c r="BW12" s="13">
        <f t="array" ref="BW12">PRODUCT(1+預測IC!$C12:BW12)-1</f>
        <v>1.1736282681905994</v>
      </c>
      <c r="BX12" s="13">
        <f t="array" ref="BX12">PRODUCT(1+預測IC!$C12:BX12)-1</f>
        <v>1.1985753519609883</v>
      </c>
      <c r="BY12" s="13">
        <f t="array" ref="BY12">PRODUCT(1+預測IC!$C12:BY12)-1</f>
        <v>1.1252071328767839</v>
      </c>
      <c r="BZ12" s="13">
        <f t="array" ref="BZ12">PRODUCT(1+預測IC!$C12:BZ12)-1</f>
        <v>1.2216000373853824</v>
      </c>
      <c r="CA12" s="13">
        <f t="array" ref="CA12">PRODUCT(1+預測IC!$C12:CA12)-1</f>
        <v>1.1451763575218497</v>
      </c>
      <c r="CB12" s="13">
        <f t="array" ref="CB12">PRODUCT(1+預測IC!$C12:CB12)-1</f>
        <v>1.1493449545998478</v>
      </c>
      <c r="CC12" s="13">
        <f t="array" ref="CC12">PRODUCT(1+預測IC!$C12:CC12)-1</f>
        <v>1.1132983668955929</v>
      </c>
      <c r="CD12" s="13">
        <f t="array" ref="CD12">PRODUCT(1+預測IC!$C12:CD12)-1</f>
        <v>1.3477342335834104</v>
      </c>
      <c r="CE12" s="13">
        <f t="array" ref="CE12">PRODUCT(1+預測IC!$C12:CE12)-1</f>
        <v>1.7093021065283649</v>
      </c>
      <c r="CF12" s="13">
        <f t="array" ref="CF12">PRODUCT(1+預測IC!$C12:CF12)-1</f>
        <v>1.7203507534063753</v>
      </c>
      <c r="CG12" s="13">
        <f t="array" ref="CG12">PRODUCT(1+預測IC!$C12:CG12)-1</f>
        <v>1.8342171115899717</v>
      </c>
      <c r="CH12" s="13">
        <f t="array" ref="CH12">PRODUCT(1+預測IC!$C12:CH12)-1</f>
        <v>2.0136156075022682</v>
      </c>
      <c r="CI12" s="13">
        <f t="array" ref="CI12">PRODUCT(1+預測IC!$C12:CI12)-1</f>
        <v>1.9091760089646135</v>
      </c>
      <c r="CJ12" s="13">
        <f t="array" ref="CJ12">PRODUCT(1+預測IC!$C12:CJ12)-1</f>
        <v>1.9541087574673437</v>
      </c>
      <c r="CK12" s="13">
        <f t="array" ref="CK12">PRODUCT(1+預測IC!$C12:CK12)-1</f>
        <v>1.9919306377382582</v>
      </c>
      <c r="CL12" s="13">
        <f t="array" ref="CL12">PRODUCT(1+預測IC!$C12:CL12)-1</f>
        <v>2.3450251500562636</v>
      </c>
      <c r="CM12" s="13">
        <f t="array" ref="CM12">PRODUCT(1+預測IC!$C12:CM12)-1</f>
        <v>2.1051582050193822</v>
      </c>
      <c r="CN12" s="13">
        <f t="array" ref="CN12">PRODUCT(1+預測IC!$C12:CN12)-1</f>
        <v>2.0210590279706997</v>
      </c>
      <c r="CO12" s="13">
        <f t="array" ref="CO12">PRODUCT(1+預測IC!$C12:CO12)-1</f>
        <v>2.2364359276216788</v>
      </c>
      <c r="CP12" s="13">
        <f t="array" ref="CP12">PRODUCT(1+預測IC!$C12:CP12)-1</f>
        <v>2.1950231003235685</v>
      </c>
      <c r="CQ12" s="13">
        <f t="array" ref="CQ12">PRODUCT(1+預測IC!$C12:CQ12)-1</f>
        <v>2.3118721078903421</v>
      </c>
      <c r="CR12" s="13">
        <f t="array" ref="CR12">PRODUCT(1+預測IC!$C12:CR12)-1</f>
        <v>2.3188862503927221</v>
      </c>
      <c r="CS12" s="13">
        <f t="array" ref="CS12">PRODUCT(1+預測IC!$C12:CS12)-1</f>
        <v>2.2707314926338209</v>
      </c>
      <c r="CT12" s="13">
        <f t="array" ref="CT12">PRODUCT(1+預測IC!$C12:CT12)-1</f>
        <v>2.375767627507785</v>
      </c>
      <c r="CU12" s="13">
        <f t="array" ref="CU12">PRODUCT(1+預測IC!$C12:CU12)-1</f>
        <v>2.4229182398740465</v>
      </c>
      <c r="CV12" s="13">
        <f t="array" ref="CV12">PRODUCT(1+預測IC!$C12:CV12)-1</f>
        <v>2.4379908107555432</v>
      </c>
      <c r="CW12" s="13">
        <f t="array" ref="CW12">PRODUCT(1+預測IC!$C12:CW12)-1</f>
        <v>2.5402963209329417</v>
      </c>
      <c r="CX12" s="13">
        <f t="array" ref="CX12">PRODUCT(1+預測IC!$C12:CX12)-1</f>
        <v>2.7050868994423607</v>
      </c>
      <c r="CY12" s="13">
        <f t="array" ref="CY12">PRODUCT(1+預測IC!$C12:CY12)-1</f>
        <v>2.6829195786344462</v>
      </c>
      <c r="CZ12" s="13">
        <f t="array" ref="CZ12">PRODUCT(1+預測IC!$C12:CZ12)-1</f>
        <v>3.0090880287260227</v>
      </c>
      <c r="DA12" s="13">
        <f t="array" ref="DA12">PRODUCT(1+預測IC!$C12:DA12)-1</f>
        <v>3.1573381739189355</v>
      </c>
      <c r="DB12" s="13">
        <f t="array" ref="DB12">PRODUCT(1+預測IC!$C12:DB12)-1</f>
        <v>3.5272658330321063</v>
      </c>
      <c r="DC12" s="13">
        <f t="array" ref="DC12">PRODUCT(1+預測IC!$C12:DC12)-1</f>
        <v>3.5792073897295786</v>
      </c>
      <c r="DD12" s="13">
        <f t="array" ref="DD12">PRODUCT(1+預測IC!$C12:DD12)-1</f>
        <v>3.6931791819721118</v>
      </c>
      <c r="DE12" s="13">
        <f t="array" ref="DE12">PRODUCT(1+預測IC!$C12:DE12)-1</f>
        <v>3.5184264063163555</v>
      </c>
      <c r="DF12" s="13">
        <f t="array" ref="DF12">PRODUCT(1+預測IC!$C12:DF12)-1</f>
        <v>3.7691362845666418</v>
      </c>
      <c r="DG12" s="13">
        <f t="array" ref="DG12">PRODUCT(1+預測IC!$C12:DG12)-1</f>
        <v>3.5478007689569102</v>
      </c>
      <c r="DH12" s="13">
        <f t="array" ref="DH12">PRODUCT(1+預測IC!$C12:DH12)-1</f>
        <v>3.8261053793031401</v>
      </c>
      <c r="DI12" s="13">
        <f t="array" ref="DI12">PRODUCT(1+預測IC!$C12:DI12)-1</f>
        <v>4.1144603998830549</v>
      </c>
      <c r="DJ12" s="13">
        <f t="array" ref="DJ12">PRODUCT(1+預測IC!$C12:DJ12)-1</f>
        <v>4.191784275124383</v>
      </c>
      <c r="DK12" s="13">
        <f t="array" ref="DK12">PRODUCT(1+預測IC!$C12:DK12)-1</f>
        <v>4.0260199051664882</v>
      </c>
      <c r="DL12" s="13">
        <f t="array" ref="DL12">PRODUCT(1+預測IC!$C12:DL12)-1</f>
        <v>4.0415485266247364</v>
      </c>
      <c r="DM12" s="13">
        <f t="array" ref="DM12">PRODUCT(1+預測IC!$C12:DM12)-1</f>
        <v>3.9445611591663576</v>
      </c>
      <c r="DN12" s="13">
        <f t="array" ref="DN12">PRODUCT(1+預測IC!$C12:DN12)-1</f>
        <v>4.0529313636210338</v>
      </c>
      <c r="DO12" s="13">
        <f t="array" ref="DO12">PRODUCT(1+預測IC!$C12:DO12)-1</f>
        <v>4.2073351031667441</v>
      </c>
      <c r="DP12" s="13">
        <f t="array" ref="DP12">PRODUCT(1+預測IC!$C12:DP12)-1</f>
        <v>4.4466317329069671</v>
      </c>
      <c r="DQ12" s="13">
        <f t="array" ref="DQ12">PRODUCT(1+預測IC!$C12:DQ12)-1</f>
        <v>4.2621976054885353</v>
      </c>
      <c r="DR12" s="13">
        <f t="array" ref="DR12">PRODUCT(1+預測IC!$C12:DR12)-1</f>
        <v>4.3610161158469305</v>
      </c>
      <c r="DS12" s="13">
        <f t="array" ref="DS12">PRODUCT(1+預測IC!$C12:DS12)-1</f>
        <v>4.1694876207131264</v>
      </c>
      <c r="DT12" s="13">
        <f t="array" ref="DT12">PRODUCT(1+預測IC!$C12:DT12)-1</f>
        <v>4.2993341107354173</v>
      </c>
      <c r="DU12" s="13">
        <f t="array" ref="DU12">PRODUCT(1+預測IC!$C12:DU12)-1</f>
        <v>3.9960520051472956</v>
      </c>
      <c r="DV12" s="13">
        <f t="array" ref="DV12">PRODUCT(1+預測IC!$C12:DV12)-1</f>
        <v>4.1436397529248508</v>
      </c>
      <c r="DW12" s="13">
        <f t="array" ref="DW12">PRODUCT(1+預測IC!$C12:DW12)-1</f>
        <v>4.3749366414124022</v>
      </c>
      <c r="DX12" s="13">
        <f t="array" ref="DX12">PRODUCT(1+預測IC!$C12:DX12)-1</f>
        <v>4.4879637205320364</v>
      </c>
      <c r="DY12" s="13">
        <f t="array" ref="DY12">PRODUCT(1+預測IC!$C12:DY12)-1</f>
        <v>4.7796232674483745</v>
      </c>
      <c r="DZ12" s="13">
        <f t="array" ref="DZ12">PRODUCT(1+預測IC!$C12:DZ12)-1</f>
        <v>4.8156120784686394</v>
      </c>
      <c r="EA12" s="13">
        <f t="array" ref="EA12">PRODUCT(1+預測IC!$C12:EA12)-1</f>
        <v>5.112776467654748</v>
      </c>
      <c r="EB12" s="13">
        <f t="array" ref="EB12">PRODUCT(1+預測IC!$C12:EB12)-1</f>
        <v>5.1481460110926767</v>
      </c>
      <c r="EC12" s="13">
        <f t="array" ref="EC12">PRODUCT(1+預測IC!$C12:EC12)-1</f>
        <v>5.3120033834044946</v>
      </c>
      <c r="ED12" s="13">
        <f t="array" ref="ED12">PRODUCT(1+預測IC!$C12:ED12)-1</f>
        <v>4.9300757181537866</v>
      </c>
      <c r="EE12" s="13">
        <f t="array" ref="EE12">PRODUCT(1+預測IC!$C12:EE12)-1</f>
        <v>4.7728890542413467</v>
      </c>
      <c r="EF12" s="13">
        <f t="array" ref="EF12">PRODUCT(1+預測IC!$C12:EF12)-1</f>
        <v>4.9416502050659012</v>
      </c>
    </row>
    <row r="13" spans="1:136">
      <c r="A13" s="20">
        <v>48</v>
      </c>
      <c r="B13" s="20" t="s">
        <v>186</v>
      </c>
      <c r="C13" s="13">
        <f t="array" ref="C13">PRODUCT(1+預測IC!$C13:C13)-1</f>
        <v>0.10411314583333331</v>
      </c>
      <c r="D13" s="13">
        <f t="array" ref="D13">PRODUCT(1+預測IC!$C13:D13)-1</f>
        <v>0.13710140846791607</v>
      </c>
      <c r="E13" s="13">
        <f t="array" ref="E13">PRODUCT(1+預測IC!$C13:E13)-1</f>
        <v>9.7875253856916755E-2</v>
      </c>
      <c r="F13" s="13">
        <f t="array" ref="F13">PRODUCT(1+預測IC!$C13:F13)-1</f>
        <v>5.9535083102016717E-2</v>
      </c>
      <c r="G13" s="13">
        <f t="array" ref="G13">PRODUCT(1+預測IC!$C13:G13)-1</f>
        <v>4.3739555530978969E-2</v>
      </c>
      <c r="H13" s="13">
        <f t="array" ref="H13">PRODUCT(1+預測IC!$C13:H13)-1</f>
        <v>6.0366728040824658E-2</v>
      </c>
      <c r="I13" s="13">
        <f t="array" ref="I13">PRODUCT(1+預測IC!$C13:I13)-1</f>
        <v>9.5022548526941142E-2</v>
      </c>
      <c r="J13" s="13">
        <f t="array" ref="J13">PRODUCT(1+預測IC!$C13:J13)-1</f>
        <v>0.13285545928287212</v>
      </c>
      <c r="K13" s="13">
        <f t="array" ref="K13">PRODUCT(1+預測IC!$C13:K13)-1</f>
        <v>8.1501999512275658E-2</v>
      </c>
      <c r="L13" s="13">
        <f t="array" ref="L13">PRODUCT(1+預測IC!$C13:L13)-1</f>
        <v>4.9991715191150421E-2</v>
      </c>
      <c r="M13" s="13">
        <f t="array" ref="M13">PRODUCT(1+預測IC!$C13:M13)-1</f>
        <v>5.8085740402023633E-2</v>
      </c>
      <c r="N13" s="13">
        <f t="array" ref="N13">PRODUCT(1+預測IC!$C13:N13)-1</f>
        <v>0.10374420572050069</v>
      </c>
      <c r="O13" s="13">
        <f t="array" ref="O13">PRODUCT(1+預測IC!$C13:O13)-1</f>
        <v>0.14378062361886723</v>
      </c>
      <c r="P13" s="13">
        <f t="array" ref="P13">PRODUCT(1+預測IC!$C13:P13)-1</f>
        <v>0.11992489059072819</v>
      </c>
      <c r="Q13" s="13">
        <f t="array" ref="Q13">PRODUCT(1+預測IC!$C13:Q13)-1</f>
        <v>7.0403755863106987E-2</v>
      </c>
      <c r="R13" s="13">
        <f t="array" ref="R13">PRODUCT(1+預測IC!$C13:R13)-1</f>
        <v>7.735058009079121E-2</v>
      </c>
      <c r="S13" s="13">
        <f t="array" ref="S13">PRODUCT(1+預測IC!$C13:S13)-1</f>
        <v>-5.5072287515366525E-2</v>
      </c>
      <c r="T13" s="13">
        <f t="array" ref="T13">PRODUCT(1+預測IC!$C13:T13)-1</f>
        <v>-0.10505877726876611</v>
      </c>
      <c r="U13" s="13">
        <f t="array" ref="U13">PRODUCT(1+預測IC!$C13:U13)-1</f>
        <v>-0.15352975599101804</v>
      </c>
      <c r="V13" s="13">
        <f t="array" ref="V13">PRODUCT(1+預測IC!$C13:V13)-1</f>
        <v>-0.10885327752540697</v>
      </c>
      <c r="W13" s="13">
        <f t="array" ref="W13">PRODUCT(1+預測IC!$C13:W13)-1</f>
        <v>-8.1135862698411554E-2</v>
      </c>
      <c r="X13" s="13">
        <f t="array" ref="X13">PRODUCT(1+預測IC!$C13:X13)-1</f>
        <v>-1.7044198954482392E-2</v>
      </c>
      <c r="Y13" s="13">
        <f t="array" ref="Y13">PRODUCT(1+預測IC!$C13:Y13)-1</f>
        <v>-4.3064890127568645E-2</v>
      </c>
      <c r="Z13" s="13">
        <f t="array" ref="Z13">PRODUCT(1+預測IC!$C13:Z13)-1</f>
        <v>3.1982205009412956E-2</v>
      </c>
      <c r="AA13" s="13">
        <f t="array" ref="AA13">PRODUCT(1+預測IC!$C13:AA13)-1</f>
        <v>-1.1645580935052413E-3</v>
      </c>
      <c r="AB13" s="13">
        <f t="array" ref="AB13">PRODUCT(1+預測IC!$C13:AB13)-1</f>
        <v>4.5459302528839229E-2</v>
      </c>
      <c r="AC13" s="13">
        <f t="array" ref="AC13">PRODUCT(1+預測IC!$C13:AC13)-1</f>
        <v>6.8325124378533442E-2</v>
      </c>
      <c r="AD13" s="13">
        <f t="array" ref="AD13">PRODUCT(1+預測IC!$C13:AD13)-1</f>
        <v>7.5353683662829685E-2</v>
      </c>
      <c r="AE13" s="13">
        <f t="array" ref="AE13">PRODUCT(1+預測IC!$C13:AE13)-1</f>
        <v>2.9632643704773143E-2</v>
      </c>
      <c r="AF13" s="13">
        <f t="array" ref="AF13">PRODUCT(1+預測IC!$C13:AF13)-1</f>
        <v>6.251958792364154E-2</v>
      </c>
      <c r="AG13" s="13">
        <f t="array" ref="AG13">PRODUCT(1+預測IC!$C13:AG13)-1</f>
        <v>9.6182102999929464E-2</v>
      </c>
      <c r="AH13" s="13">
        <f t="array" ref="AH13">PRODUCT(1+預測IC!$C13:AH13)-1</f>
        <v>0.13112258781327202</v>
      </c>
      <c r="AI13" s="13">
        <f t="array" ref="AI13">PRODUCT(1+預測IC!$C13:AI13)-1</f>
        <v>0.15364328566674201</v>
      </c>
      <c r="AJ13" s="13">
        <f t="array" ref="AJ13">PRODUCT(1+預測IC!$C13:AJ13)-1</f>
        <v>0.17658453990857037</v>
      </c>
      <c r="AK13" s="13">
        <f t="array" ref="AK13">PRODUCT(1+預測IC!$C13:AK13)-1</f>
        <v>0.25422489794242287</v>
      </c>
      <c r="AL13" s="13">
        <f t="array" ref="AL13">PRODUCT(1+預測IC!$C13:AL13)-1</f>
        <v>0.28326199610942249</v>
      </c>
      <c r="AM13" s="13">
        <f t="array" ref="AM13">PRODUCT(1+預測IC!$C13:AM13)-1</f>
        <v>0.34265449698731532</v>
      </c>
      <c r="AN13" s="13">
        <f t="array" ref="AN13">PRODUCT(1+預測IC!$C13:AN13)-1</f>
        <v>0.48407661488940645</v>
      </c>
      <c r="AO13" s="13">
        <f t="array" ref="AO13">PRODUCT(1+預測IC!$C13:AO13)-1</f>
        <v>0.49789513110776951</v>
      </c>
      <c r="AP13" s="13">
        <f t="array" ref="AP13">PRODUCT(1+預測IC!$C13:AP13)-1</f>
        <v>0.40869421727615696</v>
      </c>
      <c r="AQ13" s="13">
        <f t="array" ref="AQ13">PRODUCT(1+預測IC!$C13:AQ13)-1</f>
        <v>0.40017261916877445</v>
      </c>
      <c r="AR13" s="13">
        <f t="array" ref="AR13">PRODUCT(1+預測IC!$C13:AR13)-1</f>
        <v>0.41513932407740639</v>
      </c>
      <c r="AS13" s="13">
        <f t="array" ref="AS13">PRODUCT(1+預測IC!$C13:AS13)-1</f>
        <v>0.41239902470460743</v>
      </c>
      <c r="AT13" s="13">
        <f t="array" ref="AT13">PRODUCT(1+預測IC!$C13:AT13)-1</f>
        <v>0.46954905052675477</v>
      </c>
      <c r="AU13" s="13">
        <f t="array" ref="AU13">PRODUCT(1+預測IC!$C13:AU13)-1</f>
        <v>0.52976547828379372</v>
      </c>
      <c r="AV13" s="13">
        <f t="array" ref="AV13">PRODUCT(1+預測IC!$C13:AV13)-1</f>
        <v>0.51527022734938277</v>
      </c>
      <c r="AW13" s="13">
        <f t="array" ref="AW13">PRODUCT(1+預測IC!$C13:AW13)-1</f>
        <v>0.52145255045897976</v>
      </c>
      <c r="AX13" s="13">
        <f t="array" ref="AX13">PRODUCT(1+預測IC!$C13:AX13)-1</f>
        <v>0.62362385215457405</v>
      </c>
      <c r="AY13" s="13">
        <f t="array" ref="AY13">PRODUCT(1+預測IC!$C13:AY13)-1</f>
        <v>0.65214174383370582</v>
      </c>
      <c r="AZ13" s="13">
        <f t="array" ref="AZ13">PRODUCT(1+預測IC!$C13:AZ13)-1</f>
        <v>0.63875366695754732</v>
      </c>
      <c r="BA13" s="13">
        <f t="array" ref="BA13">PRODUCT(1+預測IC!$C13:BA13)-1</f>
        <v>0.64947265244645913</v>
      </c>
      <c r="BB13" s="13">
        <f t="array" ref="BB13">PRODUCT(1+預測IC!$C13:BB13)-1</f>
        <v>0.72019441014234897</v>
      </c>
      <c r="BC13" s="13">
        <f t="array" ref="BC13">PRODUCT(1+預測IC!$C13:BC13)-1</f>
        <v>0.73960468325317064</v>
      </c>
      <c r="BD13" s="13">
        <f t="array" ref="BD13">PRODUCT(1+預測IC!$C13:BD13)-1</f>
        <v>0.74542266653222766</v>
      </c>
      <c r="BE13" s="13">
        <f t="array" ref="BE13">PRODUCT(1+預測IC!$C13:BE13)-1</f>
        <v>0.79323294613535489</v>
      </c>
      <c r="BF13" s="13">
        <f t="array" ref="BF13">PRODUCT(1+預測IC!$C13:BF13)-1</f>
        <v>0.94373793881463497</v>
      </c>
      <c r="BG13" s="13">
        <f t="array" ref="BG13">PRODUCT(1+預測IC!$C13:BG13)-1</f>
        <v>1.0342509383387717</v>
      </c>
      <c r="BH13" s="13">
        <f t="array" ref="BH13">PRODUCT(1+預測IC!$C13:BH13)-1</f>
        <v>1.0514926996611633</v>
      </c>
      <c r="BI13" s="13">
        <f t="array" ref="BI13">PRODUCT(1+預測IC!$C13:BI13)-1</f>
        <v>1.1590096522916609</v>
      </c>
      <c r="BJ13" s="13">
        <f t="array" ref="BJ13">PRODUCT(1+預測IC!$C13:BJ13)-1</f>
        <v>1.1226366310256912</v>
      </c>
      <c r="BK13" s="13">
        <f t="array" ref="BK13">PRODUCT(1+預測IC!$C13:BK13)-1</f>
        <v>1.0835991679338304</v>
      </c>
      <c r="BL13" s="13">
        <f t="array" ref="BL13">PRODUCT(1+預測IC!$C13:BL13)-1</f>
        <v>1.1501657028912682</v>
      </c>
      <c r="BM13" s="13">
        <f t="array" ref="BM13">PRODUCT(1+預測IC!$C13:BM13)-1</f>
        <v>1.1865435299353879</v>
      </c>
      <c r="BN13" s="13">
        <f t="array" ref="BN13">PRODUCT(1+預測IC!$C13:BN13)-1</f>
        <v>1.1759216658908835</v>
      </c>
      <c r="BO13" s="13">
        <f t="array" ref="BO13">PRODUCT(1+預測IC!$C13:BO13)-1</f>
        <v>1.2431113335581965</v>
      </c>
      <c r="BP13" s="13">
        <f t="array" ref="BP13">PRODUCT(1+預測IC!$C13:BP13)-1</f>
        <v>1.2642699201768748</v>
      </c>
      <c r="BQ13" s="13">
        <f t="array" ref="BQ13">PRODUCT(1+預測IC!$C13:BQ13)-1</f>
        <v>1.3585836995984799</v>
      </c>
      <c r="BR13" s="13">
        <f t="array" ref="BR13">PRODUCT(1+預測IC!$C13:BR13)-1</f>
        <v>1.342825017231549</v>
      </c>
      <c r="BS13" s="13">
        <f t="array" ref="BS13">PRODUCT(1+預測IC!$C13:BS13)-1</f>
        <v>1.3602075414734607</v>
      </c>
      <c r="BT13" s="13">
        <f t="array" ref="BT13">PRODUCT(1+預測IC!$C13:BT13)-1</f>
        <v>1.4507061725959902</v>
      </c>
      <c r="BU13" s="13">
        <f t="array" ref="BU13">PRODUCT(1+預測IC!$C13:BU13)-1</f>
        <v>1.4073126088724974</v>
      </c>
      <c r="BV13" s="13">
        <f t="array" ref="BV13">PRODUCT(1+預測IC!$C13:BV13)-1</f>
        <v>1.4570322730511642</v>
      </c>
      <c r="BW13" s="13">
        <f t="array" ref="BW13">PRODUCT(1+預測IC!$C13:BW13)-1</f>
        <v>1.4613646052570619</v>
      </c>
      <c r="BX13" s="13">
        <f t="array" ref="BX13">PRODUCT(1+預測IC!$C13:BX13)-1</f>
        <v>1.5132454146079191</v>
      </c>
      <c r="BY13" s="13">
        <f t="array" ref="BY13">PRODUCT(1+預測IC!$C13:BY13)-1</f>
        <v>1.476772197707592</v>
      </c>
      <c r="BZ13" s="13">
        <f t="array" ref="BZ13">PRODUCT(1+預測IC!$C13:BZ13)-1</f>
        <v>1.6653489840858873</v>
      </c>
      <c r="CA13" s="13">
        <f t="array" ref="CA13">PRODUCT(1+預測IC!$C13:CA13)-1</f>
        <v>1.5759756597780603</v>
      </c>
      <c r="CB13" s="13">
        <f t="array" ref="CB13">PRODUCT(1+預測IC!$C13:CB13)-1</f>
        <v>1.5589849706777796</v>
      </c>
      <c r="CC13" s="13">
        <f t="array" ref="CC13">PRODUCT(1+預測IC!$C13:CC13)-1</f>
        <v>1.5269185546567683</v>
      </c>
      <c r="CD13" s="13">
        <f t="array" ref="CD13">PRODUCT(1+預測IC!$C13:CD13)-1</f>
        <v>1.7924618956239509</v>
      </c>
      <c r="CE13" s="13">
        <f t="array" ref="CE13">PRODUCT(1+預測IC!$C13:CE13)-1</f>
        <v>2.3057938246809475</v>
      </c>
      <c r="CF13" s="13">
        <f t="array" ref="CF13">PRODUCT(1+預測IC!$C13:CF13)-1</f>
        <v>2.3660556224059888</v>
      </c>
      <c r="CG13" s="13">
        <f t="array" ref="CG13">PRODUCT(1+預測IC!$C13:CG13)-1</f>
        <v>2.502209418233694</v>
      </c>
      <c r="CH13" s="13">
        <f t="array" ref="CH13">PRODUCT(1+預測IC!$C13:CH13)-1</f>
        <v>2.7065094451839458</v>
      </c>
      <c r="CI13" s="13">
        <f t="array" ref="CI13">PRODUCT(1+預測IC!$C13:CI13)-1</f>
        <v>2.5143139238118666</v>
      </c>
      <c r="CJ13" s="13">
        <f t="array" ref="CJ13">PRODUCT(1+預測IC!$C13:CJ13)-1</f>
        <v>2.5033981556034539</v>
      </c>
      <c r="CK13" s="13">
        <f t="array" ref="CK13">PRODUCT(1+預測IC!$C13:CK13)-1</f>
        <v>2.6156654927422975</v>
      </c>
      <c r="CL13" s="13">
        <f t="array" ref="CL13">PRODUCT(1+預測IC!$C13:CL13)-1</f>
        <v>2.9101736178256576</v>
      </c>
      <c r="CM13" s="13">
        <f t="array" ref="CM13">PRODUCT(1+預測IC!$C13:CM13)-1</f>
        <v>2.5134773805588035</v>
      </c>
      <c r="CN13" s="13">
        <f t="array" ref="CN13">PRODUCT(1+預測IC!$C13:CN13)-1</f>
        <v>2.4190085256035538</v>
      </c>
      <c r="CO13" s="13">
        <f t="array" ref="CO13">PRODUCT(1+預測IC!$C13:CO13)-1</f>
        <v>2.7115599077107571</v>
      </c>
      <c r="CP13" s="13">
        <f t="array" ref="CP13">PRODUCT(1+預測IC!$C13:CP13)-1</f>
        <v>2.5839659116317599</v>
      </c>
      <c r="CQ13" s="13">
        <f t="array" ref="CQ13">PRODUCT(1+預測IC!$C13:CQ13)-1</f>
        <v>2.720819471472153</v>
      </c>
      <c r="CR13" s="13">
        <f t="array" ref="CR13">PRODUCT(1+預測IC!$C13:CR13)-1</f>
        <v>2.7516270418277284</v>
      </c>
      <c r="CS13" s="13">
        <f t="array" ref="CS13">PRODUCT(1+預測IC!$C13:CS13)-1</f>
        <v>2.7664383090710709</v>
      </c>
      <c r="CT13" s="13">
        <f t="array" ref="CT13">PRODUCT(1+預測IC!$C13:CT13)-1</f>
        <v>2.9301358785996365</v>
      </c>
      <c r="CU13" s="13">
        <f t="array" ref="CU13">PRODUCT(1+預測IC!$C13:CU13)-1</f>
        <v>2.973490026254777</v>
      </c>
      <c r="CV13" s="13">
        <f t="array" ref="CV13">PRODUCT(1+預測IC!$C13:CV13)-1</f>
        <v>3.0701220752326464</v>
      </c>
      <c r="CW13" s="13">
        <f t="array" ref="CW13">PRODUCT(1+預測IC!$C13:CW13)-1</f>
        <v>3.112681391506527</v>
      </c>
      <c r="CX13" s="13">
        <f t="array" ref="CX13">PRODUCT(1+預測IC!$C13:CX13)-1</f>
        <v>3.1331900483930353</v>
      </c>
      <c r="CY13" s="13">
        <f t="array" ref="CY13">PRODUCT(1+預測IC!$C13:CY13)-1</f>
        <v>3.07896780230221</v>
      </c>
      <c r="CZ13" s="13">
        <f t="array" ref="CZ13">PRODUCT(1+預測IC!$C13:CZ13)-1</f>
        <v>3.4472603545269527</v>
      </c>
      <c r="DA13" s="13">
        <f t="array" ref="DA13">PRODUCT(1+預測IC!$C13:DA13)-1</f>
        <v>3.6671585708530614</v>
      </c>
      <c r="DB13" s="13">
        <f t="array" ref="DB13">PRODUCT(1+預測IC!$C13:DB13)-1</f>
        <v>4.1629753284172795</v>
      </c>
      <c r="DC13" s="13">
        <f t="array" ref="DC13">PRODUCT(1+預測IC!$C13:DC13)-1</f>
        <v>4.2845175759954666</v>
      </c>
      <c r="DD13" s="13">
        <f t="array" ref="DD13">PRODUCT(1+預測IC!$C13:DD13)-1</f>
        <v>4.3410492343910345</v>
      </c>
      <c r="DE13" s="13">
        <f t="array" ref="DE13">PRODUCT(1+預測IC!$C13:DE13)-1</f>
        <v>4.1137133711377096</v>
      </c>
      <c r="DF13" s="13">
        <f t="array" ref="DF13">PRODUCT(1+預測IC!$C13:DF13)-1</f>
        <v>4.5387789696513607</v>
      </c>
      <c r="DG13" s="13">
        <f t="array" ref="DG13">PRODUCT(1+預測IC!$C13:DG13)-1</f>
        <v>4.2744168573404426</v>
      </c>
      <c r="DH13" s="13">
        <f t="array" ref="DH13">PRODUCT(1+預測IC!$C13:DH13)-1</f>
        <v>4.7423668569689603</v>
      </c>
      <c r="DI13" s="13">
        <f t="array" ref="DI13">PRODUCT(1+預測IC!$C13:DI13)-1</f>
        <v>5.2577335154440679</v>
      </c>
      <c r="DJ13" s="13">
        <f t="array" ref="DJ13">PRODUCT(1+預測IC!$C13:DJ13)-1</f>
        <v>5.2951788802143467</v>
      </c>
      <c r="DK13" s="13">
        <f t="array" ref="DK13">PRODUCT(1+預測IC!$C13:DK13)-1</f>
        <v>5.1731380506008708</v>
      </c>
      <c r="DL13" s="13">
        <f t="array" ref="DL13">PRODUCT(1+預測IC!$C13:DL13)-1</f>
        <v>5.3405716881261895</v>
      </c>
      <c r="DM13" s="13">
        <f t="array" ref="DM13">PRODUCT(1+預測IC!$C13:DM13)-1</f>
        <v>5.3439446080737865</v>
      </c>
      <c r="DN13" s="13">
        <f t="array" ref="DN13">PRODUCT(1+預測IC!$C13:DN13)-1</f>
        <v>5.4513816889907449</v>
      </c>
      <c r="DO13" s="13">
        <f t="array" ref="DO13">PRODUCT(1+預測IC!$C13:DO13)-1</f>
        <v>5.6956558644361941</v>
      </c>
      <c r="DP13" s="13">
        <f t="array" ref="DP13">PRODUCT(1+預測IC!$C13:DP13)-1</f>
        <v>5.9969412678180429</v>
      </c>
      <c r="DQ13" s="13">
        <f t="array" ref="DQ13">PRODUCT(1+預測IC!$C13:DQ13)-1</f>
        <v>5.7592793707054817</v>
      </c>
      <c r="DR13" s="13">
        <f t="array" ref="DR13">PRODUCT(1+預測IC!$C13:DR13)-1</f>
        <v>5.8523628214494874</v>
      </c>
      <c r="DS13" s="13">
        <f t="array" ref="DS13">PRODUCT(1+預測IC!$C13:DS13)-1</f>
        <v>5.5858906862265698</v>
      </c>
      <c r="DT13" s="13">
        <f t="array" ref="DT13">PRODUCT(1+預測IC!$C13:DT13)-1</f>
        <v>5.9206604282011046</v>
      </c>
      <c r="DU13" s="13">
        <f t="array" ref="DU13">PRODUCT(1+預測IC!$C13:DU13)-1</f>
        <v>5.69223739846875</v>
      </c>
      <c r="DV13" s="13">
        <f t="array" ref="DV13">PRODUCT(1+預測IC!$C13:DV13)-1</f>
        <v>5.981719050122714</v>
      </c>
      <c r="DW13" s="13">
        <f t="array" ref="DW13">PRODUCT(1+預測IC!$C13:DW13)-1</f>
        <v>6.2751500837683167</v>
      </c>
      <c r="DX13" s="13">
        <f t="array" ref="DX13">PRODUCT(1+預測IC!$C13:DX13)-1</f>
        <v>6.5652644265369071</v>
      </c>
      <c r="DY13" s="13">
        <f t="array" ref="DY13">PRODUCT(1+預測IC!$C13:DY13)-1</f>
        <v>6.9963418620931357</v>
      </c>
      <c r="DZ13" s="13">
        <f t="array" ref="DZ13">PRODUCT(1+預測IC!$C13:DZ13)-1</f>
        <v>7.1426907442627101</v>
      </c>
      <c r="EA13" s="13">
        <f t="array" ref="EA13">PRODUCT(1+預測IC!$C13:EA13)-1</f>
        <v>7.6485018007026309</v>
      </c>
      <c r="EB13" s="13">
        <f t="array" ref="EB13">PRODUCT(1+預測IC!$C13:EB13)-1</f>
        <v>7.6502403297416937</v>
      </c>
      <c r="EC13" s="13">
        <f t="array" ref="EC13">PRODUCT(1+預測IC!$C13:EC13)-1</f>
        <v>8.0106072090342071</v>
      </c>
      <c r="ED13" s="13">
        <f t="array" ref="ED13">PRODUCT(1+預測IC!$C13:ED13)-1</f>
        <v>7.4187716624038451</v>
      </c>
      <c r="EE13" s="13">
        <f t="array" ref="EE13">PRODUCT(1+預測IC!$C13:EE13)-1</f>
        <v>7.0716288746369109</v>
      </c>
      <c r="EF13" s="13">
        <f t="array" ref="EF13">PRODUCT(1+預測IC!$C13:EF13)-1</f>
        <v>7.4309216270514931</v>
      </c>
    </row>
    <row r="14" spans="1:136">
      <c r="A14" s="20">
        <v>19</v>
      </c>
      <c r="B14" s="20" t="s">
        <v>187</v>
      </c>
      <c r="C14" s="13">
        <f t="array" ref="C14">PRODUCT(1+預測IC!$C14:C14)-1</f>
        <v>0.11994163157894744</v>
      </c>
      <c r="D14" s="13">
        <f t="array" ref="D14">PRODUCT(1+預測IC!$C14:D14)-1</f>
        <v>0.21328575565647134</v>
      </c>
      <c r="E14" s="13">
        <f t="array" ref="E14">PRODUCT(1+預測IC!$C14:E14)-1</f>
        <v>0.15562320566617194</v>
      </c>
      <c r="F14" s="13">
        <f t="array" ref="F14">PRODUCT(1+預測IC!$C14:F14)-1</f>
        <v>9.9628473835991382E-2</v>
      </c>
      <c r="G14" s="13">
        <f t="array" ref="G14">PRODUCT(1+預測IC!$C14:G14)-1</f>
        <v>5.4521805660497691E-2</v>
      </c>
      <c r="H14" s="13">
        <f t="array" ref="H14">PRODUCT(1+預測IC!$C14:H14)-1</f>
        <v>6.2614547948692589E-2</v>
      </c>
      <c r="I14" s="13">
        <f t="array" ref="I14">PRODUCT(1+預測IC!$C14:I14)-1</f>
        <v>0.1091436335130278</v>
      </c>
      <c r="J14" s="13">
        <f t="array" ref="J14">PRODUCT(1+預測IC!$C14:J14)-1</f>
        <v>0.1349977405152758</v>
      </c>
      <c r="K14" s="13">
        <f t="array" ref="K14">PRODUCT(1+預測IC!$C14:K14)-1</f>
        <v>-1.7294785025443571E-2</v>
      </c>
      <c r="L14" s="13">
        <f t="array" ref="L14">PRODUCT(1+預測IC!$C14:L14)-1</f>
        <v>-1.2531419071074024E-2</v>
      </c>
      <c r="M14" s="13">
        <f t="array" ref="M14">PRODUCT(1+預測IC!$C14:M14)-1</f>
        <v>-7.5994874283020764E-3</v>
      </c>
      <c r="N14" s="13">
        <f t="array" ref="N14">PRODUCT(1+預測IC!$C14:N14)-1</f>
        <v>7.4530571402035006E-2</v>
      </c>
      <c r="O14" s="13">
        <f t="array" ref="O14">PRODUCT(1+預測IC!$C14:O14)-1</f>
        <v>0.11479945023486171</v>
      </c>
      <c r="P14" s="13">
        <f t="array" ref="P14">PRODUCT(1+預測IC!$C14:P14)-1</f>
        <v>4.9755448579256178E-2</v>
      </c>
      <c r="Q14" s="13">
        <f t="array" ref="Q14">PRODUCT(1+預測IC!$C14:Q14)-1</f>
        <v>-8.0523266372750202E-2</v>
      </c>
      <c r="R14" s="13">
        <f t="array" ref="R14">PRODUCT(1+預測IC!$C14:R14)-1</f>
        <v>-9.5180817198829537E-2</v>
      </c>
      <c r="S14" s="13">
        <f t="array" ref="S14">PRODUCT(1+預測IC!$C14:S14)-1</f>
        <v>-0.24528419145234659</v>
      </c>
      <c r="T14" s="13">
        <f t="array" ref="T14">PRODUCT(1+預測IC!$C14:T14)-1</f>
        <v>-0.2979946601391239</v>
      </c>
      <c r="U14" s="13">
        <f t="array" ref="U14">PRODUCT(1+預測IC!$C14:U14)-1</f>
        <v>-0.37119041548283171</v>
      </c>
      <c r="V14" s="13">
        <f t="array" ref="V14">PRODUCT(1+預測IC!$C14:V14)-1</f>
        <v>-0.35855817976408133</v>
      </c>
      <c r="W14" s="13">
        <f t="array" ref="W14">PRODUCT(1+預測IC!$C14:W14)-1</f>
        <v>-0.31108625129377043</v>
      </c>
      <c r="X14" s="13">
        <f t="array" ref="X14">PRODUCT(1+預測IC!$C14:X14)-1</f>
        <v>-0.23305773875624514</v>
      </c>
      <c r="Y14" s="13">
        <f t="array" ref="Y14">PRODUCT(1+預測IC!$C14:Y14)-1</f>
        <v>-0.23706108118195124</v>
      </c>
      <c r="Z14" s="13">
        <f t="array" ref="Z14">PRODUCT(1+預測IC!$C14:Z14)-1</f>
        <v>-0.20767883378405283</v>
      </c>
      <c r="AA14" s="13">
        <f t="array" ref="AA14">PRODUCT(1+預測IC!$C14:AA14)-1</f>
        <v>-0.23893604664842794</v>
      </c>
      <c r="AB14" s="13">
        <f t="array" ref="AB14">PRODUCT(1+預測IC!$C14:AB14)-1</f>
        <v>-0.18507602454831573</v>
      </c>
      <c r="AC14" s="13">
        <f t="array" ref="AC14">PRODUCT(1+預測IC!$C14:AC14)-1</f>
        <v>-0.19609157097890761</v>
      </c>
      <c r="AD14" s="13">
        <f t="array" ref="AD14">PRODUCT(1+預測IC!$C14:AD14)-1</f>
        <v>-0.2064781535875172</v>
      </c>
      <c r="AE14" s="13">
        <f t="array" ref="AE14">PRODUCT(1+預測IC!$C14:AE14)-1</f>
        <v>-0.29091845763807278</v>
      </c>
      <c r="AF14" s="13">
        <f t="array" ref="AF14">PRODUCT(1+預測IC!$C14:AF14)-1</f>
        <v>-0.26225688353595578</v>
      </c>
      <c r="AG14" s="13">
        <f t="array" ref="AG14">PRODUCT(1+預測IC!$C14:AG14)-1</f>
        <v>-0.24711773476677046</v>
      </c>
      <c r="AH14" s="13">
        <f t="array" ref="AH14">PRODUCT(1+預測IC!$C14:AH14)-1</f>
        <v>-0.19937750995371373</v>
      </c>
      <c r="AI14" s="13">
        <f t="array" ref="AI14">PRODUCT(1+預測IC!$C14:AI14)-1</f>
        <v>-0.19059843152220157</v>
      </c>
      <c r="AJ14" s="13">
        <f t="array" ref="AJ14">PRODUCT(1+預測IC!$C14:AJ14)-1</f>
        <v>-0.11265736308612728</v>
      </c>
      <c r="AK14" s="13">
        <f t="array" ref="AK14">PRODUCT(1+預測IC!$C14:AK14)-1</f>
        <v>-4.4410571219502537E-2</v>
      </c>
      <c r="AL14" s="13">
        <f t="array" ref="AL14">PRODUCT(1+預測IC!$C14:AL14)-1</f>
        <v>-8.127614901357938E-3</v>
      </c>
      <c r="AM14" s="13">
        <f t="array" ref="AM14">PRODUCT(1+預測IC!$C14:AM14)-1</f>
        <v>5.2616798733217118E-2</v>
      </c>
      <c r="AN14" s="13">
        <f t="array" ref="AN14">PRODUCT(1+預測IC!$C14:AN14)-1</f>
        <v>0.15639920124034234</v>
      </c>
      <c r="AO14" s="13">
        <f t="array" ref="AO14">PRODUCT(1+預測IC!$C14:AO14)-1</f>
        <v>0.2268305103915218</v>
      </c>
      <c r="AP14" s="13">
        <f t="array" ref="AP14">PRODUCT(1+預測IC!$C14:AP14)-1</f>
        <v>0.14098117432376522</v>
      </c>
      <c r="AQ14" s="13">
        <f t="array" ref="AQ14">PRODUCT(1+預測IC!$C14:AQ14)-1</f>
        <v>0.1405613300622226</v>
      </c>
      <c r="AR14" s="13">
        <f t="array" ref="AR14">PRODUCT(1+預測IC!$C14:AR14)-1</f>
        <v>0.1834987191327786</v>
      </c>
      <c r="AS14" s="13">
        <f t="array" ref="AS14">PRODUCT(1+預測IC!$C14:AS14)-1</f>
        <v>0.19445430448638445</v>
      </c>
      <c r="AT14" s="13">
        <f t="array" ref="AT14">PRODUCT(1+預測IC!$C14:AT14)-1</f>
        <v>0.23567083712440762</v>
      </c>
      <c r="AU14" s="13">
        <f t="array" ref="AU14">PRODUCT(1+預測IC!$C14:AU14)-1</f>
        <v>0.28508735152630549</v>
      </c>
      <c r="AV14" s="13">
        <f t="array" ref="AV14">PRODUCT(1+預測IC!$C14:AV14)-1</f>
        <v>0.26107821176554902</v>
      </c>
      <c r="AW14" s="13">
        <f t="array" ref="AW14">PRODUCT(1+預測IC!$C14:AW14)-1</f>
        <v>0.23792111893924295</v>
      </c>
      <c r="AX14" s="13">
        <f t="array" ref="AX14">PRODUCT(1+預測IC!$C14:AX14)-1</f>
        <v>0.40745568912531738</v>
      </c>
      <c r="AY14" s="13">
        <f t="array" ref="AY14">PRODUCT(1+預測IC!$C14:AY14)-1</f>
        <v>0.42866339861504921</v>
      </c>
      <c r="AZ14" s="13">
        <f t="array" ref="AZ14">PRODUCT(1+預測IC!$C14:AZ14)-1</f>
        <v>0.35244625047030675</v>
      </c>
      <c r="BA14" s="13">
        <f t="array" ref="BA14">PRODUCT(1+預測IC!$C14:BA14)-1</f>
        <v>0.37627857891373506</v>
      </c>
      <c r="BB14" s="13">
        <f t="array" ref="BB14">PRODUCT(1+預測IC!$C14:BB14)-1</f>
        <v>0.46124214881726</v>
      </c>
      <c r="BC14" s="13">
        <f t="array" ref="BC14">PRODUCT(1+預測IC!$C14:BC14)-1</f>
        <v>0.44689129120031823</v>
      </c>
      <c r="BD14" s="13">
        <f t="array" ref="BD14">PRODUCT(1+預測IC!$C14:BD14)-1</f>
        <v>0.50958188116191594</v>
      </c>
      <c r="BE14" s="13">
        <f t="array" ref="BE14">PRODUCT(1+預測IC!$C14:BE14)-1</f>
        <v>0.57568203739479085</v>
      </c>
      <c r="BF14" s="13">
        <f t="array" ref="BF14">PRODUCT(1+預測IC!$C14:BF14)-1</f>
        <v>0.63992341584955148</v>
      </c>
      <c r="BG14" s="13">
        <f t="array" ref="BG14">PRODUCT(1+預測IC!$C14:BG14)-1</f>
        <v>0.70777404031793667</v>
      </c>
      <c r="BH14" s="13">
        <f t="array" ref="BH14">PRODUCT(1+預測IC!$C14:BH14)-1</f>
        <v>0.71689825958175724</v>
      </c>
      <c r="BI14" s="13">
        <f t="array" ref="BI14">PRODUCT(1+預測IC!$C14:BI14)-1</f>
        <v>0.80306116425080409</v>
      </c>
      <c r="BJ14" s="13">
        <f t="array" ref="BJ14">PRODUCT(1+預測IC!$C14:BJ14)-1</f>
        <v>0.76696888563308141</v>
      </c>
      <c r="BK14" s="13">
        <f t="array" ref="BK14">PRODUCT(1+預測IC!$C14:BK14)-1</f>
        <v>0.75708490050107513</v>
      </c>
      <c r="BL14" s="13">
        <f t="array" ref="BL14">PRODUCT(1+預測IC!$C14:BL14)-1</f>
        <v>0.8620492286094581</v>
      </c>
      <c r="BM14" s="13">
        <f t="array" ref="BM14">PRODUCT(1+預測IC!$C14:BM14)-1</f>
        <v>0.93514809590194092</v>
      </c>
      <c r="BN14" s="13">
        <f t="array" ref="BN14">PRODUCT(1+預測IC!$C14:BN14)-1</f>
        <v>0.84501500858881551</v>
      </c>
      <c r="BO14" s="13">
        <f t="array" ref="BO14">PRODUCT(1+預測IC!$C14:BO14)-1</f>
        <v>0.9070242022877153</v>
      </c>
      <c r="BP14" s="13">
        <f t="array" ref="BP14">PRODUCT(1+預測IC!$C14:BP14)-1</f>
        <v>0.9369143913989959</v>
      </c>
      <c r="BQ14" s="13">
        <f t="array" ref="BQ14">PRODUCT(1+預測IC!$C14:BQ14)-1</f>
        <v>0.96760194079317707</v>
      </c>
      <c r="BR14" s="13">
        <f t="array" ref="BR14">PRODUCT(1+預測IC!$C14:BR14)-1</f>
        <v>0.91264794103955182</v>
      </c>
      <c r="BS14" s="13">
        <f t="array" ref="BS14">PRODUCT(1+預測IC!$C14:BS14)-1</f>
        <v>0.83328461316668734</v>
      </c>
      <c r="BT14" s="13">
        <f t="array" ref="BT14">PRODUCT(1+預測IC!$C14:BT14)-1</f>
        <v>0.96897143819273235</v>
      </c>
      <c r="BU14" s="13">
        <f t="array" ref="BU14">PRODUCT(1+預測IC!$C14:BU14)-1</f>
        <v>0.9864063561025942</v>
      </c>
      <c r="BV14" s="13">
        <f t="array" ref="BV14">PRODUCT(1+預測IC!$C14:BV14)-1</f>
        <v>1.0375109939846339</v>
      </c>
      <c r="BW14" s="13">
        <f t="array" ref="BW14">PRODUCT(1+預測IC!$C14:BW14)-1</f>
        <v>1.0629960760716712</v>
      </c>
      <c r="BX14" s="13">
        <f t="array" ref="BX14">PRODUCT(1+預測IC!$C14:BX14)-1</f>
        <v>1.1764005385019378</v>
      </c>
      <c r="BY14" s="13">
        <f t="array" ref="BY14">PRODUCT(1+預測IC!$C14:BY14)-1</f>
        <v>1.1620443620703114</v>
      </c>
      <c r="BZ14" s="13">
        <f t="array" ref="BZ14">PRODUCT(1+預測IC!$C14:BZ14)-1</f>
        <v>1.2918406561691889</v>
      </c>
      <c r="CA14" s="13">
        <f t="array" ref="CA14">PRODUCT(1+預測IC!$C14:CA14)-1</f>
        <v>1.2357701646229775</v>
      </c>
      <c r="CB14" s="13">
        <f t="array" ref="CB14">PRODUCT(1+預測IC!$C14:CB14)-1</f>
        <v>1.28524242950219</v>
      </c>
      <c r="CC14" s="13">
        <f t="array" ref="CC14">PRODUCT(1+預測IC!$C14:CC14)-1</f>
        <v>1.2560048532454213</v>
      </c>
      <c r="CD14" s="13">
        <f t="array" ref="CD14">PRODUCT(1+預測IC!$C14:CD14)-1</f>
        <v>1.4771310265516084</v>
      </c>
      <c r="CE14" s="13">
        <f t="array" ref="CE14">PRODUCT(1+預測IC!$C14:CE14)-1</f>
        <v>1.8996177176591664</v>
      </c>
      <c r="CF14" s="13">
        <f t="array" ref="CF14">PRODUCT(1+預測IC!$C14:CF14)-1</f>
        <v>1.8407255661447555</v>
      </c>
      <c r="CG14" s="13">
        <f t="array" ref="CG14">PRODUCT(1+預測IC!$C14:CG14)-1</f>
        <v>1.9914744301440725</v>
      </c>
      <c r="CH14" s="13">
        <f t="array" ref="CH14">PRODUCT(1+預測IC!$C14:CH14)-1</f>
        <v>2.1849073317618743</v>
      </c>
      <c r="CI14" s="13">
        <f t="array" ref="CI14">PRODUCT(1+預測IC!$C14:CI14)-1</f>
        <v>1.8476741280153393</v>
      </c>
      <c r="CJ14" s="13">
        <f t="array" ref="CJ14">PRODUCT(1+預測IC!$C14:CJ14)-1</f>
        <v>1.7660374191851167</v>
      </c>
      <c r="CK14" s="13">
        <f t="array" ref="CK14">PRODUCT(1+預測IC!$C14:CK14)-1</f>
        <v>1.8048072075705779</v>
      </c>
      <c r="CL14" s="13">
        <f t="array" ref="CL14">PRODUCT(1+預測IC!$C14:CL14)-1</f>
        <v>1.9794624258298334</v>
      </c>
      <c r="CM14" s="13">
        <f t="array" ref="CM14">PRODUCT(1+預測IC!$C14:CM14)-1</f>
        <v>1.6515194259850312</v>
      </c>
      <c r="CN14" s="13">
        <f t="array" ref="CN14">PRODUCT(1+預測IC!$C14:CN14)-1</f>
        <v>1.5904637136579614</v>
      </c>
      <c r="CO14" s="13">
        <f t="array" ref="CO14">PRODUCT(1+預測IC!$C14:CO14)-1</f>
        <v>2.0392596432864671</v>
      </c>
      <c r="CP14" s="13">
        <f t="array" ref="CP14">PRODUCT(1+預測IC!$C14:CP14)-1</f>
        <v>1.7186793359177797</v>
      </c>
      <c r="CQ14" s="13">
        <f t="array" ref="CQ14">PRODUCT(1+預測IC!$C14:CQ14)-1</f>
        <v>1.8633446896411572</v>
      </c>
      <c r="CR14" s="13">
        <f t="array" ref="CR14">PRODUCT(1+預測IC!$C14:CR14)-1</f>
        <v>2.0234318219606897</v>
      </c>
      <c r="CS14" s="13">
        <f t="array" ref="CS14">PRODUCT(1+預測IC!$C14:CS14)-1</f>
        <v>2.0118971113039286</v>
      </c>
      <c r="CT14" s="13">
        <f t="array" ref="CT14">PRODUCT(1+預測IC!$C14:CT14)-1</f>
        <v>2.1982498434581279</v>
      </c>
      <c r="CU14" s="13">
        <f t="array" ref="CU14">PRODUCT(1+預測IC!$C14:CU14)-1</f>
        <v>2.4357215776242853</v>
      </c>
      <c r="CV14" s="13">
        <f t="array" ref="CV14">PRODUCT(1+預測IC!$C14:CV14)-1</f>
        <v>2.5710879228179739</v>
      </c>
      <c r="CW14" s="13">
        <f t="array" ref="CW14">PRODUCT(1+預測IC!$C14:CW14)-1</f>
        <v>2.600490005350506</v>
      </c>
      <c r="CX14" s="13">
        <f t="array" ref="CX14">PRODUCT(1+預測IC!$C14:CX14)-1</f>
        <v>2.6877799060412761</v>
      </c>
      <c r="CY14" s="13">
        <f t="array" ref="CY14">PRODUCT(1+預測IC!$C14:CY14)-1</f>
        <v>2.5817226001149538</v>
      </c>
      <c r="CZ14" s="13">
        <f t="array" ref="CZ14">PRODUCT(1+預測IC!$C14:CZ14)-1</f>
        <v>3.0694551921583964</v>
      </c>
      <c r="DA14" s="13">
        <f t="array" ref="DA14">PRODUCT(1+預測IC!$C14:DA14)-1</f>
        <v>3.3355673620843929</v>
      </c>
      <c r="DB14" s="13">
        <f t="array" ref="DB14">PRODUCT(1+預測IC!$C14:DB14)-1</f>
        <v>3.7891026208850729</v>
      </c>
      <c r="DC14" s="13">
        <f t="array" ref="DC14">PRODUCT(1+預測IC!$C14:DC14)-1</f>
        <v>3.8597605368375465</v>
      </c>
      <c r="DD14" s="13">
        <f t="array" ref="DD14">PRODUCT(1+預測IC!$C14:DD14)-1</f>
        <v>3.7783179979017341</v>
      </c>
      <c r="DE14" s="13">
        <f t="array" ref="DE14">PRODUCT(1+預測IC!$C14:DE14)-1</f>
        <v>3.62991500944627</v>
      </c>
      <c r="DF14" s="13">
        <f t="array" ref="DF14">PRODUCT(1+預測IC!$C14:DF14)-1</f>
        <v>4.5631413915279335</v>
      </c>
      <c r="DG14" s="13">
        <f t="array" ref="DG14">PRODUCT(1+預測IC!$C14:DG14)-1</f>
        <v>4.3095532039149314</v>
      </c>
      <c r="DH14" s="13">
        <f t="array" ref="DH14">PRODUCT(1+預測IC!$C14:DH14)-1</f>
        <v>4.6214500521711566</v>
      </c>
      <c r="DI14" s="13">
        <f t="array" ref="DI14">PRODUCT(1+預測IC!$C14:DI14)-1</f>
        <v>5.1085306513784623</v>
      </c>
      <c r="DJ14" s="13">
        <f t="array" ref="DJ14">PRODUCT(1+預測IC!$C14:DJ14)-1</f>
        <v>5.2056427856676244</v>
      </c>
      <c r="DK14" s="13">
        <f t="array" ref="DK14">PRODUCT(1+預測IC!$C14:DK14)-1</f>
        <v>4.6991277698925309</v>
      </c>
      <c r="DL14" s="13">
        <f t="array" ref="DL14">PRODUCT(1+預測IC!$C14:DL14)-1</f>
        <v>4.6462815578068764</v>
      </c>
      <c r="DM14" s="13">
        <f t="array" ref="DM14">PRODUCT(1+預測IC!$C14:DM14)-1</f>
        <v>4.6399538592168561</v>
      </c>
      <c r="DN14" s="13">
        <f t="array" ref="DN14">PRODUCT(1+預測IC!$C14:DN14)-1</f>
        <v>4.8108438674717728</v>
      </c>
      <c r="DO14" s="13">
        <f t="array" ref="DO14">PRODUCT(1+預測IC!$C14:DO14)-1</f>
        <v>5.4069899615234371</v>
      </c>
      <c r="DP14" s="13">
        <f t="array" ref="DP14">PRODUCT(1+預測IC!$C14:DP14)-1</f>
        <v>5.4301714628342221</v>
      </c>
      <c r="DQ14" s="13">
        <f t="array" ref="DQ14">PRODUCT(1+預測IC!$C14:DQ14)-1</f>
        <v>5.0699583339374037</v>
      </c>
      <c r="DR14" s="13">
        <f t="array" ref="DR14">PRODUCT(1+預測IC!$C14:DR14)-1</f>
        <v>5.3893748344803409</v>
      </c>
      <c r="DS14" s="13">
        <f t="array" ref="DS14">PRODUCT(1+預測IC!$C14:DS14)-1</f>
        <v>5.1654597922762227</v>
      </c>
      <c r="DT14" s="13">
        <f t="array" ref="DT14">PRODUCT(1+預測IC!$C14:DT14)-1</f>
        <v>5.8909637239402528</v>
      </c>
      <c r="DU14" s="13">
        <f t="array" ref="DU14">PRODUCT(1+預測IC!$C14:DU14)-1</f>
        <v>5.4168911701765525</v>
      </c>
      <c r="DV14" s="13">
        <f t="array" ref="DV14">PRODUCT(1+預測IC!$C14:DV14)-1</f>
        <v>5.5416068273800763</v>
      </c>
      <c r="DW14" s="13">
        <f t="array" ref="DW14">PRODUCT(1+預測IC!$C14:DW14)-1</f>
        <v>5.5534464471474418</v>
      </c>
      <c r="DX14" s="13">
        <f t="array" ref="DX14">PRODUCT(1+預測IC!$C14:DX14)-1</f>
        <v>5.8074459593006846</v>
      </c>
      <c r="DY14" s="13">
        <f t="array" ref="DY14">PRODUCT(1+預測IC!$C14:DY14)-1</f>
        <v>6.3129522064865462</v>
      </c>
      <c r="DZ14" s="13">
        <f t="array" ref="DZ14">PRODUCT(1+預測IC!$C14:DZ14)-1</f>
        <v>6.5691314654475335</v>
      </c>
      <c r="EA14" s="13">
        <f t="array" ref="EA14">PRODUCT(1+預測IC!$C14:EA14)-1</f>
        <v>7.3830063100231822</v>
      </c>
      <c r="EB14" s="13">
        <f t="array" ref="EB14">PRODUCT(1+預測IC!$C14:EB14)-1</f>
        <v>7.1725046094699163</v>
      </c>
      <c r="EC14" s="13">
        <f t="array" ref="EC14">PRODUCT(1+預測IC!$C14:EC14)-1</f>
        <v>7.2221883880982638</v>
      </c>
      <c r="ED14" s="13">
        <f t="array" ref="ED14">PRODUCT(1+預測IC!$C14:ED14)-1</f>
        <v>6.3783475849536959</v>
      </c>
      <c r="EE14" s="13">
        <f t="array" ref="EE14">PRODUCT(1+預測IC!$C14:EE14)-1</f>
        <v>6.403428530065371</v>
      </c>
      <c r="EF14" s="13">
        <f t="array" ref="EF14">PRODUCT(1+預測IC!$C14:EF14)-1</f>
        <v>6.5923951984832927</v>
      </c>
    </row>
    <row r="15" spans="1:136">
      <c r="A15" s="20">
        <v>10</v>
      </c>
      <c r="B15" s="20" t="s">
        <v>188</v>
      </c>
      <c r="C15" s="13">
        <f t="array" ref="C15">PRODUCT(1+預測IC!$C15:C15)-1</f>
        <v>0.22764509999999993</v>
      </c>
      <c r="D15" s="13">
        <f t="array" ref="D15">PRODUCT(1+預測IC!$C15:D15)-1</f>
        <v>0.24845720139294203</v>
      </c>
      <c r="E15" s="13">
        <f t="array" ref="E15">PRODUCT(1+預測IC!$C15:E15)-1</f>
        <v>0.23572490267068424</v>
      </c>
      <c r="F15" s="13">
        <f t="array" ref="F15">PRODUCT(1+預測IC!$C15:F15)-1</f>
        <v>0.10157177325839295</v>
      </c>
      <c r="G15" s="13">
        <f t="array" ref="G15">PRODUCT(1+預測IC!$C15:G15)-1</f>
        <v>3.4775844216748286E-2</v>
      </c>
      <c r="H15" s="13">
        <f t="array" ref="H15">PRODUCT(1+預測IC!$C15:H15)-1</f>
        <v>8.6677949411529509E-2</v>
      </c>
      <c r="I15" s="13">
        <f t="array" ref="I15">PRODUCT(1+預測IC!$C15:I15)-1</f>
        <v>0.15017411146272774</v>
      </c>
      <c r="J15" s="13">
        <f t="array" ref="J15">PRODUCT(1+預測IC!$C15:J15)-1</f>
        <v>0.20763849536102019</v>
      </c>
      <c r="K15" s="13">
        <f t="array" ref="K15">PRODUCT(1+預測IC!$C15:K15)-1</f>
        <v>-0.13846420965708217</v>
      </c>
      <c r="L15" s="13">
        <f t="array" ref="L15">PRODUCT(1+預測IC!$C15:L15)-1</f>
        <v>-0.11041389218410314</v>
      </c>
      <c r="M15" s="13">
        <f t="array" ref="M15">PRODUCT(1+預測IC!$C15:M15)-1</f>
        <v>-8.773148405002551E-2</v>
      </c>
      <c r="N15" s="13">
        <f t="array" ref="N15">PRODUCT(1+預測IC!$C15:N15)-1</f>
        <v>2.2532727572025513E-2</v>
      </c>
      <c r="O15" s="13">
        <f t="array" ref="O15">PRODUCT(1+預測IC!$C15:O15)-1</f>
        <v>9.7952025962678491E-2</v>
      </c>
      <c r="P15" s="13">
        <f t="array" ref="P15">PRODUCT(1+預測IC!$C15:P15)-1</f>
        <v>2.7555532917051151E-2</v>
      </c>
      <c r="Q15" s="13">
        <f t="array" ref="Q15">PRODUCT(1+預測IC!$C15:Q15)-1</f>
        <v>-0.13226720976327733</v>
      </c>
      <c r="R15" s="13">
        <f t="array" ref="R15">PRODUCT(1+預測IC!$C15:R15)-1</f>
        <v>-0.17750185121236661</v>
      </c>
      <c r="S15" s="13">
        <f t="array" ref="S15">PRODUCT(1+預測IC!$C15:S15)-1</f>
        <v>-0.39958284507548369</v>
      </c>
      <c r="T15" s="13">
        <f t="array" ref="T15">PRODUCT(1+預測IC!$C15:T15)-1</f>
        <v>-0.43969078604242928</v>
      </c>
      <c r="U15" s="13">
        <f t="array" ref="U15">PRODUCT(1+預測IC!$C15:U15)-1</f>
        <v>-0.5164352530125087</v>
      </c>
      <c r="V15" s="13">
        <f t="array" ref="V15">PRODUCT(1+預測IC!$C15:V15)-1</f>
        <v>-0.52471961334221562</v>
      </c>
      <c r="W15" s="13">
        <f t="array" ref="W15">PRODUCT(1+預測IC!$C15:W15)-1</f>
        <v>-0.47598265434481868</v>
      </c>
      <c r="X15" s="13">
        <f t="array" ref="X15">PRODUCT(1+預測IC!$C15:X15)-1</f>
        <v>-0.4095145484771644</v>
      </c>
      <c r="Y15" s="13">
        <f t="array" ref="Y15">PRODUCT(1+預測IC!$C15:Y15)-1</f>
        <v>-0.39733284874885877</v>
      </c>
      <c r="Z15" s="13">
        <f t="array" ref="Z15">PRODUCT(1+預測IC!$C15:Z15)-1</f>
        <v>-0.36917625628492823</v>
      </c>
      <c r="AA15" s="13">
        <f t="array" ref="AA15">PRODUCT(1+預測IC!$C15:AA15)-1</f>
        <v>-0.40329192791755764</v>
      </c>
      <c r="AB15" s="13">
        <f t="array" ref="AB15">PRODUCT(1+預測IC!$C15:AB15)-1</f>
        <v>-0.35334735934266848</v>
      </c>
      <c r="AC15" s="13">
        <f t="array" ref="AC15">PRODUCT(1+預測IC!$C15:AC15)-1</f>
        <v>-0.3426898990235594</v>
      </c>
      <c r="AD15" s="13">
        <f t="array" ref="AD15">PRODUCT(1+預測IC!$C15:AD15)-1</f>
        <v>-0.33024288891245368</v>
      </c>
      <c r="AE15" s="13">
        <f t="array" ref="AE15">PRODUCT(1+預測IC!$C15:AE15)-1</f>
        <v>-0.39574358322534142</v>
      </c>
      <c r="AF15" s="13">
        <f t="array" ref="AF15">PRODUCT(1+預測IC!$C15:AF15)-1</f>
        <v>-0.35597166002438363</v>
      </c>
      <c r="AG15" s="13">
        <f t="array" ref="AG15">PRODUCT(1+預測IC!$C15:AG15)-1</f>
        <v>-0.34945185312475036</v>
      </c>
      <c r="AH15" s="13">
        <f t="array" ref="AH15">PRODUCT(1+預測IC!$C15:AH15)-1</f>
        <v>-0.35888597224110586</v>
      </c>
      <c r="AI15" s="13">
        <f t="array" ref="AI15">PRODUCT(1+預測IC!$C15:AI15)-1</f>
        <v>-0.31126568915564745</v>
      </c>
      <c r="AJ15" s="13">
        <f t="array" ref="AJ15">PRODUCT(1+預測IC!$C15:AJ15)-1</f>
        <v>-0.30838443803966109</v>
      </c>
      <c r="AK15" s="13">
        <f t="array" ref="AK15">PRODUCT(1+預測IC!$C15:AK15)-1</f>
        <v>-0.26567052398312896</v>
      </c>
      <c r="AL15" s="13">
        <f t="array" ref="AL15">PRODUCT(1+預測IC!$C15:AL15)-1</f>
        <v>-0.23304304454401903</v>
      </c>
      <c r="AM15" s="13">
        <f t="array" ref="AM15">PRODUCT(1+預測IC!$C15:AM15)-1</f>
        <v>-0.19076636609489506</v>
      </c>
      <c r="AN15" s="13">
        <f t="array" ref="AN15">PRODUCT(1+預測IC!$C15:AN15)-1</f>
        <v>-0.10847644508230947</v>
      </c>
      <c r="AO15" s="13">
        <f t="array" ref="AO15">PRODUCT(1+預測IC!$C15:AO15)-1</f>
        <v>-5.1980764600411788E-2</v>
      </c>
      <c r="AP15" s="13">
        <f t="array" ref="AP15">PRODUCT(1+預測IC!$C15:AP15)-1</f>
        <v>-0.12619710826734687</v>
      </c>
      <c r="AQ15" s="13">
        <f t="array" ref="AQ15">PRODUCT(1+預測IC!$C15:AQ15)-1</f>
        <v>-0.15884861171753872</v>
      </c>
      <c r="AR15" s="13">
        <f t="array" ref="AR15">PRODUCT(1+預測IC!$C15:AR15)-1</f>
        <v>-8.289780983059547E-2</v>
      </c>
      <c r="AS15" s="13">
        <f t="array" ref="AS15">PRODUCT(1+預測IC!$C15:AS15)-1</f>
        <v>-0.10346914563784737</v>
      </c>
      <c r="AT15" s="13">
        <f t="array" ref="AT15">PRODUCT(1+預測IC!$C15:AT15)-1</f>
        <v>-4.496603311683145E-2</v>
      </c>
      <c r="AU15" s="13">
        <f t="array" ref="AU15">PRODUCT(1+預測IC!$C15:AU15)-1</f>
        <v>-6.8188620283082813E-3</v>
      </c>
      <c r="AV15" s="13">
        <f t="array" ref="AV15">PRODUCT(1+預測IC!$C15:AV15)-1</f>
        <v>-5.3723647197536417E-2</v>
      </c>
      <c r="AW15" s="13">
        <f t="array" ref="AW15">PRODUCT(1+預測IC!$C15:AW15)-1</f>
        <v>-3.890501699460347E-2</v>
      </c>
      <c r="AX15" s="13">
        <f t="array" ref="AX15">PRODUCT(1+預測IC!$C15:AX15)-1</f>
        <v>8.1456730169847003E-2</v>
      </c>
      <c r="AY15" s="13">
        <f t="array" ref="AY15">PRODUCT(1+預測IC!$C15:AY15)-1</f>
        <v>0.11175597271124227</v>
      </c>
      <c r="AZ15" s="13">
        <f t="array" ref="AZ15">PRODUCT(1+預測IC!$C15:AZ15)-1</f>
        <v>1.0226770647501882E-2</v>
      </c>
      <c r="BA15" s="13">
        <f t="array" ref="BA15">PRODUCT(1+預測IC!$C15:BA15)-1</f>
        <v>2.0948827436856554E-2</v>
      </c>
      <c r="BB15" s="13">
        <f t="array" ref="BB15">PRODUCT(1+預測IC!$C15:BB15)-1</f>
        <v>0.13603514728299748</v>
      </c>
      <c r="BC15" s="13">
        <f t="array" ref="BC15">PRODUCT(1+預測IC!$C15:BC15)-1</f>
        <v>0.20664557507407699</v>
      </c>
      <c r="BD15" s="13">
        <f t="array" ref="BD15">PRODUCT(1+預測IC!$C15:BD15)-1</f>
        <v>0.27065000681874141</v>
      </c>
      <c r="BE15" s="13">
        <f t="array" ref="BE15">PRODUCT(1+預測IC!$C15:BE15)-1</f>
        <v>0.33220375061015361</v>
      </c>
      <c r="BF15" s="13">
        <f t="array" ref="BF15">PRODUCT(1+預測IC!$C15:BF15)-1</f>
        <v>0.3957005506076936</v>
      </c>
      <c r="BG15" s="13">
        <f t="array" ref="BG15">PRODUCT(1+預測IC!$C15:BG15)-1</f>
        <v>0.39917520119028538</v>
      </c>
      <c r="BH15" s="13">
        <f t="array" ref="BH15">PRODUCT(1+預測IC!$C15:BH15)-1</f>
        <v>0.44736537727149295</v>
      </c>
      <c r="BI15" s="13">
        <f t="array" ref="BI15">PRODUCT(1+預測IC!$C15:BI15)-1</f>
        <v>0.546635333017222</v>
      </c>
      <c r="BJ15" s="13">
        <f t="array" ref="BJ15">PRODUCT(1+預測IC!$C15:BJ15)-1</f>
        <v>0.52921244409638302</v>
      </c>
      <c r="BK15" s="13">
        <f t="array" ref="BK15">PRODUCT(1+預測IC!$C15:BK15)-1</f>
        <v>0.53047213631516477</v>
      </c>
      <c r="BL15" s="13">
        <f t="array" ref="BL15">PRODUCT(1+預測IC!$C15:BL15)-1</f>
        <v>0.62138810619234963</v>
      </c>
      <c r="BM15" s="13">
        <f t="array" ref="BM15">PRODUCT(1+預測IC!$C15:BM15)-1</f>
        <v>0.72973707675479282</v>
      </c>
      <c r="BN15" s="13">
        <f t="array" ref="BN15">PRODUCT(1+預測IC!$C15:BN15)-1</f>
        <v>0.61547946712346269</v>
      </c>
      <c r="BO15" s="13">
        <f t="array" ref="BO15">PRODUCT(1+預測IC!$C15:BO15)-1</f>
        <v>0.66028394356008313</v>
      </c>
      <c r="BP15" s="13">
        <f t="array" ref="BP15">PRODUCT(1+預測IC!$C15:BP15)-1</f>
        <v>0.68383377745316376</v>
      </c>
      <c r="BQ15" s="13">
        <f t="array" ref="BQ15">PRODUCT(1+預測IC!$C15:BQ15)-1</f>
        <v>0.70539178561022964</v>
      </c>
      <c r="BR15" s="13">
        <f t="array" ref="BR15">PRODUCT(1+預測IC!$C15:BR15)-1</f>
        <v>0.61985371799814182</v>
      </c>
      <c r="BS15" s="13">
        <f t="array" ref="BS15">PRODUCT(1+預測IC!$C15:BS15)-1</f>
        <v>0.59260165954452226</v>
      </c>
      <c r="BT15" s="13">
        <f t="array" ref="BT15">PRODUCT(1+預測IC!$C15:BT15)-1</f>
        <v>0.73443909099162186</v>
      </c>
      <c r="BU15" s="13">
        <f t="array" ref="BU15">PRODUCT(1+預測IC!$C15:BU15)-1</f>
        <v>0.70065842714523452</v>
      </c>
      <c r="BV15" s="13">
        <f t="array" ref="BV15">PRODUCT(1+預測IC!$C15:BV15)-1</f>
        <v>0.80085266353859619</v>
      </c>
      <c r="BW15" s="13">
        <f t="array" ref="BW15">PRODUCT(1+預測IC!$C15:BW15)-1</f>
        <v>0.73611941155579363</v>
      </c>
      <c r="BX15" s="13">
        <f t="array" ref="BX15">PRODUCT(1+預測IC!$C15:BX15)-1</f>
        <v>0.78583474484668492</v>
      </c>
      <c r="BY15" s="13">
        <f t="array" ref="BY15">PRODUCT(1+預測IC!$C15:BY15)-1</f>
        <v>0.67565929273163006</v>
      </c>
      <c r="BZ15" s="13">
        <f t="array" ref="BZ15">PRODUCT(1+預測IC!$C15:BZ15)-1</f>
        <v>0.84809547375572136</v>
      </c>
      <c r="CA15" s="13">
        <f t="array" ref="CA15">PRODUCT(1+預測IC!$C15:CA15)-1</f>
        <v>0.81373564427384415</v>
      </c>
      <c r="CB15" s="13">
        <f t="array" ref="CB15">PRODUCT(1+預測IC!$C15:CB15)-1</f>
        <v>0.8410448696351438</v>
      </c>
      <c r="CC15" s="13">
        <f t="array" ref="CC15">PRODUCT(1+預測IC!$C15:CC15)-1</f>
        <v>0.56062010920545391</v>
      </c>
      <c r="CD15" s="13">
        <f t="array" ref="CD15">PRODUCT(1+預測IC!$C15:CD15)-1</f>
        <v>0.74813186760118544</v>
      </c>
      <c r="CE15" s="13">
        <f t="array" ref="CE15">PRODUCT(1+預測IC!$C15:CE15)-1</f>
        <v>0.87638775758422871</v>
      </c>
      <c r="CF15" s="13">
        <f t="array" ref="CF15">PRODUCT(1+預測IC!$C15:CF15)-1</f>
        <v>0.86958322502012519</v>
      </c>
      <c r="CG15" s="13">
        <f t="array" ref="CG15">PRODUCT(1+預測IC!$C15:CG15)-1</f>
        <v>0.86154611248164858</v>
      </c>
      <c r="CH15" s="13">
        <f t="array" ref="CH15">PRODUCT(1+預測IC!$C15:CH15)-1</f>
        <v>0.97861122365435604</v>
      </c>
      <c r="CI15" s="13">
        <f t="array" ref="CI15">PRODUCT(1+預測IC!$C15:CI15)-1</f>
        <v>0.9018442444831487</v>
      </c>
      <c r="CJ15" s="13">
        <f t="array" ref="CJ15">PRODUCT(1+預測IC!$C15:CJ15)-1</f>
        <v>0.7362994368715079</v>
      </c>
      <c r="CK15" s="13">
        <f t="array" ref="CK15">PRODUCT(1+預測IC!$C15:CK15)-1</f>
        <v>0.83470011981162262</v>
      </c>
      <c r="CL15" s="13">
        <f t="array" ref="CL15">PRODUCT(1+預測IC!$C15:CL15)-1</f>
        <v>0.89235002109645301</v>
      </c>
      <c r="CM15" s="13">
        <f t="array" ref="CM15">PRODUCT(1+預測IC!$C15:CM15)-1</f>
        <v>0.68775311075054879</v>
      </c>
      <c r="CN15" s="13">
        <f t="array" ref="CN15">PRODUCT(1+預測IC!$C15:CN15)-1</f>
        <v>0.61579724918641676</v>
      </c>
      <c r="CO15" s="13">
        <f t="array" ref="CO15">PRODUCT(1+預測IC!$C15:CO15)-1</f>
        <v>0.8959116987256488</v>
      </c>
      <c r="CP15" s="13">
        <f t="array" ref="CP15">PRODUCT(1+預測IC!$C15:CP15)-1</f>
        <v>0.83070484930669797</v>
      </c>
      <c r="CQ15" s="13">
        <f t="array" ref="CQ15">PRODUCT(1+預測IC!$C15:CQ15)-1</f>
        <v>0.8991329548718574</v>
      </c>
      <c r="CR15" s="13">
        <f t="array" ref="CR15">PRODUCT(1+預測IC!$C15:CR15)-1</f>
        <v>0.99074156470258035</v>
      </c>
      <c r="CS15" s="13">
        <f t="array" ref="CS15">PRODUCT(1+預測IC!$C15:CS15)-1</f>
        <v>1.0244097823414564</v>
      </c>
      <c r="CT15" s="13">
        <f t="array" ref="CT15">PRODUCT(1+預測IC!$C15:CT15)-1</f>
        <v>1.0896299898581732</v>
      </c>
      <c r="CU15" s="13">
        <f t="array" ref="CU15">PRODUCT(1+預測IC!$C15:CU15)-1</f>
        <v>1.4111479827657152</v>
      </c>
      <c r="CV15" s="13">
        <f t="array" ref="CV15">PRODUCT(1+預測IC!$C15:CV15)-1</f>
        <v>1.5568874114360058</v>
      </c>
      <c r="CW15" s="13">
        <f t="array" ref="CW15">PRODUCT(1+預測IC!$C15:CW15)-1</f>
        <v>1.487189473176413</v>
      </c>
      <c r="CX15" s="13">
        <f t="array" ref="CX15">PRODUCT(1+預測IC!$C15:CX15)-1</f>
        <v>1.5316308234020766</v>
      </c>
      <c r="CY15" s="13">
        <f t="array" ref="CY15">PRODUCT(1+預測IC!$C15:CY15)-1</f>
        <v>1.4241107583477808</v>
      </c>
      <c r="CZ15" s="13">
        <f t="array" ref="CZ15">PRODUCT(1+預測IC!$C15:CZ15)-1</f>
        <v>1.7037724169728619</v>
      </c>
      <c r="DA15" s="13">
        <f t="array" ref="DA15">PRODUCT(1+預測IC!$C15:DA15)-1</f>
        <v>1.9440345007354214</v>
      </c>
      <c r="DB15" s="13">
        <f t="array" ref="DB15">PRODUCT(1+預測IC!$C15:DB15)-1</f>
        <v>2.2297462777524424</v>
      </c>
      <c r="DC15" s="13">
        <f t="array" ref="DC15">PRODUCT(1+預測IC!$C15:DC15)-1</f>
        <v>2.4775534055324151</v>
      </c>
      <c r="DD15" s="13">
        <f t="array" ref="DD15">PRODUCT(1+預測IC!$C15:DD15)-1</f>
        <v>2.3057842089227272</v>
      </c>
      <c r="DE15" s="13">
        <f t="array" ref="DE15">PRODUCT(1+預測IC!$C15:DE15)-1</f>
        <v>2.0888986491221457</v>
      </c>
      <c r="DF15" s="13">
        <f t="array" ref="DF15">PRODUCT(1+預測IC!$C15:DF15)-1</f>
        <v>3.0239749904222402</v>
      </c>
      <c r="DG15" s="13">
        <f t="array" ref="DG15">PRODUCT(1+預測IC!$C15:DG15)-1</f>
        <v>2.8311549616261855</v>
      </c>
      <c r="DH15" s="13">
        <f t="array" ref="DH15">PRODUCT(1+預測IC!$C15:DH15)-1</f>
        <v>3.3277626767945376</v>
      </c>
      <c r="DI15" s="13">
        <f t="array" ref="DI15">PRODUCT(1+預測IC!$C15:DI15)-1</f>
        <v>3.5130385247507885</v>
      </c>
      <c r="DJ15" s="13">
        <f t="array" ref="DJ15">PRODUCT(1+預測IC!$C15:DJ15)-1</f>
        <v>3.7277079717383472</v>
      </c>
      <c r="DK15" s="13">
        <f t="array" ref="DK15">PRODUCT(1+預測IC!$C15:DK15)-1</f>
        <v>3.2533817586418108</v>
      </c>
      <c r="DL15" s="13">
        <f t="array" ref="DL15">PRODUCT(1+預測IC!$C15:DL15)-1</f>
        <v>3.2862995307482921</v>
      </c>
      <c r="DM15" s="13">
        <f t="array" ref="DM15">PRODUCT(1+預測IC!$C15:DM15)-1</f>
        <v>3.2939012829660745</v>
      </c>
      <c r="DN15" s="13">
        <f t="array" ref="DN15">PRODUCT(1+預測IC!$C15:DN15)-1</f>
        <v>3.0061231602014313</v>
      </c>
      <c r="DO15" s="13">
        <f t="array" ref="DO15">PRODUCT(1+預測IC!$C15:DO15)-1</f>
        <v>3.6452824834696642</v>
      </c>
      <c r="DP15" s="13">
        <f t="array" ref="DP15">PRODUCT(1+預測IC!$C15:DP15)-1</f>
        <v>3.4579419571373196</v>
      </c>
      <c r="DQ15" s="13">
        <f t="array" ref="DQ15">PRODUCT(1+預測IC!$C15:DQ15)-1</f>
        <v>3.1327894782560293</v>
      </c>
      <c r="DR15" s="13">
        <f t="array" ref="DR15">PRODUCT(1+預測IC!$C15:DR15)-1</f>
        <v>3.4221284113413883</v>
      </c>
      <c r="DS15" s="13">
        <f t="array" ref="DS15">PRODUCT(1+預測IC!$C15:DS15)-1</f>
        <v>3.0849769020186919</v>
      </c>
      <c r="DT15" s="13">
        <f t="array" ref="DT15">PRODUCT(1+預測IC!$C15:DT15)-1</f>
        <v>3.2250781293341566</v>
      </c>
      <c r="DU15" s="13">
        <f t="array" ref="DU15">PRODUCT(1+預測IC!$C15:DU15)-1</f>
        <v>2.7302010656624409</v>
      </c>
      <c r="DV15" s="13">
        <f t="array" ref="DV15">PRODUCT(1+預測IC!$C15:DV15)-1</f>
        <v>2.9209258731296552</v>
      </c>
      <c r="DW15" s="13">
        <f t="array" ref="DW15">PRODUCT(1+預測IC!$C15:DW15)-1</f>
        <v>2.6824284992299723</v>
      </c>
      <c r="DX15" s="13">
        <f t="array" ref="DX15">PRODUCT(1+預測IC!$C15:DX15)-1</f>
        <v>2.7853880953398926</v>
      </c>
      <c r="DY15" s="13">
        <f t="array" ref="DY15">PRODUCT(1+預測IC!$C15:DY15)-1</f>
        <v>3.3290061655564163</v>
      </c>
      <c r="DZ15" s="13">
        <f t="array" ref="DZ15">PRODUCT(1+預測IC!$C15:DZ15)-1</f>
        <v>3.5041369757852339</v>
      </c>
      <c r="EA15" s="13">
        <f t="array" ref="EA15">PRODUCT(1+預測IC!$C15:EA15)-1</f>
        <v>3.9958882912864215</v>
      </c>
      <c r="EB15" s="13">
        <f t="array" ref="EB15">PRODUCT(1+預測IC!$C15:EB15)-1</f>
        <v>3.7154740773848056</v>
      </c>
      <c r="EC15" s="13">
        <f t="array" ref="EC15">PRODUCT(1+預測IC!$C15:EC15)-1</f>
        <v>4.0270813565643708</v>
      </c>
      <c r="ED15" s="13">
        <f t="array" ref="ED15">PRODUCT(1+預測IC!$C15:ED15)-1</f>
        <v>3.4572262140369423</v>
      </c>
      <c r="EE15" s="13">
        <f t="array" ref="EE15">PRODUCT(1+預測IC!$C15:EE15)-1</f>
        <v>3.4430067709689212</v>
      </c>
      <c r="EF15" s="13">
        <f t="array" ref="EF15">PRODUCT(1+預測IC!$C15:EF15)-1</f>
        <v>3.5747157079882008</v>
      </c>
    </row>
    <row r="16" spans="1:136">
      <c r="A16" s="20">
        <v>9</v>
      </c>
      <c r="B16" s="20" t="s">
        <v>189</v>
      </c>
      <c r="C16" s="13">
        <f t="array" ref="C16">PRODUCT(1+預測IC!$C16:C16)-1</f>
        <v>0.20787511111111101</v>
      </c>
      <c r="D16" s="13">
        <f t="array" ref="D16">PRODUCT(1+預測IC!$C16:D16)-1</f>
        <v>0.20700514067204789</v>
      </c>
      <c r="E16" s="13">
        <f t="array" ref="E16">PRODUCT(1+預測IC!$C16:E16)-1</f>
        <v>0.20358910295466504</v>
      </c>
      <c r="F16" s="13">
        <f t="array" ref="F16">PRODUCT(1+預測IC!$C16:F16)-1</f>
        <v>8.3973417529330963E-2</v>
      </c>
      <c r="G16" s="13">
        <f t="array" ref="G16">PRODUCT(1+預測IC!$C16:G16)-1</f>
        <v>4.0886251605516399E-3</v>
      </c>
      <c r="H16" s="13">
        <f t="array" ref="H16">PRODUCT(1+預測IC!$C16:H16)-1</f>
        <v>6.5337031842533921E-2</v>
      </c>
      <c r="I16" s="13">
        <f t="array" ref="I16">PRODUCT(1+預測IC!$C16:I16)-1</f>
        <v>0.12662653037183169</v>
      </c>
      <c r="J16" s="13">
        <f t="array" ref="J16">PRODUCT(1+預測IC!$C16:J16)-1</f>
        <v>0.17925117228320553</v>
      </c>
      <c r="K16" s="13">
        <f t="array" ref="K16">PRODUCT(1+預測IC!$C16:K16)-1</f>
        <v>-0.15644690778593762</v>
      </c>
      <c r="L16" s="13">
        <f t="array" ref="L16">PRODUCT(1+預測IC!$C16:L16)-1</f>
        <v>-0.14810709096305974</v>
      </c>
      <c r="M16" s="13">
        <f t="array" ref="M16">PRODUCT(1+預測IC!$C16:M16)-1</f>
        <v>-0.11374645499275571</v>
      </c>
      <c r="N16" s="13">
        <f t="array" ref="N16">PRODUCT(1+預測IC!$C16:N16)-1</f>
        <v>-2.3704176022153467E-3</v>
      </c>
      <c r="O16" s="13">
        <f t="array" ref="O16">PRODUCT(1+預測IC!$C16:O16)-1</f>
        <v>7.7267219973474299E-2</v>
      </c>
      <c r="P16" s="13">
        <f t="array" ref="P16">PRODUCT(1+預測IC!$C16:P16)-1</f>
        <v>1.1505192828892508E-2</v>
      </c>
      <c r="Q16" s="13">
        <f t="array" ref="Q16">PRODUCT(1+預測IC!$C16:Q16)-1</f>
        <v>-0.14821458286895173</v>
      </c>
      <c r="R16" s="13">
        <f t="array" ref="R16">PRODUCT(1+預測IC!$C16:R16)-1</f>
        <v>-0.18994438374133238</v>
      </c>
      <c r="S16" s="13">
        <f t="array" ref="S16">PRODUCT(1+預測IC!$C16:S16)-1</f>
        <v>-0.42248139563555254</v>
      </c>
      <c r="T16" s="13">
        <f t="array" ref="T16">PRODUCT(1+預測IC!$C16:T16)-1</f>
        <v>-0.46130165344446028</v>
      </c>
      <c r="U16" s="13">
        <f t="array" ref="U16">PRODUCT(1+預測IC!$C16:U16)-1</f>
        <v>-0.53136609175259075</v>
      </c>
      <c r="V16" s="13">
        <f t="array" ref="V16">PRODUCT(1+預測IC!$C16:V16)-1</f>
        <v>-0.53418827325601237</v>
      </c>
      <c r="W16" s="13">
        <f t="array" ref="W16">PRODUCT(1+預測IC!$C16:W16)-1</f>
        <v>-0.4868312091455862</v>
      </c>
      <c r="X16" s="13">
        <f t="array" ref="X16">PRODUCT(1+預測IC!$C16:X16)-1</f>
        <v>-0.42298799086944294</v>
      </c>
      <c r="Y16" s="13">
        <f t="array" ref="Y16">PRODUCT(1+預測IC!$C16:Y16)-1</f>
        <v>-0.41134354899999215</v>
      </c>
      <c r="Z16" s="13">
        <f t="array" ref="Z16">PRODUCT(1+預測IC!$C16:Z16)-1</f>
        <v>-0.38599722021828853</v>
      </c>
      <c r="AA16" s="13">
        <f t="array" ref="AA16">PRODUCT(1+預測IC!$C16:AA16)-1</f>
        <v>-0.41269874950772245</v>
      </c>
      <c r="AB16" s="13">
        <f t="array" ref="AB16">PRODUCT(1+預測IC!$C16:AB16)-1</f>
        <v>-0.368659940785521</v>
      </c>
      <c r="AC16" s="13">
        <f t="array" ref="AC16">PRODUCT(1+預測IC!$C16:AC16)-1</f>
        <v>-0.33884412602491942</v>
      </c>
      <c r="AD16" s="13">
        <f t="array" ref="AD16">PRODUCT(1+預測IC!$C16:AD16)-1</f>
        <v>-0.33810229204405073</v>
      </c>
      <c r="AE16" s="13">
        <f t="array" ref="AE16">PRODUCT(1+預測IC!$C16:AE16)-1</f>
        <v>-0.4019769832637976</v>
      </c>
      <c r="AF16" s="13">
        <f t="array" ref="AF16">PRODUCT(1+預測IC!$C16:AF16)-1</f>
        <v>-0.3638913835597688</v>
      </c>
      <c r="AG16" s="13">
        <f t="array" ref="AG16">PRODUCT(1+預測IC!$C16:AG16)-1</f>
        <v>-0.35543702103424946</v>
      </c>
      <c r="AH16" s="13">
        <f t="array" ref="AH16">PRODUCT(1+預測IC!$C16:AH16)-1</f>
        <v>-0.38386769138290588</v>
      </c>
      <c r="AI16" s="13">
        <f t="array" ref="AI16">PRODUCT(1+預測IC!$C16:AI16)-1</f>
        <v>-0.32809347795081523</v>
      </c>
      <c r="AJ16" s="13">
        <f t="array" ref="AJ16">PRODUCT(1+預測IC!$C16:AJ16)-1</f>
        <v>-0.33993918993454242</v>
      </c>
      <c r="AK16" s="13">
        <f t="array" ref="AK16">PRODUCT(1+預測IC!$C16:AK16)-1</f>
        <v>-0.29741714791557539</v>
      </c>
      <c r="AL16" s="13">
        <f t="array" ref="AL16">PRODUCT(1+預測IC!$C16:AL16)-1</f>
        <v>-0.26320913843005167</v>
      </c>
      <c r="AM16" s="13">
        <f t="array" ref="AM16">PRODUCT(1+預測IC!$C16:AM16)-1</f>
        <v>-0.21452440716022758</v>
      </c>
      <c r="AN16" s="13">
        <f t="array" ref="AN16">PRODUCT(1+預測IC!$C16:AN16)-1</f>
        <v>-0.13090566028332018</v>
      </c>
      <c r="AO16" s="13">
        <f t="array" ref="AO16">PRODUCT(1+預測IC!$C16:AO16)-1</f>
        <v>-7.7521825680465062E-2</v>
      </c>
      <c r="AP16" s="13">
        <f t="array" ref="AP16">PRODUCT(1+預測IC!$C16:AP16)-1</f>
        <v>-0.14928912229244662</v>
      </c>
      <c r="AQ16" s="13">
        <f t="array" ref="AQ16">PRODUCT(1+預測IC!$C16:AQ16)-1</f>
        <v>-0.18201273718078304</v>
      </c>
      <c r="AR16" s="13">
        <f t="array" ref="AR16">PRODUCT(1+預測IC!$C16:AR16)-1</f>
        <v>-9.7521868347721141E-2</v>
      </c>
      <c r="AS16" s="13">
        <f t="array" ref="AS16">PRODUCT(1+預測IC!$C16:AS16)-1</f>
        <v>-0.12286225098034165</v>
      </c>
      <c r="AT16" s="13">
        <f t="array" ref="AT16">PRODUCT(1+預測IC!$C16:AT16)-1</f>
        <v>-7.9402570694059205E-2</v>
      </c>
      <c r="AU16" s="13">
        <f t="array" ref="AU16">PRODUCT(1+預測IC!$C16:AU16)-1</f>
        <v>-4.0896890920607332E-2</v>
      </c>
      <c r="AV16" s="13">
        <f t="array" ref="AV16">PRODUCT(1+預測IC!$C16:AV16)-1</f>
        <v>-4.9598360380467166E-2</v>
      </c>
      <c r="AW16" s="13">
        <f t="array" ref="AW16">PRODUCT(1+預測IC!$C16:AW16)-1</f>
        <v>-1.2292311277648293E-2</v>
      </c>
      <c r="AX16" s="13">
        <f t="array" ref="AX16">PRODUCT(1+預測IC!$C16:AX16)-1</f>
        <v>8.7298031007555066E-2</v>
      </c>
      <c r="AY16" s="13">
        <f t="array" ref="AY16">PRODUCT(1+預測IC!$C16:AY16)-1</f>
        <v>0.12406239336857849</v>
      </c>
      <c r="AZ16" s="13">
        <f t="array" ref="AZ16">PRODUCT(1+預測IC!$C16:AZ16)-1</f>
        <v>6.1374177621709158E-3</v>
      </c>
      <c r="BA16" s="13">
        <f t="array" ref="BA16">PRODUCT(1+預測IC!$C16:BA16)-1</f>
        <v>2.115211214980417E-2</v>
      </c>
      <c r="BB16" s="13">
        <f t="array" ref="BB16">PRODUCT(1+預測IC!$C16:BB16)-1</f>
        <v>0.13147628774276532</v>
      </c>
      <c r="BC16" s="13">
        <f t="array" ref="BC16">PRODUCT(1+預測IC!$C16:BC16)-1</f>
        <v>0.2074226350421482</v>
      </c>
      <c r="BD16" s="13">
        <f t="array" ref="BD16">PRODUCT(1+預測IC!$C16:BD16)-1</f>
        <v>0.25081343399165323</v>
      </c>
      <c r="BE16" s="13">
        <f t="array" ref="BE16">PRODUCT(1+預測IC!$C16:BE16)-1</f>
        <v>0.31511899643513197</v>
      </c>
      <c r="BF16" s="13">
        <f t="array" ref="BF16">PRODUCT(1+預測IC!$C16:BF16)-1</f>
        <v>0.39963913553491848</v>
      </c>
      <c r="BG16" s="13">
        <f t="array" ref="BG16">PRODUCT(1+預測IC!$C16:BG16)-1</f>
        <v>0.41849686837333855</v>
      </c>
      <c r="BH16" s="13">
        <f t="array" ref="BH16">PRODUCT(1+預測IC!$C16:BH16)-1</f>
        <v>0.39895620236792029</v>
      </c>
      <c r="BI16" s="13">
        <f t="array" ref="BI16">PRODUCT(1+預測IC!$C16:BI16)-1</f>
        <v>0.45693427428807931</v>
      </c>
      <c r="BJ16" s="13">
        <f t="array" ref="BJ16">PRODUCT(1+預測IC!$C16:BJ16)-1</f>
        <v>0.42706156159136799</v>
      </c>
      <c r="BK16" s="13">
        <f t="array" ref="BK16">PRODUCT(1+預測IC!$C16:BK16)-1</f>
        <v>0.43130277470306622</v>
      </c>
      <c r="BL16" s="13">
        <f t="array" ref="BL16">PRODUCT(1+預測IC!$C16:BL16)-1</f>
        <v>0.5323864802596685</v>
      </c>
      <c r="BM16" s="13">
        <f t="array" ref="BM16">PRODUCT(1+預測IC!$C16:BM16)-1</f>
        <v>0.65731256419235451</v>
      </c>
      <c r="BN16" s="13">
        <f t="array" ref="BN16">PRODUCT(1+預測IC!$C16:BN16)-1</f>
        <v>0.54594226475367091</v>
      </c>
      <c r="BO16" s="13">
        <f t="array" ref="BO16">PRODUCT(1+預測IC!$C16:BO16)-1</f>
        <v>0.57978349739670154</v>
      </c>
      <c r="BP16" s="13">
        <f t="array" ref="BP16">PRODUCT(1+預測IC!$C16:BP16)-1</f>
        <v>0.61271121479837976</v>
      </c>
      <c r="BQ16" s="13">
        <f t="array" ref="BQ16">PRODUCT(1+預測IC!$C16:BQ16)-1</f>
        <v>0.63928549641033294</v>
      </c>
      <c r="BR16" s="13">
        <f t="array" ref="BR16">PRODUCT(1+預測IC!$C16:BR16)-1</f>
        <v>0.59617745484747231</v>
      </c>
      <c r="BS16" s="13">
        <f t="array" ref="BS16">PRODUCT(1+預測IC!$C16:BS16)-1</f>
        <v>0.57512136319551854</v>
      </c>
      <c r="BT16" s="13">
        <f t="array" ref="BT16">PRODUCT(1+預測IC!$C16:BT16)-1</f>
        <v>0.70976776395555818</v>
      </c>
      <c r="BU16" s="13">
        <f t="array" ref="BU16">PRODUCT(1+預測IC!$C16:BU16)-1</f>
        <v>0.61100284068024546</v>
      </c>
      <c r="BV16" s="13">
        <f t="array" ref="BV16">PRODUCT(1+預測IC!$C16:BV16)-1</f>
        <v>0.7088088198903244</v>
      </c>
      <c r="BW16" s="13">
        <f t="array" ref="BW16">PRODUCT(1+預測IC!$C16:BW16)-1</f>
        <v>0.59647014327609238</v>
      </c>
      <c r="BX16" s="13">
        <f t="array" ref="BX16">PRODUCT(1+預測IC!$C16:BX16)-1</f>
        <v>0.64685352372313631</v>
      </c>
      <c r="BY16" s="13">
        <f t="array" ref="BY16">PRODUCT(1+預測IC!$C16:BY16)-1</f>
        <v>0.563582462111059</v>
      </c>
      <c r="BZ16" s="13">
        <f t="array" ref="BZ16">PRODUCT(1+預測IC!$C16:BZ16)-1</f>
        <v>0.73796232290029273</v>
      </c>
      <c r="CA16" s="13">
        <f t="array" ref="CA16">PRODUCT(1+預測IC!$C16:CA16)-1</f>
        <v>0.68631983305714939</v>
      </c>
      <c r="CB16" s="13">
        <f t="array" ref="CB16">PRODUCT(1+預測IC!$C16:CB16)-1</f>
        <v>0.68391169246933425</v>
      </c>
      <c r="CC16" s="13">
        <f t="array" ref="CC16">PRODUCT(1+預測IC!$C16:CC16)-1</f>
        <v>0.41604762537933948</v>
      </c>
      <c r="CD16" s="13">
        <f t="array" ref="CD16">PRODUCT(1+預測IC!$C16:CD16)-1</f>
        <v>0.63563593133040364</v>
      </c>
      <c r="CE16" s="13">
        <f t="array" ref="CE16">PRODUCT(1+預測IC!$C16:CE16)-1</f>
        <v>0.78875398993131651</v>
      </c>
      <c r="CF16" s="13">
        <f t="array" ref="CF16">PRODUCT(1+預測IC!$C16:CF16)-1</f>
        <v>0.76246646129528584</v>
      </c>
      <c r="CG16" s="13">
        <f t="array" ref="CG16">PRODUCT(1+預測IC!$C16:CG16)-1</f>
        <v>0.75298700189112799</v>
      </c>
      <c r="CH16" s="13">
        <f t="array" ref="CH16">PRODUCT(1+預測IC!$C16:CH16)-1</f>
        <v>0.82608202787799856</v>
      </c>
      <c r="CI16" s="13">
        <f t="array" ref="CI16">PRODUCT(1+預測IC!$C16:CI16)-1</f>
        <v>0.75539460836966166</v>
      </c>
      <c r="CJ16" s="13">
        <f t="array" ref="CJ16">PRODUCT(1+預測IC!$C16:CJ16)-1</f>
        <v>0.67548281276314937</v>
      </c>
      <c r="CK16" s="13">
        <f t="array" ref="CK16">PRODUCT(1+預測IC!$C16:CK16)-1</f>
        <v>0.8036119826228556</v>
      </c>
      <c r="CL16" s="13">
        <f t="array" ref="CL16">PRODUCT(1+預測IC!$C16:CL16)-1</f>
        <v>0.83225096434999912</v>
      </c>
      <c r="CM16" s="13">
        <f t="array" ref="CM16">PRODUCT(1+預測IC!$C16:CM16)-1</f>
        <v>0.62510705307605297</v>
      </c>
      <c r="CN16" s="13">
        <f t="array" ref="CN16">PRODUCT(1+預測IC!$C16:CN16)-1</f>
        <v>0.57138505206332679</v>
      </c>
      <c r="CO16" s="13">
        <f t="array" ref="CO16">PRODUCT(1+預測IC!$C16:CO16)-1</f>
        <v>0.90066407556804062</v>
      </c>
      <c r="CP16" s="13">
        <f t="array" ref="CP16">PRODUCT(1+預測IC!$C16:CP16)-1</f>
        <v>0.84234304314882436</v>
      </c>
      <c r="CQ16" s="13">
        <f t="array" ref="CQ16">PRODUCT(1+預測IC!$C16:CQ16)-1</f>
        <v>0.91868164297409738</v>
      </c>
      <c r="CR16" s="13">
        <f t="array" ref="CR16">PRODUCT(1+預測IC!$C16:CR16)-1</f>
        <v>1.0113535186693086</v>
      </c>
      <c r="CS16" s="13">
        <f t="array" ref="CS16">PRODUCT(1+預測IC!$C16:CS16)-1</f>
        <v>1.0552175631718974</v>
      </c>
      <c r="CT16" s="13">
        <f t="array" ref="CT16">PRODUCT(1+預測IC!$C16:CT16)-1</f>
        <v>1.1557256945237486</v>
      </c>
      <c r="CU16" s="13">
        <f t="array" ref="CU16">PRODUCT(1+預測IC!$C16:CU16)-1</f>
        <v>1.487806854387431</v>
      </c>
      <c r="CV16" s="13">
        <f t="array" ref="CV16">PRODUCT(1+預測IC!$C16:CV16)-1</f>
        <v>1.635715540993262</v>
      </c>
      <c r="CW16" s="13">
        <f t="array" ref="CW16">PRODUCT(1+預測IC!$C16:CW16)-1</f>
        <v>1.5522301298041477</v>
      </c>
      <c r="CX16" s="13">
        <f t="array" ref="CX16">PRODUCT(1+預測IC!$C16:CX16)-1</f>
        <v>1.5692940568708931</v>
      </c>
      <c r="CY16" s="13">
        <f t="array" ref="CY16">PRODUCT(1+預測IC!$C16:CY16)-1</f>
        <v>1.4430979144845115</v>
      </c>
      <c r="CZ16" s="13">
        <f t="array" ref="CZ16">PRODUCT(1+預測IC!$C16:CZ16)-1</f>
        <v>1.8491915500173937</v>
      </c>
      <c r="DA16" s="13">
        <f t="array" ref="DA16">PRODUCT(1+預測IC!$C16:DA16)-1</f>
        <v>2.1859105902826435</v>
      </c>
      <c r="DB16" s="13">
        <f t="array" ref="DB16">PRODUCT(1+預測IC!$C16:DB16)-1</f>
        <v>2.4981829266401805</v>
      </c>
      <c r="DC16" s="13">
        <f t="array" ref="DC16">PRODUCT(1+預測IC!$C16:DC16)-1</f>
        <v>2.7211574950712176</v>
      </c>
      <c r="DD16" s="13">
        <f t="array" ref="DD16">PRODUCT(1+預測IC!$C16:DD16)-1</f>
        <v>2.4604125098958822</v>
      </c>
      <c r="DE16" s="13">
        <f t="array" ref="DE16">PRODUCT(1+預測IC!$C16:DE16)-1</f>
        <v>2.2655036218051601</v>
      </c>
      <c r="DF16" s="13">
        <f t="array" ref="DF16">PRODUCT(1+預測IC!$C16:DF16)-1</f>
        <v>3.3286891936623704</v>
      </c>
      <c r="DG16" s="13">
        <f t="array" ref="DG16">PRODUCT(1+預測IC!$C16:DG16)-1</f>
        <v>3.1309676573634544</v>
      </c>
      <c r="DH16" s="13">
        <f t="array" ref="DH16">PRODUCT(1+預測IC!$C16:DH16)-1</f>
        <v>3.6975275765888211</v>
      </c>
      <c r="DI16" s="13">
        <f t="array" ref="DI16">PRODUCT(1+預測IC!$C16:DI16)-1</f>
        <v>3.9222045791544708</v>
      </c>
      <c r="DJ16" s="13">
        <f t="array" ref="DJ16">PRODUCT(1+預測IC!$C16:DJ16)-1</f>
        <v>4.1769439796510719</v>
      </c>
      <c r="DK16" s="13">
        <f t="array" ref="DK16">PRODUCT(1+預測IC!$C16:DK16)-1</f>
        <v>3.6786406881857445</v>
      </c>
      <c r="DL16" s="13">
        <f t="array" ref="DL16">PRODUCT(1+預測IC!$C16:DL16)-1</f>
        <v>3.6850358701575292</v>
      </c>
      <c r="DM16" s="13">
        <f t="array" ref="DM16">PRODUCT(1+預測IC!$C16:DM16)-1</f>
        <v>3.86370127474461</v>
      </c>
      <c r="DN16" s="13">
        <f t="array" ref="DN16">PRODUCT(1+預測IC!$C16:DN16)-1</f>
        <v>3.5879013110814482</v>
      </c>
      <c r="DO16" s="13">
        <f t="array" ref="DO16">PRODUCT(1+預測IC!$C16:DO16)-1</f>
        <v>4.3659665530286249</v>
      </c>
      <c r="DP16" s="13">
        <f t="array" ref="DP16">PRODUCT(1+預測IC!$C16:DP16)-1</f>
        <v>4.2333443047964989</v>
      </c>
      <c r="DQ16" s="13">
        <f t="array" ref="DQ16">PRODUCT(1+預測IC!$C16:DQ16)-1</f>
        <v>3.8797795635644476</v>
      </c>
      <c r="DR16" s="13">
        <f t="array" ref="DR16">PRODUCT(1+預測IC!$C16:DR16)-1</f>
        <v>4.1491007054512945</v>
      </c>
      <c r="DS16" s="13">
        <f t="array" ref="DS16">PRODUCT(1+預測IC!$C16:DS16)-1</f>
        <v>3.6663618814750354</v>
      </c>
      <c r="DT16" s="13">
        <f t="array" ref="DT16">PRODUCT(1+預測IC!$C16:DT16)-1</f>
        <v>3.8159623324872038</v>
      </c>
      <c r="DU16" s="13">
        <f t="array" ref="DU16">PRODUCT(1+預測IC!$C16:DU16)-1</f>
        <v>3.2246921890407521</v>
      </c>
      <c r="DV16" s="13">
        <f t="array" ref="DV16">PRODUCT(1+預測IC!$C16:DV16)-1</f>
        <v>3.4154445519398333</v>
      </c>
      <c r="DW16" s="13">
        <f t="array" ref="DW16">PRODUCT(1+預測IC!$C16:DW16)-1</f>
        <v>3.1006096184479173</v>
      </c>
      <c r="DX16" s="13">
        <f t="array" ref="DX16">PRODUCT(1+預測IC!$C16:DX16)-1</f>
        <v>3.2544116390303346</v>
      </c>
      <c r="DY16" s="13">
        <f t="array" ref="DY16">PRODUCT(1+預測IC!$C16:DY16)-1</f>
        <v>3.9247868443908143</v>
      </c>
      <c r="DZ16" s="13">
        <f t="array" ref="DZ16">PRODUCT(1+預測IC!$C16:DZ16)-1</f>
        <v>4.2144157475035913</v>
      </c>
      <c r="EA16" s="13">
        <f t="array" ref="EA16">PRODUCT(1+預測IC!$C16:EA16)-1</f>
        <v>4.9433904896250658</v>
      </c>
      <c r="EB16" s="13">
        <f t="array" ref="EB16">PRODUCT(1+預測IC!$C16:EB16)-1</f>
        <v>4.5221361792548622</v>
      </c>
      <c r="EC16" s="13">
        <f t="array" ref="EC16">PRODUCT(1+預測IC!$C16:EC16)-1</f>
        <v>4.8729689029604506</v>
      </c>
      <c r="ED16" s="13">
        <f t="array" ref="ED16">PRODUCT(1+預測IC!$C16:ED16)-1</f>
        <v>4.1951299340184489</v>
      </c>
      <c r="EE16" s="13">
        <f t="array" ref="EE16">PRODUCT(1+預測IC!$C16:EE16)-1</f>
        <v>4.172291565591844</v>
      </c>
      <c r="EF16" s="13">
        <f t="array" ref="EF16">PRODUCT(1+預測IC!$C16:EF16)-1</f>
        <v>4.350986193396162</v>
      </c>
    </row>
    <row r="17" spans="1:136">
      <c r="A17" s="20">
        <v>8</v>
      </c>
      <c r="B17" s="20" t="s">
        <v>190</v>
      </c>
      <c r="C17" s="13">
        <f t="array" ref="C17">PRODUCT(1+預測IC!$C17:C17)-1</f>
        <v>0.20609237499999988</v>
      </c>
      <c r="D17" s="13">
        <f t="array" ref="D17">PRODUCT(1+預測IC!$C17:D17)-1</f>
        <v>0.18518551780903003</v>
      </c>
      <c r="E17" s="13">
        <f t="array" ref="E17">PRODUCT(1+預測IC!$C17:E17)-1</f>
        <v>0.1939310035171522</v>
      </c>
      <c r="F17" s="13">
        <f t="array" ref="F17">PRODUCT(1+預測IC!$C17:F17)-1</f>
        <v>5.9210795858777532E-2</v>
      </c>
      <c r="G17" s="13">
        <f t="array" ref="G17">PRODUCT(1+預測IC!$C17:G17)-1</f>
        <v>-1.6229127729525561E-2</v>
      </c>
      <c r="H17" s="13">
        <f t="array" ref="H17">PRODUCT(1+預測IC!$C17:H17)-1</f>
        <v>5.9214117381652498E-2</v>
      </c>
      <c r="I17" s="13">
        <f t="array" ref="I17">PRODUCT(1+預測IC!$C17:I17)-1</f>
        <v>0.17967327232935038</v>
      </c>
      <c r="J17" s="13">
        <f t="array" ref="J17">PRODUCT(1+預測IC!$C17:J17)-1</f>
        <v>0.22905250227292662</v>
      </c>
      <c r="K17" s="13">
        <f t="array" ref="K17">PRODUCT(1+預測IC!$C17:K17)-1</f>
        <v>-0.13576291309826227</v>
      </c>
      <c r="L17" s="13">
        <f t="array" ref="L17">PRODUCT(1+預測IC!$C17:L17)-1</f>
        <v>-0.12737040223850726</v>
      </c>
      <c r="M17" s="13">
        <f t="array" ref="M17">PRODUCT(1+預測IC!$C17:M17)-1</f>
        <v>-7.0708786669032575E-2</v>
      </c>
      <c r="N17" s="13">
        <f t="array" ref="N17">PRODUCT(1+預測IC!$C17:N17)-1</f>
        <v>5.5626896703742768E-2</v>
      </c>
      <c r="O17" s="13">
        <f t="array" ref="O17">PRODUCT(1+預測IC!$C17:O17)-1</f>
        <v>0.16248459701404427</v>
      </c>
      <c r="P17" s="13">
        <f t="array" ref="P17">PRODUCT(1+預測IC!$C17:P17)-1</f>
        <v>8.5366102214524453E-2</v>
      </c>
      <c r="Q17" s="13">
        <f t="array" ref="Q17">PRODUCT(1+預測IC!$C17:Q17)-1</f>
        <v>-9.0247538255159743E-2</v>
      </c>
      <c r="R17" s="13">
        <f t="array" ref="R17">PRODUCT(1+預測IC!$C17:R17)-1</f>
        <v>-0.13760707610860357</v>
      </c>
      <c r="S17" s="13">
        <f t="array" ref="S17">PRODUCT(1+預測IC!$C17:S17)-1</f>
        <v>-0.40551239821310525</v>
      </c>
      <c r="T17" s="13">
        <f t="array" ref="T17">PRODUCT(1+預測IC!$C17:T17)-1</f>
        <v>-0.44784111307510932</v>
      </c>
      <c r="U17" s="13">
        <f t="array" ref="U17">PRODUCT(1+預測IC!$C17:U17)-1</f>
        <v>-0.52584522989380644</v>
      </c>
      <c r="V17" s="13">
        <f t="array" ref="V17">PRODUCT(1+預測IC!$C17:V17)-1</f>
        <v>-0.52394330510225351</v>
      </c>
      <c r="W17" s="13">
        <f t="array" ref="W17">PRODUCT(1+預測IC!$C17:W17)-1</f>
        <v>-0.46700502777675146</v>
      </c>
      <c r="X17" s="13">
        <f t="array" ref="X17">PRODUCT(1+預測IC!$C17:X17)-1</f>
        <v>-0.40472659175090064</v>
      </c>
      <c r="Y17" s="13">
        <f t="array" ref="Y17">PRODUCT(1+預測IC!$C17:Y17)-1</f>
        <v>-0.39107815646126098</v>
      </c>
      <c r="Z17" s="13">
        <f t="array" ref="Z17">PRODUCT(1+預測IC!$C17:Z17)-1</f>
        <v>-0.35827645665362018</v>
      </c>
      <c r="AA17" s="13">
        <f t="array" ref="AA17">PRODUCT(1+預測IC!$C17:AA17)-1</f>
        <v>-0.38087140758478943</v>
      </c>
      <c r="AB17" s="13">
        <f t="array" ref="AB17">PRODUCT(1+預測IC!$C17:AB17)-1</f>
        <v>-0.32833706933149964</v>
      </c>
      <c r="AC17" s="13">
        <f t="array" ref="AC17">PRODUCT(1+預測IC!$C17:AC17)-1</f>
        <v>-0.28889118509666389</v>
      </c>
      <c r="AD17" s="13">
        <f t="array" ref="AD17">PRODUCT(1+預測IC!$C17:AD17)-1</f>
        <v>-0.27330876844518481</v>
      </c>
      <c r="AE17" s="13">
        <f t="array" ref="AE17">PRODUCT(1+預測IC!$C17:AE17)-1</f>
        <v>-0.36571367905592622</v>
      </c>
      <c r="AF17" s="13">
        <f t="array" ref="AF17">PRODUCT(1+預測IC!$C17:AF17)-1</f>
        <v>-0.32674990794054826</v>
      </c>
      <c r="AG17" s="13">
        <f t="array" ref="AG17">PRODUCT(1+預測IC!$C17:AG17)-1</f>
        <v>-0.31143954053164624</v>
      </c>
      <c r="AH17" s="13">
        <f t="array" ref="AH17">PRODUCT(1+預測IC!$C17:AH17)-1</f>
        <v>-0.33342037000919711</v>
      </c>
      <c r="AI17" s="13">
        <f t="array" ref="AI17">PRODUCT(1+預測IC!$C17:AI17)-1</f>
        <v>-0.25685361748784985</v>
      </c>
      <c r="AJ17" s="13">
        <f t="array" ref="AJ17">PRODUCT(1+預測IC!$C17:AJ17)-1</f>
        <v>-0.27335759813727534</v>
      </c>
      <c r="AK17" s="13">
        <f t="array" ref="AK17">PRODUCT(1+預測IC!$C17:AK17)-1</f>
        <v>-0.21979222720452929</v>
      </c>
      <c r="AL17" s="13">
        <f t="array" ref="AL17">PRODUCT(1+預測IC!$C17:AL17)-1</f>
        <v>-0.18021665156907418</v>
      </c>
      <c r="AM17" s="13">
        <f t="array" ref="AM17">PRODUCT(1+預測IC!$C17:AM17)-1</f>
        <v>-0.11843009903894341</v>
      </c>
      <c r="AN17" s="13">
        <f t="array" ref="AN17">PRODUCT(1+預測IC!$C17:AN17)-1</f>
        <v>-1.8559583575429306E-2</v>
      </c>
      <c r="AO17" s="13">
        <f t="array" ref="AO17">PRODUCT(1+預測IC!$C17:AO17)-1</f>
        <v>-6.1616998493871922E-3</v>
      </c>
      <c r="AP17" s="13">
        <f t="array" ref="AP17">PRODUCT(1+預測IC!$C17:AP17)-1</f>
        <v>-8.2928567230997285E-2</v>
      </c>
      <c r="AQ17" s="13">
        <f t="array" ref="AQ17">PRODUCT(1+預測IC!$C17:AQ17)-1</f>
        <v>-0.13843627584919638</v>
      </c>
      <c r="AR17" s="13">
        <f t="array" ref="AR17">PRODUCT(1+預測IC!$C17:AR17)-1</f>
        <v>-4.0277709137072848E-2</v>
      </c>
      <c r="AS17" s="13">
        <f t="array" ref="AS17">PRODUCT(1+預測IC!$C17:AS17)-1</f>
        <v>-6.8604872274182993E-2</v>
      </c>
      <c r="AT17" s="13">
        <f t="array" ref="AT17">PRODUCT(1+預測IC!$C17:AT17)-1</f>
        <v>-1.9922892009995752E-2</v>
      </c>
      <c r="AU17" s="13">
        <f t="array" ref="AU17">PRODUCT(1+預測IC!$C17:AU17)-1</f>
        <v>3.3545711796469035E-2</v>
      </c>
      <c r="AV17" s="13">
        <f t="array" ref="AV17">PRODUCT(1+預測IC!$C17:AV17)-1</f>
        <v>1.162844191108281E-2</v>
      </c>
      <c r="AW17" s="13">
        <f t="array" ref="AW17">PRODUCT(1+預測IC!$C17:AW17)-1</f>
        <v>2.0148263388795717E-2</v>
      </c>
      <c r="AX17" s="13">
        <f t="array" ref="AX17">PRODUCT(1+預測IC!$C17:AX17)-1</f>
        <v>0.11832790201911481</v>
      </c>
      <c r="AY17" s="13">
        <f t="array" ref="AY17">PRODUCT(1+預測IC!$C17:AY17)-1</f>
        <v>0.1489965872047232</v>
      </c>
      <c r="AZ17" s="13">
        <f t="array" ref="AZ17">PRODUCT(1+預測IC!$C17:AZ17)-1</f>
        <v>5.1909293450373983E-3</v>
      </c>
      <c r="BA17" s="13">
        <f t="array" ref="BA17">PRODUCT(1+預測IC!$C17:BA17)-1</f>
        <v>1.5067110262697581E-2</v>
      </c>
      <c r="BB17" s="13">
        <f t="array" ref="BB17">PRODUCT(1+預測IC!$C17:BB17)-1</f>
        <v>0.14069594016203779</v>
      </c>
      <c r="BC17" s="13">
        <f t="array" ref="BC17">PRODUCT(1+預測IC!$C17:BC17)-1</f>
        <v>0.23635834643038645</v>
      </c>
      <c r="BD17" s="13">
        <f t="array" ref="BD17">PRODUCT(1+預測IC!$C17:BD17)-1</f>
        <v>0.26399896985230442</v>
      </c>
      <c r="BE17" s="13">
        <f t="array" ref="BE17">PRODUCT(1+預測IC!$C17:BE17)-1</f>
        <v>0.36176959635903883</v>
      </c>
      <c r="BF17" s="13">
        <f t="array" ref="BF17">PRODUCT(1+預測IC!$C17:BF17)-1</f>
        <v>0.43693586903624304</v>
      </c>
      <c r="BG17" s="13">
        <f t="array" ref="BG17">PRODUCT(1+預測IC!$C17:BG17)-1</f>
        <v>0.38607662164420531</v>
      </c>
      <c r="BH17" s="13">
        <f t="array" ref="BH17">PRODUCT(1+預測IC!$C17:BH17)-1</f>
        <v>0.40481563026805434</v>
      </c>
      <c r="BI17" s="13">
        <f t="array" ref="BI17">PRODUCT(1+預測IC!$C17:BI17)-1</f>
        <v>0.52719185280515002</v>
      </c>
      <c r="BJ17" s="13">
        <f t="array" ref="BJ17">PRODUCT(1+預測IC!$C17:BJ17)-1</f>
        <v>0.51213669736263379</v>
      </c>
      <c r="BK17" s="13">
        <f t="array" ref="BK17">PRODUCT(1+預測IC!$C17:BK17)-1</f>
        <v>0.49123450427154247</v>
      </c>
      <c r="BL17" s="13">
        <f t="array" ref="BL17">PRODUCT(1+預測IC!$C17:BL17)-1</f>
        <v>0.60677977785694859</v>
      </c>
      <c r="BM17" s="13">
        <f t="array" ref="BM17">PRODUCT(1+預測IC!$C17:BM17)-1</f>
        <v>0.72889145857157067</v>
      </c>
      <c r="BN17" s="13">
        <f t="array" ref="BN17">PRODUCT(1+預測IC!$C17:BN17)-1</f>
        <v>0.60154477151610597</v>
      </c>
      <c r="BO17" s="13">
        <f t="array" ref="BO17">PRODUCT(1+預測IC!$C17:BO17)-1</f>
        <v>0.65788650065070708</v>
      </c>
      <c r="BP17" s="13">
        <f t="array" ref="BP17">PRODUCT(1+預測IC!$C17:BP17)-1</f>
        <v>0.7175637493975684</v>
      </c>
      <c r="BQ17" s="13">
        <f t="array" ref="BQ17">PRODUCT(1+預測IC!$C17:BQ17)-1</f>
        <v>0.73710363133503631</v>
      </c>
      <c r="BR17" s="13">
        <f t="array" ref="BR17">PRODUCT(1+預測IC!$C17:BR17)-1</f>
        <v>0.72034687807661335</v>
      </c>
      <c r="BS17" s="13">
        <f t="array" ref="BS17">PRODUCT(1+預測IC!$C17:BS17)-1</f>
        <v>0.71328748780289764</v>
      </c>
      <c r="BT17" s="13">
        <f t="array" ref="BT17">PRODUCT(1+預測IC!$C17:BT17)-1</f>
        <v>0.90074920068229503</v>
      </c>
      <c r="BU17" s="13">
        <f t="array" ref="BU17">PRODUCT(1+預測IC!$C17:BU17)-1</f>
        <v>0.76555305604552704</v>
      </c>
      <c r="BV17" s="13">
        <f t="array" ref="BV17">PRODUCT(1+預測IC!$C17:BV17)-1</f>
        <v>0.88951307110771438</v>
      </c>
      <c r="BW17" s="13">
        <f t="array" ref="BW17">PRODUCT(1+預測IC!$C17:BW17)-1</f>
        <v>0.73753629881982241</v>
      </c>
      <c r="BX17" s="13">
        <f t="array" ref="BX17">PRODUCT(1+預測IC!$C17:BX17)-1</f>
        <v>0.78761724608610328</v>
      </c>
      <c r="BY17" s="13">
        <f t="array" ref="BY17">PRODUCT(1+預測IC!$C17:BY17)-1</f>
        <v>0.63701859524846083</v>
      </c>
      <c r="BZ17" s="13">
        <f t="array" ref="BZ17">PRODUCT(1+預測IC!$C17:BZ17)-1</f>
        <v>0.83440727860656483</v>
      </c>
      <c r="CA17" s="13">
        <f t="array" ref="CA17">PRODUCT(1+預測IC!$C17:CA17)-1</f>
        <v>0.78316341880149731</v>
      </c>
      <c r="CB17" s="13">
        <f t="array" ref="CB17">PRODUCT(1+預測IC!$C17:CB17)-1</f>
        <v>0.76447995408887381</v>
      </c>
      <c r="CC17" s="13">
        <f t="array" ref="CC17">PRODUCT(1+預測IC!$C17:CC17)-1</f>
        <v>0.45577011617607921</v>
      </c>
      <c r="CD17" s="13">
        <f t="array" ref="CD17">PRODUCT(1+預測IC!$C17:CD17)-1</f>
        <v>0.70755973874446365</v>
      </c>
      <c r="CE17" s="13">
        <f t="array" ref="CE17">PRODUCT(1+預測IC!$C17:CE17)-1</f>
        <v>0.87098622588531671</v>
      </c>
      <c r="CF17" s="13">
        <f t="array" ref="CF17">PRODUCT(1+預測IC!$C17:CF17)-1</f>
        <v>0.69301099988075832</v>
      </c>
      <c r="CG17" s="13">
        <f t="array" ref="CG17">PRODUCT(1+預測IC!$C17:CG17)-1</f>
        <v>0.6667234401923483</v>
      </c>
      <c r="CH17" s="13">
        <f t="array" ref="CH17">PRODUCT(1+預測IC!$C17:CH17)-1</f>
        <v>0.76445418020190559</v>
      </c>
      <c r="CI17" s="13">
        <f t="array" ref="CI17">PRODUCT(1+預測IC!$C17:CI17)-1</f>
        <v>0.73881457010373897</v>
      </c>
      <c r="CJ17" s="13">
        <f t="array" ref="CJ17">PRODUCT(1+預測IC!$C17:CJ17)-1</f>
        <v>0.65058308218570327</v>
      </c>
      <c r="CK17" s="13">
        <f t="array" ref="CK17">PRODUCT(1+預測IC!$C17:CK17)-1</f>
        <v>0.80200521819871828</v>
      </c>
      <c r="CL17" s="13">
        <f t="array" ref="CL17">PRODUCT(1+預測IC!$C17:CL17)-1</f>
        <v>0.78501889573638373</v>
      </c>
      <c r="CM17" s="13">
        <f t="array" ref="CM17">PRODUCT(1+預測IC!$C17:CM17)-1</f>
        <v>0.61456275570791519</v>
      </c>
      <c r="CN17" s="13">
        <f t="array" ref="CN17">PRODUCT(1+預測IC!$C17:CN17)-1</f>
        <v>0.57142476926880503</v>
      </c>
      <c r="CO17" s="13">
        <f t="array" ref="CO17">PRODUCT(1+預測IC!$C17:CO17)-1</f>
        <v>0.88269317684985826</v>
      </c>
      <c r="CP17" s="13">
        <f t="array" ref="CP17">PRODUCT(1+預測IC!$C17:CP17)-1</f>
        <v>0.84200817729813271</v>
      </c>
      <c r="CQ17" s="13">
        <f t="array" ref="CQ17">PRODUCT(1+預測IC!$C17:CQ17)-1</f>
        <v>0.91769248621024091</v>
      </c>
      <c r="CR17" s="13">
        <f t="array" ref="CR17">PRODUCT(1+預測IC!$C17:CR17)-1</f>
        <v>1.0148744116573973</v>
      </c>
      <c r="CS17" s="13">
        <f t="array" ref="CS17">PRODUCT(1+預測IC!$C17:CS17)-1</f>
        <v>1.038139410910901</v>
      </c>
      <c r="CT17" s="13">
        <f t="array" ref="CT17">PRODUCT(1+預測IC!$C17:CT17)-1</f>
        <v>1.1576849494533219</v>
      </c>
      <c r="CU17" s="13">
        <f t="array" ref="CU17">PRODUCT(1+預測IC!$C17:CU17)-1</f>
        <v>1.2679617998243131</v>
      </c>
      <c r="CV17" s="13">
        <f t="array" ref="CV17">PRODUCT(1+預測IC!$C17:CV17)-1</f>
        <v>1.4219368448618606</v>
      </c>
      <c r="CW17" s="13">
        <f t="array" ref="CW17">PRODUCT(1+預測IC!$C17:CW17)-1</f>
        <v>1.3658520533453946</v>
      </c>
      <c r="CX17" s="13">
        <f t="array" ref="CX17">PRODUCT(1+預測IC!$C17:CX17)-1</f>
        <v>1.4249782449365762</v>
      </c>
      <c r="CY17" s="13">
        <f t="array" ref="CY17">PRODUCT(1+預測IC!$C17:CY17)-1</f>
        <v>1.3052248198868535</v>
      </c>
      <c r="CZ17" s="13">
        <f t="array" ref="CZ17">PRODUCT(1+預測IC!$C17:CZ17)-1</f>
        <v>1.7296994091684366</v>
      </c>
      <c r="DA17" s="13">
        <f t="array" ref="DA17">PRODUCT(1+預測IC!$C17:DA17)-1</f>
        <v>1.9876440608999388</v>
      </c>
      <c r="DB17" s="13">
        <f t="array" ref="DB17">PRODUCT(1+預測IC!$C17:DB17)-1</f>
        <v>2.2991686947740364</v>
      </c>
      <c r="DC17" s="13">
        <f t="array" ref="DC17">PRODUCT(1+預測IC!$C17:DC17)-1</f>
        <v>2.4769526478136727</v>
      </c>
      <c r="DD17" s="13">
        <f t="array" ref="DD17">PRODUCT(1+預測IC!$C17:DD17)-1</f>
        <v>2.1809459937579314</v>
      </c>
      <c r="DE17" s="13">
        <f t="array" ref="DE17">PRODUCT(1+預測IC!$C17:DE17)-1</f>
        <v>2.01660122613568</v>
      </c>
      <c r="DF17" s="13">
        <f t="array" ref="DF17">PRODUCT(1+預測IC!$C17:DF17)-1</f>
        <v>3.0791307574392324</v>
      </c>
      <c r="DG17" s="13">
        <f t="array" ref="DG17">PRODUCT(1+預測IC!$C17:DG17)-1</f>
        <v>2.8865504053584239</v>
      </c>
      <c r="DH17" s="13">
        <f t="array" ref="DH17">PRODUCT(1+預測IC!$C17:DH17)-1</f>
        <v>3.5217424552137686</v>
      </c>
      <c r="DI17" s="13">
        <f t="array" ref="DI17">PRODUCT(1+預測IC!$C17:DI17)-1</f>
        <v>3.8390839928987406</v>
      </c>
      <c r="DJ17" s="13">
        <f t="array" ref="DJ17">PRODUCT(1+預測IC!$C17:DJ17)-1</f>
        <v>4.1156201014134295</v>
      </c>
      <c r="DK17" s="13">
        <f t="array" ref="DK17">PRODUCT(1+預測IC!$C17:DK17)-1</f>
        <v>3.5898373068426697</v>
      </c>
      <c r="DL17" s="13">
        <f t="array" ref="DL17">PRODUCT(1+預測IC!$C17:DL17)-1</f>
        <v>3.5632632962953767</v>
      </c>
      <c r="DM17" s="13">
        <f t="array" ref="DM17">PRODUCT(1+預測IC!$C17:DM17)-1</f>
        <v>3.757491753607245</v>
      </c>
      <c r="DN17" s="13">
        <f t="array" ref="DN17">PRODUCT(1+預測IC!$C17:DN17)-1</f>
        <v>3.4690616798071749</v>
      </c>
      <c r="DO17" s="13">
        <f t="array" ref="DO17">PRODUCT(1+預測IC!$C17:DO17)-1</f>
        <v>4.2724291454926719</v>
      </c>
      <c r="DP17" s="13">
        <f t="array" ref="DP17">PRODUCT(1+預測IC!$C17:DP17)-1</f>
        <v>4.1401116046037449</v>
      </c>
      <c r="DQ17" s="13">
        <f t="array" ref="DQ17">PRODUCT(1+預測IC!$C17:DQ17)-1</f>
        <v>3.8047501630729785</v>
      </c>
      <c r="DR17" s="13">
        <f t="array" ref="DR17">PRODUCT(1+預測IC!$C17:DR17)-1</f>
        <v>4.0732627364633203</v>
      </c>
      <c r="DS17" s="13">
        <f t="array" ref="DS17">PRODUCT(1+預測IC!$C17:DS17)-1</f>
        <v>3.4425741953853537</v>
      </c>
      <c r="DT17" s="13">
        <f t="array" ref="DT17">PRODUCT(1+預測IC!$C17:DT17)-1</f>
        <v>3.5169562151386904</v>
      </c>
      <c r="DU17" s="13">
        <f t="array" ref="DU17">PRODUCT(1+預測IC!$C17:DU17)-1</f>
        <v>2.932037487015521</v>
      </c>
      <c r="DV17" s="13">
        <f t="array" ref="DV17">PRODUCT(1+預測IC!$C17:DV17)-1</f>
        <v>3.1768947999210093</v>
      </c>
      <c r="DW17" s="13">
        <f t="array" ref="DW17">PRODUCT(1+預測IC!$C17:DW17)-1</f>
        <v>2.8569457024707603</v>
      </c>
      <c r="DX17" s="13">
        <f t="array" ref="DX17">PRODUCT(1+預測IC!$C17:DX17)-1</f>
        <v>3.0271213786369628</v>
      </c>
      <c r="DY17" s="13">
        <f t="array" ref="DY17">PRODUCT(1+預測IC!$C17:DY17)-1</f>
        <v>3.4591600211602378</v>
      </c>
      <c r="DZ17" s="13">
        <f t="array" ref="DZ17">PRODUCT(1+預測IC!$C17:DZ17)-1</f>
        <v>3.6786042041215756</v>
      </c>
      <c r="EA17" s="13">
        <f t="array" ref="EA17">PRODUCT(1+預測IC!$C17:EA17)-1</f>
        <v>4.4485732096788482</v>
      </c>
      <c r="EB17" s="13">
        <f t="array" ref="EB17">PRODUCT(1+預測IC!$C17:EB17)-1</f>
        <v>4.0465577271908577</v>
      </c>
      <c r="EC17" s="13">
        <f t="array" ref="EC17">PRODUCT(1+預測IC!$C17:EC17)-1</f>
        <v>4.1294485340533571</v>
      </c>
      <c r="ED17" s="13">
        <f t="array" ref="ED17">PRODUCT(1+預測IC!$C17:ED17)-1</f>
        <v>3.4712149032589839</v>
      </c>
      <c r="EE17" s="13">
        <f t="array" ref="EE17">PRODUCT(1+預測IC!$C17:EE17)-1</f>
        <v>3.4720839956558045</v>
      </c>
      <c r="EF17" s="13">
        <f t="array" ref="EF17">PRODUCT(1+預測IC!$C17:EF17)-1</f>
        <v>3.6553712401967591</v>
      </c>
    </row>
    <row r="18" spans="1:136">
      <c r="A18" s="20">
        <v>7</v>
      </c>
      <c r="B18" s="20" t="s">
        <v>191</v>
      </c>
      <c r="C18" s="13">
        <f t="array" ref="C18">PRODUCT(1+預測IC!$C18:C18)-1</f>
        <v>0.18975114285714278</v>
      </c>
      <c r="D18" s="13">
        <f t="array" ref="D18">PRODUCT(1+預測IC!$C18:D18)-1</f>
        <v>0.18001009453995054</v>
      </c>
      <c r="E18" s="13">
        <f t="array" ref="E18">PRODUCT(1+預測IC!$C18:E18)-1</f>
        <v>0.11038872357957508</v>
      </c>
      <c r="F18" s="13">
        <f t="array" ref="F18">PRODUCT(1+預測IC!$C18:F18)-1</f>
        <v>-3.8863482078259071E-2</v>
      </c>
      <c r="G18" s="13">
        <f t="array" ref="G18">PRODUCT(1+預測IC!$C18:G18)-1</f>
        <v>-0.11651778332799723</v>
      </c>
      <c r="H18" s="13">
        <f t="array" ref="H18">PRODUCT(1+預測IC!$C18:H18)-1</f>
        <v>-8.8100019406683883E-3</v>
      </c>
      <c r="I18" s="13">
        <f t="array" ref="I18">PRODUCT(1+預測IC!$C18:I18)-1</f>
        <v>0.12549642143184503</v>
      </c>
      <c r="J18" s="13">
        <f t="array" ref="J18">PRODUCT(1+預測IC!$C18:J18)-1</f>
        <v>0.17435592705924985</v>
      </c>
      <c r="K18" s="13">
        <f t="array" ref="K18">PRODUCT(1+預測IC!$C18:K18)-1</f>
        <v>-0.24686452125355196</v>
      </c>
      <c r="L18" s="13">
        <f t="array" ref="L18">PRODUCT(1+預測IC!$C18:L18)-1</f>
        <v>-0.23708694980673095</v>
      </c>
      <c r="M18" s="13">
        <f t="array" ref="M18">PRODUCT(1+預測IC!$C18:M18)-1</f>
        <v>-0.17628081359244285</v>
      </c>
      <c r="N18" s="13">
        <f t="array" ref="N18">PRODUCT(1+預測IC!$C18:N18)-1</f>
        <v>-5.8495207726989351E-2</v>
      </c>
      <c r="O18" s="13">
        <f t="array" ref="O18">PRODUCT(1+預測IC!$C18:O18)-1</f>
        <v>3.9111055076586521E-2</v>
      </c>
      <c r="P18" s="13">
        <f t="array" ref="P18">PRODUCT(1+預測IC!$C18:P18)-1</f>
        <v>-4.6670276231189467E-2</v>
      </c>
      <c r="Q18" s="13">
        <f t="array" ref="Q18">PRODUCT(1+預測IC!$C18:Q18)-1</f>
        <v>-0.22682615992953614</v>
      </c>
      <c r="R18" s="13">
        <f t="array" ref="R18">PRODUCT(1+預測IC!$C18:R18)-1</f>
        <v>-0.27437034961953743</v>
      </c>
      <c r="S18" s="13">
        <f t="array" ref="S18">PRODUCT(1+預測IC!$C18:S18)-1</f>
        <v>-0.55281812299096367</v>
      </c>
      <c r="T18" s="13">
        <f t="array" ref="T18">PRODUCT(1+預測IC!$C18:T18)-1</f>
        <v>-0.5770752535016026</v>
      </c>
      <c r="U18" s="13">
        <f t="array" ref="U18">PRODUCT(1+預測IC!$C18:U18)-1</f>
        <v>-0.63311067812088273</v>
      </c>
      <c r="V18" s="13">
        <f t="array" ref="V18">PRODUCT(1+預測IC!$C18:V18)-1</f>
        <v>-0.62837959075956551</v>
      </c>
      <c r="W18" s="13">
        <f t="array" ref="W18">PRODUCT(1+預測IC!$C18:W18)-1</f>
        <v>-0.57712673036402051</v>
      </c>
      <c r="X18" s="13">
        <f t="array" ref="X18">PRODUCT(1+預測IC!$C18:X18)-1</f>
        <v>-0.51646491806753214</v>
      </c>
      <c r="Y18" s="13">
        <f t="array" ref="Y18">PRODUCT(1+預測IC!$C18:Y18)-1</f>
        <v>-0.50716540969825696</v>
      </c>
      <c r="Z18" s="13">
        <f t="array" ref="Z18">PRODUCT(1+預測IC!$C18:Z18)-1</f>
        <v>-0.46318762875121011</v>
      </c>
      <c r="AA18" s="13">
        <f t="array" ref="AA18">PRODUCT(1+預測IC!$C18:AA18)-1</f>
        <v>-0.48557552031126039</v>
      </c>
      <c r="AB18" s="13">
        <f t="array" ref="AB18">PRODUCT(1+預測IC!$C18:AB18)-1</f>
        <v>-0.44200464154188512</v>
      </c>
      <c r="AC18" s="13">
        <f t="array" ref="AC18">PRODUCT(1+預測IC!$C18:AC18)-1</f>
        <v>-0.40973966875619705</v>
      </c>
      <c r="AD18" s="13">
        <f t="array" ref="AD18">PRODUCT(1+預測IC!$C18:AD18)-1</f>
        <v>-0.39404134676941671</v>
      </c>
      <c r="AE18" s="13">
        <f t="array" ref="AE18">PRODUCT(1+預測IC!$C18:AE18)-1</f>
        <v>-0.48101413260498593</v>
      </c>
      <c r="AF18" s="13">
        <f t="array" ref="AF18">PRODUCT(1+預測IC!$C18:AF18)-1</f>
        <v>-0.46447227903404975</v>
      </c>
      <c r="AG18" s="13">
        <f t="array" ref="AG18">PRODUCT(1+預測IC!$C18:AG18)-1</f>
        <v>-0.44707131462307215</v>
      </c>
      <c r="AH18" s="13">
        <f t="array" ref="AH18">PRODUCT(1+預測IC!$C18:AH18)-1</f>
        <v>-0.46692966936857228</v>
      </c>
      <c r="AI18" s="13">
        <f t="array" ref="AI18">PRODUCT(1+預測IC!$C18:AI18)-1</f>
        <v>-0.40398129784691628</v>
      </c>
      <c r="AJ18" s="13">
        <f t="array" ref="AJ18">PRODUCT(1+預測IC!$C18:AJ18)-1</f>
        <v>-0.40834900804182295</v>
      </c>
      <c r="AK18" s="13">
        <f t="array" ref="AK18">PRODUCT(1+預測IC!$C18:AK18)-1</f>
        <v>-0.39050926298623778</v>
      </c>
      <c r="AL18" s="13">
        <f t="array" ref="AL18">PRODUCT(1+預測IC!$C18:AL18)-1</f>
        <v>-0.3615415313013971</v>
      </c>
      <c r="AM18" s="13">
        <f t="array" ref="AM18">PRODUCT(1+預測IC!$C18:AM18)-1</f>
        <v>-0.31899248472503761</v>
      </c>
      <c r="AN18" s="13">
        <f t="array" ref="AN18">PRODUCT(1+預測IC!$C18:AN18)-1</f>
        <v>-0.26499223899452296</v>
      </c>
      <c r="AO18" s="13">
        <f t="array" ref="AO18">PRODUCT(1+預測IC!$C18:AO18)-1</f>
        <v>-0.26100295867014012</v>
      </c>
      <c r="AP18" s="13">
        <f t="array" ref="AP18">PRODUCT(1+預測IC!$C18:AP18)-1</f>
        <v>-0.3188506065086909</v>
      </c>
      <c r="AQ18" s="13">
        <f t="array" ref="AQ18">PRODUCT(1+預測IC!$C18:AQ18)-1</f>
        <v>-0.37077520056813207</v>
      </c>
      <c r="AR18" s="13">
        <f t="array" ref="AR18">PRODUCT(1+預測IC!$C18:AR18)-1</f>
        <v>-0.29240807930676815</v>
      </c>
      <c r="AS18" s="13">
        <f t="array" ref="AS18">PRODUCT(1+預測IC!$C18:AS18)-1</f>
        <v>-0.32451384969350228</v>
      </c>
      <c r="AT18" s="13">
        <f t="array" ref="AT18">PRODUCT(1+預測IC!$C18:AT18)-1</f>
        <v>-0.29524797328667218</v>
      </c>
      <c r="AU18" s="13">
        <f t="array" ref="AU18">PRODUCT(1+預測IC!$C18:AU18)-1</f>
        <v>-0.2497381572452616</v>
      </c>
      <c r="AV18" s="13">
        <f t="array" ref="AV18">PRODUCT(1+預測IC!$C18:AV18)-1</f>
        <v>-0.27132225704683999</v>
      </c>
      <c r="AW18" s="13">
        <f t="array" ref="AW18">PRODUCT(1+預測IC!$C18:AW18)-1</f>
        <v>-0.2534419376395225</v>
      </c>
      <c r="AX18" s="13">
        <f t="array" ref="AX18">PRODUCT(1+預測IC!$C18:AX18)-1</f>
        <v>-0.17314150424863495</v>
      </c>
      <c r="AY18" s="13">
        <f t="array" ref="AY18">PRODUCT(1+預測IC!$C18:AY18)-1</f>
        <v>-0.14438065479411455</v>
      </c>
      <c r="AZ18" s="13">
        <f t="array" ref="AZ18">PRODUCT(1+預測IC!$C18:AZ18)-1</f>
        <v>-0.27136233669031062</v>
      </c>
      <c r="BA18" s="13">
        <f t="array" ref="BA18">PRODUCT(1+預測IC!$C18:BA18)-1</f>
        <v>-0.27090161113566258</v>
      </c>
      <c r="BB18" s="13">
        <f t="array" ref="BB18">PRODUCT(1+預測IC!$C18:BB18)-1</f>
        <v>-0.17053681258130671</v>
      </c>
      <c r="BC18" s="13">
        <f t="array" ref="BC18">PRODUCT(1+預測IC!$C18:BC18)-1</f>
        <v>-0.10152417097980315</v>
      </c>
      <c r="BD18" s="13">
        <f t="array" ref="BD18">PRODUCT(1+預測IC!$C18:BD18)-1</f>
        <v>-0.12310221059402471</v>
      </c>
      <c r="BE18" s="13">
        <f t="array" ref="BE18">PRODUCT(1+預測IC!$C18:BE18)-1</f>
        <v>-6.3156413824369206E-2</v>
      </c>
      <c r="BF18" s="13">
        <f t="array" ref="BF18">PRODUCT(1+預測IC!$C18:BF18)-1</f>
        <v>-2.0169780287465966E-2</v>
      </c>
      <c r="BG18" s="13">
        <f t="array" ref="BG18">PRODUCT(1+預測IC!$C18:BG18)-1</f>
        <v>-3.6637043320679519E-2</v>
      </c>
      <c r="BH18" s="13">
        <f t="array" ref="BH18">PRODUCT(1+預測IC!$C18:BH18)-1</f>
        <v>-1.6884390809813521E-2</v>
      </c>
      <c r="BI18" s="13">
        <f t="array" ref="BI18">PRODUCT(1+預測IC!$C18:BI18)-1</f>
        <v>9.0275217393764873E-2</v>
      </c>
      <c r="BJ18" s="13">
        <f t="array" ref="BJ18">PRODUCT(1+預測IC!$C18:BJ18)-1</f>
        <v>9.6768966421190816E-2</v>
      </c>
      <c r="BK18" s="13">
        <f t="array" ref="BK18">PRODUCT(1+預測IC!$C18:BK18)-1</f>
        <v>3.3152808263561706E-2</v>
      </c>
      <c r="BL18" s="13">
        <f t="array" ref="BL18">PRODUCT(1+預測IC!$C18:BL18)-1</f>
        <v>0.11700108688304356</v>
      </c>
      <c r="BM18" s="13">
        <f t="array" ref="BM18">PRODUCT(1+預測IC!$C18:BM18)-1</f>
        <v>0.23179968852015742</v>
      </c>
      <c r="BN18" s="13">
        <f t="array" ref="BN18">PRODUCT(1+預測IC!$C18:BN18)-1</f>
        <v>0.13546045890961178</v>
      </c>
      <c r="BO18" s="13">
        <f t="array" ref="BO18">PRODUCT(1+預測IC!$C18:BO18)-1</f>
        <v>0.1584279809211484</v>
      </c>
      <c r="BP18" s="13">
        <f t="array" ref="BP18">PRODUCT(1+預測IC!$C18:BP18)-1</f>
        <v>0.21270906676198531</v>
      </c>
      <c r="BQ18" s="13">
        <f t="array" ref="BQ18">PRODUCT(1+預測IC!$C18:BQ18)-1</f>
        <v>0.21503356823102449</v>
      </c>
      <c r="BR18" s="13">
        <f t="array" ref="BR18">PRODUCT(1+預測IC!$C18:BR18)-1</f>
        <v>0.20804932006982924</v>
      </c>
      <c r="BS18" s="13">
        <f t="array" ref="BS18">PRODUCT(1+預測IC!$C18:BS18)-1</f>
        <v>0.20323690447984122</v>
      </c>
      <c r="BT18" s="13">
        <f t="array" ref="BT18">PRODUCT(1+預測IC!$C18:BT18)-1</f>
        <v>0.34189401246886497</v>
      </c>
      <c r="BU18" s="13">
        <f t="array" ref="BU18">PRODUCT(1+預測IC!$C18:BU18)-1</f>
        <v>0.23363343337024234</v>
      </c>
      <c r="BV18" s="13">
        <f t="array" ref="BV18">PRODUCT(1+預測IC!$C18:BV18)-1</f>
        <v>0.33346323932583721</v>
      </c>
      <c r="BW18" s="13">
        <f t="array" ref="BW18">PRODUCT(1+預測IC!$C18:BW18)-1</f>
        <v>0.21970404099349028</v>
      </c>
      <c r="BX18" s="13">
        <f t="array" ref="BX18">PRODUCT(1+預測IC!$C18:BX18)-1</f>
        <v>0.24290095145817148</v>
      </c>
      <c r="BY18" s="13">
        <f t="array" ref="BY18">PRODUCT(1+預測IC!$C18:BY18)-1</f>
        <v>8.9930946905799614E-2</v>
      </c>
      <c r="BZ18" s="13">
        <f t="array" ref="BZ18">PRODUCT(1+預測IC!$C18:BZ18)-1</f>
        <v>0.25703914639107106</v>
      </c>
      <c r="CA18" s="13">
        <f t="array" ref="CA18">PRODUCT(1+預測IC!$C18:CA18)-1</f>
        <v>0.23683030137907068</v>
      </c>
      <c r="CB18" s="13">
        <f t="array" ref="CB18">PRODUCT(1+預測IC!$C18:CB18)-1</f>
        <v>0.20643228199299535</v>
      </c>
      <c r="CC18" s="13">
        <f t="array" ref="CC18">PRODUCT(1+預測IC!$C18:CC18)-1</f>
        <v>0.17244292963306851</v>
      </c>
      <c r="CD18" s="13">
        <f t="array" ref="CD18">PRODUCT(1+預測IC!$C18:CD18)-1</f>
        <v>0.39956484400655667</v>
      </c>
      <c r="CE18" s="13">
        <f t="array" ref="CE18">PRODUCT(1+預測IC!$C18:CE18)-1</f>
        <v>0.50769502391666843</v>
      </c>
      <c r="CF18" s="13">
        <f t="array" ref="CF18">PRODUCT(1+預測IC!$C18:CF18)-1</f>
        <v>0.3541227164755405</v>
      </c>
      <c r="CG18" s="13">
        <f t="array" ref="CG18">PRODUCT(1+預測IC!$C18:CG18)-1</f>
        <v>0.35032933269867628</v>
      </c>
      <c r="CH18" s="13">
        <f t="array" ref="CH18">PRODUCT(1+預測IC!$C18:CH18)-1</f>
        <v>0.56996991401058539</v>
      </c>
      <c r="CI18" s="13">
        <f t="array" ref="CI18">PRODUCT(1+預測IC!$C18:CI18)-1</f>
        <v>0.5089465338191439</v>
      </c>
      <c r="CJ18" s="13">
        <f t="array" ref="CJ18">PRODUCT(1+預測IC!$C18:CJ18)-1</f>
        <v>0.41491852565572351</v>
      </c>
      <c r="CK18" s="13">
        <f t="array" ref="CK18">PRODUCT(1+預測IC!$C18:CK18)-1</f>
        <v>0.543206053331033</v>
      </c>
      <c r="CL18" s="13">
        <f t="array" ref="CL18">PRODUCT(1+預測IC!$C18:CL18)-1</f>
        <v>0.49538279980725464</v>
      </c>
      <c r="CM18" s="13">
        <f t="array" ref="CM18">PRODUCT(1+預測IC!$C18:CM18)-1</f>
        <v>0.34170423210609124</v>
      </c>
      <c r="CN18" s="13">
        <f t="array" ref="CN18">PRODUCT(1+預測IC!$C18:CN18)-1</f>
        <v>0.29462885665482252</v>
      </c>
      <c r="CO18" s="13">
        <f t="array" ref="CO18">PRODUCT(1+預測IC!$C18:CO18)-1</f>
        <v>0.59016932130969879</v>
      </c>
      <c r="CP18" s="13">
        <f t="array" ref="CP18">PRODUCT(1+預測IC!$C18:CP18)-1</f>
        <v>0.56552465000099517</v>
      </c>
      <c r="CQ18" s="13">
        <f t="array" ref="CQ18">PRODUCT(1+預測IC!$C18:CQ18)-1</f>
        <v>0.64063310036980825</v>
      </c>
      <c r="CR18" s="13">
        <f t="array" ref="CR18">PRODUCT(1+預測IC!$C18:CR18)-1</f>
        <v>0.7311240708305069</v>
      </c>
      <c r="CS18" s="13">
        <f t="array" ref="CS18">PRODUCT(1+預測IC!$C18:CS18)-1</f>
        <v>0.77981935442577544</v>
      </c>
      <c r="CT18" s="13">
        <f t="array" ref="CT18">PRODUCT(1+預測IC!$C18:CT18)-1</f>
        <v>0.91663559375993131</v>
      </c>
      <c r="CU18" s="13">
        <f t="array" ref="CU18">PRODUCT(1+預測IC!$C18:CU18)-1</f>
        <v>0.92572373213537107</v>
      </c>
      <c r="CV18" s="13">
        <f t="array" ref="CV18">PRODUCT(1+預測IC!$C18:CV18)-1</f>
        <v>1.0469373120410705</v>
      </c>
      <c r="CW18" s="13">
        <f t="array" ref="CW18">PRODUCT(1+預測IC!$C18:CW18)-1</f>
        <v>0.98894874766941099</v>
      </c>
      <c r="CX18" s="13">
        <f t="array" ref="CX18">PRODUCT(1+預測IC!$C18:CX18)-1</f>
        <v>0.96094576997990244</v>
      </c>
      <c r="CY18" s="13">
        <f t="array" ref="CY18">PRODUCT(1+預測IC!$C18:CY18)-1</f>
        <v>0.86023666668113563</v>
      </c>
      <c r="CZ18" s="13">
        <f t="array" ref="CZ18">PRODUCT(1+預測IC!$C18:CZ18)-1</f>
        <v>1.2404921614350459</v>
      </c>
      <c r="DA18" s="13">
        <f t="array" ref="DA18">PRODUCT(1+預測IC!$C18:DA18)-1</f>
        <v>1.4160523261504645</v>
      </c>
      <c r="DB18" s="13">
        <f t="array" ref="DB18">PRODUCT(1+預測IC!$C18:DB18)-1</f>
        <v>1.7014219306014007</v>
      </c>
      <c r="DC18" s="13">
        <f t="array" ref="DC18">PRODUCT(1+預測IC!$C18:DC18)-1</f>
        <v>1.8343550446321091</v>
      </c>
      <c r="DD18" s="13">
        <f t="array" ref="DD18">PRODUCT(1+預測IC!$C18:DD18)-1</f>
        <v>1.6006274570101455</v>
      </c>
      <c r="DE18" s="13">
        <f t="array" ref="DE18">PRODUCT(1+預測IC!$C18:DE18)-1</f>
        <v>1.4984053365938639</v>
      </c>
      <c r="DF18" s="13">
        <f t="array" ref="DF18">PRODUCT(1+預測IC!$C18:DF18)-1</f>
        <v>2.4145545123456702</v>
      </c>
      <c r="DG18" s="13">
        <f t="array" ref="DG18">PRODUCT(1+預測IC!$C18:DG18)-1</f>
        <v>2.2275369227369892</v>
      </c>
      <c r="DH18" s="13">
        <f t="array" ref="DH18">PRODUCT(1+預測IC!$C18:DH18)-1</f>
        <v>2.848523326052244</v>
      </c>
      <c r="DI18" s="13">
        <f t="array" ref="DI18">PRODUCT(1+預測IC!$C18:DI18)-1</f>
        <v>3.2255356668532533</v>
      </c>
      <c r="DJ18" s="13">
        <f t="array" ref="DJ18">PRODUCT(1+預測IC!$C18:DJ18)-1</f>
        <v>3.4395801760577047</v>
      </c>
      <c r="DK18" s="13">
        <f t="array" ref="DK18">PRODUCT(1+預測IC!$C18:DK18)-1</f>
        <v>2.9666500924487211</v>
      </c>
      <c r="DL18" s="13">
        <f t="array" ref="DL18">PRODUCT(1+預測IC!$C18:DL18)-1</f>
        <v>2.873792513777393</v>
      </c>
      <c r="DM18" s="13">
        <f t="array" ref="DM18">PRODUCT(1+預測IC!$C18:DM18)-1</f>
        <v>3.1002416959574166</v>
      </c>
      <c r="DN18" s="13">
        <f t="array" ref="DN18">PRODUCT(1+預測IC!$C18:DN18)-1</f>
        <v>2.8670480642344169</v>
      </c>
      <c r="DO18" s="13">
        <f t="array" ref="DO18">PRODUCT(1+預測IC!$C18:DO18)-1</f>
        <v>3.7190344364402304</v>
      </c>
      <c r="DP18" s="13">
        <f t="array" ref="DP18">PRODUCT(1+預測IC!$C18:DP18)-1</f>
        <v>3.617528679860178</v>
      </c>
      <c r="DQ18" s="13">
        <f t="array" ref="DQ18">PRODUCT(1+預測IC!$C18:DQ18)-1</f>
        <v>3.3314510097933487</v>
      </c>
      <c r="DR18" s="13">
        <f t="array" ref="DR18">PRODUCT(1+預測IC!$C18:DR18)-1</f>
        <v>3.664282541498542</v>
      </c>
      <c r="DS18" s="13">
        <f t="array" ref="DS18">PRODUCT(1+預測IC!$C18:DS18)-1</f>
        <v>2.9752654031248502</v>
      </c>
      <c r="DT18" s="13">
        <f t="array" ref="DT18">PRODUCT(1+預測IC!$C18:DT18)-1</f>
        <v>2.9458177728086166</v>
      </c>
      <c r="DU18" s="13">
        <f t="array" ref="DU18">PRODUCT(1+預測IC!$C18:DU18)-1</f>
        <v>2.3195556139325371</v>
      </c>
      <c r="DV18" s="13">
        <f t="array" ref="DV18">PRODUCT(1+預測IC!$C18:DV18)-1</f>
        <v>2.6030651064738284</v>
      </c>
      <c r="DW18" s="13">
        <f t="array" ref="DW18">PRODUCT(1+預測IC!$C18:DW18)-1</f>
        <v>2.3557584384192642</v>
      </c>
      <c r="DX18" s="13">
        <f t="array" ref="DX18">PRODUCT(1+預測IC!$C18:DX18)-1</f>
        <v>2.5630896589904348</v>
      </c>
      <c r="DY18" s="13">
        <f t="array" ref="DY18">PRODUCT(1+預測IC!$C18:DY18)-1</f>
        <v>3.050635361235031</v>
      </c>
      <c r="DZ18" s="13">
        <f t="array" ref="DZ18">PRODUCT(1+預測IC!$C18:DZ18)-1</f>
        <v>3.2719204136949118</v>
      </c>
      <c r="EA18" s="13">
        <f t="array" ref="EA18">PRODUCT(1+預測IC!$C18:EA18)-1</f>
        <v>4.1218073847869636</v>
      </c>
      <c r="EB18" s="13">
        <f t="array" ref="EB18">PRODUCT(1+預測IC!$C18:EB18)-1</f>
        <v>3.6247615871303127</v>
      </c>
      <c r="EC18" s="13">
        <f t="array" ref="EC18">PRODUCT(1+預測IC!$C18:EC18)-1</f>
        <v>3.6375449619719653</v>
      </c>
      <c r="ED18" s="13">
        <f t="array" ref="ED18">PRODUCT(1+預測IC!$C18:ED18)-1</f>
        <v>3.1251981682597556</v>
      </c>
      <c r="EE18" s="13">
        <f t="array" ref="EE18">PRODUCT(1+預測IC!$C18:EE18)-1</f>
        <v>3.1206180196649393</v>
      </c>
      <c r="EF18" s="13">
        <f t="array" ref="EF18">PRODUCT(1+預測IC!$C18:EF18)-1</f>
        <v>3.3841391945988351</v>
      </c>
    </row>
    <row r="19" spans="1:136">
      <c r="A19" s="20">
        <v>6</v>
      </c>
      <c r="B19" s="20" t="s">
        <v>192</v>
      </c>
      <c r="C19" s="13">
        <f t="array" ref="C19">PRODUCT(1+預測IC!$C19:C19)-1</f>
        <v>0.19659983333333342</v>
      </c>
      <c r="D19" s="13">
        <f t="array" ref="D19">PRODUCT(1+預測IC!$C19:D19)-1</f>
        <v>0.1724634580682427</v>
      </c>
      <c r="E19" s="13">
        <f t="array" ref="E19">PRODUCT(1+預測IC!$C19:E19)-1</f>
        <v>0.10809744920834796</v>
      </c>
      <c r="F19" s="13">
        <f t="array" ref="F19">PRODUCT(1+預測IC!$C19:F19)-1</f>
        <v>6.5273159589834373E-2</v>
      </c>
      <c r="G19" s="13">
        <f t="array" ref="G19">PRODUCT(1+預測IC!$C19:G19)-1</f>
        <v>-3.8603853220931517E-2</v>
      </c>
      <c r="H19" s="13">
        <f t="array" ref="H19">PRODUCT(1+預測IC!$C19:H19)-1</f>
        <v>0.10454238198238452</v>
      </c>
      <c r="I19" s="13">
        <f t="array" ref="I19">PRODUCT(1+預測IC!$C19:I19)-1</f>
        <v>0.25327379957857388</v>
      </c>
      <c r="J19" s="13">
        <f t="array" ref="J19">PRODUCT(1+預測IC!$C19:J19)-1</f>
        <v>0.29767676958768408</v>
      </c>
      <c r="K19" s="13">
        <f t="array" ref="K19">PRODUCT(1+預測IC!$C19:K19)-1</f>
        <v>-0.24519054145484498</v>
      </c>
      <c r="L19" s="13">
        <f t="array" ref="L19">PRODUCT(1+預測IC!$C19:L19)-1</f>
        <v>-0.21269678105131196</v>
      </c>
      <c r="M19" s="13">
        <f t="array" ref="M19">PRODUCT(1+預測IC!$C19:M19)-1</f>
        <v>-0.14482310362939177</v>
      </c>
      <c r="N19" s="13">
        <f t="array" ref="N19">PRODUCT(1+預測IC!$C19:N19)-1</f>
        <v>-6.3283794669534266E-2</v>
      </c>
      <c r="O19" s="13">
        <f t="array" ref="O19">PRODUCT(1+預測IC!$C19:O19)-1</f>
        <v>2.3101469282779119E-2</v>
      </c>
      <c r="P19" s="13">
        <f t="array" ref="P19">PRODUCT(1+預測IC!$C19:P19)-1</f>
        <v>-7.1570392563716889E-2</v>
      </c>
      <c r="Q19" s="13">
        <f t="array" ref="Q19">PRODUCT(1+預測IC!$C19:Q19)-1</f>
        <v>-0.25462244120207034</v>
      </c>
      <c r="R19" s="13">
        <f t="array" ref="R19">PRODUCT(1+預測IC!$C19:R19)-1</f>
        <v>-0.32192935693817104</v>
      </c>
      <c r="S19" s="13">
        <f t="array" ref="S19">PRODUCT(1+預測IC!$C19:S19)-1</f>
        <v>-0.44680292569365954</v>
      </c>
      <c r="T19" s="13">
        <f t="array" ref="T19">PRODUCT(1+預測IC!$C19:T19)-1</f>
        <v>-0.4618245928305813</v>
      </c>
      <c r="U19" s="13">
        <f t="array" ref="U19">PRODUCT(1+預測IC!$C19:U19)-1</f>
        <v>-0.53485410147603019</v>
      </c>
      <c r="V19" s="13">
        <f t="array" ref="V19">PRODUCT(1+預測IC!$C19:V19)-1</f>
        <v>-0.51782106904329783</v>
      </c>
      <c r="W19" s="13">
        <f t="array" ref="W19">PRODUCT(1+預測IC!$C19:W19)-1</f>
        <v>-0.44712351648331616</v>
      </c>
      <c r="X19" s="13">
        <f t="array" ref="X19">PRODUCT(1+預測IC!$C19:X19)-1</f>
        <v>-0.38263653129696096</v>
      </c>
      <c r="Y19" s="13">
        <f t="array" ref="Y19">PRODUCT(1+預測IC!$C19:Y19)-1</f>
        <v>-0.36681434673444535</v>
      </c>
      <c r="Z19" s="13">
        <f t="array" ref="Z19">PRODUCT(1+預測IC!$C19:Z19)-1</f>
        <v>-0.30880244035275684</v>
      </c>
      <c r="AA19" s="13">
        <f t="array" ref="AA19">PRODUCT(1+預測IC!$C19:AA19)-1</f>
        <v>-0.33753565045961564</v>
      </c>
      <c r="AB19" s="13">
        <f t="array" ref="AB19">PRODUCT(1+預測IC!$C19:AB19)-1</f>
        <v>-0.26979628194955074</v>
      </c>
      <c r="AC19" s="13">
        <f t="array" ref="AC19">PRODUCT(1+預測IC!$C19:AC19)-1</f>
        <v>-0.24901991630511322</v>
      </c>
      <c r="AD19" s="13">
        <f t="array" ref="AD19">PRODUCT(1+預測IC!$C19:AD19)-1</f>
        <v>-0.22266882977737035</v>
      </c>
      <c r="AE19" s="13">
        <f t="array" ref="AE19">PRODUCT(1+預測IC!$C19:AE19)-1</f>
        <v>-0.35436121472729076</v>
      </c>
      <c r="AF19" s="13">
        <f t="array" ref="AF19">PRODUCT(1+預測IC!$C19:AF19)-1</f>
        <v>-0.32931968392280075</v>
      </c>
      <c r="AG19" s="13">
        <f t="array" ref="AG19">PRODUCT(1+預測IC!$C19:AG19)-1</f>
        <v>-0.31447335751847028</v>
      </c>
      <c r="AH19" s="13">
        <f t="array" ref="AH19">PRODUCT(1+預測IC!$C19:AH19)-1</f>
        <v>-0.32550439523152142</v>
      </c>
      <c r="AI19" s="13">
        <f t="array" ref="AI19">PRODUCT(1+預測IC!$C19:AI19)-1</f>
        <v>-0.26375477227870381</v>
      </c>
      <c r="AJ19" s="13">
        <f t="array" ref="AJ19">PRODUCT(1+預測IC!$C19:AJ19)-1</f>
        <v>-0.25479736742317061</v>
      </c>
      <c r="AK19" s="13">
        <f t="array" ref="AK19">PRODUCT(1+預測IC!$C19:AK19)-1</f>
        <v>-0.24916956546640245</v>
      </c>
      <c r="AL19" s="13">
        <f t="array" ref="AL19">PRODUCT(1+預測IC!$C19:AL19)-1</f>
        <v>-0.19640800079330478</v>
      </c>
      <c r="AM19" s="13">
        <f t="array" ref="AM19">PRODUCT(1+預測IC!$C19:AM19)-1</f>
        <v>-0.16176835458395034</v>
      </c>
      <c r="AN19" s="13">
        <f t="array" ref="AN19">PRODUCT(1+預測IC!$C19:AN19)-1</f>
        <v>-9.1718765693191817E-2</v>
      </c>
      <c r="AO19" s="13">
        <f t="array" ref="AO19">PRODUCT(1+預測IC!$C19:AO19)-1</f>
        <v>-6.8200727755316271E-2</v>
      </c>
      <c r="AP19" s="13">
        <f t="array" ref="AP19">PRODUCT(1+預測IC!$C19:AP19)-1</f>
        <v>-0.14980222929302822</v>
      </c>
      <c r="AQ19" s="13">
        <f t="array" ref="AQ19">PRODUCT(1+預測IC!$C19:AQ19)-1</f>
        <v>-0.22483452660473735</v>
      </c>
      <c r="AR19" s="13">
        <f t="array" ref="AR19">PRODUCT(1+預測IC!$C19:AR19)-1</f>
        <v>-0.10583301274000445</v>
      </c>
      <c r="AS19" s="13">
        <f t="array" ref="AS19">PRODUCT(1+預測IC!$C19:AS19)-1</f>
        <v>-0.10912980642203207</v>
      </c>
      <c r="AT19" s="13">
        <f t="array" ref="AT19">PRODUCT(1+預測IC!$C19:AT19)-1</f>
        <v>-6.5214376473999303E-2</v>
      </c>
      <c r="AU19" s="13">
        <f t="array" ref="AU19">PRODUCT(1+預測IC!$C19:AU19)-1</f>
        <v>6.2300881996801838E-3</v>
      </c>
      <c r="AV19" s="13">
        <f t="array" ref="AV19">PRODUCT(1+預測IC!$C19:AV19)-1</f>
        <v>-4.4114642629136336E-2</v>
      </c>
      <c r="AW19" s="13">
        <f t="array" ref="AW19">PRODUCT(1+預測IC!$C19:AW19)-1</f>
        <v>-2.274470884367652E-2</v>
      </c>
      <c r="AX19" s="13">
        <f t="array" ref="AX19">PRODUCT(1+預測IC!$C19:AX19)-1</f>
        <v>5.5637433925850743E-2</v>
      </c>
      <c r="AY19" s="13">
        <f t="array" ref="AY19">PRODUCT(1+預測IC!$C19:AY19)-1</f>
        <v>8.6809320458390626E-2</v>
      </c>
      <c r="AZ19" s="13">
        <f t="array" ref="AZ19">PRODUCT(1+預測IC!$C19:AZ19)-1</f>
        <v>-0.11629319037048647</v>
      </c>
      <c r="BA19" s="13">
        <f t="array" ref="BA19">PRODUCT(1+預測IC!$C19:BA19)-1</f>
        <v>-0.14666078862601917</v>
      </c>
      <c r="BB19" s="13">
        <f t="array" ref="BB19">PRODUCT(1+預測IC!$C19:BB19)-1</f>
        <v>-1.0343093089559496E-2</v>
      </c>
      <c r="BC19" s="13">
        <f t="array" ref="BC19">PRODUCT(1+預測IC!$C19:BC19)-1</f>
        <v>5.3049861398450693E-2</v>
      </c>
      <c r="BD19" s="13">
        <f t="array" ref="BD19">PRODUCT(1+預測IC!$C19:BD19)-1</f>
        <v>4.9643884687649242E-2</v>
      </c>
      <c r="BE19" s="13">
        <f t="array" ref="BE19">PRODUCT(1+預測IC!$C19:BE19)-1</f>
        <v>0.10331414350623147</v>
      </c>
      <c r="BF19" s="13">
        <f t="array" ref="BF19">PRODUCT(1+預測IC!$C19:BF19)-1</f>
        <v>0.1182871912261334</v>
      </c>
      <c r="BG19" s="13">
        <f t="array" ref="BG19">PRODUCT(1+預測IC!$C19:BG19)-1</f>
        <v>0.10001028745473972</v>
      </c>
      <c r="BH19" s="13">
        <f t="array" ref="BH19">PRODUCT(1+預測IC!$C19:BH19)-1</f>
        <v>0.10223033008847238</v>
      </c>
      <c r="BI19" s="13">
        <f t="array" ref="BI19">PRODUCT(1+預測IC!$C19:BI19)-1</f>
        <v>0.24309385491673408</v>
      </c>
      <c r="BJ19" s="13">
        <f t="array" ref="BJ19">PRODUCT(1+預測IC!$C19:BJ19)-1</f>
        <v>0.2700780680661663</v>
      </c>
      <c r="BK19" s="13">
        <f t="array" ref="BK19">PRODUCT(1+預測IC!$C19:BK19)-1</f>
        <v>0.20435212994390906</v>
      </c>
      <c r="BL19" s="13">
        <f t="array" ref="BL19">PRODUCT(1+預測IC!$C19:BL19)-1</f>
        <v>0.30065773630288639</v>
      </c>
      <c r="BM19" s="13">
        <f t="array" ref="BM19">PRODUCT(1+預測IC!$C19:BM19)-1</f>
        <v>0.44925866340660736</v>
      </c>
      <c r="BN19" s="13">
        <f t="array" ref="BN19">PRODUCT(1+預測IC!$C19:BN19)-1</f>
        <v>0.33126702778224781</v>
      </c>
      <c r="BO19" s="13">
        <f t="array" ref="BO19">PRODUCT(1+預測IC!$C19:BO19)-1</f>
        <v>0.36551914557358267</v>
      </c>
      <c r="BP19" s="13">
        <f t="array" ref="BP19">PRODUCT(1+預測IC!$C19:BP19)-1</f>
        <v>0.451299429963542</v>
      </c>
      <c r="BQ19" s="13">
        <f t="array" ref="BQ19">PRODUCT(1+預測IC!$C19:BQ19)-1</f>
        <v>0.46571670301733348</v>
      </c>
      <c r="BR19" s="13">
        <f t="array" ref="BR19">PRODUCT(1+預測IC!$C19:BR19)-1</f>
        <v>0.47550072261075682</v>
      </c>
      <c r="BS19" s="13">
        <f t="array" ref="BS19">PRODUCT(1+預測IC!$C19:BS19)-1</f>
        <v>0.43971047726538215</v>
      </c>
      <c r="BT19" s="13">
        <f t="array" ref="BT19">PRODUCT(1+預測IC!$C19:BT19)-1</f>
        <v>0.64362053037374545</v>
      </c>
      <c r="BU19" s="13">
        <f t="array" ref="BU19">PRODUCT(1+預測IC!$C19:BU19)-1</f>
        <v>0.518810148845533</v>
      </c>
      <c r="BV19" s="13">
        <f t="array" ref="BV19">PRODUCT(1+預測IC!$C19:BV19)-1</f>
        <v>0.6610546796018113</v>
      </c>
      <c r="BW19" s="13">
        <f t="array" ref="BW19">PRODUCT(1+預測IC!$C19:BW19)-1</f>
        <v>0.48005459847351784</v>
      </c>
      <c r="BX19" s="13">
        <f t="array" ref="BX19">PRODUCT(1+預測IC!$C19:BX19)-1</f>
        <v>0.53050638181690934</v>
      </c>
      <c r="BY19" s="13">
        <f t="array" ref="BY19">PRODUCT(1+預測IC!$C19:BY19)-1</f>
        <v>0.36574777301758066</v>
      </c>
      <c r="BZ19" s="13">
        <f t="array" ref="BZ19">PRODUCT(1+預測IC!$C19:BZ19)-1</f>
        <v>0.45957754699487663</v>
      </c>
      <c r="CA19" s="13">
        <f t="array" ref="CA19">PRODUCT(1+預測IC!$C19:CA19)-1</f>
        <v>0.41676995438894671</v>
      </c>
      <c r="CB19" s="13">
        <f t="array" ref="CB19">PRODUCT(1+預測IC!$C19:CB19)-1</f>
        <v>0.34870667027272906</v>
      </c>
      <c r="CC19" s="13">
        <f t="array" ref="CC19">PRODUCT(1+預測IC!$C19:CC19)-1</f>
        <v>0.3153622543566188</v>
      </c>
      <c r="CD19" s="13">
        <f t="array" ref="CD19">PRODUCT(1+預測IC!$C19:CD19)-1</f>
        <v>0.59897960884373802</v>
      </c>
      <c r="CE19" s="13">
        <f t="array" ref="CE19">PRODUCT(1+預測IC!$C19:CE19)-1</f>
        <v>0.74044799725318033</v>
      </c>
      <c r="CF19" s="13">
        <f t="array" ref="CF19">PRODUCT(1+預測IC!$C19:CF19)-1</f>
        <v>0.54604227655732962</v>
      </c>
      <c r="CG19" s="13">
        <f t="array" ref="CG19">PRODUCT(1+預測IC!$C19:CG19)-1</f>
        <v>0.46776069854334068</v>
      </c>
      <c r="CH19" s="13">
        <f t="array" ref="CH19">PRODUCT(1+預測IC!$C19:CH19)-1</f>
        <v>0.69216643660473909</v>
      </c>
      <c r="CI19" s="13">
        <f t="array" ref="CI19">PRODUCT(1+預測IC!$C19:CI19)-1</f>
        <v>0.62944299440502172</v>
      </c>
      <c r="CJ19" s="13">
        <f t="array" ref="CJ19">PRODUCT(1+預測IC!$C19:CJ19)-1</f>
        <v>0.52851448066541962</v>
      </c>
      <c r="CK19" s="13">
        <f t="array" ref="CK19">PRODUCT(1+預測IC!$C19:CK19)-1</f>
        <v>0.6874306428705903</v>
      </c>
      <c r="CL19" s="13">
        <f t="array" ref="CL19">PRODUCT(1+預測IC!$C19:CL19)-1</f>
        <v>0.61446566943482606</v>
      </c>
      <c r="CM19" s="13">
        <f t="array" ref="CM19">PRODUCT(1+預測IC!$C19:CM19)-1</f>
        <v>0.43649477728706643</v>
      </c>
      <c r="CN19" s="13">
        <f t="array" ref="CN19">PRODUCT(1+預測IC!$C19:CN19)-1</f>
        <v>0.32598142065465563</v>
      </c>
      <c r="CO19" s="13">
        <f t="array" ref="CO19">PRODUCT(1+預測IC!$C19:CO19)-1</f>
        <v>0.65911524686044176</v>
      </c>
      <c r="CP19" s="13">
        <f t="array" ref="CP19">PRODUCT(1+預測IC!$C19:CP19)-1</f>
        <v>0.61093951743735508</v>
      </c>
      <c r="CQ19" s="13">
        <f t="array" ref="CQ19">PRODUCT(1+預測IC!$C19:CQ19)-1</f>
        <v>0.60654180051219675</v>
      </c>
      <c r="CR19" s="13">
        <f t="array" ref="CR19">PRODUCT(1+預測IC!$C19:CR19)-1</f>
        <v>0.68637759327070791</v>
      </c>
      <c r="CS19" s="13">
        <f t="array" ref="CS19">PRODUCT(1+預測IC!$C19:CS19)-1</f>
        <v>0.76019989666786203</v>
      </c>
      <c r="CT19" s="13">
        <f t="array" ref="CT19">PRODUCT(1+預測IC!$C19:CT19)-1</f>
        <v>0.80670789833762013</v>
      </c>
      <c r="CU19" s="13">
        <f t="array" ref="CU19">PRODUCT(1+預測IC!$C19:CU19)-1</f>
        <v>0.81963910900198833</v>
      </c>
      <c r="CV19" s="13">
        <f t="array" ref="CV19">PRODUCT(1+預測IC!$C19:CV19)-1</f>
        <v>0.95819279949828107</v>
      </c>
      <c r="CW19" s="13">
        <f t="array" ref="CW19">PRODUCT(1+預測IC!$C19:CW19)-1</f>
        <v>0.89515171960763329</v>
      </c>
      <c r="CX19" s="13">
        <f t="array" ref="CX19">PRODUCT(1+預測IC!$C19:CX19)-1</f>
        <v>0.89728850317149078</v>
      </c>
      <c r="CY19" s="13">
        <f t="array" ref="CY19">PRODUCT(1+預測IC!$C19:CY19)-1</f>
        <v>0.7627292554235845</v>
      </c>
      <c r="CZ19" s="13">
        <f t="array" ref="CZ19">PRODUCT(1+預測IC!$C19:CZ19)-1</f>
        <v>1.0412660373547142</v>
      </c>
      <c r="DA19" s="13">
        <f t="array" ref="DA19">PRODUCT(1+預測IC!$C19:DA19)-1</f>
        <v>1.1947335212081347</v>
      </c>
      <c r="DB19" s="13">
        <f t="array" ref="DB19">PRODUCT(1+預測IC!$C19:DB19)-1</f>
        <v>1.5194684877396116</v>
      </c>
      <c r="DC19" s="13">
        <f t="array" ref="DC19">PRODUCT(1+預測IC!$C19:DC19)-1</f>
        <v>1.5957495953200747</v>
      </c>
      <c r="DD19" s="13">
        <f t="array" ref="DD19">PRODUCT(1+預測IC!$C19:DD19)-1</f>
        <v>1.3199321585156114</v>
      </c>
      <c r="DE19" s="13">
        <f t="array" ref="DE19">PRODUCT(1+預測IC!$C19:DE19)-1</f>
        <v>1.3059998059376459</v>
      </c>
      <c r="DF19" s="13">
        <f t="array" ref="DF19">PRODUCT(1+預測IC!$C19:DF19)-1</f>
        <v>1.779889299723949</v>
      </c>
      <c r="DG19" s="13">
        <f t="array" ref="DG19">PRODUCT(1+預測IC!$C19:DG19)-1</f>
        <v>1.5953755373994216</v>
      </c>
      <c r="DH19" s="13">
        <f t="array" ref="DH19">PRODUCT(1+預測IC!$C19:DH19)-1</f>
        <v>2.1782743898446744</v>
      </c>
      <c r="DI19" s="13">
        <f t="array" ref="DI19">PRODUCT(1+預測IC!$C19:DI19)-1</f>
        <v>2.5229953272912109</v>
      </c>
      <c r="DJ19" s="13">
        <f t="array" ref="DJ19">PRODUCT(1+預測IC!$C19:DJ19)-1</f>
        <v>2.8065976254699292</v>
      </c>
      <c r="DK19" s="13">
        <f t="array" ref="DK19">PRODUCT(1+預測IC!$C19:DK19)-1</f>
        <v>2.3443218721011103</v>
      </c>
      <c r="DL19" s="13">
        <f t="array" ref="DL19">PRODUCT(1+預測IC!$C19:DL19)-1</f>
        <v>2.2663562536837958</v>
      </c>
      <c r="DM19" s="13">
        <f t="array" ref="DM19">PRODUCT(1+預測IC!$C19:DM19)-1</f>
        <v>2.4535179226271686</v>
      </c>
      <c r="DN19" s="13">
        <f t="array" ref="DN19">PRODUCT(1+預測IC!$C19:DN19)-1</f>
        <v>2.2314843483456226</v>
      </c>
      <c r="DO19" s="13">
        <f t="array" ref="DO19">PRODUCT(1+預測IC!$C19:DO19)-1</f>
        <v>3.0369679070793252</v>
      </c>
      <c r="DP19" s="13">
        <f t="array" ref="DP19">PRODUCT(1+預測IC!$C19:DP19)-1</f>
        <v>3.0208139799991471</v>
      </c>
      <c r="DQ19" s="13">
        <f t="array" ref="DQ19">PRODUCT(1+預測IC!$C19:DQ19)-1</f>
        <v>2.8172703242966404</v>
      </c>
      <c r="DR19" s="13">
        <f t="array" ref="DR19">PRODUCT(1+預測IC!$C19:DR19)-1</f>
        <v>3.1072391614080832</v>
      </c>
      <c r="DS19" s="13">
        <f t="array" ref="DS19">PRODUCT(1+預測IC!$C19:DS19)-1</f>
        <v>2.3761688804024854</v>
      </c>
      <c r="DT19" s="13">
        <f t="array" ref="DT19">PRODUCT(1+預測IC!$C19:DT19)-1</f>
        <v>2.3657820968419272</v>
      </c>
      <c r="DU19" s="13">
        <f t="array" ref="DU19">PRODUCT(1+預測IC!$C19:DU19)-1</f>
        <v>1.8589542142442275</v>
      </c>
      <c r="DV19" s="13">
        <f t="array" ref="DV19">PRODUCT(1+預測IC!$C19:DV19)-1</f>
        <v>1.9679580380630863</v>
      </c>
      <c r="DW19" s="13">
        <f t="array" ref="DW19">PRODUCT(1+預測IC!$C19:DW19)-1</f>
        <v>1.6673127926814097</v>
      </c>
      <c r="DX19" s="13">
        <f t="array" ref="DX19">PRODUCT(1+預測IC!$C19:DX19)-1</f>
        <v>1.9560880785246662</v>
      </c>
      <c r="DY19" s="13">
        <f t="array" ref="DY19">PRODUCT(1+預測IC!$C19:DY19)-1</f>
        <v>2.3677174312830691</v>
      </c>
      <c r="DZ19" s="13">
        <f t="array" ref="DZ19">PRODUCT(1+預測IC!$C19:DZ19)-1</f>
        <v>2.6322095390424627</v>
      </c>
      <c r="EA19" s="13">
        <f t="array" ref="EA19">PRODUCT(1+預測IC!$C19:EA19)-1</f>
        <v>3.4786874969607178</v>
      </c>
      <c r="EB19" s="13">
        <f t="array" ref="EB19">PRODUCT(1+預測IC!$C19:EB19)-1</f>
        <v>3.0028336684398873</v>
      </c>
      <c r="EC19" s="13">
        <f t="array" ref="EC19">PRODUCT(1+預測IC!$C19:EC19)-1</f>
        <v>2.9540389530043147</v>
      </c>
      <c r="ED19" s="13">
        <f t="array" ref="ED19">PRODUCT(1+預測IC!$C19:ED19)-1</f>
        <v>2.3572348302411807</v>
      </c>
      <c r="EE19" s="13">
        <f t="array" ref="EE19">PRODUCT(1+預測IC!$C19:EE19)-1</f>
        <v>2.3817639069892</v>
      </c>
      <c r="EF19" s="13">
        <f t="array" ref="EF19">PRODUCT(1+預測IC!$C19:EF19)-1</f>
        <v>2.6320820713845405</v>
      </c>
    </row>
    <row r="20" spans="1:136">
      <c r="A20" s="20">
        <v>5</v>
      </c>
      <c r="B20" s="20" t="s">
        <v>193</v>
      </c>
      <c r="C20" s="13">
        <f t="array" ref="C20">PRODUCT(1+預測IC!$C20:C20)-1</f>
        <v>0.20155100000000004</v>
      </c>
      <c r="D20" s="13">
        <f t="array" ref="D20">PRODUCT(1+預測IC!$C20:D20)-1</f>
        <v>0.20197360743152171</v>
      </c>
      <c r="E20" s="13">
        <f t="array" ref="E20">PRODUCT(1+預測IC!$C20:E20)-1</f>
        <v>0.22060418409651272</v>
      </c>
      <c r="F20" s="13">
        <f t="array" ref="F20">PRODUCT(1+預測IC!$C20:F20)-1</f>
        <v>0.10926259632663116</v>
      </c>
      <c r="G20" s="13">
        <f t="array" ref="G20">PRODUCT(1+預測IC!$C20:G20)-1</f>
        <v>-2.0695557111778395E-3</v>
      </c>
      <c r="H20" s="13">
        <f t="array" ref="H20">PRODUCT(1+預測IC!$C20:H20)-1</f>
        <v>0.16196226541000724</v>
      </c>
      <c r="I20" s="13">
        <f t="array" ref="I20">PRODUCT(1+預測IC!$C20:I20)-1</f>
        <v>0.34572608944358496</v>
      </c>
      <c r="J20" s="13">
        <f t="array" ref="J20">PRODUCT(1+預測IC!$C20:J20)-1</f>
        <v>0.39211496164827531</v>
      </c>
      <c r="K20" s="13">
        <f t="array" ref="K20">PRODUCT(1+預測IC!$C20:K20)-1</f>
        <v>0.26667335607011133</v>
      </c>
      <c r="L20" s="13">
        <f t="array" ref="L20">PRODUCT(1+預測IC!$C20:L20)-1</f>
        <v>0.38790493460953268</v>
      </c>
      <c r="M20" s="13">
        <f t="array" ref="M20">PRODUCT(1+預測IC!$C20:M20)-1</f>
        <v>0.52688059452474856</v>
      </c>
      <c r="N20" s="13">
        <f t="array" ref="N20">PRODUCT(1+預測IC!$C20:N20)-1</f>
        <v>0.68250779078284807</v>
      </c>
      <c r="O20" s="13">
        <f t="array" ref="O20">PRODUCT(1+預測IC!$C20:O20)-1</f>
        <v>0.84924680993406798</v>
      </c>
      <c r="P20" s="13">
        <f t="array" ref="P20">PRODUCT(1+預測IC!$C20:P20)-1</f>
        <v>0.68065111203112783</v>
      </c>
      <c r="Q20" s="13">
        <f t="array" ref="Q20">PRODUCT(1+預測IC!$C20:Q20)-1</f>
        <v>0.31641075777000394</v>
      </c>
      <c r="R20" s="13">
        <f t="array" ref="R20">PRODUCT(1+預測IC!$C20:R20)-1</f>
        <v>0.17258886000959528</v>
      </c>
      <c r="S20" s="13">
        <f t="array" ref="S20">PRODUCT(1+預測IC!$C20:S20)-1</f>
        <v>-9.3765495086365336E-3</v>
      </c>
      <c r="T20" s="13">
        <f t="array" ref="T20">PRODUCT(1+預測IC!$C20:T20)-1</f>
        <v>6.1394969546897382E-3</v>
      </c>
      <c r="U20" s="13">
        <f t="array" ref="U20">PRODUCT(1+預測IC!$C20:U20)-1</f>
        <v>-0.14342281742148388</v>
      </c>
      <c r="V20" s="13">
        <f t="array" ref="V20">PRODUCT(1+預測IC!$C20:V20)-1</f>
        <v>-0.13259216719712996</v>
      </c>
      <c r="W20" s="13">
        <f t="array" ref="W20">PRODUCT(1+預測IC!$C20:W20)-1</f>
        <v>1.7543443842935158E-2</v>
      </c>
      <c r="X20" s="13">
        <f t="array" ref="X20">PRODUCT(1+預測IC!$C20:X20)-1</f>
        <v>0.16884930609992477</v>
      </c>
      <c r="Y20" s="13">
        <f t="array" ref="Y20">PRODUCT(1+預測IC!$C20:Y20)-1</f>
        <v>0.21801986205648016</v>
      </c>
      <c r="Z20" s="13">
        <f t="array" ref="Z20">PRODUCT(1+預測IC!$C20:Z20)-1</f>
        <v>0.34666341769561138</v>
      </c>
      <c r="AA20" s="13">
        <f t="array" ref="AA20">PRODUCT(1+預測IC!$C20:AA20)-1</f>
        <v>0.31758282262746351</v>
      </c>
      <c r="AB20" s="13">
        <f t="array" ref="AB20">PRODUCT(1+預測IC!$C20:AB20)-1</f>
        <v>0.42926093281690902</v>
      </c>
      <c r="AC20" s="13">
        <f t="array" ref="AC20">PRODUCT(1+預測IC!$C20:AC20)-1</f>
        <v>0.50993320165838529</v>
      </c>
      <c r="AD20" s="13">
        <f t="array" ref="AD20">PRODUCT(1+預測IC!$C20:AD20)-1</f>
        <v>0.56195629350107534</v>
      </c>
      <c r="AE20" s="13">
        <f t="array" ref="AE20">PRODUCT(1+預測IC!$C20:AE20)-1</f>
        <v>0.25066954979676548</v>
      </c>
      <c r="AF20" s="13">
        <f t="array" ref="AF20">PRODUCT(1+預測IC!$C20:AF20)-1</f>
        <v>0.29950154013771968</v>
      </c>
      <c r="AG20" s="13">
        <f t="array" ref="AG20">PRODUCT(1+預測IC!$C20:AG20)-1</f>
        <v>0.33544473722931545</v>
      </c>
      <c r="AH20" s="13">
        <f t="array" ref="AH20">PRODUCT(1+預測IC!$C20:AH20)-1</f>
        <v>0.29830735453170543</v>
      </c>
      <c r="AI20" s="13">
        <f t="array" ref="AI20">PRODUCT(1+預測IC!$C20:AI20)-1</f>
        <v>0.44934879689733132</v>
      </c>
      <c r="AJ20" s="13">
        <f t="array" ref="AJ20">PRODUCT(1+預測IC!$C20:AJ20)-1</f>
        <v>0.47433643976511952</v>
      </c>
      <c r="AK20" s="13">
        <f t="array" ref="AK20">PRODUCT(1+預測IC!$C20:AK20)-1</f>
        <v>0.45429266558654691</v>
      </c>
      <c r="AL20" s="13">
        <f t="array" ref="AL20">PRODUCT(1+預測IC!$C20:AL20)-1</f>
        <v>0.56030107825320696</v>
      </c>
      <c r="AM20" s="13">
        <f t="array" ref="AM20">PRODUCT(1+預測IC!$C20:AM20)-1</f>
        <v>0.61194077270141123</v>
      </c>
      <c r="AN20" s="13">
        <f t="array" ref="AN20">PRODUCT(1+預測IC!$C20:AN20)-1</f>
        <v>0.73359425475835049</v>
      </c>
      <c r="AO20" s="13">
        <f t="array" ref="AO20">PRODUCT(1+預測IC!$C20:AO20)-1</f>
        <v>0.81210021267859522</v>
      </c>
      <c r="AP20" s="13">
        <f t="array" ref="AP20">PRODUCT(1+預測IC!$C20:AP20)-1</f>
        <v>0.57339141582145747</v>
      </c>
      <c r="AQ20" s="13">
        <f t="array" ref="AQ20">PRODUCT(1+預測IC!$C20:AQ20)-1</f>
        <v>0.61658492058728709</v>
      </c>
      <c r="AR20" s="13">
        <f t="array" ref="AR20">PRODUCT(1+預測IC!$C20:AR20)-1</f>
        <v>0.89148357731211303</v>
      </c>
      <c r="AS20" s="13">
        <f t="array" ref="AS20">PRODUCT(1+預測IC!$C20:AS20)-1</f>
        <v>0.85905825264296687</v>
      </c>
      <c r="AT20" s="13">
        <f t="array" ref="AT20">PRODUCT(1+預測IC!$C20:AT20)-1</f>
        <v>0.86995005435224559</v>
      </c>
      <c r="AU20" s="13">
        <f t="array" ref="AU20">PRODUCT(1+預測IC!$C20:AU20)-1</f>
        <v>1.0114910373408375</v>
      </c>
      <c r="AV20" s="13">
        <f t="array" ref="AV20">PRODUCT(1+預測IC!$C20:AV20)-1</f>
        <v>0.90161190365903687</v>
      </c>
      <c r="AW20" s="13">
        <f t="array" ref="AW20">PRODUCT(1+預測IC!$C20:AW20)-1</f>
        <v>0.91466697935032193</v>
      </c>
      <c r="AX20" s="13">
        <f t="array" ref="AX20">PRODUCT(1+預測IC!$C20:AX20)-1</f>
        <v>1.1266829325427605</v>
      </c>
      <c r="AY20" s="13">
        <f t="array" ref="AY20">PRODUCT(1+預測IC!$C20:AY20)-1</f>
        <v>1.2089317536425339</v>
      </c>
      <c r="AZ20" s="13">
        <f t="array" ref="AZ20">PRODUCT(1+預測IC!$C20:AZ20)-1</f>
        <v>0.73665677440949007</v>
      </c>
      <c r="BA20" s="13">
        <f t="array" ref="BA20">PRODUCT(1+預測IC!$C20:BA20)-1</f>
        <v>0.67274977645885303</v>
      </c>
      <c r="BB20" s="13">
        <f t="array" ref="BB20">PRODUCT(1+預測IC!$C20:BB20)-1</f>
        <v>0.95319534843412357</v>
      </c>
      <c r="BC20" s="13">
        <f t="array" ref="BC20">PRODUCT(1+預測IC!$C20:BC20)-1</f>
        <v>1.0911018147958362</v>
      </c>
      <c r="BD20" s="13">
        <f t="array" ref="BD20">PRODUCT(1+預測IC!$C20:BD20)-1</f>
        <v>0.97937463540395142</v>
      </c>
      <c r="BE20" s="13">
        <f t="array" ref="BE20">PRODUCT(1+預測IC!$C20:BE20)-1</f>
        <v>0.9676036959846066</v>
      </c>
      <c r="BF20" s="13">
        <f t="array" ref="BF20">PRODUCT(1+預測IC!$C20:BF20)-1</f>
        <v>0.97879657160464162</v>
      </c>
      <c r="BG20" s="13">
        <f t="array" ref="BG20">PRODUCT(1+預測IC!$C20:BG20)-1</f>
        <v>0.9650911441582346</v>
      </c>
      <c r="BH20" s="13">
        <f t="array" ref="BH20">PRODUCT(1+預測IC!$C20:BH20)-1</f>
        <v>0.82437794906966011</v>
      </c>
      <c r="BI20" s="13">
        <f t="array" ref="BI20">PRODUCT(1+預測IC!$C20:BI20)-1</f>
        <v>1.0647311092341458</v>
      </c>
      <c r="BJ20" s="13">
        <f t="array" ref="BJ20">PRODUCT(1+預測IC!$C20:BJ20)-1</f>
        <v>1.1093902351936742</v>
      </c>
      <c r="BK20" s="13">
        <f t="array" ref="BK20">PRODUCT(1+預測IC!$C20:BK20)-1</f>
        <v>0.98444436934642643</v>
      </c>
      <c r="BL20" s="13">
        <f t="array" ref="BL20">PRODUCT(1+預測IC!$C20:BL20)-1</f>
        <v>1.1556865016228821</v>
      </c>
      <c r="BM20" s="13">
        <f t="array" ref="BM20">PRODUCT(1+預測IC!$C20:BM20)-1</f>
        <v>1.4508380559823695</v>
      </c>
      <c r="BN20" s="13">
        <f t="array" ref="BN20">PRODUCT(1+預測IC!$C20:BN20)-1</f>
        <v>1.4965118739936574</v>
      </c>
      <c r="BO20" s="13">
        <f t="array" ref="BO20">PRODUCT(1+預測IC!$C20:BO20)-1</f>
        <v>1.4004917395208256</v>
      </c>
      <c r="BP20" s="13">
        <f t="array" ref="BP20">PRODUCT(1+預測IC!$C20:BP20)-1</f>
        <v>1.545499494117232</v>
      </c>
      <c r="BQ20" s="13">
        <f t="array" ref="BQ20">PRODUCT(1+預測IC!$C20:BQ20)-1</f>
        <v>1.5848318063693059</v>
      </c>
      <c r="BR20" s="13">
        <f t="array" ref="BR20">PRODUCT(1+預測IC!$C20:BR20)-1</f>
        <v>1.6160401136846212</v>
      </c>
      <c r="BS20" s="13">
        <f t="array" ref="BS20">PRODUCT(1+預測IC!$C20:BS20)-1</f>
        <v>1.6301863667957752</v>
      </c>
      <c r="BT20" s="13">
        <f t="array" ref="BT20">PRODUCT(1+預測IC!$C20:BT20)-1</f>
        <v>2.0189358896333172</v>
      </c>
      <c r="BU20" s="13">
        <f t="array" ref="BU20">PRODUCT(1+預測IC!$C20:BU20)-1</f>
        <v>1.7208010287082263</v>
      </c>
      <c r="BV20" s="13">
        <f t="array" ref="BV20">PRODUCT(1+預測IC!$C20:BV20)-1</f>
        <v>2.0361917444711741</v>
      </c>
      <c r="BW20" s="13">
        <f t="array" ref="BW20">PRODUCT(1+預測IC!$C20:BW20)-1</f>
        <v>1.6247778899691356</v>
      </c>
      <c r="BX20" s="13">
        <f t="array" ref="BX20">PRODUCT(1+預測IC!$C20:BX20)-1</f>
        <v>1.7053418688980608</v>
      </c>
      <c r="BY20" s="13">
        <f t="array" ref="BY20">PRODUCT(1+預測IC!$C20:BY20)-1</f>
        <v>1.4206480136489739</v>
      </c>
      <c r="BZ20" s="13">
        <f t="array" ref="BZ20">PRODUCT(1+預測IC!$C20:BZ20)-1</f>
        <v>1.6391633090609332</v>
      </c>
      <c r="CA20" s="13">
        <f t="array" ref="CA20">PRODUCT(1+預測IC!$C20:CA20)-1</f>
        <v>1.5333256605934982</v>
      </c>
      <c r="CB20" s="13">
        <f t="array" ref="CB20">PRODUCT(1+預測IC!$C20:CB20)-1</f>
        <v>1.4364210140630749</v>
      </c>
      <c r="CC20" s="13">
        <f t="array" ref="CC20">PRODUCT(1+預測IC!$C20:CC20)-1</f>
        <v>1.3729692192840606</v>
      </c>
      <c r="CD20" s="13">
        <f t="array" ref="CD20">PRODUCT(1+預測IC!$C20:CD20)-1</f>
        <v>1.8025418986732697</v>
      </c>
      <c r="CE20" s="13">
        <f t="array" ref="CE20">PRODUCT(1+預測IC!$C20:CE20)-1</f>
        <v>2.0429366561325262</v>
      </c>
      <c r="CF20" s="13">
        <f t="array" ref="CF20">PRODUCT(1+預測IC!$C20:CF20)-1</f>
        <v>1.643677806180027</v>
      </c>
      <c r="CG20" s="13">
        <f t="array" ref="CG20">PRODUCT(1+預測IC!$C20:CG20)-1</f>
        <v>1.3818138831350071</v>
      </c>
      <c r="CH20" s="13">
        <f t="array" ref="CH20">PRODUCT(1+預測IC!$C20:CH20)-1</f>
        <v>1.5529806170002405</v>
      </c>
      <c r="CI20" s="13">
        <f t="array" ref="CI20">PRODUCT(1+預測IC!$C20:CI20)-1</f>
        <v>1.4753836040077286</v>
      </c>
      <c r="CJ20" s="13">
        <f t="array" ref="CJ20">PRODUCT(1+預測IC!$C20:CJ20)-1</f>
        <v>1.1698214600851107</v>
      </c>
      <c r="CK20" s="13">
        <f t="array" ref="CK20">PRODUCT(1+預測IC!$C20:CK20)-1</f>
        <v>1.3672283377576293</v>
      </c>
      <c r="CL20" s="13">
        <f t="array" ref="CL20">PRODUCT(1+預測IC!$C20:CL20)-1</f>
        <v>1.1490055492308011</v>
      </c>
      <c r="CM20" s="13">
        <f t="array" ref="CM20">PRODUCT(1+預測IC!$C20:CM20)-1</f>
        <v>0.94103725640842972</v>
      </c>
      <c r="CN20" s="13">
        <f t="array" ref="CN20">PRODUCT(1+預測IC!$C20:CN20)-1</f>
        <v>0.98404949945862086</v>
      </c>
      <c r="CO20" s="13">
        <f t="array" ref="CO20">PRODUCT(1+預測IC!$C20:CO20)-1</f>
        <v>1.5724658052813623</v>
      </c>
      <c r="CP20" s="13">
        <f t="array" ref="CP20">PRODUCT(1+預測IC!$C20:CP20)-1</f>
        <v>1.5915643059129323</v>
      </c>
      <c r="CQ20" s="13">
        <f t="array" ref="CQ20">PRODUCT(1+預測IC!$C20:CQ20)-1</f>
        <v>1.6074022829825476</v>
      </c>
      <c r="CR20" s="13">
        <f t="array" ref="CR20">PRODUCT(1+預測IC!$C20:CR20)-1</f>
        <v>1.7980457458302119</v>
      </c>
      <c r="CS20" s="13">
        <f t="array" ref="CS20">PRODUCT(1+預測IC!$C20:CS20)-1</f>
        <v>1.8604248180786014</v>
      </c>
      <c r="CT20" s="13">
        <f t="array" ref="CT20">PRODUCT(1+預測IC!$C20:CT20)-1</f>
        <v>1.9417049334542318</v>
      </c>
      <c r="CU20" s="13">
        <f t="array" ref="CU20">PRODUCT(1+預測IC!$C20:CU20)-1</f>
        <v>1.9717773946479475</v>
      </c>
      <c r="CV20" s="13">
        <f t="array" ref="CV20">PRODUCT(1+預測IC!$C20:CV20)-1</f>
        <v>2.2600522833938559</v>
      </c>
      <c r="CW20" s="13">
        <f t="array" ref="CW20">PRODUCT(1+預測IC!$C20:CW20)-1</f>
        <v>2.1758836015307366</v>
      </c>
      <c r="CX20" s="13">
        <f t="array" ref="CX20">PRODUCT(1+預測IC!$C20:CX20)-1</f>
        <v>2.2056956208983056</v>
      </c>
      <c r="CY20" s="13">
        <f t="array" ref="CY20">PRODUCT(1+預測IC!$C20:CY20)-1</f>
        <v>2.1656893965335651</v>
      </c>
      <c r="CZ20" s="13">
        <f t="array" ref="CZ20">PRODUCT(1+預測IC!$C20:CZ20)-1</f>
        <v>2.5718581094527697</v>
      </c>
      <c r="DA20" s="13">
        <f t="array" ref="DA20">PRODUCT(1+預測IC!$C20:DA20)-1</f>
        <v>2.8471826475023647</v>
      </c>
      <c r="DB20" s="13">
        <f t="array" ref="DB20">PRODUCT(1+預測IC!$C20:DB20)-1</f>
        <v>3.1432887543326791</v>
      </c>
      <c r="DC20" s="13">
        <f t="array" ref="DC20">PRODUCT(1+預測IC!$C20:DC20)-1</f>
        <v>3.2630380859104022</v>
      </c>
      <c r="DD20" s="13">
        <f t="array" ref="DD20">PRODUCT(1+預測IC!$C20:DD20)-1</f>
        <v>2.6316445695249686</v>
      </c>
      <c r="DE20" s="13">
        <f t="array" ref="DE20">PRODUCT(1+預測IC!$C20:DE20)-1</f>
        <v>2.521001433411993</v>
      </c>
      <c r="DF20" s="13">
        <f t="array" ref="DF20">PRODUCT(1+預測IC!$C20:DF20)-1</f>
        <v>3.3856727688227162</v>
      </c>
      <c r="DG20" s="13">
        <f t="array" ref="DG20">PRODUCT(1+預測IC!$C20:DG20)-1</f>
        <v>3.156101219200476</v>
      </c>
      <c r="DH20" s="13">
        <f t="array" ref="DH20">PRODUCT(1+預測IC!$C20:DH20)-1</f>
        <v>4.3127425260634809</v>
      </c>
      <c r="DI20" s="13">
        <f t="array" ref="DI20">PRODUCT(1+預測IC!$C20:DI20)-1</f>
        <v>5.0437546466797114</v>
      </c>
      <c r="DJ20" s="13">
        <f t="array" ref="DJ20">PRODUCT(1+預測IC!$C20:DJ20)-1</f>
        <v>5.5349753105997577</v>
      </c>
      <c r="DK20" s="13">
        <f t="array" ref="DK20">PRODUCT(1+預測IC!$C20:DK20)-1</f>
        <v>4.9782960527564413</v>
      </c>
      <c r="DL20" s="13">
        <f t="array" ref="DL20">PRODUCT(1+預測IC!$C20:DL20)-1</f>
        <v>5.0391945633274497</v>
      </c>
      <c r="DM20" s="13">
        <f t="array" ref="DM20">PRODUCT(1+預測IC!$C20:DM20)-1</f>
        <v>5.4579269497314087</v>
      </c>
      <c r="DN20" s="13">
        <f t="array" ref="DN20">PRODUCT(1+預測IC!$C20:DN20)-1</f>
        <v>5.0416593112348416</v>
      </c>
      <c r="DO20" s="13">
        <f t="array" ref="DO20">PRODUCT(1+預測IC!$C20:DO20)-1</f>
        <v>6.6004134551927418</v>
      </c>
      <c r="DP20" s="13">
        <f t="array" ref="DP20">PRODUCT(1+預測IC!$C20:DP20)-1</f>
        <v>6.4357140157014063</v>
      </c>
      <c r="DQ20" s="13">
        <f t="array" ref="DQ20">PRODUCT(1+預測IC!$C20:DQ20)-1</f>
        <v>6.1491490332502901</v>
      </c>
      <c r="DR20" s="13">
        <f t="array" ref="DR20">PRODUCT(1+預測IC!$C20:DR20)-1</f>
        <v>6.7104477407894523</v>
      </c>
      <c r="DS20" s="13">
        <f t="array" ref="DS20">PRODUCT(1+預測IC!$C20:DS20)-1</f>
        <v>5.1214702075470164</v>
      </c>
      <c r="DT20" s="13">
        <f t="array" ref="DT20">PRODUCT(1+預測IC!$C20:DT20)-1</f>
        <v>5.1510295628852196</v>
      </c>
      <c r="DU20" s="13">
        <f t="array" ref="DU20">PRODUCT(1+預測IC!$C20:DU20)-1</f>
        <v>4.066136802907689</v>
      </c>
      <c r="DV20" s="13">
        <f t="array" ref="DV20">PRODUCT(1+預測IC!$C20:DV20)-1</f>
        <v>3.9131891196005446</v>
      </c>
      <c r="DW20" s="13">
        <f t="array" ref="DW20">PRODUCT(1+預測IC!$C20:DW20)-1</f>
        <v>3.404445091108915</v>
      </c>
      <c r="DX20" s="13">
        <f t="array" ref="DX20">PRODUCT(1+預測IC!$C20:DX20)-1</f>
        <v>4.0474244841783769</v>
      </c>
      <c r="DY20" s="13">
        <f t="array" ref="DY20">PRODUCT(1+預測IC!$C20:DY20)-1</f>
        <v>4.6611438556643163</v>
      </c>
      <c r="DZ20" s="13">
        <f t="array" ref="DZ20">PRODUCT(1+預測IC!$C20:DZ20)-1</f>
        <v>5.1717756347589239</v>
      </c>
      <c r="EA20" s="13">
        <f t="array" ref="EA20">PRODUCT(1+預測IC!$C20:EA20)-1</f>
        <v>6.9843718270620343</v>
      </c>
      <c r="EB20" s="13">
        <f t="array" ref="EB20">PRODUCT(1+預測IC!$C20:EB20)-1</f>
        <v>6.1355181268910304</v>
      </c>
      <c r="EC20" s="13">
        <f t="array" ref="EC20">PRODUCT(1+預測IC!$C20:EC20)-1</f>
        <v>6.3784795322832641</v>
      </c>
      <c r="ED20" s="13">
        <f t="array" ref="ED20">PRODUCT(1+預測IC!$C20:ED20)-1</f>
        <v>5.0730873370254628</v>
      </c>
      <c r="EE20" s="13">
        <f t="array" ref="EE20">PRODUCT(1+預測IC!$C20:EE20)-1</f>
        <v>5.083664225931626</v>
      </c>
      <c r="EF20" s="13">
        <f t="array" ref="EF20">PRODUCT(1+預測IC!$C20:EF20)-1</f>
        <v>5.6056426165165592</v>
      </c>
    </row>
    <row r="21" spans="1:136">
      <c r="A21" s="20">
        <v>4</v>
      </c>
      <c r="B21" s="20" t="s">
        <v>194</v>
      </c>
      <c r="C21" s="13">
        <f t="array" ref="C21">PRODUCT(1+預測IC!$C21:C21)-1</f>
        <v>0.21463049999999995</v>
      </c>
      <c r="D21" s="13">
        <f t="array" ref="D21">PRODUCT(1+預測IC!$C21:D21)-1</f>
        <v>0.21418386895350316</v>
      </c>
      <c r="E21" s="13">
        <f t="array" ref="E21">PRODUCT(1+預測IC!$C21:E21)-1</f>
        <v>0.21384468393255229</v>
      </c>
      <c r="F21" s="13">
        <f t="array" ref="F21">PRODUCT(1+預測IC!$C21:F21)-1</f>
        <v>0.15182027480326021</v>
      </c>
      <c r="G21" s="13">
        <f t="array" ref="G21">PRODUCT(1+預測IC!$C21:G21)-1</f>
        <v>0.14341643509501778</v>
      </c>
      <c r="H21" s="13">
        <f t="array" ref="H21">PRODUCT(1+預測IC!$C21:H21)-1</f>
        <v>0.37057676114774107</v>
      </c>
      <c r="I21" s="13">
        <f t="array" ref="I21">PRODUCT(1+預測IC!$C21:I21)-1</f>
        <v>0.57240187559593392</v>
      </c>
      <c r="J21" s="13">
        <f t="array" ref="J21">PRODUCT(1+預測IC!$C21:J21)-1</f>
        <v>0.66743049506572349</v>
      </c>
      <c r="K21" s="13">
        <f t="array" ref="K21">PRODUCT(1+預測IC!$C21:K21)-1</f>
        <v>0.51907417269161527</v>
      </c>
      <c r="L21" s="13">
        <f t="array" ref="L21">PRODUCT(1+預測IC!$C21:L21)-1</f>
        <v>0.68568563164629071</v>
      </c>
      <c r="M21" s="13">
        <f t="array" ref="M21">PRODUCT(1+預測IC!$C21:M21)-1</f>
        <v>0.8132257021088507</v>
      </c>
      <c r="N21" s="13">
        <f t="array" ref="N21">PRODUCT(1+預測IC!$C21:N21)-1</f>
        <v>0.99380015737667504</v>
      </c>
      <c r="O21" s="13">
        <f t="array" ref="O21">PRODUCT(1+預測IC!$C21:O21)-1</f>
        <v>1.2525604436192257</v>
      </c>
      <c r="P21" s="13">
        <f t="array" ref="P21">PRODUCT(1+預測IC!$C21:P21)-1</f>
        <v>0.92645140953524785</v>
      </c>
      <c r="Q21" s="13">
        <f t="array" ref="Q21">PRODUCT(1+預測IC!$C21:Q21)-1</f>
        <v>0.43075605460875654</v>
      </c>
      <c r="R21" s="13">
        <f t="array" ref="R21">PRODUCT(1+預測IC!$C21:R21)-1</f>
        <v>0.29401109957182991</v>
      </c>
      <c r="S21" s="13">
        <f t="array" ref="S21">PRODUCT(1+預測IC!$C21:S21)-1</f>
        <v>0.12761384290247557</v>
      </c>
      <c r="T21" s="13">
        <f t="array" ref="T21">PRODUCT(1+預測IC!$C21:T21)-1</f>
        <v>0.11178173371306621</v>
      </c>
      <c r="U21" s="13">
        <f t="array" ref="U21">PRODUCT(1+預測IC!$C21:U21)-1</f>
        <v>1.585896499864603E-2</v>
      </c>
      <c r="V21" s="13">
        <f t="array" ref="V21">PRODUCT(1+預測IC!$C21:V21)-1</f>
        <v>7.0265952775613982E-2</v>
      </c>
      <c r="W21" s="13">
        <f t="array" ref="W21">PRODUCT(1+預測IC!$C21:W21)-1</f>
        <v>0.23914159024827253</v>
      </c>
      <c r="X21" s="13">
        <f t="array" ref="X21">PRODUCT(1+預測IC!$C21:X21)-1</f>
        <v>0.4836702955335197</v>
      </c>
      <c r="Y21" s="13">
        <f t="array" ref="Y21">PRODUCT(1+預測IC!$C21:Y21)-1</f>
        <v>0.51457972178541267</v>
      </c>
      <c r="Z21" s="13">
        <f t="array" ref="Z21">PRODUCT(1+預測IC!$C21:Z21)-1</f>
        <v>0.68755076497999168</v>
      </c>
      <c r="AA21" s="13">
        <f t="array" ref="AA21">PRODUCT(1+預測IC!$C21:AA21)-1</f>
        <v>0.72044289041633536</v>
      </c>
      <c r="AB21" s="13">
        <f t="array" ref="AB21">PRODUCT(1+預測IC!$C21:AB21)-1</f>
        <v>0.94382447684600002</v>
      </c>
      <c r="AC21" s="13">
        <f t="array" ref="AC21">PRODUCT(1+預測IC!$C21:AC21)-1</f>
        <v>1.0882528315930449</v>
      </c>
      <c r="AD21" s="13">
        <f t="array" ref="AD21">PRODUCT(1+預測IC!$C21:AD21)-1</f>
        <v>1.1857688606434187</v>
      </c>
      <c r="AE21" s="13">
        <f t="array" ref="AE21">PRODUCT(1+預測IC!$C21:AE21)-1</f>
        <v>0.66018738197597804</v>
      </c>
      <c r="AF21" s="13">
        <f t="array" ref="AF21">PRODUCT(1+預測IC!$C21:AF21)-1</f>
        <v>0.74838584916942796</v>
      </c>
      <c r="AG21" s="13">
        <f t="array" ref="AG21">PRODUCT(1+預測IC!$C21:AG21)-1</f>
        <v>0.82584419893600147</v>
      </c>
      <c r="AH21" s="13">
        <f t="array" ref="AH21">PRODUCT(1+預測IC!$C21:AH21)-1</f>
        <v>0.746585671643339</v>
      </c>
      <c r="AI21" s="13">
        <f t="array" ref="AI21">PRODUCT(1+預測IC!$C21:AI21)-1</f>
        <v>0.92495442342066103</v>
      </c>
      <c r="AJ21" s="13">
        <f t="array" ref="AJ21">PRODUCT(1+預測IC!$C21:AJ21)-1</f>
        <v>0.93493242467446214</v>
      </c>
      <c r="AK21" s="13">
        <f t="array" ref="AK21">PRODUCT(1+預測IC!$C21:AK21)-1</f>
        <v>0.86565571474412617</v>
      </c>
      <c r="AL21" s="13">
        <f t="array" ref="AL21">PRODUCT(1+預測IC!$C21:AL21)-1</f>
        <v>0.987631954655112</v>
      </c>
      <c r="AM21" s="13">
        <f t="array" ref="AM21">PRODUCT(1+預測IC!$C21:AM21)-1</f>
        <v>1.1238559155761121</v>
      </c>
      <c r="AN21" s="13">
        <f t="array" ref="AN21">PRODUCT(1+預測IC!$C21:AN21)-1</f>
        <v>1.3616344475302857</v>
      </c>
      <c r="AO21" s="13">
        <f t="array" ref="AO21">PRODUCT(1+預測IC!$C21:AO21)-1</f>
        <v>1.47434674753897</v>
      </c>
      <c r="AP21" s="13">
        <f t="array" ref="AP21">PRODUCT(1+預測IC!$C21:AP21)-1</f>
        <v>1.294869650964221</v>
      </c>
      <c r="AQ21" s="13">
        <f t="array" ref="AQ21">PRODUCT(1+預測IC!$C21:AQ21)-1</f>
        <v>1.4712659702087048</v>
      </c>
      <c r="AR21" s="13">
        <f t="array" ref="AR21">PRODUCT(1+預測IC!$C21:AR21)-1</f>
        <v>1.9783259520895875</v>
      </c>
      <c r="AS21" s="13">
        <f t="array" ref="AS21">PRODUCT(1+預測IC!$C21:AS21)-1</f>
        <v>2.0291004529208108</v>
      </c>
      <c r="AT21" s="13">
        <f t="array" ref="AT21">PRODUCT(1+預測IC!$C21:AT21)-1</f>
        <v>2.021549174242089</v>
      </c>
      <c r="AU21" s="13">
        <f t="array" ref="AU21">PRODUCT(1+預測IC!$C21:AU21)-1</f>
        <v>2.1660083268487971</v>
      </c>
      <c r="AV21" s="13">
        <f t="array" ref="AV21">PRODUCT(1+預測IC!$C21:AV21)-1</f>
        <v>1.9902290748589411</v>
      </c>
      <c r="AW21" s="13">
        <f t="array" ref="AW21">PRODUCT(1+預測IC!$C21:AW21)-1</f>
        <v>2.0195064973004975</v>
      </c>
      <c r="AX21" s="13">
        <f t="array" ref="AX21">PRODUCT(1+預測IC!$C21:AX21)-1</f>
        <v>2.4517418696889686</v>
      </c>
      <c r="AY21" s="13">
        <f t="array" ref="AY21">PRODUCT(1+預測IC!$C21:AY21)-1</f>
        <v>2.614047228524691</v>
      </c>
      <c r="AZ21" s="13">
        <f t="array" ref="AZ21">PRODUCT(1+預測IC!$C21:AZ21)-1</f>
        <v>1.6927858600332355</v>
      </c>
      <c r="BA21" s="13">
        <f t="array" ref="BA21">PRODUCT(1+預測IC!$C21:BA21)-1</f>
        <v>1.5015114056839574</v>
      </c>
      <c r="BB21" s="13">
        <f t="array" ref="BB21">PRODUCT(1+預測IC!$C21:BB21)-1</f>
        <v>2.0652173327091572</v>
      </c>
      <c r="BC21" s="13">
        <f t="array" ref="BC21">PRODUCT(1+預測IC!$C21:BC21)-1</f>
        <v>2.1826799789257296</v>
      </c>
      <c r="BD21" s="13">
        <f t="array" ref="BD21">PRODUCT(1+預測IC!$C21:BD21)-1</f>
        <v>2.1134539415516831</v>
      </c>
      <c r="BE21" s="13">
        <f t="array" ref="BE21">PRODUCT(1+預測IC!$C21:BE21)-1</f>
        <v>2.1332260347887781</v>
      </c>
      <c r="BF21" s="13">
        <f t="array" ref="BF21">PRODUCT(1+預測IC!$C21:BF21)-1</f>
        <v>2.1444338982031641</v>
      </c>
      <c r="BG21" s="13">
        <f t="array" ref="BG21">PRODUCT(1+預測IC!$C21:BG21)-1</f>
        <v>2.2596308290435969</v>
      </c>
      <c r="BH21" s="13">
        <f t="array" ref="BH21">PRODUCT(1+預測IC!$C21:BH21)-1</f>
        <v>2.0108513608418788</v>
      </c>
      <c r="BI21" s="13">
        <f t="array" ref="BI21">PRODUCT(1+預測IC!$C21:BI21)-1</f>
        <v>2.5105611453539667</v>
      </c>
      <c r="BJ21" s="13">
        <f t="array" ref="BJ21">PRODUCT(1+預測IC!$C21:BJ21)-1</f>
        <v>2.5933367585127889</v>
      </c>
      <c r="BK21" s="13">
        <f t="array" ref="BK21">PRODUCT(1+預測IC!$C21:BK21)-1</f>
        <v>2.3473732872292032</v>
      </c>
      <c r="BL21" s="13">
        <f t="array" ref="BL21">PRODUCT(1+預測IC!$C21:BL21)-1</f>
        <v>2.8251140602777589</v>
      </c>
      <c r="BM21" s="13">
        <f t="array" ref="BM21">PRODUCT(1+預測IC!$C21:BM21)-1</f>
        <v>3.4184657683066986</v>
      </c>
      <c r="BN21" s="13">
        <f t="array" ref="BN21">PRODUCT(1+預測IC!$C21:BN21)-1</f>
        <v>3.5324102681562337</v>
      </c>
      <c r="BO21" s="13">
        <f t="array" ref="BO21">PRODUCT(1+預測IC!$C21:BO21)-1</f>
        <v>3.2429830741387891</v>
      </c>
      <c r="BP21" s="13">
        <f t="array" ref="BP21">PRODUCT(1+預測IC!$C21:BP21)-1</f>
        <v>3.6864135413583439</v>
      </c>
      <c r="BQ21" s="13">
        <f t="array" ref="BQ21">PRODUCT(1+預測IC!$C21:BQ21)-1</f>
        <v>3.9420209905170607</v>
      </c>
      <c r="BR21" s="13">
        <f t="array" ref="BR21">PRODUCT(1+預測IC!$C21:BR21)-1</f>
        <v>4.0029257761139583</v>
      </c>
      <c r="BS21" s="13">
        <f t="array" ref="BS21">PRODUCT(1+預測IC!$C21:BS21)-1</f>
        <v>4.0322437854433097</v>
      </c>
      <c r="BT21" s="13">
        <f t="array" ref="BT21">PRODUCT(1+預測IC!$C21:BT21)-1</f>
        <v>4.6977313248540522</v>
      </c>
      <c r="BU21" s="13">
        <f t="array" ref="BU21">PRODUCT(1+預測IC!$C21:BU21)-1</f>
        <v>3.9257088877783612</v>
      </c>
      <c r="BV21" s="13">
        <f t="array" ref="BV21">PRODUCT(1+預測IC!$C21:BV21)-1</f>
        <v>4.6258639271273303</v>
      </c>
      <c r="BW21" s="13">
        <f t="array" ref="BW21">PRODUCT(1+預測IC!$C21:BW21)-1</f>
        <v>3.8006667242265957</v>
      </c>
      <c r="BX21" s="13">
        <f t="array" ref="BX21">PRODUCT(1+預測IC!$C21:BX21)-1</f>
        <v>3.7863087976097347</v>
      </c>
      <c r="BY21" s="13">
        <f t="array" ref="BY21">PRODUCT(1+預測IC!$C21:BY21)-1</f>
        <v>3.5451752725021946</v>
      </c>
      <c r="BZ21" s="13">
        <f t="array" ref="BZ21">PRODUCT(1+預測IC!$C21:BZ21)-1</f>
        <v>3.7618116375386252</v>
      </c>
      <c r="CA21" s="13">
        <f t="array" ref="CA21">PRODUCT(1+預測IC!$C21:CA21)-1</f>
        <v>3.4736382098573184</v>
      </c>
      <c r="CB21" s="13">
        <f t="array" ref="CB21">PRODUCT(1+預測IC!$C21:CB21)-1</f>
        <v>3.1899138508704823</v>
      </c>
      <c r="CC21" s="13">
        <f t="array" ref="CC21">PRODUCT(1+預測IC!$C21:CC21)-1</f>
        <v>2.9942719012041681</v>
      </c>
      <c r="CD21" s="13">
        <f t="array" ref="CD21">PRODUCT(1+預測IC!$C21:CD21)-1</f>
        <v>4.1448461450586542</v>
      </c>
      <c r="CE21" s="13">
        <f t="array" ref="CE21">PRODUCT(1+預測IC!$C21:CE21)-1</f>
        <v>4.4613287832488639</v>
      </c>
      <c r="CF21" s="13">
        <f t="array" ref="CF21">PRODUCT(1+預測IC!$C21:CF21)-1</f>
        <v>3.7668225245406726</v>
      </c>
      <c r="CG21" s="13">
        <f t="array" ref="CG21">PRODUCT(1+預測IC!$C21:CG21)-1</f>
        <v>3.0815861181343092</v>
      </c>
      <c r="CH21" s="13">
        <f t="array" ref="CH21">PRODUCT(1+預測IC!$C21:CH21)-1</f>
        <v>3.4085224766970761</v>
      </c>
      <c r="CI21" s="13">
        <f t="array" ref="CI21">PRODUCT(1+預測IC!$C21:CI21)-1</f>
        <v>3.0536381084719384</v>
      </c>
      <c r="CJ21" s="13">
        <f t="array" ref="CJ21">PRODUCT(1+預測IC!$C21:CJ21)-1</f>
        <v>2.7065341694868694</v>
      </c>
      <c r="CK21" s="13">
        <f t="array" ref="CK21">PRODUCT(1+預測IC!$C21:CK21)-1</f>
        <v>3.1774513621941001</v>
      </c>
      <c r="CL21" s="13">
        <f t="array" ref="CL21">PRODUCT(1+預測IC!$C21:CL21)-1</f>
        <v>2.61813062546815</v>
      </c>
      <c r="CM21" s="13">
        <f t="array" ref="CM21">PRODUCT(1+預測IC!$C21:CM21)-1</f>
        <v>2.1975943983373307</v>
      </c>
      <c r="CN21" s="13">
        <f t="array" ref="CN21">PRODUCT(1+預測IC!$C21:CN21)-1</f>
        <v>2.2952453825843619</v>
      </c>
      <c r="CO21" s="13">
        <f t="array" ref="CO21">PRODUCT(1+預測IC!$C21:CO21)-1</f>
        <v>3.4007441892699113</v>
      </c>
      <c r="CP21" s="13">
        <f t="array" ref="CP21">PRODUCT(1+預測IC!$C21:CP21)-1</f>
        <v>2.977160459006162</v>
      </c>
      <c r="CQ21" s="13">
        <f t="array" ref="CQ21">PRODUCT(1+預測IC!$C21:CQ21)-1</f>
        <v>2.9902377274007788</v>
      </c>
      <c r="CR21" s="13">
        <f t="array" ref="CR21">PRODUCT(1+預測IC!$C21:CR21)-1</f>
        <v>3.3526481879592325</v>
      </c>
      <c r="CS21" s="13">
        <f t="array" ref="CS21">PRODUCT(1+預測IC!$C21:CS21)-1</f>
        <v>3.4871765736665354</v>
      </c>
      <c r="CT21" s="13">
        <f t="array" ref="CT21">PRODUCT(1+預測IC!$C21:CT21)-1</f>
        <v>3.7025374915255176</v>
      </c>
      <c r="CU21" s="13">
        <f t="array" ref="CU21">PRODUCT(1+預測IC!$C21:CU21)-1</f>
        <v>3.7119296345304669</v>
      </c>
      <c r="CV21" s="13">
        <f t="array" ref="CV21">PRODUCT(1+預測IC!$C21:CV21)-1</f>
        <v>4.332150330482035</v>
      </c>
      <c r="CW21" s="13">
        <f t="array" ref="CW21">PRODUCT(1+預測IC!$C21:CW21)-1</f>
        <v>4.1681720444063037</v>
      </c>
      <c r="CX21" s="13">
        <f t="array" ref="CX21">PRODUCT(1+預測IC!$C21:CX21)-1</f>
        <v>4.2374190895862922</v>
      </c>
      <c r="CY21" s="13">
        <f t="array" ref="CY21">PRODUCT(1+預測IC!$C21:CY21)-1</f>
        <v>4.1929957386961556</v>
      </c>
      <c r="CZ21" s="13">
        <f t="array" ref="CZ21">PRODUCT(1+預測IC!$C21:CZ21)-1</f>
        <v>5.181205950533883</v>
      </c>
      <c r="DA21" s="13">
        <f t="array" ref="DA21">PRODUCT(1+預測IC!$C21:DA21)-1</f>
        <v>5.4390225054291639</v>
      </c>
      <c r="DB21" s="13">
        <f t="array" ref="DB21">PRODUCT(1+預測IC!$C21:DB21)-1</f>
        <v>5.8991518341558793</v>
      </c>
      <c r="DC21" s="13">
        <f t="array" ref="DC21">PRODUCT(1+預測IC!$C21:DC21)-1</f>
        <v>6.2324498592639506</v>
      </c>
      <c r="DD21" s="13">
        <f t="array" ref="DD21">PRODUCT(1+預測IC!$C21:DD21)-1</f>
        <v>7.109910123297535</v>
      </c>
      <c r="DE21" s="13">
        <f t="array" ref="DE21">PRODUCT(1+預測IC!$C21:DE21)-1</f>
        <v>6.6661439512608176</v>
      </c>
      <c r="DF21" s="13">
        <f t="array" ref="DF21">PRODUCT(1+預測IC!$C21:DF21)-1</f>
        <v>8.9748166179349287</v>
      </c>
      <c r="DG21" s="13">
        <f t="array" ref="DG21">PRODUCT(1+預測IC!$C21:DG21)-1</f>
        <v>8.3822052815509505</v>
      </c>
      <c r="DH21" s="13">
        <f t="array" ref="DH21">PRODUCT(1+預測IC!$C21:DH21)-1</f>
        <v>9.1462639330646152</v>
      </c>
      <c r="DI21" s="13">
        <f t="array" ref="DI21">PRODUCT(1+預測IC!$C21:DI21)-1</f>
        <v>10.970968038786955</v>
      </c>
      <c r="DJ21" s="13">
        <f t="array" ref="DJ21">PRODUCT(1+預測IC!$C21:DJ21)-1</f>
        <v>11.848478901676165</v>
      </c>
      <c r="DK21" s="13">
        <f t="array" ref="DK21">PRODUCT(1+預測IC!$C21:DK21)-1</f>
        <v>10.680638896746387</v>
      </c>
      <c r="DL21" s="13">
        <f t="array" ref="DL21">PRODUCT(1+預測IC!$C21:DL21)-1</f>
        <v>11.05684599417307</v>
      </c>
      <c r="DM21" s="13">
        <f t="array" ref="DM21">PRODUCT(1+預測IC!$C21:DM21)-1</f>
        <v>11.358125476086967</v>
      </c>
      <c r="DN21" s="13">
        <f t="array" ref="DN21">PRODUCT(1+預測IC!$C21:DN21)-1</f>
        <v>10.778878508303187</v>
      </c>
      <c r="DO21" s="13">
        <f t="array" ref="DO21">PRODUCT(1+預測IC!$C21:DO21)-1</f>
        <v>14.685063817217367</v>
      </c>
      <c r="DP21" s="13">
        <f t="array" ref="DP21">PRODUCT(1+預測IC!$C21:DP21)-1</f>
        <v>14.103042075417838</v>
      </c>
      <c r="DQ21" s="13">
        <f t="array" ref="DQ21">PRODUCT(1+預測IC!$C21:DQ21)-1</f>
        <v>13.676905967499405</v>
      </c>
      <c r="DR21" s="13">
        <f t="array" ref="DR21">PRODUCT(1+預測IC!$C21:DR21)-1</f>
        <v>14.413258947895304</v>
      </c>
      <c r="DS21" s="13">
        <f t="array" ref="DS21">PRODUCT(1+預測IC!$C21:DS21)-1</f>
        <v>11.317668130682023</v>
      </c>
      <c r="DT21" s="13">
        <f t="array" ref="DT21">PRODUCT(1+預測IC!$C21:DT21)-1</f>
        <v>11.198069731967164</v>
      </c>
      <c r="DU21" s="13">
        <f t="array" ref="DU21">PRODUCT(1+預測IC!$C21:DU21)-1</f>
        <v>9.3852566482682978</v>
      </c>
      <c r="DV21" s="13">
        <f t="array" ref="DV21">PRODUCT(1+預測IC!$C21:DV21)-1</f>
        <v>8.869514417858646</v>
      </c>
      <c r="DW21" s="13">
        <f t="array" ref="DW21">PRODUCT(1+預測IC!$C21:DW21)-1</f>
        <v>7.8476643730912343</v>
      </c>
      <c r="DX21" s="13">
        <f t="array" ref="DX21">PRODUCT(1+預測IC!$C21:DX21)-1</f>
        <v>8.8608524468596848</v>
      </c>
      <c r="DY21" s="13">
        <f t="array" ref="DY21">PRODUCT(1+預測IC!$C21:DY21)-1</f>
        <v>10.504952375324601</v>
      </c>
      <c r="DZ21" s="13">
        <f t="array" ref="DZ21">PRODUCT(1+預測IC!$C21:DZ21)-1</f>
        <v>11.643137313815464</v>
      </c>
      <c r="EA21" s="13">
        <f t="array" ref="EA21">PRODUCT(1+預測IC!$C21:EA21)-1</f>
        <v>15.006941980470248</v>
      </c>
      <c r="EB21" s="13">
        <f t="array" ref="EB21">PRODUCT(1+預測IC!$C21:EB21)-1</f>
        <v>13.353456887771634</v>
      </c>
      <c r="EC21" s="13">
        <f t="array" ref="EC21">PRODUCT(1+預測IC!$C21:EC21)-1</f>
        <v>13.554937152952654</v>
      </c>
      <c r="ED21" s="13">
        <f t="array" ref="ED21">PRODUCT(1+預測IC!$C21:ED21)-1</f>
        <v>12.76170972389709</v>
      </c>
      <c r="EE21" s="13">
        <f t="array" ref="EE21">PRODUCT(1+預測IC!$C21:EE21)-1</f>
        <v>12.468447689680842</v>
      </c>
      <c r="EF21" s="13">
        <f t="array" ref="EF21">PRODUCT(1+預測IC!$C21:EF21)-1</f>
        <v>12.856264906681357</v>
      </c>
    </row>
    <row r="22" spans="1:136">
      <c r="A22" s="20">
        <v>3</v>
      </c>
      <c r="B22" s="20" t="s">
        <v>195</v>
      </c>
      <c r="C22" s="13">
        <f t="array" ref="C22">PRODUCT(1+預測IC!$C22:C22)-1</f>
        <v>0.20528266666666672</v>
      </c>
      <c r="D22" s="13">
        <f t="array" ref="D22">PRODUCT(1+預測IC!$C22:D22)-1</f>
        <v>0.15142955609777409</v>
      </c>
      <c r="E22" s="13">
        <f t="array" ref="E22">PRODUCT(1+預測IC!$C22:E22)-1</f>
        <v>0.10418924313851408</v>
      </c>
      <c r="F22" s="13">
        <f t="array" ref="F22">PRODUCT(1+預測IC!$C22:F22)-1</f>
        <v>-3.3963266958083604E-3</v>
      </c>
      <c r="G22" s="13">
        <f t="array" ref="G22">PRODUCT(1+預測IC!$C22:G22)-1</f>
        <v>-3.6239225596251701E-2</v>
      </c>
      <c r="H22" s="13">
        <f t="array" ref="H22">PRODUCT(1+預測IC!$C22:H22)-1</f>
        <v>0.13603249575883436</v>
      </c>
      <c r="I22" s="13">
        <f t="array" ref="I22">PRODUCT(1+預測IC!$C22:I22)-1</f>
        <v>0.27632474913113025</v>
      </c>
      <c r="J22" s="13">
        <f t="array" ref="J22">PRODUCT(1+預測IC!$C22:J22)-1</f>
        <v>0.34345763037987043</v>
      </c>
      <c r="K22" s="13">
        <f t="array" ref="K22">PRODUCT(1+預測IC!$C22:K22)-1</f>
        <v>0.13752334870778071</v>
      </c>
      <c r="L22" s="13">
        <f t="array" ref="L22">PRODUCT(1+預測IC!$C22:L22)-1</f>
        <v>0.33224841696497931</v>
      </c>
      <c r="M22" s="13">
        <f t="array" ref="M22">PRODUCT(1+預測IC!$C22:M22)-1</f>
        <v>3.2281221802979765E-2</v>
      </c>
      <c r="N22" s="13">
        <f t="array" ref="N22">PRODUCT(1+預測IC!$C22:N22)-1</f>
        <v>0.16986409559470972</v>
      </c>
      <c r="O22" s="13">
        <f t="array" ref="O22">PRODUCT(1+預測IC!$C22:O22)-1</f>
        <v>0.33771660080861388</v>
      </c>
      <c r="P22" s="13">
        <f t="array" ref="P22">PRODUCT(1+預測IC!$C22:P22)-1</f>
        <v>0.24035372845476566</v>
      </c>
      <c r="Q22" s="13">
        <f t="array" ref="Q22">PRODUCT(1+預測IC!$C22:Q22)-1</f>
        <v>-0.10294752376118899</v>
      </c>
      <c r="R22" s="13">
        <f t="array" ref="R22">PRODUCT(1+預測IC!$C22:R22)-1</f>
        <v>-0.1358051514252675</v>
      </c>
      <c r="S22" s="13">
        <f t="array" ref="S22">PRODUCT(1+預測IC!$C22:S22)-1</f>
        <v>-0.28241283081688695</v>
      </c>
      <c r="T22" s="13">
        <f t="array" ref="T22">PRODUCT(1+預測IC!$C22:T22)-1</f>
        <v>-0.29693579945233228</v>
      </c>
      <c r="U22" s="13">
        <f t="array" ref="U22">PRODUCT(1+預測IC!$C22:U22)-1</f>
        <v>-0.37468768584436174</v>
      </c>
      <c r="V22" s="13">
        <f t="array" ref="V22">PRODUCT(1+預測IC!$C22:V22)-1</f>
        <v>-0.35074649301717109</v>
      </c>
      <c r="W22" s="13">
        <f t="array" ref="W22">PRODUCT(1+預測IC!$C22:W22)-1</f>
        <v>-0.21603920202191218</v>
      </c>
      <c r="X22" s="13">
        <f t="array" ref="X22">PRODUCT(1+預測IC!$C22:X22)-1</f>
        <v>-4.7565989118313223E-2</v>
      </c>
      <c r="Y22" s="13">
        <f t="array" ref="Y22">PRODUCT(1+預測IC!$C22:Y22)-1</f>
        <v>-3.2582098758996869E-2</v>
      </c>
      <c r="Z22" s="13">
        <f t="array" ref="Z22">PRODUCT(1+預測IC!$C22:Z22)-1</f>
        <v>4.0504649220467925E-2</v>
      </c>
      <c r="AA22" s="13">
        <f t="array" ref="AA22">PRODUCT(1+預測IC!$C22:AA22)-1</f>
        <v>4.7838143559026713E-2</v>
      </c>
      <c r="AB22" s="13">
        <f t="array" ref="AB22">PRODUCT(1+預測IC!$C22:AB22)-1</f>
        <v>0.18870553511566435</v>
      </c>
      <c r="AC22" s="13">
        <f t="array" ref="AC22">PRODUCT(1+預測IC!$C22:AC22)-1</f>
        <v>0.27716945374609603</v>
      </c>
      <c r="AD22" s="13">
        <f t="array" ref="AD22">PRODUCT(1+預測IC!$C22:AD22)-1</f>
        <v>0.29309231188755813</v>
      </c>
      <c r="AE22" s="13">
        <f t="array" ref="AE22">PRODUCT(1+預測IC!$C22:AE22)-1</f>
        <v>-2.535889865831753E-3</v>
      </c>
      <c r="AF22" s="13">
        <f t="array" ref="AF22">PRODUCT(1+預測IC!$C22:AF22)-1</f>
        <v>4.4526777134800577E-2</v>
      </c>
      <c r="AG22" s="13">
        <f t="array" ref="AG22">PRODUCT(1+預測IC!$C22:AG22)-1</f>
        <v>9.9721180793398867E-2</v>
      </c>
      <c r="AH22" s="13">
        <f t="array" ref="AH22">PRODUCT(1+預測IC!$C22:AH22)-1</f>
        <v>0.10025637843471835</v>
      </c>
      <c r="AI22" s="13">
        <f t="array" ref="AI22">PRODUCT(1+預測IC!$C22:AI22)-1</f>
        <v>0.22238997097073798</v>
      </c>
      <c r="AJ22" s="13">
        <f t="array" ref="AJ22">PRODUCT(1+預測IC!$C22:AJ22)-1</f>
        <v>0.23838046164432969</v>
      </c>
      <c r="AK22" s="13">
        <f t="array" ref="AK22">PRODUCT(1+預測IC!$C22:AK22)-1</f>
        <v>0.36381423625331077</v>
      </c>
      <c r="AL22" s="13">
        <f t="array" ref="AL22">PRODUCT(1+預測IC!$C22:AL22)-1</f>
        <v>0.41883182108878381</v>
      </c>
      <c r="AM22" s="13">
        <f t="array" ref="AM22">PRODUCT(1+預測IC!$C22:AM22)-1</f>
        <v>0.53813983312922442</v>
      </c>
      <c r="AN22" s="13">
        <f t="array" ref="AN22">PRODUCT(1+預測IC!$C22:AN22)-1</f>
        <v>0.70907763444031335</v>
      </c>
      <c r="AO22" s="13">
        <f t="array" ref="AO22">PRODUCT(1+預測IC!$C22:AO22)-1</f>
        <v>0.83677542621162138</v>
      </c>
      <c r="AP22" s="13">
        <f t="array" ref="AP22">PRODUCT(1+預測IC!$C22:AP22)-1</f>
        <v>0.72191018814528274</v>
      </c>
      <c r="AQ22" s="13">
        <f t="array" ref="AQ22">PRODUCT(1+預測IC!$C22:AQ22)-1</f>
        <v>0.85867482903649628</v>
      </c>
      <c r="AR22" s="13">
        <f t="array" ref="AR22">PRODUCT(1+預測IC!$C22:AR22)-1</f>
        <v>1.3243336117805833</v>
      </c>
      <c r="AS22" s="13">
        <f t="array" ref="AS22">PRODUCT(1+預測IC!$C22:AS22)-1</f>
        <v>1.7068972304992909</v>
      </c>
      <c r="AT22" s="13">
        <f t="array" ref="AT22">PRODUCT(1+預測IC!$C22:AT22)-1</f>
        <v>1.6388556822496954</v>
      </c>
      <c r="AU22" s="13">
        <f t="array" ref="AU22">PRODUCT(1+預測IC!$C22:AU22)-1</f>
        <v>1.727258540132627</v>
      </c>
      <c r="AV22" s="13">
        <f t="array" ref="AV22">PRODUCT(1+預測IC!$C22:AV22)-1</f>
        <v>1.5641325432308717</v>
      </c>
      <c r="AW22" s="13">
        <f t="array" ref="AW22">PRODUCT(1+預測IC!$C22:AW22)-1</f>
        <v>1.4868255132066466</v>
      </c>
      <c r="AX22" s="13">
        <f t="array" ref="AX22">PRODUCT(1+預測IC!$C22:AX22)-1</f>
        <v>1.9189447695385025</v>
      </c>
      <c r="AY22" s="13">
        <f t="array" ref="AY22">PRODUCT(1+預測IC!$C22:AY22)-1</f>
        <v>2.1283305594611446</v>
      </c>
      <c r="AZ22" s="13">
        <f t="array" ref="AZ22">PRODUCT(1+預測IC!$C22:AZ22)-1</f>
        <v>1.6437403359630895</v>
      </c>
      <c r="BA22" s="13">
        <f t="array" ref="BA22">PRODUCT(1+預測IC!$C22:BA22)-1</f>
        <v>1.5231899400914761</v>
      </c>
      <c r="BB22" s="13">
        <f t="array" ref="BB22">PRODUCT(1+預測IC!$C22:BB22)-1</f>
        <v>2.2850165387682488</v>
      </c>
      <c r="BC22" s="13">
        <f t="array" ref="BC22">PRODUCT(1+預測IC!$C22:BC22)-1</f>
        <v>1.8552150331525432</v>
      </c>
      <c r="BD22" s="13">
        <f t="array" ref="BD22">PRODUCT(1+預測IC!$C22:BD22)-1</f>
        <v>1.791902976883458</v>
      </c>
      <c r="BE22" s="13">
        <f t="array" ref="BE22">PRODUCT(1+預測IC!$C22:BE22)-1</f>
        <v>1.8539284054374972</v>
      </c>
      <c r="BF22" s="13">
        <f t="array" ref="BF22">PRODUCT(1+預測IC!$C22:BF22)-1</f>
        <v>1.8928526136559007</v>
      </c>
      <c r="BG22" s="13">
        <f t="array" ref="BG22">PRODUCT(1+預測IC!$C22:BG22)-1</f>
        <v>2.0267324213909363</v>
      </c>
      <c r="BH22" s="13">
        <f t="array" ref="BH22">PRODUCT(1+預測IC!$C22:BH22)-1</f>
        <v>1.639430099237345</v>
      </c>
      <c r="BI22" s="13">
        <f t="array" ref="BI22">PRODUCT(1+預測IC!$C22:BI22)-1</f>
        <v>1.9326410089335857</v>
      </c>
      <c r="BJ22" s="13">
        <f t="array" ref="BJ22">PRODUCT(1+預測IC!$C22:BJ22)-1</f>
        <v>2.0939257513489262</v>
      </c>
      <c r="BK22" s="13">
        <f t="array" ref="BK22">PRODUCT(1+預測IC!$C22:BK22)-1</f>
        <v>1.9644770243066958</v>
      </c>
      <c r="BL22" s="13">
        <f t="array" ref="BL22">PRODUCT(1+預測IC!$C22:BL22)-1</f>
        <v>2.4440711224673266</v>
      </c>
      <c r="BM22" s="13">
        <f t="array" ref="BM22">PRODUCT(1+預測IC!$C22:BM22)-1</f>
        <v>3.1046337674326248</v>
      </c>
      <c r="BN22" s="13">
        <f t="array" ref="BN22">PRODUCT(1+預測IC!$C22:BN22)-1</f>
        <v>3.4450488325121373</v>
      </c>
      <c r="BO22" s="13">
        <f t="array" ref="BO22">PRODUCT(1+預測IC!$C22:BO22)-1</f>
        <v>3.2206430798244643</v>
      </c>
      <c r="BP22" s="13">
        <f t="array" ref="BP22">PRODUCT(1+預測IC!$C22:BP22)-1</f>
        <v>3.5364972267114707</v>
      </c>
      <c r="BQ22" s="13">
        <f t="array" ref="BQ22">PRODUCT(1+預測IC!$C22:BQ22)-1</f>
        <v>3.6627483863780261</v>
      </c>
      <c r="BR22" s="13">
        <f t="array" ref="BR22">PRODUCT(1+預測IC!$C22:BR22)-1</f>
        <v>3.7597970103324316</v>
      </c>
      <c r="BS22" s="13">
        <f t="array" ref="BS22">PRODUCT(1+預測IC!$C22:BS22)-1</f>
        <v>3.6818658897245191</v>
      </c>
      <c r="BT22" s="13">
        <f t="array" ref="BT22">PRODUCT(1+預測IC!$C22:BT22)-1</f>
        <v>4.2929931372376453</v>
      </c>
      <c r="BU22" s="13">
        <f t="array" ref="BU22">PRODUCT(1+預測IC!$C22:BU22)-1</f>
        <v>3.1658567794859325</v>
      </c>
      <c r="BV22" s="13">
        <f t="array" ref="BV22">PRODUCT(1+預測IC!$C22:BV22)-1</f>
        <v>3.8263282617451422</v>
      </c>
      <c r="BW22" s="13">
        <f t="array" ref="BW22">PRODUCT(1+預測IC!$C22:BW22)-1</f>
        <v>2.9833207537605584</v>
      </c>
      <c r="BX22" s="13">
        <f t="array" ref="BX22">PRODUCT(1+預測IC!$C22:BX22)-1</f>
        <v>3.1292594515501673</v>
      </c>
      <c r="BY22" s="13">
        <f t="array" ref="BY22">PRODUCT(1+預測IC!$C22:BY22)-1</f>
        <v>3.1096587389321853</v>
      </c>
      <c r="BZ22" s="13">
        <f t="array" ref="BZ22">PRODUCT(1+預測IC!$C22:BZ22)-1</f>
        <v>3.3038719061032689</v>
      </c>
      <c r="CA22" s="13">
        <f t="array" ref="CA22">PRODUCT(1+預測IC!$C22:CA22)-1</f>
        <v>3.1855581296352309</v>
      </c>
      <c r="CB22" s="13">
        <f t="array" ref="CB22">PRODUCT(1+預測IC!$C22:CB22)-1</f>
        <v>2.5619381026119892</v>
      </c>
      <c r="CC22" s="13">
        <f t="array" ref="CC22">PRODUCT(1+預測IC!$C22:CC22)-1</f>
        <v>2.5085599545411763</v>
      </c>
      <c r="CD22" s="13">
        <f t="array" ref="CD22">PRODUCT(1+預測IC!$C22:CD22)-1</f>
        <v>3.679991063852265</v>
      </c>
      <c r="CE22" s="13">
        <f t="array" ref="CE22">PRODUCT(1+預測IC!$C22:CE22)-1</f>
        <v>3.9928016665601502</v>
      </c>
      <c r="CF22" s="13">
        <f t="array" ref="CF22">PRODUCT(1+預測IC!$C22:CF22)-1</f>
        <v>3.216068182758943</v>
      </c>
      <c r="CG22" s="13">
        <f t="array" ref="CG22">PRODUCT(1+預測IC!$C22:CG22)-1</f>
        <v>2.3590971269944183</v>
      </c>
      <c r="CH22" s="13">
        <f t="array" ref="CH22">PRODUCT(1+預測IC!$C22:CH22)-1</f>
        <v>2.7484795385639362</v>
      </c>
      <c r="CI22" s="13">
        <f t="array" ref="CI22">PRODUCT(1+預測IC!$C22:CI22)-1</f>
        <v>2.3069845695822551</v>
      </c>
      <c r="CJ22" s="13">
        <f t="array" ref="CJ22">PRODUCT(1+預測IC!$C22:CJ22)-1</f>
        <v>1.9651101414400207</v>
      </c>
      <c r="CK22" s="13">
        <f t="array" ref="CK22">PRODUCT(1+預測IC!$C22:CK22)-1</f>
        <v>2.0723384353455345</v>
      </c>
      <c r="CL22" s="13">
        <f t="array" ref="CL22">PRODUCT(1+預測IC!$C22:CL22)-1</f>
        <v>1.3329746648947878</v>
      </c>
      <c r="CM22" s="13">
        <f t="array" ref="CM22">PRODUCT(1+預測IC!$C22:CM22)-1</f>
        <v>0.82011684431096654</v>
      </c>
      <c r="CN22" s="13">
        <f t="array" ref="CN22">PRODUCT(1+預測IC!$C22:CN22)-1</f>
        <v>0.80456072095525077</v>
      </c>
      <c r="CO22" s="13">
        <f t="array" ref="CO22">PRODUCT(1+預測IC!$C22:CO22)-1</f>
        <v>1.2955077061376152</v>
      </c>
      <c r="CP22" s="13">
        <f t="array" ref="CP22">PRODUCT(1+預測IC!$C22:CP22)-1</f>
        <v>1.1088331936283273</v>
      </c>
      <c r="CQ22" s="13">
        <f t="array" ref="CQ22">PRODUCT(1+預測IC!$C22:CQ22)-1</f>
        <v>1.0828233103834792</v>
      </c>
      <c r="CR22" s="13">
        <f t="array" ref="CR22">PRODUCT(1+預測IC!$C22:CR22)-1</f>
        <v>1.4199291406654053</v>
      </c>
      <c r="CS22" s="13">
        <f t="array" ref="CS22">PRODUCT(1+預測IC!$C22:CS22)-1</f>
        <v>1.4790705955771739</v>
      </c>
      <c r="CT22" s="13">
        <f t="array" ref="CT22">PRODUCT(1+預測IC!$C22:CT22)-1</f>
        <v>1.5739314055600691</v>
      </c>
      <c r="CU22" s="13">
        <f t="array" ref="CU22">PRODUCT(1+預測IC!$C22:CU22)-1</f>
        <v>1.642348218274126</v>
      </c>
      <c r="CV22" s="13">
        <f t="array" ref="CV22">PRODUCT(1+預測IC!$C22:CV22)-1</f>
        <v>2.1260177286708526</v>
      </c>
      <c r="CW22" s="13">
        <f t="array" ref="CW22">PRODUCT(1+預測IC!$C22:CW22)-1</f>
        <v>2.0838164893337963</v>
      </c>
      <c r="CX22" s="13">
        <f t="array" ref="CX22">PRODUCT(1+預測IC!$C22:CX22)-1</f>
        <v>2.229645031420243</v>
      </c>
      <c r="CY22" s="13">
        <f t="array" ref="CY22">PRODUCT(1+預測IC!$C22:CY22)-1</f>
        <v>2.2038439599539474</v>
      </c>
      <c r="CZ22" s="13">
        <f t="array" ref="CZ22">PRODUCT(1+預測IC!$C22:CZ22)-1</f>
        <v>2.8660688949445481</v>
      </c>
      <c r="DA22" s="13">
        <f t="array" ref="DA22">PRODUCT(1+預測IC!$C22:DA22)-1</f>
        <v>2.9915382948610785</v>
      </c>
      <c r="DB22" s="13">
        <f t="array" ref="DB22">PRODUCT(1+預測IC!$C22:DB22)-1</f>
        <v>3.2072436853409005</v>
      </c>
      <c r="DC22" s="13">
        <f t="array" ref="DC22">PRODUCT(1+預測IC!$C22:DC22)-1</f>
        <v>3.5116097176840793</v>
      </c>
      <c r="DD22" s="13">
        <f t="array" ref="DD22">PRODUCT(1+預測IC!$C22:DD22)-1</f>
        <v>4.1788501880397053</v>
      </c>
      <c r="DE22" s="13">
        <f t="array" ref="DE22">PRODUCT(1+預測IC!$C22:DE22)-1</f>
        <v>3.488221168646878</v>
      </c>
      <c r="DF22" s="13">
        <f t="array" ref="DF22">PRODUCT(1+預測IC!$C22:DF22)-1</f>
        <v>5.2371373349911696</v>
      </c>
      <c r="DG22" s="13">
        <f t="array" ref="DG22">PRODUCT(1+預測IC!$C22:DG22)-1</f>
        <v>4.7887432948413196</v>
      </c>
      <c r="DH22" s="13">
        <f t="array" ref="DH22">PRODUCT(1+預測IC!$C22:DH22)-1</f>
        <v>5.2602673095037185</v>
      </c>
      <c r="DI22" s="13">
        <f t="array" ref="DI22">PRODUCT(1+預測IC!$C22:DI22)-1</f>
        <v>5.6366491874414715</v>
      </c>
      <c r="DJ22" s="13">
        <f t="array" ref="DJ22">PRODUCT(1+預測IC!$C22:DJ22)-1</f>
        <v>5.9205495541654463</v>
      </c>
      <c r="DK22" s="13">
        <f t="array" ref="DK22">PRODUCT(1+預測IC!$C22:DK22)-1</f>
        <v>5.2878198563770589</v>
      </c>
      <c r="DL22" s="13">
        <f t="array" ref="DL22">PRODUCT(1+預測IC!$C22:DL22)-1</f>
        <v>5.4241418868032651</v>
      </c>
      <c r="DM22" s="13">
        <f t="array" ref="DM22">PRODUCT(1+預測IC!$C22:DM22)-1</f>
        <v>5.6289713681027296</v>
      </c>
      <c r="DN22" s="13">
        <f t="array" ref="DN22">PRODUCT(1+預測IC!$C22:DN22)-1</f>
        <v>5.0776376097605027</v>
      </c>
      <c r="DO22" s="13">
        <f t="array" ref="DO22">PRODUCT(1+預測IC!$C22:DO22)-1</f>
        <v>5.5378079672627223</v>
      </c>
      <c r="DP22" s="13">
        <f t="array" ref="DP22">PRODUCT(1+預測IC!$C22:DP22)-1</f>
        <v>4.8506908877113775</v>
      </c>
      <c r="DQ22" s="13">
        <f t="array" ref="DQ22">PRODUCT(1+預測IC!$C22:DQ22)-1</f>
        <v>4.5473364656441344</v>
      </c>
      <c r="DR22" s="13">
        <f t="array" ref="DR22">PRODUCT(1+預測IC!$C22:DR22)-1</f>
        <v>4.5135390263523254</v>
      </c>
      <c r="DS22" s="13">
        <f t="array" ref="DS22">PRODUCT(1+預測IC!$C22:DS22)-1</f>
        <v>3.4270910801395669</v>
      </c>
      <c r="DT22" s="13">
        <f t="array" ref="DT22">PRODUCT(1+預測IC!$C22:DT22)-1</f>
        <v>3.2337054118798836</v>
      </c>
      <c r="DU22" s="13">
        <f t="array" ref="DU22">PRODUCT(1+預測IC!$C22:DU22)-1</f>
        <v>2.5497686486474729</v>
      </c>
      <c r="DV22" s="13">
        <f t="array" ref="DV22">PRODUCT(1+預測IC!$C22:DV22)-1</f>
        <v>2.7392269009630859</v>
      </c>
      <c r="DW22" s="13">
        <f t="array" ref="DW22">PRODUCT(1+預測IC!$C22:DW22)-1</f>
        <v>2.4347940035942752</v>
      </c>
      <c r="DX22" s="13">
        <f t="array" ref="DX22">PRODUCT(1+預測IC!$C22:DX22)-1</f>
        <v>3.0436558930534074</v>
      </c>
      <c r="DY22" s="13">
        <f t="array" ref="DY22">PRODUCT(1+預測IC!$C22:DY22)-1</f>
        <v>3.5287180272458194</v>
      </c>
      <c r="DZ22" s="13">
        <f t="array" ref="DZ22">PRODUCT(1+預測IC!$C22:DZ22)-1</f>
        <v>4.0306524515049071</v>
      </c>
      <c r="EA22" s="13">
        <f t="array" ref="EA22">PRODUCT(1+預測IC!$C22:EA22)-1</f>
        <v>4.7367363838724801</v>
      </c>
      <c r="EB22" s="13">
        <f t="array" ref="EB22">PRODUCT(1+預測IC!$C22:EB22)-1</f>
        <v>3.9167827402801256</v>
      </c>
      <c r="EC22" s="13">
        <f t="array" ref="EC22">PRODUCT(1+預測IC!$C22:EC22)-1</f>
        <v>4.0224694847077913</v>
      </c>
      <c r="ED22" s="13">
        <f t="array" ref="ED22">PRODUCT(1+預測IC!$C22:ED22)-1</f>
        <v>3.6336622064585775</v>
      </c>
      <c r="EE22" s="13">
        <f t="array" ref="EE22">PRODUCT(1+預測IC!$C22:EE22)-1</f>
        <v>3.4129330735917165</v>
      </c>
      <c r="EF22" s="13">
        <f t="array" ref="EF22">PRODUCT(1+預測IC!$C22:EF22)-1</f>
        <v>3.5744140625759675</v>
      </c>
    </row>
    <row r="23" spans="1:136">
      <c r="A23" s="20">
        <v>2</v>
      </c>
      <c r="B23" s="20" t="s">
        <v>196</v>
      </c>
      <c r="C23" s="13">
        <f t="array" ref="C23">PRODUCT(1+預測IC!$C23:C23)-1</f>
        <v>0.28298899999999994</v>
      </c>
      <c r="D23" s="13">
        <f t="array" ref="D23">PRODUCT(1+預測IC!$C23:D23)-1</f>
        <v>0.24474224127694799</v>
      </c>
      <c r="E23" s="13">
        <f t="array" ref="E23">PRODUCT(1+預測IC!$C23:E23)-1</f>
        <v>0.14399134471974517</v>
      </c>
      <c r="F23" s="13">
        <f t="array" ref="F23">PRODUCT(1+預測IC!$C23:F23)-1</f>
        <v>-1.8072085086140333E-2</v>
      </c>
      <c r="G23" s="13">
        <f t="array" ref="G23">PRODUCT(1+預測IC!$C23:G23)-1</f>
        <v>-6.9352459219331419E-2</v>
      </c>
      <c r="H23" s="13">
        <f t="array" ref="H23">PRODUCT(1+預測IC!$C23:H23)-1</f>
        <v>0.12023748302023574</v>
      </c>
      <c r="I23" s="13">
        <f t="array" ref="I23">PRODUCT(1+預測IC!$C23:I23)-1</f>
        <v>0.286202938643771</v>
      </c>
      <c r="J23" s="13">
        <f t="array" ref="J23">PRODUCT(1+預測IC!$C23:J23)-1</f>
        <v>0.15994631130719861</v>
      </c>
      <c r="K23" s="13">
        <f t="array" ref="K23">PRODUCT(1+預測IC!$C23:K23)-1</f>
        <v>-7.725050262790889E-2</v>
      </c>
      <c r="L23" s="13">
        <f t="array" ref="L23">PRODUCT(1+預測IC!$C23:L23)-1</f>
        <v>-2.7381862691261638E-2</v>
      </c>
      <c r="M23" s="13">
        <f t="array" ref="M23">PRODUCT(1+預測IC!$C23:M23)-1</f>
        <v>-0.28276157193081741</v>
      </c>
      <c r="N23" s="13">
        <f t="array" ref="N23">PRODUCT(1+預測IC!$C23:N23)-1</f>
        <v>-0.17057168380898369</v>
      </c>
      <c r="O23" s="13">
        <f t="array" ref="O23">PRODUCT(1+預測IC!$C23:O23)-1</f>
        <v>-9.0019623417381123E-4</v>
      </c>
      <c r="P23" s="13">
        <f t="array" ref="P23">PRODUCT(1+預測IC!$C23:P23)-1</f>
        <v>-9.1220528136330192E-2</v>
      </c>
      <c r="Q23" s="13">
        <f t="array" ref="Q23">PRODUCT(1+預測IC!$C23:Q23)-1</f>
        <v>-3.7086337197508867E-2</v>
      </c>
      <c r="R23" s="13">
        <f t="array" ref="R23">PRODUCT(1+預測IC!$C23:R23)-1</f>
        <v>-9.1212815095591093E-2</v>
      </c>
      <c r="S23" s="13">
        <f t="array" ref="S23">PRODUCT(1+預測IC!$C23:S23)-1</f>
        <v>-0.19456421313824768</v>
      </c>
      <c r="T23" s="13">
        <f t="array" ref="T23">PRODUCT(1+預測IC!$C23:T23)-1</f>
        <v>-0.19486493806046867</v>
      </c>
      <c r="U23" s="13">
        <f t="array" ref="U23">PRODUCT(1+預測IC!$C23:U23)-1</f>
        <v>-0.27035232618462846</v>
      </c>
      <c r="V23" s="13">
        <f t="array" ref="V23">PRODUCT(1+預測IC!$C23:V23)-1</f>
        <v>-0.28715571599401835</v>
      </c>
      <c r="W23" s="13">
        <f t="array" ref="W23">PRODUCT(1+預測IC!$C23:W23)-1</f>
        <v>-5.0762900271994815E-2</v>
      </c>
      <c r="X23" s="13">
        <f t="array" ref="X23">PRODUCT(1+預測IC!$C23:X23)-1</f>
        <v>0.19991703889462009</v>
      </c>
      <c r="Y23" s="13">
        <f t="array" ref="Y23">PRODUCT(1+預測IC!$C23:Y23)-1</f>
        <v>0.21750758453786867</v>
      </c>
      <c r="Z23" s="13">
        <f t="array" ref="Z23">PRODUCT(1+預測IC!$C23:Z23)-1</f>
        <v>0.25772492262715119</v>
      </c>
      <c r="AA23" s="13">
        <f t="array" ref="AA23">PRODUCT(1+預測IC!$C23:AA23)-1</f>
        <v>0.2660338206833055</v>
      </c>
      <c r="AB23" s="13">
        <f t="array" ref="AB23">PRODUCT(1+預測IC!$C23:AB23)-1</f>
        <v>0.34711034787642769</v>
      </c>
      <c r="AC23" s="13">
        <f t="array" ref="AC23">PRODUCT(1+預測IC!$C23:AC23)-1</f>
        <v>0.44995729001650608</v>
      </c>
      <c r="AD23" s="13">
        <f t="array" ref="AD23">PRODUCT(1+預測IC!$C23:AD23)-1</f>
        <v>0.47172245441891825</v>
      </c>
      <c r="AE23" s="13">
        <f t="array" ref="AE23">PRODUCT(1+預測IC!$C23:AE23)-1</f>
        <v>-1.7396038861118845E-2</v>
      </c>
      <c r="AF23" s="13">
        <f t="array" ref="AF23">PRODUCT(1+預測IC!$C23:AF23)-1</f>
        <v>4.8346317328058941E-2</v>
      </c>
      <c r="AG23" s="13">
        <f t="array" ref="AG23">PRODUCT(1+預測IC!$C23:AG23)-1</f>
        <v>0.14466172798107935</v>
      </c>
      <c r="AH23" s="13">
        <f t="array" ref="AH23">PRODUCT(1+預測IC!$C23:AH23)-1</f>
        <v>0.18733242787675786</v>
      </c>
      <c r="AI23" s="13">
        <f t="array" ref="AI23">PRODUCT(1+預測IC!$C23:AI23)-1</f>
        <v>0.43566537983203757</v>
      </c>
      <c r="AJ23" s="13">
        <f t="array" ref="AJ23">PRODUCT(1+預測IC!$C23:AJ23)-1</f>
        <v>0.46952841914613597</v>
      </c>
      <c r="AK23" s="13">
        <f t="array" ref="AK23">PRODUCT(1+預測IC!$C23:AK23)-1</f>
        <v>0.63721792257684129</v>
      </c>
      <c r="AL23" s="13">
        <f t="array" ref="AL23">PRODUCT(1+預測IC!$C23:AL23)-1</f>
        <v>0.85240027901063953</v>
      </c>
      <c r="AM23" s="13">
        <f t="array" ref="AM23">PRODUCT(1+預測IC!$C23:AM23)-1</f>
        <v>0.86679248261102182</v>
      </c>
      <c r="AN23" s="13">
        <f t="array" ref="AN23">PRODUCT(1+預測IC!$C23:AN23)-1</f>
        <v>1.3191437417973804</v>
      </c>
      <c r="AO23" s="13">
        <f t="array" ref="AO23">PRODUCT(1+預測IC!$C23:AO23)-1</f>
        <v>1.3067665825223673</v>
      </c>
      <c r="AP23" s="13">
        <f t="array" ref="AP23">PRODUCT(1+預測IC!$C23:AP23)-1</f>
        <v>1.3139662302089983</v>
      </c>
      <c r="AQ23" s="13">
        <f t="array" ref="AQ23">PRODUCT(1+預測IC!$C23:AQ23)-1</f>
        <v>1.5208926424344384</v>
      </c>
      <c r="AR23" s="13">
        <f t="array" ref="AR23">PRODUCT(1+預測IC!$C23:AR23)-1</f>
        <v>2.3697882249470896</v>
      </c>
      <c r="AS23" s="13">
        <f t="array" ref="AS23">PRODUCT(1+預測IC!$C23:AS23)-1</f>
        <v>2.4781909423554129</v>
      </c>
      <c r="AT23" s="13">
        <f t="array" ref="AT23">PRODUCT(1+預測IC!$C23:AT23)-1</f>
        <v>2.3340974155807572</v>
      </c>
      <c r="AU23" s="13">
        <f t="array" ref="AU23">PRODUCT(1+預測IC!$C23:AU23)-1</f>
        <v>2.4446078285838677</v>
      </c>
      <c r="AV23" s="13">
        <f t="array" ref="AV23">PRODUCT(1+預測IC!$C23:AV23)-1</f>
        <v>2.3494023327974092</v>
      </c>
      <c r="AW23" s="13">
        <f t="array" ref="AW23">PRODUCT(1+預測IC!$C23:AW23)-1</f>
        <v>2.1751432796164227</v>
      </c>
      <c r="AX23" s="13">
        <f t="array" ref="AX23">PRODUCT(1+預測IC!$C23:AX23)-1</f>
        <v>2.3968894244011798</v>
      </c>
      <c r="AY23" s="13">
        <f t="array" ref="AY23">PRODUCT(1+預測IC!$C23:AY23)-1</f>
        <v>2.9751554335922665</v>
      </c>
      <c r="AZ23" s="13">
        <f t="array" ref="AZ23">PRODUCT(1+預測IC!$C23:AZ23)-1</f>
        <v>2.7217248949692796</v>
      </c>
      <c r="BA23" s="13">
        <f t="array" ref="BA23">PRODUCT(1+預測IC!$C23:BA23)-1</f>
        <v>2.7576275565496844</v>
      </c>
      <c r="BB23" s="13">
        <f t="array" ref="BB23">PRODUCT(1+預測IC!$C23:BB23)-1</f>
        <v>2.5658026083370382</v>
      </c>
      <c r="BC23" s="13">
        <f t="array" ref="BC23">PRODUCT(1+預測IC!$C23:BC23)-1</f>
        <v>1.4931084527742557</v>
      </c>
      <c r="BD23" s="13">
        <f t="array" ref="BD23">PRODUCT(1+預測IC!$C23:BD23)-1</f>
        <v>1.7295321246431232</v>
      </c>
      <c r="BE23" s="13">
        <f t="array" ref="BE23">PRODUCT(1+預測IC!$C23:BE23)-1</f>
        <v>1.534559563991952</v>
      </c>
      <c r="BF23" s="13">
        <f t="array" ref="BF23">PRODUCT(1+預測IC!$C23:BF23)-1</f>
        <v>1.4766525054464101</v>
      </c>
      <c r="BG23" s="13">
        <f t="array" ref="BG23">PRODUCT(1+預測IC!$C23:BG23)-1</f>
        <v>1.6618106903967069</v>
      </c>
      <c r="BH23" s="13">
        <f t="array" ref="BH23">PRODUCT(1+預測IC!$C23:BH23)-1</f>
        <v>1.120174853500719</v>
      </c>
      <c r="BI23" s="13">
        <f t="array" ref="BI23">PRODUCT(1+預測IC!$C23:BI23)-1</f>
        <v>1.5253658782820003</v>
      </c>
      <c r="BJ23" s="13">
        <f t="array" ref="BJ23">PRODUCT(1+預測IC!$C23:BJ23)-1</f>
        <v>1.7880123018878282</v>
      </c>
      <c r="BK23" s="13">
        <f t="array" ref="BK23">PRODUCT(1+預測IC!$C23:BK23)-1</f>
        <v>1.7936834209532999</v>
      </c>
      <c r="BL23" s="13">
        <f t="array" ref="BL23">PRODUCT(1+預測IC!$C23:BL23)-1</f>
        <v>2.2114349052515134</v>
      </c>
      <c r="BM23" s="13">
        <f t="array" ref="BM23">PRODUCT(1+預測IC!$C23:BM23)-1</f>
        <v>2.8189763661992333</v>
      </c>
      <c r="BN23" s="13">
        <f t="array" ref="BN23">PRODUCT(1+預測IC!$C23:BN23)-1</f>
        <v>2.9658160074795941</v>
      </c>
      <c r="BO23" s="13">
        <f t="array" ref="BO23">PRODUCT(1+預測IC!$C23:BO23)-1</f>
        <v>3.1106672061281362</v>
      </c>
      <c r="BP23" s="13">
        <f t="array" ref="BP23">PRODUCT(1+預測IC!$C23:BP23)-1</f>
        <v>3.5146076708309666</v>
      </c>
      <c r="BQ23" s="13">
        <f t="array" ref="BQ23">PRODUCT(1+預測IC!$C23:BQ23)-1</f>
        <v>3.8398756793178928</v>
      </c>
      <c r="BR23" s="13">
        <f t="array" ref="BR23">PRODUCT(1+預測IC!$C23:BR23)-1</f>
        <v>3.926239976785256</v>
      </c>
      <c r="BS23" s="13">
        <f t="array" ref="BS23">PRODUCT(1+預測IC!$C23:BS23)-1</f>
        <v>3.5652678278641741</v>
      </c>
      <c r="BT23" s="13">
        <f t="array" ref="BT23">PRODUCT(1+預測IC!$C23:BT23)-1</f>
        <v>4.2210676657935879</v>
      </c>
      <c r="BU23" s="13">
        <f t="array" ref="BU23">PRODUCT(1+預測IC!$C23:BU23)-1</f>
        <v>3.1471580789180269</v>
      </c>
      <c r="BV23" s="13">
        <f t="array" ref="BV23">PRODUCT(1+預測IC!$C23:BV23)-1</f>
        <v>3.6177260217381662</v>
      </c>
      <c r="BW23" s="13">
        <f t="array" ref="BW23">PRODUCT(1+預測IC!$C23:BW23)-1</f>
        <v>2.684241932015921</v>
      </c>
      <c r="BX23" s="13">
        <f t="array" ref="BX23">PRODUCT(1+預測IC!$C23:BX23)-1</f>
        <v>2.653982811924108</v>
      </c>
      <c r="BY23" s="13">
        <f t="array" ref="BY23">PRODUCT(1+預測IC!$C23:BY23)-1</f>
        <v>2.6166913862351824</v>
      </c>
      <c r="BZ23" s="13">
        <f t="array" ref="BZ23">PRODUCT(1+預測IC!$C23:BZ23)-1</f>
        <v>2.6444305499569061</v>
      </c>
      <c r="CA23" s="13">
        <f t="array" ref="CA23">PRODUCT(1+預測IC!$C23:CA23)-1</f>
        <v>2.3687177175982987</v>
      </c>
      <c r="CB23" s="13">
        <f t="array" ref="CB23">PRODUCT(1+預測IC!$C23:CB23)-1</f>
        <v>1.6356368963766337</v>
      </c>
      <c r="CC23" s="13">
        <f t="array" ref="CC23">PRODUCT(1+預測IC!$C23:CC23)-1</f>
        <v>2.228546155162495</v>
      </c>
      <c r="CD23" s="13">
        <f t="array" ref="CD23">PRODUCT(1+預測IC!$C23:CD23)-1</f>
        <v>2.8473824370356566</v>
      </c>
      <c r="CE23" s="13">
        <f t="array" ref="CE23">PRODUCT(1+預測IC!$C23:CE23)-1</f>
        <v>3.0766941250478554</v>
      </c>
      <c r="CF23" s="13">
        <f t="array" ref="CF23">PRODUCT(1+預測IC!$C23:CF23)-1</f>
        <v>2.3289040833432644</v>
      </c>
      <c r="CG23" s="13">
        <f t="array" ref="CG23">PRODUCT(1+預測IC!$C23:CG23)-1</f>
        <v>1.0198332319747641</v>
      </c>
      <c r="CH23" s="13">
        <f t="array" ref="CH23">PRODUCT(1+預測IC!$C23:CH23)-1</f>
        <v>1.3838000077901085</v>
      </c>
      <c r="CI23" s="13">
        <f t="array" ref="CI23">PRODUCT(1+預測IC!$C23:CI23)-1</f>
        <v>0.64506177482600102</v>
      </c>
      <c r="CJ23" s="13">
        <f t="array" ref="CJ23">PRODUCT(1+預測IC!$C23:CJ23)-1</f>
        <v>0.61236556740820358</v>
      </c>
      <c r="CK23" s="13">
        <f t="array" ref="CK23">PRODUCT(1+預測IC!$C23:CK23)-1</f>
        <v>0.76734130015032487</v>
      </c>
      <c r="CL23" s="13">
        <f t="array" ref="CL23">PRODUCT(1+預測IC!$C23:CL23)-1</f>
        <v>4.5097814701941186E-2</v>
      </c>
      <c r="CM23" s="13">
        <f t="array" ref="CM23">PRODUCT(1+預測IC!$C23:CM23)-1</f>
        <v>-0.20019186789767784</v>
      </c>
      <c r="CN23" s="13">
        <f t="array" ref="CN23">PRODUCT(1+預測IC!$C23:CN23)-1</f>
        <v>-0.24258584060138055</v>
      </c>
      <c r="CO23" s="13">
        <f t="array" ref="CO23">PRODUCT(1+預測IC!$C23:CO23)-1</f>
        <v>-4.0994381471242458E-2</v>
      </c>
      <c r="CP23" s="13">
        <f t="array" ref="CP23">PRODUCT(1+預測IC!$C23:CP23)-1</f>
        <v>-0.15580413660745907</v>
      </c>
      <c r="CQ23" s="13">
        <f t="array" ref="CQ23">PRODUCT(1+預測IC!$C23:CQ23)-1</f>
        <v>-0.1635570157246492</v>
      </c>
      <c r="CR23" s="13">
        <f t="array" ref="CR23">PRODUCT(1+預測IC!$C23:CR23)-1</f>
        <v>-0.15385611408550615</v>
      </c>
      <c r="CS23" s="13">
        <f t="array" ref="CS23">PRODUCT(1+預測IC!$C23:CS23)-1</f>
        <v>-9.5459493799117334E-2</v>
      </c>
      <c r="CT23" s="13">
        <f t="array" ref="CT23">PRODUCT(1+預測IC!$C23:CT23)-1</f>
        <v>-3.6310233287882299E-2</v>
      </c>
      <c r="CU23" s="13">
        <f t="array" ref="CU23">PRODUCT(1+預測IC!$C23:CU23)-1</f>
        <v>-4.4767574680547817E-2</v>
      </c>
      <c r="CV23" s="13">
        <f t="array" ref="CV23">PRODUCT(1+預測IC!$C23:CV23)-1</f>
        <v>0.14804561275397088</v>
      </c>
      <c r="CW23" s="13">
        <f t="array" ref="CW23">PRODUCT(1+預測IC!$C23:CW23)-1</f>
        <v>0.22170995949632943</v>
      </c>
      <c r="CX23" s="13">
        <f t="array" ref="CX23">PRODUCT(1+預測IC!$C23:CX23)-1</f>
        <v>0.16764929378861693</v>
      </c>
      <c r="CY23" s="13">
        <f t="array" ref="CY23">PRODUCT(1+預測IC!$C23:CY23)-1</f>
        <v>0.19339190985328836</v>
      </c>
      <c r="CZ23" s="13">
        <f t="array" ref="CZ23">PRODUCT(1+預測IC!$C23:CZ23)-1</f>
        <v>0.39150153054443848</v>
      </c>
      <c r="DA23" s="13">
        <f t="array" ref="DA23">PRODUCT(1+預測IC!$C23:DA23)-1</f>
        <v>0.48145514698648384</v>
      </c>
      <c r="DB23" s="13">
        <f t="array" ref="DB23">PRODUCT(1+預測IC!$C23:DB23)-1</f>
        <v>0.5092294680821865</v>
      </c>
      <c r="DC23" s="13">
        <f t="array" ref="DC23">PRODUCT(1+預測IC!$C23:DC23)-1</f>
        <v>0.61852032001335777</v>
      </c>
      <c r="DD23" s="13">
        <f t="array" ref="DD23">PRODUCT(1+預測IC!$C23:DD23)-1</f>
        <v>0.96393043190135508</v>
      </c>
      <c r="DE23" s="13">
        <f t="array" ref="DE23">PRODUCT(1+預測IC!$C23:DE23)-1</f>
        <v>0.68614327392628383</v>
      </c>
      <c r="DF23" s="13">
        <f t="array" ref="DF23">PRODUCT(1+預測IC!$C23:DF23)-1</f>
        <v>1.3754344289491636</v>
      </c>
      <c r="DG23" s="13">
        <f t="array" ref="DG23">PRODUCT(1+預測IC!$C23:DG23)-1</f>
        <v>1.2148016142775488</v>
      </c>
      <c r="DH23" s="13">
        <f t="array" ref="DH23">PRODUCT(1+預測IC!$C23:DH23)-1</f>
        <v>1.5231640134301832</v>
      </c>
      <c r="DI23" s="13">
        <f t="array" ref="DI23">PRODUCT(1+預測IC!$C23:DI23)-1</f>
        <v>1.7654912084440313</v>
      </c>
      <c r="DJ23" s="13">
        <f t="array" ref="DJ23">PRODUCT(1+預測IC!$C23:DJ23)-1</f>
        <v>1.6719539993008286</v>
      </c>
      <c r="DK23" s="13">
        <f t="array" ref="DK23">PRODUCT(1+預測IC!$C23:DK23)-1</f>
        <v>1.4281555645656234</v>
      </c>
      <c r="DL23" s="13">
        <f t="array" ref="DL23">PRODUCT(1+預測IC!$C23:DL23)-1</f>
        <v>1.2907073906778215</v>
      </c>
      <c r="DM23" s="13">
        <f t="array" ref="DM23">PRODUCT(1+預測IC!$C23:DM23)-1</f>
        <v>1.3971725980743548</v>
      </c>
      <c r="DN23" s="13">
        <f t="array" ref="DN23">PRODUCT(1+預測IC!$C23:DN23)-1</f>
        <v>1.1138267969819662</v>
      </c>
      <c r="DO23" s="13">
        <f t="array" ref="DO23">PRODUCT(1+預測IC!$C23:DO23)-1</f>
        <v>1.3760850600299248</v>
      </c>
      <c r="DP23" s="13">
        <f t="array" ref="DP23">PRODUCT(1+預測IC!$C23:DP23)-1</f>
        <v>1.2848350774270654</v>
      </c>
      <c r="DQ23" s="13">
        <f t="array" ref="DQ23">PRODUCT(1+預測IC!$C23:DQ23)-1</f>
        <v>1.008071862080786</v>
      </c>
      <c r="DR23" s="13">
        <f t="array" ref="DR23">PRODUCT(1+預測IC!$C23:DR23)-1</f>
        <v>0.82757430920113229</v>
      </c>
      <c r="DS23" s="13">
        <f t="array" ref="DS23">PRODUCT(1+預測IC!$C23:DS23)-1</f>
        <v>0.30105640665509559</v>
      </c>
      <c r="DT23" s="13">
        <f t="array" ref="DT23">PRODUCT(1+預測IC!$C23:DT23)-1</f>
        <v>0.23047344606585329</v>
      </c>
      <c r="DU23" s="13">
        <f t="array" ref="DU23">PRODUCT(1+預測IC!$C23:DU23)-1</f>
        <v>0.16201236447364131</v>
      </c>
      <c r="DV23" s="13">
        <f t="array" ref="DV23">PRODUCT(1+預測IC!$C23:DV23)-1</f>
        <v>0.17146301103390527</v>
      </c>
      <c r="DW23" s="13">
        <f t="array" ref="DW23">PRODUCT(1+預測IC!$C23:DW23)-1</f>
        <v>0.19846816209576423</v>
      </c>
      <c r="DX23" s="13">
        <f t="array" ref="DX23">PRODUCT(1+預測IC!$C23:DX23)-1</f>
        <v>0.58131701877501296</v>
      </c>
      <c r="DY23" s="13">
        <f t="array" ref="DY23">PRODUCT(1+預測IC!$C23:DY23)-1</f>
        <v>0.49604449853757049</v>
      </c>
      <c r="DZ23" s="13">
        <f t="array" ref="DZ23">PRODUCT(1+預測IC!$C23:DZ23)-1</f>
        <v>0.1711410345676736</v>
      </c>
      <c r="EA23" s="13">
        <f t="array" ref="EA23">PRODUCT(1+預測IC!$C23:EA23)-1</f>
        <v>0.13746253183661095</v>
      </c>
      <c r="EB23" s="13">
        <f t="array" ref="EB23">PRODUCT(1+預測IC!$C23:EB23)-1</f>
        <v>-1.9767207745366E-2</v>
      </c>
      <c r="EC23" s="13">
        <f t="array" ref="EC23">PRODUCT(1+預測IC!$C23:EC23)-1</f>
        <v>-5.5628354290144899E-2</v>
      </c>
      <c r="ED23" s="13">
        <f t="array" ref="ED23">PRODUCT(1+預測IC!$C23:ED23)-1</f>
        <v>-0.14196838629643982</v>
      </c>
      <c r="EE23" s="13">
        <f t="array" ref="EE23">PRODUCT(1+預測IC!$C23:EE23)-1</f>
        <v>-0.20135361231247695</v>
      </c>
      <c r="EF23" s="13">
        <f t="array" ref="EF23">PRODUCT(1+預測IC!$C23:EF23)-1</f>
        <v>-0.12674885865303454</v>
      </c>
    </row>
    <row r="24" spans="1:136">
      <c r="A24" s="20">
        <v>1</v>
      </c>
      <c r="B24" s="20" t="s">
        <v>197</v>
      </c>
      <c r="C24" s="13">
        <f t="array" ref="C24">PRODUCT(1+預測IC!$C24:C24)-1</f>
        <v>9.9113000000000007E-2</v>
      </c>
      <c r="D24" s="13">
        <f t="array" ref="D24">PRODUCT(1+預測IC!$C24:D24)-1</f>
        <v>-1.5248619497808757E-2</v>
      </c>
      <c r="E24" s="13">
        <f t="array" ref="E24">PRODUCT(1+預測IC!$C24:E24)-1</f>
        <v>5.5062954204718739E-2</v>
      </c>
      <c r="F24" s="13">
        <f t="array" ref="F24">PRODUCT(1+預測IC!$C24:F24)-1</f>
        <v>-0.18460466814565413</v>
      </c>
      <c r="G24" s="13">
        <f t="array" ref="G24">PRODUCT(1+預測IC!$C24:G24)-1</f>
        <v>-5.2099922518000774E-4</v>
      </c>
      <c r="H24" s="13">
        <f t="array" ref="H24">PRODUCT(1+預測IC!$C24:H24)-1</f>
        <v>0.24603720567098408</v>
      </c>
      <c r="I24" s="13">
        <f t="array" ref="I24">PRODUCT(1+預測IC!$C24:I24)-1</f>
        <v>0.24340565832397543</v>
      </c>
      <c r="J24" s="13">
        <f t="array" ref="J24">PRODUCT(1+預測IC!$C24:J24)-1</f>
        <v>0.11909966798445604</v>
      </c>
      <c r="K24" s="13">
        <f t="array" ref="K24">PRODUCT(1+預測IC!$C24:K24)-1</f>
        <v>9.5021927120827021E-2</v>
      </c>
      <c r="L24" s="13">
        <f t="array" ref="L24">PRODUCT(1+預測IC!$C24:L24)-1</f>
        <v>0.19973148317040157</v>
      </c>
      <c r="M24" s="13">
        <f t="array" ref="M24">PRODUCT(1+預測IC!$C24:M24)-1</f>
        <v>-0.35577723918157922</v>
      </c>
      <c r="N24" s="13">
        <f t="array" ref="N24">PRODUCT(1+預測IC!$C24:N24)-1</f>
        <v>-0.26292512121816414</v>
      </c>
      <c r="O24" s="13">
        <f t="array" ref="O24">PRODUCT(1+預測IC!$C24:O24)-1</f>
        <v>-8.9484626012610424E-2</v>
      </c>
      <c r="P24" s="13">
        <f t="array" ref="P24">PRODUCT(1+預測IC!$C24:P24)-1</f>
        <v>-0.18440441004581298</v>
      </c>
      <c r="Q24" s="13">
        <f t="array" ref="Q24">PRODUCT(1+預測IC!$C24:Q24)-1</f>
        <v>-0.13468165618503314</v>
      </c>
      <c r="R24" s="13">
        <f t="array" ref="R24">PRODUCT(1+預測IC!$C24:R24)-1</f>
        <v>-0.347288098147434</v>
      </c>
      <c r="S24" s="13">
        <f t="array" ref="S24">PRODUCT(1+預測IC!$C24:S24)-1</f>
        <v>-0.57737848245654622</v>
      </c>
      <c r="T24" s="13">
        <f t="array" ref="T24">PRODUCT(1+預測IC!$C24:T24)-1</f>
        <v>-0.52510398569594008</v>
      </c>
      <c r="U24" s="13">
        <f t="array" ref="U24">PRODUCT(1+預測IC!$C24:U24)-1</f>
        <v>-0.59563491213460185</v>
      </c>
      <c r="V24" s="13">
        <f t="array" ref="V24">PRODUCT(1+預測IC!$C24:V24)-1</f>
        <v>-0.62278370222576107</v>
      </c>
      <c r="W24" s="13">
        <f t="array" ref="W24">PRODUCT(1+預測IC!$C24:W24)-1</f>
        <v>-0.43579306212114488</v>
      </c>
      <c r="X24" s="13">
        <f t="array" ref="X24">PRODUCT(1+預測IC!$C24:X24)-1</f>
        <v>-0.36920398687591849</v>
      </c>
      <c r="Y24" s="13">
        <f t="array" ref="Y24">PRODUCT(1+預測IC!$C24:Y24)-1</f>
        <v>-0.36322592364401718</v>
      </c>
      <c r="Z24" s="13">
        <f t="array" ref="Z24">PRODUCT(1+預測IC!$C24:Z24)-1</f>
        <v>-0.29582827345168727</v>
      </c>
      <c r="AA24" s="13">
        <f t="array" ref="AA24">PRODUCT(1+預測IC!$C24:AA24)-1</f>
        <v>-0.28628831810095612</v>
      </c>
      <c r="AB24" s="13">
        <f t="array" ref="AB24">PRODUCT(1+預測IC!$C24:AB24)-1</f>
        <v>-0.14687214745988331</v>
      </c>
      <c r="AC24" s="13">
        <f t="array" ref="AC24">PRODUCT(1+預測IC!$C24:AC24)-1</f>
        <v>-3.99066524578221E-2</v>
      </c>
      <c r="AD24" s="13">
        <f t="array" ref="AD24">PRODUCT(1+預測IC!$C24:AD24)-1</f>
        <v>-3.2396956971461721E-2</v>
      </c>
      <c r="AE24" s="13">
        <f t="array" ref="AE24">PRODUCT(1+預測IC!$C24:AE24)-1</f>
        <v>-0.55611996215327297</v>
      </c>
      <c r="AF24" s="13">
        <f t="array" ref="AF24">PRODUCT(1+預測IC!$C24:AF24)-1</f>
        <v>-0.54612289148664583</v>
      </c>
      <c r="AG24" s="13">
        <f t="array" ref="AG24">PRODUCT(1+預測IC!$C24:AG24)-1</f>
        <v>-0.48315392512274236</v>
      </c>
      <c r="AH24" s="13">
        <f t="array" ref="AH24">PRODUCT(1+預測IC!$C24:AH24)-1</f>
        <v>-0.51861835224259512</v>
      </c>
      <c r="AI24" s="13">
        <f t="array" ref="AI24">PRODUCT(1+預測IC!$C24:AI24)-1</f>
        <v>-0.36919074943562813</v>
      </c>
      <c r="AJ24" s="13">
        <f t="array" ref="AJ24">PRODUCT(1+預測IC!$C24:AJ24)-1</f>
        <v>-0.31529756111366103</v>
      </c>
      <c r="AK24" s="13">
        <f t="array" ref="AK24">PRODUCT(1+預測IC!$C24:AK24)-1</f>
        <v>-0.25717731142555611</v>
      </c>
      <c r="AL24" s="13">
        <f t="array" ref="AL24">PRODUCT(1+預測IC!$C24:AL24)-1</f>
        <v>-0.29779257964972128</v>
      </c>
      <c r="AM24" s="13">
        <f t="array" ref="AM24">PRODUCT(1+預測IC!$C24:AM24)-1</f>
        <v>-0.31107783945091028</v>
      </c>
      <c r="AN24" s="13">
        <f t="array" ref="AN24">PRODUCT(1+預測IC!$C24:AN24)-1</f>
        <v>-0.15869551523222214</v>
      </c>
      <c r="AO24" s="13">
        <f t="array" ref="AO24">PRODUCT(1+預測IC!$C24:AO24)-1</f>
        <v>-0.10309360775168885</v>
      </c>
      <c r="AP24" s="13">
        <f t="array" ref="AP24">PRODUCT(1+預測IC!$C24:AP24)-1</f>
        <v>-0.12358945744769911</v>
      </c>
      <c r="AQ24" s="13">
        <f t="array" ref="AQ24">PRODUCT(1+預測IC!$C24:AQ24)-1</f>
        <v>-8.2330702144317924E-2</v>
      </c>
      <c r="AR24" s="13">
        <f t="array" ref="AR24">PRODUCT(1+預測IC!$C24:AR24)-1</f>
        <v>-7.3485052301364595E-2</v>
      </c>
      <c r="AS24" s="13">
        <f t="array" ref="AS24">PRODUCT(1+預測IC!$C24:AS24)-1</f>
        <v>0.14686985073969727</v>
      </c>
      <c r="AT24" s="13">
        <f t="array" ref="AT24">PRODUCT(1+預測IC!$C24:AT24)-1</f>
        <v>0.18180259748133443</v>
      </c>
      <c r="AU24" s="13">
        <f t="array" ref="AU24">PRODUCT(1+預測IC!$C24:AU24)-1</f>
        <v>0.23391456103482677</v>
      </c>
      <c r="AV24" s="13">
        <f t="array" ref="AV24">PRODUCT(1+預測IC!$C24:AV24)-1</f>
        <v>0.12637649820880492</v>
      </c>
      <c r="AW24" s="13">
        <f t="array" ref="AW24">PRODUCT(1+預測IC!$C24:AW24)-1</f>
        <v>0.1319943477506802</v>
      </c>
      <c r="AX24" s="13">
        <f t="array" ref="AX24">PRODUCT(1+預測IC!$C24:AX24)-1</f>
        <v>0.16403679097515278</v>
      </c>
      <c r="AY24" s="13">
        <f t="array" ref="AY24">PRODUCT(1+預測IC!$C24:AY24)-1</f>
        <v>0.35974314662425599</v>
      </c>
      <c r="AZ24" s="13">
        <f t="array" ref="AZ24">PRODUCT(1+預測IC!$C24:AZ24)-1</f>
        <v>0.41123264043411689</v>
      </c>
      <c r="BA24" s="13">
        <f t="array" ref="BA24">PRODUCT(1+預測IC!$C24:BA24)-1</f>
        <v>0.33531575863287411</v>
      </c>
      <c r="BB24" s="13">
        <f t="array" ref="BB24">PRODUCT(1+預測IC!$C24:BB24)-1</f>
        <v>0.22026624359150748</v>
      </c>
      <c r="BC24" s="13">
        <f t="array" ref="BC24">PRODUCT(1+預測IC!$C24:BC24)-1</f>
        <v>-0.75987114343870221</v>
      </c>
      <c r="BD24" s="13">
        <f t="array" ref="BD24">PRODUCT(1+預測IC!$C24:BD24)-1</f>
        <v>-0.71530437565781235</v>
      </c>
      <c r="BE24" s="13">
        <f t="array" ref="BE24">PRODUCT(1+預測IC!$C24:BE24)-1</f>
        <v>-0.72841869568878304</v>
      </c>
      <c r="BF24" s="13">
        <f t="array" ref="BF24">PRODUCT(1+預測IC!$C24:BF24)-1</f>
        <v>-0.70461423151859193</v>
      </c>
      <c r="BG24" s="13">
        <f t="array" ref="BG24">PRODUCT(1+預測IC!$C24:BG24)-1</f>
        <v>-0.69668726911823087</v>
      </c>
      <c r="BH24" s="13">
        <f t="array" ref="BH24">PRODUCT(1+預測IC!$C24:BH24)-1</f>
        <v>-0.81384343017513294</v>
      </c>
      <c r="BI24" s="13">
        <f t="array" ref="BI24">PRODUCT(1+預測IC!$C24:BI24)-1</f>
        <v>-0.7722134028761316</v>
      </c>
      <c r="BJ24" s="13">
        <f t="array" ref="BJ24">PRODUCT(1+預測IC!$C24:BJ24)-1</f>
        <v>-0.77145070142423022</v>
      </c>
      <c r="BK24" s="13">
        <f t="array" ref="BK24">PRODUCT(1+預測IC!$C24:BK24)-1</f>
        <v>-0.77053112260375434</v>
      </c>
      <c r="BL24" s="13">
        <f t="array" ref="BL24">PRODUCT(1+預測IC!$C24:BL24)-1</f>
        <v>-0.69775178812667682</v>
      </c>
      <c r="BM24" s="13">
        <f t="array" ref="BM24">PRODUCT(1+預測IC!$C24:BM24)-1</f>
        <v>-0.69428408861355229</v>
      </c>
      <c r="BN24" s="13">
        <f t="array" ref="BN24">PRODUCT(1+預測IC!$C24:BN24)-1</f>
        <v>-0.66098826298854285</v>
      </c>
      <c r="BO24" s="13">
        <f t="array" ref="BO24">PRODUCT(1+預測IC!$C24:BO24)-1</f>
        <v>-0.71560633921625572</v>
      </c>
      <c r="BP24" s="13">
        <f t="array" ref="BP24">PRODUCT(1+預測IC!$C24:BP24)-1</f>
        <v>-0.68052604525288918</v>
      </c>
      <c r="BQ24" s="13">
        <f t="array" ref="BQ24">PRODUCT(1+預測IC!$C24:BQ24)-1</f>
        <v>-0.70102657178753303</v>
      </c>
      <c r="BR24" s="13">
        <f t="array" ref="BR24">PRODUCT(1+預測IC!$C24:BR24)-1</f>
        <v>-0.68836318650037742</v>
      </c>
      <c r="BS24" s="13">
        <f t="array" ref="BS24">PRODUCT(1+預測IC!$C24:BS24)-1</f>
        <v>-0.68876355176348081</v>
      </c>
      <c r="BT24" s="13">
        <f t="array" ref="BT24">PRODUCT(1+預測IC!$C24:BT24)-1</f>
        <v>-0.65257587328958766</v>
      </c>
      <c r="BU24" s="13">
        <f t="array" ref="BU24">PRODUCT(1+預測IC!$C24:BU24)-1</f>
        <v>-0.73190205386403018</v>
      </c>
      <c r="BV24" s="13">
        <f t="array" ref="BV24">PRODUCT(1+預測IC!$C24:BV24)-1</f>
        <v>-0.70302027663625843</v>
      </c>
      <c r="BW24" s="13">
        <f t="array" ref="BW24">PRODUCT(1+預測IC!$C24:BW24)-1</f>
        <v>-0.72138428025230938</v>
      </c>
      <c r="BX24" s="13">
        <f t="array" ref="BX24">PRODUCT(1+預測IC!$C24:BX24)-1</f>
        <v>-0.75842904187177163</v>
      </c>
      <c r="BY24" s="13">
        <f t="array" ref="BY24">PRODUCT(1+預測IC!$C24:BY24)-1</f>
        <v>-0.73191767542057506</v>
      </c>
      <c r="BZ24" s="13">
        <f t="array" ref="BZ24">PRODUCT(1+預測IC!$C24:BZ24)-1</f>
        <v>-0.66251306527976195</v>
      </c>
      <c r="CA24" s="13">
        <f t="array" ref="CA24">PRODUCT(1+預測IC!$C24:CA24)-1</f>
        <v>-0.70139887713729543</v>
      </c>
      <c r="CB24" s="13">
        <f t="array" ref="CB24">PRODUCT(1+預測IC!$C24:CB24)-1</f>
        <v>-0.63906231720390272</v>
      </c>
      <c r="CC24" s="13">
        <f t="array" ref="CC24">PRODUCT(1+預測IC!$C24:CC24)-1</f>
        <v>-0.48030224877886807</v>
      </c>
      <c r="CD24" s="13">
        <f t="array" ref="CD24">PRODUCT(1+預測IC!$C24:CD24)-1</f>
        <v>-0.40530658359913152</v>
      </c>
      <c r="CE24" s="13">
        <f t="array" ref="CE24">PRODUCT(1+預測IC!$C24:CE24)-1</f>
        <v>-0.30684616811272181</v>
      </c>
      <c r="CF24" s="13">
        <f t="array" ref="CF24">PRODUCT(1+預測IC!$C24:CF24)-1</f>
        <v>-0.42130666037226805</v>
      </c>
      <c r="CG24" s="13">
        <f t="array" ref="CG24">PRODUCT(1+預測IC!$C24:CG24)-1</f>
        <v>-0.60869796808231103</v>
      </c>
      <c r="CH24" s="13">
        <f t="array" ref="CH24">PRODUCT(1+預測IC!$C24:CH24)-1</f>
        <v>-0.47006854196553338</v>
      </c>
      <c r="CI24" s="13">
        <f t="array" ref="CI24">PRODUCT(1+預測IC!$C24:CI24)-1</f>
        <v>-0.29601158972299757</v>
      </c>
      <c r="CJ24" s="13">
        <f t="array" ref="CJ24">PRODUCT(1+預測IC!$C24:CJ24)-1</f>
        <v>-0.28678266392303087</v>
      </c>
      <c r="CK24" s="13">
        <f t="array" ref="CK24">PRODUCT(1+預測IC!$C24:CK24)-1</f>
        <v>-0.22007538991042208</v>
      </c>
      <c r="CL24" s="13">
        <f t="array" ref="CL24">PRODUCT(1+預測IC!$C24:CL24)-1</f>
        <v>-0.10951691680172515</v>
      </c>
      <c r="CM24" s="13">
        <f t="array" ref="CM24">PRODUCT(1+預測IC!$C24:CM24)-1</f>
        <v>-0.67625597027243523</v>
      </c>
      <c r="CN24" s="13">
        <f t="array" ref="CN24">PRODUCT(1+預測IC!$C24:CN24)-1</f>
        <v>-0.71113575268317042</v>
      </c>
      <c r="CO24" s="13">
        <f t="array" ref="CO24">PRODUCT(1+預測IC!$C24:CO24)-1</f>
        <v>-0.58043219124273526</v>
      </c>
      <c r="CP24" s="13">
        <f t="array" ref="CP24">PRODUCT(1+預測IC!$C24:CP24)-1</f>
        <v>-0.68504596997484546</v>
      </c>
      <c r="CQ24" s="13">
        <f t="array" ref="CQ24">PRODUCT(1+預測IC!$C24:CQ24)-1</f>
        <v>-0.64892478237440443</v>
      </c>
      <c r="CR24" s="13">
        <f t="array" ref="CR24">PRODUCT(1+預測IC!$C24:CR24)-1</f>
        <v>-0.62747940949582781</v>
      </c>
      <c r="CS24" s="13">
        <f t="array" ref="CS24">PRODUCT(1+預測IC!$C24:CS24)-1</f>
        <v>-0.63748456751558891</v>
      </c>
      <c r="CT24" s="13">
        <f t="array" ref="CT24">PRODUCT(1+預測IC!$C24:CT24)-1</f>
        <v>-0.68082038734564043</v>
      </c>
      <c r="CU24" s="13">
        <f t="array" ref="CU24">PRODUCT(1+預測IC!$C24:CU24)-1</f>
        <v>-0.68283185726458817</v>
      </c>
      <c r="CV24" s="13">
        <f t="array" ref="CV24">PRODUCT(1+預測IC!$C24:CV24)-1</f>
        <v>-0.56818318570116233</v>
      </c>
      <c r="CW24" s="13">
        <f t="array" ref="CW24">PRODUCT(1+預測IC!$C24:CW24)-1</f>
        <v>-0.56886977443589748</v>
      </c>
      <c r="CX24" s="13">
        <f t="array" ref="CX24">PRODUCT(1+預測IC!$C24:CX24)-1</f>
        <v>-0.54611903243287985</v>
      </c>
      <c r="CY24" s="13">
        <f t="array" ref="CY24">PRODUCT(1+預測IC!$C24:CY24)-1</f>
        <v>-0.58245987657954357</v>
      </c>
      <c r="CZ24" s="13">
        <f t="array" ref="CZ24">PRODUCT(1+預測IC!$C24:CZ24)-1</f>
        <v>-0.44776519062521503</v>
      </c>
      <c r="DA24" s="13">
        <f t="array" ref="DA24">PRODUCT(1+預測IC!$C24:DA24)-1</f>
        <v>-0.42900025180265988</v>
      </c>
      <c r="DB24" s="13">
        <f t="array" ref="DB24">PRODUCT(1+預測IC!$C24:DB24)-1</f>
        <v>-0.43842174764791597</v>
      </c>
      <c r="DC24" s="13">
        <f t="array" ref="DC24">PRODUCT(1+預測IC!$C24:DC24)-1</f>
        <v>-0.33759037243809931</v>
      </c>
      <c r="DD24" s="13">
        <f t="array" ref="DD24">PRODUCT(1+預測IC!$C24:DD24)-1</f>
        <v>-0.23598906914777795</v>
      </c>
      <c r="DE24" s="13">
        <f t="array" ref="DE24">PRODUCT(1+預測IC!$C24:DE24)-1</f>
        <v>-0.47026461697337252</v>
      </c>
      <c r="DF24" s="13">
        <f t="array" ref="DF24">PRODUCT(1+預測IC!$C24:DF24)-1</f>
        <v>-0.19184205647917352</v>
      </c>
      <c r="DG24" s="13">
        <f t="array" ref="DG24">PRODUCT(1+預測IC!$C24:DG24)-1</f>
        <v>-0.28845329783737073</v>
      </c>
      <c r="DH24" s="13">
        <f t="array" ref="DH24">PRODUCT(1+預測IC!$C24:DH24)-1</f>
        <v>-9.9320626669032963E-2</v>
      </c>
      <c r="DI24" s="13">
        <f t="array" ref="DI24">PRODUCT(1+預測IC!$C24:DI24)-1</f>
        <v>-6.5828864171720958E-2</v>
      </c>
      <c r="DJ24" s="13">
        <f t="array" ref="DJ24">PRODUCT(1+預測IC!$C24:DJ24)-1</f>
        <v>-4.6136536628460845E-2</v>
      </c>
      <c r="DK24" s="13">
        <f t="array" ref="DK24">PRODUCT(1+預測IC!$C24:DK24)-1</f>
        <v>-0.16029396206130331</v>
      </c>
      <c r="DL24" s="13">
        <f t="array" ref="DL24">PRODUCT(1+預測IC!$C24:DL24)-1</f>
        <v>-0.18695378905981896</v>
      </c>
      <c r="DM24" s="13">
        <f t="array" ref="DM24">PRODUCT(1+預測IC!$C24:DM24)-1</f>
        <v>-0.18662044011333345</v>
      </c>
      <c r="DN24" s="13">
        <f t="array" ref="DN24">PRODUCT(1+預測IC!$C24:DN24)-1</f>
        <v>-0.30783839592324336</v>
      </c>
      <c r="DO24" s="13">
        <f t="array" ref="DO24">PRODUCT(1+預測IC!$C24:DO24)-1</f>
        <v>-0.22781413206790913</v>
      </c>
      <c r="DP24" s="13">
        <f t="array" ref="DP24">PRODUCT(1+預測IC!$C24:DP24)-1</f>
        <v>-0.33926140182894404</v>
      </c>
      <c r="DQ24" s="13">
        <f t="array" ref="DQ24">PRODUCT(1+預測IC!$C24:DQ24)-1</f>
        <v>-0.37261945069620794</v>
      </c>
      <c r="DR24" s="13">
        <f t="array" ref="DR24">PRODUCT(1+預測IC!$C24:DR24)-1</f>
        <v>-0.3854905580479443</v>
      </c>
      <c r="DS24" s="13">
        <f t="array" ref="DS24">PRODUCT(1+預測IC!$C24:DS24)-1</f>
        <v>-0.5183853169437298</v>
      </c>
      <c r="DT24" s="13">
        <f t="array" ref="DT24">PRODUCT(1+預測IC!$C24:DT24)-1</f>
        <v>-0.55437782705257399</v>
      </c>
      <c r="DU24" s="13">
        <f t="array" ref="DU24">PRODUCT(1+預測IC!$C24:DU24)-1</f>
        <v>-0.54467128488143324</v>
      </c>
      <c r="DV24" s="13">
        <f t="array" ref="DV24">PRODUCT(1+預測IC!$C24:DV24)-1</f>
        <v>-0.50002767035020312</v>
      </c>
      <c r="DW24" s="13">
        <f t="array" ref="DW24">PRODUCT(1+預測IC!$C24:DW24)-1</f>
        <v>-0.4494389701192476</v>
      </c>
      <c r="DX24" s="13">
        <f t="array" ref="DX24">PRODUCT(1+預測IC!$C24:DX24)-1</f>
        <v>-0.29201760540647403</v>
      </c>
      <c r="DY24" s="13">
        <f t="array" ref="DY24">PRODUCT(1+預測IC!$C24:DY24)-1</f>
        <v>-0.29431146836495703</v>
      </c>
      <c r="DZ24" s="13">
        <f t="array" ref="DZ24">PRODUCT(1+預測IC!$C24:DZ24)-1</f>
        <v>-0.60023450371406462</v>
      </c>
      <c r="EA24" s="13">
        <f t="array" ref="EA24">PRODUCT(1+預測IC!$C24:EA24)-1</f>
        <v>-0.6221884254735992</v>
      </c>
      <c r="EB24" s="13">
        <f t="array" ref="EB24">PRODUCT(1+預測IC!$C24:EB24)-1</f>
        <v>-0.66345716157069257</v>
      </c>
      <c r="EC24" s="13">
        <f t="array" ref="EC24">PRODUCT(1+預測IC!$C24:EC24)-1</f>
        <v>-0.66827306225146965</v>
      </c>
      <c r="ED24" s="13">
        <f t="array" ref="ED24">PRODUCT(1+預測IC!$C24:ED24)-1</f>
        <v>-0.68690710820691714</v>
      </c>
      <c r="EE24" s="13">
        <f t="array" ref="EE24">PRODUCT(1+預測IC!$C24:EE24)-1</f>
        <v>-0.7205589584026213</v>
      </c>
      <c r="EF24" s="13">
        <f t="array" ref="EF24">PRODUCT(1+預測IC!$C24:EF24)-1</f>
        <v>-0.68309010634003675</v>
      </c>
    </row>
    <row r="25" spans="1:136">
      <c r="A25" s="2" t="s">
        <v>145</v>
      </c>
      <c r="B25" s="2" t="s">
        <v>146</v>
      </c>
      <c r="C25" s="13">
        <f t="array" ref="C25">PRODUCT(1+預測IC!$C26:C26)-1</f>
        <v>-1.7446770539390366E-2</v>
      </c>
      <c r="D25" s="13">
        <f t="array" ref="D25">PRODUCT(1+預測IC!$C26:D26)-1</f>
        <v>2.893123339404724E-3</v>
      </c>
      <c r="E25" s="13">
        <f t="array" ref="E25">PRODUCT(1+預測IC!$C26:E26)-1</f>
        <v>2.6944635852046872E-2</v>
      </c>
      <c r="F25" s="13">
        <f t="array" ref="F25">PRODUCT(1+預測IC!$C26:F26)-1</f>
        <v>2.0210365301730038E-2</v>
      </c>
      <c r="G25" s="13">
        <f t="array" ref="G25">PRODUCT(1+預測IC!$C26:G26)-1</f>
        <v>5.269909680859941E-2</v>
      </c>
      <c r="H25" s="13">
        <f t="array" ref="H25">PRODUCT(1+預測IC!$C26:H26)-1</f>
        <v>8.8857766197530053E-2</v>
      </c>
      <c r="I25" s="13">
        <f t="array" ref="I25">PRODUCT(1+預測IC!$C26:I26)-1</f>
        <v>7.9869318529145472E-2</v>
      </c>
      <c r="J25" s="13">
        <f t="array" ref="J25">PRODUCT(1+預測IC!$C26:J26)-1</f>
        <v>9.3738646464063713E-2</v>
      </c>
      <c r="K25" s="13">
        <f t="array" ref="K25">PRODUCT(1+預測IC!$C26:K26)-1</f>
        <v>3.7937714394164157E-2</v>
      </c>
      <c r="L25" s="13">
        <f t="array" ref="L25">PRODUCT(1+預測IC!$C26:L26)-1</f>
        <v>3.8844812525307137E-2</v>
      </c>
      <c r="M25" s="13">
        <f t="array" ref="M25">PRODUCT(1+預測IC!$C26:M26)-1</f>
        <v>6.3142951706360639E-2</v>
      </c>
      <c r="N25" s="13">
        <f t="array" ref="N25">PRODUCT(1+預測IC!$C26:N26)-1</f>
        <v>7.6952085951054405E-2</v>
      </c>
      <c r="O25" s="13">
        <f t="array" ref="O25">PRODUCT(1+預測IC!$C26:O26)-1</f>
        <v>8.3257197491512391E-2</v>
      </c>
      <c r="P25" s="13">
        <f t="array" ref="P25">PRODUCT(1+預測IC!$C26:P26)-1</f>
        <v>0.11295275081672607</v>
      </c>
      <c r="Q25" s="13">
        <f t="array" ref="Q25">PRODUCT(1+預測IC!$C26:Q26)-1</f>
        <v>0.10882042835093308</v>
      </c>
      <c r="R25" s="13">
        <f t="array" ref="R25">PRODUCT(1+預測IC!$C26:R26)-1</f>
        <v>0.13551706985268064</v>
      </c>
      <c r="S25" s="13">
        <f t="array" ref="S25">PRODUCT(1+預測IC!$C26:S26)-1</f>
        <v>0.12167508804368476</v>
      </c>
      <c r="T25" s="13">
        <f t="array" ref="T25">PRODUCT(1+預測IC!$C26:T26)-1</f>
        <v>7.7088976461827885E-2</v>
      </c>
      <c r="U25" s="13">
        <f t="array" ref="U25">PRODUCT(1+預測IC!$C26:U26)-1</f>
        <v>-1.7059521199481731E-3</v>
      </c>
      <c r="V25" s="13">
        <f t="array" ref="V25">PRODUCT(1+預測IC!$C26:V26)-1</f>
        <v>-5.9866792867339091E-2</v>
      </c>
      <c r="W25" s="13">
        <f t="array" ref="W25">PRODUCT(1+預測IC!$C26:W26)-1</f>
        <v>-5.9140260213613516E-2</v>
      </c>
      <c r="X25" s="13">
        <f t="array" ref="X25">PRODUCT(1+預測IC!$C26:X26)-1</f>
        <v>-1.7185893241652206E-2</v>
      </c>
      <c r="Y25" s="13">
        <f t="array" ref="Y25">PRODUCT(1+預測IC!$C26:Y26)-1</f>
        <v>-4.4409529547694393E-2</v>
      </c>
      <c r="Z25" s="13">
        <f t="array" ref="Z25">PRODUCT(1+預測IC!$C26:Z26)-1</f>
        <v>-4.2407561826578566E-2</v>
      </c>
      <c r="AA25" s="13">
        <f t="array" ref="AA25">PRODUCT(1+預測IC!$C26:AA26)-1</f>
        <v>-6.481575250614946E-2</v>
      </c>
      <c r="AB25" s="13">
        <f t="array" ref="AB25">PRODUCT(1+預測IC!$C26:AB26)-1</f>
        <v>-3.4768870774049443E-2</v>
      </c>
      <c r="AC25" s="13">
        <f t="array" ref="AC25">PRODUCT(1+預測IC!$C26:AC26)-1</f>
        <v>2.7817794451217015E-3</v>
      </c>
      <c r="AD25" s="13">
        <f t="array" ref="AD25">PRODUCT(1+預測IC!$C26:AD26)-1</f>
        <v>-4.0202844765013457E-2</v>
      </c>
      <c r="AE25" s="13">
        <f t="array" ref="AE25">PRODUCT(1+預測IC!$C26:AE26)-1</f>
        <v>-2.2305320482664204E-2</v>
      </c>
      <c r="AF25" s="13">
        <f t="array" ref="AF25">PRODUCT(1+預測IC!$C26:AF26)-1</f>
        <v>-7.4152570234460313E-3</v>
      </c>
      <c r="AG25" s="13">
        <f t="array" ref="AG25">PRODUCT(1+預測IC!$C26:AG26)-1</f>
        <v>2.8334274381314417E-2</v>
      </c>
      <c r="AH25" s="13">
        <f t="array" ref="AH25">PRODUCT(1+預測IC!$C26:AH26)-1</f>
        <v>3.7953941892352683E-2</v>
      </c>
      <c r="AI25" s="13">
        <f t="array" ref="AI25">PRODUCT(1+預測IC!$C26:AI26)-1</f>
        <v>4.9110131735873752E-2</v>
      </c>
      <c r="AJ25" s="13">
        <f t="array" ref="AJ25">PRODUCT(1+預測IC!$C26:AJ26)-1</f>
        <v>6.3123886850196875E-2</v>
      </c>
      <c r="AK25" s="13">
        <f t="array" ref="AK25">PRODUCT(1+預測IC!$C26:AK26)-1</f>
        <v>5.7454515782098925E-2</v>
      </c>
      <c r="AL25" s="13">
        <f t="array" ref="AL25">PRODUCT(1+預測IC!$C26:AL26)-1</f>
        <v>5.8917118987427575E-2</v>
      </c>
      <c r="AM25" s="13">
        <f t="array" ref="AM25">PRODUCT(1+預測IC!$C26:AM26)-1</f>
        <v>8.0938283596681648E-2</v>
      </c>
      <c r="AN25" s="13">
        <f t="array" ref="AN25">PRODUCT(1+預測IC!$C26:AN26)-1</f>
        <v>0.11500697453770203</v>
      </c>
      <c r="AO25" s="13">
        <f t="array" ref="AO25">PRODUCT(1+預測IC!$C26:AO26)-1</f>
        <v>0.12196653200545171</v>
      </c>
      <c r="AP25" s="13">
        <f t="array" ref="AP25">PRODUCT(1+預測IC!$C26:AP26)-1</f>
        <v>0.12886130991117528</v>
      </c>
      <c r="AQ25" s="13">
        <f t="array" ref="AQ25">PRODUCT(1+預測IC!$C26:AQ26)-1</f>
        <v>0.14799139743631429</v>
      </c>
      <c r="AR25" s="13">
        <f t="array" ref="AR25">PRODUCT(1+預測IC!$C26:AR26)-1</f>
        <v>0.18780698843660248</v>
      </c>
      <c r="AS25" s="13">
        <f t="array" ref="AS25">PRODUCT(1+預測IC!$C26:AS26)-1</f>
        <v>0.19148751365039929</v>
      </c>
      <c r="AT25" s="13">
        <f t="array" ref="AT25">PRODUCT(1+預測IC!$C26:AT26)-1</f>
        <v>0.20945675046088996</v>
      </c>
      <c r="AU25" s="13">
        <f t="array" ref="AU25">PRODUCT(1+預測IC!$C26:AU26)-1</f>
        <v>0.18617324550329584</v>
      </c>
      <c r="AV25" s="13">
        <f t="array" ref="AV25">PRODUCT(1+預測IC!$C26:AV26)-1</f>
        <v>0.23209180697664689</v>
      </c>
      <c r="AW25" s="13">
        <f t="array" ref="AW25">PRODUCT(1+預測IC!$C26:AW26)-1</f>
        <v>0.20516203655681697</v>
      </c>
      <c r="AX25" s="13">
        <f t="array" ref="AX25">PRODUCT(1+預測IC!$C26:AX26)-1</f>
        <v>0.21453132863303215</v>
      </c>
      <c r="AY25" s="13">
        <f t="array" ref="AY25">PRODUCT(1+預測IC!$C26:AY26)-1</f>
        <v>0.2660241129922889</v>
      </c>
      <c r="AZ25" s="13">
        <f t="array" ref="AZ25">PRODUCT(1+預測IC!$C26:AZ26)-1</f>
        <v>0.23271631642995261</v>
      </c>
      <c r="BA25" s="13">
        <f t="array" ref="BA25">PRODUCT(1+預測IC!$C26:BA26)-1</f>
        <v>0.24451556797958407</v>
      </c>
      <c r="BB25" s="13">
        <f t="array" ref="BB25">PRODUCT(1+預測IC!$C26:BB26)-1</f>
        <v>0.21433638745422812</v>
      </c>
      <c r="BC25" s="13">
        <f t="array" ref="BC25">PRODUCT(1+預測IC!$C26:BC26)-1</f>
        <v>0.23882150637103883</v>
      </c>
      <c r="BD25" s="13">
        <f t="array" ref="BD25">PRODUCT(1+預測IC!$C26:BD26)-1</f>
        <v>0.23447943849994912</v>
      </c>
      <c r="BE25" s="13">
        <f t="array" ref="BE25">PRODUCT(1+預測IC!$C26:BE26)-1</f>
        <v>0.25935658802508499</v>
      </c>
      <c r="BF25" s="13">
        <f t="array" ref="BF25">PRODUCT(1+預測IC!$C26:BF26)-1</f>
        <v>0.26008869763716325</v>
      </c>
      <c r="BG25" s="13">
        <f t="array" ref="BG25">PRODUCT(1+預測IC!$C26:BG26)-1</f>
        <v>0.2535114114609236</v>
      </c>
      <c r="BH25" s="13">
        <f t="array" ref="BH25">PRODUCT(1+預測IC!$C26:BH26)-1</f>
        <v>0.10826483627727623</v>
      </c>
      <c r="BI25" s="13">
        <f t="array" ref="BI25">PRODUCT(1+預測IC!$C26:BI26)-1</f>
        <v>0.11793469710078752</v>
      </c>
      <c r="BJ25" s="13">
        <f t="array" ref="BJ25">PRODUCT(1+預測IC!$C26:BJ26)-1</f>
        <v>9.9625988810205346E-2</v>
      </c>
      <c r="BK25" s="13">
        <f t="array" ref="BK25">PRODUCT(1+預測IC!$C26:BK26)-1</f>
        <v>0.12254260303831388</v>
      </c>
      <c r="BL25" s="13">
        <f t="array" ref="BL25">PRODUCT(1+預測IC!$C26:BL26)-1</f>
        <v>0.17302993558173996</v>
      </c>
      <c r="BM25" s="13">
        <f t="array" ref="BM25">PRODUCT(1+預測IC!$C26:BM26)-1</f>
        <v>0.20112905370185397</v>
      </c>
      <c r="BN25" s="13">
        <f t="array" ref="BN25">PRODUCT(1+預測IC!$C26:BN26)-1</f>
        <v>0.23745011694095197</v>
      </c>
      <c r="BO25" s="13">
        <f t="array" ref="BO25">PRODUCT(1+預測IC!$C26:BO26)-1</f>
        <v>0.18334151222801376</v>
      </c>
      <c r="BP25" s="13">
        <f t="array" ref="BP25">PRODUCT(1+預測IC!$C26:BP26)-1</f>
        <v>0.20924423024871497</v>
      </c>
      <c r="BQ25" s="13">
        <f t="array" ref="BQ25">PRODUCT(1+預測IC!$C26:BQ26)-1</f>
        <v>0.21967690051673561</v>
      </c>
      <c r="BR25" s="13">
        <f t="array" ref="BR25">PRODUCT(1+預測IC!$C26:BR26)-1</f>
        <v>0.1962676978767699</v>
      </c>
      <c r="BS25" s="13">
        <f t="array" ref="BS25">PRODUCT(1+預測IC!$C26:BS26)-1</f>
        <v>0.21987619627534571</v>
      </c>
      <c r="BT25" s="13">
        <f t="array" ref="BT25">PRODUCT(1+預測IC!$C26:BT26)-1</f>
        <v>0.27805738326883356</v>
      </c>
      <c r="BU25" s="13">
        <f t="array" ref="BU25">PRODUCT(1+預測IC!$C26:BU26)-1</f>
        <v>0.29269729646247922</v>
      </c>
      <c r="BV25" s="13">
        <f t="array" ref="BV25">PRODUCT(1+預測IC!$C26:BV26)-1</f>
        <v>0.34857881761669129</v>
      </c>
      <c r="BW25" s="13">
        <f t="array" ref="BW25">PRODUCT(1+預測IC!$C26:BW26)-1</f>
        <v>0.2909305384219143</v>
      </c>
      <c r="BX25" s="13">
        <f t="array" ref="BX25">PRODUCT(1+預測IC!$C26:BX26)-1</f>
        <v>0.26793739709811137</v>
      </c>
      <c r="BY25" s="13">
        <f t="array" ref="BY25">PRODUCT(1+預測IC!$C26:BY26)-1</f>
        <v>7.628473289061688E-2</v>
      </c>
      <c r="BZ25" s="13">
        <f t="array" ref="BZ25">PRODUCT(1+預測IC!$C26:BZ26)-1</f>
        <v>0.20998513144491437</v>
      </c>
      <c r="CA25" s="13">
        <f t="array" ref="CA25">PRODUCT(1+預測IC!$C26:CA26)-1</f>
        <v>0.20447092205281336</v>
      </c>
      <c r="CB25" s="13">
        <f t="array" ref="CB25">PRODUCT(1+預測IC!$C26:CB26)-1</f>
        <v>0.27699361006036605</v>
      </c>
      <c r="CC25" s="13">
        <f t="array" ref="CC25">PRODUCT(1+預測IC!$C26:CC26)-1</f>
        <v>0.38680488733361829</v>
      </c>
      <c r="CD25" s="13">
        <f t="array" ref="CD25">PRODUCT(1+預測IC!$C26:CD26)-1</f>
        <v>0.37874965946081551</v>
      </c>
      <c r="CE25" s="13">
        <f t="array" ref="CE25">PRODUCT(1+預測IC!$C26:CE26)-1</f>
        <v>0.37042015435709108</v>
      </c>
      <c r="CF25" s="13">
        <f t="array" ref="CF25">PRODUCT(1+預測IC!$C26:CF26)-1</f>
        <v>0.37378086910184649</v>
      </c>
      <c r="CG25" s="13">
        <f t="array" ref="CG25">PRODUCT(1+預測IC!$C26:CG26)-1</f>
        <v>0.49692143719092186</v>
      </c>
      <c r="CH25" s="13">
        <f t="array" ref="CH25">PRODUCT(1+預測IC!$C26:CH26)-1</f>
        <v>0.603191980394987</v>
      </c>
      <c r="CI25" s="13">
        <f t="array" ref="CI25">PRODUCT(1+預測IC!$C26:CI26)-1</f>
        <v>0.64675173719730239</v>
      </c>
      <c r="CJ25" s="13">
        <f t="array" ref="CJ25">PRODUCT(1+預測IC!$C26:CJ26)-1</f>
        <v>0.73315421285472704</v>
      </c>
      <c r="CK25" s="13">
        <f t="array" ref="CK25">PRODUCT(1+預測IC!$C26:CK26)-1</f>
        <v>0.7842487445659152</v>
      </c>
      <c r="CL25" s="13">
        <f t="array" ref="CL25">PRODUCT(1+預測IC!$C26:CL26)-1</f>
        <v>0.90348131155309508</v>
      </c>
      <c r="CM25" s="13">
        <f t="array" ref="CM25">PRODUCT(1+預測IC!$C26:CM26)-1</f>
        <v>0.8487139113221478</v>
      </c>
      <c r="CN25" s="13">
        <f t="array" ref="CN25">PRODUCT(1+預測IC!$C26:CN26)-1</f>
        <v>0.92166881344527685</v>
      </c>
      <c r="CO25" s="13">
        <f t="array" ref="CO25">PRODUCT(1+預測IC!$C26:CO26)-1</f>
        <v>0.86588067898046694</v>
      </c>
      <c r="CP25" s="13">
        <f t="array" ref="CP25">PRODUCT(1+預測IC!$C26:CP26)-1</f>
        <v>0.89197293519067467</v>
      </c>
      <c r="CQ25" s="13">
        <f t="array" ref="CQ25">PRODUCT(1+預測IC!$C26:CQ26)-1</f>
        <v>0.83090579105751727</v>
      </c>
      <c r="CR25" s="13">
        <f t="array" ref="CR25">PRODUCT(1+預測IC!$C26:CR26)-1</f>
        <v>0.83658814745105547</v>
      </c>
      <c r="CS25" s="13">
        <f t="array" ref="CS25">PRODUCT(1+預測IC!$C26:CS26)-1</f>
        <v>0.88358984642415717</v>
      </c>
      <c r="CT25" s="13">
        <f t="array" ref="CT25">PRODUCT(1+預測IC!$C26:CT26)-1</f>
        <v>0.9672059526983301</v>
      </c>
      <c r="CU25" s="13">
        <f t="array" ref="CU25">PRODUCT(1+預測IC!$C26:CU26)-1</f>
        <v>0.90752297284093331</v>
      </c>
      <c r="CV25" s="13">
        <f t="array" ref="CV25">PRODUCT(1+預測IC!$C26:CV26)-1</f>
        <v>0.90512335385454468</v>
      </c>
      <c r="CW25" s="13">
        <f t="array" ref="CW25">PRODUCT(1+預測IC!$C26:CW26)-1</f>
        <v>0.90957440110152876</v>
      </c>
      <c r="CX25" s="13">
        <f t="array" ref="CX25">PRODUCT(1+預測IC!$C26:CX26)-1</f>
        <v>0.78685723504233995</v>
      </c>
      <c r="CY25" s="13">
        <f t="array" ref="CY25">PRODUCT(1+預測IC!$C26:CY26)-1</f>
        <v>0.80992516787144164</v>
      </c>
      <c r="CZ25" s="13">
        <f t="array" ref="CZ25">PRODUCT(1+預測IC!$C26:CZ26)-1</f>
        <v>0.58282101623526672</v>
      </c>
      <c r="DA25" s="13">
        <f t="array" ref="DA25">PRODUCT(1+預測IC!$C26:DA26)-1</f>
        <v>0.60132527488651344</v>
      </c>
      <c r="DB25" s="13">
        <f t="array" ref="DB25">PRODUCT(1+預測IC!$C26:DB26)-1</f>
        <v>0.61147422419279152</v>
      </c>
      <c r="DC25" s="13">
        <f t="array" ref="DC25">PRODUCT(1+預測IC!$C26:DC26)-1</f>
        <v>0.42243966588262949</v>
      </c>
      <c r="DD25" s="13">
        <f t="array" ref="DD25">PRODUCT(1+預測IC!$C26:DD26)-1</f>
        <v>0.37121637307647259</v>
      </c>
      <c r="DE25" s="13">
        <f t="array" ref="DE25">PRODUCT(1+預測IC!$C26:DE26)-1</f>
        <v>0.5616938276257708</v>
      </c>
      <c r="DF25" s="13">
        <f t="array" ref="DF25">PRODUCT(1+預測IC!$C26:DF26)-1</f>
        <v>0.48182332962932128</v>
      </c>
      <c r="DG25" s="13">
        <f t="array" ref="DG25">PRODUCT(1+預測IC!$C26:DG26)-1</f>
        <v>0.59552577817978314</v>
      </c>
      <c r="DH25" s="13">
        <f t="array" ref="DH25">PRODUCT(1+預測IC!$C26:DH26)-1</f>
        <v>0.62027043996328524</v>
      </c>
      <c r="DI25" s="13">
        <f t="array" ref="DI25">PRODUCT(1+預測IC!$C26:DI26)-1</f>
        <v>0.65789923395288952</v>
      </c>
      <c r="DJ25" s="13">
        <f t="array" ref="DJ25">PRODUCT(1+預測IC!$C26:DJ26)-1</f>
        <v>0.62743885630809859</v>
      </c>
      <c r="DK25" s="13">
        <f t="array" ref="DK25">PRODUCT(1+預測IC!$C26:DK26)-1</f>
        <v>0.72866394865424411</v>
      </c>
      <c r="DL25" s="13">
        <f t="array" ref="DL25">PRODUCT(1+預測IC!$C26:DL26)-1</f>
        <v>0.76340716304992284</v>
      </c>
      <c r="DM25" s="13">
        <f t="array" ref="DM25">PRODUCT(1+預測IC!$C26:DM26)-1</f>
        <v>0.78721129009524526</v>
      </c>
      <c r="DN25" s="13">
        <f t="array" ref="DN25">PRODUCT(1+預測IC!$C26:DN26)-1</f>
        <v>0.73314419395664854</v>
      </c>
      <c r="DO25" s="13">
        <f t="array" ref="DO25">PRODUCT(1+預測IC!$C26:DO26)-1</f>
        <v>0.7036411650845571</v>
      </c>
      <c r="DP25" s="13">
        <f t="array" ref="DP25">PRODUCT(1+預測IC!$C26:DP26)-1</f>
        <v>0.666521339911188</v>
      </c>
      <c r="DQ25" s="13">
        <f t="array" ref="DQ25">PRODUCT(1+預測IC!$C26:DQ26)-1</f>
        <v>0.80941825308633253</v>
      </c>
      <c r="DR25" s="13">
        <f t="array" ref="DR25">PRODUCT(1+預測IC!$C26:DR26)-1</f>
        <v>0.86027510799998974</v>
      </c>
      <c r="DS25" s="13">
        <f t="array" ref="DS25">PRODUCT(1+預測IC!$C26:DS26)-1</f>
        <v>0.85599059714061299</v>
      </c>
      <c r="DT25" s="13">
        <f t="array" ref="DT25">PRODUCT(1+預測IC!$C26:DT26)-1</f>
        <v>0.9645125910761998</v>
      </c>
      <c r="DU25" s="13">
        <f t="array" ref="DU25">PRODUCT(1+預測IC!$C26:DU26)-1</f>
        <v>1.0974294483812512</v>
      </c>
      <c r="DV25" s="13">
        <f t="array" ref="DV25">PRODUCT(1+預測IC!$C26:DV26)-1</f>
        <v>1.1079601605760616</v>
      </c>
      <c r="DW25" s="13">
        <f t="array" ref="DW25">PRODUCT(1+預測IC!$C26:DW26)-1</f>
        <v>1.1868319851241949</v>
      </c>
      <c r="DX25" s="13">
        <f t="array" ref="DX25">PRODUCT(1+預測IC!$C26:DX26)-1</f>
        <v>1.3707686184169408</v>
      </c>
      <c r="DY25" s="13">
        <f t="array" ref="DY25">PRODUCT(1+預測IC!$C26:DY26)-1</f>
        <v>1.2834475238077694</v>
      </c>
      <c r="DZ25" s="13">
        <f t="array" ref="DZ25">PRODUCT(1+預測IC!$C26:DZ26)-1</f>
        <v>1.2905072649494538</v>
      </c>
      <c r="EA25" s="13">
        <f t="array" ref="EA25">PRODUCT(1+預測IC!$C26:EA26)-1</f>
        <v>1.2860233033025419</v>
      </c>
      <c r="EB25" s="13">
        <f t="array" ref="EB25">PRODUCT(1+預測IC!$C26:EB26)-1</f>
        <v>1.3465094307246845</v>
      </c>
      <c r="EC25" s="13">
        <f t="array" ref="EC25">PRODUCT(1+預測IC!$C26:EC26)-1</f>
        <v>1.2884273650883467</v>
      </c>
      <c r="ED25" s="13">
        <f t="array" ref="ED25">PRODUCT(1+預測IC!$C26:ED26)-1</f>
        <v>1.3664981882262612</v>
      </c>
      <c r="EE25" s="13">
        <f t="array" ref="EE25">PRODUCT(1+預測IC!$C26:EE26)-1</f>
        <v>1.4163413115117764</v>
      </c>
      <c r="EF25" s="13">
        <f t="array" ref="EF25">PRODUCT(1+預測IC!$C26:EF26)-1</f>
        <v>1.367344209826507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預測IC</vt:lpstr>
      <vt:lpstr>夏普比率</vt:lpstr>
      <vt:lpstr>勝率</vt:lpstr>
      <vt:lpstr>累積報酬</vt:lpstr>
      <vt:lpstr>預測累積畫圖</vt:lpstr>
      <vt:lpstr>OLS樣本外R2</vt:lpstr>
      <vt:lpstr>NN2樣本外R2</vt:lpstr>
      <vt:lpstr>NN2再投資累積報酬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歆璇 陳</dc:creator>
  <cp:lastModifiedBy>陳祥瑋</cp:lastModifiedBy>
  <dcterms:created xsi:type="dcterms:W3CDTF">2025-03-25T04:23:55Z</dcterms:created>
  <dcterms:modified xsi:type="dcterms:W3CDTF">2025-06-02T08:11:32Z</dcterms:modified>
</cp:coreProperties>
</file>