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eixiang/Desktop/金融/"/>
    </mc:Choice>
  </mc:AlternateContent>
  <xr:revisionPtr revIDLastSave="0" documentId="13_ncr:1_{1C19A62A-23AF-A243-9816-9DF3D3B1F7A6}" xr6:coauthVersionLast="47" xr6:coauthVersionMax="47" xr10:uidLastSave="{00000000-0000-0000-0000-000000000000}"/>
  <bookViews>
    <workbookView xWindow="16120" yWindow="1000" windowWidth="30240" windowHeight="17900" activeTab="2" xr2:uid="{00000000-000D-0000-FFFF-FFFF00000000}"/>
  </bookViews>
  <sheets>
    <sheet name="預測IC" sheetId="1" r:id="rId1"/>
    <sheet name="勝率" sheetId="2" r:id="rId2"/>
    <sheet name="累積報酬" sheetId="3" r:id="rId3"/>
    <sheet name="累積畫圖" sheetId="4" r:id="rId4"/>
    <sheet name="NN4再投資累積報酬" sheetId="7" r:id="rId5"/>
    <sheet name="夏普比率" sheetId="5" r:id="rId6"/>
    <sheet name="樣本外R2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F25" i="7" l="1" a="1"/>
  <c r="EF25" i="7" s="1"/>
  <c r="EE25" i="7" a="1"/>
  <c r="EE25" i="7" s="1"/>
  <c r="ED25" i="7" a="1"/>
  <c r="ED25" i="7" s="1"/>
  <c r="EC25" i="7" a="1"/>
  <c r="EC25" i="7" s="1"/>
  <c r="EB25" i="7" a="1"/>
  <c r="EB25" i="7" s="1"/>
  <c r="EA25" i="7" a="1"/>
  <c r="EA25" i="7" s="1"/>
  <c r="DZ25" i="7" a="1"/>
  <c r="DZ25" i="7" s="1"/>
  <c r="DY25" i="7" a="1"/>
  <c r="DY25" i="7" s="1"/>
  <c r="DX25" i="7" a="1"/>
  <c r="DX25" i="7" s="1"/>
  <c r="DW25" i="7" a="1"/>
  <c r="DW25" i="7" s="1"/>
  <c r="DV25" i="7" a="1"/>
  <c r="DV25" i="7" s="1"/>
  <c r="DU25" i="7" a="1"/>
  <c r="DU25" i="7" s="1"/>
  <c r="DT25" i="7" a="1"/>
  <c r="DT25" i="7" s="1"/>
  <c r="DS25" i="7" a="1"/>
  <c r="DS25" i="7" s="1"/>
  <c r="DR25" i="7" a="1"/>
  <c r="DR25" i="7" s="1"/>
  <c r="DQ25" i="7" a="1"/>
  <c r="DQ25" i="7" s="1"/>
  <c r="DP25" i="7" a="1"/>
  <c r="DP25" i="7" s="1"/>
  <c r="DO25" i="7" a="1"/>
  <c r="DO25" i="7" s="1"/>
  <c r="DN25" i="7" a="1"/>
  <c r="DN25" i="7" s="1"/>
  <c r="DM25" i="7" a="1"/>
  <c r="DM25" i="7" s="1"/>
  <c r="DL25" i="7" a="1"/>
  <c r="DL25" i="7" s="1"/>
  <c r="DK25" i="7" a="1"/>
  <c r="DK25" i="7" s="1"/>
  <c r="DJ25" i="7" a="1"/>
  <c r="DJ25" i="7" s="1"/>
  <c r="DI25" i="7" a="1"/>
  <c r="DI25" i="7" s="1"/>
  <c r="DH25" i="7" a="1"/>
  <c r="DH25" i="7" s="1"/>
  <c r="DG25" i="7" a="1"/>
  <c r="DG25" i="7" s="1"/>
  <c r="DF25" i="7" a="1"/>
  <c r="DF25" i="7" s="1"/>
  <c r="DE25" i="7" a="1"/>
  <c r="DE25" i="7" s="1"/>
  <c r="DD25" i="7" a="1"/>
  <c r="DD25" i="7" s="1"/>
  <c r="DC25" i="7" a="1"/>
  <c r="DC25" i="7" s="1"/>
  <c r="DB25" i="7" a="1"/>
  <c r="DB25" i="7" s="1"/>
  <c r="DA25" i="7" a="1"/>
  <c r="DA25" i="7" s="1"/>
  <c r="CZ25" i="7" a="1"/>
  <c r="CZ25" i="7" s="1"/>
  <c r="CY25" i="7" a="1"/>
  <c r="CY25" i="7" s="1"/>
  <c r="CX25" i="7" a="1"/>
  <c r="CX25" i="7" s="1"/>
  <c r="CW25" i="7" a="1"/>
  <c r="CW25" i="7" s="1"/>
  <c r="CV25" i="7" a="1"/>
  <c r="CV25" i="7" s="1"/>
  <c r="CU25" i="7"/>
  <c r="CU25" i="7" a="1"/>
  <c r="CT25" i="7" a="1"/>
  <c r="CT25" i="7" s="1"/>
  <c r="CS25" i="7" a="1"/>
  <c r="CS25" i="7" s="1"/>
  <c r="CR25" i="7" a="1"/>
  <c r="CR25" i="7" s="1"/>
  <c r="CQ25" i="7"/>
  <c r="CQ25" i="7" a="1"/>
  <c r="CP25" i="7" a="1"/>
  <c r="CP25" i="7" s="1"/>
  <c r="CO25" i="7" a="1"/>
  <c r="CO25" i="7" s="1"/>
  <c r="CN25" i="7" a="1"/>
  <c r="CN25" i="7" s="1"/>
  <c r="CM25" i="7"/>
  <c r="CM25" i="7" a="1"/>
  <c r="CL25" i="7" a="1"/>
  <c r="CL25" i="7" s="1"/>
  <c r="CK25" i="7" a="1"/>
  <c r="CK25" i="7" s="1"/>
  <c r="CJ25" i="7" a="1"/>
  <c r="CJ25" i="7" s="1"/>
  <c r="CI25" i="7"/>
  <c r="CI25" i="7" a="1"/>
  <c r="CH25" i="7" a="1"/>
  <c r="CH25" i="7" s="1"/>
  <c r="CG25" i="7" a="1"/>
  <c r="CG25" i="7" s="1"/>
  <c r="CF25" i="7" a="1"/>
  <c r="CF25" i="7" s="1"/>
  <c r="CE25" i="7"/>
  <c r="CE25" i="7" a="1"/>
  <c r="CD25" i="7" a="1"/>
  <c r="CD25" i="7" s="1"/>
  <c r="CC25" i="7" a="1"/>
  <c r="CC25" i="7" s="1"/>
  <c r="CB25" i="7" a="1"/>
  <c r="CB25" i="7" s="1"/>
  <c r="CA25" i="7"/>
  <c r="CA25" i="7" a="1"/>
  <c r="BZ25" i="7" a="1"/>
  <c r="BZ25" i="7" s="1"/>
  <c r="BY25" i="7" a="1"/>
  <c r="BY25" i="7" s="1"/>
  <c r="BX25" i="7" a="1"/>
  <c r="BX25" i="7" s="1"/>
  <c r="BW25" i="7"/>
  <c r="BW25" i="7" a="1"/>
  <c r="BV25" i="7" a="1"/>
  <c r="BV25" i="7" s="1"/>
  <c r="BU25" i="7" a="1"/>
  <c r="BU25" i="7" s="1"/>
  <c r="BT25" i="7" a="1"/>
  <c r="BT25" i="7" s="1"/>
  <c r="BS25" i="7"/>
  <c r="BS25" i="7" a="1"/>
  <c r="BR25" i="7" a="1"/>
  <c r="BR25" i="7" s="1"/>
  <c r="BQ25" i="7" a="1"/>
  <c r="BQ25" i="7" s="1"/>
  <c r="BP25" i="7" a="1"/>
  <c r="BP25" i="7" s="1"/>
  <c r="BO25" i="7"/>
  <c r="BO25" i="7" a="1"/>
  <c r="BN25" i="7" a="1"/>
  <c r="BN25" i="7" s="1"/>
  <c r="BM25" i="7" a="1"/>
  <c r="BM25" i="7" s="1"/>
  <c r="BL25" i="7" a="1"/>
  <c r="BL25" i="7" s="1"/>
  <c r="BK25" i="7"/>
  <c r="BK25" i="7" a="1"/>
  <c r="BJ25" i="7" a="1"/>
  <c r="BJ25" i="7" s="1"/>
  <c r="BI25" i="7" a="1"/>
  <c r="BI25" i="7" s="1"/>
  <c r="BH25" i="7" a="1"/>
  <c r="BH25" i="7" s="1"/>
  <c r="BG25" i="7"/>
  <c r="BG25" i="7" a="1"/>
  <c r="BF25" i="7" a="1"/>
  <c r="BF25" i="7" s="1"/>
  <c r="BE25" i="7" a="1"/>
  <c r="BE25" i="7" s="1"/>
  <c r="BD25" i="7" a="1"/>
  <c r="BD25" i="7" s="1"/>
  <c r="BC25" i="7"/>
  <c r="BC25" i="7" a="1"/>
  <c r="BB25" i="7" a="1"/>
  <c r="BB25" i="7" s="1"/>
  <c r="BA25" i="7" a="1"/>
  <c r="BA25" i="7" s="1"/>
  <c r="AZ25" i="7" a="1"/>
  <c r="AZ25" i="7" s="1"/>
  <c r="AY25" i="7"/>
  <c r="AY25" i="7" a="1"/>
  <c r="AX25" i="7" a="1"/>
  <c r="AX25" i="7" s="1"/>
  <c r="AW25" i="7" a="1"/>
  <c r="AW25" i="7" s="1"/>
  <c r="AV25" i="7" a="1"/>
  <c r="AV25" i="7" s="1"/>
  <c r="AU25" i="7"/>
  <c r="AU25" i="7" a="1"/>
  <c r="AT25" i="7" a="1"/>
  <c r="AT25" i="7" s="1"/>
  <c r="AS25" i="7" a="1"/>
  <c r="AS25" i="7" s="1"/>
  <c r="AR25" i="7" a="1"/>
  <c r="AR25" i="7" s="1"/>
  <c r="AQ25" i="7"/>
  <c r="AQ25" i="7" a="1"/>
  <c r="AP25" i="7" a="1"/>
  <c r="AP25" i="7" s="1"/>
  <c r="AO25" i="7" a="1"/>
  <c r="AO25" i="7" s="1"/>
  <c r="AN25" i="7" a="1"/>
  <c r="AN25" i="7" s="1"/>
  <c r="AM25" i="7"/>
  <c r="AM25" i="7" a="1"/>
  <c r="AL25" i="7" a="1"/>
  <c r="AL25" i="7" s="1"/>
  <c r="AK25" i="7" a="1"/>
  <c r="AK25" i="7" s="1"/>
  <c r="AJ25" i="7" a="1"/>
  <c r="AJ25" i="7" s="1"/>
  <c r="AI25" i="7"/>
  <c r="AI25" i="7" a="1"/>
  <c r="AH25" i="7" a="1"/>
  <c r="AH25" i="7" s="1"/>
  <c r="AG25" i="7" a="1"/>
  <c r="AG25" i="7" s="1"/>
  <c r="AF25" i="7" a="1"/>
  <c r="AF25" i="7" s="1"/>
  <c r="AE25" i="7"/>
  <c r="AE25" i="7" a="1"/>
  <c r="AD25" i="7" a="1"/>
  <c r="AD25" i="7" s="1"/>
  <c r="AC25" i="7" a="1"/>
  <c r="AC25" i="7" s="1"/>
  <c r="AB25" i="7" a="1"/>
  <c r="AB25" i="7" s="1"/>
  <c r="AA25" i="7"/>
  <c r="AA25" i="7" a="1"/>
  <c r="Z25" i="7" a="1"/>
  <c r="Z25" i="7" s="1"/>
  <c r="Y25" i="7" a="1"/>
  <c r="Y25" i="7" s="1"/>
  <c r="X25" i="7" a="1"/>
  <c r="X25" i="7" s="1"/>
  <c r="W25" i="7"/>
  <c r="W25" i="7" a="1"/>
  <c r="V25" i="7" a="1"/>
  <c r="V25" i="7" s="1"/>
  <c r="U25" i="7" a="1"/>
  <c r="U25" i="7" s="1"/>
  <c r="T25" i="7" a="1"/>
  <c r="T25" i="7" s="1"/>
  <c r="S25" i="7"/>
  <c r="S25" i="7" a="1"/>
  <c r="R25" i="7" a="1"/>
  <c r="R25" i="7" s="1"/>
  <c r="Q25" i="7" a="1"/>
  <c r="Q25" i="7" s="1"/>
  <c r="P25" i="7" a="1"/>
  <c r="P25" i="7" s="1"/>
  <c r="O25" i="7"/>
  <c r="O25" i="7" a="1"/>
  <c r="N25" i="7" a="1"/>
  <c r="N25" i="7" s="1"/>
  <c r="M25" i="7" a="1"/>
  <c r="M25" i="7" s="1"/>
  <c r="L25" i="7" a="1"/>
  <c r="L25" i="7" s="1"/>
  <c r="K25" i="7"/>
  <c r="K25" i="7" a="1"/>
  <c r="J25" i="7" a="1"/>
  <c r="J25" i="7" s="1"/>
  <c r="I25" i="7" a="1"/>
  <c r="I25" i="7" s="1"/>
  <c r="H25" i="7" a="1"/>
  <c r="H25" i="7" s="1"/>
  <c r="G25" i="7"/>
  <c r="G25" i="7" a="1"/>
  <c r="F25" i="7" a="1"/>
  <c r="F25" i="7" s="1"/>
  <c r="E25" i="7" a="1"/>
  <c r="E25" i="7" s="1"/>
  <c r="D25" i="7" a="1"/>
  <c r="D25" i="7" s="1"/>
  <c r="C25" i="7" a="1"/>
  <c r="C25" i="7"/>
  <c r="EF24" i="7" a="1"/>
  <c r="EF24" i="7" s="1"/>
  <c r="EE24" i="7" a="1"/>
  <c r="EE24" i="7" s="1"/>
  <c r="ED24" i="7" a="1"/>
  <c r="ED24" i="7" s="1"/>
  <c r="EC24" i="7" a="1"/>
  <c r="EC24" i="7" s="1"/>
  <c r="EB24" i="7" a="1"/>
  <c r="EB24" i="7" s="1"/>
  <c r="EA24" i="7" a="1"/>
  <c r="EA24" i="7" s="1"/>
  <c r="DZ24" i="7" a="1"/>
  <c r="DZ24" i="7" s="1"/>
  <c r="DY24" i="7"/>
  <c r="DY24" i="7" a="1"/>
  <c r="DX24" i="7" a="1"/>
  <c r="DX24" i="7" s="1"/>
  <c r="DW24" i="7" a="1"/>
  <c r="DW24" i="7" s="1"/>
  <c r="DV24" i="7" a="1"/>
  <c r="DV24" i="7" s="1"/>
  <c r="DU24" i="7" a="1"/>
  <c r="DU24" i="7" s="1"/>
  <c r="DT24" i="7" a="1"/>
  <c r="DT24" i="7" s="1"/>
  <c r="DS24" i="7" a="1"/>
  <c r="DS24" i="7" s="1"/>
  <c r="DR24" i="7" a="1"/>
  <c r="DR24" i="7" s="1"/>
  <c r="DQ24" i="7"/>
  <c r="DQ24" i="7" a="1"/>
  <c r="DP24" i="7" a="1"/>
  <c r="DP24" i="7" s="1"/>
  <c r="DO24" i="7" a="1"/>
  <c r="DO24" i="7" s="1"/>
  <c r="DN24" i="7" a="1"/>
  <c r="DN24" i="7" s="1"/>
  <c r="DM24" i="7" a="1"/>
  <c r="DM24" i="7" s="1"/>
  <c r="DL24" i="7" a="1"/>
  <c r="DL24" i="7" s="1"/>
  <c r="DK24" i="7" a="1"/>
  <c r="DK24" i="7" s="1"/>
  <c r="DJ24" i="7" a="1"/>
  <c r="DJ24" i="7" s="1"/>
  <c r="DI24" i="7"/>
  <c r="DI24" i="7" a="1"/>
  <c r="DH24" i="7" a="1"/>
  <c r="DH24" i="7" s="1"/>
  <c r="DG24" i="7"/>
  <c r="DG24" i="7" a="1"/>
  <c r="DF24" i="7" a="1"/>
  <c r="DF24" i="7" s="1"/>
  <c r="DE24" i="7" a="1"/>
  <c r="DE24" i="7" s="1"/>
  <c r="DD24" i="7" a="1"/>
  <c r="DD24" i="7" s="1"/>
  <c r="DC24" i="7" a="1"/>
  <c r="DC24" i="7" s="1"/>
  <c r="DB24" i="7" a="1"/>
  <c r="DB24" i="7" s="1"/>
  <c r="DA24" i="7"/>
  <c r="DA24" i="7" a="1"/>
  <c r="CZ24" i="7" a="1"/>
  <c r="CZ24" i="7" s="1"/>
  <c r="CY24" i="7"/>
  <c r="CY24" i="7" a="1"/>
  <c r="CX24" i="7" a="1"/>
  <c r="CX24" i="7" s="1"/>
  <c r="CW24" i="7" a="1"/>
  <c r="CW24" i="7" s="1"/>
  <c r="CV24" i="7"/>
  <c r="CV24" i="7" a="1"/>
  <c r="CU24" i="7" a="1"/>
  <c r="CU24" i="7" s="1"/>
  <c r="CT24" i="7"/>
  <c r="CT24" i="7" a="1"/>
  <c r="CS24" i="7" a="1"/>
  <c r="CS24" i="7" s="1"/>
  <c r="CR24" i="7"/>
  <c r="CR24" i="7" a="1"/>
  <c r="CQ24" i="7" a="1"/>
  <c r="CQ24" i="7" s="1"/>
  <c r="CP24" i="7"/>
  <c r="CP24" i="7" a="1"/>
  <c r="CO24" i="7" a="1"/>
  <c r="CO24" i="7" s="1"/>
  <c r="CN24" i="7"/>
  <c r="CN24" i="7" a="1"/>
  <c r="CM24" i="7" a="1"/>
  <c r="CM24" i="7" s="1"/>
  <c r="CL24" i="7"/>
  <c r="CL24" i="7" a="1"/>
  <c r="CK24" i="7" a="1"/>
  <c r="CK24" i="7" s="1"/>
  <c r="CJ24" i="7"/>
  <c r="CJ24" i="7" a="1"/>
  <c r="CI24" i="7" a="1"/>
  <c r="CI24" i="7" s="1"/>
  <c r="CH24" i="7"/>
  <c r="CH24" i="7" a="1"/>
  <c r="CG24" i="7" a="1"/>
  <c r="CG24" i="7" s="1"/>
  <c r="CF24" i="7"/>
  <c r="CF24" i="7" a="1"/>
  <c r="CE24" i="7" a="1"/>
  <c r="CE24" i="7" s="1"/>
  <c r="CD24" i="7"/>
  <c r="CD24" i="7" a="1"/>
  <c r="CC24" i="7" a="1"/>
  <c r="CC24" i="7" s="1"/>
  <c r="CB24" i="7"/>
  <c r="CB24" i="7" a="1"/>
  <c r="CA24" i="7" a="1"/>
  <c r="CA24" i="7" s="1"/>
  <c r="BZ24" i="7" a="1"/>
  <c r="BZ24" i="7" s="1"/>
  <c r="BY24" i="7" a="1"/>
  <c r="BY24" i="7" s="1"/>
  <c r="BX24" i="7"/>
  <c r="BX24" i="7" a="1"/>
  <c r="BW24" i="7" a="1"/>
  <c r="BW24" i="7" s="1"/>
  <c r="BV24" i="7"/>
  <c r="BV24" i="7" a="1"/>
  <c r="BU24" i="7" a="1"/>
  <c r="BU24" i="7" s="1"/>
  <c r="BT24" i="7" a="1"/>
  <c r="BT24" i="7" s="1"/>
  <c r="BS24" i="7" a="1"/>
  <c r="BS24" i="7" s="1"/>
  <c r="BR24" i="7" a="1"/>
  <c r="BR24" i="7" s="1"/>
  <c r="BQ24" i="7" a="1"/>
  <c r="BQ24" i="7" s="1"/>
  <c r="BP24" i="7"/>
  <c r="BP24" i="7" a="1"/>
  <c r="BO24" i="7" a="1"/>
  <c r="BO24" i="7" s="1"/>
  <c r="BN24" i="7"/>
  <c r="BN24" i="7" a="1"/>
  <c r="BM24" i="7" a="1"/>
  <c r="BM24" i="7" s="1"/>
  <c r="BL24" i="7" a="1"/>
  <c r="BL24" i="7" s="1"/>
  <c r="BK24" i="7" a="1"/>
  <c r="BK24" i="7" s="1"/>
  <c r="BJ24" i="7" a="1"/>
  <c r="BJ24" i="7" s="1"/>
  <c r="BI24" i="7" a="1"/>
  <c r="BI24" i="7" s="1"/>
  <c r="BH24" i="7"/>
  <c r="BH24" i="7" a="1"/>
  <c r="BG24" i="7" a="1"/>
  <c r="BG24" i="7" s="1"/>
  <c r="BF24" i="7"/>
  <c r="BF24" i="7" a="1"/>
  <c r="BE24" i="7" a="1"/>
  <c r="BE24" i="7" s="1"/>
  <c r="BD24" i="7"/>
  <c r="BD24" i="7" a="1"/>
  <c r="BC24" i="7" a="1"/>
  <c r="BC24" i="7" s="1"/>
  <c r="BB24" i="7" a="1"/>
  <c r="BB24" i="7" s="1"/>
  <c r="BA24" i="7" a="1"/>
  <c r="BA24" i="7" s="1"/>
  <c r="AZ24" i="7"/>
  <c r="AZ24" i="7" a="1"/>
  <c r="AY24" i="7" a="1"/>
  <c r="AY24" i="7" s="1"/>
  <c r="AX24" i="7"/>
  <c r="AX24" i="7" a="1"/>
  <c r="AW24" i="7" a="1"/>
  <c r="AW24" i="7" s="1"/>
  <c r="AV24" i="7"/>
  <c r="AV24" i="7" a="1"/>
  <c r="AU24" i="7" a="1"/>
  <c r="AU24" i="7" s="1"/>
  <c r="AT24" i="7" a="1"/>
  <c r="AT24" i="7" s="1"/>
  <c r="AS24" i="7" a="1"/>
  <c r="AS24" i="7" s="1"/>
  <c r="AR24" i="7"/>
  <c r="AR24" i="7" a="1"/>
  <c r="AQ24" i="7" a="1"/>
  <c r="AQ24" i="7" s="1"/>
  <c r="AP24" i="7"/>
  <c r="AP24" i="7" a="1"/>
  <c r="AO24" i="7" a="1"/>
  <c r="AO24" i="7" s="1"/>
  <c r="AN24" i="7"/>
  <c r="AN24" i="7" a="1"/>
  <c r="AM24" i="7" a="1"/>
  <c r="AM24" i="7" s="1"/>
  <c r="AL24" i="7" a="1"/>
  <c r="AL24" i="7" s="1"/>
  <c r="AK24" i="7" a="1"/>
  <c r="AK24" i="7" s="1"/>
  <c r="AJ24" i="7"/>
  <c r="AJ24" i="7" a="1"/>
  <c r="AI24" i="7" a="1"/>
  <c r="AI24" i="7" s="1"/>
  <c r="AH24" i="7"/>
  <c r="AH24" i="7" a="1"/>
  <c r="AG24" i="7" a="1"/>
  <c r="AG24" i="7" s="1"/>
  <c r="AF24" i="7" a="1"/>
  <c r="AF24" i="7" s="1"/>
  <c r="AE24" i="7" a="1"/>
  <c r="AE24" i="7" s="1"/>
  <c r="AD24" i="7" a="1"/>
  <c r="AD24" i="7" s="1"/>
  <c r="AC24" i="7" a="1"/>
  <c r="AC24" i="7" s="1"/>
  <c r="AB24" i="7"/>
  <c r="AB24" i="7" a="1"/>
  <c r="AA24" i="7" a="1"/>
  <c r="AA24" i="7" s="1"/>
  <c r="Z24" i="7"/>
  <c r="Z24" i="7" a="1"/>
  <c r="Y24" i="7" a="1"/>
  <c r="Y24" i="7" s="1"/>
  <c r="X24" i="7"/>
  <c r="X24" i="7" a="1"/>
  <c r="W24" i="7" a="1"/>
  <c r="W24" i="7" s="1"/>
  <c r="V24" i="7" a="1"/>
  <c r="V24" i="7" s="1"/>
  <c r="U24" i="7" a="1"/>
  <c r="U24" i="7" s="1"/>
  <c r="T24" i="7"/>
  <c r="T24" i="7" a="1"/>
  <c r="S24" i="7" a="1"/>
  <c r="S24" i="7" s="1"/>
  <c r="R24" i="7"/>
  <c r="R24" i="7" a="1"/>
  <c r="Q24" i="7" a="1"/>
  <c r="Q24" i="7" s="1"/>
  <c r="P24" i="7"/>
  <c r="P24" i="7" a="1"/>
  <c r="O24" i="7" a="1"/>
  <c r="O24" i="7" s="1"/>
  <c r="N24" i="7" a="1"/>
  <c r="N24" i="7" s="1"/>
  <c r="M24" i="7" a="1"/>
  <c r="M24" i="7" s="1"/>
  <c r="L24" i="7"/>
  <c r="L24" i="7" a="1"/>
  <c r="K24" i="7" a="1"/>
  <c r="K24" i="7" s="1"/>
  <c r="J24" i="7"/>
  <c r="J24" i="7" a="1"/>
  <c r="I24" i="7" a="1"/>
  <c r="I24" i="7" s="1"/>
  <c r="H24" i="7" a="1"/>
  <c r="H24" i="7" s="1"/>
  <c r="G24" i="7" a="1"/>
  <c r="G24" i="7" s="1"/>
  <c r="F24" i="7" a="1"/>
  <c r="F24" i="7" s="1"/>
  <c r="E24" i="7" a="1"/>
  <c r="E24" i="7" s="1"/>
  <c r="D24" i="7"/>
  <c r="D24" i="7" a="1"/>
  <c r="C24" i="7" a="1"/>
  <c r="C24" i="7" s="1"/>
  <c r="EF23" i="7"/>
  <c r="EF23" i="7" a="1"/>
  <c r="EE23" i="7" a="1"/>
  <c r="EE23" i="7" s="1"/>
  <c r="ED23" i="7" a="1"/>
  <c r="ED23" i="7" s="1"/>
  <c r="EC23" i="7" a="1"/>
  <c r="EC23" i="7" s="1"/>
  <c r="EB23" i="7" a="1"/>
  <c r="EB23" i="7" s="1"/>
  <c r="EA23" i="7" a="1"/>
  <c r="EA23" i="7" s="1"/>
  <c r="DZ23" i="7"/>
  <c r="DZ23" i="7" a="1"/>
  <c r="DY23" i="7" a="1"/>
  <c r="DY23" i="7" s="1"/>
  <c r="DX23" i="7"/>
  <c r="DX23" i="7" a="1"/>
  <c r="DW23" i="7" a="1"/>
  <c r="DW23" i="7" s="1"/>
  <c r="DV23" i="7"/>
  <c r="DV23" i="7" a="1"/>
  <c r="DU23" i="7" a="1"/>
  <c r="DU23" i="7" s="1"/>
  <c r="DT23" i="7" a="1"/>
  <c r="DT23" i="7" s="1"/>
  <c r="DS23" i="7" a="1"/>
  <c r="DS23" i="7" s="1"/>
  <c r="DR23" i="7" a="1"/>
  <c r="DR23" i="7" s="1"/>
  <c r="DQ23" i="7" a="1"/>
  <c r="DQ23" i="7" s="1"/>
  <c r="DP23" i="7"/>
  <c r="DP23" i="7" a="1"/>
  <c r="DO23" i="7" a="1"/>
  <c r="DO23" i="7" s="1"/>
  <c r="DN23" i="7" a="1"/>
  <c r="DN23" i="7" s="1"/>
  <c r="DM23" i="7" a="1"/>
  <c r="DM23" i="7" s="1"/>
  <c r="DL23" i="7" a="1"/>
  <c r="DL23" i="7" s="1"/>
  <c r="DK23" i="7" a="1"/>
  <c r="DK23" i="7" s="1"/>
  <c r="DJ23" i="7"/>
  <c r="DJ23" i="7" a="1"/>
  <c r="DI23" i="7" a="1"/>
  <c r="DI23" i="7" s="1"/>
  <c r="DH23" i="7"/>
  <c r="DH23" i="7" a="1"/>
  <c r="DG23" i="7" a="1"/>
  <c r="DG23" i="7" s="1"/>
  <c r="DF23" i="7" a="1"/>
  <c r="DF23" i="7" s="1"/>
  <c r="DE23" i="7" a="1"/>
  <c r="DE23" i="7" s="1"/>
  <c r="DD23" i="7" a="1"/>
  <c r="DD23" i="7" s="1"/>
  <c r="DC23" i="7"/>
  <c r="DC23" i="7" a="1"/>
  <c r="DB23" i="7" a="1"/>
  <c r="DB23" i="7" s="1"/>
  <c r="DA23" i="7"/>
  <c r="DA23" i="7" a="1"/>
  <c r="CZ23" i="7" a="1"/>
  <c r="CZ23" i="7" s="1"/>
  <c r="CY23" i="7"/>
  <c r="CY23" i="7" a="1"/>
  <c r="CX23" i="7" a="1"/>
  <c r="CX23" i="7" s="1"/>
  <c r="CW23" i="7" a="1"/>
  <c r="CW23" i="7" s="1"/>
  <c r="CV23" i="7" a="1"/>
  <c r="CV23" i="7" s="1"/>
  <c r="CU23" i="7" a="1"/>
  <c r="CU23" i="7" s="1"/>
  <c r="CT23" i="7" a="1"/>
  <c r="CT23" i="7" s="1"/>
  <c r="CS23" i="7"/>
  <c r="CS23" i="7" a="1"/>
  <c r="CR23" i="7" a="1"/>
  <c r="CR23" i="7" s="1"/>
  <c r="CQ23" i="7"/>
  <c r="CQ23" i="7" a="1"/>
  <c r="CP23" i="7" a="1"/>
  <c r="CP23" i="7" s="1"/>
  <c r="CO23" i="7"/>
  <c r="CO23" i="7" a="1"/>
  <c r="CN23" i="7" a="1"/>
  <c r="CN23" i="7" s="1"/>
  <c r="CM23" i="7" a="1"/>
  <c r="CM23" i="7" s="1"/>
  <c r="CL23" i="7" a="1"/>
  <c r="CL23" i="7" s="1"/>
  <c r="CK23" i="7"/>
  <c r="CK23" i="7" a="1"/>
  <c r="CJ23" i="7" a="1"/>
  <c r="CJ23" i="7" s="1"/>
  <c r="CI23" i="7"/>
  <c r="CI23" i="7" a="1"/>
  <c r="CH23" i="7" a="1"/>
  <c r="CH23" i="7" s="1"/>
  <c r="CG23" i="7" a="1"/>
  <c r="CG23" i="7" s="1"/>
  <c r="CF23" i="7" a="1"/>
  <c r="CF23" i="7" s="1"/>
  <c r="CE23" i="7" a="1"/>
  <c r="CE23" i="7" s="1"/>
  <c r="CD23" i="7" a="1"/>
  <c r="CD23" i="7" s="1"/>
  <c r="CC23" i="7"/>
  <c r="CC23" i="7" a="1"/>
  <c r="CB23" i="7" a="1"/>
  <c r="CB23" i="7" s="1"/>
  <c r="CA23" i="7"/>
  <c r="CA23" i="7" a="1"/>
  <c r="BZ23" i="7" a="1"/>
  <c r="BZ23" i="7" s="1"/>
  <c r="BY23" i="7" a="1"/>
  <c r="BY23" i="7" s="1"/>
  <c r="BX23" i="7" a="1"/>
  <c r="BX23" i="7" s="1"/>
  <c r="BW23" i="7" a="1"/>
  <c r="BW23" i="7" s="1"/>
  <c r="BV23" i="7" a="1"/>
  <c r="BV23" i="7" s="1"/>
  <c r="BU23" i="7"/>
  <c r="BU23" i="7" a="1"/>
  <c r="BT23" i="7" a="1"/>
  <c r="BT23" i="7" s="1"/>
  <c r="BS23" i="7"/>
  <c r="BS23" i="7" a="1"/>
  <c r="BR23" i="7" a="1"/>
  <c r="BR23" i="7" s="1"/>
  <c r="BQ23" i="7" a="1"/>
  <c r="BQ23" i="7" s="1"/>
  <c r="BP23" i="7" a="1"/>
  <c r="BP23" i="7" s="1"/>
  <c r="BO23" i="7" a="1"/>
  <c r="BO23" i="7" s="1"/>
  <c r="BN23" i="7" a="1"/>
  <c r="BN23" i="7" s="1"/>
  <c r="BM23" i="7"/>
  <c r="BM23" i="7" a="1"/>
  <c r="BL23" i="7" a="1"/>
  <c r="BL23" i="7" s="1"/>
  <c r="BK23" i="7"/>
  <c r="BK23" i="7" a="1"/>
  <c r="BJ23" i="7" a="1"/>
  <c r="BJ23" i="7" s="1"/>
  <c r="BI23" i="7"/>
  <c r="BI23" i="7" a="1"/>
  <c r="BH23" i="7" a="1"/>
  <c r="BH23" i="7" s="1"/>
  <c r="BG23" i="7" a="1"/>
  <c r="BG23" i="7" s="1"/>
  <c r="BF23" i="7" a="1"/>
  <c r="BF23" i="7" s="1"/>
  <c r="BE23" i="7"/>
  <c r="BE23" i="7" a="1"/>
  <c r="BD23" i="7" a="1"/>
  <c r="BD23" i="7" s="1"/>
  <c r="BC23" i="7"/>
  <c r="BC23" i="7" a="1"/>
  <c r="BB23" i="7" a="1"/>
  <c r="BB23" i="7" s="1"/>
  <c r="BA23" i="7" a="1"/>
  <c r="BA23" i="7" s="1"/>
  <c r="AZ23" i="7" a="1"/>
  <c r="AZ23" i="7" s="1"/>
  <c r="AY23" i="7" a="1"/>
  <c r="AY23" i="7" s="1"/>
  <c r="AX23" i="7" a="1"/>
  <c r="AX23" i="7" s="1"/>
  <c r="AW23" i="7"/>
  <c r="AW23" i="7" a="1"/>
  <c r="AV23" i="7" a="1"/>
  <c r="AV23" i="7" s="1"/>
  <c r="AU23" i="7"/>
  <c r="AU23" i="7" a="1"/>
  <c r="AT23" i="7" a="1"/>
  <c r="AT23" i="7" s="1"/>
  <c r="AS23" i="7" a="1"/>
  <c r="AS23" i="7" s="1"/>
  <c r="AR23" i="7" a="1"/>
  <c r="AR23" i="7" s="1"/>
  <c r="AQ23" i="7" a="1"/>
  <c r="AQ23" i="7" s="1"/>
  <c r="AP23" i="7" a="1"/>
  <c r="AP23" i="7" s="1"/>
  <c r="AO23" i="7"/>
  <c r="AO23" i="7" a="1"/>
  <c r="AN23" i="7" a="1"/>
  <c r="AN23" i="7" s="1"/>
  <c r="AM23" i="7"/>
  <c r="AM23" i="7" a="1"/>
  <c r="AL23" i="7" a="1"/>
  <c r="AL23" i="7" s="1"/>
  <c r="AK23" i="7" a="1"/>
  <c r="AK23" i="7" s="1"/>
  <c r="AJ23" i="7" a="1"/>
  <c r="AJ23" i="7" s="1"/>
  <c r="AI23" i="7" a="1"/>
  <c r="AI23" i="7" s="1"/>
  <c r="AH23" i="7" a="1"/>
  <c r="AH23" i="7" s="1"/>
  <c r="AG23" i="7"/>
  <c r="AG23" i="7" a="1"/>
  <c r="AF23" i="7" a="1"/>
  <c r="AF23" i="7" s="1"/>
  <c r="AE23" i="7"/>
  <c r="AE23" i="7" a="1"/>
  <c r="AD23" i="7" a="1"/>
  <c r="AD23" i="7" s="1"/>
  <c r="AC23" i="7"/>
  <c r="AC23" i="7" a="1"/>
  <c r="AB23" i="7" a="1"/>
  <c r="AB23" i="7" s="1"/>
  <c r="AA23" i="7" a="1"/>
  <c r="AA23" i="7" s="1"/>
  <c r="Z23" i="7" a="1"/>
  <c r="Z23" i="7" s="1"/>
  <c r="Y23" i="7"/>
  <c r="Y23" i="7" a="1"/>
  <c r="X23" i="7" a="1"/>
  <c r="X23" i="7" s="1"/>
  <c r="W23" i="7"/>
  <c r="W23" i="7" a="1"/>
  <c r="V23" i="7" a="1"/>
  <c r="V23" i="7" s="1"/>
  <c r="U23" i="7" a="1"/>
  <c r="U23" i="7" s="1"/>
  <c r="T23" i="7" a="1"/>
  <c r="T23" i="7" s="1"/>
  <c r="S23" i="7" a="1"/>
  <c r="S23" i="7" s="1"/>
  <c r="R23" i="7" a="1"/>
  <c r="R23" i="7" s="1"/>
  <c r="Q23" i="7"/>
  <c r="Q23" i="7" a="1"/>
  <c r="P23" i="7" a="1"/>
  <c r="P23" i="7" s="1"/>
  <c r="O23" i="7"/>
  <c r="O23" i="7" a="1"/>
  <c r="N23" i="7" a="1"/>
  <c r="N23" i="7" s="1"/>
  <c r="M23" i="7" a="1"/>
  <c r="M23" i="7" s="1"/>
  <c r="L23" i="7" a="1"/>
  <c r="L23" i="7" s="1"/>
  <c r="K23" i="7" a="1"/>
  <c r="K23" i="7" s="1"/>
  <c r="J23" i="7" a="1"/>
  <c r="J23" i="7" s="1"/>
  <c r="I23" i="7"/>
  <c r="I23" i="7" a="1"/>
  <c r="H23" i="7" a="1"/>
  <c r="H23" i="7" s="1"/>
  <c r="G23" i="7"/>
  <c r="G23" i="7" a="1"/>
  <c r="F23" i="7" a="1"/>
  <c r="F23" i="7" s="1"/>
  <c r="E23" i="7" a="1"/>
  <c r="E23" i="7" s="1"/>
  <c r="D23" i="7" a="1"/>
  <c r="D23" i="7" s="1"/>
  <c r="C23" i="7" a="1"/>
  <c r="C23" i="7" s="1"/>
  <c r="EF22" i="7" a="1"/>
  <c r="EF22" i="7" s="1"/>
  <c r="EE22" i="7"/>
  <c r="EE22" i="7" a="1"/>
  <c r="ED22" i="7" a="1"/>
  <c r="ED22" i="7" s="1"/>
  <c r="EC22" i="7"/>
  <c r="EC22" i="7" a="1"/>
  <c r="EB22" i="7" a="1"/>
  <c r="EB22" i="7" s="1"/>
  <c r="EA22" i="7"/>
  <c r="EA22" i="7" a="1"/>
  <c r="DZ22" i="7" a="1"/>
  <c r="DZ22" i="7" s="1"/>
  <c r="DY22" i="7" a="1"/>
  <c r="DY22" i="7" s="1"/>
  <c r="DX22" i="7" a="1"/>
  <c r="DX22" i="7" s="1"/>
  <c r="DW22" i="7"/>
  <c r="DW22" i="7" a="1"/>
  <c r="DV22" i="7" a="1"/>
  <c r="DV22" i="7" s="1"/>
  <c r="DU22" i="7"/>
  <c r="DU22" i="7" a="1"/>
  <c r="DT22" i="7" a="1"/>
  <c r="DT22" i="7" s="1"/>
  <c r="DS22" i="7" a="1"/>
  <c r="DS22" i="7" s="1"/>
  <c r="DR22" i="7" a="1"/>
  <c r="DR22" i="7" s="1"/>
  <c r="DQ22" i="7" a="1"/>
  <c r="DQ22" i="7" s="1"/>
  <c r="DP22" i="7" a="1"/>
  <c r="DP22" i="7" s="1"/>
  <c r="DO22" i="7"/>
  <c r="DO22" i="7" a="1"/>
  <c r="DN22" i="7" a="1"/>
  <c r="DN22" i="7" s="1"/>
  <c r="DM22" i="7"/>
  <c r="DM22" i="7" a="1"/>
  <c r="DL22" i="7" a="1"/>
  <c r="DL22" i="7" s="1"/>
  <c r="DK22" i="7" a="1"/>
  <c r="DK22" i="7" s="1"/>
  <c r="DJ22" i="7" a="1"/>
  <c r="DJ22" i="7" s="1"/>
  <c r="DI22" i="7" a="1"/>
  <c r="DI22" i="7" s="1"/>
  <c r="DH22" i="7" a="1"/>
  <c r="DH22" i="7" s="1"/>
  <c r="DG22" i="7"/>
  <c r="DG22" i="7" a="1"/>
  <c r="DF22" i="7" a="1"/>
  <c r="DF22" i="7" s="1"/>
  <c r="DE22" i="7"/>
  <c r="DE22" i="7" a="1"/>
  <c r="DD22" i="7" a="1"/>
  <c r="DD22" i="7" s="1"/>
  <c r="DC22" i="7" a="1"/>
  <c r="DC22" i="7" s="1"/>
  <c r="DB22" i="7" a="1"/>
  <c r="DB22" i="7" s="1"/>
  <c r="DA22" i="7" a="1"/>
  <c r="DA22" i="7" s="1"/>
  <c r="CZ22" i="7" a="1"/>
  <c r="CZ22" i="7" s="1"/>
  <c r="CY22" i="7"/>
  <c r="CY22" i="7" a="1"/>
  <c r="CX22" i="7" a="1"/>
  <c r="CX22" i="7" s="1"/>
  <c r="CW22" i="7"/>
  <c r="CW22" i="7" a="1"/>
  <c r="CV22" i="7" a="1"/>
  <c r="CV22" i="7" s="1"/>
  <c r="CU22" i="7"/>
  <c r="CU22" i="7" a="1"/>
  <c r="CT22" i="7" a="1"/>
  <c r="CT22" i="7" s="1"/>
  <c r="CS22" i="7" a="1"/>
  <c r="CS22" i="7" s="1"/>
  <c r="CR22" i="7" a="1"/>
  <c r="CR22" i="7" s="1"/>
  <c r="CQ22" i="7" a="1"/>
  <c r="CQ22" i="7" s="1"/>
  <c r="CP22" i="7" a="1"/>
  <c r="CP22" i="7" s="1"/>
  <c r="CO22" i="7"/>
  <c r="CO22" i="7" a="1"/>
  <c r="CN22" i="7" a="1"/>
  <c r="CN22" i="7" s="1"/>
  <c r="CM22" i="7" a="1"/>
  <c r="CM22" i="7" s="1"/>
  <c r="CL22" i="7" a="1"/>
  <c r="CL22" i="7" s="1"/>
  <c r="CK22" i="7" a="1"/>
  <c r="CK22" i="7" s="1"/>
  <c r="CJ22" i="7" a="1"/>
  <c r="CJ22" i="7" s="1"/>
  <c r="CI22" i="7"/>
  <c r="CI22" i="7" a="1"/>
  <c r="CH22" i="7" a="1"/>
  <c r="CH22" i="7" s="1"/>
  <c r="CG22" i="7"/>
  <c r="CG22" i="7" a="1"/>
  <c r="CF22" i="7" a="1"/>
  <c r="CF22" i="7" s="1"/>
  <c r="CE22" i="7"/>
  <c r="CE22" i="7" a="1"/>
  <c r="CD22" i="7" a="1"/>
  <c r="CD22" i="7" s="1"/>
  <c r="CC22" i="7" a="1"/>
  <c r="CC22" i="7" s="1"/>
  <c r="CB22" i="7" a="1"/>
  <c r="CB22" i="7" s="1"/>
  <c r="CA22" i="7"/>
  <c r="CA22" i="7" a="1"/>
  <c r="BZ22" i="7" a="1"/>
  <c r="BZ22" i="7" s="1"/>
  <c r="BY22" i="7"/>
  <c r="BY22" i="7" a="1"/>
  <c r="BX22" i="7" a="1"/>
  <c r="BX22" i="7" s="1"/>
  <c r="BW22" i="7"/>
  <c r="BW22" i="7" a="1"/>
  <c r="BV22" i="7" a="1"/>
  <c r="BV22" i="7" s="1"/>
  <c r="BU22" i="7" a="1"/>
  <c r="BU22" i="7" s="1"/>
  <c r="BT22" i="7" a="1"/>
  <c r="BT22" i="7" s="1"/>
  <c r="BS22" i="7"/>
  <c r="BS22" i="7" a="1"/>
  <c r="BR22" i="7" a="1"/>
  <c r="BR22" i="7" s="1"/>
  <c r="BQ22" i="7"/>
  <c r="BQ22" i="7" a="1"/>
  <c r="BP22" i="7" a="1"/>
  <c r="BP22" i="7" s="1"/>
  <c r="BO22" i="7" a="1"/>
  <c r="BO22" i="7" s="1"/>
  <c r="BN22" i="7" a="1"/>
  <c r="BN22" i="7" s="1"/>
  <c r="BM22" i="7" a="1"/>
  <c r="BM22" i="7" s="1"/>
  <c r="BL22" i="7" a="1"/>
  <c r="BL22" i="7" s="1"/>
  <c r="BK22" i="7"/>
  <c r="BK22" i="7" a="1"/>
  <c r="BJ22" i="7" a="1"/>
  <c r="BJ22" i="7" s="1"/>
  <c r="BI22" i="7"/>
  <c r="BI22" i="7" a="1"/>
  <c r="BH22" i="7" a="1"/>
  <c r="BH22" i="7" s="1"/>
  <c r="BG22" i="7" a="1"/>
  <c r="BG22" i="7" s="1"/>
  <c r="BF22" i="7" a="1"/>
  <c r="BF22" i="7" s="1"/>
  <c r="BE22" i="7" a="1"/>
  <c r="BE22" i="7" s="1"/>
  <c r="BD22" i="7" a="1"/>
  <c r="BD22" i="7" s="1"/>
  <c r="BC22" i="7"/>
  <c r="BC22" i="7" a="1"/>
  <c r="BB22" i="7" a="1"/>
  <c r="BB22" i="7" s="1"/>
  <c r="BA22" i="7"/>
  <c r="BA22" i="7" a="1"/>
  <c r="AZ22" i="7" a="1"/>
  <c r="AZ22" i="7" s="1"/>
  <c r="AY22" i="7"/>
  <c r="AY22" i="7" a="1"/>
  <c r="AX22" i="7" a="1"/>
  <c r="AX22" i="7" s="1"/>
  <c r="AW22" i="7" a="1"/>
  <c r="AW22" i="7" s="1"/>
  <c r="AV22" i="7" a="1"/>
  <c r="AV22" i="7" s="1"/>
  <c r="AU22" i="7"/>
  <c r="AU22" i="7" a="1"/>
  <c r="AT22" i="7" a="1"/>
  <c r="AT22" i="7" s="1"/>
  <c r="AS22" i="7"/>
  <c r="AS22" i="7" a="1"/>
  <c r="AR22" i="7" a="1"/>
  <c r="AR22" i="7" s="1"/>
  <c r="AQ22" i="7"/>
  <c r="AQ22" i="7" a="1"/>
  <c r="AP22" i="7" a="1"/>
  <c r="AP22" i="7" s="1"/>
  <c r="AO22" i="7" a="1"/>
  <c r="AO22" i="7" s="1"/>
  <c r="AN22" i="7" a="1"/>
  <c r="AN22" i="7" s="1"/>
  <c r="AM22" i="7"/>
  <c r="AM22" i="7" a="1"/>
  <c r="AL22" i="7" a="1"/>
  <c r="AL22" i="7" s="1"/>
  <c r="AK22" i="7"/>
  <c r="AK22" i="7" a="1"/>
  <c r="AJ22" i="7" a="1"/>
  <c r="AJ22" i="7" s="1"/>
  <c r="AI22" i="7" a="1"/>
  <c r="AI22" i="7" s="1"/>
  <c r="AH22" i="7" a="1"/>
  <c r="AH22" i="7" s="1"/>
  <c r="AG22" i="7" a="1"/>
  <c r="AG22" i="7" s="1"/>
  <c r="AF22" i="7" a="1"/>
  <c r="AF22" i="7" s="1"/>
  <c r="AE22" i="7"/>
  <c r="AE22" i="7" a="1"/>
  <c r="AD22" i="7" a="1"/>
  <c r="AD22" i="7" s="1"/>
  <c r="AC22" i="7"/>
  <c r="AC22" i="7" a="1"/>
  <c r="AB22" i="7" a="1"/>
  <c r="AB22" i="7" s="1"/>
  <c r="AA22" i="7" a="1"/>
  <c r="AA22" i="7" s="1"/>
  <c r="Z22" i="7" a="1"/>
  <c r="Z22" i="7" s="1"/>
  <c r="Y22" i="7" a="1"/>
  <c r="Y22" i="7" s="1"/>
  <c r="X22" i="7" a="1"/>
  <c r="X22" i="7" s="1"/>
  <c r="W22" i="7"/>
  <c r="W22" i="7" a="1"/>
  <c r="V22" i="7" a="1"/>
  <c r="V22" i="7" s="1"/>
  <c r="U22" i="7"/>
  <c r="U22" i="7" a="1"/>
  <c r="T22" i="7" a="1"/>
  <c r="T22" i="7" s="1"/>
  <c r="S22" i="7"/>
  <c r="S22" i="7" a="1"/>
  <c r="R22" i="7" a="1"/>
  <c r="R22" i="7" s="1"/>
  <c r="Q22" i="7" a="1"/>
  <c r="Q22" i="7" s="1"/>
  <c r="P22" i="7" a="1"/>
  <c r="P22" i="7" s="1"/>
  <c r="O22" i="7"/>
  <c r="O22" i="7" a="1"/>
  <c r="N22" i="7" a="1"/>
  <c r="N22" i="7" s="1"/>
  <c r="M22" i="7"/>
  <c r="M22" i="7" a="1"/>
  <c r="L22" i="7" a="1"/>
  <c r="L22" i="7" s="1"/>
  <c r="K22" i="7"/>
  <c r="K22" i="7" a="1"/>
  <c r="J22" i="7" a="1"/>
  <c r="J22" i="7" s="1"/>
  <c r="I22" i="7" a="1"/>
  <c r="I22" i="7" s="1"/>
  <c r="H22" i="7" a="1"/>
  <c r="H22" i="7" s="1"/>
  <c r="G22" i="7"/>
  <c r="G22" i="7" a="1"/>
  <c r="F22" i="7" a="1"/>
  <c r="F22" i="7" s="1"/>
  <c r="E22" i="7"/>
  <c r="E22" i="7" a="1"/>
  <c r="D22" i="7" a="1"/>
  <c r="D22" i="7" s="1"/>
  <c r="C22" i="7"/>
  <c r="C22" i="7" a="1"/>
  <c r="EF21" i="7" a="1"/>
  <c r="EF21" i="7" s="1"/>
  <c r="EE21" i="7" a="1"/>
  <c r="EE21" i="7" s="1"/>
  <c r="ED21" i="7" a="1"/>
  <c r="ED21" i="7" s="1"/>
  <c r="EC21" i="7"/>
  <c r="EC21" i="7" a="1"/>
  <c r="EB21" i="7" a="1"/>
  <c r="EB21" i="7" s="1"/>
  <c r="EA21" i="7"/>
  <c r="EA21" i="7" a="1"/>
  <c r="DZ21" i="7" a="1"/>
  <c r="DZ21" i="7" s="1"/>
  <c r="DY21" i="7" a="1"/>
  <c r="DY21" i="7" s="1"/>
  <c r="DX21" i="7" a="1"/>
  <c r="DX21" i="7" s="1"/>
  <c r="DW21" i="7" a="1"/>
  <c r="DW21" i="7" s="1"/>
  <c r="DV21" i="7" a="1"/>
  <c r="DV21" i="7" s="1"/>
  <c r="DU21" i="7"/>
  <c r="DU21" i="7" a="1"/>
  <c r="DT21" i="7" a="1"/>
  <c r="DT21" i="7" s="1"/>
  <c r="DS21" i="7"/>
  <c r="DS21" i="7" a="1"/>
  <c r="DR21" i="7" a="1"/>
  <c r="DR21" i="7" s="1"/>
  <c r="DQ21" i="7"/>
  <c r="DQ21" i="7" a="1"/>
  <c r="DP21" i="7" a="1"/>
  <c r="DP21" i="7" s="1"/>
  <c r="DO21" i="7" a="1"/>
  <c r="DO21" i="7" s="1"/>
  <c r="DN21" i="7" a="1"/>
  <c r="DN21" i="7" s="1"/>
  <c r="DM21" i="7"/>
  <c r="DM21" i="7" a="1"/>
  <c r="DL21" i="7" a="1"/>
  <c r="DL21" i="7" s="1"/>
  <c r="DK21" i="7"/>
  <c r="DK21" i="7" a="1"/>
  <c r="DJ21" i="7" a="1"/>
  <c r="DJ21" i="7" s="1"/>
  <c r="DI21" i="7"/>
  <c r="DI21" i="7" a="1"/>
  <c r="DH21" i="7" a="1"/>
  <c r="DH21" i="7" s="1"/>
  <c r="DG21" i="7" a="1"/>
  <c r="DG21" i="7" s="1"/>
  <c r="DF21" i="7" a="1"/>
  <c r="DF21" i="7" s="1"/>
  <c r="DE21" i="7"/>
  <c r="DE21" i="7" a="1"/>
  <c r="DD21" i="7" a="1"/>
  <c r="DD21" i="7" s="1"/>
  <c r="DC21" i="7"/>
  <c r="DC21" i="7" a="1"/>
  <c r="DB21" i="7" a="1"/>
  <c r="DB21" i="7" s="1"/>
  <c r="DA21" i="7" a="1"/>
  <c r="DA21" i="7" s="1"/>
  <c r="CZ21" i="7" a="1"/>
  <c r="CZ21" i="7" s="1"/>
  <c r="CY21" i="7" a="1"/>
  <c r="CY21" i="7" s="1"/>
  <c r="CX21" i="7" a="1"/>
  <c r="CX21" i="7" s="1"/>
  <c r="CW21" i="7"/>
  <c r="CW21" i="7" a="1"/>
  <c r="CV21" i="7" a="1"/>
  <c r="CV21" i="7" s="1"/>
  <c r="CU21" i="7"/>
  <c r="CU21" i="7" a="1"/>
  <c r="CT21" i="7" a="1"/>
  <c r="CT21" i="7" s="1"/>
  <c r="CS21" i="7" a="1"/>
  <c r="CS21" i="7" s="1"/>
  <c r="CR21" i="7" a="1"/>
  <c r="CR21" i="7" s="1"/>
  <c r="CQ21" i="7" a="1"/>
  <c r="CQ21" i="7" s="1"/>
  <c r="CP21" i="7" a="1"/>
  <c r="CP21" i="7" s="1"/>
  <c r="CO21" i="7"/>
  <c r="CO21" i="7" a="1"/>
  <c r="CN21" i="7" a="1"/>
  <c r="CN21" i="7" s="1"/>
  <c r="CM21" i="7"/>
  <c r="CM21" i="7" a="1"/>
  <c r="CL21" i="7" a="1"/>
  <c r="CL21" i="7" s="1"/>
  <c r="CK21" i="7"/>
  <c r="CK21" i="7" a="1"/>
  <c r="CJ21" i="7" a="1"/>
  <c r="CJ21" i="7" s="1"/>
  <c r="CI21" i="7" a="1"/>
  <c r="CI21" i="7" s="1"/>
  <c r="CH21" i="7" a="1"/>
  <c r="CH21" i="7" s="1"/>
  <c r="CG21" i="7"/>
  <c r="CG21" i="7" a="1"/>
  <c r="CF21" i="7" a="1"/>
  <c r="CF21" i="7" s="1"/>
  <c r="CE21" i="7"/>
  <c r="CE21" i="7" a="1"/>
  <c r="CD21" i="7" a="1"/>
  <c r="CD21" i="7" s="1"/>
  <c r="CC21" i="7"/>
  <c r="CC21" i="7" a="1"/>
  <c r="CB21" i="7" a="1"/>
  <c r="CB21" i="7" s="1"/>
  <c r="CA21" i="7" a="1"/>
  <c r="CA21" i="7" s="1"/>
  <c r="BZ21" i="7" a="1"/>
  <c r="BZ21" i="7" s="1"/>
  <c r="BY21" i="7"/>
  <c r="BY21" i="7" a="1"/>
  <c r="BX21" i="7" a="1"/>
  <c r="BX21" i="7" s="1"/>
  <c r="BW21" i="7"/>
  <c r="BW21" i="7" a="1"/>
  <c r="BV21" i="7" a="1"/>
  <c r="BV21" i="7" s="1"/>
  <c r="BU21" i="7" a="1"/>
  <c r="BU21" i="7" s="1"/>
  <c r="BT21" i="7" a="1"/>
  <c r="BT21" i="7" s="1"/>
  <c r="BS21" i="7" a="1"/>
  <c r="BS21" i="7" s="1"/>
  <c r="BR21" i="7" a="1"/>
  <c r="BR21" i="7" s="1"/>
  <c r="BQ21" i="7"/>
  <c r="BQ21" i="7" a="1"/>
  <c r="BP21" i="7" a="1"/>
  <c r="BP21" i="7" s="1"/>
  <c r="BO21" i="7" a="1"/>
  <c r="BO21" i="7" s="1"/>
  <c r="BN21" i="7" a="1"/>
  <c r="BN21" i="7" s="1"/>
  <c r="BM21" i="7" a="1"/>
  <c r="BM21" i="7" s="1"/>
  <c r="BL21" i="7" a="1"/>
  <c r="BL21" i="7" s="1"/>
  <c r="BK21" i="7" a="1"/>
  <c r="BK21" i="7" s="1"/>
  <c r="BJ21" i="7" a="1"/>
  <c r="BJ21" i="7" s="1"/>
  <c r="BI21" i="7" a="1"/>
  <c r="BI21" i="7" s="1"/>
  <c r="BH21" i="7"/>
  <c r="BH21" i="7" a="1"/>
  <c r="BG21" i="7" a="1"/>
  <c r="BG21" i="7" s="1"/>
  <c r="BF21" i="7"/>
  <c r="BF21" i="7" a="1"/>
  <c r="BE21" i="7" a="1"/>
  <c r="BE21" i="7" s="1"/>
  <c r="BD21" i="7"/>
  <c r="BD21" i="7" a="1"/>
  <c r="BC21" i="7" a="1"/>
  <c r="BC21" i="7" s="1"/>
  <c r="BB21" i="7" a="1"/>
  <c r="BB21" i="7" s="1"/>
  <c r="BA21" i="7" a="1"/>
  <c r="BA21" i="7" s="1"/>
  <c r="AZ21" i="7"/>
  <c r="AZ21" i="7" a="1"/>
  <c r="AY21" i="7" a="1"/>
  <c r="AY21" i="7" s="1"/>
  <c r="AX21" i="7"/>
  <c r="AX21" i="7" a="1"/>
  <c r="AW21" i="7" a="1"/>
  <c r="AW21" i="7" s="1"/>
  <c r="AV21" i="7" a="1"/>
  <c r="AV21" i="7" s="1"/>
  <c r="AU21" i="7" a="1"/>
  <c r="AU21" i="7" s="1"/>
  <c r="AT21" i="7" a="1"/>
  <c r="AT21" i="7" s="1"/>
  <c r="AS21" i="7" a="1"/>
  <c r="AS21" i="7" s="1"/>
  <c r="AR21" i="7"/>
  <c r="AR21" i="7" a="1"/>
  <c r="AQ21" i="7" a="1"/>
  <c r="AQ21" i="7" s="1"/>
  <c r="AP21" i="7"/>
  <c r="AP21" i="7" a="1"/>
  <c r="AO21" i="7" a="1"/>
  <c r="AO21" i="7" s="1"/>
  <c r="AN21" i="7" a="1"/>
  <c r="AN21" i="7" s="1"/>
  <c r="AM21" i="7" a="1"/>
  <c r="AM21" i="7" s="1"/>
  <c r="AL21" i="7" a="1"/>
  <c r="AL21" i="7" s="1"/>
  <c r="AK21" i="7" a="1"/>
  <c r="AK21" i="7" s="1"/>
  <c r="AJ21" i="7"/>
  <c r="AJ21" i="7" a="1"/>
  <c r="AI21" i="7" a="1"/>
  <c r="AI21" i="7" s="1"/>
  <c r="AH21" i="7"/>
  <c r="AH21" i="7" a="1"/>
  <c r="AG21" i="7" a="1"/>
  <c r="AG21" i="7" s="1"/>
  <c r="AF21" i="7" a="1"/>
  <c r="AF21" i="7" s="1"/>
  <c r="AE21" i="7" a="1"/>
  <c r="AE21" i="7" s="1"/>
  <c r="AD21" i="7" a="1"/>
  <c r="AD21" i="7" s="1"/>
  <c r="AC21" i="7" a="1"/>
  <c r="AC21" i="7" s="1"/>
  <c r="AB21" i="7"/>
  <c r="AB21" i="7" a="1"/>
  <c r="AA21" i="7" a="1"/>
  <c r="AA21" i="7" s="1"/>
  <c r="Z21" i="7"/>
  <c r="Z21" i="7" a="1"/>
  <c r="Y21" i="7" a="1"/>
  <c r="Y21" i="7" s="1"/>
  <c r="X21" i="7"/>
  <c r="X21" i="7" a="1"/>
  <c r="W21" i="7" a="1"/>
  <c r="W21" i="7" s="1"/>
  <c r="V21" i="7" a="1"/>
  <c r="V21" i="7" s="1"/>
  <c r="U21" i="7" a="1"/>
  <c r="U21" i="7" s="1"/>
  <c r="T21" i="7"/>
  <c r="T21" i="7" a="1"/>
  <c r="S21" i="7" a="1"/>
  <c r="S21" i="7" s="1"/>
  <c r="R21" i="7"/>
  <c r="R21" i="7" a="1"/>
  <c r="Q21" i="7" a="1"/>
  <c r="Q21" i="7" s="1"/>
  <c r="P21" i="7" a="1"/>
  <c r="P21" i="7" s="1"/>
  <c r="O21" i="7" a="1"/>
  <c r="O21" i="7" s="1"/>
  <c r="N21" i="7" a="1"/>
  <c r="N21" i="7" s="1"/>
  <c r="M21" i="7" a="1"/>
  <c r="M21" i="7" s="1"/>
  <c r="L21" i="7"/>
  <c r="L21" i="7" a="1"/>
  <c r="K21" i="7" a="1"/>
  <c r="K21" i="7" s="1"/>
  <c r="J21" i="7"/>
  <c r="J21" i="7" a="1"/>
  <c r="I21" i="7" a="1"/>
  <c r="I21" i="7" s="1"/>
  <c r="H21" i="7" a="1"/>
  <c r="H21" i="7" s="1"/>
  <c r="G21" i="7" a="1"/>
  <c r="G21" i="7" s="1"/>
  <c r="F21" i="7" a="1"/>
  <c r="F21" i="7" s="1"/>
  <c r="E21" i="7" a="1"/>
  <c r="E21" i="7" s="1"/>
  <c r="D21" i="7"/>
  <c r="D21" i="7" a="1"/>
  <c r="C21" i="7" a="1"/>
  <c r="C21" i="7" s="1"/>
  <c r="EF20" i="7"/>
  <c r="EF20" i="7" a="1"/>
  <c r="EE20" i="7" a="1"/>
  <c r="EE20" i="7" s="1"/>
  <c r="ED20" i="7" a="1"/>
  <c r="ED20" i="7" s="1"/>
  <c r="EC20" i="7" a="1"/>
  <c r="EC20" i="7" s="1"/>
  <c r="EB20" i="7" a="1"/>
  <c r="EB20" i="7" s="1"/>
  <c r="EA20" i="7" a="1"/>
  <c r="EA20" i="7" s="1"/>
  <c r="DZ20" i="7"/>
  <c r="DZ20" i="7" a="1"/>
  <c r="DY20" i="7" a="1"/>
  <c r="DY20" i="7" s="1"/>
  <c r="DX20" i="7"/>
  <c r="DX20" i="7" a="1"/>
  <c r="DW20" i="7" a="1"/>
  <c r="DW20" i="7" s="1"/>
  <c r="DV20" i="7"/>
  <c r="DV20" i="7" a="1"/>
  <c r="DU20" i="7" a="1"/>
  <c r="DU20" i="7" s="1"/>
  <c r="DT20" i="7" a="1"/>
  <c r="DT20" i="7" s="1"/>
  <c r="DS20" i="7" a="1"/>
  <c r="DS20" i="7" s="1"/>
  <c r="DR20" i="7"/>
  <c r="DR20" i="7" a="1"/>
  <c r="DQ20" i="7" a="1"/>
  <c r="DQ20" i="7" s="1"/>
  <c r="DP20" i="7"/>
  <c r="DP20" i="7" a="1"/>
  <c r="DO20" i="7" a="1"/>
  <c r="DO20" i="7" s="1"/>
  <c r="DN20" i="7" a="1"/>
  <c r="DN20" i="7" s="1"/>
  <c r="DM20" i="7" a="1"/>
  <c r="DM20" i="7" s="1"/>
  <c r="DL20" i="7" a="1"/>
  <c r="DL20" i="7" s="1"/>
  <c r="DK20" i="7" a="1"/>
  <c r="DK20" i="7" s="1"/>
  <c r="DJ20" i="7"/>
  <c r="DJ20" i="7" a="1"/>
  <c r="DI20" i="7" a="1"/>
  <c r="DI20" i="7" s="1"/>
  <c r="DH20" i="7"/>
  <c r="DH20" i="7" a="1"/>
  <c r="DG20" i="7" a="1"/>
  <c r="DG20" i="7" s="1"/>
  <c r="DF20" i="7" a="1"/>
  <c r="DF20" i="7" s="1"/>
  <c r="DE20" i="7" a="1"/>
  <c r="DE20" i="7" s="1"/>
  <c r="DD20" i="7" a="1"/>
  <c r="DD20" i="7" s="1"/>
  <c r="DC20" i="7" a="1"/>
  <c r="DC20" i="7" s="1"/>
  <c r="DB20" i="7"/>
  <c r="DB20" i="7" a="1"/>
  <c r="DA20" i="7" a="1"/>
  <c r="DA20" i="7" s="1"/>
  <c r="CZ20" i="7"/>
  <c r="CZ20" i="7" a="1"/>
  <c r="CY20" i="7" a="1"/>
  <c r="CY20" i="7" s="1"/>
  <c r="CX20" i="7" a="1"/>
  <c r="CX20" i="7" s="1"/>
  <c r="CW20" i="7" a="1"/>
  <c r="CW20" i="7" s="1"/>
  <c r="CV20" i="7" a="1"/>
  <c r="CV20" i="7" s="1"/>
  <c r="CU20" i="7" a="1"/>
  <c r="CU20" i="7" s="1"/>
  <c r="CT20" i="7"/>
  <c r="CT20" i="7" a="1"/>
  <c r="CS20" i="7" a="1"/>
  <c r="CS20" i="7" s="1"/>
  <c r="CR20" i="7"/>
  <c r="CR20" i="7" a="1"/>
  <c r="CQ20" i="7" a="1"/>
  <c r="CQ20" i="7" s="1"/>
  <c r="CP20" i="7"/>
  <c r="CP20" i="7" a="1"/>
  <c r="CO20" i="7" a="1"/>
  <c r="CO20" i="7" s="1"/>
  <c r="CN20" i="7" a="1"/>
  <c r="CN20" i="7" s="1"/>
  <c r="CM20" i="7" a="1"/>
  <c r="CM20" i="7" s="1"/>
  <c r="CL20" i="7"/>
  <c r="CL20" i="7" a="1"/>
  <c r="CK20" i="7" a="1"/>
  <c r="CK20" i="7" s="1"/>
  <c r="CJ20" i="7"/>
  <c r="CJ20" i="7" a="1"/>
  <c r="CI20" i="7" a="1"/>
  <c r="CI20" i="7" s="1"/>
  <c r="CH20" i="7" a="1"/>
  <c r="CH20" i="7" s="1"/>
  <c r="CG20" i="7" a="1"/>
  <c r="CG20" i="7" s="1"/>
  <c r="CF20" i="7" a="1"/>
  <c r="CF20" i="7" s="1"/>
  <c r="CE20" i="7" a="1"/>
  <c r="CE20" i="7" s="1"/>
  <c r="CD20" i="7"/>
  <c r="CD20" i="7" a="1"/>
  <c r="CC20" i="7" a="1"/>
  <c r="CC20" i="7" s="1"/>
  <c r="CB20" i="7"/>
  <c r="CB20" i="7" a="1"/>
  <c r="CA20" i="7" a="1"/>
  <c r="CA20" i="7" s="1"/>
  <c r="BZ20" i="7" a="1"/>
  <c r="BZ20" i="7" s="1"/>
  <c r="BY20" i="7" a="1"/>
  <c r="BY20" i="7" s="1"/>
  <c r="BX20" i="7" a="1"/>
  <c r="BX20" i="7" s="1"/>
  <c r="BW20" i="7" a="1"/>
  <c r="BW20" i="7" s="1"/>
  <c r="BV20" i="7"/>
  <c r="BV20" i="7" a="1"/>
  <c r="BU20" i="7" a="1"/>
  <c r="BU20" i="7" s="1"/>
  <c r="BT20" i="7"/>
  <c r="BT20" i="7" a="1"/>
  <c r="BS20" i="7" a="1"/>
  <c r="BS20" i="7" s="1"/>
  <c r="BR20" i="7" a="1"/>
  <c r="BR20" i="7" s="1"/>
  <c r="BQ20" i="7" a="1"/>
  <c r="BQ20" i="7" s="1"/>
  <c r="BP20" i="7" a="1"/>
  <c r="BP20" i="7" s="1"/>
  <c r="BO20" i="7" a="1"/>
  <c r="BO20" i="7" s="1"/>
  <c r="BN20" i="7"/>
  <c r="BN20" i="7" a="1"/>
  <c r="BM20" i="7" a="1"/>
  <c r="BM20" i="7" s="1"/>
  <c r="BL20" i="7"/>
  <c r="BL20" i="7" a="1"/>
  <c r="BK20" i="7" a="1"/>
  <c r="BK20" i="7" s="1"/>
  <c r="BJ20" i="7"/>
  <c r="BJ20" i="7" a="1"/>
  <c r="BI20" i="7" a="1"/>
  <c r="BI20" i="7" s="1"/>
  <c r="BH20" i="7" a="1"/>
  <c r="BH20" i="7" s="1"/>
  <c r="BG20" i="7" a="1"/>
  <c r="BG20" i="7" s="1"/>
  <c r="BF20" i="7"/>
  <c r="BF20" i="7" a="1"/>
  <c r="BE20" i="7" a="1"/>
  <c r="BE20" i="7" s="1"/>
  <c r="BD20" i="7"/>
  <c r="BD20" i="7" a="1"/>
  <c r="BC20" i="7" a="1"/>
  <c r="BC20" i="7" s="1"/>
  <c r="BB20" i="7" a="1"/>
  <c r="BB20" i="7" s="1"/>
  <c r="BA20" i="7" a="1"/>
  <c r="BA20" i="7" s="1"/>
  <c r="AZ20" i="7" a="1"/>
  <c r="AZ20" i="7" s="1"/>
  <c r="AY20" i="7" a="1"/>
  <c r="AY20" i="7" s="1"/>
  <c r="AX20" i="7"/>
  <c r="AX20" i="7" a="1"/>
  <c r="AW20" i="7" a="1"/>
  <c r="AW20" i="7" s="1"/>
  <c r="AV20" i="7"/>
  <c r="AV20" i="7" a="1"/>
  <c r="AU20" i="7" a="1"/>
  <c r="AU20" i="7" s="1"/>
  <c r="AT20" i="7" a="1"/>
  <c r="AT20" i="7" s="1"/>
  <c r="AS20" i="7" a="1"/>
  <c r="AS20" i="7" s="1"/>
  <c r="AR20" i="7" a="1"/>
  <c r="AR20" i="7" s="1"/>
  <c r="AQ20" i="7" a="1"/>
  <c r="AQ20" i="7" s="1"/>
  <c r="AP20" i="7"/>
  <c r="AP20" i="7" a="1"/>
  <c r="AO20" i="7" a="1"/>
  <c r="AO20" i="7" s="1"/>
  <c r="AN20" i="7"/>
  <c r="AN20" i="7" a="1"/>
  <c r="AM20" i="7" a="1"/>
  <c r="AM20" i="7" s="1"/>
  <c r="AL20" i="7" a="1"/>
  <c r="AL20" i="7" s="1"/>
  <c r="AK20" i="7" a="1"/>
  <c r="AK20" i="7" s="1"/>
  <c r="AJ20" i="7" a="1"/>
  <c r="AJ20" i="7" s="1"/>
  <c r="AI20" i="7" a="1"/>
  <c r="AI20" i="7" s="1"/>
  <c r="AH20" i="7"/>
  <c r="AH20" i="7" a="1"/>
  <c r="AG20" i="7" a="1"/>
  <c r="AG20" i="7" s="1"/>
  <c r="AF20" i="7"/>
  <c r="AF20" i="7" a="1"/>
  <c r="AE20" i="7" a="1"/>
  <c r="AE20" i="7" s="1"/>
  <c r="AD20" i="7"/>
  <c r="AD20" i="7" a="1"/>
  <c r="AC20" i="7" a="1"/>
  <c r="AC20" i="7" s="1"/>
  <c r="AB20" i="7" a="1"/>
  <c r="AB20" i="7" s="1"/>
  <c r="AA20" i="7" a="1"/>
  <c r="AA20" i="7" s="1"/>
  <c r="Z20" i="7"/>
  <c r="Z20" i="7" a="1"/>
  <c r="Y20" i="7" a="1"/>
  <c r="Y20" i="7" s="1"/>
  <c r="X20" i="7"/>
  <c r="X20" i="7" a="1"/>
  <c r="W20" i="7" a="1"/>
  <c r="W20" i="7" s="1"/>
  <c r="V20" i="7" a="1"/>
  <c r="V20" i="7" s="1"/>
  <c r="U20" i="7" a="1"/>
  <c r="U20" i="7" s="1"/>
  <c r="T20" i="7" a="1"/>
  <c r="T20" i="7" s="1"/>
  <c r="S20" i="7" a="1"/>
  <c r="S20" i="7" s="1"/>
  <c r="R20" i="7"/>
  <c r="R20" i="7" a="1"/>
  <c r="Q20" i="7" a="1"/>
  <c r="Q20" i="7" s="1"/>
  <c r="P20" i="7"/>
  <c r="P20" i="7" a="1"/>
  <c r="O20" i="7" a="1"/>
  <c r="O20" i="7" s="1"/>
  <c r="N20" i="7" a="1"/>
  <c r="N20" i="7" s="1"/>
  <c r="M20" i="7" a="1"/>
  <c r="M20" i="7" s="1"/>
  <c r="L20" i="7" a="1"/>
  <c r="L20" i="7" s="1"/>
  <c r="K20" i="7" a="1"/>
  <c r="K20" i="7" s="1"/>
  <c r="J20" i="7"/>
  <c r="J20" i="7" a="1"/>
  <c r="I20" i="7" a="1"/>
  <c r="I20" i="7" s="1"/>
  <c r="H20" i="7"/>
  <c r="H20" i="7" a="1"/>
  <c r="G20" i="7" a="1"/>
  <c r="G20" i="7" s="1"/>
  <c r="F20" i="7" a="1"/>
  <c r="F20" i="7" s="1"/>
  <c r="E20" i="7" a="1"/>
  <c r="E20" i="7" s="1"/>
  <c r="D20" i="7" a="1"/>
  <c r="D20" i="7" s="1"/>
  <c r="C20" i="7" a="1"/>
  <c r="C20" i="7" s="1"/>
  <c r="EF19" i="7"/>
  <c r="EF19" i="7" a="1"/>
  <c r="EE19" i="7" a="1"/>
  <c r="EE19" i="7" s="1"/>
  <c r="ED19" i="7"/>
  <c r="ED19" i="7" a="1"/>
  <c r="EC19" i="7" a="1"/>
  <c r="EC19" i="7" s="1"/>
  <c r="EB19" i="7"/>
  <c r="EB19" i="7" a="1"/>
  <c r="EA19" i="7" a="1"/>
  <c r="EA19" i="7" s="1"/>
  <c r="DZ19" i="7" a="1"/>
  <c r="DZ19" i="7" s="1"/>
  <c r="DY19" i="7" a="1"/>
  <c r="DY19" i="7" s="1"/>
  <c r="DX19" i="7"/>
  <c r="DX19" i="7" a="1"/>
  <c r="DW19" i="7" a="1"/>
  <c r="DW19" i="7" s="1"/>
  <c r="DV19" i="7"/>
  <c r="DV19" i="7" a="1"/>
  <c r="DU19" i="7" a="1"/>
  <c r="DU19" i="7" s="1"/>
  <c r="DT19" i="7" a="1"/>
  <c r="DT19" i="7" s="1"/>
  <c r="DS19" i="7" a="1"/>
  <c r="DS19" i="7" s="1"/>
  <c r="DR19" i="7" a="1"/>
  <c r="DR19" i="7" s="1"/>
  <c r="DQ19" i="7" a="1"/>
  <c r="DQ19" i="7" s="1"/>
  <c r="DP19" i="7"/>
  <c r="DP19" i="7" a="1"/>
  <c r="DO19" i="7" a="1"/>
  <c r="DO19" i="7" s="1"/>
  <c r="DN19" i="7"/>
  <c r="DN19" i="7" a="1"/>
  <c r="DM19" i="7" a="1"/>
  <c r="DM19" i="7" s="1"/>
  <c r="DL19" i="7" a="1"/>
  <c r="DL19" i="7" s="1"/>
  <c r="DK19" i="7" a="1"/>
  <c r="DK19" i="7" s="1"/>
  <c r="DJ19" i="7" a="1"/>
  <c r="DJ19" i="7" s="1"/>
  <c r="DI19" i="7" a="1"/>
  <c r="DI19" i="7" s="1"/>
  <c r="DH19" i="7"/>
  <c r="DH19" i="7" a="1"/>
  <c r="DG19" i="7" a="1"/>
  <c r="DG19" i="7" s="1"/>
  <c r="DF19" i="7"/>
  <c r="DF19" i="7" a="1"/>
  <c r="DE19" i="7" a="1"/>
  <c r="DE19" i="7" s="1"/>
  <c r="DD19" i="7" a="1"/>
  <c r="DD19" i="7" s="1"/>
  <c r="DC19" i="7" a="1"/>
  <c r="DC19" i="7" s="1"/>
  <c r="DB19" i="7" a="1"/>
  <c r="DB19" i="7" s="1"/>
  <c r="DA19" i="7" a="1"/>
  <c r="DA19" i="7" s="1"/>
  <c r="CZ19" i="7"/>
  <c r="CZ19" i="7" a="1"/>
  <c r="CY19" i="7" a="1"/>
  <c r="CY19" i="7" s="1"/>
  <c r="CX19" i="7"/>
  <c r="CX19" i="7" a="1"/>
  <c r="CW19" i="7" a="1"/>
  <c r="CW19" i="7" s="1"/>
  <c r="CV19" i="7"/>
  <c r="CV19" i="7" a="1"/>
  <c r="CU19" i="7" a="1"/>
  <c r="CU19" i="7" s="1"/>
  <c r="CT19" i="7" a="1"/>
  <c r="CT19" i="7" s="1"/>
  <c r="CS19" i="7" a="1"/>
  <c r="CS19" i="7" s="1"/>
  <c r="CR19" i="7"/>
  <c r="CR19" i="7" a="1"/>
  <c r="CQ19" i="7" a="1"/>
  <c r="CQ19" i="7" s="1"/>
  <c r="CP19" i="7"/>
  <c r="CP19" i="7" a="1"/>
  <c r="CO19" i="7" a="1"/>
  <c r="CO19" i="7" s="1"/>
  <c r="CN19" i="7" a="1"/>
  <c r="CN19" i="7" s="1"/>
  <c r="CM19" i="7" a="1"/>
  <c r="CM19" i="7" s="1"/>
  <c r="CL19" i="7" a="1"/>
  <c r="CL19" i="7" s="1"/>
  <c r="CK19" i="7" a="1"/>
  <c r="CK19" i="7" s="1"/>
  <c r="CJ19" i="7"/>
  <c r="CJ19" i="7" a="1"/>
  <c r="CI19" i="7" a="1"/>
  <c r="CI19" i="7" s="1"/>
  <c r="CH19" i="7"/>
  <c r="CH19" i="7" a="1"/>
  <c r="CG19" i="7" a="1"/>
  <c r="CG19" i="7" s="1"/>
  <c r="CF19" i="7" a="1"/>
  <c r="CF19" i="7" s="1"/>
  <c r="CE19" i="7" a="1"/>
  <c r="CE19" i="7" s="1"/>
  <c r="CD19" i="7" a="1"/>
  <c r="CD19" i="7" s="1"/>
  <c r="CC19" i="7" a="1"/>
  <c r="CC19" i="7" s="1"/>
  <c r="CB19" i="7"/>
  <c r="CB19" i="7" a="1"/>
  <c r="CA19" i="7" a="1"/>
  <c r="CA19" i="7" s="1"/>
  <c r="BZ19" i="7"/>
  <c r="BZ19" i="7" a="1"/>
  <c r="BY19" i="7" a="1"/>
  <c r="BY19" i="7" s="1"/>
  <c r="BX19" i="7" a="1"/>
  <c r="BX19" i="7" s="1"/>
  <c r="BW19" i="7" a="1"/>
  <c r="BW19" i="7" s="1"/>
  <c r="BV19" i="7" a="1"/>
  <c r="BV19" i="7" s="1"/>
  <c r="BU19" i="7" a="1"/>
  <c r="BU19" i="7" s="1"/>
  <c r="BT19" i="7"/>
  <c r="BT19" i="7" a="1"/>
  <c r="BS19" i="7" a="1"/>
  <c r="BS19" i="7" s="1"/>
  <c r="BR19" i="7"/>
  <c r="BR19" i="7" a="1"/>
  <c r="BQ19" i="7" a="1"/>
  <c r="BQ19" i="7" s="1"/>
  <c r="BP19" i="7"/>
  <c r="BP19" i="7" a="1"/>
  <c r="BO19" i="7" a="1"/>
  <c r="BO19" i="7" s="1"/>
  <c r="BN19" i="7" a="1"/>
  <c r="BN19" i="7" s="1"/>
  <c r="BM19" i="7" a="1"/>
  <c r="BM19" i="7" s="1"/>
  <c r="BL19" i="7"/>
  <c r="BL19" i="7" a="1"/>
  <c r="BK19" i="7" a="1"/>
  <c r="BK19" i="7" s="1"/>
  <c r="BJ19" i="7"/>
  <c r="BJ19" i="7" a="1"/>
  <c r="BI19" i="7" a="1"/>
  <c r="BI19" i="7" s="1"/>
  <c r="BH19" i="7" a="1"/>
  <c r="BH19" i="7" s="1"/>
  <c r="BG19" i="7" a="1"/>
  <c r="BG19" i="7" s="1"/>
  <c r="BF19" i="7" a="1"/>
  <c r="BF19" i="7" s="1"/>
  <c r="BE19" i="7" a="1"/>
  <c r="BE19" i="7" s="1"/>
  <c r="BD19" i="7"/>
  <c r="BD19" i="7" a="1"/>
  <c r="BC19" i="7" a="1"/>
  <c r="BC19" i="7" s="1"/>
  <c r="BB19" i="7"/>
  <c r="BB19" i="7" a="1"/>
  <c r="BA19" i="7" a="1"/>
  <c r="BA19" i="7" s="1"/>
  <c r="AZ19" i="7" a="1"/>
  <c r="AZ19" i="7" s="1"/>
  <c r="AY19" i="7" a="1"/>
  <c r="AY19" i="7" s="1"/>
  <c r="AX19" i="7" a="1"/>
  <c r="AX19" i="7" s="1"/>
  <c r="AW19" i="7" a="1"/>
  <c r="AW19" i="7" s="1"/>
  <c r="AV19" i="7"/>
  <c r="AV19" i="7" a="1"/>
  <c r="AU19" i="7" a="1"/>
  <c r="AU19" i="7" s="1"/>
  <c r="AT19" i="7"/>
  <c r="AT19" i="7" a="1"/>
  <c r="AS19" i="7" a="1"/>
  <c r="AS19" i="7" s="1"/>
  <c r="AR19" i="7" a="1"/>
  <c r="AR19" i="7" s="1"/>
  <c r="AQ19" i="7" a="1"/>
  <c r="AQ19" i="7" s="1"/>
  <c r="AP19" i="7" a="1"/>
  <c r="AP19" i="7" s="1"/>
  <c r="AO19" i="7" a="1"/>
  <c r="AO19" i="7" s="1"/>
  <c r="AN19" i="7"/>
  <c r="AN19" i="7" a="1"/>
  <c r="AM19" i="7" a="1"/>
  <c r="AM19" i="7" s="1"/>
  <c r="AL19" i="7"/>
  <c r="AL19" i="7" a="1"/>
  <c r="AK19" i="7" a="1"/>
  <c r="AK19" i="7" s="1"/>
  <c r="AJ19" i="7"/>
  <c r="AJ19" i="7" a="1"/>
  <c r="AI19" i="7" a="1"/>
  <c r="AI19" i="7" s="1"/>
  <c r="AH19" i="7" a="1"/>
  <c r="AH19" i="7" s="1"/>
  <c r="AG19" i="7" a="1"/>
  <c r="AG19" i="7" s="1"/>
  <c r="AF19" i="7"/>
  <c r="AF19" i="7" a="1"/>
  <c r="AE19" i="7" a="1"/>
  <c r="AE19" i="7" s="1"/>
  <c r="AD19" i="7"/>
  <c r="AD19" i="7" a="1"/>
  <c r="AC19" i="7" a="1"/>
  <c r="AC19" i="7" s="1"/>
  <c r="AB19" i="7" a="1"/>
  <c r="AB19" i="7" s="1"/>
  <c r="AA19" i="7" a="1"/>
  <c r="AA19" i="7" s="1"/>
  <c r="Z19" i="7" a="1"/>
  <c r="Z19" i="7" s="1"/>
  <c r="Y19" i="7" a="1"/>
  <c r="Y19" i="7" s="1"/>
  <c r="X19" i="7"/>
  <c r="X19" i="7" a="1"/>
  <c r="W19" i="7" a="1"/>
  <c r="W19" i="7" s="1"/>
  <c r="V19" i="7"/>
  <c r="V19" i="7" a="1"/>
  <c r="U19" i="7" a="1"/>
  <c r="U19" i="7" s="1"/>
  <c r="T19" i="7" a="1"/>
  <c r="T19" i="7" s="1"/>
  <c r="S19" i="7" a="1"/>
  <c r="S19" i="7" s="1"/>
  <c r="R19" i="7" a="1"/>
  <c r="R19" i="7" s="1"/>
  <c r="Q19" i="7" a="1"/>
  <c r="Q19" i="7" s="1"/>
  <c r="P19" i="7"/>
  <c r="P19" i="7" a="1"/>
  <c r="O19" i="7" a="1"/>
  <c r="O19" i="7" s="1"/>
  <c r="N19" i="7"/>
  <c r="N19" i="7" a="1"/>
  <c r="M19" i="7" a="1"/>
  <c r="M19" i="7" s="1"/>
  <c r="L19" i="7" a="1"/>
  <c r="L19" i="7" s="1"/>
  <c r="K19" i="7" a="1"/>
  <c r="K19" i="7" s="1"/>
  <c r="J19" i="7" a="1"/>
  <c r="J19" i="7" s="1"/>
  <c r="I19" i="7" a="1"/>
  <c r="I19" i="7" s="1"/>
  <c r="H19" i="7"/>
  <c r="H19" i="7" a="1"/>
  <c r="G19" i="7" a="1"/>
  <c r="G19" i="7" s="1"/>
  <c r="F19" i="7"/>
  <c r="F19" i="7" a="1"/>
  <c r="E19" i="7" a="1"/>
  <c r="E19" i="7" s="1"/>
  <c r="D19" i="7"/>
  <c r="D19" i="7" a="1"/>
  <c r="C19" i="7" a="1"/>
  <c r="C19" i="7" s="1"/>
  <c r="EF18" i="7" a="1"/>
  <c r="EF18" i="7" s="1"/>
  <c r="EE18" i="7" a="1"/>
  <c r="EE18" i="7" s="1"/>
  <c r="ED18" i="7"/>
  <c r="ED18" i="7" a="1"/>
  <c r="EC18" i="7" a="1"/>
  <c r="EC18" i="7" s="1"/>
  <c r="EB18" i="7"/>
  <c r="EB18" i="7" a="1"/>
  <c r="EA18" i="7" a="1"/>
  <c r="EA18" i="7" s="1"/>
  <c r="DZ18" i="7" a="1"/>
  <c r="DZ18" i="7" s="1"/>
  <c r="DY18" i="7" a="1"/>
  <c r="DY18" i="7" s="1"/>
  <c r="DX18" i="7" a="1"/>
  <c r="DX18" i="7" s="1"/>
  <c r="DW18" i="7" a="1"/>
  <c r="DW18" i="7" s="1"/>
  <c r="DV18" i="7"/>
  <c r="DV18" i="7" a="1"/>
  <c r="DU18" i="7" a="1"/>
  <c r="DU18" i="7" s="1"/>
  <c r="DT18" i="7"/>
  <c r="DT18" i="7" a="1"/>
  <c r="DS18" i="7" a="1"/>
  <c r="DS18" i="7" s="1"/>
  <c r="DR18" i="7" a="1"/>
  <c r="DR18" i="7" s="1"/>
  <c r="DQ18" i="7" a="1"/>
  <c r="DQ18" i="7" s="1"/>
  <c r="DP18" i="7" a="1"/>
  <c r="DP18" i="7" s="1"/>
  <c r="DO18" i="7" a="1"/>
  <c r="DO18" i="7" s="1"/>
  <c r="DN18" i="7"/>
  <c r="DN18" i="7" a="1"/>
  <c r="DM18" i="7" a="1"/>
  <c r="DM18" i="7" s="1"/>
  <c r="DL18" i="7"/>
  <c r="DL18" i="7" a="1"/>
  <c r="DK18" i="7" a="1"/>
  <c r="DK18" i="7" s="1"/>
  <c r="DJ18" i="7" a="1"/>
  <c r="DJ18" i="7" s="1"/>
  <c r="DI18" i="7" a="1"/>
  <c r="DI18" i="7" s="1"/>
  <c r="DH18" i="7" a="1"/>
  <c r="DH18" i="7" s="1"/>
  <c r="DG18" i="7" a="1"/>
  <c r="DG18" i="7" s="1"/>
  <c r="DF18" i="7"/>
  <c r="DF18" i="7" a="1"/>
  <c r="DE18" i="7" a="1"/>
  <c r="DE18" i="7" s="1"/>
  <c r="DD18" i="7"/>
  <c r="DD18" i="7" a="1"/>
  <c r="DC18" i="7" a="1"/>
  <c r="DC18" i="7" s="1"/>
  <c r="DB18" i="7"/>
  <c r="DB18" i="7" a="1"/>
  <c r="DA18" i="7" a="1"/>
  <c r="DA18" i="7" s="1"/>
  <c r="CZ18" i="7" a="1"/>
  <c r="CZ18" i="7" s="1"/>
  <c r="CY18" i="7" a="1"/>
  <c r="CY18" i="7" s="1"/>
  <c r="CX18" i="7"/>
  <c r="CX18" i="7" a="1"/>
  <c r="CW18" i="7" a="1"/>
  <c r="CW18" i="7" s="1"/>
  <c r="CV18" i="7"/>
  <c r="CV18" i="7" a="1"/>
  <c r="CU18" i="7" a="1"/>
  <c r="CU18" i="7" s="1"/>
  <c r="CT18" i="7" a="1"/>
  <c r="CT18" i="7" s="1"/>
  <c r="CS18" i="7" a="1"/>
  <c r="CS18" i="7" s="1"/>
  <c r="CR18" i="7" a="1"/>
  <c r="CR18" i="7" s="1"/>
  <c r="CQ18" i="7" a="1"/>
  <c r="CQ18" i="7" s="1"/>
  <c r="CP18" i="7"/>
  <c r="CP18" i="7" a="1"/>
  <c r="CO18" i="7" a="1"/>
  <c r="CO18" i="7" s="1"/>
  <c r="CN18" i="7"/>
  <c r="CN18" i="7" a="1"/>
  <c r="CM18" i="7" a="1"/>
  <c r="CM18" i="7" s="1"/>
  <c r="CL18" i="7" a="1"/>
  <c r="CL18" i="7" s="1"/>
  <c r="CK18" i="7" a="1"/>
  <c r="CK18" i="7" s="1"/>
  <c r="CJ18" i="7" a="1"/>
  <c r="CJ18" i="7" s="1"/>
  <c r="CI18" i="7" a="1"/>
  <c r="CI18" i="7" s="1"/>
  <c r="CH18" i="7"/>
  <c r="CH18" i="7" a="1"/>
  <c r="CG18" i="7" a="1"/>
  <c r="CG18" i="7" s="1"/>
  <c r="CF18" i="7"/>
  <c r="CF18" i="7" a="1"/>
  <c r="CE18" i="7" a="1"/>
  <c r="CE18" i="7" s="1"/>
  <c r="CD18" i="7" a="1"/>
  <c r="CD18" i="7" s="1"/>
  <c r="CC18" i="7" a="1"/>
  <c r="CC18" i="7" s="1"/>
  <c r="CB18" i="7" a="1"/>
  <c r="CB18" i="7" s="1"/>
  <c r="CA18" i="7" a="1"/>
  <c r="CA18" i="7" s="1"/>
  <c r="BZ18" i="7"/>
  <c r="BZ18" i="7" a="1"/>
  <c r="BY18" i="7" a="1"/>
  <c r="BY18" i="7" s="1"/>
  <c r="BX18" i="7"/>
  <c r="BX18" i="7" a="1"/>
  <c r="BW18" i="7" a="1"/>
  <c r="BW18" i="7" s="1"/>
  <c r="BV18" i="7"/>
  <c r="BV18" i="7" a="1"/>
  <c r="BU18" i="7" a="1"/>
  <c r="BU18" i="7" s="1"/>
  <c r="BT18" i="7" a="1"/>
  <c r="BT18" i="7" s="1"/>
  <c r="BS18" i="7" a="1"/>
  <c r="BS18" i="7" s="1"/>
  <c r="BR18" i="7"/>
  <c r="BR18" i="7" a="1"/>
  <c r="BQ18" i="7" a="1"/>
  <c r="BQ18" i="7" s="1"/>
  <c r="BP18" i="7"/>
  <c r="BP18" i="7" a="1"/>
  <c r="BO18" i="7" a="1"/>
  <c r="BO18" i="7" s="1"/>
  <c r="BN18" i="7" a="1"/>
  <c r="BN18" i="7" s="1"/>
  <c r="BM18" i="7" a="1"/>
  <c r="BM18" i="7" s="1"/>
  <c r="BL18" i="7" a="1"/>
  <c r="BL18" i="7" s="1"/>
  <c r="BK18" i="7" a="1"/>
  <c r="BK18" i="7" s="1"/>
  <c r="BJ18" i="7"/>
  <c r="BJ18" i="7" a="1"/>
  <c r="BI18" i="7" a="1"/>
  <c r="BI18" i="7" s="1"/>
  <c r="BH18" i="7"/>
  <c r="BH18" i="7" a="1"/>
  <c r="BG18" i="7" a="1"/>
  <c r="BG18" i="7" s="1"/>
  <c r="BF18" i="7" a="1"/>
  <c r="BF18" i="7" s="1"/>
  <c r="BE18" i="7" a="1"/>
  <c r="BE18" i="7" s="1"/>
  <c r="BD18" i="7" a="1"/>
  <c r="BD18" i="7" s="1"/>
  <c r="BC18" i="7" a="1"/>
  <c r="BC18" i="7" s="1"/>
  <c r="BB18" i="7"/>
  <c r="BB18" i="7" a="1"/>
  <c r="BA18" i="7" a="1"/>
  <c r="BA18" i="7" s="1"/>
  <c r="AZ18" i="7"/>
  <c r="AZ18" i="7" a="1"/>
  <c r="AY18" i="7" a="1"/>
  <c r="AY18" i="7" s="1"/>
  <c r="AX18" i="7" a="1"/>
  <c r="AX18" i="7" s="1"/>
  <c r="AW18" i="7" a="1"/>
  <c r="AW18" i="7" s="1"/>
  <c r="AV18" i="7" a="1"/>
  <c r="AV18" i="7" s="1"/>
  <c r="AU18" i="7" a="1"/>
  <c r="AU18" i="7" s="1"/>
  <c r="AT18" i="7"/>
  <c r="AT18" i="7" a="1"/>
  <c r="AS18" i="7" a="1"/>
  <c r="AS18" i="7" s="1"/>
  <c r="AR18" i="7"/>
  <c r="AR18" i="7" a="1"/>
  <c r="AQ18" i="7" a="1"/>
  <c r="AQ18" i="7" s="1"/>
  <c r="AP18" i="7"/>
  <c r="AP18" i="7" a="1"/>
  <c r="AO18" i="7" a="1"/>
  <c r="AO18" i="7" s="1"/>
  <c r="AN18" i="7" a="1"/>
  <c r="AN18" i="7" s="1"/>
  <c r="AM18" i="7" a="1"/>
  <c r="AM18" i="7" s="1"/>
  <c r="AL18" i="7"/>
  <c r="AL18" i="7" a="1"/>
  <c r="AK18" i="7" a="1"/>
  <c r="AK18" i="7" s="1"/>
  <c r="AJ18" i="7"/>
  <c r="AJ18" i="7" a="1"/>
  <c r="AI18" i="7" a="1"/>
  <c r="AI18" i="7" s="1"/>
  <c r="AH18" i="7" a="1"/>
  <c r="AH18" i="7" s="1"/>
  <c r="AG18" i="7" a="1"/>
  <c r="AG18" i="7" s="1"/>
  <c r="AF18" i="7" a="1"/>
  <c r="AF18" i="7" s="1"/>
  <c r="AE18" i="7" a="1"/>
  <c r="AE18" i="7" s="1"/>
  <c r="AD18" i="7"/>
  <c r="AD18" i="7" a="1"/>
  <c r="AC18" i="7" a="1"/>
  <c r="AC18" i="7" s="1"/>
  <c r="AB18" i="7"/>
  <c r="AB18" i="7" a="1"/>
  <c r="AA18" i="7" a="1"/>
  <c r="AA18" i="7" s="1"/>
  <c r="Z18" i="7" a="1"/>
  <c r="Z18" i="7" s="1"/>
  <c r="Y18" i="7" a="1"/>
  <c r="Y18" i="7" s="1"/>
  <c r="X18" i="7" a="1"/>
  <c r="X18" i="7" s="1"/>
  <c r="W18" i="7" a="1"/>
  <c r="W18" i="7" s="1"/>
  <c r="V18" i="7"/>
  <c r="V18" i="7" a="1"/>
  <c r="U18" i="7" a="1"/>
  <c r="U18" i="7" s="1"/>
  <c r="T18" i="7"/>
  <c r="T18" i="7" a="1"/>
  <c r="S18" i="7" a="1"/>
  <c r="S18" i="7" s="1"/>
  <c r="R18" i="7" a="1"/>
  <c r="R18" i="7" s="1"/>
  <c r="Q18" i="7" a="1"/>
  <c r="Q18" i="7" s="1"/>
  <c r="P18" i="7" a="1"/>
  <c r="P18" i="7" s="1"/>
  <c r="O18" i="7" a="1"/>
  <c r="O18" i="7" s="1"/>
  <c r="N18" i="7"/>
  <c r="N18" i="7" a="1"/>
  <c r="M18" i="7" a="1"/>
  <c r="M18" i="7" s="1"/>
  <c r="L18" i="7"/>
  <c r="L18" i="7" a="1"/>
  <c r="K18" i="7" a="1"/>
  <c r="K18" i="7" s="1"/>
  <c r="J18" i="7"/>
  <c r="J18" i="7" a="1"/>
  <c r="I18" i="7" a="1"/>
  <c r="I18" i="7" s="1"/>
  <c r="H18" i="7" a="1"/>
  <c r="H18" i="7" s="1"/>
  <c r="G18" i="7" a="1"/>
  <c r="G18" i="7" s="1"/>
  <c r="F18" i="7"/>
  <c r="F18" i="7" a="1"/>
  <c r="E18" i="7" a="1"/>
  <c r="E18" i="7" s="1"/>
  <c r="D18" i="7"/>
  <c r="D18" i="7" a="1"/>
  <c r="C18" i="7" a="1"/>
  <c r="C18" i="7" s="1"/>
  <c r="EF17" i="7" a="1"/>
  <c r="EF17" i="7" s="1"/>
  <c r="EE17" i="7" a="1"/>
  <c r="EE17" i="7" s="1"/>
  <c r="ED17" i="7" a="1"/>
  <c r="ED17" i="7" s="1"/>
  <c r="EC17" i="7" a="1"/>
  <c r="EC17" i="7" s="1"/>
  <c r="EB17" i="7"/>
  <c r="EB17" i="7" a="1"/>
  <c r="EA17" i="7" a="1"/>
  <c r="EA17" i="7" s="1"/>
  <c r="DZ17" i="7"/>
  <c r="DZ17" i="7" a="1"/>
  <c r="DY17" i="7" a="1"/>
  <c r="DY17" i="7" s="1"/>
  <c r="DX17" i="7" a="1"/>
  <c r="DX17" i="7" s="1"/>
  <c r="DW17" i="7" a="1"/>
  <c r="DW17" i="7" s="1"/>
  <c r="DV17" i="7" a="1"/>
  <c r="DV17" i="7" s="1"/>
  <c r="DU17" i="7" a="1"/>
  <c r="DU17" i="7" s="1"/>
  <c r="DT17" i="7"/>
  <c r="DT17" i="7" a="1"/>
  <c r="DS17" i="7" a="1"/>
  <c r="DS17" i="7" s="1"/>
  <c r="DR17" i="7"/>
  <c r="DR17" i="7" a="1"/>
  <c r="DQ17" i="7" a="1"/>
  <c r="DQ17" i="7" s="1"/>
  <c r="DP17" i="7" a="1"/>
  <c r="DP17" i="7" s="1"/>
  <c r="DO17" i="7" a="1"/>
  <c r="DO17" i="7" s="1"/>
  <c r="DN17" i="7" a="1"/>
  <c r="DN17" i="7" s="1"/>
  <c r="DM17" i="7" a="1"/>
  <c r="DM17" i="7" s="1"/>
  <c r="DL17" i="7"/>
  <c r="DL17" i="7" a="1"/>
  <c r="DK17" i="7" a="1"/>
  <c r="DK17" i="7" s="1"/>
  <c r="DJ17" i="7"/>
  <c r="DJ17" i="7" a="1"/>
  <c r="DI17" i="7" a="1"/>
  <c r="DI17" i="7" s="1"/>
  <c r="DH17" i="7"/>
  <c r="DH17" i="7" a="1"/>
  <c r="DG17" i="7" a="1"/>
  <c r="DG17" i="7" s="1"/>
  <c r="DF17" i="7" a="1"/>
  <c r="DF17" i="7" s="1"/>
  <c r="DE17" i="7" a="1"/>
  <c r="DE17" i="7" s="1"/>
  <c r="DD17" i="7"/>
  <c r="DD17" i="7" a="1"/>
  <c r="DC17" i="7" a="1"/>
  <c r="DC17" i="7" s="1"/>
  <c r="DB17" i="7"/>
  <c r="DB17" i="7" a="1"/>
  <c r="DA17" i="7" a="1"/>
  <c r="DA17" i="7" s="1"/>
  <c r="CZ17" i="7" a="1"/>
  <c r="CZ17" i="7" s="1"/>
  <c r="CY17" i="7" a="1"/>
  <c r="CY17" i="7" s="1"/>
  <c r="CX17" i="7" a="1"/>
  <c r="CX17" i="7" s="1"/>
  <c r="CW17" i="7" a="1"/>
  <c r="CW17" i="7" s="1"/>
  <c r="CV17" i="7"/>
  <c r="CV17" i="7" a="1"/>
  <c r="CU17" i="7" a="1"/>
  <c r="CU17" i="7" s="1"/>
  <c r="CT17" i="7"/>
  <c r="CT17" i="7" a="1"/>
  <c r="CS17" i="7" a="1"/>
  <c r="CS17" i="7" s="1"/>
  <c r="CR17" i="7" a="1"/>
  <c r="CR17" i="7" s="1"/>
  <c r="CQ17" i="7" a="1"/>
  <c r="CQ17" i="7" s="1"/>
  <c r="CP17" i="7" a="1"/>
  <c r="CP17" i="7" s="1"/>
  <c r="CO17" i="7" a="1"/>
  <c r="CO17" i="7" s="1"/>
  <c r="CN17" i="7"/>
  <c r="CN17" i="7" a="1"/>
  <c r="CM17" i="7" a="1"/>
  <c r="CM17" i="7" s="1"/>
  <c r="CL17" i="7"/>
  <c r="CL17" i="7" a="1"/>
  <c r="CK17" i="7" a="1"/>
  <c r="CK17" i="7" s="1"/>
  <c r="CJ17" i="7" a="1"/>
  <c r="CJ17" i="7" s="1"/>
  <c r="CI17" i="7" a="1"/>
  <c r="CI17" i="7" s="1"/>
  <c r="CH17" i="7" a="1"/>
  <c r="CH17" i="7" s="1"/>
  <c r="CG17" i="7" a="1"/>
  <c r="CG17" i="7" s="1"/>
  <c r="CF17" i="7"/>
  <c r="CF17" i="7" a="1"/>
  <c r="CE17" i="7" a="1"/>
  <c r="CE17" i="7" s="1"/>
  <c r="CD17" i="7"/>
  <c r="CD17" i="7" a="1"/>
  <c r="CC17" i="7" a="1"/>
  <c r="CC17" i="7" s="1"/>
  <c r="CB17" i="7"/>
  <c r="CB17" i="7" a="1"/>
  <c r="CA17" i="7" a="1"/>
  <c r="CA17" i="7" s="1"/>
  <c r="BZ17" i="7" a="1"/>
  <c r="BZ17" i="7" s="1"/>
  <c r="BY17" i="7" a="1"/>
  <c r="BY17" i="7" s="1"/>
  <c r="BX17" i="7"/>
  <c r="BX17" i="7" a="1"/>
  <c r="BW17" i="7" a="1"/>
  <c r="BW17" i="7" s="1"/>
  <c r="BV17" i="7"/>
  <c r="BV17" i="7" a="1"/>
  <c r="BU17" i="7" a="1"/>
  <c r="BU17" i="7" s="1"/>
  <c r="BT17" i="7" a="1"/>
  <c r="BT17" i="7" s="1"/>
  <c r="BS17" i="7" a="1"/>
  <c r="BS17" i="7" s="1"/>
  <c r="BR17" i="7" a="1"/>
  <c r="BR17" i="7" s="1"/>
  <c r="BQ17" i="7" a="1"/>
  <c r="BQ17" i="7" s="1"/>
  <c r="BP17" i="7"/>
  <c r="BP17" i="7" a="1"/>
  <c r="BO17" i="7" a="1"/>
  <c r="BO17" i="7" s="1"/>
  <c r="BN17" i="7"/>
  <c r="BN17" i="7" a="1"/>
  <c r="BM17" i="7" a="1"/>
  <c r="BM17" i="7" s="1"/>
  <c r="BL17" i="7" a="1"/>
  <c r="BL17" i="7" s="1"/>
  <c r="BK17" i="7" a="1"/>
  <c r="BK17" i="7" s="1"/>
  <c r="BJ17" i="7" a="1"/>
  <c r="BJ17" i="7" s="1"/>
  <c r="BI17" i="7" a="1"/>
  <c r="BI17" i="7" s="1"/>
  <c r="BH17" i="7"/>
  <c r="BH17" i="7" a="1"/>
  <c r="BG17" i="7" a="1"/>
  <c r="BG17" i="7" s="1"/>
  <c r="BF17" i="7"/>
  <c r="BF17" i="7" a="1"/>
  <c r="BE17" i="7" a="1"/>
  <c r="BE17" i="7" s="1"/>
  <c r="BD17" i="7" a="1"/>
  <c r="BD17" i="7" s="1"/>
  <c r="BC17" i="7" a="1"/>
  <c r="BC17" i="7" s="1"/>
  <c r="BB17" i="7" a="1"/>
  <c r="BB17" i="7" s="1"/>
  <c r="BA17" i="7" a="1"/>
  <c r="BA17" i="7" s="1"/>
  <c r="AZ17" i="7"/>
  <c r="AZ17" i="7" a="1"/>
  <c r="AY17" i="7" a="1"/>
  <c r="AY17" i="7" s="1"/>
  <c r="AX17" i="7"/>
  <c r="AX17" i="7" a="1"/>
  <c r="AW17" i="7" a="1"/>
  <c r="AW17" i="7" s="1"/>
  <c r="AV17" i="7"/>
  <c r="AV17" i="7" a="1"/>
  <c r="AU17" i="7" a="1"/>
  <c r="AU17" i="7" s="1"/>
  <c r="AT17" i="7" a="1"/>
  <c r="AT17" i="7" s="1"/>
  <c r="AS17" i="7" a="1"/>
  <c r="AS17" i="7" s="1"/>
  <c r="AR17" i="7"/>
  <c r="AR17" i="7" a="1"/>
  <c r="AQ17" i="7" a="1"/>
  <c r="AQ17" i="7" s="1"/>
  <c r="AP17" i="7"/>
  <c r="AP17" i="7" a="1"/>
  <c r="AO17" i="7" a="1"/>
  <c r="AO17" i="7" s="1"/>
  <c r="AN17" i="7" a="1"/>
  <c r="AN17" i="7" s="1"/>
  <c r="AM17" i="7" a="1"/>
  <c r="AM17" i="7" s="1"/>
  <c r="AL17" i="7" a="1"/>
  <c r="AL17" i="7" s="1"/>
  <c r="AK17" i="7" a="1"/>
  <c r="AK17" i="7" s="1"/>
  <c r="AJ17" i="7"/>
  <c r="AJ17" i="7" a="1"/>
  <c r="AI17" i="7" a="1"/>
  <c r="AI17" i="7" s="1"/>
  <c r="AH17" i="7"/>
  <c r="AH17" i="7" a="1"/>
  <c r="AG17" i="7" a="1"/>
  <c r="AG17" i="7" s="1"/>
  <c r="AF17" i="7" a="1"/>
  <c r="AF17" i="7" s="1"/>
  <c r="AE17" i="7" a="1"/>
  <c r="AE17" i="7" s="1"/>
  <c r="AD17" i="7" a="1"/>
  <c r="AD17" i="7" s="1"/>
  <c r="AC17" i="7" a="1"/>
  <c r="AC17" i="7" s="1"/>
  <c r="AB17" i="7"/>
  <c r="AB17" i="7" a="1"/>
  <c r="AA17" i="7" a="1"/>
  <c r="AA17" i="7" s="1"/>
  <c r="Z17" i="7"/>
  <c r="Z17" i="7" a="1"/>
  <c r="Y17" i="7" a="1"/>
  <c r="Y17" i="7" s="1"/>
  <c r="X17" i="7" a="1"/>
  <c r="X17" i="7" s="1"/>
  <c r="W17" i="7" a="1"/>
  <c r="W17" i="7" s="1"/>
  <c r="V17" i="7" a="1"/>
  <c r="V17" i="7" s="1"/>
  <c r="U17" i="7" a="1"/>
  <c r="U17" i="7" s="1"/>
  <c r="T17" i="7"/>
  <c r="T17" i="7" a="1"/>
  <c r="S17" i="7" a="1"/>
  <c r="S17" i="7" s="1"/>
  <c r="R17" i="7"/>
  <c r="R17" i="7" a="1"/>
  <c r="Q17" i="7" a="1"/>
  <c r="Q17" i="7" s="1"/>
  <c r="P17" i="7"/>
  <c r="P17" i="7" a="1"/>
  <c r="O17" i="7" a="1"/>
  <c r="O17" i="7" s="1"/>
  <c r="N17" i="7" a="1"/>
  <c r="N17" i="7" s="1"/>
  <c r="M17" i="7" a="1"/>
  <c r="M17" i="7" s="1"/>
  <c r="L17" i="7"/>
  <c r="L17" i="7" a="1"/>
  <c r="K17" i="7" a="1"/>
  <c r="K17" i="7" s="1"/>
  <c r="J17" i="7"/>
  <c r="J17" i="7" a="1"/>
  <c r="I17" i="7" a="1"/>
  <c r="I17" i="7" s="1"/>
  <c r="H17" i="7"/>
  <c r="H17" i="7" a="1"/>
  <c r="G17" i="7" a="1"/>
  <c r="G17" i="7" s="1"/>
  <c r="F17" i="7"/>
  <c r="F17" i="7" a="1"/>
  <c r="E17" i="7" a="1"/>
  <c r="E17" i="7" s="1"/>
  <c r="D17" i="7"/>
  <c r="D17" i="7" a="1"/>
  <c r="C17" i="7" a="1"/>
  <c r="C17" i="7" s="1"/>
  <c r="EF16" i="7"/>
  <c r="EF16" i="7" a="1"/>
  <c r="EE16" i="7" a="1"/>
  <c r="EE16" i="7" s="1"/>
  <c r="ED16" i="7"/>
  <c r="ED16" i="7" a="1"/>
  <c r="EC16" i="7" a="1"/>
  <c r="EC16" i="7" s="1"/>
  <c r="EB16" i="7"/>
  <c r="EB16" i="7" a="1"/>
  <c r="EA16" i="7" a="1"/>
  <c r="EA16" i="7" s="1"/>
  <c r="DZ16" i="7"/>
  <c r="DZ16" i="7" a="1"/>
  <c r="DY16" i="7" a="1"/>
  <c r="DY16" i="7" s="1"/>
  <c r="DX16" i="7"/>
  <c r="DX16" i="7" a="1"/>
  <c r="DW16" i="7" a="1"/>
  <c r="DW16" i="7" s="1"/>
  <c r="DV16" i="7"/>
  <c r="DV16" i="7" a="1"/>
  <c r="DU16" i="7" a="1"/>
  <c r="DU16" i="7" s="1"/>
  <c r="DT16" i="7"/>
  <c r="DT16" i="7" a="1"/>
  <c r="DS16" i="7" a="1"/>
  <c r="DS16" i="7" s="1"/>
  <c r="DR16" i="7"/>
  <c r="DR16" i="7" a="1"/>
  <c r="DQ16" i="7" a="1"/>
  <c r="DQ16" i="7" s="1"/>
  <c r="DP16" i="7"/>
  <c r="DP16" i="7" a="1"/>
  <c r="DO16" i="7" a="1"/>
  <c r="DO16" i="7" s="1"/>
  <c r="DN16" i="7"/>
  <c r="DN16" i="7" a="1"/>
  <c r="DM16" i="7" a="1"/>
  <c r="DM16" i="7" s="1"/>
  <c r="DL16" i="7"/>
  <c r="DL16" i="7" a="1"/>
  <c r="DK16" i="7" a="1"/>
  <c r="DK16" i="7" s="1"/>
  <c r="DJ16" i="7"/>
  <c r="DJ16" i="7" a="1"/>
  <c r="DI16" i="7" a="1"/>
  <c r="DI16" i="7" s="1"/>
  <c r="DH16" i="7"/>
  <c r="DH16" i="7" a="1"/>
  <c r="DG16" i="7" a="1"/>
  <c r="DG16" i="7" s="1"/>
  <c r="DF16" i="7"/>
  <c r="DF16" i="7" a="1"/>
  <c r="DE16" i="7" a="1"/>
  <c r="DE16" i="7" s="1"/>
  <c r="DD16" i="7"/>
  <c r="DD16" i="7" a="1"/>
  <c r="DC16" i="7" a="1"/>
  <c r="DC16" i="7" s="1"/>
  <c r="DB16" i="7"/>
  <c r="DB16" i="7" a="1"/>
  <c r="DA16" i="7" a="1"/>
  <c r="DA16" i="7" s="1"/>
  <c r="CZ16" i="7"/>
  <c r="CZ16" i="7" a="1"/>
  <c r="CY16" i="7" a="1"/>
  <c r="CY16" i="7" s="1"/>
  <c r="CX16" i="7"/>
  <c r="CX16" i="7" a="1"/>
  <c r="CW16" i="7" a="1"/>
  <c r="CW16" i="7" s="1"/>
  <c r="CV16" i="7"/>
  <c r="CV16" i="7" a="1"/>
  <c r="CU16" i="7" a="1"/>
  <c r="CU16" i="7" s="1"/>
  <c r="CT16" i="7"/>
  <c r="CT16" i="7" a="1"/>
  <c r="CS16" i="7" a="1"/>
  <c r="CS16" i="7" s="1"/>
  <c r="CR16" i="7"/>
  <c r="CR16" i="7" a="1"/>
  <c r="CQ16" i="7" a="1"/>
  <c r="CQ16" i="7" s="1"/>
  <c r="CP16" i="7"/>
  <c r="CP16" i="7" a="1"/>
  <c r="CO16" i="7" a="1"/>
  <c r="CO16" i="7" s="1"/>
  <c r="CN16" i="7"/>
  <c r="CN16" i="7" a="1"/>
  <c r="CM16" i="7" a="1"/>
  <c r="CM16" i="7" s="1"/>
  <c r="CL16" i="7"/>
  <c r="CL16" i="7" a="1"/>
  <c r="CK16" i="7" a="1"/>
  <c r="CK16" i="7" s="1"/>
  <c r="CJ16" i="7"/>
  <c r="CJ16" i="7" a="1"/>
  <c r="CI16" i="7" a="1"/>
  <c r="CI16" i="7" s="1"/>
  <c r="CH16" i="7"/>
  <c r="CH16" i="7" a="1"/>
  <c r="CG16" i="7" a="1"/>
  <c r="CG16" i="7" s="1"/>
  <c r="CF16" i="7"/>
  <c r="CF16" i="7" a="1"/>
  <c r="CE16" i="7" a="1"/>
  <c r="CE16" i="7" s="1"/>
  <c r="CD16" i="7"/>
  <c r="CD16" i="7" a="1"/>
  <c r="CC16" i="7" a="1"/>
  <c r="CC16" i="7" s="1"/>
  <c r="CB16" i="7"/>
  <c r="CB16" i="7" a="1"/>
  <c r="CA16" i="7" a="1"/>
  <c r="CA16" i="7" s="1"/>
  <c r="BZ16" i="7"/>
  <c r="BZ16" i="7" a="1"/>
  <c r="BY16" i="7" a="1"/>
  <c r="BY16" i="7" s="1"/>
  <c r="BX16" i="7"/>
  <c r="BX16" i="7" a="1"/>
  <c r="BW16" i="7" a="1"/>
  <c r="BW16" i="7" s="1"/>
  <c r="BV16" i="7"/>
  <c r="BV16" i="7" a="1"/>
  <c r="BU16" i="7" a="1"/>
  <c r="BU16" i="7" s="1"/>
  <c r="BT16" i="7"/>
  <c r="BT16" i="7" a="1"/>
  <c r="BS16" i="7" a="1"/>
  <c r="BS16" i="7" s="1"/>
  <c r="BR16" i="7"/>
  <c r="BR16" i="7" a="1"/>
  <c r="BQ16" i="7" a="1"/>
  <c r="BQ16" i="7" s="1"/>
  <c r="BP16" i="7"/>
  <c r="BP16" i="7" a="1"/>
  <c r="BO16" i="7" a="1"/>
  <c r="BO16" i="7" s="1"/>
  <c r="BN16" i="7" a="1"/>
  <c r="BN16" i="7" s="1"/>
  <c r="BM16" i="7" a="1"/>
  <c r="BM16" i="7" s="1"/>
  <c r="BL16" i="7" a="1"/>
  <c r="BL16" i="7" s="1"/>
  <c r="BK16" i="7" a="1"/>
  <c r="BK16" i="7" s="1"/>
  <c r="BJ16" i="7" a="1"/>
  <c r="BJ16" i="7" s="1"/>
  <c r="BI16" i="7"/>
  <c r="BI16" i="7" a="1"/>
  <c r="BH16" i="7" a="1"/>
  <c r="BH16" i="7" s="1"/>
  <c r="BG16" i="7" a="1"/>
  <c r="BG16" i="7" s="1"/>
  <c r="BF16" i="7" a="1"/>
  <c r="BF16" i="7" s="1"/>
  <c r="BE16" i="7" a="1"/>
  <c r="BE16" i="7" s="1"/>
  <c r="BD16" i="7" a="1"/>
  <c r="BD16" i="7" s="1"/>
  <c r="BC16" i="7" a="1"/>
  <c r="BC16" i="7" s="1"/>
  <c r="BB16" i="7" a="1"/>
  <c r="BB16" i="7" s="1"/>
  <c r="BA16" i="7"/>
  <c r="BA16" i="7" a="1"/>
  <c r="AZ16" i="7" a="1"/>
  <c r="AZ16" i="7" s="1"/>
  <c r="AY16" i="7" a="1"/>
  <c r="AY16" i="7" s="1"/>
  <c r="AX16" i="7" a="1"/>
  <c r="AX16" i="7" s="1"/>
  <c r="AW16" i="7" a="1"/>
  <c r="AW16" i="7" s="1"/>
  <c r="AV16" i="7" a="1"/>
  <c r="AV16" i="7" s="1"/>
  <c r="AU16" i="7" a="1"/>
  <c r="AU16" i="7" s="1"/>
  <c r="AT16" i="7" a="1"/>
  <c r="AT16" i="7" s="1"/>
  <c r="AS16" i="7"/>
  <c r="AS16" i="7" a="1"/>
  <c r="AR16" i="7" a="1"/>
  <c r="AR16" i="7" s="1"/>
  <c r="AQ16" i="7" a="1"/>
  <c r="AQ16" i="7" s="1"/>
  <c r="AP16" i="7" a="1"/>
  <c r="AP16" i="7" s="1"/>
  <c r="AO16" i="7" a="1"/>
  <c r="AO16" i="7" s="1"/>
  <c r="AN16" i="7" a="1"/>
  <c r="AN16" i="7" s="1"/>
  <c r="AM16" i="7" a="1"/>
  <c r="AM16" i="7" s="1"/>
  <c r="AL16" i="7" a="1"/>
  <c r="AL16" i="7" s="1"/>
  <c r="AK16" i="7"/>
  <c r="AK16" i="7" a="1"/>
  <c r="AJ16" i="7" a="1"/>
  <c r="AJ16" i="7" s="1"/>
  <c r="AI16" i="7" a="1"/>
  <c r="AI16" i="7" s="1"/>
  <c r="AH16" i="7" a="1"/>
  <c r="AH16" i="7" s="1"/>
  <c r="AG16" i="7" a="1"/>
  <c r="AG16" i="7" s="1"/>
  <c r="AF16" i="7" a="1"/>
  <c r="AF16" i="7" s="1"/>
  <c r="AE16" i="7" a="1"/>
  <c r="AE16" i="7" s="1"/>
  <c r="AD16" i="7" a="1"/>
  <c r="AD16" i="7" s="1"/>
  <c r="AC16" i="7"/>
  <c r="AC16" i="7" a="1"/>
  <c r="AB16" i="7" a="1"/>
  <c r="AB16" i="7" s="1"/>
  <c r="AA16" i="7" a="1"/>
  <c r="AA16" i="7" s="1"/>
  <c r="Z16" i="7" a="1"/>
  <c r="Z16" i="7" s="1"/>
  <c r="Y16" i="7" a="1"/>
  <c r="Y16" i="7" s="1"/>
  <c r="X16" i="7" a="1"/>
  <c r="X16" i="7" s="1"/>
  <c r="W16" i="7" a="1"/>
  <c r="W16" i="7" s="1"/>
  <c r="V16" i="7" a="1"/>
  <c r="V16" i="7" s="1"/>
  <c r="U16" i="7"/>
  <c r="U16" i="7" a="1"/>
  <c r="T16" i="7" a="1"/>
  <c r="T16" i="7" s="1"/>
  <c r="S16" i="7" a="1"/>
  <c r="S16" i="7" s="1"/>
  <c r="R16" i="7" a="1"/>
  <c r="R16" i="7" s="1"/>
  <c r="Q16" i="7" a="1"/>
  <c r="Q16" i="7" s="1"/>
  <c r="P16" i="7" a="1"/>
  <c r="P16" i="7" s="1"/>
  <c r="O16" i="7" a="1"/>
  <c r="O16" i="7" s="1"/>
  <c r="N16" i="7" a="1"/>
  <c r="N16" i="7" s="1"/>
  <c r="M16" i="7"/>
  <c r="M16" i="7" a="1"/>
  <c r="L16" i="7" a="1"/>
  <c r="L16" i="7" s="1"/>
  <c r="K16" i="7" a="1"/>
  <c r="K16" i="7" s="1"/>
  <c r="J16" i="7" a="1"/>
  <c r="J16" i="7" s="1"/>
  <c r="I16" i="7" a="1"/>
  <c r="I16" i="7" s="1"/>
  <c r="H16" i="7" a="1"/>
  <c r="H16" i="7" s="1"/>
  <c r="G16" i="7" a="1"/>
  <c r="G16" i="7" s="1"/>
  <c r="F16" i="7" a="1"/>
  <c r="F16" i="7" s="1"/>
  <c r="E16" i="7"/>
  <c r="E16" i="7" a="1"/>
  <c r="D16" i="7" a="1"/>
  <c r="D16" i="7" s="1"/>
  <c r="C16" i="7" a="1"/>
  <c r="C16" i="7" s="1"/>
  <c r="EF15" i="7" a="1"/>
  <c r="EF15" i="7" s="1"/>
  <c r="EE15" i="7" a="1"/>
  <c r="EE15" i="7" s="1"/>
  <c r="ED15" i="7" a="1"/>
  <c r="ED15" i="7" s="1"/>
  <c r="EC15" i="7" a="1"/>
  <c r="EC15" i="7" s="1"/>
  <c r="EB15" i="7" a="1"/>
  <c r="EB15" i="7" s="1"/>
  <c r="EA15" i="7"/>
  <c r="EA15" i="7" a="1"/>
  <c r="DZ15" i="7" a="1"/>
  <c r="DZ15" i="7" s="1"/>
  <c r="DY15" i="7" a="1"/>
  <c r="DY15" i="7" s="1"/>
  <c r="DX15" i="7" a="1"/>
  <c r="DX15" i="7" s="1"/>
  <c r="DW15" i="7" a="1"/>
  <c r="DW15" i="7" s="1"/>
  <c r="DV15" i="7" a="1"/>
  <c r="DV15" i="7" s="1"/>
  <c r="DU15" i="7" a="1"/>
  <c r="DU15" i="7" s="1"/>
  <c r="DT15" i="7" a="1"/>
  <c r="DT15" i="7" s="1"/>
  <c r="DS15" i="7"/>
  <c r="DS15" i="7" a="1"/>
  <c r="DR15" i="7" a="1"/>
  <c r="DR15" i="7" s="1"/>
  <c r="DQ15" i="7" a="1"/>
  <c r="DQ15" i="7" s="1"/>
  <c r="DP15" i="7" a="1"/>
  <c r="DP15" i="7" s="1"/>
  <c r="DO15" i="7" a="1"/>
  <c r="DO15" i="7" s="1"/>
  <c r="DN15" i="7" a="1"/>
  <c r="DN15" i="7" s="1"/>
  <c r="DM15" i="7" a="1"/>
  <c r="DM15" i="7" s="1"/>
  <c r="DL15" i="7" a="1"/>
  <c r="DL15" i="7" s="1"/>
  <c r="DK15" i="7"/>
  <c r="DK15" i="7" a="1"/>
  <c r="DJ15" i="7" a="1"/>
  <c r="DJ15" i="7" s="1"/>
  <c r="DI15" i="7" a="1"/>
  <c r="DI15" i="7" s="1"/>
  <c r="DH15" i="7" a="1"/>
  <c r="DH15" i="7" s="1"/>
  <c r="DG15" i="7" a="1"/>
  <c r="DG15" i="7" s="1"/>
  <c r="DF15" i="7" a="1"/>
  <c r="DF15" i="7" s="1"/>
  <c r="DE15" i="7" a="1"/>
  <c r="DE15" i="7" s="1"/>
  <c r="DD15" i="7" a="1"/>
  <c r="DD15" i="7" s="1"/>
  <c r="DC15" i="7"/>
  <c r="DC15" i="7" a="1"/>
  <c r="DB15" i="7" a="1"/>
  <c r="DB15" i="7" s="1"/>
  <c r="DA15" i="7" a="1"/>
  <c r="DA15" i="7" s="1"/>
  <c r="CZ15" i="7" a="1"/>
  <c r="CZ15" i="7" s="1"/>
  <c r="CY15" i="7" a="1"/>
  <c r="CY15" i="7" s="1"/>
  <c r="CX15" i="7" a="1"/>
  <c r="CX15" i="7" s="1"/>
  <c r="CW15" i="7" a="1"/>
  <c r="CW15" i="7" s="1"/>
  <c r="CV15" i="7" a="1"/>
  <c r="CV15" i="7" s="1"/>
  <c r="CU15" i="7"/>
  <c r="CU15" i="7" a="1"/>
  <c r="CT15" i="7" a="1"/>
  <c r="CT15" i="7" s="1"/>
  <c r="CS15" i="7" a="1"/>
  <c r="CS15" i="7" s="1"/>
  <c r="CR15" i="7" a="1"/>
  <c r="CR15" i="7" s="1"/>
  <c r="CQ15" i="7" a="1"/>
  <c r="CQ15" i="7" s="1"/>
  <c r="CP15" i="7" a="1"/>
  <c r="CP15" i="7" s="1"/>
  <c r="CO15" i="7" a="1"/>
  <c r="CO15" i="7" s="1"/>
  <c r="CN15" i="7" a="1"/>
  <c r="CN15" i="7" s="1"/>
  <c r="CM15" i="7"/>
  <c r="CM15" i="7" a="1"/>
  <c r="CL15" i="7" a="1"/>
  <c r="CL15" i="7" s="1"/>
  <c r="CK15" i="7" a="1"/>
  <c r="CK15" i="7" s="1"/>
  <c r="CJ15" i="7" a="1"/>
  <c r="CJ15" i="7" s="1"/>
  <c r="CI15" i="7" a="1"/>
  <c r="CI15" i="7" s="1"/>
  <c r="CH15" i="7" a="1"/>
  <c r="CH15" i="7" s="1"/>
  <c r="CG15" i="7" a="1"/>
  <c r="CG15" i="7" s="1"/>
  <c r="CF15" i="7" a="1"/>
  <c r="CF15" i="7" s="1"/>
  <c r="CE15" i="7"/>
  <c r="CE15" i="7" a="1"/>
  <c r="CD15" i="7" a="1"/>
  <c r="CD15" i="7" s="1"/>
  <c r="CC15" i="7" a="1"/>
  <c r="CC15" i="7" s="1"/>
  <c r="CB15" i="7" a="1"/>
  <c r="CB15" i="7" s="1"/>
  <c r="CA15" i="7" a="1"/>
  <c r="CA15" i="7" s="1"/>
  <c r="BZ15" i="7" a="1"/>
  <c r="BZ15" i="7" s="1"/>
  <c r="BY15" i="7" a="1"/>
  <c r="BY15" i="7" s="1"/>
  <c r="BX15" i="7" a="1"/>
  <c r="BX15" i="7" s="1"/>
  <c r="BW15" i="7"/>
  <c r="BW15" i="7" a="1"/>
  <c r="BV15" i="7" a="1"/>
  <c r="BV15" i="7" s="1"/>
  <c r="BU15" i="7" a="1"/>
  <c r="BU15" i="7" s="1"/>
  <c r="BT15" i="7" a="1"/>
  <c r="BT15" i="7" s="1"/>
  <c r="BS15" i="7" a="1"/>
  <c r="BS15" i="7" s="1"/>
  <c r="BR15" i="7" a="1"/>
  <c r="BR15" i="7" s="1"/>
  <c r="BQ15" i="7" a="1"/>
  <c r="BQ15" i="7" s="1"/>
  <c r="BP15" i="7" a="1"/>
  <c r="BP15" i="7" s="1"/>
  <c r="BO15" i="7"/>
  <c r="BO15" i="7" a="1"/>
  <c r="BN15" i="7" a="1"/>
  <c r="BN15" i="7" s="1"/>
  <c r="BM15" i="7" a="1"/>
  <c r="BM15" i="7" s="1"/>
  <c r="BL15" i="7" a="1"/>
  <c r="BL15" i="7" s="1"/>
  <c r="BK15" i="7" a="1"/>
  <c r="BK15" i="7" s="1"/>
  <c r="BJ15" i="7" a="1"/>
  <c r="BJ15" i="7" s="1"/>
  <c r="BI15" i="7" a="1"/>
  <c r="BI15" i="7" s="1"/>
  <c r="BH15" i="7" a="1"/>
  <c r="BH15" i="7" s="1"/>
  <c r="BG15" i="7"/>
  <c r="BG15" i="7" a="1"/>
  <c r="BF15" i="7" a="1"/>
  <c r="BF15" i="7" s="1"/>
  <c r="BE15" i="7" a="1"/>
  <c r="BE15" i="7" s="1"/>
  <c r="BD15" i="7" a="1"/>
  <c r="BD15" i="7" s="1"/>
  <c r="BC15" i="7" a="1"/>
  <c r="BC15" i="7" s="1"/>
  <c r="BB15" i="7" a="1"/>
  <c r="BB15" i="7" s="1"/>
  <c r="BA15" i="7" a="1"/>
  <c r="BA15" i="7" s="1"/>
  <c r="AZ15" i="7" a="1"/>
  <c r="AZ15" i="7" s="1"/>
  <c r="AY15" i="7"/>
  <c r="AY15" i="7" a="1"/>
  <c r="AX15" i="7" a="1"/>
  <c r="AX15" i="7" s="1"/>
  <c r="AW15" i="7" a="1"/>
  <c r="AW15" i="7" s="1"/>
  <c r="AV15" i="7" a="1"/>
  <c r="AV15" i="7" s="1"/>
  <c r="AU15" i="7" a="1"/>
  <c r="AU15" i="7" s="1"/>
  <c r="AT15" i="7" a="1"/>
  <c r="AT15" i="7" s="1"/>
  <c r="AS15" i="7" a="1"/>
  <c r="AS15" i="7" s="1"/>
  <c r="AR15" i="7" a="1"/>
  <c r="AR15" i="7" s="1"/>
  <c r="AQ15" i="7"/>
  <c r="AQ15" i="7" a="1"/>
  <c r="AP15" i="7" a="1"/>
  <c r="AP15" i="7" s="1"/>
  <c r="AO15" i="7" a="1"/>
  <c r="AO15" i="7" s="1"/>
  <c r="AN15" i="7" a="1"/>
  <c r="AN15" i="7" s="1"/>
  <c r="AM15" i="7" a="1"/>
  <c r="AM15" i="7" s="1"/>
  <c r="AL15" i="7" a="1"/>
  <c r="AL15" i="7" s="1"/>
  <c r="AK15" i="7" a="1"/>
  <c r="AK15" i="7" s="1"/>
  <c r="AJ15" i="7" a="1"/>
  <c r="AJ15" i="7" s="1"/>
  <c r="AI15" i="7"/>
  <c r="AI15" i="7" a="1"/>
  <c r="AH15" i="7" a="1"/>
  <c r="AH15" i="7" s="1"/>
  <c r="AG15" i="7" a="1"/>
  <c r="AG15" i="7" s="1"/>
  <c r="AF15" i="7" a="1"/>
  <c r="AF15" i="7" s="1"/>
  <c r="AE15" i="7" a="1"/>
  <c r="AE15" i="7" s="1"/>
  <c r="AD15" i="7" a="1"/>
  <c r="AD15" i="7" s="1"/>
  <c r="AC15" i="7" a="1"/>
  <c r="AC15" i="7" s="1"/>
  <c r="AB15" i="7" a="1"/>
  <c r="AB15" i="7" s="1"/>
  <c r="AA15" i="7"/>
  <c r="AA15" i="7" a="1"/>
  <c r="Z15" i="7" a="1"/>
  <c r="Z15" i="7" s="1"/>
  <c r="Y15" i="7" a="1"/>
  <c r="Y15" i="7" s="1"/>
  <c r="X15" i="7" a="1"/>
  <c r="X15" i="7" s="1"/>
  <c r="W15" i="7" a="1"/>
  <c r="W15" i="7" s="1"/>
  <c r="V15" i="7" a="1"/>
  <c r="V15" i="7" s="1"/>
  <c r="U15" i="7" a="1"/>
  <c r="U15" i="7" s="1"/>
  <c r="T15" i="7" a="1"/>
  <c r="T15" i="7" s="1"/>
  <c r="S15" i="7"/>
  <c r="S15" i="7" a="1"/>
  <c r="R15" i="7" a="1"/>
  <c r="R15" i="7" s="1"/>
  <c r="Q15" i="7" a="1"/>
  <c r="Q15" i="7" s="1"/>
  <c r="P15" i="7" a="1"/>
  <c r="P15" i="7" s="1"/>
  <c r="O15" i="7" a="1"/>
  <c r="O15" i="7" s="1"/>
  <c r="N15" i="7" a="1"/>
  <c r="N15" i="7" s="1"/>
  <c r="M15" i="7" a="1"/>
  <c r="M15" i="7" s="1"/>
  <c r="L15" i="7" a="1"/>
  <c r="L15" i="7" s="1"/>
  <c r="K15" i="7"/>
  <c r="K15" i="7" a="1"/>
  <c r="J15" i="7" a="1"/>
  <c r="J15" i="7" s="1"/>
  <c r="I15" i="7" a="1"/>
  <c r="I15" i="7" s="1"/>
  <c r="H15" i="7" a="1"/>
  <c r="H15" i="7" s="1"/>
  <c r="G15" i="7" a="1"/>
  <c r="G15" i="7" s="1"/>
  <c r="F15" i="7" a="1"/>
  <c r="F15" i="7" s="1"/>
  <c r="E15" i="7" a="1"/>
  <c r="E15" i="7" s="1"/>
  <c r="D15" i="7" a="1"/>
  <c r="D15" i="7" s="1"/>
  <c r="C15" i="7"/>
  <c r="C15" i="7" a="1"/>
  <c r="EF14" i="7" a="1"/>
  <c r="EF14" i="7" s="1"/>
  <c r="EE14" i="7" a="1"/>
  <c r="EE14" i="7" s="1"/>
  <c r="ED14" i="7" a="1"/>
  <c r="ED14" i="7" s="1"/>
  <c r="EC14" i="7" a="1"/>
  <c r="EC14" i="7" s="1"/>
  <c r="EB14" i="7" a="1"/>
  <c r="EB14" i="7" s="1"/>
  <c r="EA14" i="7" a="1"/>
  <c r="EA14" i="7" s="1"/>
  <c r="DZ14" i="7" a="1"/>
  <c r="DZ14" i="7" s="1"/>
  <c r="DY14" i="7"/>
  <c r="DY14" i="7" a="1"/>
  <c r="DX14" i="7" a="1"/>
  <c r="DX14" i="7" s="1"/>
  <c r="DW14" i="7" a="1"/>
  <c r="DW14" i="7" s="1"/>
  <c r="DV14" i="7" a="1"/>
  <c r="DV14" i="7" s="1"/>
  <c r="DU14" i="7" a="1"/>
  <c r="DU14" i="7" s="1"/>
  <c r="DT14" i="7" a="1"/>
  <c r="DT14" i="7" s="1"/>
  <c r="DS14" i="7" a="1"/>
  <c r="DS14" i="7" s="1"/>
  <c r="DR14" i="7" a="1"/>
  <c r="DR14" i="7" s="1"/>
  <c r="DQ14" i="7"/>
  <c r="DQ14" i="7" a="1"/>
  <c r="DP14" i="7" a="1"/>
  <c r="DP14" i="7" s="1"/>
  <c r="DO14" i="7" a="1"/>
  <c r="DO14" i="7" s="1"/>
  <c r="DN14" i="7" a="1"/>
  <c r="DN14" i="7" s="1"/>
  <c r="DM14" i="7" a="1"/>
  <c r="DM14" i="7" s="1"/>
  <c r="DL14" i="7" a="1"/>
  <c r="DL14" i="7" s="1"/>
  <c r="DK14" i="7" a="1"/>
  <c r="DK14" i="7" s="1"/>
  <c r="DJ14" i="7" a="1"/>
  <c r="DJ14" i="7" s="1"/>
  <c r="DI14" i="7"/>
  <c r="DI14" i="7" a="1"/>
  <c r="DH14" i="7" a="1"/>
  <c r="DH14" i="7" s="1"/>
  <c r="DG14" i="7" a="1"/>
  <c r="DG14" i="7" s="1"/>
  <c r="DF14" i="7" a="1"/>
  <c r="DF14" i="7" s="1"/>
  <c r="DE14" i="7" a="1"/>
  <c r="DE14" i="7" s="1"/>
  <c r="DD14" i="7" a="1"/>
  <c r="DD14" i="7" s="1"/>
  <c r="DC14" i="7" a="1"/>
  <c r="DC14" i="7" s="1"/>
  <c r="DB14" i="7" a="1"/>
  <c r="DB14" i="7" s="1"/>
  <c r="DA14" i="7"/>
  <c r="DA14" i="7" a="1"/>
  <c r="CZ14" i="7" a="1"/>
  <c r="CZ14" i="7" s="1"/>
  <c r="CY14" i="7" a="1"/>
  <c r="CY14" i="7" s="1"/>
  <c r="CX14" i="7" a="1"/>
  <c r="CX14" i="7" s="1"/>
  <c r="CW14" i="7" a="1"/>
  <c r="CW14" i="7" s="1"/>
  <c r="CV14" i="7" a="1"/>
  <c r="CV14" i="7" s="1"/>
  <c r="CU14" i="7" a="1"/>
  <c r="CU14" i="7" s="1"/>
  <c r="CT14" i="7" a="1"/>
  <c r="CT14" i="7" s="1"/>
  <c r="CS14" i="7"/>
  <c r="CS14" i="7" a="1"/>
  <c r="CR14" i="7" a="1"/>
  <c r="CR14" i="7" s="1"/>
  <c r="CQ14" i="7" a="1"/>
  <c r="CQ14" i="7" s="1"/>
  <c r="CP14" i="7" a="1"/>
  <c r="CP14" i="7" s="1"/>
  <c r="CO14" i="7" a="1"/>
  <c r="CO14" i="7" s="1"/>
  <c r="CN14" i="7" a="1"/>
  <c r="CN14" i="7" s="1"/>
  <c r="CM14" i="7" a="1"/>
  <c r="CM14" i="7" s="1"/>
  <c r="CL14" i="7" a="1"/>
  <c r="CL14" i="7" s="1"/>
  <c r="CK14" i="7"/>
  <c r="CK14" i="7" a="1"/>
  <c r="CJ14" i="7" a="1"/>
  <c r="CJ14" i="7" s="1"/>
  <c r="CI14" i="7" a="1"/>
  <c r="CI14" i="7" s="1"/>
  <c r="CH14" i="7" a="1"/>
  <c r="CH14" i="7" s="1"/>
  <c r="CG14" i="7" a="1"/>
  <c r="CG14" i="7" s="1"/>
  <c r="CF14" i="7" a="1"/>
  <c r="CF14" i="7" s="1"/>
  <c r="CE14" i="7" a="1"/>
  <c r="CE14" i="7" s="1"/>
  <c r="CD14" i="7" a="1"/>
  <c r="CD14" i="7" s="1"/>
  <c r="CC14" i="7"/>
  <c r="CC14" i="7" a="1"/>
  <c r="CB14" i="7" a="1"/>
  <c r="CB14" i="7" s="1"/>
  <c r="CA14" i="7" a="1"/>
  <c r="CA14" i="7" s="1"/>
  <c r="BZ14" i="7" a="1"/>
  <c r="BZ14" i="7" s="1"/>
  <c r="BY14" i="7" a="1"/>
  <c r="BY14" i="7" s="1"/>
  <c r="BX14" i="7" a="1"/>
  <c r="BX14" i="7" s="1"/>
  <c r="BW14" i="7" a="1"/>
  <c r="BW14" i="7" s="1"/>
  <c r="BV14" i="7" a="1"/>
  <c r="BV14" i="7" s="1"/>
  <c r="BU14" i="7"/>
  <c r="BU14" i="7" a="1"/>
  <c r="BT14" i="7" a="1"/>
  <c r="BT14" i="7" s="1"/>
  <c r="BS14" i="7" a="1"/>
  <c r="BS14" i="7" s="1"/>
  <c r="BR14" i="7" a="1"/>
  <c r="BR14" i="7" s="1"/>
  <c r="BQ14" i="7" a="1"/>
  <c r="BQ14" i="7" s="1"/>
  <c r="BP14" i="7" a="1"/>
  <c r="BP14" i="7" s="1"/>
  <c r="BO14" i="7" a="1"/>
  <c r="BO14" i="7" s="1"/>
  <c r="BN14" i="7" a="1"/>
  <c r="BN14" i="7" s="1"/>
  <c r="BM14" i="7"/>
  <c r="BM14" i="7" a="1"/>
  <c r="BL14" i="7" a="1"/>
  <c r="BL14" i="7" s="1"/>
  <c r="BK14" i="7" a="1"/>
  <c r="BK14" i="7" s="1"/>
  <c r="BJ14" i="7" a="1"/>
  <c r="BJ14" i="7" s="1"/>
  <c r="BI14" i="7" a="1"/>
  <c r="BI14" i="7" s="1"/>
  <c r="BH14" i="7" a="1"/>
  <c r="BH14" i="7" s="1"/>
  <c r="BG14" i="7" a="1"/>
  <c r="BG14" i="7" s="1"/>
  <c r="BF14" i="7" a="1"/>
  <c r="BF14" i="7" s="1"/>
  <c r="BE14" i="7"/>
  <c r="BE14" i="7" a="1"/>
  <c r="BD14" i="7" a="1"/>
  <c r="BD14" i="7" s="1"/>
  <c r="BC14" i="7" a="1"/>
  <c r="BC14" i="7" s="1"/>
  <c r="BB14" i="7" a="1"/>
  <c r="BB14" i="7" s="1"/>
  <c r="BA14" i="7" a="1"/>
  <c r="BA14" i="7" s="1"/>
  <c r="AZ14" i="7" a="1"/>
  <c r="AZ14" i="7" s="1"/>
  <c r="AY14" i="7" a="1"/>
  <c r="AY14" i="7" s="1"/>
  <c r="AX14" i="7" a="1"/>
  <c r="AX14" i="7" s="1"/>
  <c r="AW14" i="7"/>
  <c r="AW14" i="7" a="1"/>
  <c r="AV14" i="7" a="1"/>
  <c r="AV14" i="7" s="1"/>
  <c r="AU14" i="7" a="1"/>
  <c r="AU14" i="7" s="1"/>
  <c r="AT14" i="7" a="1"/>
  <c r="AT14" i="7" s="1"/>
  <c r="AS14" i="7" a="1"/>
  <c r="AS14" i="7" s="1"/>
  <c r="AR14" i="7" a="1"/>
  <c r="AR14" i="7" s="1"/>
  <c r="AQ14" i="7" a="1"/>
  <c r="AQ14" i="7" s="1"/>
  <c r="AP14" i="7" a="1"/>
  <c r="AP14" i="7" s="1"/>
  <c r="AO14" i="7"/>
  <c r="AO14" i="7" a="1"/>
  <c r="AN14" i="7" a="1"/>
  <c r="AN14" i="7" s="1"/>
  <c r="AM14" i="7" a="1"/>
  <c r="AM14" i="7" s="1"/>
  <c r="AL14" i="7" a="1"/>
  <c r="AL14" i="7" s="1"/>
  <c r="AK14" i="7" a="1"/>
  <c r="AK14" i="7" s="1"/>
  <c r="AJ14" i="7" a="1"/>
  <c r="AJ14" i="7" s="1"/>
  <c r="AI14" i="7" a="1"/>
  <c r="AI14" i="7" s="1"/>
  <c r="AH14" i="7" a="1"/>
  <c r="AH14" i="7" s="1"/>
  <c r="AG14" i="7"/>
  <c r="AG14" i="7" a="1"/>
  <c r="AF14" i="7" a="1"/>
  <c r="AF14" i="7" s="1"/>
  <c r="AE14" i="7" a="1"/>
  <c r="AE14" i="7" s="1"/>
  <c r="AD14" i="7" a="1"/>
  <c r="AD14" i="7" s="1"/>
  <c r="AC14" i="7" a="1"/>
  <c r="AC14" i="7" s="1"/>
  <c r="AB14" i="7" a="1"/>
  <c r="AB14" i="7" s="1"/>
  <c r="AA14" i="7" a="1"/>
  <c r="AA14" i="7" s="1"/>
  <c r="Z14" i="7" a="1"/>
  <c r="Z14" i="7" s="1"/>
  <c r="Y14" i="7"/>
  <c r="Y14" i="7" a="1"/>
  <c r="X14" i="7" a="1"/>
  <c r="X14" i="7" s="1"/>
  <c r="W14" i="7" a="1"/>
  <c r="W14" i="7" s="1"/>
  <c r="V14" i="7" a="1"/>
  <c r="V14" i="7" s="1"/>
  <c r="U14" i="7" a="1"/>
  <c r="U14" i="7" s="1"/>
  <c r="T14" i="7" a="1"/>
  <c r="T14" i="7" s="1"/>
  <c r="S14" i="7" a="1"/>
  <c r="S14" i="7" s="1"/>
  <c r="R14" i="7" a="1"/>
  <c r="R14" i="7" s="1"/>
  <c r="Q14" i="7"/>
  <c r="Q14" i="7" a="1"/>
  <c r="P14" i="7" a="1"/>
  <c r="P14" i="7" s="1"/>
  <c r="O14" i="7" a="1"/>
  <c r="O14" i="7" s="1"/>
  <c r="N14" i="7" a="1"/>
  <c r="N14" i="7" s="1"/>
  <c r="M14" i="7" a="1"/>
  <c r="M14" i="7" s="1"/>
  <c r="L14" i="7" a="1"/>
  <c r="L14" i="7" s="1"/>
  <c r="K14" i="7" a="1"/>
  <c r="K14" i="7" s="1"/>
  <c r="J14" i="7" a="1"/>
  <c r="J14" i="7" s="1"/>
  <c r="I14" i="7"/>
  <c r="I14" i="7" a="1"/>
  <c r="H14" i="7" a="1"/>
  <c r="H14" i="7" s="1"/>
  <c r="G14" i="7" a="1"/>
  <c r="G14" i="7" s="1"/>
  <c r="F14" i="7" a="1"/>
  <c r="F14" i="7" s="1"/>
  <c r="E14" i="7" a="1"/>
  <c r="E14" i="7" s="1"/>
  <c r="D14" i="7" a="1"/>
  <c r="D14" i="7" s="1"/>
  <c r="C14" i="7" a="1"/>
  <c r="C14" i="7" s="1"/>
  <c r="EF13" i="7" a="1"/>
  <c r="EF13" i="7" s="1"/>
  <c r="EE13" i="7" a="1"/>
  <c r="EE13" i="7" s="1"/>
  <c r="ED13" i="7" a="1"/>
  <c r="ED13" i="7" s="1"/>
  <c r="EC13" i="7" a="1"/>
  <c r="EC13" i="7" s="1"/>
  <c r="EB13" i="7" a="1"/>
  <c r="EB13" i="7" s="1"/>
  <c r="EA13" i="7" a="1"/>
  <c r="EA13" i="7" s="1"/>
  <c r="DZ13" i="7" a="1"/>
  <c r="DZ13" i="7" s="1"/>
  <c r="DY13" i="7"/>
  <c r="DY13" i="7" a="1"/>
  <c r="DX13" i="7" a="1"/>
  <c r="DX13" i="7" s="1"/>
  <c r="DW13" i="7" a="1"/>
  <c r="DW13" i="7" s="1"/>
  <c r="DV13" i="7" a="1"/>
  <c r="DV13" i="7" s="1"/>
  <c r="DU13" i="7" a="1"/>
  <c r="DU13" i="7" s="1"/>
  <c r="DT13" i="7" a="1"/>
  <c r="DT13" i="7" s="1"/>
  <c r="DS13" i="7" a="1"/>
  <c r="DS13" i="7" s="1"/>
  <c r="DR13" i="7" a="1"/>
  <c r="DR13" i="7" s="1"/>
  <c r="DQ13" i="7"/>
  <c r="DQ13" i="7" a="1"/>
  <c r="DP13" i="7" a="1"/>
  <c r="DP13" i="7" s="1"/>
  <c r="DO13" i="7" a="1"/>
  <c r="DO13" i="7" s="1"/>
  <c r="DN13" i="7" a="1"/>
  <c r="DN13" i="7" s="1"/>
  <c r="DM13" i="7" a="1"/>
  <c r="DM13" i="7" s="1"/>
  <c r="DL13" i="7" a="1"/>
  <c r="DL13" i="7" s="1"/>
  <c r="DK13" i="7" a="1"/>
  <c r="DK13" i="7" s="1"/>
  <c r="DJ13" i="7" a="1"/>
  <c r="DJ13" i="7" s="1"/>
  <c r="DI13" i="7"/>
  <c r="DI13" i="7" a="1"/>
  <c r="DH13" i="7" a="1"/>
  <c r="DH13" i="7" s="1"/>
  <c r="DG13" i="7" a="1"/>
  <c r="DG13" i="7" s="1"/>
  <c r="DF13" i="7" a="1"/>
  <c r="DF13" i="7" s="1"/>
  <c r="DE13" i="7" a="1"/>
  <c r="DE13" i="7" s="1"/>
  <c r="DD13" i="7" a="1"/>
  <c r="DD13" i="7" s="1"/>
  <c r="DC13" i="7" a="1"/>
  <c r="DC13" i="7" s="1"/>
  <c r="DB13" i="7" a="1"/>
  <c r="DB13" i="7" s="1"/>
  <c r="DA13" i="7"/>
  <c r="DA13" i="7" a="1"/>
  <c r="CZ13" i="7" a="1"/>
  <c r="CZ13" i="7" s="1"/>
  <c r="CY13" i="7" a="1"/>
  <c r="CY13" i="7" s="1"/>
  <c r="CX13" i="7" a="1"/>
  <c r="CX13" i="7" s="1"/>
  <c r="CW13" i="7" a="1"/>
  <c r="CW13" i="7" s="1"/>
  <c r="CV13" i="7" a="1"/>
  <c r="CV13" i="7" s="1"/>
  <c r="CU13" i="7" a="1"/>
  <c r="CU13" i="7" s="1"/>
  <c r="CT13" i="7" a="1"/>
  <c r="CT13" i="7" s="1"/>
  <c r="CS13" i="7"/>
  <c r="CS13" i="7" a="1"/>
  <c r="CR13" i="7" a="1"/>
  <c r="CR13" i="7" s="1"/>
  <c r="CQ13" i="7" a="1"/>
  <c r="CQ13" i="7" s="1"/>
  <c r="CP13" i="7" a="1"/>
  <c r="CP13" i="7" s="1"/>
  <c r="CO13" i="7" a="1"/>
  <c r="CO13" i="7" s="1"/>
  <c r="CN13" i="7" a="1"/>
  <c r="CN13" i="7" s="1"/>
  <c r="CM13" i="7" a="1"/>
  <c r="CM13" i="7" s="1"/>
  <c r="CL13" i="7" a="1"/>
  <c r="CL13" i="7" s="1"/>
  <c r="CK13" i="7"/>
  <c r="CK13" i="7" a="1"/>
  <c r="CJ13" i="7" a="1"/>
  <c r="CJ13" i="7" s="1"/>
  <c r="CI13" i="7" a="1"/>
  <c r="CI13" i="7" s="1"/>
  <c r="CH13" i="7" a="1"/>
  <c r="CH13" i="7" s="1"/>
  <c r="CG13" i="7" a="1"/>
  <c r="CG13" i="7" s="1"/>
  <c r="CF13" i="7" a="1"/>
  <c r="CF13" i="7" s="1"/>
  <c r="CE13" i="7" a="1"/>
  <c r="CE13" i="7" s="1"/>
  <c r="CD13" i="7" a="1"/>
  <c r="CD13" i="7" s="1"/>
  <c r="CC13" i="7"/>
  <c r="CC13" i="7" a="1"/>
  <c r="CB13" i="7" a="1"/>
  <c r="CB13" i="7" s="1"/>
  <c r="CA13" i="7" a="1"/>
  <c r="CA13" i="7" s="1"/>
  <c r="BZ13" i="7" a="1"/>
  <c r="BZ13" i="7" s="1"/>
  <c r="BY13" i="7" a="1"/>
  <c r="BY13" i="7" s="1"/>
  <c r="BX13" i="7" a="1"/>
  <c r="BX13" i="7" s="1"/>
  <c r="BW13" i="7" a="1"/>
  <c r="BW13" i="7" s="1"/>
  <c r="BV13" i="7" a="1"/>
  <c r="BV13" i="7" s="1"/>
  <c r="BU13" i="7"/>
  <c r="BU13" i="7" a="1"/>
  <c r="BT13" i="7" a="1"/>
  <c r="BT13" i="7" s="1"/>
  <c r="BS13" i="7" a="1"/>
  <c r="BS13" i="7" s="1"/>
  <c r="BR13" i="7" a="1"/>
  <c r="BR13" i="7" s="1"/>
  <c r="BQ13" i="7" a="1"/>
  <c r="BQ13" i="7" s="1"/>
  <c r="BP13" i="7" a="1"/>
  <c r="BP13" i="7" s="1"/>
  <c r="BO13" i="7" a="1"/>
  <c r="BO13" i="7" s="1"/>
  <c r="BN13" i="7" a="1"/>
  <c r="BN13" i="7" s="1"/>
  <c r="BM13" i="7"/>
  <c r="BM13" i="7" a="1"/>
  <c r="BL13" i="7" a="1"/>
  <c r="BL13" i="7" s="1"/>
  <c r="BK13" i="7" a="1"/>
  <c r="BK13" i="7" s="1"/>
  <c r="BJ13" i="7" a="1"/>
  <c r="BJ13" i="7" s="1"/>
  <c r="BI13" i="7" a="1"/>
  <c r="BI13" i="7" s="1"/>
  <c r="BH13" i="7" a="1"/>
  <c r="BH13" i="7" s="1"/>
  <c r="BG13" i="7" a="1"/>
  <c r="BG13" i="7" s="1"/>
  <c r="BF13" i="7" a="1"/>
  <c r="BF13" i="7" s="1"/>
  <c r="BE13" i="7"/>
  <c r="BE13" i="7" a="1"/>
  <c r="BD13" i="7" a="1"/>
  <c r="BD13" i="7" s="1"/>
  <c r="BC13" i="7" a="1"/>
  <c r="BC13" i="7" s="1"/>
  <c r="BB13" i="7" a="1"/>
  <c r="BB13" i="7" s="1"/>
  <c r="BA13" i="7" a="1"/>
  <c r="BA13" i="7" s="1"/>
  <c r="AZ13" i="7" a="1"/>
  <c r="AZ13" i="7" s="1"/>
  <c r="AY13" i="7" a="1"/>
  <c r="AY13" i="7" s="1"/>
  <c r="AX13" i="7" a="1"/>
  <c r="AX13" i="7" s="1"/>
  <c r="AW13" i="7"/>
  <c r="AW13" i="7" a="1"/>
  <c r="AV13" i="7" a="1"/>
  <c r="AV13" i="7" s="1"/>
  <c r="AU13" i="7" a="1"/>
  <c r="AU13" i="7" s="1"/>
  <c r="AT13" i="7" a="1"/>
  <c r="AT13" i="7" s="1"/>
  <c r="AS13" i="7" a="1"/>
  <c r="AS13" i="7" s="1"/>
  <c r="AR13" i="7" a="1"/>
  <c r="AR13" i="7" s="1"/>
  <c r="AQ13" i="7" a="1"/>
  <c r="AQ13" i="7" s="1"/>
  <c r="AP13" i="7" a="1"/>
  <c r="AP13" i="7" s="1"/>
  <c r="AO13" i="7"/>
  <c r="AO13" i="7" a="1"/>
  <c r="AN13" i="7" a="1"/>
  <c r="AN13" i="7" s="1"/>
  <c r="AM13" i="7" a="1"/>
  <c r="AM13" i="7" s="1"/>
  <c r="AL13" i="7" a="1"/>
  <c r="AL13" i="7" s="1"/>
  <c r="AK13" i="7" a="1"/>
  <c r="AK13" i="7" s="1"/>
  <c r="AJ13" i="7" a="1"/>
  <c r="AJ13" i="7" s="1"/>
  <c r="AI13" i="7" a="1"/>
  <c r="AI13" i="7" s="1"/>
  <c r="AH13" i="7" a="1"/>
  <c r="AH13" i="7" s="1"/>
  <c r="AG13" i="7"/>
  <c r="AG13" i="7" a="1"/>
  <c r="AF13" i="7" a="1"/>
  <c r="AF13" i="7" s="1"/>
  <c r="AE13" i="7" a="1"/>
  <c r="AE13" i="7" s="1"/>
  <c r="AD13" i="7" a="1"/>
  <c r="AD13" i="7" s="1"/>
  <c r="AC13" i="7" a="1"/>
  <c r="AC13" i="7" s="1"/>
  <c r="AB13" i="7" a="1"/>
  <c r="AB13" i="7" s="1"/>
  <c r="AA13" i="7" a="1"/>
  <c r="AA13" i="7" s="1"/>
  <c r="Z13" i="7" a="1"/>
  <c r="Z13" i="7" s="1"/>
  <c r="Y13" i="7"/>
  <c r="Y13" i="7" a="1"/>
  <c r="X13" i="7" a="1"/>
  <c r="X13" i="7" s="1"/>
  <c r="W13" i="7" a="1"/>
  <c r="W13" i="7" s="1"/>
  <c r="V13" i="7" a="1"/>
  <c r="V13" i="7" s="1"/>
  <c r="U13" i="7" a="1"/>
  <c r="U13" i="7" s="1"/>
  <c r="T13" i="7" a="1"/>
  <c r="T13" i="7" s="1"/>
  <c r="S13" i="7" a="1"/>
  <c r="S13" i="7" s="1"/>
  <c r="R13" i="7" a="1"/>
  <c r="R13" i="7" s="1"/>
  <c r="Q13" i="7"/>
  <c r="Q13" i="7" a="1"/>
  <c r="P13" i="7" a="1"/>
  <c r="P13" i="7" s="1"/>
  <c r="O13" i="7" a="1"/>
  <c r="O13" i="7" s="1"/>
  <c r="N13" i="7" a="1"/>
  <c r="N13" i="7" s="1"/>
  <c r="M13" i="7" a="1"/>
  <c r="M13" i="7" s="1"/>
  <c r="L13" i="7" a="1"/>
  <c r="L13" i="7" s="1"/>
  <c r="K13" i="7" a="1"/>
  <c r="K13" i="7" s="1"/>
  <c r="J13" i="7" a="1"/>
  <c r="J13" i="7" s="1"/>
  <c r="I13" i="7"/>
  <c r="I13" i="7" a="1"/>
  <c r="H13" i="7" a="1"/>
  <c r="H13" i="7" s="1"/>
  <c r="G13" i="7" a="1"/>
  <c r="G13" i="7" s="1"/>
  <c r="F13" i="7" a="1"/>
  <c r="F13" i="7" s="1"/>
  <c r="E13" i="7" a="1"/>
  <c r="E13" i="7" s="1"/>
  <c r="D13" i="7" a="1"/>
  <c r="D13" i="7" s="1"/>
  <c r="C13" i="7" a="1"/>
  <c r="C13" i="7" s="1"/>
  <c r="EF12" i="7" a="1"/>
  <c r="EF12" i="7" s="1"/>
  <c r="EE12" i="7"/>
  <c r="EE12" i="7" a="1"/>
  <c r="ED12" i="7" a="1"/>
  <c r="ED12" i="7" s="1"/>
  <c r="EC12" i="7" a="1"/>
  <c r="EC12" i="7" s="1"/>
  <c r="EB12" i="7" a="1"/>
  <c r="EB12" i="7" s="1"/>
  <c r="EA12" i="7" a="1"/>
  <c r="EA12" i="7" s="1"/>
  <c r="DZ12" i="7" a="1"/>
  <c r="DZ12" i="7" s="1"/>
  <c r="DY12" i="7" a="1"/>
  <c r="DY12" i="7" s="1"/>
  <c r="DX12" i="7" a="1"/>
  <c r="DX12" i="7" s="1"/>
  <c r="DW12" i="7"/>
  <c r="DW12" i="7" a="1"/>
  <c r="DV12" i="7" a="1"/>
  <c r="DV12" i="7" s="1"/>
  <c r="DU12" i="7" a="1"/>
  <c r="DU12" i="7" s="1"/>
  <c r="DT12" i="7" a="1"/>
  <c r="DT12" i="7" s="1"/>
  <c r="DS12" i="7" a="1"/>
  <c r="DS12" i="7" s="1"/>
  <c r="DR12" i="7" a="1"/>
  <c r="DR12" i="7" s="1"/>
  <c r="DQ12" i="7" a="1"/>
  <c r="DQ12" i="7" s="1"/>
  <c r="DP12" i="7" a="1"/>
  <c r="DP12" i="7" s="1"/>
  <c r="DO12" i="7"/>
  <c r="DO12" i="7" a="1"/>
  <c r="DN12" i="7" a="1"/>
  <c r="DN12" i="7" s="1"/>
  <c r="DM12" i="7" a="1"/>
  <c r="DM12" i="7" s="1"/>
  <c r="DL12" i="7" a="1"/>
  <c r="DL12" i="7" s="1"/>
  <c r="DK12" i="7" a="1"/>
  <c r="DK12" i="7" s="1"/>
  <c r="DJ12" i="7" a="1"/>
  <c r="DJ12" i="7" s="1"/>
  <c r="DI12" i="7" a="1"/>
  <c r="DI12" i="7" s="1"/>
  <c r="DH12" i="7" a="1"/>
  <c r="DH12" i="7" s="1"/>
  <c r="DG12" i="7"/>
  <c r="DG12" i="7" a="1"/>
  <c r="DF12" i="7" a="1"/>
  <c r="DF12" i="7" s="1"/>
  <c r="DE12" i="7" a="1"/>
  <c r="DE12" i="7" s="1"/>
  <c r="DD12" i="7" a="1"/>
  <c r="DD12" i="7" s="1"/>
  <c r="DC12" i="7" a="1"/>
  <c r="DC12" i="7" s="1"/>
  <c r="DB12" i="7" a="1"/>
  <c r="DB12" i="7" s="1"/>
  <c r="DA12" i="7" a="1"/>
  <c r="DA12" i="7" s="1"/>
  <c r="CZ12" i="7" a="1"/>
  <c r="CZ12" i="7" s="1"/>
  <c r="CY12" i="7"/>
  <c r="CY12" i="7" a="1"/>
  <c r="CX12" i="7" a="1"/>
  <c r="CX12" i="7" s="1"/>
  <c r="CW12" i="7" a="1"/>
  <c r="CW12" i="7" s="1"/>
  <c r="CV12" i="7" a="1"/>
  <c r="CV12" i="7" s="1"/>
  <c r="CU12" i="7" a="1"/>
  <c r="CU12" i="7" s="1"/>
  <c r="CT12" i="7" a="1"/>
  <c r="CT12" i="7" s="1"/>
  <c r="CS12" i="7" a="1"/>
  <c r="CS12" i="7" s="1"/>
  <c r="CR12" i="7" a="1"/>
  <c r="CR12" i="7" s="1"/>
  <c r="CQ12" i="7"/>
  <c r="CQ12" i="7" a="1"/>
  <c r="CP12" i="7" a="1"/>
  <c r="CP12" i="7" s="1"/>
  <c r="CO12" i="7" a="1"/>
  <c r="CO12" i="7" s="1"/>
  <c r="CN12" i="7" a="1"/>
  <c r="CN12" i="7" s="1"/>
  <c r="CM12" i="7" a="1"/>
  <c r="CM12" i="7" s="1"/>
  <c r="CL12" i="7" a="1"/>
  <c r="CL12" i="7" s="1"/>
  <c r="CK12" i="7" a="1"/>
  <c r="CK12" i="7" s="1"/>
  <c r="CJ12" i="7" a="1"/>
  <c r="CJ12" i="7" s="1"/>
  <c r="CI12" i="7"/>
  <c r="CI12" i="7" a="1"/>
  <c r="CH12" i="7" a="1"/>
  <c r="CH12" i="7" s="1"/>
  <c r="CG12" i="7" a="1"/>
  <c r="CG12" i="7" s="1"/>
  <c r="CF12" i="7" a="1"/>
  <c r="CF12" i="7" s="1"/>
  <c r="CE12" i="7" a="1"/>
  <c r="CE12" i="7" s="1"/>
  <c r="CD12" i="7" a="1"/>
  <c r="CD12" i="7" s="1"/>
  <c r="CC12" i="7" a="1"/>
  <c r="CC12" i="7" s="1"/>
  <c r="CB12" i="7" a="1"/>
  <c r="CB12" i="7" s="1"/>
  <c r="CA12" i="7"/>
  <c r="CA12" i="7" a="1"/>
  <c r="BZ12" i="7" a="1"/>
  <c r="BZ12" i="7" s="1"/>
  <c r="BY12" i="7" a="1"/>
  <c r="BY12" i="7" s="1"/>
  <c r="BX12" i="7" a="1"/>
  <c r="BX12" i="7" s="1"/>
  <c r="BW12" i="7" a="1"/>
  <c r="BW12" i="7" s="1"/>
  <c r="BV12" i="7" a="1"/>
  <c r="BV12" i="7" s="1"/>
  <c r="BU12" i="7" a="1"/>
  <c r="BU12" i="7" s="1"/>
  <c r="BT12" i="7" a="1"/>
  <c r="BT12" i="7" s="1"/>
  <c r="BS12" i="7"/>
  <c r="BS12" i="7" a="1"/>
  <c r="BR12" i="7" a="1"/>
  <c r="BR12" i="7" s="1"/>
  <c r="BQ12" i="7" a="1"/>
  <c r="BQ12" i="7" s="1"/>
  <c r="BP12" i="7" a="1"/>
  <c r="BP12" i="7" s="1"/>
  <c r="BO12" i="7" a="1"/>
  <c r="BO12" i="7" s="1"/>
  <c r="BN12" i="7" a="1"/>
  <c r="BN12" i="7" s="1"/>
  <c r="BM12" i="7" a="1"/>
  <c r="BM12" i="7" s="1"/>
  <c r="BL12" i="7" a="1"/>
  <c r="BL12" i="7" s="1"/>
  <c r="BK12" i="7"/>
  <c r="BK12" i="7" a="1"/>
  <c r="BJ12" i="7" a="1"/>
  <c r="BJ12" i="7" s="1"/>
  <c r="BI12" i="7" a="1"/>
  <c r="BI12" i="7" s="1"/>
  <c r="BH12" i="7" a="1"/>
  <c r="BH12" i="7" s="1"/>
  <c r="BG12" i="7" a="1"/>
  <c r="BG12" i="7" s="1"/>
  <c r="BF12" i="7" a="1"/>
  <c r="BF12" i="7" s="1"/>
  <c r="BE12" i="7" a="1"/>
  <c r="BE12" i="7" s="1"/>
  <c r="BD12" i="7" a="1"/>
  <c r="BD12" i="7" s="1"/>
  <c r="BC12" i="7"/>
  <c r="BC12" i="7" a="1"/>
  <c r="BB12" i="7" a="1"/>
  <c r="BB12" i="7" s="1"/>
  <c r="BA12" i="7" a="1"/>
  <c r="BA12" i="7" s="1"/>
  <c r="AZ12" i="7" a="1"/>
  <c r="AZ12" i="7" s="1"/>
  <c r="AY12" i="7" a="1"/>
  <c r="AY12" i="7" s="1"/>
  <c r="AX12" i="7" a="1"/>
  <c r="AX12" i="7" s="1"/>
  <c r="AW12" i="7" a="1"/>
  <c r="AW12" i="7" s="1"/>
  <c r="AV12" i="7" a="1"/>
  <c r="AV12" i="7" s="1"/>
  <c r="AU12" i="7"/>
  <c r="AU12" i="7" a="1"/>
  <c r="AT12" i="7" a="1"/>
  <c r="AT12" i="7" s="1"/>
  <c r="AS12" i="7" a="1"/>
  <c r="AS12" i="7" s="1"/>
  <c r="AR12" i="7" a="1"/>
  <c r="AR12" i="7" s="1"/>
  <c r="AQ12" i="7" a="1"/>
  <c r="AQ12" i="7" s="1"/>
  <c r="AP12" i="7" a="1"/>
  <c r="AP12" i="7" s="1"/>
  <c r="AO12" i="7" a="1"/>
  <c r="AO12" i="7" s="1"/>
  <c r="AN12" i="7" a="1"/>
  <c r="AN12" i="7" s="1"/>
  <c r="AM12" i="7"/>
  <c r="AM12" i="7" a="1"/>
  <c r="AL12" i="7" a="1"/>
  <c r="AL12" i="7" s="1"/>
  <c r="AK12" i="7" a="1"/>
  <c r="AK12" i="7" s="1"/>
  <c r="AJ12" i="7" a="1"/>
  <c r="AJ12" i="7" s="1"/>
  <c r="AI12" i="7" a="1"/>
  <c r="AI12" i="7" s="1"/>
  <c r="AH12" i="7" a="1"/>
  <c r="AH12" i="7" s="1"/>
  <c r="AG12" i="7" a="1"/>
  <c r="AG12" i="7" s="1"/>
  <c r="AF12" i="7" a="1"/>
  <c r="AF12" i="7" s="1"/>
  <c r="AE12" i="7"/>
  <c r="AE12" i="7" a="1"/>
  <c r="AD12" i="7" a="1"/>
  <c r="AD12" i="7" s="1"/>
  <c r="AC12" i="7" a="1"/>
  <c r="AC12" i="7" s="1"/>
  <c r="AB12" i="7" a="1"/>
  <c r="AB12" i="7" s="1"/>
  <c r="AA12" i="7" a="1"/>
  <c r="AA12" i="7" s="1"/>
  <c r="Z12" i="7" a="1"/>
  <c r="Z12" i="7" s="1"/>
  <c r="Y12" i="7" a="1"/>
  <c r="Y12" i="7" s="1"/>
  <c r="X12" i="7" a="1"/>
  <c r="X12" i="7" s="1"/>
  <c r="W12" i="7"/>
  <c r="W12" i="7" a="1"/>
  <c r="V12" i="7" a="1"/>
  <c r="V12" i="7" s="1"/>
  <c r="U12" i="7" a="1"/>
  <c r="U12" i="7" s="1"/>
  <c r="T12" i="7" a="1"/>
  <c r="T12" i="7" s="1"/>
  <c r="S12" i="7" a="1"/>
  <c r="S12" i="7" s="1"/>
  <c r="R12" i="7" a="1"/>
  <c r="R12" i="7" s="1"/>
  <c r="Q12" i="7" a="1"/>
  <c r="Q12" i="7" s="1"/>
  <c r="P12" i="7" a="1"/>
  <c r="P12" i="7" s="1"/>
  <c r="O12" i="7"/>
  <c r="O12" i="7" a="1"/>
  <c r="N12" i="7" a="1"/>
  <c r="N12" i="7" s="1"/>
  <c r="M12" i="7" a="1"/>
  <c r="M12" i="7" s="1"/>
  <c r="L12" i="7" a="1"/>
  <c r="L12" i="7" s="1"/>
  <c r="K12" i="7" a="1"/>
  <c r="K12" i="7" s="1"/>
  <c r="J12" i="7" a="1"/>
  <c r="J12" i="7" s="1"/>
  <c r="I12" i="7" a="1"/>
  <c r="I12" i="7" s="1"/>
  <c r="H12" i="7" a="1"/>
  <c r="H12" i="7" s="1"/>
  <c r="G12" i="7"/>
  <c r="G12" i="7" a="1"/>
  <c r="F12" i="7" a="1"/>
  <c r="F12" i="7" s="1"/>
  <c r="E12" i="7" a="1"/>
  <c r="E12" i="7" s="1"/>
  <c r="D12" i="7" a="1"/>
  <c r="D12" i="7" s="1"/>
  <c r="C12" i="7" a="1"/>
  <c r="C12" i="7"/>
  <c r="BT7" i="7"/>
  <c r="BH7" i="7"/>
  <c r="AN7" i="7"/>
  <c r="AB7" i="7"/>
  <c r="H7" i="7"/>
  <c r="DY6" i="7" a="1"/>
  <c r="DY6" i="7" s="1"/>
  <c r="DU6" i="7" a="1"/>
  <c r="DU6" i="7" s="1"/>
  <c r="DQ6" i="7" a="1"/>
  <c r="DQ6" i="7" s="1"/>
  <c r="DM6" i="7" a="1"/>
  <c r="DM6" i="7" s="1"/>
  <c r="DI6" i="7" a="1"/>
  <c r="DI6" i="7" s="1"/>
  <c r="DE6" i="7" a="1"/>
  <c r="DE6" i="7" s="1"/>
  <c r="DA6" i="7" a="1"/>
  <c r="DA6" i="7" s="1"/>
  <c r="CW6" i="7" a="1"/>
  <c r="CW6" i="7" s="1"/>
  <c r="CS6" i="7" a="1"/>
  <c r="CS6" i="7" s="1"/>
  <c r="CO6" i="7" a="1"/>
  <c r="CO6" i="7" s="1"/>
  <c r="CK6" i="7" a="1"/>
  <c r="CK6" i="7" s="1"/>
  <c r="CG6" i="7" a="1"/>
  <c r="CG6" i="7" s="1"/>
  <c r="CC6" i="7" a="1"/>
  <c r="CC6" i="7" s="1"/>
  <c r="BY6" i="7" a="1"/>
  <c r="BY6" i="7" s="1"/>
  <c r="BU6" i="7" a="1"/>
  <c r="BU6" i="7" s="1"/>
  <c r="BQ6" i="7" a="1"/>
  <c r="BQ6" i="7" s="1"/>
  <c r="BM6" i="7" a="1"/>
  <c r="BM6" i="7" s="1"/>
  <c r="BI6" i="7" a="1"/>
  <c r="BI6" i="7" s="1"/>
  <c r="BE6" i="7" a="1"/>
  <c r="BE6" i="7" s="1"/>
  <c r="BA6" i="7" a="1"/>
  <c r="BA6" i="7" s="1"/>
  <c r="AW6" i="7" a="1"/>
  <c r="AW6" i="7" s="1"/>
  <c r="AS6" i="7" a="1"/>
  <c r="AS6" i="7" s="1"/>
  <c r="AO6" i="7" a="1"/>
  <c r="AO6" i="7" s="1"/>
  <c r="AK6" i="7" a="1"/>
  <c r="AK6" i="7" s="1"/>
  <c r="AG6" i="7" a="1"/>
  <c r="AG6" i="7" s="1"/>
  <c r="AC6" i="7" a="1"/>
  <c r="AC6" i="7" s="1"/>
  <c r="Y6" i="7" a="1"/>
  <c r="Y6" i="7" s="1"/>
  <c r="U6" i="7" a="1"/>
  <c r="U6" i="7" s="1"/>
  <c r="Q6" i="7" a="1"/>
  <c r="Q6" i="7" s="1"/>
  <c r="M6" i="7" a="1"/>
  <c r="M6" i="7" s="1"/>
  <c r="I6" i="7" a="1"/>
  <c r="I6" i="7" s="1"/>
  <c r="E6" i="7" a="1"/>
  <c r="E6" i="7" s="1"/>
  <c r="EF5" i="7"/>
  <c r="EE5" i="7"/>
  <c r="ED5" i="7"/>
  <c r="EC5" i="7"/>
  <c r="EB5" i="7"/>
  <c r="EA5" i="7"/>
  <c r="DZ5" i="7"/>
  <c r="DY5" i="7"/>
  <c r="DX5" i="7"/>
  <c r="DW5" i="7"/>
  <c r="DV5" i="7"/>
  <c r="DU5" i="7"/>
  <c r="DT5" i="7"/>
  <c r="DS5" i="7"/>
  <c r="DR5" i="7"/>
  <c r="DQ5" i="7"/>
  <c r="DP5" i="7"/>
  <c r="DO5" i="7"/>
  <c r="DN5" i="7"/>
  <c r="DM5" i="7"/>
  <c r="DL5" i="7"/>
  <c r="DK5" i="7"/>
  <c r="DJ5" i="7"/>
  <c r="DI5" i="7"/>
  <c r="DH5" i="7"/>
  <c r="DG5" i="7"/>
  <c r="DF5" i="7"/>
  <c r="DE5" i="7"/>
  <c r="DD5" i="7"/>
  <c r="DC5" i="7"/>
  <c r="DB5" i="7"/>
  <c r="DA5" i="7"/>
  <c r="CZ5" i="7"/>
  <c r="CY5" i="7"/>
  <c r="CX5" i="7"/>
  <c r="CW5" i="7"/>
  <c r="CV5" i="7"/>
  <c r="CU5" i="7"/>
  <c r="CT5" i="7"/>
  <c r="CS5" i="7"/>
  <c r="CR5" i="7"/>
  <c r="CQ5" i="7"/>
  <c r="CP5" i="7"/>
  <c r="CO5" i="7"/>
  <c r="CN5" i="7"/>
  <c r="CM5" i="7"/>
  <c r="CL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BU5" i="7"/>
  <c r="BT5" i="7"/>
  <c r="BS5" i="7"/>
  <c r="BR5" i="7"/>
  <c r="BQ5" i="7"/>
  <c r="BP5" i="7"/>
  <c r="BO5" i="7"/>
  <c r="BN5" i="7"/>
  <c r="BM5" i="7"/>
  <c r="BL5" i="7"/>
  <c r="BK5" i="7"/>
  <c r="BJ5" i="7"/>
  <c r="BI5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EF4" i="7"/>
  <c r="EE4" i="7"/>
  <c r="EE6" i="7" s="1" a="1"/>
  <c r="EE6" i="7" s="1"/>
  <c r="ED4" i="7"/>
  <c r="EC4" i="7"/>
  <c r="EB4" i="7"/>
  <c r="EA4" i="7"/>
  <c r="EA6" i="7" s="1" a="1"/>
  <c r="EA6" i="7" s="1"/>
  <c r="DZ4" i="7"/>
  <c r="DY4" i="7"/>
  <c r="DX4" i="7"/>
  <c r="DW4" i="7"/>
  <c r="DW6" i="7" s="1" a="1"/>
  <c r="DW6" i="7" s="1"/>
  <c r="DV4" i="7"/>
  <c r="DU4" i="7"/>
  <c r="DT4" i="7"/>
  <c r="DS4" i="7"/>
  <c r="DS6" i="7" s="1" a="1"/>
  <c r="DS6" i="7" s="1"/>
  <c r="DR4" i="7"/>
  <c r="DQ4" i="7"/>
  <c r="DP4" i="7"/>
  <c r="DO4" i="7"/>
  <c r="DO6" i="7" s="1" a="1"/>
  <c r="DO6" i="7" s="1"/>
  <c r="DN4" i="7"/>
  <c r="DM4" i="7"/>
  <c r="DL4" i="7"/>
  <c r="DK4" i="7"/>
  <c r="DK6" i="7" s="1" a="1"/>
  <c r="DK6" i="7" s="1"/>
  <c r="DJ4" i="7"/>
  <c r="DI4" i="7"/>
  <c r="DH4" i="7"/>
  <c r="DG4" i="7"/>
  <c r="DG6" i="7" s="1" a="1"/>
  <c r="DG6" i="7" s="1"/>
  <c r="DF4" i="7"/>
  <c r="DE4" i="7"/>
  <c r="DD4" i="7"/>
  <c r="DC4" i="7"/>
  <c r="DC6" i="7" s="1" a="1"/>
  <c r="DC6" i="7" s="1"/>
  <c r="DB4" i="7"/>
  <c r="DA4" i="7"/>
  <c r="CZ4" i="7"/>
  <c r="CY4" i="7"/>
  <c r="CY6" i="7" s="1" a="1"/>
  <c r="CY6" i="7" s="1"/>
  <c r="CX4" i="7"/>
  <c r="CW4" i="7"/>
  <c r="CV4" i="7"/>
  <c r="CU4" i="7"/>
  <c r="CU6" i="7" s="1" a="1"/>
  <c r="CU6" i="7" s="1"/>
  <c r="CT4" i="7"/>
  <c r="CS4" i="7"/>
  <c r="CR4" i="7"/>
  <c r="CQ4" i="7"/>
  <c r="CQ6" i="7" s="1" a="1"/>
  <c r="CQ6" i="7" s="1"/>
  <c r="CP4" i="7"/>
  <c r="CO4" i="7"/>
  <c r="CN4" i="7"/>
  <c r="CM4" i="7"/>
  <c r="CM6" i="7" s="1" a="1"/>
  <c r="CM6" i="7" s="1"/>
  <c r="CL4" i="7"/>
  <c r="CK4" i="7"/>
  <c r="CJ4" i="7"/>
  <c r="CI4" i="7"/>
  <c r="CI6" i="7" s="1" a="1"/>
  <c r="CI6" i="7" s="1"/>
  <c r="CH4" i="7"/>
  <c r="CG4" i="7"/>
  <c r="CF4" i="7"/>
  <c r="CE4" i="7"/>
  <c r="CE6" i="7" s="1" a="1"/>
  <c r="CE6" i="7" s="1"/>
  <c r="CD4" i="7"/>
  <c r="CC4" i="7"/>
  <c r="CB4" i="7"/>
  <c r="CA4" i="7"/>
  <c r="CA6" i="7" s="1" a="1"/>
  <c r="CA6" i="7" s="1"/>
  <c r="BZ4" i="7"/>
  <c r="BY4" i="7"/>
  <c r="BX4" i="7"/>
  <c r="BW4" i="7"/>
  <c r="BW6" i="7" s="1" a="1"/>
  <c r="BW6" i="7" s="1"/>
  <c r="BV4" i="7"/>
  <c r="BU4" i="7"/>
  <c r="BT4" i="7"/>
  <c r="BT6" i="7" s="1" a="1"/>
  <c r="BT6" i="7" s="1"/>
  <c r="BT8" i="7" s="1"/>
  <c r="BS4" i="7"/>
  <c r="BS6" i="7" s="1" a="1"/>
  <c r="BS6" i="7" s="1"/>
  <c r="BR4" i="7"/>
  <c r="BQ4" i="7"/>
  <c r="BP4" i="7"/>
  <c r="BP6" i="7" s="1" a="1"/>
  <c r="BP6" i="7" s="1"/>
  <c r="BP8" i="7" s="1"/>
  <c r="BO4" i="7"/>
  <c r="BO6" i="7" s="1" a="1"/>
  <c r="BO6" i="7" s="1"/>
  <c r="BN4" i="7"/>
  <c r="BM4" i="7"/>
  <c r="BL4" i="7"/>
  <c r="BL6" i="7" s="1" a="1"/>
  <c r="BL6" i="7" s="1"/>
  <c r="BL8" i="7" s="1"/>
  <c r="BK4" i="7"/>
  <c r="BK6" i="7" s="1" a="1"/>
  <c r="BK6" i="7" s="1"/>
  <c r="BJ4" i="7"/>
  <c r="BI4" i="7"/>
  <c r="BH4" i="7"/>
  <c r="BH6" i="7" s="1" a="1"/>
  <c r="BH6" i="7" s="1"/>
  <c r="BH8" i="7" s="1"/>
  <c r="BG4" i="7"/>
  <c r="BG6" i="7" s="1" a="1"/>
  <c r="BG6" i="7" s="1"/>
  <c r="BF4" i="7"/>
  <c r="BE4" i="7"/>
  <c r="BD4" i="7"/>
  <c r="BD6" i="7" s="1" a="1"/>
  <c r="BD6" i="7" s="1"/>
  <c r="BD8" i="7" s="1"/>
  <c r="BC4" i="7"/>
  <c r="BC6" i="7" s="1" a="1"/>
  <c r="BC6" i="7" s="1"/>
  <c r="BB4" i="7"/>
  <c r="BA4" i="7"/>
  <c r="AZ4" i="7"/>
  <c r="AZ6" i="7" s="1" a="1"/>
  <c r="AZ6" i="7" s="1"/>
  <c r="AZ8" i="7" s="1"/>
  <c r="AY4" i="7"/>
  <c r="AY6" i="7" s="1" a="1"/>
  <c r="AY6" i="7" s="1"/>
  <c r="AX4" i="7"/>
  <c r="AW4" i="7"/>
  <c r="AV4" i="7"/>
  <c r="AV6" i="7" s="1" a="1"/>
  <c r="AV6" i="7" s="1"/>
  <c r="AV8" i="7" s="1"/>
  <c r="AU4" i="7"/>
  <c r="AU6" i="7" s="1" a="1"/>
  <c r="AU6" i="7" s="1"/>
  <c r="AT4" i="7"/>
  <c r="AS4" i="7"/>
  <c r="AR4" i="7"/>
  <c r="AR6" i="7" s="1" a="1"/>
  <c r="AR6" i="7" s="1"/>
  <c r="AR8" i="7" s="1"/>
  <c r="AQ4" i="7"/>
  <c r="AQ6" i="7" s="1" a="1"/>
  <c r="AQ6" i="7" s="1"/>
  <c r="AP4" i="7"/>
  <c r="AO4" i="7"/>
  <c r="AN4" i="7"/>
  <c r="AN6" i="7" s="1" a="1"/>
  <c r="AN6" i="7" s="1"/>
  <c r="AN8" i="7" s="1"/>
  <c r="AM4" i="7"/>
  <c r="AM6" i="7" s="1" a="1"/>
  <c r="AM6" i="7" s="1"/>
  <c r="AL4" i="7"/>
  <c r="AK4" i="7"/>
  <c r="AJ4" i="7"/>
  <c r="AJ6" i="7" s="1" a="1"/>
  <c r="AJ6" i="7" s="1"/>
  <c r="AJ8" i="7" s="1"/>
  <c r="AI4" i="7"/>
  <c r="AI6" i="7" s="1" a="1"/>
  <c r="AI6" i="7" s="1"/>
  <c r="AH4" i="7"/>
  <c r="AG4" i="7"/>
  <c r="AF4" i="7"/>
  <c r="AF6" i="7" s="1" a="1"/>
  <c r="AF6" i="7" s="1"/>
  <c r="AF8" i="7" s="1"/>
  <c r="AE4" i="7"/>
  <c r="AE6" i="7" s="1" a="1"/>
  <c r="AE6" i="7" s="1"/>
  <c r="AD4" i="7"/>
  <c r="AC4" i="7"/>
  <c r="AB4" i="7"/>
  <c r="AB6" i="7" s="1" a="1"/>
  <c r="AB6" i="7" s="1"/>
  <c r="AB8" i="7" s="1"/>
  <c r="AA4" i="7"/>
  <c r="AA6" i="7" s="1" a="1"/>
  <c r="AA6" i="7" s="1"/>
  <c r="Z4" i="7"/>
  <c r="Y4" i="7"/>
  <c r="X4" i="7"/>
  <c r="X6" i="7" s="1" a="1"/>
  <c r="X6" i="7" s="1"/>
  <c r="X8" i="7" s="1"/>
  <c r="W4" i="7"/>
  <c r="W6" i="7" s="1" a="1"/>
  <c r="W6" i="7" s="1"/>
  <c r="V4" i="7"/>
  <c r="U4" i="7"/>
  <c r="T4" i="7"/>
  <c r="T6" i="7" s="1" a="1"/>
  <c r="T6" i="7" s="1"/>
  <c r="T8" i="7" s="1"/>
  <c r="S4" i="7"/>
  <c r="S6" i="7" s="1" a="1"/>
  <c r="S6" i="7" s="1"/>
  <c r="R4" i="7"/>
  <c r="Q4" i="7"/>
  <c r="P4" i="7"/>
  <c r="P6" i="7" s="1" a="1"/>
  <c r="P6" i="7" s="1"/>
  <c r="P8" i="7" s="1"/>
  <c r="O4" i="7"/>
  <c r="O6" i="7" s="1" a="1"/>
  <c r="O6" i="7" s="1"/>
  <c r="N4" i="7"/>
  <c r="M4" i="7"/>
  <c r="L4" i="7"/>
  <c r="L6" i="7" s="1" a="1"/>
  <c r="L6" i="7" s="1"/>
  <c r="L8" i="7" s="1"/>
  <c r="K4" i="7"/>
  <c r="K6" i="7" s="1" a="1"/>
  <c r="K6" i="7" s="1"/>
  <c r="J4" i="7"/>
  <c r="I4" i="7"/>
  <c r="H4" i="7"/>
  <c r="H6" i="7" s="1" a="1"/>
  <c r="H6" i="7" s="1"/>
  <c r="H8" i="7" s="1"/>
  <c r="G4" i="7"/>
  <c r="G6" i="7" s="1" a="1"/>
  <c r="G6" i="7" s="1"/>
  <c r="F4" i="7"/>
  <c r="E4" i="7"/>
  <c r="D4" i="7"/>
  <c r="D6" i="7" s="1" a="1"/>
  <c r="D6" i="7" s="1"/>
  <c r="D8" i="7" s="1"/>
  <c r="C4" i="7"/>
  <c r="C6" i="7" s="1" a="1"/>
  <c r="C6" i="7" s="1"/>
  <c r="EF3" i="7"/>
  <c r="EE3" i="7"/>
  <c r="ED3" i="7"/>
  <c r="ED6" i="7" s="1" a="1"/>
  <c r="ED6" i="7" s="1"/>
  <c r="EC3" i="7"/>
  <c r="EC6" i="7" s="1" a="1"/>
  <c r="EC6" i="7" s="1"/>
  <c r="EB3" i="7"/>
  <c r="EA3" i="7"/>
  <c r="DZ3" i="7"/>
  <c r="DZ6" i="7" s="1" a="1"/>
  <c r="DZ6" i="7" s="1"/>
  <c r="DY3" i="7"/>
  <c r="DX3" i="7"/>
  <c r="DW3" i="7"/>
  <c r="DV3" i="7"/>
  <c r="DV6" i="7" s="1" a="1"/>
  <c r="DV6" i="7" s="1"/>
  <c r="DU3" i="7"/>
  <c r="DT3" i="7"/>
  <c r="DS3" i="7"/>
  <c r="DR3" i="7"/>
  <c r="DR6" i="7" s="1" a="1"/>
  <c r="DR6" i="7" s="1"/>
  <c r="DR7" i="7" s="1"/>
  <c r="DQ3" i="7"/>
  <c r="DP3" i="7"/>
  <c r="DO3" i="7"/>
  <c r="DN3" i="7"/>
  <c r="DN6" i="7" s="1" a="1"/>
  <c r="DN6" i="7" s="1"/>
  <c r="DM3" i="7"/>
  <c r="DL3" i="7"/>
  <c r="DK3" i="7"/>
  <c r="DJ3" i="7"/>
  <c r="DJ6" i="7" s="1" a="1"/>
  <c r="DJ6" i="7" s="1"/>
  <c r="DI3" i="7"/>
  <c r="DH3" i="7"/>
  <c r="DG3" i="7"/>
  <c r="DF3" i="7"/>
  <c r="DF6" i="7" s="1" a="1"/>
  <c r="DF6" i="7" s="1"/>
  <c r="DF7" i="7" s="1"/>
  <c r="DE3" i="7"/>
  <c r="DD3" i="7"/>
  <c r="DC3" i="7"/>
  <c r="DB3" i="7"/>
  <c r="DB6" i="7" s="1" a="1"/>
  <c r="DB6" i="7" s="1"/>
  <c r="DB7" i="7" s="1"/>
  <c r="DA3" i="7"/>
  <c r="CZ3" i="7"/>
  <c r="CY3" i="7"/>
  <c r="CX3" i="7"/>
  <c r="CX6" i="7" s="1" a="1"/>
  <c r="CX6" i="7" s="1"/>
  <c r="CW3" i="7"/>
  <c r="CV3" i="7"/>
  <c r="CU3" i="7"/>
  <c r="CT3" i="7"/>
  <c r="CT6" i="7" s="1" a="1"/>
  <c r="CT6" i="7" s="1"/>
  <c r="CS3" i="7"/>
  <c r="CR3" i="7"/>
  <c r="CQ3" i="7"/>
  <c r="CP3" i="7"/>
  <c r="CP6" i="7" s="1" a="1"/>
  <c r="CP6" i="7" s="1"/>
  <c r="CO3" i="7"/>
  <c r="CN3" i="7"/>
  <c r="CM3" i="7"/>
  <c r="CL3" i="7"/>
  <c r="CL6" i="7" s="1" a="1"/>
  <c r="CL6" i="7" s="1"/>
  <c r="CL7" i="7" s="1"/>
  <c r="CK3" i="7"/>
  <c r="CJ3" i="7"/>
  <c r="CI3" i="7"/>
  <c r="CH3" i="7"/>
  <c r="CH6" i="7" s="1" a="1"/>
  <c r="CH6" i="7" s="1"/>
  <c r="CG3" i="7"/>
  <c r="CF3" i="7"/>
  <c r="CE3" i="7"/>
  <c r="CD3" i="7"/>
  <c r="CD6" i="7" s="1" a="1"/>
  <c r="CD6" i="7" s="1"/>
  <c r="CC3" i="7"/>
  <c r="CB3" i="7"/>
  <c r="CA3" i="7"/>
  <c r="BZ3" i="7"/>
  <c r="BZ6" i="7" s="1" a="1"/>
  <c r="BZ6" i="7" s="1"/>
  <c r="BZ7" i="7" s="1"/>
  <c r="BY3" i="7"/>
  <c r="BX3" i="7"/>
  <c r="BW3" i="7"/>
  <c r="BV3" i="7"/>
  <c r="BV6" i="7" s="1" a="1"/>
  <c r="BV6" i="7" s="1"/>
  <c r="BV7" i="7" s="1"/>
  <c r="BU3" i="7"/>
  <c r="BT3" i="7"/>
  <c r="BS3" i="7"/>
  <c r="BR3" i="7"/>
  <c r="BR6" i="7" s="1" a="1"/>
  <c r="BR6" i="7" s="1"/>
  <c r="BQ3" i="7"/>
  <c r="BP3" i="7"/>
  <c r="BO3" i="7"/>
  <c r="BN3" i="7"/>
  <c r="BN6" i="7" s="1" a="1"/>
  <c r="BN6" i="7" s="1"/>
  <c r="BM3" i="7"/>
  <c r="BL3" i="7"/>
  <c r="BK3" i="7"/>
  <c r="BJ3" i="7"/>
  <c r="BJ6" i="7" s="1" a="1"/>
  <c r="BJ6" i="7" s="1"/>
  <c r="BI3" i="7"/>
  <c r="BH3" i="7"/>
  <c r="BG3" i="7"/>
  <c r="BF3" i="7"/>
  <c r="BF6" i="7" s="1" a="1"/>
  <c r="BF6" i="7" s="1"/>
  <c r="BF7" i="7" s="1"/>
  <c r="BE3" i="7"/>
  <c r="BD3" i="7"/>
  <c r="BC3" i="7"/>
  <c r="BB3" i="7"/>
  <c r="BB6" i="7" s="1" a="1"/>
  <c r="BB6" i="7" s="1"/>
  <c r="BA3" i="7"/>
  <c r="AZ3" i="7"/>
  <c r="AY3" i="7"/>
  <c r="AX3" i="7"/>
  <c r="AX6" i="7" s="1" a="1"/>
  <c r="AX6" i="7" s="1"/>
  <c r="AW3" i="7"/>
  <c r="AV3" i="7"/>
  <c r="AU3" i="7"/>
  <c r="AT3" i="7"/>
  <c r="AT6" i="7" s="1" a="1"/>
  <c r="AT6" i="7" s="1"/>
  <c r="AT7" i="7" s="1"/>
  <c r="AS3" i="7"/>
  <c r="AR3" i="7"/>
  <c r="AQ3" i="7"/>
  <c r="AP3" i="7"/>
  <c r="AP6" i="7" s="1" a="1"/>
  <c r="AP6" i="7" s="1"/>
  <c r="AP7" i="7" s="1"/>
  <c r="AO3" i="7"/>
  <c r="AN3" i="7"/>
  <c r="AM3" i="7"/>
  <c r="AL3" i="7"/>
  <c r="AL6" i="7" s="1" a="1"/>
  <c r="AL6" i="7" s="1"/>
  <c r="AK3" i="7"/>
  <c r="AJ3" i="7"/>
  <c r="AI3" i="7"/>
  <c r="AH3" i="7"/>
  <c r="AH6" i="7" s="1" a="1"/>
  <c r="AH6" i="7" s="1"/>
  <c r="AG3" i="7"/>
  <c r="AF3" i="7"/>
  <c r="AE3" i="7"/>
  <c r="AD3" i="7"/>
  <c r="AD6" i="7" s="1" a="1"/>
  <c r="AD6" i="7" s="1"/>
  <c r="AC3" i="7"/>
  <c r="AB3" i="7"/>
  <c r="AA3" i="7"/>
  <c r="Z3" i="7"/>
  <c r="Z6" i="7" s="1" a="1"/>
  <c r="Z6" i="7" s="1"/>
  <c r="Z7" i="7" s="1"/>
  <c r="Y3" i="7"/>
  <c r="X3" i="7"/>
  <c r="W3" i="7"/>
  <c r="V3" i="7"/>
  <c r="V6" i="7" s="1" a="1"/>
  <c r="V6" i="7" s="1"/>
  <c r="U3" i="7"/>
  <c r="T3" i="7"/>
  <c r="S3" i="7"/>
  <c r="R3" i="7"/>
  <c r="R6" i="7" s="1" a="1"/>
  <c r="R6" i="7" s="1"/>
  <c r="Q3" i="7"/>
  <c r="P3" i="7"/>
  <c r="O3" i="7"/>
  <c r="N3" i="7"/>
  <c r="N6" i="7" s="1" a="1"/>
  <c r="N6" i="7" s="1"/>
  <c r="N7" i="7" s="1"/>
  <c r="M3" i="7"/>
  <c r="L3" i="7"/>
  <c r="K3" i="7"/>
  <c r="J3" i="7"/>
  <c r="J6" i="7" s="1" a="1"/>
  <c r="J6" i="7" s="1"/>
  <c r="J7" i="7" s="1"/>
  <c r="I3" i="7"/>
  <c r="H3" i="7"/>
  <c r="G3" i="7"/>
  <c r="F3" i="7"/>
  <c r="F6" i="7" s="1" a="1"/>
  <c r="F6" i="7" s="1"/>
  <c r="F7" i="7" s="1"/>
  <c r="E3" i="7"/>
  <c r="D3" i="7"/>
  <c r="C3" i="7"/>
  <c r="A1" i="7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C15" i="6"/>
  <c r="DU15" i="6"/>
  <c r="DM15" i="6"/>
  <c r="DE15" i="6"/>
  <c r="CW15" i="6"/>
  <c r="CO15" i="6"/>
  <c r="CG15" i="6"/>
  <c r="BY15" i="6"/>
  <c r="BQ15" i="6"/>
  <c r="BI15" i="6"/>
  <c r="BA15" i="6"/>
  <c r="AS15" i="6"/>
  <c r="AK15" i="6"/>
  <c r="AC15" i="6"/>
  <c r="U15" i="6"/>
  <c r="M15" i="6"/>
  <c r="E15" i="6"/>
  <c r="EA14" i="6"/>
  <c r="DS14" i="6"/>
  <c r="DK14" i="6"/>
  <c r="DC14" i="6"/>
  <c r="CU14" i="6"/>
  <c r="CM14" i="6"/>
  <c r="CE14" i="6"/>
  <c r="BW14" i="6"/>
  <c r="BO14" i="6"/>
  <c r="BG14" i="6"/>
  <c r="AY14" i="6"/>
  <c r="AQ14" i="6"/>
  <c r="AI14" i="6"/>
  <c r="AA14" i="6"/>
  <c r="S14" i="6"/>
  <c r="K14" i="6"/>
  <c r="C14" i="6"/>
  <c r="DY13" i="6"/>
  <c r="DQ13" i="6"/>
  <c r="DI13" i="6"/>
  <c r="DA13" i="6"/>
  <c r="CS13" i="6"/>
  <c r="CK13" i="6"/>
  <c r="CC13" i="6"/>
  <c r="BU13" i="6"/>
  <c r="BO13" i="6"/>
  <c r="BJ13" i="6"/>
  <c r="BF13" i="6"/>
  <c r="BB13" i="6"/>
  <c r="AX13" i="6"/>
  <c r="AT13" i="6"/>
  <c r="AP13" i="6"/>
  <c r="AL13" i="6"/>
  <c r="AH13" i="6"/>
  <c r="AD13" i="6"/>
  <c r="Z13" i="6"/>
  <c r="V13" i="6"/>
  <c r="R13" i="6"/>
  <c r="N13" i="6"/>
  <c r="J13" i="6"/>
  <c r="F13" i="6"/>
  <c r="EF5" i="6"/>
  <c r="EF15" i="6" s="1"/>
  <c r="EE5" i="6"/>
  <c r="EE15" i="6" s="1"/>
  <c r="ED5" i="6"/>
  <c r="ED15" i="6" s="1"/>
  <c r="EC5" i="6"/>
  <c r="EB5" i="6"/>
  <c r="EB15" i="6" s="1"/>
  <c r="EA5" i="6"/>
  <c r="EA15" i="6" s="1"/>
  <c r="DZ5" i="6"/>
  <c r="DZ15" i="6" s="1"/>
  <c r="DY5" i="6"/>
  <c r="DY15" i="6" s="1"/>
  <c r="DX5" i="6"/>
  <c r="DX15" i="6" s="1"/>
  <c r="DW5" i="6"/>
  <c r="DW15" i="6" s="1"/>
  <c r="DV5" i="6"/>
  <c r="DV15" i="6" s="1"/>
  <c r="DU5" i="6"/>
  <c r="DT5" i="6"/>
  <c r="DT15" i="6" s="1"/>
  <c r="DS5" i="6"/>
  <c r="DS15" i="6" s="1"/>
  <c r="DR5" i="6"/>
  <c r="DR15" i="6" s="1"/>
  <c r="DQ5" i="6"/>
  <c r="DQ15" i="6" s="1"/>
  <c r="DP5" i="6"/>
  <c r="DP15" i="6" s="1"/>
  <c r="DO5" i="6"/>
  <c r="DO15" i="6" s="1"/>
  <c r="DN5" i="6"/>
  <c r="DN15" i="6" s="1"/>
  <c r="DM5" i="6"/>
  <c r="DL5" i="6"/>
  <c r="DL15" i="6" s="1"/>
  <c r="DK5" i="6"/>
  <c r="DK15" i="6" s="1"/>
  <c r="DJ5" i="6"/>
  <c r="DJ15" i="6" s="1"/>
  <c r="DI5" i="6"/>
  <c r="DI15" i="6" s="1"/>
  <c r="DH5" i="6"/>
  <c r="DH15" i="6" s="1"/>
  <c r="DG5" i="6"/>
  <c r="DG15" i="6" s="1"/>
  <c r="DF5" i="6"/>
  <c r="DF15" i="6" s="1"/>
  <c r="DE5" i="6"/>
  <c r="DD5" i="6"/>
  <c r="DD15" i="6" s="1"/>
  <c r="DC5" i="6"/>
  <c r="DC15" i="6" s="1"/>
  <c r="DB5" i="6"/>
  <c r="DB15" i="6" s="1"/>
  <c r="DA5" i="6"/>
  <c r="DA15" i="6" s="1"/>
  <c r="CZ5" i="6"/>
  <c r="CZ15" i="6" s="1"/>
  <c r="CY5" i="6"/>
  <c r="CY15" i="6" s="1"/>
  <c r="CX5" i="6"/>
  <c r="CX15" i="6" s="1"/>
  <c r="CW5" i="6"/>
  <c r="CV5" i="6"/>
  <c r="CV15" i="6" s="1"/>
  <c r="CU5" i="6"/>
  <c r="CU15" i="6" s="1"/>
  <c r="CT5" i="6"/>
  <c r="CT15" i="6" s="1"/>
  <c r="CS5" i="6"/>
  <c r="CS15" i="6" s="1"/>
  <c r="CR5" i="6"/>
  <c r="CR15" i="6" s="1"/>
  <c r="CQ5" i="6"/>
  <c r="CQ15" i="6" s="1"/>
  <c r="CP5" i="6"/>
  <c r="CP15" i="6" s="1"/>
  <c r="CO5" i="6"/>
  <c r="CN5" i="6"/>
  <c r="CN15" i="6" s="1"/>
  <c r="CM5" i="6"/>
  <c r="CM15" i="6" s="1"/>
  <c r="CL5" i="6"/>
  <c r="CL15" i="6" s="1"/>
  <c r="CK5" i="6"/>
  <c r="CK15" i="6" s="1"/>
  <c r="CJ5" i="6"/>
  <c r="CJ15" i="6" s="1"/>
  <c r="CI5" i="6"/>
  <c r="CI15" i="6" s="1"/>
  <c r="CH5" i="6"/>
  <c r="CH15" i="6" s="1"/>
  <c r="CG5" i="6"/>
  <c r="CF5" i="6"/>
  <c r="CF15" i="6" s="1"/>
  <c r="CE5" i="6"/>
  <c r="CE15" i="6" s="1"/>
  <c r="CD5" i="6"/>
  <c r="CD15" i="6" s="1"/>
  <c r="CC5" i="6"/>
  <c r="CC15" i="6" s="1"/>
  <c r="CB5" i="6"/>
  <c r="CB15" i="6" s="1"/>
  <c r="CA5" i="6"/>
  <c r="CA15" i="6" s="1"/>
  <c r="BZ5" i="6"/>
  <c r="BZ15" i="6" s="1"/>
  <c r="BY5" i="6"/>
  <c r="BX5" i="6"/>
  <c r="BX15" i="6" s="1"/>
  <c r="BW5" i="6"/>
  <c r="BW15" i="6" s="1"/>
  <c r="BV5" i="6"/>
  <c r="BV15" i="6" s="1"/>
  <c r="BU5" i="6"/>
  <c r="BU15" i="6" s="1"/>
  <c r="BT5" i="6"/>
  <c r="BT15" i="6" s="1"/>
  <c r="BS5" i="6"/>
  <c r="BS15" i="6" s="1"/>
  <c r="BR5" i="6"/>
  <c r="BR15" i="6" s="1"/>
  <c r="BQ5" i="6"/>
  <c r="BP5" i="6"/>
  <c r="BP15" i="6" s="1"/>
  <c r="BO5" i="6"/>
  <c r="BO15" i="6" s="1"/>
  <c r="BN5" i="6"/>
  <c r="BN15" i="6" s="1"/>
  <c r="BM5" i="6"/>
  <c r="BM15" i="6" s="1"/>
  <c r="BL5" i="6"/>
  <c r="BL15" i="6" s="1"/>
  <c r="BK5" i="6"/>
  <c r="BK15" i="6" s="1"/>
  <c r="BJ5" i="6"/>
  <c r="BJ15" i="6" s="1"/>
  <c r="BI5" i="6"/>
  <c r="BH5" i="6"/>
  <c r="BH15" i="6" s="1"/>
  <c r="BG5" i="6"/>
  <c r="BG15" i="6" s="1"/>
  <c r="BF5" i="6"/>
  <c r="BF15" i="6" s="1"/>
  <c r="BE5" i="6"/>
  <c r="BE15" i="6" s="1"/>
  <c r="BD5" i="6"/>
  <c r="BD15" i="6" s="1"/>
  <c r="BC5" i="6"/>
  <c r="BC15" i="6" s="1"/>
  <c r="BB5" i="6"/>
  <c r="BB15" i="6" s="1"/>
  <c r="BA5" i="6"/>
  <c r="AZ5" i="6"/>
  <c r="AZ15" i="6" s="1"/>
  <c r="AY5" i="6"/>
  <c r="AY15" i="6" s="1"/>
  <c r="AX5" i="6"/>
  <c r="AX15" i="6" s="1"/>
  <c r="AW5" i="6"/>
  <c r="AW15" i="6" s="1"/>
  <c r="AV5" i="6"/>
  <c r="AV15" i="6" s="1"/>
  <c r="AU5" i="6"/>
  <c r="AU15" i="6" s="1"/>
  <c r="AT5" i="6"/>
  <c r="AT15" i="6" s="1"/>
  <c r="AS5" i="6"/>
  <c r="AR5" i="6"/>
  <c r="AR15" i="6" s="1"/>
  <c r="AQ5" i="6"/>
  <c r="AQ15" i="6" s="1"/>
  <c r="AP5" i="6"/>
  <c r="AP15" i="6" s="1"/>
  <c r="AO5" i="6"/>
  <c r="AO15" i="6" s="1"/>
  <c r="AN5" i="6"/>
  <c r="AN15" i="6" s="1"/>
  <c r="AM5" i="6"/>
  <c r="AM15" i="6" s="1"/>
  <c r="AL5" i="6"/>
  <c r="AL15" i="6" s="1"/>
  <c r="AK5" i="6"/>
  <c r="AJ5" i="6"/>
  <c r="AJ15" i="6" s="1"/>
  <c r="AI5" i="6"/>
  <c r="AI15" i="6" s="1"/>
  <c r="AH5" i="6"/>
  <c r="AH15" i="6" s="1"/>
  <c r="AG5" i="6"/>
  <c r="AG15" i="6" s="1"/>
  <c r="AF5" i="6"/>
  <c r="AF15" i="6" s="1"/>
  <c r="AE5" i="6"/>
  <c r="AE15" i="6" s="1"/>
  <c r="AD5" i="6"/>
  <c r="AD15" i="6" s="1"/>
  <c r="AC5" i="6"/>
  <c r="AB5" i="6"/>
  <c r="AB15" i="6" s="1"/>
  <c r="AA5" i="6"/>
  <c r="AA15" i="6" s="1"/>
  <c r="Z5" i="6"/>
  <c r="Z15" i="6" s="1"/>
  <c r="Y5" i="6"/>
  <c r="Y15" i="6" s="1"/>
  <c r="X5" i="6"/>
  <c r="X15" i="6" s="1"/>
  <c r="W5" i="6"/>
  <c r="W15" i="6" s="1"/>
  <c r="V5" i="6"/>
  <c r="V15" i="6" s="1"/>
  <c r="U5" i="6"/>
  <c r="T5" i="6"/>
  <c r="T15" i="6" s="1"/>
  <c r="S5" i="6"/>
  <c r="S15" i="6" s="1"/>
  <c r="R5" i="6"/>
  <c r="R15" i="6" s="1"/>
  <c r="Q5" i="6"/>
  <c r="Q15" i="6" s="1"/>
  <c r="P5" i="6"/>
  <c r="P15" i="6" s="1"/>
  <c r="O5" i="6"/>
  <c r="O15" i="6" s="1"/>
  <c r="N5" i="6"/>
  <c r="N15" i="6" s="1"/>
  <c r="M5" i="6"/>
  <c r="L5" i="6"/>
  <c r="L15" i="6" s="1"/>
  <c r="K5" i="6"/>
  <c r="K15" i="6" s="1"/>
  <c r="J5" i="6"/>
  <c r="J15" i="6" s="1"/>
  <c r="I5" i="6"/>
  <c r="I15" i="6" s="1"/>
  <c r="H5" i="6"/>
  <c r="H15" i="6" s="1"/>
  <c r="G5" i="6"/>
  <c r="G15" i="6" s="1"/>
  <c r="F5" i="6"/>
  <c r="F15" i="6" s="1"/>
  <c r="E5" i="6"/>
  <c r="D5" i="6"/>
  <c r="D15" i="6" s="1"/>
  <c r="C5" i="6"/>
  <c r="C15" i="6" s="1"/>
  <c r="EF4" i="6"/>
  <c r="EF14" i="6" s="1"/>
  <c r="EE4" i="6"/>
  <c r="EE14" i="6" s="1"/>
  <c r="ED4" i="6"/>
  <c r="ED14" i="6" s="1"/>
  <c r="EC4" i="6"/>
  <c r="EC14" i="6" s="1"/>
  <c r="EB4" i="6"/>
  <c r="EB14" i="6" s="1"/>
  <c r="EA4" i="6"/>
  <c r="DZ4" i="6"/>
  <c r="DZ14" i="6" s="1"/>
  <c r="DY4" i="6"/>
  <c r="DY14" i="6" s="1"/>
  <c r="DX4" i="6"/>
  <c r="DX14" i="6" s="1"/>
  <c r="DW4" i="6"/>
  <c r="DW14" i="6" s="1"/>
  <c r="DV4" i="6"/>
  <c r="DV14" i="6" s="1"/>
  <c r="DU4" i="6"/>
  <c r="DU14" i="6" s="1"/>
  <c r="DT4" i="6"/>
  <c r="DT14" i="6" s="1"/>
  <c r="DS4" i="6"/>
  <c r="DR4" i="6"/>
  <c r="DR14" i="6" s="1"/>
  <c r="DQ4" i="6"/>
  <c r="DQ14" i="6" s="1"/>
  <c r="DP4" i="6"/>
  <c r="DP14" i="6" s="1"/>
  <c r="DO4" i="6"/>
  <c r="DO14" i="6" s="1"/>
  <c r="DN4" i="6"/>
  <c r="DN14" i="6" s="1"/>
  <c r="DM4" i="6"/>
  <c r="DM14" i="6" s="1"/>
  <c r="DL4" i="6"/>
  <c r="DL14" i="6" s="1"/>
  <c r="DK4" i="6"/>
  <c r="DJ4" i="6"/>
  <c r="DJ14" i="6" s="1"/>
  <c r="DI4" i="6"/>
  <c r="DI14" i="6" s="1"/>
  <c r="DH4" i="6"/>
  <c r="DH14" i="6" s="1"/>
  <c r="DG4" i="6"/>
  <c r="DG14" i="6" s="1"/>
  <c r="DF4" i="6"/>
  <c r="DF14" i="6" s="1"/>
  <c r="DE4" i="6"/>
  <c r="DE14" i="6" s="1"/>
  <c r="DD4" i="6"/>
  <c r="DD14" i="6" s="1"/>
  <c r="DC4" i="6"/>
  <c r="DB4" i="6"/>
  <c r="DB14" i="6" s="1"/>
  <c r="DA4" i="6"/>
  <c r="DA14" i="6" s="1"/>
  <c r="CZ4" i="6"/>
  <c r="CZ14" i="6" s="1"/>
  <c r="CY4" i="6"/>
  <c r="CY14" i="6" s="1"/>
  <c r="CX4" i="6"/>
  <c r="CX14" i="6" s="1"/>
  <c r="CW4" i="6"/>
  <c r="CW14" i="6" s="1"/>
  <c r="CV4" i="6"/>
  <c r="CV14" i="6" s="1"/>
  <c r="CU4" i="6"/>
  <c r="CT4" i="6"/>
  <c r="CT14" i="6" s="1"/>
  <c r="CS4" i="6"/>
  <c r="CS14" i="6" s="1"/>
  <c r="CR4" i="6"/>
  <c r="CR14" i="6" s="1"/>
  <c r="CQ4" i="6"/>
  <c r="CQ14" i="6" s="1"/>
  <c r="CP4" i="6"/>
  <c r="CP14" i="6" s="1"/>
  <c r="CO4" i="6"/>
  <c r="CO14" i="6" s="1"/>
  <c r="CN4" i="6"/>
  <c r="CN14" i="6" s="1"/>
  <c r="CM4" i="6"/>
  <c r="CL4" i="6"/>
  <c r="CL14" i="6" s="1"/>
  <c r="CK4" i="6"/>
  <c r="CK14" i="6" s="1"/>
  <c r="CJ4" i="6"/>
  <c r="CJ14" i="6" s="1"/>
  <c r="CI4" i="6"/>
  <c r="CI14" i="6" s="1"/>
  <c r="CH4" i="6"/>
  <c r="CH14" i="6" s="1"/>
  <c r="CG4" i="6"/>
  <c r="CG14" i="6" s="1"/>
  <c r="CF4" i="6"/>
  <c r="CF14" i="6" s="1"/>
  <c r="CE4" i="6"/>
  <c r="CD4" i="6"/>
  <c r="CD14" i="6" s="1"/>
  <c r="CC4" i="6"/>
  <c r="CC14" i="6" s="1"/>
  <c r="CB4" i="6"/>
  <c r="CB14" i="6" s="1"/>
  <c r="CA4" i="6"/>
  <c r="CA14" i="6" s="1"/>
  <c r="BZ4" i="6"/>
  <c r="BZ14" i="6" s="1"/>
  <c r="BY4" i="6"/>
  <c r="BY14" i="6" s="1"/>
  <c r="BX4" i="6"/>
  <c r="BX14" i="6" s="1"/>
  <c r="BW4" i="6"/>
  <c r="BV4" i="6"/>
  <c r="BV14" i="6" s="1"/>
  <c r="BU4" i="6"/>
  <c r="BU14" i="6" s="1"/>
  <c r="BT4" i="6"/>
  <c r="BT14" i="6" s="1"/>
  <c r="BS4" i="6"/>
  <c r="BS14" i="6" s="1"/>
  <c r="BR4" i="6"/>
  <c r="BR14" i="6" s="1"/>
  <c r="BQ4" i="6"/>
  <c r="BQ14" i="6" s="1"/>
  <c r="BP4" i="6"/>
  <c r="BP14" i="6" s="1"/>
  <c r="BO4" i="6"/>
  <c r="BN4" i="6"/>
  <c r="BN14" i="6" s="1"/>
  <c r="BM4" i="6"/>
  <c r="BM14" i="6" s="1"/>
  <c r="BL4" i="6"/>
  <c r="BL14" i="6" s="1"/>
  <c r="BK4" i="6"/>
  <c r="BK14" i="6" s="1"/>
  <c r="BJ4" i="6"/>
  <c r="BJ14" i="6" s="1"/>
  <c r="BI4" i="6"/>
  <c r="BI14" i="6" s="1"/>
  <c r="BH4" i="6"/>
  <c r="BH14" i="6" s="1"/>
  <c r="BG4" i="6"/>
  <c r="BF4" i="6"/>
  <c r="BF14" i="6" s="1"/>
  <c r="BE4" i="6"/>
  <c r="BE14" i="6" s="1"/>
  <c r="BD4" i="6"/>
  <c r="BD14" i="6" s="1"/>
  <c r="BC4" i="6"/>
  <c r="BC14" i="6" s="1"/>
  <c r="BB4" i="6"/>
  <c r="BB14" i="6" s="1"/>
  <c r="BA4" i="6"/>
  <c r="BA14" i="6" s="1"/>
  <c r="AZ4" i="6"/>
  <c r="AZ14" i="6" s="1"/>
  <c r="AY4" i="6"/>
  <c r="AX4" i="6"/>
  <c r="AX14" i="6" s="1"/>
  <c r="AW4" i="6"/>
  <c r="AW14" i="6" s="1"/>
  <c r="AV4" i="6"/>
  <c r="AV14" i="6" s="1"/>
  <c r="AU4" i="6"/>
  <c r="AU14" i="6" s="1"/>
  <c r="AT4" i="6"/>
  <c r="AT14" i="6" s="1"/>
  <c r="AS4" i="6"/>
  <c r="AS14" i="6" s="1"/>
  <c r="AR4" i="6"/>
  <c r="AR14" i="6" s="1"/>
  <c r="AQ4" i="6"/>
  <c r="AP4" i="6"/>
  <c r="AP14" i="6" s="1"/>
  <c r="AO4" i="6"/>
  <c r="AO14" i="6" s="1"/>
  <c r="AN4" i="6"/>
  <c r="AN14" i="6" s="1"/>
  <c r="AM4" i="6"/>
  <c r="AM14" i="6" s="1"/>
  <c r="AL4" i="6"/>
  <c r="AL14" i="6" s="1"/>
  <c r="AK4" i="6"/>
  <c r="AK14" i="6" s="1"/>
  <c r="AJ4" i="6"/>
  <c r="AJ14" i="6" s="1"/>
  <c r="AI4" i="6"/>
  <c r="AH4" i="6"/>
  <c r="AH14" i="6" s="1"/>
  <c r="AG4" i="6"/>
  <c r="AG14" i="6" s="1"/>
  <c r="AF4" i="6"/>
  <c r="AF14" i="6" s="1"/>
  <c r="AE4" i="6"/>
  <c r="AE14" i="6" s="1"/>
  <c r="AD4" i="6"/>
  <c r="AD14" i="6" s="1"/>
  <c r="AC4" i="6"/>
  <c r="AC14" i="6" s="1"/>
  <c r="AB4" i="6"/>
  <c r="AB14" i="6" s="1"/>
  <c r="AA4" i="6"/>
  <c r="Z4" i="6"/>
  <c r="Z14" i="6" s="1"/>
  <c r="Y4" i="6"/>
  <c r="Y14" i="6" s="1"/>
  <c r="X4" i="6"/>
  <c r="X14" i="6" s="1"/>
  <c r="W4" i="6"/>
  <c r="W14" i="6" s="1"/>
  <c r="V4" i="6"/>
  <c r="V14" i="6" s="1"/>
  <c r="U4" i="6"/>
  <c r="U14" i="6" s="1"/>
  <c r="T4" i="6"/>
  <c r="T14" i="6" s="1"/>
  <c r="S4" i="6"/>
  <c r="R4" i="6"/>
  <c r="R14" i="6" s="1"/>
  <c r="Q4" i="6"/>
  <c r="Q14" i="6" s="1"/>
  <c r="P4" i="6"/>
  <c r="P14" i="6" s="1"/>
  <c r="O4" i="6"/>
  <c r="O14" i="6" s="1"/>
  <c r="N4" i="6"/>
  <c r="N14" i="6" s="1"/>
  <c r="M4" i="6"/>
  <c r="M14" i="6" s="1"/>
  <c r="L4" i="6"/>
  <c r="L14" i="6" s="1"/>
  <c r="K4" i="6"/>
  <c r="J4" i="6"/>
  <c r="J14" i="6" s="1"/>
  <c r="I4" i="6"/>
  <c r="I14" i="6" s="1"/>
  <c r="H4" i="6"/>
  <c r="H14" i="6" s="1"/>
  <c r="G4" i="6"/>
  <c r="G14" i="6" s="1"/>
  <c r="F4" i="6"/>
  <c r="F14" i="6" s="1"/>
  <c r="E4" i="6"/>
  <c r="E14" i="6" s="1"/>
  <c r="D4" i="6"/>
  <c r="D14" i="6" s="1"/>
  <c r="C4" i="6"/>
  <c r="EF3" i="6"/>
  <c r="EF13" i="6" s="1"/>
  <c r="EE3" i="6"/>
  <c r="EE13" i="6" s="1"/>
  <c r="ED3" i="6"/>
  <c r="ED13" i="6" s="1"/>
  <c r="EC3" i="6"/>
  <c r="EC13" i="6" s="1"/>
  <c r="EB3" i="6"/>
  <c r="EB13" i="6" s="1"/>
  <c r="EA3" i="6"/>
  <c r="EA13" i="6" s="1"/>
  <c r="DZ3" i="6"/>
  <c r="DZ13" i="6" s="1"/>
  <c r="DY3" i="6"/>
  <c r="DX3" i="6"/>
  <c r="DX13" i="6" s="1"/>
  <c r="DW3" i="6"/>
  <c r="DW13" i="6" s="1"/>
  <c r="DV3" i="6"/>
  <c r="DV13" i="6" s="1"/>
  <c r="DU3" i="6"/>
  <c r="DU13" i="6" s="1"/>
  <c r="DT3" i="6"/>
  <c r="DT13" i="6" s="1"/>
  <c r="DS3" i="6"/>
  <c r="DS13" i="6" s="1"/>
  <c r="DR3" i="6"/>
  <c r="DR13" i="6" s="1"/>
  <c r="DQ3" i="6"/>
  <c r="DP3" i="6"/>
  <c r="DP13" i="6" s="1"/>
  <c r="DO3" i="6"/>
  <c r="DO13" i="6" s="1"/>
  <c r="DN3" i="6"/>
  <c r="DN13" i="6" s="1"/>
  <c r="DM3" i="6"/>
  <c r="DM13" i="6" s="1"/>
  <c r="DL3" i="6"/>
  <c r="DL13" i="6" s="1"/>
  <c r="DK3" i="6"/>
  <c r="DK13" i="6" s="1"/>
  <c r="DJ3" i="6"/>
  <c r="DJ13" i="6" s="1"/>
  <c r="DI3" i="6"/>
  <c r="DH3" i="6"/>
  <c r="DH13" i="6" s="1"/>
  <c r="DG3" i="6"/>
  <c r="DG13" i="6" s="1"/>
  <c r="DF3" i="6"/>
  <c r="DF13" i="6" s="1"/>
  <c r="DE3" i="6"/>
  <c r="DE13" i="6" s="1"/>
  <c r="DD3" i="6"/>
  <c r="DD13" i="6" s="1"/>
  <c r="DC3" i="6"/>
  <c r="DC13" i="6" s="1"/>
  <c r="DB3" i="6"/>
  <c r="DB13" i="6" s="1"/>
  <c r="DA3" i="6"/>
  <c r="CZ3" i="6"/>
  <c r="CZ13" i="6" s="1"/>
  <c r="CY3" i="6"/>
  <c r="CY13" i="6" s="1"/>
  <c r="CX3" i="6"/>
  <c r="CX13" i="6" s="1"/>
  <c r="CW3" i="6"/>
  <c r="CW13" i="6" s="1"/>
  <c r="CV3" i="6"/>
  <c r="CV13" i="6" s="1"/>
  <c r="CU3" i="6"/>
  <c r="CU13" i="6" s="1"/>
  <c r="CT3" i="6"/>
  <c r="CT13" i="6" s="1"/>
  <c r="CS3" i="6"/>
  <c r="CR3" i="6"/>
  <c r="CR13" i="6" s="1"/>
  <c r="CQ3" i="6"/>
  <c r="CQ13" i="6" s="1"/>
  <c r="CP3" i="6"/>
  <c r="CP13" i="6" s="1"/>
  <c r="CO3" i="6"/>
  <c r="CO13" i="6" s="1"/>
  <c r="CN3" i="6"/>
  <c r="CN13" i="6" s="1"/>
  <c r="CM3" i="6"/>
  <c r="CM13" i="6" s="1"/>
  <c r="CL3" i="6"/>
  <c r="CL13" i="6" s="1"/>
  <c r="CK3" i="6"/>
  <c r="CJ3" i="6"/>
  <c r="CJ13" i="6" s="1"/>
  <c r="CI3" i="6"/>
  <c r="CI13" i="6" s="1"/>
  <c r="CH3" i="6"/>
  <c r="CH13" i="6" s="1"/>
  <c r="CG3" i="6"/>
  <c r="CG13" i="6" s="1"/>
  <c r="CF3" i="6"/>
  <c r="CF13" i="6" s="1"/>
  <c r="CE3" i="6"/>
  <c r="CE13" i="6" s="1"/>
  <c r="CD3" i="6"/>
  <c r="CD13" i="6" s="1"/>
  <c r="CC3" i="6"/>
  <c r="CB3" i="6"/>
  <c r="CB13" i="6" s="1"/>
  <c r="CA3" i="6"/>
  <c r="CA13" i="6" s="1"/>
  <c r="BZ3" i="6"/>
  <c r="BZ13" i="6" s="1"/>
  <c r="BY3" i="6"/>
  <c r="BY13" i="6" s="1"/>
  <c r="BX3" i="6"/>
  <c r="BX13" i="6" s="1"/>
  <c r="BW3" i="6"/>
  <c r="BW13" i="6" s="1"/>
  <c r="BV3" i="6"/>
  <c r="BV13" i="6" s="1"/>
  <c r="BU3" i="6"/>
  <c r="BT3" i="6"/>
  <c r="BT13" i="6" s="1"/>
  <c r="BS3" i="6"/>
  <c r="BS13" i="6" s="1"/>
  <c r="BR3" i="6"/>
  <c r="BR13" i="6" s="1"/>
  <c r="BQ3" i="6"/>
  <c r="BQ13" i="6" s="1"/>
  <c r="BP3" i="6"/>
  <c r="BP13" i="6" s="1"/>
  <c r="BO3" i="6"/>
  <c r="BN3" i="6"/>
  <c r="BN13" i="6" s="1"/>
  <c r="BM3" i="6"/>
  <c r="BM13" i="6" s="1"/>
  <c r="BL3" i="6"/>
  <c r="BL13" i="6" s="1"/>
  <c r="BK3" i="6"/>
  <c r="BK13" i="6" s="1"/>
  <c r="BJ3" i="6"/>
  <c r="BI3" i="6"/>
  <c r="BI13" i="6" s="1"/>
  <c r="BH3" i="6"/>
  <c r="BH13" i="6" s="1"/>
  <c r="BG3" i="6"/>
  <c r="BG13" i="6" s="1"/>
  <c r="BF3" i="6"/>
  <c r="BE3" i="6"/>
  <c r="BE13" i="6" s="1"/>
  <c r="BD3" i="6"/>
  <c r="BD13" i="6" s="1"/>
  <c r="BC3" i="6"/>
  <c r="BC13" i="6" s="1"/>
  <c r="BB3" i="6"/>
  <c r="BA3" i="6"/>
  <c r="BA13" i="6" s="1"/>
  <c r="AZ3" i="6"/>
  <c r="AZ13" i="6" s="1"/>
  <c r="AY3" i="6"/>
  <c r="AY13" i="6" s="1"/>
  <c r="AX3" i="6"/>
  <c r="AW3" i="6"/>
  <c r="AW13" i="6" s="1"/>
  <c r="AV3" i="6"/>
  <c r="AV13" i="6" s="1"/>
  <c r="AU3" i="6"/>
  <c r="AU13" i="6" s="1"/>
  <c r="AT3" i="6"/>
  <c r="AS3" i="6"/>
  <c r="AS13" i="6" s="1"/>
  <c r="AR3" i="6"/>
  <c r="AR13" i="6" s="1"/>
  <c r="AQ3" i="6"/>
  <c r="AQ13" i="6" s="1"/>
  <c r="AP3" i="6"/>
  <c r="AO3" i="6"/>
  <c r="AO13" i="6" s="1"/>
  <c r="AN3" i="6"/>
  <c r="AN13" i="6" s="1"/>
  <c r="AM3" i="6"/>
  <c r="AM13" i="6" s="1"/>
  <c r="AL3" i="6"/>
  <c r="AK3" i="6"/>
  <c r="AK13" i="6" s="1"/>
  <c r="AJ3" i="6"/>
  <c r="AJ13" i="6" s="1"/>
  <c r="AI3" i="6"/>
  <c r="AI13" i="6" s="1"/>
  <c r="AH3" i="6"/>
  <c r="AG3" i="6"/>
  <c r="AG13" i="6" s="1"/>
  <c r="AF3" i="6"/>
  <c r="AF13" i="6" s="1"/>
  <c r="AE3" i="6"/>
  <c r="AE13" i="6" s="1"/>
  <c r="AD3" i="6"/>
  <c r="AC3" i="6"/>
  <c r="AC13" i="6" s="1"/>
  <c r="AB3" i="6"/>
  <c r="AB13" i="6" s="1"/>
  <c r="AA3" i="6"/>
  <c r="AA13" i="6" s="1"/>
  <c r="Z3" i="6"/>
  <c r="Y3" i="6"/>
  <c r="Y13" i="6" s="1"/>
  <c r="X3" i="6"/>
  <c r="X13" i="6" s="1"/>
  <c r="W3" i="6"/>
  <c r="W13" i="6" s="1"/>
  <c r="V3" i="6"/>
  <c r="U3" i="6"/>
  <c r="U13" i="6" s="1"/>
  <c r="T3" i="6"/>
  <c r="T13" i="6" s="1"/>
  <c r="S3" i="6"/>
  <c r="S13" i="6" s="1"/>
  <c r="R3" i="6"/>
  <c r="Q3" i="6"/>
  <c r="Q13" i="6" s="1"/>
  <c r="P3" i="6"/>
  <c r="P13" i="6" s="1"/>
  <c r="O3" i="6"/>
  <c r="O13" i="6" s="1"/>
  <c r="N3" i="6"/>
  <c r="M3" i="6"/>
  <c r="M13" i="6" s="1"/>
  <c r="L3" i="6"/>
  <c r="L13" i="6" s="1"/>
  <c r="K3" i="6"/>
  <c r="K13" i="6" s="1"/>
  <c r="J3" i="6"/>
  <c r="I3" i="6"/>
  <c r="I13" i="6" s="1"/>
  <c r="H3" i="6"/>
  <c r="H13" i="6" s="1"/>
  <c r="G3" i="6"/>
  <c r="G13" i="6" s="1"/>
  <c r="F3" i="6"/>
  <c r="E3" i="6"/>
  <c r="E13" i="6" s="1"/>
  <c r="D3" i="6"/>
  <c r="D13" i="6" s="1"/>
  <c r="C3" i="6"/>
  <c r="C13" i="6" s="1"/>
  <c r="A1" i="6"/>
  <c r="EH26" i="5"/>
  <c r="EG26" i="5"/>
  <c r="EF24" i="5"/>
  <c r="EE24" i="5"/>
  <c r="ED24" i="5"/>
  <c r="EC24" i="5"/>
  <c r="EB24" i="5"/>
  <c r="EA24" i="5"/>
  <c r="DZ24" i="5"/>
  <c r="DY24" i="5"/>
  <c r="DX24" i="5"/>
  <c r="DW24" i="5"/>
  <c r="DV24" i="5"/>
  <c r="DU24" i="5"/>
  <c r="DT24" i="5"/>
  <c r="DS24" i="5"/>
  <c r="DR24" i="5"/>
  <c r="DQ24" i="5"/>
  <c r="DP24" i="5"/>
  <c r="DO24" i="5"/>
  <c r="DN24" i="5"/>
  <c r="DM24" i="5"/>
  <c r="DL24" i="5"/>
  <c r="DK24" i="5"/>
  <c r="DJ24" i="5"/>
  <c r="DI24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K24" i="5"/>
  <c r="CJ24" i="5"/>
  <c r="CI24" i="5"/>
  <c r="CH24" i="5"/>
  <c r="CG24" i="5"/>
  <c r="CF24" i="5"/>
  <c r="CE24" i="5"/>
  <c r="CD24" i="5"/>
  <c r="CC24" i="5"/>
  <c r="CB24" i="5"/>
  <c r="CA24" i="5"/>
  <c r="BZ24" i="5"/>
  <c r="BY24" i="5"/>
  <c r="BX24" i="5"/>
  <c r="BW24" i="5"/>
  <c r="BV24" i="5"/>
  <c r="BU24" i="5"/>
  <c r="BT24" i="5"/>
  <c r="BS24" i="5"/>
  <c r="BR24" i="5"/>
  <c r="BQ24" i="5"/>
  <c r="BP24" i="5"/>
  <c r="BO24" i="5"/>
  <c r="BN24" i="5"/>
  <c r="BM24" i="5"/>
  <c r="BL24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EG24" i="5" s="1"/>
  <c r="D24" i="5"/>
  <c r="C24" i="5"/>
  <c r="B24" i="5"/>
  <c r="A24" i="5"/>
  <c r="EF23" i="5"/>
  <c r="EE23" i="5"/>
  <c r="ED23" i="5"/>
  <c r="EC23" i="5"/>
  <c r="EB23" i="5"/>
  <c r="EA23" i="5"/>
  <c r="DZ23" i="5"/>
  <c r="DY23" i="5"/>
  <c r="DX23" i="5"/>
  <c r="DW23" i="5"/>
  <c r="DV23" i="5"/>
  <c r="DU23" i="5"/>
  <c r="DT23" i="5"/>
  <c r="DS23" i="5"/>
  <c r="DR23" i="5"/>
  <c r="DQ23" i="5"/>
  <c r="DP23" i="5"/>
  <c r="DO23" i="5"/>
  <c r="DN23" i="5"/>
  <c r="DM23" i="5"/>
  <c r="DL23" i="5"/>
  <c r="DK23" i="5"/>
  <c r="DJ23" i="5"/>
  <c r="DI23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K23" i="5"/>
  <c r="CJ23" i="5"/>
  <c r="CI23" i="5"/>
  <c r="CH23" i="5"/>
  <c r="CG23" i="5"/>
  <c r="CF23" i="5"/>
  <c r="CE23" i="5"/>
  <c r="CD23" i="5"/>
  <c r="CC23" i="5"/>
  <c r="CB23" i="5"/>
  <c r="CA23" i="5"/>
  <c r="BZ23" i="5"/>
  <c r="BY23" i="5"/>
  <c r="BX23" i="5"/>
  <c r="BW23" i="5"/>
  <c r="BV23" i="5"/>
  <c r="BU23" i="5"/>
  <c r="BT23" i="5"/>
  <c r="BS23" i="5"/>
  <c r="BR23" i="5"/>
  <c r="BQ23" i="5"/>
  <c r="BP23" i="5"/>
  <c r="BO23" i="5"/>
  <c r="BN23" i="5"/>
  <c r="BM23" i="5"/>
  <c r="BL23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EH23" i="5" s="1"/>
  <c r="B23" i="5"/>
  <c r="A23" i="5"/>
  <c r="EF22" i="5"/>
  <c r="EE22" i="5"/>
  <c r="ED22" i="5"/>
  <c r="EC22" i="5"/>
  <c r="EB22" i="5"/>
  <c r="EA22" i="5"/>
  <c r="DZ22" i="5"/>
  <c r="DY22" i="5"/>
  <c r="DX22" i="5"/>
  <c r="DW22" i="5"/>
  <c r="DV22" i="5"/>
  <c r="DU22" i="5"/>
  <c r="DT22" i="5"/>
  <c r="DS22" i="5"/>
  <c r="DR22" i="5"/>
  <c r="DQ22" i="5"/>
  <c r="DP22" i="5"/>
  <c r="DO22" i="5"/>
  <c r="DN22" i="5"/>
  <c r="DM22" i="5"/>
  <c r="DL22" i="5"/>
  <c r="DK22" i="5"/>
  <c r="DJ22" i="5"/>
  <c r="DI22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K22" i="5"/>
  <c r="CJ22" i="5"/>
  <c r="CI22" i="5"/>
  <c r="CH22" i="5"/>
  <c r="CG22" i="5"/>
  <c r="CF22" i="5"/>
  <c r="CE22" i="5"/>
  <c r="CD22" i="5"/>
  <c r="CC22" i="5"/>
  <c r="CB22" i="5"/>
  <c r="CA22" i="5"/>
  <c r="BZ22" i="5"/>
  <c r="BY22" i="5"/>
  <c r="BX22" i="5"/>
  <c r="BW22" i="5"/>
  <c r="BV22" i="5"/>
  <c r="BU22" i="5"/>
  <c r="BT22" i="5"/>
  <c r="BS22" i="5"/>
  <c r="BR22" i="5"/>
  <c r="BQ22" i="5"/>
  <c r="BP22" i="5"/>
  <c r="BO22" i="5"/>
  <c r="BN22" i="5"/>
  <c r="BM22" i="5"/>
  <c r="BL22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A22" i="5"/>
  <c r="EH21" i="5"/>
  <c r="EF21" i="5"/>
  <c r="EE21" i="5"/>
  <c r="ED21" i="5"/>
  <c r="EC21" i="5"/>
  <c r="EB21" i="5"/>
  <c r="EA21" i="5"/>
  <c r="DZ21" i="5"/>
  <c r="DY21" i="5"/>
  <c r="DX21" i="5"/>
  <c r="DW21" i="5"/>
  <c r="DV21" i="5"/>
  <c r="DU21" i="5"/>
  <c r="DT21" i="5"/>
  <c r="DS21" i="5"/>
  <c r="DR21" i="5"/>
  <c r="DQ21" i="5"/>
  <c r="DP21" i="5"/>
  <c r="DO21" i="5"/>
  <c r="DN21" i="5"/>
  <c r="DM21" i="5"/>
  <c r="DL21" i="5"/>
  <c r="DK21" i="5"/>
  <c r="DJ21" i="5"/>
  <c r="DI21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K21" i="5"/>
  <c r="CJ21" i="5"/>
  <c r="CI21" i="5"/>
  <c r="CH21" i="5"/>
  <c r="CG21" i="5"/>
  <c r="CF21" i="5"/>
  <c r="CE21" i="5"/>
  <c r="CD21" i="5"/>
  <c r="CC21" i="5"/>
  <c r="CB21" i="5"/>
  <c r="CA21" i="5"/>
  <c r="BZ21" i="5"/>
  <c r="BY21" i="5"/>
  <c r="BX21" i="5"/>
  <c r="BW21" i="5"/>
  <c r="BV21" i="5"/>
  <c r="BU21" i="5"/>
  <c r="BT21" i="5"/>
  <c r="BS21" i="5"/>
  <c r="BR21" i="5"/>
  <c r="BQ21" i="5"/>
  <c r="BP21" i="5"/>
  <c r="BO21" i="5"/>
  <c r="BN21" i="5"/>
  <c r="BM21" i="5"/>
  <c r="BL21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EG21" i="5" s="1"/>
  <c r="EI21" i="5" s="1"/>
  <c r="D21" i="5"/>
  <c r="C21" i="5"/>
  <c r="B21" i="5"/>
  <c r="A21" i="5"/>
  <c r="EF20" i="5"/>
  <c r="EE20" i="5"/>
  <c r="ED20" i="5"/>
  <c r="EC20" i="5"/>
  <c r="EB20" i="5"/>
  <c r="EA20" i="5"/>
  <c r="DZ20" i="5"/>
  <c r="DY20" i="5"/>
  <c r="DX20" i="5"/>
  <c r="DW20" i="5"/>
  <c r="DV20" i="5"/>
  <c r="DU20" i="5"/>
  <c r="DT20" i="5"/>
  <c r="DS20" i="5"/>
  <c r="DR20" i="5"/>
  <c r="DQ20" i="5"/>
  <c r="DP20" i="5"/>
  <c r="DO20" i="5"/>
  <c r="DN20" i="5"/>
  <c r="DM20" i="5"/>
  <c r="DL20" i="5"/>
  <c r="DK20" i="5"/>
  <c r="DJ20" i="5"/>
  <c r="DI20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K20" i="5"/>
  <c r="CJ20" i="5"/>
  <c r="CI20" i="5"/>
  <c r="CH20" i="5"/>
  <c r="CG20" i="5"/>
  <c r="CF20" i="5"/>
  <c r="CE20" i="5"/>
  <c r="CD20" i="5"/>
  <c r="CC20" i="5"/>
  <c r="CB20" i="5"/>
  <c r="CA20" i="5"/>
  <c r="BZ20" i="5"/>
  <c r="BY20" i="5"/>
  <c r="BX20" i="5"/>
  <c r="BW20" i="5"/>
  <c r="BV20" i="5"/>
  <c r="BU20" i="5"/>
  <c r="BT20" i="5"/>
  <c r="BS20" i="5"/>
  <c r="BR20" i="5"/>
  <c r="BQ20" i="5"/>
  <c r="BP20" i="5"/>
  <c r="BO20" i="5"/>
  <c r="BN20" i="5"/>
  <c r="BM20" i="5"/>
  <c r="BL20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EG20" i="5" s="1"/>
  <c r="D20" i="5"/>
  <c r="C20" i="5"/>
  <c r="B20" i="5"/>
  <c r="A20" i="5"/>
  <c r="EF19" i="5"/>
  <c r="EE19" i="5"/>
  <c r="ED19" i="5"/>
  <c r="EC19" i="5"/>
  <c r="EB19" i="5"/>
  <c r="EA19" i="5"/>
  <c r="DZ19" i="5"/>
  <c r="DY19" i="5"/>
  <c r="DX19" i="5"/>
  <c r="DW19" i="5"/>
  <c r="DV19" i="5"/>
  <c r="DU19" i="5"/>
  <c r="DT19" i="5"/>
  <c r="DS19" i="5"/>
  <c r="DR19" i="5"/>
  <c r="DQ19" i="5"/>
  <c r="DP19" i="5"/>
  <c r="DO19" i="5"/>
  <c r="DN19" i="5"/>
  <c r="DM19" i="5"/>
  <c r="DL19" i="5"/>
  <c r="DK19" i="5"/>
  <c r="DJ19" i="5"/>
  <c r="DI19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K19" i="5"/>
  <c r="CJ19" i="5"/>
  <c r="CI19" i="5"/>
  <c r="CH19" i="5"/>
  <c r="CG19" i="5"/>
  <c r="CF19" i="5"/>
  <c r="CE19" i="5"/>
  <c r="CD19" i="5"/>
  <c r="CC19" i="5"/>
  <c r="CB19" i="5"/>
  <c r="CA19" i="5"/>
  <c r="BZ19" i="5"/>
  <c r="BY19" i="5"/>
  <c r="BX19" i="5"/>
  <c r="BW19" i="5"/>
  <c r="BV19" i="5"/>
  <c r="BU19" i="5"/>
  <c r="BT19" i="5"/>
  <c r="BS19" i="5"/>
  <c r="BR19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19" i="5"/>
  <c r="EF18" i="5"/>
  <c r="EE18" i="5"/>
  <c r="ED18" i="5"/>
  <c r="EC18" i="5"/>
  <c r="EB18" i="5"/>
  <c r="EA18" i="5"/>
  <c r="DZ18" i="5"/>
  <c r="DY18" i="5"/>
  <c r="DX18" i="5"/>
  <c r="DW18" i="5"/>
  <c r="DV18" i="5"/>
  <c r="DU18" i="5"/>
  <c r="DT18" i="5"/>
  <c r="DS18" i="5"/>
  <c r="DR18" i="5"/>
  <c r="DQ18" i="5"/>
  <c r="DP18" i="5"/>
  <c r="DO18" i="5"/>
  <c r="DN18" i="5"/>
  <c r="DM18" i="5"/>
  <c r="DL18" i="5"/>
  <c r="DK18" i="5"/>
  <c r="DJ18" i="5"/>
  <c r="DI18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K18" i="5"/>
  <c r="CJ18" i="5"/>
  <c r="CI18" i="5"/>
  <c r="CH18" i="5"/>
  <c r="CG18" i="5"/>
  <c r="CF18" i="5"/>
  <c r="CE18" i="5"/>
  <c r="CD18" i="5"/>
  <c r="CC18" i="5"/>
  <c r="CB18" i="5"/>
  <c r="CA18" i="5"/>
  <c r="BZ18" i="5"/>
  <c r="BY18" i="5"/>
  <c r="BX18" i="5"/>
  <c r="BW18" i="5"/>
  <c r="BV18" i="5"/>
  <c r="BU18" i="5"/>
  <c r="BT18" i="5"/>
  <c r="BS18" i="5"/>
  <c r="BR18" i="5"/>
  <c r="BQ18" i="5"/>
  <c r="BP18" i="5"/>
  <c r="BO18" i="5"/>
  <c r="BN18" i="5"/>
  <c r="BM18" i="5"/>
  <c r="BL18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18" i="5"/>
  <c r="EF17" i="5"/>
  <c r="EE17" i="5"/>
  <c r="ED17" i="5"/>
  <c r="EC17" i="5"/>
  <c r="EB17" i="5"/>
  <c r="EA17" i="5"/>
  <c r="DZ17" i="5"/>
  <c r="DY17" i="5"/>
  <c r="DX17" i="5"/>
  <c r="DW17" i="5"/>
  <c r="DV17" i="5"/>
  <c r="DU17" i="5"/>
  <c r="DT17" i="5"/>
  <c r="DS17" i="5"/>
  <c r="DR17" i="5"/>
  <c r="DQ17" i="5"/>
  <c r="DP17" i="5"/>
  <c r="DO17" i="5"/>
  <c r="DN17" i="5"/>
  <c r="DM17" i="5"/>
  <c r="DL17" i="5"/>
  <c r="DK17" i="5"/>
  <c r="DJ17" i="5"/>
  <c r="DI17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K17" i="5"/>
  <c r="CJ17" i="5"/>
  <c r="CI17" i="5"/>
  <c r="CH17" i="5"/>
  <c r="CG17" i="5"/>
  <c r="CF17" i="5"/>
  <c r="CE17" i="5"/>
  <c r="CD17" i="5"/>
  <c r="CC17" i="5"/>
  <c r="CB17" i="5"/>
  <c r="CA17" i="5"/>
  <c r="BZ17" i="5"/>
  <c r="BY17" i="5"/>
  <c r="BX17" i="5"/>
  <c r="BW17" i="5"/>
  <c r="BV17" i="5"/>
  <c r="BU17" i="5"/>
  <c r="BT17" i="5"/>
  <c r="BS17" i="5"/>
  <c r="BR17" i="5"/>
  <c r="BQ17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EH17" i="5" s="1"/>
  <c r="D17" i="5"/>
  <c r="C17" i="5"/>
  <c r="B17" i="5"/>
  <c r="A17" i="5"/>
  <c r="EF16" i="5"/>
  <c r="EE16" i="5"/>
  <c r="ED16" i="5"/>
  <c r="EC16" i="5"/>
  <c r="EB16" i="5"/>
  <c r="EA16" i="5"/>
  <c r="DZ16" i="5"/>
  <c r="DY16" i="5"/>
  <c r="DX16" i="5"/>
  <c r="DW16" i="5"/>
  <c r="DV16" i="5"/>
  <c r="DU16" i="5"/>
  <c r="DT16" i="5"/>
  <c r="DS16" i="5"/>
  <c r="DR16" i="5"/>
  <c r="DQ16" i="5"/>
  <c r="DP16" i="5"/>
  <c r="DO16" i="5"/>
  <c r="DN16" i="5"/>
  <c r="DM16" i="5"/>
  <c r="DL16" i="5"/>
  <c r="DK16" i="5"/>
  <c r="DJ16" i="5"/>
  <c r="DI16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K16" i="5"/>
  <c r="CJ16" i="5"/>
  <c r="CI16" i="5"/>
  <c r="CH16" i="5"/>
  <c r="CG16" i="5"/>
  <c r="CF16" i="5"/>
  <c r="CE16" i="5"/>
  <c r="CD16" i="5"/>
  <c r="CC16" i="5"/>
  <c r="CB16" i="5"/>
  <c r="CA16" i="5"/>
  <c r="BZ16" i="5"/>
  <c r="BY16" i="5"/>
  <c r="BX16" i="5"/>
  <c r="BW16" i="5"/>
  <c r="BV16" i="5"/>
  <c r="BU16" i="5"/>
  <c r="BT16" i="5"/>
  <c r="BS16" i="5"/>
  <c r="BR16" i="5"/>
  <c r="BQ16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EG16" i="5" s="1"/>
  <c r="D16" i="5"/>
  <c r="C16" i="5"/>
  <c r="B16" i="5"/>
  <c r="A16" i="5"/>
  <c r="EF15" i="5"/>
  <c r="EE15" i="5"/>
  <c r="ED15" i="5"/>
  <c r="EC15" i="5"/>
  <c r="EB15" i="5"/>
  <c r="EA15" i="5"/>
  <c r="DZ15" i="5"/>
  <c r="DY15" i="5"/>
  <c r="DX15" i="5"/>
  <c r="DW15" i="5"/>
  <c r="DV15" i="5"/>
  <c r="DU15" i="5"/>
  <c r="DT15" i="5"/>
  <c r="DS15" i="5"/>
  <c r="DR15" i="5"/>
  <c r="DQ15" i="5"/>
  <c r="DP15" i="5"/>
  <c r="DO15" i="5"/>
  <c r="DN15" i="5"/>
  <c r="DM15" i="5"/>
  <c r="DL15" i="5"/>
  <c r="DK15" i="5"/>
  <c r="DJ15" i="5"/>
  <c r="DI15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K15" i="5"/>
  <c r="CJ15" i="5"/>
  <c r="CI15" i="5"/>
  <c r="CH15" i="5"/>
  <c r="CG15" i="5"/>
  <c r="CF15" i="5"/>
  <c r="CE15" i="5"/>
  <c r="CD15" i="5"/>
  <c r="CC15" i="5"/>
  <c r="CB15" i="5"/>
  <c r="CA15" i="5"/>
  <c r="BZ15" i="5"/>
  <c r="BY15" i="5"/>
  <c r="BX15" i="5"/>
  <c r="BW15" i="5"/>
  <c r="BV15" i="5"/>
  <c r="BU15" i="5"/>
  <c r="BT15" i="5"/>
  <c r="BS15" i="5"/>
  <c r="BR15" i="5"/>
  <c r="BQ15" i="5"/>
  <c r="BP15" i="5"/>
  <c r="BO15" i="5"/>
  <c r="BN15" i="5"/>
  <c r="BM15" i="5"/>
  <c r="BL15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15" i="5"/>
  <c r="EH14" i="5"/>
  <c r="EF14" i="5"/>
  <c r="EE14" i="5"/>
  <c r="ED14" i="5"/>
  <c r="EC14" i="5"/>
  <c r="EB14" i="5"/>
  <c r="EA14" i="5"/>
  <c r="DZ14" i="5"/>
  <c r="DY14" i="5"/>
  <c r="DX14" i="5"/>
  <c r="DW14" i="5"/>
  <c r="DV14" i="5"/>
  <c r="DU14" i="5"/>
  <c r="DT14" i="5"/>
  <c r="DS14" i="5"/>
  <c r="DR14" i="5"/>
  <c r="DQ14" i="5"/>
  <c r="DP14" i="5"/>
  <c r="DO14" i="5"/>
  <c r="DN14" i="5"/>
  <c r="DM14" i="5"/>
  <c r="DL14" i="5"/>
  <c r="DK14" i="5"/>
  <c r="DJ14" i="5"/>
  <c r="DI14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K14" i="5"/>
  <c r="CJ14" i="5"/>
  <c r="CI14" i="5"/>
  <c r="CH14" i="5"/>
  <c r="CG14" i="5"/>
  <c r="CF14" i="5"/>
  <c r="CE14" i="5"/>
  <c r="CD14" i="5"/>
  <c r="CC14" i="5"/>
  <c r="CB14" i="5"/>
  <c r="CA14" i="5"/>
  <c r="BZ14" i="5"/>
  <c r="BY14" i="5"/>
  <c r="BX14" i="5"/>
  <c r="BW14" i="5"/>
  <c r="BV14" i="5"/>
  <c r="BU14" i="5"/>
  <c r="BT14" i="5"/>
  <c r="BS14" i="5"/>
  <c r="BR14" i="5"/>
  <c r="BQ14" i="5"/>
  <c r="BP14" i="5"/>
  <c r="BO14" i="5"/>
  <c r="BN14" i="5"/>
  <c r="BM14" i="5"/>
  <c r="BL14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EF13" i="5"/>
  <c r="EE13" i="5"/>
  <c r="ED13" i="5"/>
  <c r="EC13" i="5"/>
  <c r="EB13" i="5"/>
  <c r="EA13" i="5"/>
  <c r="DZ13" i="5"/>
  <c r="DY13" i="5"/>
  <c r="DX13" i="5"/>
  <c r="DW13" i="5"/>
  <c r="DV13" i="5"/>
  <c r="DU13" i="5"/>
  <c r="DT13" i="5"/>
  <c r="DS13" i="5"/>
  <c r="DR13" i="5"/>
  <c r="DQ13" i="5"/>
  <c r="DP13" i="5"/>
  <c r="DO13" i="5"/>
  <c r="DN13" i="5"/>
  <c r="DM13" i="5"/>
  <c r="DL13" i="5"/>
  <c r="DK13" i="5"/>
  <c r="DJ13" i="5"/>
  <c r="DI13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K13" i="5"/>
  <c r="CJ13" i="5"/>
  <c r="CI13" i="5"/>
  <c r="CH13" i="5"/>
  <c r="CG13" i="5"/>
  <c r="CF13" i="5"/>
  <c r="CE13" i="5"/>
  <c r="CD13" i="5"/>
  <c r="CC13" i="5"/>
  <c r="CB13" i="5"/>
  <c r="CA13" i="5"/>
  <c r="BZ13" i="5"/>
  <c r="BY13" i="5"/>
  <c r="BX13" i="5"/>
  <c r="BW13" i="5"/>
  <c r="BV13" i="5"/>
  <c r="BU13" i="5"/>
  <c r="BT13" i="5"/>
  <c r="BS13" i="5"/>
  <c r="BR13" i="5"/>
  <c r="BQ13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H13" i="5" s="1"/>
  <c r="E13" i="5"/>
  <c r="D13" i="5"/>
  <c r="C13" i="5"/>
  <c r="B13" i="5"/>
  <c r="A13" i="5"/>
  <c r="EF12" i="5"/>
  <c r="EE12" i="5"/>
  <c r="ED12" i="5"/>
  <c r="EC12" i="5"/>
  <c r="EB12" i="5"/>
  <c r="EA12" i="5"/>
  <c r="DZ12" i="5"/>
  <c r="DY12" i="5"/>
  <c r="DX12" i="5"/>
  <c r="DW12" i="5"/>
  <c r="DV12" i="5"/>
  <c r="DU12" i="5"/>
  <c r="DT12" i="5"/>
  <c r="DS12" i="5"/>
  <c r="DR12" i="5"/>
  <c r="DQ12" i="5"/>
  <c r="DP12" i="5"/>
  <c r="DO12" i="5"/>
  <c r="DN12" i="5"/>
  <c r="DM12" i="5"/>
  <c r="DL12" i="5"/>
  <c r="DK12" i="5"/>
  <c r="DJ12" i="5"/>
  <c r="DI12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K12" i="5"/>
  <c r="CJ12" i="5"/>
  <c r="CI12" i="5"/>
  <c r="CH12" i="5"/>
  <c r="CG12" i="5"/>
  <c r="CF12" i="5"/>
  <c r="CE12" i="5"/>
  <c r="CD12" i="5"/>
  <c r="CC12" i="5"/>
  <c r="CB12" i="5"/>
  <c r="CA12" i="5"/>
  <c r="BZ12" i="5"/>
  <c r="BY12" i="5"/>
  <c r="BX12" i="5"/>
  <c r="BW12" i="5"/>
  <c r="BV12" i="5"/>
  <c r="BU12" i="5"/>
  <c r="BT12" i="5"/>
  <c r="BS12" i="5"/>
  <c r="BR12" i="5"/>
  <c r="BQ12" i="5"/>
  <c r="BP12" i="5"/>
  <c r="BO12" i="5"/>
  <c r="BN12" i="5"/>
  <c r="BM12" i="5"/>
  <c r="BL12" i="5"/>
  <c r="BK12" i="5"/>
  <c r="BJ12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EG12" i="5" s="1"/>
  <c r="C12" i="5"/>
  <c r="EH12" i="5" s="1"/>
  <c r="B12" i="5"/>
  <c r="A12" i="5"/>
  <c r="Y6" i="5" a="1"/>
  <c r="Y6" i="5" s="1"/>
  <c r="EF5" i="5"/>
  <c r="EE5" i="5"/>
  <c r="ED5" i="5"/>
  <c r="EC5" i="5"/>
  <c r="EB5" i="5"/>
  <c r="EA5" i="5"/>
  <c r="DZ5" i="5"/>
  <c r="DY5" i="5"/>
  <c r="DX5" i="5"/>
  <c r="DW5" i="5"/>
  <c r="DV5" i="5"/>
  <c r="DU5" i="5"/>
  <c r="DT5" i="5"/>
  <c r="DS5" i="5"/>
  <c r="DR5" i="5"/>
  <c r="DQ5" i="5"/>
  <c r="DP5" i="5"/>
  <c r="DO5" i="5"/>
  <c r="DN5" i="5"/>
  <c r="DM5" i="5"/>
  <c r="DL5" i="5"/>
  <c r="DK5" i="5"/>
  <c r="DJ5" i="5"/>
  <c r="DI5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K5" i="5"/>
  <c r="CJ5" i="5"/>
  <c r="CI5" i="5"/>
  <c r="CH5" i="5"/>
  <c r="CG5" i="5"/>
  <c r="CF5" i="5"/>
  <c r="CE5" i="5"/>
  <c r="CD5" i="5"/>
  <c r="CC5" i="5"/>
  <c r="CB5" i="5"/>
  <c r="CA5" i="5"/>
  <c r="BZ5" i="5"/>
  <c r="BY5" i="5"/>
  <c r="BX5" i="5"/>
  <c r="BW5" i="5"/>
  <c r="BV5" i="5"/>
  <c r="BU5" i="5"/>
  <c r="BT5" i="5"/>
  <c r="BS5" i="5"/>
  <c r="BR5" i="5"/>
  <c r="BQ5" i="5"/>
  <c r="BP5" i="5"/>
  <c r="BO5" i="5"/>
  <c r="BN5" i="5"/>
  <c r="BM5" i="5"/>
  <c r="BL5" i="5"/>
  <c r="BK5" i="5"/>
  <c r="BJ5" i="5"/>
  <c r="BI5" i="5"/>
  <c r="BH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EF4" i="5"/>
  <c r="EE4" i="5"/>
  <c r="ED4" i="5"/>
  <c r="EC4" i="5"/>
  <c r="EC6" i="5" s="1" a="1"/>
  <c r="EC6" i="5" s="1"/>
  <c r="EB4" i="5"/>
  <c r="EA4" i="5"/>
  <c r="DZ4" i="5"/>
  <c r="DY4" i="5"/>
  <c r="DY6" i="5" s="1" a="1"/>
  <c r="DY6" i="5" s="1"/>
  <c r="DX4" i="5"/>
  <c r="DW4" i="5"/>
  <c r="DV4" i="5"/>
  <c r="DU4" i="5"/>
  <c r="DU6" i="5" s="1" a="1"/>
  <c r="DU6" i="5" s="1"/>
  <c r="DT4" i="5"/>
  <c r="DS4" i="5"/>
  <c r="DR4" i="5"/>
  <c r="DQ4" i="5"/>
  <c r="DQ6" i="5" s="1" a="1"/>
  <c r="DQ6" i="5" s="1"/>
  <c r="DP4" i="5"/>
  <c r="DO4" i="5"/>
  <c r="DN4" i="5"/>
  <c r="DM4" i="5"/>
  <c r="DM6" i="5" s="1" a="1"/>
  <c r="DM6" i="5" s="1"/>
  <c r="DL4" i="5"/>
  <c r="DK4" i="5"/>
  <c r="DJ4" i="5"/>
  <c r="DI4" i="5"/>
  <c r="DI6" i="5" s="1" a="1"/>
  <c r="DI6" i="5" s="1"/>
  <c r="DH4" i="5"/>
  <c r="DG4" i="5"/>
  <c r="DF4" i="5"/>
  <c r="DE4" i="5"/>
  <c r="DE6" i="5" s="1" a="1"/>
  <c r="DE6" i="5" s="1"/>
  <c r="DD4" i="5"/>
  <c r="DC4" i="5"/>
  <c r="DB4" i="5"/>
  <c r="DA4" i="5"/>
  <c r="DA6" i="5" s="1" a="1"/>
  <c r="DA6" i="5" s="1"/>
  <c r="DA8" i="5" s="1"/>
  <c r="CZ4" i="5"/>
  <c r="CY4" i="5"/>
  <c r="CX4" i="5"/>
  <c r="CW4" i="5"/>
  <c r="CW6" i="5" s="1" a="1"/>
  <c r="CW6" i="5" s="1"/>
  <c r="CV4" i="5"/>
  <c r="CU4" i="5"/>
  <c r="CT4" i="5"/>
  <c r="CS4" i="5"/>
  <c r="CS6" i="5" s="1" a="1"/>
  <c r="CS6" i="5" s="1"/>
  <c r="CR4" i="5"/>
  <c r="CQ4" i="5"/>
  <c r="CP4" i="5"/>
  <c r="CO4" i="5"/>
  <c r="CO6" i="5" s="1" a="1"/>
  <c r="CO6" i="5" s="1"/>
  <c r="CN4" i="5"/>
  <c r="CM4" i="5"/>
  <c r="CL4" i="5"/>
  <c r="CK4" i="5"/>
  <c r="CK6" i="5" s="1" a="1"/>
  <c r="CK6" i="5" s="1"/>
  <c r="CJ4" i="5"/>
  <c r="CI4" i="5"/>
  <c r="CH4" i="5"/>
  <c r="CG4" i="5"/>
  <c r="CG6" i="5" s="1" a="1"/>
  <c r="CG6" i="5" s="1"/>
  <c r="CF4" i="5"/>
  <c r="CE4" i="5"/>
  <c r="CD4" i="5"/>
  <c r="CC4" i="5"/>
  <c r="CC6" i="5" s="1" a="1"/>
  <c r="CC6" i="5" s="1"/>
  <c r="CB4" i="5"/>
  <c r="CA4" i="5"/>
  <c r="BZ4" i="5"/>
  <c r="BY4" i="5"/>
  <c r="BY6" i="5" s="1" a="1"/>
  <c r="BY6" i="5" s="1"/>
  <c r="BX4" i="5"/>
  <c r="BW4" i="5"/>
  <c r="BV4" i="5"/>
  <c r="BU4" i="5"/>
  <c r="BU6" i="5" s="1" a="1"/>
  <c r="BU6" i="5" s="1"/>
  <c r="BT4" i="5"/>
  <c r="BS4" i="5"/>
  <c r="BR4" i="5"/>
  <c r="BQ4" i="5"/>
  <c r="BQ6" i="5" s="1" a="1"/>
  <c r="BQ6" i="5" s="1"/>
  <c r="BP4" i="5"/>
  <c r="BO4" i="5"/>
  <c r="BN4" i="5"/>
  <c r="BM4" i="5"/>
  <c r="BM6" i="5" s="1" a="1"/>
  <c r="BM6" i="5" s="1"/>
  <c r="BL4" i="5"/>
  <c r="BK4" i="5"/>
  <c r="BJ4" i="5"/>
  <c r="BI4" i="5"/>
  <c r="BI6" i="5" s="1" a="1"/>
  <c r="BI6" i="5" s="1"/>
  <c r="BH4" i="5"/>
  <c r="BG4" i="5"/>
  <c r="BF4" i="5"/>
  <c r="BE4" i="5"/>
  <c r="BE6" i="5" s="1" a="1"/>
  <c r="BE6" i="5" s="1"/>
  <c r="BD4" i="5"/>
  <c r="BC4" i="5"/>
  <c r="BB4" i="5"/>
  <c r="BA4" i="5"/>
  <c r="BA6" i="5" s="1" a="1"/>
  <c r="BA6" i="5" s="1"/>
  <c r="AZ4" i="5"/>
  <c r="AY4" i="5"/>
  <c r="AX4" i="5"/>
  <c r="AW4" i="5"/>
  <c r="AW6" i="5" s="1" a="1"/>
  <c r="AW6" i="5" s="1"/>
  <c r="AV4" i="5"/>
  <c r="AU4" i="5"/>
  <c r="AT4" i="5"/>
  <c r="AS4" i="5"/>
  <c r="AS6" i="5" s="1" a="1"/>
  <c r="AS6" i="5" s="1"/>
  <c r="AR4" i="5"/>
  <c r="AQ4" i="5"/>
  <c r="AP4" i="5"/>
  <c r="AO4" i="5"/>
  <c r="AO6" i="5" s="1" a="1"/>
  <c r="AO6" i="5" s="1"/>
  <c r="AN4" i="5"/>
  <c r="AM4" i="5"/>
  <c r="AL4" i="5"/>
  <c r="AK4" i="5"/>
  <c r="AK6" i="5" s="1" a="1"/>
  <c r="AK6" i="5" s="1"/>
  <c r="AJ4" i="5"/>
  <c r="AI4" i="5"/>
  <c r="AH4" i="5"/>
  <c r="AG4" i="5"/>
  <c r="AG6" i="5" s="1" a="1"/>
  <c r="AG6" i="5" s="1"/>
  <c r="AF4" i="5"/>
  <c r="AE4" i="5"/>
  <c r="AD4" i="5"/>
  <c r="AC4" i="5"/>
  <c r="AC6" i="5" s="1" a="1"/>
  <c r="AC6" i="5" s="1"/>
  <c r="AB4" i="5"/>
  <c r="AA4" i="5"/>
  <c r="Z4" i="5"/>
  <c r="Y4" i="5"/>
  <c r="X4" i="5"/>
  <c r="W4" i="5"/>
  <c r="V4" i="5"/>
  <c r="U4" i="5"/>
  <c r="U6" i="5" s="1" a="1"/>
  <c r="U6" i="5" s="1"/>
  <c r="T4" i="5"/>
  <c r="S4" i="5"/>
  <c r="R4" i="5"/>
  <c r="Q4" i="5"/>
  <c r="Q6" i="5" s="1" a="1"/>
  <c r="Q6" i="5" s="1"/>
  <c r="P4" i="5"/>
  <c r="O4" i="5"/>
  <c r="N4" i="5"/>
  <c r="M4" i="5"/>
  <c r="M6" i="5" s="1" a="1"/>
  <c r="M6" i="5" s="1"/>
  <c r="L4" i="5"/>
  <c r="K4" i="5"/>
  <c r="J4" i="5"/>
  <c r="I4" i="5"/>
  <c r="I6" i="5" s="1" a="1"/>
  <c r="I6" i="5" s="1"/>
  <c r="H4" i="5"/>
  <c r="G4" i="5"/>
  <c r="F4" i="5"/>
  <c r="E4" i="5"/>
  <c r="E6" i="5" s="1" a="1"/>
  <c r="E6" i="5" s="1"/>
  <c r="D4" i="5"/>
  <c r="C4" i="5"/>
  <c r="EF3" i="5"/>
  <c r="EE3" i="5"/>
  <c r="EE6" i="5" s="1" a="1"/>
  <c r="EE6" i="5" s="1"/>
  <c r="ED3" i="5"/>
  <c r="ED6" i="5" s="1" a="1"/>
  <c r="ED6" i="5" s="1"/>
  <c r="EC3" i="5"/>
  <c r="EB3" i="5"/>
  <c r="EA3" i="5"/>
  <c r="EA6" i="5" s="1" a="1"/>
  <c r="EA6" i="5" s="1"/>
  <c r="DZ3" i="5"/>
  <c r="DZ6" i="5" s="1" a="1"/>
  <c r="DZ6" i="5" s="1"/>
  <c r="DY3" i="5"/>
  <c r="DX3" i="5"/>
  <c r="DW3" i="5"/>
  <c r="DW6" i="5" s="1" a="1"/>
  <c r="DW6" i="5" s="1"/>
  <c r="DV3" i="5"/>
  <c r="DV6" i="5" s="1" a="1"/>
  <c r="DV6" i="5" s="1"/>
  <c r="DU3" i="5"/>
  <c r="DT3" i="5"/>
  <c r="DS3" i="5"/>
  <c r="DS6" i="5" s="1" a="1"/>
  <c r="DS6" i="5" s="1"/>
  <c r="DR3" i="5"/>
  <c r="DR6" i="5" s="1" a="1"/>
  <c r="DR6" i="5" s="1"/>
  <c r="DQ3" i="5"/>
  <c r="DP3" i="5"/>
  <c r="DO3" i="5"/>
  <c r="DO6" i="5" s="1" a="1"/>
  <c r="DO6" i="5" s="1"/>
  <c r="DN3" i="5"/>
  <c r="DN6" i="5" s="1" a="1"/>
  <c r="DN6" i="5" s="1"/>
  <c r="DM3" i="5"/>
  <c r="DL3" i="5"/>
  <c r="DK3" i="5"/>
  <c r="DK6" i="5" s="1" a="1"/>
  <c r="DK6" i="5" s="1"/>
  <c r="DJ3" i="5"/>
  <c r="DJ6" i="5" s="1" a="1"/>
  <c r="DJ6" i="5" s="1"/>
  <c r="DI3" i="5"/>
  <c r="DH3" i="5"/>
  <c r="DG3" i="5"/>
  <c r="DG6" i="5" s="1" a="1"/>
  <c r="DG6" i="5" s="1"/>
  <c r="DF3" i="5"/>
  <c r="DF6" i="5" s="1" a="1"/>
  <c r="DF6" i="5" s="1"/>
  <c r="DE3" i="5"/>
  <c r="DD3" i="5"/>
  <c r="DC3" i="5"/>
  <c r="DC6" i="5" s="1" a="1"/>
  <c r="DC6" i="5" s="1"/>
  <c r="DB3" i="5"/>
  <c r="DB6" i="5" s="1" a="1"/>
  <c r="DB6" i="5" s="1"/>
  <c r="DA3" i="5"/>
  <c r="CZ3" i="5"/>
  <c r="CY3" i="5"/>
  <c r="CY6" i="5" s="1" a="1"/>
  <c r="CY6" i="5" s="1"/>
  <c r="CX3" i="5"/>
  <c r="CX6" i="5" s="1" a="1"/>
  <c r="CX6" i="5" s="1"/>
  <c r="CW3" i="5"/>
  <c r="CV3" i="5"/>
  <c r="CU3" i="5"/>
  <c r="CU6" i="5" s="1" a="1"/>
  <c r="CU6" i="5" s="1"/>
  <c r="CT3" i="5"/>
  <c r="CT6" i="5" s="1" a="1"/>
  <c r="CT6" i="5" s="1"/>
  <c r="CS3" i="5"/>
  <c r="CR3" i="5"/>
  <c r="CQ3" i="5"/>
  <c r="CQ6" i="5" s="1" a="1"/>
  <c r="CQ6" i="5" s="1"/>
  <c r="CP3" i="5"/>
  <c r="CP6" i="5" s="1" a="1"/>
  <c r="CP6" i="5" s="1"/>
  <c r="CO3" i="5"/>
  <c r="CN3" i="5"/>
  <c r="CM3" i="5"/>
  <c r="CM6" i="5" s="1" a="1"/>
  <c r="CM6" i="5" s="1"/>
  <c r="CL3" i="5"/>
  <c r="CL6" i="5" s="1" a="1"/>
  <c r="CL6" i="5" s="1"/>
  <c r="CK3" i="5"/>
  <c r="CJ3" i="5"/>
  <c r="CI3" i="5"/>
  <c r="CI6" i="5" s="1" a="1"/>
  <c r="CI6" i="5" s="1"/>
  <c r="CH3" i="5"/>
  <c r="CH6" i="5" s="1" a="1"/>
  <c r="CH6" i="5" s="1"/>
  <c r="CG3" i="5"/>
  <c r="CF3" i="5"/>
  <c r="CE3" i="5"/>
  <c r="CE6" i="5" s="1" a="1"/>
  <c r="CE6" i="5" s="1"/>
  <c r="CD3" i="5"/>
  <c r="CD6" i="5" s="1" a="1"/>
  <c r="CD6" i="5" s="1"/>
  <c r="CC3" i="5"/>
  <c r="CB3" i="5"/>
  <c r="CA3" i="5"/>
  <c r="CA6" i="5" s="1" a="1"/>
  <c r="CA6" i="5" s="1"/>
  <c r="BZ3" i="5"/>
  <c r="BZ6" i="5" s="1" a="1"/>
  <c r="BZ6" i="5" s="1"/>
  <c r="BY3" i="5"/>
  <c r="BX3" i="5"/>
  <c r="BW3" i="5"/>
  <c r="BW6" i="5" s="1" a="1"/>
  <c r="BW6" i="5" s="1"/>
  <c r="BV3" i="5"/>
  <c r="BV6" i="5" s="1" a="1"/>
  <c r="BV6" i="5" s="1"/>
  <c r="BU3" i="5"/>
  <c r="BT3" i="5"/>
  <c r="BS3" i="5"/>
  <c r="BS6" i="5" s="1" a="1"/>
  <c r="BS6" i="5" s="1"/>
  <c r="BR3" i="5"/>
  <c r="BR6" i="5" s="1" a="1"/>
  <c r="BR6" i="5" s="1"/>
  <c r="BQ3" i="5"/>
  <c r="BP3" i="5"/>
  <c r="BO3" i="5"/>
  <c r="BO6" i="5" s="1" a="1"/>
  <c r="BO6" i="5" s="1"/>
  <c r="BN3" i="5"/>
  <c r="BN6" i="5" s="1" a="1"/>
  <c r="BN6" i="5" s="1"/>
  <c r="BM3" i="5"/>
  <c r="BL3" i="5"/>
  <c r="BK3" i="5"/>
  <c r="BK6" i="5" s="1" a="1"/>
  <c r="BK6" i="5" s="1"/>
  <c r="BJ3" i="5"/>
  <c r="BJ6" i="5" s="1" a="1"/>
  <c r="BJ6" i="5" s="1"/>
  <c r="BI3" i="5"/>
  <c r="BH3" i="5"/>
  <c r="BG3" i="5"/>
  <c r="BG6" i="5" s="1" a="1"/>
  <c r="BG6" i="5" s="1"/>
  <c r="BF3" i="5"/>
  <c r="BF6" i="5" s="1" a="1"/>
  <c r="BF6" i="5" s="1"/>
  <c r="BE3" i="5"/>
  <c r="BD3" i="5"/>
  <c r="BC3" i="5"/>
  <c r="BC6" i="5" s="1" a="1"/>
  <c r="BC6" i="5" s="1"/>
  <c r="BB3" i="5"/>
  <c r="BB6" i="5" s="1" a="1"/>
  <c r="BB6" i="5" s="1"/>
  <c r="BA3" i="5"/>
  <c r="AZ3" i="5"/>
  <c r="AY3" i="5"/>
  <c r="AY6" i="5" s="1" a="1"/>
  <c r="AY6" i="5" s="1"/>
  <c r="AX3" i="5"/>
  <c r="AX6" i="5" s="1" a="1"/>
  <c r="AX6" i="5" s="1"/>
  <c r="AW3" i="5"/>
  <c r="AV3" i="5"/>
  <c r="AU3" i="5"/>
  <c r="AU6" i="5" s="1" a="1"/>
  <c r="AU6" i="5" s="1"/>
  <c r="AT3" i="5"/>
  <c r="AT6" i="5" s="1" a="1"/>
  <c r="AT6" i="5" s="1"/>
  <c r="AS3" i="5"/>
  <c r="AR3" i="5"/>
  <c r="AQ3" i="5"/>
  <c r="AQ6" i="5" s="1" a="1"/>
  <c r="AQ6" i="5" s="1"/>
  <c r="AP3" i="5"/>
  <c r="AP6" i="5" s="1" a="1"/>
  <c r="AP6" i="5" s="1"/>
  <c r="AO3" i="5"/>
  <c r="AN3" i="5"/>
  <c r="AM3" i="5"/>
  <c r="AM6" i="5" s="1" a="1"/>
  <c r="AM6" i="5" s="1"/>
  <c r="AL3" i="5"/>
  <c r="AL6" i="5" s="1" a="1"/>
  <c r="AL6" i="5" s="1"/>
  <c r="AK3" i="5"/>
  <c r="AJ3" i="5"/>
  <c r="AI3" i="5"/>
  <c r="AI6" i="5" s="1" a="1"/>
  <c r="AI6" i="5" s="1"/>
  <c r="AH3" i="5"/>
  <c r="AH6" i="5" s="1" a="1"/>
  <c r="AH6" i="5" s="1"/>
  <c r="AG3" i="5"/>
  <c r="AF3" i="5"/>
  <c r="AE3" i="5"/>
  <c r="AE6" i="5" s="1" a="1"/>
  <c r="AE6" i="5" s="1"/>
  <c r="AD3" i="5"/>
  <c r="AD6" i="5" s="1" a="1"/>
  <c r="AD6" i="5" s="1"/>
  <c r="AC3" i="5"/>
  <c r="AB3" i="5"/>
  <c r="AA3" i="5"/>
  <c r="AA6" i="5" s="1" a="1"/>
  <c r="AA6" i="5" s="1"/>
  <c r="Z3" i="5"/>
  <c r="Z6" i="5" s="1" a="1"/>
  <c r="Z6" i="5" s="1"/>
  <c r="Y3" i="5"/>
  <c r="X3" i="5"/>
  <c r="W3" i="5"/>
  <c r="W6" i="5" s="1" a="1"/>
  <c r="W6" i="5" s="1"/>
  <c r="V3" i="5"/>
  <c r="V6" i="5" s="1" a="1"/>
  <c r="V6" i="5" s="1"/>
  <c r="U3" i="5"/>
  <c r="T3" i="5"/>
  <c r="S3" i="5"/>
  <c r="S6" i="5" s="1" a="1"/>
  <c r="S6" i="5" s="1"/>
  <c r="R3" i="5"/>
  <c r="R6" i="5" s="1" a="1"/>
  <c r="R6" i="5" s="1"/>
  <c r="Q3" i="5"/>
  <c r="P3" i="5"/>
  <c r="O3" i="5"/>
  <c r="O6" i="5" s="1" a="1"/>
  <c r="O6" i="5" s="1"/>
  <c r="N3" i="5"/>
  <c r="N6" i="5" s="1" a="1"/>
  <c r="N6" i="5" s="1"/>
  <c r="M3" i="5"/>
  <c r="L3" i="5"/>
  <c r="K3" i="5"/>
  <c r="K6" i="5" s="1" a="1"/>
  <c r="K6" i="5" s="1"/>
  <c r="J3" i="5"/>
  <c r="J6" i="5" s="1" a="1"/>
  <c r="J6" i="5" s="1"/>
  <c r="I3" i="5"/>
  <c r="H3" i="5"/>
  <c r="G3" i="5"/>
  <c r="G6" i="5" s="1" a="1"/>
  <c r="G6" i="5" s="1"/>
  <c r="F3" i="5"/>
  <c r="F6" i="5" s="1" a="1"/>
  <c r="F6" i="5" s="1"/>
  <c r="E3" i="5"/>
  <c r="D3" i="5"/>
  <c r="C3" i="5"/>
  <c r="C6" i="5" s="1" a="1"/>
  <c r="C6" i="5" s="1"/>
  <c r="A1" i="5"/>
  <c r="Y25" i="4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J25" i="4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I25" i="4"/>
  <c r="E25" i="4"/>
  <c r="F25" i="4" s="1"/>
  <c r="G25" i="4" s="1"/>
  <c r="H25" i="4" s="1"/>
  <c r="D25" i="4"/>
  <c r="BD24" i="4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L24" i="4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D24" i="4"/>
  <c r="E24" i="4" s="1"/>
  <c r="F24" i="4" s="1"/>
  <c r="G24" i="4" s="1"/>
  <c r="H24" i="4" s="1"/>
  <c r="I24" i="4" s="1"/>
  <c r="J24" i="4" s="1"/>
  <c r="K24" i="4" s="1"/>
  <c r="C24" i="4"/>
  <c r="K23" i="4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D23" i="4"/>
  <c r="E23" i="4" s="1"/>
  <c r="F23" i="4" s="1"/>
  <c r="G23" i="4" s="1"/>
  <c r="H23" i="4" s="1"/>
  <c r="I23" i="4" s="1"/>
  <c r="J23" i="4" s="1"/>
  <c r="C23" i="4"/>
  <c r="H22" i="4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D22" i="4"/>
  <c r="E22" i="4" s="1"/>
  <c r="F22" i="4" s="1"/>
  <c r="G22" i="4" s="1"/>
  <c r="C22" i="4"/>
  <c r="X21" i="4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C21" i="4"/>
  <c r="D21" i="4" s="1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BU20" i="4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AZ20" i="4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AD20" i="4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I20" i="4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D20" i="4"/>
  <c r="E20" i="4" s="1"/>
  <c r="F20" i="4" s="1"/>
  <c r="G20" i="4" s="1"/>
  <c r="H20" i="4" s="1"/>
  <c r="C20" i="4"/>
  <c r="AF19" i="4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P19" i="4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D19" i="4"/>
  <c r="E19" i="4" s="1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C19" i="4"/>
  <c r="DR18" i="4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BF18" i="4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AP18" i="4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Z18" i="4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J18" i="4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F18" i="4"/>
  <c r="G18" i="4" s="1"/>
  <c r="H18" i="4" s="1"/>
  <c r="I18" i="4" s="1"/>
  <c r="C18" i="4"/>
  <c r="D18" i="4" s="1"/>
  <c r="E18" i="4" s="1"/>
  <c r="AI17" i="4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S17" i="4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C17" i="4"/>
  <c r="D17" i="4" s="1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AO16" i="4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Y16" i="4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I16" i="4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E16" i="4"/>
  <c r="F16" i="4" s="1"/>
  <c r="G16" i="4" s="1"/>
  <c r="H16" i="4" s="1"/>
  <c r="C16" i="4"/>
  <c r="D16" i="4" s="1"/>
  <c r="CF15" i="4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T15" i="4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C15" i="4"/>
  <c r="G14" i="4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E14" i="4"/>
  <c r="F14" i="4" s="1"/>
  <c r="C14" i="4"/>
  <c r="D14" i="4" s="1"/>
  <c r="AM13" i="4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G13" i="4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E13" i="4"/>
  <c r="F13" i="4" s="1"/>
  <c r="C13" i="4"/>
  <c r="D13" i="4" s="1"/>
  <c r="AC12" i="4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U12" i="4"/>
  <c r="V12" i="4" s="1"/>
  <c r="W12" i="4" s="1"/>
  <c r="X12" i="4" s="1"/>
  <c r="Y12" i="4" s="1"/>
  <c r="Z12" i="4" s="1"/>
  <c r="AA12" i="4" s="1"/>
  <c r="AB12" i="4" s="1"/>
  <c r="M12" i="4"/>
  <c r="N12" i="4" s="1"/>
  <c r="O12" i="4" s="1"/>
  <c r="P12" i="4" s="1"/>
  <c r="Q12" i="4" s="1"/>
  <c r="R12" i="4" s="1"/>
  <c r="S12" i="4" s="1"/>
  <c r="T12" i="4" s="1"/>
  <c r="E12" i="4"/>
  <c r="F12" i="4" s="1"/>
  <c r="G12" i="4" s="1"/>
  <c r="H12" i="4" s="1"/>
  <c r="I12" i="4" s="1"/>
  <c r="J12" i="4" s="1"/>
  <c r="K12" i="4" s="1"/>
  <c r="L12" i="4" s="1"/>
  <c r="C12" i="4"/>
  <c r="D12" i="4" s="1"/>
  <c r="DC8" i="4"/>
  <c r="AA8" i="4"/>
  <c r="K8" i="4"/>
  <c r="C8" i="4"/>
  <c r="CC7" i="4"/>
  <c r="BU7" i="4"/>
  <c r="BM7" i="4"/>
  <c r="AW7" i="4"/>
  <c r="AO7" i="4"/>
  <c r="BQ6" i="4" a="1"/>
  <c r="BQ6" i="4" s="1"/>
  <c r="BO6" i="4"/>
  <c r="BI6" i="4" a="1"/>
  <c r="BI6" i="4" s="1"/>
  <c r="BA6" i="4" a="1"/>
  <c r="BA6" i="4" s="1"/>
  <c r="AS6" i="4" a="1"/>
  <c r="AS6" i="4" s="1"/>
  <c r="AK6" i="4" a="1"/>
  <c r="AK6" i="4" s="1"/>
  <c r="AI6" i="4"/>
  <c r="AC6" i="4" a="1"/>
  <c r="AC6" i="4" s="1"/>
  <c r="AA6" i="4" a="1"/>
  <c r="AA6" i="4" s="1"/>
  <c r="AA7" i="4" s="1"/>
  <c r="Y6" i="4" a="1"/>
  <c r="Y6" i="4" s="1"/>
  <c r="W6" i="4" a="1"/>
  <c r="W6" i="4" s="1"/>
  <c r="U6" i="4" a="1"/>
  <c r="U6" i="4" s="1"/>
  <c r="S6" i="4" a="1"/>
  <c r="S6" i="4" s="1"/>
  <c r="S7" i="4" s="1"/>
  <c r="Q6" i="4" a="1"/>
  <c r="Q6" i="4" s="1"/>
  <c r="Q8" i="4" s="1"/>
  <c r="O6" i="4" a="1"/>
  <c r="O6" i="4" s="1"/>
  <c r="M6" i="4" a="1"/>
  <c r="M6" i="4" s="1"/>
  <c r="K6" i="4" a="1"/>
  <c r="K6" i="4" s="1"/>
  <c r="K7" i="4" s="1"/>
  <c r="I6" i="4" a="1"/>
  <c r="I6" i="4" s="1"/>
  <c r="I8" i="4" s="1"/>
  <c r="G6" i="4" a="1"/>
  <c r="G6" i="4" s="1"/>
  <c r="E6" i="4" a="1"/>
  <c r="E6" i="4" s="1"/>
  <c r="C6" i="4" a="1"/>
  <c r="C6" i="4" s="1"/>
  <c r="C7" i="4" s="1"/>
  <c r="EF5" i="4"/>
  <c r="EE5" i="4"/>
  <c r="ED5" i="4"/>
  <c r="EC5" i="4"/>
  <c r="EB5" i="4"/>
  <c r="EA5" i="4"/>
  <c r="DZ5" i="4"/>
  <c r="DY5" i="4"/>
  <c r="DX5" i="4"/>
  <c r="DW5" i="4"/>
  <c r="DV5" i="4"/>
  <c r="DU5" i="4"/>
  <c r="DT5" i="4"/>
  <c r="DS5" i="4"/>
  <c r="DR5" i="4"/>
  <c r="DQ5" i="4"/>
  <c r="DP5" i="4"/>
  <c r="DO5" i="4"/>
  <c r="DN5" i="4"/>
  <c r="DM5" i="4"/>
  <c r="DL5" i="4"/>
  <c r="DK5" i="4"/>
  <c r="DJ5" i="4"/>
  <c r="DI5" i="4"/>
  <c r="DH5" i="4"/>
  <c r="DG5" i="4"/>
  <c r="DF5" i="4"/>
  <c r="DE5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G5" i="4"/>
  <c r="CF5" i="4"/>
  <c r="CE5" i="4"/>
  <c r="CD5" i="4"/>
  <c r="CC5" i="4"/>
  <c r="CB5" i="4"/>
  <c r="CA5" i="4"/>
  <c r="BZ5" i="4"/>
  <c r="BY5" i="4"/>
  <c r="BX5" i="4"/>
  <c r="BW5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EF4" i="4"/>
  <c r="EE4" i="4"/>
  <c r="ED4" i="4"/>
  <c r="EC4" i="4"/>
  <c r="EB4" i="4"/>
  <c r="EA4" i="4"/>
  <c r="DZ4" i="4"/>
  <c r="DY4" i="4"/>
  <c r="DX4" i="4"/>
  <c r="DW4" i="4"/>
  <c r="DV4" i="4"/>
  <c r="DU4" i="4"/>
  <c r="DT4" i="4"/>
  <c r="DS4" i="4"/>
  <c r="DR4" i="4"/>
  <c r="DQ4" i="4"/>
  <c r="DP4" i="4"/>
  <c r="DO4" i="4"/>
  <c r="DN4" i="4"/>
  <c r="DM4" i="4"/>
  <c r="DL4" i="4"/>
  <c r="DK4" i="4"/>
  <c r="DJ4" i="4"/>
  <c r="DI4" i="4"/>
  <c r="DH4" i="4"/>
  <c r="DG4" i="4"/>
  <c r="DF4" i="4"/>
  <c r="DE4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EF3" i="4"/>
  <c r="EE3" i="4"/>
  <c r="EE6" i="4" s="1" a="1"/>
  <c r="EE6" i="4" s="1"/>
  <c r="ED3" i="4"/>
  <c r="ED6" i="4" s="1" a="1"/>
  <c r="ED6" i="4" s="1"/>
  <c r="EC3" i="4"/>
  <c r="EB3" i="4"/>
  <c r="EA3" i="4"/>
  <c r="EA6" i="4" s="1" a="1"/>
  <c r="EA6" i="4" s="1"/>
  <c r="DZ3" i="4"/>
  <c r="DZ6" i="4" s="1" a="1"/>
  <c r="DZ6" i="4" s="1"/>
  <c r="DY3" i="4"/>
  <c r="DX3" i="4"/>
  <c r="DW3" i="4"/>
  <c r="DW6" i="4" s="1" a="1"/>
  <c r="DW6" i="4" s="1"/>
  <c r="DV3" i="4"/>
  <c r="DV6" i="4" s="1" a="1"/>
  <c r="DV6" i="4" s="1"/>
  <c r="DU3" i="4"/>
  <c r="DT3" i="4"/>
  <c r="DS3" i="4"/>
  <c r="DS6" i="4" s="1" a="1"/>
  <c r="DS6" i="4" s="1"/>
  <c r="DR3" i="4"/>
  <c r="DR6" i="4" s="1" a="1"/>
  <c r="DR6" i="4" s="1"/>
  <c r="DQ3" i="4"/>
  <c r="DP3" i="4"/>
  <c r="DO3" i="4"/>
  <c r="DO6" i="4" s="1" a="1"/>
  <c r="DO6" i="4" s="1"/>
  <c r="DN3" i="4"/>
  <c r="DN6" i="4" s="1" a="1"/>
  <c r="DN6" i="4" s="1"/>
  <c r="DM3" i="4"/>
  <c r="DL3" i="4"/>
  <c r="DK3" i="4"/>
  <c r="DK6" i="4" s="1" a="1"/>
  <c r="DK6" i="4" s="1"/>
  <c r="DJ3" i="4"/>
  <c r="DJ6" i="4" s="1" a="1"/>
  <c r="DJ6" i="4" s="1"/>
  <c r="DI3" i="4"/>
  <c r="DH3" i="4"/>
  <c r="DG3" i="4"/>
  <c r="DG6" i="4" s="1" a="1"/>
  <c r="DG6" i="4" s="1"/>
  <c r="DF3" i="4"/>
  <c r="DF6" i="4" s="1" a="1"/>
  <c r="DF6" i="4" s="1"/>
  <c r="DE3" i="4"/>
  <c r="DD3" i="4"/>
  <c r="DC3" i="4"/>
  <c r="DC6" i="4" s="1" a="1"/>
  <c r="DC6" i="4" s="1"/>
  <c r="DC7" i="4" s="1"/>
  <c r="DB3" i="4"/>
  <c r="DB6" i="4" s="1" a="1"/>
  <c r="DB6" i="4" s="1"/>
  <c r="DA3" i="4"/>
  <c r="CZ3" i="4"/>
  <c r="CY3" i="4"/>
  <c r="CY6" i="4" s="1" a="1"/>
  <c r="CY6" i="4" s="1"/>
  <c r="CX3" i="4"/>
  <c r="CX6" i="4" s="1" a="1"/>
  <c r="CX6" i="4" s="1"/>
  <c r="CW3" i="4"/>
  <c r="CV3" i="4"/>
  <c r="CU3" i="4"/>
  <c r="CU6" i="4" s="1" a="1"/>
  <c r="CU6" i="4" s="1"/>
  <c r="CT3" i="4"/>
  <c r="CT6" i="4" s="1" a="1"/>
  <c r="CT6" i="4" s="1"/>
  <c r="CS3" i="4"/>
  <c r="CR3" i="4"/>
  <c r="CQ3" i="4"/>
  <c r="CQ6" i="4" s="1" a="1"/>
  <c r="CQ6" i="4" s="1"/>
  <c r="CP3" i="4"/>
  <c r="CP6" i="4" s="1" a="1"/>
  <c r="CP6" i="4" s="1"/>
  <c r="CO3" i="4"/>
  <c r="CO6" i="4" s="1" a="1"/>
  <c r="CO6" i="4" s="1"/>
  <c r="CN3" i="4"/>
  <c r="CM3" i="4"/>
  <c r="CM6" i="4" s="1" a="1"/>
  <c r="CM6" i="4" s="1"/>
  <c r="CL3" i="4"/>
  <c r="CL6" i="4" s="1" a="1"/>
  <c r="CL6" i="4" s="1"/>
  <c r="CK3" i="4"/>
  <c r="CK6" i="4" s="1" a="1"/>
  <c r="CK6" i="4" s="1"/>
  <c r="CK8" i="4" s="1"/>
  <c r="CJ3" i="4"/>
  <c r="CI3" i="4"/>
  <c r="CI6" i="4" s="1" a="1"/>
  <c r="CI6" i="4" s="1"/>
  <c r="CH3" i="4"/>
  <c r="CH6" i="4" s="1" a="1"/>
  <c r="CH6" i="4" s="1"/>
  <c r="CG3" i="4"/>
  <c r="CG6" i="4" s="1" a="1"/>
  <c r="CG6" i="4" s="1"/>
  <c r="CF3" i="4"/>
  <c r="CE3" i="4"/>
  <c r="CE6" i="4" s="1" a="1"/>
  <c r="CE6" i="4" s="1"/>
  <c r="CD3" i="4"/>
  <c r="CD6" i="4" s="1" a="1"/>
  <c r="CD6" i="4" s="1"/>
  <c r="CC3" i="4"/>
  <c r="CC6" i="4" s="1" a="1"/>
  <c r="CC6" i="4" s="1"/>
  <c r="CC8" i="4" s="1"/>
  <c r="CB3" i="4"/>
  <c r="CA3" i="4"/>
  <c r="CA6" i="4" s="1" a="1"/>
  <c r="CA6" i="4" s="1"/>
  <c r="BZ3" i="4"/>
  <c r="BZ6" i="4" s="1" a="1"/>
  <c r="BZ6" i="4" s="1"/>
  <c r="BY3" i="4"/>
  <c r="BY6" i="4" s="1" a="1"/>
  <c r="BY6" i="4" s="1"/>
  <c r="BX3" i="4"/>
  <c r="BW3" i="4"/>
  <c r="BW6" i="4" s="1" a="1"/>
  <c r="BW6" i="4" s="1"/>
  <c r="BW7" i="4" s="1"/>
  <c r="BV3" i="4"/>
  <c r="BV6" i="4" s="1" a="1"/>
  <c r="BV6" i="4" s="1"/>
  <c r="BU3" i="4"/>
  <c r="BU6" i="4" s="1" a="1"/>
  <c r="BU6" i="4" s="1"/>
  <c r="BU8" i="4" s="1"/>
  <c r="BT3" i="4"/>
  <c r="BS3" i="4"/>
  <c r="BS6" i="4" s="1" a="1"/>
  <c r="BS6" i="4" s="1"/>
  <c r="BR3" i="4"/>
  <c r="BR6" i="4" s="1" a="1"/>
  <c r="BR6" i="4" s="1"/>
  <c r="BQ3" i="4"/>
  <c r="BP3" i="4"/>
  <c r="BO3" i="4"/>
  <c r="BO6" i="4" s="1" a="1"/>
  <c r="BN3" i="4"/>
  <c r="BN6" i="4" s="1" a="1"/>
  <c r="BN6" i="4" s="1"/>
  <c r="BM3" i="4"/>
  <c r="BM6" i="4" s="1" a="1"/>
  <c r="BM6" i="4" s="1"/>
  <c r="BM8" i="4" s="1"/>
  <c r="BL3" i="4"/>
  <c r="BK3" i="4"/>
  <c r="BK6" i="4" s="1" a="1"/>
  <c r="BK6" i="4" s="1"/>
  <c r="BJ3" i="4"/>
  <c r="BJ6" i="4" s="1" a="1"/>
  <c r="BJ6" i="4" s="1"/>
  <c r="BI3" i="4"/>
  <c r="BH3" i="4"/>
  <c r="BG3" i="4"/>
  <c r="BG6" i="4" s="1" a="1"/>
  <c r="BG6" i="4" s="1"/>
  <c r="BF3" i="4"/>
  <c r="BF6" i="4" s="1" a="1"/>
  <c r="BF6" i="4" s="1"/>
  <c r="BE3" i="4"/>
  <c r="BE6" i="4" s="1" a="1"/>
  <c r="BE6" i="4" s="1"/>
  <c r="BE8" i="4" s="1"/>
  <c r="BD3" i="4"/>
  <c r="BC3" i="4"/>
  <c r="BC6" i="4" s="1" a="1"/>
  <c r="BC6" i="4" s="1"/>
  <c r="BB3" i="4"/>
  <c r="BB6" i="4" s="1" a="1"/>
  <c r="BB6" i="4" s="1"/>
  <c r="BA3" i="4"/>
  <c r="AZ3" i="4"/>
  <c r="AY3" i="4"/>
  <c r="AY6" i="4" s="1" a="1"/>
  <c r="AY6" i="4" s="1"/>
  <c r="AX3" i="4"/>
  <c r="AX6" i="4" s="1" a="1"/>
  <c r="AX6" i="4" s="1"/>
  <c r="AW3" i="4"/>
  <c r="AW6" i="4" s="1" a="1"/>
  <c r="AW6" i="4" s="1"/>
  <c r="AW8" i="4" s="1"/>
  <c r="AV3" i="4"/>
  <c r="AU3" i="4"/>
  <c r="AU6" i="4" s="1" a="1"/>
  <c r="AU6" i="4" s="1"/>
  <c r="AT3" i="4"/>
  <c r="AT6" i="4" s="1" a="1"/>
  <c r="AT6" i="4" s="1"/>
  <c r="AS3" i="4"/>
  <c r="AR3" i="4"/>
  <c r="AQ3" i="4"/>
  <c r="AQ6" i="4" s="1" a="1"/>
  <c r="AQ6" i="4" s="1"/>
  <c r="AP3" i="4"/>
  <c r="AP6" i="4" s="1" a="1"/>
  <c r="AP6" i="4" s="1"/>
  <c r="AO3" i="4"/>
  <c r="AO6" i="4" s="1" a="1"/>
  <c r="AO6" i="4" s="1"/>
  <c r="AO8" i="4" s="1"/>
  <c r="AN3" i="4"/>
  <c r="AM3" i="4"/>
  <c r="AM6" i="4" s="1" a="1"/>
  <c r="AM6" i="4" s="1"/>
  <c r="AL3" i="4"/>
  <c r="AL6" i="4" s="1" a="1"/>
  <c r="AL6" i="4" s="1"/>
  <c r="AK3" i="4"/>
  <c r="AJ3" i="4"/>
  <c r="AI3" i="4"/>
  <c r="AI6" i="4" s="1" a="1"/>
  <c r="AH3" i="4"/>
  <c r="AH6" i="4" s="1" a="1"/>
  <c r="AH6" i="4" s="1"/>
  <c r="AG3" i="4"/>
  <c r="AG6" i="4" s="1" a="1"/>
  <c r="AG6" i="4" s="1"/>
  <c r="AG8" i="4" s="1"/>
  <c r="AF3" i="4"/>
  <c r="AE3" i="4"/>
  <c r="AE6" i="4" s="1" a="1"/>
  <c r="AE6" i="4" s="1"/>
  <c r="AD3" i="4"/>
  <c r="AD6" i="4" s="1" a="1"/>
  <c r="AD6" i="4" s="1"/>
  <c r="AC3" i="4"/>
  <c r="AB3" i="4"/>
  <c r="AB6" i="4" s="1" a="1"/>
  <c r="AB6" i="4" s="1"/>
  <c r="AA3" i="4"/>
  <c r="Z3" i="4"/>
  <c r="Z6" i="4" s="1" a="1"/>
  <c r="Z6" i="4" s="1"/>
  <c r="Y3" i="4"/>
  <c r="X3" i="4"/>
  <c r="X6" i="4" s="1" a="1"/>
  <c r="X6" i="4" s="1"/>
  <c r="W3" i="4"/>
  <c r="V3" i="4"/>
  <c r="V6" i="4" s="1" a="1"/>
  <c r="V6" i="4" s="1"/>
  <c r="U3" i="4"/>
  <c r="T3" i="4"/>
  <c r="T6" i="4" s="1" a="1"/>
  <c r="T6" i="4" s="1"/>
  <c r="S3" i="4"/>
  <c r="R3" i="4"/>
  <c r="R6" i="4" s="1" a="1"/>
  <c r="R6" i="4" s="1"/>
  <c r="Q3" i="4"/>
  <c r="P3" i="4"/>
  <c r="P6" i="4" s="1" a="1"/>
  <c r="P6" i="4" s="1"/>
  <c r="O3" i="4"/>
  <c r="N3" i="4"/>
  <c r="N6" i="4" s="1" a="1"/>
  <c r="N6" i="4" s="1"/>
  <c r="M3" i="4"/>
  <c r="L3" i="4"/>
  <c r="L6" i="4" s="1" a="1"/>
  <c r="L6" i="4" s="1"/>
  <c r="K3" i="4"/>
  <c r="J3" i="4"/>
  <c r="J6" i="4" s="1" a="1"/>
  <c r="J6" i="4" s="1"/>
  <c r="I3" i="4"/>
  <c r="H3" i="4"/>
  <c r="H6" i="4" s="1" a="1"/>
  <c r="H6" i="4" s="1"/>
  <c r="G3" i="4"/>
  <c r="F3" i="4"/>
  <c r="F6" i="4" s="1" a="1"/>
  <c r="F6" i="4" s="1"/>
  <c r="E3" i="4"/>
  <c r="D3" i="4"/>
  <c r="D6" i="4" s="1" a="1"/>
  <c r="D6" i="4" s="1"/>
  <c r="C3" i="4"/>
  <c r="A1" i="4"/>
  <c r="Q25" i="3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AF25" i="3" s="1"/>
  <c r="AG25" i="3" s="1"/>
  <c r="AH25" i="3" s="1"/>
  <c r="AI25" i="3" s="1"/>
  <c r="AJ25" i="3" s="1"/>
  <c r="AK25" i="3" s="1"/>
  <c r="AL25" i="3" s="1"/>
  <c r="AM25" i="3" s="1"/>
  <c r="AN25" i="3" s="1"/>
  <c r="AO25" i="3" s="1"/>
  <c r="AP25" i="3" s="1"/>
  <c r="AQ25" i="3" s="1"/>
  <c r="AR25" i="3" s="1"/>
  <c r="AS25" i="3" s="1"/>
  <c r="AT25" i="3" s="1"/>
  <c r="AU25" i="3" s="1"/>
  <c r="AV25" i="3" s="1"/>
  <c r="AW25" i="3" s="1"/>
  <c r="AX25" i="3" s="1"/>
  <c r="AY25" i="3" s="1"/>
  <c r="AZ25" i="3" s="1"/>
  <c r="BA25" i="3" s="1"/>
  <c r="BB25" i="3" s="1"/>
  <c r="BC25" i="3" s="1"/>
  <c r="BD25" i="3" s="1"/>
  <c r="BE25" i="3" s="1"/>
  <c r="BF25" i="3" s="1"/>
  <c r="BG25" i="3" s="1"/>
  <c r="BH25" i="3" s="1"/>
  <c r="BI25" i="3" s="1"/>
  <c r="BJ25" i="3" s="1"/>
  <c r="BK25" i="3" s="1"/>
  <c r="BL25" i="3" s="1"/>
  <c r="BM25" i="3" s="1"/>
  <c r="BN25" i="3" s="1"/>
  <c r="BO25" i="3" s="1"/>
  <c r="BP25" i="3" s="1"/>
  <c r="BQ25" i="3" s="1"/>
  <c r="BR25" i="3" s="1"/>
  <c r="BS25" i="3" s="1"/>
  <c r="BT25" i="3" s="1"/>
  <c r="BU25" i="3" s="1"/>
  <c r="BV25" i="3" s="1"/>
  <c r="BW25" i="3" s="1"/>
  <c r="BX25" i="3" s="1"/>
  <c r="BY25" i="3" s="1"/>
  <c r="BZ25" i="3" s="1"/>
  <c r="CA25" i="3" s="1"/>
  <c r="CB25" i="3" s="1"/>
  <c r="CC25" i="3" s="1"/>
  <c r="CD25" i="3" s="1"/>
  <c r="CE25" i="3" s="1"/>
  <c r="CF25" i="3" s="1"/>
  <c r="CG25" i="3" s="1"/>
  <c r="CH25" i="3" s="1"/>
  <c r="CI25" i="3" s="1"/>
  <c r="CJ25" i="3" s="1"/>
  <c r="CK25" i="3" s="1"/>
  <c r="CL25" i="3" s="1"/>
  <c r="CM25" i="3" s="1"/>
  <c r="CN25" i="3" s="1"/>
  <c r="CO25" i="3" s="1"/>
  <c r="CP25" i="3" s="1"/>
  <c r="CQ25" i="3" s="1"/>
  <c r="CR25" i="3" s="1"/>
  <c r="CS25" i="3" s="1"/>
  <c r="CT25" i="3" s="1"/>
  <c r="CU25" i="3" s="1"/>
  <c r="CV25" i="3" s="1"/>
  <c r="CW25" i="3" s="1"/>
  <c r="CX25" i="3" s="1"/>
  <c r="CY25" i="3" s="1"/>
  <c r="CZ25" i="3" s="1"/>
  <c r="DA25" i="3" s="1"/>
  <c r="DB25" i="3" s="1"/>
  <c r="DC25" i="3" s="1"/>
  <c r="DD25" i="3" s="1"/>
  <c r="DE25" i="3" s="1"/>
  <c r="DF25" i="3" s="1"/>
  <c r="DG25" i="3" s="1"/>
  <c r="DH25" i="3" s="1"/>
  <c r="DI25" i="3" s="1"/>
  <c r="DJ25" i="3" s="1"/>
  <c r="DK25" i="3" s="1"/>
  <c r="DL25" i="3" s="1"/>
  <c r="DM25" i="3" s="1"/>
  <c r="DN25" i="3" s="1"/>
  <c r="DO25" i="3" s="1"/>
  <c r="DP25" i="3" s="1"/>
  <c r="DQ25" i="3" s="1"/>
  <c r="DR25" i="3" s="1"/>
  <c r="DS25" i="3" s="1"/>
  <c r="DT25" i="3" s="1"/>
  <c r="DU25" i="3" s="1"/>
  <c r="DV25" i="3" s="1"/>
  <c r="DW25" i="3" s="1"/>
  <c r="DX25" i="3" s="1"/>
  <c r="DY25" i="3" s="1"/>
  <c r="DZ25" i="3" s="1"/>
  <c r="EA25" i="3" s="1"/>
  <c r="EB25" i="3" s="1"/>
  <c r="EC25" i="3" s="1"/>
  <c r="ED25" i="3" s="1"/>
  <c r="EE25" i="3" s="1"/>
  <c r="EF25" i="3" s="1"/>
  <c r="M25" i="3"/>
  <c r="N25" i="3" s="1"/>
  <c r="O25" i="3" s="1"/>
  <c r="P25" i="3" s="1"/>
  <c r="I25" i="3"/>
  <c r="J25" i="3" s="1"/>
  <c r="K25" i="3" s="1"/>
  <c r="L25" i="3" s="1"/>
  <c r="E25" i="3"/>
  <c r="F25" i="3" s="1"/>
  <c r="G25" i="3" s="1"/>
  <c r="H25" i="3" s="1"/>
  <c r="D25" i="3"/>
  <c r="F24" i="3"/>
  <c r="G24" i="3" s="1"/>
  <c r="H24" i="3" s="1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AC24" i="3" s="1"/>
  <c r="AD24" i="3" s="1"/>
  <c r="AE24" i="3" s="1"/>
  <c r="AF24" i="3" s="1"/>
  <c r="AG24" i="3" s="1"/>
  <c r="AH24" i="3" s="1"/>
  <c r="AI24" i="3" s="1"/>
  <c r="AJ24" i="3" s="1"/>
  <c r="AK24" i="3" s="1"/>
  <c r="AL24" i="3" s="1"/>
  <c r="AM24" i="3" s="1"/>
  <c r="AN24" i="3" s="1"/>
  <c r="AO24" i="3" s="1"/>
  <c r="AP24" i="3" s="1"/>
  <c r="AQ24" i="3" s="1"/>
  <c r="AR24" i="3" s="1"/>
  <c r="AS24" i="3" s="1"/>
  <c r="AT24" i="3" s="1"/>
  <c r="AU24" i="3" s="1"/>
  <c r="AV24" i="3" s="1"/>
  <c r="AW24" i="3" s="1"/>
  <c r="AX24" i="3" s="1"/>
  <c r="AY24" i="3" s="1"/>
  <c r="AZ24" i="3" s="1"/>
  <c r="BA24" i="3" s="1"/>
  <c r="BB24" i="3" s="1"/>
  <c r="BC24" i="3" s="1"/>
  <c r="BD24" i="3" s="1"/>
  <c r="BE24" i="3" s="1"/>
  <c r="BF24" i="3" s="1"/>
  <c r="BG24" i="3" s="1"/>
  <c r="BH24" i="3" s="1"/>
  <c r="BI24" i="3" s="1"/>
  <c r="BJ24" i="3" s="1"/>
  <c r="BK24" i="3" s="1"/>
  <c r="BL24" i="3" s="1"/>
  <c r="BM24" i="3" s="1"/>
  <c r="BN24" i="3" s="1"/>
  <c r="BO24" i="3" s="1"/>
  <c r="BP24" i="3" s="1"/>
  <c r="BQ24" i="3" s="1"/>
  <c r="BR24" i="3" s="1"/>
  <c r="BS24" i="3" s="1"/>
  <c r="BT24" i="3" s="1"/>
  <c r="BU24" i="3" s="1"/>
  <c r="BV24" i="3" s="1"/>
  <c r="BW24" i="3" s="1"/>
  <c r="BX24" i="3" s="1"/>
  <c r="BY24" i="3" s="1"/>
  <c r="BZ24" i="3" s="1"/>
  <c r="CA24" i="3" s="1"/>
  <c r="CB24" i="3" s="1"/>
  <c r="CC24" i="3" s="1"/>
  <c r="CD24" i="3" s="1"/>
  <c r="CE24" i="3" s="1"/>
  <c r="CF24" i="3" s="1"/>
  <c r="CG24" i="3" s="1"/>
  <c r="CH24" i="3" s="1"/>
  <c r="CI24" i="3" s="1"/>
  <c r="CJ24" i="3" s="1"/>
  <c r="CK24" i="3" s="1"/>
  <c r="CL24" i="3" s="1"/>
  <c r="CM24" i="3" s="1"/>
  <c r="CN24" i="3" s="1"/>
  <c r="CO24" i="3" s="1"/>
  <c r="CP24" i="3" s="1"/>
  <c r="CQ24" i="3" s="1"/>
  <c r="CR24" i="3" s="1"/>
  <c r="CS24" i="3" s="1"/>
  <c r="CT24" i="3" s="1"/>
  <c r="CU24" i="3" s="1"/>
  <c r="CV24" i="3" s="1"/>
  <c r="CW24" i="3" s="1"/>
  <c r="CX24" i="3" s="1"/>
  <c r="CY24" i="3" s="1"/>
  <c r="CZ24" i="3" s="1"/>
  <c r="DA24" i="3" s="1"/>
  <c r="DB24" i="3" s="1"/>
  <c r="DC24" i="3" s="1"/>
  <c r="DD24" i="3" s="1"/>
  <c r="DE24" i="3" s="1"/>
  <c r="DF24" i="3" s="1"/>
  <c r="DG24" i="3" s="1"/>
  <c r="DH24" i="3" s="1"/>
  <c r="DI24" i="3" s="1"/>
  <c r="DJ24" i="3" s="1"/>
  <c r="DK24" i="3" s="1"/>
  <c r="DL24" i="3" s="1"/>
  <c r="DM24" i="3" s="1"/>
  <c r="DN24" i="3" s="1"/>
  <c r="DO24" i="3" s="1"/>
  <c r="DP24" i="3" s="1"/>
  <c r="DQ24" i="3" s="1"/>
  <c r="DR24" i="3" s="1"/>
  <c r="DS24" i="3" s="1"/>
  <c r="DT24" i="3" s="1"/>
  <c r="DU24" i="3" s="1"/>
  <c r="DV24" i="3" s="1"/>
  <c r="DW24" i="3" s="1"/>
  <c r="DX24" i="3" s="1"/>
  <c r="DY24" i="3" s="1"/>
  <c r="DZ24" i="3" s="1"/>
  <c r="EA24" i="3" s="1"/>
  <c r="EB24" i="3" s="1"/>
  <c r="EC24" i="3" s="1"/>
  <c r="ED24" i="3" s="1"/>
  <c r="EE24" i="3" s="1"/>
  <c r="EF24" i="3" s="1"/>
  <c r="C24" i="3"/>
  <c r="D24" i="3" s="1"/>
  <c r="E24" i="3" s="1"/>
  <c r="D23" i="3"/>
  <c r="E23" i="3" s="1"/>
  <c r="F23" i="3" s="1"/>
  <c r="G23" i="3" s="1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AF23" i="3" s="1"/>
  <c r="AG23" i="3" s="1"/>
  <c r="AH23" i="3" s="1"/>
  <c r="AI23" i="3" s="1"/>
  <c r="AJ23" i="3" s="1"/>
  <c r="AK23" i="3" s="1"/>
  <c r="AL23" i="3" s="1"/>
  <c r="AM23" i="3" s="1"/>
  <c r="AN23" i="3" s="1"/>
  <c r="AO23" i="3" s="1"/>
  <c r="AP23" i="3" s="1"/>
  <c r="AQ23" i="3" s="1"/>
  <c r="AR23" i="3" s="1"/>
  <c r="AS23" i="3" s="1"/>
  <c r="AT23" i="3" s="1"/>
  <c r="AU23" i="3" s="1"/>
  <c r="AV23" i="3" s="1"/>
  <c r="AW23" i="3" s="1"/>
  <c r="AX23" i="3" s="1"/>
  <c r="AY23" i="3" s="1"/>
  <c r="AZ23" i="3" s="1"/>
  <c r="BA23" i="3" s="1"/>
  <c r="BB23" i="3" s="1"/>
  <c r="BC23" i="3" s="1"/>
  <c r="BD23" i="3" s="1"/>
  <c r="BE23" i="3" s="1"/>
  <c r="BF23" i="3" s="1"/>
  <c r="BG23" i="3" s="1"/>
  <c r="BH23" i="3" s="1"/>
  <c r="BI23" i="3" s="1"/>
  <c r="BJ23" i="3" s="1"/>
  <c r="BK23" i="3" s="1"/>
  <c r="BL23" i="3" s="1"/>
  <c r="BM23" i="3" s="1"/>
  <c r="BN23" i="3" s="1"/>
  <c r="BO23" i="3" s="1"/>
  <c r="BP23" i="3" s="1"/>
  <c r="BQ23" i="3" s="1"/>
  <c r="BR23" i="3" s="1"/>
  <c r="BS23" i="3" s="1"/>
  <c r="BT23" i="3" s="1"/>
  <c r="BU23" i="3" s="1"/>
  <c r="BV23" i="3" s="1"/>
  <c r="BW23" i="3" s="1"/>
  <c r="BX23" i="3" s="1"/>
  <c r="BY23" i="3" s="1"/>
  <c r="BZ23" i="3" s="1"/>
  <c r="CA23" i="3" s="1"/>
  <c r="CB23" i="3" s="1"/>
  <c r="CC23" i="3" s="1"/>
  <c r="CD23" i="3" s="1"/>
  <c r="CE23" i="3" s="1"/>
  <c r="CF23" i="3" s="1"/>
  <c r="CG23" i="3" s="1"/>
  <c r="CH23" i="3" s="1"/>
  <c r="CI23" i="3" s="1"/>
  <c r="CJ23" i="3" s="1"/>
  <c r="CK23" i="3" s="1"/>
  <c r="CL23" i="3" s="1"/>
  <c r="CM23" i="3" s="1"/>
  <c r="CN23" i="3" s="1"/>
  <c r="CO23" i="3" s="1"/>
  <c r="CP23" i="3" s="1"/>
  <c r="CQ23" i="3" s="1"/>
  <c r="CR23" i="3" s="1"/>
  <c r="CS23" i="3" s="1"/>
  <c r="CT23" i="3" s="1"/>
  <c r="CU23" i="3" s="1"/>
  <c r="CV23" i="3" s="1"/>
  <c r="CW23" i="3" s="1"/>
  <c r="CX23" i="3" s="1"/>
  <c r="CY23" i="3" s="1"/>
  <c r="CZ23" i="3" s="1"/>
  <c r="DA23" i="3" s="1"/>
  <c r="DB23" i="3" s="1"/>
  <c r="DC23" i="3" s="1"/>
  <c r="DD23" i="3" s="1"/>
  <c r="DE23" i="3" s="1"/>
  <c r="DF23" i="3" s="1"/>
  <c r="DG23" i="3" s="1"/>
  <c r="DH23" i="3" s="1"/>
  <c r="DI23" i="3" s="1"/>
  <c r="DJ23" i="3" s="1"/>
  <c r="DK23" i="3" s="1"/>
  <c r="DL23" i="3" s="1"/>
  <c r="DM23" i="3" s="1"/>
  <c r="DN23" i="3" s="1"/>
  <c r="DO23" i="3" s="1"/>
  <c r="DP23" i="3" s="1"/>
  <c r="DQ23" i="3" s="1"/>
  <c r="DR23" i="3" s="1"/>
  <c r="DS23" i="3" s="1"/>
  <c r="DT23" i="3" s="1"/>
  <c r="DU23" i="3" s="1"/>
  <c r="DV23" i="3" s="1"/>
  <c r="DW23" i="3" s="1"/>
  <c r="DX23" i="3" s="1"/>
  <c r="DY23" i="3" s="1"/>
  <c r="DZ23" i="3" s="1"/>
  <c r="EA23" i="3" s="1"/>
  <c r="EB23" i="3" s="1"/>
  <c r="EC23" i="3" s="1"/>
  <c r="ED23" i="3" s="1"/>
  <c r="EE23" i="3" s="1"/>
  <c r="EF23" i="3" s="1"/>
  <c r="C23" i="3"/>
  <c r="J22" i="3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AF22" i="3" s="1"/>
  <c r="AG22" i="3" s="1"/>
  <c r="AH22" i="3" s="1"/>
  <c r="AI22" i="3" s="1"/>
  <c r="AJ22" i="3" s="1"/>
  <c r="AK22" i="3" s="1"/>
  <c r="AL22" i="3" s="1"/>
  <c r="AM22" i="3" s="1"/>
  <c r="AN22" i="3" s="1"/>
  <c r="AO22" i="3" s="1"/>
  <c r="AP22" i="3" s="1"/>
  <c r="AQ22" i="3" s="1"/>
  <c r="AR22" i="3" s="1"/>
  <c r="AS22" i="3" s="1"/>
  <c r="AT22" i="3" s="1"/>
  <c r="AU22" i="3" s="1"/>
  <c r="AV22" i="3" s="1"/>
  <c r="AW22" i="3" s="1"/>
  <c r="AX22" i="3" s="1"/>
  <c r="AY22" i="3" s="1"/>
  <c r="AZ22" i="3" s="1"/>
  <c r="BA22" i="3" s="1"/>
  <c r="BB22" i="3" s="1"/>
  <c r="BC22" i="3" s="1"/>
  <c r="BD22" i="3" s="1"/>
  <c r="BE22" i="3" s="1"/>
  <c r="BF22" i="3" s="1"/>
  <c r="BG22" i="3" s="1"/>
  <c r="BH22" i="3" s="1"/>
  <c r="BI22" i="3" s="1"/>
  <c r="BJ22" i="3" s="1"/>
  <c r="BK22" i="3" s="1"/>
  <c r="BL22" i="3" s="1"/>
  <c r="BM22" i="3" s="1"/>
  <c r="BN22" i="3" s="1"/>
  <c r="BO22" i="3" s="1"/>
  <c r="BP22" i="3" s="1"/>
  <c r="BQ22" i="3" s="1"/>
  <c r="BR22" i="3" s="1"/>
  <c r="BS22" i="3" s="1"/>
  <c r="BT22" i="3" s="1"/>
  <c r="BU22" i="3" s="1"/>
  <c r="BV22" i="3" s="1"/>
  <c r="BW22" i="3" s="1"/>
  <c r="BX22" i="3" s="1"/>
  <c r="BY22" i="3" s="1"/>
  <c r="BZ22" i="3" s="1"/>
  <c r="CA22" i="3" s="1"/>
  <c r="CB22" i="3" s="1"/>
  <c r="CC22" i="3" s="1"/>
  <c r="CD22" i="3" s="1"/>
  <c r="CE22" i="3" s="1"/>
  <c r="CF22" i="3" s="1"/>
  <c r="CG22" i="3" s="1"/>
  <c r="CH22" i="3" s="1"/>
  <c r="CI22" i="3" s="1"/>
  <c r="CJ22" i="3" s="1"/>
  <c r="CK22" i="3" s="1"/>
  <c r="CL22" i="3" s="1"/>
  <c r="CM22" i="3" s="1"/>
  <c r="CN22" i="3" s="1"/>
  <c r="CO22" i="3" s="1"/>
  <c r="CP22" i="3" s="1"/>
  <c r="CQ22" i="3" s="1"/>
  <c r="CR22" i="3" s="1"/>
  <c r="CS22" i="3" s="1"/>
  <c r="CT22" i="3" s="1"/>
  <c r="CU22" i="3" s="1"/>
  <c r="CV22" i="3" s="1"/>
  <c r="CW22" i="3" s="1"/>
  <c r="CX22" i="3" s="1"/>
  <c r="CY22" i="3" s="1"/>
  <c r="CZ22" i="3" s="1"/>
  <c r="DA22" i="3" s="1"/>
  <c r="DB22" i="3" s="1"/>
  <c r="DC22" i="3" s="1"/>
  <c r="DD22" i="3" s="1"/>
  <c r="DE22" i="3" s="1"/>
  <c r="DF22" i="3" s="1"/>
  <c r="DG22" i="3" s="1"/>
  <c r="DH22" i="3" s="1"/>
  <c r="DI22" i="3" s="1"/>
  <c r="DJ22" i="3" s="1"/>
  <c r="DK22" i="3" s="1"/>
  <c r="DL22" i="3" s="1"/>
  <c r="DM22" i="3" s="1"/>
  <c r="DN22" i="3" s="1"/>
  <c r="DO22" i="3" s="1"/>
  <c r="DP22" i="3" s="1"/>
  <c r="DQ22" i="3" s="1"/>
  <c r="DR22" i="3" s="1"/>
  <c r="DS22" i="3" s="1"/>
  <c r="DT22" i="3" s="1"/>
  <c r="DU22" i="3" s="1"/>
  <c r="DV22" i="3" s="1"/>
  <c r="DW22" i="3" s="1"/>
  <c r="DX22" i="3" s="1"/>
  <c r="DY22" i="3" s="1"/>
  <c r="DZ22" i="3" s="1"/>
  <c r="EA22" i="3" s="1"/>
  <c r="EB22" i="3" s="1"/>
  <c r="EC22" i="3" s="1"/>
  <c r="ED22" i="3" s="1"/>
  <c r="EE22" i="3" s="1"/>
  <c r="EF22" i="3" s="1"/>
  <c r="G22" i="3"/>
  <c r="H22" i="3" s="1"/>
  <c r="I22" i="3" s="1"/>
  <c r="C22" i="3"/>
  <c r="D22" i="3" s="1"/>
  <c r="E22" i="3" s="1"/>
  <c r="F22" i="3" s="1"/>
  <c r="E21" i="3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P21" i="3" s="1"/>
  <c r="Q21" i="3" s="1"/>
  <c r="R21" i="3" s="1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AC21" i="3" s="1"/>
  <c r="AD21" i="3" s="1"/>
  <c r="AE21" i="3" s="1"/>
  <c r="AF21" i="3" s="1"/>
  <c r="AG21" i="3" s="1"/>
  <c r="AH21" i="3" s="1"/>
  <c r="AI21" i="3" s="1"/>
  <c r="AJ21" i="3" s="1"/>
  <c r="AK21" i="3" s="1"/>
  <c r="AL21" i="3" s="1"/>
  <c r="AM21" i="3" s="1"/>
  <c r="AN21" i="3" s="1"/>
  <c r="AO21" i="3" s="1"/>
  <c r="AP21" i="3" s="1"/>
  <c r="AQ21" i="3" s="1"/>
  <c r="AR21" i="3" s="1"/>
  <c r="AS21" i="3" s="1"/>
  <c r="AT21" i="3" s="1"/>
  <c r="AU21" i="3" s="1"/>
  <c r="AV21" i="3" s="1"/>
  <c r="AW21" i="3" s="1"/>
  <c r="AX21" i="3" s="1"/>
  <c r="AY21" i="3" s="1"/>
  <c r="AZ21" i="3" s="1"/>
  <c r="BA21" i="3" s="1"/>
  <c r="BB21" i="3" s="1"/>
  <c r="BC21" i="3" s="1"/>
  <c r="BD21" i="3" s="1"/>
  <c r="BE21" i="3" s="1"/>
  <c r="BF21" i="3" s="1"/>
  <c r="BG21" i="3" s="1"/>
  <c r="BH21" i="3" s="1"/>
  <c r="BI21" i="3" s="1"/>
  <c r="BJ21" i="3" s="1"/>
  <c r="BK21" i="3" s="1"/>
  <c r="BL21" i="3" s="1"/>
  <c r="BM21" i="3" s="1"/>
  <c r="BN21" i="3" s="1"/>
  <c r="BO21" i="3" s="1"/>
  <c r="BP21" i="3" s="1"/>
  <c r="BQ21" i="3" s="1"/>
  <c r="BR21" i="3" s="1"/>
  <c r="BS21" i="3" s="1"/>
  <c r="BT21" i="3" s="1"/>
  <c r="BU21" i="3" s="1"/>
  <c r="BV21" i="3" s="1"/>
  <c r="BW21" i="3" s="1"/>
  <c r="BX21" i="3" s="1"/>
  <c r="BY21" i="3" s="1"/>
  <c r="BZ21" i="3" s="1"/>
  <c r="CA21" i="3" s="1"/>
  <c r="CB21" i="3" s="1"/>
  <c r="CC21" i="3" s="1"/>
  <c r="CD21" i="3" s="1"/>
  <c r="CE21" i="3" s="1"/>
  <c r="CF21" i="3" s="1"/>
  <c r="CG21" i="3" s="1"/>
  <c r="CH21" i="3" s="1"/>
  <c r="CI21" i="3" s="1"/>
  <c r="CJ21" i="3" s="1"/>
  <c r="CK21" i="3" s="1"/>
  <c r="CL21" i="3" s="1"/>
  <c r="CM21" i="3" s="1"/>
  <c r="CN21" i="3" s="1"/>
  <c r="CO21" i="3" s="1"/>
  <c r="CP21" i="3" s="1"/>
  <c r="CQ21" i="3" s="1"/>
  <c r="CR21" i="3" s="1"/>
  <c r="CS21" i="3" s="1"/>
  <c r="CT21" i="3" s="1"/>
  <c r="CU21" i="3" s="1"/>
  <c r="CV21" i="3" s="1"/>
  <c r="CW21" i="3" s="1"/>
  <c r="CX21" i="3" s="1"/>
  <c r="CY21" i="3" s="1"/>
  <c r="CZ21" i="3" s="1"/>
  <c r="DA21" i="3" s="1"/>
  <c r="DB21" i="3" s="1"/>
  <c r="DC21" i="3" s="1"/>
  <c r="DD21" i="3" s="1"/>
  <c r="DE21" i="3" s="1"/>
  <c r="DF21" i="3" s="1"/>
  <c r="DG21" i="3" s="1"/>
  <c r="DH21" i="3" s="1"/>
  <c r="DI21" i="3" s="1"/>
  <c r="DJ21" i="3" s="1"/>
  <c r="DK21" i="3" s="1"/>
  <c r="DL21" i="3" s="1"/>
  <c r="DM21" i="3" s="1"/>
  <c r="DN21" i="3" s="1"/>
  <c r="DO21" i="3" s="1"/>
  <c r="DP21" i="3" s="1"/>
  <c r="DQ21" i="3" s="1"/>
  <c r="DR21" i="3" s="1"/>
  <c r="DS21" i="3" s="1"/>
  <c r="DT21" i="3" s="1"/>
  <c r="DU21" i="3" s="1"/>
  <c r="DV21" i="3" s="1"/>
  <c r="DW21" i="3" s="1"/>
  <c r="DX21" i="3" s="1"/>
  <c r="DY21" i="3" s="1"/>
  <c r="DZ21" i="3" s="1"/>
  <c r="EA21" i="3" s="1"/>
  <c r="EB21" i="3" s="1"/>
  <c r="EC21" i="3" s="1"/>
  <c r="ED21" i="3" s="1"/>
  <c r="EE21" i="3" s="1"/>
  <c r="EF21" i="3" s="1"/>
  <c r="D21" i="3"/>
  <c r="C21" i="3"/>
  <c r="F20" i="3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BC20" i="3" s="1"/>
  <c r="BD20" i="3" s="1"/>
  <c r="BE20" i="3" s="1"/>
  <c r="BF20" i="3" s="1"/>
  <c r="BG20" i="3" s="1"/>
  <c r="BH20" i="3" s="1"/>
  <c r="BI20" i="3" s="1"/>
  <c r="BJ20" i="3" s="1"/>
  <c r="BK20" i="3" s="1"/>
  <c r="BL20" i="3" s="1"/>
  <c r="BM20" i="3" s="1"/>
  <c r="BN20" i="3" s="1"/>
  <c r="BO20" i="3" s="1"/>
  <c r="BP20" i="3" s="1"/>
  <c r="BQ20" i="3" s="1"/>
  <c r="BR20" i="3" s="1"/>
  <c r="BS20" i="3" s="1"/>
  <c r="BT20" i="3" s="1"/>
  <c r="BU20" i="3" s="1"/>
  <c r="BV20" i="3" s="1"/>
  <c r="BW20" i="3" s="1"/>
  <c r="BX20" i="3" s="1"/>
  <c r="BY20" i="3" s="1"/>
  <c r="BZ20" i="3" s="1"/>
  <c r="CA20" i="3" s="1"/>
  <c r="CB20" i="3" s="1"/>
  <c r="CC20" i="3" s="1"/>
  <c r="CD20" i="3" s="1"/>
  <c r="CE20" i="3" s="1"/>
  <c r="CF20" i="3" s="1"/>
  <c r="CG20" i="3" s="1"/>
  <c r="CH20" i="3" s="1"/>
  <c r="CI20" i="3" s="1"/>
  <c r="CJ20" i="3" s="1"/>
  <c r="CK20" i="3" s="1"/>
  <c r="CL20" i="3" s="1"/>
  <c r="CM20" i="3" s="1"/>
  <c r="CN20" i="3" s="1"/>
  <c r="CO20" i="3" s="1"/>
  <c r="CP20" i="3" s="1"/>
  <c r="CQ20" i="3" s="1"/>
  <c r="CR20" i="3" s="1"/>
  <c r="CS20" i="3" s="1"/>
  <c r="CT20" i="3" s="1"/>
  <c r="CU20" i="3" s="1"/>
  <c r="CV20" i="3" s="1"/>
  <c r="CW20" i="3" s="1"/>
  <c r="CX20" i="3" s="1"/>
  <c r="CY20" i="3" s="1"/>
  <c r="CZ20" i="3" s="1"/>
  <c r="DA20" i="3" s="1"/>
  <c r="DB20" i="3" s="1"/>
  <c r="DC20" i="3" s="1"/>
  <c r="DD20" i="3" s="1"/>
  <c r="DE20" i="3" s="1"/>
  <c r="DF20" i="3" s="1"/>
  <c r="DG20" i="3" s="1"/>
  <c r="DH20" i="3" s="1"/>
  <c r="DI20" i="3" s="1"/>
  <c r="DJ20" i="3" s="1"/>
  <c r="DK20" i="3" s="1"/>
  <c r="DL20" i="3" s="1"/>
  <c r="DM20" i="3" s="1"/>
  <c r="DN20" i="3" s="1"/>
  <c r="DO20" i="3" s="1"/>
  <c r="DP20" i="3" s="1"/>
  <c r="DQ20" i="3" s="1"/>
  <c r="DR20" i="3" s="1"/>
  <c r="DS20" i="3" s="1"/>
  <c r="DT20" i="3" s="1"/>
  <c r="DU20" i="3" s="1"/>
  <c r="DV20" i="3" s="1"/>
  <c r="DW20" i="3" s="1"/>
  <c r="DX20" i="3" s="1"/>
  <c r="DY20" i="3" s="1"/>
  <c r="DZ20" i="3" s="1"/>
  <c r="EA20" i="3" s="1"/>
  <c r="EB20" i="3" s="1"/>
  <c r="EC20" i="3" s="1"/>
  <c r="ED20" i="3" s="1"/>
  <c r="EE20" i="3" s="1"/>
  <c r="EF20" i="3" s="1"/>
  <c r="C20" i="3"/>
  <c r="D20" i="3" s="1"/>
  <c r="E20" i="3" s="1"/>
  <c r="D19" i="3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H19" i="3" s="1"/>
  <c r="AI19" i="3" s="1"/>
  <c r="AJ19" i="3" s="1"/>
  <c r="AK19" i="3" s="1"/>
  <c r="AL19" i="3" s="1"/>
  <c r="AM19" i="3" s="1"/>
  <c r="AN19" i="3" s="1"/>
  <c r="AO19" i="3" s="1"/>
  <c r="AP19" i="3" s="1"/>
  <c r="AQ19" i="3" s="1"/>
  <c r="AR19" i="3" s="1"/>
  <c r="AS19" i="3" s="1"/>
  <c r="AT19" i="3" s="1"/>
  <c r="AU19" i="3" s="1"/>
  <c r="AV19" i="3" s="1"/>
  <c r="AW19" i="3" s="1"/>
  <c r="AX19" i="3" s="1"/>
  <c r="AY19" i="3" s="1"/>
  <c r="AZ19" i="3" s="1"/>
  <c r="BA19" i="3" s="1"/>
  <c r="BB19" i="3" s="1"/>
  <c r="BC19" i="3" s="1"/>
  <c r="BD19" i="3" s="1"/>
  <c r="BE19" i="3" s="1"/>
  <c r="BF19" i="3" s="1"/>
  <c r="BG19" i="3" s="1"/>
  <c r="BH19" i="3" s="1"/>
  <c r="BI19" i="3" s="1"/>
  <c r="BJ19" i="3" s="1"/>
  <c r="BK19" i="3" s="1"/>
  <c r="BL19" i="3" s="1"/>
  <c r="BM19" i="3" s="1"/>
  <c r="BN19" i="3" s="1"/>
  <c r="BO19" i="3" s="1"/>
  <c r="BP19" i="3" s="1"/>
  <c r="BQ19" i="3" s="1"/>
  <c r="BR19" i="3" s="1"/>
  <c r="BS19" i="3" s="1"/>
  <c r="BT19" i="3" s="1"/>
  <c r="BU19" i="3" s="1"/>
  <c r="BV19" i="3" s="1"/>
  <c r="BW19" i="3" s="1"/>
  <c r="BX19" i="3" s="1"/>
  <c r="BY19" i="3" s="1"/>
  <c r="BZ19" i="3" s="1"/>
  <c r="CA19" i="3" s="1"/>
  <c r="CB19" i="3" s="1"/>
  <c r="CC19" i="3" s="1"/>
  <c r="CD19" i="3" s="1"/>
  <c r="CE19" i="3" s="1"/>
  <c r="CF19" i="3" s="1"/>
  <c r="CG19" i="3" s="1"/>
  <c r="CH19" i="3" s="1"/>
  <c r="CI19" i="3" s="1"/>
  <c r="CJ19" i="3" s="1"/>
  <c r="CK19" i="3" s="1"/>
  <c r="CL19" i="3" s="1"/>
  <c r="CM19" i="3" s="1"/>
  <c r="CN19" i="3" s="1"/>
  <c r="CO19" i="3" s="1"/>
  <c r="CP19" i="3" s="1"/>
  <c r="CQ19" i="3" s="1"/>
  <c r="CR19" i="3" s="1"/>
  <c r="CS19" i="3" s="1"/>
  <c r="CT19" i="3" s="1"/>
  <c r="CU19" i="3" s="1"/>
  <c r="CV19" i="3" s="1"/>
  <c r="CW19" i="3" s="1"/>
  <c r="CX19" i="3" s="1"/>
  <c r="CY19" i="3" s="1"/>
  <c r="CZ19" i="3" s="1"/>
  <c r="DA19" i="3" s="1"/>
  <c r="DB19" i="3" s="1"/>
  <c r="DC19" i="3" s="1"/>
  <c r="DD19" i="3" s="1"/>
  <c r="DE19" i="3" s="1"/>
  <c r="DF19" i="3" s="1"/>
  <c r="DG19" i="3" s="1"/>
  <c r="DH19" i="3" s="1"/>
  <c r="DI19" i="3" s="1"/>
  <c r="DJ19" i="3" s="1"/>
  <c r="DK19" i="3" s="1"/>
  <c r="DL19" i="3" s="1"/>
  <c r="DM19" i="3" s="1"/>
  <c r="DN19" i="3" s="1"/>
  <c r="DO19" i="3" s="1"/>
  <c r="DP19" i="3" s="1"/>
  <c r="DQ19" i="3" s="1"/>
  <c r="DR19" i="3" s="1"/>
  <c r="DS19" i="3" s="1"/>
  <c r="DT19" i="3" s="1"/>
  <c r="DU19" i="3" s="1"/>
  <c r="DV19" i="3" s="1"/>
  <c r="DW19" i="3" s="1"/>
  <c r="DX19" i="3" s="1"/>
  <c r="DY19" i="3" s="1"/>
  <c r="DZ19" i="3" s="1"/>
  <c r="EA19" i="3" s="1"/>
  <c r="EB19" i="3" s="1"/>
  <c r="EC19" i="3" s="1"/>
  <c r="ED19" i="3" s="1"/>
  <c r="EE19" i="3" s="1"/>
  <c r="EF19" i="3" s="1"/>
  <c r="C19" i="3"/>
  <c r="C18" i="3"/>
  <c r="D18" i="3" s="1"/>
  <c r="E18" i="3" s="1"/>
  <c r="F18" i="3" s="1"/>
  <c r="G18" i="3" s="1"/>
  <c r="H18" i="3" s="1"/>
  <c r="I18" i="3" s="1"/>
  <c r="J18" i="3" s="1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AG18" i="3" s="1"/>
  <c r="AH18" i="3" s="1"/>
  <c r="AI18" i="3" s="1"/>
  <c r="AJ18" i="3" s="1"/>
  <c r="AK18" i="3" s="1"/>
  <c r="AL18" i="3" s="1"/>
  <c r="AM18" i="3" s="1"/>
  <c r="AN18" i="3" s="1"/>
  <c r="AO18" i="3" s="1"/>
  <c r="AP18" i="3" s="1"/>
  <c r="AQ18" i="3" s="1"/>
  <c r="AR18" i="3" s="1"/>
  <c r="AS18" i="3" s="1"/>
  <c r="AT18" i="3" s="1"/>
  <c r="AU18" i="3" s="1"/>
  <c r="AV18" i="3" s="1"/>
  <c r="AW18" i="3" s="1"/>
  <c r="AX18" i="3" s="1"/>
  <c r="AY18" i="3" s="1"/>
  <c r="AZ18" i="3" s="1"/>
  <c r="BA18" i="3" s="1"/>
  <c r="BB18" i="3" s="1"/>
  <c r="BC18" i="3" s="1"/>
  <c r="BD18" i="3" s="1"/>
  <c r="BE18" i="3" s="1"/>
  <c r="BF18" i="3" s="1"/>
  <c r="BG18" i="3" s="1"/>
  <c r="BH18" i="3" s="1"/>
  <c r="BI18" i="3" s="1"/>
  <c r="BJ18" i="3" s="1"/>
  <c r="BK18" i="3" s="1"/>
  <c r="BL18" i="3" s="1"/>
  <c r="BM18" i="3" s="1"/>
  <c r="BN18" i="3" s="1"/>
  <c r="BO18" i="3" s="1"/>
  <c r="BP18" i="3" s="1"/>
  <c r="BQ18" i="3" s="1"/>
  <c r="BR18" i="3" s="1"/>
  <c r="BS18" i="3" s="1"/>
  <c r="BT18" i="3" s="1"/>
  <c r="BU18" i="3" s="1"/>
  <c r="BV18" i="3" s="1"/>
  <c r="BW18" i="3" s="1"/>
  <c r="BX18" i="3" s="1"/>
  <c r="BY18" i="3" s="1"/>
  <c r="BZ18" i="3" s="1"/>
  <c r="CA18" i="3" s="1"/>
  <c r="CB18" i="3" s="1"/>
  <c r="CC18" i="3" s="1"/>
  <c r="CD18" i="3" s="1"/>
  <c r="CE18" i="3" s="1"/>
  <c r="CF18" i="3" s="1"/>
  <c r="CG18" i="3" s="1"/>
  <c r="CH18" i="3" s="1"/>
  <c r="CI18" i="3" s="1"/>
  <c r="CJ18" i="3" s="1"/>
  <c r="CK18" i="3" s="1"/>
  <c r="CL18" i="3" s="1"/>
  <c r="CM18" i="3" s="1"/>
  <c r="CN18" i="3" s="1"/>
  <c r="CO18" i="3" s="1"/>
  <c r="CP18" i="3" s="1"/>
  <c r="CQ18" i="3" s="1"/>
  <c r="CR18" i="3" s="1"/>
  <c r="CS18" i="3" s="1"/>
  <c r="CT18" i="3" s="1"/>
  <c r="CU18" i="3" s="1"/>
  <c r="CV18" i="3" s="1"/>
  <c r="CW18" i="3" s="1"/>
  <c r="CX18" i="3" s="1"/>
  <c r="CY18" i="3" s="1"/>
  <c r="CZ18" i="3" s="1"/>
  <c r="DA18" i="3" s="1"/>
  <c r="DB18" i="3" s="1"/>
  <c r="DC18" i="3" s="1"/>
  <c r="DD18" i="3" s="1"/>
  <c r="DE18" i="3" s="1"/>
  <c r="DF18" i="3" s="1"/>
  <c r="DG18" i="3" s="1"/>
  <c r="DH18" i="3" s="1"/>
  <c r="DI18" i="3" s="1"/>
  <c r="DJ18" i="3" s="1"/>
  <c r="DK18" i="3" s="1"/>
  <c r="DL18" i="3" s="1"/>
  <c r="DM18" i="3" s="1"/>
  <c r="DN18" i="3" s="1"/>
  <c r="DO18" i="3" s="1"/>
  <c r="DP18" i="3" s="1"/>
  <c r="DQ18" i="3" s="1"/>
  <c r="DR18" i="3" s="1"/>
  <c r="DS18" i="3" s="1"/>
  <c r="DT18" i="3" s="1"/>
  <c r="DU18" i="3" s="1"/>
  <c r="DV18" i="3" s="1"/>
  <c r="DW18" i="3" s="1"/>
  <c r="DX18" i="3" s="1"/>
  <c r="DY18" i="3" s="1"/>
  <c r="DZ18" i="3" s="1"/>
  <c r="EA18" i="3" s="1"/>
  <c r="EB18" i="3" s="1"/>
  <c r="EC18" i="3" s="1"/>
  <c r="ED18" i="3" s="1"/>
  <c r="EE18" i="3" s="1"/>
  <c r="EF18" i="3" s="1"/>
  <c r="C17" i="3"/>
  <c r="D17" i="3" s="1"/>
  <c r="E17" i="3" s="1"/>
  <c r="F17" i="3" s="1"/>
  <c r="G17" i="3" s="1"/>
  <c r="H17" i="3" s="1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AG17" i="3" s="1"/>
  <c r="AH17" i="3" s="1"/>
  <c r="AI17" i="3" s="1"/>
  <c r="AJ17" i="3" s="1"/>
  <c r="AK17" i="3" s="1"/>
  <c r="AL17" i="3" s="1"/>
  <c r="AM17" i="3" s="1"/>
  <c r="AN17" i="3" s="1"/>
  <c r="AO17" i="3" s="1"/>
  <c r="AP17" i="3" s="1"/>
  <c r="AQ17" i="3" s="1"/>
  <c r="AR17" i="3" s="1"/>
  <c r="AS17" i="3" s="1"/>
  <c r="AT17" i="3" s="1"/>
  <c r="AU17" i="3" s="1"/>
  <c r="AV17" i="3" s="1"/>
  <c r="AW17" i="3" s="1"/>
  <c r="AX17" i="3" s="1"/>
  <c r="AY17" i="3" s="1"/>
  <c r="AZ17" i="3" s="1"/>
  <c r="BA17" i="3" s="1"/>
  <c r="BB17" i="3" s="1"/>
  <c r="BC17" i="3" s="1"/>
  <c r="BD17" i="3" s="1"/>
  <c r="BE17" i="3" s="1"/>
  <c r="BF17" i="3" s="1"/>
  <c r="BG17" i="3" s="1"/>
  <c r="BH17" i="3" s="1"/>
  <c r="BI17" i="3" s="1"/>
  <c r="BJ17" i="3" s="1"/>
  <c r="BK17" i="3" s="1"/>
  <c r="BL17" i="3" s="1"/>
  <c r="BM17" i="3" s="1"/>
  <c r="BN17" i="3" s="1"/>
  <c r="BO17" i="3" s="1"/>
  <c r="BP17" i="3" s="1"/>
  <c r="BQ17" i="3" s="1"/>
  <c r="BR17" i="3" s="1"/>
  <c r="BS17" i="3" s="1"/>
  <c r="BT17" i="3" s="1"/>
  <c r="BU17" i="3" s="1"/>
  <c r="BV17" i="3" s="1"/>
  <c r="BW17" i="3" s="1"/>
  <c r="BX17" i="3" s="1"/>
  <c r="BY17" i="3" s="1"/>
  <c r="BZ17" i="3" s="1"/>
  <c r="CA17" i="3" s="1"/>
  <c r="CB17" i="3" s="1"/>
  <c r="CC17" i="3" s="1"/>
  <c r="CD17" i="3" s="1"/>
  <c r="CE17" i="3" s="1"/>
  <c r="CF17" i="3" s="1"/>
  <c r="CG17" i="3" s="1"/>
  <c r="CH17" i="3" s="1"/>
  <c r="CI17" i="3" s="1"/>
  <c r="CJ17" i="3" s="1"/>
  <c r="CK17" i="3" s="1"/>
  <c r="CL17" i="3" s="1"/>
  <c r="CM17" i="3" s="1"/>
  <c r="CN17" i="3" s="1"/>
  <c r="CO17" i="3" s="1"/>
  <c r="CP17" i="3" s="1"/>
  <c r="CQ17" i="3" s="1"/>
  <c r="CR17" i="3" s="1"/>
  <c r="CS17" i="3" s="1"/>
  <c r="CT17" i="3" s="1"/>
  <c r="CU17" i="3" s="1"/>
  <c r="CV17" i="3" s="1"/>
  <c r="CW17" i="3" s="1"/>
  <c r="CX17" i="3" s="1"/>
  <c r="CY17" i="3" s="1"/>
  <c r="CZ17" i="3" s="1"/>
  <c r="DA17" i="3" s="1"/>
  <c r="DB17" i="3" s="1"/>
  <c r="DC17" i="3" s="1"/>
  <c r="DD17" i="3" s="1"/>
  <c r="DE17" i="3" s="1"/>
  <c r="DF17" i="3" s="1"/>
  <c r="DG17" i="3" s="1"/>
  <c r="DH17" i="3" s="1"/>
  <c r="DI17" i="3" s="1"/>
  <c r="DJ17" i="3" s="1"/>
  <c r="DK17" i="3" s="1"/>
  <c r="DL17" i="3" s="1"/>
  <c r="DM17" i="3" s="1"/>
  <c r="DN17" i="3" s="1"/>
  <c r="DO17" i="3" s="1"/>
  <c r="DP17" i="3" s="1"/>
  <c r="DQ17" i="3" s="1"/>
  <c r="DR17" i="3" s="1"/>
  <c r="DS17" i="3" s="1"/>
  <c r="DT17" i="3" s="1"/>
  <c r="DU17" i="3" s="1"/>
  <c r="DV17" i="3" s="1"/>
  <c r="DW17" i="3" s="1"/>
  <c r="DX17" i="3" s="1"/>
  <c r="DY17" i="3" s="1"/>
  <c r="DZ17" i="3" s="1"/>
  <c r="EA17" i="3" s="1"/>
  <c r="EB17" i="3" s="1"/>
  <c r="EC17" i="3" s="1"/>
  <c r="ED17" i="3" s="1"/>
  <c r="EE17" i="3" s="1"/>
  <c r="EF17" i="3" s="1"/>
  <c r="C16" i="3"/>
  <c r="D16" i="3" s="1"/>
  <c r="E16" i="3" s="1"/>
  <c r="F16" i="3" s="1"/>
  <c r="G16" i="3" s="1"/>
  <c r="H16" i="3" s="1"/>
  <c r="I16" i="3" s="1"/>
  <c r="J16" i="3" s="1"/>
  <c r="K16" i="3" s="1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G16" i="3" s="1"/>
  <c r="AH16" i="3" s="1"/>
  <c r="AI16" i="3" s="1"/>
  <c r="AJ16" i="3" s="1"/>
  <c r="AK16" i="3" s="1"/>
  <c r="AL16" i="3" s="1"/>
  <c r="AM16" i="3" s="1"/>
  <c r="AN16" i="3" s="1"/>
  <c r="AO16" i="3" s="1"/>
  <c r="AP16" i="3" s="1"/>
  <c r="AQ16" i="3" s="1"/>
  <c r="AR16" i="3" s="1"/>
  <c r="AS16" i="3" s="1"/>
  <c r="AT16" i="3" s="1"/>
  <c r="AU16" i="3" s="1"/>
  <c r="AV16" i="3" s="1"/>
  <c r="AW16" i="3" s="1"/>
  <c r="AX16" i="3" s="1"/>
  <c r="AY16" i="3" s="1"/>
  <c r="AZ16" i="3" s="1"/>
  <c r="BA16" i="3" s="1"/>
  <c r="BB16" i="3" s="1"/>
  <c r="BC16" i="3" s="1"/>
  <c r="BD16" i="3" s="1"/>
  <c r="BE16" i="3" s="1"/>
  <c r="BF16" i="3" s="1"/>
  <c r="BG16" i="3" s="1"/>
  <c r="BH16" i="3" s="1"/>
  <c r="BI16" i="3" s="1"/>
  <c r="BJ16" i="3" s="1"/>
  <c r="BK16" i="3" s="1"/>
  <c r="BL16" i="3" s="1"/>
  <c r="BM16" i="3" s="1"/>
  <c r="BN16" i="3" s="1"/>
  <c r="BO16" i="3" s="1"/>
  <c r="BP16" i="3" s="1"/>
  <c r="BQ16" i="3" s="1"/>
  <c r="BR16" i="3" s="1"/>
  <c r="BS16" i="3" s="1"/>
  <c r="BT16" i="3" s="1"/>
  <c r="BU16" i="3" s="1"/>
  <c r="BV16" i="3" s="1"/>
  <c r="BW16" i="3" s="1"/>
  <c r="BX16" i="3" s="1"/>
  <c r="BY16" i="3" s="1"/>
  <c r="BZ16" i="3" s="1"/>
  <c r="CA16" i="3" s="1"/>
  <c r="CB16" i="3" s="1"/>
  <c r="CC16" i="3" s="1"/>
  <c r="CD16" i="3" s="1"/>
  <c r="CE16" i="3" s="1"/>
  <c r="CF16" i="3" s="1"/>
  <c r="CG16" i="3" s="1"/>
  <c r="CH16" i="3" s="1"/>
  <c r="CI16" i="3" s="1"/>
  <c r="CJ16" i="3" s="1"/>
  <c r="CK16" i="3" s="1"/>
  <c r="CL16" i="3" s="1"/>
  <c r="CM16" i="3" s="1"/>
  <c r="CN16" i="3" s="1"/>
  <c r="CO16" i="3" s="1"/>
  <c r="CP16" i="3" s="1"/>
  <c r="CQ16" i="3" s="1"/>
  <c r="CR16" i="3" s="1"/>
  <c r="CS16" i="3" s="1"/>
  <c r="CT16" i="3" s="1"/>
  <c r="CU16" i="3" s="1"/>
  <c r="CV16" i="3" s="1"/>
  <c r="CW16" i="3" s="1"/>
  <c r="CX16" i="3" s="1"/>
  <c r="CY16" i="3" s="1"/>
  <c r="CZ16" i="3" s="1"/>
  <c r="DA16" i="3" s="1"/>
  <c r="DB16" i="3" s="1"/>
  <c r="DC16" i="3" s="1"/>
  <c r="DD16" i="3" s="1"/>
  <c r="DE16" i="3" s="1"/>
  <c r="DF16" i="3" s="1"/>
  <c r="DG16" i="3" s="1"/>
  <c r="DH16" i="3" s="1"/>
  <c r="DI16" i="3" s="1"/>
  <c r="DJ16" i="3" s="1"/>
  <c r="DK16" i="3" s="1"/>
  <c r="DL16" i="3" s="1"/>
  <c r="DM16" i="3" s="1"/>
  <c r="DN16" i="3" s="1"/>
  <c r="DO16" i="3" s="1"/>
  <c r="DP16" i="3" s="1"/>
  <c r="DQ16" i="3" s="1"/>
  <c r="DR16" i="3" s="1"/>
  <c r="DS16" i="3" s="1"/>
  <c r="DT16" i="3" s="1"/>
  <c r="DU16" i="3" s="1"/>
  <c r="DV16" i="3" s="1"/>
  <c r="DW16" i="3" s="1"/>
  <c r="DX16" i="3" s="1"/>
  <c r="DY16" i="3" s="1"/>
  <c r="DZ16" i="3" s="1"/>
  <c r="EA16" i="3" s="1"/>
  <c r="EB16" i="3" s="1"/>
  <c r="EC16" i="3" s="1"/>
  <c r="ED16" i="3" s="1"/>
  <c r="EE16" i="3" s="1"/>
  <c r="EF16" i="3" s="1"/>
  <c r="C15" i="3"/>
  <c r="D15" i="3" s="1"/>
  <c r="E15" i="3" s="1"/>
  <c r="F15" i="3" s="1"/>
  <c r="G15" i="3" s="1"/>
  <c r="H15" i="3" s="1"/>
  <c r="I15" i="3" s="1"/>
  <c r="J15" i="3" s="1"/>
  <c r="K15" i="3" s="1"/>
  <c r="L15" i="3" s="1"/>
  <c r="M15" i="3" s="1"/>
  <c r="N15" i="3" s="1"/>
  <c r="O15" i="3" s="1"/>
  <c r="P15" i="3" s="1"/>
  <c r="Q15" i="3" s="1"/>
  <c r="R15" i="3" s="1"/>
  <c r="S15" i="3" s="1"/>
  <c r="T15" i="3" s="1"/>
  <c r="U15" i="3" s="1"/>
  <c r="V15" i="3" s="1"/>
  <c r="W15" i="3" s="1"/>
  <c r="X15" i="3" s="1"/>
  <c r="Y15" i="3" s="1"/>
  <c r="Z15" i="3" s="1"/>
  <c r="AA15" i="3" s="1"/>
  <c r="AB15" i="3" s="1"/>
  <c r="AC15" i="3" s="1"/>
  <c r="AD15" i="3" s="1"/>
  <c r="AE15" i="3" s="1"/>
  <c r="AF15" i="3" s="1"/>
  <c r="AG15" i="3" s="1"/>
  <c r="AH15" i="3" s="1"/>
  <c r="AI15" i="3" s="1"/>
  <c r="AJ15" i="3" s="1"/>
  <c r="AK15" i="3" s="1"/>
  <c r="AL15" i="3" s="1"/>
  <c r="AM15" i="3" s="1"/>
  <c r="AN15" i="3" s="1"/>
  <c r="AO15" i="3" s="1"/>
  <c r="AP15" i="3" s="1"/>
  <c r="AQ15" i="3" s="1"/>
  <c r="AR15" i="3" s="1"/>
  <c r="AS15" i="3" s="1"/>
  <c r="AT15" i="3" s="1"/>
  <c r="AU15" i="3" s="1"/>
  <c r="AV15" i="3" s="1"/>
  <c r="AW15" i="3" s="1"/>
  <c r="AX15" i="3" s="1"/>
  <c r="AY15" i="3" s="1"/>
  <c r="AZ15" i="3" s="1"/>
  <c r="BA15" i="3" s="1"/>
  <c r="BB15" i="3" s="1"/>
  <c r="BC15" i="3" s="1"/>
  <c r="BD15" i="3" s="1"/>
  <c r="BE15" i="3" s="1"/>
  <c r="BF15" i="3" s="1"/>
  <c r="BG15" i="3" s="1"/>
  <c r="BH15" i="3" s="1"/>
  <c r="BI15" i="3" s="1"/>
  <c r="BJ15" i="3" s="1"/>
  <c r="BK15" i="3" s="1"/>
  <c r="BL15" i="3" s="1"/>
  <c r="BM15" i="3" s="1"/>
  <c r="BN15" i="3" s="1"/>
  <c r="BO15" i="3" s="1"/>
  <c r="BP15" i="3" s="1"/>
  <c r="BQ15" i="3" s="1"/>
  <c r="BR15" i="3" s="1"/>
  <c r="BS15" i="3" s="1"/>
  <c r="BT15" i="3" s="1"/>
  <c r="BU15" i="3" s="1"/>
  <c r="BV15" i="3" s="1"/>
  <c r="BW15" i="3" s="1"/>
  <c r="BX15" i="3" s="1"/>
  <c r="BY15" i="3" s="1"/>
  <c r="BZ15" i="3" s="1"/>
  <c r="CA15" i="3" s="1"/>
  <c r="CB15" i="3" s="1"/>
  <c r="CC15" i="3" s="1"/>
  <c r="CD15" i="3" s="1"/>
  <c r="CE15" i="3" s="1"/>
  <c r="CF15" i="3" s="1"/>
  <c r="CG15" i="3" s="1"/>
  <c r="CH15" i="3" s="1"/>
  <c r="CI15" i="3" s="1"/>
  <c r="CJ15" i="3" s="1"/>
  <c r="CK15" i="3" s="1"/>
  <c r="CL15" i="3" s="1"/>
  <c r="CM15" i="3" s="1"/>
  <c r="CN15" i="3" s="1"/>
  <c r="CO15" i="3" s="1"/>
  <c r="CP15" i="3" s="1"/>
  <c r="CQ15" i="3" s="1"/>
  <c r="CR15" i="3" s="1"/>
  <c r="CS15" i="3" s="1"/>
  <c r="CT15" i="3" s="1"/>
  <c r="CU15" i="3" s="1"/>
  <c r="CV15" i="3" s="1"/>
  <c r="CW15" i="3" s="1"/>
  <c r="CX15" i="3" s="1"/>
  <c r="CY15" i="3" s="1"/>
  <c r="CZ15" i="3" s="1"/>
  <c r="DA15" i="3" s="1"/>
  <c r="DB15" i="3" s="1"/>
  <c r="DC15" i="3" s="1"/>
  <c r="DD15" i="3" s="1"/>
  <c r="DE15" i="3" s="1"/>
  <c r="DF15" i="3" s="1"/>
  <c r="DG15" i="3" s="1"/>
  <c r="DH15" i="3" s="1"/>
  <c r="DI15" i="3" s="1"/>
  <c r="DJ15" i="3" s="1"/>
  <c r="DK15" i="3" s="1"/>
  <c r="DL15" i="3" s="1"/>
  <c r="DM15" i="3" s="1"/>
  <c r="DN15" i="3" s="1"/>
  <c r="DO15" i="3" s="1"/>
  <c r="DP15" i="3" s="1"/>
  <c r="DQ15" i="3" s="1"/>
  <c r="DR15" i="3" s="1"/>
  <c r="DS15" i="3" s="1"/>
  <c r="DT15" i="3" s="1"/>
  <c r="DU15" i="3" s="1"/>
  <c r="DV15" i="3" s="1"/>
  <c r="DW15" i="3" s="1"/>
  <c r="DX15" i="3" s="1"/>
  <c r="DY15" i="3" s="1"/>
  <c r="DZ15" i="3" s="1"/>
  <c r="EA15" i="3" s="1"/>
  <c r="EB15" i="3" s="1"/>
  <c r="EC15" i="3" s="1"/>
  <c r="ED15" i="3" s="1"/>
  <c r="EE15" i="3" s="1"/>
  <c r="EF15" i="3" s="1"/>
  <c r="F14" i="3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AG14" i="3" s="1"/>
  <c r="AH14" i="3" s="1"/>
  <c r="AI14" i="3" s="1"/>
  <c r="AJ14" i="3" s="1"/>
  <c r="AK14" i="3" s="1"/>
  <c r="AL14" i="3" s="1"/>
  <c r="AM14" i="3" s="1"/>
  <c r="AN14" i="3" s="1"/>
  <c r="AO14" i="3" s="1"/>
  <c r="AP14" i="3" s="1"/>
  <c r="AQ14" i="3" s="1"/>
  <c r="AR14" i="3" s="1"/>
  <c r="AS14" i="3" s="1"/>
  <c r="AT14" i="3" s="1"/>
  <c r="AU14" i="3" s="1"/>
  <c r="AV14" i="3" s="1"/>
  <c r="AW14" i="3" s="1"/>
  <c r="AX14" i="3" s="1"/>
  <c r="AY14" i="3" s="1"/>
  <c r="AZ14" i="3" s="1"/>
  <c r="BA14" i="3" s="1"/>
  <c r="BB14" i="3" s="1"/>
  <c r="BC14" i="3" s="1"/>
  <c r="BD14" i="3" s="1"/>
  <c r="BE14" i="3" s="1"/>
  <c r="BF14" i="3" s="1"/>
  <c r="BG14" i="3" s="1"/>
  <c r="BH14" i="3" s="1"/>
  <c r="BI14" i="3" s="1"/>
  <c r="BJ14" i="3" s="1"/>
  <c r="BK14" i="3" s="1"/>
  <c r="BL14" i="3" s="1"/>
  <c r="BM14" i="3" s="1"/>
  <c r="BN14" i="3" s="1"/>
  <c r="BO14" i="3" s="1"/>
  <c r="BP14" i="3" s="1"/>
  <c r="BQ14" i="3" s="1"/>
  <c r="BR14" i="3" s="1"/>
  <c r="BS14" i="3" s="1"/>
  <c r="BT14" i="3" s="1"/>
  <c r="BU14" i="3" s="1"/>
  <c r="BV14" i="3" s="1"/>
  <c r="BW14" i="3" s="1"/>
  <c r="BX14" i="3" s="1"/>
  <c r="BY14" i="3" s="1"/>
  <c r="BZ14" i="3" s="1"/>
  <c r="CA14" i="3" s="1"/>
  <c r="CB14" i="3" s="1"/>
  <c r="CC14" i="3" s="1"/>
  <c r="CD14" i="3" s="1"/>
  <c r="CE14" i="3" s="1"/>
  <c r="CF14" i="3" s="1"/>
  <c r="CG14" i="3" s="1"/>
  <c r="CH14" i="3" s="1"/>
  <c r="CI14" i="3" s="1"/>
  <c r="CJ14" i="3" s="1"/>
  <c r="CK14" i="3" s="1"/>
  <c r="CL14" i="3" s="1"/>
  <c r="CM14" i="3" s="1"/>
  <c r="CN14" i="3" s="1"/>
  <c r="CO14" i="3" s="1"/>
  <c r="CP14" i="3" s="1"/>
  <c r="CQ14" i="3" s="1"/>
  <c r="CR14" i="3" s="1"/>
  <c r="CS14" i="3" s="1"/>
  <c r="CT14" i="3" s="1"/>
  <c r="CU14" i="3" s="1"/>
  <c r="CV14" i="3" s="1"/>
  <c r="CW14" i="3" s="1"/>
  <c r="CX14" i="3" s="1"/>
  <c r="CY14" i="3" s="1"/>
  <c r="CZ14" i="3" s="1"/>
  <c r="DA14" i="3" s="1"/>
  <c r="DB14" i="3" s="1"/>
  <c r="DC14" i="3" s="1"/>
  <c r="DD14" i="3" s="1"/>
  <c r="DE14" i="3" s="1"/>
  <c r="DF14" i="3" s="1"/>
  <c r="DG14" i="3" s="1"/>
  <c r="DH14" i="3" s="1"/>
  <c r="DI14" i="3" s="1"/>
  <c r="DJ14" i="3" s="1"/>
  <c r="DK14" i="3" s="1"/>
  <c r="DL14" i="3" s="1"/>
  <c r="DM14" i="3" s="1"/>
  <c r="DN14" i="3" s="1"/>
  <c r="DO14" i="3" s="1"/>
  <c r="DP14" i="3" s="1"/>
  <c r="DQ14" i="3" s="1"/>
  <c r="DR14" i="3" s="1"/>
  <c r="DS14" i="3" s="1"/>
  <c r="DT14" i="3" s="1"/>
  <c r="DU14" i="3" s="1"/>
  <c r="DV14" i="3" s="1"/>
  <c r="DW14" i="3" s="1"/>
  <c r="DX14" i="3" s="1"/>
  <c r="DY14" i="3" s="1"/>
  <c r="DZ14" i="3" s="1"/>
  <c r="EA14" i="3" s="1"/>
  <c r="EB14" i="3" s="1"/>
  <c r="EC14" i="3" s="1"/>
  <c r="ED14" i="3" s="1"/>
  <c r="EE14" i="3" s="1"/>
  <c r="EF14" i="3" s="1"/>
  <c r="E14" i="3"/>
  <c r="C14" i="3"/>
  <c r="D14" i="3" s="1"/>
  <c r="E13" i="3"/>
  <c r="F13" i="3" s="1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BN13" i="3" s="1"/>
  <c r="BO13" i="3" s="1"/>
  <c r="BP13" i="3" s="1"/>
  <c r="BQ13" i="3" s="1"/>
  <c r="BR13" i="3" s="1"/>
  <c r="BS13" i="3" s="1"/>
  <c r="BT13" i="3" s="1"/>
  <c r="BU13" i="3" s="1"/>
  <c r="BV13" i="3" s="1"/>
  <c r="BW13" i="3" s="1"/>
  <c r="BX13" i="3" s="1"/>
  <c r="BY13" i="3" s="1"/>
  <c r="BZ13" i="3" s="1"/>
  <c r="CA13" i="3" s="1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CO13" i="3" s="1"/>
  <c r="CP13" i="3" s="1"/>
  <c r="CQ13" i="3" s="1"/>
  <c r="CR13" i="3" s="1"/>
  <c r="CS13" i="3" s="1"/>
  <c r="CT13" i="3" s="1"/>
  <c r="CU13" i="3" s="1"/>
  <c r="CV13" i="3" s="1"/>
  <c r="CW13" i="3" s="1"/>
  <c r="CX13" i="3" s="1"/>
  <c r="CY13" i="3" s="1"/>
  <c r="CZ13" i="3" s="1"/>
  <c r="DA13" i="3" s="1"/>
  <c r="DB13" i="3" s="1"/>
  <c r="DC13" i="3" s="1"/>
  <c r="DD13" i="3" s="1"/>
  <c r="DE13" i="3" s="1"/>
  <c r="DF13" i="3" s="1"/>
  <c r="DG13" i="3" s="1"/>
  <c r="DH13" i="3" s="1"/>
  <c r="DI13" i="3" s="1"/>
  <c r="DJ13" i="3" s="1"/>
  <c r="DK13" i="3" s="1"/>
  <c r="DL13" i="3" s="1"/>
  <c r="DM13" i="3" s="1"/>
  <c r="DN13" i="3" s="1"/>
  <c r="DO13" i="3" s="1"/>
  <c r="DP13" i="3" s="1"/>
  <c r="DQ13" i="3" s="1"/>
  <c r="DR13" i="3" s="1"/>
  <c r="DS13" i="3" s="1"/>
  <c r="DT13" i="3" s="1"/>
  <c r="DU13" i="3" s="1"/>
  <c r="DV13" i="3" s="1"/>
  <c r="DW13" i="3" s="1"/>
  <c r="DX13" i="3" s="1"/>
  <c r="DY13" i="3" s="1"/>
  <c r="DZ13" i="3" s="1"/>
  <c r="EA13" i="3" s="1"/>
  <c r="EB13" i="3" s="1"/>
  <c r="EC13" i="3" s="1"/>
  <c r="ED13" i="3" s="1"/>
  <c r="EE13" i="3" s="1"/>
  <c r="EF13" i="3" s="1"/>
  <c r="D13" i="3"/>
  <c r="C13" i="3"/>
  <c r="F12" i="3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W12" i="3" s="1"/>
  <c r="AX12" i="3" s="1"/>
  <c r="AY12" i="3" s="1"/>
  <c r="AZ12" i="3" s="1"/>
  <c r="BA12" i="3" s="1"/>
  <c r="BB12" i="3" s="1"/>
  <c r="BC12" i="3" s="1"/>
  <c r="BD12" i="3" s="1"/>
  <c r="BE12" i="3" s="1"/>
  <c r="BF12" i="3" s="1"/>
  <c r="BG12" i="3" s="1"/>
  <c r="BH12" i="3" s="1"/>
  <c r="BI12" i="3" s="1"/>
  <c r="BJ12" i="3" s="1"/>
  <c r="BK12" i="3" s="1"/>
  <c r="BL12" i="3" s="1"/>
  <c r="BM12" i="3" s="1"/>
  <c r="BN12" i="3" s="1"/>
  <c r="BO12" i="3" s="1"/>
  <c r="BP12" i="3" s="1"/>
  <c r="BQ12" i="3" s="1"/>
  <c r="BR12" i="3" s="1"/>
  <c r="BS12" i="3" s="1"/>
  <c r="BT12" i="3" s="1"/>
  <c r="BU12" i="3" s="1"/>
  <c r="BV12" i="3" s="1"/>
  <c r="BW12" i="3" s="1"/>
  <c r="BX12" i="3" s="1"/>
  <c r="BY12" i="3" s="1"/>
  <c r="BZ12" i="3" s="1"/>
  <c r="CA12" i="3" s="1"/>
  <c r="CB12" i="3" s="1"/>
  <c r="CC12" i="3" s="1"/>
  <c r="CD12" i="3" s="1"/>
  <c r="CE12" i="3" s="1"/>
  <c r="CF12" i="3" s="1"/>
  <c r="CG12" i="3" s="1"/>
  <c r="CH12" i="3" s="1"/>
  <c r="CI12" i="3" s="1"/>
  <c r="CJ12" i="3" s="1"/>
  <c r="CK12" i="3" s="1"/>
  <c r="CL12" i="3" s="1"/>
  <c r="CM12" i="3" s="1"/>
  <c r="CN12" i="3" s="1"/>
  <c r="CO12" i="3" s="1"/>
  <c r="CP12" i="3" s="1"/>
  <c r="CQ12" i="3" s="1"/>
  <c r="CR12" i="3" s="1"/>
  <c r="CS12" i="3" s="1"/>
  <c r="CT12" i="3" s="1"/>
  <c r="CU12" i="3" s="1"/>
  <c r="CV12" i="3" s="1"/>
  <c r="CW12" i="3" s="1"/>
  <c r="CX12" i="3" s="1"/>
  <c r="CY12" i="3" s="1"/>
  <c r="CZ12" i="3" s="1"/>
  <c r="DA12" i="3" s="1"/>
  <c r="DB12" i="3" s="1"/>
  <c r="DC12" i="3" s="1"/>
  <c r="DD12" i="3" s="1"/>
  <c r="DE12" i="3" s="1"/>
  <c r="DF12" i="3" s="1"/>
  <c r="DG12" i="3" s="1"/>
  <c r="DH12" i="3" s="1"/>
  <c r="DI12" i="3" s="1"/>
  <c r="DJ12" i="3" s="1"/>
  <c r="DK12" i="3" s="1"/>
  <c r="DL12" i="3" s="1"/>
  <c r="DM12" i="3" s="1"/>
  <c r="DN12" i="3" s="1"/>
  <c r="DO12" i="3" s="1"/>
  <c r="DP12" i="3" s="1"/>
  <c r="DQ12" i="3" s="1"/>
  <c r="DR12" i="3" s="1"/>
  <c r="DS12" i="3" s="1"/>
  <c r="DT12" i="3" s="1"/>
  <c r="DU12" i="3" s="1"/>
  <c r="DV12" i="3" s="1"/>
  <c r="DW12" i="3" s="1"/>
  <c r="DX12" i="3" s="1"/>
  <c r="DY12" i="3" s="1"/>
  <c r="DZ12" i="3" s="1"/>
  <c r="EA12" i="3" s="1"/>
  <c r="EB12" i="3" s="1"/>
  <c r="EC12" i="3" s="1"/>
  <c r="ED12" i="3" s="1"/>
  <c r="EE12" i="3" s="1"/>
  <c r="EF12" i="3" s="1"/>
  <c r="E12" i="3"/>
  <c r="C12" i="3"/>
  <c r="D12" i="3" s="1"/>
  <c r="EF5" i="3"/>
  <c r="EE5" i="3"/>
  <c r="ED5" i="3"/>
  <c r="EC5" i="3"/>
  <c r="EB5" i="3"/>
  <c r="EA5" i="3"/>
  <c r="DZ5" i="3"/>
  <c r="DY5" i="3"/>
  <c r="DX5" i="3"/>
  <c r="DW5" i="3"/>
  <c r="DV5" i="3"/>
  <c r="DU5" i="3"/>
  <c r="DT5" i="3"/>
  <c r="DS5" i="3"/>
  <c r="DR5" i="3"/>
  <c r="DQ5" i="3"/>
  <c r="DP5" i="3"/>
  <c r="DO5" i="3"/>
  <c r="DN5" i="3"/>
  <c r="DM5" i="3"/>
  <c r="DL5" i="3"/>
  <c r="DK5" i="3"/>
  <c r="DJ5" i="3"/>
  <c r="DI5" i="3"/>
  <c r="DH5" i="3"/>
  <c r="DG5" i="3"/>
  <c r="DF5" i="3"/>
  <c r="DE5" i="3"/>
  <c r="DD5" i="3"/>
  <c r="DC5" i="3"/>
  <c r="DB5" i="3"/>
  <c r="DA5" i="3"/>
  <c r="CZ5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EF4" i="3"/>
  <c r="EE4" i="3"/>
  <c r="ED4" i="3"/>
  <c r="ED6" i="3" s="1" a="1"/>
  <c r="ED6" i="3" s="1"/>
  <c r="EC4" i="3"/>
  <c r="EB4" i="3"/>
  <c r="EA4" i="3"/>
  <c r="DZ4" i="3"/>
  <c r="DZ6" i="3" s="1" a="1"/>
  <c r="DZ6" i="3" s="1"/>
  <c r="DY4" i="3"/>
  <c r="DX4" i="3"/>
  <c r="DW4" i="3"/>
  <c r="DV4" i="3"/>
  <c r="DV6" i="3" s="1" a="1"/>
  <c r="DV6" i="3" s="1"/>
  <c r="DU4" i="3"/>
  <c r="DT4" i="3"/>
  <c r="DS4" i="3"/>
  <c r="DR4" i="3"/>
  <c r="DR6" i="3" s="1" a="1"/>
  <c r="DR6" i="3" s="1"/>
  <c r="DQ4" i="3"/>
  <c r="DP4" i="3"/>
  <c r="DO4" i="3"/>
  <c r="DN4" i="3"/>
  <c r="DN6" i="3" s="1" a="1"/>
  <c r="DN6" i="3" s="1"/>
  <c r="DM4" i="3"/>
  <c r="DL4" i="3"/>
  <c r="DK4" i="3"/>
  <c r="DJ4" i="3"/>
  <c r="DJ6" i="3" s="1" a="1"/>
  <c r="DJ6" i="3" s="1"/>
  <c r="DI4" i="3"/>
  <c r="DH4" i="3"/>
  <c r="DG4" i="3"/>
  <c r="DF4" i="3"/>
  <c r="DF6" i="3" s="1" a="1"/>
  <c r="DF6" i="3" s="1"/>
  <c r="DE4" i="3"/>
  <c r="DD4" i="3"/>
  <c r="DC4" i="3"/>
  <c r="DB4" i="3"/>
  <c r="DB6" i="3" s="1" a="1"/>
  <c r="DB6" i="3" s="1"/>
  <c r="DA4" i="3"/>
  <c r="CZ4" i="3"/>
  <c r="CY4" i="3"/>
  <c r="CX4" i="3"/>
  <c r="CX6" i="3" s="1" a="1"/>
  <c r="CX6" i="3" s="1"/>
  <c r="CW4" i="3"/>
  <c r="CV4" i="3"/>
  <c r="CU4" i="3"/>
  <c r="CT4" i="3"/>
  <c r="CT6" i="3" s="1" a="1"/>
  <c r="CT6" i="3" s="1"/>
  <c r="CS4" i="3"/>
  <c r="CR4" i="3"/>
  <c r="CQ4" i="3"/>
  <c r="CP4" i="3"/>
  <c r="CP6" i="3" s="1" a="1"/>
  <c r="CP6" i="3" s="1"/>
  <c r="CO4" i="3"/>
  <c r="CN4" i="3"/>
  <c r="CM4" i="3"/>
  <c r="CL4" i="3"/>
  <c r="CL6" i="3" s="1" a="1"/>
  <c r="CL6" i="3" s="1"/>
  <c r="CK4" i="3"/>
  <c r="CJ4" i="3"/>
  <c r="CI4" i="3"/>
  <c r="CH4" i="3"/>
  <c r="CH6" i="3" s="1" a="1"/>
  <c r="CH6" i="3" s="1"/>
  <c r="CG4" i="3"/>
  <c r="CF4" i="3"/>
  <c r="CE4" i="3"/>
  <c r="CD4" i="3"/>
  <c r="CD6" i="3" s="1" a="1"/>
  <c r="CD6" i="3" s="1"/>
  <c r="CC4" i="3"/>
  <c r="CB4" i="3"/>
  <c r="CA4" i="3"/>
  <c r="BZ4" i="3"/>
  <c r="BZ6" i="3" s="1" a="1"/>
  <c r="BZ6" i="3" s="1"/>
  <c r="BY4" i="3"/>
  <c r="BX4" i="3"/>
  <c r="BW4" i="3"/>
  <c r="BV4" i="3"/>
  <c r="BV6" i="3" s="1" a="1"/>
  <c r="BV6" i="3" s="1"/>
  <c r="BU4" i="3"/>
  <c r="BT4" i="3"/>
  <c r="BS4" i="3"/>
  <c r="BR4" i="3"/>
  <c r="BR6" i="3" s="1" a="1"/>
  <c r="BR6" i="3" s="1"/>
  <c r="BQ4" i="3"/>
  <c r="BP4" i="3"/>
  <c r="BO4" i="3"/>
  <c r="BN4" i="3"/>
  <c r="BN6" i="3" s="1" a="1"/>
  <c r="BN6" i="3" s="1"/>
  <c r="BM4" i="3"/>
  <c r="BL4" i="3"/>
  <c r="BK4" i="3"/>
  <c r="BJ4" i="3"/>
  <c r="BJ6" i="3" s="1" a="1"/>
  <c r="BJ6" i="3" s="1"/>
  <c r="BI4" i="3"/>
  <c r="BH4" i="3"/>
  <c r="BG4" i="3"/>
  <c r="BF4" i="3"/>
  <c r="BF6" i="3" s="1" a="1"/>
  <c r="BF6" i="3" s="1"/>
  <c r="BE4" i="3"/>
  <c r="BD4" i="3"/>
  <c r="BC4" i="3"/>
  <c r="BB4" i="3"/>
  <c r="BB6" i="3" s="1" a="1"/>
  <c r="BB6" i="3" s="1"/>
  <c r="BA4" i="3"/>
  <c r="AZ4" i="3"/>
  <c r="AY4" i="3"/>
  <c r="AX4" i="3"/>
  <c r="AX6" i="3" s="1" a="1"/>
  <c r="AX6" i="3" s="1"/>
  <c r="AW4" i="3"/>
  <c r="AV4" i="3"/>
  <c r="AU4" i="3"/>
  <c r="AT4" i="3"/>
  <c r="AT6" i="3" s="1" a="1"/>
  <c r="AT6" i="3" s="1"/>
  <c r="AS4" i="3"/>
  <c r="AR4" i="3"/>
  <c r="AQ4" i="3"/>
  <c r="AP4" i="3"/>
  <c r="AP6" i="3" s="1" a="1"/>
  <c r="AP6" i="3" s="1"/>
  <c r="AO4" i="3"/>
  <c r="AN4" i="3"/>
  <c r="AM4" i="3"/>
  <c r="AL4" i="3"/>
  <c r="AL6" i="3" s="1" a="1"/>
  <c r="AL6" i="3" s="1"/>
  <c r="AK4" i="3"/>
  <c r="AJ4" i="3"/>
  <c r="AI4" i="3"/>
  <c r="AH4" i="3"/>
  <c r="AH6" i="3" s="1" a="1"/>
  <c r="AH6" i="3" s="1"/>
  <c r="AG4" i="3"/>
  <c r="AF4" i="3"/>
  <c r="AE4" i="3"/>
  <c r="AD4" i="3"/>
  <c r="AD6" i="3" s="1" a="1"/>
  <c r="AD6" i="3" s="1"/>
  <c r="AC4" i="3"/>
  <c r="AB4" i="3"/>
  <c r="AA4" i="3"/>
  <c r="Z4" i="3"/>
  <c r="Z6" i="3" s="1" a="1"/>
  <c r="Z6" i="3" s="1"/>
  <c r="Y4" i="3"/>
  <c r="X4" i="3"/>
  <c r="W4" i="3"/>
  <c r="V4" i="3"/>
  <c r="V6" i="3" s="1" a="1"/>
  <c r="V6" i="3" s="1"/>
  <c r="U4" i="3"/>
  <c r="T4" i="3"/>
  <c r="S4" i="3"/>
  <c r="R4" i="3"/>
  <c r="R6" i="3" s="1" a="1"/>
  <c r="R6" i="3" s="1"/>
  <c r="Q4" i="3"/>
  <c r="P4" i="3"/>
  <c r="O4" i="3"/>
  <c r="N4" i="3"/>
  <c r="N6" i="3" s="1" a="1"/>
  <c r="N6" i="3" s="1"/>
  <c r="M4" i="3"/>
  <c r="L4" i="3"/>
  <c r="K4" i="3"/>
  <c r="J4" i="3"/>
  <c r="J6" i="3" s="1" a="1"/>
  <c r="J6" i="3" s="1"/>
  <c r="I4" i="3"/>
  <c r="H4" i="3"/>
  <c r="G4" i="3"/>
  <c r="F4" i="3"/>
  <c r="F6" i="3" s="1" a="1"/>
  <c r="F6" i="3" s="1"/>
  <c r="E4" i="3"/>
  <c r="D4" i="3"/>
  <c r="C4" i="3"/>
  <c r="EF3" i="3"/>
  <c r="EF6" i="3" s="1" a="1"/>
  <c r="EF6" i="3" s="1"/>
  <c r="EE3" i="3"/>
  <c r="EE6" i="3" s="1" a="1"/>
  <c r="EE6" i="3" s="1"/>
  <c r="ED3" i="3"/>
  <c r="EC3" i="3"/>
  <c r="EC6" i="3" s="1" a="1"/>
  <c r="EC6" i="3" s="1"/>
  <c r="EB3" i="3"/>
  <c r="EB6" i="3" s="1" a="1"/>
  <c r="EB6" i="3" s="1"/>
  <c r="EA3" i="3"/>
  <c r="EA6" i="3" s="1" a="1"/>
  <c r="EA6" i="3" s="1"/>
  <c r="DZ3" i="3"/>
  <c r="DY3" i="3"/>
  <c r="DY6" i="3" s="1" a="1"/>
  <c r="DY6" i="3" s="1"/>
  <c r="DX3" i="3"/>
  <c r="DX6" i="3" s="1" a="1"/>
  <c r="DX6" i="3" s="1"/>
  <c r="DW3" i="3"/>
  <c r="DW6" i="3" s="1" a="1"/>
  <c r="DW6" i="3" s="1"/>
  <c r="DV3" i="3"/>
  <c r="DU3" i="3"/>
  <c r="DU6" i="3" s="1" a="1"/>
  <c r="DU6" i="3" s="1"/>
  <c r="DT3" i="3"/>
  <c r="DT6" i="3" s="1" a="1"/>
  <c r="DT6" i="3" s="1"/>
  <c r="DS3" i="3"/>
  <c r="DS6" i="3" s="1" a="1"/>
  <c r="DS6" i="3" s="1"/>
  <c r="DR3" i="3"/>
  <c r="DQ3" i="3"/>
  <c r="DQ6" i="3" s="1" a="1"/>
  <c r="DQ6" i="3" s="1"/>
  <c r="DP3" i="3"/>
  <c r="DP6" i="3" s="1" a="1"/>
  <c r="DP6" i="3" s="1"/>
  <c r="DO3" i="3"/>
  <c r="DO6" i="3" s="1" a="1"/>
  <c r="DO6" i="3" s="1"/>
  <c r="DN3" i="3"/>
  <c r="DM3" i="3"/>
  <c r="DM6" i="3" s="1" a="1"/>
  <c r="DM6" i="3" s="1"/>
  <c r="DL3" i="3"/>
  <c r="DL6" i="3" s="1" a="1"/>
  <c r="DL6" i="3" s="1"/>
  <c r="DK3" i="3"/>
  <c r="DK6" i="3" s="1" a="1"/>
  <c r="DK6" i="3" s="1"/>
  <c r="DJ3" i="3"/>
  <c r="DI3" i="3"/>
  <c r="DI6" i="3" s="1" a="1"/>
  <c r="DI6" i="3" s="1"/>
  <c r="DH3" i="3"/>
  <c r="DH6" i="3" s="1" a="1"/>
  <c r="DH6" i="3" s="1"/>
  <c r="DG3" i="3"/>
  <c r="DG6" i="3" s="1" a="1"/>
  <c r="DG6" i="3" s="1"/>
  <c r="DF3" i="3"/>
  <c r="DE3" i="3"/>
  <c r="DE6" i="3" s="1" a="1"/>
  <c r="DE6" i="3" s="1"/>
  <c r="DD3" i="3"/>
  <c r="DD6" i="3" s="1" a="1"/>
  <c r="DD6" i="3" s="1"/>
  <c r="DC3" i="3"/>
  <c r="DC6" i="3" s="1" a="1"/>
  <c r="DC6" i="3" s="1"/>
  <c r="DB3" i="3"/>
  <c r="DA3" i="3"/>
  <c r="DA6" i="3" s="1" a="1"/>
  <c r="DA6" i="3" s="1"/>
  <c r="CZ3" i="3"/>
  <c r="CZ6" i="3" s="1" a="1"/>
  <c r="CZ6" i="3" s="1"/>
  <c r="CY3" i="3"/>
  <c r="CY6" i="3" s="1" a="1"/>
  <c r="CY6" i="3" s="1"/>
  <c r="CX3" i="3"/>
  <c r="CW3" i="3"/>
  <c r="CW6" i="3" s="1" a="1"/>
  <c r="CW6" i="3" s="1"/>
  <c r="CV3" i="3"/>
  <c r="CV6" i="3" s="1" a="1"/>
  <c r="CV6" i="3" s="1"/>
  <c r="CU3" i="3"/>
  <c r="CU6" i="3" s="1" a="1"/>
  <c r="CU6" i="3" s="1"/>
  <c r="CT3" i="3"/>
  <c r="CS3" i="3"/>
  <c r="CS6" i="3" s="1" a="1"/>
  <c r="CS6" i="3" s="1"/>
  <c r="CR3" i="3"/>
  <c r="CR6" i="3" s="1" a="1"/>
  <c r="CR6" i="3" s="1"/>
  <c r="CQ3" i="3"/>
  <c r="CQ6" i="3" s="1" a="1"/>
  <c r="CQ6" i="3" s="1"/>
  <c r="CP3" i="3"/>
  <c r="CO3" i="3"/>
  <c r="CO6" i="3" s="1" a="1"/>
  <c r="CO6" i="3" s="1"/>
  <c r="CN3" i="3"/>
  <c r="CN6" i="3" s="1" a="1"/>
  <c r="CN6" i="3" s="1"/>
  <c r="CM3" i="3"/>
  <c r="CM6" i="3" s="1" a="1"/>
  <c r="CM6" i="3" s="1"/>
  <c r="CL3" i="3"/>
  <c r="CK3" i="3"/>
  <c r="CK6" i="3" s="1" a="1"/>
  <c r="CK6" i="3" s="1"/>
  <c r="CJ3" i="3"/>
  <c r="CJ6" i="3" s="1" a="1"/>
  <c r="CJ6" i="3" s="1"/>
  <c r="CI3" i="3"/>
  <c r="CI6" i="3" s="1" a="1"/>
  <c r="CI6" i="3" s="1"/>
  <c r="CH3" i="3"/>
  <c r="CG3" i="3"/>
  <c r="CG6" i="3" s="1" a="1"/>
  <c r="CG6" i="3" s="1"/>
  <c r="CF3" i="3"/>
  <c r="CF6" i="3" s="1" a="1"/>
  <c r="CF6" i="3" s="1"/>
  <c r="CE3" i="3"/>
  <c r="CE6" i="3" s="1" a="1"/>
  <c r="CE6" i="3" s="1"/>
  <c r="CD3" i="3"/>
  <c r="CC3" i="3"/>
  <c r="CC6" i="3" s="1" a="1"/>
  <c r="CC6" i="3" s="1"/>
  <c r="CB3" i="3"/>
  <c r="CB6" i="3" s="1" a="1"/>
  <c r="CB6" i="3" s="1"/>
  <c r="CA3" i="3"/>
  <c r="CA6" i="3" s="1" a="1"/>
  <c r="CA6" i="3" s="1"/>
  <c r="BZ3" i="3"/>
  <c r="BY3" i="3"/>
  <c r="BY6" i="3" s="1" a="1"/>
  <c r="BY6" i="3" s="1"/>
  <c r="BX3" i="3"/>
  <c r="BX6" i="3" s="1" a="1"/>
  <c r="BX6" i="3" s="1"/>
  <c r="BW3" i="3"/>
  <c r="BW6" i="3" s="1" a="1"/>
  <c r="BW6" i="3" s="1"/>
  <c r="BV3" i="3"/>
  <c r="BU3" i="3"/>
  <c r="BU6" i="3" s="1" a="1"/>
  <c r="BU6" i="3" s="1"/>
  <c r="BT3" i="3"/>
  <c r="BT6" i="3" s="1" a="1"/>
  <c r="BT6" i="3" s="1"/>
  <c r="BS3" i="3"/>
  <c r="BS6" i="3" s="1" a="1"/>
  <c r="BS6" i="3" s="1"/>
  <c r="BR3" i="3"/>
  <c r="BQ3" i="3"/>
  <c r="BQ6" i="3" s="1" a="1"/>
  <c r="BQ6" i="3" s="1"/>
  <c r="BP3" i="3"/>
  <c r="BP6" i="3" s="1" a="1"/>
  <c r="BP6" i="3" s="1"/>
  <c r="BO3" i="3"/>
  <c r="BO6" i="3" s="1" a="1"/>
  <c r="BO6" i="3" s="1"/>
  <c r="BN3" i="3"/>
  <c r="BM3" i="3"/>
  <c r="BM6" i="3" s="1" a="1"/>
  <c r="BM6" i="3" s="1"/>
  <c r="BL3" i="3"/>
  <c r="BL6" i="3" s="1" a="1"/>
  <c r="BL6" i="3" s="1"/>
  <c r="BK3" i="3"/>
  <c r="BK6" i="3" s="1" a="1"/>
  <c r="BK6" i="3" s="1"/>
  <c r="BJ3" i="3"/>
  <c r="BI3" i="3"/>
  <c r="BI6" i="3" s="1" a="1"/>
  <c r="BI6" i="3" s="1"/>
  <c r="BH3" i="3"/>
  <c r="BH6" i="3" s="1" a="1"/>
  <c r="BH6" i="3" s="1"/>
  <c r="BG3" i="3"/>
  <c r="BG6" i="3" s="1" a="1"/>
  <c r="BG6" i="3" s="1"/>
  <c r="BF3" i="3"/>
  <c r="BE3" i="3"/>
  <c r="BE6" i="3" s="1" a="1"/>
  <c r="BE6" i="3" s="1"/>
  <c r="BD3" i="3"/>
  <c r="BD6" i="3" s="1" a="1"/>
  <c r="BD6" i="3" s="1"/>
  <c r="BC3" i="3"/>
  <c r="BC6" i="3" s="1" a="1"/>
  <c r="BC6" i="3" s="1"/>
  <c r="BB3" i="3"/>
  <c r="BA3" i="3"/>
  <c r="BA6" i="3" s="1" a="1"/>
  <c r="BA6" i="3" s="1"/>
  <c r="AZ3" i="3"/>
  <c r="AZ6" i="3" s="1" a="1"/>
  <c r="AZ6" i="3" s="1"/>
  <c r="AY3" i="3"/>
  <c r="AY6" i="3" s="1" a="1"/>
  <c r="AY6" i="3" s="1"/>
  <c r="AX3" i="3"/>
  <c r="AW3" i="3"/>
  <c r="AW6" i="3" s="1" a="1"/>
  <c r="AW6" i="3" s="1"/>
  <c r="AV3" i="3"/>
  <c r="AV6" i="3" s="1" a="1"/>
  <c r="AV6" i="3" s="1"/>
  <c r="AU3" i="3"/>
  <c r="AU6" i="3" s="1" a="1"/>
  <c r="AU6" i="3" s="1"/>
  <c r="AT3" i="3"/>
  <c r="AS3" i="3"/>
  <c r="AS6" i="3" s="1" a="1"/>
  <c r="AS6" i="3" s="1"/>
  <c r="AR3" i="3"/>
  <c r="AR6" i="3" s="1" a="1"/>
  <c r="AR6" i="3" s="1"/>
  <c r="AQ3" i="3"/>
  <c r="AQ6" i="3" s="1" a="1"/>
  <c r="AQ6" i="3" s="1"/>
  <c r="AP3" i="3"/>
  <c r="AO3" i="3"/>
  <c r="AO6" i="3" s="1" a="1"/>
  <c r="AO6" i="3" s="1"/>
  <c r="AN3" i="3"/>
  <c r="AN6" i="3" s="1" a="1"/>
  <c r="AN6" i="3" s="1"/>
  <c r="AM3" i="3"/>
  <c r="AM6" i="3" s="1" a="1"/>
  <c r="AM6" i="3" s="1"/>
  <c r="AL3" i="3"/>
  <c r="AK3" i="3"/>
  <c r="AK6" i="3" s="1" a="1"/>
  <c r="AK6" i="3" s="1"/>
  <c r="AJ3" i="3"/>
  <c r="AJ6" i="3" s="1" a="1"/>
  <c r="AJ6" i="3" s="1"/>
  <c r="AI3" i="3"/>
  <c r="AI6" i="3" s="1" a="1"/>
  <c r="AI6" i="3" s="1"/>
  <c r="AH3" i="3"/>
  <c r="AG3" i="3"/>
  <c r="AG6" i="3" s="1" a="1"/>
  <c r="AG6" i="3" s="1"/>
  <c r="AF3" i="3"/>
  <c r="AF6" i="3" s="1" a="1"/>
  <c r="AF6" i="3" s="1"/>
  <c r="AE3" i="3"/>
  <c r="AE6" i="3" s="1" a="1"/>
  <c r="AE6" i="3" s="1"/>
  <c r="AD3" i="3"/>
  <c r="AC3" i="3"/>
  <c r="AC6" i="3" s="1" a="1"/>
  <c r="AC6" i="3" s="1"/>
  <c r="AB3" i="3"/>
  <c r="AB6" i="3" s="1" a="1"/>
  <c r="AB6" i="3" s="1"/>
  <c r="AA3" i="3"/>
  <c r="AA6" i="3" s="1" a="1"/>
  <c r="AA6" i="3" s="1"/>
  <c r="Z3" i="3"/>
  <c r="Y3" i="3"/>
  <c r="Y6" i="3" s="1" a="1"/>
  <c r="Y6" i="3" s="1"/>
  <c r="X3" i="3"/>
  <c r="X6" i="3" s="1" a="1"/>
  <c r="X6" i="3" s="1"/>
  <c r="W3" i="3"/>
  <c r="W6" i="3" s="1" a="1"/>
  <c r="W6" i="3" s="1"/>
  <c r="V3" i="3"/>
  <c r="U3" i="3"/>
  <c r="U6" i="3" s="1" a="1"/>
  <c r="U6" i="3" s="1"/>
  <c r="T3" i="3"/>
  <c r="T6" i="3" s="1" a="1"/>
  <c r="T6" i="3" s="1"/>
  <c r="S3" i="3"/>
  <c r="S6" i="3" s="1" a="1"/>
  <c r="S6" i="3" s="1"/>
  <c r="R3" i="3"/>
  <c r="Q3" i="3"/>
  <c r="Q6" i="3" s="1" a="1"/>
  <c r="Q6" i="3" s="1"/>
  <c r="P3" i="3"/>
  <c r="P6" i="3" s="1" a="1"/>
  <c r="P6" i="3" s="1"/>
  <c r="O3" i="3"/>
  <c r="O6" i="3" s="1" a="1"/>
  <c r="O6" i="3" s="1"/>
  <c r="N3" i="3"/>
  <c r="M3" i="3"/>
  <c r="M6" i="3" s="1" a="1"/>
  <c r="M6" i="3" s="1"/>
  <c r="L3" i="3"/>
  <c r="L6" i="3" s="1" a="1"/>
  <c r="L6" i="3" s="1"/>
  <c r="K3" i="3"/>
  <c r="K6" i="3" s="1" a="1"/>
  <c r="K6" i="3" s="1"/>
  <c r="J3" i="3"/>
  <c r="I3" i="3"/>
  <c r="I6" i="3" s="1" a="1"/>
  <c r="I6" i="3" s="1"/>
  <c r="H3" i="3"/>
  <c r="H6" i="3" s="1" a="1"/>
  <c r="H6" i="3" s="1"/>
  <c r="G3" i="3"/>
  <c r="G6" i="3" s="1" a="1"/>
  <c r="G6" i="3" s="1"/>
  <c r="F3" i="3"/>
  <c r="E3" i="3"/>
  <c r="E6" i="3" s="1" a="1"/>
  <c r="E6" i="3" s="1"/>
  <c r="D3" i="3"/>
  <c r="D6" i="3" s="1" a="1"/>
  <c r="D6" i="3" s="1"/>
  <c r="C3" i="3"/>
  <c r="C6" i="3" s="1" a="1"/>
  <c r="C6" i="3" s="1"/>
  <c r="A1" i="3"/>
  <c r="EF24" i="2"/>
  <c r="EE24" i="2"/>
  <c r="ED24" i="2"/>
  <c r="EC24" i="2"/>
  <c r="EB24" i="2"/>
  <c r="EA24" i="2"/>
  <c r="DZ24" i="2"/>
  <c r="DY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EG24" i="2" s="1"/>
  <c r="D24" i="2"/>
  <c r="C24" i="2"/>
  <c r="EF23" i="2"/>
  <c r="EE23" i="2"/>
  <c r="ED23" i="2"/>
  <c r="EC23" i="2"/>
  <c r="EB23" i="2"/>
  <c r="EA23" i="2"/>
  <c r="DZ23" i="2"/>
  <c r="DY23" i="2"/>
  <c r="DX23" i="2"/>
  <c r="DW23" i="2"/>
  <c r="DV23" i="2"/>
  <c r="DU23" i="2"/>
  <c r="DT23" i="2"/>
  <c r="DS23" i="2"/>
  <c r="DR23" i="2"/>
  <c r="DQ23" i="2"/>
  <c r="DP23" i="2"/>
  <c r="DO23" i="2"/>
  <c r="DN23" i="2"/>
  <c r="DM23" i="2"/>
  <c r="DL23" i="2"/>
  <c r="DK23" i="2"/>
  <c r="DJ23" i="2"/>
  <c r="DI23" i="2"/>
  <c r="DH23" i="2"/>
  <c r="DG23" i="2"/>
  <c r="DF23" i="2"/>
  <c r="DE23" i="2"/>
  <c r="DD23" i="2"/>
  <c r="DC23" i="2"/>
  <c r="DB23" i="2"/>
  <c r="DA23" i="2"/>
  <c r="CZ23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EG23" i="2" s="1"/>
  <c r="D23" i="2"/>
  <c r="C23" i="2"/>
  <c r="EH23" i="2" s="1"/>
  <c r="EF22" i="2"/>
  <c r="EE22" i="2"/>
  <c r="ED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O22" i="2"/>
  <c r="DN22" i="2"/>
  <c r="DM22" i="2"/>
  <c r="DL22" i="2"/>
  <c r="DK22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EG22" i="2" s="1"/>
  <c r="D22" i="2"/>
  <c r="C22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EG21" i="2" s="1"/>
  <c r="D21" i="2"/>
  <c r="C21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EG20" i="2" s="1"/>
  <c r="D20" i="2"/>
  <c r="C20" i="2"/>
  <c r="EF19" i="2"/>
  <c r="EE19" i="2"/>
  <c r="ED19" i="2"/>
  <c r="EC19" i="2"/>
  <c r="EB19" i="2"/>
  <c r="EA19" i="2"/>
  <c r="DZ19" i="2"/>
  <c r="DY19" i="2"/>
  <c r="DX19" i="2"/>
  <c r="DW19" i="2"/>
  <c r="DV19" i="2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EG19" i="2" s="1"/>
  <c r="D19" i="2"/>
  <c r="C19" i="2"/>
  <c r="EH19" i="2" s="1"/>
  <c r="EF18" i="2"/>
  <c r="EE18" i="2"/>
  <c r="ED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EG18" i="2" s="1"/>
  <c r="D18" i="2"/>
  <c r="C18" i="2"/>
  <c r="EH18" i="2" s="1"/>
  <c r="EF17" i="2"/>
  <c r="EE17" i="2"/>
  <c r="ED17" i="2"/>
  <c r="EC17" i="2"/>
  <c r="EB17" i="2"/>
  <c r="EA17" i="2"/>
  <c r="DZ17" i="2"/>
  <c r="DY17" i="2"/>
  <c r="DX17" i="2"/>
  <c r="DW17" i="2"/>
  <c r="DV17" i="2"/>
  <c r="DU17" i="2"/>
  <c r="DT17" i="2"/>
  <c r="DS17" i="2"/>
  <c r="DR17" i="2"/>
  <c r="DQ17" i="2"/>
  <c r="DP17" i="2"/>
  <c r="DO17" i="2"/>
  <c r="DN17" i="2"/>
  <c r="DM17" i="2"/>
  <c r="DL17" i="2"/>
  <c r="DK17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EG17" i="2" s="1"/>
  <c r="D17" i="2"/>
  <c r="C17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EG16" i="2" s="1"/>
  <c r="D16" i="2"/>
  <c r="C16" i="2"/>
  <c r="EF15" i="2"/>
  <c r="EE15" i="2"/>
  <c r="ED15" i="2"/>
  <c r="EC15" i="2"/>
  <c r="EB15" i="2"/>
  <c r="EA15" i="2"/>
  <c r="DZ15" i="2"/>
  <c r="DY15" i="2"/>
  <c r="DX15" i="2"/>
  <c r="DW15" i="2"/>
  <c r="DV15" i="2"/>
  <c r="DU15" i="2"/>
  <c r="DT15" i="2"/>
  <c r="DS15" i="2"/>
  <c r="DR15" i="2"/>
  <c r="DQ15" i="2"/>
  <c r="DP15" i="2"/>
  <c r="DO15" i="2"/>
  <c r="DN15" i="2"/>
  <c r="DM15" i="2"/>
  <c r="DL15" i="2"/>
  <c r="DK15" i="2"/>
  <c r="DJ15" i="2"/>
  <c r="DI15" i="2"/>
  <c r="DH15" i="2"/>
  <c r="DG15" i="2"/>
  <c r="DF15" i="2"/>
  <c r="DE15" i="2"/>
  <c r="DD15" i="2"/>
  <c r="DC15" i="2"/>
  <c r="DB15" i="2"/>
  <c r="DA15" i="2"/>
  <c r="CZ15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EG15" i="2" s="1"/>
  <c r="D15" i="2"/>
  <c r="C15" i="2"/>
  <c r="EH15" i="2" s="1"/>
  <c r="EF14" i="2"/>
  <c r="EE14" i="2"/>
  <c r="ED14" i="2"/>
  <c r="EC14" i="2"/>
  <c r="EB14" i="2"/>
  <c r="EA14" i="2"/>
  <c r="DZ14" i="2"/>
  <c r="DY14" i="2"/>
  <c r="DX14" i="2"/>
  <c r="DW14" i="2"/>
  <c r="DV14" i="2"/>
  <c r="DU14" i="2"/>
  <c r="DT14" i="2"/>
  <c r="DS14" i="2"/>
  <c r="DR14" i="2"/>
  <c r="DQ14" i="2"/>
  <c r="DP14" i="2"/>
  <c r="DO14" i="2"/>
  <c r="DN14" i="2"/>
  <c r="DM14" i="2"/>
  <c r="DL14" i="2"/>
  <c r="DK14" i="2"/>
  <c r="DJ14" i="2"/>
  <c r="DI14" i="2"/>
  <c r="DH14" i="2"/>
  <c r="DG14" i="2"/>
  <c r="DF14" i="2"/>
  <c r="DE14" i="2"/>
  <c r="DD14" i="2"/>
  <c r="DC14" i="2"/>
  <c r="DB14" i="2"/>
  <c r="DA14" i="2"/>
  <c r="CZ14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EG14" i="2" s="1"/>
  <c r="D14" i="2"/>
  <c r="C14" i="2"/>
  <c r="EH14" i="2" s="1"/>
  <c r="EF13" i="2"/>
  <c r="EE13" i="2"/>
  <c r="ED13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EG13" i="2" s="1"/>
  <c r="D13" i="2"/>
  <c r="C13" i="2"/>
  <c r="EF12" i="2"/>
  <c r="EE12" i="2"/>
  <c r="ED12" i="2"/>
  <c r="EC12" i="2"/>
  <c r="EB12" i="2"/>
  <c r="EA12" i="2"/>
  <c r="DZ12" i="2"/>
  <c r="DY12" i="2"/>
  <c r="DX12" i="2"/>
  <c r="DW12" i="2"/>
  <c r="DV12" i="2"/>
  <c r="DU12" i="2"/>
  <c r="DT12" i="2"/>
  <c r="DS12" i="2"/>
  <c r="DR12" i="2"/>
  <c r="DQ12" i="2"/>
  <c r="DP12" i="2"/>
  <c r="DO12" i="2"/>
  <c r="DN12" i="2"/>
  <c r="DM12" i="2"/>
  <c r="DL12" i="2"/>
  <c r="DK12" i="2"/>
  <c r="DJ12" i="2"/>
  <c r="DI12" i="2"/>
  <c r="DH12" i="2"/>
  <c r="DG12" i="2"/>
  <c r="DF12" i="2"/>
  <c r="DE12" i="2"/>
  <c r="DD12" i="2"/>
  <c r="DC12" i="2"/>
  <c r="DB12" i="2"/>
  <c r="DA12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EG12" i="2" s="1"/>
  <c r="D12" i="2"/>
  <c r="C12" i="2"/>
  <c r="EF6" i="2"/>
  <c r="EB6" i="2"/>
  <c r="DZ6" i="2"/>
  <c r="DX6" i="2"/>
  <c r="DT6" i="2"/>
  <c r="DR6" i="2"/>
  <c r="DP6" i="2"/>
  <c r="DL6" i="2"/>
  <c r="DJ6" i="2"/>
  <c r="DH6" i="2"/>
  <c r="DD6" i="2"/>
  <c r="DB6" i="2"/>
  <c r="CZ6" i="2"/>
  <c r="CV6" i="2"/>
  <c r="CT6" i="2"/>
  <c r="CR6" i="2"/>
  <c r="CN6" i="2"/>
  <c r="CL6" i="2"/>
  <c r="CJ6" i="2"/>
  <c r="CF6" i="2"/>
  <c r="CB6" i="2"/>
  <c r="BX6" i="2"/>
  <c r="BT6" i="2"/>
  <c r="BP6" i="2"/>
  <c r="BL6" i="2"/>
  <c r="BH6" i="2"/>
  <c r="AZ6" i="2"/>
  <c r="AR6" i="2"/>
  <c r="AJ6" i="2"/>
  <c r="AB6" i="2"/>
  <c r="T6" i="2"/>
  <c r="EF5" i="2"/>
  <c r="EE5" i="2"/>
  <c r="ED5" i="2"/>
  <c r="EC5" i="2"/>
  <c r="EB5" i="2"/>
  <c r="EA5" i="2"/>
  <c r="DZ5" i="2"/>
  <c r="DY5" i="2"/>
  <c r="DX5" i="2"/>
  <c r="DW5" i="2"/>
  <c r="DV5" i="2"/>
  <c r="DU5" i="2"/>
  <c r="DT5" i="2"/>
  <c r="DS5" i="2"/>
  <c r="DR5" i="2"/>
  <c r="DQ5" i="2"/>
  <c r="DP5" i="2"/>
  <c r="DO5" i="2"/>
  <c r="DN5" i="2"/>
  <c r="DM5" i="2"/>
  <c r="DL5" i="2"/>
  <c r="DK5" i="2"/>
  <c r="DJ5" i="2"/>
  <c r="DI5" i="2"/>
  <c r="DH5" i="2"/>
  <c r="DG5" i="2"/>
  <c r="DF5" i="2"/>
  <c r="DE5" i="2"/>
  <c r="DD5" i="2"/>
  <c r="DC5" i="2"/>
  <c r="DB5" i="2"/>
  <c r="DA5" i="2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EF4" i="2"/>
  <c r="EE4" i="2"/>
  <c r="ED4" i="2"/>
  <c r="EC4" i="2"/>
  <c r="EC6" i="2" s="1" a="1"/>
  <c r="EC6" i="2" s="1"/>
  <c r="EC8" i="2" s="1"/>
  <c r="EB4" i="2"/>
  <c r="EA4" i="2"/>
  <c r="DZ4" i="2"/>
  <c r="DY4" i="2"/>
  <c r="DY6" i="2" s="1" a="1"/>
  <c r="DY6" i="2" s="1"/>
  <c r="DY8" i="2" s="1"/>
  <c r="DX4" i="2"/>
  <c r="DW4" i="2"/>
  <c r="DV4" i="2"/>
  <c r="DU4" i="2"/>
  <c r="DU6" i="2" s="1" a="1"/>
  <c r="DU6" i="2" s="1"/>
  <c r="DU8" i="2" s="1"/>
  <c r="DT4" i="2"/>
  <c r="DS4" i="2"/>
  <c r="DR4" i="2"/>
  <c r="DQ4" i="2"/>
  <c r="DQ6" i="2" s="1" a="1"/>
  <c r="DQ6" i="2" s="1"/>
  <c r="DQ8" i="2" s="1"/>
  <c r="DP4" i="2"/>
  <c r="DO4" i="2"/>
  <c r="DN4" i="2"/>
  <c r="DM4" i="2"/>
  <c r="DM6" i="2" s="1" a="1"/>
  <c r="DM6" i="2" s="1"/>
  <c r="DM8" i="2" s="1"/>
  <c r="DL4" i="2"/>
  <c r="DK4" i="2"/>
  <c r="DJ4" i="2"/>
  <c r="DI4" i="2"/>
  <c r="DI6" i="2" s="1" a="1"/>
  <c r="DI6" i="2" s="1"/>
  <c r="DI8" i="2" s="1"/>
  <c r="DH4" i="2"/>
  <c r="DG4" i="2"/>
  <c r="DF4" i="2"/>
  <c r="DE4" i="2"/>
  <c r="DE6" i="2" s="1" a="1"/>
  <c r="DE6" i="2" s="1"/>
  <c r="DE8" i="2" s="1"/>
  <c r="DD4" i="2"/>
  <c r="DC4" i="2"/>
  <c r="DB4" i="2"/>
  <c r="DA4" i="2"/>
  <c r="DA6" i="2" s="1" a="1"/>
  <c r="DA6" i="2" s="1"/>
  <c r="DA8" i="2" s="1"/>
  <c r="CZ4" i="2"/>
  <c r="CY4" i="2"/>
  <c r="CX4" i="2"/>
  <c r="CW4" i="2"/>
  <c r="CW6" i="2" s="1" a="1"/>
  <c r="CW6" i="2" s="1"/>
  <c r="CW8" i="2" s="1"/>
  <c r="CV4" i="2"/>
  <c r="CU4" i="2"/>
  <c r="CT4" i="2"/>
  <c r="CS4" i="2"/>
  <c r="CS6" i="2" s="1" a="1"/>
  <c r="CS6" i="2" s="1"/>
  <c r="CS8" i="2" s="1"/>
  <c r="CR4" i="2"/>
  <c r="CQ4" i="2"/>
  <c r="CP4" i="2"/>
  <c r="CO4" i="2"/>
  <c r="CO6" i="2" s="1" a="1"/>
  <c r="CO6" i="2" s="1"/>
  <c r="CO8" i="2" s="1"/>
  <c r="CN4" i="2"/>
  <c r="CM4" i="2"/>
  <c r="CL4" i="2"/>
  <c r="CK4" i="2"/>
  <c r="CK6" i="2" s="1" a="1"/>
  <c r="CK6" i="2" s="1"/>
  <c r="CK8" i="2" s="1"/>
  <c r="CJ4" i="2"/>
  <c r="CI4" i="2"/>
  <c r="CH4" i="2"/>
  <c r="CG4" i="2"/>
  <c r="CG6" i="2" s="1" a="1"/>
  <c r="CG6" i="2" s="1"/>
  <c r="CG8" i="2" s="1"/>
  <c r="CF4" i="2"/>
  <c r="CE4" i="2"/>
  <c r="CD4" i="2"/>
  <c r="CC4" i="2"/>
  <c r="CC6" i="2" s="1" a="1"/>
  <c r="CC6" i="2" s="1"/>
  <c r="CC8" i="2" s="1"/>
  <c r="CB4" i="2"/>
  <c r="CA4" i="2"/>
  <c r="BZ4" i="2"/>
  <c r="BY4" i="2"/>
  <c r="BY6" i="2" s="1" a="1"/>
  <c r="BY6" i="2" s="1"/>
  <c r="BY8" i="2" s="1"/>
  <c r="BX4" i="2"/>
  <c r="BW4" i="2"/>
  <c r="BV4" i="2"/>
  <c r="BU4" i="2"/>
  <c r="BU6" i="2" s="1" a="1"/>
  <c r="BU6" i="2" s="1"/>
  <c r="BU8" i="2" s="1"/>
  <c r="BT4" i="2"/>
  <c r="BS4" i="2"/>
  <c r="BR4" i="2"/>
  <c r="BQ4" i="2"/>
  <c r="BQ6" i="2" s="1" a="1"/>
  <c r="BQ6" i="2" s="1"/>
  <c r="BQ8" i="2" s="1"/>
  <c r="BP4" i="2"/>
  <c r="BO4" i="2"/>
  <c r="BN4" i="2"/>
  <c r="BM4" i="2"/>
  <c r="BM6" i="2" s="1" a="1"/>
  <c r="BM6" i="2" s="1"/>
  <c r="BM8" i="2" s="1"/>
  <c r="BL4" i="2"/>
  <c r="BK4" i="2"/>
  <c r="BJ4" i="2"/>
  <c r="BI4" i="2"/>
  <c r="BI6" i="2" s="1" a="1"/>
  <c r="BI6" i="2" s="1"/>
  <c r="BI8" i="2" s="1"/>
  <c r="BH4" i="2"/>
  <c r="BG4" i="2"/>
  <c r="BF4" i="2"/>
  <c r="BE4" i="2"/>
  <c r="BE6" i="2" s="1" a="1"/>
  <c r="BE6" i="2" s="1"/>
  <c r="BE8" i="2" s="1"/>
  <c r="BD4" i="2"/>
  <c r="BC4" i="2"/>
  <c r="BB4" i="2"/>
  <c r="BA4" i="2"/>
  <c r="BA6" i="2" s="1" a="1"/>
  <c r="BA6" i="2" s="1"/>
  <c r="BA8" i="2" s="1"/>
  <c r="AZ4" i="2"/>
  <c r="AY4" i="2"/>
  <c r="AX4" i="2"/>
  <c r="AW4" i="2"/>
  <c r="AW6" i="2" s="1" a="1"/>
  <c r="AW6" i="2" s="1"/>
  <c r="AW8" i="2" s="1"/>
  <c r="AV4" i="2"/>
  <c r="AU4" i="2"/>
  <c r="AT4" i="2"/>
  <c r="AS4" i="2"/>
  <c r="AS6" i="2" s="1" a="1"/>
  <c r="AS6" i="2" s="1"/>
  <c r="AS8" i="2" s="1"/>
  <c r="AR4" i="2"/>
  <c r="AQ4" i="2"/>
  <c r="AP4" i="2"/>
  <c r="AO4" i="2"/>
  <c r="AO6" i="2" s="1" a="1"/>
  <c r="AO6" i="2" s="1"/>
  <c r="AO8" i="2" s="1"/>
  <c r="AN4" i="2"/>
  <c r="AM4" i="2"/>
  <c r="AL4" i="2"/>
  <c r="AK4" i="2"/>
  <c r="AK6" i="2" s="1" a="1"/>
  <c r="AK6" i="2" s="1"/>
  <c r="AK8" i="2" s="1"/>
  <c r="AJ4" i="2"/>
  <c r="AI4" i="2"/>
  <c r="AH4" i="2"/>
  <c r="AG4" i="2"/>
  <c r="AG6" i="2" s="1" a="1"/>
  <c r="AG6" i="2" s="1"/>
  <c r="AG8" i="2" s="1"/>
  <c r="AF4" i="2"/>
  <c r="AE4" i="2"/>
  <c r="AD4" i="2"/>
  <c r="AC4" i="2"/>
  <c r="AC6" i="2" s="1" a="1"/>
  <c r="AC6" i="2" s="1"/>
  <c r="AC8" i="2" s="1"/>
  <c r="AB4" i="2"/>
  <c r="AA4" i="2"/>
  <c r="Z4" i="2"/>
  <c r="Y4" i="2"/>
  <c r="Y6" i="2" s="1" a="1"/>
  <c r="Y6" i="2" s="1"/>
  <c r="Y8" i="2" s="1"/>
  <c r="X4" i="2"/>
  <c r="W4" i="2"/>
  <c r="V4" i="2"/>
  <c r="U4" i="2"/>
  <c r="U6" i="2" s="1" a="1"/>
  <c r="U6" i="2" s="1"/>
  <c r="U8" i="2" s="1"/>
  <c r="T4" i="2"/>
  <c r="S4" i="2"/>
  <c r="R4" i="2"/>
  <c r="Q4" i="2"/>
  <c r="Q6" i="2" s="1" a="1"/>
  <c r="Q6" i="2" s="1"/>
  <c r="Q8" i="2" s="1"/>
  <c r="P4" i="2"/>
  <c r="O4" i="2"/>
  <c r="N4" i="2"/>
  <c r="M4" i="2"/>
  <c r="M6" i="2" s="1" a="1"/>
  <c r="M6" i="2" s="1"/>
  <c r="M8" i="2" s="1"/>
  <c r="L4" i="2"/>
  <c r="K4" i="2"/>
  <c r="J4" i="2"/>
  <c r="I4" i="2"/>
  <c r="I6" i="2" s="1" a="1"/>
  <c r="I6" i="2" s="1"/>
  <c r="I8" i="2" s="1"/>
  <c r="H4" i="2"/>
  <c r="G4" i="2"/>
  <c r="F4" i="2"/>
  <c r="E4" i="2"/>
  <c r="E6" i="2" s="1" a="1"/>
  <c r="E6" i="2" s="1"/>
  <c r="E8" i="2" s="1"/>
  <c r="D4" i="2"/>
  <c r="C4" i="2"/>
  <c r="EF3" i="2"/>
  <c r="EF6" i="2" s="1" a="1"/>
  <c r="EE3" i="2"/>
  <c r="EE6" i="2" s="1" a="1"/>
  <c r="EE6" i="2" s="1"/>
  <c r="EE7" i="2" s="1"/>
  <c r="ED3" i="2"/>
  <c r="ED6" i="2" s="1" a="1"/>
  <c r="ED6" i="2" s="1"/>
  <c r="EC3" i="2"/>
  <c r="EB3" i="2"/>
  <c r="EB6" i="2" s="1" a="1"/>
  <c r="EA3" i="2"/>
  <c r="EA6" i="2" s="1" a="1"/>
  <c r="EA6" i="2" s="1"/>
  <c r="EA7" i="2" s="1"/>
  <c r="DZ3" i="2"/>
  <c r="DZ6" i="2" s="1" a="1"/>
  <c r="DY3" i="2"/>
  <c r="DX3" i="2"/>
  <c r="DX6" i="2" s="1" a="1"/>
  <c r="DW3" i="2"/>
  <c r="DW6" i="2" s="1" a="1"/>
  <c r="DW6" i="2" s="1"/>
  <c r="DW7" i="2" s="1"/>
  <c r="DV3" i="2"/>
  <c r="DV6" i="2" s="1" a="1"/>
  <c r="DV6" i="2" s="1"/>
  <c r="DU3" i="2"/>
  <c r="DT3" i="2"/>
  <c r="DT6" i="2" s="1" a="1"/>
  <c r="DS3" i="2"/>
  <c r="DS6" i="2" s="1" a="1"/>
  <c r="DS6" i="2" s="1"/>
  <c r="DS7" i="2" s="1"/>
  <c r="DR3" i="2"/>
  <c r="DR6" i="2" s="1" a="1"/>
  <c r="DQ3" i="2"/>
  <c r="DP3" i="2"/>
  <c r="DP6" i="2" s="1" a="1"/>
  <c r="DO3" i="2"/>
  <c r="DO6" i="2" s="1" a="1"/>
  <c r="DO6" i="2" s="1"/>
  <c r="DO7" i="2" s="1"/>
  <c r="DN3" i="2"/>
  <c r="DN6" i="2" s="1" a="1"/>
  <c r="DN6" i="2" s="1"/>
  <c r="DM3" i="2"/>
  <c r="DL3" i="2"/>
  <c r="DL6" i="2" s="1" a="1"/>
  <c r="DK3" i="2"/>
  <c r="DK6" i="2" s="1" a="1"/>
  <c r="DK6" i="2" s="1"/>
  <c r="DK7" i="2" s="1"/>
  <c r="DJ3" i="2"/>
  <c r="DJ6" i="2" s="1" a="1"/>
  <c r="DI3" i="2"/>
  <c r="DH3" i="2"/>
  <c r="DH6" i="2" s="1" a="1"/>
  <c r="DG3" i="2"/>
  <c r="DG6" i="2" s="1" a="1"/>
  <c r="DG6" i="2" s="1"/>
  <c r="DG7" i="2" s="1"/>
  <c r="DF3" i="2"/>
  <c r="DF6" i="2" s="1" a="1"/>
  <c r="DF6" i="2" s="1"/>
  <c r="DE3" i="2"/>
  <c r="DD3" i="2"/>
  <c r="DD6" i="2" s="1" a="1"/>
  <c r="DC3" i="2"/>
  <c r="DC6" i="2" s="1" a="1"/>
  <c r="DC6" i="2" s="1"/>
  <c r="DC7" i="2" s="1"/>
  <c r="DB3" i="2"/>
  <c r="DB6" i="2" s="1" a="1"/>
  <c r="DA3" i="2"/>
  <c r="CZ3" i="2"/>
  <c r="CZ6" i="2" s="1" a="1"/>
  <c r="CY3" i="2"/>
  <c r="CY6" i="2" s="1" a="1"/>
  <c r="CY6" i="2" s="1"/>
  <c r="CY7" i="2" s="1"/>
  <c r="CX3" i="2"/>
  <c r="CX6" i="2" s="1" a="1"/>
  <c r="CX6" i="2" s="1"/>
  <c r="CW3" i="2"/>
  <c r="CV3" i="2"/>
  <c r="CV6" i="2" s="1" a="1"/>
  <c r="CU3" i="2"/>
  <c r="CU6" i="2" s="1" a="1"/>
  <c r="CU6" i="2" s="1"/>
  <c r="CU7" i="2" s="1"/>
  <c r="CT3" i="2"/>
  <c r="CT6" i="2" s="1" a="1"/>
  <c r="CS3" i="2"/>
  <c r="CR3" i="2"/>
  <c r="CR6" i="2" s="1" a="1"/>
  <c r="CQ3" i="2"/>
  <c r="CQ6" i="2" s="1" a="1"/>
  <c r="CQ6" i="2" s="1"/>
  <c r="CQ7" i="2" s="1"/>
  <c r="CP3" i="2"/>
  <c r="CP6" i="2" s="1" a="1"/>
  <c r="CP6" i="2" s="1"/>
  <c r="CO3" i="2"/>
  <c r="CN3" i="2"/>
  <c r="CN6" i="2" s="1" a="1"/>
  <c r="CM3" i="2"/>
  <c r="CM6" i="2" s="1" a="1"/>
  <c r="CM6" i="2" s="1"/>
  <c r="CM7" i="2" s="1"/>
  <c r="CL3" i="2"/>
  <c r="CL6" i="2" s="1" a="1"/>
  <c r="CK3" i="2"/>
  <c r="CJ3" i="2"/>
  <c r="CJ6" i="2" s="1" a="1"/>
  <c r="CI3" i="2"/>
  <c r="CI6" i="2" s="1" a="1"/>
  <c r="CI6" i="2" s="1"/>
  <c r="CI7" i="2" s="1"/>
  <c r="CH3" i="2"/>
  <c r="CH6" i="2" s="1" a="1"/>
  <c r="CH6" i="2" s="1"/>
  <c r="CG3" i="2"/>
  <c r="CF3" i="2"/>
  <c r="CF6" i="2" s="1" a="1"/>
  <c r="CE3" i="2"/>
  <c r="CE6" i="2" s="1" a="1"/>
  <c r="CE6" i="2" s="1"/>
  <c r="CE7" i="2" s="1"/>
  <c r="CD3" i="2"/>
  <c r="CD6" i="2" s="1" a="1"/>
  <c r="CD6" i="2" s="1"/>
  <c r="CC3" i="2"/>
  <c r="CB3" i="2"/>
  <c r="CB6" i="2" s="1" a="1"/>
  <c r="CA3" i="2"/>
  <c r="CA6" i="2" s="1" a="1"/>
  <c r="CA6" i="2" s="1"/>
  <c r="CA7" i="2" s="1"/>
  <c r="BZ3" i="2"/>
  <c r="BZ6" i="2" s="1" a="1"/>
  <c r="BZ6" i="2" s="1"/>
  <c r="BY3" i="2"/>
  <c r="BX3" i="2"/>
  <c r="BX6" i="2" s="1" a="1"/>
  <c r="BW3" i="2"/>
  <c r="BW6" i="2" s="1" a="1"/>
  <c r="BW6" i="2" s="1"/>
  <c r="BW7" i="2" s="1"/>
  <c r="BV3" i="2"/>
  <c r="BV6" i="2" s="1" a="1"/>
  <c r="BV6" i="2" s="1"/>
  <c r="BU3" i="2"/>
  <c r="BT3" i="2"/>
  <c r="BT6" i="2" s="1" a="1"/>
  <c r="BS3" i="2"/>
  <c r="BS6" i="2" s="1" a="1"/>
  <c r="BS6" i="2" s="1"/>
  <c r="BS7" i="2" s="1"/>
  <c r="BR3" i="2"/>
  <c r="BR6" i="2" s="1" a="1"/>
  <c r="BR6" i="2" s="1"/>
  <c r="BQ3" i="2"/>
  <c r="BP3" i="2"/>
  <c r="BP6" i="2" s="1" a="1"/>
  <c r="BO3" i="2"/>
  <c r="BO6" i="2" s="1" a="1"/>
  <c r="BO6" i="2" s="1"/>
  <c r="BO7" i="2" s="1"/>
  <c r="BN3" i="2"/>
  <c r="BN6" i="2" s="1" a="1"/>
  <c r="BN6" i="2" s="1"/>
  <c r="BM3" i="2"/>
  <c r="BL3" i="2"/>
  <c r="BL6" i="2" s="1" a="1"/>
  <c r="BK3" i="2"/>
  <c r="BK6" i="2" s="1" a="1"/>
  <c r="BK6" i="2" s="1"/>
  <c r="BK7" i="2" s="1"/>
  <c r="BJ3" i="2"/>
  <c r="BJ6" i="2" s="1" a="1"/>
  <c r="BJ6" i="2" s="1"/>
  <c r="BI3" i="2"/>
  <c r="BH3" i="2"/>
  <c r="BH6" i="2" s="1" a="1"/>
  <c r="BG3" i="2"/>
  <c r="BG6" i="2" s="1" a="1"/>
  <c r="BG6" i="2" s="1"/>
  <c r="BG7" i="2" s="1"/>
  <c r="BF3" i="2"/>
  <c r="BF6" i="2" s="1" a="1"/>
  <c r="BF6" i="2" s="1"/>
  <c r="BE3" i="2"/>
  <c r="BD3" i="2"/>
  <c r="BD6" i="2" s="1" a="1"/>
  <c r="BD6" i="2" s="1"/>
  <c r="BC3" i="2"/>
  <c r="BC6" i="2" s="1" a="1"/>
  <c r="BC6" i="2" s="1"/>
  <c r="BC7" i="2" s="1"/>
  <c r="BB3" i="2"/>
  <c r="BB6" i="2" s="1" a="1"/>
  <c r="BB6" i="2" s="1"/>
  <c r="BA3" i="2"/>
  <c r="AZ3" i="2"/>
  <c r="AZ6" i="2" s="1" a="1"/>
  <c r="AY3" i="2"/>
  <c r="AY6" i="2" s="1" a="1"/>
  <c r="AY6" i="2" s="1"/>
  <c r="AY7" i="2" s="1"/>
  <c r="AX3" i="2"/>
  <c r="AX6" i="2" s="1" a="1"/>
  <c r="AX6" i="2" s="1"/>
  <c r="AW3" i="2"/>
  <c r="AV3" i="2"/>
  <c r="AV6" i="2" s="1" a="1"/>
  <c r="AV6" i="2" s="1"/>
  <c r="AU3" i="2"/>
  <c r="AU6" i="2" s="1" a="1"/>
  <c r="AU6" i="2" s="1"/>
  <c r="AU7" i="2" s="1"/>
  <c r="AT3" i="2"/>
  <c r="AT6" i="2" s="1" a="1"/>
  <c r="AT6" i="2" s="1"/>
  <c r="AS3" i="2"/>
  <c r="AR3" i="2"/>
  <c r="AR6" i="2" s="1" a="1"/>
  <c r="AQ3" i="2"/>
  <c r="AQ6" i="2" s="1" a="1"/>
  <c r="AQ6" i="2" s="1"/>
  <c r="AQ7" i="2" s="1"/>
  <c r="AP3" i="2"/>
  <c r="AP6" i="2" s="1" a="1"/>
  <c r="AP6" i="2" s="1"/>
  <c r="AO3" i="2"/>
  <c r="AN3" i="2"/>
  <c r="AN6" i="2" s="1" a="1"/>
  <c r="AN6" i="2" s="1"/>
  <c r="AM3" i="2"/>
  <c r="AM6" i="2" s="1" a="1"/>
  <c r="AM6" i="2" s="1"/>
  <c r="AM7" i="2" s="1"/>
  <c r="AL3" i="2"/>
  <c r="AL6" i="2" s="1" a="1"/>
  <c r="AL6" i="2" s="1"/>
  <c r="AK3" i="2"/>
  <c r="AJ3" i="2"/>
  <c r="AJ6" i="2" s="1" a="1"/>
  <c r="AI3" i="2"/>
  <c r="AI6" i="2" s="1" a="1"/>
  <c r="AI6" i="2" s="1"/>
  <c r="AI7" i="2" s="1"/>
  <c r="AH3" i="2"/>
  <c r="AH6" i="2" s="1" a="1"/>
  <c r="AH6" i="2" s="1"/>
  <c r="AG3" i="2"/>
  <c r="AF3" i="2"/>
  <c r="AF6" i="2" s="1" a="1"/>
  <c r="AF6" i="2" s="1"/>
  <c r="AE3" i="2"/>
  <c r="AE6" i="2" s="1" a="1"/>
  <c r="AE6" i="2" s="1"/>
  <c r="AE7" i="2" s="1"/>
  <c r="AD3" i="2"/>
  <c r="AD6" i="2" s="1" a="1"/>
  <c r="AD6" i="2" s="1"/>
  <c r="AC3" i="2"/>
  <c r="AB3" i="2"/>
  <c r="AB6" i="2" s="1" a="1"/>
  <c r="AA3" i="2"/>
  <c r="AA6" i="2" s="1" a="1"/>
  <c r="AA6" i="2" s="1"/>
  <c r="AA7" i="2" s="1"/>
  <c r="Z3" i="2"/>
  <c r="Z6" i="2" s="1" a="1"/>
  <c r="Z6" i="2" s="1"/>
  <c r="Y3" i="2"/>
  <c r="X3" i="2"/>
  <c r="X6" i="2" s="1" a="1"/>
  <c r="X6" i="2" s="1"/>
  <c r="W3" i="2"/>
  <c r="W6" i="2" s="1" a="1"/>
  <c r="W6" i="2" s="1"/>
  <c r="W7" i="2" s="1"/>
  <c r="V3" i="2"/>
  <c r="V6" i="2" s="1" a="1"/>
  <c r="V6" i="2" s="1"/>
  <c r="U3" i="2"/>
  <c r="T3" i="2"/>
  <c r="T6" i="2" s="1" a="1"/>
  <c r="S3" i="2"/>
  <c r="S6" i="2" s="1" a="1"/>
  <c r="S6" i="2" s="1"/>
  <c r="S7" i="2" s="1"/>
  <c r="R3" i="2"/>
  <c r="R6" i="2" s="1" a="1"/>
  <c r="R6" i="2" s="1"/>
  <c r="Q3" i="2"/>
  <c r="P3" i="2"/>
  <c r="P6" i="2" s="1" a="1"/>
  <c r="P6" i="2" s="1"/>
  <c r="O3" i="2"/>
  <c r="O6" i="2" s="1" a="1"/>
  <c r="O6" i="2" s="1"/>
  <c r="O7" i="2" s="1"/>
  <c r="N3" i="2"/>
  <c r="N6" i="2" s="1" a="1"/>
  <c r="N6" i="2" s="1"/>
  <c r="M3" i="2"/>
  <c r="L3" i="2"/>
  <c r="L6" i="2" s="1" a="1"/>
  <c r="L6" i="2" s="1"/>
  <c r="K3" i="2"/>
  <c r="K6" i="2" s="1" a="1"/>
  <c r="K6" i="2" s="1"/>
  <c r="K7" i="2" s="1"/>
  <c r="J3" i="2"/>
  <c r="J6" i="2" s="1" a="1"/>
  <c r="J6" i="2" s="1"/>
  <c r="I3" i="2"/>
  <c r="H3" i="2"/>
  <c r="H6" i="2" s="1" a="1"/>
  <c r="H6" i="2" s="1"/>
  <c r="G3" i="2"/>
  <c r="G6" i="2" s="1" a="1"/>
  <c r="G6" i="2" s="1"/>
  <c r="G7" i="2" s="1"/>
  <c r="F3" i="2"/>
  <c r="F6" i="2" s="1" a="1"/>
  <c r="F6" i="2" s="1"/>
  <c r="E3" i="2"/>
  <c r="D3" i="2"/>
  <c r="D6" i="2" s="1" a="1"/>
  <c r="D6" i="2" s="1"/>
  <c r="C3" i="2"/>
  <c r="C6" i="2" s="1" a="1"/>
  <c r="C6" i="2" s="1"/>
  <c r="C7" i="2" s="1"/>
  <c r="A1" i="2"/>
  <c r="ED8" i="1"/>
  <c r="DZ8" i="1"/>
  <c r="DV8" i="1"/>
  <c r="DF8" i="1"/>
  <c r="CP8" i="1"/>
  <c r="BZ8" i="1"/>
  <c r="BJ8" i="1"/>
  <c r="AT8" i="1"/>
  <c r="AD8" i="1"/>
  <c r="N8" i="1"/>
  <c r="EF7" i="1"/>
  <c r="EB7" i="1"/>
  <c r="DX7" i="1"/>
  <c r="DT7" i="1"/>
  <c r="EF6" i="1" a="1"/>
  <c r="EF6" i="1"/>
  <c r="EF8" i="1" s="1"/>
  <c r="EE6" i="1" a="1"/>
  <c r="EE6" i="1" s="1"/>
  <c r="ED6" i="1" a="1"/>
  <c r="ED6" i="1"/>
  <c r="ED7" i="1" s="1"/>
  <c r="EC6" i="1" a="1"/>
  <c r="EC6" i="1" s="1"/>
  <c r="EB6" i="1" a="1"/>
  <c r="EB6" i="1"/>
  <c r="EB8" i="1" s="1"/>
  <c r="EA6" i="1" a="1"/>
  <c r="EA6" i="1" s="1"/>
  <c r="DZ6" i="1" a="1"/>
  <c r="DZ6" i="1"/>
  <c r="DZ7" i="1" s="1"/>
  <c r="DY6" i="1" a="1"/>
  <c r="DY6" i="1" s="1"/>
  <c r="DX6" i="1" a="1"/>
  <c r="DX6" i="1"/>
  <c r="DX8" i="1" s="1"/>
  <c r="DW6" i="1" a="1"/>
  <c r="DW6" i="1" s="1"/>
  <c r="DV6" i="1" a="1"/>
  <c r="DV6" i="1"/>
  <c r="DV7" i="1" s="1"/>
  <c r="DU6" i="1" a="1"/>
  <c r="DU6" i="1" s="1"/>
  <c r="DT6" i="1" a="1"/>
  <c r="DT6" i="1"/>
  <c r="DT8" i="1" s="1"/>
  <c r="DS6" i="1" a="1"/>
  <c r="DS6" i="1" s="1"/>
  <c r="DR6" i="1" a="1"/>
  <c r="DR6" i="1" s="1"/>
  <c r="DR7" i="1" s="1"/>
  <c r="DQ6" i="1" a="1"/>
  <c r="DQ6" i="1" s="1"/>
  <c r="DP6" i="1" a="1"/>
  <c r="DP6" i="1" s="1"/>
  <c r="DP8" i="1" s="1"/>
  <c r="DO6" i="1" a="1"/>
  <c r="DO6" i="1" s="1"/>
  <c r="DN6" i="1" a="1"/>
  <c r="DN6" i="1" s="1"/>
  <c r="DN7" i="1" s="1"/>
  <c r="DM6" i="1" a="1"/>
  <c r="DM6" i="1" s="1"/>
  <c r="DL6" i="1" a="1"/>
  <c r="DL6" i="1" s="1"/>
  <c r="DL8" i="1" s="1"/>
  <c r="DK6" i="1" a="1"/>
  <c r="DK6" i="1" s="1"/>
  <c r="DJ6" i="1" a="1"/>
  <c r="DJ6" i="1" s="1"/>
  <c r="DJ7" i="1" s="1"/>
  <c r="DI6" i="1" a="1"/>
  <c r="DI6" i="1" s="1"/>
  <c r="DH6" i="1" a="1"/>
  <c r="DH6" i="1" s="1"/>
  <c r="DH8" i="1" s="1"/>
  <c r="DG6" i="1" a="1"/>
  <c r="DG6" i="1" s="1"/>
  <c r="DF6" i="1" a="1"/>
  <c r="DF6" i="1" s="1"/>
  <c r="DF7" i="1" s="1"/>
  <c r="DE6" i="1" a="1"/>
  <c r="DE6" i="1" s="1"/>
  <c r="DD6" i="1" a="1"/>
  <c r="DD6" i="1" s="1"/>
  <c r="DD8" i="1" s="1"/>
  <c r="DC6" i="1" a="1"/>
  <c r="DC6" i="1" s="1"/>
  <c r="DB6" i="1" a="1"/>
  <c r="DB6" i="1" s="1"/>
  <c r="DB7" i="1" s="1"/>
  <c r="DA6" i="1" a="1"/>
  <c r="DA6" i="1" s="1"/>
  <c r="CZ6" i="1" a="1"/>
  <c r="CZ6" i="1" s="1"/>
  <c r="CZ8" i="1" s="1"/>
  <c r="CY6" i="1" a="1"/>
  <c r="CY6" i="1" s="1"/>
  <c r="CX6" i="1" a="1"/>
  <c r="CX6" i="1" s="1"/>
  <c r="CX7" i="1" s="1"/>
  <c r="CW6" i="1" a="1"/>
  <c r="CW6" i="1" s="1"/>
  <c r="CV6" i="1" a="1"/>
  <c r="CV6" i="1" s="1"/>
  <c r="CV8" i="1" s="1"/>
  <c r="CU6" i="1" a="1"/>
  <c r="CU6" i="1" s="1"/>
  <c r="CT6" i="1" a="1"/>
  <c r="CT6" i="1" s="1"/>
  <c r="CT7" i="1" s="1"/>
  <c r="CS6" i="1" a="1"/>
  <c r="CS6" i="1" s="1"/>
  <c r="CR6" i="1" a="1"/>
  <c r="CR6" i="1" s="1"/>
  <c r="CR8" i="1" s="1"/>
  <c r="CQ6" i="1" a="1"/>
  <c r="CQ6" i="1" s="1"/>
  <c r="CP6" i="1" a="1"/>
  <c r="CP6" i="1" s="1"/>
  <c r="CP7" i="1" s="1"/>
  <c r="CO6" i="1" a="1"/>
  <c r="CO6" i="1" s="1"/>
  <c r="CN6" i="1" a="1"/>
  <c r="CN6" i="1" s="1"/>
  <c r="CN8" i="1" s="1"/>
  <c r="CM6" i="1" a="1"/>
  <c r="CM6" i="1" s="1"/>
  <c r="CL6" i="1" a="1"/>
  <c r="CL6" i="1" s="1"/>
  <c r="CL7" i="1" s="1"/>
  <c r="CK6" i="1" a="1"/>
  <c r="CK6" i="1" s="1"/>
  <c r="CJ6" i="1" a="1"/>
  <c r="CJ6" i="1" s="1"/>
  <c r="CJ8" i="1" s="1"/>
  <c r="CI6" i="1" a="1"/>
  <c r="CI6" i="1" s="1"/>
  <c r="CH6" i="1" a="1"/>
  <c r="CH6" i="1" s="1"/>
  <c r="CH7" i="1" s="1"/>
  <c r="CG6" i="1" a="1"/>
  <c r="CG6" i="1" s="1"/>
  <c r="CF6" i="1" a="1"/>
  <c r="CF6" i="1" s="1"/>
  <c r="CF8" i="1" s="1"/>
  <c r="CE6" i="1" a="1"/>
  <c r="CE6" i="1" s="1"/>
  <c r="CD6" i="1" a="1"/>
  <c r="CD6" i="1" s="1"/>
  <c r="CD7" i="1" s="1"/>
  <c r="CC6" i="1" a="1"/>
  <c r="CC6" i="1" s="1"/>
  <c r="CB6" i="1" a="1"/>
  <c r="CB6" i="1" s="1"/>
  <c r="CB8" i="1" s="1"/>
  <c r="CA6" i="1" a="1"/>
  <c r="CA6" i="1" s="1"/>
  <c r="BZ6" i="1" a="1"/>
  <c r="BZ6" i="1" s="1"/>
  <c r="BZ7" i="1" s="1"/>
  <c r="BY6" i="1" a="1"/>
  <c r="BY6" i="1" s="1"/>
  <c r="BX6" i="1" a="1"/>
  <c r="BX6" i="1" s="1"/>
  <c r="BX8" i="1" s="1"/>
  <c r="BW6" i="1" a="1"/>
  <c r="BW6" i="1" s="1"/>
  <c r="BV6" i="1" a="1"/>
  <c r="BV6" i="1" s="1"/>
  <c r="BV7" i="1" s="1"/>
  <c r="BU6" i="1" a="1"/>
  <c r="BU6" i="1" s="1"/>
  <c r="BT6" i="1" a="1"/>
  <c r="BT6" i="1" s="1"/>
  <c r="BT8" i="1" s="1"/>
  <c r="BS6" i="1" a="1"/>
  <c r="BS6" i="1" s="1"/>
  <c r="BR6" i="1" a="1"/>
  <c r="BR6" i="1" s="1"/>
  <c r="BR7" i="1" s="1"/>
  <c r="BQ6" i="1" a="1"/>
  <c r="BQ6" i="1" s="1"/>
  <c r="BP6" i="1" a="1"/>
  <c r="BP6" i="1" s="1"/>
  <c r="BP8" i="1" s="1"/>
  <c r="BO6" i="1" a="1"/>
  <c r="BO6" i="1" s="1"/>
  <c r="BN6" i="1" a="1"/>
  <c r="BN6" i="1" s="1"/>
  <c r="BN7" i="1" s="1"/>
  <c r="BM6" i="1" a="1"/>
  <c r="BM6" i="1" s="1"/>
  <c r="BL6" i="1" a="1"/>
  <c r="BL6" i="1" s="1"/>
  <c r="BL8" i="1" s="1"/>
  <c r="BK6" i="1" a="1"/>
  <c r="BK6" i="1" s="1"/>
  <c r="BJ6" i="1" a="1"/>
  <c r="BJ6" i="1" s="1"/>
  <c r="BJ7" i="1" s="1"/>
  <c r="BI6" i="1" a="1"/>
  <c r="BI6" i="1" s="1"/>
  <c r="BH6" i="1" a="1"/>
  <c r="BH6" i="1" s="1"/>
  <c r="BH8" i="1" s="1"/>
  <c r="BG6" i="1" a="1"/>
  <c r="BG6" i="1" s="1"/>
  <c r="BF6" i="1" a="1"/>
  <c r="BF6" i="1" s="1"/>
  <c r="BF7" i="1" s="1"/>
  <c r="BE6" i="1" a="1"/>
  <c r="BE6" i="1" s="1"/>
  <c r="BD6" i="1" a="1"/>
  <c r="BD6" i="1" s="1"/>
  <c r="BD8" i="1" s="1"/>
  <c r="BC6" i="1" a="1"/>
  <c r="BC6" i="1" s="1"/>
  <c r="BB6" i="1" a="1"/>
  <c r="BB6" i="1" s="1"/>
  <c r="BB7" i="1" s="1"/>
  <c r="BA6" i="1" a="1"/>
  <c r="BA6" i="1" s="1"/>
  <c r="AZ6" i="1" a="1"/>
  <c r="AZ6" i="1" s="1"/>
  <c r="AZ8" i="1" s="1"/>
  <c r="AY6" i="1" a="1"/>
  <c r="AY6" i="1" s="1"/>
  <c r="AX6" i="1" a="1"/>
  <c r="AX6" i="1" s="1"/>
  <c r="AX7" i="1" s="1"/>
  <c r="AW6" i="1" a="1"/>
  <c r="AW6" i="1" s="1"/>
  <c r="AV6" i="1" a="1"/>
  <c r="AV6" i="1" s="1"/>
  <c r="AV8" i="1" s="1"/>
  <c r="AU6" i="1" a="1"/>
  <c r="AU6" i="1" s="1"/>
  <c r="AT6" i="1" a="1"/>
  <c r="AT6" i="1" s="1"/>
  <c r="AT7" i="1" s="1"/>
  <c r="AS6" i="1" a="1"/>
  <c r="AS6" i="1" s="1"/>
  <c r="AR6" i="1" a="1"/>
  <c r="AR6" i="1" s="1"/>
  <c r="AR8" i="1" s="1"/>
  <c r="AQ6" i="1" a="1"/>
  <c r="AQ6" i="1" s="1"/>
  <c r="AP6" i="1" a="1"/>
  <c r="AP6" i="1" s="1"/>
  <c r="AP7" i="1" s="1"/>
  <c r="AO6" i="1" a="1"/>
  <c r="AO6" i="1" s="1"/>
  <c r="AN6" i="1" a="1"/>
  <c r="AN6" i="1" s="1"/>
  <c r="AN8" i="1" s="1"/>
  <c r="AM6" i="1" a="1"/>
  <c r="AM6" i="1" s="1"/>
  <c r="AL6" i="1" a="1"/>
  <c r="AL6" i="1" s="1"/>
  <c r="AL7" i="1" s="1"/>
  <c r="AK6" i="1" a="1"/>
  <c r="AK6" i="1" s="1"/>
  <c r="AJ6" i="1" a="1"/>
  <c r="AJ6" i="1" s="1"/>
  <c r="AJ8" i="1" s="1"/>
  <c r="AI6" i="1" a="1"/>
  <c r="AI6" i="1" s="1"/>
  <c r="AH6" i="1" a="1"/>
  <c r="AH6" i="1" s="1"/>
  <c r="AH7" i="1" s="1"/>
  <c r="AG6" i="1" a="1"/>
  <c r="AG6" i="1" s="1"/>
  <c r="AF6" i="1" a="1"/>
  <c r="AF6" i="1" s="1"/>
  <c r="AF8" i="1" s="1"/>
  <c r="AE6" i="1" a="1"/>
  <c r="AE6" i="1" s="1"/>
  <c r="AD6" i="1" a="1"/>
  <c r="AD6" i="1" s="1"/>
  <c r="AD7" i="1" s="1"/>
  <c r="AC6" i="1" a="1"/>
  <c r="AC6" i="1" s="1"/>
  <c r="AB6" i="1" a="1"/>
  <c r="AB6" i="1" s="1"/>
  <c r="AB8" i="1" s="1"/>
  <c r="AA6" i="1" a="1"/>
  <c r="AA6" i="1" s="1"/>
  <c r="Z6" i="1" a="1"/>
  <c r="Z6" i="1" s="1"/>
  <c r="Z7" i="1" s="1"/>
  <c r="Y6" i="1" a="1"/>
  <c r="Y6" i="1" s="1"/>
  <c r="X6" i="1" a="1"/>
  <c r="X6" i="1" s="1"/>
  <c r="X8" i="1" s="1"/>
  <c r="W6" i="1" a="1"/>
  <c r="W6" i="1" s="1"/>
  <c r="V6" i="1" a="1"/>
  <c r="V6" i="1" s="1"/>
  <c r="V7" i="1" s="1"/>
  <c r="U6" i="1" a="1"/>
  <c r="U6" i="1" s="1"/>
  <c r="T6" i="1" a="1"/>
  <c r="T6" i="1" s="1"/>
  <c r="T8" i="1" s="1"/>
  <c r="S6" i="1" a="1"/>
  <c r="S6" i="1" s="1"/>
  <c r="R6" i="1" a="1"/>
  <c r="R6" i="1" s="1"/>
  <c r="R7" i="1" s="1"/>
  <c r="Q6" i="1" a="1"/>
  <c r="Q6" i="1" s="1"/>
  <c r="P6" i="1" a="1"/>
  <c r="P6" i="1" s="1"/>
  <c r="P8" i="1" s="1"/>
  <c r="O6" i="1" a="1"/>
  <c r="O6" i="1" s="1"/>
  <c r="N6" i="1" a="1"/>
  <c r="N6" i="1" s="1"/>
  <c r="N7" i="1" s="1"/>
  <c r="M6" i="1" a="1"/>
  <c r="M6" i="1" s="1"/>
  <c r="L6" i="1" a="1"/>
  <c r="L6" i="1" s="1"/>
  <c r="L8" i="1" s="1"/>
  <c r="K6" i="1" a="1"/>
  <c r="K6" i="1" s="1"/>
  <c r="J6" i="1" a="1"/>
  <c r="J6" i="1" s="1"/>
  <c r="J7" i="1" s="1"/>
  <c r="I6" i="1" a="1"/>
  <c r="I6" i="1" s="1"/>
  <c r="H6" i="1" a="1"/>
  <c r="H6" i="1" s="1"/>
  <c r="H8" i="1" s="1"/>
  <c r="G6" i="1" a="1"/>
  <c r="G6" i="1" s="1"/>
  <c r="F6" i="1" a="1"/>
  <c r="F6" i="1" s="1"/>
  <c r="F7" i="1" s="1"/>
  <c r="E6" i="1" a="1"/>
  <c r="E6" i="1" s="1"/>
  <c r="D6" i="1" a="1"/>
  <c r="D6" i="1" s="1"/>
  <c r="D8" i="1" s="1"/>
  <c r="C6" i="1" a="1"/>
  <c r="C6" i="1" s="1"/>
  <c r="AG8" i="7" l="1"/>
  <c r="AG7" i="7"/>
  <c r="BM8" i="7"/>
  <c r="BM7" i="7"/>
  <c r="CS8" i="7"/>
  <c r="CS7" i="7"/>
  <c r="DY8" i="7"/>
  <c r="DY7" i="7"/>
  <c r="EC7" i="7"/>
  <c r="EC8" i="7"/>
  <c r="C8" i="7"/>
  <c r="C7" i="7"/>
  <c r="G8" i="7"/>
  <c r="G7" i="7"/>
  <c r="K8" i="7"/>
  <c r="K7" i="7"/>
  <c r="O7" i="7"/>
  <c r="O8" i="7"/>
  <c r="W8" i="7"/>
  <c r="W7" i="7"/>
  <c r="AA8" i="7"/>
  <c r="AA7" i="7"/>
  <c r="AE7" i="7"/>
  <c r="AE8" i="7"/>
  <c r="AI8" i="7"/>
  <c r="AI7" i="7"/>
  <c r="AM8" i="7"/>
  <c r="AM7" i="7"/>
  <c r="AQ8" i="7"/>
  <c r="AQ7" i="7"/>
  <c r="AU7" i="7"/>
  <c r="AU8" i="7"/>
  <c r="AY8" i="7"/>
  <c r="AY7" i="7"/>
  <c r="BC8" i="7"/>
  <c r="BC7" i="7"/>
  <c r="BG8" i="7"/>
  <c r="BG7" i="7"/>
  <c r="BK7" i="7"/>
  <c r="BK8" i="7"/>
  <c r="BO8" i="7"/>
  <c r="BO7" i="7"/>
  <c r="BS8" i="7"/>
  <c r="BS7" i="7"/>
  <c r="BW8" i="7"/>
  <c r="BW7" i="7"/>
  <c r="CA7" i="7"/>
  <c r="CA8" i="7"/>
  <c r="CE8" i="7"/>
  <c r="CE7" i="7"/>
  <c r="CI8" i="7"/>
  <c r="CI7" i="7"/>
  <c r="CM8" i="7"/>
  <c r="CM7" i="7"/>
  <c r="CQ7" i="7"/>
  <c r="CQ8" i="7"/>
  <c r="CU7" i="7"/>
  <c r="CU8" i="7"/>
  <c r="CY8" i="7"/>
  <c r="CY7" i="7"/>
  <c r="DC8" i="7"/>
  <c r="DC7" i="7"/>
  <c r="DG7" i="7"/>
  <c r="DG8" i="7"/>
  <c r="DK8" i="7"/>
  <c r="DK7" i="7"/>
  <c r="DO8" i="7"/>
  <c r="DO7" i="7"/>
  <c r="DS8" i="7"/>
  <c r="DS7" i="7"/>
  <c r="DW7" i="7"/>
  <c r="DW8" i="7"/>
  <c r="EA7" i="7"/>
  <c r="EA8" i="7"/>
  <c r="EE8" i="7"/>
  <c r="EE7" i="7"/>
  <c r="E7" i="7"/>
  <c r="E8" i="7"/>
  <c r="U7" i="7"/>
  <c r="U8" i="7"/>
  <c r="AK7" i="7"/>
  <c r="AK8" i="7"/>
  <c r="BA7" i="7"/>
  <c r="BA8" i="7"/>
  <c r="BQ7" i="7"/>
  <c r="BQ8" i="7"/>
  <c r="CG7" i="7"/>
  <c r="CG8" i="7"/>
  <c r="CW7" i="7"/>
  <c r="CW8" i="7"/>
  <c r="DM7" i="7"/>
  <c r="DM8" i="7"/>
  <c r="M8" i="7"/>
  <c r="M7" i="7"/>
  <c r="AC8" i="7"/>
  <c r="AC7" i="7"/>
  <c r="AS8" i="7"/>
  <c r="AS7" i="7"/>
  <c r="BI8" i="7"/>
  <c r="BI7" i="7"/>
  <c r="BY8" i="7"/>
  <c r="BY7" i="7"/>
  <c r="CO8" i="7"/>
  <c r="CO7" i="7"/>
  <c r="DE8" i="7"/>
  <c r="DE7" i="7"/>
  <c r="DU8" i="7"/>
  <c r="DU7" i="7"/>
  <c r="Q8" i="7"/>
  <c r="Q7" i="7"/>
  <c r="AW8" i="7"/>
  <c r="AW7" i="7"/>
  <c r="CC8" i="7"/>
  <c r="CC7" i="7"/>
  <c r="DI8" i="7"/>
  <c r="DI7" i="7"/>
  <c r="S8" i="7"/>
  <c r="S7" i="7"/>
  <c r="I7" i="7"/>
  <c r="I8" i="7"/>
  <c r="Y7" i="7"/>
  <c r="Y8" i="7"/>
  <c r="AO7" i="7"/>
  <c r="AO8" i="7"/>
  <c r="BE7" i="7"/>
  <c r="BE8" i="7"/>
  <c r="BU7" i="7"/>
  <c r="BU8" i="7"/>
  <c r="CK7" i="7"/>
  <c r="CK8" i="7"/>
  <c r="DA7" i="7"/>
  <c r="DA8" i="7"/>
  <c r="DQ7" i="7"/>
  <c r="DQ8" i="7"/>
  <c r="N8" i="7"/>
  <c r="Z8" i="7"/>
  <c r="AP8" i="7"/>
  <c r="BX6" i="7" a="1"/>
  <c r="BX6" i="7" s="1"/>
  <c r="CB6" i="7" a="1"/>
  <c r="CB6" i="7" s="1"/>
  <c r="CF6" i="7" a="1"/>
  <c r="CF6" i="7" s="1"/>
  <c r="CJ6" i="7" a="1"/>
  <c r="CJ6" i="7" s="1"/>
  <c r="CN6" i="7" a="1"/>
  <c r="CN6" i="7" s="1"/>
  <c r="CR6" i="7" a="1"/>
  <c r="CR6" i="7" s="1"/>
  <c r="CV6" i="7" a="1"/>
  <c r="CV6" i="7" s="1"/>
  <c r="CZ6" i="7" a="1"/>
  <c r="CZ6" i="7" s="1"/>
  <c r="DD6" i="7" a="1"/>
  <c r="DD6" i="7" s="1"/>
  <c r="DH6" i="7" a="1"/>
  <c r="DH6" i="7" s="1"/>
  <c r="DL6" i="7" a="1"/>
  <c r="DL6" i="7" s="1"/>
  <c r="DP6" i="7" a="1"/>
  <c r="DP6" i="7" s="1"/>
  <c r="DT6" i="7" a="1"/>
  <c r="DT6" i="7" s="1"/>
  <c r="DX6" i="7" a="1"/>
  <c r="DX6" i="7" s="1"/>
  <c r="EB6" i="7" a="1"/>
  <c r="EB6" i="7" s="1"/>
  <c r="EF6" i="7" a="1"/>
  <c r="EF6" i="7" s="1"/>
  <c r="T7" i="7"/>
  <c r="AF7" i="7"/>
  <c r="AZ7" i="7"/>
  <c r="BL7" i="7"/>
  <c r="AT8" i="7"/>
  <c r="BF8" i="7"/>
  <c r="BV8" i="7"/>
  <c r="L7" i="7"/>
  <c r="X7" i="7"/>
  <c r="AR7" i="7"/>
  <c r="BD7" i="7"/>
  <c r="F8" i="7"/>
  <c r="BZ8" i="7"/>
  <c r="CL8" i="7"/>
  <c r="DB8" i="7"/>
  <c r="R8" i="7"/>
  <c r="R7" i="7"/>
  <c r="V7" i="7"/>
  <c r="V8" i="7"/>
  <c r="AD7" i="7"/>
  <c r="AD8" i="7"/>
  <c r="AH8" i="7"/>
  <c r="AH7" i="7"/>
  <c r="AL7" i="7"/>
  <c r="AL8" i="7"/>
  <c r="AX8" i="7"/>
  <c r="AX7" i="7"/>
  <c r="BB7" i="7"/>
  <c r="BB8" i="7"/>
  <c r="BJ7" i="7"/>
  <c r="BJ8" i="7"/>
  <c r="BN8" i="7"/>
  <c r="BN7" i="7"/>
  <c r="BR7" i="7"/>
  <c r="BR8" i="7"/>
  <c r="CD8" i="7"/>
  <c r="CD7" i="7"/>
  <c r="CH7" i="7"/>
  <c r="CH8" i="7"/>
  <c r="CP7" i="7"/>
  <c r="CP8" i="7"/>
  <c r="CT8" i="7"/>
  <c r="CT7" i="7"/>
  <c r="CX7" i="7"/>
  <c r="CX8" i="7"/>
  <c r="DJ8" i="7"/>
  <c r="DJ7" i="7"/>
  <c r="DN7" i="7"/>
  <c r="DN8" i="7"/>
  <c r="DV7" i="7"/>
  <c r="DV8" i="7"/>
  <c r="DZ8" i="7"/>
  <c r="DZ7" i="7"/>
  <c r="ED7" i="7"/>
  <c r="ED8" i="7"/>
  <c r="D7" i="7"/>
  <c r="P7" i="7"/>
  <c r="AJ7" i="7"/>
  <c r="AV7" i="7"/>
  <c r="BP7" i="7"/>
  <c r="J8" i="7"/>
  <c r="DF8" i="7"/>
  <c r="DR8" i="7"/>
  <c r="H7" i="3"/>
  <c r="H8" i="3"/>
  <c r="X7" i="3"/>
  <c r="X8" i="3"/>
  <c r="AR7" i="3"/>
  <c r="AR8" i="3"/>
  <c r="BH7" i="3"/>
  <c r="BH8" i="3"/>
  <c r="BX7" i="3"/>
  <c r="BX8" i="3"/>
  <c r="CJ8" i="3"/>
  <c r="CJ7" i="3"/>
  <c r="DD7" i="3"/>
  <c r="DD8" i="3"/>
  <c r="DT7" i="3"/>
  <c r="DT8" i="3"/>
  <c r="AL8" i="3"/>
  <c r="AL7" i="3"/>
  <c r="F8" i="2"/>
  <c r="F7" i="2"/>
  <c r="X7" i="2"/>
  <c r="X8" i="2"/>
  <c r="L7" i="3"/>
  <c r="L8" i="3"/>
  <c r="AB7" i="3"/>
  <c r="AB8" i="3"/>
  <c r="AN8" i="3"/>
  <c r="AN7" i="3"/>
  <c r="BD8" i="3"/>
  <c r="BD7" i="3"/>
  <c r="BT8" i="3"/>
  <c r="BT7" i="3"/>
  <c r="CN7" i="3"/>
  <c r="CN8" i="3"/>
  <c r="CZ8" i="3"/>
  <c r="CZ7" i="3"/>
  <c r="DP8" i="3"/>
  <c r="DP7" i="3"/>
  <c r="EF7" i="3"/>
  <c r="EF8" i="3"/>
  <c r="J8" i="3"/>
  <c r="J7" i="3"/>
  <c r="R8" i="3"/>
  <c r="R7" i="3"/>
  <c r="Z8" i="3"/>
  <c r="Z7" i="3"/>
  <c r="AP8" i="3"/>
  <c r="AP7" i="3"/>
  <c r="AX8" i="3"/>
  <c r="AX7" i="3"/>
  <c r="BF8" i="3"/>
  <c r="BF7" i="3"/>
  <c r="BN8" i="3"/>
  <c r="BN7" i="3"/>
  <c r="BV8" i="3"/>
  <c r="BV7" i="3"/>
  <c r="BZ8" i="3"/>
  <c r="BZ7" i="3"/>
  <c r="CD8" i="3"/>
  <c r="CD7" i="3"/>
  <c r="CH8" i="3"/>
  <c r="CH7" i="3"/>
  <c r="CL8" i="3"/>
  <c r="CL7" i="3"/>
  <c r="CP8" i="3"/>
  <c r="CP7" i="3"/>
  <c r="CX8" i="3"/>
  <c r="CX7" i="3"/>
  <c r="DB8" i="3"/>
  <c r="DB7" i="3"/>
  <c r="DF8" i="3"/>
  <c r="DF7" i="3"/>
  <c r="DJ8" i="3"/>
  <c r="DJ7" i="3"/>
  <c r="DN7" i="3"/>
  <c r="DN8" i="3"/>
  <c r="DR7" i="3"/>
  <c r="DR8" i="3"/>
  <c r="DV8" i="3"/>
  <c r="DV7" i="3"/>
  <c r="DZ8" i="3"/>
  <c r="DZ7" i="3"/>
  <c r="ED8" i="3"/>
  <c r="ED7" i="3"/>
  <c r="H7" i="2"/>
  <c r="H8" i="2"/>
  <c r="P7" i="2"/>
  <c r="P8" i="2"/>
  <c r="AF7" i="2"/>
  <c r="AF8" i="2"/>
  <c r="AV7" i="2"/>
  <c r="AV8" i="2"/>
  <c r="D7" i="3"/>
  <c r="D8" i="3"/>
  <c r="T7" i="3"/>
  <c r="T8" i="3"/>
  <c r="AJ8" i="3"/>
  <c r="AJ7" i="3"/>
  <c r="AZ8" i="3"/>
  <c r="AZ7" i="3"/>
  <c r="BP8" i="3"/>
  <c r="BP7" i="3"/>
  <c r="CF8" i="3"/>
  <c r="CF7" i="3"/>
  <c r="CV8" i="3"/>
  <c r="CV7" i="3"/>
  <c r="DL8" i="3"/>
  <c r="DL7" i="3"/>
  <c r="EB8" i="3"/>
  <c r="EB7" i="3"/>
  <c r="F8" i="3"/>
  <c r="F7" i="3"/>
  <c r="N8" i="3"/>
  <c r="N7" i="3"/>
  <c r="V8" i="3"/>
  <c r="V7" i="3"/>
  <c r="AD8" i="3"/>
  <c r="AD7" i="3"/>
  <c r="AT8" i="3"/>
  <c r="AT7" i="3"/>
  <c r="BB8" i="3"/>
  <c r="BB7" i="3"/>
  <c r="BJ8" i="3"/>
  <c r="BJ7" i="3"/>
  <c r="BR8" i="3"/>
  <c r="BR7" i="3"/>
  <c r="CT8" i="3"/>
  <c r="CT7" i="3"/>
  <c r="D7" i="2"/>
  <c r="D8" i="2"/>
  <c r="L7" i="2"/>
  <c r="L8" i="2"/>
  <c r="AN7" i="2"/>
  <c r="AN8" i="2"/>
  <c r="BD7" i="2"/>
  <c r="BD8" i="2"/>
  <c r="P8" i="3"/>
  <c r="P7" i="3"/>
  <c r="AF8" i="3"/>
  <c r="AF7" i="3"/>
  <c r="AV7" i="3"/>
  <c r="AV8" i="3"/>
  <c r="BL7" i="3"/>
  <c r="BL8" i="3"/>
  <c r="CB7" i="3"/>
  <c r="CB8" i="3"/>
  <c r="CR8" i="3"/>
  <c r="CR7" i="3"/>
  <c r="DH7" i="3"/>
  <c r="DH8" i="3"/>
  <c r="DX8" i="3"/>
  <c r="DX7" i="3"/>
  <c r="AH8" i="3"/>
  <c r="AH7" i="3"/>
  <c r="J8" i="2"/>
  <c r="J7" i="2"/>
  <c r="N8" i="2"/>
  <c r="N7" i="2"/>
  <c r="R8" i="2"/>
  <c r="R7" i="2"/>
  <c r="V8" i="2"/>
  <c r="V7" i="2"/>
  <c r="Z8" i="2"/>
  <c r="Z7" i="2"/>
  <c r="AD8" i="2"/>
  <c r="AD7" i="2"/>
  <c r="AH8" i="2"/>
  <c r="AH7" i="2"/>
  <c r="AL8" i="2"/>
  <c r="AL7" i="2"/>
  <c r="AP8" i="2"/>
  <c r="AP7" i="2"/>
  <c r="AT8" i="2"/>
  <c r="AT7" i="2"/>
  <c r="AX8" i="2"/>
  <c r="AX7" i="2"/>
  <c r="BB8" i="2"/>
  <c r="BB7" i="2"/>
  <c r="BF8" i="2"/>
  <c r="BF7" i="2"/>
  <c r="BJ8" i="2"/>
  <c r="BJ7" i="2"/>
  <c r="BN8" i="2"/>
  <c r="BN7" i="2"/>
  <c r="BR8" i="2"/>
  <c r="BR7" i="2"/>
  <c r="BV8" i="2"/>
  <c r="BV7" i="2"/>
  <c r="BZ8" i="2"/>
  <c r="BZ7" i="2"/>
  <c r="CD8" i="2"/>
  <c r="CD7" i="2"/>
  <c r="CH8" i="2"/>
  <c r="CH7" i="2"/>
  <c r="CP8" i="2"/>
  <c r="CP7" i="2"/>
  <c r="CX8" i="2"/>
  <c r="CX7" i="2"/>
  <c r="DF8" i="2"/>
  <c r="DF7" i="2"/>
  <c r="DN8" i="2"/>
  <c r="DN7" i="2"/>
  <c r="DV8" i="2"/>
  <c r="DV7" i="2"/>
  <c r="ED8" i="2"/>
  <c r="ED7" i="2"/>
  <c r="T7" i="1"/>
  <c r="AZ7" i="1"/>
  <c r="CF7" i="1"/>
  <c r="BL7" i="2"/>
  <c r="BL8" i="2"/>
  <c r="BT7" i="2"/>
  <c r="BT8" i="2"/>
  <c r="CB7" i="2"/>
  <c r="CB8" i="2"/>
  <c r="CJ7" i="2"/>
  <c r="CJ8" i="2"/>
  <c r="CR7" i="2"/>
  <c r="CR8" i="2"/>
  <c r="CZ7" i="2"/>
  <c r="CZ8" i="2"/>
  <c r="DH7" i="2"/>
  <c r="DH8" i="2"/>
  <c r="DP7" i="2"/>
  <c r="DP8" i="2"/>
  <c r="DX7" i="2"/>
  <c r="DX8" i="2"/>
  <c r="EF7" i="2"/>
  <c r="EF8" i="2"/>
  <c r="Q7" i="2"/>
  <c r="AG7" i="2"/>
  <c r="AW7" i="2"/>
  <c r="BM7" i="2"/>
  <c r="CC7" i="2"/>
  <c r="CS7" i="2"/>
  <c r="DI7" i="2"/>
  <c r="DY7" i="2"/>
  <c r="K8" i="2"/>
  <c r="AA8" i="2"/>
  <c r="AQ8" i="2"/>
  <c r="BG8" i="2"/>
  <c r="BW8" i="2"/>
  <c r="CM8" i="2"/>
  <c r="DC8" i="2"/>
  <c r="DS8" i="2"/>
  <c r="EH12" i="2"/>
  <c r="EH16" i="2"/>
  <c r="EH20" i="2"/>
  <c r="EH24" i="2"/>
  <c r="C8" i="3"/>
  <c r="C7" i="3"/>
  <c r="G8" i="3"/>
  <c r="G7" i="3"/>
  <c r="K8" i="3"/>
  <c r="K7" i="3"/>
  <c r="O8" i="3"/>
  <c r="O7" i="3"/>
  <c r="S8" i="3"/>
  <c r="S7" i="3"/>
  <c r="W8" i="3"/>
  <c r="W7" i="3"/>
  <c r="AA8" i="3"/>
  <c r="AA7" i="3"/>
  <c r="AE8" i="3"/>
  <c r="AE7" i="3"/>
  <c r="AI8" i="3"/>
  <c r="AI7" i="3"/>
  <c r="AM8" i="3"/>
  <c r="AM7" i="3"/>
  <c r="AQ8" i="3"/>
  <c r="AQ7" i="3"/>
  <c r="AU8" i="3"/>
  <c r="AU7" i="3"/>
  <c r="AY8" i="3"/>
  <c r="AY7" i="3"/>
  <c r="BC8" i="3"/>
  <c r="BC7" i="3"/>
  <c r="BG8" i="3"/>
  <c r="BG7" i="3"/>
  <c r="BK8" i="3"/>
  <c r="BK7" i="3"/>
  <c r="BO8" i="3"/>
  <c r="BO7" i="3"/>
  <c r="BS8" i="3"/>
  <c r="BS7" i="3"/>
  <c r="BW8" i="3"/>
  <c r="BW7" i="3"/>
  <c r="CA8" i="3"/>
  <c r="CA7" i="3"/>
  <c r="CE8" i="3"/>
  <c r="CE7" i="3"/>
  <c r="CI8" i="3"/>
  <c r="CI7" i="3"/>
  <c r="CM8" i="3"/>
  <c r="CM7" i="3"/>
  <c r="CQ8" i="3"/>
  <c r="CQ7" i="3"/>
  <c r="CU8" i="3"/>
  <c r="CU7" i="3"/>
  <c r="CY8" i="3"/>
  <c r="CY7" i="3"/>
  <c r="DC8" i="3"/>
  <c r="DC7" i="3"/>
  <c r="DG8" i="3"/>
  <c r="DG7" i="3"/>
  <c r="DK8" i="3"/>
  <c r="DK7" i="3"/>
  <c r="DO8" i="3"/>
  <c r="DO7" i="3"/>
  <c r="DS8" i="3"/>
  <c r="DS7" i="3"/>
  <c r="DW8" i="3"/>
  <c r="DW7" i="3"/>
  <c r="EA8" i="3"/>
  <c r="EA7" i="3"/>
  <c r="EE7" i="3"/>
  <c r="EE8" i="3"/>
  <c r="DY8" i="1"/>
  <c r="DY7" i="1"/>
  <c r="I8" i="1"/>
  <c r="I7" i="1"/>
  <c r="U8" i="1"/>
  <c r="U7" i="1"/>
  <c r="AC8" i="1"/>
  <c r="AC7" i="1"/>
  <c r="AO8" i="1"/>
  <c r="AO7" i="1"/>
  <c r="AS8" i="1"/>
  <c r="AS7" i="1"/>
  <c r="BA8" i="1"/>
  <c r="BA7" i="1"/>
  <c r="BI8" i="1"/>
  <c r="BI7" i="1"/>
  <c r="BQ8" i="1"/>
  <c r="BQ7" i="1"/>
  <c r="BY8" i="1"/>
  <c r="BY7" i="1"/>
  <c r="CG8" i="1"/>
  <c r="CG7" i="1"/>
  <c r="CK8" i="1"/>
  <c r="CK7" i="1"/>
  <c r="CS8" i="1"/>
  <c r="CS7" i="1"/>
  <c r="CW8" i="1"/>
  <c r="CW7" i="1"/>
  <c r="DA8" i="1"/>
  <c r="DA7" i="1"/>
  <c r="DE8" i="1"/>
  <c r="DE7" i="1"/>
  <c r="DI8" i="1"/>
  <c r="DI7" i="1"/>
  <c r="DM8" i="1"/>
  <c r="DM7" i="1"/>
  <c r="DQ8" i="1"/>
  <c r="DQ7" i="1"/>
  <c r="DW7" i="1"/>
  <c r="DW8" i="1"/>
  <c r="EE7" i="1"/>
  <c r="EE8" i="1"/>
  <c r="H7" i="1"/>
  <c r="X7" i="1"/>
  <c r="AN7" i="1"/>
  <c r="BD7" i="1"/>
  <c r="BT7" i="1"/>
  <c r="CJ7" i="1"/>
  <c r="CZ7" i="1"/>
  <c r="DP7" i="1"/>
  <c r="R8" i="1"/>
  <c r="AH8" i="1"/>
  <c r="AX8" i="1"/>
  <c r="BN8" i="1"/>
  <c r="CD8" i="1"/>
  <c r="CT8" i="1"/>
  <c r="DJ8" i="1"/>
  <c r="CL8" i="2"/>
  <c r="CL7" i="2"/>
  <c r="CT8" i="2"/>
  <c r="CT7" i="2"/>
  <c r="DB8" i="2"/>
  <c r="DB7" i="2"/>
  <c r="DJ8" i="2"/>
  <c r="DJ7" i="2"/>
  <c r="DR8" i="2"/>
  <c r="DR7" i="2"/>
  <c r="DZ8" i="2"/>
  <c r="DZ7" i="2"/>
  <c r="E7" i="2"/>
  <c r="U7" i="2"/>
  <c r="AK7" i="2"/>
  <c r="BA7" i="2"/>
  <c r="BQ7" i="2"/>
  <c r="CG7" i="2"/>
  <c r="CW7" i="2"/>
  <c r="DM7" i="2"/>
  <c r="EC7" i="2"/>
  <c r="O8" i="2"/>
  <c r="AE8" i="2"/>
  <c r="AU8" i="2"/>
  <c r="BK8" i="2"/>
  <c r="CA8" i="2"/>
  <c r="CQ8" i="2"/>
  <c r="DG8" i="2"/>
  <c r="DW8" i="2"/>
  <c r="D7" i="1"/>
  <c r="AJ7" i="1"/>
  <c r="BP7" i="1"/>
  <c r="CV7" i="1"/>
  <c r="DL7" i="1"/>
  <c r="E8" i="1"/>
  <c r="E7" i="1"/>
  <c r="Q8" i="1"/>
  <c r="Q7" i="1"/>
  <c r="Y8" i="1"/>
  <c r="Y7" i="1"/>
  <c r="AK8" i="1"/>
  <c r="AK7" i="1"/>
  <c r="AW8" i="1"/>
  <c r="AW7" i="1"/>
  <c r="BE8" i="1"/>
  <c r="BE7" i="1"/>
  <c r="BM8" i="1"/>
  <c r="BM7" i="1"/>
  <c r="BU8" i="1"/>
  <c r="BU7" i="1"/>
  <c r="CC8" i="1"/>
  <c r="CC7" i="1"/>
  <c r="CO8" i="1"/>
  <c r="CO7" i="1"/>
  <c r="DU8" i="1"/>
  <c r="DU7" i="1"/>
  <c r="EC8" i="1"/>
  <c r="EC7" i="1"/>
  <c r="L7" i="1"/>
  <c r="AB7" i="1"/>
  <c r="AR7" i="1"/>
  <c r="BH7" i="1"/>
  <c r="BX7" i="1"/>
  <c r="CN7" i="1"/>
  <c r="DD7" i="1"/>
  <c r="F8" i="1"/>
  <c r="V8" i="1"/>
  <c r="AL8" i="1"/>
  <c r="BB8" i="1"/>
  <c r="BR8" i="1"/>
  <c r="CH8" i="1"/>
  <c r="CX8" i="1"/>
  <c r="DN8" i="1"/>
  <c r="T7" i="2"/>
  <c r="T8" i="2"/>
  <c r="AB7" i="2"/>
  <c r="AB8" i="2"/>
  <c r="AJ7" i="2"/>
  <c r="AJ8" i="2"/>
  <c r="AR7" i="2"/>
  <c r="AR8" i="2"/>
  <c r="AZ7" i="2"/>
  <c r="AZ8" i="2"/>
  <c r="BH7" i="2"/>
  <c r="BH8" i="2"/>
  <c r="BP7" i="2"/>
  <c r="BP8" i="2"/>
  <c r="BX7" i="2"/>
  <c r="BX8" i="2"/>
  <c r="CF7" i="2"/>
  <c r="CF8" i="2"/>
  <c r="CN7" i="2"/>
  <c r="CN8" i="2"/>
  <c r="CV7" i="2"/>
  <c r="CV8" i="2"/>
  <c r="DD7" i="2"/>
  <c r="DD8" i="2"/>
  <c r="DL7" i="2"/>
  <c r="DL8" i="2"/>
  <c r="DT7" i="2"/>
  <c r="DT8" i="2"/>
  <c r="EB7" i="2"/>
  <c r="EB8" i="2"/>
  <c r="I7" i="2"/>
  <c r="Y7" i="2"/>
  <c r="AO7" i="2"/>
  <c r="BE7" i="2"/>
  <c r="BU7" i="2"/>
  <c r="CK7" i="2"/>
  <c r="DA7" i="2"/>
  <c r="DQ7" i="2"/>
  <c r="C8" i="2"/>
  <c r="S8" i="2"/>
  <c r="AI8" i="2"/>
  <c r="AY8" i="2"/>
  <c r="BO8" i="2"/>
  <c r="CE8" i="2"/>
  <c r="CU8" i="2"/>
  <c r="DK8" i="2"/>
  <c r="EA8" i="2"/>
  <c r="EH22" i="2"/>
  <c r="E7" i="3"/>
  <c r="E8" i="3"/>
  <c r="I7" i="3"/>
  <c r="I8" i="3"/>
  <c r="M7" i="3"/>
  <c r="M8" i="3"/>
  <c r="Q7" i="3"/>
  <c r="Q8" i="3"/>
  <c r="U7" i="3"/>
  <c r="U8" i="3"/>
  <c r="Y7" i="3"/>
  <c r="Y8" i="3"/>
  <c r="AC7" i="3"/>
  <c r="AC8" i="3"/>
  <c r="AG7" i="3"/>
  <c r="AG8" i="3"/>
  <c r="AK7" i="3"/>
  <c r="AK8" i="3"/>
  <c r="AO8" i="3"/>
  <c r="AO7" i="3"/>
  <c r="AS7" i="3"/>
  <c r="AS8" i="3"/>
  <c r="AW7" i="3"/>
  <c r="AW8" i="3"/>
  <c r="BA7" i="3"/>
  <c r="BA8" i="3"/>
  <c r="BE8" i="3"/>
  <c r="BE7" i="3"/>
  <c r="BI7" i="3"/>
  <c r="BI8" i="3"/>
  <c r="BM7" i="3"/>
  <c r="BM8" i="3"/>
  <c r="BQ7" i="3"/>
  <c r="BQ8" i="3"/>
  <c r="BU8" i="3"/>
  <c r="BU7" i="3"/>
  <c r="BY7" i="3"/>
  <c r="BY8" i="3"/>
  <c r="CC7" i="3"/>
  <c r="CC8" i="3"/>
  <c r="CG7" i="3"/>
  <c r="CG8" i="3"/>
  <c r="CK8" i="3"/>
  <c r="CK7" i="3"/>
  <c r="CO7" i="3"/>
  <c r="CO8" i="3"/>
  <c r="CS7" i="3"/>
  <c r="CS8" i="3"/>
  <c r="CW7" i="3"/>
  <c r="CW8" i="3"/>
  <c r="DA8" i="3"/>
  <c r="DA7" i="3"/>
  <c r="DE7" i="3"/>
  <c r="DE8" i="3"/>
  <c r="DI7" i="3"/>
  <c r="DI8" i="3"/>
  <c r="DM7" i="3"/>
  <c r="DM8" i="3"/>
  <c r="DQ8" i="3"/>
  <c r="DQ7" i="3"/>
  <c r="DU7" i="3"/>
  <c r="DU8" i="3"/>
  <c r="DY7" i="3"/>
  <c r="DY8" i="3"/>
  <c r="EC8" i="3"/>
  <c r="EC7" i="3"/>
  <c r="M8" i="1"/>
  <c r="M7" i="1"/>
  <c r="AG8" i="1"/>
  <c r="AG7" i="1"/>
  <c r="C7" i="1"/>
  <c r="C8" i="1"/>
  <c r="G7" i="1"/>
  <c r="G8" i="1"/>
  <c r="K7" i="1"/>
  <c r="K8" i="1"/>
  <c r="O7" i="1"/>
  <c r="O8" i="1"/>
  <c r="S7" i="1"/>
  <c r="S8" i="1"/>
  <c r="W7" i="1"/>
  <c r="W8" i="1"/>
  <c r="AA7" i="1"/>
  <c r="AA8" i="1"/>
  <c r="AE7" i="1"/>
  <c r="AE8" i="1"/>
  <c r="AI7" i="1"/>
  <c r="AI8" i="1"/>
  <c r="AM7" i="1"/>
  <c r="AM8" i="1"/>
  <c r="AQ7" i="1"/>
  <c r="AQ8" i="1"/>
  <c r="AU7" i="1"/>
  <c r="AU8" i="1"/>
  <c r="AY7" i="1"/>
  <c r="AY8" i="1"/>
  <c r="BC7" i="1"/>
  <c r="BC8" i="1"/>
  <c r="BG7" i="1"/>
  <c r="BG8" i="1"/>
  <c r="BK7" i="1"/>
  <c r="BK8" i="1"/>
  <c r="BO7" i="1"/>
  <c r="BO8" i="1"/>
  <c r="BS7" i="1"/>
  <c r="BS8" i="1"/>
  <c r="BW7" i="1"/>
  <c r="BW8" i="1"/>
  <c r="CA7" i="1"/>
  <c r="CA8" i="1"/>
  <c r="CE7" i="1"/>
  <c r="CE8" i="1"/>
  <c r="CI7" i="1"/>
  <c r="CI8" i="1"/>
  <c r="CM7" i="1"/>
  <c r="CM8" i="1"/>
  <c r="CQ7" i="1"/>
  <c r="CQ8" i="1"/>
  <c r="CU7" i="1"/>
  <c r="CU8" i="1"/>
  <c r="CY7" i="1"/>
  <c r="CY8" i="1"/>
  <c r="DC7" i="1"/>
  <c r="DC8" i="1"/>
  <c r="DG7" i="1"/>
  <c r="DG8" i="1"/>
  <c r="DK7" i="1"/>
  <c r="DK8" i="1"/>
  <c r="DO7" i="1"/>
  <c r="DO8" i="1"/>
  <c r="DS7" i="1"/>
  <c r="DS8" i="1"/>
  <c r="EA7" i="1"/>
  <c r="EA8" i="1"/>
  <c r="P7" i="1"/>
  <c r="AF7" i="1"/>
  <c r="AV7" i="1"/>
  <c r="BL7" i="1"/>
  <c r="CB7" i="1"/>
  <c r="CR7" i="1"/>
  <c r="DH7" i="1"/>
  <c r="J8" i="1"/>
  <c r="Z8" i="1"/>
  <c r="AP8" i="1"/>
  <c r="BF8" i="1"/>
  <c r="BV8" i="1"/>
  <c r="CL8" i="1"/>
  <c r="DB8" i="1"/>
  <c r="DR8" i="1"/>
  <c r="M7" i="2"/>
  <c r="AC7" i="2"/>
  <c r="AS7" i="2"/>
  <c r="BI7" i="2"/>
  <c r="BY7" i="2"/>
  <c r="CO7" i="2"/>
  <c r="DE7" i="2"/>
  <c r="DU7" i="2"/>
  <c r="G8" i="2"/>
  <c r="W8" i="2"/>
  <c r="AM8" i="2"/>
  <c r="BC8" i="2"/>
  <c r="BS8" i="2"/>
  <c r="CI8" i="2"/>
  <c r="CY8" i="2"/>
  <c r="DO8" i="2"/>
  <c r="EE8" i="2"/>
  <c r="EH13" i="2"/>
  <c r="EH17" i="2"/>
  <c r="EH21" i="2"/>
  <c r="AQ7" i="4"/>
  <c r="AQ8" i="4"/>
  <c r="P8" i="4"/>
  <c r="P7" i="4"/>
  <c r="Y8" i="4"/>
  <c r="Y7" i="4"/>
  <c r="AI7" i="4"/>
  <c r="AI8" i="4"/>
  <c r="BO7" i="4"/>
  <c r="BO8" i="4"/>
  <c r="EH18" i="5"/>
  <c r="EG18" i="5"/>
  <c r="L8" i="4"/>
  <c r="L7" i="4"/>
  <c r="AB8" i="4"/>
  <c r="AB7" i="4"/>
  <c r="BA7" i="4"/>
  <c r="BA8" i="4"/>
  <c r="H8" i="4"/>
  <c r="H7" i="4"/>
  <c r="T8" i="4"/>
  <c r="T7" i="4"/>
  <c r="F7" i="4"/>
  <c r="F8" i="4"/>
  <c r="J7" i="4"/>
  <c r="J8" i="4"/>
  <c r="N7" i="4"/>
  <c r="N8" i="4"/>
  <c r="R7" i="4"/>
  <c r="R8" i="4"/>
  <c r="V7" i="4"/>
  <c r="V8" i="4"/>
  <c r="Z7" i="4"/>
  <c r="Z8" i="4"/>
  <c r="AD7" i="4"/>
  <c r="AD8" i="4"/>
  <c r="AH7" i="4"/>
  <c r="AH8" i="4"/>
  <c r="AL7" i="4"/>
  <c r="AL8" i="4"/>
  <c r="AP7" i="4"/>
  <c r="AP8" i="4"/>
  <c r="AT7" i="4"/>
  <c r="AT8" i="4"/>
  <c r="AX7" i="4"/>
  <c r="AX8" i="4"/>
  <c r="BB7" i="4"/>
  <c r="BB8" i="4"/>
  <c r="BF7" i="4"/>
  <c r="BF8" i="4"/>
  <c r="I7" i="4"/>
  <c r="D8" i="4"/>
  <c r="D7" i="4"/>
  <c r="X8" i="4"/>
  <c r="X7" i="4"/>
  <c r="AE7" i="4"/>
  <c r="AE8" i="4"/>
  <c r="AM7" i="4"/>
  <c r="AM8" i="4"/>
  <c r="AU7" i="4"/>
  <c r="AU8" i="4"/>
  <c r="AY7" i="4"/>
  <c r="AY8" i="4"/>
  <c r="BC7" i="4"/>
  <c r="BC8" i="4"/>
  <c r="BG7" i="4"/>
  <c r="BG8" i="4"/>
  <c r="BK7" i="4"/>
  <c r="BK8" i="4"/>
  <c r="BS7" i="4"/>
  <c r="BS8" i="4"/>
  <c r="CA7" i="4"/>
  <c r="CA8" i="4"/>
  <c r="CE7" i="4"/>
  <c r="CE8" i="4"/>
  <c r="CI7" i="4"/>
  <c r="CI8" i="4"/>
  <c r="CM7" i="4"/>
  <c r="CM8" i="4"/>
  <c r="CQ7" i="4"/>
  <c r="CQ8" i="4"/>
  <c r="CU7" i="4"/>
  <c r="CU8" i="4"/>
  <c r="CY7" i="4"/>
  <c r="CY8" i="4"/>
  <c r="DG7" i="4"/>
  <c r="DG8" i="4"/>
  <c r="DK7" i="4"/>
  <c r="DK8" i="4"/>
  <c r="DO7" i="4"/>
  <c r="DO8" i="4"/>
  <c r="DS7" i="4"/>
  <c r="DS8" i="4"/>
  <c r="DW7" i="4"/>
  <c r="DW8" i="4"/>
  <c r="EA7" i="4"/>
  <c r="EA8" i="4"/>
  <c r="EE7" i="4"/>
  <c r="EE8" i="4"/>
  <c r="G7" i="4"/>
  <c r="G8" i="4"/>
  <c r="O7" i="4"/>
  <c r="O8" i="4"/>
  <c r="W7" i="4"/>
  <c r="W8" i="4"/>
  <c r="AS7" i="4"/>
  <c r="AS8" i="4"/>
  <c r="Q7" i="4"/>
  <c r="BW8" i="4"/>
  <c r="BY7" i="4"/>
  <c r="BY8" i="4"/>
  <c r="CG7" i="4"/>
  <c r="CG8" i="4"/>
  <c r="CO7" i="4"/>
  <c r="CO8" i="4"/>
  <c r="AK7" i="4"/>
  <c r="AK8" i="4"/>
  <c r="BQ7" i="4"/>
  <c r="BQ8" i="4"/>
  <c r="BE7" i="4"/>
  <c r="CK7" i="4"/>
  <c r="S8" i="4"/>
  <c r="BJ7" i="4"/>
  <c r="BJ8" i="4"/>
  <c r="BN7" i="4"/>
  <c r="BN8" i="4"/>
  <c r="BR7" i="4"/>
  <c r="BR8" i="4"/>
  <c r="BV7" i="4"/>
  <c r="BV8" i="4"/>
  <c r="BZ7" i="4"/>
  <c r="BZ8" i="4"/>
  <c r="CD7" i="4"/>
  <c r="CD8" i="4"/>
  <c r="CH7" i="4"/>
  <c r="CH8" i="4"/>
  <c r="CL7" i="4"/>
  <c r="CL8" i="4"/>
  <c r="CP7" i="4"/>
  <c r="CP8" i="4"/>
  <c r="CT7" i="4"/>
  <c r="CT8" i="4"/>
  <c r="CX7" i="4"/>
  <c r="CX8" i="4"/>
  <c r="DB7" i="4"/>
  <c r="DB8" i="4"/>
  <c r="DF7" i="4"/>
  <c r="DF8" i="4"/>
  <c r="DJ7" i="4"/>
  <c r="DJ8" i="4"/>
  <c r="DN7" i="4"/>
  <c r="DN8" i="4"/>
  <c r="DR7" i="4"/>
  <c r="DR8" i="4"/>
  <c r="DV7" i="4"/>
  <c r="DV8" i="4"/>
  <c r="DZ7" i="4"/>
  <c r="DZ8" i="4"/>
  <c r="ED7" i="4"/>
  <c r="ED8" i="4"/>
  <c r="E7" i="4"/>
  <c r="E8" i="4"/>
  <c r="M7" i="4"/>
  <c r="M8" i="4"/>
  <c r="U7" i="4"/>
  <c r="U8" i="4"/>
  <c r="AC7" i="4"/>
  <c r="AC8" i="4"/>
  <c r="BI7" i="4"/>
  <c r="BI8" i="4"/>
  <c r="AG7" i="4"/>
  <c r="C7" i="5"/>
  <c r="C8" i="5"/>
  <c r="G7" i="5"/>
  <c r="G8" i="5"/>
  <c r="K7" i="5"/>
  <c r="K8" i="5"/>
  <c r="O7" i="5"/>
  <c r="O8" i="5"/>
  <c r="S7" i="5"/>
  <c r="S8" i="5"/>
  <c r="W7" i="5"/>
  <c r="W8" i="5"/>
  <c r="AA7" i="5"/>
  <c r="AA8" i="5"/>
  <c r="AE7" i="5"/>
  <c r="AE8" i="5"/>
  <c r="AI7" i="5"/>
  <c r="AI8" i="5"/>
  <c r="AM7" i="5"/>
  <c r="AM8" i="5"/>
  <c r="AQ7" i="5"/>
  <c r="AQ8" i="5"/>
  <c r="AU7" i="5"/>
  <c r="AU8" i="5"/>
  <c r="AY7" i="5"/>
  <c r="AY8" i="5"/>
  <c r="BC7" i="5"/>
  <c r="BC8" i="5"/>
  <c r="BG7" i="5"/>
  <c r="BG8" i="5"/>
  <c r="BK7" i="5"/>
  <c r="BK8" i="5"/>
  <c r="BO8" i="5"/>
  <c r="BO7" i="5"/>
  <c r="BS8" i="5"/>
  <c r="BS7" i="5"/>
  <c r="BW8" i="5"/>
  <c r="BW7" i="5"/>
  <c r="CA8" i="5"/>
  <c r="CA7" i="5"/>
  <c r="CE8" i="5"/>
  <c r="CE7" i="5"/>
  <c r="CI8" i="5"/>
  <c r="CI7" i="5"/>
  <c r="CM8" i="5"/>
  <c r="CM7" i="5"/>
  <c r="CQ8" i="5"/>
  <c r="CQ7" i="5"/>
  <c r="CU8" i="5"/>
  <c r="CU7" i="5"/>
  <c r="CY8" i="5"/>
  <c r="CY7" i="5"/>
  <c r="AF6" i="4" a="1"/>
  <c r="AF6" i="4" s="1"/>
  <c r="AJ6" i="4" a="1"/>
  <c r="AJ6" i="4" s="1"/>
  <c r="AN6" i="4" a="1"/>
  <c r="AN6" i="4" s="1"/>
  <c r="AR6" i="4" a="1"/>
  <c r="AR6" i="4" s="1"/>
  <c r="AV6" i="4" a="1"/>
  <c r="AV6" i="4" s="1"/>
  <c r="AZ6" i="4" a="1"/>
  <c r="AZ6" i="4" s="1"/>
  <c r="BD6" i="4" a="1"/>
  <c r="BD6" i="4" s="1"/>
  <c r="BH6" i="4" a="1"/>
  <c r="BH6" i="4" s="1"/>
  <c r="BL6" i="4" a="1"/>
  <c r="BL6" i="4" s="1"/>
  <c r="BP6" i="4" a="1"/>
  <c r="BP6" i="4" s="1"/>
  <c r="BT6" i="4" a="1"/>
  <c r="BT6" i="4" s="1"/>
  <c r="BX6" i="4" a="1"/>
  <c r="BX6" i="4" s="1"/>
  <c r="CB6" i="4" a="1"/>
  <c r="CB6" i="4" s="1"/>
  <c r="CF6" i="4" a="1"/>
  <c r="CF6" i="4" s="1"/>
  <c r="CJ6" i="4" a="1"/>
  <c r="CJ6" i="4" s="1"/>
  <c r="CN6" i="4" a="1"/>
  <c r="CN6" i="4" s="1"/>
  <c r="CR6" i="4" a="1"/>
  <c r="CR6" i="4" s="1"/>
  <c r="CV6" i="4" a="1"/>
  <c r="CV6" i="4" s="1"/>
  <c r="CZ6" i="4" a="1"/>
  <c r="CZ6" i="4" s="1"/>
  <c r="DD6" i="4" a="1"/>
  <c r="DD6" i="4" s="1"/>
  <c r="DH6" i="4" a="1"/>
  <c r="DH6" i="4" s="1"/>
  <c r="DL6" i="4" a="1"/>
  <c r="DL6" i="4" s="1"/>
  <c r="DP6" i="4" a="1"/>
  <c r="DP6" i="4" s="1"/>
  <c r="DT6" i="4" a="1"/>
  <c r="DT6" i="4" s="1"/>
  <c r="DX6" i="4" a="1"/>
  <c r="DX6" i="4" s="1"/>
  <c r="EB6" i="4" a="1"/>
  <c r="EB6" i="4" s="1"/>
  <c r="EF6" i="4" a="1"/>
  <c r="EF6" i="4" s="1"/>
  <c r="CS6" i="4" a="1"/>
  <c r="CS6" i="4" s="1"/>
  <c r="CW6" i="4" a="1"/>
  <c r="CW6" i="4" s="1"/>
  <c r="DA6" i="4" a="1"/>
  <c r="DA6" i="4" s="1"/>
  <c r="DE6" i="4" a="1"/>
  <c r="DE6" i="4" s="1"/>
  <c r="DI6" i="4" a="1"/>
  <c r="DI6" i="4" s="1"/>
  <c r="DM6" i="4" a="1"/>
  <c r="DM6" i="4" s="1"/>
  <c r="DQ6" i="4" a="1"/>
  <c r="DQ6" i="4" s="1"/>
  <c r="DU6" i="4" a="1"/>
  <c r="DU6" i="4" s="1"/>
  <c r="DY6" i="4" a="1"/>
  <c r="DY6" i="4" s="1"/>
  <c r="EC6" i="4" a="1"/>
  <c r="EC6" i="4" s="1"/>
  <c r="Y8" i="5"/>
  <c r="Y7" i="5"/>
  <c r="F7" i="5"/>
  <c r="F8" i="5"/>
  <c r="J7" i="5"/>
  <c r="J8" i="5"/>
  <c r="N7" i="5"/>
  <c r="N8" i="5"/>
  <c r="R7" i="5"/>
  <c r="R8" i="5"/>
  <c r="V7" i="5"/>
  <c r="V8" i="5"/>
  <c r="Z7" i="5"/>
  <c r="Z8" i="5"/>
  <c r="AD7" i="5"/>
  <c r="AD8" i="5"/>
  <c r="AH7" i="5"/>
  <c r="AH8" i="5"/>
  <c r="AL7" i="5"/>
  <c r="AL8" i="5"/>
  <c r="DC8" i="5"/>
  <c r="DC7" i="5"/>
  <c r="DG8" i="5"/>
  <c r="DG7" i="5"/>
  <c r="DK8" i="5"/>
  <c r="DK7" i="5"/>
  <c r="DO8" i="5"/>
  <c r="DO7" i="5"/>
  <c r="DS8" i="5"/>
  <c r="DS7" i="5"/>
  <c r="DW8" i="5"/>
  <c r="DW7" i="5"/>
  <c r="EA8" i="5"/>
  <c r="EA7" i="5"/>
  <c r="EE8" i="5"/>
  <c r="EE7" i="5"/>
  <c r="E8" i="5"/>
  <c r="E7" i="5"/>
  <c r="I8" i="5"/>
  <c r="I7" i="5"/>
  <c r="M8" i="5"/>
  <c r="M7" i="5"/>
  <c r="Q8" i="5"/>
  <c r="Q7" i="5"/>
  <c r="U8" i="5"/>
  <c r="U7" i="5"/>
  <c r="AC8" i="5"/>
  <c r="AC7" i="5"/>
  <c r="AG8" i="5"/>
  <c r="AG7" i="5"/>
  <c r="AK8" i="5"/>
  <c r="AK7" i="5"/>
  <c r="AO8" i="5"/>
  <c r="AO7" i="5"/>
  <c r="AS8" i="5"/>
  <c r="AS7" i="5"/>
  <c r="AW8" i="5"/>
  <c r="AW7" i="5"/>
  <c r="BA8" i="5"/>
  <c r="BA7" i="5"/>
  <c r="BE8" i="5"/>
  <c r="BE7" i="5"/>
  <c r="BI8" i="5"/>
  <c r="BI7" i="5"/>
  <c r="BM8" i="5"/>
  <c r="BM7" i="5"/>
  <c r="BQ8" i="5"/>
  <c r="BQ7" i="5"/>
  <c r="BU8" i="5"/>
  <c r="BU7" i="5"/>
  <c r="BY8" i="5"/>
  <c r="BY7" i="5"/>
  <c r="CC8" i="5"/>
  <c r="CC7" i="5"/>
  <c r="CG7" i="5"/>
  <c r="CG8" i="5"/>
  <c r="CK8" i="5"/>
  <c r="CK7" i="5"/>
  <c r="CO8" i="5"/>
  <c r="CO7" i="5"/>
  <c r="CS8" i="5"/>
  <c r="CS7" i="5"/>
  <c r="CW7" i="5"/>
  <c r="CW8" i="5"/>
  <c r="DE8" i="5"/>
  <c r="DE7" i="5"/>
  <c r="DI8" i="5"/>
  <c r="DI7" i="5"/>
  <c r="DM7" i="5"/>
  <c r="DM8" i="5"/>
  <c r="DQ8" i="5"/>
  <c r="DQ7" i="5"/>
  <c r="DU8" i="5"/>
  <c r="DU7" i="5"/>
  <c r="DY8" i="5"/>
  <c r="DY7" i="5"/>
  <c r="EC7" i="5"/>
  <c r="EC8" i="5"/>
  <c r="DA7" i="5"/>
  <c r="AP7" i="5"/>
  <c r="AP8" i="5"/>
  <c r="AT7" i="5"/>
  <c r="AT8" i="5"/>
  <c r="AX7" i="5"/>
  <c r="AX8" i="5"/>
  <c r="BB7" i="5"/>
  <c r="BB8" i="5"/>
  <c r="BF7" i="5"/>
  <c r="BF8" i="5"/>
  <c r="BJ7" i="5"/>
  <c r="BJ8" i="5"/>
  <c r="BN7" i="5"/>
  <c r="BN8" i="5"/>
  <c r="BR8" i="5"/>
  <c r="BR7" i="5"/>
  <c r="BV8" i="5"/>
  <c r="BV7" i="5"/>
  <c r="BZ8" i="5"/>
  <c r="BZ7" i="5"/>
  <c r="CD8" i="5"/>
  <c r="CD7" i="5"/>
  <c r="CH8" i="5"/>
  <c r="CH7" i="5"/>
  <c r="CL8" i="5"/>
  <c r="CL7" i="5"/>
  <c r="CP8" i="5"/>
  <c r="CP7" i="5"/>
  <c r="CT8" i="5"/>
  <c r="CT7" i="5"/>
  <c r="CX8" i="5"/>
  <c r="CX7" i="5"/>
  <c r="DB8" i="5"/>
  <c r="DB7" i="5"/>
  <c r="DF8" i="5"/>
  <c r="DF7" i="5"/>
  <c r="DJ8" i="5"/>
  <c r="DJ7" i="5"/>
  <c r="DN8" i="5"/>
  <c r="DN7" i="5"/>
  <c r="DR8" i="5"/>
  <c r="DR7" i="5"/>
  <c r="DV8" i="5"/>
  <c r="DV7" i="5"/>
  <c r="DZ8" i="5"/>
  <c r="DZ7" i="5"/>
  <c r="ED8" i="5"/>
  <c r="ED7" i="5"/>
  <c r="EG17" i="5"/>
  <c r="EI17" i="5" s="1"/>
  <c r="D6" i="5" a="1"/>
  <c r="D6" i="5" s="1"/>
  <c r="H6" i="5" a="1"/>
  <c r="H6" i="5" s="1"/>
  <c r="L6" i="5" a="1"/>
  <c r="L6" i="5" s="1"/>
  <c r="P6" i="5" a="1"/>
  <c r="P6" i="5" s="1"/>
  <c r="T6" i="5" a="1"/>
  <c r="T6" i="5" s="1"/>
  <c r="X6" i="5" a="1"/>
  <c r="X6" i="5" s="1"/>
  <c r="AB6" i="5" a="1"/>
  <c r="AB6" i="5" s="1"/>
  <c r="AF6" i="5" a="1"/>
  <c r="AF6" i="5" s="1"/>
  <c r="AJ6" i="5" a="1"/>
  <c r="AJ6" i="5" s="1"/>
  <c r="AN6" i="5" a="1"/>
  <c r="AN6" i="5" s="1"/>
  <c r="AR6" i="5" a="1"/>
  <c r="AR6" i="5" s="1"/>
  <c r="AV6" i="5" a="1"/>
  <c r="AV6" i="5" s="1"/>
  <c r="AZ6" i="5" a="1"/>
  <c r="AZ6" i="5" s="1"/>
  <c r="BD6" i="5" a="1"/>
  <c r="BD6" i="5" s="1"/>
  <c r="BH6" i="5" a="1"/>
  <c r="BH6" i="5" s="1"/>
  <c r="BL6" i="5" a="1"/>
  <c r="BL6" i="5" s="1"/>
  <c r="BP6" i="5" a="1"/>
  <c r="BP6" i="5" s="1"/>
  <c r="BT6" i="5" a="1"/>
  <c r="BT6" i="5" s="1"/>
  <c r="BX6" i="5" a="1"/>
  <c r="BX6" i="5" s="1"/>
  <c r="CB6" i="5" a="1"/>
  <c r="CB6" i="5" s="1"/>
  <c r="CF6" i="5" a="1"/>
  <c r="CF6" i="5" s="1"/>
  <c r="CJ6" i="5" a="1"/>
  <c r="CJ6" i="5" s="1"/>
  <c r="CN6" i="5" a="1"/>
  <c r="CN6" i="5" s="1"/>
  <c r="CR6" i="5" a="1"/>
  <c r="CR6" i="5" s="1"/>
  <c r="CV6" i="5" a="1"/>
  <c r="CV6" i="5" s="1"/>
  <c r="CZ6" i="5" a="1"/>
  <c r="CZ6" i="5" s="1"/>
  <c r="DD6" i="5" a="1"/>
  <c r="DD6" i="5" s="1"/>
  <c r="DH6" i="5" a="1"/>
  <c r="DH6" i="5" s="1"/>
  <c r="DL6" i="5" a="1"/>
  <c r="DL6" i="5" s="1"/>
  <c r="DP6" i="5" a="1"/>
  <c r="DP6" i="5" s="1"/>
  <c r="DT6" i="5" a="1"/>
  <c r="DT6" i="5" s="1"/>
  <c r="DX6" i="5" a="1"/>
  <c r="DX6" i="5" s="1"/>
  <c r="EB6" i="5" a="1"/>
  <c r="EB6" i="5" s="1"/>
  <c r="EF6" i="5" a="1"/>
  <c r="EF6" i="5" s="1"/>
  <c r="EI12" i="5"/>
  <c r="EG13" i="5"/>
  <c r="EI13" i="5" s="1"/>
  <c r="EH15" i="5"/>
  <c r="EG15" i="5"/>
  <c r="EH16" i="5"/>
  <c r="EI16" i="5" s="1"/>
  <c r="EH19" i="5"/>
  <c r="EH20" i="5"/>
  <c r="EI20" i="5" s="1"/>
  <c r="EH24" i="5"/>
  <c r="EI24" i="5" s="1"/>
  <c r="EG14" i="5"/>
  <c r="EI14" i="5" s="1"/>
  <c r="B21" i="6"/>
  <c r="EH22" i="5"/>
  <c r="EG22" i="5"/>
  <c r="EI26" i="5"/>
  <c r="EG19" i="5"/>
  <c r="EI19" i="5" s="1"/>
  <c r="EG23" i="5"/>
  <c r="EI23" i="5" s="1"/>
  <c r="DL8" i="7" l="1"/>
  <c r="DL7" i="7"/>
  <c r="DX8" i="7"/>
  <c r="DX7" i="7"/>
  <c r="DH8" i="7"/>
  <c r="DH7" i="7"/>
  <c r="CR8" i="7"/>
  <c r="CR7" i="7"/>
  <c r="CB8" i="7"/>
  <c r="CB7" i="7"/>
  <c r="EB8" i="7"/>
  <c r="EB7" i="7"/>
  <c r="CV8" i="7"/>
  <c r="CV7" i="7"/>
  <c r="DT8" i="7"/>
  <c r="DT7" i="7"/>
  <c r="DD8" i="7"/>
  <c r="DD7" i="7"/>
  <c r="CN8" i="7"/>
  <c r="CN7" i="7"/>
  <c r="BX8" i="7"/>
  <c r="BX7" i="7"/>
  <c r="CF8" i="7"/>
  <c r="CF7" i="7"/>
  <c r="EF8" i="7"/>
  <c r="EF7" i="7"/>
  <c r="DP8" i="7"/>
  <c r="DP7" i="7"/>
  <c r="CZ8" i="7"/>
  <c r="CZ7" i="7"/>
  <c r="CJ8" i="7"/>
  <c r="CJ7" i="7"/>
  <c r="EI15" i="5"/>
  <c r="DT8" i="5"/>
  <c r="DT7" i="5"/>
  <c r="DD8" i="5"/>
  <c r="DD7" i="5"/>
  <c r="CN8" i="5"/>
  <c r="CN7" i="5"/>
  <c r="BX8" i="5"/>
  <c r="BX7" i="5"/>
  <c r="BH8" i="5"/>
  <c r="BH7" i="5"/>
  <c r="AR8" i="5"/>
  <c r="AR7" i="5"/>
  <c r="AB8" i="5"/>
  <c r="AB7" i="5"/>
  <c r="L8" i="5"/>
  <c r="L7" i="5"/>
  <c r="EC7" i="4"/>
  <c r="EC8" i="4"/>
  <c r="DM7" i="4"/>
  <c r="DM8" i="4"/>
  <c r="CW7" i="4"/>
  <c r="CW8" i="4"/>
  <c r="DX8" i="4"/>
  <c r="DX7" i="4"/>
  <c r="DH8" i="4"/>
  <c r="DH7" i="4"/>
  <c r="CR8" i="4"/>
  <c r="CR7" i="4"/>
  <c r="CB8" i="4"/>
  <c r="CB7" i="4"/>
  <c r="BL8" i="4"/>
  <c r="BL7" i="4"/>
  <c r="AV8" i="4"/>
  <c r="AV7" i="4"/>
  <c r="AF8" i="4"/>
  <c r="AF7" i="4"/>
  <c r="EI18" i="5"/>
  <c r="EF7" i="5"/>
  <c r="EF8" i="5"/>
  <c r="DP7" i="5"/>
  <c r="DP8" i="5"/>
  <c r="CZ7" i="5"/>
  <c r="CZ8" i="5"/>
  <c r="CJ7" i="5"/>
  <c r="CJ8" i="5"/>
  <c r="BT7" i="5"/>
  <c r="BT8" i="5"/>
  <c r="BD8" i="5"/>
  <c r="BD7" i="5"/>
  <c r="AN8" i="5"/>
  <c r="AN7" i="5"/>
  <c r="X8" i="5"/>
  <c r="X7" i="5"/>
  <c r="H8" i="5"/>
  <c r="H7" i="5"/>
  <c r="DY8" i="4"/>
  <c r="DY7" i="4"/>
  <c r="DI8" i="4"/>
  <c r="DI7" i="4"/>
  <c r="CS8" i="4"/>
  <c r="CS7" i="4"/>
  <c r="DT8" i="4"/>
  <c r="DT7" i="4"/>
  <c r="DD8" i="4"/>
  <c r="DD7" i="4"/>
  <c r="CN8" i="4"/>
  <c r="CN7" i="4"/>
  <c r="BX8" i="4"/>
  <c r="BX7" i="4"/>
  <c r="BH8" i="4"/>
  <c r="BH7" i="4"/>
  <c r="AR8" i="4"/>
  <c r="AR7" i="4"/>
  <c r="EB8" i="5"/>
  <c r="EB7" i="5"/>
  <c r="DL8" i="5"/>
  <c r="DL7" i="5"/>
  <c r="CV8" i="5"/>
  <c r="CV7" i="5"/>
  <c r="CF8" i="5"/>
  <c r="CF7" i="5"/>
  <c r="BP7" i="5"/>
  <c r="BP8" i="5"/>
  <c r="AZ8" i="5"/>
  <c r="AZ7" i="5"/>
  <c r="AJ8" i="5"/>
  <c r="AJ7" i="5"/>
  <c r="T8" i="5"/>
  <c r="T7" i="5"/>
  <c r="D8" i="5"/>
  <c r="D7" i="5"/>
  <c r="DU7" i="4"/>
  <c r="DU8" i="4"/>
  <c r="DE7" i="4"/>
  <c r="DE8" i="4"/>
  <c r="EF8" i="4"/>
  <c r="EF7" i="4"/>
  <c r="DP8" i="4"/>
  <c r="DP7" i="4"/>
  <c r="CZ8" i="4"/>
  <c r="CZ7" i="4"/>
  <c r="CJ8" i="4"/>
  <c r="CJ7" i="4"/>
  <c r="BT8" i="4"/>
  <c r="BT7" i="4"/>
  <c r="BD8" i="4"/>
  <c r="BD7" i="4"/>
  <c r="AN8" i="4"/>
  <c r="AN7" i="4"/>
  <c r="EI22" i="5"/>
  <c r="DX7" i="5"/>
  <c r="DX8" i="5"/>
  <c r="DH7" i="5"/>
  <c r="DH8" i="5"/>
  <c r="CR7" i="5"/>
  <c r="CR8" i="5"/>
  <c r="CB7" i="5"/>
  <c r="CB8" i="5"/>
  <c r="BL8" i="5"/>
  <c r="BL7" i="5"/>
  <c r="AV8" i="5"/>
  <c r="AV7" i="5"/>
  <c r="AF8" i="5"/>
  <c r="AF7" i="5"/>
  <c r="P8" i="5"/>
  <c r="P7" i="5"/>
  <c r="DQ8" i="4"/>
  <c r="DQ7" i="4"/>
  <c r="DA8" i="4"/>
  <c r="DA7" i="4"/>
  <c r="EB8" i="4"/>
  <c r="EB7" i="4"/>
  <c r="DL8" i="4"/>
  <c r="DL7" i="4"/>
  <c r="CV8" i="4"/>
  <c r="CV7" i="4"/>
  <c r="CF8" i="4"/>
  <c r="CF7" i="4"/>
  <c r="BP8" i="4"/>
  <c r="BP7" i="4"/>
  <c r="AZ8" i="4"/>
  <c r="AZ7" i="4"/>
  <c r="AJ8" i="4"/>
  <c r="AJ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<sst xmlns="http://schemas.openxmlformats.org/spreadsheetml/2006/main" count="2243" uniqueCount="191">
  <si>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</si>
  <si>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</si>
  <si>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</si>
  <si>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</si>
  <si>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</si>
  <si>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</si>
  <si>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</si>
  <si>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</si>
  <si>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</si>
  <si>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</si>
  <si>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</si>
  <si>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</si>
  <si>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</si>
  <si>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</si>
  <si>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</si>
  <si>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</si>
  <si>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</si>
  <si>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</si>
  <si>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</si>
  <si>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</si>
  <si>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</si>
  <si>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</si>
  <si>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</si>
  <si>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</si>
  <si>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</si>
  <si>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</si>
  <si>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</si>
  <si>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</si>
  <si>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</si>
  <si>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</si>
  <si>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</si>
  <si>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</si>
  <si>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</si>
  <si>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</si>
  <si>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</si>
  <si>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</si>
  <si>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</si>
  <si>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</si>
  <si>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</si>
  <si>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</si>
  <si>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</si>
  <si>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</si>
  <si>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</si>
  <si>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</si>
  <si>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</si>
  <si>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</si>
  <si>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</si>
  <si>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</si>
  <si>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</si>
  <si>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</si>
  <si>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</si>
  <si>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</si>
  <si>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</si>
  <si>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</si>
  <si>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</si>
  <si>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</si>
  <si>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</si>
  <si>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</si>
  <si>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</si>
  <si>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</si>
  <si>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</si>
  <si>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</si>
  <si>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</si>
  <si>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</si>
  <si>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</si>
  <si>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</si>
  <si>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</si>
  <si>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</si>
  <si>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</si>
  <si>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</si>
  <si>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</si>
  <si>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</si>
  <si>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</si>
  <si>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</si>
  <si>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</si>
  <si>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</si>
  <si>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</si>
  <si>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</si>
  <si>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</si>
  <si>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</si>
  <si>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</si>
  <si>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</si>
  <si>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</si>
  <si>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</si>
  <si>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</si>
  <si>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</si>
  <si>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</si>
  <si>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</si>
  <si>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</si>
  <si>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</si>
  <si>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</si>
  <si>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</si>
  <si>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</si>
  <si>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</si>
  <si>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</si>
  <si>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</si>
  <si>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</si>
  <si>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</si>
  <si>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</si>
  <si>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</si>
  <si>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</si>
  <si>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</si>
  <si>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</si>
  <si>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</si>
  <si>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</si>
  <si>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</si>
  <si>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</si>
  <si>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</si>
  <si>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</si>
  <si>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</si>
  <si>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</si>
  <si>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</si>
  <si>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</si>
  <si>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</si>
  <si>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</si>
  <si>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</si>
  <si>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</si>
  <si>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</si>
  <si>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</si>
  <si>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</si>
  <si>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</si>
  <si>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</si>
  <si>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</si>
  <si>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</si>
  <si>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</si>
  <si>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</si>
  <si>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</si>
  <si>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</si>
  <si>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</si>
  <si>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</si>
  <si>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</si>
  <si>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</si>
  <si>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</si>
  <si>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</si>
  <si>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</si>
  <si>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</si>
  <si>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bm</t>
  </si>
  <si>
    <t>size</t>
  </si>
  <si>
    <t>mom</t>
  </si>
  <si>
    <t>選絕對值最大</t>
  </si>
  <si>
    <t>投資組合</t>
  </si>
  <si>
    <t>公司數</t>
  </si>
  <si>
    <t>等分</t>
  </si>
  <si>
    <t>分數</t>
  </si>
  <si>
    <t>大盤</t>
  </si>
  <si>
    <t>TWⅡ</t>
  </si>
  <si>
    <t>sum</t>
  </si>
  <si>
    <t>勝率</t>
  </si>
  <si>
    <t>平均值</t>
  </si>
  <si>
    <t>標準差</t>
  </si>
  <si>
    <t>夏普比率</t>
  </si>
  <si>
    <t>REAL</t>
  </si>
  <si>
    <t>(預測-真實)^2</t>
  </si>
  <si>
    <t>真實^2</t>
  </si>
  <si>
    <t>R平方</t>
  </si>
  <si>
    <t>NN4</t>
    <phoneticPr fontId="1" type="noConversion"/>
  </si>
  <si>
    <t>愛山林</t>
  </si>
  <si>
    <t>昇益</t>
  </si>
  <si>
    <t>常珵</t>
  </si>
  <si>
    <t>久威</t>
  </si>
  <si>
    <t>沛亨</t>
  </si>
  <si>
    <t>天瀚</t>
  </si>
  <si>
    <t>科風</t>
  </si>
  <si>
    <t>印鉐</t>
  </si>
  <si>
    <t>中茂</t>
  </si>
  <si>
    <t>元隆</t>
  </si>
  <si>
    <t>華冠</t>
  </si>
  <si>
    <t>泰偉</t>
  </si>
  <si>
    <t>巨虹</t>
  </si>
  <si>
    <t>華城</t>
  </si>
  <si>
    <t>皇家美食</t>
  </si>
  <si>
    <t>世紀</t>
  </si>
  <si>
    <t>華新科</t>
  </si>
  <si>
    <t>台積電</t>
  </si>
  <si>
    <t>中環</t>
  </si>
  <si>
    <t>海灣</t>
  </si>
  <si>
    <t>寶隆</t>
  </si>
  <si>
    <t>福華</t>
  </si>
  <si>
    <t>裕隆</t>
  </si>
  <si>
    <t>友達</t>
  </si>
  <si>
    <t>閎暉</t>
  </si>
  <si>
    <t>東訊</t>
  </si>
  <si>
    <t>四維航</t>
  </si>
  <si>
    <t>中石化</t>
  </si>
  <si>
    <t>如興</t>
  </si>
  <si>
    <t>國喬</t>
  </si>
  <si>
    <t>藍天</t>
  </si>
  <si>
    <t>長榮</t>
  </si>
  <si>
    <t>低</t>
    <phoneticPr fontId="1" type="noConversion"/>
  </si>
  <si>
    <t>公司名稱</t>
    <phoneticPr fontId="1" type="noConversion"/>
  </si>
  <si>
    <t>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</si>
</sst>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rgb="FFC00000"/>
      <name val="新細明體"/>
      <family val="2"/>
      <scheme val="minor"/>
    </font>
    <font>
      <sz val="11"/>
      <color rgb="FFFF0000"/>
      <name val="新細明體"/>
      <family val="2"/>
      <scheme val="minor"/>
    </font>
    <font>
      <b/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2CE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/>
    <xf numFmtId="0" fontId="3" fillId="0" borderId="2" xfId="0" applyFont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0" fillId="2" borderId="1" xfId="0" applyFill="1" applyBorder="1"/>
    <xf numFmtId="0" fontId="5" fillId="3" borderId="1" xfId="0" applyFont="1" applyFill="1" applyBorder="1" applyAlignment="1">
      <alignment horizontal="center"/>
    </xf>
    <xf numFmtId="0" fontId="3" fillId="0" borderId="5" xfId="0" applyFont="1" applyBorder="1"/>
    <xf numFmtId="0" fontId="6" fillId="5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6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6" borderId="1" xfId="0" applyFont="1" applyFill="1" applyBorder="1"/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4" fillId="7" borderId="1" xfId="0" applyFont="1" applyFill="1" applyBorder="1"/>
    <xf numFmtId="0" fontId="0" fillId="2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3" fillId="0" borderId="1" xfId="0" applyFont="1" applyBorder="1" applyAlignment="1">
      <alignment horizontal="center"/>
    </xf>
    <xf numFmtId="0" fontId="0" fillId="0" borderId="3" xfId="0" applyBorder="1"/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D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NN4</a:t>
            </a:r>
            <a:r>
              <a:rPr lang="zh-TW" altLang="en-US"/>
              <a:t>累積報酬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累積畫圖!$B$12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累積畫圖!$C$12:$EF$12</c:f>
              <c:numCache>
                <c:formatCode>General</c:formatCode>
                <c:ptCount val="134"/>
                <c:pt idx="0">
                  <c:v>4.6867682744863907E-2</c:v>
                </c:pt>
                <c:pt idx="1">
                  <c:v>0.16155619316153061</c:v>
                </c:pt>
                <c:pt idx="2">
                  <c:v>0.15476263281391694</c:v>
                </c:pt>
                <c:pt idx="3">
                  <c:v>0.16818403906391693</c:v>
                </c:pt>
                <c:pt idx="4">
                  <c:v>0.17990900781391692</c:v>
                </c:pt>
                <c:pt idx="5">
                  <c:v>0.21843972656391691</c:v>
                </c:pt>
                <c:pt idx="6">
                  <c:v>0.25653684180344838</c:v>
                </c:pt>
                <c:pt idx="7">
                  <c:v>0.22712903972011503</c:v>
                </c:pt>
                <c:pt idx="8">
                  <c:v>0.24590321680344837</c:v>
                </c:pt>
                <c:pt idx="9">
                  <c:v>0.20401258138678172</c:v>
                </c:pt>
                <c:pt idx="10">
                  <c:v>0.20361589388678172</c:v>
                </c:pt>
                <c:pt idx="11">
                  <c:v>0.27294264388678169</c:v>
                </c:pt>
                <c:pt idx="12">
                  <c:v>0.2901834876367817</c:v>
                </c:pt>
                <c:pt idx="13">
                  <c:v>0.27037372273981342</c:v>
                </c:pt>
                <c:pt idx="14">
                  <c:v>0.30564419148981337</c:v>
                </c:pt>
                <c:pt idx="15">
                  <c:v>0.31230727482314669</c:v>
                </c:pt>
                <c:pt idx="16">
                  <c:v>0.23655446793232207</c:v>
                </c:pt>
                <c:pt idx="17">
                  <c:v>0.22881408251565538</c:v>
                </c:pt>
                <c:pt idx="18">
                  <c:v>0.21263529084898869</c:v>
                </c:pt>
                <c:pt idx="19">
                  <c:v>0.21884009293232198</c:v>
                </c:pt>
                <c:pt idx="20">
                  <c:v>0.28287973876565531</c:v>
                </c:pt>
                <c:pt idx="21">
                  <c:v>0.23404186542606104</c:v>
                </c:pt>
                <c:pt idx="22">
                  <c:v>0.24948196959272773</c:v>
                </c:pt>
                <c:pt idx="23">
                  <c:v>0.2546480112593944</c:v>
                </c:pt>
                <c:pt idx="24">
                  <c:v>0.24273117792606108</c:v>
                </c:pt>
                <c:pt idx="25">
                  <c:v>0.23901985500939441</c:v>
                </c:pt>
                <c:pt idx="26">
                  <c:v>0.24418730292606106</c:v>
                </c:pt>
                <c:pt idx="27">
                  <c:v>0.25541784459272771</c:v>
                </c:pt>
                <c:pt idx="28">
                  <c:v>0.21789662363475634</c:v>
                </c:pt>
                <c:pt idx="29">
                  <c:v>0.26407855071808972</c:v>
                </c:pt>
                <c:pt idx="30">
                  <c:v>0.27615773821808975</c:v>
                </c:pt>
                <c:pt idx="31">
                  <c:v>0.29625085280142305</c:v>
                </c:pt>
                <c:pt idx="32">
                  <c:v>0.31949781113475639</c:v>
                </c:pt>
                <c:pt idx="33">
                  <c:v>0.34056018613475642</c:v>
                </c:pt>
                <c:pt idx="34">
                  <c:v>0.35073995696808974</c:v>
                </c:pt>
                <c:pt idx="35">
                  <c:v>0.3685989599900118</c:v>
                </c:pt>
                <c:pt idx="36">
                  <c:v>0.38880478290667847</c:v>
                </c:pt>
                <c:pt idx="37">
                  <c:v>0.45917564938041039</c:v>
                </c:pt>
                <c:pt idx="38">
                  <c:v>0.47087964938041038</c:v>
                </c:pt>
                <c:pt idx="39">
                  <c:v>0.43715065360922156</c:v>
                </c:pt>
                <c:pt idx="40">
                  <c:v>0.43046900777588826</c:v>
                </c:pt>
                <c:pt idx="41">
                  <c:v>0.42296464319255495</c:v>
                </c:pt>
                <c:pt idx="42">
                  <c:v>0.4032385117983473</c:v>
                </c:pt>
                <c:pt idx="43">
                  <c:v>0.41630743830528816</c:v>
                </c:pt>
                <c:pt idx="44">
                  <c:v>0.43628208799469304</c:v>
                </c:pt>
                <c:pt idx="45">
                  <c:v>0.39515601700292396</c:v>
                </c:pt>
                <c:pt idx="46">
                  <c:v>0.39608556454628285</c:v>
                </c:pt>
                <c:pt idx="47">
                  <c:v>0.43910602465785514</c:v>
                </c:pt>
                <c:pt idx="48">
                  <c:v>0.4635893786020675</c:v>
                </c:pt>
                <c:pt idx="49">
                  <c:v>0.46053116374156094</c:v>
                </c:pt>
                <c:pt idx="50">
                  <c:v>0.46468855429567446</c:v>
                </c:pt>
                <c:pt idx="51">
                  <c:v>0.48067144610107781</c:v>
                </c:pt>
                <c:pt idx="52">
                  <c:v>0.49365702248852328</c:v>
                </c:pt>
                <c:pt idx="53">
                  <c:v>0.50508844648221918</c:v>
                </c:pt>
                <c:pt idx="54">
                  <c:v>0.52911893747833905</c:v>
                </c:pt>
                <c:pt idx="55">
                  <c:v>0.59784874649347453</c:v>
                </c:pt>
                <c:pt idx="56">
                  <c:v>0.63623687653019001</c:v>
                </c:pt>
                <c:pt idx="57">
                  <c:v>0.64738579214319403</c:v>
                </c:pt>
                <c:pt idx="58">
                  <c:v>0.69882571953016437</c:v>
                </c:pt>
                <c:pt idx="59">
                  <c:v>0.6980297262102465</c:v>
                </c:pt>
                <c:pt idx="60">
                  <c:v>0.67633325180579895</c:v>
                </c:pt>
                <c:pt idx="61">
                  <c:v>0.70104249763594761</c:v>
                </c:pt>
                <c:pt idx="62">
                  <c:v>0.69911721453270892</c:v>
                </c:pt>
                <c:pt idx="63">
                  <c:v>0.71045552635740483</c:v>
                </c:pt>
                <c:pt idx="64">
                  <c:v>0.73470183661364175</c:v>
                </c:pt>
                <c:pt idx="65">
                  <c:v>0.72412502011934476</c:v>
                </c:pt>
                <c:pt idx="66">
                  <c:v>0.7393316003906627</c:v>
                </c:pt>
                <c:pt idx="67">
                  <c:v>0.73782493597697174</c:v>
                </c:pt>
                <c:pt idx="68">
                  <c:v>0.75552184253538912</c:v>
                </c:pt>
                <c:pt idx="69">
                  <c:v>0.77731969289665048</c:v>
                </c:pt>
                <c:pt idx="70">
                  <c:v>0.7875291936092651</c:v>
                </c:pt>
                <c:pt idx="71">
                  <c:v>0.8177530068269816</c:v>
                </c:pt>
                <c:pt idx="72">
                  <c:v>0.78893613246958683</c:v>
                </c:pt>
                <c:pt idx="73">
                  <c:v>0.79864923799382215</c:v>
                </c:pt>
                <c:pt idx="74">
                  <c:v>0.76559782843108815</c:v>
                </c:pt>
                <c:pt idx="75">
                  <c:v>0.81060185661507911</c:v>
                </c:pt>
                <c:pt idx="76">
                  <c:v>0.78015408311263934</c:v>
                </c:pt>
                <c:pt idx="77">
                  <c:v>0.78181897072714124</c:v>
                </c:pt>
                <c:pt idx="78">
                  <c:v>0.76415807345481834</c:v>
                </c:pt>
                <c:pt idx="79">
                  <c:v>0.87509170703927086</c:v>
                </c:pt>
                <c:pt idx="80">
                  <c:v>0.88671111548150006</c:v>
                </c:pt>
                <c:pt idx="81">
                  <c:v>0.9137044681081935</c:v>
                </c:pt>
                <c:pt idx="82">
                  <c:v>0.95501380150088067</c:v>
                </c:pt>
                <c:pt idx="83">
                  <c:v>1.0194164419026752</c:v>
                </c:pt>
                <c:pt idx="84">
                  <c:v>0.98360902927852689</c:v>
                </c:pt>
                <c:pt idx="85">
                  <c:v>1.0012228788195603</c:v>
                </c:pt>
                <c:pt idx="86">
                  <c:v>1.0132169471974128</c:v>
                </c:pt>
                <c:pt idx="87">
                  <c:v>1.1312325548670232</c:v>
                </c:pt>
                <c:pt idx="88">
                  <c:v>1.1168498642540465</c:v>
                </c:pt>
                <c:pt idx="89">
                  <c:v>1.0912629013671773</c:v>
                </c:pt>
                <c:pt idx="90">
                  <c:v>1.0645149560164437</c:v>
                </c:pt>
                <c:pt idx="91">
                  <c:v>1.109555151622011</c:v>
                </c:pt>
                <c:pt idx="92">
                  <c:v>1.1468138123622309</c:v>
                </c:pt>
                <c:pt idx="93">
                  <c:v>1.1493246843720621</c:v>
                </c:pt>
                <c:pt idx="94">
                  <c:v>1.1341230366850166</c:v>
                </c:pt>
                <c:pt idx="95">
                  <c:v>1.1331613904811142</c:v>
                </c:pt>
                <c:pt idx="96">
                  <c:v>1.1651975692444594</c:v>
                </c:pt>
                <c:pt idx="97">
                  <c:v>1.1734607231732919</c:v>
                </c:pt>
                <c:pt idx="98">
                  <c:v>1.1788419512578625</c:v>
                </c:pt>
                <c:pt idx="99">
                  <c:v>1.2398318337948544</c:v>
                </c:pt>
                <c:pt idx="100">
                  <c:v>1.2336496136560033</c:v>
                </c:pt>
                <c:pt idx="101">
                  <c:v>1.3132568969146077</c:v>
                </c:pt>
                <c:pt idx="102">
                  <c:v>1.3166601049101603</c:v>
                </c:pt>
                <c:pt idx="103">
                  <c:v>1.293248304866411</c:v>
                </c:pt>
                <c:pt idx="104">
                  <c:v>1.3262926821495886</c:v>
                </c:pt>
                <c:pt idx="105">
                  <c:v>1.3532094724393069</c:v>
                </c:pt>
                <c:pt idx="106">
                  <c:v>1.3530247281942753</c:v>
                </c:pt>
                <c:pt idx="107">
                  <c:v>1.3461917120106854</c:v>
                </c:pt>
                <c:pt idx="108">
                  <c:v>1.345401441937907</c:v>
                </c:pt>
                <c:pt idx="109">
                  <c:v>1.340139298163104</c:v>
                </c:pt>
                <c:pt idx="110">
                  <c:v>1.2856961251709715</c:v>
                </c:pt>
                <c:pt idx="111">
                  <c:v>1.2937587234257419</c:v>
                </c:pt>
                <c:pt idx="112">
                  <c:v>1.2784943202033572</c:v>
                </c:pt>
                <c:pt idx="113">
                  <c:v>1.2774300550403466</c:v>
                </c:pt>
                <c:pt idx="114">
                  <c:v>1.2717152836444798</c:v>
                </c:pt>
                <c:pt idx="115">
                  <c:v>1.3109436262773195</c:v>
                </c:pt>
                <c:pt idx="116">
                  <c:v>1.333071876442218</c:v>
                </c:pt>
                <c:pt idx="117">
                  <c:v>1.3656563260425152</c:v>
                </c:pt>
                <c:pt idx="118">
                  <c:v>1.3422079354910206</c:v>
                </c:pt>
                <c:pt idx="119">
                  <c:v>1.3609868787704076</c:v>
                </c:pt>
                <c:pt idx="120">
                  <c:v>1.3237228483311465</c:v>
                </c:pt>
                <c:pt idx="121">
                  <c:v>1.2795016435273503</c:v>
                </c:pt>
                <c:pt idx="122">
                  <c:v>1.2932542916137328</c:v>
                </c:pt>
                <c:pt idx="123">
                  <c:v>1.3454274754232587</c:v>
                </c:pt>
                <c:pt idx="124">
                  <c:v>1.3851217770475266</c:v>
                </c:pt>
                <c:pt idx="125">
                  <c:v>1.3355025702442991</c:v>
                </c:pt>
                <c:pt idx="126">
                  <c:v>1.3527477181815291</c:v>
                </c:pt>
                <c:pt idx="127">
                  <c:v>1.3479901930556677</c:v>
                </c:pt>
                <c:pt idx="128">
                  <c:v>1.4119941343788647</c:v>
                </c:pt>
                <c:pt idx="129">
                  <c:v>1.4156635200167826</c:v>
                </c:pt>
                <c:pt idx="130">
                  <c:v>1.442315029596448</c:v>
                </c:pt>
                <c:pt idx="131">
                  <c:v>1.3856869937890524</c:v>
                </c:pt>
                <c:pt idx="132">
                  <c:v>1.3981453680527576</c:v>
                </c:pt>
                <c:pt idx="133">
                  <c:v>1.4373787160915532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F-4C83-BA5F-FE17E3B6C64B}"/>
            </c:ext>
          </c:extLst>
        </c:ser>
        <c:ser>
          <c:idx val="1"/>
          <c:order val="1"/>
          <c:tx>
            <c:strRef>
              <c:f>累積畫圖!$B$13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累積畫圖!$C$13:$EF$13</c:f>
              <c:numCache>
                <c:formatCode>General</c:formatCode>
                <c:ptCount val="134"/>
                <c:pt idx="0">
                  <c:v>5.420904267159625E-2</c:v>
                </c:pt>
                <c:pt idx="1">
                  <c:v>0.17795414683826286</c:v>
                </c:pt>
                <c:pt idx="2">
                  <c:v>0.14345752734690981</c:v>
                </c:pt>
                <c:pt idx="3">
                  <c:v>0.13200271484690981</c:v>
                </c:pt>
                <c:pt idx="4">
                  <c:v>0.1477475690135765</c:v>
                </c:pt>
                <c:pt idx="5">
                  <c:v>0.17773792318024315</c:v>
                </c:pt>
                <c:pt idx="6">
                  <c:v>0.2150536073419102</c:v>
                </c:pt>
                <c:pt idx="7">
                  <c:v>0.17115479484191018</c:v>
                </c:pt>
                <c:pt idx="8">
                  <c:v>0.16978731567524352</c:v>
                </c:pt>
                <c:pt idx="9">
                  <c:v>0.16376221150857687</c:v>
                </c:pt>
                <c:pt idx="10">
                  <c:v>0.18944950317524353</c:v>
                </c:pt>
                <c:pt idx="11">
                  <c:v>0.28925623234191022</c:v>
                </c:pt>
                <c:pt idx="12">
                  <c:v>0.32904560734191024</c:v>
                </c:pt>
                <c:pt idx="13">
                  <c:v>0.30794153471890445</c:v>
                </c:pt>
                <c:pt idx="14">
                  <c:v>0.38116655555223777</c:v>
                </c:pt>
                <c:pt idx="15">
                  <c:v>0.39532638888557109</c:v>
                </c:pt>
                <c:pt idx="16">
                  <c:v>0.27241109088202048</c:v>
                </c:pt>
                <c:pt idx="17">
                  <c:v>0.25077702838202048</c:v>
                </c:pt>
                <c:pt idx="18">
                  <c:v>0.25237334088202051</c:v>
                </c:pt>
                <c:pt idx="19">
                  <c:v>0.23227921588202052</c:v>
                </c:pt>
                <c:pt idx="20">
                  <c:v>0.30775561171535387</c:v>
                </c:pt>
                <c:pt idx="21">
                  <c:v>0.23225296244065002</c:v>
                </c:pt>
                <c:pt idx="22">
                  <c:v>0.24617333744065001</c:v>
                </c:pt>
                <c:pt idx="23">
                  <c:v>0.26675725410731665</c:v>
                </c:pt>
                <c:pt idx="24">
                  <c:v>0.25031721244065003</c:v>
                </c:pt>
                <c:pt idx="25">
                  <c:v>0.23428123327398337</c:v>
                </c:pt>
                <c:pt idx="26">
                  <c:v>0.2423125041073167</c:v>
                </c:pt>
                <c:pt idx="27">
                  <c:v>0.26385558744065002</c:v>
                </c:pt>
                <c:pt idx="28">
                  <c:v>0.21757147868805926</c:v>
                </c:pt>
                <c:pt idx="29">
                  <c:v>0.26950747868805924</c:v>
                </c:pt>
                <c:pt idx="30">
                  <c:v>0.27278993702139259</c:v>
                </c:pt>
                <c:pt idx="31">
                  <c:v>0.30466464535472593</c:v>
                </c:pt>
                <c:pt idx="32">
                  <c:v>0.32457468702139258</c:v>
                </c:pt>
                <c:pt idx="33">
                  <c:v>0.34446060368805925</c:v>
                </c:pt>
                <c:pt idx="34">
                  <c:v>0.3477795620213926</c:v>
                </c:pt>
                <c:pt idx="35">
                  <c:v>0.37410856182494212</c:v>
                </c:pt>
                <c:pt idx="36">
                  <c:v>0.37182558265827542</c:v>
                </c:pt>
                <c:pt idx="37">
                  <c:v>0.47715582079430952</c:v>
                </c:pt>
                <c:pt idx="38">
                  <c:v>0.48017679996097618</c:v>
                </c:pt>
                <c:pt idx="39">
                  <c:v>0.42063857978810304</c:v>
                </c:pt>
                <c:pt idx="40">
                  <c:v>0.40955668395476968</c:v>
                </c:pt>
                <c:pt idx="41">
                  <c:v>0.41880710062143633</c:v>
                </c:pt>
                <c:pt idx="42">
                  <c:v>0.3790291476317616</c:v>
                </c:pt>
                <c:pt idx="43">
                  <c:v>0.41949223548620135</c:v>
                </c:pt>
                <c:pt idx="44">
                  <c:v>0.46195321771417275</c:v>
                </c:pt>
                <c:pt idx="45">
                  <c:v>0.45295243969293919</c:v>
                </c:pt>
                <c:pt idx="46">
                  <c:v>0.45622071053099406</c:v>
                </c:pt>
                <c:pt idx="47">
                  <c:v>0.52156973200701517</c:v>
                </c:pt>
                <c:pt idx="48">
                  <c:v>0.53733737541009186</c:v>
                </c:pt>
                <c:pt idx="49">
                  <c:v>0.52833961155766451</c:v>
                </c:pt>
                <c:pt idx="50">
                  <c:v>0.5362340641894594</c:v>
                </c:pt>
                <c:pt idx="51">
                  <c:v>0.57910943868627029</c:v>
                </c:pt>
                <c:pt idx="52">
                  <c:v>0.59213601893991785</c:v>
                </c:pt>
                <c:pt idx="53">
                  <c:v>0.59773810105522041</c:v>
                </c:pt>
                <c:pt idx="54">
                  <c:v>0.62616144901020732</c:v>
                </c:pt>
                <c:pt idx="55">
                  <c:v>0.71009086431770407</c:v>
                </c:pt>
                <c:pt idx="56">
                  <c:v>0.75665732665641572</c:v>
                </c:pt>
                <c:pt idx="57">
                  <c:v>0.76363359855757795</c:v>
                </c:pt>
                <c:pt idx="58">
                  <c:v>0.81642171812452635</c:v>
                </c:pt>
                <c:pt idx="59">
                  <c:v>0.79876760959836368</c:v>
                </c:pt>
                <c:pt idx="60">
                  <c:v>0.78037658471861426</c:v>
                </c:pt>
                <c:pt idx="61">
                  <c:v>0.81733919489556262</c:v>
                </c:pt>
                <c:pt idx="62">
                  <c:v>0.83239544454203673</c:v>
                </c:pt>
                <c:pt idx="63">
                  <c:v>0.8432881835105045</c:v>
                </c:pt>
                <c:pt idx="64">
                  <c:v>0.87502349584242456</c:v>
                </c:pt>
                <c:pt idx="65">
                  <c:v>0.88267544266674192</c:v>
                </c:pt>
                <c:pt idx="66">
                  <c:v>0.9234945394381523</c:v>
                </c:pt>
                <c:pt idx="67">
                  <c:v>0.91642315796152363</c:v>
                </c:pt>
                <c:pt idx="68">
                  <c:v>0.92368140046945724</c:v>
                </c:pt>
                <c:pt idx="69">
                  <c:v>0.96202490608593005</c:v>
                </c:pt>
                <c:pt idx="70">
                  <c:v>0.97855190083082744</c:v>
                </c:pt>
                <c:pt idx="71">
                  <c:v>0.99919577583212615</c:v>
                </c:pt>
                <c:pt idx="72">
                  <c:v>1.0009590136428033</c:v>
                </c:pt>
                <c:pt idx="73">
                  <c:v>1.0227445045354209</c:v>
                </c:pt>
                <c:pt idx="74">
                  <c:v>1.0082321068649305</c:v>
                </c:pt>
                <c:pt idx="75">
                  <c:v>1.085159977589359</c:v>
                </c:pt>
                <c:pt idx="76">
                  <c:v>1.0516284119889621</c:v>
                </c:pt>
                <c:pt idx="77">
                  <c:v>1.0444965425811279</c:v>
                </c:pt>
                <c:pt idx="78">
                  <c:v>1.0323639267194213</c:v>
                </c:pt>
                <c:pt idx="79">
                  <c:v>1.1378558049474599</c:v>
                </c:pt>
                <c:pt idx="80">
                  <c:v>1.1498241151313353</c:v>
                </c:pt>
                <c:pt idx="81">
                  <c:v>1.1967635679645621</c:v>
                </c:pt>
                <c:pt idx="82">
                  <c:v>1.2337788398653977</c:v>
                </c:pt>
                <c:pt idx="83">
                  <c:v>1.2921134516926049</c:v>
                </c:pt>
                <c:pt idx="84">
                  <c:v>1.2402599425583416</c:v>
                </c:pt>
                <c:pt idx="85">
                  <c:v>1.2363833422638488</c:v>
                </c:pt>
                <c:pt idx="86">
                  <c:v>1.2684286115003127</c:v>
                </c:pt>
                <c:pt idx="87">
                  <c:v>1.3527330028148166</c:v>
                </c:pt>
                <c:pt idx="88">
                  <c:v>1.3424361990584215</c:v>
                </c:pt>
                <c:pt idx="89">
                  <c:v>1.3155486330595692</c:v>
                </c:pt>
                <c:pt idx="90">
                  <c:v>1.3020911744963417</c:v>
                </c:pt>
                <c:pt idx="91">
                  <c:v>1.372888646979431</c:v>
                </c:pt>
                <c:pt idx="92">
                  <c:v>1.4108376118012573</c:v>
                </c:pt>
                <c:pt idx="93">
                  <c:v>1.4194704079977478</c:v>
                </c:pt>
                <c:pt idx="94">
                  <c:v>1.4315485683293749</c:v>
                </c:pt>
                <c:pt idx="95">
                  <c:v>1.4396193676457536</c:v>
                </c:pt>
                <c:pt idx="96">
                  <c:v>1.4756262831800429</c:v>
                </c:pt>
                <c:pt idx="97">
                  <c:v>1.4733959085360988</c:v>
                </c:pt>
                <c:pt idx="98">
                  <c:v>1.4793729393923449</c:v>
                </c:pt>
                <c:pt idx="99">
                  <c:v>1.5400167010276646</c:v>
                </c:pt>
                <c:pt idx="100">
                  <c:v>1.5268979609126521</c:v>
                </c:pt>
                <c:pt idx="101">
                  <c:v>1.5841221812661372</c:v>
                </c:pt>
                <c:pt idx="102">
                  <c:v>1.5770256503146969</c:v>
                </c:pt>
                <c:pt idx="103">
                  <c:v>1.5360367047068797</c:v>
                </c:pt>
                <c:pt idx="104">
                  <c:v>1.5657768900406059</c:v>
                </c:pt>
                <c:pt idx="105">
                  <c:v>1.5753884258029374</c:v>
                </c:pt>
                <c:pt idx="106">
                  <c:v>1.5805560786983566</c:v>
                </c:pt>
                <c:pt idx="107">
                  <c:v>1.5520372819047219</c:v>
                </c:pt>
                <c:pt idx="108">
                  <c:v>1.550406624731832</c:v>
                </c:pt>
                <c:pt idx="109">
                  <c:v>1.563398869777624</c:v>
                </c:pt>
                <c:pt idx="110">
                  <c:v>1.5168374129633904</c:v>
                </c:pt>
                <c:pt idx="111">
                  <c:v>1.5171198929316863</c:v>
                </c:pt>
                <c:pt idx="112">
                  <c:v>1.5291466827705302</c:v>
                </c:pt>
                <c:pt idx="113">
                  <c:v>1.5134921303299709</c:v>
                </c:pt>
                <c:pt idx="114">
                  <c:v>1.5068332612815269</c:v>
                </c:pt>
                <c:pt idx="115">
                  <c:v>1.5216730590617915</c:v>
                </c:pt>
                <c:pt idx="116">
                  <c:v>1.5702045722847575</c:v>
                </c:pt>
                <c:pt idx="117">
                  <c:v>1.6174427255107984</c:v>
                </c:pt>
                <c:pt idx="118">
                  <c:v>1.5910126440936696</c:v>
                </c:pt>
                <c:pt idx="119">
                  <c:v>1.6047838533659815</c:v>
                </c:pt>
                <c:pt idx="120">
                  <c:v>1.566281078383807</c:v>
                </c:pt>
                <c:pt idx="121">
                  <c:v>1.5308547773361423</c:v>
                </c:pt>
                <c:pt idx="122">
                  <c:v>1.5517031918551654</c:v>
                </c:pt>
                <c:pt idx="123">
                  <c:v>1.631323335879354</c:v>
                </c:pt>
                <c:pt idx="124">
                  <c:v>1.677010315307361</c:v>
                </c:pt>
                <c:pt idx="125">
                  <c:v>1.6123683958168298</c:v>
                </c:pt>
                <c:pt idx="126">
                  <c:v>1.6476745337576997</c:v>
                </c:pt>
                <c:pt idx="127">
                  <c:v>1.6359040679954291</c:v>
                </c:pt>
                <c:pt idx="128">
                  <c:v>1.7124944343444854</c:v>
                </c:pt>
                <c:pt idx="129">
                  <c:v>1.7338676525438719</c:v>
                </c:pt>
                <c:pt idx="130">
                  <c:v>1.7755274059791009</c:v>
                </c:pt>
                <c:pt idx="131">
                  <c:v>1.7098453123198658</c:v>
                </c:pt>
                <c:pt idx="132">
                  <c:v>1.7185833380226252</c:v>
                </c:pt>
                <c:pt idx="133">
                  <c:v>1.7858744947640774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9F-4C83-BA5F-FE17E3B6C64B}"/>
            </c:ext>
          </c:extLst>
        </c:ser>
        <c:ser>
          <c:idx val="2"/>
          <c:order val="2"/>
          <c:tx>
            <c:strRef>
              <c:f>累積畫圖!$B$14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累積畫圖!$C$14:$EF$14</c:f>
              <c:numCache>
                <c:formatCode>General</c:formatCode>
                <c:ptCount val="134"/>
                <c:pt idx="0">
                  <c:v>-3.0371566279064999E-2</c:v>
                </c:pt>
                <c:pt idx="1">
                  <c:v>0.1919372231946192</c:v>
                </c:pt>
                <c:pt idx="2">
                  <c:v>0.14441127992736319</c:v>
                </c:pt>
                <c:pt idx="3">
                  <c:v>0.17895449045367898</c:v>
                </c:pt>
                <c:pt idx="4">
                  <c:v>0.26410370097999475</c:v>
                </c:pt>
                <c:pt idx="5">
                  <c:v>0.32369264834841577</c:v>
                </c:pt>
                <c:pt idx="6">
                  <c:v>0.36748000817155807</c:v>
                </c:pt>
                <c:pt idx="7">
                  <c:v>0.26238642922418964</c:v>
                </c:pt>
                <c:pt idx="8">
                  <c:v>0.27483790290840016</c:v>
                </c:pt>
                <c:pt idx="9">
                  <c:v>0.26635769238208434</c:v>
                </c:pt>
                <c:pt idx="10">
                  <c:v>0.19040632396103171</c:v>
                </c:pt>
                <c:pt idx="11">
                  <c:v>0.39523900817155799</c:v>
                </c:pt>
                <c:pt idx="12">
                  <c:v>0.43488137659261061</c:v>
                </c:pt>
                <c:pt idx="13">
                  <c:v>0.37653545469436939</c:v>
                </c:pt>
                <c:pt idx="14">
                  <c:v>0.43477450732594836</c:v>
                </c:pt>
                <c:pt idx="15">
                  <c:v>0.42062282311542204</c:v>
                </c:pt>
                <c:pt idx="16">
                  <c:v>0.25472959593071332</c:v>
                </c:pt>
                <c:pt idx="17">
                  <c:v>0.23736785908860805</c:v>
                </c:pt>
                <c:pt idx="18">
                  <c:v>0.27394612224650278</c:v>
                </c:pt>
                <c:pt idx="19">
                  <c:v>0.2355718064570291</c:v>
                </c:pt>
                <c:pt idx="20">
                  <c:v>0.3517371748780817</c:v>
                </c:pt>
                <c:pt idx="21">
                  <c:v>0.23732886708917761</c:v>
                </c:pt>
                <c:pt idx="22">
                  <c:v>0.22056528814180917</c:v>
                </c:pt>
                <c:pt idx="23">
                  <c:v>0.24181728814180917</c:v>
                </c:pt>
                <c:pt idx="24">
                  <c:v>0.23919160393128286</c:v>
                </c:pt>
                <c:pt idx="25">
                  <c:v>0.1642089723523355</c:v>
                </c:pt>
                <c:pt idx="26">
                  <c:v>0.13491634077338813</c:v>
                </c:pt>
                <c:pt idx="27">
                  <c:v>0.17424428814180917</c:v>
                </c:pt>
                <c:pt idx="28">
                  <c:v>6.6809944448525671E-2</c:v>
                </c:pt>
                <c:pt idx="29">
                  <c:v>0.15112773392220988</c:v>
                </c:pt>
                <c:pt idx="30">
                  <c:v>0.15751831286957829</c:v>
                </c:pt>
                <c:pt idx="31">
                  <c:v>0.22092826023799933</c:v>
                </c:pt>
                <c:pt idx="32">
                  <c:v>0.23189357602747301</c:v>
                </c:pt>
                <c:pt idx="33">
                  <c:v>0.33235673392220982</c:v>
                </c:pt>
                <c:pt idx="34">
                  <c:v>0.32084731286957824</c:v>
                </c:pt>
                <c:pt idx="35">
                  <c:v>0.35881650259203896</c:v>
                </c:pt>
                <c:pt idx="36">
                  <c:v>0.36196492364467053</c:v>
                </c:pt>
                <c:pt idx="37">
                  <c:v>0.45422541284824663</c:v>
                </c:pt>
                <c:pt idx="38">
                  <c:v>0.44422783390087822</c:v>
                </c:pt>
                <c:pt idx="39">
                  <c:v>0.37425130874879398</c:v>
                </c:pt>
                <c:pt idx="40">
                  <c:v>0.36612488769616242</c:v>
                </c:pt>
                <c:pt idx="41">
                  <c:v>0.38429536138037296</c:v>
                </c:pt>
                <c:pt idx="42">
                  <c:v>0.3019623853391612</c:v>
                </c:pt>
                <c:pt idx="43">
                  <c:v>0.34288695099725858</c:v>
                </c:pt>
                <c:pt idx="44">
                  <c:v>0.3899083049059327</c:v>
                </c:pt>
                <c:pt idx="45">
                  <c:v>0.36722351856529567</c:v>
                </c:pt>
                <c:pt idx="46">
                  <c:v>0.35180214044204067</c:v>
                </c:pt>
                <c:pt idx="47">
                  <c:v>0.48875316873643337</c:v>
                </c:pt>
                <c:pt idx="48">
                  <c:v>0.50382128750819488</c:v>
                </c:pt>
                <c:pt idx="49">
                  <c:v>0.4506630398031321</c:v>
                </c:pt>
                <c:pt idx="50">
                  <c:v>0.47078895083996947</c:v>
                </c:pt>
                <c:pt idx="51">
                  <c:v>0.53252323284164427</c:v>
                </c:pt>
                <c:pt idx="52">
                  <c:v>0.52343930931612603</c:v>
                </c:pt>
                <c:pt idx="53">
                  <c:v>0.5667670909835314</c:v>
                </c:pt>
                <c:pt idx="54">
                  <c:v>0.60994333530216005</c:v>
                </c:pt>
                <c:pt idx="55">
                  <c:v>0.65071385684784988</c:v>
                </c:pt>
                <c:pt idx="56">
                  <c:v>0.69208812092178262</c:v>
                </c:pt>
                <c:pt idx="57">
                  <c:v>0.69180467675476676</c:v>
                </c:pt>
                <c:pt idx="58">
                  <c:v>0.74381891238093545</c:v>
                </c:pt>
                <c:pt idx="59">
                  <c:v>0.73056463356686829</c:v>
                </c:pt>
                <c:pt idx="60">
                  <c:v>0.73047730828711532</c:v>
                </c:pt>
                <c:pt idx="61">
                  <c:v>0.79021507512948563</c:v>
                </c:pt>
                <c:pt idx="62">
                  <c:v>0.82221791235585695</c:v>
                </c:pt>
                <c:pt idx="63">
                  <c:v>0.84315445042840831</c:v>
                </c:pt>
                <c:pt idx="64">
                  <c:v>0.87676349610567283</c:v>
                </c:pt>
                <c:pt idx="65">
                  <c:v>0.88958616349607411</c:v>
                </c:pt>
                <c:pt idx="66">
                  <c:v>0.90163558628120999</c:v>
                </c:pt>
                <c:pt idx="67">
                  <c:v>0.87370615674859209</c:v>
                </c:pt>
                <c:pt idx="68">
                  <c:v>0.83507695313428798</c:v>
                </c:pt>
                <c:pt idx="69">
                  <c:v>0.90821608173523449</c:v>
                </c:pt>
                <c:pt idx="70">
                  <c:v>0.8993612463772036</c:v>
                </c:pt>
                <c:pt idx="71">
                  <c:v>0.9282526682601594</c:v>
                </c:pt>
                <c:pt idx="72">
                  <c:v>0.94076061651775267</c:v>
                </c:pt>
                <c:pt idx="73">
                  <c:v>0.99461897855231285</c:v>
                </c:pt>
                <c:pt idx="74">
                  <c:v>0.97609710549926365</c:v>
                </c:pt>
                <c:pt idx="75">
                  <c:v>1.0878776260308445</c:v>
                </c:pt>
                <c:pt idx="76">
                  <c:v>1.0634123599159073</c:v>
                </c:pt>
                <c:pt idx="77">
                  <c:v>1.0855399764580822</c:v>
                </c:pt>
                <c:pt idx="78">
                  <c:v>1.0653833717670473</c:v>
                </c:pt>
                <c:pt idx="79">
                  <c:v>1.1634000816992451</c:v>
                </c:pt>
                <c:pt idx="80">
                  <c:v>1.0912433624875473</c:v>
                </c:pt>
                <c:pt idx="81">
                  <c:v>1.186634504876914</c:v>
                </c:pt>
                <c:pt idx="82">
                  <c:v>1.239701533172753</c:v>
                </c:pt>
                <c:pt idx="83">
                  <c:v>1.3043629254509701</c:v>
                </c:pt>
                <c:pt idx="84">
                  <c:v>1.1984781480876112</c:v>
                </c:pt>
                <c:pt idx="85">
                  <c:v>1.1659477414087003</c:v>
                </c:pt>
                <c:pt idx="86">
                  <c:v>1.1799641057993464</c:v>
                </c:pt>
                <c:pt idx="87">
                  <c:v>1.242234060678183</c:v>
                </c:pt>
                <c:pt idx="88">
                  <c:v>1.2742740710465001</c:v>
                </c:pt>
                <c:pt idx="89">
                  <c:v>1.2537946730032945</c:v>
                </c:pt>
                <c:pt idx="90">
                  <c:v>1.1802069529644015</c:v>
                </c:pt>
                <c:pt idx="91">
                  <c:v>1.2800162844461542</c:v>
                </c:pt>
                <c:pt idx="92">
                  <c:v>1.3332279125378288</c:v>
                </c:pt>
                <c:pt idx="93">
                  <c:v>1.3899064675954054</c:v>
                </c:pt>
                <c:pt idx="94">
                  <c:v>1.448933587859061</c:v>
                </c:pt>
                <c:pt idx="95">
                  <c:v>1.4680341644097459</c:v>
                </c:pt>
                <c:pt idx="96">
                  <c:v>1.4234897222967398</c:v>
                </c:pt>
                <c:pt idx="97">
                  <c:v>1.4462354374349951</c:v>
                </c:pt>
                <c:pt idx="98">
                  <c:v>1.4428370549715244</c:v>
                </c:pt>
                <c:pt idx="99">
                  <c:v>1.4756013840581079</c:v>
                </c:pt>
                <c:pt idx="100">
                  <c:v>1.4468422637666336</c:v>
                </c:pt>
                <c:pt idx="101">
                  <c:v>1.510905827117017</c:v>
                </c:pt>
                <c:pt idx="102">
                  <c:v>1.4866015379464326</c:v>
                </c:pt>
                <c:pt idx="103">
                  <c:v>1.4702587609760354</c:v>
                </c:pt>
                <c:pt idx="104">
                  <c:v>1.4977928535764271</c:v>
                </c:pt>
                <c:pt idx="105">
                  <c:v>1.4810343037840106</c:v>
                </c:pt>
                <c:pt idx="106">
                  <c:v>1.4864186033917752</c:v>
                </c:pt>
                <c:pt idx="107">
                  <c:v>1.446648142929633</c:v>
                </c:pt>
                <c:pt idx="108">
                  <c:v>1.4580946993229502</c:v>
                </c:pt>
                <c:pt idx="109">
                  <c:v>1.4628695365658617</c:v>
                </c:pt>
                <c:pt idx="110">
                  <c:v>1.4096775393212539</c:v>
                </c:pt>
                <c:pt idx="111">
                  <c:v>1.4107012635885514</c:v>
                </c:pt>
                <c:pt idx="112">
                  <c:v>1.4290186396654312</c:v>
                </c:pt>
                <c:pt idx="113">
                  <c:v>1.4138534781105427</c:v>
                </c:pt>
                <c:pt idx="114">
                  <c:v>1.4193577472041932</c:v>
                </c:pt>
                <c:pt idx="115">
                  <c:v>1.4592094547707379</c:v>
                </c:pt>
                <c:pt idx="116">
                  <c:v>1.5005850999335353</c:v>
                </c:pt>
                <c:pt idx="117">
                  <c:v>1.5411173274377727</c:v>
                </c:pt>
                <c:pt idx="118">
                  <c:v>1.4517494673969609</c:v>
                </c:pt>
                <c:pt idx="119">
                  <c:v>1.5043719868559604</c:v>
                </c:pt>
                <c:pt idx="120">
                  <c:v>1.4693270805850436</c:v>
                </c:pt>
                <c:pt idx="121">
                  <c:v>1.4248938967447029</c:v>
                </c:pt>
                <c:pt idx="122">
                  <c:v>1.379978948125721</c:v>
                </c:pt>
                <c:pt idx="123">
                  <c:v>1.4882413026558283</c:v>
                </c:pt>
                <c:pt idx="124">
                  <c:v>1.5800506317116667</c:v>
                </c:pt>
                <c:pt idx="125">
                  <c:v>1.4778894118258274</c:v>
                </c:pt>
                <c:pt idx="126">
                  <c:v>1.515886491772676</c:v>
                </c:pt>
                <c:pt idx="127">
                  <c:v>1.5115461522002371</c:v>
                </c:pt>
                <c:pt idx="128">
                  <c:v>1.5896514180881733</c:v>
                </c:pt>
                <c:pt idx="129">
                  <c:v>1.5966688925088723</c:v>
                </c:pt>
                <c:pt idx="130">
                  <c:v>1.6027482746570054</c:v>
                </c:pt>
                <c:pt idx="131">
                  <c:v>1.5001185654708185</c:v>
                </c:pt>
                <c:pt idx="132">
                  <c:v>1.5188065154225745</c:v>
                </c:pt>
                <c:pt idx="133">
                  <c:v>1.585438862151987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9F-4C83-BA5F-FE17E3B6C64B}"/>
            </c:ext>
          </c:extLst>
        </c:ser>
        <c:ser>
          <c:idx val="3"/>
          <c:order val="3"/>
          <c:tx>
            <c:strRef>
              <c:f>累積畫圖!$B$15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累積畫圖!$C$15:$EF$15</c:f>
              <c:numCache>
                <c:formatCode>General</c:formatCode>
                <c:ptCount val="134"/>
                <c:pt idx="0">
                  <c:v>-9.6503141994516081E-2</c:v>
                </c:pt>
                <c:pt idx="1">
                  <c:v>0.27620655800548399</c:v>
                </c:pt>
                <c:pt idx="2">
                  <c:v>0.26600813173340049</c:v>
                </c:pt>
                <c:pt idx="3">
                  <c:v>0.3563127317334005</c:v>
                </c:pt>
                <c:pt idx="4">
                  <c:v>0.45291893173340048</c:v>
                </c:pt>
                <c:pt idx="5">
                  <c:v>0.57176333173340044</c:v>
                </c:pt>
                <c:pt idx="6">
                  <c:v>0.63019477601326601</c:v>
                </c:pt>
                <c:pt idx="7">
                  <c:v>0.56567057601326598</c:v>
                </c:pt>
                <c:pt idx="8">
                  <c:v>0.56145957601326602</c:v>
                </c:pt>
                <c:pt idx="9">
                  <c:v>0.57442647601326602</c:v>
                </c:pt>
                <c:pt idx="10">
                  <c:v>0.38593507601326604</c:v>
                </c:pt>
                <c:pt idx="11">
                  <c:v>0.71624467601326602</c:v>
                </c:pt>
                <c:pt idx="12">
                  <c:v>0.76234817601326599</c:v>
                </c:pt>
                <c:pt idx="13">
                  <c:v>0.69823199299160421</c:v>
                </c:pt>
                <c:pt idx="14">
                  <c:v>0.79860879299160425</c:v>
                </c:pt>
                <c:pt idx="15">
                  <c:v>0.81536399299160423</c:v>
                </c:pt>
                <c:pt idx="16">
                  <c:v>0.54513194702089729</c:v>
                </c:pt>
                <c:pt idx="17">
                  <c:v>0.4957922470208973</c:v>
                </c:pt>
                <c:pt idx="18">
                  <c:v>0.54258094702089732</c:v>
                </c:pt>
                <c:pt idx="19">
                  <c:v>0.45690054702089733</c:v>
                </c:pt>
                <c:pt idx="20">
                  <c:v>0.56383514702089732</c:v>
                </c:pt>
                <c:pt idx="21">
                  <c:v>0.43699181555722422</c:v>
                </c:pt>
                <c:pt idx="22">
                  <c:v>0.41280211555722424</c:v>
                </c:pt>
                <c:pt idx="23">
                  <c:v>0.38914591555722422</c:v>
                </c:pt>
                <c:pt idx="24">
                  <c:v>0.43573481555722421</c:v>
                </c:pt>
                <c:pt idx="25">
                  <c:v>0.36173941555722422</c:v>
                </c:pt>
                <c:pt idx="26">
                  <c:v>0.32168461555722422</c:v>
                </c:pt>
                <c:pt idx="27">
                  <c:v>0.36137501555722423</c:v>
                </c:pt>
                <c:pt idx="28">
                  <c:v>0.26006169935834922</c:v>
                </c:pt>
                <c:pt idx="29">
                  <c:v>0.30983519935834924</c:v>
                </c:pt>
                <c:pt idx="30">
                  <c:v>0.30009019935834924</c:v>
                </c:pt>
                <c:pt idx="31">
                  <c:v>0.28558839935834923</c:v>
                </c:pt>
                <c:pt idx="32">
                  <c:v>0.35986579935834923</c:v>
                </c:pt>
                <c:pt idx="33">
                  <c:v>0.36404919935834923</c:v>
                </c:pt>
                <c:pt idx="34">
                  <c:v>0.32705109935834925</c:v>
                </c:pt>
                <c:pt idx="35">
                  <c:v>0.3676067543447839</c:v>
                </c:pt>
                <c:pt idx="36">
                  <c:v>0.36955025434478389</c:v>
                </c:pt>
                <c:pt idx="37">
                  <c:v>0.46241216776247024</c:v>
                </c:pt>
                <c:pt idx="38">
                  <c:v>0.49811446776247026</c:v>
                </c:pt>
                <c:pt idx="39">
                  <c:v>0.41165670125196752</c:v>
                </c:pt>
                <c:pt idx="40">
                  <c:v>0.39190940125196749</c:v>
                </c:pt>
                <c:pt idx="41">
                  <c:v>0.41645970125196752</c:v>
                </c:pt>
                <c:pt idx="42">
                  <c:v>0.36263852221485349</c:v>
                </c:pt>
                <c:pt idx="43">
                  <c:v>0.42789351286728206</c:v>
                </c:pt>
                <c:pt idx="44">
                  <c:v>0.46783677395674839</c:v>
                </c:pt>
                <c:pt idx="45">
                  <c:v>0.42060995562930953</c:v>
                </c:pt>
                <c:pt idx="46">
                  <c:v>0.43626989488389045</c:v>
                </c:pt>
                <c:pt idx="47">
                  <c:v>0.56150387205862562</c:v>
                </c:pt>
                <c:pt idx="48">
                  <c:v>0.58961328852141182</c:v>
                </c:pt>
                <c:pt idx="49">
                  <c:v>0.49829000845290833</c:v>
                </c:pt>
                <c:pt idx="50">
                  <c:v>0.50890352326056132</c:v>
                </c:pt>
                <c:pt idx="51">
                  <c:v>0.62010586857966787</c:v>
                </c:pt>
                <c:pt idx="52">
                  <c:v>0.68226101224749813</c:v>
                </c:pt>
                <c:pt idx="53">
                  <c:v>0.72521083259946661</c:v>
                </c:pt>
                <c:pt idx="54">
                  <c:v>0.76435734745713502</c:v>
                </c:pt>
                <c:pt idx="55">
                  <c:v>0.81553523473467848</c:v>
                </c:pt>
                <c:pt idx="56">
                  <c:v>0.8183600568160545</c:v>
                </c:pt>
                <c:pt idx="57">
                  <c:v>0.85191659410243148</c:v>
                </c:pt>
                <c:pt idx="58">
                  <c:v>0.92050325321740112</c:v>
                </c:pt>
                <c:pt idx="59">
                  <c:v>0.90488415054540927</c:v>
                </c:pt>
                <c:pt idx="60">
                  <c:v>0.89372778283195331</c:v>
                </c:pt>
                <c:pt idx="61">
                  <c:v>0.95647595883214342</c:v>
                </c:pt>
                <c:pt idx="62">
                  <c:v>1.0216828418308772</c:v>
                </c:pt>
                <c:pt idx="63">
                  <c:v>1.0618254115640671</c:v>
                </c:pt>
                <c:pt idx="64">
                  <c:v>1.089559887518998</c:v>
                </c:pt>
                <c:pt idx="65">
                  <c:v>1.1037441082268027</c:v>
                </c:pt>
                <c:pt idx="66">
                  <c:v>1.1165470395171304</c:v>
                </c:pt>
                <c:pt idx="67">
                  <c:v>1.0663896103950707</c:v>
                </c:pt>
                <c:pt idx="68">
                  <c:v>1.0495658329447843</c:v>
                </c:pt>
                <c:pt idx="69">
                  <c:v>1.1386260386761187</c:v>
                </c:pt>
                <c:pt idx="70">
                  <c:v>1.1581024584719122</c:v>
                </c:pt>
                <c:pt idx="71">
                  <c:v>1.2173313954323606</c:v>
                </c:pt>
                <c:pt idx="72">
                  <c:v>1.1813855053029569</c:v>
                </c:pt>
                <c:pt idx="73">
                  <c:v>1.2020560513465854</c:v>
                </c:pt>
                <c:pt idx="74">
                  <c:v>1.1144009335850324</c:v>
                </c:pt>
                <c:pt idx="75">
                  <c:v>1.2173074025623798</c:v>
                </c:pt>
                <c:pt idx="76">
                  <c:v>1.1987153817659375</c:v>
                </c:pt>
                <c:pt idx="77">
                  <c:v>1.213772275777762</c:v>
                </c:pt>
                <c:pt idx="78">
                  <c:v>1.0602700030640786</c:v>
                </c:pt>
                <c:pt idx="79">
                  <c:v>1.1804220870271629</c:v>
                </c:pt>
                <c:pt idx="80">
                  <c:v>1.0637820763909416</c:v>
                </c:pt>
                <c:pt idx="81">
                  <c:v>1.1622520708019928</c:v>
                </c:pt>
                <c:pt idx="82">
                  <c:v>1.1579531915486285</c:v>
                </c:pt>
                <c:pt idx="83">
                  <c:v>1.2208391498323299</c:v>
                </c:pt>
                <c:pt idx="84">
                  <c:v>1.1930360779913394</c:v>
                </c:pt>
                <c:pt idx="85">
                  <c:v>1.1059917219186213</c:v>
                </c:pt>
                <c:pt idx="86">
                  <c:v>1.1626643676907207</c:v>
                </c:pt>
                <c:pt idx="87">
                  <c:v>1.194086342683969</c:v>
                </c:pt>
                <c:pt idx="88">
                  <c:v>1.2687174588124228</c:v>
                </c:pt>
                <c:pt idx="89">
                  <c:v>1.2260833430132625</c:v>
                </c:pt>
                <c:pt idx="90">
                  <c:v>1.096634318131221</c:v>
                </c:pt>
                <c:pt idx="91">
                  <c:v>1.2241701535641707</c:v>
                </c:pt>
                <c:pt idx="92">
                  <c:v>1.2610464779278401</c:v>
                </c:pt>
                <c:pt idx="93">
                  <c:v>1.3072270998186328</c:v>
                </c:pt>
                <c:pt idx="94">
                  <c:v>1.3674122722822275</c:v>
                </c:pt>
                <c:pt idx="95">
                  <c:v>1.3748068472576822</c:v>
                </c:pt>
                <c:pt idx="96">
                  <c:v>1.3116281873429094</c:v>
                </c:pt>
                <c:pt idx="97">
                  <c:v>1.3054863404381005</c:v>
                </c:pt>
                <c:pt idx="98">
                  <c:v>1.290095416054758</c:v>
                </c:pt>
                <c:pt idx="99">
                  <c:v>1.3141350231080888</c:v>
                </c:pt>
                <c:pt idx="100">
                  <c:v>1.2716643500303264</c:v>
                </c:pt>
                <c:pt idx="101">
                  <c:v>1.348809423970788</c:v>
                </c:pt>
                <c:pt idx="102">
                  <c:v>1.3224335885289114</c:v>
                </c:pt>
                <c:pt idx="103">
                  <c:v>1.2922069703147876</c:v>
                </c:pt>
                <c:pt idx="104">
                  <c:v>1.3170280772455205</c:v>
                </c:pt>
                <c:pt idx="105">
                  <c:v>1.2812117645201353</c:v>
                </c:pt>
                <c:pt idx="106">
                  <c:v>1.3061604792651784</c:v>
                </c:pt>
                <c:pt idx="107">
                  <c:v>1.2637691728657836</c:v>
                </c:pt>
                <c:pt idx="108">
                  <c:v>1.2799659044840248</c:v>
                </c:pt>
                <c:pt idx="109">
                  <c:v>1.2612568934401327</c:v>
                </c:pt>
                <c:pt idx="110">
                  <c:v>1.249538444430675</c:v>
                </c:pt>
                <c:pt idx="111">
                  <c:v>1.1980156336072707</c:v>
                </c:pt>
                <c:pt idx="112">
                  <c:v>1.2997904676587386</c:v>
                </c:pt>
                <c:pt idx="113">
                  <c:v>1.3624259617471766</c:v>
                </c:pt>
                <c:pt idx="114">
                  <c:v>1.3386174148795078</c:v>
                </c:pt>
                <c:pt idx="115">
                  <c:v>1.3826139123031274</c:v>
                </c:pt>
                <c:pt idx="116">
                  <c:v>1.4289106395369282</c:v>
                </c:pt>
                <c:pt idx="117">
                  <c:v>1.4526462415438208</c:v>
                </c:pt>
                <c:pt idx="118">
                  <c:v>1.3529740264886851</c:v>
                </c:pt>
                <c:pt idx="119">
                  <c:v>1.392759634543786</c:v>
                </c:pt>
                <c:pt idx="120">
                  <c:v>1.3097147179128168</c:v>
                </c:pt>
                <c:pt idx="121">
                  <c:v>1.2375510861946537</c:v>
                </c:pt>
                <c:pt idx="122">
                  <c:v>1.191780357242973</c:v>
                </c:pt>
                <c:pt idx="123">
                  <c:v>1.3315487141838445</c:v>
                </c:pt>
                <c:pt idx="124">
                  <c:v>1.357087341330677</c:v>
                </c:pt>
                <c:pt idx="125">
                  <c:v>1.2384710906806906</c:v>
                </c:pt>
                <c:pt idx="126">
                  <c:v>1.3450102572817002</c:v>
                </c:pt>
                <c:pt idx="127">
                  <c:v>1.3260900132123159</c:v>
                </c:pt>
                <c:pt idx="128">
                  <c:v>1.3583297045113538</c:v>
                </c:pt>
                <c:pt idx="129">
                  <c:v>1.4068482776425988</c:v>
                </c:pt>
                <c:pt idx="130">
                  <c:v>1.4575847764112351</c:v>
                </c:pt>
                <c:pt idx="131">
                  <c:v>1.3442277204759236</c:v>
                </c:pt>
                <c:pt idx="132">
                  <c:v>1.3217691804988438</c:v>
                </c:pt>
                <c:pt idx="133">
                  <c:v>1.3839774857379199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9F-4C83-BA5F-FE17E3B6C64B}"/>
            </c:ext>
          </c:extLst>
        </c:ser>
        <c:ser>
          <c:idx val="4"/>
          <c:order val="4"/>
          <c:tx>
            <c:strRef>
              <c:f>累積畫圖!$B$16</c:f>
              <c:strCache>
                <c:ptCount val="1"/>
                <c:pt idx="0">
                  <c:v>107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累積畫圖!$C$16:$EF$16</c:f>
              <c:numCache>
                <c:formatCode>General</c:formatCode>
                <c:ptCount val="134"/>
                <c:pt idx="0">
                  <c:v>-2.7383644610379052E-2</c:v>
                </c:pt>
                <c:pt idx="1">
                  <c:v>0.38081179983406532</c:v>
                </c:pt>
                <c:pt idx="2">
                  <c:v>0.37798162322397993</c:v>
                </c:pt>
                <c:pt idx="3">
                  <c:v>0.48540117877953554</c:v>
                </c:pt>
                <c:pt idx="4">
                  <c:v>0.59441473433509107</c:v>
                </c:pt>
                <c:pt idx="5">
                  <c:v>0.66726351211286883</c:v>
                </c:pt>
                <c:pt idx="6">
                  <c:v>0.72479413077849031</c:v>
                </c:pt>
                <c:pt idx="7">
                  <c:v>0.65610068633404584</c:v>
                </c:pt>
                <c:pt idx="8">
                  <c:v>0.67402513077849024</c:v>
                </c:pt>
                <c:pt idx="9">
                  <c:v>0.7050516863340458</c:v>
                </c:pt>
                <c:pt idx="10">
                  <c:v>0.51017590855626804</c:v>
                </c:pt>
                <c:pt idx="11">
                  <c:v>0.87716379744515693</c:v>
                </c:pt>
                <c:pt idx="12">
                  <c:v>0.89278490855626802</c:v>
                </c:pt>
                <c:pt idx="13">
                  <c:v>0.83173967676484573</c:v>
                </c:pt>
                <c:pt idx="14">
                  <c:v>0.92835956565373468</c:v>
                </c:pt>
                <c:pt idx="15">
                  <c:v>0.94754201009817918</c:v>
                </c:pt>
                <c:pt idx="16">
                  <c:v>0.66208740583445325</c:v>
                </c:pt>
                <c:pt idx="17">
                  <c:v>0.63885996139000878</c:v>
                </c:pt>
                <c:pt idx="18">
                  <c:v>0.68750962805667548</c:v>
                </c:pt>
                <c:pt idx="19">
                  <c:v>0.58319440583445326</c:v>
                </c:pt>
                <c:pt idx="20">
                  <c:v>0.66156785027889775</c:v>
                </c:pt>
                <c:pt idx="21">
                  <c:v>0.53715806657041099</c:v>
                </c:pt>
                <c:pt idx="22">
                  <c:v>0.53286951101485547</c:v>
                </c:pt>
                <c:pt idx="23">
                  <c:v>0.51279373323707766</c:v>
                </c:pt>
                <c:pt idx="24">
                  <c:v>0.56302139990374434</c:v>
                </c:pt>
                <c:pt idx="25">
                  <c:v>0.49200539990374437</c:v>
                </c:pt>
                <c:pt idx="26">
                  <c:v>0.45096528879263326</c:v>
                </c:pt>
                <c:pt idx="27">
                  <c:v>0.48577628879263324</c:v>
                </c:pt>
                <c:pt idx="28">
                  <c:v>0.38927392830402757</c:v>
                </c:pt>
                <c:pt idx="29">
                  <c:v>0.40428426163736092</c:v>
                </c:pt>
                <c:pt idx="30">
                  <c:v>0.39598270608180536</c:v>
                </c:pt>
                <c:pt idx="31">
                  <c:v>0.35187426163736091</c:v>
                </c:pt>
                <c:pt idx="32">
                  <c:v>0.44239737274847202</c:v>
                </c:pt>
                <c:pt idx="33">
                  <c:v>0.42476737274847204</c:v>
                </c:pt>
                <c:pt idx="34">
                  <c:v>0.41678103941513872</c:v>
                </c:pt>
                <c:pt idx="35">
                  <c:v>0.46546997251966199</c:v>
                </c:pt>
                <c:pt idx="36">
                  <c:v>0.48920252807521752</c:v>
                </c:pt>
                <c:pt idx="37">
                  <c:v>0.59565872816489307</c:v>
                </c:pt>
                <c:pt idx="38">
                  <c:v>0.63570128372044865</c:v>
                </c:pt>
                <c:pt idx="39">
                  <c:v>0.55790291557486016</c:v>
                </c:pt>
                <c:pt idx="40">
                  <c:v>0.53387036001930466</c:v>
                </c:pt>
                <c:pt idx="41">
                  <c:v>0.56636258224152691</c:v>
                </c:pt>
                <c:pt idx="42">
                  <c:v>0.50129435676755763</c:v>
                </c:pt>
                <c:pt idx="43">
                  <c:v>0.56116149591195175</c:v>
                </c:pt>
                <c:pt idx="44">
                  <c:v>0.60298833416684683</c:v>
                </c:pt>
                <c:pt idx="45">
                  <c:v>0.59391582738682813</c:v>
                </c:pt>
                <c:pt idx="46">
                  <c:v>0.63316875746147883</c:v>
                </c:pt>
                <c:pt idx="47">
                  <c:v>0.73399853070545173</c:v>
                </c:pt>
                <c:pt idx="48">
                  <c:v>0.76781112054979772</c:v>
                </c:pt>
                <c:pt idx="49">
                  <c:v>0.66290148537108551</c:v>
                </c:pt>
                <c:pt idx="50">
                  <c:v>0.6727096839154354</c:v>
                </c:pt>
                <c:pt idx="51">
                  <c:v>0.78074860806817348</c:v>
                </c:pt>
                <c:pt idx="52">
                  <c:v>0.84685085316786224</c:v>
                </c:pt>
                <c:pt idx="53">
                  <c:v>0.88278756471376629</c:v>
                </c:pt>
                <c:pt idx="54">
                  <c:v>0.93419855910824123</c:v>
                </c:pt>
                <c:pt idx="55">
                  <c:v>0.99846661342795939</c:v>
                </c:pt>
                <c:pt idx="56">
                  <c:v>1.012312432527928</c:v>
                </c:pt>
                <c:pt idx="57">
                  <c:v>1.0068999524609707</c:v>
                </c:pt>
                <c:pt idx="58">
                  <c:v>1.0592357127554355</c:v>
                </c:pt>
                <c:pt idx="59">
                  <c:v>1.0387318964722279</c:v>
                </c:pt>
                <c:pt idx="60">
                  <c:v>1.0366089446597122</c:v>
                </c:pt>
                <c:pt idx="61">
                  <c:v>1.1072325103672354</c:v>
                </c:pt>
                <c:pt idx="62">
                  <c:v>1.198339682717108</c:v>
                </c:pt>
                <c:pt idx="63">
                  <c:v>1.2462455153211351</c:v>
                </c:pt>
                <c:pt idx="64">
                  <c:v>1.2681358752747929</c:v>
                </c:pt>
                <c:pt idx="65">
                  <c:v>1.2798830732581321</c:v>
                </c:pt>
                <c:pt idx="66">
                  <c:v>1.293195527002948</c:v>
                </c:pt>
                <c:pt idx="67">
                  <c:v>1.2668986789815035</c:v>
                </c:pt>
                <c:pt idx="68">
                  <c:v>1.2537071058340394</c:v>
                </c:pt>
                <c:pt idx="69">
                  <c:v>1.339190297101839</c:v>
                </c:pt>
                <c:pt idx="70">
                  <c:v>1.3969554072866395</c:v>
                </c:pt>
                <c:pt idx="71">
                  <c:v>1.4607378956357928</c:v>
                </c:pt>
                <c:pt idx="72">
                  <c:v>1.3949969682092582</c:v>
                </c:pt>
                <c:pt idx="73">
                  <c:v>1.4265562057303891</c:v>
                </c:pt>
                <c:pt idx="74">
                  <c:v>1.3492014294656993</c:v>
                </c:pt>
                <c:pt idx="75">
                  <c:v>1.4607272779673486</c:v>
                </c:pt>
                <c:pt idx="76">
                  <c:v>1.4436111742835771</c:v>
                </c:pt>
                <c:pt idx="77">
                  <c:v>1.4421831292943599</c:v>
                </c:pt>
                <c:pt idx="78">
                  <c:v>1.2831106148104254</c:v>
                </c:pt>
                <c:pt idx="79">
                  <c:v>1.4381818864367872</c:v>
                </c:pt>
                <c:pt idx="80">
                  <c:v>1.3055868256432759</c:v>
                </c:pt>
                <c:pt idx="81">
                  <c:v>1.4107880896530269</c:v>
                </c:pt>
                <c:pt idx="82">
                  <c:v>1.4172361112002345</c:v>
                </c:pt>
                <c:pt idx="83">
                  <c:v>1.4589335259032616</c:v>
                </c:pt>
                <c:pt idx="84">
                  <c:v>1.4202236440747442</c:v>
                </c:pt>
                <c:pt idx="85">
                  <c:v>1.3747000932870777</c:v>
                </c:pt>
                <c:pt idx="86">
                  <c:v>1.4511730770047679</c:v>
                </c:pt>
                <c:pt idx="87">
                  <c:v>1.4711684464835442</c:v>
                </c:pt>
                <c:pt idx="88">
                  <c:v>1.5601570746330558</c:v>
                </c:pt>
                <c:pt idx="89">
                  <c:v>1.5270995594921057</c:v>
                </c:pt>
                <c:pt idx="90">
                  <c:v>1.3562208683848593</c:v>
                </c:pt>
                <c:pt idx="91">
                  <c:v>1.4938346844132715</c:v>
                </c:pt>
                <c:pt idx="92">
                  <c:v>1.5347128607377267</c:v>
                </c:pt>
                <c:pt idx="93">
                  <c:v>1.5830126274210432</c:v>
                </c:pt>
                <c:pt idx="94">
                  <c:v>1.6479610296175224</c:v>
                </c:pt>
                <c:pt idx="95">
                  <c:v>1.6530284361183634</c:v>
                </c:pt>
                <c:pt idx="96">
                  <c:v>1.5889150670544796</c:v>
                </c:pt>
                <c:pt idx="97">
                  <c:v>1.5710541076363456</c:v>
                </c:pt>
                <c:pt idx="98">
                  <c:v>1.5586307656560545</c:v>
                </c:pt>
                <c:pt idx="99">
                  <c:v>1.5708710504103045</c:v>
                </c:pt>
                <c:pt idx="100">
                  <c:v>1.521754001293679</c:v>
                </c:pt>
                <c:pt idx="101">
                  <c:v>1.6243872604718115</c:v>
                </c:pt>
                <c:pt idx="102">
                  <c:v>1.594582466504576</c:v>
                </c:pt>
                <c:pt idx="103">
                  <c:v>1.5518702967243501</c:v>
                </c:pt>
                <c:pt idx="104">
                  <c:v>1.5872280159078782</c:v>
                </c:pt>
                <c:pt idx="105">
                  <c:v>1.527250940507052</c:v>
                </c:pt>
                <c:pt idx="106">
                  <c:v>1.4960578124709192</c:v>
                </c:pt>
                <c:pt idx="107">
                  <c:v>1.4729113792453601</c:v>
                </c:pt>
                <c:pt idx="108">
                  <c:v>1.4873643268767986</c:v>
                </c:pt>
                <c:pt idx="109">
                  <c:v>1.4682349834588275</c:v>
                </c:pt>
                <c:pt idx="110">
                  <c:v>1.4550015577463054</c:v>
                </c:pt>
                <c:pt idx="111">
                  <c:v>1.4183584150147217</c:v>
                </c:pt>
                <c:pt idx="112">
                  <c:v>1.5519527716403023</c:v>
                </c:pt>
                <c:pt idx="113">
                  <c:v>1.6234471465562668</c:v>
                </c:pt>
                <c:pt idx="114">
                  <c:v>1.5931161967979257</c:v>
                </c:pt>
                <c:pt idx="115">
                  <c:v>1.6355540501573329</c:v>
                </c:pt>
                <c:pt idx="116">
                  <c:v>1.6879659095731789</c:v>
                </c:pt>
                <c:pt idx="117">
                  <c:v>1.707807858152405</c:v>
                </c:pt>
                <c:pt idx="118">
                  <c:v>1.6247742000753884</c:v>
                </c:pt>
                <c:pt idx="119">
                  <c:v>1.6799654517249036</c:v>
                </c:pt>
                <c:pt idx="120">
                  <c:v>1.5862133867351493</c:v>
                </c:pt>
                <c:pt idx="121">
                  <c:v>1.485520062439277</c:v>
                </c:pt>
                <c:pt idx="122">
                  <c:v>1.4210463286697383</c:v>
                </c:pt>
                <c:pt idx="123">
                  <c:v>1.5580000606875319</c:v>
                </c:pt>
                <c:pt idx="124">
                  <c:v>1.5989177903872227</c:v>
                </c:pt>
                <c:pt idx="125">
                  <c:v>1.4736330840632452</c:v>
                </c:pt>
                <c:pt idx="126">
                  <c:v>1.5899874189735885</c:v>
                </c:pt>
                <c:pt idx="127">
                  <c:v>1.5587103391489121</c:v>
                </c:pt>
                <c:pt idx="128">
                  <c:v>1.605371710704639</c:v>
                </c:pt>
                <c:pt idx="129">
                  <c:v>1.6833494935645861</c:v>
                </c:pt>
                <c:pt idx="130">
                  <c:v>1.7344671458189667</c:v>
                </c:pt>
                <c:pt idx="131">
                  <c:v>1.6190503983200455</c:v>
                </c:pt>
                <c:pt idx="132">
                  <c:v>1.5859921287754175</c:v>
                </c:pt>
                <c:pt idx="133">
                  <c:v>1.6258860354880613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9F-4C83-BA5F-FE17E3B6C64B}"/>
            </c:ext>
          </c:extLst>
        </c:ser>
        <c:ser>
          <c:idx val="5"/>
          <c:order val="5"/>
          <c:tx>
            <c:strRef>
              <c:f>累積畫圖!$B$17</c:f>
              <c:strCache>
                <c:ptCount val="1"/>
                <c:pt idx="0">
                  <c:v>120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累積畫圖!$C$17:$EF$17</c:f>
              <c:numCache>
                <c:formatCode>General</c:formatCode>
                <c:ptCount val="134"/>
                <c:pt idx="0">
                  <c:v>-4.5056429492109057E-2</c:v>
                </c:pt>
                <c:pt idx="1">
                  <c:v>0.39453194550789095</c:v>
                </c:pt>
                <c:pt idx="2">
                  <c:v>0.4019109470031923</c:v>
                </c:pt>
                <c:pt idx="3">
                  <c:v>0.54868294700319231</c:v>
                </c:pt>
                <c:pt idx="4">
                  <c:v>0.6658155720031923</c:v>
                </c:pt>
                <c:pt idx="5">
                  <c:v>0.77081032200319233</c:v>
                </c:pt>
                <c:pt idx="6">
                  <c:v>0.88453534980537984</c:v>
                </c:pt>
                <c:pt idx="7">
                  <c:v>0.76923697480537989</c:v>
                </c:pt>
                <c:pt idx="8">
                  <c:v>0.80868072480537989</c:v>
                </c:pt>
                <c:pt idx="9">
                  <c:v>0.84245559980537987</c:v>
                </c:pt>
                <c:pt idx="10">
                  <c:v>0.61551572480537986</c:v>
                </c:pt>
                <c:pt idx="11">
                  <c:v>1.0206239748053798</c:v>
                </c:pt>
                <c:pt idx="12">
                  <c:v>1.0452560998053797</c:v>
                </c:pt>
                <c:pt idx="13">
                  <c:v>0.97684532548617176</c:v>
                </c:pt>
                <c:pt idx="14">
                  <c:v>1.0832777004861718</c:v>
                </c:pt>
                <c:pt idx="15">
                  <c:v>1.0852527004861718</c:v>
                </c:pt>
                <c:pt idx="16">
                  <c:v>0.77459926783087363</c:v>
                </c:pt>
                <c:pt idx="17">
                  <c:v>0.7510908928308736</c:v>
                </c:pt>
                <c:pt idx="18">
                  <c:v>0.80337926783087366</c:v>
                </c:pt>
                <c:pt idx="19">
                  <c:v>0.68702414283087365</c:v>
                </c:pt>
                <c:pt idx="20">
                  <c:v>0.7661662678308736</c:v>
                </c:pt>
                <c:pt idx="21">
                  <c:v>0.6089536405839806</c:v>
                </c:pt>
                <c:pt idx="22">
                  <c:v>0.61045276558398065</c:v>
                </c:pt>
                <c:pt idx="23">
                  <c:v>0.58884426558398062</c:v>
                </c:pt>
                <c:pt idx="24">
                  <c:v>0.65110039058398061</c:v>
                </c:pt>
                <c:pt idx="25">
                  <c:v>0.59276601558398057</c:v>
                </c:pt>
                <c:pt idx="26">
                  <c:v>0.55196689058398052</c:v>
                </c:pt>
                <c:pt idx="27">
                  <c:v>0.62058676558398052</c:v>
                </c:pt>
                <c:pt idx="28">
                  <c:v>0.49342834313675554</c:v>
                </c:pt>
                <c:pt idx="29">
                  <c:v>0.50184096813675549</c:v>
                </c:pt>
                <c:pt idx="30">
                  <c:v>0.50048971813675547</c:v>
                </c:pt>
                <c:pt idx="31">
                  <c:v>0.46856684313675545</c:v>
                </c:pt>
                <c:pt idx="32">
                  <c:v>0.58343196813675546</c:v>
                </c:pt>
                <c:pt idx="33">
                  <c:v>0.57315884313675547</c:v>
                </c:pt>
                <c:pt idx="34">
                  <c:v>0.55983421813675549</c:v>
                </c:pt>
                <c:pt idx="35">
                  <c:v>0.61055862388531201</c:v>
                </c:pt>
                <c:pt idx="36">
                  <c:v>0.63842774888531206</c:v>
                </c:pt>
                <c:pt idx="37">
                  <c:v>0.75171486923122977</c:v>
                </c:pt>
                <c:pt idx="38">
                  <c:v>0.7824187442312297</c:v>
                </c:pt>
                <c:pt idx="39">
                  <c:v>0.70517592981164423</c:v>
                </c:pt>
                <c:pt idx="40">
                  <c:v>0.69594555481164422</c:v>
                </c:pt>
                <c:pt idx="41">
                  <c:v>0.73094217981164422</c:v>
                </c:pt>
                <c:pt idx="42">
                  <c:v>0.67461861777716847</c:v>
                </c:pt>
                <c:pt idx="43">
                  <c:v>0.72688642422689065</c:v>
                </c:pt>
                <c:pt idx="44">
                  <c:v>0.77953465546988365</c:v>
                </c:pt>
                <c:pt idx="45">
                  <c:v>0.75802629253197806</c:v>
                </c:pt>
                <c:pt idx="46">
                  <c:v>0.77719026630629784</c:v>
                </c:pt>
                <c:pt idx="47">
                  <c:v>0.87343082481509682</c:v>
                </c:pt>
                <c:pt idx="48">
                  <c:v>0.90085452150569767</c:v>
                </c:pt>
                <c:pt idx="49">
                  <c:v>0.77574369659832954</c:v>
                </c:pt>
                <c:pt idx="50">
                  <c:v>0.78556887570544254</c:v>
                </c:pt>
                <c:pt idx="51">
                  <c:v>0.9093329388192869</c:v>
                </c:pt>
                <c:pt idx="52">
                  <c:v>0.99204951036309708</c:v>
                </c:pt>
                <c:pt idx="53">
                  <c:v>1.0144059926093019</c:v>
                </c:pt>
                <c:pt idx="54">
                  <c:v>1.0917562348473622</c:v>
                </c:pt>
                <c:pt idx="55">
                  <c:v>1.1469537314563159</c:v>
                </c:pt>
                <c:pt idx="56">
                  <c:v>1.1115594953682786</c:v>
                </c:pt>
                <c:pt idx="57">
                  <c:v>1.109828110603654</c:v>
                </c:pt>
                <c:pt idx="58">
                  <c:v>1.2091935026412044</c:v>
                </c:pt>
                <c:pt idx="59">
                  <c:v>1.199335438367968</c:v>
                </c:pt>
                <c:pt idx="60">
                  <c:v>1.1855124862978625</c:v>
                </c:pt>
                <c:pt idx="61">
                  <c:v>1.2594437914996086</c:v>
                </c:pt>
                <c:pt idx="62">
                  <c:v>1.3354415619454685</c:v>
                </c:pt>
                <c:pt idx="63">
                  <c:v>1.3831711813993173</c:v>
                </c:pt>
                <c:pt idx="64">
                  <c:v>1.4030572621082043</c:v>
                </c:pt>
                <c:pt idx="65">
                  <c:v>1.4298947631866383</c:v>
                </c:pt>
                <c:pt idx="66">
                  <c:v>1.4412712736330899</c:v>
                </c:pt>
                <c:pt idx="67">
                  <c:v>1.4403533282271692</c:v>
                </c:pt>
                <c:pt idx="68">
                  <c:v>1.4362498591165627</c:v>
                </c:pt>
                <c:pt idx="69">
                  <c:v>1.5456662379869859</c:v>
                </c:pt>
                <c:pt idx="70">
                  <c:v>1.6167940567377383</c:v>
                </c:pt>
                <c:pt idx="71">
                  <c:v>1.6912409575364735</c:v>
                </c:pt>
                <c:pt idx="72">
                  <c:v>1.6108092449372076</c:v>
                </c:pt>
                <c:pt idx="73">
                  <c:v>1.6396322095568803</c:v>
                </c:pt>
                <c:pt idx="74">
                  <c:v>1.539450139374257</c:v>
                </c:pt>
                <c:pt idx="75">
                  <c:v>1.6600282952553422</c:v>
                </c:pt>
                <c:pt idx="76">
                  <c:v>1.6320934628968526</c:v>
                </c:pt>
                <c:pt idx="77">
                  <c:v>1.6307581525627406</c:v>
                </c:pt>
                <c:pt idx="78">
                  <c:v>1.4558001785730597</c:v>
                </c:pt>
                <c:pt idx="79">
                  <c:v>1.6287599197922082</c:v>
                </c:pt>
                <c:pt idx="80">
                  <c:v>1.4536436742861567</c:v>
                </c:pt>
                <c:pt idx="81">
                  <c:v>1.5523898717123552</c:v>
                </c:pt>
                <c:pt idx="82">
                  <c:v>1.5501676247881331</c:v>
                </c:pt>
                <c:pt idx="83">
                  <c:v>1.608804071395183</c:v>
                </c:pt>
                <c:pt idx="84">
                  <c:v>1.5942728864055944</c:v>
                </c:pt>
                <c:pt idx="85">
                  <c:v>1.5435305649211524</c:v>
                </c:pt>
                <c:pt idx="86">
                  <c:v>1.6352691375790653</c:v>
                </c:pt>
                <c:pt idx="87">
                  <c:v>1.6258427928100341</c:v>
                </c:pt>
                <c:pt idx="88">
                  <c:v>1.7604121372416084</c:v>
                </c:pt>
                <c:pt idx="89">
                  <c:v>1.7336940760906214</c:v>
                </c:pt>
                <c:pt idx="90">
                  <c:v>1.531155448827632</c:v>
                </c:pt>
                <c:pt idx="91">
                  <c:v>1.6793147180249757</c:v>
                </c:pt>
                <c:pt idx="92">
                  <c:v>1.720402651208379</c:v>
                </c:pt>
                <c:pt idx="93">
                  <c:v>1.7691402926506274</c:v>
                </c:pt>
                <c:pt idx="94">
                  <c:v>1.8621802133508194</c:v>
                </c:pt>
                <c:pt idx="95">
                  <c:v>1.9114402697400126</c:v>
                </c:pt>
                <c:pt idx="96">
                  <c:v>1.8370319621567586</c:v>
                </c:pt>
                <c:pt idx="97">
                  <c:v>1.840911570096686</c:v>
                </c:pt>
                <c:pt idx="98">
                  <c:v>1.8211497161873331</c:v>
                </c:pt>
                <c:pt idx="99">
                  <c:v>1.8319221107112809</c:v>
                </c:pt>
                <c:pt idx="100">
                  <c:v>1.7825388119951908</c:v>
                </c:pt>
                <c:pt idx="101">
                  <c:v>1.9067876498428113</c:v>
                </c:pt>
                <c:pt idx="102">
                  <c:v>1.8628917906976772</c:v>
                </c:pt>
                <c:pt idx="103">
                  <c:v>1.8280087799052094</c:v>
                </c:pt>
                <c:pt idx="104">
                  <c:v>1.8713722488827087</c:v>
                </c:pt>
                <c:pt idx="105">
                  <c:v>1.7862383157985549</c:v>
                </c:pt>
                <c:pt idx="106">
                  <c:v>1.7530573851312876</c:v>
                </c:pt>
                <c:pt idx="107">
                  <c:v>1.7418260148046283</c:v>
                </c:pt>
                <c:pt idx="108">
                  <c:v>1.7487605912319113</c:v>
                </c:pt>
                <c:pt idx="109">
                  <c:v>1.7100339402938987</c:v>
                </c:pt>
                <c:pt idx="110">
                  <c:v>1.7047406959701161</c:v>
                </c:pt>
                <c:pt idx="111">
                  <c:v>1.6594045384292961</c:v>
                </c:pt>
                <c:pt idx="112">
                  <c:v>1.8154409665458424</c:v>
                </c:pt>
                <c:pt idx="113">
                  <c:v>1.8889565674830135</c:v>
                </c:pt>
                <c:pt idx="114">
                  <c:v>1.8367036569006976</c:v>
                </c:pt>
                <c:pt idx="115">
                  <c:v>1.8721926896150367</c:v>
                </c:pt>
                <c:pt idx="116">
                  <c:v>1.92564405995494</c:v>
                </c:pt>
                <c:pt idx="117">
                  <c:v>1.9087654506210432</c:v>
                </c:pt>
                <c:pt idx="118">
                  <c:v>1.8010629818244124</c:v>
                </c:pt>
                <c:pt idx="119">
                  <c:v>1.8569477967007406</c:v>
                </c:pt>
                <c:pt idx="120">
                  <c:v>1.7326316368959298</c:v>
                </c:pt>
                <c:pt idx="121">
                  <c:v>1.6386514245332062</c:v>
                </c:pt>
                <c:pt idx="122">
                  <c:v>1.566920718482701</c:v>
                </c:pt>
                <c:pt idx="123">
                  <c:v>1.6846861165936553</c:v>
                </c:pt>
                <c:pt idx="124">
                  <c:v>1.7333676000078055</c:v>
                </c:pt>
                <c:pt idx="125">
                  <c:v>1.6038286174113314</c:v>
                </c:pt>
                <c:pt idx="126">
                  <c:v>1.7069492956794856</c:v>
                </c:pt>
                <c:pt idx="127">
                  <c:v>1.6588039968324779</c:v>
                </c:pt>
                <c:pt idx="128">
                  <c:v>1.6706219206981905</c:v>
                </c:pt>
                <c:pt idx="129">
                  <c:v>1.7577222698929298</c:v>
                </c:pt>
                <c:pt idx="130">
                  <c:v>1.7741474871089904</c:v>
                </c:pt>
                <c:pt idx="131">
                  <c:v>1.6458230431800778</c:v>
                </c:pt>
                <c:pt idx="132">
                  <c:v>1.6204096828700438</c:v>
                </c:pt>
                <c:pt idx="133">
                  <c:v>1.6681194498798957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9F-4C83-BA5F-FE17E3B6C64B}"/>
            </c:ext>
          </c:extLst>
        </c:ser>
        <c:ser>
          <c:idx val="6"/>
          <c:order val="6"/>
          <c:tx>
            <c:strRef>
              <c:f>累積畫圖!$B$18</c:f>
              <c:strCache>
                <c:ptCount val="1"/>
                <c:pt idx="0">
                  <c:v>137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累積畫圖!$C$18:$EF$18</c:f>
              <c:numCache>
                <c:formatCode>General</c:formatCode>
                <c:ptCount val="134"/>
                <c:pt idx="0">
                  <c:v>-5.3942228163147227E-2</c:v>
                </c:pt>
                <c:pt idx="1">
                  <c:v>0.34794177183685282</c:v>
                </c:pt>
                <c:pt idx="2">
                  <c:v>0.28894111473864503</c:v>
                </c:pt>
                <c:pt idx="3">
                  <c:v>0.50103197188150217</c:v>
                </c:pt>
                <c:pt idx="4">
                  <c:v>0.63409068616721642</c:v>
                </c:pt>
                <c:pt idx="5">
                  <c:v>0.76263068616721641</c:v>
                </c:pt>
                <c:pt idx="6">
                  <c:v>0.89813086639045747</c:v>
                </c:pt>
                <c:pt idx="7">
                  <c:v>0.77297000924760029</c:v>
                </c:pt>
                <c:pt idx="8">
                  <c:v>0.80455529496188594</c:v>
                </c:pt>
                <c:pt idx="9">
                  <c:v>0.85122686639045742</c:v>
                </c:pt>
                <c:pt idx="10">
                  <c:v>0.59771400924760021</c:v>
                </c:pt>
                <c:pt idx="11">
                  <c:v>1.0595344378190288</c:v>
                </c:pt>
                <c:pt idx="12">
                  <c:v>1.0838585806761716</c:v>
                </c:pt>
                <c:pt idx="13">
                  <c:v>1.003684396553659</c:v>
                </c:pt>
                <c:pt idx="14">
                  <c:v>1.1254231108393733</c:v>
                </c:pt>
                <c:pt idx="15">
                  <c:v>1.1447496822679448</c:v>
                </c:pt>
                <c:pt idx="16">
                  <c:v>0.76101705333605052</c:v>
                </c:pt>
                <c:pt idx="17">
                  <c:v>0.75598748190747911</c:v>
                </c:pt>
                <c:pt idx="18">
                  <c:v>0.78412105333605053</c:v>
                </c:pt>
                <c:pt idx="19">
                  <c:v>0.65286805333605047</c:v>
                </c:pt>
                <c:pt idx="20">
                  <c:v>0.73016505333605042</c:v>
                </c:pt>
                <c:pt idx="21">
                  <c:v>0.57431682585448618</c:v>
                </c:pt>
                <c:pt idx="22">
                  <c:v>0.5985286829973433</c:v>
                </c:pt>
                <c:pt idx="23">
                  <c:v>0.58162311156877189</c:v>
                </c:pt>
                <c:pt idx="24">
                  <c:v>0.63642868299734334</c:v>
                </c:pt>
                <c:pt idx="25">
                  <c:v>0.5747146829973433</c:v>
                </c:pt>
                <c:pt idx="26">
                  <c:v>0.49999482585448618</c:v>
                </c:pt>
                <c:pt idx="27">
                  <c:v>0.59628068299734327</c:v>
                </c:pt>
                <c:pt idx="28">
                  <c:v>0.45275144156826874</c:v>
                </c:pt>
                <c:pt idx="29">
                  <c:v>0.45100187013969734</c:v>
                </c:pt>
                <c:pt idx="30">
                  <c:v>0.44238401299684021</c:v>
                </c:pt>
                <c:pt idx="31">
                  <c:v>0.40646915585398308</c:v>
                </c:pt>
                <c:pt idx="32">
                  <c:v>0.52455558442541173</c:v>
                </c:pt>
                <c:pt idx="33">
                  <c:v>0.51722744156826883</c:v>
                </c:pt>
                <c:pt idx="34">
                  <c:v>0.54451872728255457</c:v>
                </c:pt>
                <c:pt idx="35">
                  <c:v>0.59037885287742564</c:v>
                </c:pt>
                <c:pt idx="36">
                  <c:v>0.60023785287742559</c:v>
                </c:pt>
                <c:pt idx="37">
                  <c:v>0.6795324928326274</c:v>
                </c:pt>
                <c:pt idx="38">
                  <c:v>0.72620120711834169</c:v>
                </c:pt>
                <c:pt idx="39">
                  <c:v>0.64792261518453476</c:v>
                </c:pt>
                <c:pt idx="40">
                  <c:v>0.66471075804167756</c:v>
                </c:pt>
                <c:pt idx="41">
                  <c:v>0.72640518661310616</c:v>
                </c:pt>
                <c:pt idx="42">
                  <c:v>0.64057863505913704</c:v>
                </c:pt>
                <c:pt idx="43">
                  <c:v>0.68390428487971566</c:v>
                </c:pt>
                <c:pt idx="44">
                  <c:v>0.75221962493640881</c:v>
                </c:pt>
                <c:pt idx="45">
                  <c:v>0.72345086905469158</c:v>
                </c:pt>
                <c:pt idx="46">
                  <c:v>0.74798890329579903</c:v>
                </c:pt>
                <c:pt idx="47">
                  <c:v>0.85554977155163514</c:v>
                </c:pt>
                <c:pt idx="48">
                  <c:v>0.89033305019278319</c:v>
                </c:pt>
                <c:pt idx="49">
                  <c:v>0.74192396780388403</c:v>
                </c:pt>
                <c:pt idx="50">
                  <c:v>0.74141184219057676</c:v>
                </c:pt>
                <c:pt idx="51">
                  <c:v>0.87453235601725943</c:v>
                </c:pt>
                <c:pt idx="52">
                  <c:v>0.95773392861058004</c:v>
                </c:pt>
                <c:pt idx="53">
                  <c:v>0.93371765692327957</c:v>
                </c:pt>
                <c:pt idx="54">
                  <c:v>1.0020788701614425</c:v>
                </c:pt>
                <c:pt idx="55">
                  <c:v>1.0479634064610213</c:v>
                </c:pt>
                <c:pt idx="56">
                  <c:v>1.0135287774104254</c:v>
                </c:pt>
                <c:pt idx="57">
                  <c:v>1.0435447693911466</c:v>
                </c:pt>
                <c:pt idx="58">
                  <c:v>1.1525447763098122</c:v>
                </c:pt>
                <c:pt idx="59">
                  <c:v>1.1585008403602717</c:v>
                </c:pt>
                <c:pt idx="60">
                  <c:v>1.1077557889762102</c:v>
                </c:pt>
                <c:pt idx="61">
                  <c:v>1.1889134627964142</c:v>
                </c:pt>
                <c:pt idx="62">
                  <c:v>1.2916874018598539</c:v>
                </c:pt>
                <c:pt idx="63">
                  <c:v>1.3444617914836841</c:v>
                </c:pt>
                <c:pt idx="64">
                  <c:v>1.3646892875900587</c:v>
                </c:pt>
                <c:pt idx="65">
                  <c:v>1.4115468279247407</c:v>
                </c:pt>
                <c:pt idx="66">
                  <c:v>1.4134636120345898</c:v>
                </c:pt>
                <c:pt idx="67">
                  <c:v>1.4077154184506351</c:v>
                </c:pt>
                <c:pt idx="68">
                  <c:v>1.3862182170689337</c:v>
                </c:pt>
                <c:pt idx="69">
                  <c:v>1.5290892847371831</c:v>
                </c:pt>
                <c:pt idx="70">
                  <c:v>1.6097667287772239</c:v>
                </c:pt>
                <c:pt idx="71">
                  <c:v>1.6906901240542662</c:v>
                </c:pt>
                <c:pt idx="72">
                  <c:v>1.6053790371210708</c:v>
                </c:pt>
                <c:pt idx="73">
                  <c:v>1.6243975118371063</c:v>
                </c:pt>
                <c:pt idx="74">
                  <c:v>1.5013225360130815</c:v>
                </c:pt>
                <c:pt idx="75">
                  <c:v>1.6546425238156797</c:v>
                </c:pt>
                <c:pt idx="76">
                  <c:v>1.6385659799228189</c:v>
                </c:pt>
                <c:pt idx="77">
                  <c:v>1.6139886233103706</c:v>
                </c:pt>
                <c:pt idx="78">
                  <c:v>1.5858151792909705</c:v>
                </c:pt>
                <c:pt idx="79">
                  <c:v>1.7795319979378013</c:v>
                </c:pt>
                <c:pt idx="80">
                  <c:v>1.6121380626563491</c:v>
                </c:pt>
                <c:pt idx="81">
                  <c:v>1.6815758135014891</c:v>
                </c:pt>
                <c:pt idx="82">
                  <c:v>1.6787744545620735</c:v>
                </c:pt>
                <c:pt idx="83">
                  <c:v>1.8414315012493068</c:v>
                </c:pt>
                <c:pt idx="84">
                  <c:v>1.7968655148016099</c:v>
                </c:pt>
                <c:pt idx="85">
                  <c:v>1.7345518369767003</c:v>
                </c:pt>
                <c:pt idx="86">
                  <c:v>1.825219621268984</c:v>
                </c:pt>
                <c:pt idx="87">
                  <c:v>1.7942300762107908</c:v>
                </c:pt>
                <c:pt idx="88">
                  <c:v>1.9538658739698245</c:v>
                </c:pt>
                <c:pt idx="89">
                  <c:v>1.9158688368754437</c:v>
                </c:pt>
                <c:pt idx="90">
                  <c:v>1.6842949583260145</c:v>
                </c:pt>
                <c:pt idx="91">
                  <c:v>1.8471340672740253</c:v>
                </c:pt>
                <c:pt idx="92">
                  <c:v>1.8951106036822929</c:v>
                </c:pt>
                <c:pt idx="93">
                  <c:v>1.9502667323988849</c:v>
                </c:pt>
                <c:pt idx="94">
                  <c:v>2.0372838632383585</c:v>
                </c:pt>
                <c:pt idx="95">
                  <c:v>2.1322348923038441</c:v>
                </c:pt>
                <c:pt idx="96">
                  <c:v>2.0605862010987339</c:v>
                </c:pt>
                <c:pt idx="97">
                  <c:v>2.1516264833290224</c:v>
                </c:pt>
                <c:pt idx="98">
                  <c:v>2.1431703977644965</c:v>
                </c:pt>
                <c:pt idx="99">
                  <c:v>2.2047305835982747</c:v>
                </c:pt>
                <c:pt idx="100">
                  <c:v>2.1533731698234924</c:v>
                </c:pt>
                <c:pt idx="101">
                  <c:v>2.2862160331252639</c:v>
                </c:pt>
                <c:pt idx="102">
                  <c:v>2.2388350936065704</c:v>
                </c:pt>
                <c:pt idx="103">
                  <c:v>2.1930998849278112</c:v>
                </c:pt>
                <c:pt idx="104">
                  <c:v>2.2295086664233175</c:v>
                </c:pt>
                <c:pt idx="105">
                  <c:v>2.1470463129279032</c:v>
                </c:pt>
                <c:pt idx="106">
                  <c:v>2.1122449652569126</c:v>
                </c:pt>
                <c:pt idx="107">
                  <c:v>2.0772021864745422</c:v>
                </c:pt>
                <c:pt idx="108">
                  <c:v>2.0695827133169145</c:v>
                </c:pt>
                <c:pt idx="109">
                  <c:v>2.0415447000682656</c:v>
                </c:pt>
                <c:pt idx="110">
                  <c:v>2.0254300708302386</c:v>
                </c:pt>
                <c:pt idx="111">
                  <c:v>1.9802260310449491</c:v>
                </c:pt>
                <c:pt idx="112">
                  <c:v>2.1387396581373763</c:v>
                </c:pt>
                <c:pt idx="113">
                  <c:v>2.2201374010536172</c:v>
                </c:pt>
                <c:pt idx="114">
                  <c:v>2.153629260321579</c:v>
                </c:pt>
                <c:pt idx="115">
                  <c:v>2.1369071962435577</c:v>
                </c:pt>
                <c:pt idx="116">
                  <c:v>2.1790121037941881</c:v>
                </c:pt>
                <c:pt idx="117">
                  <c:v>2.1584074173273224</c:v>
                </c:pt>
                <c:pt idx="118">
                  <c:v>2.0576801390214907</c:v>
                </c:pt>
                <c:pt idx="119">
                  <c:v>2.1345207937934516</c:v>
                </c:pt>
                <c:pt idx="120">
                  <c:v>1.986798795341719</c:v>
                </c:pt>
                <c:pt idx="121">
                  <c:v>1.8707814052307419</c:v>
                </c:pt>
                <c:pt idx="122">
                  <c:v>1.7738862191538372</c:v>
                </c:pt>
                <c:pt idx="123">
                  <c:v>1.879526827953899</c:v>
                </c:pt>
                <c:pt idx="124">
                  <c:v>1.9614355202382723</c:v>
                </c:pt>
                <c:pt idx="125">
                  <c:v>1.8078325427757904</c:v>
                </c:pt>
                <c:pt idx="126">
                  <c:v>1.9052605797517401</c:v>
                </c:pt>
                <c:pt idx="127">
                  <c:v>1.8297442204553744</c:v>
                </c:pt>
                <c:pt idx="128">
                  <c:v>1.8233826577113927</c:v>
                </c:pt>
                <c:pt idx="129">
                  <c:v>1.9232290356897133</c:v>
                </c:pt>
                <c:pt idx="130">
                  <c:v>1.9290518831652108</c:v>
                </c:pt>
                <c:pt idx="131">
                  <c:v>1.8089744508888703</c:v>
                </c:pt>
                <c:pt idx="132">
                  <c:v>1.7951206969143632</c:v>
                </c:pt>
                <c:pt idx="133">
                  <c:v>1.8440757140247797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9F-4C83-BA5F-FE17E3B6C64B}"/>
            </c:ext>
          </c:extLst>
        </c:ser>
        <c:ser>
          <c:idx val="7"/>
          <c:order val="7"/>
          <c:tx>
            <c:strRef>
              <c:f>累積畫圖!$B$19</c:f>
              <c:strCache>
                <c:ptCount val="1"/>
                <c:pt idx="0">
                  <c:v>160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累積畫圖!$C$19:$EF$19</c:f>
              <c:numCache>
                <c:formatCode>General</c:formatCode>
                <c:ptCount val="134"/>
                <c:pt idx="0">
                  <c:v>-7.7959416087486216E-2</c:v>
                </c:pt>
                <c:pt idx="1">
                  <c:v>0.32956191724584716</c:v>
                </c:pt>
                <c:pt idx="2">
                  <c:v>0.28146168569830254</c:v>
                </c:pt>
                <c:pt idx="3">
                  <c:v>0.51763251903163587</c:v>
                </c:pt>
                <c:pt idx="4">
                  <c:v>0.67049768569830259</c:v>
                </c:pt>
                <c:pt idx="5">
                  <c:v>0.84810785236496933</c:v>
                </c:pt>
                <c:pt idx="6">
                  <c:v>0.98276218525643588</c:v>
                </c:pt>
                <c:pt idx="7">
                  <c:v>0.82653301858976924</c:v>
                </c:pt>
                <c:pt idx="8">
                  <c:v>0.88307251858976921</c:v>
                </c:pt>
                <c:pt idx="9">
                  <c:v>0.91343368525643587</c:v>
                </c:pt>
                <c:pt idx="10">
                  <c:v>0.6518920185897692</c:v>
                </c:pt>
                <c:pt idx="11">
                  <c:v>1.1842665185897692</c:v>
                </c:pt>
                <c:pt idx="12">
                  <c:v>1.1644695185897691</c:v>
                </c:pt>
                <c:pt idx="13">
                  <c:v>1.071935332403072</c:v>
                </c:pt>
                <c:pt idx="14">
                  <c:v>1.2423996657364054</c:v>
                </c:pt>
                <c:pt idx="15">
                  <c:v>1.2843426657364054</c:v>
                </c:pt>
                <c:pt idx="16">
                  <c:v>1.1177720983073707</c:v>
                </c:pt>
                <c:pt idx="17">
                  <c:v>1.0082452649740374</c:v>
                </c:pt>
                <c:pt idx="18">
                  <c:v>1.0524294316407041</c:v>
                </c:pt>
                <c:pt idx="19">
                  <c:v>0.93374593164070419</c:v>
                </c:pt>
                <c:pt idx="20">
                  <c:v>1.0061617649740375</c:v>
                </c:pt>
                <c:pt idx="21">
                  <c:v>0.8860754712767579</c:v>
                </c:pt>
                <c:pt idx="22">
                  <c:v>0.91013763794342462</c:v>
                </c:pt>
                <c:pt idx="23">
                  <c:v>0.88791463794342462</c:v>
                </c:pt>
                <c:pt idx="24">
                  <c:v>0.93521630461009131</c:v>
                </c:pt>
                <c:pt idx="25">
                  <c:v>0.87445380461009137</c:v>
                </c:pt>
                <c:pt idx="26">
                  <c:v>0.790940971276758</c:v>
                </c:pt>
                <c:pt idx="27">
                  <c:v>0.8869338046100913</c:v>
                </c:pt>
                <c:pt idx="28">
                  <c:v>0.71751774361230147</c:v>
                </c:pt>
                <c:pt idx="29">
                  <c:v>0.71778157694563482</c:v>
                </c:pt>
                <c:pt idx="30">
                  <c:v>0.73708007694563482</c:v>
                </c:pt>
                <c:pt idx="31">
                  <c:v>0.72098874361230147</c:v>
                </c:pt>
                <c:pt idx="32">
                  <c:v>0.81253807694563485</c:v>
                </c:pt>
                <c:pt idx="33">
                  <c:v>0.82470441027896813</c:v>
                </c:pt>
                <c:pt idx="34">
                  <c:v>0.87376507694563477</c:v>
                </c:pt>
                <c:pt idx="35">
                  <c:v>0.94403602261644037</c:v>
                </c:pt>
                <c:pt idx="36">
                  <c:v>0.95456852261644043</c:v>
                </c:pt>
                <c:pt idx="37">
                  <c:v>1.0381368169821226</c:v>
                </c:pt>
                <c:pt idx="38">
                  <c:v>1.0958836503154559</c:v>
                </c:pt>
                <c:pt idx="39">
                  <c:v>1.0083095300426037</c:v>
                </c:pt>
                <c:pt idx="40">
                  <c:v>1.0632373633759371</c:v>
                </c:pt>
                <c:pt idx="41">
                  <c:v>1.1378541967092703</c:v>
                </c:pt>
                <c:pt idx="42">
                  <c:v>1.0400572414409559</c:v>
                </c:pt>
                <c:pt idx="43">
                  <c:v>1.0893522232066573</c:v>
                </c:pt>
                <c:pt idx="44">
                  <c:v>1.1657809389203113</c:v>
                </c:pt>
                <c:pt idx="45">
                  <c:v>1.1173178373464647</c:v>
                </c:pt>
                <c:pt idx="46">
                  <c:v>1.1396740055006012</c:v>
                </c:pt>
                <c:pt idx="47">
                  <c:v>1.219880419811014</c:v>
                </c:pt>
                <c:pt idx="48">
                  <c:v>1.2494093902043939</c:v>
                </c:pt>
                <c:pt idx="49">
                  <c:v>1.0625297720362197</c:v>
                </c:pt>
                <c:pt idx="50">
                  <c:v>1.0281658880821467</c:v>
                </c:pt>
                <c:pt idx="51">
                  <c:v>1.1879120871545783</c:v>
                </c:pt>
                <c:pt idx="52">
                  <c:v>1.251967573500764</c:v>
                </c:pt>
                <c:pt idx="53">
                  <c:v>1.2487331808706958</c:v>
                </c:pt>
                <c:pt idx="54">
                  <c:v>1.3026006785599844</c:v>
                </c:pt>
                <c:pt idx="55">
                  <c:v>1.316171652709123</c:v>
                </c:pt>
                <c:pt idx="56">
                  <c:v>1.2998279943762807</c:v>
                </c:pt>
                <c:pt idx="57">
                  <c:v>1.3018461960777117</c:v>
                </c:pt>
                <c:pt idx="58">
                  <c:v>1.4296448248969305</c:v>
                </c:pt>
                <c:pt idx="59">
                  <c:v>1.4513521264355096</c:v>
                </c:pt>
                <c:pt idx="60">
                  <c:v>1.3996026003435171</c:v>
                </c:pt>
                <c:pt idx="61">
                  <c:v>1.4795672584900204</c:v>
                </c:pt>
                <c:pt idx="62">
                  <c:v>1.593817858748716</c:v>
                </c:pt>
                <c:pt idx="63">
                  <c:v>1.6610705062159878</c:v>
                </c:pt>
                <c:pt idx="64">
                  <c:v>1.6867994674811033</c:v>
                </c:pt>
                <c:pt idx="65">
                  <c:v>1.7242257303576396</c:v>
                </c:pt>
                <c:pt idx="66">
                  <c:v>1.7341597748119626</c:v>
                </c:pt>
                <c:pt idx="67">
                  <c:v>1.7408350208354826</c:v>
                </c:pt>
                <c:pt idx="68">
                  <c:v>1.7165786820910005</c:v>
                </c:pt>
                <c:pt idx="69">
                  <c:v>1.8582113619445739</c:v>
                </c:pt>
                <c:pt idx="70">
                  <c:v>1.934147613178812</c:v>
                </c:pt>
                <c:pt idx="71">
                  <c:v>2.0278028543321582</c:v>
                </c:pt>
                <c:pt idx="72">
                  <c:v>1.9188358929485132</c:v>
                </c:pt>
                <c:pt idx="73">
                  <c:v>1.9529236782203714</c:v>
                </c:pt>
                <c:pt idx="74">
                  <c:v>1.8452739416647232</c:v>
                </c:pt>
                <c:pt idx="75">
                  <c:v>1.9090893354319372</c:v>
                </c:pt>
                <c:pt idx="76">
                  <c:v>1.8875436453007579</c:v>
                </c:pt>
                <c:pt idx="77">
                  <c:v>1.839502476792513</c:v>
                </c:pt>
                <c:pt idx="78">
                  <c:v>1.8147792240266856</c:v>
                </c:pt>
                <c:pt idx="79">
                  <c:v>2.0218650246760417</c:v>
                </c:pt>
                <c:pt idx="80">
                  <c:v>1.8235991954990824</c:v>
                </c:pt>
                <c:pt idx="81">
                  <c:v>1.9085707042521609</c:v>
                </c:pt>
                <c:pt idx="82">
                  <c:v>1.8579371742375075</c:v>
                </c:pt>
                <c:pt idx="83">
                  <c:v>2.0108270412874338</c:v>
                </c:pt>
                <c:pt idx="84">
                  <c:v>1.9737600951272387</c:v>
                </c:pt>
                <c:pt idx="85">
                  <c:v>1.9118195951612025</c:v>
                </c:pt>
                <c:pt idx="86">
                  <c:v>2.0157873129783006</c:v>
                </c:pt>
                <c:pt idx="87">
                  <c:v>1.9725470330035106</c:v>
                </c:pt>
                <c:pt idx="88">
                  <c:v>2.1478946745852259</c:v>
                </c:pt>
                <c:pt idx="89">
                  <c:v>2.0709620199179226</c:v>
                </c:pt>
                <c:pt idx="90">
                  <c:v>1.7985076152894162</c:v>
                </c:pt>
                <c:pt idx="91">
                  <c:v>1.9575402142717488</c:v>
                </c:pt>
                <c:pt idx="92">
                  <c:v>1.9548103061171869</c:v>
                </c:pt>
                <c:pt idx="93">
                  <c:v>2.004147972157321</c:v>
                </c:pt>
                <c:pt idx="94">
                  <c:v>2.064848823055859</c:v>
                </c:pt>
                <c:pt idx="95">
                  <c:v>2.1874692496858898</c:v>
                </c:pt>
                <c:pt idx="96">
                  <c:v>2.1040328525719967</c:v>
                </c:pt>
                <c:pt idx="97">
                  <c:v>2.1938689433339311</c:v>
                </c:pt>
                <c:pt idx="98">
                  <c:v>2.1719671355520327</c:v>
                </c:pt>
                <c:pt idx="99">
                  <c:v>2.2655168538114543</c:v>
                </c:pt>
                <c:pt idx="100">
                  <c:v>2.1945949842470847</c:v>
                </c:pt>
                <c:pt idx="101">
                  <c:v>2.2950597192225946</c:v>
                </c:pt>
                <c:pt idx="102">
                  <c:v>2.236835842519358</c:v>
                </c:pt>
                <c:pt idx="103">
                  <c:v>2.2011149434941424</c:v>
                </c:pt>
                <c:pt idx="104">
                  <c:v>2.1659355435920484</c:v>
                </c:pt>
                <c:pt idx="105">
                  <c:v>2.061406917525836</c:v>
                </c:pt>
                <c:pt idx="106">
                  <c:v>2.0174612815853754</c:v>
                </c:pt>
                <c:pt idx="107">
                  <c:v>1.9477682346923528</c:v>
                </c:pt>
                <c:pt idx="108">
                  <c:v>1.9350217597817037</c:v>
                </c:pt>
                <c:pt idx="109">
                  <c:v>1.9348647766522988</c:v>
                </c:pt>
                <c:pt idx="110">
                  <c:v>1.93853120109472</c:v>
                </c:pt>
                <c:pt idx="111">
                  <c:v>1.8900168503717434</c:v>
                </c:pt>
                <c:pt idx="112">
                  <c:v>2.0141614381559512</c:v>
                </c:pt>
                <c:pt idx="113">
                  <c:v>2.0843288459558207</c:v>
                </c:pt>
                <c:pt idx="114">
                  <c:v>2.0023765909218265</c:v>
                </c:pt>
                <c:pt idx="115">
                  <c:v>1.9981989461185579</c:v>
                </c:pt>
                <c:pt idx="116">
                  <c:v>2.0533255095185017</c:v>
                </c:pt>
                <c:pt idx="117">
                  <c:v>2.0804909520298653</c:v>
                </c:pt>
                <c:pt idx="118">
                  <c:v>1.9600015726692301</c:v>
                </c:pt>
                <c:pt idx="119">
                  <c:v>2.0359639259942783</c:v>
                </c:pt>
                <c:pt idx="120">
                  <c:v>1.8579683790403081</c:v>
                </c:pt>
                <c:pt idx="121">
                  <c:v>1.7248398784209586</c:v>
                </c:pt>
                <c:pt idx="122">
                  <c:v>1.5820091803665184</c:v>
                </c:pt>
                <c:pt idx="123">
                  <c:v>1.7015410247809204</c:v>
                </c:pt>
                <c:pt idx="124">
                  <c:v>1.7621501641216046</c:v>
                </c:pt>
                <c:pt idx="125">
                  <c:v>1.6237850298834269</c:v>
                </c:pt>
                <c:pt idx="126">
                  <c:v>1.6938946075713499</c:v>
                </c:pt>
                <c:pt idx="127">
                  <c:v>1.5819737787073569</c:v>
                </c:pt>
                <c:pt idx="128">
                  <c:v>1.5538944252316895</c:v>
                </c:pt>
                <c:pt idx="129">
                  <c:v>1.5756671952444681</c:v>
                </c:pt>
                <c:pt idx="130">
                  <c:v>1.5670456727459132</c:v>
                </c:pt>
                <c:pt idx="131">
                  <c:v>1.4161103557557564</c:v>
                </c:pt>
                <c:pt idx="132">
                  <c:v>1.4287443986961788</c:v>
                </c:pt>
                <c:pt idx="133">
                  <c:v>1.4457223535709478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C9F-4C83-BA5F-FE17E3B6C64B}"/>
            </c:ext>
          </c:extLst>
        </c:ser>
        <c:ser>
          <c:idx val="8"/>
          <c:order val="8"/>
          <c:tx>
            <c:strRef>
              <c:f>累積畫圖!$B$20</c:f>
              <c:strCache>
                <c:ptCount val="1"/>
                <c:pt idx="0">
                  <c:v>192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累積畫圖!$C$20:$EF$20</c:f>
              <c:numCache>
                <c:formatCode>General</c:formatCode>
                <c:ptCount val="134"/>
                <c:pt idx="0">
                  <c:v>-0.13932460396499161</c:v>
                </c:pt>
                <c:pt idx="1">
                  <c:v>0.24270119603500842</c:v>
                </c:pt>
                <c:pt idx="2">
                  <c:v>0.26409362282297971</c:v>
                </c:pt>
                <c:pt idx="3">
                  <c:v>0.44651282282297972</c:v>
                </c:pt>
                <c:pt idx="4">
                  <c:v>0.60454102282297972</c:v>
                </c:pt>
                <c:pt idx="5">
                  <c:v>0.74847322282297979</c:v>
                </c:pt>
                <c:pt idx="6">
                  <c:v>0.90662278542408148</c:v>
                </c:pt>
                <c:pt idx="7">
                  <c:v>0.77341658542408154</c:v>
                </c:pt>
                <c:pt idx="8">
                  <c:v>0.81082018542408152</c:v>
                </c:pt>
                <c:pt idx="9">
                  <c:v>0.84151378542408151</c:v>
                </c:pt>
                <c:pt idx="10">
                  <c:v>0.57281978542408152</c:v>
                </c:pt>
                <c:pt idx="11">
                  <c:v>1.0728313854240814</c:v>
                </c:pt>
                <c:pt idx="12">
                  <c:v>0.96271758542408137</c:v>
                </c:pt>
                <c:pt idx="13">
                  <c:v>0.87154765775555609</c:v>
                </c:pt>
                <c:pt idx="14">
                  <c:v>1.096374257755556</c:v>
                </c:pt>
                <c:pt idx="15">
                  <c:v>1.162843857755556</c:v>
                </c:pt>
                <c:pt idx="16">
                  <c:v>1.0005076325653106</c:v>
                </c:pt>
                <c:pt idx="17">
                  <c:v>0.89966183256531063</c:v>
                </c:pt>
                <c:pt idx="18">
                  <c:v>0.93189683256531064</c:v>
                </c:pt>
                <c:pt idx="19">
                  <c:v>0.79560863256531067</c:v>
                </c:pt>
                <c:pt idx="20">
                  <c:v>0.88669363256531064</c:v>
                </c:pt>
                <c:pt idx="21">
                  <c:v>0.73385973318835351</c:v>
                </c:pt>
                <c:pt idx="22">
                  <c:v>0.72900173318835348</c:v>
                </c:pt>
                <c:pt idx="23">
                  <c:v>0.75816013318835351</c:v>
                </c:pt>
                <c:pt idx="24">
                  <c:v>0.82512413318835354</c:v>
                </c:pt>
                <c:pt idx="25">
                  <c:v>0.76470113318835353</c:v>
                </c:pt>
                <c:pt idx="26">
                  <c:v>0.66839293318835358</c:v>
                </c:pt>
                <c:pt idx="27">
                  <c:v>0.79823553318835361</c:v>
                </c:pt>
                <c:pt idx="28">
                  <c:v>0.62295401862514221</c:v>
                </c:pt>
                <c:pt idx="29">
                  <c:v>0.6164864186251422</c:v>
                </c:pt>
                <c:pt idx="30">
                  <c:v>0.61024681862514218</c:v>
                </c:pt>
                <c:pt idx="31">
                  <c:v>0.58243781862514221</c:v>
                </c:pt>
                <c:pt idx="32">
                  <c:v>0.69877501862514224</c:v>
                </c:pt>
                <c:pt idx="33">
                  <c:v>0.71601561862514218</c:v>
                </c:pt>
                <c:pt idx="34">
                  <c:v>0.78298421862514223</c:v>
                </c:pt>
                <c:pt idx="35">
                  <c:v>0.85587767066211917</c:v>
                </c:pt>
                <c:pt idx="36">
                  <c:v>0.88861627066211912</c:v>
                </c:pt>
                <c:pt idx="37">
                  <c:v>0.96408646418111743</c:v>
                </c:pt>
                <c:pt idx="38">
                  <c:v>1.0321724641811174</c:v>
                </c:pt>
                <c:pt idx="39">
                  <c:v>0.90044200292572962</c:v>
                </c:pt>
                <c:pt idx="40">
                  <c:v>0.82754340292572959</c:v>
                </c:pt>
                <c:pt idx="41">
                  <c:v>0.84083260292572959</c:v>
                </c:pt>
                <c:pt idx="42">
                  <c:v>0.72873679324291263</c:v>
                </c:pt>
                <c:pt idx="43">
                  <c:v>0.73459556700311834</c:v>
                </c:pt>
                <c:pt idx="44">
                  <c:v>0.80749538514403763</c:v>
                </c:pt>
                <c:pt idx="45">
                  <c:v>0.75286967136155947</c:v>
                </c:pt>
                <c:pt idx="46">
                  <c:v>0.75973493954071047</c:v>
                </c:pt>
                <c:pt idx="47">
                  <c:v>0.87046748753941205</c:v>
                </c:pt>
                <c:pt idx="48">
                  <c:v>0.90914218598232144</c:v>
                </c:pt>
                <c:pt idx="49">
                  <c:v>0.69533975480523269</c:v>
                </c:pt>
                <c:pt idx="50">
                  <c:v>0.64129462079492594</c:v>
                </c:pt>
                <c:pt idx="51">
                  <c:v>0.80895004417149519</c:v>
                </c:pt>
                <c:pt idx="52">
                  <c:v>0.87955561184923536</c:v>
                </c:pt>
                <c:pt idx="53">
                  <c:v>0.82612579862763802</c:v>
                </c:pt>
                <c:pt idx="54">
                  <c:v>0.82017900148837763</c:v>
                </c:pt>
                <c:pt idx="55">
                  <c:v>0.82586758381970637</c:v>
                </c:pt>
                <c:pt idx="56">
                  <c:v>0.84836242428043518</c:v>
                </c:pt>
                <c:pt idx="57">
                  <c:v>0.77675597716632416</c:v>
                </c:pt>
                <c:pt idx="58">
                  <c:v>0.90850124425149903</c:v>
                </c:pt>
                <c:pt idx="59">
                  <c:v>0.93013075608468565</c:v>
                </c:pt>
                <c:pt idx="60">
                  <c:v>0.87089758824185837</c:v>
                </c:pt>
                <c:pt idx="61">
                  <c:v>0.95718981941831305</c:v>
                </c:pt>
                <c:pt idx="62">
                  <c:v>1.0941074807467515</c:v>
                </c:pt>
                <c:pt idx="63">
                  <c:v>1.1784471215241157</c:v>
                </c:pt>
                <c:pt idx="64">
                  <c:v>1.1399854040081365</c:v>
                </c:pt>
                <c:pt idx="65">
                  <c:v>1.2003929247710916</c:v>
                </c:pt>
                <c:pt idx="66">
                  <c:v>1.2158446317319347</c:v>
                </c:pt>
                <c:pt idx="67">
                  <c:v>1.2240447143071502</c:v>
                </c:pt>
                <c:pt idx="68">
                  <c:v>1.2219220307184853</c:v>
                </c:pt>
                <c:pt idx="69">
                  <c:v>1.3697250638971326</c:v>
                </c:pt>
                <c:pt idx="70">
                  <c:v>1.4684800132648392</c:v>
                </c:pt>
                <c:pt idx="71">
                  <c:v>1.5843983448279113</c:v>
                </c:pt>
                <c:pt idx="72">
                  <c:v>1.4488950930154352</c:v>
                </c:pt>
                <c:pt idx="73">
                  <c:v>1.4795887296986794</c:v>
                </c:pt>
                <c:pt idx="74">
                  <c:v>1.374354763329376</c:v>
                </c:pt>
                <c:pt idx="75">
                  <c:v>1.4646261675896597</c:v>
                </c:pt>
                <c:pt idx="76">
                  <c:v>1.4626323454487098</c:v>
                </c:pt>
                <c:pt idx="77">
                  <c:v>1.4243803954377818</c:v>
                </c:pt>
                <c:pt idx="78">
                  <c:v>1.4244750908886135</c:v>
                </c:pt>
                <c:pt idx="79">
                  <c:v>1.6055025883792107</c:v>
                </c:pt>
                <c:pt idx="80">
                  <c:v>1.3615387929094775</c:v>
                </c:pt>
                <c:pt idx="81">
                  <c:v>1.4424967301081542</c:v>
                </c:pt>
                <c:pt idx="82">
                  <c:v>1.3434438415780654</c:v>
                </c:pt>
                <c:pt idx="83">
                  <c:v>1.4153078671752037</c:v>
                </c:pt>
                <c:pt idx="84">
                  <c:v>1.3849131934061218</c:v>
                </c:pt>
                <c:pt idx="85">
                  <c:v>1.2614728735187708</c:v>
                </c:pt>
                <c:pt idx="86">
                  <c:v>1.3524512702688773</c:v>
                </c:pt>
                <c:pt idx="87">
                  <c:v>1.2602663360797484</c:v>
                </c:pt>
                <c:pt idx="88">
                  <c:v>1.449317501250369</c:v>
                </c:pt>
                <c:pt idx="89">
                  <c:v>1.4714769126208536</c:v>
                </c:pt>
                <c:pt idx="90">
                  <c:v>1.0555055774518411</c:v>
                </c:pt>
                <c:pt idx="91">
                  <c:v>1.2475367825608685</c:v>
                </c:pt>
                <c:pt idx="92">
                  <c:v>1.2536481404899307</c:v>
                </c:pt>
                <c:pt idx="93">
                  <c:v>1.3267643849957811</c:v>
                </c:pt>
                <c:pt idx="94">
                  <c:v>1.4151286620080425</c:v>
                </c:pt>
                <c:pt idx="95">
                  <c:v>1.5056026994223088</c:v>
                </c:pt>
                <c:pt idx="96">
                  <c:v>1.4015018016298826</c:v>
                </c:pt>
                <c:pt idx="97">
                  <c:v>1.4940128773253087</c:v>
                </c:pt>
                <c:pt idx="98">
                  <c:v>1.5039659402465915</c:v>
                </c:pt>
                <c:pt idx="99">
                  <c:v>1.594264491114356</c:v>
                </c:pt>
                <c:pt idx="100">
                  <c:v>1.5817847584460591</c:v>
                </c:pt>
                <c:pt idx="101">
                  <c:v>1.7369464035952575</c:v>
                </c:pt>
                <c:pt idx="102">
                  <c:v>1.6894745104400799</c:v>
                </c:pt>
                <c:pt idx="103">
                  <c:v>1.6325718006829457</c:v>
                </c:pt>
                <c:pt idx="104">
                  <c:v>1.5854876673751825</c:v>
                </c:pt>
                <c:pt idx="105">
                  <c:v>1.43737885303636</c:v>
                </c:pt>
                <c:pt idx="106">
                  <c:v>1.4106289891154316</c:v>
                </c:pt>
                <c:pt idx="107">
                  <c:v>1.4114881106478521</c:v>
                </c:pt>
                <c:pt idx="108">
                  <c:v>1.4072859000274813</c:v>
                </c:pt>
                <c:pt idx="109">
                  <c:v>1.3963104882849542</c:v>
                </c:pt>
                <c:pt idx="110">
                  <c:v>1.3885529202709617</c:v>
                </c:pt>
                <c:pt idx="111">
                  <c:v>1.3490929740020738</c:v>
                </c:pt>
                <c:pt idx="112">
                  <c:v>1.4340469554481288</c:v>
                </c:pt>
                <c:pt idx="113">
                  <c:v>1.5098735916266712</c:v>
                </c:pt>
                <c:pt idx="114">
                  <c:v>1.5191572419061083</c:v>
                </c:pt>
                <c:pt idx="115">
                  <c:v>1.5771764485603075</c:v>
                </c:pt>
                <c:pt idx="116">
                  <c:v>1.6429922503982779</c:v>
                </c:pt>
                <c:pt idx="117">
                  <c:v>1.6528227817891652</c:v>
                </c:pt>
                <c:pt idx="118">
                  <c:v>1.4614932433328818</c:v>
                </c:pt>
                <c:pt idx="119">
                  <c:v>1.5400059033611724</c:v>
                </c:pt>
                <c:pt idx="120">
                  <c:v>1.3339248057828177</c:v>
                </c:pt>
                <c:pt idx="121">
                  <c:v>1.2066501038952646</c:v>
                </c:pt>
                <c:pt idx="122">
                  <c:v>1.0345809966893953</c:v>
                </c:pt>
                <c:pt idx="123">
                  <c:v>1.163926468528254</c:v>
                </c:pt>
                <c:pt idx="124">
                  <c:v>1.2329866724862937</c:v>
                </c:pt>
                <c:pt idx="125">
                  <c:v>1.0791203428799789</c:v>
                </c:pt>
                <c:pt idx="126">
                  <c:v>1.1327389522316278</c:v>
                </c:pt>
                <c:pt idx="127">
                  <c:v>1.0482643739219357</c:v>
                </c:pt>
                <c:pt idx="128">
                  <c:v>1.0620731001232937</c:v>
                </c:pt>
                <c:pt idx="129">
                  <c:v>1.089462257977281</c:v>
                </c:pt>
                <c:pt idx="130">
                  <c:v>1.1235118393912229</c:v>
                </c:pt>
                <c:pt idx="131">
                  <c:v>0.94659297832421263</c:v>
                </c:pt>
                <c:pt idx="132">
                  <c:v>0.94896020925159452</c:v>
                </c:pt>
                <c:pt idx="133">
                  <c:v>0.96924162586750173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9F-4C83-BA5F-FE17E3B6C64B}"/>
            </c:ext>
          </c:extLst>
        </c:ser>
        <c:ser>
          <c:idx val="9"/>
          <c:order val="9"/>
          <c:tx>
            <c:strRef>
              <c:f>累積畫圖!$B$21</c:f>
              <c:strCache>
                <c:ptCount val="1"/>
                <c:pt idx="0">
                  <c:v>241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累積畫圖!$C$21:$EF$21</c:f>
              <c:numCache>
                <c:formatCode>General</c:formatCode>
                <c:ptCount val="134"/>
                <c:pt idx="0">
                  <c:v>-0.19764916434148611</c:v>
                </c:pt>
                <c:pt idx="1">
                  <c:v>-7.1260164341486104E-2</c:v>
                </c:pt>
                <c:pt idx="2">
                  <c:v>-7.1539516612277948E-2</c:v>
                </c:pt>
                <c:pt idx="3">
                  <c:v>0.13187348338772206</c:v>
                </c:pt>
                <c:pt idx="4">
                  <c:v>0.27720548338772205</c:v>
                </c:pt>
                <c:pt idx="5">
                  <c:v>0.43936948338772208</c:v>
                </c:pt>
                <c:pt idx="6">
                  <c:v>0.58662509151519504</c:v>
                </c:pt>
                <c:pt idx="7">
                  <c:v>0.44988359151519508</c:v>
                </c:pt>
                <c:pt idx="8">
                  <c:v>0.45135359151519505</c:v>
                </c:pt>
                <c:pt idx="9">
                  <c:v>0.44632259151519504</c:v>
                </c:pt>
                <c:pt idx="10">
                  <c:v>0.24643759151519504</c:v>
                </c:pt>
                <c:pt idx="11">
                  <c:v>0.83132809151519504</c:v>
                </c:pt>
                <c:pt idx="12">
                  <c:v>0.69205084151519503</c:v>
                </c:pt>
                <c:pt idx="13">
                  <c:v>0.54727824062551012</c:v>
                </c:pt>
                <c:pt idx="14">
                  <c:v>0.82136399062551013</c:v>
                </c:pt>
                <c:pt idx="15">
                  <c:v>0.90626924062551018</c:v>
                </c:pt>
                <c:pt idx="16">
                  <c:v>0.77767895517555319</c:v>
                </c:pt>
                <c:pt idx="17">
                  <c:v>0.64655895517555317</c:v>
                </c:pt>
                <c:pt idx="18">
                  <c:v>0.63673220517555318</c:v>
                </c:pt>
                <c:pt idx="19">
                  <c:v>0.50498195517555322</c:v>
                </c:pt>
                <c:pt idx="20">
                  <c:v>0.62948070517555321</c:v>
                </c:pt>
                <c:pt idx="21">
                  <c:v>0.43214352659190652</c:v>
                </c:pt>
                <c:pt idx="22">
                  <c:v>0.42199602659190655</c:v>
                </c:pt>
                <c:pt idx="23">
                  <c:v>0.46145502659190657</c:v>
                </c:pt>
                <c:pt idx="24">
                  <c:v>0.48949052659190656</c:v>
                </c:pt>
                <c:pt idx="25">
                  <c:v>0.42420352659190658</c:v>
                </c:pt>
                <c:pt idx="26">
                  <c:v>0.26466227659190655</c:v>
                </c:pt>
                <c:pt idx="27">
                  <c:v>0.39348677659190656</c:v>
                </c:pt>
                <c:pt idx="28">
                  <c:v>0.15303066609871988</c:v>
                </c:pt>
                <c:pt idx="29">
                  <c:v>0.11946516609871988</c:v>
                </c:pt>
                <c:pt idx="30">
                  <c:v>0.10889716609871988</c:v>
                </c:pt>
                <c:pt idx="31">
                  <c:v>6.5487916098719873E-2</c:v>
                </c:pt>
                <c:pt idx="32">
                  <c:v>0.16761216609871987</c:v>
                </c:pt>
                <c:pt idx="33">
                  <c:v>0.17279566609871988</c:v>
                </c:pt>
                <c:pt idx="34">
                  <c:v>0.27778616609871987</c:v>
                </c:pt>
                <c:pt idx="35">
                  <c:v>0.34316598883183047</c:v>
                </c:pt>
                <c:pt idx="36">
                  <c:v>0.37987673883183048</c:v>
                </c:pt>
                <c:pt idx="37">
                  <c:v>0.49183279489492482</c:v>
                </c:pt>
                <c:pt idx="38">
                  <c:v>0.5868185448949248</c:v>
                </c:pt>
                <c:pt idx="39">
                  <c:v>0.5244279911959886</c:v>
                </c:pt>
                <c:pt idx="40">
                  <c:v>0.45722974119598858</c:v>
                </c:pt>
                <c:pt idx="41">
                  <c:v>0.40924149119598857</c:v>
                </c:pt>
                <c:pt idx="42">
                  <c:v>0.34478562254935918</c:v>
                </c:pt>
                <c:pt idx="43">
                  <c:v>0.34229271127220412</c:v>
                </c:pt>
                <c:pt idx="44">
                  <c:v>0.39010234278116113</c:v>
                </c:pt>
                <c:pt idx="45">
                  <c:v>0.33458156271902739</c:v>
                </c:pt>
                <c:pt idx="46">
                  <c:v>0.34437259267312481</c:v>
                </c:pt>
                <c:pt idx="47">
                  <c:v>0.48752028014288151</c:v>
                </c:pt>
                <c:pt idx="48">
                  <c:v>0.53454157112091949</c:v>
                </c:pt>
                <c:pt idx="49">
                  <c:v>0.27963030122378307</c:v>
                </c:pt>
                <c:pt idx="50">
                  <c:v>0.20859811957569724</c:v>
                </c:pt>
                <c:pt idx="51">
                  <c:v>0.43419378840061096</c:v>
                </c:pt>
                <c:pt idx="52">
                  <c:v>0.47251493612580486</c:v>
                </c:pt>
                <c:pt idx="53">
                  <c:v>0.45076407275517694</c:v>
                </c:pt>
                <c:pt idx="54">
                  <c:v>0.45711460615257843</c:v>
                </c:pt>
                <c:pt idx="55">
                  <c:v>0.4606917063330131</c:v>
                </c:pt>
                <c:pt idx="56">
                  <c:v>0.51071224676948224</c:v>
                </c:pt>
                <c:pt idx="57">
                  <c:v>0.43439088363072692</c:v>
                </c:pt>
                <c:pt idx="58">
                  <c:v>0.60036047980911866</c:v>
                </c:pt>
                <c:pt idx="59">
                  <c:v>0.62393950599083636</c:v>
                </c:pt>
                <c:pt idx="60">
                  <c:v>0.55548962561130155</c:v>
                </c:pt>
                <c:pt idx="61">
                  <c:v>0.69821071825765135</c:v>
                </c:pt>
                <c:pt idx="62">
                  <c:v>0.85333072217875117</c:v>
                </c:pt>
                <c:pt idx="63">
                  <c:v>0.91697867017099921</c:v>
                </c:pt>
                <c:pt idx="64">
                  <c:v>0.90631027861780933</c:v>
                </c:pt>
                <c:pt idx="65">
                  <c:v>1.0108194080372237</c:v>
                </c:pt>
                <c:pt idx="66">
                  <c:v>1.0653616388717286</c:v>
                </c:pt>
                <c:pt idx="67">
                  <c:v>1.079324896011344</c:v>
                </c:pt>
                <c:pt idx="68">
                  <c:v>1.0542450416008471</c:v>
                </c:pt>
                <c:pt idx="69">
                  <c:v>1.1864897355752899</c:v>
                </c:pt>
                <c:pt idx="70">
                  <c:v>1.3073106749254788</c:v>
                </c:pt>
                <c:pt idx="71">
                  <c:v>1.4494536751109321</c:v>
                </c:pt>
                <c:pt idx="72">
                  <c:v>1.3027744781752011</c:v>
                </c:pt>
                <c:pt idx="73">
                  <c:v>1.287366550608888</c:v>
                </c:pt>
                <c:pt idx="74">
                  <c:v>1.2369866993907714</c:v>
                </c:pt>
                <c:pt idx="75">
                  <c:v>1.3351434098306698</c:v>
                </c:pt>
                <c:pt idx="76">
                  <c:v>1.3105873412778823</c:v>
                </c:pt>
                <c:pt idx="77">
                  <c:v>1.1983437304787239</c:v>
                </c:pt>
                <c:pt idx="78">
                  <c:v>1.1516501810097608</c:v>
                </c:pt>
                <c:pt idx="79">
                  <c:v>1.439706245372234</c:v>
                </c:pt>
                <c:pt idx="80">
                  <c:v>1.1341169344957249</c:v>
                </c:pt>
                <c:pt idx="81">
                  <c:v>1.2653826112967972</c:v>
                </c:pt>
                <c:pt idx="82">
                  <c:v>1.1216314221391115</c:v>
                </c:pt>
                <c:pt idx="83">
                  <c:v>1.2017317432153232</c:v>
                </c:pt>
                <c:pt idx="84">
                  <c:v>1.1212321268243408</c:v>
                </c:pt>
                <c:pt idx="85">
                  <c:v>1.0494774648682952</c:v>
                </c:pt>
                <c:pt idx="86">
                  <c:v>1.1765280115984293</c:v>
                </c:pt>
                <c:pt idx="87">
                  <c:v>0.96607563574432087</c:v>
                </c:pt>
                <c:pt idx="88">
                  <c:v>1.1915786241476922</c:v>
                </c:pt>
                <c:pt idx="89">
                  <c:v>1.2221175143514678</c:v>
                </c:pt>
                <c:pt idx="90">
                  <c:v>0.70725226575387512</c:v>
                </c:pt>
                <c:pt idx="91">
                  <c:v>0.92995232663178784</c:v>
                </c:pt>
                <c:pt idx="92">
                  <c:v>0.93324041835687865</c:v>
                </c:pt>
                <c:pt idx="93">
                  <c:v>1.0240646963365583</c:v>
                </c:pt>
                <c:pt idx="94">
                  <c:v>1.09371109248333</c:v>
                </c:pt>
                <c:pt idx="95">
                  <c:v>1.176003965337669</c:v>
                </c:pt>
                <c:pt idx="96">
                  <c:v>1.1133304051681778</c:v>
                </c:pt>
                <c:pt idx="97">
                  <c:v>1.2115560371895648</c:v>
                </c:pt>
                <c:pt idx="98">
                  <c:v>1.2765614544705535</c:v>
                </c:pt>
                <c:pt idx="99">
                  <c:v>1.3786836301279606</c:v>
                </c:pt>
                <c:pt idx="100">
                  <c:v>1.3702017137240461</c:v>
                </c:pt>
                <c:pt idx="101">
                  <c:v>1.6076530845498762</c:v>
                </c:pt>
                <c:pt idx="102">
                  <c:v>1.6088453410066079</c:v>
                </c:pt>
                <c:pt idx="103">
                  <c:v>1.5743819320184427</c:v>
                </c:pt>
                <c:pt idx="104">
                  <c:v>1.5358356613535293</c:v>
                </c:pt>
                <c:pt idx="105">
                  <c:v>1.6571583502221783</c:v>
                </c:pt>
                <c:pt idx="106">
                  <c:v>1.6693964588104973</c:v>
                </c:pt>
                <c:pt idx="107">
                  <c:v>1.677125018082116</c:v>
                </c:pt>
                <c:pt idx="108">
                  <c:v>1.6849713962106494</c:v>
                </c:pt>
                <c:pt idx="109">
                  <c:v>1.699048216423104</c:v>
                </c:pt>
                <c:pt idx="110">
                  <c:v>1.7334556947032835</c:v>
                </c:pt>
                <c:pt idx="111">
                  <c:v>1.6955443815127234</c:v>
                </c:pt>
                <c:pt idx="112">
                  <c:v>1.8350470883316279</c:v>
                </c:pt>
                <c:pt idx="113">
                  <c:v>1.9334120271710045</c:v>
                </c:pt>
                <c:pt idx="114">
                  <c:v>1.9035779075287642</c:v>
                </c:pt>
                <c:pt idx="115">
                  <c:v>1.9655386889755526</c:v>
                </c:pt>
                <c:pt idx="116">
                  <c:v>2.0479844813062322</c:v>
                </c:pt>
                <c:pt idx="117">
                  <c:v>2.0722506363997981</c:v>
                </c:pt>
                <c:pt idx="118">
                  <c:v>1.9444972433011456</c:v>
                </c:pt>
                <c:pt idx="119">
                  <c:v>1.9946681023382262</c:v>
                </c:pt>
                <c:pt idx="120">
                  <c:v>1.7938286285009306</c:v>
                </c:pt>
                <c:pt idx="121">
                  <c:v>1.6232578258154697</c:v>
                </c:pt>
                <c:pt idx="122">
                  <c:v>1.595167531819091</c:v>
                </c:pt>
                <c:pt idx="123">
                  <c:v>1.735443508688969</c:v>
                </c:pt>
                <c:pt idx="124">
                  <c:v>1.8547907260629728</c:v>
                </c:pt>
                <c:pt idx="125">
                  <c:v>1.6688245120317893</c:v>
                </c:pt>
                <c:pt idx="126">
                  <c:v>1.6934205075698052</c:v>
                </c:pt>
                <c:pt idx="127">
                  <c:v>1.6405764410095163</c:v>
                </c:pt>
                <c:pt idx="128">
                  <c:v>1.6143255445282558</c:v>
                </c:pt>
                <c:pt idx="129">
                  <c:v>1.6227336906988417</c:v>
                </c:pt>
                <c:pt idx="130">
                  <c:v>1.6257986592016405</c:v>
                </c:pt>
                <c:pt idx="131">
                  <c:v>1.5712998028534597</c:v>
                </c:pt>
                <c:pt idx="132">
                  <c:v>1.5857286549618776</c:v>
                </c:pt>
                <c:pt idx="133">
                  <c:v>1.5777370521058458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C9F-4C83-BA5F-FE17E3B6C64B}"/>
            </c:ext>
          </c:extLst>
        </c:ser>
        <c:ser>
          <c:idx val="10"/>
          <c:order val="10"/>
          <c:tx>
            <c:strRef>
              <c:f>累積畫圖!$B$22</c:f>
              <c:strCache>
                <c:ptCount val="1"/>
                <c:pt idx="0">
                  <c:v>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累積畫圖!$C$22:$EF$22</c:f>
              <c:numCache>
                <c:formatCode>General</c:formatCode>
                <c:ptCount val="134"/>
                <c:pt idx="0">
                  <c:v>6.4235717628454689E-2</c:v>
                </c:pt>
                <c:pt idx="1">
                  <c:v>0.206665050961788</c:v>
                </c:pt>
                <c:pt idx="2">
                  <c:v>0.16563751896116896</c:v>
                </c:pt>
                <c:pt idx="3">
                  <c:v>2.5769518961168969E-2</c:v>
                </c:pt>
                <c:pt idx="4">
                  <c:v>0.25871485229450236</c:v>
                </c:pt>
                <c:pt idx="5">
                  <c:v>0.38289285229450237</c:v>
                </c:pt>
                <c:pt idx="6">
                  <c:v>0.50638602163257218</c:v>
                </c:pt>
                <c:pt idx="7">
                  <c:v>0.40213402163257217</c:v>
                </c:pt>
                <c:pt idx="8">
                  <c:v>0.43079068829923883</c:v>
                </c:pt>
                <c:pt idx="9">
                  <c:v>0.44506268829923884</c:v>
                </c:pt>
                <c:pt idx="10">
                  <c:v>0.26039935496590555</c:v>
                </c:pt>
                <c:pt idx="11">
                  <c:v>1.0165416882992389</c:v>
                </c:pt>
                <c:pt idx="12">
                  <c:v>0.95009935496590558</c:v>
                </c:pt>
                <c:pt idx="13">
                  <c:v>0.87731647083708864</c:v>
                </c:pt>
                <c:pt idx="14">
                  <c:v>1.0045911375037553</c:v>
                </c:pt>
                <c:pt idx="15">
                  <c:v>1.0712888041704218</c:v>
                </c:pt>
                <c:pt idx="16">
                  <c:v>0.90164224861248121</c:v>
                </c:pt>
                <c:pt idx="17">
                  <c:v>0.79679424861248127</c:v>
                </c:pt>
                <c:pt idx="18">
                  <c:v>0.84927858194581463</c:v>
                </c:pt>
                <c:pt idx="19">
                  <c:v>0.67365491527914789</c:v>
                </c:pt>
                <c:pt idx="20">
                  <c:v>0.83170291527914786</c:v>
                </c:pt>
                <c:pt idx="21">
                  <c:v>0.61680286754958291</c:v>
                </c:pt>
                <c:pt idx="22">
                  <c:v>0.54694553421624958</c:v>
                </c:pt>
                <c:pt idx="23">
                  <c:v>0.57081353421624959</c:v>
                </c:pt>
                <c:pt idx="24">
                  <c:v>0.68893620088291629</c:v>
                </c:pt>
                <c:pt idx="25">
                  <c:v>0.65066286754958291</c:v>
                </c:pt>
                <c:pt idx="26">
                  <c:v>0.47345153421624964</c:v>
                </c:pt>
                <c:pt idx="27">
                  <c:v>0.48702286754958296</c:v>
                </c:pt>
                <c:pt idx="28">
                  <c:v>0.22433714619743944</c:v>
                </c:pt>
                <c:pt idx="29">
                  <c:v>0.13793381286410611</c:v>
                </c:pt>
                <c:pt idx="30">
                  <c:v>9.1963479530772774E-2</c:v>
                </c:pt>
                <c:pt idx="31">
                  <c:v>9.2450146197439437E-2</c:v>
                </c:pt>
                <c:pt idx="32">
                  <c:v>0.20345481286410613</c:v>
                </c:pt>
                <c:pt idx="33">
                  <c:v>0.21653614619743947</c:v>
                </c:pt>
                <c:pt idx="34">
                  <c:v>0.1482694795307728</c:v>
                </c:pt>
                <c:pt idx="35">
                  <c:v>0.18861044633767321</c:v>
                </c:pt>
                <c:pt idx="36">
                  <c:v>0.23008377967100654</c:v>
                </c:pt>
                <c:pt idx="37">
                  <c:v>0.34121658933456583</c:v>
                </c:pt>
                <c:pt idx="38">
                  <c:v>0.53188958933456587</c:v>
                </c:pt>
                <c:pt idx="39">
                  <c:v>0.46935323544657315</c:v>
                </c:pt>
                <c:pt idx="40">
                  <c:v>0.35922390211323985</c:v>
                </c:pt>
                <c:pt idx="41">
                  <c:v>0.29129923544657321</c:v>
                </c:pt>
                <c:pt idx="42">
                  <c:v>0.20848879654802327</c:v>
                </c:pt>
                <c:pt idx="43">
                  <c:v>0.21506918689704282</c:v>
                </c:pt>
                <c:pt idx="44">
                  <c:v>0.26821197859742107</c:v>
                </c:pt>
                <c:pt idx="45">
                  <c:v>0.20839880192154112</c:v>
                </c:pt>
                <c:pt idx="46">
                  <c:v>0.17824941271453218</c:v>
                </c:pt>
                <c:pt idx="47">
                  <c:v>0.35201281269455642</c:v>
                </c:pt>
                <c:pt idx="48">
                  <c:v>0.42374619802878699</c:v>
                </c:pt>
                <c:pt idx="49">
                  <c:v>0.26884241970763489</c:v>
                </c:pt>
                <c:pt idx="50">
                  <c:v>0.22324399454017294</c:v>
                </c:pt>
                <c:pt idx="51">
                  <c:v>0.52517393908059595</c:v>
                </c:pt>
                <c:pt idx="52">
                  <c:v>0.39433700095764079</c:v>
                </c:pt>
                <c:pt idx="53">
                  <c:v>0.407284390800213</c:v>
                </c:pt>
                <c:pt idx="54">
                  <c:v>0.42950057419469345</c:v>
                </c:pt>
                <c:pt idx="55">
                  <c:v>0.44313939153301307</c:v>
                </c:pt>
                <c:pt idx="56">
                  <c:v>0.48941890370139912</c:v>
                </c:pt>
                <c:pt idx="57">
                  <c:v>0.36145836136326726</c:v>
                </c:pt>
                <c:pt idx="58">
                  <c:v>0.47254708077317426</c:v>
                </c:pt>
                <c:pt idx="59">
                  <c:v>0.52754349592389516</c:v>
                </c:pt>
                <c:pt idx="60">
                  <c:v>0.48570385999023002</c:v>
                </c:pt>
                <c:pt idx="61">
                  <c:v>0.64748419906126531</c:v>
                </c:pt>
                <c:pt idx="62">
                  <c:v>0.75308867601897678</c:v>
                </c:pt>
                <c:pt idx="63">
                  <c:v>0.73776112399593452</c:v>
                </c:pt>
                <c:pt idx="64">
                  <c:v>0.64074822847232871</c:v>
                </c:pt>
                <c:pt idx="65">
                  <c:v>0.71558377862743505</c:v>
                </c:pt>
                <c:pt idx="66">
                  <c:v>0.7434138760257476</c:v>
                </c:pt>
                <c:pt idx="67">
                  <c:v>0.76422748549220054</c:v>
                </c:pt>
                <c:pt idx="68">
                  <c:v>0.74785470311540136</c:v>
                </c:pt>
                <c:pt idx="69">
                  <c:v>0.8783854064519474</c:v>
                </c:pt>
                <c:pt idx="70">
                  <c:v>1.0913341725899577</c:v>
                </c:pt>
                <c:pt idx="71">
                  <c:v>1.2498781449875667</c:v>
                </c:pt>
                <c:pt idx="72">
                  <c:v>1.0752096470599595</c:v>
                </c:pt>
                <c:pt idx="73">
                  <c:v>1.1118470927519319</c:v>
                </c:pt>
                <c:pt idx="74">
                  <c:v>1.1071003063491973</c:v>
                </c:pt>
                <c:pt idx="75">
                  <c:v>1.1543580422120896</c:v>
                </c:pt>
                <c:pt idx="76">
                  <c:v>1.126867963731766</c:v>
                </c:pt>
                <c:pt idx="77">
                  <c:v>0.97787468548583945</c:v>
                </c:pt>
                <c:pt idx="78">
                  <c:v>0.96288898204768303</c:v>
                </c:pt>
                <c:pt idx="79">
                  <c:v>1.2967670187604059</c:v>
                </c:pt>
                <c:pt idx="80">
                  <c:v>0.90337967965612775</c:v>
                </c:pt>
                <c:pt idx="81">
                  <c:v>1.0921794654164052</c:v>
                </c:pt>
                <c:pt idx="82">
                  <c:v>0.88891637321381811</c:v>
                </c:pt>
                <c:pt idx="83">
                  <c:v>1.0048351444932664</c:v>
                </c:pt>
                <c:pt idx="84">
                  <c:v>0.8870553982149072</c:v>
                </c:pt>
                <c:pt idx="85">
                  <c:v>0.78367589312534447</c:v>
                </c:pt>
                <c:pt idx="86">
                  <c:v>0.81983923573002682</c:v>
                </c:pt>
                <c:pt idx="87">
                  <c:v>0.57918743710498599</c:v>
                </c:pt>
                <c:pt idx="88">
                  <c:v>0.8809476950144679</c:v>
                </c:pt>
                <c:pt idx="89">
                  <c:v>0.87240092319356055</c:v>
                </c:pt>
                <c:pt idx="90">
                  <c:v>0.2224444549444049</c:v>
                </c:pt>
                <c:pt idx="91">
                  <c:v>0.48185301191380742</c:v>
                </c:pt>
                <c:pt idx="92">
                  <c:v>0.46951923258814282</c:v>
                </c:pt>
                <c:pt idx="93">
                  <c:v>0.63136965388953481</c:v>
                </c:pt>
                <c:pt idx="94">
                  <c:v>0.61616747036811204</c:v>
                </c:pt>
                <c:pt idx="95">
                  <c:v>0.67439999172409737</c:v>
                </c:pt>
                <c:pt idx="96">
                  <c:v>0.56355857208223159</c:v>
                </c:pt>
                <c:pt idx="97">
                  <c:v>0.67579226728928576</c:v>
                </c:pt>
                <c:pt idx="98">
                  <c:v>0.71224352061545093</c:v>
                </c:pt>
                <c:pt idx="99">
                  <c:v>0.71599311388329989</c:v>
                </c:pt>
                <c:pt idx="100">
                  <c:v>0.70800428810979077</c:v>
                </c:pt>
                <c:pt idx="101">
                  <c:v>0.97092477270902988</c:v>
                </c:pt>
                <c:pt idx="102">
                  <c:v>0.96693301882710581</c:v>
                </c:pt>
                <c:pt idx="103">
                  <c:v>0.9366696601074872</c:v>
                </c:pt>
                <c:pt idx="104">
                  <c:v>0.89717533015759032</c:v>
                </c:pt>
                <c:pt idx="105">
                  <c:v>1.0450694327303938</c:v>
                </c:pt>
                <c:pt idx="106">
                  <c:v>1.0395776747484435</c:v>
                </c:pt>
                <c:pt idx="107">
                  <c:v>1.0566094500219967</c:v>
                </c:pt>
                <c:pt idx="108">
                  <c:v>1.0885944931028844</c:v>
                </c:pt>
                <c:pt idx="109">
                  <c:v>1.1025398392863883</c:v>
                </c:pt>
                <c:pt idx="110">
                  <c:v>1.1661008385486378</c:v>
                </c:pt>
                <c:pt idx="111">
                  <c:v>1.115854832715542</c:v>
                </c:pt>
                <c:pt idx="112">
                  <c:v>1.2949895465383821</c:v>
                </c:pt>
                <c:pt idx="113">
                  <c:v>1.4199311942757651</c:v>
                </c:pt>
                <c:pt idx="114">
                  <c:v>1.3564651432377315</c:v>
                </c:pt>
                <c:pt idx="115">
                  <c:v>1.4032284714417389</c:v>
                </c:pt>
                <c:pt idx="116">
                  <c:v>1.5266659727533771</c:v>
                </c:pt>
                <c:pt idx="117">
                  <c:v>1.5288382960924074</c:v>
                </c:pt>
                <c:pt idx="118">
                  <c:v>1.3978072922729674</c:v>
                </c:pt>
                <c:pt idx="119">
                  <c:v>1.3917147396576495</c:v>
                </c:pt>
                <c:pt idx="120">
                  <c:v>1.1946638180952902</c:v>
                </c:pt>
                <c:pt idx="121">
                  <c:v>1.1682874618590895</c:v>
                </c:pt>
                <c:pt idx="122">
                  <c:v>1.1107920710222505</c:v>
                </c:pt>
                <c:pt idx="123">
                  <c:v>1.2364971887004286</c:v>
                </c:pt>
                <c:pt idx="124">
                  <c:v>1.346000255341993</c:v>
                </c:pt>
                <c:pt idx="125">
                  <c:v>1.1235576468936983</c:v>
                </c:pt>
                <c:pt idx="126">
                  <c:v>1.1154105302681583</c:v>
                </c:pt>
                <c:pt idx="127">
                  <c:v>1.0116625493226006</c:v>
                </c:pt>
                <c:pt idx="128">
                  <c:v>0.94111390048324184</c:v>
                </c:pt>
                <c:pt idx="129">
                  <c:v>0.86051717294792385</c:v>
                </c:pt>
                <c:pt idx="130">
                  <c:v>0.88201227452356201</c:v>
                </c:pt>
                <c:pt idx="131">
                  <c:v>0.80459870746595452</c:v>
                </c:pt>
                <c:pt idx="132">
                  <c:v>0.83804501127816788</c:v>
                </c:pt>
                <c:pt idx="133">
                  <c:v>0.80325476490599557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C9F-4C83-BA5F-FE17E3B6C64B}"/>
            </c:ext>
          </c:extLst>
        </c:ser>
        <c:ser>
          <c:idx val="11"/>
          <c:order val="11"/>
          <c:tx>
            <c:strRef>
              <c:f>累積畫圖!$B$23</c:f>
              <c:strCache>
                <c:ptCount val="1"/>
                <c:pt idx="0">
                  <c:v>482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累積畫圖!$C$23:$EF$23</c:f>
              <c:numCache>
                <c:formatCode>General</c:formatCode>
                <c:ptCount val="134"/>
                <c:pt idx="0">
                  <c:v>-3.4987009286289193E-2</c:v>
                </c:pt>
                <c:pt idx="1">
                  <c:v>0.21910699071371079</c:v>
                </c:pt>
                <c:pt idx="2">
                  <c:v>0.13816581814303858</c:v>
                </c:pt>
                <c:pt idx="3">
                  <c:v>0.13442381814303858</c:v>
                </c:pt>
                <c:pt idx="4">
                  <c:v>0.49605581814303856</c:v>
                </c:pt>
                <c:pt idx="5">
                  <c:v>0.47786731814303857</c:v>
                </c:pt>
                <c:pt idx="6">
                  <c:v>0.62601934674333259</c:v>
                </c:pt>
                <c:pt idx="7">
                  <c:v>0.51114384674333257</c:v>
                </c:pt>
                <c:pt idx="8">
                  <c:v>0.45122534674333259</c:v>
                </c:pt>
                <c:pt idx="9">
                  <c:v>0.5019963467433326</c:v>
                </c:pt>
                <c:pt idx="10">
                  <c:v>0.35470684674333264</c:v>
                </c:pt>
                <c:pt idx="11">
                  <c:v>1.3306078467433327</c:v>
                </c:pt>
                <c:pt idx="12">
                  <c:v>1.2077078467433326</c:v>
                </c:pt>
                <c:pt idx="13">
                  <c:v>1.1173061355612073</c:v>
                </c:pt>
                <c:pt idx="14">
                  <c:v>1.4084836355612071</c:v>
                </c:pt>
                <c:pt idx="15">
                  <c:v>1.4713036355612072</c:v>
                </c:pt>
                <c:pt idx="16">
                  <c:v>1.3575791027339452</c:v>
                </c:pt>
                <c:pt idx="17">
                  <c:v>1.2729021027339451</c:v>
                </c:pt>
                <c:pt idx="18">
                  <c:v>1.332138602733945</c:v>
                </c:pt>
                <c:pt idx="19">
                  <c:v>1.099663102733945</c:v>
                </c:pt>
                <c:pt idx="20">
                  <c:v>1.3592101027339449</c:v>
                </c:pt>
                <c:pt idx="21">
                  <c:v>1.0951244077706477</c:v>
                </c:pt>
                <c:pt idx="22">
                  <c:v>1.0271699077706478</c:v>
                </c:pt>
                <c:pt idx="23">
                  <c:v>1.0682219077706478</c:v>
                </c:pt>
                <c:pt idx="24">
                  <c:v>1.2198739077706477</c:v>
                </c:pt>
                <c:pt idx="25">
                  <c:v>1.1721259077706478</c:v>
                </c:pt>
                <c:pt idx="26">
                  <c:v>0.93811740777064778</c:v>
                </c:pt>
                <c:pt idx="27">
                  <c:v>1.0097444077706479</c:v>
                </c:pt>
                <c:pt idx="28">
                  <c:v>0.64776902851709406</c:v>
                </c:pt>
                <c:pt idx="29">
                  <c:v>0.62246952851709403</c:v>
                </c:pt>
                <c:pt idx="30">
                  <c:v>0.62041402851709404</c:v>
                </c:pt>
                <c:pt idx="31">
                  <c:v>0.65769202851709407</c:v>
                </c:pt>
                <c:pt idx="32">
                  <c:v>0.86684402851709408</c:v>
                </c:pt>
                <c:pt idx="33">
                  <c:v>0.8904310285170941</c:v>
                </c:pt>
                <c:pt idx="34">
                  <c:v>0.90899102851709412</c:v>
                </c:pt>
                <c:pt idx="35">
                  <c:v>1.0404227417096297</c:v>
                </c:pt>
                <c:pt idx="36">
                  <c:v>1.1271177417096296</c:v>
                </c:pt>
                <c:pt idx="37">
                  <c:v>1.3694324410669303</c:v>
                </c:pt>
                <c:pt idx="38">
                  <c:v>1.7159169410669302</c:v>
                </c:pt>
                <c:pt idx="39">
                  <c:v>1.7190380404192358</c:v>
                </c:pt>
                <c:pt idx="40">
                  <c:v>1.6196590404192357</c:v>
                </c:pt>
                <c:pt idx="41">
                  <c:v>1.4735230404192357</c:v>
                </c:pt>
                <c:pt idx="42">
                  <c:v>1.4882299284166132</c:v>
                </c:pt>
                <c:pt idx="43">
                  <c:v>1.4468022066029635</c:v>
                </c:pt>
                <c:pt idx="44">
                  <c:v>1.4799477327314678</c:v>
                </c:pt>
                <c:pt idx="45">
                  <c:v>1.4523087385340938</c:v>
                </c:pt>
                <c:pt idx="46">
                  <c:v>1.4002818286956911</c:v>
                </c:pt>
                <c:pt idx="47">
                  <c:v>1.4701199825227351</c:v>
                </c:pt>
                <c:pt idx="48">
                  <c:v>1.6403539633633173</c:v>
                </c:pt>
                <c:pt idx="49">
                  <c:v>1.5766003459622571</c:v>
                </c:pt>
                <c:pt idx="50">
                  <c:v>1.5862471260423578</c:v>
                </c:pt>
                <c:pt idx="51">
                  <c:v>1.5351976419394728</c:v>
                </c:pt>
                <c:pt idx="52">
                  <c:v>1.234369392766407</c:v>
                </c:pt>
                <c:pt idx="53">
                  <c:v>1.3292002741128572</c:v>
                </c:pt>
                <c:pt idx="54">
                  <c:v>1.2577695117155607</c:v>
                </c:pt>
                <c:pt idx="55">
                  <c:v>1.2349225211108745</c:v>
                </c:pt>
                <c:pt idx="56">
                  <c:v>1.3096839923076271</c:v>
                </c:pt>
                <c:pt idx="57">
                  <c:v>1.10620001095234</c:v>
                </c:pt>
                <c:pt idx="58">
                  <c:v>1.2973120902755391</c:v>
                </c:pt>
                <c:pt idx="59">
                  <c:v>1.401315405543466</c:v>
                </c:pt>
                <c:pt idx="60">
                  <c:v>1.40600238325439</c:v>
                </c:pt>
                <c:pt idx="61">
                  <c:v>1.5555366795046295</c:v>
                </c:pt>
                <c:pt idx="62">
                  <c:v>1.7447173662917834</c:v>
                </c:pt>
                <c:pt idx="63">
                  <c:v>1.7377701955329703</c:v>
                </c:pt>
                <c:pt idx="64">
                  <c:v>1.5714600296402799</c:v>
                </c:pt>
                <c:pt idx="65">
                  <c:v>1.6697264288517364</c:v>
                </c:pt>
                <c:pt idx="66">
                  <c:v>1.7193382701397275</c:v>
                </c:pt>
                <c:pt idx="67">
                  <c:v>1.7371825916036903</c:v>
                </c:pt>
                <c:pt idx="68">
                  <c:v>1.6639072029457784</c:v>
                </c:pt>
                <c:pt idx="69">
                  <c:v>1.8075570089717756</c:v>
                </c:pt>
                <c:pt idx="70">
                  <c:v>2.0132447448177215</c:v>
                </c:pt>
                <c:pt idx="71">
                  <c:v>2.1267123131779102</c:v>
                </c:pt>
                <c:pt idx="72">
                  <c:v>1.9245599799022191</c:v>
                </c:pt>
                <c:pt idx="73">
                  <c:v>1.9163468601749658</c:v>
                </c:pt>
                <c:pt idx="74">
                  <c:v>1.9061411674806181</c:v>
                </c:pt>
                <c:pt idx="75">
                  <c:v>1.913810929912463</c:v>
                </c:pt>
                <c:pt idx="76">
                  <c:v>1.8381577301658338</c:v>
                </c:pt>
                <c:pt idx="77">
                  <c:v>1.6205435271733939</c:v>
                </c:pt>
                <c:pt idx="78">
                  <c:v>1.845502154669074</c:v>
                </c:pt>
                <c:pt idx="79">
                  <c:v>2.0371786096838589</c:v>
                </c:pt>
                <c:pt idx="80">
                  <c:v>1.9205540028873975</c:v>
                </c:pt>
                <c:pt idx="81">
                  <c:v>2.0776889126785627</c:v>
                </c:pt>
                <c:pt idx="82">
                  <c:v>1.6844451247548859</c:v>
                </c:pt>
                <c:pt idx="83">
                  <c:v>1.8646415736763142</c:v>
                </c:pt>
                <c:pt idx="84">
                  <c:v>1.5547421565482173</c:v>
                </c:pt>
                <c:pt idx="85">
                  <c:v>1.5348667889978067</c:v>
                </c:pt>
                <c:pt idx="86">
                  <c:v>1.6309837837257684</c:v>
                </c:pt>
                <c:pt idx="87">
                  <c:v>1.22232277105835</c:v>
                </c:pt>
                <c:pt idx="88">
                  <c:v>1.6090557175812594</c:v>
                </c:pt>
                <c:pt idx="89">
                  <c:v>1.5560505392114561</c:v>
                </c:pt>
                <c:pt idx="90">
                  <c:v>0.6471272518458363</c:v>
                </c:pt>
                <c:pt idx="91">
                  <c:v>0.95848799500859294</c:v>
                </c:pt>
                <c:pt idx="92">
                  <c:v>0.94930425050878708</c:v>
                </c:pt>
                <c:pt idx="93">
                  <c:v>1.0880296382654091</c:v>
                </c:pt>
                <c:pt idx="94">
                  <c:v>1.0510554192741306</c:v>
                </c:pt>
                <c:pt idx="95">
                  <c:v>1.0967179609853845</c:v>
                </c:pt>
                <c:pt idx="96">
                  <c:v>1.0756613652720974</c:v>
                </c:pt>
                <c:pt idx="97">
                  <c:v>1.0534162277832917</c:v>
                </c:pt>
                <c:pt idx="98">
                  <c:v>1.1543175595857103</c:v>
                </c:pt>
                <c:pt idx="99">
                  <c:v>1.0656005654891838</c:v>
                </c:pt>
                <c:pt idx="100">
                  <c:v>1.0876470962425624</c:v>
                </c:pt>
                <c:pt idx="101">
                  <c:v>1.2696458900999137</c:v>
                </c:pt>
                <c:pt idx="102">
                  <c:v>1.2386637538740033</c:v>
                </c:pt>
                <c:pt idx="103">
                  <c:v>1.2227085970070068</c:v>
                </c:pt>
                <c:pt idx="104">
                  <c:v>1.3418990830774211</c:v>
                </c:pt>
                <c:pt idx="105">
                  <c:v>1.5518261731703467</c:v>
                </c:pt>
                <c:pt idx="106">
                  <c:v>1.5424309472187017</c:v>
                </c:pt>
                <c:pt idx="107">
                  <c:v>1.6043730742636071</c:v>
                </c:pt>
                <c:pt idx="108">
                  <c:v>1.6426430861383241</c:v>
                </c:pt>
                <c:pt idx="109">
                  <c:v>1.6980565334470665</c:v>
                </c:pt>
                <c:pt idx="110">
                  <c:v>1.7515361303630874</c:v>
                </c:pt>
                <c:pt idx="111">
                  <c:v>1.6644781221907397</c:v>
                </c:pt>
                <c:pt idx="112">
                  <c:v>1.9423113387495827</c:v>
                </c:pt>
                <c:pt idx="113">
                  <c:v>2.1584123982898564</c:v>
                </c:pt>
                <c:pt idx="114">
                  <c:v>2.1389150933704904</c:v>
                </c:pt>
                <c:pt idx="115">
                  <c:v>2.1454122894144607</c:v>
                </c:pt>
                <c:pt idx="116">
                  <c:v>2.3095035931482948</c:v>
                </c:pt>
                <c:pt idx="117">
                  <c:v>2.3565918258040175</c:v>
                </c:pt>
                <c:pt idx="118">
                  <c:v>2.1863808293004796</c:v>
                </c:pt>
                <c:pt idx="119">
                  <c:v>2.096494826569173</c:v>
                </c:pt>
                <c:pt idx="120">
                  <c:v>1.8083982496501267</c:v>
                </c:pt>
                <c:pt idx="121">
                  <c:v>1.6844430264539278</c:v>
                </c:pt>
                <c:pt idx="122">
                  <c:v>1.7187302117089254</c:v>
                </c:pt>
                <c:pt idx="123">
                  <c:v>1.995001820038365</c:v>
                </c:pt>
                <c:pt idx="124">
                  <c:v>2.1362300526212037</c:v>
                </c:pt>
                <c:pt idx="125">
                  <c:v>1.8227368462422375</c:v>
                </c:pt>
                <c:pt idx="126">
                  <c:v>1.9926136748944916</c:v>
                </c:pt>
                <c:pt idx="127">
                  <c:v>1.9069227724115303</c:v>
                </c:pt>
                <c:pt idx="128">
                  <c:v>1.8834738647984108</c:v>
                </c:pt>
                <c:pt idx="129">
                  <c:v>1.8207204250877358</c:v>
                </c:pt>
                <c:pt idx="130">
                  <c:v>1.7841361087619225</c:v>
                </c:pt>
                <c:pt idx="131">
                  <c:v>1.6927102041421416</c:v>
                </c:pt>
                <c:pt idx="132">
                  <c:v>1.7517608880303819</c:v>
                </c:pt>
                <c:pt idx="133">
                  <c:v>1.7039786094387221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C9F-4C83-BA5F-FE17E3B6C64B}"/>
            </c:ext>
          </c:extLst>
        </c:ser>
        <c:ser>
          <c:idx val="12"/>
          <c:order val="12"/>
          <c:tx>
            <c:strRef>
              <c:f>累積畫圖!$B$24</c:f>
              <c:strCache>
                <c:ptCount val="1"/>
                <c:pt idx="0">
                  <c:v>964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累積畫圖!$C$24:$EF$24</c:f>
              <c:numCache>
                <c:formatCode>General</c:formatCode>
                <c:ptCount val="134"/>
                <c:pt idx="0">
                  <c:v>0.162993136931085</c:v>
                </c:pt>
                <c:pt idx="1">
                  <c:v>0.263603136931085</c:v>
                </c:pt>
                <c:pt idx="2">
                  <c:v>0.33500346710038192</c:v>
                </c:pt>
                <c:pt idx="3">
                  <c:v>0.41032946710038193</c:v>
                </c:pt>
                <c:pt idx="4">
                  <c:v>0.63993646710038199</c:v>
                </c:pt>
                <c:pt idx="5">
                  <c:v>0.67579246710038199</c:v>
                </c:pt>
                <c:pt idx="6">
                  <c:v>0.67368053389723848</c:v>
                </c:pt>
                <c:pt idx="7">
                  <c:v>0.55821953389723844</c:v>
                </c:pt>
                <c:pt idx="8">
                  <c:v>0.61195253389723847</c:v>
                </c:pt>
                <c:pt idx="9">
                  <c:v>0.70575253389723847</c:v>
                </c:pt>
                <c:pt idx="10">
                  <c:v>0.48796653389723843</c:v>
                </c:pt>
                <c:pt idx="11">
                  <c:v>2.2569985338972383</c:v>
                </c:pt>
                <c:pt idx="12">
                  <c:v>2.0127185338972384</c:v>
                </c:pt>
                <c:pt idx="13">
                  <c:v>1.908470119488239</c:v>
                </c:pt>
                <c:pt idx="14">
                  <c:v>1.905630119488239</c:v>
                </c:pt>
                <c:pt idx="15">
                  <c:v>1.877803119488239</c:v>
                </c:pt>
                <c:pt idx="16">
                  <c:v>1.5252886584280745</c:v>
                </c:pt>
                <c:pt idx="17">
                  <c:v>1.2374686584280745</c:v>
                </c:pt>
                <c:pt idx="18">
                  <c:v>1.5233216584280744</c:v>
                </c:pt>
                <c:pt idx="19">
                  <c:v>1.4246416584280743</c:v>
                </c:pt>
                <c:pt idx="20">
                  <c:v>1.2600796584280742</c:v>
                </c:pt>
                <c:pt idx="21">
                  <c:v>1.1420572259220703</c:v>
                </c:pt>
                <c:pt idx="22">
                  <c:v>1.0217382259220702</c:v>
                </c:pt>
                <c:pt idx="23">
                  <c:v>0.99734322592207025</c:v>
                </c:pt>
                <c:pt idx="24">
                  <c:v>1.0917052259220703</c:v>
                </c:pt>
                <c:pt idx="25">
                  <c:v>0.90745622592207031</c:v>
                </c:pt>
                <c:pt idx="26">
                  <c:v>0.66128622592207031</c:v>
                </c:pt>
                <c:pt idx="27">
                  <c:v>0.7624602259220703</c:v>
                </c:pt>
                <c:pt idx="28">
                  <c:v>0.22120210467578905</c:v>
                </c:pt>
                <c:pt idx="29">
                  <c:v>5.5500104675789058E-2</c:v>
                </c:pt>
                <c:pt idx="30">
                  <c:v>0.16140110467578905</c:v>
                </c:pt>
                <c:pt idx="31">
                  <c:v>9.2784104675789056E-2</c:v>
                </c:pt>
                <c:pt idx="32">
                  <c:v>0.40319810467578909</c:v>
                </c:pt>
                <c:pt idx="33">
                  <c:v>0.48863310467578908</c:v>
                </c:pt>
                <c:pt idx="34">
                  <c:v>0.49007310467578907</c:v>
                </c:pt>
                <c:pt idx="35">
                  <c:v>0.43539616918515367</c:v>
                </c:pt>
                <c:pt idx="36">
                  <c:v>0.51399516918515364</c:v>
                </c:pt>
                <c:pt idx="37">
                  <c:v>0.73518463433058501</c:v>
                </c:pt>
                <c:pt idx="38">
                  <c:v>0.817876634330585</c:v>
                </c:pt>
                <c:pt idx="39">
                  <c:v>0.79502491884148863</c:v>
                </c:pt>
                <c:pt idx="40">
                  <c:v>0.57790091884148864</c:v>
                </c:pt>
                <c:pt idx="41">
                  <c:v>0.40706791884148863</c:v>
                </c:pt>
                <c:pt idx="42">
                  <c:v>0.43502399610807868</c:v>
                </c:pt>
                <c:pt idx="43">
                  <c:v>0.46548320359278733</c:v>
                </c:pt>
                <c:pt idx="44">
                  <c:v>0.50957852345801169</c:v>
                </c:pt>
                <c:pt idx="45">
                  <c:v>0.42242657127111582</c:v>
                </c:pt>
                <c:pt idx="46">
                  <c:v>0.42741411278215502</c:v>
                </c:pt>
                <c:pt idx="47">
                  <c:v>0.45572029937057956</c:v>
                </c:pt>
                <c:pt idx="48">
                  <c:v>0.62384759325546901</c:v>
                </c:pt>
                <c:pt idx="49">
                  <c:v>0.66171466685513425</c:v>
                </c:pt>
                <c:pt idx="50">
                  <c:v>0.6079199347705011</c:v>
                </c:pt>
                <c:pt idx="51">
                  <c:v>0.52176090137516629</c:v>
                </c:pt>
                <c:pt idx="52">
                  <c:v>-7.7660739648725552E-2</c:v>
                </c:pt>
                <c:pt idx="53">
                  <c:v>0.10793447959770966</c:v>
                </c:pt>
                <c:pt idx="54">
                  <c:v>6.1870125566022789E-2</c:v>
                </c:pt>
                <c:pt idx="55">
                  <c:v>0.14952146162011509</c:v>
                </c:pt>
                <c:pt idx="56">
                  <c:v>0.17635742748642602</c:v>
                </c:pt>
                <c:pt idx="57">
                  <c:v>-0.20989790942710895</c:v>
                </c:pt>
                <c:pt idx="58">
                  <c:v>1.3731196642938148E-2</c:v>
                </c:pt>
                <c:pt idx="59">
                  <c:v>1.7079512397822731E-2</c:v>
                </c:pt>
                <c:pt idx="60">
                  <c:v>2.1103059292108959E-2</c:v>
                </c:pt>
                <c:pt idx="61">
                  <c:v>0.33826735321682561</c:v>
                </c:pt>
                <c:pt idx="62">
                  <c:v>0.34974037233456273</c:v>
                </c:pt>
                <c:pt idx="63">
                  <c:v>0.35658971418013752</c:v>
                </c:pt>
                <c:pt idx="64">
                  <c:v>0.19548002308449561</c:v>
                </c:pt>
                <c:pt idx="65">
                  <c:v>0.3188312042138175</c:v>
                </c:pt>
                <c:pt idx="66">
                  <c:v>0.25466157088370245</c:v>
                </c:pt>
                <c:pt idx="67">
                  <c:v>0.29701779418712015</c:v>
                </c:pt>
                <c:pt idx="68">
                  <c:v>0.29573307670266319</c:v>
                </c:pt>
                <c:pt idx="69">
                  <c:v>0.41200377275685052</c:v>
                </c:pt>
                <c:pt idx="70">
                  <c:v>0.64033040431679122</c:v>
                </c:pt>
                <c:pt idx="71">
                  <c:v>0.74805885820477414</c:v>
                </c:pt>
                <c:pt idx="72">
                  <c:v>0.68622297456918102</c:v>
                </c:pt>
                <c:pt idx="73">
                  <c:v>0.55326291885872325</c:v>
                </c:pt>
                <c:pt idx="74">
                  <c:v>0.6630085880261406</c:v>
                </c:pt>
                <c:pt idx="75">
                  <c:v>0.92190148687613749</c:v>
                </c:pt>
                <c:pt idx="76">
                  <c:v>0.80667980610272283</c:v>
                </c:pt>
                <c:pt idx="77">
                  <c:v>1.015441780390592</c:v>
                </c:pt>
                <c:pt idx="78">
                  <c:v>1.4552962926575255</c:v>
                </c:pt>
                <c:pt idx="79">
                  <c:v>1.4876885600118017</c:v>
                </c:pt>
                <c:pt idx="80">
                  <c:v>1.2775671247757132</c:v>
                </c:pt>
                <c:pt idx="81">
                  <c:v>1.4992884870211016</c:v>
                </c:pt>
                <c:pt idx="82">
                  <c:v>1.1754705080020411</c:v>
                </c:pt>
                <c:pt idx="83">
                  <c:v>1.5297478048445441</c:v>
                </c:pt>
                <c:pt idx="84">
                  <c:v>1.8581996255538087</c:v>
                </c:pt>
                <c:pt idx="85">
                  <c:v>1.8713091109732283</c:v>
                </c:pt>
                <c:pt idx="86">
                  <c:v>1.9648391902889248</c:v>
                </c:pt>
                <c:pt idx="87">
                  <c:v>2.1065945236614656</c:v>
                </c:pt>
                <c:pt idx="88">
                  <c:v>2.6561816336205659</c:v>
                </c:pt>
                <c:pt idx="89">
                  <c:v>2.5484428671633528</c:v>
                </c:pt>
                <c:pt idx="90">
                  <c:v>1.7717896488271216</c:v>
                </c:pt>
                <c:pt idx="91">
                  <c:v>2.0596054200557576</c:v>
                </c:pt>
                <c:pt idx="92">
                  <c:v>2.1742925939190543</c:v>
                </c:pt>
                <c:pt idx="93">
                  <c:v>2.2353774321586108</c:v>
                </c:pt>
                <c:pt idx="94">
                  <c:v>2.1494821994118052</c:v>
                </c:pt>
                <c:pt idx="95">
                  <c:v>2.2459012075592009</c:v>
                </c:pt>
                <c:pt idx="96">
                  <c:v>2.173149859902491</c:v>
                </c:pt>
                <c:pt idx="97">
                  <c:v>2.1882139074418663</c:v>
                </c:pt>
                <c:pt idx="98">
                  <c:v>2.3633310735138737</c:v>
                </c:pt>
                <c:pt idx="99">
                  <c:v>2.4185382672225608</c:v>
                </c:pt>
                <c:pt idx="100">
                  <c:v>2.3384713625857421</c:v>
                </c:pt>
                <c:pt idx="101">
                  <c:v>2.4506779910303091</c:v>
                </c:pt>
                <c:pt idx="102">
                  <c:v>2.4751891951930638</c:v>
                </c:pt>
                <c:pt idx="103">
                  <c:v>2.2797285226804096</c:v>
                </c:pt>
                <c:pt idx="104">
                  <c:v>2.4741821209716273</c:v>
                </c:pt>
                <c:pt idx="105">
                  <c:v>2.6275635017107333</c:v>
                </c:pt>
                <c:pt idx="106">
                  <c:v>2.4515007442011982</c:v>
                </c:pt>
                <c:pt idx="107">
                  <c:v>2.3468357681806369</c:v>
                </c:pt>
                <c:pt idx="108">
                  <c:v>2.4059416023049809</c:v>
                </c:pt>
                <c:pt idx="109">
                  <c:v>2.5053085828049202</c:v>
                </c:pt>
                <c:pt idx="110">
                  <c:v>2.6471840417431896</c:v>
                </c:pt>
                <c:pt idx="111">
                  <c:v>2.51469543123395</c:v>
                </c:pt>
                <c:pt idx="112">
                  <c:v>2.8542046418643938</c:v>
                </c:pt>
                <c:pt idx="113">
                  <c:v>3.067309068150275</c:v>
                </c:pt>
                <c:pt idx="114">
                  <c:v>2.9258695409234003</c:v>
                </c:pt>
                <c:pt idx="115">
                  <c:v>3.1592041116980965</c:v>
                </c:pt>
                <c:pt idx="116">
                  <c:v>3.3446449143307841</c:v>
                </c:pt>
                <c:pt idx="117">
                  <c:v>3.4590183398167982</c:v>
                </c:pt>
                <c:pt idx="118">
                  <c:v>3.3260409885808282</c:v>
                </c:pt>
                <c:pt idx="119">
                  <c:v>3.3055253583687989</c:v>
                </c:pt>
                <c:pt idx="120">
                  <c:v>3.0892638173359535</c:v>
                </c:pt>
                <c:pt idx="121">
                  <c:v>3.0509009511658238</c:v>
                </c:pt>
                <c:pt idx="122">
                  <c:v>3.0032623638920661</c:v>
                </c:pt>
                <c:pt idx="123">
                  <c:v>3.1614870625358806</c:v>
                </c:pt>
                <c:pt idx="124">
                  <c:v>3.270344152427211</c:v>
                </c:pt>
                <c:pt idx="125">
                  <c:v>2.9587510246347071</c:v>
                </c:pt>
                <c:pt idx="126">
                  <c:v>3.3025553114329158</c:v>
                </c:pt>
                <c:pt idx="127">
                  <c:v>3.2520861290297991</c:v>
                </c:pt>
                <c:pt idx="128">
                  <c:v>3.329437051257135</c:v>
                </c:pt>
                <c:pt idx="129">
                  <c:v>3.3578087881678718</c:v>
                </c:pt>
                <c:pt idx="130">
                  <c:v>3.3434988693971928</c:v>
                </c:pt>
                <c:pt idx="131">
                  <c:v>3.2873260240988307</c:v>
                </c:pt>
                <c:pt idx="132">
                  <c:v>3.4007554632900496</c:v>
                </c:pt>
                <c:pt idx="133">
                  <c:v>3.4680321403340182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C9F-4C83-BA5F-FE17E3B6C64B}"/>
            </c:ext>
          </c:extLst>
        </c:ser>
        <c:ser>
          <c:idx val="13"/>
          <c:order val="13"/>
          <c:tx>
            <c:strRef>
              <c:f>累積畫圖!$B$25</c:f>
              <c:strCache>
                <c:ptCount val="1"/>
                <c:pt idx="0">
                  <c:v>TWⅡ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累積畫圖!$C$25:$EF$25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C9F-4C83-BA5F-FE17E3B6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4405264"/>
        <c:axId val="604407424"/>
      </c:lineChart>
      <c:catAx>
        <c:axId val="60440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04407424"/>
        <c:crosses val="autoZero"/>
        <c:auto val="1"/>
        <c:lblAlgn val="ctr"/>
        <c:lblOffset val="100"/>
        <c:noMultiLvlLbl val="0"/>
      </c:catAx>
      <c:valAx>
        <c:axId val="60440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044052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NN4再投資累積報酬!$A$12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NN4再投資累積報酬!$C$12:$EF$12</c:f>
              <c:numCache>
                <c:formatCode>General</c:formatCode>
                <c:ptCount val="134"/>
                <c:pt idx="0">
                  <c:v>4.686768274486397E-2</c:v>
                </c:pt>
                <c:pt idx="1">
                  <c:v>0.1669313778822199</c:v>
                </c:pt>
                <c:pt idx="2">
                  <c:v>0.15900375914505305</c:v>
                </c:pt>
                <c:pt idx="3">
                  <c:v>0.17455921944181596</c:v>
                </c:pt>
                <c:pt idx="4">
                  <c:v>0.18833088958479571</c:v>
                </c:pt>
                <c:pt idx="5">
                  <c:v>0.23411813287332461</c:v>
                </c:pt>
                <c:pt idx="6">
                  <c:v>0.28113447360059518</c:v>
                </c:pt>
                <c:pt idx="7">
                  <c:v>0.24345912455881336</c:v>
                </c:pt>
                <c:pt idx="8">
                  <c:v>0.26680404635916721</c:v>
                </c:pt>
                <c:pt idx="9">
                  <c:v>0.21373681990877724</c:v>
                </c:pt>
                <c:pt idx="10">
                  <c:v>0.2132553456840296</c:v>
                </c:pt>
                <c:pt idx="11">
                  <c:v>0.29736639572042978</c:v>
                </c:pt>
                <c:pt idx="12">
                  <c:v>0.31973408703554629</c:v>
                </c:pt>
                <c:pt idx="13">
                  <c:v>0.29359046504485709</c:v>
                </c:pt>
                <c:pt idx="14">
                  <c:v>0.33921600711751987</c:v>
                </c:pt>
                <c:pt idx="15">
                  <c:v>0.34813931497427797</c:v>
                </c:pt>
                <c:pt idx="16">
                  <c:v>0.24601397778510292</c:v>
                </c:pt>
                <c:pt idx="17">
                  <c:v>0.23636934936249232</c:v>
                </c:pt>
                <c:pt idx="18">
                  <c:v>0.21636638723610435</c:v>
                </c:pt>
                <c:pt idx="19">
                  <c:v>0.22391369992972376</c:v>
                </c:pt>
                <c:pt idx="20">
                  <c:v>0.30229269980378803</c:v>
                </c:pt>
                <c:pt idx="21">
                  <c:v>0.23869149387969224</c:v>
                </c:pt>
                <c:pt idx="22">
                  <c:v>0.25781701957555869</c:v>
                </c:pt>
                <c:pt idx="23">
                  <c:v>0.26431495470772837</c:v>
                </c:pt>
                <c:pt idx="24">
                  <c:v>0.24924832411163567</c:v>
                </c:pt>
                <c:pt idx="25">
                  <c:v>0.24461196017775277</c:v>
                </c:pt>
                <c:pt idx="26">
                  <c:v>0.25104342765843168</c:v>
                </c:pt>
                <c:pt idx="27">
                  <c:v>0.26509332299955934</c:v>
                </c:pt>
                <c:pt idx="28">
                  <c:v>0.21762547689483869</c:v>
                </c:pt>
                <c:pt idx="29">
                  <c:v>0.27385776788360516</c:v>
                </c:pt>
                <c:pt idx="30">
                  <c:v>0.28924493471020263</c:v>
                </c:pt>
                <c:pt idx="31">
                  <c:v>0.31514988090931695</c:v>
                </c:pt>
                <c:pt idx="32">
                  <c:v>0.3457231153929039</c:v>
                </c:pt>
                <c:pt idx="33">
                  <c:v>0.37406724029547767</c:v>
                </c:pt>
                <c:pt idx="34">
                  <c:v>0.38805492991127633</c:v>
                </c:pt>
                <c:pt idx="35">
                  <c:v>0.41284420709915559</c:v>
                </c:pt>
                <c:pt idx="36">
                  <c:v>0.44139188695663933</c:v>
                </c:pt>
                <c:pt idx="37">
                  <c:v>0.54282388296998541</c:v>
                </c:pt>
                <c:pt idx="38">
                  <c:v>0.56088109369626604</c:v>
                </c:pt>
                <c:pt idx="39">
                  <c:v>0.50823414188765614</c:v>
                </c:pt>
                <c:pt idx="40">
                  <c:v>0.4981566555178214</c:v>
                </c:pt>
                <c:pt idx="41">
                  <c:v>0.4869139417718682</c:v>
                </c:pt>
                <c:pt idx="42">
                  <c:v>0.45758288198459707</c:v>
                </c:pt>
                <c:pt idx="43">
                  <c:v>0.47663192554702882</c:v>
                </c:pt>
                <c:pt idx="44">
                  <c:v>0.50612713098002216</c:v>
                </c:pt>
                <c:pt idx="45">
                  <c:v>0.44418603966870829</c:v>
                </c:pt>
                <c:pt idx="46">
                  <c:v>0.44552847925403549</c:v>
                </c:pt>
                <c:pt idx="47">
                  <c:v>0.5077157795359255</c:v>
                </c:pt>
                <c:pt idx="48">
                  <c:v>0.54462971861357778</c:v>
                </c:pt>
                <c:pt idx="49">
                  <c:v>0.5399059090541336</c:v>
                </c:pt>
                <c:pt idx="50">
                  <c:v>0.54630789933465884</c:v>
                </c:pt>
                <c:pt idx="51">
                  <c:v>0.57102237118756505</c:v>
                </c:pt>
                <c:pt idx="52">
                  <c:v>0.59142300219500665</c:v>
                </c:pt>
                <c:pt idx="53">
                  <c:v>0.6096152332864182</c:v>
                </c:pt>
                <c:pt idx="54">
                  <c:v>0.64829507765712502</c:v>
                </c:pt>
                <c:pt idx="55">
                  <c:v>0.76158208354508727</c:v>
                </c:pt>
                <c:pt idx="56">
                  <c:v>0.82920592563856421</c:v>
                </c:pt>
                <c:pt idx="57">
                  <c:v>0.84959958814231551</c:v>
                </c:pt>
                <c:pt idx="58">
                  <c:v>0.94474285665132651</c:v>
                </c:pt>
                <c:pt idx="59">
                  <c:v>0.94319485432847405</c:v>
                </c:pt>
                <c:pt idx="60">
                  <c:v>0.90103437690868216</c:v>
                </c:pt>
                <c:pt idx="61">
                  <c:v>0.94800750265928202</c:v>
                </c:pt>
                <c:pt idx="62">
                  <c:v>0.94425703672942984</c:v>
                </c:pt>
                <c:pt idx="63">
                  <c:v>0.96630162927922747</c:v>
                </c:pt>
                <c:pt idx="64">
                  <c:v>1.0139771886400757</c:v>
                </c:pt>
                <c:pt idx="65">
                  <c:v>0.99267572149212957</c:v>
                </c:pt>
                <c:pt idx="66">
                  <c:v>1.0229775048057062</c:v>
                </c:pt>
                <c:pt idx="67">
                  <c:v>1.0199295565895179</c:v>
                </c:pt>
                <c:pt idx="68">
                  <c:v>1.0556760612070679</c:v>
                </c:pt>
                <c:pt idx="69">
                  <c:v>1.100485380380487</c:v>
                </c:pt>
                <c:pt idx="70">
                  <c:v>1.1219302873683183</c:v>
                </c:pt>
                <c:pt idx="71">
                  <c:v>1.1860631120347542</c:v>
                </c:pt>
                <c:pt idx="72">
                  <c:v>1.1230676059979134</c:v>
                </c:pt>
                <c:pt idx="73">
                  <c:v>1.1436891856900564</c:v>
                </c:pt>
                <c:pt idx="74">
                  <c:v>1.0728372364386107</c:v>
                </c:pt>
                <c:pt idx="75">
                  <c:v>1.1661232618481199</c:v>
                </c:pt>
                <c:pt idx="76">
                  <c:v>1.1001696313930025</c:v>
                </c:pt>
                <c:pt idx="77">
                  <c:v>1.1036661778006618</c:v>
                </c:pt>
                <c:pt idx="78">
                  <c:v>1.066513545539264</c:v>
                </c:pt>
                <c:pt idx="79">
                  <c:v>1.2957594019974246</c:v>
                </c:pt>
                <c:pt idx="80">
                  <c:v>1.3224347681743205</c:v>
                </c:pt>
                <c:pt idx="81">
                  <c:v>1.3851250688241428</c:v>
                </c:pt>
                <c:pt idx="82">
                  <c:v>1.4836529954754551</c:v>
                </c:pt>
                <c:pt idx="83">
                  <c:v>1.6436068062259008</c:v>
                </c:pt>
                <c:pt idx="84">
                  <c:v>1.5489460864993632</c:v>
                </c:pt>
                <c:pt idx="85">
                  <c:v>1.5938428393551689</c:v>
                </c:pt>
                <c:pt idx="86">
                  <c:v>1.6249535677317981</c:v>
                </c:pt>
                <c:pt idx="87">
                  <c:v>1.9347390581321782</c:v>
                </c:pt>
                <c:pt idx="88">
                  <c:v>1.8925296142292445</c:v>
                </c:pt>
                <c:pt idx="89">
                  <c:v>1.8185185663407908</c:v>
                </c:pt>
                <c:pt idx="90">
                  <c:v>1.7431289857582799</c:v>
                </c:pt>
                <c:pt idx="91">
                  <c:v>1.8666800518481343</c:v>
                </c:pt>
                <c:pt idx="92">
                  <c:v>1.9734887113506998</c:v>
                </c:pt>
                <c:pt idx="93">
                  <c:v>1.9809547609275793</c:v>
                </c:pt>
                <c:pt idx="94">
                  <c:v>1.935639336880937</c:v>
                </c:pt>
                <c:pt idx="95">
                  <c:v>1.9328162904565986</c:v>
                </c:pt>
                <c:pt idx="96">
                  <c:v>2.0267725174177174</c:v>
                </c:pt>
                <c:pt idx="97">
                  <c:v>2.0517832046366999</c:v>
                </c:pt>
                <c:pt idx="98">
                  <c:v>2.0682055461255118</c:v>
                </c:pt>
                <c:pt idx="99">
                  <c:v>2.255335041983054</c:v>
                </c:pt>
                <c:pt idx="100">
                  <c:v>2.235209844127799</c:v>
                </c:pt>
                <c:pt idx="101">
                  <c:v>2.4927561105903058</c:v>
                </c:pt>
                <c:pt idx="102">
                  <c:v>2.5046426861123821</c:v>
                </c:pt>
                <c:pt idx="103">
                  <c:v>2.4225926923203307</c:v>
                </c:pt>
                <c:pt idx="104">
                  <c:v>2.5356901365320104</c:v>
                </c:pt>
                <c:pt idx="105">
                  <c:v>2.630859566466468</c:v>
                </c:pt>
                <c:pt idx="106">
                  <c:v>2.6301887860570456</c:v>
                </c:pt>
                <c:pt idx="107">
                  <c:v>2.6053836473324314</c:v>
                </c:pt>
                <c:pt idx="108">
                  <c:v>2.6025344205350605</c:v>
                </c:pt>
                <c:pt idx="109">
                  <c:v>2.5835773664605277</c:v>
                </c:pt>
                <c:pt idx="110">
                  <c:v>2.3884760439676267</c:v>
                </c:pt>
                <c:pt idx="111">
                  <c:v>2.4157959650060512</c:v>
                </c:pt>
                <c:pt idx="112">
                  <c:v>2.3636558780708046</c:v>
                </c:pt>
                <c:pt idx="113">
                  <c:v>2.3600760562994179</c:v>
                </c:pt>
                <c:pt idx="114">
                  <c:v>2.3408739897649409</c:v>
                </c:pt>
                <c:pt idx="115">
                  <c:v>2.471930939328582</c:v>
                </c:pt>
                <c:pt idx="116">
                  <c:v>2.5487586957092958</c:v>
                </c:pt>
                <c:pt idx="117">
                  <c:v>2.6643930445732518</c:v>
                </c:pt>
                <c:pt idx="118">
                  <c:v>2.5784689253299176</c:v>
                </c:pt>
                <c:pt idx="119">
                  <c:v>2.645668790305737</c:v>
                </c:pt>
                <c:pt idx="120">
                  <c:v>2.5098164775323202</c:v>
                </c:pt>
                <c:pt idx="121">
                  <c:v>2.3546081642556254</c:v>
                </c:pt>
                <c:pt idx="122">
                  <c:v>2.4007429098063389</c:v>
                </c:pt>
                <c:pt idx="123">
                  <c:v>2.5781704947286066</c:v>
                </c:pt>
                <c:pt idx="124">
                  <c:v>2.7202034736094198</c:v>
                </c:pt>
                <c:pt idx="125">
                  <c:v>2.5356099281023088</c:v>
                </c:pt>
                <c:pt idx="126">
                  <c:v>2.5965820443607721</c:v>
                </c:pt>
                <c:pt idx="127">
                  <c:v>2.5794712149175041</c:v>
                </c:pt>
                <c:pt idx="128">
                  <c:v>2.8085714805251567</c:v>
                </c:pt>
                <c:pt idx="129">
                  <c:v>2.8225465980167797</c:v>
                </c:pt>
                <c:pt idx="130">
                  <c:v>2.924423235292541</c:v>
                </c:pt>
                <c:pt idx="131">
                  <c:v>2.7021908558010197</c:v>
                </c:pt>
                <c:pt idx="132">
                  <c:v>2.7483141350782558</c:v>
                </c:pt>
                <c:pt idx="133">
                  <c:v>2.8953730480985183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4A-451B-8C10-2458AFAA1DD2}"/>
            </c:ext>
          </c:extLst>
        </c:ser>
        <c:ser>
          <c:idx val="1"/>
          <c:order val="1"/>
          <c:tx>
            <c:strRef>
              <c:f>NN4再投資累積報酬!$A$13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NN4再投資累積報酬!$C$13:$EF$13</c:f>
              <c:numCache>
                <c:formatCode>General</c:formatCode>
                <c:ptCount val="134"/>
                <c:pt idx="0">
                  <c:v>5.4209042671596208E-2</c:v>
                </c:pt>
                <c:pt idx="1">
                  <c:v>0.18466225047043472</c:v>
                </c:pt>
                <c:pt idx="2">
                  <c:v>0.14379540759018616</c:v>
                </c:pt>
                <c:pt idx="3">
                  <c:v>0.13069344565787944</c:v>
                </c:pt>
                <c:pt idx="4">
                  <c:v>0.14849604906696867</c:v>
                </c:pt>
                <c:pt idx="5">
                  <c:v>0.18293985233750432</c:v>
                </c:pt>
                <c:pt idx="6">
                  <c:v>0.22708206224957972</c:v>
                </c:pt>
                <c:pt idx="7">
                  <c:v>0.17321461687677209</c:v>
                </c:pt>
                <c:pt idx="8">
                  <c:v>0.17161027033016429</c:v>
                </c:pt>
                <c:pt idx="9">
                  <c:v>0.16455119640868854</c:v>
                </c:pt>
                <c:pt idx="10">
                  <c:v>0.19446536265160397</c:v>
                </c:pt>
                <c:pt idx="11">
                  <c:v>0.3136810436007369</c:v>
                </c:pt>
                <c:pt idx="12">
                  <c:v>0.36595159127495802</c:v>
                </c:pt>
                <c:pt idx="13">
                  <c:v>0.33712444969318112</c:v>
                </c:pt>
                <c:pt idx="14">
                  <c:v>0.4350354153787237</c:v>
                </c:pt>
                <c:pt idx="15">
                  <c:v>0.45535527768791706</c:v>
                </c:pt>
                <c:pt idx="16">
                  <c:v>0.27646985002986657</c:v>
                </c:pt>
                <c:pt idx="17">
                  <c:v>0.24885462151495474</c:v>
                </c:pt>
                <c:pt idx="18">
                  <c:v>0.25084818375796192</c:v>
                </c:pt>
                <c:pt idx="19">
                  <c:v>0.22571348399750657</c:v>
                </c:pt>
                <c:pt idx="20">
                  <c:v>0.31822592009395634</c:v>
                </c:pt>
                <c:pt idx="21">
                  <c:v>0.21869637078427862</c:v>
                </c:pt>
                <c:pt idx="22">
                  <c:v>0.23566108127673502</c:v>
                </c:pt>
                <c:pt idx="23">
                  <c:v>0.26109582600197845</c:v>
                </c:pt>
                <c:pt idx="24">
                  <c:v>0.2403633580768465</c:v>
                </c:pt>
                <c:pt idx="25">
                  <c:v>0.2204729171076294</c:v>
                </c:pt>
                <c:pt idx="26">
                  <c:v>0.23027486564966937</c:v>
                </c:pt>
                <c:pt idx="27">
                  <c:v>0.25677877960326589</c:v>
                </c:pt>
                <c:pt idx="28">
                  <c:v>0.19860989389016015</c:v>
                </c:pt>
                <c:pt idx="29">
                  <c:v>0.26086089733923945</c:v>
                </c:pt>
                <c:pt idx="30">
                  <c:v>0.26499962069888472</c:v>
                </c:pt>
                <c:pt idx="31">
                  <c:v>0.30532111465043887</c:v>
                </c:pt>
                <c:pt idx="32">
                  <c:v>0.33131011243150899</c:v>
                </c:pt>
                <c:pt idx="33">
                  <c:v>0.35778443438481267</c:v>
                </c:pt>
                <c:pt idx="34">
                  <c:v>0.36229086434818436</c:v>
                </c:pt>
                <c:pt idx="35">
                  <c:v>0.39815862024798521</c:v>
                </c:pt>
                <c:pt idx="36">
                  <c:v>0.39496665324626368</c:v>
                </c:pt>
                <c:pt idx="37">
                  <c:v>0.54189882302451919</c:v>
                </c:pt>
                <c:pt idx="38">
                  <c:v>0.54655686724598418</c:v>
                </c:pt>
                <c:pt idx="39">
                  <c:v>0.4544776239740238</c:v>
                </c:pt>
                <c:pt idx="40">
                  <c:v>0.43835925445322954</c:v>
                </c:pt>
                <c:pt idx="41">
                  <c:v>0.45166467687327794</c:v>
                </c:pt>
                <c:pt idx="42">
                  <c:v>0.39392042759984136</c:v>
                </c:pt>
                <c:pt idx="43">
                  <c:v>0.45032275232391172</c:v>
                </c:pt>
                <c:pt idx="44">
                  <c:v>0.51190488093515985</c:v>
                </c:pt>
                <c:pt idx="45">
                  <c:v>0.49829656071264283</c:v>
                </c:pt>
                <c:pt idx="46">
                  <c:v>0.50319339966877785</c:v>
                </c:pt>
                <c:pt idx="47">
                  <c:v>0.60142561742634593</c:v>
                </c:pt>
                <c:pt idx="48">
                  <c:v>0.62667632549847641</c:v>
                </c:pt>
                <c:pt idx="49">
                  <c:v>0.61203987605730692</c:v>
                </c:pt>
                <c:pt idx="50">
                  <c:v>0.62476604849940598</c:v>
                </c:pt>
                <c:pt idx="51">
                  <c:v>0.69442850129852163</c:v>
                </c:pt>
                <c:pt idx="52">
                  <c:v>0.71650111015475448</c:v>
                </c:pt>
                <c:pt idx="53">
                  <c:v>0.72611709032484928</c:v>
                </c:pt>
                <c:pt idx="54">
                  <c:v>0.77517911699420194</c:v>
                </c:pt>
                <c:pt idx="55">
                  <c:v>0.9241688623496036</c:v>
                </c:pt>
                <c:pt idx="56">
                  <c:v>1.013770599211528</c:v>
                </c:pt>
                <c:pt idx="57">
                  <c:v>1.0278192104581945</c:v>
                </c:pt>
                <c:pt idx="58">
                  <c:v>1.1348639734000163</c:v>
                </c:pt>
                <c:pt idx="59">
                  <c:v>1.0971748531250176</c:v>
                </c:pt>
                <c:pt idx="60">
                  <c:v>1.0586056582240104</c:v>
                </c:pt>
                <c:pt idx="61">
                  <c:v>1.1346970966770051</c:v>
                </c:pt>
                <c:pt idx="62">
                  <c:v>1.1668376290841778</c:v>
                </c:pt>
                <c:pt idx="63">
                  <c:v>1.1904404257648449</c:v>
                </c:pt>
                <c:pt idx="64">
                  <c:v>1.2599547368209558</c:v>
                </c:pt>
                <c:pt idx="65">
                  <c:v>1.2772477902924741</c:v>
                </c:pt>
                <c:pt idx="66">
                  <c:v>1.3702029882169029</c:v>
                </c:pt>
                <c:pt idx="67">
                  <c:v>1.3534423787101759</c:v>
                </c:pt>
                <c:pt idx="68">
                  <c:v>1.3705242342233022</c:v>
                </c:pt>
                <c:pt idx="69">
                  <c:v>1.4614184435122284</c:v>
                </c:pt>
                <c:pt idx="70">
                  <c:v>1.5020982931931486</c:v>
                </c:pt>
                <c:pt idx="71">
                  <c:v>1.5537512975987906</c:v>
                </c:pt>
                <c:pt idx="72">
                  <c:v>1.5582541684457825</c:v>
                </c:pt>
                <c:pt idx="73">
                  <c:v>1.613986991333459</c:v>
                </c:pt>
                <c:pt idx="74">
                  <c:v>1.5760517726097389</c:v>
                </c:pt>
                <c:pt idx="75">
                  <c:v>1.7742219503524961</c:v>
                </c:pt>
                <c:pt idx="76">
                  <c:v>1.6811979450341905</c:v>
                </c:pt>
                <c:pt idx="77">
                  <c:v>1.6620759914336536</c:v>
                </c:pt>
                <c:pt idx="78">
                  <c:v>1.6297780460349176</c:v>
                </c:pt>
                <c:pt idx="79">
                  <c:v>1.9071982714340021</c:v>
                </c:pt>
                <c:pt idx="80">
                  <c:v>1.9419925221125509</c:v>
                </c:pt>
                <c:pt idx="81">
                  <c:v>2.0800880413399589</c:v>
                </c:pt>
                <c:pt idx="82">
                  <c:v>2.1940983376686698</c:v>
                </c:pt>
                <c:pt idx="83">
                  <c:v>2.3804248243344994</c:v>
                </c:pt>
                <c:pt idx="84">
                  <c:v>2.2051379348281799</c:v>
                </c:pt>
                <c:pt idx="85">
                  <c:v>2.1927128961661349</c:v>
                </c:pt>
                <c:pt idx="86">
                  <c:v>2.2950242405185088</c:v>
                </c:pt>
                <c:pt idx="87">
                  <c:v>2.5728092534819571</c:v>
                </c:pt>
                <c:pt idx="88">
                  <c:v>2.5360207377398214</c:v>
                </c:pt>
                <c:pt idx="89">
                  <c:v>2.4409457467805313</c:v>
                </c:pt>
                <c:pt idx="90">
                  <c:v>2.3946393619749187</c:v>
                </c:pt>
                <c:pt idx="91">
                  <c:v>2.6349712487943497</c:v>
                </c:pt>
                <c:pt idx="92">
                  <c:v>2.7729146448431967</c:v>
                </c:pt>
                <c:pt idx="93">
                  <c:v>2.8054854480388824</c:v>
                </c:pt>
                <c:pt idx="94">
                  <c:v>2.85144871141997</c:v>
                </c:pt>
                <c:pt idx="95">
                  <c:v>2.8825329810471656</c:v>
                </c:pt>
                <c:pt idx="96">
                  <c:v>3.0223310181548229</c:v>
                </c:pt>
                <c:pt idx="97">
                  <c:v>3.013359713042381</c:v>
                </c:pt>
                <c:pt idx="98">
                  <c:v>3.0373476878844503</c:v>
                </c:pt>
                <c:pt idx="99">
                  <c:v>3.2821876387074242</c:v>
                </c:pt>
                <c:pt idx="100">
                  <c:v>3.2260107319515017</c:v>
                </c:pt>
                <c:pt idx="101">
                  <c:v>3.4678409012928872</c:v>
                </c:pt>
                <c:pt idx="102">
                  <c:v>3.4361347300507514</c:v>
                </c:pt>
                <c:pt idx="103">
                  <c:v>3.2543022448917522</c:v>
                </c:pt>
                <c:pt idx="104">
                  <c:v>3.3808259821205207</c:v>
                </c:pt>
                <c:pt idx="105">
                  <c:v>3.4229324477162226</c:v>
                </c:pt>
                <c:pt idx="106">
                  <c:v>3.4457886273859071</c:v>
                </c:pt>
                <c:pt idx="107">
                  <c:v>3.3190000849340358</c:v>
                </c:pt>
                <c:pt idx="108">
                  <c:v>3.3119572764658258</c:v>
                </c:pt>
                <c:pt idx="109">
                  <c:v>3.3679792820286556</c:v>
                </c:pt>
                <c:pt idx="110">
                  <c:v>3.1645998033230116</c:v>
                </c:pt>
                <c:pt idx="111">
                  <c:v>3.1657762193434191</c:v>
                </c:pt>
                <c:pt idx="112">
                  <c:v>3.2158771344491166</c:v>
                </c:pt>
                <c:pt idx="113">
                  <c:v>3.1498794647649282</c:v>
                </c:pt>
                <c:pt idx="114">
                  <c:v>3.1222459608422319</c:v>
                </c:pt>
                <c:pt idx="115">
                  <c:v>3.1834192573016429</c:v>
                </c:pt>
                <c:pt idx="116">
                  <c:v>3.3864469243045878</c:v>
                </c:pt>
                <c:pt idx="117">
                  <c:v>3.5936545762327832</c:v>
                </c:pt>
                <c:pt idx="118">
                  <c:v>3.4722439117807848</c:v>
                </c:pt>
                <c:pt idx="119">
                  <c:v>3.5338321186067407</c:v>
                </c:pt>
                <c:pt idx="120">
                  <c:v>3.3592670007370709</c:v>
                </c:pt>
                <c:pt idx="121">
                  <c:v>3.2048342956218088</c:v>
                </c:pt>
                <c:pt idx="122">
                  <c:v>3.2924984240007369</c:v>
                </c:pt>
                <c:pt idx="123">
                  <c:v>3.6342677667432781</c:v>
                </c:pt>
                <c:pt idx="124">
                  <c:v>3.8459934628663541</c:v>
                </c:pt>
                <c:pt idx="125">
                  <c:v>3.532739143588107</c:v>
                </c:pt>
                <c:pt idx="126">
                  <c:v>3.6927726570416093</c:v>
                </c:pt>
                <c:pt idx="127">
                  <c:v>3.6375365371517807</c:v>
                </c:pt>
                <c:pt idx="128">
                  <c:v>3.9927271594893696</c:v>
                </c:pt>
                <c:pt idx="129">
                  <c:v>4.0994378064791386</c:v>
                </c:pt>
                <c:pt idx="130">
                  <c:v>4.3118791281553444</c:v>
                </c:pt>
                <c:pt idx="131">
                  <c:v>3.9629837857533099</c:v>
                </c:pt>
                <c:pt idx="132">
                  <c:v>4.0063504656356006</c:v>
                </c:pt>
                <c:pt idx="133">
                  <c:v>4.3432335795213284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4A-451B-8C10-2458AFAA1DD2}"/>
            </c:ext>
          </c:extLst>
        </c:ser>
        <c:ser>
          <c:idx val="2"/>
          <c:order val="2"/>
          <c:tx>
            <c:strRef>
              <c:f>NN4再投資累積報酬!$A$14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NN4再投資累積報酬!$C$14:$EF$14</c:f>
              <c:numCache>
                <c:formatCode>General</c:formatCode>
                <c:ptCount val="134"/>
                <c:pt idx="0">
                  <c:v>-3.037156627906501E-2</c:v>
                </c:pt>
                <c:pt idx="1">
                  <c:v>0.1851853570607005</c:v>
                </c:pt>
                <c:pt idx="2">
                  <c:v>0.12885830501985107</c:v>
                </c:pt>
                <c:pt idx="3">
                  <c:v>0.1678526951045316</c:v>
                </c:pt>
                <c:pt idx="4">
                  <c:v>0.26729443010371279</c:v>
                </c:pt>
                <c:pt idx="5">
                  <c:v>0.34281117119945614</c:v>
                </c:pt>
                <c:pt idx="6">
                  <c:v>0.40160932712730202</c:v>
                </c:pt>
                <c:pt idx="7">
                  <c:v>0.25430918665348101</c:v>
                </c:pt>
                <c:pt idx="8">
                  <c:v>0.26992718448296027</c:v>
                </c:pt>
                <c:pt idx="9">
                  <c:v>0.25915793460545333</c:v>
                </c:pt>
                <c:pt idx="10">
                  <c:v>0.16352316641394271</c:v>
                </c:pt>
                <c:pt idx="11">
                  <c:v>0.40185073973164154</c:v>
                </c:pt>
                <c:pt idx="12">
                  <c:v>0.45742342322740859</c:v>
                </c:pt>
                <c:pt idx="13">
                  <c:v>0.37238871000311491</c:v>
                </c:pt>
                <c:pt idx="14">
                  <c:v>0.4523153283159711</c:v>
                </c:pt>
                <c:pt idx="15">
                  <c:v>0.4317626204155367</c:v>
                </c:pt>
                <c:pt idx="16">
                  <c:v>0.19424289875236833</c:v>
                </c:pt>
                <c:pt idx="17">
                  <c:v>0.17350876781867663</c:v>
                </c:pt>
                <c:pt idx="18">
                  <c:v>0.21643368034604515</c:v>
                </c:pt>
                <c:pt idx="19">
                  <c:v>0.16975387015949428</c:v>
                </c:pt>
                <c:pt idx="20">
                  <c:v>0.30563875944852414</c:v>
                </c:pt>
                <c:pt idx="21">
                  <c:v>0.15626283839641442</c:v>
                </c:pt>
                <c:pt idx="22">
                  <c:v>0.13687973502104778</c:v>
                </c:pt>
                <c:pt idx="23">
                  <c:v>0.16104070314971519</c:v>
                </c:pt>
                <c:pt idx="24">
                  <c:v>0.15799217690767664</c:v>
                </c:pt>
                <c:pt idx="25">
                  <c:v>7.1162876135305142E-2</c:v>
                </c:pt>
                <c:pt idx="26">
                  <c:v>3.9785696643628077E-2</c:v>
                </c:pt>
                <c:pt idx="27">
                  <c:v>8.0678333795665802E-2</c:v>
                </c:pt>
                <c:pt idx="28">
                  <c:v>-3.5423633739222748E-2</c:v>
                </c:pt>
                <c:pt idx="29">
                  <c:v>4.5907313242444792E-2</c:v>
                </c:pt>
                <c:pt idx="30">
                  <c:v>5.2591266499350642E-2</c:v>
                </c:pt>
                <c:pt idx="31">
                  <c:v>0.1193360233085341</c:v>
                </c:pt>
                <c:pt idx="32">
                  <c:v>0.13160989627864583</c:v>
                </c:pt>
                <c:pt idx="33">
                  <c:v>0.24529499996373416</c:v>
                </c:pt>
                <c:pt idx="34">
                  <c:v>0.23096237547441478</c:v>
                </c:pt>
                <c:pt idx="35">
                  <c:v>0.2777010194500138</c:v>
                </c:pt>
                <c:pt idx="36">
                  <c:v>0.28172376023861911</c:v>
                </c:pt>
                <c:pt idx="37">
                  <c:v>0.39997622138208122</c:v>
                </c:pt>
                <c:pt idx="38">
                  <c:v>0.38597984858437528</c:v>
                </c:pt>
                <c:pt idx="39">
                  <c:v>0.28899379484962884</c:v>
                </c:pt>
                <c:pt idx="40">
                  <c:v>0.2785188885384513</c:v>
                </c:pt>
                <c:pt idx="41">
                  <c:v>0.30175018235740536</c:v>
                </c:pt>
                <c:pt idx="42">
                  <c:v>0.19457321578173015</c:v>
                </c:pt>
                <c:pt idx="43">
                  <c:v>0.24346060578439421</c:v>
                </c:pt>
                <c:pt idx="44">
                  <c:v>0.30192980700047656</c:v>
                </c:pt>
                <c:pt idx="45">
                  <c:v>0.27239580749816406</c:v>
                </c:pt>
                <c:pt idx="46">
                  <c:v>0.25277371062829057</c:v>
                </c:pt>
                <c:pt idx="47">
                  <c:v>0.42434235851901692</c:v>
                </c:pt>
                <c:pt idx="48">
                  <c:v>0.44580451834883261</c:v>
                </c:pt>
                <c:pt idx="49">
                  <c:v>0.36894808362934639</c:v>
                </c:pt>
                <c:pt idx="50">
                  <c:v>0.39649941097451946</c:v>
                </c:pt>
                <c:pt idx="51">
                  <c:v>0.48271129942679325</c:v>
                </c:pt>
                <c:pt idx="52">
                  <c:v>0.4692424633723784</c:v>
                </c:pt>
                <c:pt idx="53">
                  <c:v>0.53290148004185767</c:v>
                </c:pt>
                <c:pt idx="54">
                  <c:v>0.59908640886053255</c:v>
                </c:pt>
                <c:pt idx="55">
                  <c:v>0.66428199574640057</c:v>
                </c:pt>
                <c:pt idx="56">
                  <c:v>0.73314043853190403</c:v>
                </c:pt>
                <c:pt idx="57">
                  <c:v>0.73264918998398287</c:v>
                </c:pt>
                <c:pt idx="58">
                  <c:v>0.82277161320930037</c:v>
                </c:pt>
                <c:pt idx="59">
                  <c:v>0.79861209003345723</c:v>
                </c:pt>
                <c:pt idx="60">
                  <c:v>0.79845502572952798</c:v>
                </c:pt>
                <c:pt idx="61">
                  <c:v>0.90589071273304778</c:v>
                </c:pt>
                <c:pt idx="62">
                  <c:v>0.96688462298389655</c:v>
                </c:pt>
                <c:pt idx="63">
                  <c:v>1.0080643777773148</c:v>
                </c:pt>
                <c:pt idx="64">
                  <c:v>1.0755535051729201</c:v>
                </c:pt>
                <c:pt idx="65">
                  <c:v>1.1021676374207341</c:v>
                </c:pt>
                <c:pt idx="66">
                  <c:v>1.1274975440492465</c:v>
                </c:pt>
                <c:pt idx="67">
                  <c:v>1.0680777513119053</c:v>
                </c:pt>
                <c:pt idx="68">
                  <c:v>0.98818955476626558</c:v>
                </c:pt>
                <c:pt idx="69">
                  <c:v>1.1336040062953745</c:v>
                </c:pt>
                <c:pt idx="70">
                  <c:v>1.114711294100394</c:v>
                </c:pt>
                <c:pt idx="71">
                  <c:v>1.1758083102588999</c:v>
                </c:pt>
                <c:pt idx="72">
                  <c:v>1.20302320802206</c:v>
                </c:pt>
                <c:pt idx="73">
                  <c:v>1.3216744295302507</c:v>
                </c:pt>
                <c:pt idx="74">
                  <c:v>1.2786726704759812</c:v>
                </c:pt>
                <c:pt idx="75">
                  <c:v>1.533383887702874</c:v>
                </c:pt>
                <c:pt idx="76">
                  <c:v>1.4714039767189293</c:v>
                </c:pt>
                <c:pt idx="77">
                  <c:v>1.5260902562365719</c:v>
                </c:pt>
                <c:pt idx="78">
                  <c:v>1.4751728535277362</c:v>
                </c:pt>
                <c:pt idx="79">
                  <c:v>1.7177811531440148</c:v>
                </c:pt>
                <c:pt idx="80">
                  <c:v>1.5216749815977573</c:v>
                </c:pt>
                <c:pt idx="81">
                  <c:v>1.7622204388270526</c:v>
                </c:pt>
                <c:pt idx="82">
                  <c:v>1.9088032690136325</c:v>
                </c:pt>
                <c:pt idx="83">
                  <c:v>2.0968905382514831</c:v>
                </c:pt>
                <c:pt idx="84">
                  <c:v>1.7689769730900324</c:v>
                </c:pt>
                <c:pt idx="85">
                  <c:v>1.6789010260708741</c:v>
                </c:pt>
                <c:pt idx="86">
                  <c:v>1.7164494790187592</c:v>
                </c:pt>
                <c:pt idx="87">
                  <c:v>1.8856026655078963</c:v>
                </c:pt>
                <c:pt idx="88">
                  <c:v>1.9780574048296131</c:v>
                </c:pt>
                <c:pt idx="89">
                  <c:v>1.9170685818405913</c:v>
                </c:pt>
                <c:pt idx="90">
                  <c:v>1.702408155705855</c:v>
                </c:pt>
                <c:pt idx="91">
                  <c:v>1.9721337071176928</c:v>
                </c:pt>
                <c:pt idx="92">
                  <c:v>2.1302857805795696</c:v>
                </c:pt>
                <c:pt idx="93">
                  <c:v>2.3077058555400978</c:v>
                </c:pt>
                <c:pt idx="94">
                  <c:v>2.5029502068718612</c:v>
                </c:pt>
                <c:pt idx="95">
                  <c:v>2.5698585754514545</c:v>
                </c:pt>
                <c:pt idx="96">
                  <c:v>2.4108412167856392</c:v>
                </c:pt>
                <c:pt idx="97">
                  <c:v>2.4884232394844656</c:v>
                </c:pt>
                <c:pt idx="98">
                  <c:v>2.4765682431222378</c:v>
                </c:pt>
                <c:pt idx="99">
                  <c:v>2.5904756691318602</c:v>
                </c:pt>
                <c:pt idx="100">
                  <c:v>2.4872167474596858</c:v>
                </c:pt>
                <c:pt idx="101">
                  <c:v>2.7106202784770876</c:v>
                </c:pt>
                <c:pt idx="102">
                  <c:v>2.620436290226746</c:v>
                </c:pt>
                <c:pt idx="103">
                  <c:v>2.5612683074000384</c:v>
                </c:pt>
                <c:pt idx="104">
                  <c:v>2.6593245987508314</c:v>
                </c:pt>
                <c:pt idx="105">
                  <c:v>2.5979996252560515</c:v>
                </c:pt>
                <c:pt idx="106">
                  <c:v>2.6173723332270549</c:v>
                </c:pt>
                <c:pt idx="107">
                  <c:v>2.4735077698716008</c:v>
                </c:pt>
                <c:pt idx="108">
                  <c:v>2.5132674724420618</c:v>
                </c:pt>
                <c:pt idx="109">
                  <c:v>2.5300427528137877</c:v>
                </c:pt>
                <c:pt idx="110">
                  <c:v>2.3422727284327691</c:v>
                </c:pt>
                <c:pt idx="111">
                  <c:v>2.3456942941327923</c:v>
                </c:pt>
                <c:pt idx="112">
                  <c:v>2.4069786347566935</c:v>
                </c:pt>
                <c:pt idx="113">
                  <c:v>2.3553112533465548</c:v>
                </c:pt>
                <c:pt idx="114">
                  <c:v>2.3737797893779278</c:v>
                </c:pt>
                <c:pt idx="115">
                  <c:v>2.5082306749381358</c:v>
                </c:pt>
                <c:pt idx="116">
                  <c:v>2.6533859824936172</c:v>
                </c:pt>
                <c:pt idx="117">
                  <c:v>2.8014658542968407</c:v>
                </c:pt>
                <c:pt idx="118">
                  <c:v>2.4617369858801159</c:v>
                </c:pt>
                <c:pt idx="119">
                  <c:v>2.6439023077815307</c:v>
                </c:pt>
                <c:pt idx="120">
                  <c:v>2.5162020929449493</c:v>
                </c:pt>
                <c:pt idx="121">
                  <c:v>2.3599660389293358</c:v>
                </c:pt>
                <c:pt idx="122">
                  <c:v>2.2090533369293004</c:v>
                </c:pt>
                <c:pt idx="123">
                  <c:v>2.5564730069979644</c:v>
                </c:pt>
                <c:pt idx="124">
                  <c:v>2.8829904075756474</c:v>
                </c:pt>
                <c:pt idx="125">
                  <c:v>2.486299370732707</c:v>
                </c:pt>
                <c:pt idx="126">
                  <c:v>2.6187685666410854</c:v>
                </c:pt>
                <c:pt idx="127">
                  <c:v>2.6030618822277956</c:v>
                </c:pt>
                <c:pt idx="128">
                  <c:v>2.8844799885498853</c:v>
                </c:pt>
                <c:pt idx="129">
                  <c:v>2.9117392275072511</c:v>
                </c:pt>
                <c:pt idx="130">
                  <c:v>2.9355201851351107</c:v>
                </c:pt>
                <c:pt idx="131">
                  <c:v>2.5316188930383254</c:v>
                </c:pt>
                <c:pt idx="132">
                  <c:v>2.5976176101601016</c:v>
                </c:pt>
                <c:pt idx="133">
                  <c:v>2.8373353141601299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4A-451B-8C10-2458AFAA1DD2}"/>
            </c:ext>
          </c:extLst>
        </c:ser>
        <c:ser>
          <c:idx val="3"/>
          <c:order val="3"/>
          <c:tx>
            <c:strRef>
              <c:f>NN4再投資累積報酬!$A$15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NN4再投資累積報酬!$C$15:$EF$15</c:f>
              <c:numCache>
                <c:formatCode>General</c:formatCode>
                <c:ptCount val="134"/>
                <c:pt idx="0">
                  <c:v>-9.650314199451604E-2</c:v>
                </c:pt>
                <c:pt idx="1">
                  <c:v>0.24023890090365052</c:v>
                </c:pt>
                <c:pt idx="2">
                  <c:v>0.22759041591301465</c:v>
                </c:pt>
                <c:pt idx="3">
                  <c:v>0.33844747738587322</c:v>
                </c:pt>
                <c:pt idx="4">
                  <c:v>0.46774980207570849</c:v>
                </c:pt>
                <c:pt idx="5">
                  <c:v>0.64218364665351468</c:v>
                </c:pt>
                <c:pt idx="6">
                  <c:v>0.73813880890025585</c:v>
                </c:pt>
                <c:pt idx="7">
                  <c:v>0.62598679276701397</c:v>
                </c:pt>
                <c:pt idx="8">
                  <c:v>0.61913976238267221</c:v>
                </c:pt>
                <c:pt idx="9">
                  <c:v>0.64013498576751227</c:v>
                </c:pt>
                <c:pt idx="10">
                  <c:v>0.33098364611121389</c:v>
                </c:pt>
                <c:pt idx="11">
                  <c:v>0.77062032186475071</c:v>
                </c:pt>
                <c:pt idx="12">
                  <c:v>0.85225211587384231</c:v>
                </c:pt>
                <c:pt idx="13">
                  <c:v>0.73349278021021469</c:v>
                </c:pt>
                <c:pt idx="14">
                  <c:v>0.90749523831081946</c:v>
                </c:pt>
                <c:pt idx="15">
                  <c:v>0.93945570252776478</c:v>
                </c:pt>
                <c:pt idx="16">
                  <c:v>0.41535261996413242</c:v>
                </c:pt>
                <c:pt idx="17">
                  <c:v>0.34551954630088821</c:v>
                </c:pt>
                <c:pt idx="18">
                  <c:v>0.40847465669689664</c:v>
                </c:pt>
                <c:pt idx="19">
                  <c:v>0.2877959847212439</c:v>
                </c:pt>
                <c:pt idx="20">
                  <c:v>0.42550593322901631</c:v>
                </c:pt>
                <c:pt idx="21">
                  <c:v>0.24469001163701543</c:v>
                </c:pt>
                <c:pt idx="22">
                  <c:v>0.21458133366251952</c:v>
                </c:pt>
                <c:pt idx="23">
                  <c:v>0.18584895471713225</c:v>
                </c:pt>
                <c:pt idx="24">
                  <c:v>0.24109635308355326</c:v>
                </c:pt>
                <c:pt idx="25">
                  <c:v>0.14926093199859447</c:v>
                </c:pt>
                <c:pt idx="26">
                  <c:v>0.10322751521957718</c:v>
                </c:pt>
                <c:pt idx="27">
                  <c:v>0.1470150565896482</c:v>
                </c:pt>
                <c:pt idx="28">
                  <c:v>3.0807157476510749E-2</c:v>
                </c:pt>
                <c:pt idx="29">
                  <c:v>8.2114037529167794E-2</c:v>
                </c:pt>
                <c:pt idx="30">
                  <c:v>7.156883623344612E-2</c:v>
                </c:pt>
                <c:pt idx="31">
                  <c:v>5.6029159284155972E-2</c:v>
                </c:pt>
                <c:pt idx="32">
                  <c:v>0.13446825955996888</c:v>
                </c:pt>
                <c:pt idx="33">
                  <c:v>0.13921419407701219</c:v>
                </c:pt>
                <c:pt idx="34">
                  <c:v>9.706543340313134E-2</c:v>
                </c:pt>
                <c:pt idx="35">
                  <c:v>0.14155764061777232</c:v>
                </c:pt>
                <c:pt idx="36">
                  <c:v>0.14377625789231296</c:v>
                </c:pt>
                <c:pt idx="37">
                  <c:v>0.24998950972191425</c:v>
                </c:pt>
                <c:pt idx="38">
                  <c:v>0.29461701019485909</c:v>
                </c:pt>
                <c:pt idx="39">
                  <c:v>0.18268731500690683</c:v>
                </c:pt>
                <c:pt idx="40">
                  <c:v>0.15933243379127093</c:v>
                </c:pt>
                <c:pt idx="41">
                  <c:v>0.18779439284057675</c:v>
                </c:pt>
                <c:pt idx="42">
                  <c:v>0.123865898164224</c:v>
                </c:pt>
                <c:pt idx="43">
                  <c:v>0.19720375684351366</c:v>
                </c:pt>
                <c:pt idx="44">
                  <c:v>0.24502397908040408</c:v>
                </c:pt>
                <c:pt idx="45">
                  <c:v>0.18622545780706878</c:v>
                </c:pt>
                <c:pt idx="46">
                  <c:v>0.20480167641856495</c:v>
                </c:pt>
                <c:pt idx="47">
                  <c:v>0.35568378206325035</c:v>
                </c:pt>
                <c:pt idx="48">
                  <c:v>0.39379126208511139</c:v>
                </c:pt>
                <c:pt idx="49">
                  <c:v>0.26650567230067979</c:v>
                </c:pt>
                <c:pt idx="50">
                  <c:v>0.27994774900761943</c:v>
                </c:pt>
                <c:pt idx="51">
                  <c:v>0.422280940583178</c:v>
                </c:pt>
                <c:pt idx="52">
                  <c:v>0.51068301678114225</c:v>
                </c:pt>
                <c:pt idx="53">
                  <c:v>0.57556658096066204</c:v>
                </c:pt>
                <c:pt idx="54">
                  <c:v>0.63724452153148436</c:v>
                </c:pt>
                <c:pt idx="55">
                  <c:v>0.72103523710019823</c:v>
                </c:pt>
                <c:pt idx="56">
                  <c:v>0.72589685544078519</c:v>
                </c:pt>
                <c:pt idx="57">
                  <c:v>0.78381197762282495</c:v>
                </c:pt>
                <c:pt idx="58">
                  <c:v>0.9061576816572412</c:v>
                </c:pt>
                <c:pt idx="59">
                  <c:v>0.87638520911843076</c:v>
                </c:pt>
                <c:pt idx="60">
                  <c:v>0.85545156575341563</c:v>
                </c:pt>
                <c:pt idx="61">
                  <c:v>0.97187776716113938</c:v>
                </c:pt>
                <c:pt idx="62">
                  <c:v>1.1004577700122202</c:v>
                </c:pt>
                <c:pt idx="63">
                  <c:v>1.1847755425165563</c:v>
                </c:pt>
                <c:pt idx="64">
                  <c:v>1.2453691472674029</c:v>
                </c:pt>
                <c:pt idx="65">
                  <c:v>1.2772179588227388</c:v>
                </c:pt>
                <c:pt idx="66">
                  <c:v>1.3063730238826468</c:v>
                </c:pt>
                <c:pt idx="67">
                  <c:v>1.1906912824082223</c:v>
                </c:pt>
                <c:pt idx="68">
                  <c:v>1.1538355798107043</c:v>
                </c:pt>
                <c:pt idx="69">
                  <c:v>1.3456566196601134</c:v>
                </c:pt>
                <c:pt idx="70">
                  <c:v>1.3913416126813956</c:v>
                </c:pt>
                <c:pt idx="71">
                  <c:v>1.5329782343097991</c:v>
                </c:pt>
                <c:pt idx="72">
                  <c:v>1.4419280769991278</c:v>
                </c:pt>
                <c:pt idx="73">
                  <c:v>1.4924040637499676</c:v>
                </c:pt>
                <c:pt idx="74">
                  <c:v>1.2739320920325912</c:v>
                </c:pt>
                <c:pt idx="75">
                  <c:v>1.5079344143179374</c:v>
                </c:pt>
                <c:pt idx="76">
                  <c:v>1.4613068455308249</c:v>
                </c:pt>
                <c:pt idx="77">
                  <c:v>1.4983664818345606</c:v>
                </c:pt>
                <c:pt idx="78">
                  <c:v>1.1148615488012661</c:v>
                </c:pt>
                <c:pt idx="79">
                  <c:v>1.3689665711831345</c:v>
                </c:pt>
                <c:pt idx="80">
                  <c:v>1.0926502851234807</c:v>
                </c:pt>
                <c:pt idx="81">
                  <c:v>1.2987135470038744</c:v>
                </c:pt>
                <c:pt idx="82">
                  <c:v>1.2888316550272325</c:v>
                </c:pt>
                <c:pt idx="83">
                  <c:v>1.4327670270036901</c:v>
                </c:pt>
                <c:pt idx="84">
                  <c:v>1.3651286305795138</c:v>
                </c:pt>
                <c:pt idx="85">
                  <c:v>1.1592575319015705</c:v>
                </c:pt>
                <c:pt idx="86">
                  <c:v>1.2816283691377657</c:v>
                </c:pt>
                <c:pt idx="87">
                  <c:v>1.3533216386966984</c:v>
                </c:pt>
                <c:pt idx="88">
                  <c:v>1.5289526592018752</c:v>
                </c:pt>
                <c:pt idx="89">
                  <c:v>1.4211329986788681</c:v>
                </c:pt>
                <c:pt idx="90">
                  <c:v>1.1077196928901558</c:v>
                </c:pt>
                <c:pt idx="91">
                  <c:v>1.3765294847813818</c:v>
                </c:pt>
                <c:pt idx="92">
                  <c:v>1.4641671569220041</c:v>
                </c:pt>
                <c:pt idx="93">
                  <c:v>1.577963928671529</c:v>
                </c:pt>
                <c:pt idx="94">
                  <c:v>1.7331191323235511</c:v>
                </c:pt>
                <c:pt idx="95">
                  <c:v>1.7533293866643671</c:v>
                </c:pt>
                <c:pt idx="96">
                  <c:v>1.5793777257109491</c:v>
                </c:pt>
                <c:pt idx="97">
                  <c:v>1.5635355826099584</c:v>
                </c:pt>
                <c:pt idx="98">
                  <c:v>1.5240804003040003</c:v>
                </c:pt>
                <c:pt idx="99">
                  <c:v>1.5847583012983226</c:v>
                </c:pt>
                <c:pt idx="100">
                  <c:v>1.4749818764988492</c:v>
                </c:pt>
                <c:pt idx="101">
                  <c:v>1.6659145363626551</c:v>
                </c:pt>
                <c:pt idx="102">
                  <c:v>1.5955988132494472</c:v>
                </c:pt>
                <c:pt idx="103">
                  <c:v>1.5171426388843239</c:v>
                </c:pt>
                <c:pt idx="104">
                  <c:v>1.5796209054839787</c:v>
                </c:pt>
                <c:pt idx="105">
                  <c:v>1.4872283964202229</c:v>
                </c:pt>
                <c:pt idx="106">
                  <c:v>1.5492815481882816</c:v>
                </c:pt>
                <c:pt idx="107">
                  <c:v>1.4412141729807084</c:v>
                </c:pt>
                <c:pt idx="108">
                  <c:v>1.4807538637631237</c:v>
                </c:pt>
                <c:pt idx="109">
                  <c:v>1.4343414123288012</c:v>
                </c:pt>
                <c:pt idx="110">
                  <c:v>1.4058147066168147</c:v>
                </c:pt>
                <c:pt idx="111">
                  <c:v>1.2818603706116329</c:v>
                </c:pt>
                <c:pt idx="112">
                  <c:v>1.5140963311592528</c:v>
                </c:pt>
                <c:pt idx="113">
                  <c:v>1.6715679970473416</c:v>
                </c:pt>
                <c:pt idx="114">
                  <c:v>1.6079618451794762</c:v>
                </c:pt>
                <c:pt idx="115">
                  <c:v>1.7227030317818133</c:v>
                </c:pt>
                <c:pt idx="116">
                  <c:v>1.8487552713828586</c:v>
                </c:pt>
                <c:pt idx="117">
                  <c:v>1.9163721927194395</c:v>
                </c:pt>
                <c:pt idx="118">
                  <c:v>1.6256909163458899</c:v>
                </c:pt>
                <c:pt idx="119">
                  <c:v>1.7301556260174662</c:v>
                </c:pt>
                <c:pt idx="120">
                  <c:v>1.5034300796652742</c:v>
                </c:pt>
                <c:pt idx="121">
                  <c:v>1.3227734733641379</c:v>
                </c:pt>
                <c:pt idx="122">
                  <c:v>1.2164584382986341</c:v>
                </c:pt>
                <c:pt idx="123">
                  <c:v>1.5262491924473642</c:v>
                </c:pt>
                <c:pt idx="124">
                  <c:v>1.5907661286532644</c:v>
                </c:pt>
                <c:pt idx="125">
                  <c:v>1.2834591641614339</c:v>
                </c:pt>
                <c:pt idx="126">
                  <c:v>1.5267370004786311</c:v>
                </c:pt>
                <c:pt idx="127">
                  <c:v>1.4789305197304312</c:v>
                </c:pt>
                <c:pt idx="128">
                  <c:v>1.5588504744383038</c:v>
                </c:pt>
                <c:pt idx="129">
                  <c:v>1.6830022483142595</c:v>
                </c:pt>
                <c:pt idx="130">
                  <c:v>1.8191283885821043</c:v>
                </c:pt>
                <c:pt idx="131">
                  <c:v>1.4995602941487784</c:v>
                </c:pt>
                <c:pt idx="132">
                  <c:v>1.4434238193575166</c:v>
                </c:pt>
                <c:pt idx="133">
                  <c:v>1.5954250741405382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4A-451B-8C10-2458AFAA1DD2}"/>
            </c:ext>
          </c:extLst>
        </c:ser>
        <c:ser>
          <c:idx val="4"/>
          <c:order val="4"/>
          <c:tx>
            <c:strRef>
              <c:f>NN4再投資累積報酬!$A$16</c:f>
              <c:strCache>
                <c:ptCount val="1"/>
                <c:pt idx="0">
                  <c:v>107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NN4再投資累積報酬!$C$16:$EF$16</c:f>
              <c:numCache>
                <c:formatCode>General</c:formatCode>
                <c:ptCount val="134"/>
                <c:pt idx="0">
                  <c:v>-2.738364461037901E-2</c:v>
                </c:pt>
                <c:pt idx="1">
                  <c:v>0.36963392085182312</c:v>
                </c:pt>
                <c:pt idx="2">
                  <c:v>0.36575761496464887</c:v>
                </c:pt>
                <c:pt idx="3">
                  <c:v>0.51246669096076691</c:v>
                </c:pt>
                <c:pt idx="4">
                  <c:v>0.67734606260174579</c:v>
                </c:pt>
                <c:pt idx="5">
                  <c:v>0.79953867317265082</c:v>
                </c:pt>
                <c:pt idx="6">
                  <c:v>0.90306724635298496</c:v>
                </c:pt>
                <c:pt idx="7">
                  <c:v>0.77233900219159435</c:v>
                </c:pt>
                <c:pt idx="8">
                  <c:v>0.80410719417309973</c:v>
                </c:pt>
                <c:pt idx="9">
                  <c:v>0.86008242626128895</c:v>
                </c:pt>
                <c:pt idx="10">
                  <c:v>0.4975974167128443</c:v>
                </c:pt>
                <c:pt idx="11">
                  <c:v>1.0471975310777446</c:v>
                </c:pt>
                <c:pt idx="12">
                  <c:v>1.0791770311771023</c:v>
                </c:pt>
                <c:pt idx="13">
                  <c:v>0.95225318737349474</c:v>
                </c:pt>
                <c:pt idx="14">
                  <c:v>1.1408796734205011</c:v>
                </c:pt>
                <c:pt idx="15">
                  <c:v>1.18194697881813</c:v>
                </c:pt>
                <c:pt idx="16">
                  <c:v>0.55910016745516855</c:v>
                </c:pt>
                <c:pt idx="17">
                  <c:v>0.52288625493227947</c:v>
                </c:pt>
                <c:pt idx="18">
                  <c:v>0.59697416360598332</c:v>
                </c:pt>
                <c:pt idx="19">
                  <c:v>0.43038544884627772</c:v>
                </c:pt>
                <c:pt idx="20">
                  <c:v>0.54248968335557302</c:v>
                </c:pt>
                <c:pt idx="21">
                  <c:v>0.3505888754767339</c:v>
                </c:pt>
                <c:pt idx="22">
                  <c:v>0.34479680005153668</c:v>
                </c:pt>
                <c:pt idx="23">
                  <c:v>0.31779895833743543</c:v>
                </c:pt>
                <c:pt idx="24">
                  <c:v>0.38398892515048888</c:v>
                </c:pt>
                <c:pt idx="25">
                  <c:v>0.28570356764200189</c:v>
                </c:pt>
                <c:pt idx="26">
                  <c:v>0.23293815037002208</c:v>
                </c:pt>
                <c:pt idx="27">
                  <c:v>0.27585796032255283</c:v>
                </c:pt>
                <c:pt idx="28">
                  <c:v>0.15273465550324872</c:v>
                </c:pt>
                <c:pt idx="29">
                  <c:v>0.17003758692723769</c:v>
                </c:pt>
                <c:pt idx="30">
                  <c:v>0.16032445489727309</c:v>
                </c:pt>
                <c:pt idx="31">
                  <c:v>0.10914434814090646</c:v>
                </c:pt>
                <c:pt idx="32">
                  <c:v>0.20954754520592656</c:v>
                </c:pt>
                <c:pt idx="33">
                  <c:v>0.18822322198394592</c:v>
                </c:pt>
                <c:pt idx="34">
                  <c:v>0.17873367525877493</c:v>
                </c:pt>
                <c:pt idx="35">
                  <c:v>0.23612496032149832</c:v>
                </c:pt>
                <c:pt idx="36">
                  <c:v>0.26546136461593739</c:v>
                </c:pt>
                <c:pt idx="37">
                  <c:v>0.40017757285324551</c:v>
                </c:pt>
                <c:pt idx="38">
                  <c:v>0.45624426110186445</c:v>
                </c:pt>
                <c:pt idx="39">
                  <c:v>0.34295083396676107</c:v>
                </c:pt>
                <c:pt idx="40">
                  <c:v>0.31067629344107539</c:v>
                </c:pt>
                <c:pt idx="41">
                  <c:v>0.35326307882896124</c:v>
                </c:pt>
                <c:pt idx="42">
                  <c:v>0.26520865169012042</c:v>
                </c:pt>
                <c:pt idx="43">
                  <c:v>0.34095307408754416</c:v>
                </c:pt>
                <c:pt idx="44">
                  <c:v>0.39704090142480841</c:v>
                </c:pt>
                <c:pt idx="45">
                  <c:v>0.38436623837466843</c:v>
                </c:pt>
                <c:pt idx="46">
                  <c:v>0.43870666952729653</c:v>
                </c:pt>
                <c:pt idx="47">
                  <c:v>0.58377113678032533</c:v>
                </c:pt>
                <c:pt idx="48">
                  <c:v>0.63732254063559202</c:v>
                </c:pt>
                <c:pt idx="49">
                  <c:v>0.46555163022762991</c:v>
                </c:pt>
                <c:pt idx="50">
                  <c:v>0.47992605159389812</c:v>
                </c:pt>
                <c:pt idx="51">
                  <c:v>0.63981567003371254</c:v>
                </c:pt>
                <c:pt idx="52">
                  <c:v>0.74821116737259152</c:v>
                </c:pt>
                <c:pt idx="53">
                  <c:v>0.81103612781578827</c:v>
                </c:pt>
                <c:pt idx="54">
                  <c:v>0.90414329603111732</c:v>
                </c:pt>
                <c:pt idx="55">
                  <c:v>1.0265188808129726</c:v>
                </c:pt>
                <c:pt idx="56">
                  <c:v>1.0545776946393799</c:v>
                </c:pt>
                <c:pt idx="57">
                  <c:v>1.043457333821129</c:v>
                </c:pt>
                <c:pt idx="58">
                  <c:v>1.1504032270159579</c:v>
                </c:pt>
                <c:pt idx="59">
                  <c:v>1.1063117543144059</c:v>
                </c:pt>
                <c:pt idx="60">
                  <c:v>1.101840155957861</c:v>
                </c:pt>
                <c:pt idx="61">
                  <c:v>1.2502796023188618</c:v>
                </c:pt>
                <c:pt idx="62">
                  <c:v>1.4552962138827295</c:v>
                </c:pt>
                <c:pt idx="63">
                  <c:v>1.5729192232982969</c:v>
                </c:pt>
                <c:pt idx="64">
                  <c:v>1.6292413512279822</c:v>
                </c:pt>
                <c:pt idx="65">
                  <c:v>1.6601275699268396</c:v>
                </c:pt>
                <c:pt idx="66">
                  <c:v>1.6955403951568004</c:v>
                </c:pt>
                <c:pt idx="67">
                  <c:v>1.6246561790496981</c:v>
                </c:pt>
                <c:pt idx="68">
                  <c:v>1.59003283507682</c:v>
                </c:pt>
                <c:pt idx="69">
                  <c:v>1.8114371073075732</c:v>
                </c:pt>
                <c:pt idx="70">
                  <c:v>1.9738400815888317</c:v>
                </c:pt>
                <c:pt idx="71">
                  <c:v>2.1635190019450166</c:v>
                </c:pt>
                <c:pt idx="72">
                  <c:v>1.9555463288256862</c:v>
                </c:pt>
                <c:pt idx="73">
                  <c:v>2.0488211174218023</c:v>
                </c:pt>
                <c:pt idx="74">
                  <c:v>1.8129802420125771</c:v>
                </c:pt>
                <c:pt idx="75">
                  <c:v>2.1267002503214045</c:v>
                </c:pt>
                <c:pt idx="76">
                  <c:v>2.0731833246488294</c:v>
                </c:pt>
                <c:pt idx="77">
                  <c:v>2.0687946806011182</c:v>
                </c:pt>
                <c:pt idx="78">
                  <c:v>1.580633794322976</c:v>
                </c:pt>
                <c:pt idx="79">
                  <c:v>1.9808159584106031</c:v>
                </c:pt>
                <c:pt idx="80">
                  <c:v>1.5855744851908802</c:v>
                </c:pt>
                <c:pt idx="81">
                  <c:v>1.857580189224322</c:v>
                </c:pt>
                <c:pt idx="82">
                  <c:v>1.8760059278573138</c:v>
                </c:pt>
                <c:pt idx="83">
                  <c:v>1.9959279397195444</c:v>
                </c:pt>
                <c:pt idx="84">
                  <c:v>1.8799559232062468</c:v>
                </c:pt>
                <c:pt idx="85">
                  <c:v>1.748850103469926</c:v>
                </c:pt>
                <c:pt idx="86">
                  <c:v>1.959062872674953</c:v>
                </c:pt>
                <c:pt idx="87">
                  <c:v>2.0182304281250176</c:v>
                </c:pt>
                <c:pt idx="88">
                  <c:v>2.2868186133629758</c:v>
                </c:pt>
                <c:pt idx="89">
                  <c:v>2.178164557286173</c:v>
                </c:pt>
                <c:pt idx="90">
                  <c:v>1.6350839576136704</c:v>
                </c:pt>
                <c:pt idx="91">
                  <c:v>1.9977079165761382</c:v>
                </c:pt>
                <c:pt idx="92">
                  <c:v>2.1202487493591531</c:v>
                </c:pt>
                <c:pt idx="93">
                  <c:v>2.2709560359471102</c:v>
                </c:pt>
                <c:pt idx="94">
                  <c:v>2.4833994041368044</c:v>
                </c:pt>
                <c:pt idx="95">
                  <c:v>2.5010512049223528</c:v>
                </c:pt>
                <c:pt idx="96">
                  <c:v>2.2765870169096112</c:v>
                </c:pt>
                <c:pt idx="97">
                  <c:v>2.2180640291706037</c:v>
                </c:pt>
                <c:pt idx="98">
                  <c:v>2.1780849192217437</c:v>
                </c:pt>
                <c:pt idx="99">
                  <c:v>2.2169855836062053</c:v>
                </c:pt>
                <c:pt idx="100">
                  <c:v>2.0589767446887435</c:v>
                </c:pt>
                <c:pt idx="101">
                  <c:v>2.3729294977462634</c:v>
                </c:pt>
                <c:pt idx="102">
                  <c:v>2.2724000289999249</c:v>
                </c:pt>
                <c:pt idx="103">
                  <c:v>2.1326287233724632</c:v>
                </c:pt>
                <c:pt idx="104">
                  <c:v>2.2433913300797212</c:v>
                </c:pt>
                <c:pt idx="105">
                  <c:v>2.0488622037211437</c:v>
                </c:pt>
                <c:pt idx="106">
                  <c:v>1.9537586546359438</c:v>
                </c:pt>
                <c:pt idx="107">
                  <c:v>1.8853896771719958</c:v>
                </c:pt>
                <c:pt idx="108">
                  <c:v>1.9270920630724562</c:v>
                </c:pt>
                <c:pt idx="109">
                  <c:v>1.8710987137819255</c:v>
                </c:pt>
                <c:pt idx="110">
                  <c:v>1.8331042422397741</c:v>
                </c:pt>
                <c:pt idx="111">
                  <c:v>1.7292903991179269</c:v>
                </c:pt>
                <c:pt idx="112">
                  <c:v>2.0939081940324606</c:v>
                </c:pt>
                <c:pt idx="113">
                  <c:v>2.3151052264121916</c:v>
                </c:pt>
                <c:pt idx="114">
                  <c:v>2.21455493634627</c:v>
                </c:pt>
                <c:pt idx="115">
                  <c:v>2.3509737473506913</c:v>
                </c:pt>
                <c:pt idx="116">
                  <c:v>2.5266045123030265</c:v>
                </c:pt>
                <c:pt idx="117">
                  <c:v>2.5965792176954099</c:v>
                </c:pt>
                <c:pt idx="118">
                  <c:v>2.2979420886863853</c:v>
                </c:pt>
                <c:pt idx="119">
                  <c:v>2.4799596404286035</c:v>
                </c:pt>
                <c:pt idx="120">
                  <c:v>2.1537062380574192</c:v>
                </c:pt>
                <c:pt idx="121">
                  <c:v>1.8361490730947883</c:v>
                </c:pt>
                <c:pt idx="122">
                  <c:v>1.6532919528253509</c:v>
                </c:pt>
                <c:pt idx="123">
                  <c:v>2.0166701878975624</c:v>
                </c:pt>
                <c:pt idx="124">
                  <c:v>2.1401054832390702</c:v>
                </c:pt>
                <c:pt idx="125">
                  <c:v>1.7466982899451522</c:v>
                </c:pt>
                <c:pt idx="126">
                  <c:v>2.0662885426710975</c:v>
                </c:pt>
                <c:pt idx="127">
                  <c:v>1.9703839911564827</c:v>
                </c:pt>
                <c:pt idx="128">
                  <c:v>2.1089861822310185</c:v>
                </c:pt>
                <c:pt idx="129">
                  <c:v>2.3514180316636049</c:v>
                </c:pt>
                <c:pt idx="130">
                  <c:v>2.5227346531652457</c:v>
                </c:pt>
                <c:pt idx="131">
                  <c:v>2.1161520771951734</c:v>
                </c:pt>
                <c:pt idx="132">
                  <c:v>2.0131374818852028</c:v>
                </c:pt>
                <c:pt idx="133">
                  <c:v>2.1333433074999015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4A-451B-8C10-2458AFAA1DD2}"/>
            </c:ext>
          </c:extLst>
        </c:ser>
        <c:ser>
          <c:idx val="5"/>
          <c:order val="5"/>
          <c:tx>
            <c:strRef>
              <c:f>NN4再投資累積報酬!$A$17</c:f>
              <c:strCache>
                <c:ptCount val="1"/>
                <c:pt idx="0">
                  <c:v>120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NN4再投資累積報酬!$C$17:$EF$17</c:f>
              <c:numCache>
                <c:formatCode>General</c:formatCode>
                <c:ptCount val="134"/>
                <c:pt idx="0">
                  <c:v>-4.5056429492109085E-2</c:v>
                </c:pt>
                <c:pt idx="1">
                  <c:v>0.37472566288415265</c:v>
                </c:pt>
                <c:pt idx="2">
                  <c:v>0.3848697656062039</c:v>
                </c:pt>
                <c:pt idx="3">
                  <c:v>0.58812987084375745</c:v>
                </c:pt>
                <c:pt idx="4">
                  <c:v>0.77415169145659779</c:v>
                </c:pt>
                <c:pt idx="5">
                  <c:v>0.96042830476316032</c:v>
                </c:pt>
                <c:pt idx="6">
                  <c:v>1.183378068226546</c:v>
                </c:pt>
                <c:pt idx="7">
                  <c:v>0.93163812494938614</c:v>
                </c:pt>
                <c:pt idx="8">
                  <c:v>1.0078291762403584</c:v>
                </c:pt>
                <c:pt idx="9">
                  <c:v>1.0756433556892295</c:v>
                </c:pt>
                <c:pt idx="10">
                  <c:v>0.60459711200453525</c:v>
                </c:pt>
                <c:pt idx="11">
                  <c:v>1.2546326400037464</c:v>
                </c:pt>
                <c:pt idx="12">
                  <c:v>1.3101690330213986</c:v>
                </c:pt>
                <c:pt idx="13">
                  <c:v>1.152128580664149</c:v>
                </c:pt>
                <c:pt idx="14">
                  <c:v>1.3811847368096135</c:v>
                </c:pt>
                <c:pt idx="15">
                  <c:v>1.3858875766648127</c:v>
                </c:pt>
                <c:pt idx="16">
                  <c:v>0.64470341104425755</c:v>
                </c:pt>
                <c:pt idx="17">
                  <c:v>0.60603910649364989</c:v>
                </c:pt>
                <c:pt idx="18">
                  <c:v>0.6900162815586548</c:v>
                </c:pt>
                <c:pt idx="19">
                  <c:v>0.49337422586586221</c:v>
                </c:pt>
                <c:pt idx="20">
                  <c:v>0.61156303552111635</c:v>
                </c:pt>
                <c:pt idx="21">
                  <c:v>0.35820497673286367</c:v>
                </c:pt>
                <c:pt idx="22">
                  <c:v>0.36024109576860841</c:v>
                </c:pt>
                <c:pt idx="23">
                  <c:v>0.33084832605069248</c:v>
                </c:pt>
                <c:pt idx="24">
                  <c:v>0.41370178579334516</c:v>
                </c:pt>
                <c:pt idx="25">
                  <c:v>0.33123437568270653</c:v>
                </c:pt>
                <c:pt idx="26">
                  <c:v>0.27692117798493077</c:v>
                </c:pt>
                <c:pt idx="27">
                  <c:v>0.36454334960310941</c:v>
                </c:pt>
                <c:pt idx="28">
                  <c:v>0.19103016990672583</c:v>
                </c:pt>
                <c:pt idx="29">
                  <c:v>0.20104986008983738</c:v>
                </c:pt>
                <c:pt idx="30">
                  <c:v>0.19942694146639095</c:v>
                </c:pt>
                <c:pt idx="31">
                  <c:v>0.16113778514232702</c:v>
                </c:pt>
                <c:pt idx="32">
                  <c:v>0.29451202197492354</c:v>
                </c:pt>
                <c:pt idx="33">
                  <c:v>0.28121333815917238</c:v>
                </c:pt>
                <c:pt idx="34">
                  <c:v>0.26414165088320329</c:v>
                </c:pt>
                <c:pt idx="35">
                  <c:v>0.32826448490625304</c:v>
                </c:pt>
                <c:pt idx="36">
                  <c:v>0.36528205386916612</c:v>
                </c:pt>
                <c:pt idx="37">
                  <c:v>0.51995092621196415</c:v>
                </c:pt>
                <c:pt idx="38">
                  <c:v>0.5666193094565104</c:v>
                </c:pt>
                <c:pt idx="39">
                  <c:v>0.44560922487002208</c:v>
                </c:pt>
                <c:pt idx="40">
                  <c:v>0.43226570962101252</c:v>
                </c:pt>
                <c:pt idx="41">
                  <c:v>0.48239017556097807</c:v>
                </c:pt>
                <c:pt idx="42">
                  <c:v>0.39889668054847194</c:v>
                </c:pt>
                <c:pt idx="43">
                  <c:v>0.47201394149053821</c:v>
                </c:pt>
                <c:pt idx="44">
                  <c:v>0.54951287187504172</c:v>
                </c:pt>
                <c:pt idx="45">
                  <c:v>0.51618538664979696</c:v>
                </c:pt>
                <c:pt idx="46">
                  <c:v>0.54524152363656064</c:v>
                </c:pt>
                <c:pt idx="47">
                  <c:v>0.69395643090233095</c:v>
                </c:pt>
                <c:pt idx="48">
                  <c:v>0.74041097827048952</c:v>
                </c:pt>
                <c:pt idx="49">
                  <c:v>0.52266672510122891</c:v>
                </c:pt>
                <c:pt idx="50">
                  <c:v>0.53762719839578943</c:v>
                </c:pt>
                <c:pt idx="51">
                  <c:v>0.72793018802360954</c:v>
                </c:pt>
                <c:pt idx="52">
                  <c:v>0.87085864904397403</c:v>
                </c:pt>
                <c:pt idx="53">
                  <c:v>0.91268446721648422</c:v>
                </c:pt>
                <c:pt idx="54">
                  <c:v>1.0606310740806544</c:v>
                </c:pt>
                <c:pt idx="55">
                  <c:v>1.1743727508045261</c:v>
                </c:pt>
                <c:pt idx="56">
                  <c:v>1.0974124883191556</c:v>
                </c:pt>
                <c:pt idx="57">
                  <c:v>1.0937810602917462</c:v>
                </c:pt>
                <c:pt idx="58">
                  <c:v>1.3018304361884332</c:v>
                </c:pt>
                <c:pt idx="59">
                  <c:v>1.2791388438023956</c:v>
                </c:pt>
                <c:pt idx="60">
                  <c:v>1.2476344168033995</c:v>
                </c:pt>
                <c:pt idx="61">
                  <c:v>1.4138049628540403</c:v>
                </c:pt>
                <c:pt idx="62">
                  <c:v>1.5972487583220989</c:v>
                </c:pt>
                <c:pt idx="63">
                  <c:v>1.7212144531837938</c:v>
                </c:pt>
                <c:pt idx="64">
                  <c:v>1.7753287434259963</c:v>
                </c:pt>
                <c:pt idx="65">
                  <c:v>1.8498116315707005</c:v>
                </c:pt>
                <c:pt idx="66">
                  <c:v>1.8822325433676839</c:v>
                </c:pt>
                <c:pt idx="67">
                  <c:v>1.8795868112457041</c:v>
                </c:pt>
                <c:pt idx="68">
                  <c:v>1.8677705157144473</c:v>
                </c:pt>
                <c:pt idx="69">
                  <c:v>2.1815515809752881</c:v>
                </c:pt>
                <c:pt idx="70">
                  <c:v>2.4078484051730684</c:v>
                </c:pt>
                <c:pt idx="71">
                  <c:v>2.6615521573301155</c:v>
                </c:pt>
                <c:pt idx="72">
                  <c:v>2.3670472465445176</c:v>
                </c:pt>
                <c:pt idx="73">
                  <c:v>2.4640955302044367</c:v>
                </c:pt>
                <c:pt idx="74">
                  <c:v>2.1170552686781843</c:v>
                </c:pt>
                <c:pt idx="75">
                  <c:v>2.4929040447548205</c:v>
                </c:pt>
                <c:pt idx="76">
                  <c:v>2.3953303558203043</c:v>
                </c:pt>
                <c:pt idx="77">
                  <c:v>2.3907965361084531</c:v>
                </c:pt>
                <c:pt idx="78">
                  <c:v>1.7975496439396901</c:v>
                </c:pt>
                <c:pt idx="79">
                  <c:v>2.2814131064032201</c:v>
                </c:pt>
                <c:pt idx="80">
                  <c:v>1.7067843632555388</c:v>
                </c:pt>
                <c:pt idx="81">
                  <c:v>1.9740690263797172</c:v>
                </c:pt>
                <c:pt idx="82">
                  <c:v>1.9674599106334201</c:v>
                </c:pt>
                <c:pt idx="83">
                  <c:v>2.1414612152418377</c:v>
                </c:pt>
                <c:pt idx="84">
                  <c:v>2.0958120611855411</c:v>
                </c:pt>
                <c:pt idx="85">
                  <c:v>1.9387233703214513</c:v>
                </c:pt>
                <c:pt idx="86">
                  <c:v>2.2083176577511927</c:v>
                </c:pt>
                <c:pt idx="87">
                  <c:v>2.178074949380659</c:v>
                </c:pt>
                <c:pt idx="88">
                  <c:v>2.605746411873223</c:v>
                </c:pt>
                <c:pt idx="89">
                  <c:v>2.5094078587458424</c:v>
                </c:pt>
                <c:pt idx="90">
                  <c:v>1.7986172085295125</c:v>
                </c:pt>
                <c:pt idx="91">
                  <c:v>2.2132582889083552</c:v>
                </c:pt>
                <c:pt idx="92">
                  <c:v>2.3452844307840386</c:v>
                </c:pt>
                <c:pt idx="93">
                  <c:v>2.5083257038939273</c:v>
                </c:pt>
                <c:pt idx="94">
                  <c:v>2.8347400491746635</c:v>
                </c:pt>
                <c:pt idx="95">
                  <c:v>3.0236395602349049</c:v>
                </c:pt>
                <c:pt idx="96">
                  <c:v>2.7242473502327975</c:v>
                </c:pt>
                <c:pt idx="97">
                  <c:v>2.7386959698230147</c:v>
                </c:pt>
                <c:pt idx="98">
                  <c:v>2.6648124062558858</c:v>
                </c:pt>
                <c:pt idx="99">
                  <c:v>2.7042912113523325</c:v>
                </c:pt>
                <c:pt idx="100">
                  <c:v>2.5213610919307334</c:v>
                </c:pt>
                <c:pt idx="101">
                  <c:v>2.958886115244955</c:v>
                </c:pt>
                <c:pt idx="102">
                  <c:v>2.785107407958535</c:v>
                </c:pt>
                <c:pt idx="103">
                  <c:v>2.6530714653960672</c:v>
                </c:pt>
                <c:pt idx="104">
                  <c:v>2.8114813165583574</c:v>
                </c:pt>
                <c:pt idx="105">
                  <c:v>2.4869949212029754</c:v>
                </c:pt>
                <c:pt idx="106">
                  <c:v>2.3712931844854266</c:v>
                </c:pt>
                <c:pt idx="107">
                  <c:v>2.3334289422507282</c:v>
                </c:pt>
                <c:pt idx="108">
                  <c:v>2.3565448600156831</c:v>
                </c:pt>
                <c:pt idx="109">
                  <c:v>2.2265571188640747</c:v>
                </c:pt>
                <c:pt idx="110">
                  <c:v>2.2094781637092877</c:v>
                </c:pt>
                <c:pt idx="111">
                  <c:v>2.0639727560555419</c:v>
                </c:pt>
                <c:pt idx="112">
                  <c:v>2.5420641207568586</c:v>
                </c:pt>
                <c:pt idx="113">
                  <c:v>2.8024610931522917</c:v>
                </c:pt>
                <c:pt idx="114">
                  <c:v>2.6037714336590692</c:v>
                </c:pt>
                <c:pt idx="115">
                  <c:v>2.7316657959631958</c:v>
                </c:pt>
                <c:pt idx="116">
                  <c:v>2.9311284464079748</c:v>
                </c:pt>
                <c:pt idx="117">
                  <c:v>2.8647764651196859</c:v>
                </c:pt>
                <c:pt idx="118">
                  <c:v>2.4485304984791796</c:v>
                </c:pt>
                <c:pt idx="119">
                  <c:v>2.6412509869820604</c:v>
                </c:pt>
                <c:pt idx="120">
                  <c:v>2.1885846473949733</c:v>
                </c:pt>
                <c:pt idx="121">
                  <c:v>1.8889207850962735</c:v>
                </c:pt>
                <c:pt idx="122">
                  <c:v>1.6816964574573374</c:v>
                </c:pt>
                <c:pt idx="123">
                  <c:v>1.9975075083825367</c:v>
                </c:pt>
                <c:pt idx="124">
                  <c:v>2.1434306204356521</c:v>
                </c:pt>
                <c:pt idx="125">
                  <c:v>1.7362338160018149</c:v>
                </c:pt>
                <c:pt idx="126">
                  <c:v>2.0183961030081821</c:v>
                </c:pt>
                <c:pt idx="127">
                  <c:v>1.87307452059021</c:v>
                </c:pt>
                <c:pt idx="128">
                  <c:v>1.9070282965350636</c:v>
                </c:pt>
                <c:pt idx="129">
                  <c:v>2.1602314762822559</c:v>
                </c:pt>
                <c:pt idx="130">
                  <c:v>2.2121389647332239</c:v>
                </c:pt>
                <c:pt idx="131">
                  <c:v>1.7999430182614393</c:v>
                </c:pt>
                <c:pt idx="132">
                  <c:v>1.7287870574907975</c:v>
                </c:pt>
                <c:pt idx="133">
                  <c:v>1.8589768522231829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4A-451B-8C10-2458AFAA1DD2}"/>
            </c:ext>
          </c:extLst>
        </c:ser>
        <c:ser>
          <c:idx val="6"/>
          <c:order val="6"/>
          <c:tx>
            <c:strRef>
              <c:f>NN4再投資累積報酬!$A$18</c:f>
              <c:strCache>
                <c:ptCount val="1"/>
                <c:pt idx="0">
                  <c:v>137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NN4再投資累積報酬!$C$18:$EF$18</c:f>
              <c:numCache>
                <c:formatCode>General</c:formatCode>
                <c:ptCount val="134"/>
                <c:pt idx="0">
                  <c:v>-5.3942228163147199E-2</c:v>
                </c:pt>
                <c:pt idx="1">
                  <c:v>0.32626325341373463</c:v>
                </c:pt>
                <c:pt idx="2">
                  <c:v>0.24801284997711748</c:v>
                </c:pt>
                <c:pt idx="3">
                  <c:v>0.51270496505406427</c:v>
                </c:pt>
                <c:pt idx="4">
                  <c:v>0.71398354279777432</c:v>
                </c:pt>
                <c:pt idx="5">
                  <c:v>0.93429898738900041</c:v>
                </c:pt>
                <c:pt idx="6">
                  <c:v>1.196396848785843</c:v>
                </c:pt>
                <c:pt idx="7">
                  <c:v>0.92149393656593648</c:v>
                </c:pt>
                <c:pt idx="8">
                  <c:v>0.98218487155063916</c:v>
                </c:pt>
                <c:pt idx="9">
                  <c:v>1.0746965543678484</c:v>
                </c:pt>
                <c:pt idx="10">
                  <c:v>0.548734303165614</c:v>
                </c:pt>
                <c:pt idx="11">
                  <c:v>1.2639714427968305</c:v>
                </c:pt>
                <c:pt idx="12">
                  <c:v>1.3190406075959125</c:v>
                </c:pt>
                <c:pt idx="13">
                  <c:v>1.1331134189349346</c:v>
                </c:pt>
                <c:pt idx="14">
                  <c:v>1.3927959039816775</c:v>
                </c:pt>
                <c:pt idx="15">
                  <c:v>1.4390404449339727</c:v>
                </c:pt>
                <c:pt idx="16">
                  <c:v>0.50310104292824209</c:v>
                </c:pt>
                <c:pt idx="17">
                  <c:v>0.49554108886847437</c:v>
                </c:pt>
                <c:pt idx="18">
                  <c:v>0.53761600091651918</c:v>
                </c:pt>
                <c:pt idx="19">
                  <c:v>0.33579928794822322</c:v>
                </c:pt>
                <c:pt idx="20">
                  <c:v>0.43905256550875693</c:v>
                </c:pt>
                <c:pt idx="21">
                  <c:v>0.21477877392141953</c:v>
                </c:pt>
                <c:pt idx="22">
                  <c:v>0.24419082405577996</c:v>
                </c:pt>
                <c:pt idx="23">
                  <c:v>0.2231570672089318</c:v>
                </c:pt>
                <c:pt idx="24">
                  <c:v>0.29019288922421271</c:v>
                </c:pt>
                <c:pt idx="25">
                  <c:v>0.2105699252586295</c:v>
                </c:pt>
                <c:pt idx="26">
                  <c:v>0.12011631338186546</c:v>
                </c:pt>
                <c:pt idx="27">
                  <c:v>0.22796767271553553</c:v>
                </c:pt>
                <c:pt idx="28">
                  <c:v>5.171840415124862E-2</c:v>
                </c:pt>
                <c:pt idx="29">
                  <c:v>4.9878347680442747E-2</c:v>
                </c:pt>
                <c:pt idx="30">
                  <c:v>4.0830646062753884E-2</c:v>
                </c:pt>
                <c:pt idx="31">
                  <c:v>3.4493620995024177E-3</c:v>
                </c:pt>
                <c:pt idx="32">
                  <c:v>0.12194311352211096</c:v>
                </c:pt>
                <c:pt idx="33">
                  <c:v>0.11372135410863327</c:v>
                </c:pt>
                <c:pt idx="34">
                  <c:v>0.14411624178971327</c:v>
                </c:pt>
                <c:pt idx="35">
                  <c:v>0.1965855563333212</c:v>
                </c:pt>
                <c:pt idx="36">
                  <c:v>0.20838269333321158</c:v>
                </c:pt>
                <c:pt idx="37">
                  <c:v>0.3042009639291654</c:v>
                </c:pt>
                <c:pt idx="38">
                  <c:v>0.36506634608592869</c:v>
                </c:pt>
                <c:pt idx="39">
                  <c:v>0.25821087461809533</c:v>
                </c:pt>
                <c:pt idx="40">
                  <c:v>0.27933389852559443</c:v>
                </c:pt>
                <c:pt idx="41">
                  <c:v>0.35826167234718875</c:v>
                </c:pt>
                <c:pt idx="42">
                  <c:v>0.24168675690170249</c:v>
                </c:pt>
                <c:pt idx="43">
                  <c:v>0.2954836425180758</c:v>
                </c:pt>
                <c:pt idx="44">
                  <c:v>0.38398504809458167</c:v>
                </c:pt>
                <c:pt idx="45">
                  <c:v>0.34416952010200186</c:v>
                </c:pt>
                <c:pt idx="46">
                  <c:v>0.37715279781211786</c:v>
                </c:pt>
                <c:pt idx="47">
                  <c:v>0.52528054846574301</c:v>
                </c:pt>
                <c:pt idx="48">
                  <c:v>0.57833480678895022</c:v>
                </c:pt>
                <c:pt idx="49">
                  <c:v>0.34409558641094184</c:v>
                </c:pt>
                <c:pt idx="50">
                  <c:v>0.34340724063440753</c:v>
                </c:pt>
                <c:pt idx="51">
                  <c:v>0.52224230278614581</c:v>
                </c:pt>
                <c:pt idx="52">
                  <c:v>0.64889525624603084</c:v>
                </c:pt>
                <c:pt idx="53">
                  <c:v>0.60929493978812532</c:v>
                </c:pt>
                <c:pt idx="54">
                  <c:v>0.7193082943300777</c:v>
                </c:pt>
                <c:pt idx="55">
                  <c:v>0.79819795817143313</c:v>
                </c:pt>
                <c:pt idx="56">
                  <c:v>0.73627767852226089</c:v>
                </c:pt>
                <c:pt idx="57">
                  <c:v>0.78839377539709043</c:v>
                </c:pt>
                <c:pt idx="58">
                  <c:v>0.98332870928867178</c:v>
                </c:pt>
                <c:pt idx="59">
                  <c:v>0.99514154211431016</c:v>
                </c:pt>
                <c:pt idx="60">
                  <c:v>0.89389798204124382</c:v>
                </c:pt>
                <c:pt idx="61">
                  <c:v>1.0476023367164897</c:v>
                </c:pt>
                <c:pt idx="62">
                  <c:v>1.2580424944963471</c:v>
                </c:pt>
                <c:pt idx="63">
                  <c:v>1.3772093088880628</c:v>
                </c:pt>
                <c:pt idx="64">
                  <c:v>1.4252943009276335</c:v>
                </c:pt>
                <c:pt idx="65">
                  <c:v>1.5389376264568244</c:v>
                </c:pt>
                <c:pt idx="66">
                  <c:v>1.5438042217551149</c:v>
                </c:pt>
                <c:pt idx="67">
                  <c:v>1.5291819426487852</c:v>
                </c:pt>
                <c:pt idx="68">
                  <c:v>1.4748116090967009</c:v>
                </c:pt>
                <c:pt idx="69">
                  <c:v>1.8283905859661251</c:v>
                </c:pt>
                <c:pt idx="70">
                  <c:v>2.0565779091887855</c:v>
                </c:pt>
                <c:pt idx="71">
                  <c:v>2.303926571529145</c:v>
                </c:pt>
                <c:pt idx="72">
                  <c:v>2.0220650045645279</c:v>
                </c:pt>
                <c:pt idx="73">
                  <c:v>2.0795400714440544</c:v>
                </c:pt>
                <c:pt idx="74">
                  <c:v>1.7005257516019618</c:v>
                </c:pt>
                <c:pt idx="75">
                  <c:v>2.114570326898177</c:v>
                </c:pt>
                <c:pt idx="76">
                  <c:v>2.0644988003303966</c:v>
                </c:pt>
                <c:pt idx="77">
                  <c:v>1.9891815204762562</c:v>
                </c:pt>
                <c:pt idx="78">
                  <c:v>1.9049659822452929</c:v>
                </c:pt>
                <c:pt idx="79">
                  <c:v>2.4677067506031167</c:v>
                </c:pt>
                <c:pt idx="80">
                  <c:v>1.8872336712176043</c:v>
                </c:pt>
                <c:pt idx="81">
                  <c:v>2.0877166835113115</c:v>
                </c:pt>
                <c:pt idx="82">
                  <c:v>2.079066880777575</c:v>
                </c:pt>
                <c:pt idx="83">
                  <c:v>2.5798988061573267</c:v>
                </c:pt>
                <c:pt idx="84">
                  <c:v>2.4203570844779927</c:v>
                </c:pt>
                <c:pt idx="85">
                  <c:v>2.2072220550696837</c:v>
                </c:pt>
                <c:pt idx="86">
                  <c:v>2.4980137725361971</c:v>
                </c:pt>
                <c:pt idx="87">
                  <c:v>2.3896119171180064</c:v>
                </c:pt>
                <c:pt idx="88">
                  <c:v>2.930715319600667</c:v>
                </c:pt>
                <c:pt idx="89">
                  <c:v>2.78135978379435</c:v>
                </c:pt>
                <c:pt idx="90">
                  <c:v>1.9056956324702612</c:v>
                </c:pt>
                <c:pt idx="91">
                  <c:v>2.3788565201358454</c:v>
                </c:pt>
                <c:pt idx="92">
                  <c:v>2.5409623529924552</c:v>
                </c:pt>
                <c:pt idx="93">
                  <c:v>2.7362681283147139</c:v>
                </c:pt>
                <c:pt idx="94">
                  <c:v>3.0613874608876301</c:v>
                </c:pt>
                <c:pt idx="95">
                  <c:v>3.44702037973257</c:v>
                </c:pt>
                <c:pt idx="96">
                  <c:v>3.1283971897622802</c:v>
                </c:pt>
                <c:pt idx="97">
                  <c:v>3.5042476350769691</c:v>
                </c:pt>
                <c:pt idx="98">
                  <c:v>3.4661593316709451</c:v>
                </c:pt>
                <c:pt idx="99">
                  <c:v>3.7410969300918699</c:v>
                </c:pt>
                <c:pt idx="100">
                  <c:v>3.4976064533067923</c:v>
                </c:pt>
                <c:pt idx="101">
                  <c:v>4.0950813725685906</c:v>
                </c:pt>
                <c:pt idx="102">
                  <c:v>3.8536716302120961</c:v>
                </c:pt>
                <c:pt idx="103">
                  <c:v>3.6316879453461715</c:v>
                </c:pt>
                <c:pt idx="104">
                  <c:v>3.8003220597036504</c:v>
                </c:pt>
                <c:pt idx="105">
                  <c:v>3.4044762051245332</c:v>
                </c:pt>
                <c:pt idx="106">
                  <c:v>3.2511944974013884</c:v>
                </c:pt>
                <c:pt idx="107">
                  <c:v>3.1022208290681217</c:v>
                </c:pt>
                <c:pt idx="108">
                  <c:v>3.0709640675743763</c:v>
                </c:pt>
                <c:pt idx="109">
                  <c:v>2.9568223231129518</c:v>
                </c:pt>
                <c:pt idx="110">
                  <c:v>2.8930595984152387</c:v>
                </c:pt>
                <c:pt idx="111">
                  <c:v>2.7170775774419731</c:v>
                </c:pt>
                <c:pt idx="112">
                  <c:v>3.3062850264262336</c:v>
                </c:pt>
                <c:pt idx="113">
                  <c:v>3.656806907931335</c:v>
                </c:pt>
                <c:pt idx="114">
                  <c:v>3.3470913387367105</c:v>
                </c:pt>
                <c:pt idx="115">
                  <c:v>3.2743989988173441</c:v>
                </c:pt>
                <c:pt idx="116">
                  <c:v>3.4543721734970561</c:v>
                </c:pt>
                <c:pt idx="117">
                  <c:v>3.3625912314554176</c:v>
                </c:pt>
                <c:pt idx="118">
                  <c:v>2.9231592903500276</c:v>
                </c:pt>
                <c:pt idx="119">
                  <c:v>3.2246174189952264</c:v>
                </c:pt>
                <c:pt idx="120">
                  <c:v>2.6005484911672503</c:v>
                </c:pt>
                <c:pt idx="121">
                  <c:v>2.1828222522540095</c:v>
                </c:pt>
                <c:pt idx="122">
                  <c:v>1.8744220978721446</c:v>
                </c:pt>
                <c:pt idx="123">
                  <c:v>2.178077798239709</c:v>
                </c:pt>
                <c:pt idx="124">
                  <c:v>2.4383899946715237</c:v>
                </c:pt>
                <c:pt idx="125">
                  <c:v>1.9102430538127706</c:v>
                </c:pt>
                <c:pt idx="126">
                  <c:v>2.1937823216686421</c:v>
                </c:pt>
                <c:pt idx="127">
                  <c:v>1.9525995083511321</c:v>
                </c:pt>
                <c:pt idx="128">
                  <c:v>1.9338163613209063</c:v>
                </c:pt>
                <c:pt idx="129">
                  <c:v>2.2267472986523345</c:v>
                </c:pt>
                <c:pt idx="130">
                  <c:v>2.2455361560143605</c:v>
                </c:pt>
                <c:pt idx="131">
                  <c:v>1.8558205080401318</c:v>
                </c:pt>
                <c:pt idx="132">
                  <c:v>1.8162566733263921</c:v>
                </c:pt>
                <c:pt idx="133">
                  <c:v>1.9541265669564103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4A-451B-8C10-2458AFAA1DD2}"/>
            </c:ext>
          </c:extLst>
        </c:ser>
        <c:ser>
          <c:idx val="7"/>
          <c:order val="7"/>
          <c:tx>
            <c:strRef>
              <c:f>NN4再投資累積報酬!$A$19</c:f>
              <c:strCache>
                <c:ptCount val="1"/>
                <c:pt idx="0">
                  <c:v>160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NN4再投資累積報酬!$C$19:$EF$19</c:f>
              <c:numCache>
                <c:formatCode>General</c:formatCode>
                <c:ptCount val="134"/>
                <c:pt idx="0">
                  <c:v>-7.7959416087486244E-2</c:v>
                </c:pt>
                <c:pt idx="1">
                  <c:v>0.29779179205598671</c:v>
                </c:pt>
                <c:pt idx="2">
                  <c:v>0.23536770635759097</c:v>
                </c:pt>
                <c:pt idx="3">
                  <c:v>0.52712552704115168</c:v>
                </c:pt>
                <c:pt idx="4">
                  <c:v>0.76056982525321848</c:v>
                </c:pt>
                <c:pt idx="5">
                  <c:v>1.073264925344747</c:v>
                </c:pt>
                <c:pt idx="6">
                  <c:v>1.3524390307743199</c:v>
                </c:pt>
                <c:pt idx="7">
                  <c:v>0.98491944136230702</c:v>
                </c:pt>
                <c:pt idx="8">
                  <c:v>1.0971457941172109</c:v>
                </c:pt>
                <c:pt idx="9">
                  <c:v>1.160817587096703</c:v>
                </c:pt>
                <c:pt idx="10">
                  <c:v>0.59567375400478606</c:v>
                </c:pt>
                <c:pt idx="11">
                  <c:v>1.4451697709562068</c:v>
                </c:pt>
                <c:pt idx="12">
                  <c:v>1.3967627450005868</c:v>
                </c:pt>
                <c:pt idx="13">
                  <c:v>1.1749802549093635</c:v>
                </c:pt>
                <c:pt idx="14">
                  <c:v>1.5457368140756516</c:v>
                </c:pt>
                <c:pt idx="15">
                  <c:v>1.6525126532684267</c:v>
                </c:pt>
                <c:pt idx="16">
                  <c:v>1.2106821155008105</c:v>
                </c:pt>
                <c:pt idx="17">
                  <c:v>0.96855310388337279</c:v>
                </c:pt>
                <c:pt idx="18">
                  <c:v>1.05553198231754</c:v>
                </c:pt>
                <c:pt idx="19">
                  <c:v>0.81157425229415625</c:v>
                </c:pt>
                <c:pt idx="20">
                  <c:v>0.94276091141924789</c:v>
                </c:pt>
                <c:pt idx="21">
                  <c:v>0.70946195402696133</c:v>
                </c:pt>
                <c:pt idx="22">
                  <c:v>0.75059531247508393</c:v>
                </c:pt>
                <c:pt idx="23">
                  <c:v>0.71169183284595006</c:v>
                </c:pt>
                <c:pt idx="24">
                  <c:v>0.79265770935928481</c:v>
                </c:pt>
                <c:pt idx="25">
                  <c:v>0.68373134529434121</c:v>
                </c:pt>
                <c:pt idx="26">
                  <c:v>0.54311817007666563</c:v>
                </c:pt>
                <c:pt idx="27">
                  <c:v>0.69124645539047336</c:v>
                </c:pt>
                <c:pt idx="28">
                  <c:v>0.40472214274174512</c:v>
                </c:pt>
                <c:pt idx="29">
                  <c:v>0.40509275526707178</c:v>
                </c:pt>
                <c:pt idx="30">
                  <c:v>0.43220893780459346</c:v>
                </c:pt>
                <c:pt idx="31">
                  <c:v>0.40916278638340042</c:v>
                </c:pt>
                <c:pt idx="32">
                  <c:v>0.53817070003494294</c:v>
                </c:pt>
                <c:pt idx="33">
                  <c:v>0.55688459749513464</c:v>
                </c:pt>
                <c:pt idx="34">
                  <c:v>0.633266393771311</c:v>
                </c:pt>
                <c:pt idx="35">
                  <c:v>0.74803756779396724</c:v>
                </c:pt>
                <c:pt idx="36">
                  <c:v>0.76644877347675733</c:v>
                </c:pt>
                <c:pt idx="37">
                  <c:v>0.91406788456056121</c:v>
                </c:pt>
                <c:pt idx="38">
                  <c:v>1.0245992436789657</c:v>
                </c:pt>
                <c:pt idx="39">
                  <c:v>0.84729674600869864</c:v>
                </c:pt>
                <c:pt idx="40">
                  <c:v>0.9487647537906736</c:v>
                </c:pt>
                <c:pt idx="41">
                  <c:v>1.0941754086301465</c:v>
                </c:pt>
                <c:pt idx="42">
                  <c:v>0.88937142986833995</c:v>
                </c:pt>
                <c:pt idx="43">
                  <c:v>0.98250796005233676</c:v>
                </c:pt>
                <c:pt idx="44">
                  <c:v>1.1340284973312329</c:v>
                </c:pt>
                <c:pt idx="45">
                  <c:v>1.030606857503586</c:v>
                </c:pt>
                <c:pt idx="46">
                  <c:v>1.0760034458648788</c:v>
                </c:pt>
                <c:pt idx="47">
                  <c:v>1.2425122383537621</c:v>
                </c:pt>
                <c:pt idx="48">
                  <c:v>1.3087313158469023</c:v>
                </c:pt>
                <c:pt idx="49">
                  <c:v>0.87727648908852651</c:v>
                </c:pt>
                <c:pt idx="50">
                  <c:v>0.81276597766777892</c:v>
                </c:pt>
                <c:pt idx="51">
                  <c:v>1.1023484524080271</c:v>
                </c:pt>
                <c:pt idx="52">
                  <c:v>1.2370154049961744</c:v>
                </c:pt>
                <c:pt idx="53">
                  <c:v>1.2297800188569057</c:v>
                </c:pt>
                <c:pt idx="54">
                  <c:v>1.3498926888703018</c:v>
                </c:pt>
                <c:pt idx="55">
                  <c:v>1.3817830218042104</c:v>
                </c:pt>
                <c:pt idx="56">
                  <c:v>1.342855973872878</c:v>
                </c:pt>
                <c:pt idx="57">
                  <c:v>1.3475843297855561</c:v>
                </c:pt>
                <c:pt idx="58">
                  <c:v>1.6476023881696347</c:v>
                </c:pt>
                <c:pt idx="59">
                  <c:v>1.7050746915638952</c:v>
                </c:pt>
                <c:pt idx="60">
                  <c:v>1.5650883582320212</c:v>
                </c:pt>
                <c:pt idx="61">
                  <c:v>1.7702047719136194</c:v>
                </c:pt>
                <c:pt idx="62">
                  <c:v>2.0867023299442531</c:v>
                </c:pt>
                <c:pt idx="63">
                  <c:v>2.2942912335763999</c:v>
                </c:pt>
                <c:pt idx="64">
                  <c:v>2.3790499251210964</c:v>
                </c:pt>
                <c:pt idx="65">
                  <c:v>2.5055151358916188</c:v>
                </c:pt>
                <c:pt idx="66">
                  <c:v>2.5403390790868681</c:v>
                </c:pt>
                <c:pt idx="67">
                  <c:v>2.5639717134464552</c:v>
                </c:pt>
                <c:pt idx="68">
                  <c:v>2.4775228082893457</c:v>
                </c:pt>
                <c:pt idx="69">
                  <c:v>2.9700536828792901</c:v>
                </c:pt>
                <c:pt idx="70">
                  <c:v>3.2715246767558241</c:v>
                </c:pt>
                <c:pt idx="71">
                  <c:v>3.6715753504498609</c:v>
                </c:pt>
                <c:pt idx="72">
                  <c:v>3.1625279796366028</c:v>
                </c:pt>
                <c:pt idx="73">
                  <c:v>3.3044193395945571</c:v>
                </c:pt>
                <c:pt idx="74">
                  <c:v>2.8410497316621655</c:v>
                </c:pt>
                <c:pt idx="75">
                  <c:v>3.0861678327676376</c:v>
                </c:pt>
                <c:pt idx="76">
                  <c:v>2.9981285268188334</c:v>
                </c:pt>
                <c:pt idx="77">
                  <c:v>2.8060537605443092</c:v>
                </c:pt>
                <c:pt idx="78">
                  <c:v>2.7119557313820444</c:v>
                </c:pt>
                <c:pt idx="79">
                  <c:v>3.480649055990261</c:v>
                </c:pt>
                <c:pt idx="80">
                  <c:v>2.5922894556533924</c:v>
                </c:pt>
                <c:pt idx="81">
                  <c:v>2.8975317105780363</c:v>
                </c:pt>
                <c:pt idx="82">
                  <c:v>2.7001859217274191</c:v>
                </c:pt>
                <c:pt idx="83">
                  <c:v>3.265906855360333</c:v>
                </c:pt>
                <c:pt idx="84">
                  <c:v>3.107782715628284</c:v>
                </c:pt>
                <c:pt idx="85">
                  <c:v>2.8533446004704266</c:v>
                </c:pt>
                <c:pt idx="86">
                  <c:v>3.253968044544175</c:v>
                </c:pt>
                <c:pt idx="87">
                  <c:v>3.0700252752942747</c:v>
                </c:pt>
                <c:pt idx="88">
                  <c:v>3.7836946084950958</c:v>
                </c:pt>
                <c:pt idx="89">
                  <c:v>3.4156722831459012</c:v>
                </c:pt>
                <c:pt idx="90">
                  <c:v>2.2126029202067867</c:v>
                </c:pt>
                <c:pt idx="91">
                  <c:v>2.7235115121055036</c:v>
                </c:pt>
                <c:pt idx="92">
                  <c:v>2.7133466676650015</c:v>
                </c:pt>
                <c:pt idx="93">
                  <c:v>2.8965545254455023</c:v>
                </c:pt>
                <c:pt idx="94">
                  <c:v>3.1330787007125931</c:v>
                </c:pt>
                <c:pt idx="95">
                  <c:v>3.6398785742894644</c:v>
                </c:pt>
                <c:pt idx="96">
                  <c:v>3.2527438230048054</c:v>
                </c:pt>
                <c:pt idx="97">
                  <c:v>3.6347937030755224</c:v>
                </c:pt>
                <c:pt idx="98">
                  <c:v>3.5332833422820089</c:v>
                </c:pt>
                <c:pt idx="99">
                  <c:v>3.9573707217426213</c:v>
                </c:pt>
                <c:pt idx="100">
                  <c:v>3.6057847220329666</c:v>
                </c:pt>
                <c:pt idx="101">
                  <c:v>4.0685036634862621</c:v>
                </c:pt>
                <c:pt idx="102">
                  <c:v>3.773395731113534</c:v>
                </c:pt>
                <c:pt idx="103">
                  <c:v>3.6028857441950315</c:v>
                </c:pt>
                <c:pt idx="104">
                  <c:v>3.440958985896347</c:v>
                </c:pt>
                <c:pt idx="105">
                  <c:v>2.9767516446842013</c:v>
                </c:pt>
                <c:pt idx="106">
                  <c:v>2.8019907646812809</c:v>
                </c:pt>
                <c:pt idx="107">
                  <c:v>2.5370184440315091</c:v>
                </c:pt>
                <c:pt idx="108">
                  <c:v>2.4919339271761585</c:v>
                </c:pt>
                <c:pt idx="109">
                  <c:v>2.4913857524605958</c:v>
                </c:pt>
                <c:pt idx="110">
                  <c:v>2.5041866545213383</c:v>
                </c:pt>
                <c:pt idx="111">
                  <c:v>2.334183314165116</c:v>
                </c:pt>
                <c:pt idx="112">
                  <c:v>2.7481041272991273</c:v>
                </c:pt>
                <c:pt idx="113">
                  <c:v>3.0110988780756989</c:v>
                </c:pt>
                <c:pt idx="114">
                  <c:v>2.6823802798530703</c:v>
                </c:pt>
                <c:pt idx="115">
                  <c:v>2.6669966030132835</c:v>
                </c:pt>
                <c:pt idx="116">
                  <c:v>2.8691455237366736</c:v>
                </c:pt>
                <c:pt idx="117">
                  <c:v>2.9742525740298422</c:v>
                </c:pt>
                <c:pt idx="118">
                  <c:v>2.4953973479625797</c:v>
                </c:pt>
                <c:pt idx="119">
                  <c:v>2.7609159563199497</c:v>
                </c:pt>
                <c:pt idx="120">
                  <c:v>2.0914896636268661</c:v>
                </c:pt>
                <c:pt idx="121">
                  <c:v>1.6799242800280045</c:v>
                </c:pt>
                <c:pt idx="122">
                  <c:v>1.2971488243785614</c:v>
                </c:pt>
                <c:pt idx="123">
                  <c:v>1.5717312602509059</c:v>
                </c:pt>
                <c:pt idx="124">
                  <c:v>1.7276016785502466</c:v>
                </c:pt>
                <c:pt idx="125">
                  <c:v>1.3501967061493629</c:v>
                </c:pt>
                <c:pt idx="126">
                  <c:v>1.5149680047010423</c:v>
                </c:pt>
                <c:pt idx="127">
                  <c:v>1.2334907010484786</c:v>
                </c:pt>
                <c:pt idx="128">
                  <c:v>1.1707757261691221</c:v>
                </c:pt>
                <c:pt idx="129">
                  <c:v>1.2180395268043247</c:v>
                </c:pt>
                <c:pt idx="130">
                  <c:v>1.1989166491212968</c:v>
                </c:pt>
                <c:pt idx="131">
                  <c:v>0.86702246765124036</c:v>
                </c:pt>
                <c:pt idx="132">
                  <c:v>0.89061050967827948</c:v>
                </c:pt>
                <c:pt idx="133">
                  <c:v>0.92270920959736147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A4A-451B-8C10-2458AFAA1DD2}"/>
            </c:ext>
          </c:extLst>
        </c:ser>
        <c:ser>
          <c:idx val="8"/>
          <c:order val="8"/>
          <c:tx>
            <c:strRef>
              <c:f>NN4再投資累積報酬!$A$20</c:f>
              <c:strCache>
                <c:ptCount val="1"/>
                <c:pt idx="0">
                  <c:v>192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NN4再投資累積報酬!$C$20:$EF$20</c:f>
              <c:numCache>
                <c:formatCode>General</c:formatCode>
                <c:ptCount val="134"/>
                <c:pt idx="0">
                  <c:v>-0.13932460396499158</c:v>
                </c:pt>
                <c:pt idx="1">
                  <c:v>0.18947560274559949</c:v>
                </c:pt>
                <c:pt idx="2">
                  <c:v>0.2149213724934127</c:v>
                </c:pt>
                <c:pt idx="3">
                  <c:v>0.43654635732656311</c:v>
                </c:pt>
                <c:pt idx="4">
                  <c:v>0.66356119239143663</c:v>
                </c:pt>
                <c:pt idx="5">
                  <c:v>0.90300121464695948</c:v>
                </c:pt>
                <c:pt idx="6">
                  <c:v>1.2039600243727411</c:v>
                </c:pt>
                <c:pt idx="7">
                  <c:v>0.91037888457414073</c:v>
                </c:pt>
                <c:pt idx="8">
                  <c:v>0.98183393222119797</c:v>
                </c:pt>
                <c:pt idx="9">
                  <c:v>1.0426635502032227</c:v>
                </c:pt>
                <c:pt idx="10">
                  <c:v>0.493812110244918</c:v>
                </c:pt>
                <c:pt idx="11">
                  <c:v>1.2407354935878558</c:v>
                </c:pt>
                <c:pt idx="12">
                  <c:v>0.99399959359402135</c:v>
                </c:pt>
                <c:pt idx="13">
                  <c:v>0.81220679487498559</c:v>
                </c:pt>
                <c:pt idx="14">
                  <c:v>1.219639087063626</c:v>
                </c:pt>
                <c:pt idx="15">
                  <c:v>1.3671776093251102</c:v>
                </c:pt>
                <c:pt idx="16">
                  <c:v>0.98289893187240263</c:v>
                </c:pt>
                <c:pt idx="17">
                  <c:v>0.78293190276858482</c:v>
                </c:pt>
                <c:pt idx="18">
                  <c:v>0.84040471265433014</c:v>
                </c:pt>
                <c:pt idx="19">
                  <c:v>0.58957926709515429</c:v>
                </c:pt>
                <c:pt idx="20">
                  <c:v>0.73436609463851665</c:v>
                </c:pt>
                <c:pt idx="21">
                  <c:v>0.46929616144772757</c:v>
                </c:pt>
                <c:pt idx="22">
                  <c:v>0.46215832069541452</c:v>
                </c:pt>
                <c:pt idx="23">
                  <c:v>0.5047925178735797</c:v>
                </c:pt>
                <c:pt idx="24">
                  <c:v>0.60555944404046613</c:v>
                </c:pt>
                <c:pt idx="25">
                  <c:v>0.50854672575320903</c:v>
                </c:pt>
                <c:pt idx="26">
                  <c:v>0.36326130598002382</c:v>
                </c:pt>
                <c:pt idx="27">
                  <c:v>0.54027069842786557</c:v>
                </c:pt>
                <c:pt idx="28">
                  <c:v>0.27028971757009379</c:v>
                </c:pt>
                <c:pt idx="29">
                  <c:v>0.26207399179273749</c:v>
                </c:pt>
                <c:pt idx="30">
                  <c:v>0.25419915491354761</c:v>
                </c:pt>
                <c:pt idx="31">
                  <c:v>0.21932113061455683</c:v>
                </c:pt>
                <c:pt idx="32">
                  <c:v>0.36117353685108866</c:v>
                </c:pt>
                <c:pt idx="33">
                  <c:v>0.38464098533052371</c:v>
                </c:pt>
                <c:pt idx="34">
                  <c:v>0.47736845362072944</c:v>
                </c:pt>
                <c:pt idx="35">
                  <c:v>0.58505894013567472</c:v>
                </c:pt>
                <c:pt idx="36">
                  <c:v>0.63695155075320065</c:v>
                </c:pt>
                <c:pt idx="37">
                  <c:v>0.76049260106976901</c:v>
                </c:pt>
                <c:pt idx="38">
                  <c:v>0.88035750030620541</c:v>
                </c:pt>
                <c:pt idx="39">
                  <c:v>0.6326571394658409</c:v>
                </c:pt>
                <c:pt idx="40">
                  <c:v>0.51363871971877639</c:v>
                </c:pt>
                <c:pt idx="41">
                  <c:v>0.53375376739286318</c:v>
                </c:pt>
                <c:pt idx="42">
                  <c:v>0.36182639698288921</c:v>
                </c:pt>
                <c:pt idx="43">
                  <c:v>0.36980502974348828</c:v>
                </c:pt>
                <c:pt idx="44">
                  <c:v>0.46966356730030512</c:v>
                </c:pt>
                <c:pt idx="45">
                  <c:v>0.38938214591642284</c:v>
                </c:pt>
                <c:pt idx="46">
                  <c:v>0.39892062695146335</c:v>
                </c:pt>
                <c:pt idx="47">
                  <c:v>0.55382667242174</c:v>
                </c:pt>
                <c:pt idx="48">
                  <c:v>0.61392045041020005</c:v>
                </c:pt>
                <c:pt idx="49">
                  <c:v>0.26886033438607715</c:v>
                </c:pt>
                <c:pt idx="50">
                  <c:v>0.20028460757381894</c:v>
                </c:pt>
                <c:pt idx="51">
                  <c:v>0.40151883162898683</c:v>
                </c:pt>
                <c:pt idx="52">
                  <c:v>0.50047386434719465</c:v>
                </c:pt>
                <c:pt idx="53">
                  <c:v>0.42030382603123573</c:v>
                </c:pt>
                <c:pt idx="54">
                  <c:v>0.41185756730171263</c:v>
                </c:pt>
                <c:pt idx="55">
                  <c:v>0.4198890353134177</c:v>
                </c:pt>
                <c:pt idx="56">
                  <c:v>0.45182921263473119</c:v>
                </c:pt>
                <c:pt idx="57">
                  <c:v>0.34786888090148094</c:v>
                </c:pt>
                <c:pt idx="58">
                  <c:v>0.52544422661164236</c:v>
                </c:pt>
                <c:pt idx="59">
                  <c:v>0.5584388405620051</c:v>
                </c:pt>
                <c:pt idx="60">
                  <c:v>0.46612757114621473</c:v>
                </c:pt>
                <c:pt idx="61">
                  <c:v>0.59264299044973789</c:v>
                </c:pt>
                <c:pt idx="62">
                  <c:v>0.81070394403324619</c:v>
                </c:pt>
                <c:pt idx="63">
                  <c:v>0.9634180642271668</c:v>
                </c:pt>
                <c:pt idx="64">
                  <c:v>0.88790163327509086</c:v>
                </c:pt>
                <c:pt idx="65">
                  <c:v>1.0019450903855729</c:v>
                </c:pt>
                <c:pt idx="66">
                  <c:v>1.0328785592739091</c:v>
                </c:pt>
                <c:pt idx="67">
                  <c:v>1.0495483313253402</c:v>
                </c:pt>
                <c:pt idx="68">
                  <c:v>1.0451977887182604</c:v>
                </c:pt>
                <c:pt idx="69">
                  <c:v>1.3474842253410815</c:v>
                </c:pt>
                <c:pt idx="70">
                  <c:v>1.57930991115613</c:v>
                </c:pt>
                <c:pt idx="71">
                  <c:v>1.8782992126414442</c:v>
                </c:pt>
                <c:pt idx="72">
                  <c:v>1.4882803096392387</c:v>
                </c:pt>
                <c:pt idx="73">
                  <c:v>1.564654681429376</c:v>
                </c:pt>
                <c:pt idx="74">
                  <c:v>1.2947658969349605</c:v>
                </c:pt>
                <c:pt idx="75">
                  <c:v>1.5019176368998886</c:v>
                </c:pt>
                <c:pt idx="76">
                  <c:v>1.4969292581206046</c:v>
                </c:pt>
                <c:pt idx="77">
                  <c:v>1.4014168449581521</c:v>
                </c:pt>
                <c:pt idx="78">
                  <c:v>1.4016442482089202</c:v>
                </c:pt>
                <c:pt idx="79">
                  <c:v>1.8364078963248671</c:v>
                </c:pt>
                <c:pt idx="80">
                  <c:v>1.1444270604371312</c:v>
                </c:pt>
                <c:pt idx="81">
                  <c:v>1.318035451723143</c:v>
                </c:pt>
                <c:pt idx="82">
                  <c:v>1.0884273445148165</c:v>
                </c:pt>
                <c:pt idx="83">
                  <c:v>1.2385101406587928</c:v>
                </c:pt>
                <c:pt idx="84">
                  <c:v>1.170471355204687</c:v>
                </c:pt>
                <c:pt idx="85">
                  <c:v>0.90254767681188808</c:v>
                </c:pt>
                <c:pt idx="86">
                  <c:v>1.0756384141888735</c:v>
                </c:pt>
                <c:pt idx="87">
                  <c:v>0.88429582357644421</c:v>
                </c:pt>
                <c:pt idx="88">
                  <c:v>1.2405241445497057</c:v>
                </c:pt>
                <c:pt idx="89">
                  <c:v>1.2901728407542858</c:v>
                </c:pt>
                <c:pt idx="90">
                  <c:v>0.33752658641791555</c:v>
                </c:pt>
                <c:pt idx="91">
                  <c:v>0.59437342867311149</c:v>
                </c:pt>
                <c:pt idx="92">
                  <c:v>0.60411721536831897</c:v>
                </c:pt>
                <c:pt idx="93">
                  <c:v>0.72140424190323293</c:v>
                </c:pt>
                <c:pt idx="94">
                  <c:v>0.87351488318485204</c:v>
                </c:pt>
                <c:pt idx="95">
                  <c:v>1.0430193388223032</c:v>
                </c:pt>
                <c:pt idx="96">
                  <c:v>0.83033919144361246</c:v>
                </c:pt>
                <c:pt idx="97">
                  <c:v>0.99966583893155758</c:v>
                </c:pt>
                <c:pt idx="98">
                  <c:v>1.019568638847983</c:v>
                </c:pt>
                <c:pt idx="99">
                  <c:v>1.2019327603139396</c:v>
                </c:pt>
                <c:pt idx="100">
                  <c:v>1.1744532281116569</c:v>
                </c:pt>
                <c:pt idx="101">
                  <c:v>1.5118449682854469</c:v>
                </c:pt>
                <c:pt idx="102">
                  <c:v>1.39260293232863</c:v>
                </c:pt>
                <c:pt idx="103">
                  <c:v>1.2564573421062661</c:v>
                </c:pt>
                <c:pt idx="104">
                  <c:v>1.1502140038072541</c:v>
                </c:pt>
                <c:pt idx="105">
                  <c:v>0.83174835712862905</c:v>
                </c:pt>
                <c:pt idx="106">
                  <c:v>0.78274933783805389</c:v>
                </c:pt>
                <c:pt idx="107">
                  <c:v>0.78428093618109895</c:v>
                </c:pt>
                <c:pt idx="108">
                  <c:v>0.77678301188135368</c:v>
                </c:pt>
                <c:pt idx="109">
                  <c:v>0.75728208674882858</c:v>
                </c:pt>
                <c:pt idx="110">
                  <c:v>0.74364985144110385</c:v>
                </c:pt>
                <c:pt idx="111">
                  <c:v>0.67484552199148373</c:v>
                </c:pt>
                <c:pt idx="112">
                  <c:v>0.81713031739175634</c:v>
                </c:pt>
                <c:pt idx="113">
                  <c:v>0.95491719685762044</c:v>
                </c:pt>
                <c:pt idx="114">
                  <c:v>0.97306596443850402</c:v>
                </c:pt>
                <c:pt idx="115">
                  <c:v>1.0875416863716283</c:v>
                </c:pt>
                <c:pt idx="116">
                  <c:v>1.224934916330366</c:v>
                </c:pt>
                <c:pt idx="117">
                  <c:v>1.2468072088680326</c:v>
                </c:pt>
                <c:pt idx="118">
                  <c:v>0.81692662259506155</c:v>
                </c:pt>
                <c:pt idx="119">
                  <c:v>0.95957836481121794</c:v>
                </c:pt>
                <c:pt idx="120">
                  <c:v>0.55574630460012453</c:v>
                </c:pt>
                <c:pt idx="121">
                  <c:v>0.35773915746948148</c:v>
                </c:pt>
                <c:pt idx="122">
                  <c:v>0.12411419282525848</c:v>
                </c:pt>
                <c:pt idx="123">
                  <c:v>0.26951327349699938</c:v>
                </c:pt>
                <c:pt idx="124">
                  <c:v>0.35718611909214082</c:v>
                </c:pt>
                <c:pt idx="125">
                  <c:v>0.14836087235479445</c:v>
                </c:pt>
                <c:pt idx="126">
                  <c:v>0.20993438536430498</c:v>
                </c:pt>
                <c:pt idx="127">
                  <c:v>0.10772568837825869</c:v>
                </c:pt>
                <c:pt idx="128">
                  <c:v>0.12302196911528496</c:v>
                </c:pt>
                <c:pt idx="129">
                  <c:v>0.15378059510087927</c:v>
                </c:pt>
                <c:pt idx="130">
                  <c:v>0.19306634140759305</c:v>
                </c:pt>
                <c:pt idx="131">
                  <c:v>-1.8009596891623181E-2</c:v>
                </c:pt>
                <c:pt idx="132">
                  <c:v>-1.568499883899277E-2</c:v>
                </c:pt>
                <c:pt idx="133">
                  <c:v>4.2783037808409308E-3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A4A-451B-8C10-2458AFAA1DD2}"/>
            </c:ext>
          </c:extLst>
        </c:ser>
        <c:ser>
          <c:idx val="9"/>
          <c:order val="9"/>
          <c:tx>
            <c:strRef>
              <c:f>NN4再投資累積報酬!$A$21</c:f>
              <c:strCache>
                <c:ptCount val="1"/>
                <c:pt idx="0">
                  <c:v>241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NN4再投資累積報酬!$C$21:$EF$21</c:f>
              <c:numCache>
                <c:formatCode>General</c:formatCode>
                <c:ptCount val="134"/>
                <c:pt idx="0">
                  <c:v>-0.19764916434148616</c:v>
                </c:pt>
                <c:pt idx="1">
                  <c:v>-9.6240844573442175E-2</c:v>
                </c:pt>
                <c:pt idx="2">
                  <c:v>-9.649331174575948E-2</c:v>
                </c:pt>
                <c:pt idx="3">
                  <c:v>8.7291694232100481E-2</c:v>
                </c:pt>
                <c:pt idx="4">
                  <c:v>0.24530997073824024</c:v>
                </c:pt>
                <c:pt idx="5">
                  <c:v>0.44725441683303613</c:v>
                </c:pt>
                <c:pt idx="6">
                  <c:v>0.66037074609895607</c:v>
                </c:pt>
                <c:pt idx="7">
                  <c:v>0.43332915972126584</c:v>
                </c:pt>
                <c:pt idx="8">
                  <c:v>0.43543615358605625</c:v>
                </c:pt>
                <c:pt idx="9">
                  <c:v>0.42821447429736481</c:v>
                </c:pt>
                <c:pt idx="10">
                  <c:v>0.14273582410243613</c:v>
                </c:pt>
                <c:pt idx="11">
                  <c:v>0.81111115162962211</c:v>
                </c:pt>
                <c:pt idx="12">
                  <c:v>0.55886457098631537</c:v>
                </c:pt>
                <c:pt idx="13">
                  <c:v>0.33318369260984371</c:v>
                </c:pt>
                <c:pt idx="14">
                  <c:v>0.69859034488658223</c:v>
                </c:pt>
                <c:pt idx="15">
                  <c:v>0.84280958276676388</c:v>
                </c:pt>
                <c:pt idx="16">
                  <c:v>0.60584217248886962</c:v>
                </c:pt>
                <c:pt idx="17">
                  <c:v>0.39528414683212909</c:v>
                </c:pt>
                <c:pt idx="18">
                  <c:v>0.38157303834224643</c:v>
                </c:pt>
                <c:pt idx="19">
                  <c:v>0.19955044514739573</c:v>
                </c:pt>
                <c:pt idx="20">
                  <c:v>0.34889297613019021</c:v>
                </c:pt>
                <c:pt idx="21">
                  <c:v>8.2706242009360276E-2</c:v>
                </c:pt>
                <c:pt idx="22">
                  <c:v>7.1719480418570347E-2</c:v>
                </c:pt>
                <c:pt idx="23">
                  <c:v>0.11400845939640658</c:v>
                </c:pt>
                <c:pt idx="24">
                  <c:v>0.14524024355981457</c:v>
                </c:pt>
                <c:pt idx="25">
                  <c:v>7.0470943778524919E-2</c:v>
                </c:pt>
                <c:pt idx="26">
                  <c:v>-0.10031332868058063</c:v>
                </c:pt>
                <c:pt idx="27">
                  <c:v>1.5588356908807777E-2</c:v>
                </c:pt>
                <c:pt idx="28">
                  <c:v>-0.22861606925565048</c:v>
                </c:pt>
                <c:pt idx="29">
                  <c:v>-0.25450795658304992</c:v>
                </c:pt>
                <c:pt idx="30">
                  <c:v>-0.26238631649788025</c:v>
                </c:pt>
                <c:pt idx="31">
                  <c:v>-0.29440557328844463</c:v>
                </c:pt>
                <c:pt idx="32">
                  <c:v>-0.22234727165634716</c:v>
                </c:pt>
                <c:pt idx="33">
                  <c:v>-0.21831630873897778</c:v>
                </c:pt>
                <c:pt idx="34">
                  <c:v>-0.13624694715163743</c:v>
                </c:pt>
                <c:pt idx="35">
                  <c:v>-7.9774925671228347E-2</c:v>
                </c:pt>
                <c:pt idx="36">
                  <c:v>-4.5992773023813438E-2</c:v>
                </c:pt>
                <c:pt idx="37">
                  <c:v>6.0814113564129579E-2</c:v>
                </c:pt>
                <c:pt idx="38">
                  <c:v>0.16157633775160352</c:v>
                </c:pt>
                <c:pt idx="39">
                  <c:v>8.9104946875698365E-2</c:v>
                </c:pt>
                <c:pt idx="40">
                  <c:v>1.5919000379308379E-2</c:v>
                </c:pt>
                <c:pt idx="41">
                  <c:v>-3.2833174590643943E-2</c:v>
                </c:pt>
                <c:pt idx="42">
                  <c:v>-9.5172752448606901E-2</c:v>
                </c:pt>
                <c:pt idx="43">
                  <c:v>-9.7428406497904851E-2</c:v>
                </c:pt>
                <c:pt idx="44">
                  <c:v>-5.427679120211748E-2</c:v>
                </c:pt>
                <c:pt idx="45">
                  <c:v>-0.10678408147744001</c:v>
                </c:pt>
                <c:pt idx="46">
                  <c:v>-9.8038577663709048E-2</c:v>
                </c:pt>
                <c:pt idx="47">
                  <c:v>3.107511413066355E-2</c:v>
                </c:pt>
                <c:pt idx="48">
                  <c:v>7.9557597092415389E-2</c:v>
                </c:pt>
                <c:pt idx="49">
                  <c:v>-0.19563380090951332</c:v>
                </c:pt>
                <c:pt idx="50">
                  <c:v>-0.25276968687488921</c:v>
                </c:pt>
                <c:pt idx="51">
                  <c:v>-8.419776461918016E-2</c:v>
                </c:pt>
                <c:pt idx="52">
                  <c:v>-4.9103171870088946E-2</c:v>
                </c:pt>
                <c:pt idx="53">
                  <c:v>-6.9785998858306053E-2</c:v>
                </c:pt>
                <c:pt idx="54">
                  <c:v>-6.3878643777325328E-2</c:v>
                </c:pt>
                <c:pt idx="55">
                  <c:v>-6.0530043905072328E-2</c:v>
                </c:pt>
                <c:pt idx="56">
                  <c:v>-1.353724897737818E-2</c:v>
                </c:pt>
                <c:pt idx="57">
                  <c:v>-8.8825430821031226E-2</c:v>
                </c:pt>
                <c:pt idx="58">
                  <c:v>6.2401844473622292E-2</c:v>
                </c:pt>
                <c:pt idx="59">
                  <c:v>8.7452245379971094E-2</c:v>
                </c:pt>
                <c:pt idx="60">
                  <c:v>1.3016269265255564E-2</c:v>
                </c:pt>
                <c:pt idx="61">
                  <c:v>0.15759505808332164</c:v>
                </c:pt>
                <c:pt idx="62">
                  <c:v>0.33716120803225236</c:v>
                </c:pt>
                <c:pt idx="63">
                  <c:v>0.42226877505834071</c:v>
                </c:pt>
                <c:pt idx="64">
                  <c:v>0.4070954548721426</c:v>
                </c:pt>
                <c:pt idx="65">
                  <c:v>0.55414977587084491</c:v>
                </c:pt>
                <c:pt idx="66">
                  <c:v>0.63891657169778671</c:v>
                </c:pt>
                <c:pt idx="67">
                  <c:v>0.66180118521877973</c:v>
                </c:pt>
                <c:pt idx="68">
                  <c:v>0.62012345343430164</c:v>
                </c:pt>
                <c:pt idx="69">
                  <c:v>0.83437618373453826</c:v>
                </c:pt>
                <c:pt idx="70">
                  <c:v>1.0560072373749598</c:v>
                </c:pt>
                <c:pt idx="71">
                  <c:v>1.348254274498442</c:v>
                </c:pt>
                <c:pt idx="72">
                  <c:v>1.0038142233141127</c:v>
                </c:pt>
                <c:pt idx="73">
                  <c:v>0.97293959890494097</c:v>
                </c:pt>
                <c:pt idx="74">
                  <c:v>0.87354319544977965</c:v>
                </c:pt>
                <c:pt idx="75">
                  <c:v>1.0574440323821857</c:v>
                </c:pt>
                <c:pt idx="76">
                  <c:v>1.0069212956794851</c:v>
                </c:pt>
                <c:pt idx="77">
                  <c:v>0.78165720286269424</c:v>
                </c:pt>
                <c:pt idx="78">
                  <c:v>0.69846530412409091</c:v>
                </c:pt>
                <c:pt idx="79">
                  <c:v>1.1877185350862876</c:v>
                </c:pt>
                <c:pt idx="80">
                  <c:v>0.51917513555750294</c:v>
                </c:pt>
                <c:pt idx="81">
                  <c:v>0.71859068790581926</c:v>
                </c:pt>
                <c:pt idx="82">
                  <c:v>0.47154123284403249</c:v>
                </c:pt>
                <c:pt idx="83">
                  <c:v>0.58941215807172376</c:v>
                </c:pt>
                <c:pt idx="84">
                  <c:v>0.46146508905978667</c:v>
                </c:pt>
                <c:pt idx="85">
                  <c:v>0.35659815563373964</c:v>
                </c:pt>
                <c:pt idx="86">
                  <c:v>0.5289546930000979</c:v>
                </c:pt>
                <c:pt idx="87">
                  <c:v>0.20718254528493829</c:v>
                </c:pt>
                <c:pt idx="88">
                  <c:v>0.47940581679507988</c:v>
                </c:pt>
                <c:pt idx="89">
                  <c:v>0.52458522860101175</c:v>
                </c:pt>
                <c:pt idx="90">
                  <c:v>-0.26037072413086582</c:v>
                </c:pt>
                <c:pt idx="91">
                  <c:v>-9.5655239367723244E-2</c:v>
                </c:pt>
                <c:pt idx="92">
                  <c:v>-9.268167084365897E-2</c:v>
                </c:pt>
                <c:pt idx="93">
                  <c:v>-1.0275138700304942E-2</c:v>
                </c:pt>
                <c:pt idx="94">
                  <c:v>5.8655631066082403E-2</c:v>
                </c:pt>
                <c:pt idx="95">
                  <c:v>0.1457754443099335</c:v>
                </c:pt>
                <c:pt idx="96">
                  <c:v>7.3965618060249261E-2</c:v>
                </c:pt>
                <c:pt idx="97">
                  <c:v>0.17945656966345669</c:v>
                </c:pt>
                <c:pt idx="98">
                  <c:v>0.25612763613923306</c:v>
                </c:pt>
                <c:pt idx="99">
                  <c:v>0.38440612324516743</c:v>
                </c:pt>
                <c:pt idx="100">
                  <c:v>0.37266370623873457</c:v>
                </c:pt>
                <c:pt idx="101">
                  <c:v>0.69860458496798672</c:v>
                </c:pt>
                <c:pt idx="102">
                  <c:v>0.70062975725184895</c:v>
                </c:pt>
                <c:pt idx="103">
                  <c:v>0.64202025839023436</c:v>
                </c:pt>
                <c:pt idx="104">
                  <c:v>0.57872650107305335</c:v>
                </c:pt>
                <c:pt idx="105">
                  <c:v>0.77026184517143026</c:v>
                </c:pt>
                <c:pt idx="106">
                  <c:v>0.79192650186239621</c:v>
                </c:pt>
                <c:pt idx="107">
                  <c:v>0.80577551204242415</c:v>
                </c:pt>
                <c:pt idx="108">
                  <c:v>0.81994430952515507</c:v>
                </c:pt>
                <c:pt idx="109">
                  <c:v>0.84556333836702047</c:v>
                </c:pt>
                <c:pt idx="110">
                  <c:v>0.90906451884657935</c:v>
                </c:pt>
                <c:pt idx="111">
                  <c:v>0.83668937597160076</c:v>
                </c:pt>
                <c:pt idx="112">
                  <c:v>1.0929125155051636</c:v>
                </c:pt>
                <c:pt idx="113">
                  <c:v>1.2987817270889948</c:v>
                </c:pt>
                <c:pt idx="114">
                  <c:v>1.2301995980116258</c:v>
                </c:pt>
                <c:pt idx="115">
                  <c:v>1.3683845078867396</c:v>
                </c:pt>
                <c:pt idx="116">
                  <c:v>1.5636478451831692</c:v>
                </c:pt>
                <c:pt idx="117">
                  <c:v>1.6258577213996706</c:v>
                </c:pt>
                <c:pt idx="118">
                  <c:v>1.2903954876965669</c:v>
                </c:pt>
                <c:pt idx="119">
                  <c:v>1.4053065968489569</c:v>
                </c:pt>
                <c:pt idx="120">
                  <c:v>0.92222608552043628</c:v>
                </c:pt>
                <c:pt idx="121">
                  <c:v>0.59435043917028429</c:v>
                </c:pt>
                <c:pt idx="122">
                  <c:v>0.54956466660073566</c:v>
                </c:pt>
                <c:pt idx="123">
                  <c:v>0.76693136393120076</c:v>
                </c:pt>
                <c:pt idx="124">
                  <c:v>0.97780970550724278</c:v>
                </c:pt>
                <c:pt idx="125">
                  <c:v>0.61000392249993096</c:v>
                </c:pt>
                <c:pt idx="126">
                  <c:v>0.64960357179392747</c:v>
                </c:pt>
                <c:pt idx="127">
                  <c:v>0.5624318108479589</c:v>
                </c:pt>
                <c:pt idx="128">
                  <c:v>0.52141657512236073</c:v>
                </c:pt>
                <c:pt idx="129">
                  <c:v>0.53420886807234158</c:v>
                </c:pt>
                <c:pt idx="130">
                  <c:v>0.53891116992969801</c:v>
                </c:pt>
                <c:pt idx="131">
                  <c:v>0.45504227114708873</c:v>
                </c:pt>
                <c:pt idx="132">
                  <c:v>0.47603686088896668</c:v>
                </c:pt>
                <c:pt idx="133">
                  <c:v>0.46424096049587793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A4A-451B-8C10-2458AFAA1DD2}"/>
            </c:ext>
          </c:extLst>
        </c:ser>
        <c:ser>
          <c:idx val="10"/>
          <c:order val="10"/>
          <c:tx>
            <c:strRef>
              <c:f>NN4再投資累積報酬!$A$22</c:f>
              <c:strCache>
                <c:ptCount val="1"/>
                <c:pt idx="0">
                  <c:v>321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NN4再投資累積報酬!$C$22:$EF$22</c:f>
              <c:numCache>
                <c:formatCode>General</c:formatCode>
                <c:ptCount val="134"/>
                <c:pt idx="0">
                  <c:v>6.4235717628454703E-2</c:v>
                </c:pt>
                <c:pt idx="1">
                  <c:v>0.21581410139979695</c:v>
                </c:pt>
                <c:pt idx="2">
                  <c:v>0.16593224944781282</c:v>
                </c:pt>
                <c:pt idx="3">
                  <c:v>2.8556375820461E-3</c:v>
                </c:pt>
                <c:pt idx="4">
                  <c:v>0.23646617836380845</c:v>
                </c:pt>
                <c:pt idx="5">
                  <c:v>0.3900080754606694</c:v>
                </c:pt>
                <c:pt idx="6">
                  <c:v>0.5616645781048184</c:v>
                </c:pt>
                <c:pt idx="7">
                  <c:v>0.39885792250823493</c:v>
                </c:pt>
                <c:pt idx="8">
                  <c:v>0.43894452770757919</c:v>
                </c:pt>
                <c:pt idx="9">
                  <c:v>0.45948114400702189</c:v>
                </c:pt>
                <c:pt idx="10">
                  <c:v>0.18996849101753854</c:v>
                </c:pt>
                <c:pt idx="11">
                  <c:v>1.0897540424086856</c:v>
                </c:pt>
                <c:pt idx="12">
                  <c:v>0.95090590773828709</c:v>
                </c:pt>
                <c:pt idx="13">
                  <c:v>0.80891334910914692</c:v>
                </c:pt>
                <c:pt idx="14">
                  <c:v>1.039142192645897</c:v>
                </c:pt>
                <c:pt idx="15">
                  <c:v>1.1751482188969291</c:v>
                </c:pt>
                <c:pt idx="16">
                  <c:v>0.80614181573307575</c:v>
                </c:pt>
                <c:pt idx="17">
                  <c:v>0.61677145863709404</c:v>
                </c:pt>
                <c:pt idx="18">
                  <c:v>0.70162663079602283</c:v>
                </c:pt>
                <c:pt idx="19">
                  <c:v>0.40278072259797892</c:v>
                </c:pt>
                <c:pt idx="20">
                  <c:v>0.62448741024314436</c:v>
                </c:pt>
                <c:pt idx="21">
                  <c:v>0.27538498824581503</c:v>
                </c:pt>
                <c:pt idx="22">
                  <c:v>0.1862899939935978</c:v>
                </c:pt>
                <c:pt idx="23">
                  <c:v>0.21460436357023704</c:v>
                </c:pt>
                <c:pt idx="24">
                  <c:v>0.35807666994012277</c:v>
                </c:pt>
                <c:pt idx="25">
                  <c:v>0.30609854885928112</c:v>
                </c:pt>
                <c:pt idx="26">
                  <c:v>7.4643083551196199E-2</c:v>
                </c:pt>
                <c:pt idx="27">
                  <c:v>8.922742305243081E-2</c:v>
                </c:pt>
                <c:pt idx="28">
                  <c:v>-0.1968970682886334</c:v>
                </c:pt>
                <c:pt idx="29">
                  <c:v>-0.26628783859826788</c:v>
                </c:pt>
                <c:pt idx="30">
                  <c:v>-0.30001683122862599</c:v>
                </c:pt>
                <c:pt idx="31">
                  <c:v>-0.29967617275315717</c:v>
                </c:pt>
                <c:pt idx="32">
                  <c:v>-0.22193695975089711</c:v>
                </c:pt>
                <c:pt idx="33">
                  <c:v>-0.21175885776705194</c:v>
                </c:pt>
                <c:pt idx="34">
                  <c:v>-0.26556945307682123</c:v>
                </c:pt>
                <c:pt idx="35">
                  <c:v>-0.23594181476141962</c:v>
                </c:pt>
                <c:pt idx="36">
                  <c:v>-0.20425377495895825</c:v>
                </c:pt>
                <c:pt idx="37">
                  <c:v>-0.11582026119097633</c:v>
                </c:pt>
                <c:pt idx="38">
                  <c:v>5.2768942146956821E-2</c:v>
                </c:pt>
                <c:pt idx="39">
                  <c:v>-1.3067388981433004E-2</c:v>
                </c:pt>
                <c:pt idx="40">
                  <c:v>-0.1217576194778337</c:v>
                </c:pt>
                <c:pt idx="41">
                  <c:v>-0.18141194042734166</c:v>
                </c:pt>
                <c:pt idx="42">
                  <c:v>-0.24919957691766592</c:v>
                </c:pt>
                <c:pt idx="43">
                  <c:v>-0.24425901705957509</c:v>
                </c:pt>
                <c:pt idx="44">
                  <c:v>-0.20409683142373303</c:v>
                </c:pt>
                <c:pt idx="45">
                  <c:v>-0.25170232826267791</c:v>
                </c:pt>
                <c:pt idx="46">
                  <c:v>-0.27426304601058504</c:v>
                </c:pt>
                <c:pt idx="47">
                  <c:v>-0.14815652539423785</c:v>
                </c:pt>
                <c:pt idx="48">
                  <c:v>-8.7050909185892866E-2</c:v>
                </c:pt>
                <c:pt idx="49">
                  <c:v>-0.22847017276785864</c:v>
                </c:pt>
                <c:pt idx="50">
                  <c:v>-0.26365071785936822</c:v>
                </c:pt>
                <c:pt idx="51">
                  <c:v>-4.1324819940266933E-2</c:v>
                </c:pt>
                <c:pt idx="52">
                  <c:v>-0.16675494515375511</c:v>
                </c:pt>
                <c:pt idx="53">
                  <c:v>-0.15596659659426526</c:v>
                </c:pt>
                <c:pt idx="54">
                  <c:v>-0.1372153957131359</c:v>
                </c:pt>
                <c:pt idx="55">
                  <c:v>-0.12544803409295313</c:v>
                </c:pt>
                <c:pt idx="56">
                  <c:v>-8.4974195744871972E-2</c:v>
                </c:pt>
                <c:pt idx="57">
                  <c:v>-0.20206139391074351</c:v>
                </c:pt>
                <c:pt idx="58">
                  <c:v>-0.11341941599256178</c:v>
                </c:pt>
                <c:pt idx="59">
                  <c:v>-6.4660662129920055E-2</c:v>
                </c:pt>
                <c:pt idx="60">
                  <c:v>-0.10379491950083963</c:v>
                </c:pt>
                <c:pt idx="61">
                  <c:v>4.1193442299499061E-2</c:v>
                </c:pt>
                <c:pt idx="62">
                  <c:v>0.15114813118533688</c:v>
                </c:pt>
                <c:pt idx="63">
                  <c:v>0.1335038483183657</c:v>
                </c:pt>
                <c:pt idx="64">
                  <c:v>2.3539357905850933E-2</c:v>
                </c:pt>
                <c:pt idx="65">
                  <c:v>0.10013648886013948</c:v>
                </c:pt>
                <c:pt idx="66">
                  <c:v>0.13075339449655465</c:v>
                </c:pt>
                <c:pt idx="67">
                  <c:v>0.15428845405247182</c:v>
                </c:pt>
                <c:pt idx="68">
                  <c:v>0.13538954039421869</c:v>
                </c:pt>
                <c:pt idx="69">
                  <c:v>0.28359273566283383</c:v>
                </c:pt>
                <c:pt idx="70">
                  <c:v>0.55693222494594741</c:v>
                </c:pt>
                <c:pt idx="71">
                  <c:v>0.80377444464272552</c:v>
                </c:pt>
                <c:pt idx="72">
                  <c:v>0.48871187179677666</c:v>
                </c:pt>
                <c:pt idx="73">
                  <c:v>0.54325447215072575</c:v>
                </c:pt>
                <c:pt idx="74">
                  <c:v>0.5359289728063612</c:v>
                </c:pt>
                <c:pt idx="75">
                  <c:v>0.60851349850740744</c:v>
                </c:pt>
                <c:pt idx="76">
                  <c:v>0.56429533619677907</c:v>
                </c:pt>
                <c:pt idx="77">
                  <c:v>0.33122584591200721</c:v>
                </c:pt>
                <c:pt idx="78">
                  <c:v>0.31127649017596104</c:v>
                </c:pt>
                <c:pt idx="79">
                  <c:v>0.74908291030346108</c:v>
                </c:pt>
                <c:pt idx="80">
                  <c:v>6.1015838346415663E-2</c:v>
                </c:pt>
                <c:pt idx="81">
                  <c:v>0.26133540131448019</c:v>
                </c:pt>
                <c:pt idx="82">
                  <c:v>4.9524673387078E-3</c:v>
                </c:pt>
                <c:pt idx="83">
                  <c:v>0.12144532254686058</c:v>
                </c:pt>
                <c:pt idx="84">
                  <c:v>-1.0638223007761294E-2</c:v>
                </c:pt>
                <c:pt idx="85">
                  <c:v>-0.11291795386774928</c:v>
                </c:pt>
                <c:pt idx="86">
                  <c:v>-8.0838101915006066E-2</c:v>
                </c:pt>
                <c:pt idx="87">
                  <c:v>-0.30203606591676635</c:v>
                </c:pt>
                <c:pt idx="88">
                  <c:v>-9.141828915629302E-2</c:v>
                </c:pt>
                <c:pt idx="89">
                  <c:v>-9.9183729719523828E-2</c:v>
                </c:pt>
                <c:pt idx="90">
                  <c:v>-0.6846750912923989</c:v>
                </c:pt>
                <c:pt idx="91">
                  <c:v>-0.60287711174805159</c:v>
                </c:pt>
                <c:pt idx="92">
                  <c:v>-0.60777513781692161</c:v>
                </c:pt>
                <c:pt idx="93">
                  <c:v>-0.54429337862770999</c:v>
                </c:pt>
                <c:pt idx="94">
                  <c:v>-0.55122111431773901</c:v>
                </c:pt>
                <c:pt idx="95">
                  <c:v>-0.52508758827313151</c:v>
                </c:pt>
                <c:pt idx="96">
                  <c:v>-0.57772755419447985</c:v>
                </c:pt>
                <c:pt idx="97">
                  <c:v>-0.5303343572176058</c:v>
                </c:pt>
                <c:pt idx="98">
                  <c:v>-0.51321445589394854</c:v>
                </c:pt>
                <c:pt idx="99">
                  <c:v>-0.51138920809488231</c:v>
                </c:pt>
                <c:pt idx="100">
                  <c:v>-0.51529263458246866</c:v>
                </c:pt>
                <c:pt idx="101">
                  <c:v>-0.38785313917807074</c:v>
                </c:pt>
                <c:pt idx="102">
                  <c:v>-0.39029667878606433</c:v>
                </c:pt>
                <c:pt idx="103">
                  <c:v>-0.40874834910850455</c:v>
                </c:pt>
                <c:pt idx="104">
                  <c:v>-0.43209943689223451</c:v>
                </c:pt>
                <c:pt idx="105">
                  <c:v>-0.34811029276082173</c:v>
                </c:pt>
                <c:pt idx="106">
                  <c:v>-0.35169031326390365</c:v>
                </c:pt>
                <c:pt idx="107">
                  <c:v>-0.34064844837174679</c:v>
                </c:pt>
                <c:pt idx="108">
                  <c:v>-0.31955906058746697</c:v>
                </c:pt>
                <c:pt idx="109">
                  <c:v>-0.31007007612993054</c:v>
                </c:pt>
                <c:pt idx="110">
                  <c:v>-0.26621744074782128</c:v>
                </c:pt>
                <c:pt idx="111">
                  <c:v>-0.30308708350023028</c:v>
                </c:pt>
                <c:pt idx="112">
                  <c:v>-0.17824578764360322</c:v>
                </c:pt>
                <c:pt idx="113">
                  <c:v>-7.5574462316659652E-2</c:v>
                </c:pt>
                <c:pt idx="114">
                  <c:v>-0.13424410067213211</c:v>
                </c:pt>
                <c:pt idx="115">
                  <c:v>-9.3758473407307363E-2</c:v>
                </c:pt>
                <c:pt idx="116">
                  <c:v>1.8105716220139234E-2</c:v>
                </c:pt>
                <c:pt idx="117">
                  <c:v>2.0317371029084486E-2</c:v>
                </c:pt>
                <c:pt idx="118">
                  <c:v>-0.1133758383112683</c:v>
                </c:pt>
                <c:pt idx="119">
                  <c:v>-0.11877764266636914</c:v>
                </c:pt>
                <c:pt idx="120">
                  <c:v>-0.29242332028031581</c:v>
                </c:pt>
                <c:pt idx="121">
                  <c:v>-0.31108661484903033</c:v>
                </c:pt>
                <c:pt idx="122">
                  <c:v>-0.35069595918101515</c:v>
                </c:pt>
                <c:pt idx="123">
                  <c:v>-0.2690751183209481</c:v>
                </c:pt>
                <c:pt idx="124">
                  <c:v>-0.18903660229246932</c:v>
                </c:pt>
                <c:pt idx="125">
                  <c:v>-0.36942941583462419</c:v>
                </c:pt>
                <c:pt idx="126">
                  <c:v>-0.37456674792445444</c:v>
                </c:pt>
                <c:pt idx="127">
                  <c:v>-0.43945418504350631</c:v>
                </c:pt>
                <c:pt idx="128">
                  <c:v>-0.47899993490124415</c:v>
                </c:pt>
                <c:pt idx="129">
                  <c:v>-0.52099083519389144</c:v>
                </c:pt>
                <c:pt idx="130">
                  <c:v>-0.51069448454072264</c:v>
                </c:pt>
                <c:pt idx="131">
                  <c:v>-0.54857336987338656</c:v>
                </c:pt>
                <c:pt idx="132">
                  <c:v>-0.53347481765324811</c:v>
                </c:pt>
                <c:pt idx="133">
                  <c:v>-0.54970534368591428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A4A-451B-8C10-2458AFAA1DD2}"/>
            </c:ext>
          </c:extLst>
        </c:ser>
        <c:ser>
          <c:idx val="11"/>
          <c:order val="11"/>
          <c:tx>
            <c:strRef>
              <c:f>NN4再投資累積報酬!$A$23</c:f>
              <c:strCache>
                <c:ptCount val="1"/>
                <c:pt idx="0">
                  <c:v>482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NN4再投資累積報酬!$C$23:$EF$23</c:f>
              <c:numCache>
                <c:formatCode>General</c:formatCode>
                <c:ptCount val="134"/>
                <c:pt idx="0">
                  <c:v>-3.4987009286289172E-2</c:v>
                </c:pt>
                <c:pt idx="1">
                  <c:v>0.21021700157612044</c:v>
                </c:pt>
                <c:pt idx="2">
                  <c:v>0.11226061840358614</c:v>
                </c:pt>
                <c:pt idx="3">
                  <c:v>0.10809853916951995</c:v>
                </c:pt>
                <c:pt idx="4">
                  <c:v>0.50882243008647166</c:v>
                </c:pt>
                <c:pt idx="5">
                  <c:v>0.48137921331684375</c:v>
                </c:pt>
                <c:pt idx="6">
                  <c:v>0.70084854889604187</c:v>
                </c:pt>
                <c:pt idx="7">
                  <c:v>0.50546272141733462</c:v>
                </c:pt>
                <c:pt idx="8">
                  <c:v>0.41525765334409015</c:v>
                </c:pt>
                <c:pt idx="9">
                  <c:v>0.48711169966202283</c:v>
                </c:pt>
                <c:pt idx="10">
                  <c:v>0.26807576097465335</c:v>
                </c:pt>
                <c:pt idx="11">
                  <c:v>1.5055921641855785</c:v>
                </c:pt>
                <c:pt idx="12">
                  <c:v>1.1976548872071708</c:v>
                </c:pt>
                <c:pt idx="13">
                  <c:v>0.99898312481588181</c:v>
                </c:pt>
                <c:pt idx="14">
                  <c:v>1.5810420336419582</c:v>
                </c:pt>
                <c:pt idx="15">
                  <c:v>1.7431830941953463</c:v>
                </c:pt>
                <c:pt idx="16">
                  <c:v>1.4312158783483371</c:v>
                </c:pt>
                <c:pt idx="17">
                  <c:v>1.2253478114174348</c:v>
                </c:pt>
                <c:pt idx="18">
                  <c:v>1.3571696270484637</c:v>
                </c:pt>
                <c:pt idx="19">
                  <c:v>0.80918543941555843</c:v>
                </c:pt>
                <c:pt idx="20">
                  <c:v>1.2787540926595482</c:v>
                </c:pt>
                <c:pt idx="21">
                  <c:v>0.67696773444909364</c:v>
                </c:pt>
                <c:pt idx="22">
                  <c:v>0.56301023053847277</c:v>
                </c:pt>
                <c:pt idx="23">
                  <c:v>0.62717492652253837</c:v>
                </c:pt>
                <c:pt idx="24">
                  <c:v>0.87393925847953424</c:v>
                </c:pt>
                <c:pt idx="25">
                  <c:v>0.78446240676565338</c:v>
                </c:pt>
                <c:pt idx="26">
                  <c:v>0.36688303565203295</c:v>
                </c:pt>
                <c:pt idx="27">
                  <c:v>0.46478876684668102</c:v>
                </c:pt>
                <c:pt idx="28">
                  <c:v>-6.5428702558991803E-2</c:v>
                </c:pt>
                <c:pt idx="29">
                  <c:v>-8.9072889098600672E-2</c:v>
                </c:pt>
                <c:pt idx="30">
                  <c:v>-9.0945299775058497E-2</c:v>
                </c:pt>
                <c:pt idx="31">
                  <c:v>-5.7057558660073227E-2</c:v>
                </c:pt>
                <c:pt idx="32">
                  <c:v>0.14016073883105507</c:v>
                </c:pt>
                <c:pt idx="33">
                  <c:v>0.16705371017786308</c:v>
                </c:pt>
                <c:pt idx="34">
                  <c:v>0.18871422703876406</c:v>
                </c:pt>
                <c:pt idx="35">
                  <c:v>0.34494897439480954</c:v>
                </c:pt>
                <c:pt idx="36">
                  <c:v>0.46154932572996743</c:v>
                </c:pt>
                <c:pt idx="37">
                  <c:v>0.81570421119009007</c:v>
                </c:pt>
                <c:pt idx="38">
                  <c:v>1.4448175769521825</c:v>
                </c:pt>
                <c:pt idx="39">
                  <c:v>1.4524480955081134</c:v>
                </c:pt>
                <c:pt idx="40">
                  <c:v>1.2087262562246126</c:v>
                </c:pt>
                <c:pt idx="41">
                  <c:v>0.88595183604497252</c:v>
                </c:pt>
                <c:pt idx="42">
                  <c:v>0.91368831846613441</c:v>
                </c:pt>
                <c:pt idx="43">
                  <c:v>0.83440857117068856</c:v>
                </c:pt>
                <c:pt idx="44">
                  <c:v>0.89521100839677881</c:v>
                </c:pt>
                <c:pt idx="45">
                  <c:v>0.84282928233290089</c:v>
                </c:pt>
                <c:pt idx="46">
                  <c:v>0.74695256941339871</c:v>
                </c:pt>
                <c:pt idx="47">
                  <c:v>0.86895651168464161</c:v>
                </c:pt>
                <c:pt idx="48">
                  <c:v>1.1871164186866463</c:v>
                </c:pt>
                <c:pt idx="49">
                  <c:v>1.0476798353181209</c:v>
                </c:pt>
                <c:pt idx="50">
                  <c:v>1.0674333523638917</c:v>
                </c:pt>
                <c:pt idx="51">
                  <c:v>0.96189194630861663</c:v>
                </c:pt>
                <c:pt idx="52">
                  <c:v>0.37169942703385694</c:v>
                </c:pt>
                <c:pt idx="53">
                  <c:v>0.50177889264189846</c:v>
                </c:pt>
                <c:pt idx="54">
                  <c:v>0.39450568138831987</c:v>
                </c:pt>
                <c:pt idx="55">
                  <c:v>0.36264542318745918</c:v>
                </c:pt>
                <c:pt idx="56">
                  <c:v>0.46451879974447507</c:v>
                </c:pt>
                <c:pt idx="57">
                  <c:v>0.16651268360280258</c:v>
                </c:pt>
                <c:pt idx="58">
                  <c:v>0.38944734812301918</c:v>
                </c:pt>
                <c:pt idx="59">
                  <c:v>0.53395447871804258</c:v>
                </c:pt>
                <c:pt idx="60">
                  <c:v>0.54114408916936596</c:v>
                </c:pt>
                <c:pt idx="61">
                  <c:v>0.77159798596352336</c:v>
                </c:pt>
                <c:pt idx="62">
                  <c:v>1.1067501096588415</c:v>
                </c:pt>
                <c:pt idx="63">
                  <c:v>1.0921141569008932</c:v>
                </c:pt>
                <c:pt idx="64">
                  <c:v>0.74417430440025956</c:v>
                </c:pt>
                <c:pt idx="65">
                  <c:v>0.91556803289082</c:v>
                </c:pt>
                <c:pt idx="66">
                  <c:v>1.0106028901149489</c:v>
                </c:pt>
                <c:pt idx="67">
                  <c:v>1.0464807344225324</c:v>
                </c:pt>
                <c:pt idx="68">
                  <c:v>0.89652406322679257</c:v>
                </c:pt>
                <c:pt idx="69">
                  <c:v>1.1689593770329574</c:v>
                </c:pt>
                <c:pt idx="70">
                  <c:v>1.6150877204366996</c:v>
                </c:pt>
                <c:pt idx="71">
                  <c:v>1.9118153651232404</c:v>
                </c:pt>
                <c:pt idx="72">
                  <c:v>1.3231850949955688</c:v>
                </c:pt>
                <c:pt idx="73">
                  <c:v>1.3041044976618004</c:v>
                </c:pt>
                <c:pt idx="74">
                  <c:v>1.2805895152229998</c:v>
                </c:pt>
                <c:pt idx="75">
                  <c:v>1.2980810950093167</c:v>
                </c:pt>
                <c:pt idx="76">
                  <c:v>1.1242239068946249</c:v>
                </c:pt>
                <c:pt idx="77">
                  <c:v>0.66196261441826421</c:v>
                </c:pt>
                <c:pt idx="78">
                  <c:v>1.035835443106929</c:v>
                </c:pt>
                <c:pt idx="79">
                  <c:v>1.4260571638351194</c:v>
                </c:pt>
                <c:pt idx="80">
                  <c:v>1.1431192010371105</c:v>
                </c:pt>
                <c:pt idx="81">
                  <c:v>1.4798780433637906</c:v>
                </c:pt>
                <c:pt idx="82">
                  <c:v>0.50468140800265759</c:v>
                </c:pt>
                <c:pt idx="83">
                  <c:v>0.77581965448283152</c:v>
                </c:pt>
                <c:pt idx="84">
                  <c:v>0.22549417863398369</c:v>
                </c:pt>
                <c:pt idx="85">
                  <c:v>0.20113703140274475</c:v>
                </c:pt>
                <c:pt idx="86">
                  <c:v>0.31658671311764186</c:v>
                </c:pt>
                <c:pt idx="87">
                  <c:v>-0.22145094632948148</c:v>
                </c:pt>
                <c:pt idx="88">
                  <c:v>7.9639623209140975E-2</c:v>
                </c:pt>
                <c:pt idx="89">
                  <c:v>2.2413132405833203E-2</c:v>
                </c:pt>
                <c:pt idx="90">
                  <c:v>-0.90688197294625739</c:v>
                </c:pt>
                <c:pt idx="91">
                  <c:v>-0.87788867484095445</c:v>
                </c:pt>
                <c:pt idx="92">
                  <c:v>-0.87901011405174778</c:v>
                </c:pt>
                <c:pt idx="93">
                  <c:v>-0.86222574520894701</c:v>
                </c:pt>
                <c:pt idx="94">
                  <c:v>-0.86731984067695156</c:v>
                </c:pt>
                <c:pt idx="95">
                  <c:v>-0.86126132736760708</c:v>
                </c:pt>
                <c:pt idx="96">
                  <c:v>-0.86418269150702542</c:v>
                </c:pt>
                <c:pt idx="97">
                  <c:v>-0.86720396620781126</c:v>
                </c:pt>
                <c:pt idx="98">
                  <c:v>-0.85380466954010037</c:v>
                </c:pt>
                <c:pt idx="99">
                  <c:v>-0.866774679809451</c:v>
                </c:pt>
                <c:pt idx="100">
                  <c:v>-0.8638375236907414</c:v>
                </c:pt>
                <c:pt idx="101">
                  <c:v>-0.83905611723382612</c:v>
                </c:pt>
                <c:pt idx="102">
                  <c:v>-0.84404250253441471</c:v>
                </c:pt>
                <c:pt idx="103">
                  <c:v>-0.84653082887106235</c:v>
                </c:pt>
                <c:pt idx="104">
                  <c:v>-0.8282387637673807</c:v>
                </c:pt>
                <c:pt idx="105">
                  <c:v>-0.79218142725430329</c:v>
                </c:pt>
                <c:pt idx="106">
                  <c:v>-0.79413392970219743</c:v>
                </c:pt>
                <c:pt idx="107">
                  <c:v>-0.78138214742157552</c:v>
                </c:pt>
                <c:pt idx="108">
                  <c:v>-0.77301563960737418</c:v>
                </c:pt>
                <c:pt idx="109">
                  <c:v>-0.76043765371284877</c:v>
                </c:pt>
                <c:pt idx="110">
                  <c:v>-0.74762595599715564</c:v>
                </c:pt>
                <c:pt idx="111">
                  <c:v>-0.76959713758244375</c:v>
                </c:pt>
                <c:pt idx="112">
                  <c:v>-0.70558356921260956</c:v>
                </c:pt>
                <c:pt idx="113">
                  <c:v>-0.64195986657338877</c:v>
                </c:pt>
                <c:pt idx="114">
                  <c:v>-0.64894068422817797</c:v>
                </c:pt>
                <c:pt idx="115">
                  <c:v>-0.6466597830305465</c:v>
                </c:pt>
                <c:pt idx="116">
                  <c:v>-0.58867972616643294</c:v>
                </c:pt>
                <c:pt idx="117">
                  <c:v>-0.56931138141614235</c:v>
                </c:pt>
                <c:pt idx="118">
                  <c:v>-0.64261932036803282</c:v>
                </c:pt>
                <c:pt idx="119">
                  <c:v>-0.6747428411135481</c:v>
                </c:pt>
                <c:pt idx="120">
                  <c:v>-0.76844831520714929</c:v>
                </c:pt>
                <c:pt idx="121">
                  <c:v>-0.79715035597710293</c:v>
                </c:pt>
                <c:pt idx="122">
                  <c:v>-0.79019521265357962</c:v>
                </c:pt>
                <c:pt idx="123">
                  <c:v>-0.73223210661816795</c:v>
                </c:pt>
                <c:pt idx="124">
                  <c:v>-0.6944157202934218</c:v>
                </c:pt>
                <c:pt idx="125">
                  <c:v>-0.79021431595764391</c:v>
                </c:pt>
                <c:pt idx="126">
                  <c:v>-0.75457658925588467</c:v>
                </c:pt>
                <c:pt idx="127">
                  <c:v>-0.77560714281299437</c:v>
                </c:pt>
                <c:pt idx="128">
                  <c:v>-0.78086891019021643</c:v>
                </c:pt>
                <c:pt idx="129">
                  <c:v>-0.79462013982332913</c:v>
                </c:pt>
                <c:pt idx="130">
                  <c:v>-0.80213382159498381</c:v>
                </c:pt>
                <c:pt idx="131">
                  <c:v>-0.82022391594932142</c:v>
                </c:pt>
                <c:pt idx="132">
                  <c:v>-0.80960801523937909</c:v>
                </c:pt>
                <c:pt idx="133">
                  <c:v>-0.81870537809683008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A4A-451B-8C10-2458AFAA1DD2}"/>
            </c:ext>
          </c:extLst>
        </c:ser>
        <c:ser>
          <c:idx val="12"/>
          <c:order val="12"/>
          <c:tx>
            <c:strRef>
              <c:f>NN4再投資累積報酬!$A$24</c:f>
              <c:strCache>
                <c:ptCount val="1"/>
                <c:pt idx="0">
                  <c:v>964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NN4再投資累積報酬!$C$24:$EF$24</c:f>
              <c:numCache>
                <c:formatCode>General</c:formatCode>
                <c:ptCount val="134"/>
                <c:pt idx="0">
                  <c:v>0.16299313693108508</c:v>
                </c:pt>
                <c:pt idx="1">
                  <c:v>0.28000187643772168</c:v>
                </c:pt>
                <c:pt idx="2">
                  <c:v>0.37139443303269459</c:v>
                </c:pt>
                <c:pt idx="3">
                  <c:v>0.47469609009531544</c:v>
                </c:pt>
                <c:pt idx="4">
                  <c:v>0.81329663525383067</c:v>
                </c:pt>
                <c:pt idx="5">
                  <c:v>0.87831419940749211</c:v>
                </c:pt>
                <c:pt idx="6">
                  <c:v>0.87434732528382741</c:v>
                </c:pt>
                <c:pt idx="7">
                  <c:v>0.65793330875923139</c:v>
                </c:pt>
                <c:pt idx="8">
                  <c:v>0.7470190392387912</c:v>
                </c:pt>
                <c:pt idx="9">
                  <c:v>0.91088942511938997</c:v>
                </c:pt>
                <c:pt idx="10">
                  <c:v>0.49472446078033849</c:v>
                </c:pt>
                <c:pt idx="11">
                  <c:v>3.1389398630835021</c:v>
                </c:pt>
                <c:pt idx="12">
                  <c:v>2.1278796333294641</c:v>
                </c:pt>
                <c:pt idx="13">
                  <c:v>1.8018031410926647</c:v>
                </c:pt>
                <c:pt idx="14">
                  <c:v>1.7938460201719617</c:v>
                </c:pt>
                <c:pt idx="15">
                  <c:v>1.7161016669686364</c:v>
                </c:pt>
                <c:pt idx="16">
                  <c:v>0.75863655165257349</c:v>
                </c:pt>
                <c:pt idx="17">
                  <c:v>0.25246577935592995</c:v>
                </c:pt>
                <c:pt idx="18">
                  <c:v>0.61048687978216054</c:v>
                </c:pt>
                <c:pt idx="19">
                  <c:v>0.45156403448525695</c:v>
                </c:pt>
                <c:pt idx="20">
                  <c:v>0.21269175384229411</c:v>
                </c:pt>
                <c:pt idx="21">
                  <c:v>6.9566923173854489E-2</c:v>
                </c:pt>
                <c:pt idx="22">
                  <c:v>-5.9122299455500404E-2</c:v>
                </c:pt>
                <c:pt idx="23">
                  <c:v>-8.2075010960283468E-2</c:v>
                </c:pt>
                <c:pt idx="24">
                  <c:v>4.5422268554822232E-3</c:v>
                </c:pt>
                <c:pt idx="25">
                  <c:v>-0.18054367390041348</c:v>
                </c:pt>
                <c:pt idx="26">
                  <c:v>-0.38226923769634868</c:v>
                </c:pt>
                <c:pt idx="27">
                  <c:v>-0.31977094555103902</c:v>
                </c:pt>
                <c:pt idx="28">
                  <c:v>-0.68795044557921803</c:v>
                </c:pt>
                <c:pt idx="29">
                  <c:v>-0.73965768084585037</c:v>
                </c:pt>
                <c:pt idx="30">
                  <c:v>-0.7120871689051067</c:v>
                </c:pt>
                <c:pt idx="31">
                  <c:v>-0.73184288363634509</c:v>
                </c:pt>
                <c:pt idx="32">
                  <c:v>-0.64860316051743749</c:v>
                </c:pt>
                <c:pt idx="33">
                  <c:v>-0.61858157153624482</c:v>
                </c:pt>
                <c:pt idx="34">
                  <c:v>-0.61803232899925686</c:v>
                </c:pt>
                <c:pt idx="35">
                  <c:v>-0.6389171507060728</c:v>
                </c:pt>
                <c:pt idx="36">
                  <c:v>-0.61053639983441932</c:v>
                </c:pt>
                <c:pt idx="37">
                  <c:v>-0.52439115442018047</c:v>
                </c:pt>
                <c:pt idx="38">
                  <c:v>-0.48506210776149405</c:v>
                </c:pt>
                <c:pt idx="39">
                  <c:v>-0.49682932196948337</c:v>
                </c:pt>
                <c:pt idx="40">
                  <c:v>-0.60607975226618127</c:v>
                </c:pt>
                <c:pt idx="41">
                  <c:v>-0.67337432994729274</c:v>
                </c:pt>
                <c:pt idx="42">
                  <c:v>-0.66424315747804741</c:v>
                </c:pt>
                <c:pt idx="43">
                  <c:v>-0.65401627014726071</c:v>
                </c:pt>
                <c:pt idx="44">
                  <c:v>-0.6387600069112408</c:v>
                </c:pt>
                <c:pt idx="45">
                  <c:v>-0.67024277751690686</c:v>
                </c:pt>
                <c:pt idx="46">
                  <c:v>-0.66859809968120754</c:v>
                </c:pt>
                <c:pt idx="47">
                  <c:v>-0.65921737565502525</c:v>
                </c:pt>
                <c:pt idx="48">
                  <c:v>-0.60192251522091389</c:v>
                </c:pt>
                <c:pt idx="49">
                  <c:v>-0.58684848580641469</c:v>
                </c:pt>
                <c:pt idx="50">
                  <c:v>-0.60907386082281911</c:v>
                </c:pt>
                <c:pt idx="51">
                  <c:v>-0.64275567910329512</c:v>
                </c:pt>
                <c:pt idx="52">
                  <c:v>-0.85689565618166386</c:v>
                </c:pt>
                <c:pt idx="53">
                  <c:v>-0.83033617411558247</c:v>
                </c:pt>
                <c:pt idx="54">
                  <c:v>-0.83815162865749271</c:v>
                </c:pt>
                <c:pt idx="55">
                  <c:v>-0.82396540267114315</c:v>
                </c:pt>
                <c:pt idx="56">
                  <c:v>-0.81924134422593609</c:v>
                </c:pt>
                <c:pt idx="57">
                  <c:v>-0.88906033971198484</c:v>
                </c:pt>
                <c:pt idx="58">
                  <c:v>-0.8642510026540613</c:v>
                </c:pt>
                <c:pt idx="59">
                  <c:v>-0.86379647214753819</c:v>
                </c:pt>
                <c:pt idx="60">
                  <c:v>-0.8632484508660565</c:v>
                </c:pt>
                <c:pt idx="61">
                  <c:v>-0.81987574234187821</c:v>
                </c:pt>
                <c:pt idx="62">
                  <c:v>-0.81780917329019831</c:v>
                </c:pt>
                <c:pt idx="63">
                  <c:v>-0.81656128603693501</c:v>
                </c:pt>
                <c:pt idx="64">
                  <c:v>-0.84611504057850628</c:v>
                </c:pt>
                <c:pt idx="65">
                  <c:v>-0.82713314907582713</c:v>
                </c:pt>
                <c:pt idx="66">
                  <c:v>-0.83822595151456303</c:v>
                </c:pt>
                <c:pt idx="67">
                  <c:v>-0.83137381379221598</c:v>
                </c:pt>
                <c:pt idx="68">
                  <c:v>-0.83159045080197436</c:v>
                </c:pt>
                <c:pt idx="69">
                  <c:v>-0.81200935529454799</c:v>
                </c:pt>
                <c:pt idx="70">
                  <c:v>-0.7690860846241705</c:v>
                </c:pt>
                <c:pt idx="71">
                  <c:v>-0.74421008553951196</c:v>
                </c:pt>
                <c:pt idx="72">
                  <c:v>-0.76002708092524895</c:v>
                </c:pt>
                <c:pt idx="73">
                  <c:v>-0.79193389361442912</c:v>
                </c:pt>
                <c:pt idx="74">
                  <c:v>-0.76909953953808552</c:v>
                </c:pt>
                <c:pt idx="75">
                  <c:v>-0.70932104998330137</c:v>
                </c:pt>
                <c:pt idx="76">
                  <c:v>-0.74281356716967684</c:v>
                </c:pt>
                <c:pt idx="77">
                  <c:v>-0.68912281969196409</c:v>
                </c:pt>
                <c:pt idx="78">
                  <c:v>-0.55238208917265341</c:v>
                </c:pt>
                <c:pt idx="79">
                  <c:v>-0.53788273013257148</c:v>
                </c:pt>
                <c:pt idx="80">
                  <c:v>-0.63498347412449829</c:v>
                </c:pt>
                <c:pt idx="81">
                  <c:v>-0.55405151276530296</c:v>
                </c:pt>
                <c:pt idx="82">
                  <c:v>-0.69845765064824994</c:v>
                </c:pt>
                <c:pt idx="83">
                  <c:v>-0.59162804223637422</c:v>
                </c:pt>
                <c:pt idx="84">
                  <c:v>-0.45749752918230446</c:v>
                </c:pt>
                <c:pt idx="85">
                  <c:v>-0.45038560095112079</c:v>
                </c:pt>
                <c:pt idx="86">
                  <c:v>-0.39898012261503024</c:v>
                </c:pt>
                <c:pt idx="87">
                  <c:v>-0.31378234953280026</c:v>
                </c:pt>
                <c:pt idx="88">
                  <c:v>6.3354025790392177E-2</c:v>
                </c:pt>
                <c:pt idx="89">
                  <c:v>-5.1210425255576286E-2</c:v>
                </c:pt>
                <c:pt idx="90">
                  <c:v>-0.78809090200469711</c:v>
                </c:pt>
                <c:pt idx="91">
                  <c:v>-0.72710012153481429</c:v>
                </c:pt>
                <c:pt idx="92">
                  <c:v>-0.69580200572600504</c:v>
                </c:pt>
                <c:pt idx="93">
                  <c:v>-0.67722012045298041</c:v>
                </c:pt>
                <c:pt idx="94">
                  <c:v>-0.70494537333265761</c:v>
                </c:pt>
                <c:pt idx="95">
                  <c:v>-0.67649649888009233</c:v>
                </c:pt>
                <c:pt idx="96">
                  <c:v>-0.7000318145582296</c:v>
                </c:pt>
                <c:pt idx="97">
                  <c:v>-0.69551307955243469</c:v>
                </c:pt>
                <c:pt idx="98">
                  <c:v>-0.64219219293766416</c:v>
                </c:pt>
                <c:pt idx="99">
                  <c:v>-0.62243862802269323</c:v>
                </c:pt>
                <c:pt idx="100">
                  <c:v>-0.65266879838734682</c:v>
                </c:pt>
                <c:pt idx="101">
                  <c:v>-0.6136959353007907</c:v>
                </c:pt>
                <c:pt idx="102">
                  <c:v>-0.60422715750204636</c:v>
                </c:pt>
                <c:pt idx="103">
                  <c:v>-0.68158518345894126</c:v>
                </c:pt>
                <c:pt idx="104">
                  <c:v>-0.61966827663329438</c:v>
                </c:pt>
                <c:pt idx="105">
                  <c:v>-0.56133247176442524</c:v>
                </c:pt>
                <c:pt idx="106">
                  <c:v>-0.63856548641547239</c:v>
                </c:pt>
                <c:pt idx="107">
                  <c:v>-0.67639502111280025</c:v>
                </c:pt>
                <c:pt idx="108">
                  <c:v>-0.65726807890888161</c:v>
                </c:pt>
                <c:pt idx="109">
                  <c:v>-0.62321184278911368</c:v>
                </c:pt>
                <c:pt idx="110">
                  <c:v>-0.5697548500623143</c:v>
                </c:pt>
                <c:pt idx="111">
                  <c:v>-0.62675743215589774</c:v>
                </c:pt>
                <c:pt idx="112">
                  <c:v>-0.50003814257346679</c:v>
                </c:pt>
                <c:pt idx="113">
                  <c:v>-0.39349405778176194</c:v>
                </c:pt>
                <c:pt idx="114">
                  <c:v>-0.47927797150939988</c:v>
                </c:pt>
                <c:pt idx="115">
                  <c:v>-0.35777552049861661</c:v>
                </c:pt>
                <c:pt idx="116">
                  <c:v>-0.23868089754951982</c:v>
                </c:pt>
                <c:pt idx="117">
                  <c:v>-0.15160622391432088</c:v>
                </c:pt>
                <c:pt idx="118">
                  <c:v>-0.26442338106327712</c:v>
                </c:pt>
                <c:pt idx="119">
                  <c:v>-0.27951419896999774</c:v>
                </c:pt>
                <c:pt idx="120">
                  <c:v>-0.43532756859303012</c:v>
                </c:pt>
                <c:pt idx="121">
                  <c:v>-0.45699002150905743</c:v>
                </c:pt>
                <c:pt idx="122">
                  <c:v>-0.48285824975991931</c:v>
                </c:pt>
                <c:pt idx="123">
                  <c:v>-0.40103365217204789</c:v>
                </c:pt>
                <c:pt idx="124">
                  <c:v>-0.33583191860465866</c:v>
                </c:pt>
                <c:pt idx="125">
                  <c:v>-0.54278212846657947</c:v>
                </c:pt>
                <c:pt idx="126">
                  <c:v>-0.38558866423263682</c:v>
                </c:pt>
                <c:pt idx="127">
                  <c:v>-0.41659750200802248</c:v>
                </c:pt>
                <c:pt idx="128">
                  <c:v>-0.37147078075861151</c:v>
                </c:pt>
                <c:pt idx="129">
                  <c:v>-0.35363831510958421</c:v>
                </c:pt>
                <c:pt idx="130">
                  <c:v>-0.3628876983168452</c:v>
                </c:pt>
                <c:pt idx="131">
                  <c:v>-0.39867610907697648</c:v>
                </c:pt>
                <c:pt idx="132">
                  <c:v>-0.33046827735729634</c:v>
                </c:pt>
                <c:pt idx="133">
                  <c:v>-0.28542440788237133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A4A-451B-8C10-2458AFAA1DD2}"/>
            </c:ext>
          </c:extLst>
        </c:ser>
        <c:ser>
          <c:idx val="13"/>
          <c:order val="13"/>
          <c:tx>
            <c:strRef>
              <c:f>NN4再投資累積報酬!$A$25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NN4再投資累積報酬!$C$25:$EF$25</c:f>
              <c:numCache>
                <c:formatCode>General</c:formatCode>
                <c:ptCount val="134"/>
                <c:pt idx="0">
                  <c:v>-1.7446770539390366E-2</c:v>
                </c:pt>
                <c:pt idx="1">
                  <c:v>2.893123339404724E-3</c:v>
                </c:pt>
                <c:pt idx="2">
                  <c:v>2.6944635852046872E-2</c:v>
                </c:pt>
                <c:pt idx="3">
                  <c:v>2.0210365301730038E-2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0.11295275081672607</c:v>
                </c:pt>
                <c:pt idx="14">
                  <c:v>0.10882042835093308</c:v>
                </c:pt>
                <c:pt idx="15">
                  <c:v>0.13551706985268064</c:v>
                </c:pt>
                <c:pt idx="16">
                  <c:v>0.12167508804368476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-5.9140260213613516E-2</c:v>
                </c:pt>
                <c:pt idx="21">
                  <c:v>-1.7185893241652206E-2</c:v>
                </c:pt>
                <c:pt idx="22">
                  <c:v>-4.4409529547694393E-2</c:v>
                </c:pt>
                <c:pt idx="23">
                  <c:v>-4.2407561826578566E-2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2.7817794451217015E-3</c:v>
                </c:pt>
                <c:pt idx="27">
                  <c:v>-4.0202844765013457E-2</c:v>
                </c:pt>
                <c:pt idx="28">
                  <c:v>-2.2305320482664204E-2</c:v>
                </c:pt>
                <c:pt idx="29">
                  <c:v>-7.4152570234460313E-3</c:v>
                </c:pt>
                <c:pt idx="30">
                  <c:v>2.8334274381314417E-2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5.7454515782098925E-2</c:v>
                </c:pt>
                <c:pt idx="35">
                  <c:v>5.8917118987427575E-2</c:v>
                </c:pt>
                <c:pt idx="36">
                  <c:v>8.0938283596681648E-2</c:v>
                </c:pt>
                <c:pt idx="37">
                  <c:v>0.11500697453770203</c:v>
                </c:pt>
                <c:pt idx="38">
                  <c:v>0.12196653200545171</c:v>
                </c:pt>
                <c:pt idx="39">
                  <c:v>0.12886130991117528</c:v>
                </c:pt>
                <c:pt idx="40">
                  <c:v>0.14799139743631429</c:v>
                </c:pt>
                <c:pt idx="41">
                  <c:v>0.18780698843660248</c:v>
                </c:pt>
                <c:pt idx="42">
                  <c:v>0.19148751365039929</c:v>
                </c:pt>
                <c:pt idx="43">
                  <c:v>0.20945675046088996</c:v>
                </c:pt>
                <c:pt idx="44">
                  <c:v>0.18617324550329584</c:v>
                </c:pt>
                <c:pt idx="45">
                  <c:v>0.23209180697664689</c:v>
                </c:pt>
                <c:pt idx="46">
                  <c:v>0.20516203655681697</c:v>
                </c:pt>
                <c:pt idx="47">
                  <c:v>0.21453132863303215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0.24451556797958407</c:v>
                </c:pt>
                <c:pt idx="51">
                  <c:v>0.21433638745422812</c:v>
                </c:pt>
                <c:pt idx="52">
                  <c:v>0.23882150637103883</c:v>
                </c:pt>
                <c:pt idx="53">
                  <c:v>0.23447943849994912</c:v>
                </c:pt>
                <c:pt idx="54">
                  <c:v>0.25935658802508499</c:v>
                </c:pt>
                <c:pt idx="55">
                  <c:v>0.26008869763716325</c:v>
                </c:pt>
                <c:pt idx="56">
                  <c:v>0.2535114114609236</c:v>
                </c:pt>
                <c:pt idx="57">
                  <c:v>0.10826483627727623</c:v>
                </c:pt>
                <c:pt idx="58">
                  <c:v>0.11793469710078752</c:v>
                </c:pt>
                <c:pt idx="59">
                  <c:v>9.9625988810205346E-2</c:v>
                </c:pt>
                <c:pt idx="60">
                  <c:v>0.12254260303831388</c:v>
                </c:pt>
                <c:pt idx="61">
                  <c:v>0.17302993558173996</c:v>
                </c:pt>
                <c:pt idx="62">
                  <c:v>0.20112905370185397</c:v>
                </c:pt>
                <c:pt idx="63">
                  <c:v>0.23745011694095197</c:v>
                </c:pt>
                <c:pt idx="64">
                  <c:v>0.18334151222801376</c:v>
                </c:pt>
                <c:pt idx="65">
                  <c:v>0.20924423024871497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0.21987619627534571</c:v>
                </c:pt>
                <c:pt idx="69">
                  <c:v>0.27805738326883356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0.20998513144491437</c:v>
                </c:pt>
                <c:pt idx="76">
                  <c:v>0.20447092205281336</c:v>
                </c:pt>
                <c:pt idx="77">
                  <c:v>0.27699361006036605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0.49692143719092186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1.0974294483812512</c:v>
                </c:pt>
                <c:pt idx="123">
                  <c:v>1.1079601605760616</c:v>
                </c:pt>
                <c:pt idx="124">
                  <c:v>1.1868319851241949</c:v>
                </c:pt>
                <c:pt idx="125">
                  <c:v>1.3707686184169408</c:v>
                </c:pt>
                <c:pt idx="126">
                  <c:v>1.2834475238077694</c:v>
                </c:pt>
                <c:pt idx="127">
                  <c:v>1.2905072649494538</c:v>
                </c:pt>
                <c:pt idx="128">
                  <c:v>1.2860233033025419</c:v>
                </c:pt>
                <c:pt idx="129">
                  <c:v>1.3465094307246845</c:v>
                </c:pt>
                <c:pt idx="130">
                  <c:v>1.2884273650883467</c:v>
                </c:pt>
                <c:pt idx="131">
                  <c:v>1.3664981882262612</c:v>
                </c:pt>
                <c:pt idx="132">
                  <c:v>1.4163413115117764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A4A-451B-8C10-2458AFAA1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836856"/>
        <c:axId val="447840456"/>
      </c:lineChart>
      <c:catAx>
        <c:axId val="447836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47840456"/>
        <c:crosses val="autoZero"/>
        <c:auto val="1"/>
        <c:lblAlgn val="ctr"/>
        <c:lblOffset val="100"/>
        <c:noMultiLvlLbl val="0"/>
      </c:catAx>
      <c:valAx>
        <c:axId val="447840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47836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308119</xdr:colOff>
      <xdr:row>27</xdr:row>
      <xdr:rowOff>17466</xdr:rowOff>
    </xdr:from>
    <xdr:to>
      <xdr:col>17</xdr:col>
      <xdr:colOff>418523</xdr:colOff>
      <xdr:row>51</xdr:row>
      <xdr:rowOff>93808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286700</xdr:colOff>
      <xdr:row>26</xdr:row>
      <xdr:rowOff>80287</xdr:rowOff>
    </xdr:from>
    <xdr:to>
      <xdr:col>9</xdr:col>
      <xdr:colOff>388300</xdr:colOff>
      <xdr:row>41</xdr:row>
      <xdr:rowOff>62915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649283B5-4A30-D4F9-4E5E-55E00DB1B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31"/>
  <sheetViews>
    <sheetView zoomScale="141" zoomScaleNormal="84" workbookViewId="0">
      <selection activeCell="F26" sqref="F26"/>
    </sheetView>
  </sheetViews>
  <sheetFormatPr baseColWidth="10" defaultColWidth="9" defaultRowHeight="14"/>
  <cols>
    <col min="136" max="136" width="9.3984375" bestFit="1" customWidth="1"/>
  </cols>
  <sheetData>
    <row r="1" spans="1:137">
      <c r="A1" s="7" t="s">
        <v>155</v>
      </c>
      <c r="B1" s="7"/>
    </row>
    <row r="2" spans="1:137">
      <c r="A2" s="7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5" t="s">
        <v>43</v>
      </c>
      <c r="AT2" s="5" t="s">
        <v>44</v>
      </c>
      <c r="AU2" s="5" t="s">
        <v>45</v>
      </c>
      <c r="AV2" s="5" t="s">
        <v>46</v>
      </c>
      <c r="AW2" s="5" t="s">
        <v>47</v>
      </c>
      <c r="AX2" s="5" t="s">
        <v>48</v>
      </c>
      <c r="AY2" s="5" t="s">
        <v>49</v>
      </c>
      <c r="AZ2" s="5" t="s">
        <v>50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55</v>
      </c>
      <c r="BF2" s="5" t="s">
        <v>56</v>
      </c>
      <c r="BG2" s="5" t="s">
        <v>57</v>
      </c>
      <c r="BH2" s="5" t="s">
        <v>58</v>
      </c>
      <c r="BI2" s="5" t="s">
        <v>59</v>
      </c>
      <c r="BJ2" s="5" t="s">
        <v>60</v>
      </c>
      <c r="BK2" s="5" t="s">
        <v>61</v>
      </c>
      <c r="BL2" s="5" t="s">
        <v>62</v>
      </c>
      <c r="BM2" s="5" t="s">
        <v>63</v>
      </c>
      <c r="BN2" s="5" t="s">
        <v>64</v>
      </c>
      <c r="BO2" s="5" t="s">
        <v>65</v>
      </c>
      <c r="BP2" s="5" t="s">
        <v>66</v>
      </c>
      <c r="BQ2" s="5" t="s">
        <v>67</v>
      </c>
      <c r="BR2" s="5" t="s">
        <v>68</v>
      </c>
      <c r="BS2" s="5" t="s">
        <v>69</v>
      </c>
      <c r="BT2" s="5" t="s">
        <v>70</v>
      </c>
      <c r="BU2" s="5" t="s">
        <v>71</v>
      </c>
      <c r="BV2" s="5" t="s">
        <v>72</v>
      </c>
      <c r="BW2" s="5" t="s">
        <v>73</v>
      </c>
      <c r="BX2" s="5" t="s">
        <v>74</v>
      </c>
      <c r="BY2" s="5" t="s">
        <v>75</v>
      </c>
      <c r="BZ2" s="5" t="s">
        <v>76</v>
      </c>
      <c r="CA2" s="5" t="s">
        <v>77</v>
      </c>
      <c r="CB2" s="5" t="s">
        <v>78</v>
      </c>
      <c r="CC2" s="5" t="s">
        <v>79</v>
      </c>
      <c r="CD2" s="5" t="s">
        <v>80</v>
      </c>
      <c r="CE2" s="5" t="s">
        <v>81</v>
      </c>
      <c r="CF2" s="5" t="s">
        <v>82</v>
      </c>
      <c r="CG2" s="5" t="s">
        <v>83</v>
      </c>
      <c r="CH2" s="5" t="s">
        <v>84</v>
      </c>
      <c r="CI2" s="5" t="s">
        <v>85</v>
      </c>
      <c r="CJ2" s="5" t="s">
        <v>86</v>
      </c>
      <c r="CK2" s="5" t="s">
        <v>87</v>
      </c>
      <c r="CL2" s="5" t="s">
        <v>88</v>
      </c>
      <c r="CM2" s="5" t="s">
        <v>89</v>
      </c>
      <c r="CN2" s="5" t="s">
        <v>90</v>
      </c>
      <c r="CO2" s="5" t="s">
        <v>91</v>
      </c>
      <c r="CP2" s="5" t="s">
        <v>92</v>
      </c>
      <c r="CQ2" s="5" t="s">
        <v>93</v>
      </c>
      <c r="CR2" s="5" t="s">
        <v>94</v>
      </c>
      <c r="CS2" s="5" t="s">
        <v>95</v>
      </c>
      <c r="CT2" s="5" t="s">
        <v>96</v>
      </c>
      <c r="CU2" s="5" t="s">
        <v>97</v>
      </c>
      <c r="CV2" s="5" t="s">
        <v>98</v>
      </c>
      <c r="CW2" s="5" t="s">
        <v>99</v>
      </c>
      <c r="CX2" s="5" t="s">
        <v>100</v>
      </c>
      <c r="CY2" s="5" t="s">
        <v>101</v>
      </c>
      <c r="CZ2" s="5" t="s">
        <v>102</v>
      </c>
      <c r="DA2" s="5" t="s">
        <v>103</v>
      </c>
      <c r="DB2" s="5" t="s">
        <v>104</v>
      </c>
      <c r="DC2" s="5" t="s">
        <v>105</v>
      </c>
      <c r="DD2" s="5" t="s">
        <v>106</v>
      </c>
      <c r="DE2" s="5" t="s">
        <v>107</v>
      </c>
      <c r="DF2" s="5" t="s">
        <v>108</v>
      </c>
      <c r="DG2" s="5" t="s">
        <v>109</v>
      </c>
      <c r="DH2" s="5" t="s">
        <v>110</v>
      </c>
      <c r="DI2" s="5" t="s">
        <v>111</v>
      </c>
      <c r="DJ2" s="5" t="s">
        <v>112</v>
      </c>
      <c r="DK2" s="5" t="s">
        <v>113</v>
      </c>
      <c r="DL2" s="5" t="s">
        <v>114</v>
      </c>
      <c r="DM2" s="5" t="s">
        <v>115</v>
      </c>
      <c r="DN2" s="5" t="s">
        <v>116</v>
      </c>
      <c r="DO2" s="5" t="s">
        <v>117</v>
      </c>
      <c r="DP2" s="5" t="s">
        <v>118</v>
      </c>
      <c r="DQ2" s="5" t="s">
        <v>119</v>
      </c>
      <c r="DR2" s="5" t="s">
        <v>120</v>
      </c>
      <c r="DS2" s="5" t="s">
        <v>121</v>
      </c>
      <c r="DT2" s="5" t="s">
        <v>122</v>
      </c>
      <c r="DU2" s="5" t="s">
        <v>123</v>
      </c>
      <c r="DV2" s="5" t="s">
        <v>124</v>
      </c>
      <c r="DW2" s="5" t="s">
        <v>125</v>
      </c>
      <c r="DX2" s="5" t="s">
        <v>126</v>
      </c>
      <c r="DY2" s="5" t="s">
        <v>127</v>
      </c>
      <c r="DZ2" s="5" t="s">
        <v>128</v>
      </c>
      <c r="EA2" s="5" t="s">
        <v>129</v>
      </c>
      <c r="EB2" s="5" t="s">
        <v>130</v>
      </c>
      <c r="EC2" s="5" t="s">
        <v>131</v>
      </c>
      <c r="ED2" s="5" t="s">
        <v>132</v>
      </c>
      <c r="EE2" s="5" t="s">
        <v>133</v>
      </c>
      <c r="EF2" s="5" t="s">
        <v>134</v>
      </c>
      <c r="EG2" s="5" t="s">
        <v>135</v>
      </c>
    </row>
    <row r="3" spans="1:137">
      <c r="A3" s="7"/>
      <c r="B3" s="4" t="s">
        <v>136</v>
      </c>
      <c r="C3" s="9">
        <v>5.338069424033165E-2</v>
      </c>
      <c r="D3" s="9">
        <v>2.5363307446241379E-2</v>
      </c>
      <c r="E3" s="9">
        <v>3.7131085991859443E-2</v>
      </c>
      <c r="F3" s="9">
        <v>-1.5433895401656629E-2</v>
      </c>
      <c r="G3" s="9">
        <v>3.8762547075748437E-2</v>
      </c>
      <c r="H3" s="9">
        <v>1.892003417015076E-2</v>
      </c>
      <c r="I3" s="9">
        <v>3.051983006298542E-2</v>
      </c>
      <c r="J3" s="9">
        <v>-7.0650950074195862E-3</v>
      </c>
      <c r="K3" s="9">
        <v>8.7663400918245316E-3</v>
      </c>
      <c r="L3" s="9">
        <v>-1.6310771927237511E-2</v>
      </c>
      <c r="M3" s="9">
        <v>2.2654309868812561E-2</v>
      </c>
      <c r="N3" s="9">
        <v>-1.6186010092496868E-2</v>
      </c>
      <c r="O3" s="9">
        <v>-2.7719441801309589E-2</v>
      </c>
      <c r="P3" s="9">
        <v>9.2788353562355042E-2</v>
      </c>
      <c r="Q3" s="9">
        <v>-1.6570717096328739E-2</v>
      </c>
      <c r="R3" s="9">
        <v>-1.4206883497536181E-2</v>
      </c>
      <c r="S3" s="9">
        <v>4.957927018404007E-2</v>
      </c>
      <c r="T3" s="9">
        <v>2.795058116316795E-2</v>
      </c>
      <c r="U3" s="9">
        <v>1.4803186058998111E-4</v>
      </c>
      <c r="V3" s="9">
        <v>-1.9191417843103409E-2</v>
      </c>
      <c r="W3" s="9">
        <v>-2.0450763404369351E-2</v>
      </c>
      <c r="X3" s="9">
        <v>-3.8444548845291138E-2</v>
      </c>
      <c r="Y3" s="9">
        <v>-2.1946478635072712E-2</v>
      </c>
      <c r="Z3" s="9">
        <v>1.4381051063537599E-2</v>
      </c>
      <c r="AA3" s="9">
        <v>2.881650626659393E-2</v>
      </c>
      <c r="AB3" s="9">
        <v>-2.372733503580093E-2</v>
      </c>
      <c r="AC3" s="9">
        <v>-1.292891800403595E-2</v>
      </c>
      <c r="AD3" s="9">
        <v>2.2476669400930401E-2</v>
      </c>
      <c r="AE3" s="9">
        <v>3.8704991340637207E-2</v>
      </c>
      <c r="AF3" s="9">
        <v>1.200170814990997E-2</v>
      </c>
      <c r="AG3" s="9">
        <v>-2.7202442288398739E-2</v>
      </c>
      <c r="AH3" s="9">
        <v>1.702401414513588E-2</v>
      </c>
      <c r="AI3" s="9">
        <v>1.4300147071480749E-2</v>
      </c>
      <c r="AJ3" s="9">
        <v>1.841375045478344E-2</v>
      </c>
      <c r="AK3" s="9">
        <v>1.0560634545981881E-2</v>
      </c>
      <c r="AL3" s="9">
        <v>3.8964591920375817E-2</v>
      </c>
      <c r="AM3" s="9">
        <v>1.855255663394928E-2</v>
      </c>
      <c r="AN3" s="9">
        <v>4.386327788233757E-2</v>
      </c>
      <c r="AO3" s="9">
        <v>-3.6691559944301839E-3</v>
      </c>
      <c r="AP3" s="9">
        <v>3.8291200995445251E-2</v>
      </c>
      <c r="AQ3" s="9">
        <v>1.015769504010677E-2</v>
      </c>
      <c r="AR3" s="9">
        <v>8.0924127250909805E-3</v>
      </c>
      <c r="AS3" s="9">
        <v>-6.6054962575435638E-2</v>
      </c>
      <c r="AT3" s="9">
        <v>4.3137997388839722E-2</v>
      </c>
      <c r="AU3" s="9">
        <v>4.9771856516599662E-2</v>
      </c>
      <c r="AV3" s="9">
        <v>4.9413982778787613E-2</v>
      </c>
      <c r="AW3" s="9">
        <v>5.1071316003799438E-2</v>
      </c>
      <c r="AX3" s="9">
        <v>4.962177574634552E-2</v>
      </c>
      <c r="AY3" s="9">
        <v>5.1257487386465073E-2</v>
      </c>
      <c r="AZ3" s="9">
        <v>4.2423129081726067E-2</v>
      </c>
      <c r="BA3" s="9">
        <v>3.9333701133728027E-2</v>
      </c>
      <c r="BB3" s="9">
        <v>3.9388258010149002E-2</v>
      </c>
      <c r="BC3" s="9">
        <v>4.2884018272161477E-2</v>
      </c>
      <c r="BD3" s="9">
        <v>4.4494438916444778E-2</v>
      </c>
      <c r="BE3" s="9">
        <v>4.6050392091274261E-2</v>
      </c>
      <c r="BF3" s="9">
        <v>5.2774351090192788E-2</v>
      </c>
      <c r="BG3" s="9">
        <v>5.2520696073770523E-2</v>
      </c>
      <c r="BH3" s="9">
        <v>5.204303190112114E-2</v>
      </c>
      <c r="BI3" s="9">
        <v>5.3213786333799362E-2</v>
      </c>
      <c r="BJ3" s="9">
        <v>5.14848493039608E-2</v>
      </c>
      <c r="BK3" s="9">
        <v>5.2345767617225647E-2</v>
      </c>
      <c r="BL3" s="9">
        <v>5.2821684628725052E-2</v>
      </c>
      <c r="BM3" s="9">
        <v>5.246623232960701E-2</v>
      </c>
      <c r="BN3" s="9">
        <v>5.7477392256259918E-2</v>
      </c>
      <c r="BO3" s="9">
        <v>5.5104456841945648E-2</v>
      </c>
      <c r="BP3" s="9">
        <v>4.081440344452858E-2</v>
      </c>
      <c r="BQ3" s="9">
        <v>5.2616532891988747E-2</v>
      </c>
      <c r="BR3" s="9">
        <v>3.6645740270614617E-2</v>
      </c>
      <c r="BS3" s="9">
        <v>5.4600823670625687E-2</v>
      </c>
      <c r="BT3" s="9">
        <v>4.5548383146524429E-2</v>
      </c>
      <c r="BU3" s="9">
        <v>5.5572357028722763E-2</v>
      </c>
      <c r="BV3" s="9">
        <v>5.2330784499645233E-2</v>
      </c>
      <c r="BW3" s="9">
        <v>4.1799742728471763E-2</v>
      </c>
      <c r="BX3" s="9">
        <v>4.7964099794626243E-2</v>
      </c>
      <c r="BY3" s="9">
        <v>4.9554049968719482E-2</v>
      </c>
      <c r="BZ3" s="9">
        <v>5.3468108177185059E-2</v>
      </c>
      <c r="CA3" s="9">
        <v>4.868757352232933E-2</v>
      </c>
      <c r="CB3" s="9">
        <v>4.6025428920984268E-2</v>
      </c>
      <c r="CC3" s="9">
        <v>5.2412558346986771E-2</v>
      </c>
      <c r="CD3" s="9">
        <v>4.9619406461715698E-2</v>
      </c>
      <c r="CE3" s="9">
        <v>4.6824052929878228E-2</v>
      </c>
      <c r="CF3" s="9">
        <v>5.0924398005008698E-2</v>
      </c>
      <c r="CG3" s="9">
        <v>4.6287201344966888E-2</v>
      </c>
      <c r="CH3" s="9">
        <v>5.0006065517663963E-2</v>
      </c>
      <c r="CI3" s="9">
        <v>4.8990387469530113E-2</v>
      </c>
      <c r="CJ3" s="9">
        <v>5.0737027078866959E-2</v>
      </c>
      <c r="CK3" s="9">
        <v>5.0407581031322479E-2</v>
      </c>
      <c r="CL3" s="9">
        <v>5.1771163940429688E-2</v>
      </c>
      <c r="CM3" s="9">
        <v>4.9744158983230591E-2</v>
      </c>
      <c r="CN3" s="9">
        <v>4.9877673387527473E-2</v>
      </c>
      <c r="CO3" s="9">
        <v>4.8527717590332031E-2</v>
      </c>
      <c r="CP3" s="9">
        <v>4.8692740499973297E-2</v>
      </c>
      <c r="CQ3" s="9">
        <v>4.9047302454710007E-2</v>
      </c>
      <c r="CR3" s="9">
        <v>4.9837246537208557E-2</v>
      </c>
      <c r="CS3" s="9">
        <v>4.7483202069997787E-2</v>
      </c>
      <c r="CT3" s="9">
        <v>3.1795904040336609E-2</v>
      </c>
      <c r="CU3" s="9">
        <v>4.4976841658353812E-2</v>
      </c>
      <c r="CV3" s="9">
        <v>4.9786105751991272E-2</v>
      </c>
      <c r="CW3" s="9">
        <v>4.3859463185071952E-2</v>
      </c>
      <c r="CX3" s="9">
        <v>5.1966626197099693E-2</v>
      </c>
      <c r="CY3" s="9">
        <v>5.0948314368724823E-2</v>
      </c>
      <c r="CZ3" s="9">
        <v>4.4357843697071082E-2</v>
      </c>
      <c r="DA3" s="9">
        <v>4.5401513576507568E-2</v>
      </c>
      <c r="DB3" s="9">
        <v>5.2733633667230613E-2</v>
      </c>
      <c r="DC3" s="9">
        <v>5.2081622183322913E-2</v>
      </c>
      <c r="DD3" s="9">
        <v>4.963703453540802E-2</v>
      </c>
      <c r="DE3" s="9">
        <v>5.2589800208806992E-2</v>
      </c>
      <c r="DF3" s="9">
        <v>4.1408929973840707E-2</v>
      </c>
      <c r="DG3" s="9">
        <v>4.3718356639146798E-2</v>
      </c>
      <c r="DH3" s="9">
        <v>4.6793397516012192E-2</v>
      </c>
      <c r="DI3" s="9">
        <v>4.7784905880689621E-2</v>
      </c>
      <c r="DJ3" s="9">
        <v>5.1443465054035187E-2</v>
      </c>
      <c r="DK3" s="9">
        <v>4.1621468961238861E-2</v>
      </c>
      <c r="DL3" s="9">
        <v>4.8520050942897797E-2</v>
      </c>
      <c r="DM3" s="9">
        <v>4.8485212028026581E-2</v>
      </c>
      <c r="DN3" s="9">
        <v>4.6739093959331512E-2</v>
      </c>
      <c r="DO3" s="9">
        <v>4.815780371427536E-2</v>
      </c>
      <c r="DP3" s="9">
        <v>4.7622770071029663E-2</v>
      </c>
      <c r="DQ3" s="9">
        <v>4.8637110739946372E-2</v>
      </c>
      <c r="DR3" s="9">
        <v>4.879031702876091E-2</v>
      </c>
      <c r="DS3" s="9">
        <v>4.4818054884672158E-2</v>
      </c>
      <c r="DT3" s="9">
        <v>4.8045273870229721E-2</v>
      </c>
      <c r="DU3" s="9">
        <v>4.7465518116950989E-2</v>
      </c>
      <c r="DV3" s="9">
        <v>4.6620264649391167E-2</v>
      </c>
      <c r="DW3" s="9">
        <v>4.7323688864707947E-2</v>
      </c>
      <c r="DX3" s="9">
        <v>4.754440113902092E-2</v>
      </c>
      <c r="DY3" s="9">
        <v>4.7807488590478897E-2</v>
      </c>
      <c r="DZ3" s="9">
        <v>3.4820709377527237E-2</v>
      </c>
      <c r="EA3" s="9">
        <v>4.8265136778354638E-2</v>
      </c>
      <c r="EB3" s="9">
        <v>4.2205382138490677E-2</v>
      </c>
      <c r="EC3" s="9">
        <v>3.6263357847929001E-2</v>
      </c>
      <c r="ED3" s="9">
        <v>3.9504203945398331E-2</v>
      </c>
      <c r="EE3" s="9">
        <v>4.6422228217124939E-2</v>
      </c>
      <c r="EF3" s="9">
        <v>5.0174936652183533E-2</v>
      </c>
      <c r="EG3" s="1"/>
    </row>
    <row r="4" spans="1:137">
      <c r="A4" s="7"/>
      <c r="B4" s="4" t="s">
        <v>137</v>
      </c>
      <c r="C4" s="9">
        <v>-2.5382354855537411E-2</v>
      </c>
      <c r="D4" s="9">
        <v>-3.0302392318844799E-2</v>
      </c>
      <c r="E4" s="9">
        <v>-2.2067004814743999E-2</v>
      </c>
      <c r="F4" s="9">
        <v>-3.342650830745697E-2</v>
      </c>
      <c r="G4" s="9">
        <v>-4.356461763381958E-2</v>
      </c>
      <c r="H4" s="9">
        <v>-2.4043656885623928E-2</v>
      </c>
      <c r="I4" s="9">
        <v>-2.6620017364621159E-2</v>
      </c>
      <c r="J4" s="9">
        <v>-3.6628138273954391E-2</v>
      </c>
      <c r="K4" s="9">
        <v>-3.3706646412611008E-2</v>
      </c>
      <c r="L4" s="9">
        <v>-3.9789609611034393E-2</v>
      </c>
      <c r="M4" s="9">
        <v>-3.8071341812610633E-2</v>
      </c>
      <c r="N4" s="9">
        <v>-2.9651828110218052E-2</v>
      </c>
      <c r="O4" s="9">
        <v>-3.6376375705003738E-2</v>
      </c>
      <c r="P4" s="9">
        <v>-3.8347743451595313E-2</v>
      </c>
      <c r="Q4" s="9">
        <v>-2.434376627206802E-2</v>
      </c>
      <c r="R4" s="9">
        <v>-3.3573232591152191E-2</v>
      </c>
      <c r="S4" s="9">
        <v>-2.8594411909580231E-2</v>
      </c>
      <c r="T4" s="9">
        <v>-2.798360958695412E-2</v>
      </c>
      <c r="U4" s="9">
        <v>-2.942265011370182E-2</v>
      </c>
      <c r="V4" s="9">
        <v>-2.794249914586544E-2</v>
      </c>
      <c r="W4" s="9">
        <v>-2.784637734293938E-2</v>
      </c>
      <c r="X4" s="9">
        <v>-2.9234068468213081E-2</v>
      </c>
      <c r="Y4" s="9">
        <v>-3.1967829912900918E-2</v>
      </c>
      <c r="Z4" s="9">
        <v>-2.9925361275672909E-2</v>
      </c>
      <c r="AA4" s="9">
        <v>-3.0244136229157451E-2</v>
      </c>
      <c r="AB4" s="9">
        <v>-2.8592776507139209E-2</v>
      </c>
      <c r="AC4" s="9">
        <v>-2.740947529673576E-2</v>
      </c>
      <c r="AD4" s="9">
        <v>-2.904889173805714E-2</v>
      </c>
      <c r="AE4" s="9">
        <v>-3.0896455049514771E-2</v>
      </c>
      <c r="AF4" s="9">
        <v>-2.8318248689174649E-2</v>
      </c>
      <c r="AG4" s="9">
        <v>-2.835783921182156E-2</v>
      </c>
      <c r="AH4" s="9">
        <v>-2.0635519176721569E-2</v>
      </c>
      <c r="AI4" s="9">
        <v>-3.9616737514734268E-2</v>
      </c>
      <c r="AJ4" s="9">
        <v>-3.4279849380254752E-2</v>
      </c>
      <c r="AK4" s="9">
        <v>-2.738221921026707E-2</v>
      </c>
      <c r="AL4" s="9">
        <v>-2.863131649792194E-2</v>
      </c>
      <c r="AM4" s="9">
        <v>-3.1148817390203479E-2</v>
      </c>
      <c r="AN4" s="9">
        <v>-2.5323469191789631E-2</v>
      </c>
      <c r="AO4" s="9">
        <v>-3.5884447395801537E-2</v>
      </c>
      <c r="AP4" s="9">
        <v>-2.0551485940814022E-2</v>
      </c>
      <c r="AQ4" s="9">
        <v>-2.1187437698245049E-2</v>
      </c>
      <c r="AR4" s="9">
        <v>-2.6181202381849289E-2</v>
      </c>
      <c r="AS4" s="9">
        <v>-2.9181500896811489E-2</v>
      </c>
      <c r="AT4" s="9">
        <v>-2.6695109903812408E-2</v>
      </c>
      <c r="AU4" s="9">
        <v>-3.0467243865132328E-2</v>
      </c>
      <c r="AV4" s="9">
        <v>-3.2533787190914147E-2</v>
      </c>
      <c r="AW4" s="9">
        <v>-2.7417561039328579E-2</v>
      </c>
      <c r="AX4" s="9">
        <v>-2.6351917535066601E-2</v>
      </c>
      <c r="AY4" s="9">
        <v>-3.3511210232973099E-2</v>
      </c>
      <c r="AZ4" s="9">
        <v>-2.682668715715408E-2</v>
      </c>
      <c r="BA4" s="9">
        <v>-3.1055137515068051E-2</v>
      </c>
      <c r="BB4" s="9">
        <v>-3.3870145678520203E-2</v>
      </c>
      <c r="BC4" s="9">
        <v>-3.1388275325298309E-2</v>
      </c>
      <c r="BD4" s="9">
        <v>-3.1560800969600677E-2</v>
      </c>
      <c r="BE4" s="9">
        <v>-3.270566463470459E-2</v>
      </c>
      <c r="BF4" s="9">
        <v>-3.091945685446262E-2</v>
      </c>
      <c r="BG4" s="9">
        <v>-3.1984996050596237E-2</v>
      </c>
      <c r="BH4" s="9">
        <v>-3.0280498787760731E-2</v>
      </c>
      <c r="BI4" s="9">
        <v>-3.1126156449317929E-2</v>
      </c>
      <c r="BJ4" s="9">
        <v>-3.047936782240868E-2</v>
      </c>
      <c r="BK4" s="9">
        <v>-3.2265529036521912E-2</v>
      </c>
      <c r="BL4" s="9">
        <v>-3.1362555921077728E-2</v>
      </c>
      <c r="BM4" s="9">
        <v>-3.135472908616066E-2</v>
      </c>
      <c r="BN4" s="9">
        <v>-1.223484799265862E-2</v>
      </c>
      <c r="BO4" s="9">
        <v>-2.3717723786830899E-2</v>
      </c>
      <c r="BP4" s="9">
        <v>-2.602463960647583E-2</v>
      </c>
      <c r="BQ4" s="9">
        <v>-3.055395744740963E-2</v>
      </c>
      <c r="BR4" s="9">
        <v>-1.1215118691325189E-2</v>
      </c>
      <c r="BS4" s="9">
        <v>-3.3343475311994553E-2</v>
      </c>
      <c r="BT4" s="9">
        <v>-2.5871314108371731E-2</v>
      </c>
      <c r="BU4" s="9">
        <v>-3.636319562792778E-2</v>
      </c>
      <c r="BV4" s="9">
        <v>-3.3731509000062943E-2</v>
      </c>
      <c r="BW4" s="9">
        <v>-2.4674531072378159E-2</v>
      </c>
      <c r="BX4" s="9">
        <v>-3.3149182796478271E-2</v>
      </c>
      <c r="BY4" s="9">
        <v>-3.1638260930776603E-2</v>
      </c>
      <c r="BZ4" s="9">
        <v>-3.5745307803153992E-2</v>
      </c>
      <c r="CA4" s="9">
        <v>-3.2566580921411507E-2</v>
      </c>
      <c r="CB4" s="9">
        <v>-2.4697717279195789E-2</v>
      </c>
      <c r="CC4" s="9">
        <v>-2.9147785156965259E-2</v>
      </c>
      <c r="CD4" s="9">
        <v>-2.5953460484743118E-2</v>
      </c>
      <c r="CE4" s="9">
        <v>-3.1028131023049351E-2</v>
      </c>
      <c r="CF4" s="9">
        <v>-3.1018134206533429E-2</v>
      </c>
      <c r="CG4" s="9">
        <v>-3.0473332852125171E-2</v>
      </c>
      <c r="CH4" s="9">
        <v>-3.1180024147033691E-2</v>
      </c>
      <c r="CI4" s="9">
        <v>-3.08760479092598E-2</v>
      </c>
      <c r="CJ4" s="9">
        <v>-3.3132713288068771E-2</v>
      </c>
      <c r="CK4" s="9">
        <v>-3.1985852867364883E-2</v>
      </c>
      <c r="CL4" s="9">
        <v>-3.1450629234313958E-2</v>
      </c>
      <c r="CM4" s="9">
        <v>-3.0559267848730091E-2</v>
      </c>
      <c r="CN4" s="9">
        <v>-3.1584195792675018E-2</v>
      </c>
      <c r="CO4" s="9">
        <v>-3.0493449419736859E-2</v>
      </c>
      <c r="CP4" s="9">
        <v>-3.0219420790672299E-2</v>
      </c>
      <c r="CQ4" s="9">
        <v>-3.1929124146699912E-2</v>
      </c>
      <c r="CR4" s="9">
        <v>-2.934969961643219E-2</v>
      </c>
      <c r="CS4" s="9">
        <v>-3.0506746843457219E-2</v>
      </c>
      <c r="CT4" s="9">
        <v>-2.308591827750206E-2</v>
      </c>
      <c r="CU4" s="9">
        <v>-2.7401415631175041E-2</v>
      </c>
      <c r="CV4" s="9">
        <v>-2.833597362041473E-2</v>
      </c>
      <c r="CW4" s="9">
        <v>-3.2171882688999183E-2</v>
      </c>
      <c r="CX4" s="9">
        <v>-2.7837745845317841E-2</v>
      </c>
      <c r="CY4" s="9">
        <v>-2.7134021744132038E-2</v>
      </c>
      <c r="CZ4" s="9">
        <v>-2.573245391249657E-2</v>
      </c>
      <c r="DA4" s="9">
        <v>-2.8771925717592239E-2</v>
      </c>
      <c r="DB4" s="9">
        <v>-3.3348452299833298E-2</v>
      </c>
      <c r="DC4" s="9">
        <v>-3.2358631491661072E-2</v>
      </c>
      <c r="DD4" s="9">
        <v>-3.2213933765888207E-2</v>
      </c>
      <c r="DE4" s="9">
        <v>-2.9715811833739281E-2</v>
      </c>
      <c r="DF4" s="9">
        <v>-2.911583706736565E-2</v>
      </c>
      <c r="DG4" s="9">
        <v>-2.7615876868367199E-2</v>
      </c>
      <c r="DH4" s="9">
        <v>-2.9729645699262619E-2</v>
      </c>
      <c r="DI4" s="9">
        <v>-2.982079982757568E-2</v>
      </c>
      <c r="DJ4" s="9">
        <v>-3.0264958739280701E-2</v>
      </c>
      <c r="DK4" s="9">
        <v>-2.9952950775623322E-2</v>
      </c>
      <c r="DL4" s="9">
        <v>-3.0072087422013279E-2</v>
      </c>
      <c r="DM4" s="9">
        <v>-2.81603466719389E-2</v>
      </c>
      <c r="DN4" s="9">
        <v>-2.7362493798136711E-2</v>
      </c>
      <c r="DO4" s="9">
        <v>-2.868092060089111E-2</v>
      </c>
      <c r="DP4" s="9">
        <v>-2.6546770706772801E-2</v>
      </c>
      <c r="DQ4" s="9">
        <v>-2.7645908296108249E-2</v>
      </c>
      <c r="DR4" s="9">
        <v>-3.0578829348087311E-2</v>
      </c>
      <c r="DS4" s="9">
        <v>-2.7206588536500931E-2</v>
      </c>
      <c r="DT4" s="9">
        <v>-2.9622273519635201E-2</v>
      </c>
      <c r="DU4" s="9">
        <v>-2.8198828920722011E-2</v>
      </c>
      <c r="DV4" s="9">
        <v>-2.79831737279892E-2</v>
      </c>
      <c r="DW4" s="9">
        <v>-2.6147188618779179E-2</v>
      </c>
      <c r="DX4" s="9">
        <v>-2.7574015781283379E-2</v>
      </c>
      <c r="DY4" s="9">
        <v>-2.9771693050861359E-2</v>
      </c>
      <c r="DZ4" s="9">
        <v>-2.387923933565617E-2</v>
      </c>
      <c r="EA4" s="18">
        <v>-2.6729578152298931E-2</v>
      </c>
      <c r="EB4" s="9">
        <v>-2.6265991851687431E-2</v>
      </c>
      <c r="EC4" s="9">
        <v>-2.85224225372076E-2</v>
      </c>
      <c r="ED4" s="9">
        <v>-2.3929797112941738E-2</v>
      </c>
      <c r="EE4" s="9">
        <v>-3.5369247198104858E-2</v>
      </c>
      <c r="EF4" s="9">
        <v>-2.889788523316383E-2</v>
      </c>
      <c r="EG4" s="1"/>
    </row>
    <row r="5" spans="1:137">
      <c r="A5" s="7"/>
      <c r="B5" s="6" t="s">
        <v>138</v>
      </c>
      <c r="C5" s="9">
        <v>6.8580564111471176E-3</v>
      </c>
      <c r="D5" s="9">
        <v>-4.5473207719624043E-3</v>
      </c>
      <c r="E5" s="9">
        <v>-5.2568246610462674E-3</v>
      </c>
      <c r="F5" s="9">
        <v>-5.0700334832072258E-3</v>
      </c>
      <c r="G5" s="9">
        <v>-7.554895244538784E-3</v>
      </c>
      <c r="H5" s="9">
        <v>-5.7517439126968384E-3</v>
      </c>
      <c r="I5" s="9">
        <v>-6.6213347017765054E-3</v>
      </c>
      <c r="J5" s="9">
        <v>-6.4456779509782791E-3</v>
      </c>
      <c r="K5" s="9">
        <v>-7.2449943982064724E-3</v>
      </c>
      <c r="L5" s="9">
        <v>-7.4795205146074304E-3</v>
      </c>
      <c r="M5" s="9">
        <v>-5.7203313335776329E-3</v>
      </c>
      <c r="N5" s="9">
        <v>1.217774953693151E-2</v>
      </c>
      <c r="O5" s="9">
        <v>2.0977385342121121E-2</v>
      </c>
      <c r="P5" s="9">
        <v>4.1054370813071728E-3</v>
      </c>
      <c r="Q5" s="9">
        <v>2.752495463937521E-3</v>
      </c>
      <c r="R5" s="9">
        <v>2.2056563757359982E-3</v>
      </c>
      <c r="S5" s="9">
        <v>-3.200523322448134E-3</v>
      </c>
      <c r="T5" s="9">
        <v>4.7661159187555313E-3</v>
      </c>
      <c r="U5" s="9">
        <v>3.1950199045240879E-3</v>
      </c>
      <c r="V5" s="9">
        <v>1.3798894360661509E-4</v>
      </c>
      <c r="W5" s="9">
        <v>9.084991761483252E-4</v>
      </c>
      <c r="X5" s="9">
        <v>-4.8395749181509018E-3</v>
      </c>
      <c r="Y5" s="9">
        <v>-9.668414480984211E-3</v>
      </c>
      <c r="Z5" s="9">
        <v>-4.3582962825894356E-3</v>
      </c>
      <c r="AA5" s="9">
        <v>-9.451698511838913E-3</v>
      </c>
      <c r="AB5" s="9">
        <v>-7.8619010746479034E-3</v>
      </c>
      <c r="AC5" s="9">
        <v>-9.5739839598536491E-3</v>
      </c>
      <c r="AD5" s="9">
        <v>-1.192590594291687E-2</v>
      </c>
      <c r="AE5" s="9">
        <v>-9.073648601770401E-3</v>
      </c>
      <c r="AF5" s="9">
        <v>-5.2689705044031143E-3</v>
      </c>
      <c r="AG5" s="9">
        <v>-6.2905293889343739E-3</v>
      </c>
      <c r="AH5" s="9">
        <v>-4.2838593944907188E-3</v>
      </c>
      <c r="AI5" s="9">
        <v>-3.658974077552557E-3</v>
      </c>
      <c r="AJ5" s="9">
        <v>-3.1868440564721818E-3</v>
      </c>
      <c r="AK5" s="9">
        <v>-6.5460228361189374E-3</v>
      </c>
      <c r="AL5" s="9">
        <v>-5.4174191318452358E-3</v>
      </c>
      <c r="AM5" s="9">
        <v>-6.3505335710942754E-3</v>
      </c>
      <c r="AN5" s="9">
        <v>9.4361149240285158E-4</v>
      </c>
      <c r="AO5" s="9">
        <v>-4.1886745020747176E-3</v>
      </c>
      <c r="AP5" s="9">
        <v>-6.3021155074238777E-3</v>
      </c>
      <c r="AQ5" s="9">
        <v>-7.8539003152400255E-4</v>
      </c>
      <c r="AR5" s="9">
        <v>1.274428068427369E-4</v>
      </c>
      <c r="AS5" s="9">
        <v>-2.6125095319002871E-3</v>
      </c>
      <c r="AT5" s="9">
        <v>1.7251728102564812E-2</v>
      </c>
      <c r="AU5" s="9">
        <v>-1.1382638476788999E-2</v>
      </c>
      <c r="AV5" s="9">
        <v>9.8412996158003807E-3</v>
      </c>
      <c r="AW5" s="9">
        <v>6.4438600093126297E-3</v>
      </c>
      <c r="AX5" s="9">
        <v>-9.4542577862739563E-3</v>
      </c>
      <c r="AY5" s="9">
        <v>-2.605369314551353E-3</v>
      </c>
      <c r="AZ5" s="9">
        <v>1.02137690410018E-2</v>
      </c>
      <c r="BA5" s="9">
        <v>-3.370878694113344E-4</v>
      </c>
      <c r="BB5" s="9">
        <v>-7.658196147531271E-3</v>
      </c>
      <c r="BC5" s="9">
        <v>1.95592432282865E-3</v>
      </c>
      <c r="BD5" s="9">
        <v>-1.753970421850681E-2</v>
      </c>
      <c r="BE5" s="9">
        <v>-5.8258567005395889E-3</v>
      </c>
      <c r="BF5" s="9">
        <v>6.1481038574129343E-4</v>
      </c>
      <c r="BG5" s="9">
        <v>-7.2949402965605259E-3</v>
      </c>
      <c r="BH5" s="9">
        <v>-4.383845254778862E-3</v>
      </c>
      <c r="BI5" s="9">
        <v>7.9724268289282918E-5</v>
      </c>
      <c r="BJ5" s="9">
        <v>-4.1618733666837221E-4</v>
      </c>
      <c r="BK5" s="9">
        <v>-8.1078559160232544E-3</v>
      </c>
      <c r="BL5" s="9">
        <v>-1.816836651414633E-3</v>
      </c>
      <c r="BM5" s="9">
        <v>-3.0251548159867529E-3</v>
      </c>
      <c r="BN5" s="9">
        <v>-7.1253179339691997E-4</v>
      </c>
      <c r="BO5" s="9">
        <v>-4.3908162042498589E-3</v>
      </c>
      <c r="BP5" s="9">
        <v>-8.6731631308794022E-3</v>
      </c>
      <c r="BQ5" s="9">
        <v>9.8586292006075382E-4</v>
      </c>
      <c r="BR5" s="9">
        <v>5.6344678159803152E-4</v>
      </c>
      <c r="BS5" s="9">
        <v>-7.2165514575317502E-4</v>
      </c>
      <c r="BT5" s="9">
        <v>2.1159742027521131E-4</v>
      </c>
      <c r="BU5" s="9">
        <v>-3.9482754655182362E-3</v>
      </c>
      <c r="BV5" s="9">
        <v>-1.754006138071418E-3</v>
      </c>
      <c r="BW5" s="9">
        <v>-3.9257919415831566E-3</v>
      </c>
      <c r="BX5" s="9">
        <v>-2.280559623613954E-3</v>
      </c>
      <c r="BY5" s="9">
        <v>-2.5638358201831579E-3</v>
      </c>
      <c r="BZ5" s="9">
        <v>9.5798890106379986E-4</v>
      </c>
      <c r="CA5" s="9">
        <v>-1.7290487885475159E-2</v>
      </c>
      <c r="CB5" s="9">
        <v>-1.8011752516031269E-2</v>
      </c>
      <c r="CC5" s="9">
        <v>-1.120550092309713E-2</v>
      </c>
      <c r="CD5" s="9">
        <v>-5.9453980065882206E-3</v>
      </c>
      <c r="CE5" s="9">
        <v>5.6577795185148716E-3</v>
      </c>
      <c r="CF5" s="9">
        <v>-5.0181304104626179E-3</v>
      </c>
      <c r="CG5" s="9">
        <v>-1.080882735550404E-3</v>
      </c>
      <c r="CH5" s="9">
        <v>-2.4344832636415958E-3</v>
      </c>
      <c r="CI5" s="9">
        <v>-5.8056642301380634E-3</v>
      </c>
      <c r="CJ5" s="9">
        <v>5.3442474454641342E-3</v>
      </c>
      <c r="CK5" s="9">
        <v>-6.6559319384396076E-3</v>
      </c>
      <c r="CL5" s="9">
        <v>-8.122333325445652E-3</v>
      </c>
      <c r="CM5" s="9">
        <v>4.4885189272463322E-3</v>
      </c>
      <c r="CN5" s="9">
        <v>-1.260940451174974E-3</v>
      </c>
      <c r="CO5" s="9">
        <v>2.2093972656875849E-3</v>
      </c>
      <c r="CP5" s="9">
        <v>-3.1657333020120859E-3</v>
      </c>
      <c r="CQ5" s="9">
        <v>-4.2476160451769829E-3</v>
      </c>
      <c r="CR5" s="9">
        <v>7.4740842683240771E-4</v>
      </c>
      <c r="CS5" s="9">
        <v>-6.8966434337198734E-3</v>
      </c>
      <c r="CT5" s="9">
        <v>-8.8150595547631383E-4</v>
      </c>
      <c r="CU5" s="9">
        <v>-5.4849479347467422E-3</v>
      </c>
      <c r="CV5" s="9">
        <v>-5.0015887245535851E-4</v>
      </c>
      <c r="CW5" s="9">
        <v>-3.6941524595022202E-3</v>
      </c>
      <c r="CX5" s="9">
        <v>-1.516487682238221E-3</v>
      </c>
      <c r="CY5" s="9">
        <v>-2.2506022360175848E-3</v>
      </c>
      <c r="CZ5" s="9">
        <v>-1.037915935739875E-4</v>
      </c>
      <c r="DA5" s="9">
        <v>-1.3994954060763121E-3</v>
      </c>
      <c r="DB5" s="9">
        <v>-2.8583267703652382E-3</v>
      </c>
      <c r="DC5" s="9">
        <v>-3.8185073062777519E-3</v>
      </c>
      <c r="DD5" s="9">
        <v>-4.7922488301992416E-3</v>
      </c>
      <c r="DE5" s="9">
        <v>-4.4267559424042702E-3</v>
      </c>
      <c r="DF5" s="9">
        <v>-2.32978705316782E-2</v>
      </c>
      <c r="DG5" s="9">
        <v>-6.6420962102711201E-3</v>
      </c>
      <c r="DH5" s="9">
        <v>-4.64266212657094E-3</v>
      </c>
      <c r="DI5" s="9">
        <v>-2.1060877479612832E-3</v>
      </c>
      <c r="DJ5" s="9">
        <v>-1.062803342938423E-2</v>
      </c>
      <c r="DK5" s="9">
        <v>-9.6024703234434128E-3</v>
      </c>
      <c r="DL5" s="9">
        <v>-3.8239909335970879E-3</v>
      </c>
      <c r="DM5" s="9">
        <v>-6.1252154409885406E-4</v>
      </c>
      <c r="DN5" s="9">
        <v>-3.627817146480083E-3</v>
      </c>
      <c r="DO5" s="9">
        <v>2.946552587673068E-3</v>
      </c>
      <c r="DP5" s="9">
        <v>-5.6377304717898369E-3</v>
      </c>
      <c r="DQ5" s="9">
        <v>-4.3007815256714821E-3</v>
      </c>
      <c r="DR5" s="9">
        <v>-7.0757018402218819E-3</v>
      </c>
      <c r="DS5" s="9">
        <v>-3.6393199115991588E-3</v>
      </c>
      <c r="DT5" s="9">
        <v>-1.078812405467033E-3</v>
      </c>
      <c r="DU5" s="9">
        <v>-5.7610021904110909E-3</v>
      </c>
      <c r="DV5" s="9">
        <v>-3.170169191434979E-3</v>
      </c>
      <c r="DW5" s="9">
        <v>1.376348081976175E-4</v>
      </c>
      <c r="DX5" s="9">
        <v>-5.2125225774943829E-3</v>
      </c>
      <c r="DY5" s="9">
        <v>-3.231637179851532E-3</v>
      </c>
      <c r="DZ5" s="9">
        <v>-1.969799399375916E-3</v>
      </c>
      <c r="EA5" s="9">
        <v>-2.5265156291425228E-3</v>
      </c>
      <c r="EB5" s="9">
        <v>-4.4835992157459259E-3</v>
      </c>
      <c r="EC5" s="9">
        <v>-4.603260662406683E-3</v>
      </c>
      <c r="ED5" s="9">
        <v>-6.4388466998934746E-3</v>
      </c>
      <c r="EE5" s="9">
        <v>-5.9161325916647911E-3</v>
      </c>
      <c r="EF5" s="9">
        <v>-6.1999494209885597E-3</v>
      </c>
      <c r="EG5" s="1"/>
    </row>
    <row r="6" spans="1:137" s="2" customFormat="1">
      <c r="A6" s="32" t="s">
        <v>139</v>
      </c>
      <c r="B6" s="33"/>
      <c r="C6" s="9">
        <f t="array" ref="C6">MATCH(MAX(ABS(C3:C5)), ABS(C3:C5), 0)</f>
        <v>1</v>
      </c>
      <c r="D6" s="9">
        <f t="array" ref="D6">MATCH(MAX(ABS(D3:D5)), ABS(D3:D5), 0)</f>
        <v>2</v>
      </c>
      <c r="E6" s="9">
        <f t="array" ref="E6">MATCH(MAX(ABS(E3:E5)), ABS(E3:E5), 0)</f>
        <v>1</v>
      </c>
      <c r="F6" s="9">
        <f t="array" ref="F6">MATCH(MAX(ABS(F3:F5)), ABS(F3:F5), 0)</f>
        <v>2</v>
      </c>
      <c r="G6" s="9">
        <f t="array" ref="G6">MATCH(MAX(ABS(G3:G5)), ABS(G3:G5), 0)</f>
        <v>2</v>
      </c>
      <c r="H6" s="9">
        <f t="array" ref="H6">MATCH(MAX(ABS(H3:H5)), ABS(H3:H5), 0)</f>
        <v>2</v>
      </c>
      <c r="I6" s="9">
        <f t="array" ref="I6">MATCH(MAX(ABS(I3:I5)), ABS(I3:I5), 0)</f>
        <v>1</v>
      </c>
      <c r="J6" s="9">
        <f t="array" ref="J6">MATCH(MAX(ABS(J3:J5)), ABS(J3:J5), 0)</f>
        <v>2</v>
      </c>
      <c r="K6" s="9">
        <f t="array" ref="K6">MATCH(MAX(ABS(K3:K5)), ABS(K3:K5), 0)</f>
        <v>2</v>
      </c>
      <c r="L6" s="9">
        <f t="array" ref="L6">MATCH(MAX(ABS(L3:L5)), ABS(L3:L5), 0)</f>
        <v>2</v>
      </c>
      <c r="M6" s="9">
        <f t="array" ref="M6">MATCH(MAX(ABS(M3:M5)), ABS(M3:M5), 0)</f>
        <v>2</v>
      </c>
      <c r="N6" s="9">
        <f t="array" ref="N6">MATCH(MAX(ABS(N3:N5)), ABS(N3:N5), 0)</f>
        <v>2</v>
      </c>
      <c r="O6" s="9">
        <f t="array" ref="O6">MATCH(MAX(ABS(O3:O5)), ABS(O3:O5), 0)</f>
        <v>2</v>
      </c>
      <c r="P6" s="9">
        <f t="array" ref="P6">MATCH(MAX(ABS(P3:P5)), ABS(P3:P5), 0)</f>
        <v>1</v>
      </c>
      <c r="Q6" s="9">
        <f t="array" ref="Q6">MATCH(MAX(ABS(Q3:Q5)), ABS(Q3:Q5), 0)</f>
        <v>2</v>
      </c>
      <c r="R6" s="9">
        <f t="array" ref="R6">MATCH(MAX(ABS(R3:R5)), ABS(R3:R5), 0)</f>
        <v>2</v>
      </c>
      <c r="S6" s="9">
        <f t="array" ref="S6">MATCH(MAX(ABS(S3:S5)), ABS(S3:S5), 0)</f>
        <v>1</v>
      </c>
      <c r="T6" s="9">
        <f t="array" ref="T6">MATCH(MAX(ABS(T3:T5)), ABS(T3:T5), 0)</f>
        <v>2</v>
      </c>
      <c r="U6" s="9">
        <f t="array" ref="U6">MATCH(MAX(ABS(U3:U5)), ABS(U3:U5), 0)</f>
        <v>2</v>
      </c>
      <c r="V6" s="9">
        <f t="array" ref="V6">MATCH(MAX(ABS(V3:V5)), ABS(V3:V5), 0)</f>
        <v>2</v>
      </c>
      <c r="W6" s="9">
        <f t="array" ref="W6">MATCH(MAX(ABS(W3:W5)), ABS(W3:W5), 0)</f>
        <v>2</v>
      </c>
      <c r="X6" s="9">
        <f t="array" ref="X6">MATCH(MAX(ABS(X3:X5)), ABS(X3:X5), 0)</f>
        <v>1</v>
      </c>
      <c r="Y6" s="9">
        <f t="array" ref="Y6">MATCH(MAX(ABS(Y3:Y5)), ABS(Y3:Y5), 0)</f>
        <v>2</v>
      </c>
      <c r="Z6" s="9">
        <f t="array" ref="Z6">MATCH(MAX(ABS(Z3:Z5)), ABS(Z3:Z5), 0)</f>
        <v>2</v>
      </c>
      <c r="AA6" s="9">
        <f t="array" ref="AA6">MATCH(MAX(ABS(AA3:AA5)), ABS(AA3:AA5), 0)</f>
        <v>2</v>
      </c>
      <c r="AB6" s="9">
        <f t="array" ref="AB6">MATCH(MAX(ABS(AB3:AB5)), ABS(AB3:AB5), 0)</f>
        <v>2</v>
      </c>
      <c r="AC6" s="9">
        <f t="array" ref="AC6">MATCH(MAX(ABS(AC3:AC5)), ABS(AC3:AC5), 0)</f>
        <v>2</v>
      </c>
      <c r="AD6" s="9">
        <f t="array" ref="AD6">MATCH(MAX(ABS(AD3:AD5)), ABS(AD3:AD5), 0)</f>
        <v>2</v>
      </c>
      <c r="AE6" s="9">
        <f t="array" ref="AE6">MATCH(MAX(ABS(AE3:AE5)), ABS(AE3:AE5), 0)</f>
        <v>1</v>
      </c>
      <c r="AF6" s="9">
        <f t="array" ref="AF6">MATCH(MAX(ABS(AF3:AF5)), ABS(AF3:AF5), 0)</f>
        <v>2</v>
      </c>
      <c r="AG6" s="9">
        <f t="array" ref="AG6">MATCH(MAX(ABS(AG3:AG5)), ABS(AG3:AG5), 0)</f>
        <v>2</v>
      </c>
      <c r="AH6" s="9">
        <f t="array" ref="AH6">MATCH(MAX(ABS(AH3:AH5)), ABS(AH3:AH5), 0)</f>
        <v>2</v>
      </c>
      <c r="AI6" s="9">
        <f t="array" ref="AI6">MATCH(MAX(ABS(AI3:AI5)), ABS(AI3:AI5), 0)</f>
        <v>2</v>
      </c>
      <c r="AJ6" s="9">
        <f t="array" ref="AJ6">MATCH(MAX(ABS(AJ3:AJ5)), ABS(AJ3:AJ5), 0)</f>
        <v>2</v>
      </c>
      <c r="AK6" s="9">
        <f t="array" ref="AK6">MATCH(MAX(ABS(AK3:AK5)), ABS(AK3:AK5), 0)</f>
        <v>2</v>
      </c>
      <c r="AL6" s="9">
        <f t="array" ref="AL6">MATCH(MAX(ABS(AL3:AL5)), ABS(AL3:AL5), 0)</f>
        <v>1</v>
      </c>
      <c r="AM6" s="9">
        <f t="array" ref="AM6">MATCH(MAX(ABS(AM3:AM5)), ABS(AM3:AM5), 0)</f>
        <v>2</v>
      </c>
      <c r="AN6" s="9">
        <f t="array" ref="AN6">MATCH(MAX(ABS(AN3:AN5)), ABS(AN3:AN5), 0)</f>
        <v>1</v>
      </c>
      <c r="AO6" s="9">
        <f t="array" ref="AO6">MATCH(MAX(ABS(AO3:AO5)), ABS(AO3:AO5), 0)</f>
        <v>2</v>
      </c>
      <c r="AP6" s="9">
        <f t="array" ref="AP6">MATCH(MAX(ABS(AP3:AP5)), ABS(AP3:AP5), 0)</f>
        <v>1</v>
      </c>
      <c r="AQ6" s="9">
        <f t="array" ref="AQ6">MATCH(MAX(ABS(AQ3:AQ5)), ABS(AQ3:AQ5), 0)</f>
        <v>2</v>
      </c>
      <c r="AR6" s="9">
        <f t="array" ref="AR6">MATCH(MAX(ABS(AR3:AR5)), ABS(AR3:AR5), 0)</f>
        <v>2</v>
      </c>
      <c r="AS6" s="9">
        <f t="array" ref="AS6">MATCH(MAX(ABS(AS3:AS5)), ABS(AS3:AS5), 0)</f>
        <v>1</v>
      </c>
      <c r="AT6" s="9">
        <f t="array" ref="AT6">MATCH(MAX(ABS(AT3:AT5)), ABS(AT3:AT5), 0)</f>
        <v>1</v>
      </c>
      <c r="AU6" s="9">
        <f t="array" ref="AU6">MATCH(MAX(ABS(AU3:AU5)), ABS(AU3:AU5), 0)</f>
        <v>1</v>
      </c>
      <c r="AV6" s="9">
        <f t="array" ref="AV6">MATCH(MAX(ABS(AV3:AV5)), ABS(AV3:AV5), 0)</f>
        <v>1</v>
      </c>
      <c r="AW6" s="9">
        <f t="array" ref="AW6">MATCH(MAX(ABS(AW3:AW5)), ABS(AW3:AW5), 0)</f>
        <v>1</v>
      </c>
      <c r="AX6" s="9">
        <f t="array" ref="AX6">MATCH(MAX(ABS(AX3:AX5)), ABS(AX3:AX5), 0)</f>
        <v>1</v>
      </c>
      <c r="AY6" s="9">
        <f t="array" ref="AY6">MATCH(MAX(ABS(AY3:AY5)), ABS(AY3:AY5), 0)</f>
        <v>1</v>
      </c>
      <c r="AZ6" s="9">
        <f t="array" ref="AZ6">MATCH(MAX(ABS(AZ3:AZ5)), ABS(AZ3:AZ5), 0)</f>
        <v>1</v>
      </c>
      <c r="BA6" s="9">
        <f t="array" ref="BA6">MATCH(MAX(ABS(BA3:BA5)), ABS(BA3:BA5), 0)</f>
        <v>1</v>
      </c>
      <c r="BB6" s="9">
        <f t="array" ref="BB6">MATCH(MAX(ABS(BB3:BB5)), ABS(BB3:BB5), 0)</f>
        <v>1</v>
      </c>
      <c r="BC6" s="9">
        <f t="array" ref="BC6">MATCH(MAX(ABS(BC3:BC5)), ABS(BC3:BC5), 0)</f>
        <v>1</v>
      </c>
      <c r="BD6" s="9">
        <f t="array" ref="BD6">MATCH(MAX(ABS(BD3:BD5)), ABS(BD3:BD5), 0)</f>
        <v>1</v>
      </c>
      <c r="BE6" s="9">
        <f t="array" ref="BE6">MATCH(MAX(ABS(BE3:BE5)), ABS(BE3:BE5), 0)</f>
        <v>1</v>
      </c>
      <c r="BF6" s="9">
        <f t="array" ref="BF6">MATCH(MAX(ABS(BF3:BF5)), ABS(BF3:BF5), 0)</f>
        <v>1</v>
      </c>
      <c r="BG6" s="9">
        <f t="array" ref="BG6">MATCH(MAX(ABS(BG3:BG5)), ABS(BG3:BG5), 0)</f>
        <v>1</v>
      </c>
      <c r="BH6" s="9">
        <f t="array" ref="BH6">MATCH(MAX(ABS(BH3:BH5)), ABS(BH3:BH5), 0)</f>
        <v>1</v>
      </c>
      <c r="BI6" s="9">
        <f t="array" ref="BI6">MATCH(MAX(ABS(BI3:BI5)), ABS(BI3:BI5), 0)</f>
        <v>1</v>
      </c>
      <c r="BJ6" s="9">
        <f t="array" ref="BJ6">MATCH(MAX(ABS(BJ3:BJ5)), ABS(BJ3:BJ5), 0)</f>
        <v>1</v>
      </c>
      <c r="BK6" s="9">
        <f t="array" ref="BK6">MATCH(MAX(ABS(BK3:BK5)), ABS(BK3:BK5), 0)</f>
        <v>1</v>
      </c>
      <c r="BL6" s="9">
        <f t="array" ref="BL6">MATCH(MAX(ABS(BL3:BL5)), ABS(BL3:BL5), 0)</f>
        <v>1</v>
      </c>
      <c r="BM6" s="9">
        <f t="array" ref="BM6">MATCH(MAX(ABS(BM3:BM5)), ABS(BM3:BM5), 0)</f>
        <v>1</v>
      </c>
      <c r="BN6" s="9">
        <f t="array" ref="BN6">MATCH(MAX(ABS(BN3:BN5)), ABS(BN3:BN5), 0)</f>
        <v>1</v>
      </c>
      <c r="BO6" s="9">
        <f t="array" ref="BO6">MATCH(MAX(ABS(BO3:BO5)), ABS(BO3:BO5), 0)</f>
        <v>1</v>
      </c>
      <c r="BP6" s="9">
        <f t="array" ref="BP6">MATCH(MAX(ABS(BP3:BP5)), ABS(BP3:BP5), 0)</f>
        <v>1</v>
      </c>
      <c r="BQ6" s="9">
        <f t="array" ref="BQ6">MATCH(MAX(ABS(BQ3:BQ5)), ABS(BQ3:BQ5), 0)</f>
        <v>1</v>
      </c>
      <c r="BR6" s="9">
        <f t="array" ref="BR6">MATCH(MAX(ABS(BR3:BR5)), ABS(BR3:BR5), 0)</f>
        <v>1</v>
      </c>
      <c r="BS6" s="9">
        <f t="array" ref="BS6">MATCH(MAX(ABS(BS3:BS5)), ABS(BS3:BS5), 0)</f>
        <v>1</v>
      </c>
      <c r="BT6" s="9">
        <f t="array" ref="BT6">MATCH(MAX(ABS(BT3:BT5)), ABS(BT3:BT5), 0)</f>
        <v>1</v>
      </c>
      <c r="BU6" s="9">
        <f t="array" ref="BU6">MATCH(MAX(ABS(BU3:BU5)), ABS(BU3:BU5), 0)</f>
        <v>1</v>
      </c>
      <c r="BV6" s="9">
        <f t="array" ref="BV6">MATCH(MAX(ABS(BV3:BV5)), ABS(BV3:BV5), 0)</f>
        <v>1</v>
      </c>
      <c r="BW6" s="9">
        <f t="array" ref="BW6">MATCH(MAX(ABS(BW3:BW5)), ABS(BW3:BW5), 0)</f>
        <v>1</v>
      </c>
      <c r="BX6" s="9">
        <f t="array" ref="BX6">MATCH(MAX(ABS(BX3:BX5)), ABS(BX3:BX5), 0)</f>
        <v>1</v>
      </c>
      <c r="BY6" s="9">
        <f t="array" ref="BY6">MATCH(MAX(ABS(BY3:BY5)), ABS(BY3:BY5), 0)</f>
        <v>1</v>
      </c>
      <c r="BZ6" s="9">
        <f t="array" ref="BZ6">MATCH(MAX(ABS(BZ3:BZ5)), ABS(BZ3:BZ5), 0)</f>
        <v>1</v>
      </c>
      <c r="CA6" s="9">
        <f t="array" ref="CA6">MATCH(MAX(ABS(CA3:CA5)), ABS(CA3:CA5), 0)</f>
        <v>1</v>
      </c>
      <c r="CB6" s="9">
        <f t="array" ref="CB6">MATCH(MAX(ABS(CB3:CB5)), ABS(CB3:CB5), 0)</f>
        <v>1</v>
      </c>
      <c r="CC6" s="9">
        <f t="array" ref="CC6">MATCH(MAX(ABS(CC3:CC5)), ABS(CC3:CC5), 0)</f>
        <v>1</v>
      </c>
      <c r="CD6" s="9">
        <f t="array" ref="CD6">MATCH(MAX(ABS(CD3:CD5)), ABS(CD3:CD5), 0)</f>
        <v>1</v>
      </c>
      <c r="CE6" s="9">
        <f t="array" ref="CE6">MATCH(MAX(ABS(CE3:CE5)), ABS(CE3:CE5), 0)</f>
        <v>1</v>
      </c>
      <c r="CF6" s="9">
        <f t="array" ref="CF6">MATCH(MAX(ABS(CF3:CF5)), ABS(CF3:CF5), 0)</f>
        <v>1</v>
      </c>
      <c r="CG6" s="9">
        <f t="array" ref="CG6">MATCH(MAX(ABS(CG3:CG5)), ABS(CG3:CG5), 0)</f>
        <v>1</v>
      </c>
      <c r="CH6" s="9">
        <f t="array" ref="CH6">MATCH(MAX(ABS(CH3:CH5)), ABS(CH3:CH5), 0)</f>
        <v>1</v>
      </c>
      <c r="CI6" s="9">
        <f t="array" ref="CI6">MATCH(MAX(ABS(CI3:CI5)), ABS(CI3:CI5), 0)</f>
        <v>1</v>
      </c>
      <c r="CJ6" s="9">
        <f t="array" ref="CJ6">MATCH(MAX(ABS(CJ3:CJ5)), ABS(CJ3:CJ5), 0)</f>
        <v>1</v>
      </c>
      <c r="CK6" s="9">
        <f t="array" ref="CK6">MATCH(MAX(ABS(CK3:CK5)), ABS(CK3:CK5), 0)</f>
        <v>1</v>
      </c>
      <c r="CL6" s="9">
        <f t="array" ref="CL6">MATCH(MAX(ABS(CL3:CL5)), ABS(CL3:CL5), 0)</f>
        <v>1</v>
      </c>
      <c r="CM6" s="9">
        <f t="array" ref="CM6">MATCH(MAX(ABS(CM3:CM5)), ABS(CM3:CM5), 0)</f>
        <v>1</v>
      </c>
      <c r="CN6" s="9">
        <f t="array" ref="CN6">MATCH(MAX(ABS(CN3:CN5)), ABS(CN3:CN5), 0)</f>
        <v>1</v>
      </c>
      <c r="CO6" s="9">
        <f t="array" ref="CO6">MATCH(MAX(ABS(CO3:CO5)), ABS(CO3:CO5), 0)</f>
        <v>1</v>
      </c>
      <c r="CP6" s="9">
        <f t="array" ref="CP6">MATCH(MAX(ABS(CP3:CP5)), ABS(CP3:CP5), 0)</f>
        <v>1</v>
      </c>
      <c r="CQ6" s="9">
        <f t="array" ref="CQ6">MATCH(MAX(ABS(CQ3:CQ5)), ABS(CQ3:CQ5), 0)</f>
        <v>1</v>
      </c>
      <c r="CR6" s="9">
        <f t="array" ref="CR6">MATCH(MAX(ABS(CR3:CR5)), ABS(CR3:CR5), 0)</f>
        <v>1</v>
      </c>
      <c r="CS6" s="9">
        <f t="array" ref="CS6">MATCH(MAX(ABS(CS3:CS5)), ABS(CS3:CS5), 0)</f>
        <v>1</v>
      </c>
      <c r="CT6" s="9">
        <f t="array" ref="CT6">MATCH(MAX(ABS(CT3:CT5)), ABS(CT3:CT5), 0)</f>
        <v>1</v>
      </c>
      <c r="CU6" s="9">
        <f t="array" ref="CU6">MATCH(MAX(ABS(CU3:CU5)), ABS(CU3:CU5), 0)</f>
        <v>1</v>
      </c>
      <c r="CV6" s="9">
        <f t="array" ref="CV6">MATCH(MAX(ABS(CV3:CV5)), ABS(CV3:CV5), 0)</f>
        <v>1</v>
      </c>
      <c r="CW6" s="9">
        <f t="array" ref="CW6">MATCH(MAX(ABS(CW3:CW5)), ABS(CW3:CW5), 0)</f>
        <v>1</v>
      </c>
      <c r="CX6" s="9">
        <f t="array" ref="CX6">MATCH(MAX(ABS(CX3:CX5)), ABS(CX3:CX5), 0)</f>
        <v>1</v>
      </c>
      <c r="CY6" s="9">
        <f t="array" ref="CY6">MATCH(MAX(ABS(CY3:CY5)), ABS(CY3:CY5), 0)</f>
        <v>1</v>
      </c>
      <c r="CZ6" s="9">
        <f t="array" ref="CZ6">MATCH(MAX(ABS(CZ3:CZ5)), ABS(CZ3:CZ5), 0)</f>
        <v>1</v>
      </c>
      <c r="DA6" s="9">
        <f t="array" ref="DA6">MATCH(MAX(ABS(DA3:DA5)), ABS(DA3:DA5), 0)</f>
        <v>1</v>
      </c>
      <c r="DB6" s="9">
        <f t="array" ref="DB6">MATCH(MAX(ABS(DB3:DB5)), ABS(DB3:DB5), 0)</f>
        <v>1</v>
      </c>
      <c r="DC6" s="9">
        <f t="array" ref="DC6">MATCH(MAX(ABS(DC3:DC5)), ABS(DC3:DC5), 0)</f>
        <v>1</v>
      </c>
      <c r="DD6" s="9">
        <f t="array" ref="DD6">MATCH(MAX(ABS(DD3:DD5)), ABS(DD3:DD5), 0)</f>
        <v>1</v>
      </c>
      <c r="DE6" s="9">
        <f t="array" ref="DE6">MATCH(MAX(ABS(DE3:DE5)), ABS(DE3:DE5), 0)</f>
        <v>1</v>
      </c>
      <c r="DF6" s="9">
        <f t="array" ref="DF6">MATCH(MAX(ABS(DF3:DF5)), ABS(DF3:DF5), 0)</f>
        <v>1</v>
      </c>
      <c r="DG6" s="9">
        <f t="array" ref="DG6">MATCH(MAX(ABS(DG3:DG5)), ABS(DG3:DG5), 0)</f>
        <v>1</v>
      </c>
      <c r="DH6" s="9">
        <f t="array" ref="DH6">MATCH(MAX(ABS(DH3:DH5)), ABS(DH3:DH5), 0)</f>
        <v>1</v>
      </c>
      <c r="DI6" s="9">
        <f t="array" ref="DI6">MATCH(MAX(ABS(DI3:DI5)), ABS(DI3:DI5), 0)</f>
        <v>1</v>
      </c>
      <c r="DJ6" s="9">
        <f t="array" ref="DJ6">MATCH(MAX(ABS(DJ3:DJ5)), ABS(DJ3:DJ5), 0)</f>
        <v>1</v>
      </c>
      <c r="DK6" s="9">
        <f t="array" ref="DK6">MATCH(MAX(ABS(DK3:DK5)), ABS(DK3:DK5), 0)</f>
        <v>1</v>
      </c>
      <c r="DL6" s="9">
        <f t="array" ref="DL6">MATCH(MAX(ABS(DL3:DL5)), ABS(DL3:DL5), 0)</f>
        <v>1</v>
      </c>
      <c r="DM6" s="9">
        <f t="array" ref="DM6">MATCH(MAX(ABS(DM3:DM5)), ABS(DM3:DM5), 0)</f>
        <v>1</v>
      </c>
      <c r="DN6" s="9">
        <f t="array" ref="DN6">MATCH(MAX(ABS(DN3:DN5)), ABS(DN3:DN5), 0)</f>
        <v>1</v>
      </c>
      <c r="DO6" s="9">
        <f t="array" ref="DO6">MATCH(MAX(ABS(DO3:DO5)), ABS(DO3:DO5), 0)</f>
        <v>1</v>
      </c>
      <c r="DP6" s="9">
        <f t="array" ref="DP6">MATCH(MAX(ABS(DP3:DP5)), ABS(DP3:DP5), 0)</f>
        <v>1</v>
      </c>
      <c r="DQ6" s="9">
        <f t="array" ref="DQ6">MATCH(MAX(ABS(DQ3:DQ5)), ABS(DQ3:DQ5), 0)</f>
        <v>1</v>
      </c>
      <c r="DR6" s="9">
        <f t="array" ref="DR6">MATCH(MAX(ABS(DR3:DR5)), ABS(DR3:DR5), 0)</f>
        <v>1</v>
      </c>
      <c r="DS6" s="9">
        <f t="array" ref="DS6">MATCH(MAX(ABS(DS3:DS5)), ABS(DS3:DS5), 0)</f>
        <v>1</v>
      </c>
      <c r="DT6" s="9">
        <f t="array" ref="DT6">MATCH(MAX(ABS(DT3:DT5)), ABS(DT3:DT5), 0)</f>
        <v>1</v>
      </c>
      <c r="DU6" s="9">
        <f t="array" ref="DU6">MATCH(MAX(ABS(DU3:DU5)), ABS(DU3:DU5), 0)</f>
        <v>1</v>
      </c>
      <c r="DV6" s="9">
        <f t="array" ref="DV6">MATCH(MAX(ABS(DV3:DV5)), ABS(DV3:DV5), 0)</f>
        <v>1</v>
      </c>
      <c r="DW6" s="9">
        <f t="array" ref="DW6">MATCH(MAX(ABS(DW3:DW5)), ABS(DW3:DW5), 0)</f>
        <v>1</v>
      </c>
      <c r="DX6" s="9">
        <f t="array" ref="DX6">MATCH(MAX(ABS(DX3:DX5)), ABS(DX3:DX5), 0)</f>
        <v>1</v>
      </c>
      <c r="DY6" s="9">
        <f t="array" ref="DY6">MATCH(MAX(ABS(DY3:DY5)), ABS(DY3:DY5), 0)</f>
        <v>1</v>
      </c>
      <c r="DZ6" s="9">
        <f t="array" ref="DZ6">MATCH(MAX(ABS(DZ3:DZ5)), ABS(DZ3:DZ5), 0)</f>
        <v>1</v>
      </c>
      <c r="EA6" s="9">
        <f t="array" ref="EA6">MATCH(MAX(ABS(EA3:EA5)), ABS(EA3:EA5), 0)</f>
        <v>1</v>
      </c>
      <c r="EB6" s="9">
        <f t="array" ref="EB6">MATCH(MAX(ABS(EB3:EB5)), ABS(EB3:EB5), 0)</f>
        <v>1</v>
      </c>
      <c r="EC6" s="9">
        <f t="array" ref="EC6">MATCH(MAX(ABS(EC3:EC5)), ABS(EC3:EC5), 0)</f>
        <v>1</v>
      </c>
      <c r="ED6" s="9">
        <f t="array" ref="ED6">MATCH(MAX(ABS(ED3:ED5)), ABS(ED3:ED5), 0)</f>
        <v>1</v>
      </c>
      <c r="EE6" s="9">
        <f t="array" ref="EE6">MATCH(MAX(ABS(EE3:EE5)), ABS(EE3:EE5), 0)</f>
        <v>1</v>
      </c>
      <c r="EF6" s="9">
        <f t="array" ref="EF6">MATCH(MAX(ABS(EF3:EF5)), ABS(EF3:EF5), 0)</f>
        <v>1</v>
      </c>
    </row>
    <row r="7" spans="1:137" s="2" customFormat="1">
      <c r="C7" s="9" t="str">
        <f t="shared" ref="C7:AH7" si="0">IF(C6=1,"bm",IF(C6=2,"size",IF(C6=3,"mom")))</f>
        <v>bm</v>
      </c>
      <c r="D7" s="9" t="str">
        <f t="shared" si="0"/>
        <v>size</v>
      </c>
      <c r="E7" s="9" t="str">
        <f t="shared" si="0"/>
        <v>bm</v>
      </c>
      <c r="F7" s="9" t="str">
        <f t="shared" si="0"/>
        <v>size</v>
      </c>
      <c r="G7" s="9" t="str">
        <f t="shared" si="0"/>
        <v>size</v>
      </c>
      <c r="H7" s="9" t="str">
        <f t="shared" si="0"/>
        <v>size</v>
      </c>
      <c r="I7" s="9" t="str">
        <f t="shared" si="0"/>
        <v>bm</v>
      </c>
      <c r="J7" s="9" t="str">
        <f t="shared" si="0"/>
        <v>size</v>
      </c>
      <c r="K7" s="9" t="str">
        <f t="shared" si="0"/>
        <v>size</v>
      </c>
      <c r="L7" s="9" t="str">
        <f t="shared" si="0"/>
        <v>size</v>
      </c>
      <c r="M7" s="9" t="str">
        <f t="shared" si="0"/>
        <v>size</v>
      </c>
      <c r="N7" s="9" t="str">
        <f t="shared" si="0"/>
        <v>size</v>
      </c>
      <c r="O7" s="9" t="str">
        <f t="shared" si="0"/>
        <v>size</v>
      </c>
      <c r="P7" s="9" t="str">
        <f t="shared" si="0"/>
        <v>bm</v>
      </c>
      <c r="Q7" s="9" t="str">
        <f t="shared" si="0"/>
        <v>size</v>
      </c>
      <c r="R7" s="9" t="str">
        <f t="shared" si="0"/>
        <v>size</v>
      </c>
      <c r="S7" s="9" t="str">
        <f t="shared" si="0"/>
        <v>bm</v>
      </c>
      <c r="T7" s="9" t="str">
        <f t="shared" si="0"/>
        <v>size</v>
      </c>
      <c r="U7" s="9" t="str">
        <f t="shared" si="0"/>
        <v>size</v>
      </c>
      <c r="V7" s="9" t="str">
        <f t="shared" si="0"/>
        <v>size</v>
      </c>
      <c r="W7" s="9" t="str">
        <f t="shared" si="0"/>
        <v>size</v>
      </c>
      <c r="X7" s="9" t="str">
        <f t="shared" si="0"/>
        <v>bm</v>
      </c>
      <c r="Y7" s="9" t="str">
        <f t="shared" si="0"/>
        <v>size</v>
      </c>
      <c r="Z7" s="9" t="str">
        <f t="shared" si="0"/>
        <v>size</v>
      </c>
      <c r="AA7" s="9" t="str">
        <f t="shared" si="0"/>
        <v>size</v>
      </c>
      <c r="AB7" s="9" t="str">
        <f t="shared" si="0"/>
        <v>size</v>
      </c>
      <c r="AC7" s="9" t="str">
        <f t="shared" si="0"/>
        <v>size</v>
      </c>
      <c r="AD7" s="9" t="str">
        <f t="shared" si="0"/>
        <v>size</v>
      </c>
      <c r="AE7" s="9" t="str">
        <f t="shared" si="0"/>
        <v>bm</v>
      </c>
      <c r="AF7" s="9" t="str">
        <f t="shared" si="0"/>
        <v>size</v>
      </c>
      <c r="AG7" s="9" t="str">
        <f t="shared" si="0"/>
        <v>size</v>
      </c>
      <c r="AH7" s="9" t="str">
        <f t="shared" si="0"/>
        <v>size</v>
      </c>
      <c r="AI7" s="9" t="str">
        <f t="shared" ref="AI7:BN7" si="1">IF(AI6=1,"bm",IF(AI6=2,"size",IF(AI6=3,"mom")))</f>
        <v>size</v>
      </c>
      <c r="AJ7" s="9" t="str">
        <f t="shared" si="1"/>
        <v>size</v>
      </c>
      <c r="AK7" s="9" t="str">
        <f t="shared" si="1"/>
        <v>size</v>
      </c>
      <c r="AL7" s="9" t="str">
        <f t="shared" si="1"/>
        <v>bm</v>
      </c>
      <c r="AM7" s="9" t="str">
        <f t="shared" si="1"/>
        <v>size</v>
      </c>
      <c r="AN7" s="9" t="str">
        <f t="shared" si="1"/>
        <v>bm</v>
      </c>
      <c r="AO7" s="9" t="str">
        <f t="shared" si="1"/>
        <v>size</v>
      </c>
      <c r="AP7" s="9" t="str">
        <f t="shared" si="1"/>
        <v>bm</v>
      </c>
      <c r="AQ7" s="9" t="str">
        <f t="shared" si="1"/>
        <v>size</v>
      </c>
      <c r="AR7" s="9" t="str">
        <f t="shared" si="1"/>
        <v>size</v>
      </c>
      <c r="AS7" s="9" t="str">
        <f t="shared" si="1"/>
        <v>bm</v>
      </c>
      <c r="AT7" s="9" t="str">
        <f t="shared" si="1"/>
        <v>bm</v>
      </c>
      <c r="AU7" s="9" t="str">
        <f t="shared" si="1"/>
        <v>bm</v>
      </c>
      <c r="AV7" s="9" t="str">
        <f t="shared" si="1"/>
        <v>bm</v>
      </c>
      <c r="AW7" s="9" t="str">
        <f t="shared" si="1"/>
        <v>bm</v>
      </c>
      <c r="AX7" s="9" t="str">
        <f t="shared" si="1"/>
        <v>bm</v>
      </c>
      <c r="AY7" s="9" t="str">
        <f t="shared" si="1"/>
        <v>bm</v>
      </c>
      <c r="AZ7" s="9" t="str">
        <f t="shared" si="1"/>
        <v>bm</v>
      </c>
      <c r="BA7" s="9" t="str">
        <f t="shared" si="1"/>
        <v>bm</v>
      </c>
      <c r="BB7" s="9" t="str">
        <f t="shared" si="1"/>
        <v>bm</v>
      </c>
      <c r="BC7" s="9" t="str">
        <f t="shared" si="1"/>
        <v>bm</v>
      </c>
      <c r="BD7" s="9" t="str">
        <f t="shared" si="1"/>
        <v>bm</v>
      </c>
      <c r="BE7" s="9" t="str">
        <f t="shared" si="1"/>
        <v>bm</v>
      </c>
      <c r="BF7" s="9" t="str">
        <f t="shared" si="1"/>
        <v>bm</v>
      </c>
      <c r="BG7" s="9" t="str">
        <f t="shared" si="1"/>
        <v>bm</v>
      </c>
      <c r="BH7" s="9" t="str">
        <f t="shared" si="1"/>
        <v>bm</v>
      </c>
      <c r="BI7" s="9" t="str">
        <f t="shared" si="1"/>
        <v>bm</v>
      </c>
      <c r="BJ7" s="9" t="str">
        <f t="shared" si="1"/>
        <v>bm</v>
      </c>
      <c r="BK7" s="9" t="str">
        <f t="shared" si="1"/>
        <v>bm</v>
      </c>
      <c r="BL7" s="9" t="str">
        <f t="shared" si="1"/>
        <v>bm</v>
      </c>
      <c r="BM7" s="9" t="str">
        <f t="shared" si="1"/>
        <v>bm</v>
      </c>
      <c r="BN7" s="9" t="str">
        <f t="shared" si="1"/>
        <v>bm</v>
      </c>
      <c r="BO7" s="9" t="str">
        <f t="shared" ref="BO7:CT7" si="2">IF(BO6=1,"bm",IF(BO6=2,"size",IF(BO6=3,"mom")))</f>
        <v>bm</v>
      </c>
      <c r="BP7" s="9" t="str">
        <f t="shared" si="2"/>
        <v>bm</v>
      </c>
      <c r="BQ7" s="9" t="str">
        <f t="shared" si="2"/>
        <v>bm</v>
      </c>
      <c r="BR7" s="9" t="str">
        <f t="shared" si="2"/>
        <v>bm</v>
      </c>
      <c r="BS7" s="9" t="str">
        <f t="shared" si="2"/>
        <v>bm</v>
      </c>
      <c r="BT7" s="9" t="str">
        <f t="shared" si="2"/>
        <v>bm</v>
      </c>
      <c r="BU7" s="9" t="str">
        <f t="shared" si="2"/>
        <v>bm</v>
      </c>
      <c r="BV7" s="9" t="str">
        <f t="shared" si="2"/>
        <v>bm</v>
      </c>
      <c r="BW7" s="9" t="str">
        <f t="shared" si="2"/>
        <v>bm</v>
      </c>
      <c r="BX7" s="9" t="str">
        <f t="shared" si="2"/>
        <v>bm</v>
      </c>
      <c r="BY7" s="9" t="str">
        <f t="shared" si="2"/>
        <v>bm</v>
      </c>
      <c r="BZ7" s="9" t="str">
        <f t="shared" si="2"/>
        <v>bm</v>
      </c>
      <c r="CA7" s="9" t="str">
        <f t="shared" si="2"/>
        <v>bm</v>
      </c>
      <c r="CB7" s="9" t="str">
        <f t="shared" si="2"/>
        <v>bm</v>
      </c>
      <c r="CC7" s="9" t="str">
        <f t="shared" si="2"/>
        <v>bm</v>
      </c>
      <c r="CD7" s="9" t="str">
        <f t="shared" si="2"/>
        <v>bm</v>
      </c>
      <c r="CE7" s="9" t="str">
        <f t="shared" si="2"/>
        <v>bm</v>
      </c>
      <c r="CF7" s="9" t="str">
        <f t="shared" si="2"/>
        <v>bm</v>
      </c>
      <c r="CG7" s="9" t="str">
        <f t="shared" si="2"/>
        <v>bm</v>
      </c>
      <c r="CH7" s="9" t="str">
        <f t="shared" si="2"/>
        <v>bm</v>
      </c>
      <c r="CI7" s="9" t="str">
        <f t="shared" si="2"/>
        <v>bm</v>
      </c>
      <c r="CJ7" s="9" t="str">
        <f t="shared" si="2"/>
        <v>bm</v>
      </c>
      <c r="CK7" s="9" t="str">
        <f t="shared" si="2"/>
        <v>bm</v>
      </c>
      <c r="CL7" s="9" t="str">
        <f t="shared" si="2"/>
        <v>bm</v>
      </c>
      <c r="CM7" s="9" t="str">
        <f t="shared" si="2"/>
        <v>bm</v>
      </c>
      <c r="CN7" s="9" t="str">
        <f t="shared" si="2"/>
        <v>bm</v>
      </c>
      <c r="CO7" s="9" t="str">
        <f t="shared" si="2"/>
        <v>bm</v>
      </c>
      <c r="CP7" s="9" t="str">
        <f t="shared" si="2"/>
        <v>bm</v>
      </c>
      <c r="CQ7" s="9" t="str">
        <f t="shared" si="2"/>
        <v>bm</v>
      </c>
      <c r="CR7" s="9" t="str">
        <f t="shared" si="2"/>
        <v>bm</v>
      </c>
      <c r="CS7" s="9" t="str">
        <f t="shared" si="2"/>
        <v>bm</v>
      </c>
      <c r="CT7" s="9" t="str">
        <f t="shared" si="2"/>
        <v>bm</v>
      </c>
      <c r="CU7" s="9" t="str">
        <f t="shared" ref="CU7:DZ7" si="3">IF(CU6=1,"bm",IF(CU6=2,"size",IF(CU6=3,"mom")))</f>
        <v>bm</v>
      </c>
      <c r="CV7" s="9" t="str">
        <f t="shared" si="3"/>
        <v>bm</v>
      </c>
      <c r="CW7" s="9" t="str">
        <f t="shared" si="3"/>
        <v>bm</v>
      </c>
      <c r="CX7" s="9" t="str">
        <f t="shared" si="3"/>
        <v>bm</v>
      </c>
      <c r="CY7" s="9" t="str">
        <f t="shared" si="3"/>
        <v>bm</v>
      </c>
      <c r="CZ7" s="9" t="str">
        <f t="shared" si="3"/>
        <v>bm</v>
      </c>
      <c r="DA7" s="9" t="str">
        <f t="shared" si="3"/>
        <v>bm</v>
      </c>
      <c r="DB7" s="9" t="str">
        <f t="shared" si="3"/>
        <v>bm</v>
      </c>
      <c r="DC7" s="9" t="str">
        <f t="shared" si="3"/>
        <v>bm</v>
      </c>
      <c r="DD7" s="9" t="str">
        <f t="shared" si="3"/>
        <v>bm</v>
      </c>
      <c r="DE7" s="9" t="str">
        <f t="shared" si="3"/>
        <v>bm</v>
      </c>
      <c r="DF7" s="9" t="str">
        <f t="shared" si="3"/>
        <v>bm</v>
      </c>
      <c r="DG7" s="9" t="str">
        <f t="shared" si="3"/>
        <v>bm</v>
      </c>
      <c r="DH7" s="9" t="str">
        <f t="shared" si="3"/>
        <v>bm</v>
      </c>
      <c r="DI7" s="9" t="str">
        <f t="shared" si="3"/>
        <v>bm</v>
      </c>
      <c r="DJ7" s="9" t="str">
        <f t="shared" si="3"/>
        <v>bm</v>
      </c>
      <c r="DK7" s="9" t="str">
        <f t="shared" si="3"/>
        <v>bm</v>
      </c>
      <c r="DL7" s="9" t="str">
        <f t="shared" si="3"/>
        <v>bm</v>
      </c>
      <c r="DM7" s="9" t="str">
        <f t="shared" si="3"/>
        <v>bm</v>
      </c>
      <c r="DN7" s="9" t="str">
        <f t="shared" si="3"/>
        <v>bm</v>
      </c>
      <c r="DO7" s="9" t="str">
        <f t="shared" si="3"/>
        <v>bm</v>
      </c>
      <c r="DP7" s="9" t="str">
        <f t="shared" si="3"/>
        <v>bm</v>
      </c>
      <c r="DQ7" s="9" t="str">
        <f t="shared" si="3"/>
        <v>bm</v>
      </c>
      <c r="DR7" s="9" t="str">
        <f t="shared" si="3"/>
        <v>bm</v>
      </c>
      <c r="DS7" s="9" t="str">
        <f t="shared" si="3"/>
        <v>bm</v>
      </c>
      <c r="DT7" s="9" t="str">
        <f t="shared" si="3"/>
        <v>bm</v>
      </c>
      <c r="DU7" s="9" t="str">
        <f t="shared" si="3"/>
        <v>bm</v>
      </c>
      <c r="DV7" s="9" t="str">
        <f t="shared" si="3"/>
        <v>bm</v>
      </c>
      <c r="DW7" s="9" t="str">
        <f t="shared" si="3"/>
        <v>bm</v>
      </c>
      <c r="DX7" s="9" t="str">
        <f t="shared" si="3"/>
        <v>bm</v>
      </c>
      <c r="DY7" s="9" t="str">
        <f t="shared" si="3"/>
        <v>bm</v>
      </c>
      <c r="DZ7" s="9" t="str">
        <f t="shared" si="3"/>
        <v>bm</v>
      </c>
      <c r="EA7" s="9" t="str">
        <f t="shared" ref="EA7:EF7" si="4">IF(EA6=1,"bm",IF(EA6=2,"size",IF(EA6=3,"mom")))</f>
        <v>bm</v>
      </c>
      <c r="EB7" s="9" t="str">
        <f t="shared" si="4"/>
        <v>bm</v>
      </c>
      <c r="EC7" s="9" t="str">
        <f t="shared" si="4"/>
        <v>bm</v>
      </c>
      <c r="ED7" s="9" t="str">
        <f t="shared" si="4"/>
        <v>bm</v>
      </c>
      <c r="EE7" s="9" t="str">
        <f t="shared" si="4"/>
        <v>bm</v>
      </c>
      <c r="EF7" s="9" t="str">
        <f t="shared" si="4"/>
        <v>bm</v>
      </c>
    </row>
    <row r="8" spans="1:137" s="2" customFormat="1">
      <c r="C8" s="9">
        <f t="shared" ref="C8:AH8" si="5">IF(C6=1,C3,IF(C6=2,C4,IF(C6=3,C5)))</f>
        <v>5.338069424033165E-2</v>
      </c>
      <c r="D8" s="9">
        <f t="shared" si="5"/>
        <v>-3.0302392318844799E-2</v>
      </c>
      <c r="E8" s="9">
        <f t="shared" si="5"/>
        <v>3.7131085991859443E-2</v>
      </c>
      <c r="F8" s="9">
        <f t="shared" si="5"/>
        <v>-3.342650830745697E-2</v>
      </c>
      <c r="G8" s="9">
        <f t="shared" si="5"/>
        <v>-4.356461763381958E-2</v>
      </c>
      <c r="H8" s="9">
        <f t="shared" si="5"/>
        <v>-2.4043656885623928E-2</v>
      </c>
      <c r="I8" s="9">
        <f t="shared" si="5"/>
        <v>3.051983006298542E-2</v>
      </c>
      <c r="J8" s="9">
        <f t="shared" si="5"/>
        <v>-3.6628138273954391E-2</v>
      </c>
      <c r="K8" s="9">
        <f t="shared" si="5"/>
        <v>-3.3706646412611008E-2</v>
      </c>
      <c r="L8" s="9">
        <f t="shared" si="5"/>
        <v>-3.9789609611034393E-2</v>
      </c>
      <c r="M8" s="9">
        <f t="shared" si="5"/>
        <v>-3.8071341812610633E-2</v>
      </c>
      <c r="N8" s="9">
        <f t="shared" si="5"/>
        <v>-2.9651828110218052E-2</v>
      </c>
      <c r="O8" s="9">
        <f t="shared" si="5"/>
        <v>-3.6376375705003738E-2</v>
      </c>
      <c r="P8" s="9">
        <f t="shared" si="5"/>
        <v>9.2788353562355042E-2</v>
      </c>
      <c r="Q8" s="9">
        <f t="shared" si="5"/>
        <v>-2.434376627206802E-2</v>
      </c>
      <c r="R8" s="9">
        <f t="shared" si="5"/>
        <v>-3.3573232591152191E-2</v>
      </c>
      <c r="S8" s="9">
        <f t="shared" si="5"/>
        <v>4.957927018404007E-2</v>
      </c>
      <c r="T8" s="9">
        <f t="shared" si="5"/>
        <v>-2.798360958695412E-2</v>
      </c>
      <c r="U8" s="9">
        <f t="shared" si="5"/>
        <v>-2.942265011370182E-2</v>
      </c>
      <c r="V8" s="9">
        <f t="shared" si="5"/>
        <v>-2.794249914586544E-2</v>
      </c>
      <c r="W8" s="9">
        <f t="shared" si="5"/>
        <v>-2.784637734293938E-2</v>
      </c>
      <c r="X8" s="9">
        <f t="shared" si="5"/>
        <v>-3.8444548845291138E-2</v>
      </c>
      <c r="Y8" s="9">
        <f t="shared" si="5"/>
        <v>-3.1967829912900918E-2</v>
      </c>
      <c r="Z8" s="9">
        <f t="shared" si="5"/>
        <v>-2.9925361275672909E-2</v>
      </c>
      <c r="AA8" s="9">
        <f t="shared" si="5"/>
        <v>-3.0244136229157451E-2</v>
      </c>
      <c r="AB8" s="9">
        <f t="shared" si="5"/>
        <v>-2.8592776507139209E-2</v>
      </c>
      <c r="AC8" s="9">
        <f t="shared" si="5"/>
        <v>-2.740947529673576E-2</v>
      </c>
      <c r="AD8" s="9">
        <f t="shared" si="5"/>
        <v>-2.904889173805714E-2</v>
      </c>
      <c r="AE8" s="9">
        <f t="shared" si="5"/>
        <v>3.8704991340637207E-2</v>
      </c>
      <c r="AF8" s="9">
        <f t="shared" si="5"/>
        <v>-2.8318248689174649E-2</v>
      </c>
      <c r="AG8" s="9">
        <f t="shared" si="5"/>
        <v>-2.835783921182156E-2</v>
      </c>
      <c r="AH8" s="9">
        <f t="shared" si="5"/>
        <v>-2.0635519176721569E-2</v>
      </c>
      <c r="AI8" s="9">
        <f t="shared" ref="AI8:BN8" si="6">IF(AI6=1,AI3,IF(AI6=2,AI4,IF(AI6=3,AI5)))</f>
        <v>-3.9616737514734268E-2</v>
      </c>
      <c r="AJ8" s="9">
        <f t="shared" si="6"/>
        <v>-3.4279849380254752E-2</v>
      </c>
      <c r="AK8" s="9">
        <f t="shared" si="6"/>
        <v>-2.738221921026707E-2</v>
      </c>
      <c r="AL8" s="9">
        <f t="shared" si="6"/>
        <v>3.8964591920375817E-2</v>
      </c>
      <c r="AM8" s="9">
        <f t="shared" si="6"/>
        <v>-3.1148817390203479E-2</v>
      </c>
      <c r="AN8" s="9">
        <f t="shared" si="6"/>
        <v>4.386327788233757E-2</v>
      </c>
      <c r="AO8" s="9">
        <f t="shared" si="6"/>
        <v>-3.5884447395801537E-2</v>
      </c>
      <c r="AP8" s="9">
        <f t="shared" si="6"/>
        <v>3.8291200995445251E-2</v>
      </c>
      <c r="AQ8" s="9">
        <f t="shared" si="6"/>
        <v>-2.1187437698245049E-2</v>
      </c>
      <c r="AR8" s="9">
        <f t="shared" si="6"/>
        <v>-2.6181202381849289E-2</v>
      </c>
      <c r="AS8" s="9">
        <f t="shared" si="6"/>
        <v>-6.6054962575435638E-2</v>
      </c>
      <c r="AT8" s="9">
        <f t="shared" si="6"/>
        <v>4.3137997388839722E-2</v>
      </c>
      <c r="AU8" s="9">
        <f t="shared" si="6"/>
        <v>4.9771856516599662E-2</v>
      </c>
      <c r="AV8" s="9">
        <f t="shared" si="6"/>
        <v>4.9413982778787613E-2</v>
      </c>
      <c r="AW8" s="9">
        <f t="shared" si="6"/>
        <v>5.1071316003799438E-2</v>
      </c>
      <c r="AX8" s="9">
        <f t="shared" si="6"/>
        <v>4.962177574634552E-2</v>
      </c>
      <c r="AY8" s="9">
        <f t="shared" si="6"/>
        <v>5.1257487386465073E-2</v>
      </c>
      <c r="AZ8" s="9">
        <f t="shared" si="6"/>
        <v>4.2423129081726067E-2</v>
      </c>
      <c r="BA8" s="9">
        <f t="shared" si="6"/>
        <v>3.9333701133728027E-2</v>
      </c>
      <c r="BB8" s="9">
        <f t="shared" si="6"/>
        <v>3.9388258010149002E-2</v>
      </c>
      <c r="BC8" s="9">
        <f t="shared" si="6"/>
        <v>4.2884018272161477E-2</v>
      </c>
      <c r="BD8" s="9">
        <f t="shared" si="6"/>
        <v>4.4494438916444778E-2</v>
      </c>
      <c r="BE8" s="9">
        <f t="shared" si="6"/>
        <v>4.6050392091274261E-2</v>
      </c>
      <c r="BF8" s="9">
        <f t="shared" si="6"/>
        <v>5.2774351090192788E-2</v>
      </c>
      <c r="BG8" s="9">
        <f t="shared" si="6"/>
        <v>5.2520696073770523E-2</v>
      </c>
      <c r="BH8" s="9">
        <f t="shared" si="6"/>
        <v>5.204303190112114E-2</v>
      </c>
      <c r="BI8" s="9">
        <f t="shared" si="6"/>
        <v>5.3213786333799362E-2</v>
      </c>
      <c r="BJ8" s="9">
        <f t="shared" si="6"/>
        <v>5.14848493039608E-2</v>
      </c>
      <c r="BK8" s="9">
        <f t="shared" si="6"/>
        <v>5.2345767617225647E-2</v>
      </c>
      <c r="BL8" s="9">
        <f t="shared" si="6"/>
        <v>5.2821684628725052E-2</v>
      </c>
      <c r="BM8" s="9">
        <f t="shared" si="6"/>
        <v>5.246623232960701E-2</v>
      </c>
      <c r="BN8" s="9">
        <f t="shared" si="6"/>
        <v>5.7477392256259918E-2</v>
      </c>
      <c r="BO8" s="9">
        <f t="shared" ref="BO8:CT8" si="7">IF(BO6=1,BO3,IF(BO6=2,BO4,IF(BO6=3,BO5)))</f>
        <v>5.5104456841945648E-2</v>
      </c>
      <c r="BP8" s="9">
        <f t="shared" si="7"/>
        <v>4.081440344452858E-2</v>
      </c>
      <c r="BQ8" s="9">
        <f t="shared" si="7"/>
        <v>5.2616532891988747E-2</v>
      </c>
      <c r="BR8" s="9">
        <f t="shared" si="7"/>
        <v>3.6645740270614617E-2</v>
      </c>
      <c r="BS8" s="9">
        <f t="shared" si="7"/>
        <v>5.4600823670625687E-2</v>
      </c>
      <c r="BT8" s="9">
        <f t="shared" si="7"/>
        <v>4.5548383146524429E-2</v>
      </c>
      <c r="BU8" s="9">
        <f t="shared" si="7"/>
        <v>5.5572357028722763E-2</v>
      </c>
      <c r="BV8" s="9">
        <f t="shared" si="7"/>
        <v>5.2330784499645233E-2</v>
      </c>
      <c r="BW8" s="9">
        <f t="shared" si="7"/>
        <v>4.1799742728471763E-2</v>
      </c>
      <c r="BX8" s="9">
        <f t="shared" si="7"/>
        <v>4.7964099794626243E-2</v>
      </c>
      <c r="BY8" s="9">
        <f t="shared" si="7"/>
        <v>4.9554049968719482E-2</v>
      </c>
      <c r="BZ8" s="9">
        <f t="shared" si="7"/>
        <v>5.3468108177185059E-2</v>
      </c>
      <c r="CA8" s="9">
        <f t="shared" si="7"/>
        <v>4.868757352232933E-2</v>
      </c>
      <c r="CB8" s="9">
        <f t="shared" si="7"/>
        <v>4.6025428920984268E-2</v>
      </c>
      <c r="CC8" s="9">
        <f t="shared" si="7"/>
        <v>5.2412558346986771E-2</v>
      </c>
      <c r="CD8" s="9">
        <f t="shared" si="7"/>
        <v>4.9619406461715698E-2</v>
      </c>
      <c r="CE8" s="9">
        <f t="shared" si="7"/>
        <v>4.6824052929878228E-2</v>
      </c>
      <c r="CF8" s="9">
        <f t="shared" si="7"/>
        <v>5.0924398005008698E-2</v>
      </c>
      <c r="CG8" s="9">
        <f t="shared" si="7"/>
        <v>4.6287201344966888E-2</v>
      </c>
      <c r="CH8" s="9">
        <f t="shared" si="7"/>
        <v>5.0006065517663963E-2</v>
      </c>
      <c r="CI8" s="9">
        <f t="shared" si="7"/>
        <v>4.8990387469530113E-2</v>
      </c>
      <c r="CJ8" s="9">
        <f t="shared" si="7"/>
        <v>5.0737027078866959E-2</v>
      </c>
      <c r="CK8" s="9">
        <f t="shared" si="7"/>
        <v>5.0407581031322479E-2</v>
      </c>
      <c r="CL8" s="9">
        <f t="shared" si="7"/>
        <v>5.1771163940429688E-2</v>
      </c>
      <c r="CM8" s="9">
        <f t="shared" si="7"/>
        <v>4.9744158983230591E-2</v>
      </c>
      <c r="CN8" s="9">
        <f t="shared" si="7"/>
        <v>4.9877673387527473E-2</v>
      </c>
      <c r="CO8" s="9">
        <f t="shared" si="7"/>
        <v>4.8527717590332031E-2</v>
      </c>
      <c r="CP8" s="9">
        <f t="shared" si="7"/>
        <v>4.8692740499973297E-2</v>
      </c>
      <c r="CQ8" s="9">
        <f t="shared" si="7"/>
        <v>4.9047302454710007E-2</v>
      </c>
      <c r="CR8" s="9">
        <f t="shared" si="7"/>
        <v>4.9837246537208557E-2</v>
      </c>
      <c r="CS8" s="9">
        <f t="shared" si="7"/>
        <v>4.7483202069997787E-2</v>
      </c>
      <c r="CT8" s="9">
        <f t="shared" si="7"/>
        <v>3.1795904040336609E-2</v>
      </c>
      <c r="CU8" s="9">
        <f t="shared" ref="CU8:DZ8" si="8">IF(CU6=1,CU3,IF(CU6=2,CU4,IF(CU6=3,CU5)))</f>
        <v>4.4976841658353812E-2</v>
      </c>
      <c r="CV8" s="9">
        <f t="shared" si="8"/>
        <v>4.9786105751991272E-2</v>
      </c>
      <c r="CW8" s="9">
        <f t="shared" si="8"/>
        <v>4.3859463185071952E-2</v>
      </c>
      <c r="CX8" s="9">
        <f t="shared" si="8"/>
        <v>5.1966626197099693E-2</v>
      </c>
      <c r="CY8" s="9">
        <f t="shared" si="8"/>
        <v>5.0948314368724823E-2</v>
      </c>
      <c r="CZ8" s="9">
        <f t="shared" si="8"/>
        <v>4.4357843697071082E-2</v>
      </c>
      <c r="DA8" s="9">
        <f t="shared" si="8"/>
        <v>4.5401513576507568E-2</v>
      </c>
      <c r="DB8" s="9">
        <f t="shared" si="8"/>
        <v>5.2733633667230613E-2</v>
      </c>
      <c r="DC8" s="9">
        <f t="shared" si="8"/>
        <v>5.2081622183322913E-2</v>
      </c>
      <c r="DD8" s="9">
        <f t="shared" si="8"/>
        <v>4.963703453540802E-2</v>
      </c>
      <c r="DE8" s="9">
        <f t="shared" si="8"/>
        <v>5.2589800208806992E-2</v>
      </c>
      <c r="DF8" s="9">
        <f t="shared" si="8"/>
        <v>4.1408929973840707E-2</v>
      </c>
      <c r="DG8" s="9">
        <f t="shared" si="8"/>
        <v>4.3718356639146798E-2</v>
      </c>
      <c r="DH8" s="9">
        <f t="shared" si="8"/>
        <v>4.6793397516012192E-2</v>
      </c>
      <c r="DI8" s="9">
        <f t="shared" si="8"/>
        <v>4.7784905880689621E-2</v>
      </c>
      <c r="DJ8" s="9">
        <f t="shared" si="8"/>
        <v>5.1443465054035187E-2</v>
      </c>
      <c r="DK8" s="9">
        <f t="shared" si="8"/>
        <v>4.1621468961238861E-2</v>
      </c>
      <c r="DL8" s="9">
        <f t="shared" si="8"/>
        <v>4.8520050942897797E-2</v>
      </c>
      <c r="DM8" s="9">
        <f t="shared" si="8"/>
        <v>4.8485212028026581E-2</v>
      </c>
      <c r="DN8" s="9">
        <f t="shared" si="8"/>
        <v>4.6739093959331512E-2</v>
      </c>
      <c r="DO8" s="9">
        <f t="shared" si="8"/>
        <v>4.815780371427536E-2</v>
      </c>
      <c r="DP8" s="9">
        <f t="shared" si="8"/>
        <v>4.7622770071029663E-2</v>
      </c>
      <c r="DQ8" s="9">
        <f t="shared" si="8"/>
        <v>4.8637110739946372E-2</v>
      </c>
      <c r="DR8" s="9">
        <f t="shared" si="8"/>
        <v>4.879031702876091E-2</v>
      </c>
      <c r="DS8" s="9">
        <f t="shared" si="8"/>
        <v>4.4818054884672158E-2</v>
      </c>
      <c r="DT8" s="9">
        <f t="shared" si="8"/>
        <v>4.8045273870229721E-2</v>
      </c>
      <c r="DU8" s="9">
        <f t="shared" si="8"/>
        <v>4.7465518116950989E-2</v>
      </c>
      <c r="DV8" s="9">
        <f t="shared" si="8"/>
        <v>4.6620264649391167E-2</v>
      </c>
      <c r="DW8" s="9">
        <f t="shared" si="8"/>
        <v>4.7323688864707947E-2</v>
      </c>
      <c r="DX8" s="9">
        <f t="shared" si="8"/>
        <v>4.754440113902092E-2</v>
      </c>
      <c r="DY8" s="9">
        <f t="shared" si="8"/>
        <v>4.7807488590478897E-2</v>
      </c>
      <c r="DZ8" s="9">
        <f t="shared" si="8"/>
        <v>3.4820709377527237E-2</v>
      </c>
      <c r="EA8" s="9">
        <f t="shared" ref="EA8:EF8" si="9">IF(EA6=1,EA3,IF(EA6=2,EA4,IF(EA6=3,EA5)))</f>
        <v>4.8265136778354638E-2</v>
      </c>
      <c r="EB8" s="9">
        <f t="shared" si="9"/>
        <v>4.2205382138490677E-2</v>
      </c>
      <c r="EC8" s="9">
        <f t="shared" si="9"/>
        <v>3.6263357847929001E-2</v>
      </c>
      <c r="ED8" s="9">
        <f t="shared" si="9"/>
        <v>3.9504203945398331E-2</v>
      </c>
      <c r="EE8" s="9">
        <f t="shared" si="9"/>
        <v>4.6422228217124939E-2</v>
      </c>
      <c r="EF8" s="9">
        <f t="shared" si="9"/>
        <v>5.0174936652183533E-2</v>
      </c>
    </row>
    <row r="10" spans="1:137">
      <c r="A10" s="32" t="s">
        <v>140</v>
      </c>
      <c r="B10" s="33"/>
      <c r="C10" s="4" t="s">
        <v>141</v>
      </c>
      <c r="D10" s="6">
        <v>964</v>
      </c>
    </row>
    <row r="11" spans="1:137">
      <c r="A11" s="4" t="s">
        <v>142</v>
      </c>
      <c r="B11" s="4" t="s">
        <v>143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I11" s="5" t="s">
        <v>8</v>
      </c>
      <c r="J11" s="5" t="s">
        <v>9</v>
      </c>
      <c r="K11" s="5" t="s">
        <v>10</v>
      </c>
      <c r="L11" s="5" t="s">
        <v>11</v>
      </c>
      <c r="M11" s="5" t="s">
        <v>12</v>
      </c>
      <c r="N11" s="5" t="s">
        <v>13</v>
      </c>
      <c r="O11" s="5" t="s">
        <v>14</v>
      </c>
      <c r="P11" s="5" t="s">
        <v>15</v>
      </c>
      <c r="Q11" s="5" t="s">
        <v>16</v>
      </c>
      <c r="R11" s="5" t="s">
        <v>17</v>
      </c>
      <c r="S11" s="5" t="s">
        <v>18</v>
      </c>
      <c r="T11" s="5" t="s">
        <v>19</v>
      </c>
      <c r="U11" s="5" t="s">
        <v>20</v>
      </c>
      <c r="V11" s="5" t="s">
        <v>21</v>
      </c>
      <c r="W11" s="5" t="s">
        <v>22</v>
      </c>
      <c r="X11" s="5" t="s">
        <v>23</v>
      </c>
      <c r="Y11" s="5" t="s">
        <v>24</v>
      </c>
      <c r="Z11" s="5" t="s">
        <v>25</v>
      </c>
      <c r="AA11" s="5" t="s">
        <v>26</v>
      </c>
      <c r="AB11" s="5" t="s">
        <v>27</v>
      </c>
      <c r="AC11" s="5" t="s">
        <v>28</v>
      </c>
      <c r="AD11" s="5" t="s">
        <v>29</v>
      </c>
      <c r="AE11" s="5" t="s">
        <v>30</v>
      </c>
      <c r="AF11" s="5" t="s">
        <v>31</v>
      </c>
      <c r="AG11" s="5" t="s">
        <v>32</v>
      </c>
      <c r="AH11" s="5" t="s">
        <v>33</v>
      </c>
      <c r="AI11" s="5" t="s">
        <v>34</v>
      </c>
      <c r="AJ11" s="5" t="s">
        <v>35</v>
      </c>
      <c r="AK11" s="5" t="s">
        <v>36</v>
      </c>
      <c r="AL11" s="5" t="s">
        <v>37</v>
      </c>
      <c r="AM11" s="5" t="s">
        <v>38</v>
      </c>
      <c r="AN11" s="5" t="s">
        <v>39</v>
      </c>
      <c r="AO11" s="5" t="s">
        <v>40</v>
      </c>
      <c r="AP11" s="5" t="s">
        <v>41</v>
      </c>
      <c r="AQ11" s="5" t="s">
        <v>42</v>
      </c>
      <c r="AR11" s="5" t="s">
        <v>43</v>
      </c>
      <c r="AS11" s="5" t="s">
        <v>44</v>
      </c>
      <c r="AT11" s="5" t="s">
        <v>45</v>
      </c>
      <c r="AU11" s="5" t="s">
        <v>46</v>
      </c>
      <c r="AV11" s="5" t="s">
        <v>47</v>
      </c>
      <c r="AW11" s="5" t="s">
        <v>48</v>
      </c>
      <c r="AX11" s="5" t="s">
        <v>49</v>
      </c>
      <c r="AY11" s="5" t="s">
        <v>50</v>
      </c>
      <c r="AZ11" s="5" t="s">
        <v>51</v>
      </c>
      <c r="BA11" s="5" t="s">
        <v>52</v>
      </c>
      <c r="BB11" s="5" t="s">
        <v>53</v>
      </c>
      <c r="BC11" s="5" t="s">
        <v>54</v>
      </c>
      <c r="BD11" s="5" t="s">
        <v>55</v>
      </c>
      <c r="BE11" s="5" t="s">
        <v>56</v>
      </c>
      <c r="BF11" s="5" t="s">
        <v>57</v>
      </c>
      <c r="BG11" s="5" t="s">
        <v>58</v>
      </c>
      <c r="BH11" s="5" t="s">
        <v>59</v>
      </c>
      <c r="BI11" s="5" t="s">
        <v>60</v>
      </c>
      <c r="BJ11" s="5" t="s">
        <v>61</v>
      </c>
      <c r="BK11" s="5" t="s">
        <v>62</v>
      </c>
      <c r="BL11" s="5" t="s">
        <v>63</v>
      </c>
      <c r="BM11" s="5" t="s">
        <v>64</v>
      </c>
      <c r="BN11" s="5" t="s">
        <v>65</v>
      </c>
      <c r="BO11" s="5" t="s">
        <v>66</v>
      </c>
      <c r="BP11" s="5" t="s">
        <v>67</v>
      </c>
      <c r="BQ11" s="5" t="s">
        <v>68</v>
      </c>
      <c r="BR11" s="5" t="s">
        <v>69</v>
      </c>
      <c r="BS11" s="5" t="s">
        <v>70</v>
      </c>
      <c r="BT11" s="5" t="s">
        <v>71</v>
      </c>
      <c r="BU11" s="5" t="s">
        <v>72</v>
      </c>
      <c r="BV11" s="5" t="s">
        <v>73</v>
      </c>
      <c r="BW11" s="5" t="s">
        <v>74</v>
      </c>
      <c r="BX11" s="5" t="s">
        <v>75</v>
      </c>
      <c r="BY11" s="5" t="s">
        <v>76</v>
      </c>
      <c r="BZ11" s="5" t="s">
        <v>77</v>
      </c>
      <c r="CA11" s="5" t="s">
        <v>78</v>
      </c>
      <c r="CB11" s="5" t="s">
        <v>79</v>
      </c>
      <c r="CC11" s="5" t="s">
        <v>80</v>
      </c>
      <c r="CD11" s="5" t="s">
        <v>81</v>
      </c>
      <c r="CE11" s="5" t="s">
        <v>82</v>
      </c>
      <c r="CF11" s="5" t="s">
        <v>83</v>
      </c>
      <c r="CG11" s="5" t="s">
        <v>84</v>
      </c>
      <c r="CH11" s="5" t="s">
        <v>85</v>
      </c>
      <c r="CI11" s="5" t="s">
        <v>86</v>
      </c>
      <c r="CJ11" s="5" t="s">
        <v>87</v>
      </c>
      <c r="CK11" s="5" t="s">
        <v>88</v>
      </c>
      <c r="CL11" s="5" t="s">
        <v>89</v>
      </c>
      <c r="CM11" s="5" t="s">
        <v>90</v>
      </c>
      <c r="CN11" s="5" t="s">
        <v>91</v>
      </c>
      <c r="CO11" s="5" t="s">
        <v>92</v>
      </c>
      <c r="CP11" s="5" t="s">
        <v>93</v>
      </c>
      <c r="CQ11" s="5" t="s">
        <v>94</v>
      </c>
      <c r="CR11" s="5" t="s">
        <v>95</v>
      </c>
      <c r="CS11" s="5" t="s">
        <v>96</v>
      </c>
      <c r="CT11" s="5" t="s">
        <v>97</v>
      </c>
      <c r="CU11" s="5" t="s">
        <v>98</v>
      </c>
      <c r="CV11" s="5" t="s">
        <v>99</v>
      </c>
      <c r="CW11" s="5" t="s">
        <v>100</v>
      </c>
      <c r="CX11" s="5" t="s">
        <v>101</v>
      </c>
      <c r="CY11" s="5" t="s">
        <v>102</v>
      </c>
      <c r="CZ11" s="5" t="s">
        <v>103</v>
      </c>
      <c r="DA11" s="5" t="s">
        <v>104</v>
      </c>
      <c r="DB11" s="5" t="s">
        <v>105</v>
      </c>
      <c r="DC11" s="5" t="s">
        <v>106</v>
      </c>
      <c r="DD11" s="5" t="s">
        <v>107</v>
      </c>
      <c r="DE11" s="5" t="s">
        <v>108</v>
      </c>
      <c r="DF11" s="5" t="s">
        <v>109</v>
      </c>
      <c r="DG11" s="5" t="s">
        <v>110</v>
      </c>
      <c r="DH11" s="5" t="s">
        <v>111</v>
      </c>
      <c r="DI11" s="5" t="s">
        <v>112</v>
      </c>
      <c r="DJ11" s="5" t="s">
        <v>113</v>
      </c>
      <c r="DK11" s="5" t="s">
        <v>114</v>
      </c>
      <c r="DL11" s="5" t="s">
        <v>115</v>
      </c>
      <c r="DM11" s="5" t="s">
        <v>116</v>
      </c>
      <c r="DN11" s="5" t="s">
        <v>117</v>
      </c>
      <c r="DO11" s="5" t="s">
        <v>118</v>
      </c>
      <c r="DP11" s="5" t="s">
        <v>119</v>
      </c>
      <c r="DQ11" s="5" t="s">
        <v>120</v>
      </c>
      <c r="DR11" s="5" t="s">
        <v>121</v>
      </c>
      <c r="DS11" s="5" t="s">
        <v>122</v>
      </c>
      <c r="DT11" s="5" t="s">
        <v>123</v>
      </c>
      <c r="DU11" s="5" t="s">
        <v>124</v>
      </c>
      <c r="DV11" s="5" t="s">
        <v>125</v>
      </c>
      <c r="DW11" s="5" t="s">
        <v>126</v>
      </c>
      <c r="DX11" s="5" t="s">
        <v>127</v>
      </c>
      <c r="DY11" s="5" t="s">
        <v>128</v>
      </c>
      <c r="DZ11" s="5" t="s">
        <v>129</v>
      </c>
      <c r="EA11" s="5" t="s">
        <v>130</v>
      </c>
      <c r="EB11" s="5" t="s">
        <v>131</v>
      </c>
      <c r="EC11" s="5" t="s">
        <v>132</v>
      </c>
      <c r="ED11" s="5" t="s">
        <v>133</v>
      </c>
      <c r="EE11" s="5" t="s">
        <v>134</v>
      </c>
      <c r="EF11" s="5" t="s">
        <v>135</v>
      </c>
    </row>
    <row r="12" spans="1:137">
      <c r="A12" s="4">
        <v>10</v>
      </c>
      <c r="B12" s="4">
        <v>96</v>
      </c>
      <c r="C12" s="9">
        <v>4.6867682744863907E-2</v>
      </c>
      <c r="D12" s="10">
        <v>0.11468851041666669</v>
      </c>
      <c r="E12" s="10">
        <v>-6.7935603476136659E-3</v>
      </c>
      <c r="F12" s="10">
        <v>1.342140625E-2</v>
      </c>
      <c r="G12" s="10">
        <v>1.172496874999999E-2</v>
      </c>
      <c r="H12" s="10">
        <v>3.8530718750000012E-2</v>
      </c>
      <c r="I12" s="10">
        <v>3.8097115239531458E-2</v>
      </c>
      <c r="J12" s="10">
        <v>-2.940780208333334E-2</v>
      </c>
      <c r="K12" s="10">
        <v>1.877417708333334E-2</v>
      </c>
      <c r="L12" s="10">
        <v>-4.1890635416666662E-2</v>
      </c>
      <c r="M12" s="10">
        <v>-3.9668749999999768E-4</v>
      </c>
      <c r="N12" s="10">
        <v>6.9326749999999965E-2</v>
      </c>
      <c r="O12" s="10">
        <v>1.7240843749999998E-2</v>
      </c>
      <c r="P12" s="10">
        <v>-1.9809764896968261E-2</v>
      </c>
      <c r="Q12" s="10">
        <v>3.5270468749999978E-2</v>
      </c>
      <c r="R12" s="10">
        <v>6.6630833333333368E-3</v>
      </c>
      <c r="S12" s="10">
        <v>-7.5752806890824614E-2</v>
      </c>
      <c r="T12" s="10">
        <v>-7.7403854166666827E-3</v>
      </c>
      <c r="U12" s="10">
        <v>-1.6178791666666682E-2</v>
      </c>
      <c r="V12" s="10">
        <v>6.2048020833333078E-3</v>
      </c>
      <c r="W12" s="10">
        <v>6.4039645833333339E-2</v>
      </c>
      <c r="X12" s="10">
        <v>-4.883787333959428E-2</v>
      </c>
      <c r="Y12" s="10">
        <v>1.544010416666668E-2</v>
      </c>
      <c r="Z12" s="10">
        <v>5.166041666666666E-3</v>
      </c>
      <c r="AA12" s="10">
        <v>-1.1916833333333311E-2</v>
      </c>
      <c r="AB12" s="10">
        <v>-3.7113229166666761E-3</v>
      </c>
      <c r="AC12" s="10">
        <v>5.1674479166666544E-3</v>
      </c>
      <c r="AD12" s="10">
        <v>1.123054166666667E-2</v>
      </c>
      <c r="AE12" s="10">
        <v>-3.7521220957971363E-2</v>
      </c>
      <c r="AF12" s="10">
        <v>4.6181927083333352E-2</v>
      </c>
      <c r="AG12" s="10">
        <v>1.207918750000001E-2</v>
      </c>
      <c r="AH12" s="10">
        <v>2.0093114583333321E-2</v>
      </c>
      <c r="AI12" s="10">
        <v>2.3246958333333331E-2</v>
      </c>
      <c r="AJ12" s="10">
        <v>2.1062375000000012E-2</v>
      </c>
      <c r="AK12" s="10">
        <v>1.0179770833333339E-2</v>
      </c>
      <c r="AL12" s="10">
        <v>1.7859003021922081E-2</v>
      </c>
      <c r="AM12" s="10">
        <v>2.0205822916666651E-2</v>
      </c>
      <c r="AN12" s="10">
        <v>7.0370866473731905E-2</v>
      </c>
      <c r="AO12" s="10">
        <v>1.1704000000000001E-2</v>
      </c>
      <c r="AP12" s="10">
        <v>-3.3728995771188847E-2</v>
      </c>
      <c r="AQ12" s="10">
        <v>-6.6816458333333311E-3</v>
      </c>
      <c r="AR12" s="10">
        <v>-7.5043645833333256E-3</v>
      </c>
      <c r="AS12" s="10">
        <v>-1.9726131394207671E-2</v>
      </c>
      <c r="AT12" s="10">
        <v>1.3068926506940861E-2</v>
      </c>
      <c r="AU12" s="10">
        <v>1.9974649689404891E-2</v>
      </c>
      <c r="AV12" s="10">
        <v>-4.112607099176907E-2</v>
      </c>
      <c r="AW12" s="10">
        <v>9.295475433588607E-4</v>
      </c>
      <c r="AX12" s="10">
        <v>4.3020460111572283E-2</v>
      </c>
      <c r="AY12" s="10">
        <v>2.448335394421234E-2</v>
      </c>
      <c r="AZ12" s="10">
        <v>-3.0582148605065619E-3</v>
      </c>
      <c r="BA12" s="10">
        <v>4.1573905541135263E-3</v>
      </c>
      <c r="BB12" s="10">
        <v>1.598289180540334E-2</v>
      </c>
      <c r="BC12" s="10">
        <v>1.2985576387445449E-2</v>
      </c>
      <c r="BD12" s="10">
        <v>1.143142399369595E-2</v>
      </c>
      <c r="BE12" s="10">
        <v>2.40304909961199E-2</v>
      </c>
      <c r="BF12" s="10">
        <v>6.8729809015135521E-2</v>
      </c>
      <c r="BG12" s="10">
        <v>3.8388130036715477E-2</v>
      </c>
      <c r="BH12" s="10">
        <v>1.114891561300402E-2</v>
      </c>
      <c r="BI12" s="10">
        <v>5.1439927386970313E-2</v>
      </c>
      <c r="BJ12" s="10">
        <v>-7.9599331991781624E-4</v>
      </c>
      <c r="BK12" s="10">
        <v>-2.169647440444759E-2</v>
      </c>
      <c r="BL12" s="10">
        <v>2.4709245830148639E-2</v>
      </c>
      <c r="BM12" s="10">
        <v>-1.9252831032387019E-3</v>
      </c>
      <c r="BN12" s="10">
        <v>1.133831182469593E-2</v>
      </c>
      <c r="BO12" s="10">
        <v>2.4246310256236889E-2</v>
      </c>
      <c r="BP12" s="10">
        <v>-1.0576816494296939E-2</v>
      </c>
      <c r="BQ12" s="10">
        <v>1.520658027131792E-2</v>
      </c>
      <c r="BR12" s="10">
        <v>-1.506664413690911E-3</v>
      </c>
      <c r="BS12" s="10">
        <v>1.7696906558417349E-2</v>
      </c>
      <c r="BT12" s="10">
        <v>2.1797850361261389E-2</v>
      </c>
      <c r="BU12" s="10">
        <v>1.020950071261458E-2</v>
      </c>
      <c r="BV12" s="10">
        <v>3.0223813217716548E-2</v>
      </c>
      <c r="BW12" s="10">
        <v>-2.8816874357394821E-2</v>
      </c>
      <c r="BX12" s="10">
        <v>9.7131055242352677E-3</v>
      </c>
      <c r="BY12" s="10">
        <v>-3.3051409562733967E-2</v>
      </c>
      <c r="BZ12" s="10">
        <v>4.5004028183990963E-2</v>
      </c>
      <c r="CA12" s="10">
        <v>-3.044777350243975E-2</v>
      </c>
      <c r="CB12" s="10">
        <v>1.6648876145019531E-3</v>
      </c>
      <c r="CC12" s="10">
        <v>-1.7660897272322871E-2</v>
      </c>
      <c r="CD12" s="10">
        <v>0.1109336335844525</v>
      </c>
      <c r="CE12" s="10">
        <v>1.1619408442229209E-2</v>
      </c>
      <c r="CF12" s="10">
        <v>2.6993352626693411E-2</v>
      </c>
      <c r="CG12" s="10">
        <v>4.130933339268713E-2</v>
      </c>
      <c r="CH12" s="10">
        <v>6.4402640401794498E-2</v>
      </c>
      <c r="CI12" s="10">
        <v>-3.5807412624148278E-2</v>
      </c>
      <c r="CJ12" s="10">
        <v>1.7613849541033368E-2</v>
      </c>
      <c r="CK12" s="10">
        <v>1.199406837785265E-2</v>
      </c>
      <c r="CL12" s="10">
        <v>0.1180156076696104</v>
      </c>
      <c r="CM12" s="10">
        <v>-1.438269061297669E-2</v>
      </c>
      <c r="CN12" s="10">
        <v>-2.5586962886869249E-2</v>
      </c>
      <c r="CO12" s="10">
        <v>-2.6747945350733469E-2</v>
      </c>
      <c r="CP12" s="10">
        <v>4.5040195605567372E-2</v>
      </c>
      <c r="CQ12" s="10">
        <v>3.7258660740219933E-2</v>
      </c>
      <c r="CR12" s="10">
        <v>2.5108720098311441E-3</v>
      </c>
      <c r="CS12" s="10">
        <v>-1.5201647687045549E-2</v>
      </c>
      <c r="CT12" s="10">
        <v>-9.6164620390248173E-4</v>
      </c>
      <c r="CU12" s="10">
        <v>3.2036178763345129E-2</v>
      </c>
      <c r="CV12" s="10">
        <v>8.2631539288325045E-3</v>
      </c>
      <c r="CW12" s="10">
        <v>5.3812280845706873E-3</v>
      </c>
      <c r="CX12" s="10">
        <v>6.0989882536991787E-2</v>
      </c>
      <c r="CY12" s="10">
        <v>-6.1822201388509711E-3</v>
      </c>
      <c r="CZ12" s="10">
        <v>7.9607283258604278E-2</v>
      </c>
      <c r="DA12" s="10">
        <v>3.4032079955525099E-3</v>
      </c>
      <c r="DB12" s="10">
        <v>-2.3411800043749219E-2</v>
      </c>
      <c r="DC12" s="10">
        <v>3.3044377283177648E-2</v>
      </c>
      <c r="DD12" s="10">
        <v>2.6916790289718179E-2</v>
      </c>
      <c r="DE12" s="10">
        <v>-1.847442450316206E-4</v>
      </c>
      <c r="DF12" s="10">
        <v>-6.8330161835898516E-3</v>
      </c>
      <c r="DG12" s="10">
        <v>-7.9027007277837277E-4</v>
      </c>
      <c r="DH12" s="10">
        <v>-5.262143774803156E-3</v>
      </c>
      <c r="DI12" s="10">
        <v>-5.4443172992132458E-2</v>
      </c>
      <c r="DJ12" s="10">
        <v>8.0625982547704537E-3</v>
      </c>
      <c r="DK12" s="10">
        <v>-1.526440322238466E-2</v>
      </c>
      <c r="DL12" s="10">
        <v>-1.0642651630106659E-3</v>
      </c>
      <c r="DM12" s="10">
        <v>-5.7147713958668224E-3</v>
      </c>
      <c r="DN12" s="10">
        <v>3.9228342632839662E-2</v>
      </c>
      <c r="DO12" s="10">
        <v>2.2128250164898451E-2</v>
      </c>
      <c r="DP12" s="10">
        <v>3.2584449600297112E-2</v>
      </c>
      <c r="DQ12" s="10">
        <v>-2.3448390551494561E-2</v>
      </c>
      <c r="DR12" s="10">
        <v>1.8778943279386909E-2</v>
      </c>
      <c r="DS12" s="10">
        <v>-3.7264030439260992E-2</v>
      </c>
      <c r="DT12" s="10">
        <v>-4.4221204803796148E-2</v>
      </c>
      <c r="DU12" s="10">
        <v>1.3752648086382459E-2</v>
      </c>
      <c r="DV12" s="10">
        <v>5.2173183809525743E-2</v>
      </c>
      <c r="DW12" s="10">
        <v>3.9694301624267903E-2</v>
      </c>
      <c r="DX12" s="10">
        <v>-4.9619206803227477E-2</v>
      </c>
      <c r="DY12" s="10">
        <v>1.72451479372299E-2</v>
      </c>
      <c r="DZ12" s="10">
        <v>-4.7575251258613243E-3</v>
      </c>
      <c r="EA12" s="18">
        <v>6.4003941323197033E-2</v>
      </c>
      <c r="EB12" s="10">
        <v>3.669385637917882E-3</v>
      </c>
      <c r="EC12" s="10">
        <v>2.6651509579665299E-2</v>
      </c>
      <c r="ED12" s="10">
        <v>-5.6628035807395623E-2</v>
      </c>
      <c r="EE12" s="10">
        <v>1.245837426370521E-2</v>
      </c>
      <c r="EF12" s="10">
        <v>3.9233348038795662E-2</v>
      </c>
    </row>
    <row r="13" spans="1:137">
      <c r="A13" s="4">
        <v>20</v>
      </c>
      <c r="B13" s="4">
        <v>48</v>
      </c>
      <c r="C13" s="9">
        <v>5.420904267159625E-2</v>
      </c>
      <c r="D13" s="10">
        <v>0.12374510416666661</v>
      </c>
      <c r="E13" s="10">
        <v>-3.4496619491353048E-2</v>
      </c>
      <c r="F13" s="10">
        <v>-1.14548125E-2</v>
      </c>
      <c r="G13" s="10">
        <v>1.574485416666668E-2</v>
      </c>
      <c r="H13" s="10">
        <v>2.999035416666665E-2</v>
      </c>
      <c r="I13" s="10">
        <v>3.731568416166707E-2</v>
      </c>
      <c r="J13" s="10">
        <v>-4.3898812500000023E-2</v>
      </c>
      <c r="K13" s="10">
        <v>-1.3674791666666709E-3</v>
      </c>
      <c r="L13" s="10">
        <v>-6.0251041666666613E-3</v>
      </c>
      <c r="M13" s="10">
        <v>2.5687291666666671E-2</v>
      </c>
      <c r="N13" s="10">
        <v>9.9806729166666663E-2</v>
      </c>
      <c r="O13" s="10">
        <v>3.9789374999999988E-2</v>
      </c>
      <c r="P13" s="10">
        <v>-2.110407262300578E-2</v>
      </c>
      <c r="Q13" s="10">
        <v>7.3225020833333321E-2</v>
      </c>
      <c r="R13" s="10">
        <v>1.415983333333333E-2</v>
      </c>
      <c r="S13" s="10">
        <v>-0.1229152980035506</v>
      </c>
      <c r="T13" s="10">
        <v>-2.1634062499999988E-2</v>
      </c>
      <c r="U13" s="10">
        <v>1.5963125000000159E-3</v>
      </c>
      <c r="V13" s="10">
        <v>-2.009412499999998E-2</v>
      </c>
      <c r="W13" s="10">
        <v>7.5476395833333348E-2</v>
      </c>
      <c r="X13" s="10">
        <v>-7.5502649274703834E-2</v>
      </c>
      <c r="Y13" s="10">
        <v>1.392037499999999E-2</v>
      </c>
      <c r="Z13" s="10">
        <v>2.058391666666666E-2</v>
      </c>
      <c r="AA13" s="10">
        <v>-1.6440041666666641E-2</v>
      </c>
      <c r="AB13" s="10">
        <v>-1.6035979166666669E-2</v>
      </c>
      <c r="AC13" s="10">
        <v>8.031270833333326E-3</v>
      </c>
      <c r="AD13" s="10">
        <v>2.1543083333333331E-2</v>
      </c>
      <c r="AE13" s="10">
        <v>-4.6284108752590758E-2</v>
      </c>
      <c r="AF13" s="10">
        <v>5.1936000000000003E-2</v>
      </c>
      <c r="AG13" s="10">
        <v>3.2824583333333321E-3</v>
      </c>
      <c r="AH13" s="10">
        <v>3.1874708333333307E-2</v>
      </c>
      <c r="AI13" s="10">
        <v>1.9910041666666659E-2</v>
      </c>
      <c r="AJ13" s="10">
        <v>1.9885916666666659E-2</v>
      </c>
      <c r="AK13" s="10">
        <v>3.3189583333333439E-3</v>
      </c>
      <c r="AL13" s="10">
        <v>2.6328999803549549E-2</v>
      </c>
      <c r="AM13" s="10">
        <v>-2.282979166666674E-3</v>
      </c>
      <c r="AN13" s="10">
        <v>0.10533023813603409</v>
      </c>
      <c r="AO13" s="10">
        <v>3.020979166666661E-3</v>
      </c>
      <c r="AP13" s="10">
        <v>-5.9538220172873163E-2</v>
      </c>
      <c r="AQ13" s="10">
        <v>-1.1081895833333331E-2</v>
      </c>
      <c r="AR13" s="10">
        <v>9.2504166666666568E-3</v>
      </c>
      <c r="AS13" s="10">
        <v>-3.9777952989674729E-2</v>
      </c>
      <c r="AT13" s="10">
        <v>4.0463087854439729E-2</v>
      </c>
      <c r="AU13" s="10">
        <v>4.2460982227971428E-2</v>
      </c>
      <c r="AV13" s="10">
        <v>-9.000778021233561E-3</v>
      </c>
      <c r="AW13" s="10">
        <v>3.2682708380548479E-3</v>
      </c>
      <c r="AX13" s="10">
        <v>6.5349021476021063E-2</v>
      </c>
      <c r="AY13" s="10">
        <v>1.5767643403076691E-2</v>
      </c>
      <c r="AZ13" s="10">
        <v>-8.9977638524273464E-3</v>
      </c>
      <c r="BA13" s="10">
        <v>7.8944526317949112E-3</v>
      </c>
      <c r="BB13" s="10">
        <v>4.2875374496810892E-2</v>
      </c>
      <c r="BC13" s="10">
        <v>1.302658025364759E-2</v>
      </c>
      <c r="BD13" s="10">
        <v>5.6020821153025258E-3</v>
      </c>
      <c r="BE13" s="10">
        <v>2.842334795498689E-2</v>
      </c>
      <c r="BF13" s="10">
        <v>8.3929415307496771E-2</v>
      </c>
      <c r="BG13" s="10">
        <v>4.6566462338711673E-2</v>
      </c>
      <c r="BH13" s="10">
        <v>6.9762719011622898E-3</v>
      </c>
      <c r="BI13" s="10">
        <v>5.2788119566948392E-2</v>
      </c>
      <c r="BJ13" s="10">
        <v>-1.765410852616266E-2</v>
      </c>
      <c r="BK13" s="10">
        <v>-1.8391024879749449E-2</v>
      </c>
      <c r="BL13" s="10">
        <v>3.6962610176948373E-2</v>
      </c>
      <c r="BM13" s="10">
        <v>1.505624964647417E-2</v>
      </c>
      <c r="BN13" s="10">
        <v>1.089273896846772E-2</v>
      </c>
      <c r="BO13" s="10">
        <v>3.1735312331920007E-2</v>
      </c>
      <c r="BP13" s="10">
        <v>7.6519468243173693E-3</v>
      </c>
      <c r="BQ13" s="10">
        <v>4.0819096771410428E-2</v>
      </c>
      <c r="BR13" s="10">
        <v>-7.0713814766287129E-3</v>
      </c>
      <c r="BS13" s="10">
        <v>7.2582425079335874E-3</v>
      </c>
      <c r="BT13" s="10">
        <v>3.8343505616472817E-2</v>
      </c>
      <c r="BU13" s="10">
        <v>1.6526994744897359E-2</v>
      </c>
      <c r="BV13" s="10">
        <v>2.0643875001298689E-2</v>
      </c>
      <c r="BW13" s="10">
        <v>1.763237810676999E-3</v>
      </c>
      <c r="BX13" s="10">
        <v>2.1785490892617498E-2</v>
      </c>
      <c r="BY13" s="10">
        <v>-1.4512397670490481E-2</v>
      </c>
      <c r="BZ13" s="10">
        <v>7.692787072442861E-2</v>
      </c>
      <c r="CA13" s="10">
        <v>-3.3531565600396843E-2</v>
      </c>
      <c r="CB13" s="10">
        <v>-7.1318694078340711E-3</v>
      </c>
      <c r="CC13" s="10">
        <v>-1.2132615861706589E-2</v>
      </c>
      <c r="CD13" s="10">
        <v>0.1054918782280385</v>
      </c>
      <c r="CE13" s="10">
        <v>1.196831018387538E-2</v>
      </c>
      <c r="CF13" s="10">
        <v>4.6939452833226827E-2</v>
      </c>
      <c r="CG13" s="10">
        <v>3.7015271900835547E-2</v>
      </c>
      <c r="CH13" s="10">
        <v>5.8334611827207158E-2</v>
      </c>
      <c r="CI13" s="10">
        <v>-5.1853509134263329E-2</v>
      </c>
      <c r="CJ13" s="10">
        <v>-3.876600294492813E-3</v>
      </c>
      <c r="CK13" s="10">
        <v>3.2045269236463961E-2</v>
      </c>
      <c r="CL13" s="10">
        <v>8.4304391314503846E-2</v>
      </c>
      <c r="CM13" s="10">
        <v>-1.0296803756394969E-2</v>
      </c>
      <c r="CN13" s="10">
        <v>-2.6887565998852329E-2</v>
      </c>
      <c r="CO13" s="10">
        <v>-1.345745856322739E-2</v>
      </c>
      <c r="CP13" s="10">
        <v>7.0797472483089319E-2</v>
      </c>
      <c r="CQ13" s="10">
        <v>3.7948964821826262E-2</v>
      </c>
      <c r="CR13" s="10">
        <v>8.6327961964905008E-3</v>
      </c>
      <c r="CS13" s="10">
        <v>1.2078160331627031E-2</v>
      </c>
      <c r="CT13" s="10">
        <v>8.0707993163786768E-3</v>
      </c>
      <c r="CU13" s="10">
        <v>3.6006915534289197E-2</v>
      </c>
      <c r="CV13" s="10">
        <v>-2.2303746439440819E-3</v>
      </c>
      <c r="CW13" s="10">
        <v>5.97703085624611E-3</v>
      </c>
      <c r="CX13" s="10">
        <v>6.064376163531978E-2</v>
      </c>
      <c r="CY13" s="10">
        <v>-1.3118740115012659E-2</v>
      </c>
      <c r="CZ13" s="10">
        <v>5.7224220353485108E-2</v>
      </c>
      <c r="DA13" s="10">
        <v>-7.0965309514403824E-3</v>
      </c>
      <c r="DB13" s="10">
        <v>-4.0988945607817198E-2</v>
      </c>
      <c r="DC13" s="10">
        <v>2.9740185333726261E-2</v>
      </c>
      <c r="DD13" s="10">
        <v>9.6115357623313795E-3</v>
      </c>
      <c r="DE13" s="10">
        <v>5.1676528954192752E-3</v>
      </c>
      <c r="DF13" s="10">
        <v>-2.8518796793634778E-2</v>
      </c>
      <c r="DG13" s="10">
        <v>-1.6306571728899009E-3</v>
      </c>
      <c r="DH13" s="10">
        <v>1.2992245045791989E-2</v>
      </c>
      <c r="DI13" s="10">
        <v>-4.6561456814233543E-2</v>
      </c>
      <c r="DJ13" s="10">
        <v>2.8247996829593169E-4</v>
      </c>
      <c r="DK13" s="10">
        <v>1.202678983884406E-2</v>
      </c>
      <c r="DL13" s="10">
        <v>-1.56545524405593E-2</v>
      </c>
      <c r="DM13" s="10">
        <v>-6.6588690484439203E-3</v>
      </c>
      <c r="DN13" s="10">
        <v>1.4839797780264639E-2</v>
      </c>
      <c r="DO13" s="10">
        <v>4.8531513222965908E-2</v>
      </c>
      <c r="DP13" s="10">
        <v>4.7238153226040899E-2</v>
      </c>
      <c r="DQ13" s="10">
        <v>-2.6430081417128711E-2</v>
      </c>
      <c r="DR13" s="10">
        <v>1.377120927231194E-2</v>
      </c>
      <c r="DS13" s="10">
        <v>-3.8502774982174401E-2</v>
      </c>
      <c r="DT13" s="10">
        <v>-3.542630104766481E-2</v>
      </c>
      <c r="DU13" s="10">
        <v>2.0848414519023192E-2</v>
      </c>
      <c r="DV13" s="10">
        <v>7.9620144024188558E-2</v>
      </c>
      <c r="DW13" s="10">
        <v>4.5686979428007042E-2</v>
      </c>
      <c r="DX13" s="10">
        <v>-6.4641919490531136E-2</v>
      </c>
      <c r="DY13" s="10">
        <v>3.5306137940869793E-2</v>
      </c>
      <c r="DZ13" s="10">
        <v>-1.177046576227069E-2</v>
      </c>
      <c r="EA13" s="18">
        <v>7.659036634905636E-2</v>
      </c>
      <c r="EB13" s="10">
        <v>2.1373218199386389E-2</v>
      </c>
      <c r="EC13" s="10">
        <v>4.1659753435228923E-2</v>
      </c>
      <c r="ED13" s="10">
        <v>-6.5682093659234955E-2</v>
      </c>
      <c r="EE13" s="10">
        <v>8.7380257027594461E-3</v>
      </c>
      <c r="EF13" s="10">
        <v>6.7291156741452265E-2</v>
      </c>
    </row>
    <row r="14" spans="1:137">
      <c r="A14" s="4">
        <v>50</v>
      </c>
      <c r="B14" s="4">
        <v>19</v>
      </c>
      <c r="C14" s="9">
        <v>-3.0371566279064999E-2</v>
      </c>
      <c r="D14" s="10">
        <v>0.22230878947368421</v>
      </c>
      <c r="E14" s="10">
        <v>-4.7525943267256017E-2</v>
      </c>
      <c r="F14" s="10">
        <v>3.4543210526315787E-2</v>
      </c>
      <c r="G14" s="10">
        <v>8.5149210526315786E-2</v>
      </c>
      <c r="H14" s="10">
        <v>5.9588947368421033E-2</v>
      </c>
      <c r="I14" s="10">
        <v>4.3787359823142302E-2</v>
      </c>
      <c r="J14" s="10">
        <v>-0.1050935789473684</v>
      </c>
      <c r="K14" s="10">
        <v>1.2451473684210519E-2</v>
      </c>
      <c r="L14" s="10">
        <v>-8.480210526315788E-3</v>
      </c>
      <c r="M14" s="10">
        <v>-7.5951368421052629E-2</v>
      </c>
      <c r="N14" s="10">
        <v>0.20483268421052631</v>
      </c>
      <c r="O14" s="10">
        <v>3.9642368421052628E-2</v>
      </c>
      <c r="P14" s="10">
        <v>-5.8345921898241219E-2</v>
      </c>
      <c r="Q14" s="10">
        <v>5.8239052631578962E-2</v>
      </c>
      <c r="R14" s="10">
        <v>-1.4151684210526309E-2</v>
      </c>
      <c r="S14" s="10">
        <v>-0.1658932271847087</v>
      </c>
      <c r="T14" s="10">
        <v>-1.736173684210527E-2</v>
      </c>
      <c r="U14" s="10">
        <v>3.6578263157894739E-2</v>
      </c>
      <c r="V14" s="10">
        <v>-3.837431578947368E-2</v>
      </c>
      <c r="W14" s="10">
        <v>0.1161653684210526</v>
      </c>
      <c r="X14" s="10">
        <v>-0.1144083077889041</v>
      </c>
      <c r="Y14" s="10">
        <v>-1.6763578947368431E-2</v>
      </c>
      <c r="Z14" s="10">
        <v>2.1252E-2</v>
      </c>
      <c r="AA14" s="10">
        <v>-2.6256842105263178E-3</v>
      </c>
      <c r="AB14" s="10">
        <v>-7.498263157894737E-2</v>
      </c>
      <c r="AC14" s="10">
        <v>-2.9292631578947369E-2</v>
      </c>
      <c r="AD14" s="10">
        <v>3.9327947368421053E-2</v>
      </c>
      <c r="AE14" s="10">
        <v>-0.1074343436932835</v>
      </c>
      <c r="AF14" s="10">
        <v>8.4317789473684207E-2</v>
      </c>
      <c r="AG14" s="10">
        <v>6.3905789473684242E-3</v>
      </c>
      <c r="AH14" s="10">
        <v>6.3409947368421052E-2</v>
      </c>
      <c r="AI14" s="10">
        <v>1.0965315789473681E-2</v>
      </c>
      <c r="AJ14" s="10">
        <v>0.1004631578947368</v>
      </c>
      <c r="AK14" s="10">
        <v>-1.150942105263158E-2</v>
      </c>
      <c r="AL14" s="10">
        <v>3.7969189722460717E-2</v>
      </c>
      <c r="AM14" s="10">
        <v>3.1484210526315781E-3</v>
      </c>
      <c r="AN14" s="10">
        <v>9.2260489203576102E-2</v>
      </c>
      <c r="AO14" s="10">
        <v>-9.9975789473684285E-3</v>
      </c>
      <c r="AP14" s="10">
        <v>-6.9976525152084218E-2</v>
      </c>
      <c r="AQ14" s="10">
        <v>-8.1264210526315814E-3</v>
      </c>
      <c r="AR14" s="10">
        <v>1.8170473684210521E-2</v>
      </c>
      <c r="AS14" s="10">
        <v>-8.2332976041211745E-2</v>
      </c>
      <c r="AT14" s="10">
        <v>4.0924565658097392E-2</v>
      </c>
      <c r="AU14" s="10">
        <v>4.7021353908674138E-2</v>
      </c>
      <c r="AV14" s="10">
        <v>-2.2684786340637021E-2</v>
      </c>
      <c r="AW14" s="10">
        <v>-1.542137812325498E-2</v>
      </c>
      <c r="AX14" s="10">
        <v>0.13695102829439271</v>
      </c>
      <c r="AY14" s="10">
        <v>1.5068118771761551E-2</v>
      </c>
      <c r="AZ14" s="10">
        <v>-5.3158247705062792E-2</v>
      </c>
      <c r="BA14" s="10">
        <v>2.0125911036837359E-2</v>
      </c>
      <c r="BB14" s="10">
        <v>6.1734282001674842E-2</v>
      </c>
      <c r="BC14" s="10">
        <v>-9.0839235255182754E-3</v>
      </c>
      <c r="BD14" s="10">
        <v>4.3327781667405418E-2</v>
      </c>
      <c r="BE14" s="10">
        <v>4.3176244318628702E-2</v>
      </c>
      <c r="BF14" s="10">
        <v>4.0770521545689782E-2</v>
      </c>
      <c r="BG14" s="10">
        <v>4.1374264073932777E-2</v>
      </c>
      <c r="BH14" s="10">
        <v>-2.8344416701581171E-4</v>
      </c>
      <c r="BI14" s="10">
        <v>5.2014235626168727E-2</v>
      </c>
      <c r="BJ14" s="10">
        <v>-1.32542788140672E-2</v>
      </c>
      <c r="BK14" s="10">
        <v>-8.7325279752963059E-5</v>
      </c>
      <c r="BL14" s="10">
        <v>5.9737766842370338E-2</v>
      </c>
      <c r="BM14" s="10">
        <v>3.2002837226371338E-2</v>
      </c>
      <c r="BN14" s="10">
        <v>2.0936538072551379E-2</v>
      </c>
      <c r="BO14" s="10">
        <v>3.3609045677264478E-2</v>
      </c>
      <c r="BP14" s="10">
        <v>1.282266739040127E-2</v>
      </c>
      <c r="BQ14" s="10">
        <v>1.204942278513583E-2</v>
      </c>
      <c r="BR14" s="10">
        <v>-2.7929429532617921E-2</v>
      </c>
      <c r="BS14" s="10">
        <v>-3.8629203614304157E-2</v>
      </c>
      <c r="BT14" s="10">
        <v>7.3139128600946568E-2</v>
      </c>
      <c r="BU14" s="10">
        <v>-8.8548353580308568E-3</v>
      </c>
      <c r="BV14" s="10">
        <v>2.8891421882955771E-2</v>
      </c>
      <c r="BW14" s="10">
        <v>1.250794825759332E-2</v>
      </c>
      <c r="BX14" s="10">
        <v>5.3858362034560223E-2</v>
      </c>
      <c r="BY14" s="10">
        <v>-1.852187305304925E-2</v>
      </c>
      <c r="BZ14" s="10">
        <v>0.1117805205315809</v>
      </c>
      <c r="CA14" s="10">
        <v>-2.4465266114937059E-2</v>
      </c>
      <c r="CB14" s="10">
        <v>2.2127616542174811E-2</v>
      </c>
      <c r="CC14" s="10">
        <v>-2.0156604691034939E-2</v>
      </c>
      <c r="CD14" s="10">
        <v>9.8016709932197743E-2</v>
      </c>
      <c r="CE14" s="10">
        <v>-7.2156719211697945E-2</v>
      </c>
      <c r="CF14" s="10">
        <v>9.5391142389366829E-2</v>
      </c>
      <c r="CG14" s="10">
        <v>5.3067028295838897E-2</v>
      </c>
      <c r="CH14" s="10">
        <v>6.46613922782171E-2</v>
      </c>
      <c r="CI14" s="10">
        <v>-0.1058847773633588</v>
      </c>
      <c r="CJ14" s="10">
        <v>-3.2530406678910828E-2</v>
      </c>
      <c r="CK14" s="10">
        <v>1.40163643906461E-2</v>
      </c>
      <c r="CL14" s="10">
        <v>6.2269954878836478E-2</v>
      </c>
      <c r="CM14" s="10">
        <v>3.2040010368317121E-2</v>
      </c>
      <c r="CN14" s="10">
        <v>-2.0479398043205661E-2</v>
      </c>
      <c r="CO14" s="10">
        <v>-7.3587720038892968E-2</v>
      </c>
      <c r="CP14" s="10">
        <v>9.9809331481752833E-2</v>
      </c>
      <c r="CQ14" s="10">
        <v>5.321162809167454E-2</v>
      </c>
      <c r="CR14" s="10">
        <v>5.6678555057576477E-2</v>
      </c>
      <c r="CS14" s="10">
        <v>5.9027120263655718E-2</v>
      </c>
      <c r="CT14" s="10">
        <v>1.910057655068487E-2</v>
      </c>
      <c r="CU14" s="10">
        <v>-4.4544442113006052E-2</v>
      </c>
      <c r="CV14" s="10">
        <v>2.274571513825533E-2</v>
      </c>
      <c r="CW14" s="10">
        <v>-3.3983824634707719E-3</v>
      </c>
      <c r="CX14" s="10">
        <v>3.2764329086583478E-2</v>
      </c>
      <c r="CY14" s="10">
        <v>-2.875912029147424E-2</v>
      </c>
      <c r="CZ14" s="10">
        <v>6.4063563350383365E-2</v>
      </c>
      <c r="DA14" s="10">
        <v>-2.4304289170584491E-2</v>
      </c>
      <c r="DB14" s="10">
        <v>-1.6342776970397099E-2</v>
      </c>
      <c r="DC14" s="10">
        <v>2.7534092600391691E-2</v>
      </c>
      <c r="DD14" s="10">
        <v>-1.6758549792416429E-2</v>
      </c>
      <c r="DE14" s="10">
        <v>5.3842996077645561E-3</v>
      </c>
      <c r="DF14" s="10">
        <v>-3.9770460462142318E-2</v>
      </c>
      <c r="DG14" s="10">
        <v>1.144655639331721E-2</v>
      </c>
      <c r="DH14" s="10">
        <v>4.7748372429115976E-3</v>
      </c>
      <c r="DI14" s="10">
        <v>-5.3191997244607769E-2</v>
      </c>
      <c r="DJ14" s="10">
        <v>1.023724267297355E-3</v>
      </c>
      <c r="DK14" s="10">
        <v>1.831737607687968E-2</v>
      </c>
      <c r="DL14" s="10">
        <v>-1.516516155488856E-2</v>
      </c>
      <c r="DM14" s="10">
        <v>5.504269093650517E-3</v>
      </c>
      <c r="DN14" s="10">
        <v>3.9851707566544763E-2</v>
      </c>
      <c r="DO14" s="10">
        <v>4.1375645162797292E-2</v>
      </c>
      <c r="DP14" s="10">
        <v>4.053222750423735E-2</v>
      </c>
      <c r="DQ14" s="10">
        <v>-8.9367860040811792E-2</v>
      </c>
      <c r="DR14" s="10">
        <v>5.2622519458999567E-2</v>
      </c>
      <c r="DS14" s="10">
        <v>-3.5044906270916831E-2</v>
      </c>
      <c r="DT14" s="10">
        <v>-4.4433183840340729E-2</v>
      </c>
      <c r="DU14" s="10">
        <v>-4.4914948618981987E-2</v>
      </c>
      <c r="DV14" s="10">
        <v>0.10826235453010739</v>
      </c>
      <c r="DW14" s="10">
        <v>9.1809329055838426E-2</v>
      </c>
      <c r="DX14" s="10">
        <v>-0.10216121988583921</v>
      </c>
      <c r="DY14" s="10">
        <v>3.7997079946848547E-2</v>
      </c>
      <c r="DZ14" s="10">
        <v>-4.3403395724387417E-3</v>
      </c>
      <c r="EA14" s="18">
        <v>7.8105265887936245E-2</v>
      </c>
      <c r="EB14" s="10">
        <v>7.0174744206990061E-3</v>
      </c>
      <c r="EC14" s="10">
        <v>6.079382148132988E-3</v>
      </c>
      <c r="ED14" s="10">
        <v>-0.102629709186187</v>
      </c>
      <c r="EE14" s="10">
        <v>1.8687949951756041E-2</v>
      </c>
      <c r="EF14" s="10">
        <v>6.6632346729412442E-2</v>
      </c>
    </row>
    <row r="15" spans="1:137">
      <c r="A15" s="4">
        <v>100</v>
      </c>
      <c r="B15" s="4">
        <v>10</v>
      </c>
      <c r="C15" s="9">
        <v>-9.6503141994516081E-2</v>
      </c>
      <c r="D15" s="10">
        <v>0.37270970000000009</v>
      </c>
      <c r="E15" s="10">
        <v>-1.019842627208351E-2</v>
      </c>
      <c r="F15" s="10">
        <v>9.0304599999999999E-2</v>
      </c>
      <c r="G15" s="10">
        <v>9.6606200000000003E-2</v>
      </c>
      <c r="H15" s="10">
        <v>0.1188444</v>
      </c>
      <c r="I15" s="10">
        <v>5.843144427986554E-2</v>
      </c>
      <c r="J15" s="10">
        <v>-6.4524200000000004E-2</v>
      </c>
      <c r="K15" s="10">
        <v>-4.2110000000000064E-3</v>
      </c>
      <c r="L15" s="10">
        <v>1.296690000000001E-2</v>
      </c>
      <c r="M15" s="10">
        <v>-0.1884914</v>
      </c>
      <c r="N15" s="10">
        <v>0.33030959999999998</v>
      </c>
      <c r="O15" s="10">
        <v>4.6103499999999999E-2</v>
      </c>
      <c r="P15" s="10">
        <v>-6.4116183021661763E-2</v>
      </c>
      <c r="Q15" s="10">
        <v>0.1003768</v>
      </c>
      <c r="R15" s="10">
        <v>1.6755200000000001E-2</v>
      </c>
      <c r="S15" s="10">
        <v>-0.27023204597070688</v>
      </c>
      <c r="T15" s="10">
        <v>-4.9339700000000007E-2</v>
      </c>
      <c r="U15" s="10">
        <v>4.6788700000000003E-2</v>
      </c>
      <c r="V15" s="10">
        <v>-8.568039999999999E-2</v>
      </c>
      <c r="W15" s="10">
        <v>0.1069346</v>
      </c>
      <c r="X15" s="10">
        <v>-0.1268433314636731</v>
      </c>
      <c r="Y15" s="10">
        <v>-2.4189700000000001E-2</v>
      </c>
      <c r="Z15" s="10">
        <v>-2.3656199999999999E-2</v>
      </c>
      <c r="AA15" s="10">
        <v>4.6588900000000003E-2</v>
      </c>
      <c r="AB15" s="10">
        <v>-7.3995400000000003E-2</v>
      </c>
      <c r="AC15" s="10">
        <v>-4.0054800000000002E-2</v>
      </c>
      <c r="AD15" s="10">
        <v>3.9690400000000001E-2</v>
      </c>
      <c r="AE15" s="10">
        <v>-0.101313316198875</v>
      </c>
      <c r="AF15" s="10">
        <v>4.9773500000000012E-2</v>
      </c>
      <c r="AG15" s="10">
        <v>-9.7449999999999967E-3</v>
      </c>
      <c r="AH15" s="10">
        <v>-1.45018E-2</v>
      </c>
      <c r="AI15" s="10">
        <v>7.4277400000000007E-2</v>
      </c>
      <c r="AJ15" s="10">
        <v>4.1834000000000038E-3</v>
      </c>
      <c r="AK15" s="10">
        <v>-3.6998099999999999E-2</v>
      </c>
      <c r="AL15" s="10">
        <v>4.055565498643466E-2</v>
      </c>
      <c r="AM15" s="10">
        <v>1.943500000000004E-3</v>
      </c>
      <c r="AN15" s="10">
        <v>9.2861913417686362E-2</v>
      </c>
      <c r="AO15" s="10">
        <v>3.5702299999999992E-2</v>
      </c>
      <c r="AP15" s="10">
        <v>-8.645776651050277E-2</v>
      </c>
      <c r="AQ15" s="10">
        <v>-1.9747299999999999E-2</v>
      </c>
      <c r="AR15" s="10">
        <v>2.4550300000000001E-2</v>
      </c>
      <c r="AS15" s="10">
        <v>-5.3821179037114017E-2</v>
      </c>
      <c r="AT15" s="10">
        <v>6.5254990652428568E-2</v>
      </c>
      <c r="AU15" s="10">
        <v>3.9943261089466317E-2</v>
      </c>
      <c r="AV15" s="10">
        <v>-4.7226818327438858E-2</v>
      </c>
      <c r="AW15" s="10">
        <v>1.5659939254580951E-2</v>
      </c>
      <c r="AX15" s="10">
        <v>0.12523397717473519</v>
      </c>
      <c r="AY15" s="10">
        <v>2.8109416462786169E-2</v>
      </c>
      <c r="AZ15" s="10">
        <v>-9.1323280068503487E-2</v>
      </c>
      <c r="BA15" s="10">
        <v>1.061351480765297E-2</v>
      </c>
      <c r="BB15" s="10">
        <v>0.1112023453191066</v>
      </c>
      <c r="BC15" s="10">
        <v>6.2155143667830287E-2</v>
      </c>
      <c r="BD15" s="10">
        <v>4.294982035196844E-2</v>
      </c>
      <c r="BE15" s="10">
        <v>3.9146514857668353E-2</v>
      </c>
      <c r="BF15" s="10">
        <v>5.1177887277543473E-2</v>
      </c>
      <c r="BG15" s="10">
        <v>2.8248220813759869E-3</v>
      </c>
      <c r="BH15" s="10">
        <v>3.3556537286376982E-2</v>
      </c>
      <c r="BI15" s="10">
        <v>6.8586659114969639E-2</v>
      </c>
      <c r="BJ15" s="10">
        <v>-1.561910267199181E-2</v>
      </c>
      <c r="BK15" s="10">
        <v>-1.115636771345601E-2</v>
      </c>
      <c r="BL15" s="10">
        <v>6.274817600019017E-2</v>
      </c>
      <c r="BM15" s="10">
        <v>6.5206882998733687E-2</v>
      </c>
      <c r="BN15" s="10">
        <v>4.0142569733189887E-2</v>
      </c>
      <c r="BO15" s="10">
        <v>2.773447595493098E-2</v>
      </c>
      <c r="BP15" s="10">
        <v>1.4184220707804779E-2</v>
      </c>
      <c r="BQ15" s="10">
        <v>1.280293129032776E-2</v>
      </c>
      <c r="BR15" s="10">
        <v>-5.0157429122059692E-2</v>
      </c>
      <c r="BS15" s="10">
        <v>-1.682377745028632E-2</v>
      </c>
      <c r="BT15" s="10">
        <v>8.9060205731334427E-2</v>
      </c>
      <c r="BU15" s="10">
        <v>1.9476419795793471E-2</v>
      </c>
      <c r="BV15" s="10">
        <v>5.9228936960448321E-2</v>
      </c>
      <c r="BW15" s="10">
        <v>-3.5945890129403732E-2</v>
      </c>
      <c r="BX15" s="10">
        <v>2.0670546043628599E-2</v>
      </c>
      <c r="BY15" s="10">
        <v>-8.7655117761552964E-2</v>
      </c>
      <c r="BZ15" s="10">
        <v>0.1029064689773473</v>
      </c>
      <c r="CA15" s="10">
        <v>-1.859202079644226E-2</v>
      </c>
      <c r="CB15" s="10">
        <v>1.5056894011824499E-2</v>
      </c>
      <c r="CC15" s="10">
        <v>-0.1535022727136835</v>
      </c>
      <c r="CD15" s="10">
        <v>0.1201520839630844</v>
      </c>
      <c r="CE15" s="10">
        <v>-0.1166400106362214</v>
      </c>
      <c r="CF15" s="10">
        <v>9.846999441105124E-2</v>
      </c>
      <c r="CG15" s="10">
        <v>-4.2988792533641684E-3</v>
      </c>
      <c r="CH15" s="10">
        <v>6.2885958283701332E-2</v>
      </c>
      <c r="CI15" s="10">
        <v>-2.7803071840990439E-2</v>
      </c>
      <c r="CJ15" s="10">
        <v>-8.7044356072718071E-2</v>
      </c>
      <c r="CK15" s="10">
        <v>5.667264577209942E-2</v>
      </c>
      <c r="CL15" s="10">
        <v>3.1421974993248308E-2</v>
      </c>
      <c r="CM15" s="10">
        <v>7.4631116128453773E-2</v>
      </c>
      <c r="CN15" s="10">
        <v>-4.2634115799160301E-2</v>
      </c>
      <c r="CO15" s="10">
        <v>-0.12944902488204141</v>
      </c>
      <c r="CP15" s="10">
        <v>0.12753583543294969</v>
      </c>
      <c r="CQ15" s="10">
        <v>3.6876324363669319E-2</v>
      </c>
      <c r="CR15" s="10">
        <v>4.6180621890792688E-2</v>
      </c>
      <c r="CS15" s="10">
        <v>6.0185172463594637E-2</v>
      </c>
      <c r="CT15" s="10">
        <v>7.3945749754547726E-3</v>
      </c>
      <c r="CU15" s="10">
        <v>-6.3178659914772728E-2</v>
      </c>
      <c r="CV15" s="10">
        <v>-6.1418469048089043E-3</v>
      </c>
      <c r="CW15" s="10">
        <v>-1.539092438334265E-2</v>
      </c>
      <c r="CX15" s="10">
        <v>2.4039607053330959E-2</v>
      </c>
      <c r="CY15" s="10">
        <v>-4.2470673077762339E-2</v>
      </c>
      <c r="CZ15" s="10">
        <v>7.7145073940461564E-2</v>
      </c>
      <c r="DA15" s="10">
        <v>-2.6375835441876511E-2</v>
      </c>
      <c r="DB15" s="10">
        <v>-3.0226618214123681E-2</v>
      </c>
      <c r="DC15" s="10">
        <v>2.4821106930732879E-2</v>
      </c>
      <c r="DD15" s="10">
        <v>-3.5816312725385303E-2</v>
      </c>
      <c r="DE15" s="10">
        <v>2.494871474504301E-2</v>
      </c>
      <c r="DF15" s="10">
        <v>-4.2391306399394757E-2</v>
      </c>
      <c r="DG15" s="10">
        <v>1.61967316182412E-2</v>
      </c>
      <c r="DH15" s="10">
        <v>-1.8709011043892099E-2</v>
      </c>
      <c r="DI15" s="10">
        <v>-1.171844900945769E-2</v>
      </c>
      <c r="DJ15" s="10">
        <v>-5.1522810823404298E-2</v>
      </c>
      <c r="DK15" s="10">
        <v>0.101774834051468</v>
      </c>
      <c r="DL15" s="10">
        <v>6.2635494088437937E-2</v>
      </c>
      <c r="DM15" s="10">
        <v>-2.380854686766869E-2</v>
      </c>
      <c r="DN15" s="10">
        <v>4.3996497423619649E-2</v>
      </c>
      <c r="DO15" s="10">
        <v>4.6296727233800808E-2</v>
      </c>
      <c r="DP15" s="10">
        <v>2.3735602006892551E-2</v>
      </c>
      <c r="DQ15" s="10">
        <v>-9.9672215055135627E-2</v>
      </c>
      <c r="DR15" s="10">
        <v>3.9785608055100882E-2</v>
      </c>
      <c r="DS15" s="10">
        <v>-8.3044916630969273E-2</v>
      </c>
      <c r="DT15" s="10">
        <v>-7.2163631718163007E-2</v>
      </c>
      <c r="DU15" s="10">
        <v>-4.5770728951680668E-2</v>
      </c>
      <c r="DV15" s="10">
        <v>0.13976835694087139</v>
      </c>
      <c r="DW15" s="10">
        <v>2.553862714683254E-2</v>
      </c>
      <c r="DX15" s="10">
        <v>-0.1186162506499864</v>
      </c>
      <c r="DY15" s="10">
        <v>0.10653916660100959</v>
      </c>
      <c r="DZ15" s="10">
        <v>-1.8920244069384411E-2</v>
      </c>
      <c r="EA15" s="18">
        <v>3.2239691299037927E-2</v>
      </c>
      <c r="EB15" s="10">
        <v>4.8518573131244899E-2</v>
      </c>
      <c r="EC15" s="10">
        <v>5.0736498768636222E-2</v>
      </c>
      <c r="ED15" s="10">
        <v>-0.1133570559353114</v>
      </c>
      <c r="EE15" s="10">
        <v>-2.2458539977079871E-2</v>
      </c>
      <c r="EF15" s="10">
        <v>6.2208305239075959E-2</v>
      </c>
    </row>
    <row r="16" spans="1:137">
      <c r="A16" s="4">
        <v>107</v>
      </c>
      <c r="B16" s="4">
        <v>9</v>
      </c>
      <c r="C16" s="9">
        <v>-2.7383644610379052E-2</v>
      </c>
      <c r="D16" s="10">
        <v>0.40819544444444439</v>
      </c>
      <c r="E16" s="10">
        <v>-2.8301766100853822E-3</v>
      </c>
      <c r="F16" s="10">
        <v>0.1074195555555556</v>
      </c>
      <c r="G16" s="10">
        <v>0.1090135555555555</v>
      </c>
      <c r="H16" s="10">
        <v>7.2848777777777762E-2</v>
      </c>
      <c r="I16" s="10">
        <v>5.7530618665621432E-2</v>
      </c>
      <c r="J16" s="10">
        <v>-6.8693444444444446E-2</v>
      </c>
      <c r="K16" s="10">
        <v>1.7924444444444441E-2</v>
      </c>
      <c r="L16" s="10">
        <v>3.1026555555555561E-2</v>
      </c>
      <c r="M16" s="10">
        <v>-0.19487577777777779</v>
      </c>
      <c r="N16" s="10">
        <v>0.36698788888888889</v>
      </c>
      <c r="O16" s="10">
        <v>1.562111111111111E-2</v>
      </c>
      <c r="P16" s="10">
        <v>-6.1045231791422308E-2</v>
      </c>
      <c r="Q16" s="10">
        <v>9.6619888888888894E-2</v>
      </c>
      <c r="R16" s="10">
        <v>1.918244444444445E-2</v>
      </c>
      <c r="S16" s="10">
        <v>-0.28545460426372588</v>
      </c>
      <c r="T16" s="10">
        <v>-2.322744444444445E-2</v>
      </c>
      <c r="U16" s="10">
        <v>4.8649666666666667E-2</v>
      </c>
      <c r="V16" s="10">
        <v>-0.1043152222222222</v>
      </c>
      <c r="W16" s="10">
        <v>7.8373444444444454E-2</v>
      </c>
      <c r="X16" s="10">
        <v>-0.12440978370848681</v>
      </c>
      <c r="Y16" s="10">
        <v>-4.2885555555555559E-3</v>
      </c>
      <c r="Z16" s="10">
        <v>-2.0075777777777779E-2</v>
      </c>
      <c r="AA16" s="10">
        <v>5.022766666666667E-2</v>
      </c>
      <c r="AB16" s="10">
        <v>-7.1015999999999996E-2</v>
      </c>
      <c r="AC16" s="10">
        <v>-4.1040111111111117E-2</v>
      </c>
      <c r="AD16" s="10">
        <v>3.4810999999999988E-2</v>
      </c>
      <c r="AE16" s="10">
        <v>-9.6502360488605665E-2</v>
      </c>
      <c r="AF16" s="10">
        <v>1.5010333333333341E-2</v>
      </c>
      <c r="AG16" s="10">
        <v>-8.3015555555555516E-3</v>
      </c>
      <c r="AH16" s="10">
        <v>-4.4108444444444443E-2</v>
      </c>
      <c r="AI16" s="10">
        <v>9.052311111111111E-2</v>
      </c>
      <c r="AJ16" s="10">
        <v>-1.7629999999999989E-2</v>
      </c>
      <c r="AK16" s="10">
        <v>-7.9863333333333383E-3</v>
      </c>
      <c r="AL16" s="10">
        <v>4.8688933104523248E-2</v>
      </c>
      <c r="AM16" s="10">
        <v>2.3732555555555559E-2</v>
      </c>
      <c r="AN16" s="10">
        <v>0.1064562000896756</v>
      </c>
      <c r="AO16" s="10">
        <v>4.004255555555554E-2</v>
      </c>
      <c r="AP16" s="10">
        <v>-7.779836814558852E-2</v>
      </c>
      <c r="AQ16" s="10">
        <v>-2.403255555555555E-2</v>
      </c>
      <c r="AR16" s="10">
        <v>3.2492222222222207E-2</v>
      </c>
      <c r="AS16" s="10">
        <v>-6.5068225473969343E-2</v>
      </c>
      <c r="AT16" s="10">
        <v>5.9867139144394142E-2</v>
      </c>
      <c r="AU16" s="10">
        <v>4.1826838254895117E-2</v>
      </c>
      <c r="AV16" s="10">
        <v>-9.0725067800187069E-3</v>
      </c>
      <c r="AW16" s="10">
        <v>3.9252930074650652E-2</v>
      </c>
      <c r="AX16" s="10">
        <v>0.10082977324397289</v>
      </c>
      <c r="AY16" s="10">
        <v>3.3812589844345937E-2</v>
      </c>
      <c r="AZ16" s="10">
        <v>-0.1049096351787122</v>
      </c>
      <c r="BA16" s="10">
        <v>9.8081985443499303E-3</v>
      </c>
      <c r="BB16" s="10">
        <v>0.10803892415273809</v>
      </c>
      <c r="BC16" s="10">
        <v>6.6102245099688817E-2</v>
      </c>
      <c r="BD16" s="10">
        <v>3.5936711545904013E-2</v>
      </c>
      <c r="BE16" s="10">
        <v>5.1410994394474947E-2</v>
      </c>
      <c r="BF16" s="10">
        <v>6.4268054319718215E-2</v>
      </c>
      <c r="BG16" s="10">
        <v>1.3845819099968581E-2</v>
      </c>
      <c r="BH16" s="10">
        <v>-5.4124800669573259E-3</v>
      </c>
      <c r="BI16" s="10">
        <v>5.2335760294464642E-2</v>
      </c>
      <c r="BJ16" s="10">
        <v>-2.0503816283207601E-2</v>
      </c>
      <c r="BK16" s="10">
        <v>-2.122951812515751E-3</v>
      </c>
      <c r="BL16" s="10">
        <v>7.0623565707523178E-2</v>
      </c>
      <c r="BM16" s="10">
        <v>9.1107172349872617E-2</v>
      </c>
      <c r="BN16" s="10">
        <v>4.7905832604027233E-2</v>
      </c>
      <c r="BO16" s="10">
        <v>2.1890359953657689E-2</v>
      </c>
      <c r="BP16" s="10">
        <v>1.174719798333914E-2</v>
      </c>
      <c r="BQ16" s="10">
        <v>1.331245374481595E-2</v>
      </c>
      <c r="BR16" s="10">
        <v>-2.6296848021444389E-2</v>
      </c>
      <c r="BS16" s="10">
        <v>-1.319157314746418E-2</v>
      </c>
      <c r="BT16" s="10">
        <v>8.5483191267799616E-2</v>
      </c>
      <c r="BU16" s="10">
        <v>5.7765110184800447E-2</v>
      </c>
      <c r="BV16" s="10">
        <v>6.3782488349153427E-2</v>
      </c>
      <c r="BW16" s="10">
        <v>-6.5740927426534632E-2</v>
      </c>
      <c r="BX16" s="10">
        <v>3.1559237521130948E-2</v>
      </c>
      <c r="BY16" s="10">
        <v>-7.7354776264689812E-2</v>
      </c>
      <c r="BZ16" s="10">
        <v>0.11152584850164921</v>
      </c>
      <c r="CA16" s="10">
        <v>-1.7116103683771391E-2</v>
      </c>
      <c r="CB16" s="10">
        <v>-1.4280449892172949E-3</v>
      </c>
      <c r="CC16" s="10">
        <v>-0.15907251448393439</v>
      </c>
      <c r="CD16" s="10">
        <v>0.15507127162636181</v>
      </c>
      <c r="CE16" s="10">
        <v>-0.13259506079351141</v>
      </c>
      <c r="CF16" s="10">
        <v>0.10520126400975099</v>
      </c>
      <c r="CG16" s="10">
        <v>6.4480215472076802E-3</v>
      </c>
      <c r="CH16" s="10">
        <v>4.1697414703027062E-2</v>
      </c>
      <c r="CI16" s="10">
        <v>-3.8709881828517527E-2</v>
      </c>
      <c r="CJ16" s="10">
        <v>-4.5523550787666608E-2</v>
      </c>
      <c r="CK16" s="10">
        <v>7.6472983717690388E-2</v>
      </c>
      <c r="CL16" s="10">
        <v>1.9995369478776299E-2</v>
      </c>
      <c r="CM16" s="10">
        <v>8.8988628149511681E-2</v>
      </c>
      <c r="CN16" s="10">
        <v>-3.3057515140949983E-2</v>
      </c>
      <c r="CO16" s="10">
        <v>-0.17087869110724641</v>
      </c>
      <c r="CP16" s="10">
        <v>0.13761381602841219</v>
      </c>
      <c r="CQ16" s="10">
        <v>4.0878176324455222E-2</v>
      </c>
      <c r="CR16" s="10">
        <v>4.829976668331655E-2</v>
      </c>
      <c r="CS16" s="10">
        <v>6.4948402196479196E-2</v>
      </c>
      <c r="CT16" s="10">
        <v>5.0674065008409694E-3</v>
      </c>
      <c r="CU16" s="10">
        <v>-6.4113369063883735E-2</v>
      </c>
      <c r="CV16" s="10">
        <v>-1.7860959418134061E-2</v>
      </c>
      <c r="CW16" s="10">
        <v>-1.242334198029111E-2</v>
      </c>
      <c r="CX16" s="10">
        <v>1.224028475424996E-2</v>
      </c>
      <c r="CY16" s="10">
        <v>-4.9117049116625407E-2</v>
      </c>
      <c r="CZ16" s="10">
        <v>0.1026332591781325</v>
      </c>
      <c r="DA16" s="10">
        <v>-2.9804793967235531E-2</v>
      </c>
      <c r="DB16" s="10">
        <v>-4.2712169780226052E-2</v>
      </c>
      <c r="DC16" s="10">
        <v>3.5357719183528223E-2</v>
      </c>
      <c r="DD16" s="10">
        <v>-5.9977075400826273E-2</v>
      </c>
      <c r="DE16" s="10">
        <v>-3.1193128036132781E-2</v>
      </c>
      <c r="DF16" s="10">
        <v>-2.31464332255591E-2</v>
      </c>
      <c r="DG16" s="10">
        <v>1.445294763143863E-2</v>
      </c>
      <c r="DH16" s="10">
        <v>-1.9129343417971109E-2</v>
      </c>
      <c r="DI16" s="10">
        <v>-1.323342571252226E-2</v>
      </c>
      <c r="DJ16" s="10">
        <v>-3.66431427315837E-2</v>
      </c>
      <c r="DK16" s="10">
        <v>0.1335943566255807</v>
      </c>
      <c r="DL16" s="10">
        <v>7.1494374915964373E-2</v>
      </c>
      <c r="DM16" s="10">
        <v>-3.0330949758340948E-2</v>
      </c>
      <c r="DN16" s="10">
        <v>4.2437853359407113E-2</v>
      </c>
      <c r="DO16" s="10">
        <v>5.2411859415845988E-2</v>
      </c>
      <c r="DP16" s="10">
        <v>1.9841948579226051E-2</v>
      </c>
      <c r="DQ16" s="10">
        <v>-8.3033658077016542E-2</v>
      </c>
      <c r="DR16" s="10">
        <v>5.5191251649515209E-2</v>
      </c>
      <c r="DS16" s="10">
        <v>-9.3752064989754288E-2</v>
      </c>
      <c r="DT16" s="10">
        <v>-0.1006933242958723</v>
      </c>
      <c r="DU16" s="10">
        <v>-6.447373376953866E-2</v>
      </c>
      <c r="DV16" s="10">
        <v>0.13695373201779351</v>
      </c>
      <c r="DW16" s="10">
        <v>4.0917729699690833E-2</v>
      </c>
      <c r="DX16" s="10">
        <v>-0.1252847063239774</v>
      </c>
      <c r="DY16" s="10">
        <v>0.11635433491034319</v>
      </c>
      <c r="DZ16" s="10">
        <v>-3.1277079824676451E-2</v>
      </c>
      <c r="EA16" s="18">
        <v>4.6661371555726909E-2</v>
      </c>
      <c r="EB16" s="10">
        <v>7.7977782859947109E-2</v>
      </c>
      <c r="EC16" s="10">
        <v>5.1117652254380558E-2</v>
      </c>
      <c r="ED16" s="10">
        <v>-0.1154167474989211</v>
      </c>
      <c r="EE16" s="10">
        <v>-3.3058269544628087E-2</v>
      </c>
      <c r="EF16" s="10">
        <v>3.9893906712643798E-2</v>
      </c>
    </row>
    <row r="17" spans="1:136">
      <c r="A17" s="4">
        <v>120</v>
      </c>
      <c r="B17" s="4">
        <v>8</v>
      </c>
      <c r="C17" s="9">
        <v>-4.5056429492109057E-2</v>
      </c>
      <c r="D17" s="10">
        <v>0.43958837499999998</v>
      </c>
      <c r="E17" s="10">
        <v>7.3790014953013412E-3</v>
      </c>
      <c r="F17" s="10">
        <v>0.14677200000000001</v>
      </c>
      <c r="G17" s="10">
        <v>0.117132625</v>
      </c>
      <c r="H17" s="10">
        <v>0.10499475</v>
      </c>
      <c r="I17" s="10">
        <v>0.1137250278021875</v>
      </c>
      <c r="J17" s="10">
        <v>-0.11529837499999999</v>
      </c>
      <c r="K17" s="10">
        <v>3.944375E-2</v>
      </c>
      <c r="L17" s="10">
        <v>3.3774875000000003E-2</v>
      </c>
      <c r="M17" s="10">
        <v>-0.22693987500000001</v>
      </c>
      <c r="N17" s="10">
        <v>0.40510825</v>
      </c>
      <c r="O17" s="10">
        <v>2.4632125000000001E-2</v>
      </c>
      <c r="P17" s="10">
        <v>-6.841077431920789E-2</v>
      </c>
      <c r="Q17" s="10">
        <v>0.106432375</v>
      </c>
      <c r="R17" s="10">
        <v>1.975000000000005E-3</v>
      </c>
      <c r="S17" s="10">
        <v>-0.31065343265529821</v>
      </c>
      <c r="T17" s="10">
        <v>-2.3508375000000001E-2</v>
      </c>
      <c r="U17" s="10">
        <v>5.2288375000000012E-2</v>
      </c>
      <c r="V17" s="10">
        <v>-0.116355125</v>
      </c>
      <c r="W17" s="10">
        <v>7.9142125000000008E-2</v>
      </c>
      <c r="X17" s="10">
        <v>-0.157212627246893</v>
      </c>
      <c r="Y17" s="10">
        <v>1.4991250000000039E-3</v>
      </c>
      <c r="Z17" s="10">
        <v>-2.1608499999999999E-2</v>
      </c>
      <c r="AA17" s="10">
        <v>6.2256125000000002E-2</v>
      </c>
      <c r="AB17" s="10">
        <v>-5.8334375000000008E-2</v>
      </c>
      <c r="AC17" s="10">
        <v>-4.0799124999999999E-2</v>
      </c>
      <c r="AD17" s="10">
        <v>6.8619874999999997E-2</v>
      </c>
      <c r="AE17" s="10">
        <v>-0.127158422447225</v>
      </c>
      <c r="AF17" s="10">
        <v>8.412625E-3</v>
      </c>
      <c r="AG17" s="10">
        <v>-1.3512499999999981E-3</v>
      </c>
      <c r="AH17" s="10">
        <v>-3.1922875000000003E-2</v>
      </c>
      <c r="AI17" s="10">
        <v>0.114865125</v>
      </c>
      <c r="AJ17" s="10">
        <v>-1.0273124999999999E-2</v>
      </c>
      <c r="AK17" s="10">
        <v>-1.3324625E-2</v>
      </c>
      <c r="AL17" s="10">
        <v>5.0724405748556509E-2</v>
      </c>
      <c r="AM17" s="10">
        <v>2.7869125000000002E-2</v>
      </c>
      <c r="AN17" s="10">
        <v>0.1132871203459177</v>
      </c>
      <c r="AO17" s="10">
        <v>3.0703874999999981E-2</v>
      </c>
      <c r="AP17" s="10">
        <v>-7.7242814419585484E-2</v>
      </c>
      <c r="AQ17" s="10">
        <v>-9.2303749999999955E-3</v>
      </c>
      <c r="AR17" s="10">
        <v>3.4996625000000003E-2</v>
      </c>
      <c r="AS17" s="10">
        <v>-5.6323562034475708E-2</v>
      </c>
      <c r="AT17" s="10">
        <v>5.2267806449722218E-2</v>
      </c>
      <c r="AU17" s="10">
        <v>5.2648231242993053E-2</v>
      </c>
      <c r="AV17" s="10">
        <v>-2.1508362937905631E-2</v>
      </c>
      <c r="AW17" s="10">
        <v>1.916397377431981E-2</v>
      </c>
      <c r="AX17" s="10">
        <v>9.6240558508798979E-2</v>
      </c>
      <c r="AY17" s="10">
        <v>2.742369669060089E-2</v>
      </c>
      <c r="AZ17" s="10">
        <v>-0.12511082490736811</v>
      </c>
      <c r="BA17" s="10">
        <v>9.8251791071129642E-3</v>
      </c>
      <c r="BB17" s="10">
        <v>0.1237640631138444</v>
      </c>
      <c r="BC17" s="10">
        <v>8.2716571543810222E-2</v>
      </c>
      <c r="BD17" s="10">
        <v>2.235648224620481E-2</v>
      </c>
      <c r="BE17" s="10">
        <v>7.7350242238060404E-2</v>
      </c>
      <c r="BF17" s="10">
        <v>5.5197496608953713E-2</v>
      </c>
      <c r="BG17" s="10">
        <v>-3.5394236088037302E-2</v>
      </c>
      <c r="BH17" s="10">
        <v>-1.7313847646246161E-3</v>
      </c>
      <c r="BI17" s="10">
        <v>9.9365392037550321E-2</v>
      </c>
      <c r="BJ17" s="10">
        <v>-9.8580642732364818E-3</v>
      </c>
      <c r="BK17" s="10">
        <v>-1.3822952070105509E-2</v>
      </c>
      <c r="BL17" s="10">
        <v>7.3931305201746164E-2</v>
      </c>
      <c r="BM17" s="10">
        <v>7.5997770445859966E-2</v>
      </c>
      <c r="BN17" s="10">
        <v>4.772961945384889E-2</v>
      </c>
      <c r="BO17" s="10">
        <v>1.9886080708886981E-2</v>
      </c>
      <c r="BP17" s="10">
        <v>2.683750107843403E-2</v>
      </c>
      <c r="BQ17" s="10">
        <v>1.1376510446451601E-2</v>
      </c>
      <c r="BR17" s="10">
        <v>-9.1794540592071705E-4</v>
      </c>
      <c r="BS17" s="10">
        <v>-4.1034691106065987E-3</v>
      </c>
      <c r="BT17" s="10">
        <v>0.1094163788704233</v>
      </c>
      <c r="BU17" s="10">
        <v>7.1127818750752414E-2</v>
      </c>
      <c r="BV17" s="10">
        <v>7.4446900798735116E-2</v>
      </c>
      <c r="BW17" s="10">
        <v>-8.0431712599265903E-2</v>
      </c>
      <c r="BX17" s="10">
        <v>2.8822964619672729E-2</v>
      </c>
      <c r="BY17" s="10">
        <v>-0.1001820701826233</v>
      </c>
      <c r="BZ17" s="10">
        <v>0.12057815588108529</v>
      </c>
      <c r="CA17" s="10">
        <v>-2.7934832358489561E-2</v>
      </c>
      <c r="CB17" s="10">
        <v>-1.3353103341121051E-3</v>
      </c>
      <c r="CC17" s="10">
        <v>-0.17495797398968091</v>
      </c>
      <c r="CD17" s="10">
        <v>0.17295974121914859</v>
      </c>
      <c r="CE17" s="10">
        <v>-0.17511624550605151</v>
      </c>
      <c r="CF17" s="10">
        <v>9.8746197426198501E-2</v>
      </c>
      <c r="CG17" s="10">
        <v>-2.2222469242222098E-3</v>
      </c>
      <c r="CH17" s="10">
        <v>5.8636446607050002E-2</v>
      </c>
      <c r="CI17" s="10">
        <v>-1.4531184989588509E-2</v>
      </c>
      <c r="CJ17" s="10">
        <v>-5.0742321484442049E-2</v>
      </c>
      <c r="CK17" s="10">
        <v>9.1738572657912937E-2</v>
      </c>
      <c r="CL17" s="10">
        <v>-9.426344769031314E-3</v>
      </c>
      <c r="CM17" s="10">
        <v>0.13456934443157431</v>
      </c>
      <c r="CN17" s="10">
        <v>-2.6718061150986971E-2</v>
      </c>
      <c r="CO17" s="10">
        <v>-0.20253862726298949</v>
      </c>
      <c r="CP17" s="10">
        <v>0.1481592691973436</v>
      </c>
      <c r="CQ17" s="10">
        <v>4.1087933183403327E-2</v>
      </c>
      <c r="CR17" s="10">
        <v>4.8737641442248417E-2</v>
      </c>
      <c r="CS17" s="10">
        <v>9.3039920700191861E-2</v>
      </c>
      <c r="CT17" s="10">
        <v>4.9260056389193077E-2</v>
      </c>
      <c r="CU17" s="10">
        <v>-7.440830758325391E-2</v>
      </c>
      <c r="CV17" s="10">
        <v>3.8796079399274282E-3</v>
      </c>
      <c r="CW17" s="10">
        <v>-1.976185390935294E-2</v>
      </c>
      <c r="CX17" s="10">
        <v>1.0772394523947831E-2</v>
      </c>
      <c r="CY17" s="10">
        <v>-4.9383298716090041E-2</v>
      </c>
      <c r="CZ17" s="10">
        <v>0.1242488378476205</v>
      </c>
      <c r="DA17" s="10">
        <v>-4.3895859145134192E-2</v>
      </c>
      <c r="DB17" s="10">
        <v>-3.4883010792467917E-2</v>
      </c>
      <c r="DC17" s="10">
        <v>4.3363468977499313E-2</v>
      </c>
      <c r="DD17" s="10">
        <v>-8.5133933084153957E-2</v>
      </c>
      <c r="DE17" s="10">
        <v>-3.3180930667267239E-2</v>
      </c>
      <c r="DF17" s="10">
        <v>-1.123137032665928E-2</v>
      </c>
      <c r="DG17" s="10">
        <v>6.934576427282943E-3</v>
      </c>
      <c r="DH17" s="10">
        <v>-3.8726650938012717E-2</v>
      </c>
      <c r="DI17" s="10">
        <v>-5.2932443237824409E-3</v>
      </c>
      <c r="DJ17" s="10">
        <v>-4.5336157540819967E-2</v>
      </c>
      <c r="DK17" s="10">
        <v>0.15603642811654619</v>
      </c>
      <c r="DL17" s="10">
        <v>7.3515600937171063E-2</v>
      </c>
      <c r="DM17" s="10">
        <v>-5.2252910582316028E-2</v>
      </c>
      <c r="DN17" s="10">
        <v>3.5489032714339008E-2</v>
      </c>
      <c r="DO17" s="10">
        <v>5.3451370339903423E-2</v>
      </c>
      <c r="DP17" s="10">
        <v>-1.6878609333896889E-2</v>
      </c>
      <c r="DQ17" s="10">
        <v>-0.1077024687966308</v>
      </c>
      <c r="DR17" s="10">
        <v>5.5884814876328279E-2</v>
      </c>
      <c r="DS17" s="10">
        <v>-0.12431615980481089</v>
      </c>
      <c r="DT17" s="10">
        <v>-9.3980212362723553E-2</v>
      </c>
      <c r="DU17" s="10">
        <v>-7.1730706050505327E-2</v>
      </c>
      <c r="DV17" s="10">
        <v>0.11776539811095429</v>
      </c>
      <c r="DW17" s="10">
        <v>4.8681483414150163E-2</v>
      </c>
      <c r="DX17" s="10">
        <v>-0.12953898259647401</v>
      </c>
      <c r="DY17" s="10">
        <v>0.1031206782681542</v>
      </c>
      <c r="DZ17" s="10">
        <v>-4.8145298847007592E-2</v>
      </c>
      <c r="EA17" s="18">
        <v>1.181792386571255E-2</v>
      </c>
      <c r="EB17" s="10">
        <v>8.7100349194739315E-2</v>
      </c>
      <c r="EC17" s="10">
        <v>1.6425217216060651E-2</v>
      </c>
      <c r="ED17" s="10">
        <v>-0.12832444392891271</v>
      </c>
      <c r="EE17" s="10">
        <v>-2.5413360310033831E-2</v>
      </c>
      <c r="EF17" s="10">
        <v>4.7709767009851849E-2</v>
      </c>
    </row>
    <row r="18" spans="1:136">
      <c r="A18" s="4">
        <v>137</v>
      </c>
      <c r="B18" s="4">
        <v>7</v>
      </c>
      <c r="C18" s="9">
        <v>-5.3942228163147227E-2</v>
      </c>
      <c r="D18" s="10">
        <v>0.40188400000000007</v>
      </c>
      <c r="E18" s="10">
        <v>-5.900065709820778E-2</v>
      </c>
      <c r="F18" s="10">
        <v>0.21209085714285711</v>
      </c>
      <c r="G18" s="10">
        <v>0.13305871428571431</v>
      </c>
      <c r="H18" s="10">
        <v>0.12853999999999999</v>
      </c>
      <c r="I18" s="10">
        <v>0.13550018022324109</v>
      </c>
      <c r="J18" s="10">
        <v>-0.12516085714285721</v>
      </c>
      <c r="K18" s="10">
        <v>3.1585285714285698E-2</v>
      </c>
      <c r="L18" s="10">
        <v>4.667157142857143E-2</v>
      </c>
      <c r="M18" s="10">
        <v>-0.25351285714285721</v>
      </c>
      <c r="N18" s="10">
        <v>0.46182042857142858</v>
      </c>
      <c r="O18" s="10">
        <v>2.432414285714286E-2</v>
      </c>
      <c r="P18" s="10">
        <v>-8.0174184122512426E-2</v>
      </c>
      <c r="Q18" s="10">
        <v>0.1217387142857143</v>
      </c>
      <c r="R18" s="10">
        <v>1.9326571428571419E-2</v>
      </c>
      <c r="S18" s="10">
        <v>-0.3837326289318943</v>
      </c>
      <c r="T18" s="10">
        <v>-5.0295714285714301E-3</v>
      </c>
      <c r="U18" s="10">
        <v>2.8133571428571431E-2</v>
      </c>
      <c r="V18" s="10">
        <v>-0.13125300000000001</v>
      </c>
      <c r="W18" s="10">
        <v>7.7297000000000005E-2</v>
      </c>
      <c r="X18" s="10">
        <v>-0.15584822748156429</v>
      </c>
      <c r="Y18" s="10">
        <v>2.4211857142857139E-2</v>
      </c>
      <c r="Z18" s="10">
        <v>-1.690557142857143E-2</v>
      </c>
      <c r="AA18" s="10">
        <v>5.4805571428571433E-2</v>
      </c>
      <c r="AB18" s="10">
        <v>-6.1713999999999991E-2</v>
      </c>
      <c r="AC18" s="10">
        <v>-7.4719857142857143E-2</v>
      </c>
      <c r="AD18" s="10">
        <v>9.6285857142857145E-2</v>
      </c>
      <c r="AE18" s="10">
        <v>-0.1435292414290745</v>
      </c>
      <c r="AF18" s="10">
        <v>-1.749571428571428E-3</v>
      </c>
      <c r="AG18" s="10">
        <v>-8.6178571428571424E-3</v>
      </c>
      <c r="AH18" s="10">
        <v>-3.5914857142857137E-2</v>
      </c>
      <c r="AI18" s="10">
        <v>0.11808642857142861</v>
      </c>
      <c r="AJ18" s="10">
        <v>-7.3281428571428664E-3</v>
      </c>
      <c r="AK18" s="10">
        <v>2.7291285714285719E-2</v>
      </c>
      <c r="AL18" s="10">
        <v>4.5860125594871057E-2</v>
      </c>
      <c r="AM18" s="10">
        <v>9.8589999999999962E-3</v>
      </c>
      <c r="AN18" s="10">
        <v>7.9294639955201793E-2</v>
      </c>
      <c r="AO18" s="10">
        <v>4.6668714285714258E-2</v>
      </c>
      <c r="AP18" s="10">
        <v>-7.8278591933806971E-2</v>
      </c>
      <c r="AQ18" s="10">
        <v>1.6788142857142859E-2</v>
      </c>
      <c r="AR18" s="10">
        <v>6.169442857142856E-2</v>
      </c>
      <c r="AS18" s="10">
        <v>-8.5826551553969135E-2</v>
      </c>
      <c r="AT18" s="10">
        <v>4.3325649820578682E-2</v>
      </c>
      <c r="AU18" s="10">
        <v>6.8315340056693138E-2</v>
      </c>
      <c r="AV18" s="10">
        <v>-2.8768755881717199E-2</v>
      </c>
      <c r="AW18" s="10">
        <v>2.4538034241107461E-2</v>
      </c>
      <c r="AX18" s="10">
        <v>0.10756086825583611</v>
      </c>
      <c r="AY18" s="10">
        <v>3.4783278641148073E-2</v>
      </c>
      <c r="AZ18" s="10">
        <v>-0.14840908238889911</v>
      </c>
      <c r="BA18" s="10">
        <v>-5.1212561330724396E-4</v>
      </c>
      <c r="BB18" s="10">
        <v>0.13312051382668269</v>
      </c>
      <c r="BC18" s="10">
        <v>8.3201572593320589E-2</v>
      </c>
      <c r="BD18" s="10">
        <v>-2.4016271687300441E-2</v>
      </c>
      <c r="BE18" s="10">
        <v>6.8361213238162841E-2</v>
      </c>
      <c r="BF18" s="10">
        <v>4.5884536299578838E-2</v>
      </c>
      <c r="BG18" s="10">
        <v>-3.4434629050595897E-2</v>
      </c>
      <c r="BH18" s="10">
        <v>3.0015991980721329E-2</v>
      </c>
      <c r="BI18" s="10">
        <v>0.1090000069186657</v>
      </c>
      <c r="BJ18" s="10">
        <v>5.9560640504595433E-3</v>
      </c>
      <c r="BK18" s="10">
        <v>-5.0745051384061532E-2</v>
      </c>
      <c r="BL18" s="10">
        <v>8.1157673820204085E-2</v>
      </c>
      <c r="BM18" s="10">
        <v>0.1027739390634396</v>
      </c>
      <c r="BN18" s="10">
        <v>5.2774389623830152E-2</v>
      </c>
      <c r="BO18" s="10">
        <v>2.0227496106374639E-2</v>
      </c>
      <c r="BP18" s="10">
        <v>4.6857540334682007E-2</v>
      </c>
      <c r="BQ18" s="10">
        <v>1.916784109848992E-3</v>
      </c>
      <c r="BR18" s="10">
        <v>-5.7481935839547244E-3</v>
      </c>
      <c r="BS18" s="10">
        <v>-2.149720138170149E-2</v>
      </c>
      <c r="BT18" s="10">
        <v>0.1428710676682495</v>
      </c>
      <c r="BU18" s="10">
        <v>8.0677444040040805E-2</v>
      </c>
      <c r="BV18" s="10">
        <v>8.0923395277042356E-2</v>
      </c>
      <c r="BW18" s="10">
        <v>-8.531108693319546E-2</v>
      </c>
      <c r="BX18" s="10">
        <v>1.9018474716035669E-2</v>
      </c>
      <c r="BY18" s="10">
        <v>-0.1230749758240248</v>
      </c>
      <c r="BZ18" s="10">
        <v>0.15331998780259809</v>
      </c>
      <c r="CA18" s="10">
        <v>-1.6076543892860819E-2</v>
      </c>
      <c r="CB18" s="10">
        <v>-2.4577356612448309E-2</v>
      </c>
      <c r="CC18" s="10">
        <v>-2.817344401940013E-2</v>
      </c>
      <c r="CD18" s="10">
        <v>0.19371681864683071</v>
      </c>
      <c r="CE18" s="10">
        <v>-0.16739393528145211</v>
      </c>
      <c r="CF18" s="10">
        <v>6.9437750845139964E-2</v>
      </c>
      <c r="CG18" s="10">
        <v>-2.8013589394155079E-3</v>
      </c>
      <c r="CH18" s="10">
        <v>0.16265704668723319</v>
      </c>
      <c r="CI18" s="10">
        <v>-4.4565986447696902E-2</v>
      </c>
      <c r="CJ18" s="10">
        <v>-6.2313677824909687E-2</v>
      </c>
      <c r="CK18" s="10">
        <v>9.0667784292283726E-2</v>
      </c>
      <c r="CL18" s="10">
        <v>-3.0989545058193149E-2</v>
      </c>
      <c r="CM18" s="10">
        <v>0.15963579775903361</v>
      </c>
      <c r="CN18" s="10">
        <v>-3.7997037094380737E-2</v>
      </c>
      <c r="CO18" s="10">
        <v>-0.23157387854942929</v>
      </c>
      <c r="CP18" s="10">
        <v>0.16283910894801071</v>
      </c>
      <c r="CQ18" s="10">
        <v>4.7976536408267538E-2</v>
      </c>
      <c r="CR18" s="10">
        <v>5.5156128716592027E-2</v>
      </c>
      <c r="CS18" s="10">
        <v>8.7017130839473586E-2</v>
      </c>
      <c r="CT18" s="10">
        <v>9.4951029065485665E-2</v>
      </c>
      <c r="CU18" s="10">
        <v>-7.1648691205109999E-2</v>
      </c>
      <c r="CV18" s="10">
        <v>9.1040282230288663E-2</v>
      </c>
      <c r="CW18" s="10">
        <v>-8.4560855645258066E-3</v>
      </c>
      <c r="CX18" s="10">
        <v>6.1560185833778078E-2</v>
      </c>
      <c r="CY18" s="10">
        <v>-5.135741377478225E-2</v>
      </c>
      <c r="CZ18" s="10">
        <v>0.13284286330177139</v>
      </c>
      <c r="DA18" s="10">
        <v>-4.7380939518693557E-2</v>
      </c>
      <c r="DB18" s="10">
        <v>-4.5735208678759381E-2</v>
      </c>
      <c r="DC18" s="10">
        <v>3.6408781495506221E-2</v>
      </c>
      <c r="DD18" s="10">
        <v>-8.2462353495414184E-2</v>
      </c>
      <c r="DE18" s="10">
        <v>-3.4801347670990683E-2</v>
      </c>
      <c r="DF18" s="10">
        <v>-3.5042778782370249E-2</v>
      </c>
      <c r="DG18" s="10">
        <v>-7.619473157627699E-3</v>
      </c>
      <c r="DH18" s="10">
        <v>-2.8038013248649029E-2</v>
      </c>
      <c r="DI18" s="10">
        <v>-1.6114629238026808E-2</v>
      </c>
      <c r="DJ18" s="10">
        <v>-4.5204039785289522E-2</v>
      </c>
      <c r="DK18" s="10">
        <v>0.15851362709242739</v>
      </c>
      <c r="DL18" s="10">
        <v>8.1397742916241134E-2</v>
      </c>
      <c r="DM18" s="10">
        <v>-6.650814073203816E-2</v>
      </c>
      <c r="DN18" s="10">
        <v>-1.6722064078021251E-2</v>
      </c>
      <c r="DO18" s="10">
        <v>4.2104907550630517E-2</v>
      </c>
      <c r="DP18" s="10">
        <v>-2.0604686466865741E-2</v>
      </c>
      <c r="DQ18" s="10">
        <v>-0.1007272783058315</v>
      </c>
      <c r="DR18" s="10">
        <v>7.6840654771961045E-2</v>
      </c>
      <c r="DS18" s="10">
        <v>-0.1477219984517327</v>
      </c>
      <c r="DT18" s="10">
        <v>-0.1160173901109771</v>
      </c>
      <c r="DU18" s="10">
        <v>-9.6895186076904644E-2</v>
      </c>
      <c r="DV18" s="10">
        <v>0.1056406088000619</v>
      </c>
      <c r="DW18" s="10">
        <v>8.1908692284373169E-2</v>
      </c>
      <c r="DX18" s="10">
        <v>-0.1536029774624818</v>
      </c>
      <c r="DY18" s="10">
        <v>9.7428036975949608E-2</v>
      </c>
      <c r="DZ18" s="10">
        <v>-7.5516359296365659E-2</v>
      </c>
      <c r="EA18" s="18">
        <v>-6.3615627439817801E-3</v>
      </c>
      <c r="EB18" s="10">
        <v>9.9846377978320619E-2</v>
      </c>
      <c r="EC18" s="10">
        <v>5.8228474754975761E-3</v>
      </c>
      <c r="ED18" s="10">
        <v>-0.1200774322763405</v>
      </c>
      <c r="EE18" s="10">
        <v>-1.385375397450707E-2</v>
      </c>
      <c r="EF18" s="10">
        <v>4.8955017110416547E-2</v>
      </c>
    </row>
    <row r="19" spans="1:136">
      <c r="A19" s="4">
        <v>160</v>
      </c>
      <c r="B19" s="4">
        <v>6</v>
      </c>
      <c r="C19" s="9">
        <v>-7.7959416087486216E-2</v>
      </c>
      <c r="D19" s="10">
        <v>0.4075213333333334</v>
      </c>
      <c r="E19" s="10">
        <v>-4.8100231547544642E-2</v>
      </c>
      <c r="F19" s="10">
        <v>0.2361708333333333</v>
      </c>
      <c r="G19" s="10">
        <v>0.15286516666666669</v>
      </c>
      <c r="H19" s="10">
        <v>0.17761016666666671</v>
      </c>
      <c r="I19" s="10">
        <v>0.1346543328914665</v>
      </c>
      <c r="J19" s="10">
        <v>-0.1562291666666667</v>
      </c>
      <c r="K19" s="10">
        <v>5.6539499999999999E-2</v>
      </c>
      <c r="L19" s="10">
        <v>3.0361166666666672E-2</v>
      </c>
      <c r="M19" s="10">
        <v>-0.26154166666666667</v>
      </c>
      <c r="N19" s="10">
        <v>0.53237449999999997</v>
      </c>
      <c r="O19" s="10">
        <v>-1.9796999999999999E-2</v>
      </c>
      <c r="P19" s="10">
        <v>-9.2534186186697107E-2</v>
      </c>
      <c r="Q19" s="10">
        <v>0.1704643333333333</v>
      </c>
      <c r="R19" s="10">
        <v>4.1943000000000008E-2</v>
      </c>
      <c r="S19" s="10">
        <v>-0.1665705674290347</v>
      </c>
      <c r="T19" s="10">
        <v>-0.1095268333333333</v>
      </c>
      <c r="U19" s="10">
        <v>4.4184166666666663E-2</v>
      </c>
      <c r="V19" s="10">
        <v>-0.1186835</v>
      </c>
      <c r="W19" s="10">
        <v>7.2415833333333346E-2</v>
      </c>
      <c r="X19" s="10">
        <v>-0.12008629369727961</v>
      </c>
      <c r="Y19" s="10">
        <v>2.4062166666666669E-2</v>
      </c>
      <c r="Z19" s="10">
        <v>-2.2223E-2</v>
      </c>
      <c r="AA19" s="10">
        <v>4.7301666666666672E-2</v>
      </c>
      <c r="AB19" s="10">
        <v>-6.0762499999999997E-2</v>
      </c>
      <c r="AC19" s="10">
        <v>-8.3512833333333328E-2</v>
      </c>
      <c r="AD19" s="10">
        <v>9.5992833333333333E-2</v>
      </c>
      <c r="AE19" s="10">
        <v>-0.1694160609977898</v>
      </c>
      <c r="AF19" s="10">
        <v>2.6383333333333288E-4</v>
      </c>
      <c r="AG19" s="10">
        <v>1.92985E-2</v>
      </c>
      <c r="AH19" s="10">
        <v>-1.6091333333333329E-2</v>
      </c>
      <c r="AI19" s="10">
        <v>9.154933333333333E-2</v>
      </c>
      <c r="AJ19" s="10">
        <v>1.2166333333333329E-2</v>
      </c>
      <c r="AK19" s="10">
        <v>4.9060666666666669E-2</v>
      </c>
      <c r="AL19" s="10">
        <v>7.0270945670805551E-2</v>
      </c>
      <c r="AM19" s="10">
        <v>1.05325E-2</v>
      </c>
      <c r="AN19" s="10">
        <v>8.3568294365682083E-2</v>
      </c>
      <c r="AO19" s="10">
        <v>5.7746833333333317E-2</v>
      </c>
      <c r="AP19" s="10">
        <v>-8.757412027285208E-2</v>
      </c>
      <c r="AQ19" s="10">
        <v>5.4927833333333342E-2</v>
      </c>
      <c r="AR19" s="10">
        <v>7.4616833333333327E-2</v>
      </c>
      <c r="AS19" s="10">
        <v>-9.7796955268314459E-2</v>
      </c>
      <c r="AT19" s="10">
        <v>4.9294981765701303E-2</v>
      </c>
      <c r="AU19" s="10">
        <v>7.6428715713654158E-2</v>
      </c>
      <c r="AV19" s="10">
        <v>-4.8463101573846611E-2</v>
      </c>
      <c r="AW19" s="10">
        <v>2.2356168154136491E-2</v>
      </c>
      <c r="AX19" s="10">
        <v>8.0206414310412866E-2</v>
      </c>
      <c r="AY19" s="10">
        <v>2.9528970393379841E-2</v>
      </c>
      <c r="AZ19" s="10">
        <v>-0.18687961816817431</v>
      </c>
      <c r="BA19" s="10">
        <v>-3.4363883954073027E-2</v>
      </c>
      <c r="BB19" s="10">
        <v>0.15974619907243159</v>
      </c>
      <c r="BC19" s="10">
        <v>6.4055486346185755E-2</v>
      </c>
      <c r="BD19" s="10">
        <v>-3.2343926300681461E-3</v>
      </c>
      <c r="BE19" s="10">
        <v>5.3867497689288543E-2</v>
      </c>
      <c r="BF19" s="10">
        <v>1.3570974149138619E-2</v>
      </c>
      <c r="BG19" s="10">
        <v>-1.6343658332842181E-2</v>
      </c>
      <c r="BH19" s="10">
        <v>2.0182017014309939E-3</v>
      </c>
      <c r="BI19" s="10">
        <v>0.12779862881921869</v>
      </c>
      <c r="BJ19" s="10">
        <v>2.1707301538579211E-2</v>
      </c>
      <c r="BK19" s="10">
        <v>-5.1749526091992383E-2</v>
      </c>
      <c r="BL19" s="10">
        <v>7.9964658146503109E-2</v>
      </c>
      <c r="BM19" s="10">
        <v>0.1142506002586957</v>
      </c>
      <c r="BN19" s="10">
        <v>6.7252647467271776E-2</v>
      </c>
      <c r="BO19" s="10">
        <v>2.5728961265115379E-2</v>
      </c>
      <c r="BP19" s="10">
        <v>3.742626287653638E-2</v>
      </c>
      <c r="BQ19" s="10">
        <v>9.9340444543230683E-3</v>
      </c>
      <c r="BR19" s="10">
        <v>6.6752460235200081E-3</v>
      </c>
      <c r="BS19" s="10">
        <v>-2.4256338744482069E-2</v>
      </c>
      <c r="BT19" s="10">
        <v>0.14163267985357339</v>
      </c>
      <c r="BU19" s="10">
        <v>7.593625123423807E-2</v>
      </c>
      <c r="BV19" s="10">
        <v>9.3655241153346391E-2</v>
      </c>
      <c r="BW19" s="10">
        <v>-0.10896696138364501</v>
      </c>
      <c r="BX19" s="10">
        <v>3.4087785271858247E-2</v>
      </c>
      <c r="BY19" s="10">
        <v>-0.1076497365556482</v>
      </c>
      <c r="BZ19" s="10">
        <v>6.3815393767213791E-2</v>
      </c>
      <c r="CA19" s="10">
        <v>-2.154569013117932E-2</v>
      </c>
      <c r="CB19" s="10">
        <v>-4.804116850824483E-2</v>
      </c>
      <c r="CC19" s="10">
        <v>-2.4723252765827462E-2</v>
      </c>
      <c r="CD19" s="10">
        <v>0.20708580064935611</v>
      </c>
      <c r="CE19" s="10">
        <v>-0.1982658291769592</v>
      </c>
      <c r="CF19" s="10">
        <v>8.4971508753078559E-2</v>
      </c>
      <c r="CG19" s="10">
        <v>-5.0633530014653497E-2</v>
      </c>
      <c r="CH19" s="10">
        <v>0.1528898670499263</v>
      </c>
      <c r="CI19" s="10">
        <v>-3.7066946160195187E-2</v>
      </c>
      <c r="CJ19" s="10">
        <v>-6.194049996603615E-2</v>
      </c>
      <c r="CK19" s="10">
        <v>0.1039677178170982</v>
      </c>
      <c r="CL19" s="10">
        <v>-4.3240279974789908E-2</v>
      </c>
      <c r="CM19" s="10">
        <v>0.17534764158171501</v>
      </c>
      <c r="CN19" s="10">
        <v>-7.6932654667303466E-2</v>
      </c>
      <c r="CO19" s="10">
        <v>-0.27245440462850651</v>
      </c>
      <c r="CP19" s="10">
        <v>0.15903259898233271</v>
      </c>
      <c r="CQ19" s="10">
        <v>-2.7299081545619341E-3</v>
      </c>
      <c r="CR19" s="10">
        <v>4.9337666040134218E-2</v>
      </c>
      <c r="CS19" s="10">
        <v>6.0700850898538133E-2</v>
      </c>
      <c r="CT19" s="10">
        <v>0.1226204266300308</v>
      </c>
      <c r="CU19" s="10">
        <v>-8.3436397113892974E-2</v>
      </c>
      <c r="CV19" s="10">
        <v>8.9836090761934634E-2</v>
      </c>
      <c r="CW19" s="10">
        <v>-2.190180778189859E-2</v>
      </c>
      <c r="CX19" s="10">
        <v>9.354971825942178E-2</v>
      </c>
      <c r="CY19" s="10">
        <v>-7.092186956436955E-2</v>
      </c>
      <c r="CZ19" s="10">
        <v>0.1004647349755101</v>
      </c>
      <c r="DA19" s="10">
        <v>-5.8223876703236761E-2</v>
      </c>
      <c r="DB19" s="10">
        <v>-3.572089902521567E-2</v>
      </c>
      <c r="DC19" s="10">
        <v>-3.5179399902094073E-2</v>
      </c>
      <c r="DD19" s="10">
        <v>-0.10452862606621249</v>
      </c>
      <c r="DE19" s="10">
        <v>-4.3945635940460762E-2</v>
      </c>
      <c r="DF19" s="10">
        <v>-6.969304689302265E-2</v>
      </c>
      <c r="DG19" s="10">
        <v>-1.27464749106491E-2</v>
      </c>
      <c r="DH19" s="10">
        <v>-1.569831294047225E-4</v>
      </c>
      <c r="DI19" s="10">
        <v>3.666424442421171E-3</v>
      </c>
      <c r="DJ19" s="10">
        <v>-4.8514350722976607E-2</v>
      </c>
      <c r="DK19" s="10">
        <v>0.1241445877842076</v>
      </c>
      <c r="DL19" s="10">
        <v>7.0167407799869491E-2</v>
      </c>
      <c r="DM19" s="10">
        <v>-8.1952255033994378E-2</v>
      </c>
      <c r="DN19" s="10">
        <v>-4.1776448032685917E-3</v>
      </c>
      <c r="DO19" s="10">
        <v>5.5126563399943852E-2</v>
      </c>
      <c r="DP19" s="10">
        <v>2.716544251136371E-2</v>
      </c>
      <c r="DQ19" s="10">
        <v>-0.1204893793606352</v>
      </c>
      <c r="DR19" s="10">
        <v>7.5962353325048193E-2</v>
      </c>
      <c r="DS19" s="10">
        <v>-0.1779955469539703</v>
      </c>
      <c r="DT19" s="10">
        <v>-0.13312850061934939</v>
      </c>
      <c r="DU19" s="10">
        <v>-0.14283069805444029</v>
      </c>
      <c r="DV19" s="10">
        <v>0.119531844414402</v>
      </c>
      <c r="DW19" s="10">
        <v>6.0609139340684293E-2</v>
      </c>
      <c r="DX19" s="10">
        <v>-0.1383651342381777</v>
      </c>
      <c r="DY19" s="10">
        <v>7.0109577687923127E-2</v>
      </c>
      <c r="DZ19" s="10">
        <v>-0.1119208288639931</v>
      </c>
      <c r="EA19" s="18">
        <v>-2.807935347566733E-2</v>
      </c>
      <c r="EB19" s="10">
        <v>2.1772770012778581E-2</v>
      </c>
      <c r="EC19" s="10">
        <v>-8.6215224985549642E-3</v>
      </c>
      <c r="ED19" s="10">
        <v>-0.15093531699015689</v>
      </c>
      <c r="EE19" s="10">
        <v>1.2634042940422471E-2</v>
      </c>
      <c r="EF19" s="10">
        <v>1.697795487476916E-2</v>
      </c>
    </row>
    <row r="20" spans="1:136">
      <c r="A20" s="4">
        <v>192</v>
      </c>
      <c r="B20" s="4">
        <v>5</v>
      </c>
      <c r="C20" s="9">
        <v>-0.13932460396499161</v>
      </c>
      <c r="D20" s="10">
        <v>0.38202580000000003</v>
      </c>
      <c r="E20" s="10">
        <v>2.1392426787971309E-2</v>
      </c>
      <c r="F20" s="10">
        <v>0.1824192</v>
      </c>
      <c r="G20" s="10">
        <v>0.15802820000000001</v>
      </c>
      <c r="H20" s="10">
        <v>0.14393220000000001</v>
      </c>
      <c r="I20" s="10">
        <v>0.15814956260110169</v>
      </c>
      <c r="J20" s="10">
        <v>-0.1332062</v>
      </c>
      <c r="K20" s="10">
        <v>3.7403600000000002E-2</v>
      </c>
      <c r="L20" s="10">
        <v>3.0693600000000008E-2</v>
      </c>
      <c r="M20" s="10">
        <v>-0.26869399999999999</v>
      </c>
      <c r="N20" s="10">
        <v>0.5000116</v>
      </c>
      <c r="O20" s="10">
        <v>-0.1101138</v>
      </c>
      <c r="P20" s="10">
        <v>-9.1169927668525261E-2</v>
      </c>
      <c r="Q20" s="10">
        <v>0.22482659999999999</v>
      </c>
      <c r="R20" s="10">
        <v>6.646959999999999E-2</v>
      </c>
      <c r="S20" s="10">
        <v>-0.16233622519024529</v>
      </c>
      <c r="T20" s="10">
        <v>-0.1008458</v>
      </c>
      <c r="U20" s="10">
        <v>3.2235E-2</v>
      </c>
      <c r="V20" s="10">
        <v>-0.1362882</v>
      </c>
      <c r="W20" s="10">
        <v>9.1084999999999999E-2</v>
      </c>
      <c r="X20" s="10">
        <v>-0.1528338993769571</v>
      </c>
      <c r="Y20" s="10">
        <v>-4.8579999999999977E-3</v>
      </c>
      <c r="Z20" s="10">
        <v>2.9158400000000001E-2</v>
      </c>
      <c r="AA20" s="10">
        <v>6.6963999999999996E-2</v>
      </c>
      <c r="AB20" s="10">
        <v>-6.0422999999999998E-2</v>
      </c>
      <c r="AC20" s="10">
        <v>-9.6308199999999997E-2</v>
      </c>
      <c r="AD20" s="10">
        <v>0.1298426</v>
      </c>
      <c r="AE20" s="10">
        <v>-0.17528151456321139</v>
      </c>
      <c r="AF20" s="10">
        <v>-6.4676000000000004E-3</v>
      </c>
      <c r="AG20" s="10">
        <v>-6.2396000000000014E-3</v>
      </c>
      <c r="AH20" s="10">
        <v>-2.7809E-2</v>
      </c>
      <c r="AI20" s="10">
        <v>0.1163372</v>
      </c>
      <c r="AJ20" s="10">
        <v>1.7240599999999991E-2</v>
      </c>
      <c r="AK20" s="10">
        <v>6.6968600000000003E-2</v>
      </c>
      <c r="AL20" s="10">
        <v>7.2893452036976947E-2</v>
      </c>
      <c r="AM20" s="10">
        <v>3.2738599999999993E-2</v>
      </c>
      <c r="AN20" s="10">
        <v>7.5470193518998266E-2</v>
      </c>
      <c r="AO20" s="10">
        <v>6.808599999999998E-2</v>
      </c>
      <c r="AP20" s="10">
        <v>-0.13173046125538779</v>
      </c>
      <c r="AQ20" s="10">
        <v>-7.2898600000000008E-2</v>
      </c>
      <c r="AR20" s="10">
        <v>1.3289199999999999E-2</v>
      </c>
      <c r="AS20" s="10">
        <v>-0.112095809682817</v>
      </c>
      <c r="AT20" s="10">
        <v>5.858773760205771E-3</v>
      </c>
      <c r="AU20" s="10">
        <v>7.2899818140919309E-2</v>
      </c>
      <c r="AV20" s="10">
        <v>-5.4625713782478207E-2</v>
      </c>
      <c r="AW20" s="10">
        <v>6.8652681791509596E-3</v>
      </c>
      <c r="AX20" s="10">
        <v>0.11073254799870159</v>
      </c>
      <c r="AY20" s="10">
        <v>3.8674698442909439E-2</v>
      </c>
      <c r="AZ20" s="10">
        <v>-0.21380243117708869</v>
      </c>
      <c r="BA20" s="10">
        <v>-5.4045134010306708E-2</v>
      </c>
      <c r="BB20" s="10">
        <v>0.1676554233765693</v>
      </c>
      <c r="BC20" s="10">
        <v>7.0605567677740205E-2</v>
      </c>
      <c r="BD20" s="10">
        <v>-5.3429813221597323E-2</v>
      </c>
      <c r="BE20" s="10">
        <v>-5.9467971392603326E-3</v>
      </c>
      <c r="BF20" s="10">
        <v>5.6885823313286886E-3</v>
      </c>
      <c r="BG20" s="10">
        <v>2.2494840460728811E-2</v>
      </c>
      <c r="BH20" s="10">
        <v>-7.1606447114111002E-2</v>
      </c>
      <c r="BI20" s="10">
        <v>0.13174526708517489</v>
      </c>
      <c r="BJ20" s="10">
        <v>2.1629511833186621E-2</v>
      </c>
      <c r="BK20" s="10">
        <v>-5.9233167842827283E-2</v>
      </c>
      <c r="BL20" s="10">
        <v>8.6292231176454737E-2</v>
      </c>
      <c r="BM20" s="10">
        <v>0.1369176613284383</v>
      </c>
      <c r="BN20" s="10">
        <v>8.4339640777364208E-2</v>
      </c>
      <c r="BO20" s="10">
        <v>-3.8461717515979203E-2</v>
      </c>
      <c r="BP20" s="10">
        <v>6.0407520762954983E-2</v>
      </c>
      <c r="BQ20" s="10">
        <v>1.5451706960843021E-2</v>
      </c>
      <c r="BR20" s="10">
        <v>8.200082575215574E-3</v>
      </c>
      <c r="BS20" s="10">
        <v>-2.122683588664995E-3</v>
      </c>
      <c r="BT20" s="10">
        <v>0.14780303317864721</v>
      </c>
      <c r="BU20" s="10">
        <v>9.8754949367706665E-2</v>
      </c>
      <c r="BV20" s="10">
        <v>0.11591833156307201</v>
      </c>
      <c r="BW20" s="10">
        <v>-0.13550325181247611</v>
      </c>
      <c r="BX20" s="10">
        <v>3.069363668324426E-2</v>
      </c>
      <c r="BY20" s="10">
        <v>-0.10523396636930341</v>
      </c>
      <c r="BZ20" s="10">
        <v>9.02714042602836E-2</v>
      </c>
      <c r="CA20" s="10">
        <v>-1.9938221409499298E-3</v>
      </c>
      <c r="CB20" s="10">
        <v>-3.8251950010927849E-2</v>
      </c>
      <c r="CC20" s="10">
        <v>9.4695450831700639E-5</v>
      </c>
      <c r="CD20" s="10">
        <v>0.1810274974905971</v>
      </c>
      <c r="CE20" s="10">
        <v>-0.2439637954697331</v>
      </c>
      <c r="CF20" s="10">
        <v>8.0957937198676569E-2</v>
      </c>
      <c r="CG20" s="10">
        <v>-9.9052888530088784E-2</v>
      </c>
      <c r="CH20" s="10">
        <v>7.1864025597138351E-2</v>
      </c>
      <c r="CI20" s="10">
        <v>-3.0394673769081951E-2</v>
      </c>
      <c r="CJ20" s="10">
        <v>-0.123440319887351</v>
      </c>
      <c r="CK20" s="10">
        <v>9.0978396750106633E-2</v>
      </c>
      <c r="CL20" s="10">
        <v>-9.2184934189128986E-2</v>
      </c>
      <c r="CM20" s="10">
        <v>0.18905116517062071</v>
      </c>
      <c r="CN20" s="10">
        <v>2.215941137048465E-2</v>
      </c>
      <c r="CO20" s="10">
        <v>-0.41597133516901241</v>
      </c>
      <c r="CP20" s="10">
        <v>0.1920312051090273</v>
      </c>
      <c r="CQ20" s="10">
        <v>6.1113579290622234E-3</v>
      </c>
      <c r="CR20" s="10">
        <v>7.3116244505850386E-2</v>
      </c>
      <c r="CS20" s="10">
        <v>8.8364277012261461E-2</v>
      </c>
      <c r="CT20" s="10">
        <v>9.0474037414266281E-2</v>
      </c>
      <c r="CU20" s="10">
        <v>-0.10410089779242621</v>
      </c>
      <c r="CV20" s="10">
        <v>9.2511075695426118E-2</v>
      </c>
      <c r="CW20" s="10">
        <v>9.9530629212826391E-3</v>
      </c>
      <c r="CX20" s="10">
        <v>9.0298550867764463E-2</v>
      </c>
      <c r="CY20" s="10">
        <v>-1.247973266829688E-2</v>
      </c>
      <c r="CZ20" s="10">
        <v>0.15516164514919831</v>
      </c>
      <c r="DA20" s="10">
        <v>-4.7471893155177573E-2</v>
      </c>
      <c r="DB20" s="10">
        <v>-5.6902709757134122E-2</v>
      </c>
      <c r="DC20" s="10">
        <v>-4.7084133307763107E-2</v>
      </c>
      <c r="DD20" s="10">
        <v>-0.14810881433882259</v>
      </c>
      <c r="DE20" s="10">
        <v>-2.674986392092854E-2</v>
      </c>
      <c r="DF20" s="10">
        <v>8.591215324206241E-4</v>
      </c>
      <c r="DG20" s="10">
        <v>-4.2022106203706937E-3</v>
      </c>
      <c r="DH20" s="10">
        <v>-1.097541174252706E-2</v>
      </c>
      <c r="DI20" s="10">
        <v>-7.7575680139924984E-3</v>
      </c>
      <c r="DJ20" s="10">
        <v>-3.9459946268887811E-2</v>
      </c>
      <c r="DK20" s="10">
        <v>8.4953981446054899E-2</v>
      </c>
      <c r="DL20" s="10">
        <v>7.5826636178542531E-2</v>
      </c>
      <c r="DM20" s="10">
        <v>9.2836502794370751E-3</v>
      </c>
      <c r="DN20" s="10">
        <v>5.8019206654199171E-2</v>
      </c>
      <c r="DO20" s="10">
        <v>6.5815801837970381E-2</v>
      </c>
      <c r="DP20" s="10">
        <v>9.8305313908873052E-3</v>
      </c>
      <c r="DQ20" s="10">
        <v>-0.19132953845628339</v>
      </c>
      <c r="DR20" s="10">
        <v>7.8512660028290493E-2</v>
      </c>
      <c r="DS20" s="10">
        <v>-0.20608109757835469</v>
      </c>
      <c r="DT20" s="10">
        <v>-0.12727470188755299</v>
      </c>
      <c r="DU20" s="10">
        <v>-0.1720691072058694</v>
      </c>
      <c r="DV20" s="10">
        <v>0.12934547183885869</v>
      </c>
      <c r="DW20" s="10">
        <v>6.9060203958039607E-2</v>
      </c>
      <c r="DX20" s="10">
        <v>-0.15386632960631469</v>
      </c>
      <c r="DY20" s="10">
        <v>5.3618609351648763E-2</v>
      </c>
      <c r="DZ20" s="10">
        <v>-8.4474578309692155E-2</v>
      </c>
      <c r="EA20" s="18">
        <v>1.3808726201357891E-2</v>
      </c>
      <c r="EB20" s="10">
        <v>2.7389157853987239E-2</v>
      </c>
      <c r="EC20" s="10">
        <v>3.4049581413941779E-2</v>
      </c>
      <c r="ED20" s="10">
        <v>-0.17691886106701021</v>
      </c>
      <c r="EE20" s="10">
        <v>2.3672309273819309E-3</v>
      </c>
      <c r="EF20" s="10">
        <v>2.0281416615907238E-2</v>
      </c>
    </row>
    <row r="21" spans="1:136">
      <c r="A21" s="4">
        <v>241</v>
      </c>
      <c r="B21" s="4">
        <v>4</v>
      </c>
      <c r="C21" s="9">
        <v>-0.19764916434148611</v>
      </c>
      <c r="D21" s="10">
        <v>0.126389</v>
      </c>
      <c r="E21" s="10">
        <v>-2.7935227079184388E-4</v>
      </c>
      <c r="F21" s="10">
        <v>0.20341300000000001</v>
      </c>
      <c r="G21" s="10">
        <v>0.14533199999999999</v>
      </c>
      <c r="H21" s="10">
        <v>0.162164</v>
      </c>
      <c r="I21" s="10">
        <v>0.14725560812747299</v>
      </c>
      <c r="J21" s="10">
        <v>-0.13674149999999999</v>
      </c>
      <c r="K21" s="10">
        <v>1.4699999999999991E-3</v>
      </c>
      <c r="L21" s="10">
        <v>-5.030999999999999E-3</v>
      </c>
      <c r="M21" s="10">
        <v>-0.19988500000000001</v>
      </c>
      <c r="N21" s="10">
        <v>0.58489049999999998</v>
      </c>
      <c r="O21" s="10">
        <v>-0.13927724999999999</v>
      </c>
      <c r="P21" s="10">
        <v>-0.14477260088968491</v>
      </c>
      <c r="Q21" s="10">
        <v>0.27408575000000002</v>
      </c>
      <c r="R21" s="10">
        <v>8.4905250000000002E-2</v>
      </c>
      <c r="S21" s="10">
        <v>-0.12859028544995699</v>
      </c>
      <c r="T21" s="10">
        <v>-0.13111999999999999</v>
      </c>
      <c r="U21" s="10">
        <v>-9.8267499999999952E-3</v>
      </c>
      <c r="V21" s="10">
        <v>-0.13175025000000001</v>
      </c>
      <c r="W21" s="10">
        <v>0.12449875000000001</v>
      </c>
      <c r="X21" s="10">
        <v>-0.19733717858364669</v>
      </c>
      <c r="Y21" s="10">
        <v>-1.01475E-2</v>
      </c>
      <c r="Z21" s="10">
        <v>3.9459000000000001E-2</v>
      </c>
      <c r="AA21" s="10">
        <v>2.8035500000000001E-2</v>
      </c>
      <c r="AB21" s="10">
        <v>-6.5286999999999998E-2</v>
      </c>
      <c r="AC21" s="10">
        <v>-0.15954125</v>
      </c>
      <c r="AD21" s="10">
        <v>0.12882450000000001</v>
      </c>
      <c r="AE21" s="10">
        <v>-0.24045611049318669</v>
      </c>
      <c r="AF21" s="10">
        <v>-3.3565499999999998E-2</v>
      </c>
      <c r="AG21" s="10">
        <v>-1.0567999999999999E-2</v>
      </c>
      <c r="AH21" s="10">
        <v>-4.3409250000000003E-2</v>
      </c>
      <c r="AI21" s="10">
        <v>0.10212425</v>
      </c>
      <c r="AJ21" s="10">
        <v>5.1835000000000006E-3</v>
      </c>
      <c r="AK21" s="10">
        <v>0.1049905</v>
      </c>
      <c r="AL21" s="10">
        <v>6.5379822733110632E-2</v>
      </c>
      <c r="AM21" s="10">
        <v>3.6710749999999993E-2</v>
      </c>
      <c r="AN21" s="10">
        <v>0.11195605606309431</v>
      </c>
      <c r="AO21" s="10">
        <v>9.498574999999998E-2</v>
      </c>
      <c r="AP21" s="10">
        <v>-6.239055369893616E-2</v>
      </c>
      <c r="AQ21" s="10">
        <v>-6.7198250000000001E-2</v>
      </c>
      <c r="AR21" s="10">
        <v>-4.7988250000000003E-2</v>
      </c>
      <c r="AS21" s="10">
        <v>-6.4455868646629361E-2</v>
      </c>
      <c r="AT21" s="10">
        <v>-2.4929112771550628E-3</v>
      </c>
      <c r="AU21" s="10">
        <v>4.7809631508957028E-2</v>
      </c>
      <c r="AV21" s="10">
        <v>-5.5520780062133721E-2</v>
      </c>
      <c r="AW21" s="10">
        <v>9.7910299540974015E-3</v>
      </c>
      <c r="AX21" s="10">
        <v>0.1431476874697567</v>
      </c>
      <c r="AY21" s="10">
        <v>4.7021290978038012E-2</v>
      </c>
      <c r="AZ21" s="10">
        <v>-0.25491126989713642</v>
      </c>
      <c r="BA21" s="10">
        <v>-7.1032181648085849E-2</v>
      </c>
      <c r="BB21" s="10">
        <v>0.22559566882491369</v>
      </c>
      <c r="BC21" s="10">
        <v>3.8321147725193877E-2</v>
      </c>
      <c r="BD21" s="10">
        <v>-2.1750863370627919E-2</v>
      </c>
      <c r="BE21" s="10">
        <v>6.3505333974014731E-3</v>
      </c>
      <c r="BF21" s="10">
        <v>3.5771001804346838E-3</v>
      </c>
      <c r="BG21" s="10">
        <v>5.0020540436469169E-2</v>
      </c>
      <c r="BH21" s="10">
        <v>-7.6321363138755302E-2</v>
      </c>
      <c r="BI21" s="10">
        <v>0.1659695961783918</v>
      </c>
      <c r="BJ21" s="10">
        <v>2.3579026181717661E-2</v>
      </c>
      <c r="BK21" s="10">
        <v>-6.8449880379534783E-2</v>
      </c>
      <c r="BL21" s="10">
        <v>0.1427210926463498</v>
      </c>
      <c r="BM21" s="10">
        <v>0.15512000392109981</v>
      </c>
      <c r="BN21" s="10">
        <v>6.3647947992248044E-2</v>
      </c>
      <c r="BO21" s="10">
        <v>-1.066839155318992E-2</v>
      </c>
      <c r="BP21" s="10">
        <v>0.1045091294194143</v>
      </c>
      <c r="BQ21" s="10">
        <v>5.4542230834504879E-2</v>
      </c>
      <c r="BR21" s="10">
        <v>1.3963257139615239E-2</v>
      </c>
      <c r="BS21" s="10">
        <v>-2.5079854410496889E-2</v>
      </c>
      <c r="BT21" s="10">
        <v>0.13224469397444291</v>
      </c>
      <c r="BU21" s="10">
        <v>0.120820939350189</v>
      </c>
      <c r="BV21" s="10">
        <v>0.14214300018545339</v>
      </c>
      <c r="BW21" s="10">
        <v>-0.146679196935731</v>
      </c>
      <c r="BX21" s="10">
        <v>-1.540792756631305E-2</v>
      </c>
      <c r="BY21" s="10">
        <v>-5.0379851218116528E-2</v>
      </c>
      <c r="BZ21" s="10">
        <v>9.8156710439898404E-2</v>
      </c>
      <c r="CA21" s="10">
        <v>-2.4556068552787459E-2</v>
      </c>
      <c r="CB21" s="10">
        <v>-0.1122436107991584</v>
      </c>
      <c r="CC21" s="10">
        <v>-4.6693549468963022E-2</v>
      </c>
      <c r="CD21" s="10">
        <v>0.28805606436247322</v>
      </c>
      <c r="CE21" s="10">
        <v>-0.30558931087650909</v>
      </c>
      <c r="CF21" s="10">
        <v>0.13126567680107229</v>
      </c>
      <c r="CG21" s="10">
        <v>-0.14375118915768581</v>
      </c>
      <c r="CH21" s="10">
        <v>8.0100321076211733E-2</v>
      </c>
      <c r="CI21" s="10">
        <v>-8.0499616390982326E-2</v>
      </c>
      <c r="CJ21" s="10">
        <v>-7.1754661956045684E-2</v>
      </c>
      <c r="CK21" s="10">
        <v>0.12705054673013411</v>
      </c>
      <c r="CL21" s="10">
        <v>-0.2104523758541085</v>
      </c>
      <c r="CM21" s="10">
        <v>0.2255029884033713</v>
      </c>
      <c r="CN21" s="10">
        <v>3.05388902037756E-2</v>
      </c>
      <c r="CO21" s="10">
        <v>-0.51486524859759264</v>
      </c>
      <c r="CP21" s="10">
        <v>0.22270006087791269</v>
      </c>
      <c r="CQ21" s="10">
        <v>3.2880917250907721E-3</v>
      </c>
      <c r="CR21" s="10">
        <v>9.0824277979679707E-2</v>
      </c>
      <c r="CS21" s="10">
        <v>6.9646396146771747E-2</v>
      </c>
      <c r="CT21" s="10">
        <v>8.2292872854338978E-2</v>
      </c>
      <c r="CU21" s="10">
        <v>-6.2673560169491313E-2</v>
      </c>
      <c r="CV21" s="10">
        <v>9.8225632021386913E-2</v>
      </c>
      <c r="CW21" s="10">
        <v>6.5005417280988659E-2</v>
      </c>
      <c r="CX21" s="10">
        <v>0.1021221756574071</v>
      </c>
      <c r="CY21" s="10">
        <v>-8.4819164039144704E-3</v>
      </c>
      <c r="CZ21" s="10">
        <v>0.2374513708258302</v>
      </c>
      <c r="DA21" s="10">
        <v>1.192256456731756E-3</v>
      </c>
      <c r="DB21" s="10">
        <v>-3.4463408988165301E-2</v>
      </c>
      <c r="DC21" s="10">
        <v>-3.8546270664913319E-2</v>
      </c>
      <c r="DD21" s="10">
        <v>0.121322688868649</v>
      </c>
      <c r="DE21" s="10">
        <v>1.2238108588318921E-2</v>
      </c>
      <c r="DF21" s="10">
        <v>7.7285592716186992E-3</v>
      </c>
      <c r="DG21" s="10">
        <v>7.8463781285332893E-3</v>
      </c>
      <c r="DH21" s="10">
        <v>1.407682021245452E-2</v>
      </c>
      <c r="DI21" s="10">
        <v>3.4407478280179482E-2</v>
      </c>
      <c r="DJ21" s="10">
        <v>-3.7911313190560098E-2</v>
      </c>
      <c r="DK21" s="10">
        <v>0.13950270681890459</v>
      </c>
      <c r="DL21" s="10">
        <v>9.8364938839376553E-2</v>
      </c>
      <c r="DM21" s="10">
        <v>-2.9834119642240212E-2</v>
      </c>
      <c r="DN21" s="10">
        <v>6.1960781446788349E-2</v>
      </c>
      <c r="DO21" s="10">
        <v>8.2445792330679737E-2</v>
      </c>
      <c r="DP21" s="10">
        <v>2.426615509356601E-2</v>
      </c>
      <c r="DQ21" s="10">
        <v>-0.12775339309865241</v>
      </c>
      <c r="DR21" s="10">
        <v>5.0170859037080733E-2</v>
      </c>
      <c r="DS21" s="10">
        <v>-0.20083947383729561</v>
      </c>
      <c r="DT21" s="10">
        <v>-0.17057080268546079</v>
      </c>
      <c r="DU21" s="10">
        <v>-2.8090293996378659E-2</v>
      </c>
      <c r="DV21" s="10">
        <v>0.140275976869878</v>
      </c>
      <c r="DW21" s="10">
        <v>0.11934721737400381</v>
      </c>
      <c r="DX21" s="10">
        <v>-0.18596621403118341</v>
      </c>
      <c r="DY21" s="10">
        <v>2.459599553801604E-2</v>
      </c>
      <c r="DZ21" s="10">
        <v>-5.2844066560288887E-2</v>
      </c>
      <c r="EA21" s="18">
        <v>-2.625089648126052E-2</v>
      </c>
      <c r="EB21" s="10">
        <v>8.4081461705858979E-3</v>
      </c>
      <c r="EC21" s="10">
        <v>3.0649685027988702E-3</v>
      </c>
      <c r="ED21" s="10">
        <v>-5.4498856348180663E-2</v>
      </c>
      <c r="EE21" s="10">
        <v>1.4428852108417999E-2</v>
      </c>
      <c r="EF21" s="10">
        <v>-7.9916028560319194E-3</v>
      </c>
    </row>
    <row r="22" spans="1:136">
      <c r="A22" s="4">
        <v>321</v>
      </c>
      <c r="B22" s="4">
        <v>3</v>
      </c>
      <c r="C22" s="9">
        <v>6.4235717628454689E-2</v>
      </c>
      <c r="D22" s="10">
        <v>0.1424293333333333</v>
      </c>
      <c r="E22" s="10">
        <v>-4.1027532000619052E-2</v>
      </c>
      <c r="F22" s="10">
        <v>-0.13986799999999999</v>
      </c>
      <c r="G22" s="10">
        <v>0.23294533333333339</v>
      </c>
      <c r="H22" s="10">
        <v>0.124178</v>
      </c>
      <c r="I22" s="10">
        <v>0.12349316933806979</v>
      </c>
      <c r="J22" s="10">
        <v>-0.104252</v>
      </c>
      <c r="K22" s="10">
        <v>2.865666666666666E-2</v>
      </c>
      <c r="L22" s="10">
        <v>1.427200000000001E-2</v>
      </c>
      <c r="M22" s="10">
        <v>-0.18466333333333329</v>
      </c>
      <c r="N22" s="10">
        <v>0.75614233333333325</v>
      </c>
      <c r="O22" s="10">
        <v>-6.6442333333333325E-2</v>
      </c>
      <c r="P22" s="10">
        <v>-7.2782884128816977E-2</v>
      </c>
      <c r="Q22" s="10">
        <v>0.12727466666666659</v>
      </c>
      <c r="R22" s="10">
        <v>6.6697666666666655E-2</v>
      </c>
      <c r="S22" s="10">
        <v>-0.16964655555794059</v>
      </c>
      <c r="T22" s="10">
        <v>-0.104848</v>
      </c>
      <c r="U22" s="10">
        <v>5.2484333333333327E-2</v>
      </c>
      <c r="V22" s="10">
        <v>-0.17562366666666671</v>
      </c>
      <c r="W22" s="10">
        <v>0.15804799999999999</v>
      </c>
      <c r="X22" s="10">
        <v>-0.214900047729565</v>
      </c>
      <c r="Y22" s="10">
        <v>-6.9857333333333327E-2</v>
      </c>
      <c r="Z22" s="10">
        <v>2.3868E-2</v>
      </c>
      <c r="AA22" s="10">
        <v>0.1181226666666667</v>
      </c>
      <c r="AB22" s="10">
        <v>-3.8273333333333333E-2</v>
      </c>
      <c r="AC22" s="10">
        <v>-0.1772113333333333</v>
      </c>
      <c r="AD22" s="10">
        <v>1.3571333333333329E-2</v>
      </c>
      <c r="AE22" s="10">
        <v>-0.26268572135214352</v>
      </c>
      <c r="AF22" s="10">
        <v>-8.6403333333333332E-2</v>
      </c>
      <c r="AG22" s="10">
        <v>-4.5970333333333342E-2</v>
      </c>
      <c r="AH22" s="10">
        <v>4.8666666666666818E-4</v>
      </c>
      <c r="AI22" s="10">
        <v>0.1110046666666667</v>
      </c>
      <c r="AJ22" s="10">
        <v>1.308133333333333E-2</v>
      </c>
      <c r="AK22" s="10">
        <v>-6.8266666666666656E-2</v>
      </c>
      <c r="AL22" s="10">
        <v>4.0340966806900407E-2</v>
      </c>
      <c r="AM22" s="10">
        <v>4.1473333333333327E-2</v>
      </c>
      <c r="AN22" s="10">
        <v>0.1111328096635593</v>
      </c>
      <c r="AO22" s="10">
        <v>0.19067300000000001</v>
      </c>
      <c r="AP22" s="10">
        <v>-6.2536353887992696E-2</v>
      </c>
      <c r="AQ22" s="10">
        <v>-0.1101293333333333</v>
      </c>
      <c r="AR22" s="10">
        <v>-6.7924666666666661E-2</v>
      </c>
      <c r="AS22" s="10">
        <v>-8.2810438898549957E-2</v>
      </c>
      <c r="AT22" s="10">
        <v>6.5803903490195548E-3</v>
      </c>
      <c r="AU22" s="10">
        <v>5.3142791700378257E-2</v>
      </c>
      <c r="AV22" s="10">
        <v>-5.9813176675879959E-2</v>
      </c>
      <c r="AW22" s="10">
        <v>-3.014938920700894E-2</v>
      </c>
      <c r="AX22" s="10">
        <v>0.17376339998002421</v>
      </c>
      <c r="AY22" s="10">
        <v>7.1733385334230598E-2</v>
      </c>
      <c r="AZ22" s="10">
        <v>-0.1549037783211521</v>
      </c>
      <c r="BA22" s="10">
        <v>-4.5598425167461952E-2</v>
      </c>
      <c r="BB22" s="10">
        <v>0.30192994454042299</v>
      </c>
      <c r="BC22" s="10">
        <v>-0.13083693812295519</v>
      </c>
      <c r="BD22" s="10">
        <v>1.294738984257221E-2</v>
      </c>
      <c r="BE22" s="10">
        <v>2.221618339448047E-2</v>
      </c>
      <c r="BF22" s="10">
        <v>1.363881733831962E-2</v>
      </c>
      <c r="BG22" s="10">
        <v>4.6279512168386029E-2</v>
      </c>
      <c r="BH22" s="10">
        <v>-0.12796054233813189</v>
      </c>
      <c r="BI22" s="10">
        <v>0.111088719409907</v>
      </c>
      <c r="BJ22" s="10">
        <v>5.4996415150720922E-2</v>
      </c>
      <c r="BK22" s="10">
        <v>-4.1839635933665138E-2</v>
      </c>
      <c r="BL22" s="10">
        <v>0.16178033907103531</v>
      </c>
      <c r="BM22" s="10">
        <v>0.1056044769577115</v>
      </c>
      <c r="BN22" s="10">
        <v>-1.5327552023042271E-2</v>
      </c>
      <c r="BO22" s="10">
        <v>-9.7012895523605869E-2</v>
      </c>
      <c r="BP22" s="10">
        <v>7.4835550155106345E-2</v>
      </c>
      <c r="BQ22" s="10">
        <v>2.7830097398312589E-2</v>
      </c>
      <c r="BR22" s="10">
        <v>2.081360946645289E-2</v>
      </c>
      <c r="BS22" s="10">
        <v>-1.637278237679916E-2</v>
      </c>
      <c r="BT22" s="10">
        <v>0.13053070333654609</v>
      </c>
      <c r="BU22" s="10">
        <v>0.21294876613801031</v>
      </c>
      <c r="BV22" s="10">
        <v>0.1585439723976089</v>
      </c>
      <c r="BW22" s="10">
        <v>-0.1746684979276073</v>
      </c>
      <c r="BX22" s="10">
        <v>3.6637445691972373E-2</v>
      </c>
      <c r="BY22" s="10">
        <v>-4.7467864027346263E-3</v>
      </c>
      <c r="BZ22" s="10">
        <v>4.725773586289217E-2</v>
      </c>
      <c r="CA22" s="10">
        <v>-2.749007848032349E-2</v>
      </c>
      <c r="CB22" s="10">
        <v>-0.14899327824592659</v>
      </c>
      <c r="CC22" s="10">
        <v>-1.498570343815637E-2</v>
      </c>
      <c r="CD22" s="10">
        <v>0.33387803671272293</v>
      </c>
      <c r="CE22" s="10">
        <v>-0.39338733910427809</v>
      </c>
      <c r="CF22" s="10">
        <v>0.18879978576027739</v>
      </c>
      <c r="CG22" s="10">
        <v>-0.20326309220258709</v>
      </c>
      <c r="CH22" s="10">
        <v>0.1159187712794482</v>
      </c>
      <c r="CI22" s="10">
        <v>-0.1177797462783592</v>
      </c>
      <c r="CJ22" s="10">
        <v>-0.1033795050895627</v>
      </c>
      <c r="CK22" s="10">
        <v>3.6163342604682402E-2</v>
      </c>
      <c r="CL22" s="10">
        <v>-0.2406517986250408</v>
      </c>
      <c r="CM22" s="10">
        <v>0.30176025790948191</v>
      </c>
      <c r="CN22" s="10">
        <v>-8.5467718209073992E-3</v>
      </c>
      <c r="CO22" s="10">
        <v>-0.64995646824915565</v>
      </c>
      <c r="CP22" s="10">
        <v>0.25940855696940252</v>
      </c>
      <c r="CQ22" s="10">
        <v>-1.233377932566462E-2</v>
      </c>
      <c r="CR22" s="10">
        <v>0.16185042130139199</v>
      </c>
      <c r="CS22" s="10">
        <v>-1.5202183521422779E-2</v>
      </c>
      <c r="CT22" s="10">
        <v>5.8232521355985362E-2</v>
      </c>
      <c r="CU22" s="10">
        <v>-0.11084141964186579</v>
      </c>
      <c r="CV22" s="10">
        <v>0.1122336952070542</v>
      </c>
      <c r="CW22" s="10">
        <v>3.6451253326165209E-2</v>
      </c>
      <c r="CX22" s="10">
        <v>3.749593267848913E-3</v>
      </c>
      <c r="CY22" s="10">
        <v>-7.9888257735091419E-3</v>
      </c>
      <c r="CZ22" s="10">
        <v>0.26292048459923911</v>
      </c>
      <c r="DA22" s="10">
        <v>-3.9917538819241108E-3</v>
      </c>
      <c r="DB22" s="10">
        <v>-3.0263358719618581E-2</v>
      </c>
      <c r="DC22" s="10">
        <v>-3.9494329949896927E-2</v>
      </c>
      <c r="DD22" s="10">
        <v>0.1478941025728035</v>
      </c>
      <c r="DE22" s="10">
        <v>-5.4917579819501461E-3</v>
      </c>
      <c r="DF22" s="10">
        <v>1.7031775273553061E-2</v>
      </c>
      <c r="DG22" s="10">
        <v>3.1985043080887662E-2</v>
      </c>
      <c r="DH22" s="10">
        <v>1.3945346183503959E-2</v>
      </c>
      <c r="DI22" s="10">
        <v>6.356099926224941E-2</v>
      </c>
      <c r="DJ22" s="10">
        <v>-5.0246005833095859E-2</v>
      </c>
      <c r="DK22" s="10">
        <v>0.1791347138228401</v>
      </c>
      <c r="DL22" s="10">
        <v>0.1249416477373831</v>
      </c>
      <c r="DM22" s="10">
        <v>-6.3466051038033502E-2</v>
      </c>
      <c r="DN22" s="10">
        <v>4.6763328204007498E-2</v>
      </c>
      <c r="DO22" s="10">
        <v>0.12343750131163821</v>
      </c>
      <c r="DP22" s="10">
        <v>2.1723233390302729E-3</v>
      </c>
      <c r="DQ22" s="10">
        <v>-0.13103100381943991</v>
      </c>
      <c r="DR22" s="10">
        <v>-6.0925526153180337E-3</v>
      </c>
      <c r="DS22" s="10">
        <v>-0.19705092156235929</v>
      </c>
      <c r="DT22" s="10">
        <v>-2.637635623620076E-2</v>
      </c>
      <c r="DU22" s="10">
        <v>-5.7495390836838987E-2</v>
      </c>
      <c r="DV22" s="10">
        <v>0.12570511767817799</v>
      </c>
      <c r="DW22" s="10">
        <v>0.1095030666415643</v>
      </c>
      <c r="DX22" s="10">
        <v>-0.22244260844829469</v>
      </c>
      <c r="DY22" s="10">
        <v>-8.1471166255399959E-3</v>
      </c>
      <c r="DZ22" s="10">
        <v>-0.10374798094555759</v>
      </c>
      <c r="EA22" s="18">
        <v>-7.0548648839358755E-2</v>
      </c>
      <c r="EB22" s="10">
        <v>-8.0596727535317977E-2</v>
      </c>
      <c r="EC22" s="10">
        <v>2.1495101575638179E-2</v>
      </c>
      <c r="ED22" s="10">
        <v>-7.7413567057607463E-2</v>
      </c>
      <c r="EE22" s="10">
        <v>3.344630381221339E-2</v>
      </c>
      <c r="EF22" s="10">
        <v>-3.4790246372172352E-2</v>
      </c>
    </row>
    <row r="23" spans="1:136">
      <c r="A23" s="4">
        <v>482</v>
      </c>
      <c r="B23" s="4">
        <v>2</v>
      </c>
      <c r="C23" s="9">
        <v>-3.4987009286289193E-2</v>
      </c>
      <c r="D23" s="10">
        <v>0.25409399999999999</v>
      </c>
      <c r="E23" s="10">
        <v>-8.094117257067221E-2</v>
      </c>
      <c r="F23" s="10">
        <v>-3.7419999999999949E-3</v>
      </c>
      <c r="G23" s="10">
        <v>0.36163200000000001</v>
      </c>
      <c r="H23" s="10">
        <v>-1.81885E-2</v>
      </c>
      <c r="I23" s="10">
        <v>0.148152028600294</v>
      </c>
      <c r="J23" s="10">
        <v>-0.11487550000000001</v>
      </c>
      <c r="K23" s="10">
        <v>-5.9918500000000013E-2</v>
      </c>
      <c r="L23" s="10">
        <v>5.0770999999999997E-2</v>
      </c>
      <c r="M23" s="10">
        <v>-0.14728949999999999</v>
      </c>
      <c r="N23" s="10">
        <v>0.97590100000000002</v>
      </c>
      <c r="O23" s="10">
        <v>-0.1229</v>
      </c>
      <c r="P23" s="10">
        <v>-9.040171118212538E-2</v>
      </c>
      <c r="Q23" s="10">
        <v>0.29117749999999998</v>
      </c>
      <c r="R23" s="10">
        <v>6.2820000000000001E-2</v>
      </c>
      <c r="S23" s="10">
        <v>-0.1137245328272621</v>
      </c>
      <c r="T23" s="10">
        <v>-8.4677000000000002E-2</v>
      </c>
      <c r="U23" s="10">
        <v>5.9236499999999997E-2</v>
      </c>
      <c r="V23" s="10">
        <v>-0.2324755</v>
      </c>
      <c r="W23" s="10">
        <v>0.25954700000000003</v>
      </c>
      <c r="X23" s="10">
        <v>-0.26408569496329731</v>
      </c>
      <c r="Y23" s="10">
        <v>-6.7954499999999987E-2</v>
      </c>
      <c r="Z23" s="10">
        <v>4.1052000000000012E-2</v>
      </c>
      <c r="AA23" s="10">
        <v>0.15165200000000001</v>
      </c>
      <c r="AB23" s="10">
        <v>-4.7747999999999999E-2</v>
      </c>
      <c r="AC23" s="10">
        <v>-0.23400850000000001</v>
      </c>
      <c r="AD23" s="10">
        <v>7.1626999999999996E-2</v>
      </c>
      <c r="AE23" s="10">
        <v>-0.36197537925355378</v>
      </c>
      <c r="AF23" s="10">
        <v>-2.5299499999999999E-2</v>
      </c>
      <c r="AG23" s="10">
        <v>-2.0555000000000091E-3</v>
      </c>
      <c r="AH23" s="10">
        <v>3.7278000000000013E-2</v>
      </c>
      <c r="AI23" s="10">
        <v>0.209152</v>
      </c>
      <c r="AJ23" s="10">
        <v>2.3587E-2</v>
      </c>
      <c r="AK23" s="10">
        <v>1.856E-2</v>
      </c>
      <c r="AL23" s="10">
        <v>0.1314317131925356</v>
      </c>
      <c r="AM23" s="10">
        <v>8.6694999999999994E-2</v>
      </c>
      <c r="AN23" s="10">
        <v>0.24231469935730071</v>
      </c>
      <c r="AO23" s="10">
        <v>0.34648449999999997</v>
      </c>
      <c r="AP23" s="10">
        <v>3.1210993523056942E-3</v>
      </c>
      <c r="AQ23" s="10">
        <v>-9.9379000000000009E-2</v>
      </c>
      <c r="AR23" s="10">
        <v>-0.14613599999999999</v>
      </c>
      <c r="AS23" s="10">
        <v>1.470688799737762E-2</v>
      </c>
      <c r="AT23" s="10">
        <v>-4.1427721813649641E-2</v>
      </c>
      <c r="AU23" s="10">
        <v>3.3145526128504327E-2</v>
      </c>
      <c r="AV23" s="10">
        <v>-2.7638994197374041E-2</v>
      </c>
      <c r="AW23" s="10">
        <v>-5.202690983840276E-2</v>
      </c>
      <c r="AX23" s="10">
        <v>6.9838153827044058E-2</v>
      </c>
      <c r="AY23" s="10">
        <v>0.17023398084058211</v>
      </c>
      <c r="AZ23" s="10">
        <v>-6.3753617401060211E-2</v>
      </c>
      <c r="BA23" s="10">
        <v>9.6467800801007808E-3</v>
      </c>
      <c r="BB23" s="10">
        <v>-5.1049484102885123E-2</v>
      </c>
      <c r="BC23" s="10">
        <v>-0.30082824917306578</v>
      </c>
      <c r="BD23" s="10">
        <v>9.4830881346450333E-2</v>
      </c>
      <c r="BE23" s="10">
        <v>-7.1430762397296579E-2</v>
      </c>
      <c r="BF23" s="10">
        <v>-2.284699060468626E-2</v>
      </c>
      <c r="BG23" s="10">
        <v>7.4761471196752541E-2</v>
      </c>
      <c r="BH23" s="10">
        <v>-0.2034839813552872</v>
      </c>
      <c r="BI23" s="10">
        <v>0.1911120793231991</v>
      </c>
      <c r="BJ23" s="10">
        <v>0.1040033152679269</v>
      </c>
      <c r="BK23" s="10">
        <v>4.6869777109240134E-3</v>
      </c>
      <c r="BL23" s="10">
        <v>0.14953429625023959</v>
      </c>
      <c r="BM23" s="10">
        <v>0.18918068678715391</v>
      </c>
      <c r="BN23" s="10">
        <v>-6.9471707588132049E-3</v>
      </c>
      <c r="BO23" s="10">
        <v>-0.16631016589269049</v>
      </c>
      <c r="BP23" s="10">
        <v>9.8266399211456468E-2</v>
      </c>
      <c r="BQ23" s="10">
        <v>4.9611841287991017E-2</v>
      </c>
      <c r="BR23" s="10">
        <v>1.7844321463962809E-2</v>
      </c>
      <c r="BS23" s="10">
        <v>-7.3275388657911791E-2</v>
      </c>
      <c r="BT23" s="10">
        <v>0.14364980602599711</v>
      </c>
      <c r="BU23" s="10">
        <v>0.20568773584594591</v>
      </c>
      <c r="BV23" s="10">
        <v>0.11346756836018849</v>
      </c>
      <c r="BW23" s="10">
        <v>-0.20215233327569121</v>
      </c>
      <c r="BX23" s="10">
        <v>-8.2131197272531514E-3</v>
      </c>
      <c r="BY23" s="10">
        <v>-1.020569269434762E-2</v>
      </c>
      <c r="BZ23" s="10">
        <v>7.6697624318448621E-3</v>
      </c>
      <c r="CA23" s="10">
        <v>-7.5653199746629096E-2</v>
      </c>
      <c r="CB23" s="10">
        <v>-0.21761420299243989</v>
      </c>
      <c r="CC23" s="10">
        <v>0.2249586274956801</v>
      </c>
      <c r="CD23" s="10">
        <v>0.19167645501478511</v>
      </c>
      <c r="CE23" s="10">
        <v>-0.1166246067964614</v>
      </c>
      <c r="CF23" s="10">
        <v>0.15713490979116501</v>
      </c>
      <c r="CG23" s="10">
        <v>-0.3932437879236767</v>
      </c>
      <c r="CH23" s="10">
        <v>0.18019644892142839</v>
      </c>
      <c r="CI23" s="10">
        <v>-0.30989941712809688</v>
      </c>
      <c r="CJ23" s="10">
        <v>-1.9875367550410569E-2</v>
      </c>
      <c r="CK23" s="10">
        <v>9.6116994727961536E-2</v>
      </c>
      <c r="CL23" s="10">
        <v>-0.40866101266741839</v>
      </c>
      <c r="CM23" s="10">
        <v>0.3867329465229094</v>
      </c>
      <c r="CN23" s="10">
        <v>-5.3005178369803271E-2</v>
      </c>
      <c r="CO23" s="10">
        <v>-0.90892328736561978</v>
      </c>
      <c r="CP23" s="10">
        <v>0.31136074316275669</v>
      </c>
      <c r="CQ23" s="10">
        <v>-9.1837444998058917E-3</v>
      </c>
      <c r="CR23" s="10">
        <v>0.1387253877566221</v>
      </c>
      <c r="CS23" s="10">
        <v>-3.697421899127859E-2</v>
      </c>
      <c r="CT23" s="10">
        <v>4.5662541711253862E-2</v>
      </c>
      <c r="CU23" s="10">
        <v>-2.1056595713287041E-2</v>
      </c>
      <c r="CV23" s="10">
        <v>-2.2245137488805671E-2</v>
      </c>
      <c r="CW23" s="10">
        <v>0.1009013318024186</v>
      </c>
      <c r="CX23" s="10">
        <v>-8.8716994096526336E-2</v>
      </c>
      <c r="CY23" s="10">
        <v>2.20465307533785E-2</v>
      </c>
      <c r="CZ23" s="10">
        <v>0.18199879385735121</v>
      </c>
      <c r="DA23" s="10">
        <v>-3.0982136225910391E-2</v>
      </c>
      <c r="DB23" s="10">
        <v>-1.5955156866996431E-2</v>
      </c>
      <c r="DC23" s="10">
        <v>0.1191904860704142</v>
      </c>
      <c r="DD23" s="10">
        <v>0.20992709009292551</v>
      </c>
      <c r="DE23" s="10">
        <v>-9.3952259516448811E-3</v>
      </c>
      <c r="DF23" s="10">
        <v>6.194212704490535E-2</v>
      </c>
      <c r="DG23" s="10">
        <v>3.8270011874717E-2</v>
      </c>
      <c r="DH23" s="10">
        <v>5.5413447308742453E-2</v>
      </c>
      <c r="DI23" s="10">
        <v>5.3479596916020812E-2</v>
      </c>
      <c r="DJ23" s="10">
        <v>-8.7058008172347823E-2</v>
      </c>
      <c r="DK23" s="10">
        <v>0.27783321655884308</v>
      </c>
      <c r="DL23" s="10">
        <v>0.21610105954027359</v>
      </c>
      <c r="DM23" s="10">
        <v>-1.949730491936592E-2</v>
      </c>
      <c r="DN23" s="10">
        <v>6.4971960439702253E-3</v>
      </c>
      <c r="DO23" s="10">
        <v>0.16409130373383399</v>
      </c>
      <c r="DP23" s="10">
        <v>4.7088232655722921E-2</v>
      </c>
      <c r="DQ23" s="10">
        <v>-0.17021099650353791</v>
      </c>
      <c r="DR23" s="10">
        <v>-8.9886002731306744E-2</v>
      </c>
      <c r="DS23" s="10">
        <v>-0.28809657691904628</v>
      </c>
      <c r="DT23" s="10">
        <v>-0.12395522319619889</v>
      </c>
      <c r="DU23" s="10">
        <v>3.4287185254997438E-2</v>
      </c>
      <c r="DV23" s="10">
        <v>0.27627160832943959</v>
      </c>
      <c r="DW23" s="10">
        <v>0.14122823258283859</v>
      </c>
      <c r="DX23" s="10">
        <v>-0.31349320637896622</v>
      </c>
      <c r="DY23" s="10">
        <v>0.16987682865225409</v>
      </c>
      <c r="DZ23" s="10">
        <v>-8.5690902482961295E-2</v>
      </c>
      <c r="EA23" s="18">
        <v>-2.3448907613119421E-2</v>
      </c>
      <c r="EB23" s="10">
        <v>-6.2753439710675096E-2</v>
      </c>
      <c r="EC23" s="10">
        <v>-3.6584316325813361E-2</v>
      </c>
      <c r="ED23" s="10">
        <v>-9.1425904619781034E-2</v>
      </c>
      <c r="EE23" s="10">
        <v>5.9050683888240307E-2</v>
      </c>
      <c r="EF23" s="10">
        <v>-4.7782278591659677E-2</v>
      </c>
    </row>
    <row r="24" spans="1:136">
      <c r="A24" s="4">
        <v>964</v>
      </c>
      <c r="B24" s="4">
        <v>1</v>
      </c>
      <c r="C24" s="9">
        <v>0.162993136931085</v>
      </c>
      <c r="D24" s="10">
        <v>0.10061</v>
      </c>
      <c r="E24" s="10">
        <v>7.1400330169296908E-2</v>
      </c>
      <c r="F24" s="10">
        <v>7.5326000000000004E-2</v>
      </c>
      <c r="G24" s="10">
        <v>0.22960700000000001</v>
      </c>
      <c r="H24" s="10">
        <v>3.5856000000000013E-2</v>
      </c>
      <c r="I24" s="10">
        <v>-2.111933203143501E-3</v>
      </c>
      <c r="J24" s="10">
        <v>-0.11546099999999999</v>
      </c>
      <c r="K24" s="10">
        <v>5.3733000000000003E-2</v>
      </c>
      <c r="L24" s="10">
        <v>9.3800000000000008E-2</v>
      </c>
      <c r="M24" s="10">
        <v>-0.21778600000000001</v>
      </c>
      <c r="N24" s="10">
        <v>1.7690319999999999</v>
      </c>
      <c r="O24" s="10">
        <v>-0.24428</v>
      </c>
      <c r="P24" s="10">
        <v>-0.1042484144089995</v>
      </c>
      <c r="Q24" s="10">
        <v>-2.8400000000000018E-3</v>
      </c>
      <c r="R24" s="10">
        <v>-2.7827000000000001E-2</v>
      </c>
      <c r="S24" s="10">
        <v>-0.35251446106016437</v>
      </c>
      <c r="T24" s="10">
        <v>-0.28782000000000002</v>
      </c>
      <c r="U24" s="10">
        <v>0.28585300000000002</v>
      </c>
      <c r="V24" s="10">
        <v>-9.8680000000000004E-2</v>
      </c>
      <c r="W24" s="10">
        <v>-0.16456200000000001</v>
      </c>
      <c r="X24" s="10">
        <v>-0.1180224325060039</v>
      </c>
      <c r="Y24" s="10">
        <v>-0.120319</v>
      </c>
      <c r="Z24" s="10">
        <v>-2.4395E-2</v>
      </c>
      <c r="AA24" s="10">
        <v>9.4362000000000001E-2</v>
      </c>
      <c r="AB24" s="10">
        <v>-0.184249</v>
      </c>
      <c r="AC24" s="10">
        <v>-0.24617</v>
      </c>
      <c r="AD24" s="10">
        <v>0.101174</v>
      </c>
      <c r="AE24" s="10">
        <v>-0.54125812124628125</v>
      </c>
      <c r="AF24" s="10">
        <v>-0.16570199999999999</v>
      </c>
      <c r="AG24" s="10">
        <v>0.105901</v>
      </c>
      <c r="AH24" s="10">
        <v>-6.8616999999999997E-2</v>
      </c>
      <c r="AI24" s="10">
        <v>0.31041400000000002</v>
      </c>
      <c r="AJ24" s="10">
        <v>8.5434999999999997E-2</v>
      </c>
      <c r="AK24" s="10">
        <v>1.4400000000000001E-3</v>
      </c>
      <c r="AL24" s="10">
        <v>-5.4676935490635382E-2</v>
      </c>
      <c r="AM24" s="10">
        <v>7.8599000000000002E-2</v>
      </c>
      <c r="AN24" s="10">
        <v>0.22118946514543131</v>
      </c>
      <c r="AO24" s="10">
        <v>8.2692000000000002E-2</v>
      </c>
      <c r="AP24" s="10">
        <v>-2.28517154890964E-2</v>
      </c>
      <c r="AQ24" s="10">
        <v>-0.21712400000000001</v>
      </c>
      <c r="AR24" s="10">
        <v>-0.17083300000000001</v>
      </c>
      <c r="AS24" s="10">
        <v>2.7956077266590069E-2</v>
      </c>
      <c r="AT24" s="10">
        <v>3.045920748470865E-2</v>
      </c>
      <c r="AU24" s="10">
        <v>4.4095319865224331E-2</v>
      </c>
      <c r="AV24" s="10">
        <v>-8.7151952186895892E-2</v>
      </c>
      <c r="AW24" s="10">
        <v>4.9875415110391882E-3</v>
      </c>
      <c r="AX24" s="10">
        <v>2.8306186588424521E-2</v>
      </c>
      <c r="AY24" s="10">
        <v>0.16812729388488939</v>
      </c>
      <c r="AZ24" s="10">
        <v>3.7867073599665187E-2</v>
      </c>
      <c r="BA24" s="10">
        <v>-5.3794732084633153E-2</v>
      </c>
      <c r="BB24" s="10">
        <v>-8.6159033395334803E-2</v>
      </c>
      <c r="BC24" s="10">
        <v>-0.59942164102389184</v>
      </c>
      <c r="BD24" s="10">
        <v>0.18559521924643521</v>
      </c>
      <c r="BE24" s="10">
        <v>-4.606435403168687E-2</v>
      </c>
      <c r="BF24" s="10">
        <v>8.765133605409231E-2</v>
      </c>
      <c r="BG24" s="10">
        <v>2.6835965866310919E-2</v>
      </c>
      <c r="BH24" s="10">
        <v>-0.38625533691353497</v>
      </c>
      <c r="BI24" s="10">
        <v>0.2236291060700471</v>
      </c>
      <c r="BJ24" s="10">
        <v>3.3483157548845829E-3</v>
      </c>
      <c r="BK24" s="10">
        <v>4.0235468942862278E-3</v>
      </c>
      <c r="BL24" s="10">
        <v>0.31716429392471662</v>
      </c>
      <c r="BM24" s="10">
        <v>1.1473019117737151E-2</v>
      </c>
      <c r="BN24" s="10">
        <v>6.849341845574783E-3</v>
      </c>
      <c r="BO24" s="10">
        <v>-0.16110969109564191</v>
      </c>
      <c r="BP24" s="10">
        <v>0.1233511811293219</v>
      </c>
      <c r="BQ24" s="10">
        <v>-6.4169633330115036E-2</v>
      </c>
      <c r="BR24" s="10">
        <v>4.2356223303417713E-2</v>
      </c>
      <c r="BS24" s="10">
        <v>-1.284717484456964E-3</v>
      </c>
      <c r="BT24" s="10">
        <v>0.1162706960541873</v>
      </c>
      <c r="BU24" s="10">
        <v>0.22832663155994071</v>
      </c>
      <c r="BV24" s="10">
        <v>0.1077284538879829</v>
      </c>
      <c r="BW24" s="10">
        <v>-6.1835883635593128E-2</v>
      </c>
      <c r="BX24" s="10">
        <v>-0.1329600557104578</v>
      </c>
      <c r="BY24" s="10">
        <v>0.10974566916741731</v>
      </c>
      <c r="BZ24" s="10">
        <v>0.25889289884999689</v>
      </c>
      <c r="CA24" s="10">
        <v>-0.1152216807734147</v>
      </c>
      <c r="CB24" s="10">
        <v>0.20876197428786911</v>
      </c>
      <c r="CC24" s="10">
        <v>0.43985451226693362</v>
      </c>
      <c r="CD24" s="10">
        <v>3.2392267354276312E-2</v>
      </c>
      <c r="CE24" s="10">
        <v>-0.21012143523608839</v>
      </c>
      <c r="CF24" s="10">
        <v>0.2217213622453883</v>
      </c>
      <c r="CG24" s="10">
        <v>-0.32381797901906062</v>
      </c>
      <c r="CH24" s="10">
        <v>0.35427729684250298</v>
      </c>
      <c r="CI24" s="10">
        <v>0.3284518207092646</v>
      </c>
      <c r="CJ24" s="10">
        <v>1.310948541941956E-2</v>
      </c>
      <c r="CK24" s="10">
        <v>9.3530079315696568E-2</v>
      </c>
      <c r="CL24" s="10">
        <v>0.1417553333725407</v>
      </c>
      <c r="CM24" s="10">
        <v>0.54958710995910021</v>
      </c>
      <c r="CN24" s="10">
        <v>-0.1077387664572132</v>
      </c>
      <c r="CO24" s="10">
        <v>-0.77665321833623113</v>
      </c>
      <c r="CP24" s="10">
        <v>0.28781577122863622</v>
      </c>
      <c r="CQ24" s="10">
        <v>0.1146871738632968</v>
      </c>
      <c r="CR24" s="10">
        <v>6.1084838239556717E-2</v>
      </c>
      <c r="CS24" s="10">
        <v>-8.5895232746805786E-2</v>
      </c>
      <c r="CT24" s="10">
        <v>9.6419008147395818E-2</v>
      </c>
      <c r="CU24" s="10">
        <v>-7.2751347656710041E-2</v>
      </c>
      <c r="CV24" s="10">
        <v>1.5064047539375311E-2</v>
      </c>
      <c r="CW24" s="10">
        <v>0.17511716607200739</v>
      </c>
      <c r="CX24" s="10">
        <v>5.5207193708687041E-2</v>
      </c>
      <c r="CY24" s="10">
        <v>-8.0066904636818925E-2</v>
      </c>
      <c r="CZ24" s="10">
        <v>0.11220662844456721</v>
      </c>
      <c r="DA24" s="10">
        <v>2.451120416275485E-2</v>
      </c>
      <c r="DB24" s="10">
        <v>-0.19546067251265431</v>
      </c>
      <c r="DC24" s="10">
        <v>0.19445359829121789</v>
      </c>
      <c r="DD24" s="10">
        <v>0.15338138073910601</v>
      </c>
      <c r="DE24" s="10">
        <v>-0.17606275750953501</v>
      </c>
      <c r="DF24" s="10">
        <v>-0.1046649760205613</v>
      </c>
      <c r="DG24" s="10">
        <v>5.9105834124344087E-2</v>
      </c>
      <c r="DH24" s="10">
        <v>9.936698049993925E-2</v>
      </c>
      <c r="DI24" s="10">
        <v>0.1418754589382695</v>
      </c>
      <c r="DJ24" s="10">
        <v>-0.13248861050923971</v>
      </c>
      <c r="DK24" s="10">
        <v>0.33950921063044381</v>
      </c>
      <c r="DL24" s="10">
        <v>0.21310442628588119</v>
      </c>
      <c r="DM24" s="10">
        <v>-0.14143952722687489</v>
      </c>
      <c r="DN24" s="10">
        <v>0.23333457077469619</v>
      </c>
      <c r="DO24" s="10">
        <v>0.18544080263268789</v>
      </c>
      <c r="DP24" s="10">
        <v>0.1143734254860139</v>
      </c>
      <c r="DQ24" s="10">
        <v>-0.13297735123596999</v>
      </c>
      <c r="DR24" s="10">
        <v>-2.0515630212029241E-2</v>
      </c>
      <c r="DS24" s="10">
        <v>-0.21626154103284559</v>
      </c>
      <c r="DT24" s="10">
        <v>-3.8362866170129663E-2</v>
      </c>
      <c r="DU24" s="10">
        <v>-4.7638587273757492E-2</v>
      </c>
      <c r="DV24" s="10">
        <v>0.1582246986438143</v>
      </c>
      <c r="DW24" s="10">
        <v>0.10885708989133031</v>
      </c>
      <c r="DX24" s="10">
        <v>-0.31159312779250392</v>
      </c>
      <c r="DY24" s="10">
        <v>0.34380428679820851</v>
      </c>
      <c r="DZ24" s="10">
        <v>-5.0469182403116652E-2</v>
      </c>
      <c r="EA24" s="18">
        <v>7.7350922227335792E-2</v>
      </c>
      <c r="EB24" s="10">
        <v>2.837173691073663E-2</v>
      </c>
      <c r="EC24" s="10">
        <v>-1.4309918770678909E-2</v>
      </c>
      <c r="ED24" s="10">
        <v>-5.6172845298362112E-2</v>
      </c>
      <c r="EE24" s="10">
        <v>0.1134294391912188</v>
      </c>
      <c r="EF24" s="10">
        <v>6.7276677043968364E-2</v>
      </c>
    </row>
    <row r="26" spans="1:136" s="2" customFormat="1">
      <c r="A26" s="3" t="s">
        <v>144</v>
      </c>
      <c r="B26" s="3" t="s">
        <v>145</v>
      </c>
      <c r="C26" s="11">
        <v>-1.7446770539390338E-2</v>
      </c>
      <c r="D26" s="11">
        <v>2.070106053181563E-2</v>
      </c>
      <c r="E26" s="11">
        <v>2.3982129254766709E-2</v>
      </c>
      <c r="F26" s="11">
        <v>-6.557578972823077E-3</v>
      </c>
      <c r="G26" s="11">
        <v>3.1845129800519692E-2</v>
      </c>
      <c r="H26" s="11">
        <v>3.4348532736990518E-2</v>
      </c>
      <c r="I26" s="11">
        <v>-8.2549327813252367E-3</v>
      </c>
      <c r="J26" s="11">
        <v>1.2843524394052759E-2</v>
      </c>
      <c r="K26" s="11">
        <v>-5.1018524626790823E-2</v>
      </c>
      <c r="L26" s="11">
        <v>8.7394274103658827E-4</v>
      </c>
      <c r="M26" s="11">
        <v>2.3389575505495919E-2</v>
      </c>
      <c r="N26" s="11">
        <v>1.2988972200332851E-2</v>
      </c>
      <c r="O26" s="11">
        <v>5.8545887256348812E-3</v>
      </c>
      <c r="P26" s="11">
        <v>2.7413206571790558E-2</v>
      </c>
      <c r="Q26" s="11">
        <v>-3.7129361176928542E-3</v>
      </c>
      <c r="R26" s="11">
        <v>2.4076614047823328E-2</v>
      </c>
      <c r="S26" s="11">
        <v>-1.219002529903996E-2</v>
      </c>
      <c r="T26" s="11">
        <v>-3.9749578159589592E-2</v>
      </c>
      <c r="U26" s="11">
        <v>-7.3155449831649552E-2</v>
      </c>
      <c r="V26" s="11">
        <v>-5.8260229910114661E-2</v>
      </c>
      <c r="W26" s="11">
        <v>7.7279756550837221E-4</v>
      </c>
      <c r="X26" s="11">
        <v>4.459152113521897E-2</v>
      </c>
      <c r="Y26" s="11">
        <v>-2.7699680050213091E-2</v>
      </c>
      <c r="Z26" s="11">
        <v>2.0950059497436462E-3</v>
      </c>
      <c r="AA26" s="11">
        <v>-2.340055099256411E-2</v>
      </c>
      <c r="AB26" s="11">
        <v>3.2129371097322189E-2</v>
      </c>
      <c r="AC26" s="11">
        <v>3.890327309406643E-2</v>
      </c>
      <c r="AD26" s="11">
        <v>-4.286538217110427E-2</v>
      </c>
      <c r="AE26" s="11">
        <v>1.8647194550152159E-2</v>
      </c>
      <c r="AF26" s="11">
        <v>1.5229768322528949E-2</v>
      </c>
      <c r="AG26" s="11">
        <v>3.6016603778892417E-2</v>
      </c>
      <c r="AH26" s="11">
        <v>9.3546113853161701E-3</v>
      </c>
      <c r="AI26" s="11">
        <v>1.0748251336838139E-2</v>
      </c>
      <c r="AJ26" s="11">
        <v>1.335775405308097E-2</v>
      </c>
      <c r="AK26" s="11">
        <v>-5.3327473290953921E-3</v>
      </c>
      <c r="AL26" s="11">
        <v>1.383135807261675E-3</v>
      </c>
      <c r="AM26" s="11">
        <v>2.079592842007446E-2</v>
      </c>
      <c r="AN26" s="11">
        <v>3.1517702220390638E-2</v>
      </c>
      <c r="AO26" s="11">
        <v>6.2417165333294418E-3</v>
      </c>
      <c r="AP26" s="11">
        <v>6.1452616535713897E-3</v>
      </c>
      <c r="AQ26" s="11">
        <v>1.694635767669651E-2</v>
      </c>
      <c r="AR26" s="11">
        <v>3.4682830454308228E-2</v>
      </c>
      <c r="AS26" s="11">
        <v>3.0985886171969678E-3</v>
      </c>
      <c r="AT26" s="11">
        <v>1.508134714348611E-2</v>
      </c>
      <c r="AU26" s="11">
        <v>-1.9251209229863991E-2</v>
      </c>
      <c r="AV26" s="11">
        <v>3.8711513387631437E-2</v>
      </c>
      <c r="AW26" s="11">
        <v>-2.1856951135736599E-2</v>
      </c>
      <c r="AX26" s="11">
        <v>7.7743007097896798E-3</v>
      </c>
      <c r="AY26" s="11">
        <v>4.2397246695325942E-2</v>
      </c>
      <c r="AZ26" s="11">
        <v>-2.630897486115975E-2</v>
      </c>
      <c r="BA26" s="11">
        <v>9.5717493087162323E-3</v>
      </c>
      <c r="BB26" s="11">
        <v>-2.424974126627483E-2</v>
      </c>
      <c r="BC26" s="11">
        <v>2.0163374143915822E-2</v>
      </c>
      <c r="BD26" s="11">
        <v>-3.5049987821160239E-3</v>
      </c>
      <c r="BE26" s="11">
        <v>2.0151935098542271E-2</v>
      </c>
      <c r="BF26" s="11">
        <v>5.8133623077027128E-4</v>
      </c>
      <c r="BG26" s="11">
        <v>-5.2197009532526043E-3</v>
      </c>
      <c r="BH26" s="11">
        <v>-0.11587176140213</v>
      </c>
      <c r="BI26" s="11">
        <v>8.7252256924373536E-3</v>
      </c>
      <c r="BJ26" s="11">
        <v>-1.6377260977822151E-2</v>
      </c>
      <c r="BK26" s="11">
        <v>2.0840371600260421E-2</v>
      </c>
      <c r="BL26" s="11">
        <v>4.4975872102114713E-2</v>
      </c>
      <c r="BM26" s="11">
        <v>2.3954306081863871E-2</v>
      </c>
      <c r="BN26" s="11">
        <v>3.0239101391442601E-2</v>
      </c>
      <c r="BO26" s="11">
        <v>-4.372588759108751E-2</v>
      </c>
      <c r="BP26" s="11">
        <v>2.1889469568198618E-2</v>
      </c>
      <c r="BQ26" s="11">
        <v>8.6274302635084028E-3</v>
      </c>
      <c r="BR26" s="11">
        <v>-1.9192953994658781E-2</v>
      </c>
      <c r="BS26" s="11">
        <v>1.973512988813305E-2</v>
      </c>
      <c r="BT26" s="11">
        <v>4.7694337483699438E-2</v>
      </c>
      <c r="BU26" s="11">
        <v>1.145481680658339E-2</v>
      </c>
      <c r="BV26" s="11">
        <v>4.3228620735213191E-2</v>
      </c>
      <c r="BW26" s="11">
        <v>-4.2747430436922793E-2</v>
      </c>
      <c r="BX26" s="11">
        <v>-1.781129242779457E-2</v>
      </c>
      <c r="BY26" s="11">
        <v>-0.1511530968690756</v>
      </c>
      <c r="BZ26" s="11">
        <v>0.12422400361957529</v>
      </c>
      <c r="CA26" s="11">
        <v>-4.5572538445296431E-3</v>
      </c>
      <c r="CB26" s="11">
        <v>6.0211240204911178E-2</v>
      </c>
      <c r="CC26" s="11">
        <v>8.5992033482502284E-2</v>
      </c>
      <c r="CD26" s="11">
        <v>-5.8084795823660634E-3</v>
      </c>
      <c r="CE26" s="11">
        <v>-6.0413469889680736E-3</v>
      </c>
      <c r="CF26" s="11">
        <v>2.4523243722520739E-3</v>
      </c>
      <c r="CG26" s="11">
        <v>8.963625193702289E-2</v>
      </c>
      <c r="CH26" s="11">
        <v>7.099273252675789E-2</v>
      </c>
      <c r="CI26" s="11">
        <v>2.7170642901783448E-2</v>
      </c>
      <c r="CJ26" s="11">
        <v>5.2468428425330033E-2</v>
      </c>
      <c r="CK26" s="11">
        <v>2.9480660943049509E-2</v>
      </c>
      <c r="CL26" s="11">
        <v>6.6825081060201283E-2</v>
      </c>
      <c r="CM26" s="11">
        <v>-2.8772229019816971E-2</v>
      </c>
      <c r="CN26" s="11">
        <v>3.9462515901637851E-2</v>
      </c>
      <c r="CO26" s="11">
        <v>-2.9031086977359909E-2</v>
      </c>
      <c r="CP26" s="11">
        <v>1.3983882519467901E-2</v>
      </c>
      <c r="CQ26" s="11">
        <v>-3.2276964959333833E-2</v>
      </c>
      <c r="CR26" s="11">
        <v>3.1035766128940231E-3</v>
      </c>
      <c r="CS26" s="11">
        <v>2.5591855767083171E-2</v>
      </c>
      <c r="CT26" s="11">
        <v>4.4391886287193302E-2</v>
      </c>
      <c r="CU26" s="11">
        <v>-3.0338958549577438E-2</v>
      </c>
      <c r="CV26" s="11">
        <v>-1.2579764545717069E-3</v>
      </c>
      <c r="CW26" s="11">
        <v>2.336356455857952E-3</v>
      </c>
      <c r="CX26" s="11">
        <v>-6.4264144925906069E-2</v>
      </c>
      <c r="CY26" s="11">
        <v>1.2909779458992439E-2</v>
      </c>
      <c r="CZ26" s="11">
        <v>-0.12547709467085871</v>
      </c>
      <c r="DA26" s="11">
        <v>1.1690682939792569E-2</v>
      </c>
      <c r="DB26" s="11">
        <v>6.3378437007417512E-3</v>
      </c>
      <c r="DC26" s="11">
        <v>-0.1173053564693855</v>
      </c>
      <c r="DD26" s="11">
        <v>-3.6010872049446613E-2</v>
      </c>
      <c r="DE26" s="11">
        <v>0.1389113040722679</v>
      </c>
      <c r="DF26" s="11">
        <v>-5.1143506226105737E-2</v>
      </c>
      <c r="DG26" s="11">
        <v>7.6731447181969059E-2</v>
      </c>
      <c r="DH26" s="11">
        <v>1.550878219700816E-2</v>
      </c>
      <c r="DI26" s="11">
        <v>2.3223773674755831E-2</v>
      </c>
      <c r="DJ26" s="11">
        <v>-1.8372876361227891E-2</v>
      </c>
      <c r="DK26" s="11">
        <v>6.2199014085099431E-2</v>
      </c>
      <c r="DL26" s="11">
        <v>2.0098304486957191E-2</v>
      </c>
      <c r="DM26" s="11">
        <v>1.349893974806809E-2</v>
      </c>
      <c r="DN26" s="11">
        <v>-3.025221272842088E-2</v>
      </c>
      <c r="DO26" s="11">
        <v>-1.7022835708053841E-2</v>
      </c>
      <c r="DP26" s="11">
        <v>-2.1788523272461981E-2</v>
      </c>
      <c r="DQ26" s="11">
        <v>8.5745624585137223E-2</v>
      </c>
      <c r="DR26" s="11">
        <v>2.8106743604973752E-2</v>
      </c>
      <c r="DS26" s="11">
        <v>-2.3031598073594501E-3</v>
      </c>
      <c r="DT26" s="11">
        <v>5.8471198131487503E-2</v>
      </c>
      <c r="DU26" s="11">
        <v>6.7658949048647651E-2</v>
      </c>
      <c r="DV26" s="11">
        <v>5.0207706404322644E-3</v>
      </c>
      <c r="DW26" s="11">
        <v>3.7416183675207063E-2</v>
      </c>
      <c r="DX26" s="11">
        <v>8.4111003746042121E-2</v>
      </c>
      <c r="DY26" s="11">
        <v>-3.6832398544012837E-2</v>
      </c>
      <c r="DZ26" s="11">
        <v>3.0917028169369942E-3</v>
      </c>
      <c r="EA26" s="11">
        <v>-1.957628214294549E-3</v>
      </c>
      <c r="EB26" s="11">
        <v>2.6459103603519739E-2</v>
      </c>
      <c r="EC26" s="11">
        <v>-2.4752538760690269E-2</v>
      </c>
      <c r="ED26" s="11">
        <v>3.4115490982559941E-2</v>
      </c>
      <c r="EE26" s="11">
        <v>2.1061973989032982E-2</v>
      </c>
      <c r="EF26" s="11">
        <v>-2.0277392706005919E-2</v>
      </c>
    </row>
    <row r="28" spans="1:136">
      <c r="B28" t="s">
        <v>188</v>
      </c>
      <c r="C28" s="13">
        <v>2540</v>
      </c>
      <c r="D28" s="13">
        <v>5455</v>
      </c>
      <c r="E28" s="13">
        <v>2540</v>
      </c>
      <c r="F28" s="13">
        <v>8097</v>
      </c>
      <c r="G28" s="13">
        <v>5455</v>
      </c>
      <c r="H28" s="13">
        <v>5455</v>
      </c>
      <c r="I28" s="13">
        <v>6114</v>
      </c>
      <c r="J28" s="13">
        <v>5455</v>
      </c>
      <c r="K28" s="13">
        <v>6291</v>
      </c>
      <c r="L28" s="13">
        <v>5455</v>
      </c>
      <c r="M28" s="13">
        <v>5455</v>
      </c>
      <c r="N28" s="13">
        <v>5455</v>
      </c>
      <c r="O28" s="13">
        <v>5455</v>
      </c>
      <c r="P28" s="13">
        <v>5455</v>
      </c>
      <c r="Q28" s="13">
        <v>6291</v>
      </c>
      <c r="R28" s="13">
        <v>6291</v>
      </c>
      <c r="S28" s="13">
        <v>5455</v>
      </c>
      <c r="T28" s="13">
        <v>6291</v>
      </c>
      <c r="U28" s="13">
        <v>6291</v>
      </c>
      <c r="V28" s="13">
        <v>6291</v>
      </c>
      <c r="W28" s="13">
        <v>6291</v>
      </c>
      <c r="X28" s="13">
        <v>6225</v>
      </c>
      <c r="Y28" s="13">
        <v>6291</v>
      </c>
      <c r="Z28" s="13">
        <v>6291</v>
      </c>
      <c r="AA28" s="13">
        <v>6291</v>
      </c>
      <c r="AB28" s="13">
        <v>6291</v>
      </c>
      <c r="AC28" s="13">
        <v>6291</v>
      </c>
      <c r="AD28" s="13">
        <v>6291</v>
      </c>
      <c r="AE28" s="13">
        <v>6225</v>
      </c>
      <c r="AF28" s="13">
        <v>6291</v>
      </c>
      <c r="AG28" s="13">
        <v>6291</v>
      </c>
      <c r="AH28" s="13">
        <v>6291</v>
      </c>
      <c r="AI28" s="13">
        <v>6291</v>
      </c>
      <c r="AJ28" s="13">
        <v>6291</v>
      </c>
      <c r="AK28" s="13">
        <v>6291</v>
      </c>
      <c r="AL28" s="13">
        <v>6225</v>
      </c>
      <c r="AM28" s="13">
        <v>6291</v>
      </c>
      <c r="AN28" s="13">
        <v>6225</v>
      </c>
      <c r="AO28" s="13">
        <v>6291</v>
      </c>
      <c r="AP28" s="13">
        <v>6225</v>
      </c>
      <c r="AQ28" s="13">
        <v>6291</v>
      </c>
      <c r="AR28" s="13">
        <v>6291</v>
      </c>
      <c r="AS28" s="13">
        <v>6225</v>
      </c>
      <c r="AT28" s="13">
        <v>6225</v>
      </c>
      <c r="AU28" s="13">
        <v>6225</v>
      </c>
      <c r="AV28" s="13">
        <v>6225</v>
      </c>
      <c r="AW28" s="13">
        <v>3043</v>
      </c>
      <c r="AX28" s="13">
        <v>3043</v>
      </c>
      <c r="AY28" s="13">
        <v>6225</v>
      </c>
      <c r="AZ28" s="13">
        <v>6225</v>
      </c>
      <c r="BA28" s="13">
        <v>6225</v>
      </c>
      <c r="BB28" s="13">
        <v>6225</v>
      </c>
      <c r="BC28" s="13">
        <v>6225</v>
      </c>
      <c r="BD28" s="13">
        <v>6225</v>
      </c>
      <c r="BE28" s="13">
        <v>6225</v>
      </c>
      <c r="BF28" s="13">
        <v>6225</v>
      </c>
      <c r="BG28" s="13">
        <v>6225</v>
      </c>
      <c r="BH28" s="13">
        <v>6225</v>
      </c>
      <c r="BI28" s="13">
        <v>6225</v>
      </c>
      <c r="BJ28" s="13">
        <v>6225</v>
      </c>
      <c r="BK28" s="13">
        <v>6225</v>
      </c>
      <c r="BL28" s="13">
        <v>6225</v>
      </c>
      <c r="BM28" s="13">
        <v>6225</v>
      </c>
      <c r="BN28" s="13">
        <v>6225</v>
      </c>
      <c r="BO28" s="13">
        <v>6225</v>
      </c>
      <c r="BP28" s="13">
        <v>6225</v>
      </c>
      <c r="BQ28" s="13">
        <v>6225</v>
      </c>
      <c r="BR28" s="13">
        <v>6225</v>
      </c>
      <c r="BS28" s="13">
        <v>6225</v>
      </c>
      <c r="BT28" s="13">
        <v>6225</v>
      </c>
      <c r="BU28" s="13">
        <v>8080</v>
      </c>
      <c r="BV28" s="13">
        <v>6225</v>
      </c>
      <c r="BW28" s="13">
        <v>5205</v>
      </c>
      <c r="BX28" s="13">
        <v>8080</v>
      </c>
      <c r="BY28" s="13">
        <v>8080</v>
      </c>
      <c r="BZ28" s="13">
        <v>8080</v>
      </c>
      <c r="CA28" s="13">
        <v>8080</v>
      </c>
      <c r="CB28" s="13">
        <v>8080</v>
      </c>
      <c r="CC28" s="13">
        <v>5205</v>
      </c>
      <c r="CD28" s="13">
        <v>5205</v>
      </c>
      <c r="CE28" s="13">
        <v>5205</v>
      </c>
      <c r="CF28" s="13">
        <v>5205</v>
      </c>
      <c r="CG28" s="13">
        <v>5205</v>
      </c>
      <c r="CH28" s="13">
        <v>5205</v>
      </c>
      <c r="CI28" s="13">
        <v>5205</v>
      </c>
      <c r="CJ28" s="13">
        <v>8080</v>
      </c>
      <c r="CK28" s="13">
        <v>8080</v>
      </c>
      <c r="CL28" s="13">
        <v>8080</v>
      </c>
      <c r="CM28" s="13">
        <v>5205</v>
      </c>
      <c r="CN28" s="13">
        <v>6287</v>
      </c>
      <c r="CO28" s="13">
        <v>6287</v>
      </c>
      <c r="CP28" s="13">
        <v>6287</v>
      </c>
      <c r="CQ28" s="13">
        <v>6287</v>
      </c>
      <c r="CR28" s="13">
        <v>6287</v>
      </c>
      <c r="CS28" s="13">
        <v>6287</v>
      </c>
      <c r="CT28" s="13">
        <v>6287</v>
      </c>
      <c r="CU28" s="13">
        <v>8101</v>
      </c>
      <c r="CV28" s="13">
        <v>8101</v>
      </c>
      <c r="CW28" s="13">
        <v>8101</v>
      </c>
      <c r="CX28" s="13">
        <v>8101</v>
      </c>
      <c r="CY28" s="13">
        <v>8101</v>
      </c>
      <c r="CZ28" s="13">
        <v>8101</v>
      </c>
      <c r="DA28" s="13">
        <v>6225</v>
      </c>
      <c r="DB28" s="13">
        <v>6225</v>
      </c>
      <c r="DC28" s="13">
        <v>6225</v>
      </c>
      <c r="DD28" s="13">
        <v>6225</v>
      </c>
      <c r="DE28" s="13">
        <v>6225</v>
      </c>
      <c r="DF28" s="13">
        <v>3064</v>
      </c>
      <c r="DG28" s="13">
        <v>6225</v>
      </c>
      <c r="DH28" s="13">
        <v>6225</v>
      </c>
      <c r="DI28" s="13">
        <v>6225</v>
      </c>
      <c r="DJ28" s="13">
        <v>6225</v>
      </c>
      <c r="DK28" s="13">
        <v>6225</v>
      </c>
      <c r="DL28" s="13">
        <v>6225</v>
      </c>
      <c r="DM28" s="13">
        <v>8084</v>
      </c>
      <c r="DN28" s="13">
        <v>8084</v>
      </c>
      <c r="DO28" s="13">
        <v>1519</v>
      </c>
      <c r="DP28" s="13">
        <v>1519</v>
      </c>
      <c r="DQ28" s="13">
        <v>8084</v>
      </c>
      <c r="DR28" s="13">
        <v>4419</v>
      </c>
      <c r="DS28" s="13">
        <v>4419</v>
      </c>
      <c r="DT28" s="13">
        <v>4419</v>
      </c>
      <c r="DU28" s="13">
        <v>4419</v>
      </c>
      <c r="DV28" s="13">
        <v>4419</v>
      </c>
      <c r="DW28" s="13">
        <v>4419</v>
      </c>
      <c r="DX28" s="13">
        <v>4419</v>
      </c>
      <c r="DY28" s="13">
        <v>1519</v>
      </c>
      <c r="DZ28" s="13">
        <v>1519</v>
      </c>
      <c r="EA28" s="13">
        <v>1519</v>
      </c>
      <c r="EB28" s="13">
        <v>1519</v>
      </c>
      <c r="EC28" s="13">
        <v>6287</v>
      </c>
      <c r="ED28" s="13">
        <v>6287</v>
      </c>
      <c r="EE28" s="13">
        <v>5314</v>
      </c>
      <c r="EF28" s="13">
        <v>5314</v>
      </c>
    </row>
    <row r="29" spans="1:136">
      <c r="B29" t="s">
        <v>189</v>
      </c>
      <c r="C29" s="13" t="s">
        <v>156</v>
      </c>
      <c r="D29" s="13" t="s">
        <v>157</v>
      </c>
      <c r="E29" s="13" t="s">
        <v>156</v>
      </c>
      <c r="F29" s="13" t="s">
        <v>158</v>
      </c>
      <c r="G29" s="13" t="s">
        <v>157</v>
      </c>
      <c r="H29" s="13" t="s">
        <v>157</v>
      </c>
      <c r="I29" s="13" t="s">
        <v>159</v>
      </c>
      <c r="J29" s="13" t="s">
        <v>157</v>
      </c>
      <c r="K29" s="13" t="s">
        <v>160</v>
      </c>
      <c r="L29" s="13" t="s">
        <v>157</v>
      </c>
      <c r="M29" s="13" t="s">
        <v>157</v>
      </c>
      <c r="N29" s="13" t="s">
        <v>157</v>
      </c>
      <c r="O29" s="13" t="s">
        <v>157</v>
      </c>
      <c r="P29" s="13" t="s">
        <v>157</v>
      </c>
      <c r="Q29" s="13" t="s">
        <v>160</v>
      </c>
      <c r="R29" s="13" t="s">
        <v>160</v>
      </c>
      <c r="S29" s="13" t="s">
        <v>157</v>
      </c>
      <c r="T29" s="13" t="s">
        <v>160</v>
      </c>
      <c r="U29" s="13" t="s">
        <v>160</v>
      </c>
      <c r="V29" s="13" t="s">
        <v>160</v>
      </c>
      <c r="W29" s="13" t="s">
        <v>160</v>
      </c>
      <c r="X29" s="13" t="s">
        <v>161</v>
      </c>
      <c r="Y29" s="13" t="s">
        <v>160</v>
      </c>
      <c r="Z29" s="13" t="s">
        <v>160</v>
      </c>
      <c r="AA29" s="13" t="s">
        <v>160</v>
      </c>
      <c r="AB29" s="13" t="s">
        <v>160</v>
      </c>
      <c r="AC29" s="13" t="s">
        <v>160</v>
      </c>
      <c r="AD29" s="13" t="s">
        <v>160</v>
      </c>
      <c r="AE29" s="13" t="s">
        <v>161</v>
      </c>
      <c r="AF29" s="13" t="s">
        <v>160</v>
      </c>
      <c r="AG29" s="13" t="s">
        <v>160</v>
      </c>
      <c r="AH29" s="13" t="s">
        <v>160</v>
      </c>
      <c r="AI29" s="13" t="s">
        <v>160</v>
      </c>
      <c r="AJ29" s="13" t="s">
        <v>160</v>
      </c>
      <c r="AK29" s="13" t="s">
        <v>160</v>
      </c>
      <c r="AL29" s="13" t="s">
        <v>161</v>
      </c>
      <c r="AM29" s="13" t="s">
        <v>160</v>
      </c>
      <c r="AN29" s="13" t="s">
        <v>161</v>
      </c>
      <c r="AO29" s="13" t="s">
        <v>160</v>
      </c>
      <c r="AP29" s="13" t="s">
        <v>161</v>
      </c>
      <c r="AQ29" s="13" t="s">
        <v>160</v>
      </c>
      <c r="AR29" s="13" t="s">
        <v>160</v>
      </c>
      <c r="AS29" s="13" t="s">
        <v>161</v>
      </c>
      <c r="AT29" s="13" t="s">
        <v>161</v>
      </c>
      <c r="AU29" s="13" t="s">
        <v>161</v>
      </c>
      <c r="AV29" s="13" t="s">
        <v>161</v>
      </c>
      <c r="AW29" s="13" t="s">
        <v>162</v>
      </c>
      <c r="AX29" s="13" t="s">
        <v>162</v>
      </c>
      <c r="AY29" s="13" t="s">
        <v>161</v>
      </c>
      <c r="AZ29" s="13" t="s">
        <v>161</v>
      </c>
      <c r="BA29" s="13" t="s">
        <v>161</v>
      </c>
      <c r="BB29" s="13" t="s">
        <v>161</v>
      </c>
      <c r="BC29" s="13" t="s">
        <v>161</v>
      </c>
      <c r="BD29" s="13" t="s">
        <v>161</v>
      </c>
      <c r="BE29" s="13" t="s">
        <v>161</v>
      </c>
      <c r="BF29" s="13" t="s">
        <v>161</v>
      </c>
      <c r="BG29" s="13" t="s">
        <v>161</v>
      </c>
      <c r="BH29" s="13" t="s">
        <v>161</v>
      </c>
      <c r="BI29" s="13" t="s">
        <v>161</v>
      </c>
      <c r="BJ29" s="13" t="s">
        <v>161</v>
      </c>
      <c r="BK29" s="13" t="s">
        <v>161</v>
      </c>
      <c r="BL29" s="13" t="s">
        <v>161</v>
      </c>
      <c r="BM29" s="13" t="s">
        <v>161</v>
      </c>
      <c r="BN29" s="13" t="s">
        <v>161</v>
      </c>
      <c r="BO29" s="13" t="s">
        <v>161</v>
      </c>
      <c r="BP29" s="13" t="s">
        <v>161</v>
      </c>
      <c r="BQ29" s="13" t="s">
        <v>161</v>
      </c>
      <c r="BR29" s="13" t="s">
        <v>161</v>
      </c>
      <c r="BS29" s="13" t="s">
        <v>161</v>
      </c>
      <c r="BT29" s="13" t="s">
        <v>161</v>
      </c>
      <c r="BU29" s="13" t="s">
        <v>163</v>
      </c>
      <c r="BV29" s="13" t="s">
        <v>161</v>
      </c>
      <c r="BW29" s="13" t="s">
        <v>164</v>
      </c>
      <c r="BX29" s="13" t="s">
        <v>163</v>
      </c>
      <c r="BY29" s="13" t="s">
        <v>163</v>
      </c>
      <c r="BZ29" s="13" t="s">
        <v>163</v>
      </c>
      <c r="CA29" s="13" t="s">
        <v>163</v>
      </c>
      <c r="CB29" s="13" t="s">
        <v>163</v>
      </c>
      <c r="CC29" s="13" t="s">
        <v>164</v>
      </c>
      <c r="CD29" s="13" t="s">
        <v>164</v>
      </c>
      <c r="CE29" s="13" t="s">
        <v>164</v>
      </c>
      <c r="CF29" s="13" t="s">
        <v>164</v>
      </c>
      <c r="CG29" s="13" t="s">
        <v>164</v>
      </c>
      <c r="CH29" s="13" t="s">
        <v>164</v>
      </c>
      <c r="CI29" s="13" t="s">
        <v>164</v>
      </c>
      <c r="CJ29" s="13" t="s">
        <v>163</v>
      </c>
      <c r="CK29" s="13" t="s">
        <v>163</v>
      </c>
      <c r="CL29" s="13" t="s">
        <v>163</v>
      </c>
      <c r="CM29" s="13" t="s">
        <v>164</v>
      </c>
      <c r="CN29" s="13" t="s">
        <v>165</v>
      </c>
      <c r="CO29" s="13" t="s">
        <v>165</v>
      </c>
      <c r="CP29" s="13" t="s">
        <v>165</v>
      </c>
      <c r="CQ29" s="13" t="s">
        <v>165</v>
      </c>
      <c r="CR29" s="13" t="s">
        <v>165</v>
      </c>
      <c r="CS29" s="13" t="s">
        <v>165</v>
      </c>
      <c r="CT29" s="13" t="s">
        <v>165</v>
      </c>
      <c r="CU29" s="13" t="s">
        <v>166</v>
      </c>
      <c r="CV29" s="13" t="s">
        <v>166</v>
      </c>
      <c r="CW29" s="13" t="s">
        <v>166</v>
      </c>
      <c r="CX29" s="13" t="s">
        <v>166</v>
      </c>
      <c r="CY29" s="13" t="s">
        <v>166</v>
      </c>
      <c r="CZ29" s="13" t="s">
        <v>166</v>
      </c>
      <c r="DA29" s="13" t="s">
        <v>161</v>
      </c>
      <c r="DB29" s="13" t="s">
        <v>161</v>
      </c>
      <c r="DC29" s="13" t="s">
        <v>161</v>
      </c>
      <c r="DD29" s="13" t="s">
        <v>161</v>
      </c>
      <c r="DE29" s="13" t="s">
        <v>161</v>
      </c>
      <c r="DF29" s="13" t="s">
        <v>167</v>
      </c>
      <c r="DG29" s="13" t="s">
        <v>161</v>
      </c>
      <c r="DH29" s="13" t="s">
        <v>161</v>
      </c>
      <c r="DI29" s="13" t="s">
        <v>161</v>
      </c>
      <c r="DJ29" s="13" t="s">
        <v>161</v>
      </c>
      <c r="DK29" s="13" t="s">
        <v>161</v>
      </c>
      <c r="DL29" s="13" t="s">
        <v>161</v>
      </c>
      <c r="DM29" s="13" t="s">
        <v>168</v>
      </c>
      <c r="DN29" s="13" t="s">
        <v>168</v>
      </c>
      <c r="DO29" s="13" t="s">
        <v>169</v>
      </c>
      <c r="DP29" s="13" t="s">
        <v>169</v>
      </c>
      <c r="DQ29" s="13" t="s">
        <v>168</v>
      </c>
      <c r="DR29" s="13" t="s">
        <v>170</v>
      </c>
      <c r="DS29" s="13" t="s">
        <v>170</v>
      </c>
      <c r="DT29" s="13" t="s">
        <v>170</v>
      </c>
      <c r="DU29" s="13" t="s">
        <v>170</v>
      </c>
      <c r="DV29" s="13" t="s">
        <v>170</v>
      </c>
      <c r="DW29" s="13" t="s">
        <v>170</v>
      </c>
      <c r="DX29" s="13" t="s">
        <v>170</v>
      </c>
      <c r="DY29" s="13" t="s">
        <v>169</v>
      </c>
      <c r="DZ29" s="13" t="s">
        <v>169</v>
      </c>
      <c r="EA29" s="13" t="s">
        <v>169</v>
      </c>
      <c r="EB29" s="13" t="s">
        <v>169</v>
      </c>
      <c r="EC29" s="13" t="s">
        <v>165</v>
      </c>
      <c r="ED29" s="13" t="s">
        <v>165</v>
      </c>
      <c r="EE29" s="13" t="s">
        <v>171</v>
      </c>
      <c r="EF29" s="13" t="s">
        <v>171</v>
      </c>
    </row>
    <row r="30" spans="1:136">
      <c r="B30" t="s">
        <v>190</v>
      </c>
      <c r="C30" s="13">
        <v>2492</v>
      </c>
      <c r="D30" s="13">
        <v>2330</v>
      </c>
      <c r="E30" s="13">
        <v>2323</v>
      </c>
      <c r="F30" s="13">
        <v>2330</v>
      </c>
      <c r="G30" s="13">
        <v>2330</v>
      </c>
      <c r="H30" s="13">
        <v>2330</v>
      </c>
      <c r="I30" s="13">
        <v>2323</v>
      </c>
      <c r="J30" s="13">
        <v>2330</v>
      </c>
      <c r="K30" s="13">
        <v>2330</v>
      </c>
      <c r="L30" s="13">
        <v>2330</v>
      </c>
      <c r="M30" s="13">
        <v>2330</v>
      </c>
      <c r="N30" s="13">
        <v>2330</v>
      </c>
      <c r="O30" s="13">
        <v>2330</v>
      </c>
      <c r="P30" s="13">
        <v>2323</v>
      </c>
      <c r="Q30" s="13">
        <v>2330</v>
      </c>
      <c r="R30" s="13">
        <v>2330</v>
      </c>
      <c r="S30" s="13">
        <v>2323</v>
      </c>
      <c r="T30" s="13">
        <v>2330</v>
      </c>
      <c r="U30" s="13">
        <v>2330</v>
      </c>
      <c r="V30" s="13">
        <v>2330</v>
      </c>
      <c r="W30" s="13">
        <v>2330</v>
      </c>
      <c r="X30" s="13">
        <v>2323</v>
      </c>
      <c r="Y30" s="13">
        <v>2330</v>
      </c>
      <c r="Z30" s="13">
        <v>2330</v>
      </c>
      <c r="AA30" s="13">
        <v>2330</v>
      </c>
      <c r="AB30" s="13">
        <v>2330</v>
      </c>
      <c r="AC30" s="13">
        <v>2330</v>
      </c>
      <c r="AD30" s="13">
        <v>2330</v>
      </c>
      <c r="AE30" s="13">
        <v>2323</v>
      </c>
      <c r="AF30" s="13">
        <v>2330</v>
      </c>
      <c r="AG30" s="13">
        <v>2330</v>
      </c>
      <c r="AH30" s="13">
        <v>2330</v>
      </c>
      <c r="AI30" s="13">
        <v>2330</v>
      </c>
      <c r="AJ30" s="13">
        <v>2330</v>
      </c>
      <c r="AK30" s="13">
        <v>2330</v>
      </c>
      <c r="AL30" s="13">
        <v>2323</v>
      </c>
      <c r="AM30" s="13">
        <v>2330</v>
      </c>
      <c r="AN30" s="13">
        <v>2323</v>
      </c>
      <c r="AO30" s="13">
        <v>2330</v>
      </c>
      <c r="AP30" s="13">
        <v>2323</v>
      </c>
      <c r="AQ30" s="13">
        <v>2330</v>
      </c>
      <c r="AR30" s="13">
        <v>2330</v>
      </c>
      <c r="AS30" s="13">
        <v>2323</v>
      </c>
      <c r="AT30" s="13">
        <v>2323</v>
      </c>
      <c r="AU30" s="13">
        <v>2323</v>
      </c>
      <c r="AV30" s="13">
        <v>2323</v>
      </c>
      <c r="AW30" s="13">
        <v>3252</v>
      </c>
      <c r="AX30" s="13">
        <v>3252</v>
      </c>
      <c r="AY30" s="13">
        <v>3252</v>
      </c>
      <c r="AZ30" s="13">
        <v>3252</v>
      </c>
      <c r="BA30" s="13">
        <v>3252</v>
      </c>
      <c r="BB30" s="13">
        <v>3252</v>
      </c>
      <c r="BC30" s="13">
        <v>3252</v>
      </c>
      <c r="BD30" s="13">
        <v>1906</v>
      </c>
      <c r="BE30" s="13">
        <v>1906</v>
      </c>
      <c r="BF30" s="13">
        <v>3252</v>
      </c>
      <c r="BG30" s="13">
        <v>1906</v>
      </c>
      <c r="BH30" s="13">
        <v>1906</v>
      </c>
      <c r="BI30" s="13">
        <v>1906</v>
      </c>
      <c r="BJ30" s="13">
        <v>1906</v>
      </c>
      <c r="BK30" s="13">
        <v>8085</v>
      </c>
      <c r="BL30" s="13">
        <v>8085</v>
      </c>
      <c r="BM30" s="13">
        <v>2201</v>
      </c>
      <c r="BN30" s="13">
        <v>8085</v>
      </c>
      <c r="BO30" s="13">
        <v>8085</v>
      </c>
      <c r="BP30" s="13">
        <v>8085</v>
      </c>
      <c r="BQ30" s="13">
        <v>3252</v>
      </c>
      <c r="BR30" s="13">
        <v>2409</v>
      </c>
      <c r="BS30" s="13">
        <v>3252</v>
      </c>
      <c r="BT30" s="13">
        <v>3311</v>
      </c>
      <c r="BU30" s="13">
        <v>3311</v>
      </c>
      <c r="BV30" s="13">
        <v>2321</v>
      </c>
      <c r="BW30" s="13">
        <v>3252</v>
      </c>
      <c r="BX30" s="13">
        <v>3252</v>
      </c>
      <c r="BY30" s="13">
        <v>3252</v>
      </c>
      <c r="BZ30" s="13">
        <v>5608</v>
      </c>
      <c r="CA30" s="13">
        <v>5608</v>
      </c>
      <c r="CB30" s="13">
        <v>5608</v>
      </c>
      <c r="CC30" s="13">
        <v>1314</v>
      </c>
      <c r="CD30" s="13">
        <v>1314</v>
      </c>
      <c r="CE30" s="13">
        <v>1314</v>
      </c>
      <c r="CF30" s="13">
        <v>1314</v>
      </c>
      <c r="CG30" s="13">
        <v>1314</v>
      </c>
      <c r="CH30" s="13">
        <v>1314</v>
      </c>
      <c r="CI30" s="13">
        <v>3252</v>
      </c>
      <c r="CJ30" s="13">
        <v>3252</v>
      </c>
      <c r="CK30" s="13">
        <v>3252</v>
      </c>
      <c r="CL30" s="13">
        <v>3252</v>
      </c>
      <c r="CM30" s="13">
        <v>3252</v>
      </c>
      <c r="CN30" s="13">
        <v>3252</v>
      </c>
      <c r="CO30" s="13">
        <v>3252</v>
      </c>
      <c r="CP30" s="13">
        <v>1906</v>
      </c>
      <c r="CQ30" s="13">
        <v>3252</v>
      </c>
      <c r="CR30" s="13">
        <v>3252</v>
      </c>
      <c r="CS30" s="13">
        <v>1906</v>
      </c>
      <c r="CT30" s="13">
        <v>1906</v>
      </c>
      <c r="CU30" s="13">
        <v>1906</v>
      </c>
      <c r="CV30" s="13">
        <v>1906</v>
      </c>
      <c r="CW30" s="13">
        <v>1906</v>
      </c>
      <c r="CX30" s="13">
        <v>1906</v>
      </c>
      <c r="CY30" s="13">
        <v>1906</v>
      </c>
      <c r="CZ30" s="13">
        <v>1906</v>
      </c>
      <c r="DA30" s="13">
        <v>1314</v>
      </c>
      <c r="DB30" s="13">
        <v>4414</v>
      </c>
      <c r="DC30" s="13">
        <v>1312</v>
      </c>
      <c r="DD30" s="13">
        <v>1906</v>
      </c>
      <c r="DE30" s="13">
        <v>2323</v>
      </c>
      <c r="DF30" s="13">
        <v>2323</v>
      </c>
      <c r="DG30" s="13">
        <v>2362</v>
      </c>
      <c r="DH30" s="13">
        <v>3252</v>
      </c>
      <c r="DI30" s="13">
        <v>2362</v>
      </c>
      <c r="DJ30" s="13">
        <v>2362</v>
      </c>
      <c r="DK30" s="13">
        <v>3252</v>
      </c>
      <c r="DL30" s="13">
        <v>1314</v>
      </c>
      <c r="DM30" s="13">
        <v>2603</v>
      </c>
      <c r="DN30" s="13">
        <v>2603</v>
      </c>
      <c r="DO30" s="13">
        <v>2603</v>
      </c>
      <c r="DP30" s="13">
        <v>2603</v>
      </c>
      <c r="DQ30" s="13">
        <v>1906</v>
      </c>
      <c r="DR30" s="13">
        <v>1906</v>
      </c>
      <c r="DS30" s="13">
        <v>1314</v>
      </c>
      <c r="DT30" s="13">
        <v>1314</v>
      </c>
      <c r="DU30" s="13">
        <v>1314</v>
      </c>
      <c r="DV30" s="13">
        <v>1314</v>
      </c>
      <c r="DW30" s="13">
        <v>1312</v>
      </c>
      <c r="DX30" s="13">
        <v>1314</v>
      </c>
      <c r="DY30" s="13">
        <v>1312</v>
      </c>
      <c r="DZ30" s="13">
        <v>1312</v>
      </c>
      <c r="EA30" s="13">
        <v>1312</v>
      </c>
      <c r="EB30" s="13">
        <v>1312</v>
      </c>
      <c r="EC30" s="13">
        <v>1314</v>
      </c>
      <c r="ED30" s="13">
        <v>1312</v>
      </c>
      <c r="EE30" s="13">
        <v>1312</v>
      </c>
      <c r="EF30" s="13">
        <v>1314</v>
      </c>
    </row>
    <row r="31" spans="1:136">
      <c r="B31" t="s">
        <v>189</v>
      </c>
      <c r="C31" s="13" t="s">
        <v>172</v>
      </c>
      <c r="D31" s="13" t="s">
        <v>173</v>
      </c>
      <c r="E31" s="13" t="s">
        <v>174</v>
      </c>
      <c r="F31" s="13" t="s">
        <v>173</v>
      </c>
      <c r="G31" s="13" t="s">
        <v>173</v>
      </c>
      <c r="H31" s="13" t="s">
        <v>173</v>
      </c>
      <c r="I31" s="13" t="s">
        <v>174</v>
      </c>
      <c r="J31" s="13" t="s">
        <v>173</v>
      </c>
      <c r="K31" s="13" t="s">
        <v>173</v>
      </c>
      <c r="L31" s="13" t="s">
        <v>173</v>
      </c>
      <c r="M31" s="13" t="s">
        <v>173</v>
      </c>
      <c r="N31" s="13" t="s">
        <v>173</v>
      </c>
      <c r="O31" s="13" t="s">
        <v>173</v>
      </c>
      <c r="P31" s="13" t="s">
        <v>174</v>
      </c>
      <c r="Q31" s="13" t="s">
        <v>173</v>
      </c>
      <c r="R31" s="13" t="s">
        <v>173</v>
      </c>
      <c r="S31" s="13" t="s">
        <v>174</v>
      </c>
      <c r="T31" s="13" t="s">
        <v>173</v>
      </c>
      <c r="U31" s="13" t="s">
        <v>173</v>
      </c>
      <c r="V31" s="13" t="s">
        <v>173</v>
      </c>
      <c r="W31" s="13" t="s">
        <v>173</v>
      </c>
      <c r="X31" s="13" t="s">
        <v>174</v>
      </c>
      <c r="Y31" s="13" t="s">
        <v>173</v>
      </c>
      <c r="Z31" s="13" t="s">
        <v>173</v>
      </c>
      <c r="AA31" s="13" t="s">
        <v>173</v>
      </c>
      <c r="AB31" s="13" t="s">
        <v>173</v>
      </c>
      <c r="AC31" s="13" t="s">
        <v>173</v>
      </c>
      <c r="AD31" s="13" t="s">
        <v>173</v>
      </c>
      <c r="AE31" s="13" t="s">
        <v>174</v>
      </c>
      <c r="AF31" s="13" t="s">
        <v>173</v>
      </c>
      <c r="AG31" s="13" t="s">
        <v>173</v>
      </c>
      <c r="AH31" s="13" t="s">
        <v>173</v>
      </c>
      <c r="AI31" s="13" t="s">
        <v>173</v>
      </c>
      <c r="AJ31" s="13" t="s">
        <v>173</v>
      </c>
      <c r="AK31" s="13" t="s">
        <v>173</v>
      </c>
      <c r="AL31" s="13" t="s">
        <v>174</v>
      </c>
      <c r="AM31" s="13" t="s">
        <v>173</v>
      </c>
      <c r="AN31" s="13" t="s">
        <v>174</v>
      </c>
      <c r="AO31" s="13" t="s">
        <v>173</v>
      </c>
      <c r="AP31" s="13" t="s">
        <v>174</v>
      </c>
      <c r="AQ31" s="13" t="s">
        <v>173</v>
      </c>
      <c r="AR31" s="13" t="s">
        <v>173</v>
      </c>
      <c r="AS31" s="13" t="s">
        <v>174</v>
      </c>
      <c r="AT31" s="13" t="s">
        <v>174</v>
      </c>
      <c r="AU31" s="13" t="s">
        <v>174</v>
      </c>
      <c r="AV31" s="13" t="s">
        <v>174</v>
      </c>
      <c r="AW31" s="13" t="s">
        <v>175</v>
      </c>
      <c r="AX31" s="13" t="s">
        <v>175</v>
      </c>
      <c r="AY31" s="13" t="s">
        <v>175</v>
      </c>
      <c r="AZ31" s="13" t="s">
        <v>175</v>
      </c>
      <c r="BA31" s="13" t="s">
        <v>175</v>
      </c>
      <c r="BB31" s="13" t="s">
        <v>175</v>
      </c>
      <c r="BC31" s="13" t="s">
        <v>175</v>
      </c>
      <c r="BD31" s="13" t="s">
        <v>176</v>
      </c>
      <c r="BE31" s="13" t="s">
        <v>176</v>
      </c>
      <c r="BF31" s="13" t="s">
        <v>175</v>
      </c>
      <c r="BG31" s="13" t="s">
        <v>176</v>
      </c>
      <c r="BH31" s="13" t="s">
        <v>176</v>
      </c>
      <c r="BI31" s="13" t="s">
        <v>176</v>
      </c>
      <c r="BJ31" s="13" t="s">
        <v>176</v>
      </c>
      <c r="BK31" s="13" t="s">
        <v>177</v>
      </c>
      <c r="BL31" s="13" t="s">
        <v>177</v>
      </c>
      <c r="BM31" s="13" t="s">
        <v>178</v>
      </c>
      <c r="BN31" s="13" t="s">
        <v>177</v>
      </c>
      <c r="BO31" s="13" t="s">
        <v>177</v>
      </c>
      <c r="BP31" s="13" t="s">
        <v>177</v>
      </c>
      <c r="BQ31" s="13" t="s">
        <v>175</v>
      </c>
      <c r="BR31" s="13" t="s">
        <v>179</v>
      </c>
      <c r="BS31" s="13" t="s">
        <v>175</v>
      </c>
      <c r="BT31" s="13" t="s">
        <v>180</v>
      </c>
      <c r="BU31" s="13" t="s">
        <v>180</v>
      </c>
      <c r="BV31" s="13" t="s">
        <v>181</v>
      </c>
      <c r="BW31" s="13" t="s">
        <v>175</v>
      </c>
      <c r="BX31" s="13" t="s">
        <v>175</v>
      </c>
      <c r="BY31" s="13" t="s">
        <v>175</v>
      </c>
      <c r="BZ31" s="13" t="s">
        <v>182</v>
      </c>
      <c r="CA31" s="13" t="s">
        <v>182</v>
      </c>
      <c r="CB31" s="13" t="s">
        <v>182</v>
      </c>
      <c r="CC31" s="13" t="s">
        <v>183</v>
      </c>
      <c r="CD31" s="13" t="s">
        <v>183</v>
      </c>
      <c r="CE31" s="13" t="s">
        <v>183</v>
      </c>
      <c r="CF31" s="13" t="s">
        <v>183</v>
      </c>
      <c r="CG31" s="13" t="s">
        <v>183</v>
      </c>
      <c r="CH31" s="13" t="s">
        <v>183</v>
      </c>
      <c r="CI31" s="13" t="s">
        <v>175</v>
      </c>
      <c r="CJ31" s="13" t="s">
        <v>175</v>
      </c>
      <c r="CK31" s="13" t="s">
        <v>175</v>
      </c>
      <c r="CL31" s="13" t="s">
        <v>175</v>
      </c>
      <c r="CM31" s="13" t="s">
        <v>175</v>
      </c>
      <c r="CN31" s="13" t="s">
        <v>175</v>
      </c>
      <c r="CO31" s="13" t="s">
        <v>175</v>
      </c>
      <c r="CP31" s="13" t="s">
        <v>176</v>
      </c>
      <c r="CQ31" s="13" t="s">
        <v>175</v>
      </c>
      <c r="CR31" s="13" t="s">
        <v>175</v>
      </c>
      <c r="CS31" s="13" t="s">
        <v>176</v>
      </c>
      <c r="CT31" s="13" t="s">
        <v>176</v>
      </c>
      <c r="CU31" s="13" t="s">
        <v>176</v>
      </c>
      <c r="CV31" s="13" t="s">
        <v>176</v>
      </c>
      <c r="CW31" s="13" t="s">
        <v>176</v>
      </c>
      <c r="CX31" s="13" t="s">
        <v>176</v>
      </c>
      <c r="CY31" s="13" t="s">
        <v>176</v>
      </c>
      <c r="CZ31" s="13" t="s">
        <v>176</v>
      </c>
      <c r="DA31" s="13" t="s">
        <v>183</v>
      </c>
      <c r="DB31" s="13" t="s">
        <v>184</v>
      </c>
      <c r="DC31" s="13" t="s">
        <v>185</v>
      </c>
      <c r="DD31" s="13" t="s">
        <v>176</v>
      </c>
      <c r="DE31" s="13" t="s">
        <v>174</v>
      </c>
      <c r="DF31" s="13" t="s">
        <v>174</v>
      </c>
      <c r="DG31" s="13" t="s">
        <v>186</v>
      </c>
      <c r="DH31" s="13" t="s">
        <v>175</v>
      </c>
      <c r="DI31" s="13" t="s">
        <v>186</v>
      </c>
      <c r="DJ31" s="13" t="s">
        <v>186</v>
      </c>
      <c r="DK31" s="13" t="s">
        <v>175</v>
      </c>
      <c r="DL31" s="13" t="s">
        <v>183</v>
      </c>
      <c r="DM31" s="13" t="s">
        <v>187</v>
      </c>
      <c r="DN31" s="13" t="s">
        <v>187</v>
      </c>
      <c r="DO31" s="13" t="s">
        <v>187</v>
      </c>
      <c r="DP31" s="13" t="s">
        <v>187</v>
      </c>
      <c r="DQ31" s="13" t="s">
        <v>176</v>
      </c>
      <c r="DR31" s="13" t="s">
        <v>176</v>
      </c>
      <c r="DS31" s="13" t="s">
        <v>183</v>
      </c>
      <c r="DT31" s="13" t="s">
        <v>183</v>
      </c>
      <c r="DU31" s="13" t="s">
        <v>183</v>
      </c>
      <c r="DV31" s="13" t="s">
        <v>183</v>
      </c>
      <c r="DW31" s="13" t="s">
        <v>185</v>
      </c>
      <c r="DX31" s="13" t="s">
        <v>183</v>
      </c>
      <c r="DY31" s="13" t="s">
        <v>185</v>
      </c>
      <c r="DZ31" s="13" t="s">
        <v>185</v>
      </c>
      <c r="EA31" s="13" t="s">
        <v>185</v>
      </c>
      <c r="EB31" s="13" t="s">
        <v>185</v>
      </c>
      <c r="EC31" s="13" t="s">
        <v>183</v>
      </c>
      <c r="ED31" s="13" t="s">
        <v>185</v>
      </c>
      <c r="EE31" s="13" t="s">
        <v>185</v>
      </c>
      <c r="EF31" s="13" t="s">
        <v>183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H24"/>
  <sheetViews>
    <sheetView topLeftCell="DO1" zoomScale="166" workbookViewId="0">
      <selection activeCell="E8" sqref="E8"/>
    </sheetView>
  </sheetViews>
  <sheetFormatPr baseColWidth="10" defaultColWidth="9" defaultRowHeight="14"/>
  <cols>
    <col min="3" max="3" width="8.796875" customWidth="1"/>
    <col min="136" max="136" width="9.3984375" bestFit="1" customWidth="1"/>
  </cols>
  <sheetData>
    <row r="1" spans="1:138">
      <c r="A1" s="7" t="str">
        <f>預測IC!A1</f>
        <v>NN4</v>
      </c>
      <c r="B1" s="7"/>
    </row>
    <row r="2" spans="1:138">
      <c r="A2" s="7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5" t="s">
        <v>43</v>
      </c>
      <c r="AT2" s="5" t="s">
        <v>44</v>
      </c>
      <c r="AU2" s="5" t="s">
        <v>45</v>
      </c>
      <c r="AV2" s="5" t="s">
        <v>46</v>
      </c>
      <c r="AW2" s="5" t="s">
        <v>47</v>
      </c>
      <c r="AX2" s="5" t="s">
        <v>48</v>
      </c>
      <c r="AY2" s="5" t="s">
        <v>49</v>
      </c>
      <c r="AZ2" s="5" t="s">
        <v>50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55</v>
      </c>
      <c r="BF2" s="5" t="s">
        <v>56</v>
      </c>
      <c r="BG2" s="5" t="s">
        <v>57</v>
      </c>
      <c r="BH2" s="5" t="s">
        <v>58</v>
      </c>
      <c r="BI2" s="5" t="s">
        <v>59</v>
      </c>
      <c r="BJ2" s="5" t="s">
        <v>60</v>
      </c>
      <c r="BK2" s="5" t="s">
        <v>61</v>
      </c>
      <c r="BL2" s="5" t="s">
        <v>62</v>
      </c>
      <c r="BM2" s="5" t="s">
        <v>63</v>
      </c>
      <c r="BN2" s="5" t="s">
        <v>64</v>
      </c>
      <c r="BO2" s="5" t="s">
        <v>65</v>
      </c>
      <c r="BP2" s="5" t="s">
        <v>66</v>
      </c>
      <c r="BQ2" s="5" t="s">
        <v>67</v>
      </c>
      <c r="BR2" s="5" t="s">
        <v>68</v>
      </c>
      <c r="BS2" s="5" t="s">
        <v>69</v>
      </c>
      <c r="BT2" s="5" t="s">
        <v>70</v>
      </c>
      <c r="BU2" s="5" t="s">
        <v>71</v>
      </c>
      <c r="BV2" s="5" t="s">
        <v>72</v>
      </c>
      <c r="BW2" s="5" t="s">
        <v>73</v>
      </c>
      <c r="BX2" s="5" t="s">
        <v>74</v>
      </c>
      <c r="BY2" s="5" t="s">
        <v>75</v>
      </c>
      <c r="BZ2" s="5" t="s">
        <v>76</v>
      </c>
      <c r="CA2" s="5" t="s">
        <v>77</v>
      </c>
      <c r="CB2" s="5" t="s">
        <v>78</v>
      </c>
      <c r="CC2" s="5" t="s">
        <v>79</v>
      </c>
      <c r="CD2" s="5" t="s">
        <v>80</v>
      </c>
      <c r="CE2" s="5" t="s">
        <v>81</v>
      </c>
      <c r="CF2" s="5" t="s">
        <v>82</v>
      </c>
      <c r="CG2" s="5" t="s">
        <v>83</v>
      </c>
      <c r="CH2" s="5" t="s">
        <v>84</v>
      </c>
      <c r="CI2" s="5" t="s">
        <v>85</v>
      </c>
      <c r="CJ2" s="5" t="s">
        <v>86</v>
      </c>
      <c r="CK2" s="5" t="s">
        <v>87</v>
      </c>
      <c r="CL2" s="5" t="s">
        <v>88</v>
      </c>
      <c r="CM2" s="5" t="s">
        <v>89</v>
      </c>
      <c r="CN2" s="5" t="s">
        <v>90</v>
      </c>
      <c r="CO2" s="5" t="s">
        <v>91</v>
      </c>
      <c r="CP2" s="5" t="s">
        <v>92</v>
      </c>
      <c r="CQ2" s="5" t="s">
        <v>93</v>
      </c>
      <c r="CR2" s="5" t="s">
        <v>94</v>
      </c>
      <c r="CS2" s="5" t="s">
        <v>95</v>
      </c>
      <c r="CT2" s="5" t="s">
        <v>96</v>
      </c>
      <c r="CU2" s="5" t="s">
        <v>97</v>
      </c>
      <c r="CV2" s="5" t="s">
        <v>98</v>
      </c>
      <c r="CW2" s="5" t="s">
        <v>99</v>
      </c>
      <c r="CX2" s="5" t="s">
        <v>100</v>
      </c>
      <c r="CY2" s="5" t="s">
        <v>101</v>
      </c>
      <c r="CZ2" s="5" t="s">
        <v>102</v>
      </c>
      <c r="DA2" s="5" t="s">
        <v>103</v>
      </c>
      <c r="DB2" s="5" t="s">
        <v>104</v>
      </c>
      <c r="DC2" s="5" t="s">
        <v>105</v>
      </c>
      <c r="DD2" s="5" t="s">
        <v>106</v>
      </c>
      <c r="DE2" s="5" t="s">
        <v>107</v>
      </c>
      <c r="DF2" s="5" t="s">
        <v>108</v>
      </c>
      <c r="DG2" s="5" t="s">
        <v>109</v>
      </c>
      <c r="DH2" s="5" t="s">
        <v>110</v>
      </c>
      <c r="DI2" s="5" t="s">
        <v>111</v>
      </c>
      <c r="DJ2" s="5" t="s">
        <v>112</v>
      </c>
      <c r="DK2" s="5" t="s">
        <v>113</v>
      </c>
      <c r="DL2" s="5" t="s">
        <v>114</v>
      </c>
      <c r="DM2" s="5" t="s">
        <v>115</v>
      </c>
      <c r="DN2" s="5" t="s">
        <v>116</v>
      </c>
      <c r="DO2" s="5" t="s">
        <v>117</v>
      </c>
      <c r="DP2" s="5" t="s">
        <v>118</v>
      </c>
      <c r="DQ2" s="5" t="s">
        <v>119</v>
      </c>
      <c r="DR2" s="5" t="s">
        <v>120</v>
      </c>
      <c r="DS2" s="5" t="s">
        <v>121</v>
      </c>
      <c r="DT2" s="5" t="s">
        <v>122</v>
      </c>
      <c r="DU2" s="5" t="s">
        <v>123</v>
      </c>
      <c r="DV2" s="5" t="s">
        <v>124</v>
      </c>
      <c r="DW2" s="5" t="s">
        <v>125</v>
      </c>
      <c r="DX2" s="5" t="s">
        <v>126</v>
      </c>
      <c r="DY2" s="5" t="s">
        <v>127</v>
      </c>
      <c r="DZ2" s="5" t="s">
        <v>128</v>
      </c>
      <c r="EA2" s="5" t="s">
        <v>129</v>
      </c>
      <c r="EB2" s="5" t="s">
        <v>130</v>
      </c>
      <c r="EC2" s="5" t="s">
        <v>131</v>
      </c>
      <c r="ED2" s="5" t="s">
        <v>132</v>
      </c>
      <c r="EE2" s="5" t="s">
        <v>133</v>
      </c>
      <c r="EF2" s="5" t="s">
        <v>134</v>
      </c>
      <c r="EG2" s="5" t="s">
        <v>135</v>
      </c>
    </row>
    <row r="3" spans="1:138">
      <c r="A3" s="7"/>
      <c r="B3" s="4" t="s">
        <v>136</v>
      </c>
      <c r="C3" s="26">
        <f>預測IC!C3</f>
        <v>5.338069424033165E-2</v>
      </c>
      <c r="D3" s="26">
        <f>預測IC!D3</f>
        <v>2.5363307446241379E-2</v>
      </c>
      <c r="E3" s="26">
        <f>預測IC!E3</f>
        <v>3.7131085991859443E-2</v>
      </c>
      <c r="F3" s="26">
        <f>預測IC!F3</f>
        <v>-1.5433895401656629E-2</v>
      </c>
      <c r="G3" s="26">
        <f>預測IC!G3</f>
        <v>3.8762547075748437E-2</v>
      </c>
      <c r="H3" s="26">
        <f>預測IC!H3</f>
        <v>1.892003417015076E-2</v>
      </c>
      <c r="I3" s="26">
        <f>預測IC!I3</f>
        <v>3.051983006298542E-2</v>
      </c>
      <c r="J3" s="26">
        <f>預測IC!J3</f>
        <v>-7.0650950074195862E-3</v>
      </c>
      <c r="K3" s="26">
        <f>預測IC!K3</f>
        <v>8.7663400918245316E-3</v>
      </c>
      <c r="L3" s="26">
        <f>預測IC!L3</f>
        <v>-1.6310771927237511E-2</v>
      </c>
      <c r="M3" s="26">
        <f>預測IC!M3</f>
        <v>2.2654309868812561E-2</v>
      </c>
      <c r="N3" s="26">
        <f>預測IC!N3</f>
        <v>-1.6186010092496868E-2</v>
      </c>
      <c r="O3" s="26">
        <f>預測IC!O3</f>
        <v>-2.7719441801309589E-2</v>
      </c>
      <c r="P3" s="26">
        <f>預測IC!P3</f>
        <v>9.2788353562355042E-2</v>
      </c>
      <c r="Q3" s="26">
        <f>預測IC!Q3</f>
        <v>-1.6570717096328739E-2</v>
      </c>
      <c r="R3" s="26">
        <f>預測IC!R3</f>
        <v>-1.4206883497536181E-2</v>
      </c>
      <c r="S3" s="26">
        <f>預測IC!S3</f>
        <v>4.957927018404007E-2</v>
      </c>
      <c r="T3" s="26">
        <f>預測IC!T3</f>
        <v>2.795058116316795E-2</v>
      </c>
      <c r="U3" s="26">
        <f>預測IC!U3</f>
        <v>1.4803186058998111E-4</v>
      </c>
      <c r="V3" s="26">
        <f>預測IC!V3</f>
        <v>-1.9191417843103409E-2</v>
      </c>
      <c r="W3" s="26">
        <f>預測IC!W3</f>
        <v>-2.0450763404369351E-2</v>
      </c>
      <c r="X3" s="26">
        <f>預測IC!X3</f>
        <v>-3.8444548845291138E-2</v>
      </c>
      <c r="Y3" s="26">
        <f>預測IC!Y3</f>
        <v>-2.1946478635072712E-2</v>
      </c>
      <c r="Z3" s="26">
        <f>預測IC!Z3</f>
        <v>1.4381051063537599E-2</v>
      </c>
      <c r="AA3" s="26">
        <f>預測IC!AA3</f>
        <v>2.881650626659393E-2</v>
      </c>
      <c r="AB3" s="26">
        <f>預測IC!AB3</f>
        <v>-2.372733503580093E-2</v>
      </c>
      <c r="AC3" s="26">
        <f>預測IC!AC3</f>
        <v>-1.292891800403595E-2</v>
      </c>
      <c r="AD3" s="26">
        <f>預測IC!AD3</f>
        <v>2.2476669400930401E-2</v>
      </c>
      <c r="AE3" s="26">
        <f>預測IC!AE3</f>
        <v>3.8704991340637207E-2</v>
      </c>
      <c r="AF3" s="26">
        <f>預測IC!AF3</f>
        <v>1.200170814990997E-2</v>
      </c>
      <c r="AG3" s="26">
        <f>預測IC!AG3</f>
        <v>-2.7202442288398739E-2</v>
      </c>
      <c r="AH3" s="26">
        <f>預測IC!AH3</f>
        <v>1.702401414513588E-2</v>
      </c>
      <c r="AI3" s="26">
        <f>預測IC!AI3</f>
        <v>1.4300147071480749E-2</v>
      </c>
      <c r="AJ3" s="26">
        <f>預測IC!AJ3</f>
        <v>1.841375045478344E-2</v>
      </c>
      <c r="AK3" s="26">
        <f>預測IC!AK3</f>
        <v>1.0560634545981881E-2</v>
      </c>
      <c r="AL3" s="26">
        <f>預測IC!AL3</f>
        <v>3.8964591920375817E-2</v>
      </c>
      <c r="AM3" s="26">
        <f>預測IC!AM3</f>
        <v>1.855255663394928E-2</v>
      </c>
      <c r="AN3" s="26">
        <f>預測IC!AN3</f>
        <v>4.386327788233757E-2</v>
      </c>
      <c r="AO3" s="26">
        <f>預測IC!AO3</f>
        <v>-3.6691559944301839E-3</v>
      </c>
      <c r="AP3" s="26">
        <f>預測IC!AP3</f>
        <v>3.8291200995445251E-2</v>
      </c>
      <c r="AQ3" s="26">
        <f>預測IC!AQ3</f>
        <v>1.015769504010677E-2</v>
      </c>
      <c r="AR3" s="26">
        <f>預測IC!AR3</f>
        <v>8.0924127250909805E-3</v>
      </c>
      <c r="AS3" s="26">
        <f>預測IC!AS3</f>
        <v>-6.6054962575435638E-2</v>
      </c>
      <c r="AT3" s="26">
        <f>預測IC!AT3</f>
        <v>4.3137997388839722E-2</v>
      </c>
      <c r="AU3" s="26">
        <f>預測IC!AU3</f>
        <v>4.9771856516599662E-2</v>
      </c>
      <c r="AV3" s="26">
        <f>預測IC!AV3</f>
        <v>4.9413982778787613E-2</v>
      </c>
      <c r="AW3" s="26">
        <f>預測IC!AW3</f>
        <v>5.1071316003799438E-2</v>
      </c>
      <c r="AX3" s="26">
        <f>預測IC!AX3</f>
        <v>4.962177574634552E-2</v>
      </c>
      <c r="AY3" s="26">
        <f>預測IC!AY3</f>
        <v>5.1257487386465073E-2</v>
      </c>
      <c r="AZ3" s="26">
        <f>預測IC!AZ3</f>
        <v>4.2423129081726067E-2</v>
      </c>
      <c r="BA3" s="26">
        <f>預測IC!BA3</f>
        <v>3.9333701133728027E-2</v>
      </c>
      <c r="BB3" s="26">
        <f>預測IC!BB3</f>
        <v>3.9388258010149002E-2</v>
      </c>
      <c r="BC3" s="26">
        <f>預測IC!BC3</f>
        <v>4.2884018272161477E-2</v>
      </c>
      <c r="BD3" s="26">
        <f>預測IC!BD3</f>
        <v>4.4494438916444778E-2</v>
      </c>
      <c r="BE3" s="26">
        <f>預測IC!BE3</f>
        <v>4.6050392091274261E-2</v>
      </c>
      <c r="BF3" s="26">
        <f>預測IC!BF3</f>
        <v>5.2774351090192788E-2</v>
      </c>
      <c r="BG3" s="26">
        <f>預測IC!BG3</f>
        <v>5.2520696073770523E-2</v>
      </c>
      <c r="BH3" s="26">
        <f>預測IC!BH3</f>
        <v>5.204303190112114E-2</v>
      </c>
      <c r="BI3" s="26">
        <f>預測IC!BI3</f>
        <v>5.3213786333799362E-2</v>
      </c>
      <c r="BJ3" s="26">
        <f>預測IC!BJ3</f>
        <v>5.14848493039608E-2</v>
      </c>
      <c r="BK3" s="26">
        <f>預測IC!BK3</f>
        <v>5.2345767617225647E-2</v>
      </c>
      <c r="BL3" s="26">
        <f>預測IC!BL3</f>
        <v>5.2821684628725052E-2</v>
      </c>
      <c r="BM3" s="26">
        <f>預測IC!BM3</f>
        <v>5.246623232960701E-2</v>
      </c>
      <c r="BN3" s="26">
        <f>預測IC!BN3</f>
        <v>5.7477392256259918E-2</v>
      </c>
      <c r="BO3" s="26">
        <f>預測IC!BO3</f>
        <v>5.5104456841945648E-2</v>
      </c>
      <c r="BP3" s="26">
        <f>預測IC!BP3</f>
        <v>4.081440344452858E-2</v>
      </c>
      <c r="BQ3" s="26">
        <f>預測IC!BQ3</f>
        <v>5.2616532891988747E-2</v>
      </c>
      <c r="BR3" s="26">
        <f>預測IC!BR3</f>
        <v>3.6645740270614617E-2</v>
      </c>
      <c r="BS3" s="26">
        <f>預測IC!BS3</f>
        <v>5.4600823670625687E-2</v>
      </c>
      <c r="BT3" s="26">
        <f>預測IC!BT3</f>
        <v>4.5548383146524429E-2</v>
      </c>
      <c r="BU3" s="26">
        <f>預測IC!BU3</f>
        <v>5.5572357028722763E-2</v>
      </c>
      <c r="BV3" s="26">
        <f>預測IC!BV3</f>
        <v>5.2330784499645233E-2</v>
      </c>
      <c r="BW3" s="26">
        <f>預測IC!BW3</f>
        <v>4.1799742728471763E-2</v>
      </c>
      <c r="BX3" s="26">
        <f>預測IC!BX3</f>
        <v>4.7964099794626243E-2</v>
      </c>
      <c r="BY3" s="26">
        <f>預測IC!BY3</f>
        <v>4.9554049968719482E-2</v>
      </c>
      <c r="BZ3" s="26">
        <f>預測IC!BZ3</f>
        <v>5.3468108177185059E-2</v>
      </c>
      <c r="CA3" s="26">
        <f>預測IC!CA3</f>
        <v>4.868757352232933E-2</v>
      </c>
      <c r="CB3" s="26">
        <f>預測IC!CB3</f>
        <v>4.6025428920984268E-2</v>
      </c>
      <c r="CC3" s="26">
        <f>預測IC!CC3</f>
        <v>5.2412558346986771E-2</v>
      </c>
      <c r="CD3" s="26">
        <f>預測IC!CD3</f>
        <v>4.9619406461715698E-2</v>
      </c>
      <c r="CE3" s="26">
        <f>預測IC!CE3</f>
        <v>4.6824052929878228E-2</v>
      </c>
      <c r="CF3" s="26">
        <f>預測IC!CF3</f>
        <v>5.0924398005008698E-2</v>
      </c>
      <c r="CG3" s="26">
        <f>預測IC!CG3</f>
        <v>4.6287201344966888E-2</v>
      </c>
      <c r="CH3" s="26">
        <f>預測IC!CH3</f>
        <v>5.0006065517663963E-2</v>
      </c>
      <c r="CI3" s="26">
        <f>預測IC!CI3</f>
        <v>4.8990387469530113E-2</v>
      </c>
      <c r="CJ3" s="26">
        <f>預測IC!CJ3</f>
        <v>5.0737027078866959E-2</v>
      </c>
      <c r="CK3" s="26">
        <f>預測IC!CK3</f>
        <v>5.0407581031322479E-2</v>
      </c>
      <c r="CL3" s="26">
        <f>預測IC!CL3</f>
        <v>5.1771163940429688E-2</v>
      </c>
      <c r="CM3" s="26">
        <f>預測IC!CM3</f>
        <v>4.9744158983230591E-2</v>
      </c>
      <c r="CN3" s="26">
        <f>預測IC!CN3</f>
        <v>4.9877673387527473E-2</v>
      </c>
      <c r="CO3" s="26">
        <f>預測IC!CO3</f>
        <v>4.8527717590332031E-2</v>
      </c>
      <c r="CP3" s="26">
        <f>預測IC!CP3</f>
        <v>4.8692740499973297E-2</v>
      </c>
      <c r="CQ3" s="26">
        <f>預測IC!CQ3</f>
        <v>4.9047302454710007E-2</v>
      </c>
      <c r="CR3" s="26">
        <f>預測IC!CR3</f>
        <v>4.9837246537208557E-2</v>
      </c>
      <c r="CS3" s="26">
        <f>預測IC!CS3</f>
        <v>4.7483202069997787E-2</v>
      </c>
      <c r="CT3" s="26">
        <f>預測IC!CT3</f>
        <v>3.1795904040336609E-2</v>
      </c>
      <c r="CU3" s="26">
        <f>預測IC!CU3</f>
        <v>4.4976841658353812E-2</v>
      </c>
      <c r="CV3" s="26">
        <f>預測IC!CV3</f>
        <v>4.9786105751991272E-2</v>
      </c>
      <c r="CW3" s="26">
        <f>預測IC!CW3</f>
        <v>4.3859463185071952E-2</v>
      </c>
      <c r="CX3" s="26">
        <f>預測IC!CX3</f>
        <v>5.1966626197099693E-2</v>
      </c>
      <c r="CY3" s="26">
        <f>預測IC!CY3</f>
        <v>5.0948314368724823E-2</v>
      </c>
      <c r="CZ3" s="26">
        <f>預測IC!CZ3</f>
        <v>4.4357843697071082E-2</v>
      </c>
      <c r="DA3" s="26">
        <f>預測IC!DA3</f>
        <v>4.5401513576507568E-2</v>
      </c>
      <c r="DB3" s="26">
        <f>預測IC!DB3</f>
        <v>5.2733633667230613E-2</v>
      </c>
      <c r="DC3" s="26">
        <f>預測IC!DC3</f>
        <v>5.2081622183322913E-2</v>
      </c>
      <c r="DD3" s="26">
        <f>預測IC!DD3</f>
        <v>4.963703453540802E-2</v>
      </c>
      <c r="DE3" s="26">
        <f>預測IC!DE3</f>
        <v>5.2589800208806992E-2</v>
      </c>
      <c r="DF3" s="26">
        <f>預測IC!DF3</f>
        <v>4.1408929973840707E-2</v>
      </c>
      <c r="DG3" s="26">
        <f>預測IC!DG3</f>
        <v>4.3718356639146798E-2</v>
      </c>
      <c r="DH3" s="26">
        <f>預測IC!DH3</f>
        <v>4.6793397516012192E-2</v>
      </c>
      <c r="DI3" s="26">
        <f>預測IC!DI3</f>
        <v>4.7784905880689621E-2</v>
      </c>
      <c r="DJ3" s="26">
        <f>預測IC!DJ3</f>
        <v>5.1443465054035187E-2</v>
      </c>
      <c r="DK3" s="26">
        <f>預測IC!DK3</f>
        <v>4.1621468961238861E-2</v>
      </c>
      <c r="DL3" s="26">
        <f>預測IC!DL3</f>
        <v>4.8520050942897797E-2</v>
      </c>
      <c r="DM3" s="26">
        <f>預測IC!DM3</f>
        <v>4.8485212028026581E-2</v>
      </c>
      <c r="DN3" s="26">
        <f>預測IC!DN3</f>
        <v>4.6739093959331512E-2</v>
      </c>
      <c r="DO3" s="26">
        <f>預測IC!DO3</f>
        <v>4.815780371427536E-2</v>
      </c>
      <c r="DP3" s="26">
        <f>預測IC!DP3</f>
        <v>4.7622770071029663E-2</v>
      </c>
      <c r="DQ3" s="26">
        <f>預測IC!DQ3</f>
        <v>4.8637110739946372E-2</v>
      </c>
      <c r="DR3" s="26">
        <f>預測IC!DR3</f>
        <v>4.879031702876091E-2</v>
      </c>
      <c r="DS3" s="26">
        <f>預測IC!DS3</f>
        <v>4.4818054884672158E-2</v>
      </c>
      <c r="DT3" s="26">
        <f>預測IC!DT3</f>
        <v>4.8045273870229721E-2</v>
      </c>
      <c r="DU3" s="26">
        <f>預測IC!DU3</f>
        <v>4.7465518116950989E-2</v>
      </c>
      <c r="DV3" s="26">
        <f>預測IC!DV3</f>
        <v>4.6620264649391167E-2</v>
      </c>
      <c r="DW3" s="26">
        <f>預測IC!DW3</f>
        <v>4.7323688864707947E-2</v>
      </c>
      <c r="DX3" s="26">
        <f>預測IC!DX3</f>
        <v>4.754440113902092E-2</v>
      </c>
      <c r="DY3" s="26">
        <f>預測IC!DY3</f>
        <v>4.7807488590478897E-2</v>
      </c>
      <c r="DZ3" s="26">
        <f>預測IC!DZ3</f>
        <v>3.4820709377527237E-2</v>
      </c>
      <c r="EA3" s="26">
        <f>預測IC!EA3</f>
        <v>4.8265136778354638E-2</v>
      </c>
      <c r="EB3" s="26">
        <f>預測IC!EB3</f>
        <v>4.2205382138490677E-2</v>
      </c>
      <c r="EC3" s="26">
        <f>預測IC!EC3</f>
        <v>3.6263357847929001E-2</v>
      </c>
      <c r="ED3" s="26">
        <f>預測IC!ED3</f>
        <v>3.9504203945398331E-2</v>
      </c>
      <c r="EE3" s="26">
        <f>預測IC!EE3</f>
        <v>4.6422228217124939E-2</v>
      </c>
      <c r="EF3" s="26">
        <f>預測IC!EF3</f>
        <v>5.0174936652183533E-2</v>
      </c>
      <c r="EG3" s="1"/>
    </row>
    <row r="4" spans="1:138">
      <c r="A4" s="7"/>
      <c r="B4" s="4" t="s">
        <v>137</v>
      </c>
      <c r="C4" s="26">
        <f>預測IC!C4</f>
        <v>-2.5382354855537411E-2</v>
      </c>
      <c r="D4" s="26">
        <f>預測IC!D4</f>
        <v>-3.0302392318844799E-2</v>
      </c>
      <c r="E4" s="26">
        <f>預測IC!E4</f>
        <v>-2.2067004814743999E-2</v>
      </c>
      <c r="F4" s="26">
        <f>預測IC!F4</f>
        <v>-3.342650830745697E-2</v>
      </c>
      <c r="G4" s="26">
        <f>預測IC!G4</f>
        <v>-4.356461763381958E-2</v>
      </c>
      <c r="H4" s="26">
        <f>預測IC!H4</f>
        <v>-2.4043656885623928E-2</v>
      </c>
      <c r="I4" s="26">
        <f>預測IC!I4</f>
        <v>-2.6620017364621159E-2</v>
      </c>
      <c r="J4" s="26">
        <f>預測IC!J4</f>
        <v>-3.6628138273954391E-2</v>
      </c>
      <c r="K4" s="26">
        <f>預測IC!K4</f>
        <v>-3.3706646412611008E-2</v>
      </c>
      <c r="L4" s="26">
        <f>預測IC!L4</f>
        <v>-3.9789609611034393E-2</v>
      </c>
      <c r="M4" s="26">
        <f>預測IC!M4</f>
        <v>-3.8071341812610633E-2</v>
      </c>
      <c r="N4" s="26">
        <f>預測IC!N4</f>
        <v>-2.9651828110218052E-2</v>
      </c>
      <c r="O4" s="26">
        <f>預測IC!O4</f>
        <v>-3.6376375705003738E-2</v>
      </c>
      <c r="P4" s="26">
        <f>預測IC!P4</f>
        <v>-3.8347743451595313E-2</v>
      </c>
      <c r="Q4" s="26">
        <f>預測IC!Q4</f>
        <v>-2.434376627206802E-2</v>
      </c>
      <c r="R4" s="26">
        <f>預測IC!R4</f>
        <v>-3.3573232591152191E-2</v>
      </c>
      <c r="S4" s="26">
        <f>預測IC!S4</f>
        <v>-2.8594411909580231E-2</v>
      </c>
      <c r="T4" s="26">
        <f>預測IC!T4</f>
        <v>-2.798360958695412E-2</v>
      </c>
      <c r="U4" s="26">
        <f>預測IC!U4</f>
        <v>-2.942265011370182E-2</v>
      </c>
      <c r="V4" s="26">
        <f>預測IC!V4</f>
        <v>-2.794249914586544E-2</v>
      </c>
      <c r="W4" s="26">
        <f>預測IC!W4</f>
        <v>-2.784637734293938E-2</v>
      </c>
      <c r="X4" s="26">
        <f>預測IC!X4</f>
        <v>-2.9234068468213081E-2</v>
      </c>
      <c r="Y4" s="26">
        <f>預測IC!Y4</f>
        <v>-3.1967829912900918E-2</v>
      </c>
      <c r="Z4" s="26">
        <f>預測IC!Z4</f>
        <v>-2.9925361275672909E-2</v>
      </c>
      <c r="AA4" s="26">
        <f>預測IC!AA4</f>
        <v>-3.0244136229157451E-2</v>
      </c>
      <c r="AB4" s="26">
        <f>預測IC!AB4</f>
        <v>-2.8592776507139209E-2</v>
      </c>
      <c r="AC4" s="26">
        <f>預測IC!AC4</f>
        <v>-2.740947529673576E-2</v>
      </c>
      <c r="AD4" s="26">
        <f>預測IC!AD4</f>
        <v>-2.904889173805714E-2</v>
      </c>
      <c r="AE4" s="26">
        <f>預測IC!AE4</f>
        <v>-3.0896455049514771E-2</v>
      </c>
      <c r="AF4" s="26">
        <f>預測IC!AF4</f>
        <v>-2.8318248689174649E-2</v>
      </c>
      <c r="AG4" s="26">
        <f>預測IC!AG4</f>
        <v>-2.835783921182156E-2</v>
      </c>
      <c r="AH4" s="26">
        <f>預測IC!AH4</f>
        <v>-2.0635519176721569E-2</v>
      </c>
      <c r="AI4" s="26">
        <f>預測IC!AI4</f>
        <v>-3.9616737514734268E-2</v>
      </c>
      <c r="AJ4" s="26">
        <f>預測IC!AJ4</f>
        <v>-3.4279849380254752E-2</v>
      </c>
      <c r="AK4" s="26">
        <f>預測IC!AK4</f>
        <v>-2.738221921026707E-2</v>
      </c>
      <c r="AL4" s="26">
        <f>預測IC!AL4</f>
        <v>-2.863131649792194E-2</v>
      </c>
      <c r="AM4" s="26">
        <f>預測IC!AM4</f>
        <v>-3.1148817390203479E-2</v>
      </c>
      <c r="AN4" s="26">
        <f>預測IC!AN4</f>
        <v>-2.5323469191789631E-2</v>
      </c>
      <c r="AO4" s="26">
        <f>預測IC!AO4</f>
        <v>-3.5884447395801537E-2</v>
      </c>
      <c r="AP4" s="26">
        <f>預測IC!AP4</f>
        <v>-2.0551485940814022E-2</v>
      </c>
      <c r="AQ4" s="26">
        <f>預測IC!AQ4</f>
        <v>-2.1187437698245049E-2</v>
      </c>
      <c r="AR4" s="26">
        <f>預測IC!AR4</f>
        <v>-2.6181202381849289E-2</v>
      </c>
      <c r="AS4" s="26">
        <f>預測IC!AS4</f>
        <v>-2.9181500896811489E-2</v>
      </c>
      <c r="AT4" s="26">
        <f>預測IC!AT4</f>
        <v>-2.6695109903812408E-2</v>
      </c>
      <c r="AU4" s="26">
        <f>預測IC!AU4</f>
        <v>-3.0467243865132328E-2</v>
      </c>
      <c r="AV4" s="26">
        <f>預測IC!AV4</f>
        <v>-3.2533787190914147E-2</v>
      </c>
      <c r="AW4" s="26">
        <f>預測IC!AW4</f>
        <v>-2.7417561039328579E-2</v>
      </c>
      <c r="AX4" s="26">
        <f>預測IC!AX4</f>
        <v>-2.6351917535066601E-2</v>
      </c>
      <c r="AY4" s="26">
        <f>預測IC!AY4</f>
        <v>-3.3511210232973099E-2</v>
      </c>
      <c r="AZ4" s="26">
        <f>預測IC!AZ4</f>
        <v>-2.682668715715408E-2</v>
      </c>
      <c r="BA4" s="26">
        <f>預測IC!BA4</f>
        <v>-3.1055137515068051E-2</v>
      </c>
      <c r="BB4" s="26">
        <f>預測IC!BB4</f>
        <v>-3.3870145678520203E-2</v>
      </c>
      <c r="BC4" s="26">
        <f>預測IC!BC4</f>
        <v>-3.1388275325298309E-2</v>
      </c>
      <c r="BD4" s="26">
        <f>預測IC!BD4</f>
        <v>-3.1560800969600677E-2</v>
      </c>
      <c r="BE4" s="26">
        <f>預測IC!BE4</f>
        <v>-3.270566463470459E-2</v>
      </c>
      <c r="BF4" s="26">
        <f>預測IC!BF4</f>
        <v>-3.091945685446262E-2</v>
      </c>
      <c r="BG4" s="26">
        <f>預測IC!BG4</f>
        <v>-3.1984996050596237E-2</v>
      </c>
      <c r="BH4" s="26">
        <f>預測IC!BH4</f>
        <v>-3.0280498787760731E-2</v>
      </c>
      <c r="BI4" s="26">
        <f>預測IC!BI4</f>
        <v>-3.1126156449317929E-2</v>
      </c>
      <c r="BJ4" s="26">
        <f>預測IC!BJ4</f>
        <v>-3.047936782240868E-2</v>
      </c>
      <c r="BK4" s="26">
        <f>預測IC!BK4</f>
        <v>-3.2265529036521912E-2</v>
      </c>
      <c r="BL4" s="26">
        <f>預測IC!BL4</f>
        <v>-3.1362555921077728E-2</v>
      </c>
      <c r="BM4" s="26">
        <f>預測IC!BM4</f>
        <v>-3.135472908616066E-2</v>
      </c>
      <c r="BN4" s="26">
        <f>預測IC!BN4</f>
        <v>-1.223484799265862E-2</v>
      </c>
      <c r="BO4" s="26">
        <f>預測IC!BO4</f>
        <v>-2.3717723786830899E-2</v>
      </c>
      <c r="BP4" s="26">
        <f>預測IC!BP4</f>
        <v>-2.602463960647583E-2</v>
      </c>
      <c r="BQ4" s="26">
        <f>預測IC!BQ4</f>
        <v>-3.055395744740963E-2</v>
      </c>
      <c r="BR4" s="26">
        <f>預測IC!BR4</f>
        <v>-1.1215118691325189E-2</v>
      </c>
      <c r="BS4" s="26">
        <f>預測IC!BS4</f>
        <v>-3.3343475311994553E-2</v>
      </c>
      <c r="BT4" s="26">
        <f>預測IC!BT4</f>
        <v>-2.5871314108371731E-2</v>
      </c>
      <c r="BU4" s="26">
        <f>預測IC!BU4</f>
        <v>-3.636319562792778E-2</v>
      </c>
      <c r="BV4" s="26">
        <f>預測IC!BV4</f>
        <v>-3.3731509000062943E-2</v>
      </c>
      <c r="BW4" s="26">
        <f>預測IC!BW4</f>
        <v>-2.4674531072378159E-2</v>
      </c>
      <c r="BX4" s="26">
        <f>預測IC!BX4</f>
        <v>-3.3149182796478271E-2</v>
      </c>
      <c r="BY4" s="26">
        <f>預測IC!BY4</f>
        <v>-3.1638260930776603E-2</v>
      </c>
      <c r="BZ4" s="26">
        <f>預測IC!BZ4</f>
        <v>-3.5745307803153992E-2</v>
      </c>
      <c r="CA4" s="26">
        <f>預測IC!CA4</f>
        <v>-3.2566580921411507E-2</v>
      </c>
      <c r="CB4" s="26">
        <f>預測IC!CB4</f>
        <v>-2.4697717279195789E-2</v>
      </c>
      <c r="CC4" s="26">
        <f>預測IC!CC4</f>
        <v>-2.9147785156965259E-2</v>
      </c>
      <c r="CD4" s="26">
        <f>預測IC!CD4</f>
        <v>-2.5953460484743118E-2</v>
      </c>
      <c r="CE4" s="26">
        <f>預測IC!CE4</f>
        <v>-3.1028131023049351E-2</v>
      </c>
      <c r="CF4" s="26">
        <f>預測IC!CF4</f>
        <v>-3.1018134206533429E-2</v>
      </c>
      <c r="CG4" s="26">
        <f>預測IC!CG4</f>
        <v>-3.0473332852125171E-2</v>
      </c>
      <c r="CH4" s="26">
        <f>預測IC!CH4</f>
        <v>-3.1180024147033691E-2</v>
      </c>
      <c r="CI4" s="26">
        <f>預測IC!CI4</f>
        <v>-3.08760479092598E-2</v>
      </c>
      <c r="CJ4" s="26">
        <f>預測IC!CJ4</f>
        <v>-3.3132713288068771E-2</v>
      </c>
      <c r="CK4" s="26">
        <f>預測IC!CK4</f>
        <v>-3.1985852867364883E-2</v>
      </c>
      <c r="CL4" s="26">
        <f>預測IC!CL4</f>
        <v>-3.1450629234313958E-2</v>
      </c>
      <c r="CM4" s="26">
        <f>預測IC!CM4</f>
        <v>-3.0559267848730091E-2</v>
      </c>
      <c r="CN4" s="26">
        <f>預測IC!CN4</f>
        <v>-3.1584195792675018E-2</v>
      </c>
      <c r="CO4" s="26">
        <f>預測IC!CO4</f>
        <v>-3.0493449419736859E-2</v>
      </c>
      <c r="CP4" s="26">
        <f>預測IC!CP4</f>
        <v>-3.0219420790672299E-2</v>
      </c>
      <c r="CQ4" s="26">
        <f>預測IC!CQ4</f>
        <v>-3.1929124146699912E-2</v>
      </c>
      <c r="CR4" s="26">
        <f>預測IC!CR4</f>
        <v>-2.934969961643219E-2</v>
      </c>
      <c r="CS4" s="26">
        <f>預測IC!CS4</f>
        <v>-3.0506746843457219E-2</v>
      </c>
      <c r="CT4" s="26">
        <f>預測IC!CT4</f>
        <v>-2.308591827750206E-2</v>
      </c>
      <c r="CU4" s="26">
        <f>預測IC!CU4</f>
        <v>-2.7401415631175041E-2</v>
      </c>
      <c r="CV4" s="26">
        <f>預測IC!CV4</f>
        <v>-2.833597362041473E-2</v>
      </c>
      <c r="CW4" s="26">
        <f>預測IC!CW4</f>
        <v>-3.2171882688999183E-2</v>
      </c>
      <c r="CX4" s="26">
        <f>預測IC!CX4</f>
        <v>-2.7837745845317841E-2</v>
      </c>
      <c r="CY4" s="26">
        <f>預測IC!CY4</f>
        <v>-2.7134021744132038E-2</v>
      </c>
      <c r="CZ4" s="26">
        <f>預測IC!CZ4</f>
        <v>-2.573245391249657E-2</v>
      </c>
      <c r="DA4" s="26">
        <f>預測IC!DA4</f>
        <v>-2.8771925717592239E-2</v>
      </c>
      <c r="DB4" s="26">
        <f>預測IC!DB4</f>
        <v>-3.3348452299833298E-2</v>
      </c>
      <c r="DC4" s="26">
        <f>預測IC!DC4</f>
        <v>-3.2358631491661072E-2</v>
      </c>
      <c r="DD4" s="26">
        <f>預測IC!DD4</f>
        <v>-3.2213933765888207E-2</v>
      </c>
      <c r="DE4" s="26">
        <f>預測IC!DE4</f>
        <v>-2.9715811833739281E-2</v>
      </c>
      <c r="DF4" s="26">
        <f>預測IC!DF4</f>
        <v>-2.911583706736565E-2</v>
      </c>
      <c r="DG4" s="26">
        <f>預測IC!DG4</f>
        <v>-2.7615876868367199E-2</v>
      </c>
      <c r="DH4" s="26">
        <f>預測IC!DH4</f>
        <v>-2.9729645699262619E-2</v>
      </c>
      <c r="DI4" s="26">
        <f>預測IC!DI4</f>
        <v>-2.982079982757568E-2</v>
      </c>
      <c r="DJ4" s="26">
        <f>預測IC!DJ4</f>
        <v>-3.0264958739280701E-2</v>
      </c>
      <c r="DK4" s="26">
        <f>預測IC!DK4</f>
        <v>-2.9952950775623322E-2</v>
      </c>
      <c r="DL4" s="26">
        <f>預測IC!DL4</f>
        <v>-3.0072087422013279E-2</v>
      </c>
      <c r="DM4" s="26">
        <f>預測IC!DM4</f>
        <v>-2.81603466719389E-2</v>
      </c>
      <c r="DN4" s="26">
        <f>預測IC!DN4</f>
        <v>-2.7362493798136711E-2</v>
      </c>
      <c r="DO4" s="26">
        <f>預測IC!DO4</f>
        <v>-2.868092060089111E-2</v>
      </c>
      <c r="DP4" s="26">
        <f>預測IC!DP4</f>
        <v>-2.6546770706772801E-2</v>
      </c>
      <c r="DQ4" s="26">
        <f>預測IC!DQ4</f>
        <v>-2.7645908296108249E-2</v>
      </c>
      <c r="DR4" s="26">
        <f>預測IC!DR4</f>
        <v>-3.0578829348087311E-2</v>
      </c>
      <c r="DS4" s="26">
        <f>預測IC!DS4</f>
        <v>-2.7206588536500931E-2</v>
      </c>
      <c r="DT4" s="26">
        <f>預測IC!DT4</f>
        <v>-2.9622273519635201E-2</v>
      </c>
      <c r="DU4" s="26">
        <f>預測IC!DU4</f>
        <v>-2.8198828920722011E-2</v>
      </c>
      <c r="DV4" s="26">
        <f>預測IC!DV4</f>
        <v>-2.79831737279892E-2</v>
      </c>
      <c r="DW4" s="26">
        <f>預測IC!DW4</f>
        <v>-2.6147188618779179E-2</v>
      </c>
      <c r="DX4" s="26">
        <f>預測IC!DX4</f>
        <v>-2.7574015781283379E-2</v>
      </c>
      <c r="DY4" s="26">
        <f>預測IC!DY4</f>
        <v>-2.9771693050861359E-2</v>
      </c>
      <c r="DZ4" s="26">
        <f>預測IC!DZ4</f>
        <v>-2.387923933565617E-2</v>
      </c>
      <c r="EA4" s="26">
        <f>預測IC!EA4</f>
        <v>-2.6729578152298931E-2</v>
      </c>
      <c r="EB4" s="26">
        <f>預測IC!EB4</f>
        <v>-2.6265991851687431E-2</v>
      </c>
      <c r="EC4" s="26">
        <f>預測IC!EC4</f>
        <v>-2.85224225372076E-2</v>
      </c>
      <c r="ED4" s="26">
        <f>預測IC!ED4</f>
        <v>-2.3929797112941738E-2</v>
      </c>
      <c r="EE4" s="26">
        <f>預測IC!EE4</f>
        <v>-3.5369247198104858E-2</v>
      </c>
      <c r="EF4" s="26">
        <f>預測IC!EF4</f>
        <v>-2.889788523316383E-2</v>
      </c>
      <c r="EG4" s="1"/>
    </row>
    <row r="5" spans="1:138">
      <c r="A5" s="7"/>
      <c r="B5" s="6" t="s">
        <v>138</v>
      </c>
      <c r="C5" s="26">
        <f>預測IC!C5</f>
        <v>6.8580564111471176E-3</v>
      </c>
      <c r="D5" s="26">
        <f>預測IC!D5</f>
        <v>-4.5473207719624043E-3</v>
      </c>
      <c r="E5" s="26">
        <f>預測IC!E5</f>
        <v>-5.2568246610462674E-3</v>
      </c>
      <c r="F5" s="26">
        <f>預測IC!F5</f>
        <v>-5.0700334832072258E-3</v>
      </c>
      <c r="G5" s="26">
        <f>預測IC!G5</f>
        <v>-7.554895244538784E-3</v>
      </c>
      <c r="H5" s="26">
        <f>預測IC!H5</f>
        <v>-5.7517439126968384E-3</v>
      </c>
      <c r="I5" s="26">
        <f>預測IC!I5</f>
        <v>-6.6213347017765054E-3</v>
      </c>
      <c r="J5" s="26">
        <f>預測IC!J5</f>
        <v>-6.4456779509782791E-3</v>
      </c>
      <c r="K5" s="26">
        <f>預測IC!K5</f>
        <v>-7.2449943982064724E-3</v>
      </c>
      <c r="L5" s="26">
        <f>預測IC!L5</f>
        <v>-7.4795205146074304E-3</v>
      </c>
      <c r="M5" s="26">
        <f>預測IC!M5</f>
        <v>-5.7203313335776329E-3</v>
      </c>
      <c r="N5" s="26">
        <f>預測IC!N5</f>
        <v>1.217774953693151E-2</v>
      </c>
      <c r="O5" s="26">
        <f>預測IC!O5</f>
        <v>2.0977385342121121E-2</v>
      </c>
      <c r="P5" s="26">
        <f>預測IC!P5</f>
        <v>4.1054370813071728E-3</v>
      </c>
      <c r="Q5" s="26">
        <f>預測IC!Q5</f>
        <v>2.752495463937521E-3</v>
      </c>
      <c r="R5" s="26">
        <f>預測IC!R5</f>
        <v>2.2056563757359982E-3</v>
      </c>
      <c r="S5" s="26">
        <f>預測IC!S5</f>
        <v>-3.200523322448134E-3</v>
      </c>
      <c r="T5" s="26">
        <f>預測IC!T5</f>
        <v>4.7661159187555313E-3</v>
      </c>
      <c r="U5" s="26">
        <f>預測IC!U5</f>
        <v>3.1950199045240879E-3</v>
      </c>
      <c r="V5" s="26">
        <f>預測IC!V5</f>
        <v>1.3798894360661509E-4</v>
      </c>
      <c r="W5" s="26">
        <f>預測IC!W5</f>
        <v>9.084991761483252E-4</v>
      </c>
      <c r="X5" s="26">
        <f>預測IC!X5</f>
        <v>-4.8395749181509018E-3</v>
      </c>
      <c r="Y5" s="26">
        <f>預測IC!Y5</f>
        <v>-9.668414480984211E-3</v>
      </c>
      <c r="Z5" s="26">
        <f>預測IC!Z5</f>
        <v>-4.3582962825894356E-3</v>
      </c>
      <c r="AA5" s="26">
        <f>預測IC!AA5</f>
        <v>-9.451698511838913E-3</v>
      </c>
      <c r="AB5" s="26">
        <f>預測IC!AB5</f>
        <v>-7.8619010746479034E-3</v>
      </c>
      <c r="AC5" s="26">
        <f>預測IC!AC5</f>
        <v>-9.5739839598536491E-3</v>
      </c>
      <c r="AD5" s="26">
        <f>預測IC!AD5</f>
        <v>-1.192590594291687E-2</v>
      </c>
      <c r="AE5" s="26">
        <f>預測IC!AE5</f>
        <v>-9.073648601770401E-3</v>
      </c>
      <c r="AF5" s="26">
        <f>預測IC!AF5</f>
        <v>-5.2689705044031143E-3</v>
      </c>
      <c r="AG5" s="26">
        <f>預測IC!AG5</f>
        <v>-6.2905293889343739E-3</v>
      </c>
      <c r="AH5" s="26">
        <f>預測IC!AH5</f>
        <v>-4.2838593944907188E-3</v>
      </c>
      <c r="AI5" s="26">
        <f>預測IC!AI5</f>
        <v>-3.658974077552557E-3</v>
      </c>
      <c r="AJ5" s="26">
        <f>預測IC!AJ5</f>
        <v>-3.1868440564721818E-3</v>
      </c>
      <c r="AK5" s="26">
        <f>預測IC!AK5</f>
        <v>-6.5460228361189374E-3</v>
      </c>
      <c r="AL5" s="26">
        <f>預測IC!AL5</f>
        <v>-5.4174191318452358E-3</v>
      </c>
      <c r="AM5" s="26">
        <f>預測IC!AM5</f>
        <v>-6.3505335710942754E-3</v>
      </c>
      <c r="AN5" s="26">
        <f>預測IC!AN5</f>
        <v>9.4361149240285158E-4</v>
      </c>
      <c r="AO5" s="26">
        <f>預測IC!AO5</f>
        <v>-4.1886745020747176E-3</v>
      </c>
      <c r="AP5" s="26">
        <f>預測IC!AP5</f>
        <v>-6.3021155074238777E-3</v>
      </c>
      <c r="AQ5" s="26">
        <f>預測IC!AQ5</f>
        <v>-7.8539003152400255E-4</v>
      </c>
      <c r="AR5" s="26">
        <f>預測IC!AR5</f>
        <v>1.274428068427369E-4</v>
      </c>
      <c r="AS5" s="26">
        <f>預測IC!AS5</f>
        <v>-2.6125095319002871E-3</v>
      </c>
      <c r="AT5" s="26">
        <f>預測IC!AT5</f>
        <v>1.7251728102564812E-2</v>
      </c>
      <c r="AU5" s="26">
        <f>預測IC!AU5</f>
        <v>-1.1382638476788999E-2</v>
      </c>
      <c r="AV5" s="26">
        <f>預測IC!AV5</f>
        <v>9.8412996158003807E-3</v>
      </c>
      <c r="AW5" s="26">
        <f>預測IC!AW5</f>
        <v>6.4438600093126297E-3</v>
      </c>
      <c r="AX5" s="26">
        <f>預測IC!AX5</f>
        <v>-9.4542577862739563E-3</v>
      </c>
      <c r="AY5" s="26">
        <f>預測IC!AY5</f>
        <v>-2.605369314551353E-3</v>
      </c>
      <c r="AZ5" s="26">
        <f>預測IC!AZ5</f>
        <v>1.02137690410018E-2</v>
      </c>
      <c r="BA5" s="26">
        <f>預測IC!BA5</f>
        <v>-3.370878694113344E-4</v>
      </c>
      <c r="BB5" s="26">
        <f>預測IC!BB5</f>
        <v>-7.658196147531271E-3</v>
      </c>
      <c r="BC5" s="26">
        <f>預測IC!BC5</f>
        <v>1.95592432282865E-3</v>
      </c>
      <c r="BD5" s="26">
        <f>預測IC!BD5</f>
        <v>-1.753970421850681E-2</v>
      </c>
      <c r="BE5" s="26">
        <f>預測IC!BE5</f>
        <v>-5.8258567005395889E-3</v>
      </c>
      <c r="BF5" s="26">
        <f>預測IC!BF5</f>
        <v>6.1481038574129343E-4</v>
      </c>
      <c r="BG5" s="26">
        <f>預測IC!BG5</f>
        <v>-7.2949402965605259E-3</v>
      </c>
      <c r="BH5" s="26">
        <f>預測IC!BH5</f>
        <v>-4.383845254778862E-3</v>
      </c>
      <c r="BI5" s="26">
        <f>預測IC!BI5</f>
        <v>7.9724268289282918E-5</v>
      </c>
      <c r="BJ5" s="26">
        <f>預測IC!BJ5</f>
        <v>-4.1618733666837221E-4</v>
      </c>
      <c r="BK5" s="26">
        <f>預測IC!BK5</f>
        <v>-8.1078559160232544E-3</v>
      </c>
      <c r="BL5" s="26">
        <f>預測IC!BL5</f>
        <v>-1.816836651414633E-3</v>
      </c>
      <c r="BM5" s="26">
        <f>預測IC!BM5</f>
        <v>-3.0251548159867529E-3</v>
      </c>
      <c r="BN5" s="26">
        <f>預測IC!BN5</f>
        <v>-7.1253179339691997E-4</v>
      </c>
      <c r="BO5" s="26">
        <f>預測IC!BO5</f>
        <v>-4.3908162042498589E-3</v>
      </c>
      <c r="BP5" s="26">
        <f>預測IC!BP5</f>
        <v>-8.6731631308794022E-3</v>
      </c>
      <c r="BQ5" s="26">
        <f>預測IC!BQ5</f>
        <v>9.8586292006075382E-4</v>
      </c>
      <c r="BR5" s="26">
        <f>預測IC!BR5</f>
        <v>5.6344678159803152E-4</v>
      </c>
      <c r="BS5" s="26">
        <f>預測IC!BS5</f>
        <v>-7.2165514575317502E-4</v>
      </c>
      <c r="BT5" s="26">
        <f>預測IC!BT5</f>
        <v>2.1159742027521131E-4</v>
      </c>
      <c r="BU5" s="26">
        <f>預測IC!BU5</f>
        <v>-3.9482754655182362E-3</v>
      </c>
      <c r="BV5" s="26">
        <f>預測IC!BV5</f>
        <v>-1.754006138071418E-3</v>
      </c>
      <c r="BW5" s="26">
        <f>預測IC!BW5</f>
        <v>-3.9257919415831566E-3</v>
      </c>
      <c r="BX5" s="26">
        <f>預測IC!BX5</f>
        <v>-2.280559623613954E-3</v>
      </c>
      <c r="BY5" s="26">
        <f>預測IC!BY5</f>
        <v>-2.5638358201831579E-3</v>
      </c>
      <c r="BZ5" s="26">
        <f>預測IC!BZ5</f>
        <v>9.5798890106379986E-4</v>
      </c>
      <c r="CA5" s="26">
        <f>預測IC!CA5</f>
        <v>-1.7290487885475159E-2</v>
      </c>
      <c r="CB5" s="26">
        <f>預測IC!CB5</f>
        <v>-1.8011752516031269E-2</v>
      </c>
      <c r="CC5" s="26">
        <f>預測IC!CC5</f>
        <v>-1.120550092309713E-2</v>
      </c>
      <c r="CD5" s="26">
        <f>預測IC!CD5</f>
        <v>-5.9453980065882206E-3</v>
      </c>
      <c r="CE5" s="26">
        <f>預測IC!CE5</f>
        <v>5.6577795185148716E-3</v>
      </c>
      <c r="CF5" s="26">
        <f>預測IC!CF5</f>
        <v>-5.0181304104626179E-3</v>
      </c>
      <c r="CG5" s="26">
        <f>預測IC!CG5</f>
        <v>-1.080882735550404E-3</v>
      </c>
      <c r="CH5" s="26">
        <f>預測IC!CH5</f>
        <v>-2.4344832636415958E-3</v>
      </c>
      <c r="CI5" s="26">
        <f>預測IC!CI5</f>
        <v>-5.8056642301380634E-3</v>
      </c>
      <c r="CJ5" s="26">
        <f>預測IC!CJ5</f>
        <v>5.3442474454641342E-3</v>
      </c>
      <c r="CK5" s="26">
        <f>預測IC!CK5</f>
        <v>-6.6559319384396076E-3</v>
      </c>
      <c r="CL5" s="26">
        <f>預測IC!CL5</f>
        <v>-8.122333325445652E-3</v>
      </c>
      <c r="CM5" s="26">
        <f>預測IC!CM5</f>
        <v>4.4885189272463322E-3</v>
      </c>
      <c r="CN5" s="26">
        <f>預測IC!CN5</f>
        <v>-1.260940451174974E-3</v>
      </c>
      <c r="CO5" s="26">
        <f>預測IC!CO5</f>
        <v>2.2093972656875849E-3</v>
      </c>
      <c r="CP5" s="26">
        <f>預測IC!CP5</f>
        <v>-3.1657333020120859E-3</v>
      </c>
      <c r="CQ5" s="26">
        <f>預測IC!CQ5</f>
        <v>-4.2476160451769829E-3</v>
      </c>
      <c r="CR5" s="26">
        <f>預測IC!CR5</f>
        <v>7.4740842683240771E-4</v>
      </c>
      <c r="CS5" s="26">
        <f>預測IC!CS5</f>
        <v>-6.8966434337198734E-3</v>
      </c>
      <c r="CT5" s="26">
        <f>預測IC!CT5</f>
        <v>-8.8150595547631383E-4</v>
      </c>
      <c r="CU5" s="26">
        <f>預測IC!CU5</f>
        <v>-5.4849479347467422E-3</v>
      </c>
      <c r="CV5" s="26">
        <f>預測IC!CV5</f>
        <v>-5.0015887245535851E-4</v>
      </c>
      <c r="CW5" s="26">
        <f>預測IC!CW5</f>
        <v>-3.6941524595022202E-3</v>
      </c>
      <c r="CX5" s="26">
        <f>預測IC!CX5</f>
        <v>-1.516487682238221E-3</v>
      </c>
      <c r="CY5" s="26">
        <f>預測IC!CY5</f>
        <v>-2.2506022360175848E-3</v>
      </c>
      <c r="CZ5" s="26">
        <f>預測IC!CZ5</f>
        <v>-1.037915935739875E-4</v>
      </c>
      <c r="DA5" s="26">
        <f>預測IC!DA5</f>
        <v>-1.3994954060763121E-3</v>
      </c>
      <c r="DB5" s="26">
        <f>預測IC!DB5</f>
        <v>-2.8583267703652382E-3</v>
      </c>
      <c r="DC5" s="26">
        <f>預測IC!DC5</f>
        <v>-3.8185073062777519E-3</v>
      </c>
      <c r="DD5" s="26">
        <f>預測IC!DD5</f>
        <v>-4.7922488301992416E-3</v>
      </c>
      <c r="DE5" s="26">
        <f>預測IC!DE5</f>
        <v>-4.4267559424042702E-3</v>
      </c>
      <c r="DF5" s="26">
        <f>預測IC!DF5</f>
        <v>-2.32978705316782E-2</v>
      </c>
      <c r="DG5" s="26">
        <f>預測IC!DG5</f>
        <v>-6.6420962102711201E-3</v>
      </c>
      <c r="DH5" s="26">
        <f>預測IC!DH5</f>
        <v>-4.64266212657094E-3</v>
      </c>
      <c r="DI5" s="26">
        <f>預測IC!DI5</f>
        <v>-2.1060877479612832E-3</v>
      </c>
      <c r="DJ5" s="26">
        <f>預測IC!DJ5</f>
        <v>-1.062803342938423E-2</v>
      </c>
      <c r="DK5" s="26">
        <f>預測IC!DK5</f>
        <v>-9.6024703234434128E-3</v>
      </c>
      <c r="DL5" s="26">
        <f>預測IC!DL5</f>
        <v>-3.8239909335970879E-3</v>
      </c>
      <c r="DM5" s="26">
        <f>預測IC!DM5</f>
        <v>-6.1252154409885406E-4</v>
      </c>
      <c r="DN5" s="26">
        <f>預測IC!DN5</f>
        <v>-3.627817146480083E-3</v>
      </c>
      <c r="DO5" s="26">
        <f>預測IC!DO5</f>
        <v>2.946552587673068E-3</v>
      </c>
      <c r="DP5" s="26">
        <f>預測IC!DP5</f>
        <v>-5.6377304717898369E-3</v>
      </c>
      <c r="DQ5" s="26">
        <f>預測IC!DQ5</f>
        <v>-4.3007815256714821E-3</v>
      </c>
      <c r="DR5" s="26">
        <f>預測IC!DR5</f>
        <v>-7.0757018402218819E-3</v>
      </c>
      <c r="DS5" s="26">
        <f>預測IC!DS5</f>
        <v>-3.6393199115991588E-3</v>
      </c>
      <c r="DT5" s="26">
        <f>預測IC!DT5</f>
        <v>-1.078812405467033E-3</v>
      </c>
      <c r="DU5" s="26">
        <f>預測IC!DU5</f>
        <v>-5.7610021904110909E-3</v>
      </c>
      <c r="DV5" s="26">
        <f>預測IC!DV5</f>
        <v>-3.170169191434979E-3</v>
      </c>
      <c r="DW5" s="26">
        <f>預測IC!DW5</f>
        <v>1.376348081976175E-4</v>
      </c>
      <c r="DX5" s="26">
        <f>預測IC!DX5</f>
        <v>-5.2125225774943829E-3</v>
      </c>
      <c r="DY5" s="26">
        <f>預測IC!DY5</f>
        <v>-3.231637179851532E-3</v>
      </c>
      <c r="DZ5" s="26">
        <f>預測IC!DZ5</f>
        <v>-1.969799399375916E-3</v>
      </c>
      <c r="EA5" s="26">
        <f>預測IC!EA5</f>
        <v>-2.5265156291425228E-3</v>
      </c>
      <c r="EB5" s="26">
        <f>預測IC!EB5</f>
        <v>-4.4835992157459259E-3</v>
      </c>
      <c r="EC5" s="26">
        <f>預測IC!EC5</f>
        <v>-4.603260662406683E-3</v>
      </c>
      <c r="ED5" s="26">
        <f>預測IC!ED5</f>
        <v>-6.4388466998934746E-3</v>
      </c>
      <c r="EE5" s="26">
        <f>預測IC!EE5</f>
        <v>-5.9161325916647911E-3</v>
      </c>
      <c r="EF5" s="26">
        <f>預測IC!EF5</f>
        <v>-6.1999494209885597E-3</v>
      </c>
      <c r="EG5" s="1"/>
    </row>
    <row r="6" spans="1:138" s="2" customFormat="1">
      <c r="A6" s="32" t="s">
        <v>139</v>
      </c>
      <c r="B6" s="33"/>
      <c r="C6" s="27">
        <f t="array" ref="C6">MATCH(MAX(ABS(C3:C5)), ABS(C3:C5), 0)</f>
        <v>1</v>
      </c>
      <c r="D6" s="27">
        <f t="array" ref="D6">MATCH(MAX(ABS(D3:D5)), ABS(D3:D5), 0)</f>
        <v>2</v>
      </c>
      <c r="E6" s="27">
        <f t="array" ref="E6">MATCH(MAX(ABS(E3:E5)), ABS(E3:E5), 0)</f>
        <v>1</v>
      </c>
      <c r="F6" s="27">
        <f t="array" ref="F6">MATCH(MAX(ABS(F3:F5)), ABS(F3:F5), 0)</f>
        <v>2</v>
      </c>
      <c r="G6" s="27">
        <f t="array" ref="G6">MATCH(MAX(ABS(G3:G5)), ABS(G3:G5), 0)</f>
        <v>2</v>
      </c>
      <c r="H6" s="27">
        <f t="array" ref="H6">MATCH(MAX(ABS(H3:H5)), ABS(H3:H5), 0)</f>
        <v>2</v>
      </c>
      <c r="I6" s="27">
        <f t="array" ref="I6">MATCH(MAX(ABS(I3:I5)), ABS(I3:I5), 0)</f>
        <v>1</v>
      </c>
      <c r="J6" s="27">
        <f t="array" ref="J6">MATCH(MAX(ABS(J3:J5)), ABS(J3:J5), 0)</f>
        <v>2</v>
      </c>
      <c r="K6" s="27">
        <f t="array" ref="K6">MATCH(MAX(ABS(K3:K5)), ABS(K3:K5), 0)</f>
        <v>2</v>
      </c>
      <c r="L6" s="27">
        <f t="array" ref="L6">MATCH(MAX(ABS(L3:L5)), ABS(L3:L5), 0)</f>
        <v>2</v>
      </c>
      <c r="M6" s="27">
        <f t="array" ref="M6">MATCH(MAX(ABS(M3:M5)), ABS(M3:M5), 0)</f>
        <v>2</v>
      </c>
      <c r="N6" s="27">
        <f t="array" ref="N6">MATCH(MAX(ABS(N3:N5)), ABS(N3:N5), 0)</f>
        <v>2</v>
      </c>
      <c r="O6" s="27">
        <f t="array" ref="O6">MATCH(MAX(ABS(O3:O5)), ABS(O3:O5), 0)</f>
        <v>2</v>
      </c>
      <c r="P6" s="27">
        <f t="array" ref="P6">MATCH(MAX(ABS(P3:P5)), ABS(P3:P5), 0)</f>
        <v>1</v>
      </c>
      <c r="Q6" s="27">
        <f t="array" ref="Q6">MATCH(MAX(ABS(Q3:Q5)), ABS(Q3:Q5), 0)</f>
        <v>2</v>
      </c>
      <c r="R6" s="27">
        <f t="array" ref="R6">MATCH(MAX(ABS(R3:R5)), ABS(R3:R5), 0)</f>
        <v>2</v>
      </c>
      <c r="S6" s="27">
        <f t="array" ref="S6">MATCH(MAX(ABS(S3:S5)), ABS(S3:S5), 0)</f>
        <v>1</v>
      </c>
      <c r="T6" s="27">
        <f t="array" ref="T6">MATCH(MAX(ABS(T3:T5)), ABS(T3:T5), 0)</f>
        <v>2</v>
      </c>
      <c r="U6" s="27">
        <f t="array" ref="U6">MATCH(MAX(ABS(U3:U5)), ABS(U3:U5), 0)</f>
        <v>2</v>
      </c>
      <c r="V6" s="27">
        <f t="array" ref="V6">MATCH(MAX(ABS(V3:V5)), ABS(V3:V5), 0)</f>
        <v>2</v>
      </c>
      <c r="W6" s="27">
        <f t="array" ref="W6">MATCH(MAX(ABS(W3:W5)), ABS(W3:W5), 0)</f>
        <v>2</v>
      </c>
      <c r="X6" s="27">
        <f t="array" ref="X6">MATCH(MAX(ABS(X3:X5)), ABS(X3:X5), 0)</f>
        <v>1</v>
      </c>
      <c r="Y6" s="27">
        <f t="array" ref="Y6">MATCH(MAX(ABS(Y3:Y5)), ABS(Y3:Y5), 0)</f>
        <v>2</v>
      </c>
      <c r="Z6" s="27">
        <f t="array" ref="Z6">MATCH(MAX(ABS(Z3:Z5)), ABS(Z3:Z5), 0)</f>
        <v>2</v>
      </c>
      <c r="AA6" s="27">
        <f t="array" ref="AA6">MATCH(MAX(ABS(AA3:AA5)), ABS(AA3:AA5), 0)</f>
        <v>2</v>
      </c>
      <c r="AB6" s="27">
        <f t="array" ref="AB6">MATCH(MAX(ABS(AB3:AB5)), ABS(AB3:AB5), 0)</f>
        <v>2</v>
      </c>
      <c r="AC6" s="27">
        <f t="array" ref="AC6">MATCH(MAX(ABS(AC3:AC5)), ABS(AC3:AC5), 0)</f>
        <v>2</v>
      </c>
      <c r="AD6" s="27">
        <f t="array" ref="AD6">MATCH(MAX(ABS(AD3:AD5)), ABS(AD3:AD5), 0)</f>
        <v>2</v>
      </c>
      <c r="AE6" s="27">
        <f t="array" ref="AE6">MATCH(MAX(ABS(AE3:AE5)), ABS(AE3:AE5), 0)</f>
        <v>1</v>
      </c>
      <c r="AF6" s="27">
        <f t="array" ref="AF6">MATCH(MAX(ABS(AF3:AF5)), ABS(AF3:AF5), 0)</f>
        <v>2</v>
      </c>
      <c r="AG6" s="27">
        <f t="array" ref="AG6">MATCH(MAX(ABS(AG3:AG5)), ABS(AG3:AG5), 0)</f>
        <v>2</v>
      </c>
      <c r="AH6" s="27">
        <f t="array" ref="AH6">MATCH(MAX(ABS(AH3:AH5)), ABS(AH3:AH5), 0)</f>
        <v>2</v>
      </c>
      <c r="AI6" s="27">
        <f t="array" ref="AI6">MATCH(MAX(ABS(AI3:AI5)), ABS(AI3:AI5), 0)</f>
        <v>2</v>
      </c>
      <c r="AJ6" s="27">
        <f t="array" ref="AJ6">MATCH(MAX(ABS(AJ3:AJ5)), ABS(AJ3:AJ5), 0)</f>
        <v>2</v>
      </c>
      <c r="AK6" s="27">
        <f t="array" ref="AK6">MATCH(MAX(ABS(AK3:AK5)), ABS(AK3:AK5), 0)</f>
        <v>2</v>
      </c>
      <c r="AL6" s="27">
        <f t="array" ref="AL6">MATCH(MAX(ABS(AL3:AL5)), ABS(AL3:AL5), 0)</f>
        <v>1</v>
      </c>
      <c r="AM6" s="27">
        <f t="array" ref="AM6">MATCH(MAX(ABS(AM3:AM5)), ABS(AM3:AM5), 0)</f>
        <v>2</v>
      </c>
      <c r="AN6" s="27">
        <f t="array" ref="AN6">MATCH(MAX(ABS(AN3:AN5)), ABS(AN3:AN5), 0)</f>
        <v>1</v>
      </c>
      <c r="AO6" s="27">
        <f t="array" ref="AO6">MATCH(MAX(ABS(AO3:AO5)), ABS(AO3:AO5), 0)</f>
        <v>2</v>
      </c>
      <c r="AP6" s="27">
        <f t="array" ref="AP6">MATCH(MAX(ABS(AP3:AP5)), ABS(AP3:AP5), 0)</f>
        <v>1</v>
      </c>
      <c r="AQ6" s="27">
        <f t="array" ref="AQ6">MATCH(MAX(ABS(AQ3:AQ5)), ABS(AQ3:AQ5), 0)</f>
        <v>2</v>
      </c>
      <c r="AR6" s="27">
        <f t="array" ref="AR6">MATCH(MAX(ABS(AR3:AR5)), ABS(AR3:AR5), 0)</f>
        <v>2</v>
      </c>
      <c r="AS6" s="27">
        <f t="array" ref="AS6">MATCH(MAX(ABS(AS3:AS5)), ABS(AS3:AS5), 0)</f>
        <v>1</v>
      </c>
      <c r="AT6" s="27">
        <f t="array" ref="AT6">MATCH(MAX(ABS(AT3:AT5)), ABS(AT3:AT5), 0)</f>
        <v>1</v>
      </c>
      <c r="AU6" s="27">
        <f t="array" ref="AU6">MATCH(MAX(ABS(AU3:AU5)), ABS(AU3:AU5), 0)</f>
        <v>1</v>
      </c>
      <c r="AV6" s="27">
        <f t="array" ref="AV6">MATCH(MAX(ABS(AV3:AV5)), ABS(AV3:AV5), 0)</f>
        <v>1</v>
      </c>
      <c r="AW6" s="27">
        <f t="array" ref="AW6">MATCH(MAX(ABS(AW3:AW5)), ABS(AW3:AW5), 0)</f>
        <v>1</v>
      </c>
      <c r="AX6" s="27">
        <f t="array" ref="AX6">MATCH(MAX(ABS(AX3:AX5)), ABS(AX3:AX5), 0)</f>
        <v>1</v>
      </c>
      <c r="AY6" s="27">
        <f t="array" ref="AY6">MATCH(MAX(ABS(AY3:AY5)), ABS(AY3:AY5), 0)</f>
        <v>1</v>
      </c>
      <c r="AZ6" s="27">
        <f t="array" ref="AZ6">MATCH(MAX(ABS(AZ3:AZ5)), ABS(AZ3:AZ5), 0)</f>
        <v>1</v>
      </c>
      <c r="BA6" s="27">
        <f t="array" ref="BA6">MATCH(MAX(ABS(BA3:BA5)), ABS(BA3:BA5), 0)</f>
        <v>1</v>
      </c>
      <c r="BB6" s="27">
        <f t="array" ref="BB6">MATCH(MAX(ABS(BB3:BB5)), ABS(BB3:BB5), 0)</f>
        <v>1</v>
      </c>
      <c r="BC6" s="27">
        <f t="array" ref="BC6">MATCH(MAX(ABS(BC3:BC5)), ABS(BC3:BC5), 0)</f>
        <v>1</v>
      </c>
      <c r="BD6" s="27">
        <f t="array" ref="BD6">MATCH(MAX(ABS(BD3:BD5)), ABS(BD3:BD5), 0)</f>
        <v>1</v>
      </c>
      <c r="BE6" s="27">
        <f t="array" ref="BE6">MATCH(MAX(ABS(BE3:BE5)), ABS(BE3:BE5), 0)</f>
        <v>1</v>
      </c>
      <c r="BF6" s="27">
        <f t="array" ref="BF6">MATCH(MAX(ABS(BF3:BF5)), ABS(BF3:BF5), 0)</f>
        <v>1</v>
      </c>
      <c r="BG6" s="27">
        <f t="array" ref="BG6">MATCH(MAX(ABS(BG3:BG5)), ABS(BG3:BG5), 0)</f>
        <v>1</v>
      </c>
      <c r="BH6" s="27">
        <f t="array" ref="BH6">MATCH(MAX(ABS(BH3:BH5)), ABS(BH3:BH5), 0)</f>
        <v>1</v>
      </c>
      <c r="BI6" s="27">
        <f t="array" ref="BI6">MATCH(MAX(ABS(BI3:BI5)), ABS(BI3:BI5), 0)</f>
        <v>1</v>
      </c>
      <c r="BJ6" s="27">
        <f t="array" ref="BJ6">MATCH(MAX(ABS(BJ3:BJ5)), ABS(BJ3:BJ5), 0)</f>
        <v>1</v>
      </c>
      <c r="BK6" s="27">
        <f t="array" ref="BK6">MATCH(MAX(ABS(BK3:BK5)), ABS(BK3:BK5), 0)</f>
        <v>1</v>
      </c>
      <c r="BL6" s="27">
        <f t="array" ref="BL6">MATCH(MAX(ABS(BL3:BL5)), ABS(BL3:BL5), 0)</f>
        <v>1</v>
      </c>
      <c r="BM6" s="27">
        <f t="array" ref="BM6">MATCH(MAX(ABS(BM3:BM5)), ABS(BM3:BM5), 0)</f>
        <v>1</v>
      </c>
      <c r="BN6" s="27">
        <f t="array" ref="BN6">MATCH(MAX(ABS(BN3:BN5)), ABS(BN3:BN5), 0)</f>
        <v>1</v>
      </c>
      <c r="BO6" s="27">
        <f t="array" ref="BO6">MATCH(MAX(ABS(BO3:BO5)), ABS(BO3:BO5), 0)</f>
        <v>1</v>
      </c>
      <c r="BP6" s="27">
        <f t="array" ref="BP6">MATCH(MAX(ABS(BP3:BP5)), ABS(BP3:BP5), 0)</f>
        <v>1</v>
      </c>
      <c r="BQ6" s="27">
        <f t="array" ref="BQ6">MATCH(MAX(ABS(BQ3:BQ5)), ABS(BQ3:BQ5), 0)</f>
        <v>1</v>
      </c>
      <c r="BR6" s="27">
        <f t="array" ref="BR6">MATCH(MAX(ABS(BR3:BR5)), ABS(BR3:BR5), 0)</f>
        <v>1</v>
      </c>
      <c r="BS6" s="27">
        <f t="array" ref="BS6">MATCH(MAX(ABS(BS3:BS5)), ABS(BS3:BS5), 0)</f>
        <v>1</v>
      </c>
      <c r="BT6" s="27">
        <f t="array" ref="BT6">MATCH(MAX(ABS(BT3:BT5)), ABS(BT3:BT5), 0)</f>
        <v>1</v>
      </c>
      <c r="BU6" s="27">
        <f t="array" ref="BU6">MATCH(MAX(ABS(BU3:BU5)), ABS(BU3:BU5), 0)</f>
        <v>1</v>
      </c>
      <c r="BV6" s="27">
        <f t="array" ref="BV6">MATCH(MAX(ABS(BV3:BV5)), ABS(BV3:BV5), 0)</f>
        <v>1</v>
      </c>
      <c r="BW6" s="27">
        <f t="array" ref="BW6">MATCH(MAX(ABS(BW3:BW5)), ABS(BW3:BW5), 0)</f>
        <v>1</v>
      </c>
      <c r="BX6" s="27">
        <f t="array" ref="BX6">MATCH(MAX(ABS(BX3:BX5)), ABS(BX3:BX5), 0)</f>
        <v>1</v>
      </c>
      <c r="BY6" s="27">
        <f t="array" ref="BY6">MATCH(MAX(ABS(BY3:BY5)), ABS(BY3:BY5), 0)</f>
        <v>1</v>
      </c>
      <c r="BZ6" s="27">
        <f t="array" ref="BZ6">MATCH(MAX(ABS(BZ3:BZ5)), ABS(BZ3:BZ5), 0)</f>
        <v>1</v>
      </c>
      <c r="CA6" s="27">
        <f t="array" ref="CA6">MATCH(MAX(ABS(CA3:CA5)), ABS(CA3:CA5), 0)</f>
        <v>1</v>
      </c>
      <c r="CB6" s="27">
        <f t="array" ref="CB6">MATCH(MAX(ABS(CB3:CB5)), ABS(CB3:CB5), 0)</f>
        <v>1</v>
      </c>
      <c r="CC6" s="27">
        <f t="array" ref="CC6">MATCH(MAX(ABS(CC3:CC5)), ABS(CC3:CC5), 0)</f>
        <v>1</v>
      </c>
      <c r="CD6" s="27">
        <f t="array" ref="CD6">MATCH(MAX(ABS(CD3:CD5)), ABS(CD3:CD5), 0)</f>
        <v>1</v>
      </c>
      <c r="CE6" s="27">
        <f t="array" ref="CE6">MATCH(MAX(ABS(CE3:CE5)), ABS(CE3:CE5), 0)</f>
        <v>1</v>
      </c>
      <c r="CF6" s="27">
        <f t="array" ref="CF6">MATCH(MAX(ABS(CF3:CF5)), ABS(CF3:CF5), 0)</f>
        <v>1</v>
      </c>
      <c r="CG6" s="27">
        <f t="array" ref="CG6">MATCH(MAX(ABS(CG3:CG5)), ABS(CG3:CG5), 0)</f>
        <v>1</v>
      </c>
      <c r="CH6" s="27">
        <f t="array" ref="CH6">MATCH(MAX(ABS(CH3:CH5)), ABS(CH3:CH5), 0)</f>
        <v>1</v>
      </c>
      <c r="CI6" s="27">
        <f t="array" ref="CI6">MATCH(MAX(ABS(CI3:CI5)), ABS(CI3:CI5), 0)</f>
        <v>1</v>
      </c>
      <c r="CJ6" s="27">
        <f t="array" ref="CJ6">MATCH(MAX(ABS(CJ3:CJ5)), ABS(CJ3:CJ5), 0)</f>
        <v>1</v>
      </c>
      <c r="CK6" s="27">
        <f t="array" ref="CK6">MATCH(MAX(ABS(CK3:CK5)), ABS(CK3:CK5), 0)</f>
        <v>1</v>
      </c>
      <c r="CL6" s="27">
        <f t="array" ref="CL6">MATCH(MAX(ABS(CL3:CL5)), ABS(CL3:CL5), 0)</f>
        <v>1</v>
      </c>
      <c r="CM6" s="27">
        <f t="array" ref="CM6">MATCH(MAX(ABS(CM3:CM5)), ABS(CM3:CM5), 0)</f>
        <v>1</v>
      </c>
      <c r="CN6" s="27">
        <f t="array" ref="CN6">MATCH(MAX(ABS(CN3:CN5)), ABS(CN3:CN5), 0)</f>
        <v>1</v>
      </c>
      <c r="CO6" s="27">
        <f t="array" ref="CO6">MATCH(MAX(ABS(CO3:CO5)), ABS(CO3:CO5), 0)</f>
        <v>1</v>
      </c>
      <c r="CP6" s="27">
        <f t="array" ref="CP6">MATCH(MAX(ABS(CP3:CP5)), ABS(CP3:CP5), 0)</f>
        <v>1</v>
      </c>
      <c r="CQ6" s="27">
        <f t="array" ref="CQ6">MATCH(MAX(ABS(CQ3:CQ5)), ABS(CQ3:CQ5), 0)</f>
        <v>1</v>
      </c>
      <c r="CR6" s="27">
        <f t="array" ref="CR6">MATCH(MAX(ABS(CR3:CR5)), ABS(CR3:CR5), 0)</f>
        <v>1</v>
      </c>
      <c r="CS6" s="27">
        <f t="array" ref="CS6">MATCH(MAX(ABS(CS3:CS5)), ABS(CS3:CS5), 0)</f>
        <v>1</v>
      </c>
      <c r="CT6" s="27">
        <f t="array" ref="CT6">MATCH(MAX(ABS(CT3:CT5)), ABS(CT3:CT5), 0)</f>
        <v>1</v>
      </c>
      <c r="CU6" s="27">
        <f t="array" ref="CU6">MATCH(MAX(ABS(CU3:CU5)), ABS(CU3:CU5), 0)</f>
        <v>1</v>
      </c>
      <c r="CV6" s="27">
        <f t="array" ref="CV6">MATCH(MAX(ABS(CV3:CV5)), ABS(CV3:CV5), 0)</f>
        <v>1</v>
      </c>
      <c r="CW6" s="27">
        <f t="array" ref="CW6">MATCH(MAX(ABS(CW3:CW5)), ABS(CW3:CW5), 0)</f>
        <v>1</v>
      </c>
      <c r="CX6" s="27">
        <f t="array" ref="CX6">MATCH(MAX(ABS(CX3:CX5)), ABS(CX3:CX5), 0)</f>
        <v>1</v>
      </c>
      <c r="CY6" s="27">
        <f t="array" ref="CY6">MATCH(MAX(ABS(CY3:CY5)), ABS(CY3:CY5), 0)</f>
        <v>1</v>
      </c>
      <c r="CZ6" s="27">
        <f t="array" ref="CZ6">MATCH(MAX(ABS(CZ3:CZ5)), ABS(CZ3:CZ5), 0)</f>
        <v>1</v>
      </c>
      <c r="DA6" s="27">
        <f t="array" ref="DA6">MATCH(MAX(ABS(DA3:DA5)), ABS(DA3:DA5), 0)</f>
        <v>1</v>
      </c>
      <c r="DB6" s="27">
        <f t="array" ref="DB6">MATCH(MAX(ABS(DB3:DB5)), ABS(DB3:DB5), 0)</f>
        <v>1</v>
      </c>
      <c r="DC6" s="27">
        <f t="array" ref="DC6">MATCH(MAX(ABS(DC3:DC5)), ABS(DC3:DC5), 0)</f>
        <v>1</v>
      </c>
      <c r="DD6" s="27">
        <f t="array" ref="DD6">MATCH(MAX(ABS(DD3:DD5)), ABS(DD3:DD5), 0)</f>
        <v>1</v>
      </c>
      <c r="DE6" s="27">
        <f t="array" ref="DE6">MATCH(MAX(ABS(DE3:DE5)), ABS(DE3:DE5), 0)</f>
        <v>1</v>
      </c>
      <c r="DF6" s="27">
        <f t="array" ref="DF6">MATCH(MAX(ABS(DF3:DF5)), ABS(DF3:DF5), 0)</f>
        <v>1</v>
      </c>
      <c r="DG6" s="27">
        <f t="array" ref="DG6">MATCH(MAX(ABS(DG3:DG5)), ABS(DG3:DG5), 0)</f>
        <v>1</v>
      </c>
      <c r="DH6" s="27">
        <f t="array" ref="DH6">MATCH(MAX(ABS(DH3:DH5)), ABS(DH3:DH5), 0)</f>
        <v>1</v>
      </c>
      <c r="DI6" s="27">
        <f t="array" ref="DI6">MATCH(MAX(ABS(DI3:DI5)), ABS(DI3:DI5), 0)</f>
        <v>1</v>
      </c>
      <c r="DJ6" s="27">
        <f t="array" ref="DJ6">MATCH(MAX(ABS(DJ3:DJ5)), ABS(DJ3:DJ5), 0)</f>
        <v>1</v>
      </c>
      <c r="DK6" s="27">
        <f t="array" ref="DK6">MATCH(MAX(ABS(DK3:DK5)), ABS(DK3:DK5), 0)</f>
        <v>1</v>
      </c>
      <c r="DL6" s="27">
        <f t="array" ref="DL6">MATCH(MAX(ABS(DL3:DL5)), ABS(DL3:DL5), 0)</f>
        <v>1</v>
      </c>
      <c r="DM6" s="27">
        <f t="array" ref="DM6">MATCH(MAX(ABS(DM3:DM5)), ABS(DM3:DM5), 0)</f>
        <v>1</v>
      </c>
      <c r="DN6" s="27">
        <f t="array" ref="DN6">MATCH(MAX(ABS(DN3:DN5)), ABS(DN3:DN5), 0)</f>
        <v>1</v>
      </c>
      <c r="DO6" s="27">
        <f t="array" ref="DO6">MATCH(MAX(ABS(DO3:DO5)), ABS(DO3:DO5), 0)</f>
        <v>1</v>
      </c>
      <c r="DP6" s="27">
        <f t="array" ref="DP6">MATCH(MAX(ABS(DP3:DP5)), ABS(DP3:DP5), 0)</f>
        <v>1</v>
      </c>
      <c r="DQ6" s="27">
        <f t="array" ref="DQ6">MATCH(MAX(ABS(DQ3:DQ5)), ABS(DQ3:DQ5), 0)</f>
        <v>1</v>
      </c>
      <c r="DR6" s="27">
        <f t="array" ref="DR6">MATCH(MAX(ABS(DR3:DR5)), ABS(DR3:DR5), 0)</f>
        <v>1</v>
      </c>
      <c r="DS6" s="27">
        <f t="array" ref="DS6">MATCH(MAX(ABS(DS3:DS5)), ABS(DS3:DS5), 0)</f>
        <v>1</v>
      </c>
      <c r="DT6" s="27">
        <f t="array" ref="DT6">MATCH(MAX(ABS(DT3:DT5)), ABS(DT3:DT5), 0)</f>
        <v>1</v>
      </c>
      <c r="DU6" s="27">
        <f t="array" ref="DU6">MATCH(MAX(ABS(DU3:DU5)), ABS(DU3:DU5), 0)</f>
        <v>1</v>
      </c>
      <c r="DV6" s="27">
        <f t="array" ref="DV6">MATCH(MAX(ABS(DV3:DV5)), ABS(DV3:DV5), 0)</f>
        <v>1</v>
      </c>
      <c r="DW6" s="27">
        <f t="array" ref="DW6">MATCH(MAX(ABS(DW3:DW5)), ABS(DW3:DW5), 0)</f>
        <v>1</v>
      </c>
      <c r="DX6" s="27">
        <f t="array" ref="DX6">MATCH(MAX(ABS(DX3:DX5)), ABS(DX3:DX5), 0)</f>
        <v>1</v>
      </c>
      <c r="DY6" s="27">
        <f t="array" ref="DY6">MATCH(MAX(ABS(DY3:DY5)), ABS(DY3:DY5), 0)</f>
        <v>1</v>
      </c>
      <c r="DZ6" s="27">
        <f t="array" ref="DZ6">MATCH(MAX(ABS(DZ3:DZ5)), ABS(DZ3:DZ5), 0)</f>
        <v>1</v>
      </c>
      <c r="EA6" s="27">
        <f t="array" ref="EA6">MATCH(MAX(ABS(EA3:EA5)), ABS(EA3:EA5), 0)</f>
        <v>1</v>
      </c>
      <c r="EB6" s="27">
        <f t="array" ref="EB6">MATCH(MAX(ABS(EB3:EB5)), ABS(EB3:EB5), 0)</f>
        <v>1</v>
      </c>
      <c r="EC6" s="27">
        <f t="array" ref="EC6">MATCH(MAX(ABS(EC3:EC5)), ABS(EC3:EC5), 0)</f>
        <v>1</v>
      </c>
      <c r="ED6" s="27">
        <f t="array" ref="ED6">MATCH(MAX(ABS(ED3:ED5)), ABS(ED3:ED5), 0)</f>
        <v>1</v>
      </c>
      <c r="EE6" s="27">
        <f t="array" ref="EE6">MATCH(MAX(ABS(EE3:EE5)), ABS(EE3:EE5), 0)</f>
        <v>1</v>
      </c>
      <c r="EF6" s="27">
        <f t="array" ref="EF6">MATCH(MAX(ABS(EF3:EF5)), ABS(EF3:EF5), 0)</f>
        <v>1</v>
      </c>
    </row>
    <row r="7" spans="1:138" s="2" customFormat="1">
      <c r="C7" s="27" t="str">
        <f t="shared" ref="C7:AH7" si="0">IF(C6=1,"bm",IF(C6=2,"size",IF(C6=3,"mom")))</f>
        <v>bm</v>
      </c>
      <c r="D7" s="27" t="str">
        <f t="shared" si="0"/>
        <v>size</v>
      </c>
      <c r="E7" s="27" t="str">
        <f t="shared" si="0"/>
        <v>bm</v>
      </c>
      <c r="F7" s="27" t="str">
        <f t="shared" si="0"/>
        <v>size</v>
      </c>
      <c r="G7" s="27" t="str">
        <f t="shared" si="0"/>
        <v>size</v>
      </c>
      <c r="H7" s="27" t="str">
        <f t="shared" si="0"/>
        <v>size</v>
      </c>
      <c r="I7" s="27" t="str">
        <f t="shared" si="0"/>
        <v>bm</v>
      </c>
      <c r="J7" s="27" t="str">
        <f t="shared" si="0"/>
        <v>size</v>
      </c>
      <c r="K7" s="27" t="str">
        <f t="shared" si="0"/>
        <v>size</v>
      </c>
      <c r="L7" s="27" t="str">
        <f t="shared" si="0"/>
        <v>size</v>
      </c>
      <c r="M7" s="27" t="str">
        <f t="shared" si="0"/>
        <v>size</v>
      </c>
      <c r="N7" s="27" t="str">
        <f t="shared" si="0"/>
        <v>size</v>
      </c>
      <c r="O7" s="27" t="str">
        <f t="shared" si="0"/>
        <v>size</v>
      </c>
      <c r="P7" s="27" t="str">
        <f t="shared" si="0"/>
        <v>bm</v>
      </c>
      <c r="Q7" s="27" t="str">
        <f t="shared" si="0"/>
        <v>size</v>
      </c>
      <c r="R7" s="27" t="str">
        <f t="shared" si="0"/>
        <v>size</v>
      </c>
      <c r="S7" s="27" t="str">
        <f t="shared" si="0"/>
        <v>bm</v>
      </c>
      <c r="T7" s="27" t="str">
        <f t="shared" si="0"/>
        <v>size</v>
      </c>
      <c r="U7" s="27" t="str">
        <f t="shared" si="0"/>
        <v>size</v>
      </c>
      <c r="V7" s="27" t="str">
        <f t="shared" si="0"/>
        <v>size</v>
      </c>
      <c r="W7" s="27" t="str">
        <f t="shared" si="0"/>
        <v>size</v>
      </c>
      <c r="X7" s="27" t="str">
        <f t="shared" si="0"/>
        <v>bm</v>
      </c>
      <c r="Y7" s="27" t="str">
        <f t="shared" si="0"/>
        <v>size</v>
      </c>
      <c r="Z7" s="27" t="str">
        <f t="shared" si="0"/>
        <v>size</v>
      </c>
      <c r="AA7" s="27" t="str">
        <f t="shared" si="0"/>
        <v>size</v>
      </c>
      <c r="AB7" s="27" t="str">
        <f t="shared" si="0"/>
        <v>size</v>
      </c>
      <c r="AC7" s="27" t="str">
        <f t="shared" si="0"/>
        <v>size</v>
      </c>
      <c r="AD7" s="27" t="str">
        <f t="shared" si="0"/>
        <v>size</v>
      </c>
      <c r="AE7" s="27" t="str">
        <f t="shared" si="0"/>
        <v>bm</v>
      </c>
      <c r="AF7" s="27" t="str">
        <f t="shared" si="0"/>
        <v>size</v>
      </c>
      <c r="AG7" s="27" t="str">
        <f t="shared" si="0"/>
        <v>size</v>
      </c>
      <c r="AH7" s="27" t="str">
        <f t="shared" si="0"/>
        <v>size</v>
      </c>
      <c r="AI7" s="27" t="str">
        <f t="shared" ref="AI7:BN7" si="1">IF(AI6=1,"bm",IF(AI6=2,"size",IF(AI6=3,"mom")))</f>
        <v>size</v>
      </c>
      <c r="AJ7" s="27" t="str">
        <f t="shared" si="1"/>
        <v>size</v>
      </c>
      <c r="AK7" s="27" t="str">
        <f t="shared" si="1"/>
        <v>size</v>
      </c>
      <c r="AL7" s="27" t="str">
        <f t="shared" si="1"/>
        <v>bm</v>
      </c>
      <c r="AM7" s="27" t="str">
        <f t="shared" si="1"/>
        <v>size</v>
      </c>
      <c r="AN7" s="27" t="str">
        <f t="shared" si="1"/>
        <v>bm</v>
      </c>
      <c r="AO7" s="27" t="str">
        <f t="shared" si="1"/>
        <v>size</v>
      </c>
      <c r="AP7" s="27" t="str">
        <f t="shared" si="1"/>
        <v>bm</v>
      </c>
      <c r="AQ7" s="27" t="str">
        <f t="shared" si="1"/>
        <v>size</v>
      </c>
      <c r="AR7" s="27" t="str">
        <f t="shared" si="1"/>
        <v>size</v>
      </c>
      <c r="AS7" s="27" t="str">
        <f t="shared" si="1"/>
        <v>bm</v>
      </c>
      <c r="AT7" s="27" t="str">
        <f t="shared" si="1"/>
        <v>bm</v>
      </c>
      <c r="AU7" s="27" t="str">
        <f t="shared" si="1"/>
        <v>bm</v>
      </c>
      <c r="AV7" s="27" t="str">
        <f t="shared" si="1"/>
        <v>bm</v>
      </c>
      <c r="AW7" s="27" t="str">
        <f t="shared" si="1"/>
        <v>bm</v>
      </c>
      <c r="AX7" s="27" t="str">
        <f t="shared" si="1"/>
        <v>bm</v>
      </c>
      <c r="AY7" s="27" t="str">
        <f t="shared" si="1"/>
        <v>bm</v>
      </c>
      <c r="AZ7" s="27" t="str">
        <f t="shared" si="1"/>
        <v>bm</v>
      </c>
      <c r="BA7" s="27" t="str">
        <f t="shared" si="1"/>
        <v>bm</v>
      </c>
      <c r="BB7" s="27" t="str">
        <f t="shared" si="1"/>
        <v>bm</v>
      </c>
      <c r="BC7" s="27" t="str">
        <f t="shared" si="1"/>
        <v>bm</v>
      </c>
      <c r="BD7" s="27" t="str">
        <f t="shared" si="1"/>
        <v>bm</v>
      </c>
      <c r="BE7" s="27" t="str">
        <f t="shared" si="1"/>
        <v>bm</v>
      </c>
      <c r="BF7" s="27" t="str">
        <f t="shared" si="1"/>
        <v>bm</v>
      </c>
      <c r="BG7" s="27" t="str">
        <f t="shared" si="1"/>
        <v>bm</v>
      </c>
      <c r="BH7" s="27" t="str">
        <f t="shared" si="1"/>
        <v>bm</v>
      </c>
      <c r="BI7" s="27" t="str">
        <f t="shared" si="1"/>
        <v>bm</v>
      </c>
      <c r="BJ7" s="27" t="str">
        <f t="shared" si="1"/>
        <v>bm</v>
      </c>
      <c r="BK7" s="27" t="str">
        <f t="shared" si="1"/>
        <v>bm</v>
      </c>
      <c r="BL7" s="27" t="str">
        <f t="shared" si="1"/>
        <v>bm</v>
      </c>
      <c r="BM7" s="27" t="str">
        <f t="shared" si="1"/>
        <v>bm</v>
      </c>
      <c r="BN7" s="27" t="str">
        <f t="shared" si="1"/>
        <v>bm</v>
      </c>
      <c r="BO7" s="27" t="str">
        <f t="shared" ref="BO7:CT7" si="2">IF(BO6=1,"bm",IF(BO6=2,"size",IF(BO6=3,"mom")))</f>
        <v>bm</v>
      </c>
      <c r="BP7" s="27" t="str">
        <f t="shared" si="2"/>
        <v>bm</v>
      </c>
      <c r="BQ7" s="27" t="str">
        <f t="shared" si="2"/>
        <v>bm</v>
      </c>
      <c r="BR7" s="27" t="str">
        <f t="shared" si="2"/>
        <v>bm</v>
      </c>
      <c r="BS7" s="27" t="str">
        <f t="shared" si="2"/>
        <v>bm</v>
      </c>
      <c r="BT7" s="27" t="str">
        <f t="shared" si="2"/>
        <v>bm</v>
      </c>
      <c r="BU7" s="27" t="str">
        <f t="shared" si="2"/>
        <v>bm</v>
      </c>
      <c r="BV7" s="27" t="str">
        <f t="shared" si="2"/>
        <v>bm</v>
      </c>
      <c r="BW7" s="27" t="str">
        <f t="shared" si="2"/>
        <v>bm</v>
      </c>
      <c r="BX7" s="27" t="str">
        <f t="shared" si="2"/>
        <v>bm</v>
      </c>
      <c r="BY7" s="27" t="str">
        <f t="shared" si="2"/>
        <v>bm</v>
      </c>
      <c r="BZ7" s="27" t="str">
        <f t="shared" si="2"/>
        <v>bm</v>
      </c>
      <c r="CA7" s="27" t="str">
        <f t="shared" si="2"/>
        <v>bm</v>
      </c>
      <c r="CB7" s="27" t="str">
        <f t="shared" si="2"/>
        <v>bm</v>
      </c>
      <c r="CC7" s="27" t="str">
        <f t="shared" si="2"/>
        <v>bm</v>
      </c>
      <c r="CD7" s="27" t="str">
        <f t="shared" si="2"/>
        <v>bm</v>
      </c>
      <c r="CE7" s="27" t="str">
        <f t="shared" si="2"/>
        <v>bm</v>
      </c>
      <c r="CF7" s="27" t="str">
        <f t="shared" si="2"/>
        <v>bm</v>
      </c>
      <c r="CG7" s="27" t="str">
        <f t="shared" si="2"/>
        <v>bm</v>
      </c>
      <c r="CH7" s="27" t="str">
        <f t="shared" si="2"/>
        <v>bm</v>
      </c>
      <c r="CI7" s="27" t="str">
        <f t="shared" si="2"/>
        <v>bm</v>
      </c>
      <c r="CJ7" s="27" t="str">
        <f t="shared" si="2"/>
        <v>bm</v>
      </c>
      <c r="CK7" s="27" t="str">
        <f t="shared" si="2"/>
        <v>bm</v>
      </c>
      <c r="CL7" s="27" t="str">
        <f t="shared" si="2"/>
        <v>bm</v>
      </c>
      <c r="CM7" s="27" t="str">
        <f t="shared" si="2"/>
        <v>bm</v>
      </c>
      <c r="CN7" s="27" t="str">
        <f t="shared" si="2"/>
        <v>bm</v>
      </c>
      <c r="CO7" s="27" t="str">
        <f t="shared" si="2"/>
        <v>bm</v>
      </c>
      <c r="CP7" s="27" t="str">
        <f t="shared" si="2"/>
        <v>bm</v>
      </c>
      <c r="CQ7" s="27" t="str">
        <f t="shared" si="2"/>
        <v>bm</v>
      </c>
      <c r="CR7" s="27" t="str">
        <f t="shared" si="2"/>
        <v>bm</v>
      </c>
      <c r="CS7" s="27" t="str">
        <f t="shared" si="2"/>
        <v>bm</v>
      </c>
      <c r="CT7" s="27" t="str">
        <f t="shared" si="2"/>
        <v>bm</v>
      </c>
      <c r="CU7" s="27" t="str">
        <f t="shared" ref="CU7:DZ7" si="3">IF(CU6=1,"bm",IF(CU6=2,"size",IF(CU6=3,"mom")))</f>
        <v>bm</v>
      </c>
      <c r="CV7" s="27" t="str">
        <f t="shared" si="3"/>
        <v>bm</v>
      </c>
      <c r="CW7" s="27" t="str">
        <f t="shared" si="3"/>
        <v>bm</v>
      </c>
      <c r="CX7" s="27" t="str">
        <f t="shared" si="3"/>
        <v>bm</v>
      </c>
      <c r="CY7" s="27" t="str">
        <f t="shared" si="3"/>
        <v>bm</v>
      </c>
      <c r="CZ7" s="27" t="str">
        <f t="shared" si="3"/>
        <v>bm</v>
      </c>
      <c r="DA7" s="27" t="str">
        <f t="shared" si="3"/>
        <v>bm</v>
      </c>
      <c r="DB7" s="27" t="str">
        <f t="shared" si="3"/>
        <v>bm</v>
      </c>
      <c r="DC7" s="27" t="str">
        <f t="shared" si="3"/>
        <v>bm</v>
      </c>
      <c r="DD7" s="27" t="str">
        <f t="shared" si="3"/>
        <v>bm</v>
      </c>
      <c r="DE7" s="27" t="str">
        <f t="shared" si="3"/>
        <v>bm</v>
      </c>
      <c r="DF7" s="27" t="str">
        <f t="shared" si="3"/>
        <v>bm</v>
      </c>
      <c r="DG7" s="27" t="str">
        <f t="shared" si="3"/>
        <v>bm</v>
      </c>
      <c r="DH7" s="27" t="str">
        <f t="shared" si="3"/>
        <v>bm</v>
      </c>
      <c r="DI7" s="27" t="str">
        <f t="shared" si="3"/>
        <v>bm</v>
      </c>
      <c r="DJ7" s="27" t="str">
        <f t="shared" si="3"/>
        <v>bm</v>
      </c>
      <c r="DK7" s="27" t="str">
        <f t="shared" si="3"/>
        <v>bm</v>
      </c>
      <c r="DL7" s="27" t="str">
        <f t="shared" si="3"/>
        <v>bm</v>
      </c>
      <c r="DM7" s="27" t="str">
        <f t="shared" si="3"/>
        <v>bm</v>
      </c>
      <c r="DN7" s="27" t="str">
        <f t="shared" si="3"/>
        <v>bm</v>
      </c>
      <c r="DO7" s="27" t="str">
        <f t="shared" si="3"/>
        <v>bm</v>
      </c>
      <c r="DP7" s="27" t="str">
        <f t="shared" si="3"/>
        <v>bm</v>
      </c>
      <c r="DQ7" s="27" t="str">
        <f t="shared" si="3"/>
        <v>bm</v>
      </c>
      <c r="DR7" s="27" t="str">
        <f t="shared" si="3"/>
        <v>bm</v>
      </c>
      <c r="DS7" s="27" t="str">
        <f t="shared" si="3"/>
        <v>bm</v>
      </c>
      <c r="DT7" s="27" t="str">
        <f t="shared" si="3"/>
        <v>bm</v>
      </c>
      <c r="DU7" s="27" t="str">
        <f t="shared" si="3"/>
        <v>bm</v>
      </c>
      <c r="DV7" s="27" t="str">
        <f t="shared" si="3"/>
        <v>bm</v>
      </c>
      <c r="DW7" s="27" t="str">
        <f t="shared" si="3"/>
        <v>bm</v>
      </c>
      <c r="DX7" s="27" t="str">
        <f t="shared" si="3"/>
        <v>bm</v>
      </c>
      <c r="DY7" s="27" t="str">
        <f t="shared" si="3"/>
        <v>bm</v>
      </c>
      <c r="DZ7" s="27" t="str">
        <f t="shared" si="3"/>
        <v>bm</v>
      </c>
      <c r="EA7" s="27" t="str">
        <f t="shared" ref="EA7:EF7" si="4">IF(EA6=1,"bm",IF(EA6=2,"size",IF(EA6=3,"mom")))</f>
        <v>bm</v>
      </c>
      <c r="EB7" s="27" t="str">
        <f t="shared" si="4"/>
        <v>bm</v>
      </c>
      <c r="EC7" s="27" t="str">
        <f t="shared" si="4"/>
        <v>bm</v>
      </c>
      <c r="ED7" s="27" t="str">
        <f t="shared" si="4"/>
        <v>bm</v>
      </c>
      <c r="EE7" s="27" t="str">
        <f t="shared" si="4"/>
        <v>bm</v>
      </c>
      <c r="EF7" s="27" t="str">
        <f t="shared" si="4"/>
        <v>bm</v>
      </c>
    </row>
    <row r="8" spans="1:138" s="2" customFormat="1">
      <c r="C8" s="27">
        <f t="shared" ref="C8:AH8" si="5">IF(C6=1,C3,IF(C6=2,C4,IF(C6=3,C5)))</f>
        <v>5.338069424033165E-2</v>
      </c>
      <c r="D8" s="27">
        <f t="shared" si="5"/>
        <v>-3.0302392318844799E-2</v>
      </c>
      <c r="E8" s="27">
        <f t="shared" si="5"/>
        <v>3.7131085991859443E-2</v>
      </c>
      <c r="F8" s="27">
        <f t="shared" si="5"/>
        <v>-3.342650830745697E-2</v>
      </c>
      <c r="G8" s="27">
        <f t="shared" si="5"/>
        <v>-4.356461763381958E-2</v>
      </c>
      <c r="H8" s="27">
        <f t="shared" si="5"/>
        <v>-2.4043656885623928E-2</v>
      </c>
      <c r="I8" s="27">
        <f t="shared" si="5"/>
        <v>3.051983006298542E-2</v>
      </c>
      <c r="J8" s="27">
        <f t="shared" si="5"/>
        <v>-3.6628138273954391E-2</v>
      </c>
      <c r="K8" s="27">
        <f t="shared" si="5"/>
        <v>-3.3706646412611008E-2</v>
      </c>
      <c r="L8" s="27">
        <f t="shared" si="5"/>
        <v>-3.9789609611034393E-2</v>
      </c>
      <c r="M8" s="27">
        <f t="shared" si="5"/>
        <v>-3.8071341812610633E-2</v>
      </c>
      <c r="N8" s="27">
        <f t="shared" si="5"/>
        <v>-2.9651828110218052E-2</v>
      </c>
      <c r="O8" s="27">
        <f t="shared" si="5"/>
        <v>-3.6376375705003738E-2</v>
      </c>
      <c r="P8" s="27">
        <f t="shared" si="5"/>
        <v>9.2788353562355042E-2</v>
      </c>
      <c r="Q8" s="27">
        <f t="shared" si="5"/>
        <v>-2.434376627206802E-2</v>
      </c>
      <c r="R8" s="27">
        <f t="shared" si="5"/>
        <v>-3.3573232591152191E-2</v>
      </c>
      <c r="S8" s="27">
        <f t="shared" si="5"/>
        <v>4.957927018404007E-2</v>
      </c>
      <c r="T8" s="27">
        <f t="shared" si="5"/>
        <v>-2.798360958695412E-2</v>
      </c>
      <c r="U8" s="27">
        <f t="shared" si="5"/>
        <v>-2.942265011370182E-2</v>
      </c>
      <c r="V8" s="27">
        <f t="shared" si="5"/>
        <v>-2.794249914586544E-2</v>
      </c>
      <c r="W8" s="27">
        <f t="shared" si="5"/>
        <v>-2.784637734293938E-2</v>
      </c>
      <c r="X8" s="27">
        <f t="shared" si="5"/>
        <v>-3.8444548845291138E-2</v>
      </c>
      <c r="Y8" s="27">
        <f t="shared" si="5"/>
        <v>-3.1967829912900918E-2</v>
      </c>
      <c r="Z8" s="27">
        <f t="shared" si="5"/>
        <v>-2.9925361275672909E-2</v>
      </c>
      <c r="AA8" s="27">
        <f t="shared" si="5"/>
        <v>-3.0244136229157451E-2</v>
      </c>
      <c r="AB8" s="27">
        <f t="shared" si="5"/>
        <v>-2.8592776507139209E-2</v>
      </c>
      <c r="AC8" s="27">
        <f t="shared" si="5"/>
        <v>-2.740947529673576E-2</v>
      </c>
      <c r="AD8" s="27">
        <f t="shared" si="5"/>
        <v>-2.904889173805714E-2</v>
      </c>
      <c r="AE8" s="27">
        <f t="shared" si="5"/>
        <v>3.8704991340637207E-2</v>
      </c>
      <c r="AF8" s="27">
        <f t="shared" si="5"/>
        <v>-2.8318248689174649E-2</v>
      </c>
      <c r="AG8" s="27">
        <f t="shared" si="5"/>
        <v>-2.835783921182156E-2</v>
      </c>
      <c r="AH8" s="27">
        <f t="shared" si="5"/>
        <v>-2.0635519176721569E-2</v>
      </c>
      <c r="AI8" s="27">
        <f t="shared" ref="AI8:BN8" si="6">IF(AI6=1,AI3,IF(AI6=2,AI4,IF(AI6=3,AI5)))</f>
        <v>-3.9616737514734268E-2</v>
      </c>
      <c r="AJ8" s="27">
        <f t="shared" si="6"/>
        <v>-3.4279849380254752E-2</v>
      </c>
      <c r="AK8" s="27">
        <f t="shared" si="6"/>
        <v>-2.738221921026707E-2</v>
      </c>
      <c r="AL8" s="27">
        <f t="shared" si="6"/>
        <v>3.8964591920375817E-2</v>
      </c>
      <c r="AM8" s="27">
        <f t="shared" si="6"/>
        <v>-3.1148817390203479E-2</v>
      </c>
      <c r="AN8" s="27">
        <f t="shared" si="6"/>
        <v>4.386327788233757E-2</v>
      </c>
      <c r="AO8" s="27">
        <f t="shared" si="6"/>
        <v>-3.5884447395801537E-2</v>
      </c>
      <c r="AP8" s="27">
        <f t="shared" si="6"/>
        <v>3.8291200995445251E-2</v>
      </c>
      <c r="AQ8" s="27">
        <f t="shared" si="6"/>
        <v>-2.1187437698245049E-2</v>
      </c>
      <c r="AR8" s="27">
        <f t="shared" si="6"/>
        <v>-2.6181202381849289E-2</v>
      </c>
      <c r="AS8" s="27">
        <f t="shared" si="6"/>
        <v>-6.6054962575435638E-2</v>
      </c>
      <c r="AT8" s="27">
        <f t="shared" si="6"/>
        <v>4.3137997388839722E-2</v>
      </c>
      <c r="AU8" s="27">
        <f t="shared" si="6"/>
        <v>4.9771856516599662E-2</v>
      </c>
      <c r="AV8" s="27">
        <f t="shared" si="6"/>
        <v>4.9413982778787613E-2</v>
      </c>
      <c r="AW8" s="27">
        <f t="shared" si="6"/>
        <v>5.1071316003799438E-2</v>
      </c>
      <c r="AX8" s="27">
        <f t="shared" si="6"/>
        <v>4.962177574634552E-2</v>
      </c>
      <c r="AY8" s="27">
        <f t="shared" si="6"/>
        <v>5.1257487386465073E-2</v>
      </c>
      <c r="AZ8" s="27">
        <f t="shared" si="6"/>
        <v>4.2423129081726067E-2</v>
      </c>
      <c r="BA8" s="27">
        <f t="shared" si="6"/>
        <v>3.9333701133728027E-2</v>
      </c>
      <c r="BB8" s="27">
        <f t="shared" si="6"/>
        <v>3.9388258010149002E-2</v>
      </c>
      <c r="BC8" s="27">
        <f t="shared" si="6"/>
        <v>4.2884018272161477E-2</v>
      </c>
      <c r="BD8" s="27">
        <f t="shared" si="6"/>
        <v>4.4494438916444778E-2</v>
      </c>
      <c r="BE8" s="27">
        <f t="shared" si="6"/>
        <v>4.6050392091274261E-2</v>
      </c>
      <c r="BF8" s="27">
        <f t="shared" si="6"/>
        <v>5.2774351090192788E-2</v>
      </c>
      <c r="BG8" s="27">
        <f t="shared" si="6"/>
        <v>5.2520696073770523E-2</v>
      </c>
      <c r="BH8" s="27">
        <f t="shared" si="6"/>
        <v>5.204303190112114E-2</v>
      </c>
      <c r="BI8" s="27">
        <f t="shared" si="6"/>
        <v>5.3213786333799362E-2</v>
      </c>
      <c r="BJ8" s="27">
        <f t="shared" si="6"/>
        <v>5.14848493039608E-2</v>
      </c>
      <c r="BK8" s="27">
        <f t="shared" si="6"/>
        <v>5.2345767617225647E-2</v>
      </c>
      <c r="BL8" s="27">
        <f t="shared" si="6"/>
        <v>5.2821684628725052E-2</v>
      </c>
      <c r="BM8" s="27">
        <f t="shared" si="6"/>
        <v>5.246623232960701E-2</v>
      </c>
      <c r="BN8" s="27">
        <f t="shared" si="6"/>
        <v>5.7477392256259918E-2</v>
      </c>
      <c r="BO8" s="27">
        <f t="shared" ref="BO8:CT8" si="7">IF(BO6=1,BO3,IF(BO6=2,BO4,IF(BO6=3,BO5)))</f>
        <v>5.5104456841945648E-2</v>
      </c>
      <c r="BP8" s="27">
        <f t="shared" si="7"/>
        <v>4.081440344452858E-2</v>
      </c>
      <c r="BQ8" s="27">
        <f t="shared" si="7"/>
        <v>5.2616532891988747E-2</v>
      </c>
      <c r="BR8" s="27">
        <f t="shared" si="7"/>
        <v>3.6645740270614617E-2</v>
      </c>
      <c r="BS8" s="27">
        <f t="shared" si="7"/>
        <v>5.4600823670625687E-2</v>
      </c>
      <c r="BT8" s="27">
        <f t="shared" si="7"/>
        <v>4.5548383146524429E-2</v>
      </c>
      <c r="BU8" s="27">
        <f t="shared" si="7"/>
        <v>5.5572357028722763E-2</v>
      </c>
      <c r="BV8" s="27">
        <f t="shared" si="7"/>
        <v>5.2330784499645233E-2</v>
      </c>
      <c r="BW8" s="27">
        <f t="shared" si="7"/>
        <v>4.1799742728471763E-2</v>
      </c>
      <c r="BX8" s="27">
        <f t="shared" si="7"/>
        <v>4.7964099794626243E-2</v>
      </c>
      <c r="BY8" s="27">
        <f t="shared" si="7"/>
        <v>4.9554049968719482E-2</v>
      </c>
      <c r="BZ8" s="27">
        <f t="shared" si="7"/>
        <v>5.3468108177185059E-2</v>
      </c>
      <c r="CA8" s="27">
        <f t="shared" si="7"/>
        <v>4.868757352232933E-2</v>
      </c>
      <c r="CB8" s="27">
        <f t="shared" si="7"/>
        <v>4.6025428920984268E-2</v>
      </c>
      <c r="CC8" s="27">
        <f t="shared" si="7"/>
        <v>5.2412558346986771E-2</v>
      </c>
      <c r="CD8" s="27">
        <f t="shared" si="7"/>
        <v>4.9619406461715698E-2</v>
      </c>
      <c r="CE8" s="27">
        <f t="shared" si="7"/>
        <v>4.6824052929878228E-2</v>
      </c>
      <c r="CF8" s="27">
        <f t="shared" si="7"/>
        <v>5.0924398005008698E-2</v>
      </c>
      <c r="CG8" s="27">
        <f t="shared" si="7"/>
        <v>4.6287201344966888E-2</v>
      </c>
      <c r="CH8" s="27">
        <f t="shared" si="7"/>
        <v>5.0006065517663963E-2</v>
      </c>
      <c r="CI8" s="27">
        <f t="shared" si="7"/>
        <v>4.8990387469530113E-2</v>
      </c>
      <c r="CJ8" s="27">
        <f t="shared" si="7"/>
        <v>5.0737027078866959E-2</v>
      </c>
      <c r="CK8" s="27">
        <f t="shared" si="7"/>
        <v>5.0407581031322479E-2</v>
      </c>
      <c r="CL8" s="27">
        <f t="shared" si="7"/>
        <v>5.1771163940429688E-2</v>
      </c>
      <c r="CM8" s="27">
        <f t="shared" si="7"/>
        <v>4.9744158983230591E-2</v>
      </c>
      <c r="CN8" s="27">
        <f t="shared" si="7"/>
        <v>4.9877673387527473E-2</v>
      </c>
      <c r="CO8" s="27">
        <f t="shared" si="7"/>
        <v>4.8527717590332031E-2</v>
      </c>
      <c r="CP8" s="27">
        <f t="shared" si="7"/>
        <v>4.8692740499973297E-2</v>
      </c>
      <c r="CQ8" s="27">
        <f t="shared" si="7"/>
        <v>4.9047302454710007E-2</v>
      </c>
      <c r="CR8" s="27">
        <f t="shared" si="7"/>
        <v>4.9837246537208557E-2</v>
      </c>
      <c r="CS8" s="27">
        <f t="shared" si="7"/>
        <v>4.7483202069997787E-2</v>
      </c>
      <c r="CT8" s="27">
        <f t="shared" si="7"/>
        <v>3.1795904040336609E-2</v>
      </c>
      <c r="CU8" s="27">
        <f t="shared" ref="CU8:DZ8" si="8">IF(CU6=1,CU3,IF(CU6=2,CU4,IF(CU6=3,CU5)))</f>
        <v>4.4976841658353812E-2</v>
      </c>
      <c r="CV8" s="27">
        <f t="shared" si="8"/>
        <v>4.9786105751991272E-2</v>
      </c>
      <c r="CW8" s="27">
        <f t="shared" si="8"/>
        <v>4.3859463185071952E-2</v>
      </c>
      <c r="CX8" s="27">
        <f t="shared" si="8"/>
        <v>5.1966626197099693E-2</v>
      </c>
      <c r="CY8" s="27">
        <f t="shared" si="8"/>
        <v>5.0948314368724823E-2</v>
      </c>
      <c r="CZ8" s="27">
        <f t="shared" si="8"/>
        <v>4.4357843697071082E-2</v>
      </c>
      <c r="DA8" s="27">
        <f t="shared" si="8"/>
        <v>4.5401513576507568E-2</v>
      </c>
      <c r="DB8" s="27">
        <f t="shared" si="8"/>
        <v>5.2733633667230613E-2</v>
      </c>
      <c r="DC8" s="27">
        <f t="shared" si="8"/>
        <v>5.2081622183322913E-2</v>
      </c>
      <c r="DD8" s="27">
        <f t="shared" si="8"/>
        <v>4.963703453540802E-2</v>
      </c>
      <c r="DE8" s="27">
        <f t="shared" si="8"/>
        <v>5.2589800208806992E-2</v>
      </c>
      <c r="DF8" s="27">
        <f t="shared" si="8"/>
        <v>4.1408929973840707E-2</v>
      </c>
      <c r="DG8" s="27">
        <f t="shared" si="8"/>
        <v>4.3718356639146798E-2</v>
      </c>
      <c r="DH8" s="27">
        <f t="shared" si="8"/>
        <v>4.6793397516012192E-2</v>
      </c>
      <c r="DI8" s="27">
        <f t="shared" si="8"/>
        <v>4.7784905880689621E-2</v>
      </c>
      <c r="DJ8" s="27">
        <f t="shared" si="8"/>
        <v>5.1443465054035187E-2</v>
      </c>
      <c r="DK8" s="27">
        <f t="shared" si="8"/>
        <v>4.1621468961238861E-2</v>
      </c>
      <c r="DL8" s="27">
        <f t="shared" si="8"/>
        <v>4.8520050942897797E-2</v>
      </c>
      <c r="DM8" s="27">
        <f t="shared" si="8"/>
        <v>4.8485212028026581E-2</v>
      </c>
      <c r="DN8" s="27">
        <f t="shared" si="8"/>
        <v>4.6739093959331512E-2</v>
      </c>
      <c r="DO8" s="27">
        <f t="shared" si="8"/>
        <v>4.815780371427536E-2</v>
      </c>
      <c r="DP8" s="27">
        <f t="shared" si="8"/>
        <v>4.7622770071029663E-2</v>
      </c>
      <c r="DQ8" s="27">
        <f t="shared" si="8"/>
        <v>4.8637110739946372E-2</v>
      </c>
      <c r="DR8" s="27">
        <f t="shared" si="8"/>
        <v>4.879031702876091E-2</v>
      </c>
      <c r="DS8" s="27">
        <f t="shared" si="8"/>
        <v>4.4818054884672158E-2</v>
      </c>
      <c r="DT8" s="27">
        <f t="shared" si="8"/>
        <v>4.8045273870229721E-2</v>
      </c>
      <c r="DU8" s="27">
        <f t="shared" si="8"/>
        <v>4.7465518116950989E-2</v>
      </c>
      <c r="DV8" s="27">
        <f t="shared" si="8"/>
        <v>4.6620264649391167E-2</v>
      </c>
      <c r="DW8" s="27">
        <f t="shared" si="8"/>
        <v>4.7323688864707947E-2</v>
      </c>
      <c r="DX8" s="27">
        <f t="shared" si="8"/>
        <v>4.754440113902092E-2</v>
      </c>
      <c r="DY8" s="27">
        <f t="shared" si="8"/>
        <v>4.7807488590478897E-2</v>
      </c>
      <c r="DZ8" s="27">
        <f t="shared" si="8"/>
        <v>3.4820709377527237E-2</v>
      </c>
      <c r="EA8" s="27">
        <f t="shared" ref="EA8:EF8" si="9">IF(EA6=1,EA3,IF(EA6=2,EA4,IF(EA6=3,EA5)))</f>
        <v>4.8265136778354638E-2</v>
      </c>
      <c r="EB8" s="27">
        <f t="shared" si="9"/>
        <v>4.2205382138490677E-2</v>
      </c>
      <c r="EC8" s="27">
        <f t="shared" si="9"/>
        <v>3.6263357847929001E-2</v>
      </c>
      <c r="ED8" s="27">
        <f t="shared" si="9"/>
        <v>3.9504203945398331E-2</v>
      </c>
      <c r="EE8" s="27">
        <f t="shared" si="9"/>
        <v>4.6422228217124939E-2</v>
      </c>
      <c r="EF8" s="27">
        <f t="shared" si="9"/>
        <v>5.0174936652183533E-2</v>
      </c>
    </row>
    <row r="10" spans="1:138">
      <c r="A10" s="32" t="s">
        <v>140</v>
      </c>
      <c r="B10" s="33"/>
      <c r="C10" s="4" t="s">
        <v>141</v>
      </c>
      <c r="D10" s="6">
        <v>964</v>
      </c>
    </row>
    <row r="11" spans="1:138">
      <c r="A11" s="4" t="s">
        <v>142</v>
      </c>
      <c r="B11" s="4" t="s">
        <v>143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I11" s="5" t="s">
        <v>8</v>
      </c>
      <c r="J11" s="5" t="s">
        <v>9</v>
      </c>
      <c r="K11" s="5" t="s">
        <v>10</v>
      </c>
      <c r="L11" s="5" t="s">
        <v>11</v>
      </c>
      <c r="M11" s="5" t="s">
        <v>12</v>
      </c>
      <c r="N11" s="5" t="s">
        <v>13</v>
      </c>
      <c r="O11" s="5" t="s">
        <v>14</v>
      </c>
      <c r="P11" s="5" t="s">
        <v>15</v>
      </c>
      <c r="Q11" s="5" t="s">
        <v>16</v>
      </c>
      <c r="R11" s="5" t="s">
        <v>17</v>
      </c>
      <c r="S11" s="5" t="s">
        <v>18</v>
      </c>
      <c r="T11" s="5" t="s">
        <v>19</v>
      </c>
      <c r="U11" s="5" t="s">
        <v>20</v>
      </c>
      <c r="V11" s="5" t="s">
        <v>21</v>
      </c>
      <c r="W11" s="5" t="s">
        <v>22</v>
      </c>
      <c r="X11" s="5" t="s">
        <v>23</v>
      </c>
      <c r="Y11" s="5" t="s">
        <v>24</v>
      </c>
      <c r="Z11" s="5" t="s">
        <v>25</v>
      </c>
      <c r="AA11" s="5" t="s">
        <v>26</v>
      </c>
      <c r="AB11" s="5" t="s">
        <v>27</v>
      </c>
      <c r="AC11" s="5" t="s">
        <v>28</v>
      </c>
      <c r="AD11" s="5" t="s">
        <v>29</v>
      </c>
      <c r="AE11" s="5" t="s">
        <v>30</v>
      </c>
      <c r="AF11" s="5" t="s">
        <v>31</v>
      </c>
      <c r="AG11" s="5" t="s">
        <v>32</v>
      </c>
      <c r="AH11" s="5" t="s">
        <v>33</v>
      </c>
      <c r="AI11" s="5" t="s">
        <v>34</v>
      </c>
      <c r="AJ11" s="5" t="s">
        <v>35</v>
      </c>
      <c r="AK11" s="5" t="s">
        <v>36</v>
      </c>
      <c r="AL11" s="5" t="s">
        <v>37</v>
      </c>
      <c r="AM11" s="5" t="s">
        <v>38</v>
      </c>
      <c r="AN11" s="5" t="s">
        <v>39</v>
      </c>
      <c r="AO11" s="5" t="s">
        <v>40</v>
      </c>
      <c r="AP11" s="5" t="s">
        <v>41</v>
      </c>
      <c r="AQ11" s="5" t="s">
        <v>42</v>
      </c>
      <c r="AR11" s="5" t="s">
        <v>43</v>
      </c>
      <c r="AS11" s="5" t="s">
        <v>44</v>
      </c>
      <c r="AT11" s="5" t="s">
        <v>45</v>
      </c>
      <c r="AU11" s="5" t="s">
        <v>46</v>
      </c>
      <c r="AV11" s="5" t="s">
        <v>47</v>
      </c>
      <c r="AW11" s="5" t="s">
        <v>48</v>
      </c>
      <c r="AX11" s="5" t="s">
        <v>49</v>
      </c>
      <c r="AY11" s="5" t="s">
        <v>50</v>
      </c>
      <c r="AZ11" s="5" t="s">
        <v>51</v>
      </c>
      <c r="BA11" s="5" t="s">
        <v>52</v>
      </c>
      <c r="BB11" s="5" t="s">
        <v>53</v>
      </c>
      <c r="BC11" s="5" t="s">
        <v>54</v>
      </c>
      <c r="BD11" s="5" t="s">
        <v>55</v>
      </c>
      <c r="BE11" s="5" t="s">
        <v>56</v>
      </c>
      <c r="BF11" s="5" t="s">
        <v>57</v>
      </c>
      <c r="BG11" s="5" t="s">
        <v>58</v>
      </c>
      <c r="BH11" s="5" t="s">
        <v>59</v>
      </c>
      <c r="BI11" s="5" t="s">
        <v>60</v>
      </c>
      <c r="BJ11" s="5" t="s">
        <v>61</v>
      </c>
      <c r="BK11" s="5" t="s">
        <v>62</v>
      </c>
      <c r="BL11" s="5" t="s">
        <v>63</v>
      </c>
      <c r="BM11" s="5" t="s">
        <v>64</v>
      </c>
      <c r="BN11" s="5" t="s">
        <v>65</v>
      </c>
      <c r="BO11" s="5" t="s">
        <v>66</v>
      </c>
      <c r="BP11" s="5" t="s">
        <v>67</v>
      </c>
      <c r="BQ11" s="5" t="s">
        <v>68</v>
      </c>
      <c r="BR11" s="5" t="s">
        <v>69</v>
      </c>
      <c r="BS11" s="5" t="s">
        <v>70</v>
      </c>
      <c r="BT11" s="5" t="s">
        <v>71</v>
      </c>
      <c r="BU11" s="5" t="s">
        <v>72</v>
      </c>
      <c r="BV11" s="5" t="s">
        <v>73</v>
      </c>
      <c r="BW11" s="5" t="s">
        <v>74</v>
      </c>
      <c r="BX11" s="5" t="s">
        <v>75</v>
      </c>
      <c r="BY11" s="5" t="s">
        <v>76</v>
      </c>
      <c r="BZ11" s="5" t="s">
        <v>77</v>
      </c>
      <c r="CA11" s="5" t="s">
        <v>78</v>
      </c>
      <c r="CB11" s="5" t="s">
        <v>79</v>
      </c>
      <c r="CC11" s="5" t="s">
        <v>80</v>
      </c>
      <c r="CD11" s="5" t="s">
        <v>81</v>
      </c>
      <c r="CE11" s="5" t="s">
        <v>82</v>
      </c>
      <c r="CF11" s="5" t="s">
        <v>83</v>
      </c>
      <c r="CG11" s="5" t="s">
        <v>84</v>
      </c>
      <c r="CH11" s="5" t="s">
        <v>85</v>
      </c>
      <c r="CI11" s="5" t="s">
        <v>86</v>
      </c>
      <c r="CJ11" s="5" t="s">
        <v>87</v>
      </c>
      <c r="CK11" s="5" t="s">
        <v>88</v>
      </c>
      <c r="CL11" s="5" t="s">
        <v>89</v>
      </c>
      <c r="CM11" s="5" t="s">
        <v>90</v>
      </c>
      <c r="CN11" s="5" t="s">
        <v>91</v>
      </c>
      <c r="CO11" s="5" t="s">
        <v>92</v>
      </c>
      <c r="CP11" s="5" t="s">
        <v>93</v>
      </c>
      <c r="CQ11" s="5" t="s">
        <v>94</v>
      </c>
      <c r="CR11" s="5" t="s">
        <v>95</v>
      </c>
      <c r="CS11" s="5" t="s">
        <v>96</v>
      </c>
      <c r="CT11" s="5" t="s">
        <v>97</v>
      </c>
      <c r="CU11" s="5" t="s">
        <v>98</v>
      </c>
      <c r="CV11" s="5" t="s">
        <v>99</v>
      </c>
      <c r="CW11" s="5" t="s">
        <v>100</v>
      </c>
      <c r="CX11" s="5" t="s">
        <v>101</v>
      </c>
      <c r="CY11" s="5" t="s">
        <v>102</v>
      </c>
      <c r="CZ11" s="5" t="s">
        <v>103</v>
      </c>
      <c r="DA11" s="5" t="s">
        <v>104</v>
      </c>
      <c r="DB11" s="5" t="s">
        <v>105</v>
      </c>
      <c r="DC11" s="5" t="s">
        <v>106</v>
      </c>
      <c r="DD11" s="5" t="s">
        <v>107</v>
      </c>
      <c r="DE11" s="5" t="s">
        <v>108</v>
      </c>
      <c r="DF11" s="5" t="s">
        <v>109</v>
      </c>
      <c r="DG11" s="5" t="s">
        <v>110</v>
      </c>
      <c r="DH11" s="5" t="s">
        <v>111</v>
      </c>
      <c r="DI11" s="5" t="s">
        <v>112</v>
      </c>
      <c r="DJ11" s="5" t="s">
        <v>113</v>
      </c>
      <c r="DK11" s="5" t="s">
        <v>114</v>
      </c>
      <c r="DL11" s="5" t="s">
        <v>115</v>
      </c>
      <c r="DM11" s="5" t="s">
        <v>116</v>
      </c>
      <c r="DN11" s="5" t="s">
        <v>117</v>
      </c>
      <c r="DO11" s="5" t="s">
        <v>118</v>
      </c>
      <c r="DP11" s="5" t="s">
        <v>119</v>
      </c>
      <c r="DQ11" s="5" t="s">
        <v>120</v>
      </c>
      <c r="DR11" s="5" t="s">
        <v>121</v>
      </c>
      <c r="DS11" s="5" t="s">
        <v>122</v>
      </c>
      <c r="DT11" s="5" t="s">
        <v>123</v>
      </c>
      <c r="DU11" s="5" t="s">
        <v>124</v>
      </c>
      <c r="DV11" s="5" t="s">
        <v>125</v>
      </c>
      <c r="DW11" s="5" t="s">
        <v>126</v>
      </c>
      <c r="DX11" s="5" t="s">
        <v>127</v>
      </c>
      <c r="DY11" s="5" t="s">
        <v>128</v>
      </c>
      <c r="DZ11" s="5" t="s">
        <v>129</v>
      </c>
      <c r="EA11" s="5" t="s">
        <v>130</v>
      </c>
      <c r="EB11" s="5" t="s">
        <v>131</v>
      </c>
      <c r="EC11" s="5" t="s">
        <v>132</v>
      </c>
      <c r="ED11" s="5" t="s">
        <v>133</v>
      </c>
      <c r="EE11" s="5" t="s">
        <v>134</v>
      </c>
      <c r="EF11" s="5" t="s">
        <v>135</v>
      </c>
      <c r="EG11" s="15" t="s">
        <v>146</v>
      </c>
      <c r="EH11" s="15" t="s">
        <v>147</v>
      </c>
    </row>
    <row r="12" spans="1:138">
      <c r="A12" s="4">
        <v>10</v>
      </c>
      <c r="B12" s="4">
        <v>96</v>
      </c>
      <c r="C12" s="9">
        <f>IF(預測IC!C12&gt;預測IC!C$26,1,0)</f>
        <v>1</v>
      </c>
      <c r="D12" s="9">
        <f>IF(預測IC!D12&gt;預測IC!D$26,1,0)</f>
        <v>1</v>
      </c>
      <c r="E12" s="9">
        <f>IF(預測IC!E12&gt;預測IC!E$26,1,0)</f>
        <v>0</v>
      </c>
      <c r="F12" s="9">
        <f>IF(預測IC!F12&gt;預測IC!F$26,1,0)</f>
        <v>1</v>
      </c>
      <c r="G12" s="9">
        <f>IF(預測IC!G12&gt;預測IC!G$26,1,0)</f>
        <v>0</v>
      </c>
      <c r="H12" s="9">
        <f>IF(預測IC!H12&gt;預測IC!H$26,1,0)</f>
        <v>1</v>
      </c>
      <c r="I12" s="9">
        <f>IF(預測IC!I12&gt;預測IC!I$26,1,0)</f>
        <v>1</v>
      </c>
      <c r="J12" s="9">
        <f>IF(預測IC!J12&gt;預測IC!J$26,1,0)</f>
        <v>0</v>
      </c>
      <c r="K12" s="9">
        <f>IF(預測IC!K12&gt;預測IC!K$26,1,0)</f>
        <v>1</v>
      </c>
      <c r="L12" s="9">
        <f>IF(預測IC!L12&gt;預測IC!L$26,1,0)</f>
        <v>0</v>
      </c>
      <c r="M12" s="9">
        <f>IF(預測IC!M12&gt;預測IC!M$26,1,0)</f>
        <v>0</v>
      </c>
      <c r="N12" s="9">
        <f>IF(預測IC!N12&gt;預測IC!N$26,1,0)</f>
        <v>1</v>
      </c>
      <c r="O12" s="9">
        <f>IF(預測IC!O12&gt;預測IC!O$26,1,0)</f>
        <v>1</v>
      </c>
      <c r="P12" s="9">
        <f>IF(預測IC!P12&gt;預測IC!P$26,1,0)</f>
        <v>0</v>
      </c>
      <c r="Q12" s="9">
        <f>IF(預測IC!Q12&gt;預測IC!Q$26,1,0)</f>
        <v>1</v>
      </c>
      <c r="R12" s="9">
        <f>IF(預測IC!R12&gt;預測IC!R$26,1,0)</f>
        <v>0</v>
      </c>
      <c r="S12" s="9">
        <f>IF(預測IC!S12&gt;預測IC!S$26,1,0)</f>
        <v>0</v>
      </c>
      <c r="T12" s="9">
        <f>IF(預測IC!T12&gt;預測IC!T$26,1,0)</f>
        <v>1</v>
      </c>
      <c r="U12" s="9">
        <f>IF(預測IC!U12&gt;預測IC!U$26,1,0)</f>
        <v>1</v>
      </c>
      <c r="V12" s="9">
        <f>IF(預測IC!V12&gt;預測IC!V$26,1,0)</f>
        <v>1</v>
      </c>
      <c r="W12" s="9">
        <f>IF(預測IC!W12&gt;預測IC!W$26,1,0)</f>
        <v>1</v>
      </c>
      <c r="X12" s="9">
        <f>IF(預測IC!X12&gt;預測IC!X$26,1,0)</f>
        <v>0</v>
      </c>
      <c r="Y12" s="9">
        <f>IF(預測IC!Y12&gt;預測IC!Y$26,1,0)</f>
        <v>1</v>
      </c>
      <c r="Z12" s="9">
        <f>IF(預測IC!Z12&gt;預測IC!Z$26,1,0)</f>
        <v>1</v>
      </c>
      <c r="AA12" s="9">
        <f>IF(預測IC!AA12&gt;預測IC!AA$26,1,0)</f>
        <v>1</v>
      </c>
      <c r="AB12" s="9">
        <f>IF(預測IC!AB12&gt;預測IC!AB$26,1,0)</f>
        <v>0</v>
      </c>
      <c r="AC12" s="9">
        <f>IF(預測IC!AC12&gt;預測IC!AC$26,1,0)</f>
        <v>0</v>
      </c>
      <c r="AD12" s="9">
        <f>IF(預測IC!AD12&gt;預測IC!AD$26,1,0)</f>
        <v>1</v>
      </c>
      <c r="AE12" s="9">
        <f>IF(預測IC!AE12&gt;預測IC!AE$26,1,0)</f>
        <v>0</v>
      </c>
      <c r="AF12" s="9">
        <f>IF(預測IC!AF12&gt;預測IC!AF$26,1,0)</f>
        <v>1</v>
      </c>
      <c r="AG12" s="9">
        <f>IF(預測IC!AG12&gt;預測IC!AG$26,1,0)</f>
        <v>0</v>
      </c>
      <c r="AH12" s="9">
        <f>IF(預測IC!AH12&gt;預測IC!AH$26,1,0)</f>
        <v>1</v>
      </c>
      <c r="AI12" s="9">
        <f>IF(預測IC!AI12&gt;預測IC!AI$26,1,0)</f>
        <v>1</v>
      </c>
      <c r="AJ12" s="9">
        <f>IF(預測IC!AJ12&gt;預測IC!AJ$26,1,0)</f>
        <v>1</v>
      </c>
      <c r="AK12" s="9">
        <f>IF(預測IC!AK12&gt;預測IC!AK$26,1,0)</f>
        <v>1</v>
      </c>
      <c r="AL12" s="9">
        <f>IF(預測IC!AL12&gt;預測IC!AL$26,1,0)</f>
        <v>1</v>
      </c>
      <c r="AM12" s="9">
        <f>IF(預測IC!AM12&gt;預測IC!AM$26,1,0)</f>
        <v>0</v>
      </c>
      <c r="AN12" s="9">
        <f>IF(預測IC!AN12&gt;預測IC!AN$26,1,0)</f>
        <v>1</v>
      </c>
      <c r="AO12" s="9">
        <f>IF(預測IC!AO12&gt;預測IC!AO$26,1,0)</f>
        <v>1</v>
      </c>
      <c r="AP12" s="9">
        <f>IF(預測IC!AP12&gt;預測IC!AP$26,1,0)</f>
        <v>0</v>
      </c>
      <c r="AQ12" s="9">
        <f>IF(預測IC!AQ12&gt;預測IC!AQ$26,1,0)</f>
        <v>0</v>
      </c>
      <c r="AR12" s="9">
        <f>IF(預測IC!AR12&gt;預測IC!AR$26,1,0)</f>
        <v>0</v>
      </c>
      <c r="AS12" s="9">
        <f>IF(預測IC!AS12&gt;預測IC!AS$26,1,0)</f>
        <v>0</v>
      </c>
      <c r="AT12" s="9">
        <f>IF(預測IC!AT12&gt;預測IC!AT$26,1,0)</f>
        <v>0</v>
      </c>
      <c r="AU12" s="9">
        <f>IF(預測IC!AU12&gt;預測IC!AU$26,1,0)</f>
        <v>1</v>
      </c>
      <c r="AV12" s="9">
        <f>IF(預測IC!AV12&gt;預測IC!AV$26,1,0)</f>
        <v>0</v>
      </c>
      <c r="AW12" s="9">
        <f>IF(預測IC!AW12&gt;預測IC!AW$26,1,0)</f>
        <v>1</v>
      </c>
      <c r="AX12" s="9">
        <f>IF(預測IC!AX12&gt;預測IC!AX$26,1,0)</f>
        <v>1</v>
      </c>
      <c r="AY12" s="9">
        <f>IF(預測IC!AY12&gt;預測IC!AY$26,1,0)</f>
        <v>0</v>
      </c>
      <c r="AZ12" s="9">
        <f>IF(預測IC!AZ12&gt;預測IC!AZ$26,1,0)</f>
        <v>1</v>
      </c>
      <c r="BA12" s="9">
        <f>IF(預測IC!BA12&gt;預測IC!BA$26,1,0)</f>
        <v>0</v>
      </c>
      <c r="BB12" s="9">
        <f>IF(預測IC!BB12&gt;預測IC!BB$26,1,0)</f>
        <v>1</v>
      </c>
      <c r="BC12" s="9">
        <f>IF(預測IC!BC12&gt;預測IC!BC$26,1,0)</f>
        <v>0</v>
      </c>
      <c r="BD12" s="9">
        <f>IF(預測IC!BD12&gt;預測IC!BD$26,1,0)</f>
        <v>1</v>
      </c>
      <c r="BE12" s="9">
        <f>IF(預測IC!BE12&gt;預測IC!BE$26,1,0)</f>
        <v>1</v>
      </c>
      <c r="BF12" s="9">
        <f>IF(預測IC!BF12&gt;預測IC!BF$26,1,0)</f>
        <v>1</v>
      </c>
      <c r="BG12" s="9">
        <f>IF(預測IC!BG12&gt;預測IC!BG$26,1,0)</f>
        <v>1</v>
      </c>
      <c r="BH12" s="9">
        <f>IF(預測IC!BH12&gt;預測IC!BH$26,1,0)</f>
        <v>1</v>
      </c>
      <c r="BI12" s="9">
        <f>IF(預測IC!BI12&gt;預測IC!BI$26,1,0)</f>
        <v>1</v>
      </c>
      <c r="BJ12" s="9">
        <f>IF(預測IC!BJ12&gt;預測IC!BJ$26,1,0)</f>
        <v>1</v>
      </c>
      <c r="BK12" s="9">
        <f>IF(預測IC!BK12&gt;預測IC!BK$26,1,0)</f>
        <v>0</v>
      </c>
      <c r="BL12" s="9">
        <f>IF(預測IC!BL12&gt;預測IC!BL$26,1,0)</f>
        <v>0</v>
      </c>
      <c r="BM12" s="9">
        <f>IF(預測IC!BM12&gt;預測IC!BM$26,1,0)</f>
        <v>0</v>
      </c>
      <c r="BN12" s="9">
        <f>IF(預測IC!BN12&gt;預測IC!BN$26,1,0)</f>
        <v>0</v>
      </c>
      <c r="BO12" s="9">
        <f>IF(預測IC!BO12&gt;預測IC!BO$26,1,0)</f>
        <v>1</v>
      </c>
      <c r="BP12" s="9">
        <f>IF(預測IC!BP12&gt;預測IC!BP$26,1,0)</f>
        <v>0</v>
      </c>
      <c r="BQ12" s="9">
        <f>IF(預測IC!BQ12&gt;預測IC!BQ$26,1,0)</f>
        <v>1</v>
      </c>
      <c r="BR12" s="9">
        <f>IF(預測IC!BR12&gt;預測IC!BR$26,1,0)</f>
        <v>1</v>
      </c>
      <c r="BS12" s="9">
        <f>IF(預測IC!BS12&gt;預測IC!BS$26,1,0)</f>
        <v>0</v>
      </c>
      <c r="BT12" s="9">
        <f>IF(預測IC!BT12&gt;預測IC!BT$26,1,0)</f>
        <v>0</v>
      </c>
      <c r="BU12" s="9">
        <f>IF(預測IC!BU12&gt;預測IC!BU$26,1,0)</f>
        <v>0</v>
      </c>
      <c r="BV12" s="9">
        <f>IF(預測IC!BV12&gt;預測IC!BV$26,1,0)</f>
        <v>0</v>
      </c>
      <c r="BW12" s="9">
        <f>IF(預測IC!BW12&gt;預測IC!BW$26,1,0)</f>
        <v>1</v>
      </c>
      <c r="BX12" s="9">
        <f>IF(預測IC!BX12&gt;預測IC!BX$26,1,0)</f>
        <v>1</v>
      </c>
      <c r="BY12" s="9">
        <f>IF(預測IC!BY12&gt;預測IC!BY$26,1,0)</f>
        <v>1</v>
      </c>
      <c r="BZ12" s="9">
        <f>IF(預測IC!BZ12&gt;預測IC!BZ$26,1,0)</f>
        <v>0</v>
      </c>
      <c r="CA12" s="9">
        <f>IF(預測IC!CA12&gt;預測IC!CA$26,1,0)</f>
        <v>0</v>
      </c>
      <c r="CB12" s="9">
        <f>IF(預測IC!CB12&gt;預測IC!CB$26,1,0)</f>
        <v>0</v>
      </c>
      <c r="CC12" s="9">
        <f>IF(預測IC!CC12&gt;預測IC!CC$26,1,0)</f>
        <v>0</v>
      </c>
      <c r="CD12" s="9">
        <f>IF(預測IC!CD12&gt;預測IC!CD$26,1,0)</f>
        <v>1</v>
      </c>
      <c r="CE12" s="9">
        <f>IF(預測IC!CE12&gt;預測IC!CE$26,1,0)</f>
        <v>1</v>
      </c>
      <c r="CF12" s="9">
        <f>IF(預測IC!CF12&gt;預測IC!CF$26,1,0)</f>
        <v>1</v>
      </c>
      <c r="CG12" s="9">
        <f>IF(預測IC!CG12&gt;預測IC!CG$26,1,0)</f>
        <v>0</v>
      </c>
      <c r="CH12" s="9">
        <f>IF(預測IC!CH12&gt;預測IC!CH$26,1,0)</f>
        <v>0</v>
      </c>
      <c r="CI12" s="9">
        <f>IF(預測IC!CI12&gt;預測IC!CI$26,1,0)</f>
        <v>0</v>
      </c>
      <c r="CJ12" s="9">
        <f>IF(預測IC!CJ12&gt;預測IC!CJ$26,1,0)</f>
        <v>0</v>
      </c>
      <c r="CK12" s="9">
        <f>IF(預測IC!CK12&gt;預測IC!CK$26,1,0)</f>
        <v>0</v>
      </c>
      <c r="CL12" s="9">
        <f>IF(預測IC!CL12&gt;預測IC!CL$26,1,0)</f>
        <v>1</v>
      </c>
      <c r="CM12" s="9">
        <f>IF(預測IC!CM12&gt;預測IC!CM$26,1,0)</f>
        <v>1</v>
      </c>
      <c r="CN12" s="9">
        <f>IF(預測IC!CN12&gt;預測IC!CN$26,1,0)</f>
        <v>0</v>
      </c>
      <c r="CO12" s="9">
        <f>IF(預測IC!CO12&gt;預測IC!CO$26,1,0)</f>
        <v>1</v>
      </c>
      <c r="CP12" s="9">
        <f>IF(預測IC!CP12&gt;預測IC!CP$26,1,0)</f>
        <v>1</v>
      </c>
      <c r="CQ12" s="9">
        <f>IF(預測IC!CQ12&gt;預測IC!CQ$26,1,0)</f>
        <v>1</v>
      </c>
      <c r="CR12" s="9">
        <f>IF(預測IC!CR12&gt;預測IC!CR$26,1,0)</f>
        <v>0</v>
      </c>
      <c r="CS12" s="9">
        <f>IF(預測IC!CS12&gt;預測IC!CS$26,1,0)</f>
        <v>0</v>
      </c>
      <c r="CT12" s="9">
        <f>IF(預測IC!CT12&gt;預測IC!CT$26,1,0)</f>
        <v>0</v>
      </c>
      <c r="CU12" s="9">
        <f>IF(預測IC!CU12&gt;預測IC!CU$26,1,0)</f>
        <v>1</v>
      </c>
      <c r="CV12" s="9">
        <f>IF(預測IC!CV12&gt;預測IC!CV$26,1,0)</f>
        <v>1</v>
      </c>
      <c r="CW12" s="9">
        <f>IF(預測IC!CW12&gt;預測IC!CW$26,1,0)</f>
        <v>1</v>
      </c>
      <c r="CX12" s="9">
        <f>IF(預測IC!CX12&gt;預測IC!CX$26,1,0)</f>
        <v>1</v>
      </c>
      <c r="CY12" s="9">
        <f>IF(預測IC!CY12&gt;預測IC!CY$26,1,0)</f>
        <v>0</v>
      </c>
      <c r="CZ12" s="9">
        <f>IF(預測IC!CZ12&gt;預測IC!CZ$26,1,0)</f>
        <v>1</v>
      </c>
      <c r="DA12" s="9">
        <f>IF(預測IC!DA12&gt;預測IC!DA$26,1,0)</f>
        <v>0</v>
      </c>
      <c r="DB12" s="9">
        <f>IF(預測IC!DB12&gt;預測IC!DB$26,1,0)</f>
        <v>0</v>
      </c>
      <c r="DC12" s="9">
        <f>IF(預測IC!DC12&gt;預測IC!DC$26,1,0)</f>
        <v>1</v>
      </c>
      <c r="DD12" s="9">
        <f>IF(預測IC!DD12&gt;預測IC!DD$26,1,0)</f>
        <v>1</v>
      </c>
      <c r="DE12" s="9">
        <f>IF(預測IC!DE12&gt;預測IC!DE$26,1,0)</f>
        <v>0</v>
      </c>
      <c r="DF12" s="9">
        <f>IF(預測IC!DF12&gt;預測IC!DF$26,1,0)</f>
        <v>1</v>
      </c>
      <c r="DG12" s="9">
        <f>IF(預測IC!DG12&gt;預測IC!DG$26,1,0)</f>
        <v>0</v>
      </c>
      <c r="DH12" s="9">
        <f>IF(預測IC!DH12&gt;預測IC!DH$26,1,0)</f>
        <v>0</v>
      </c>
      <c r="DI12" s="9">
        <f>IF(預測IC!DI12&gt;預測IC!DI$26,1,0)</f>
        <v>0</v>
      </c>
      <c r="DJ12" s="9">
        <f>IF(預測IC!DJ12&gt;預測IC!DJ$26,1,0)</f>
        <v>1</v>
      </c>
      <c r="DK12" s="9">
        <f>IF(預測IC!DK12&gt;預測IC!DK$26,1,0)</f>
        <v>0</v>
      </c>
      <c r="DL12" s="9">
        <f>IF(預測IC!DL12&gt;預測IC!DL$26,1,0)</f>
        <v>0</v>
      </c>
      <c r="DM12" s="9">
        <f>IF(預測IC!DM12&gt;預測IC!DM$26,1,0)</f>
        <v>0</v>
      </c>
      <c r="DN12" s="9">
        <f>IF(預測IC!DN12&gt;預測IC!DN$26,1,0)</f>
        <v>1</v>
      </c>
      <c r="DO12" s="9">
        <f>IF(預測IC!DO12&gt;預測IC!DO$26,1,0)</f>
        <v>1</v>
      </c>
      <c r="DP12" s="9">
        <f>IF(預測IC!DP12&gt;預測IC!DP$26,1,0)</f>
        <v>1</v>
      </c>
      <c r="DQ12" s="9">
        <f>IF(預測IC!DQ12&gt;預測IC!DQ$26,1,0)</f>
        <v>0</v>
      </c>
      <c r="DR12" s="9">
        <f>IF(預測IC!DR12&gt;預測IC!DR$26,1,0)</f>
        <v>0</v>
      </c>
      <c r="DS12" s="9">
        <f>IF(預測IC!DS12&gt;預測IC!DS$26,1,0)</f>
        <v>0</v>
      </c>
      <c r="DT12" s="9">
        <f>IF(預測IC!DT12&gt;預測IC!DT$26,1,0)</f>
        <v>0</v>
      </c>
      <c r="DU12" s="9">
        <f>IF(預測IC!DU12&gt;預測IC!DU$26,1,0)</f>
        <v>0</v>
      </c>
      <c r="DV12" s="9">
        <f>IF(預測IC!DV12&gt;預測IC!DV$26,1,0)</f>
        <v>1</v>
      </c>
      <c r="DW12" s="9">
        <f>IF(預測IC!DW12&gt;預測IC!DW$26,1,0)</f>
        <v>1</v>
      </c>
      <c r="DX12" s="9">
        <f>IF(預測IC!DX12&gt;預測IC!DX$26,1,0)</f>
        <v>0</v>
      </c>
      <c r="DY12" s="9">
        <f>IF(預測IC!DY12&gt;預測IC!DY$26,1,0)</f>
        <v>1</v>
      </c>
      <c r="DZ12" s="9">
        <f>IF(預測IC!DZ12&gt;預測IC!DZ$26,1,0)</f>
        <v>0</v>
      </c>
      <c r="EA12" s="9">
        <f>IF(預測IC!EA12&gt;預測IC!EA$26,1,0)</f>
        <v>1</v>
      </c>
      <c r="EB12" s="9">
        <f>IF(預測IC!EB12&gt;預測IC!EB$26,1,0)</f>
        <v>0</v>
      </c>
      <c r="EC12" s="9">
        <f>IF(預測IC!EC12&gt;預測IC!EC$26,1,0)</f>
        <v>1</v>
      </c>
      <c r="ED12" s="9">
        <f>IF(預測IC!ED12&gt;預測IC!ED$26,1,0)</f>
        <v>0</v>
      </c>
      <c r="EE12" s="9">
        <f>IF(預測IC!EE12&gt;預測IC!EE$26,1,0)</f>
        <v>0</v>
      </c>
      <c r="EF12" s="9">
        <f>IF(預測IC!EF12&gt;預測IC!EF$26,1,0)</f>
        <v>1</v>
      </c>
      <c r="EG12" s="2">
        <f t="shared" ref="EG12:EG24" si="10">SUM(C12:EF12)</f>
        <v>69</v>
      </c>
      <c r="EH12" s="16">
        <f t="shared" ref="EH12:EH24" si="11">SUM(C12:EF12)/134</f>
        <v>0.5149253731343284</v>
      </c>
    </row>
    <row r="13" spans="1:138">
      <c r="A13" s="4">
        <v>20</v>
      </c>
      <c r="B13" s="4">
        <v>48</v>
      </c>
      <c r="C13" s="9">
        <f>IF(預測IC!C13&gt;預測IC!C$26,1,0)</f>
        <v>1</v>
      </c>
      <c r="D13" s="9">
        <f>IF(預測IC!D13&gt;預測IC!D$26,1,0)</f>
        <v>1</v>
      </c>
      <c r="E13" s="9">
        <f>IF(預測IC!E13&gt;預測IC!E$26,1,0)</f>
        <v>0</v>
      </c>
      <c r="F13" s="9">
        <f>IF(預測IC!F13&gt;預測IC!F$26,1,0)</f>
        <v>0</v>
      </c>
      <c r="G13" s="9">
        <f>IF(預測IC!G13&gt;預測IC!G$26,1,0)</f>
        <v>0</v>
      </c>
      <c r="H13" s="9">
        <f>IF(預測IC!H13&gt;預測IC!H$26,1,0)</f>
        <v>0</v>
      </c>
      <c r="I13" s="9">
        <f>IF(預測IC!I13&gt;預測IC!I$26,1,0)</f>
        <v>1</v>
      </c>
      <c r="J13" s="9">
        <f>IF(預測IC!J13&gt;預測IC!J$26,1,0)</f>
        <v>0</v>
      </c>
      <c r="K13" s="9">
        <f>IF(預測IC!K13&gt;預測IC!K$26,1,0)</f>
        <v>1</v>
      </c>
      <c r="L13" s="9">
        <f>IF(預測IC!L13&gt;預測IC!L$26,1,0)</f>
        <v>0</v>
      </c>
      <c r="M13" s="9">
        <f>IF(預測IC!M13&gt;預測IC!M$26,1,0)</f>
        <v>1</v>
      </c>
      <c r="N13" s="9">
        <f>IF(預測IC!N13&gt;預測IC!N$26,1,0)</f>
        <v>1</v>
      </c>
      <c r="O13" s="9">
        <f>IF(預測IC!O13&gt;預測IC!O$26,1,0)</f>
        <v>1</v>
      </c>
      <c r="P13" s="9">
        <f>IF(預測IC!P13&gt;預測IC!P$26,1,0)</f>
        <v>0</v>
      </c>
      <c r="Q13" s="9">
        <f>IF(預測IC!Q13&gt;預測IC!Q$26,1,0)</f>
        <v>1</v>
      </c>
      <c r="R13" s="9">
        <f>IF(預測IC!R13&gt;預測IC!R$26,1,0)</f>
        <v>0</v>
      </c>
      <c r="S13" s="9">
        <f>IF(預測IC!S13&gt;預測IC!S$26,1,0)</f>
        <v>0</v>
      </c>
      <c r="T13" s="9">
        <f>IF(預測IC!T13&gt;預測IC!T$26,1,0)</f>
        <v>1</v>
      </c>
      <c r="U13" s="9">
        <f>IF(預測IC!U13&gt;預測IC!U$26,1,0)</f>
        <v>1</v>
      </c>
      <c r="V13" s="9">
        <f>IF(預測IC!V13&gt;預測IC!V$26,1,0)</f>
        <v>1</v>
      </c>
      <c r="W13" s="9">
        <f>IF(預測IC!W13&gt;預測IC!W$26,1,0)</f>
        <v>1</v>
      </c>
      <c r="X13" s="9">
        <f>IF(預測IC!X13&gt;預測IC!X$26,1,0)</f>
        <v>0</v>
      </c>
      <c r="Y13" s="9">
        <f>IF(預測IC!Y13&gt;預測IC!Y$26,1,0)</f>
        <v>1</v>
      </c>
      <c r="Z13" s="9">
        <f>IF(預測IC!Z13&gt;預測IC!Z$26,1,0)</f>
        <v>1</v>
      </c>
      <c r="AA13" s="9">
        <f>IF(預測IC!AA13&gt;預測IC!AA$26,1,0)</f>
        <v>1</v>
      </c>
      <c r="AB13" s="9">
        <f>IF(預測IC!AB13&gt;預測IC!AB$26,1,0)</f>
        <v>0</v>
      </c>
      <c r="AC13" s="9">
        <f>IF(預測IC!AC13&gt;預測IC!AC$26,1,0)</f>
        <v>0</v>
      </c>
      <c r="AD13" s="9">
        <f>IF(預測IC!AD13&gt;預測IC!AD$26,1,0)</f>
        <v>1</v>
      </c>
      <c r="AE13" s="9">
        <f>IF(預測IC!AE13&gt;預測IC!AE$26,1,0)</f>
        <v>0</v>
      </c>
      <c r="AF13" s="9">
        <f>IF(預測IC!AF13&gt;預測IC!AF$26,1,0)</f>
        <v>1</v>
      </c>
      <c r="AG13" s="9">
        <f>IF(預測IC!AG13&gt;預測IC!AG$26,1,0)</f>
        <v>0</v>
      </c>
      <c r="AH13" s="9">
        <f>IF(預測IC!AH13&gt;預測IC!AH$26,1,0)</f>
        <v>1</v>
      </c>
      <c r="AI13" s="9">
        <f>IF(預測IC!AI13&gt;預測IC!AI$26,1,0)</f>
        <v>1</v>
      </c>
      <c r="AJ13" s="9">
        <f>IF(預測IC!AJ13&gt;預測IC!AJ$26,1,0)</f>
        <v>1</v>
      </c>
      <c r="AK13" s="9">
        <f>IF(預測IC!AK13&gt;預測IC!AK$26,1,0)</f>
        <v>1</v>
      </c>
      <c r="AL13" s="9">
        <f>IF(預測IC!AL13&gt;預測IC!AL$26,1,0)</f>
        <v>1</v>
      </c>
      <c r="AM13" s="9">
        <f>IF(預測IC!AM13&gt;預測IC!AM$26,1,0)</f>
        <v>0</v>
      </c>
      <c r="AN13" s="9">
        <f>IF(預測IC!AN13&gt;預測IC!AN$26,1,0)</f>
        <v>1</v>
      </c>
      <c r="AO13" s="9">
        <f>IF(預測IC!AO13&gt;預測IC!AO$26,1,0)</f>
        <v>0</v>
      </c>
      <c r="AP13" s="9">
        <f>IF(預測IC!AP13&gt;預測IC!AP$26,1,0)</f>
        <v>0</v>
      </c>
      <c r="AQ13" s="9">
        <f>IF(預測IC!AQ13&gt;預測IC!AQ$26,1,0)</f>
        <v>0</v>
      </c>
      <c r="AR13" s="9">
        <f>IF(預測IC!AR13&gt;預測IC!AR$26,1,0)</f>
        <v>0</v>
      </c>
      <c r="AS13" s="9">
        <f>IF(預測IC!AS13&gt;預測IC!AS$26,1,0)</f>
        <v>0</v>
      </c>
      <c r="AT13" s="9">
        <f>IF(預測IC!AT13&gt;預測IC!AT$26,1,0)</f>
        <v>1</v>
      </c>
      <c r="AU13" s="9">
        <f>IF(預測IC!AU13&gt;預測IC!AU$26,1,0)</f>
        <v>1</v>
      </c>
      <c r="AV13" s="9">
        <f>IF(預測IC!AV13&gt;預測IC!AV$26,1,0)</f>
        <v>0</v>
      </c>
      <c r="AW13" s="9">
        <f>IF(預測IC!AW13&gt;預測IC!AW$26,1,0)</f>
        <v>1</v>
      </c>
      <c r="AX13" s="9">
        <f>IF(預測IC!AX13&gt;預測IC!AX$26,1,0)</f>
        <v>1</v>
      </c>
      <c r="AY13" s="9">
        <f>IF(預測IC!AY13&gt;預測IC!AY$26,1,0)</f>
        <v>0</v>
      </c>
      <c r="AZ13" s="9">
        <f>IF(預測IC!AZ13&gt;預測IC!AZ$26,1,0)</f>
        <v>1</v>
      </c>
      <c r="BA13" s="9">
        <f>IF(預測IC!BA13&gt;預測IC!BA$26,1,0)</f>
        <v>0</v>
      </c>
      <c r="BB13" s="9">
        <f>IF(預測IC!BB13&gt;預測IC!BB$26,1,0)</f>
        <v>1</v>
      </c>
      <c r="BC13" s="9">
        <f>IF(預測IC!BC13&gt;預測IC!BC$26,1,0)</f>
        <v>0</v>
      </c>
      <c r="BD13" s="9">
        <f>IF(預測IC!BD13&gt;預測IC!BD$26,1,0)</f>
        <v>1</v>
      </c>
      <c r="BE13" s="9">
        <f>IF(預測IC!BE13&gt;預測IC!BE$26,1,0)</f>
        <v>1</v>
      </c>
      <c r="BF13" s="9">
        <f>IF(預測IC!BF13&gt;預測IC!BF$26,1,0)</f>
        <v>1</v>
      </c>
      <c r="BG13" s="9">
        <f>IF(預測IC!BG13&gt;預測IC!BG$26,1,0)</f>
        <v>1</v>
      </c>
      <c r="BH13" s="9">
        <f>IF(預測IC!BH13&gt;預測IC!BH$26,1,0)</f>
        <v>1</v>
      </c>
      <c r="BI13" s="9">
        <f>IF(預測IC!BI13&gt;預測IC!BI$26,1,0)</f>
        <v>1</v>
      </c>
      <c r="BJ13" s="9">
        <f>IF(預測IC!BJ13&gt;預測IC!BJ$26,1,0)</f>
        <v>0</v>
      </c>
      <c r="BK13" s="9">
        <f>IF(預測IC!BK13&gt;預測IC!BK$26,1,0)</f>
        <v>0</v>
      </c>
      <c r="BL13" s="9">
        <f>IF(預測IC!BL13&gt;預測IC!BL$26,1,0)</f>
        <v>0</v>
      </c>
      <c r="BM13" s="9">
        <f>IF(預測IC!BM13&gt;預測IC!BM$26,1,0)</f>
        <v>0</v>
      </c>
      <c r="BN13" s="9">
        <f>IF(預測IC!BN13&gt;預測IC!BN$26,1,0)</f>
        <v>0</v>
      </c>
      <c r="BO13" s="9">
        <f>IF(預測IC!BO13&gt;預測IC!BO$26,1,0)</f>
        <v>1</v>
      </c>
      <c r="BP13" s="9">
        <f>IF(預測IC!BP13&gt;預測IC!BP$26,1,0)</f>
        <v>0</v>
      </c>
      <c r="BQ13" s="9">
        <f>IF(預測IC!BQ13&gt;預測IC!BQ$26,1,0)</f>
        <v>1</v>
      </c>
      <c r="BR13" s="9">
        <f>IF(預測IC!BR13&gt;預測IC!BR$26,1,0)</f>
        <v>1</v>
      </c>
      <c r="BS13" s="9">
        <f>IF(預測IC!BS13&gt;預測IC!BS$26,1,0)</f>
        <v>0</v>
      </c>
      <c r="BT13" s="9">
        <f>IF(預測IC!BT13&gt;預測IC!BT$26,1,0)</f>
        <v>0</v>
      </c>
      <c r="BU13" s="9">
        <f>IF(預測IC!BU13&gt;預測IC!BU$26,1,0)</f>
        <v>1</v>
      </c>
      <c r="BV13" s="9">
        <f>IF(預測IC!BV13&gt;預測IC!BV$26,1,0)</f>
        <v>0</v>
      </c>
      <c r="BW13" s="9">
        <f>IF(預測IC!BW13&gt;預測IC!BW$26,1,0)</f>
        <v>1</v>
      </c>
      <c r="BX13" s="9">
        <f>IF(預測IC!BX13&gt;預測IC!BX$26,1,0)</f>
        <v>1</v>
      </c>
      <c r="BY13" s="9">
        <f>IF(預測IC!BY13&gt;預測IC!BY$26,1,0)</f>
        <v>1</v>
      </c>
      <c r="BZ13" s="9">
        <f>IF(預測IC!BZ13&gt;預測IC!BZ$26,1,0)</f>
        <v>0</v>
      </c>
      <c r="CA13" s="9">
        <f>IF(預測IC!CA13&gt;預測IC!CA$26,1,0)</f>
        <v>0</v>
      </c>
      <c r="CB13" s="9">
        <f>IF(預測IC!CB13&gt;預測IC!CB$26,1,0)</f>
        <v>0</v>
      </c>
      <c r="CC13" s="9">
        <f>IF(預測IC!CC13&gt;預測IC!CC$26,1,0)</f>
        <v>0</v>
      </c>
      <c r="CD13" s="9">
        <f>IF(預測IC!CD13&gt;預測IC!CD$26,1,0)</f>
        <v>1</v>
      </c>
      <c r="CE13" s="9">
        <f>IF(預測IC!CE13&gt;預測IC!CE$26,1,0)</f>
        <v>1</v>
      </c>
      <c r="CF13" s="9">
        <f>IF(預測IC!CF13&gt;預測IC!CF$26,1,0)</f>
        <v>1</v>
      </c>
      <c r="CG13" s="9">
        <f>IF(預測IC!CG13&gt;預測IC!CG$26,1,0)</f>
        <v>0</v>
      </c>
      <c r="CH13" s="9">
        <f>IF(預測IC!CH13&gt;預測IC!CH$26,1,0)</f>
        <v>0</v>
      </c>
      <c r="CI13" s="9">
        <f>IF(預測IC!CI13&gt;預測IC!CI$26,1,0)</f>
        <v>0</v>
      </c>
      <c r="CJ13" s="9">
        <f>IF(預測IC!CJ13&gt;預測IC!CJ$26,1,0)</f>
        <v>0</v>
      </c>
      <c r="CK13" s="9">
        <f>IF(預測IC!CK13&gt;預測IC!CK$26,1,0)</f>
        <v>1</v>
      </c>
      <c r="CL13" s="9">
        <f>IF(預測IC!CL13&gt;預測IC!CL$26,1,0)</f>
        <v>1</v>
      </c>
      <c r="CM13" s="9">
        <f>IF(預測IC!CM13&gt;預測IC!CM$26,1,0)</f>
        <v>1</v>
      </c>
      <c r="CN13" s="9">
        <f>IF(預測IC!CN13&gt;預測IC!CN$26,1,0)</f>
        <v>0</v>
      </c>
      <c r="CO13" s="9">
        <f>IF(預測IC!CO13&gt;預測IC!CO$26,1,0)</f>
        <v>1</v>
      </c>
      <c r="CP13" s="9">
        <f>IF(預測IC!CP13&gt;預測IC!CP$26,1,0)</f>
        <v>1</v>
      </c>
      <c r="CQ13" s="9">
        <f>IF(預測IC!CQ13&gt;預測IC!CQ$26,1,0)</f>
        <v>1</v>
      </c>
      <c r="CR13" s="9">
        <f>IF(預測IC!CR13&gt;預測IC!CR$26,1,0)</f>
        <v>1</v>
      </c>
      <c r="CS13" s="9">
        <f>IF(預測IC!CS13&gt;預測IC!CS$26,1,0)</f>
        <v>0</v>
      </c>
      <c r="CT13" s="9">
        <f>IF(預測IC!CT13&gt;預測IC!CT$26,1,0)</f>
        <v>0</v>
      </c>
      <c r="CU13" s="9">
        <f>IF(預測IC!CU13&gt;預測IC!CU$26,1,0)</f>
        <v>1</v>
      </c>
      <c r="CV13" s="9">
        <f>IF(預測IC!CV13&gt;預測IC!CV$26,1,0)</f>
        <v>0</v>
      </c>
      <c r="CW13" s="9">
        <f>IF(預測IC!CW13&gt;預測IC!CW$26,1,0)</f>
        <v>1</v>
      </c>
      <c r="CX13" s="9">
        <f>IF(預測IC!CX13&gt;預測IC!CX$26,1,0)</f>
        <v>1</v>
      </c>
      <c r="CY13" s="9">
        <f>IF(預測IC!CY13&gt;預測IC!CY$26,1,0)</f>
        <v>0</v>
      </c>
      <c r="CZ13" s="9">
        <f>IF(預測IC!CZ13&gt;預測IC!CZ$26,1,0)</f>
        <v>1</v>
      </c>
      <c r="DA13" s="9">
        <f>IF(預測IC!DA13&gt;預測IC!DA$26,1,0)</f>
        <v>0</v>
      </c>
      <c r="DB13" s="9">
        <f>IF(預測IC!DB13&gt;預測IC!DB$26,1,0)</f>
        <v>0</v>
      </c>
      <c r="DC13" s="9">
        <f>IF(預測IC!DC13&gt;預測IC!DC$26,1,0)</f>
        <v>1</v>
      </c>
      <c r="DD13" s="9">
        <f>IF(預測IC!DD13&gt;預測IC!DD$26,1,0)</f>
        <v>1</v>
      </c>
      <c r="DE13" s="9">
        <f>IF(預測IC!DE13&gt;預測IC!DE$26,1,0)</f>
        <v>0</v>
      </c>
      <c r="DF13" s="9">
        <f>IF(預測IC!DF13&gt;預測IC!DF$26,1,0)</f>
        <v>1</v>
      </c>
      <c r="DG13" s="9">
        <f>IF(預測IC!DG13&gt;預測IC!DG$26,1,0)</f>
        <v>0</v>
      </c>
      <c r="DH13" s="9">
        <f>IF(預測IC!DH13&gt;預測IC!DH$26,1,0)</f>
        <v>0</v>
      </c>
      <c r="DI13" s="9">
        <f>IF(預測IC!DI13&gt;預測IC!DI$26,1,0)</f>
        <v>0</v>
      </c>
      <c r="DJ13" s="9">
        <f>IF(預測IC!DJ13&gt;預測IC!DJ$26,1,0)</f>
        <v>1</v>
      </c>
      <c r="DK13" s="9">
        <f>IF(預測IC!DK13&gt;預測IC!DK$26,1,0)</f>
        <v>0</v>
      </c>
      <c r="DL13" s="9">
        <f>IF(預測IC!DL13&gt;預測IC!DL$26,1,0)</f>
        <v>0</v>
      </c>
      <c r="DM13" s="9">
        <f>IF(預測IC!DM13&gt;預測IC!DM$26,1,0)</f>
        <v>0</v>
      </c>
      <c r="DN13" s="9">
        <f>IF(預測IC!DN13&gt;預測IC!DN$26,1,0)</f>
        <v>1</v>
      </c>
      <c r="DO13" s="9">
        <f>IF(預測IC!DO13&gt;預測IC!DO$26,1,0)</f>
        <v>1</v>
      </c>
      <c r="DP13" s="9">
        <f>IF(預測IC!DP13&gt;預測IC!DP$26,1,0)</f>
        <v>1</v>
      </c>
      <c r="DQ13" s="9">
        <f>IF(預測IC!DQ13&gt;預測IC!DQ$26,1,0)</f>
        <v>0</v>
      </c>
      <c r="DR13" s="9">
        <f>IF(預測IC!DR13&gt;預測IC!DR$26,1,0)</f>
        <v>0</v>
      </c>
      <c r="DS13" s="9">
        <f>IF(預測IC!DS13&gt;預測IC!DS$26,1,0)</f>
        <v>0</v>
      </c>
      <c r="DT13" s="9">
        <f>IF(預測IC!DT13&gt;預測IC!DT$26,1,0)</f>
        <v>0</v>
      </c>
      <c r="DU13" s="9">
        <f>IF(預測IC!DU13&gt;預測IC!DU$26,1,0)</f>
        <v>0</v>
      </c>
      <c r="DV13" s="9">
        <f>IF(預測IC!DV13&gt;預測IC!DV$26,1,0)</f>
        <v>1</v>
      </c>
      <c r="DW13" s="9">
        <f>IF(預測IC!DW13&gt;預測IC!DW$26,1,0)</f>
        <v>1</v>
      </c>
      <c r="DX13" s="9">
        <f>IF(預測IC!DX13&gt;預測IC!DX$26,1,0)</f>
        <v>0</v>
      </c>
      <c r="DY13" s="9">
        <f>IF(預測IC!DY13&gt;預測IC!DY$26,1,0)</f>
        <v>1</v>
      </c>
      <c r="DZ13" s="9">
        <f>IF(預測IC!DZ13&gt;預測IC!DZ$26,1,0)</f>
        <v>0</v>
      </c>
      <c r="EA13" s="9">
        <f>IF(預測IC!EA13&gt;預測IC!EA$26,1,0)</f>
        <v>1</v>
      </c>
      <c r="EB13" s="9">
        <f>IF(預測IC!EB13&gt;預測IC!EB$26,1,0)</f>
        <v>0</v>
      </c>
      <c r="EC13" s="9">
        <f>IF(預測IC!EC13&gt;預測IC!EC$26,1,0)</f>
        <v>1</v>
      </c>
      <c r="ED13" s="9">
        <f>IF(預測IC!ED13&gt;預測IC!ED$26,1,0)</f>
        <v>0</v>
      </c>
      <c r="EE13" s="9">
        <f>IF(預測IC!EE13&gt;預測IC!EE$26,1,0)</f>
        <v>0</v>
      </c>
      <c r="EF13" s="9">
        <f>IF(預測IC!EF13&gt;預測IC!EF$26,1,0)</f>
        <v>1</v>
      </c>
      <c r="EG13" s="2">
        <f t="shared" si="10"/>
        <v>69</v>
      </c>
      <c r="EH13" s="16">
        <f t="shared" si="11"/>
        <v>0.5149253731343284</v>
      </c>
    </row>
    <row r="14" spans="1:138">
      <c r="A14" s="4">
        <v>50</v>
      </c>
      <c r="B14" s="4">
        <v>19</v>
      </c>
      <c r="C14" s="9">
        <f>IF(預測IC!C14&gt;預測IC!C$26,1,0)</f>
        <v>0</v>
      </c>
      <c r="D14" s="9">
        <f>IF(預測IC!D14&gt;預測IC!D$26,1,0)</f>
        <v>1</v>
      </c>
      <c r="E14" s="9">
        <f>IF(預測IC!E14&gt;預測IC!E$26,1,0)</f>
        <v>0</v>
      </c>
      <c r="F14" s="9">
        <f>IF(預測IC!F14&gt;預測IC!F$26,1,0)</f>
        <v>1</v>
      </c>
      <c r="G14" s="9">
        <f>IF(預測IC!G14&gt;預測IC!G$26,1,0)</f>
        <v>1</v>
      </c>
      <c r="H14" s="9">
        <f>IF(預測IC!H14&gt;預測IC!H$26,1,0)</f>
        <v>1</v>
      </c>
      <c r="I14" s="9">
        <f>IF(預測IC!I14&gt;預測IC!I$26,1,0)</f>
        <v>1</v>
      </c>
      <c r="J14" s="9">
        <f>IF(預測IC!J14&gt;預測IC!J$26,1,0)</f>
        <v>0</v>
      </c>
      <c r="K14" s="9">
        <f>IF(預測IC!K14&gt;預測IC!K$26,1,0)</f>
        <v>1</v>
      </c>
      <c r="L14" s="9">
        <f>IF(預測IC!L14&gt;預測IC!L$26,1,0)</f>
        <v>0</v>
      </c>
      <c r="M14" s="9">
        <f>IF(預測IC!M14&gt;預測IC!M$26,1,0)</f>
        <v>0</v>
      </c>
      <c r="N14" s="9">
        <f>IF(預測IC!N14&gt;預測IC!N$26,1,0)</f>
        <v>1</v>
      </c>
      <c r="O14" s="9">
        <f>IF(預測IC!O14&gt;預測IC!O$26,1,0)</f>
        <v>1</v>
      </c>
      <c r="P14" s="9">
        <f>IF(預測IC!P14&gt;預測IC!P$26,1,0)</f>
        <v>0</v>
      </c>
      <c r="Q14" s="9">
        <f>IF(預測IC!Q14&gt;預測IC!Q$26,1,0)</f>
        <v>1</v>
      </c>
      <c r="R14" s="9">
        <f>IF(預測IC!R14&gt;預測IC!R$26,1,0)</f>
        <v>0</v>
      </c>
      <c r="S14" s="9">
        <f>IF(預測IC!S14&gt;預測IC!S$26,1,0)</f>
        <v>0</v>
      </c>
      <c r="T14" s="9">
        <f>IF(預測IC!T14&gt;預測IC!T$26,1,0)</f>
        <v>1</v>
      </c>
      <c r="U14" s="9">
        <f>IF(預測IC!U14&gt;預測IC!U$26,1,0)</f>
        <v>1</v>
      </c>
      <c r="V14" s="9">
        <f>IF(預測IC!V14&gt;預測IC!V$26,1,0)</f>
        <v>1</v>
      </c>
      <c r="W14" s="9">
        <f>IF(預測IC!W14&gt;預測IC!W$26,1,0)</f>
        <v>1</v>
      </c>
      <c r="X14" s="9">
        <f>IF(預測IC!X14&gt;預測IC!X$26,1,0)</f>
        <v>0</v>
      </c>
      <c r="Y14" s="9">
        <f>IF(預測IC!Y14&gt;預測IC!Y$26,1,0)</f>
        <v>1</v>
      </c>
      <c r="Z14" s="9">
        <f>IF(預測IC!Z14&gt;預測IC!Z$26,1,0)</f>
        <v>1</v>
      </c>
      <c r="AA14" s="9">
        <f>IF(預測IC!AA14&gt;預測IC!AA$26,1,0)</f>
        <v>1</v>
      </c>
      <c r="AB14" s="9">
        <f>IF(預測IC!AB14&gt;預測IC!AB$26,1,0)</f>
        <v>0</v>
      </c>
      <c r="AC14" s="9">
        <f>IF(預測IC!AC14&gt;預測IC!AC$26,1,0)</f>
        <v>0</v>
      </c>
      <c r="AD14" s="9">
        <f>IF(預測IC!AD14&gt;預測IC!AD$26,1,0)</f>
        <v>1</v>
      </c>
      <c r="AE14" s="9">
        <f>IF(預測IC!AE14&gt;預測IC!AE$26,1,0)</f>
        <v>0</v>
      </c>
      <c r="AF14" s="9">
        <f>IF(預測IC!AF14&gt;預測IC!AF$26,1,0)</f>
        <v>1</v>
      </c>
      <c r="AG14" s="9">
        <f>IF(預測IC!AG14&gt;預測IC!AG$26,1,0)</f>
        <v>0</v>
      </c>
      <c r="AH14" s="9">
        <f>IF(預測IC!AH14&gt;預測IC!AH$26,1,0)</f>
        <v>1</v>
      </c>
      <c r="AI14" s="9">
        <f>IF(預測IC!AI14&gt;預測IC!AI$26,1,0)</f>
        <v>1</v>
      </c>
      <c r="AJ14" s="9">
        <f>IF(預測IC!AJ14&gt;預測IC!AJ$26,1,0)</f>
        <v>1</v>
      </c>
      <c r="AK14" s="9">
        <f>IF(預測IC!AK14&gt;預測IC!AK$26,1,0)</f>
        <v>0</v>
      </c>
      <c r="AL14" s="9">
        <f>IF(預測IC!AL14&gt;預測IC!AL$26,1,0)</f>
        <v>1</v>
      </c>
      <c r="AM14" s="9">
        <f>IF(預測IC!AM14&gt;預測IC!AM$26,1,0)</f>
        <v>0</v>
      </c>
      <c r="AN14" s="9">
        <f>IF(預測IC!AN14&gt;預測IC!AN$26,1,0)</f>
        <v>1</v>
      </c>
      <c r="AO14" s="9">
        <f>IF(預測IC!AO14&gt;預測IC!AO$26,1,0)</f>
        <v>0</v>
      </c>
      <c r="AP14" s="9">
        <f>IF(預測IC!AP14&gt;預測IC!AP$26,1,0)</f>
        <v>0</v>
      </c>
      <c r="AQ14" s="9">
        <f>IF(預測IC!AQ14&gt;預測IC!AQ$26,1,0)</f>
        <v>0</v>
      </c>
      <c r="AR14" s="9">
        <f>IF(預測IC!AR14&gt;預測IC!AR$26,1,0)</f>
        <v>0</v>
      </c>
      <c r="AS14" s="9">
        <f>IF(預測IC!AS14&gt;預測IC!AS$26,1,0)</f>
        <v>0</v>
      </c>
      <c r="AT14" s="9">
        <f>IF(預測IC!AT14&gt;預測IC!AT$26,1,0)</f>
        <v>1</v>
      </c>
      <c r="AU14" s="9">
        <f>IF(預測IC!AU14&gt;預測IC!AU$26,1,0)</f>
        <v>1</v>
      </c>
      <c r="AV14" s="9">
        <f>IF(預測IC!AV14&gt;預測IC!AV$26,1,0)</f>
        <v>0</v>
      </c>
      <c r="AW14" s="9">
        <f>IF(預測IC!AW14&gt;預測IC!AW$26,1,0)</f>
        <v>1</v>
      </c>
      <c r="AX14" s="9">
        <f>IF(預測IC!AX14&gt;預測IC!AX$26,1,0)</f>
        <v>1</v>
      </c>
      <c r="AY14" s="9">
        <f>IF(預測IC!AY14&gt;預測IC!AY$26,1,0)</f>
        <v>0</v>
      </c>
      <c r="AZ14" s="9">
        <f>IF(預測IC!AZ14&gt;預測IC!AZ$26,1,0)</f>
        <v>0</v>
      </c>
      <c r="BA14" s="9">
        <f>IF(預測IC!BA14&gt;預測IC!BA$26,1,0)</f>
        <v>1</v>
      </c>
      <c r="BB14" s="9">
        <f>IF(預測IC!BB14&gt;預測IC!BB$26,1,0)</f>
        <v>1</v>
      </c>
      <c r="BC14" s="9">
        <f>IF(預測IC!BC14&gt;預測IC!BC$26,1,0)</f>
        <v>0</v>
      </c>
      <c r="BD14" s="9">
        <f>IF(預測IC!BD14&gt;預測IC!BD$26,1,0)</f>
        <v>1</v>
      </c>
      <c r="BE14" s="9">
        <f>IF(預測IC!BE14&gt;預測IC!BE$26,1,0)</f>
        <v>1</v>
      </c>
      <c r="BF14" s="9">
        <f>IF(預測IC!BF14&gt;預測IC!BF$26,1,0)</f>
        <v>1</v>
      </c>
      <c r="BG14" s="9">
        <f>IF(預測IC!BG14&gt;預測IC!BG$26,1,0)</f>
        <v>1</v>
      </c>
      <c r="BH14" s="9">
        <f>IF(預測IC!BH14&gt;預測IC!BH$26,1,0)</f>
        <v>1</v>
      </c>
      <c r="BI14" s="9">
        <f>IF(預測IC!BI14&gt;預測IC!BI$26,1,0)</f>
        <v>1</v>
      </c>
      <c r="BJ14" s="9">
        <f>IF(預測IC!BJ14&gt;預測IC!BJ$26,1,0)</f>
        <v>1</v>
      </c>
      <c r="BK14" s="9">
        <f>IF(預測IC!BK14&gt;預測IC!BK$26,1,0)</f>
        <v>0</v>
      </c>
      <c r="BL14" s="9">
        <f>IF(預測IC!BL14&gt;預測IC!BL$26,1,0)</f>
        <v>1</v>
      </c>
      <c r="BM14" s="9">
        <f>IF(預測IC!BM14&gt;預測IC!BM$26,1,0)</f>
        <v>1</v>
      </c>
      <c r="BN14" s="9">
        <f>IF(預測IC!BN14&gt;預測IC!BN$26,1,0)</f>
        <v>0</v>
      </c>
      <c r="BO14" s="9">
        <f>IF(預測IC!BO14&gt;預測IC!BO$26,1,0)</f>
        <v>1</v>
      </c>
      <c r="BP14" s="9">
        <f>IF(預測IC!BP14&gt;預測IC!BP$26,1,0)</f>
        <v>0</v>
      </c>
      <c r="BQ14" s="9">
        <f>IF(預測IC!BQ14&gt;預測IC!BQ$26,1,0)</f>
        <v>1</v>
      </c>
      <c r="BR14" s="9">
        <f>IF(預測IC!BR14&gt;預測IC!BR$26,1,0)</f>
        <v>0</v>
      </c>
      <c r="BS14" s="9">
        <f>IF(預測IC!BS14&gt;預測IC!BS$26,1,0)</f>
        <v>0</v>
      </c>
      <c r="BT14" s="9">
        <f>IF(預測IC!BT14&gt;預測IC!BT$26,1,0)</f>
        <v>1</v>
      </c>
      <c r="BU14" s="9">
        <f>IF(預測IC!BU14&gt;預測IC!BU$26,1,0)</f>
        <v>0</v>
      </c>
      <c r="BV14" s="9">
        <f>IF(預測IC!BV14&gt;預測IC!BV$26,1,0)</f>
        <v>0</v>
      </c>
      <c r="BW14" s="9">
        <f>IF(預測IC!BW14&gt;預測IC!BW$26,1,0)</f>
        <v>1</v>
      </c>
      <c r="BX14" s="9">
        <f>IF(預測IC!BX14&gt;預測IC!BX$26,1,0)</f>
        <v>1</v>
      </c>
      <c r="BY14" s="9">
        <f>IF(預測IC!BY14&gt;預測IC!BY$26,1,0)</f>
        <v>1</v>
      </c>
      <c r="BZ14" s="9">
        <f>IF(預測IC!BZ14&gt;預測IC!BZ$26,1,0)</f>
        <v>0</v>
      </c>
      <c r="CA14" s="9">
        <f>IF(預測IC!CA14&gt;預測IC!CA$26,1,0)</f>
        <v>0</v>
      </c>
      <c r="CB14" s="9">
        <f>IF(預測IC!CB14&gt;預測IC!CB$26,1,0)</f>
        <v>0</v>
      </c>
      <c r="CC14" s="9">
        <f>IF(預測IC!CC14&gt;預測IC!CC$26,1,0)</f>
        <v>0</v>
      </c>
      <c r="CD14" s="9">
        <f>IF(預測IC!CD14&gt;預測IC!CD$26,1,0)</f>
        <v>1</v>
      </c>
      <c r="CE14" s="9">
        <f>IF(預測IC!CE14&gt;預測IC!CE$26,1,0)</f>
        <v>0</v>
      </c>
      <c r="CF14" s="9">
        <f>IF(預測IC!CF14&gt;預測IC!CF$26,1,0)</f>
        <v>1</v>
      </c>
      <c r="CG14" s="9">
        <f>IF(預測IC!CG14&gt;預測IC!CG$26,1,0)</f>
        <v>0</v>
      </c>
      <c r="CH14" s="9">
        <f>IF(預測IC!CH14&gt;預測IC!CH$26,1,0)</f>
        <v>0</v>
      </c>
      <c r="CI14" s="9">
        <f>IF(預測IC!CI14&gt;預測IC!CI$26,1,0)</f>
        <v>0</v>
      </c>
      <c r="CJ14" s="9">
        <f>IF(預測IC!CJ14&gt;預測IC!CJ$26,1,0)</f>
        <v>0</v>
      </c>
      <c r="CK14" s="9">
        <f>IF(預測IC!CK14&gt;預測IC!CK$26,1,0)</f>
        <v>0</v>
      </c>
      <c r="CL14" s="9">
        <f>IF(預測IC!CL14&gt;預測IC!CL$26,1,0)</f>
        <v>0</v>
      </c>
      <c r="CM14" s="9">
        <f>IF(預測IC!CM14&gt;預測IC!CM$26,1,0)</f>
        <v>1</v>
      </c>
      <c r="CN14" s="9">
        <f>IF(預測IC!CN14&gt;預測IC!CN$26,1,0)</f>
        <v>0</v>
      </c>
      <c r="CO14" s="9">
        <f>IF(預測IC!CO14&gt;預測IC!CO$26,1,0)</f>
        <v>0</v>
      </c>
      <c r="CP14" s="9">
        <f>IF(預測IC!CP14&gt;預測IC!CP$26,1,0)</f>
        <v>1</v>
      </c>
      <c r="CQ14" s="9">
        <f>IF(預測IC!CQ14&gt;預測IC!CQ$26,1,0)</f>
        <v>1</v>
      </c>
      <c r="CR14" s="9">
        <f>IF(預測IC!CR14&gt;預測IC!CR$26,1,0)</f>
        <v>1</v>
      </c>
      <c r="CS14" s="9">
        <f>IF(預測IC!CS14&gt;預測IC!CS$26,1,0)</f>
        <v>1</v>
      </c>
      <c r="CT14" s="9">
        <f>IF(預測IC!CT14&gt;預測IC!CT$26,1,0)</f>
        <v>0</v>
      </c>
      <c r="CU14" s="9">
        <f>IF(預測IC!CU14&gt;預測IC!CU$26,1,0)</f>
        <v>0</v>
      </c>
      <c r="CV14" s="9">
        <f>IF(預測IC!CV14&gt;預測IC!CV$26,1,0)</f>
        <v>1</v>
      </c>
      <c r="CW14" s="9">
        <f>IF(預測IC!CW14&gt;預測IC!CW$26,1,0)</f>
        <v>0</v>
      </c>
      <c r="CX14" s="9">
        <f>IF(預測IC!CX14&gt;預測IC!CX$26,1,0)</f>
        <v>1</v>
      </c>
      <c r="CY14" s="9">
        <f>IF(預測IC!CY14&gt;預測IC!CY$26,1,0)</f>
        <v>0</v>
      </c>
      <c r="CZ14" s="9">
        <f>IF(預測IC!CZ14&gt;預測IC!CZ$26,1,0)</f>
        <v>1</v>
      </c>
      <c r="DA14" s="9">
        <f>IF(預測IC!DA14&gt;預測IC!DA$26,1,0)</f>
        <v>0</v>
      </c>
      <c r="DB14" s="9">
        <f>IF(預測IC!DB14&gt;預測IC!DB$26,1,0)</f>
        <v>0</v>
      </c>
      <c r="DC14" s="9">
        <f>IF(預測IC!DC14&gt;預測IC!DC$26,1,0)</f>
        <v>1</v>
      </c>
      <c r="DD14" s="9">
        <f>IF(預測IC!DD14&gt;預測IC!DD$26,1,0)</f>
        <v>1</v>
      </c>
      <c r="DE14" s="9">
        <f>IF(預測IC!DE14&gt;預測IC!DE$26,1,0)</f>
        <v>0</v>
      </c>
      <c r="DF14" s="9">
        <f>IF(預測IC!DF14&gt;預測IC!DF$26,1,0)</f>
        <v>1</v>
      </c>
      <c r="DG14" s="9">
        <f>IF(預測IC!DG14&gt;預測IC!DG$26,1,0)</f>
        <v>0</v>
      </c>
      <c r="DH14" s="9">
        <f>IF(預測IC!DH14&gt;預測IC!DH$26,1,0)</f>
        <v>0</v>
      </c>
      <c r="DI14" s="9">
        <f>IF(預測IC!DI14&gt;預測IC!DI$26,1,0)</f>
        <v>0</v>
      </c>
      <c r="DJ14" s="9">
        <f>IF(預測IC!DJ14&gt;預測IC!DJ$26,1,0)</f>
        <v>1</v>
      </c>
      <c r="DK14" s="9">
        <f>IF(預測IC!DK14&gt;預測IC!DK$26,1,0)</f>
        <v>0</v>
      </c>
      <c r="DL14" s="9">
        <f>IF(預測IC!DL14&gt;預測IC!DL$26,1,0)</f>
        <v>0</v>
      </c>
      <c r="DM14" s="9">
        <f>IF(預測IC!DM14&gt;預測IC!DM$26,1,0)</f>
        <v>0</v>
      </c>
      <c r="DN14" s="9">
        <f>IF(預測IC!DN14&gt;預測IC!DN$26,1,0)</f>
        <v>1</v>
      </c>
      <c r="DO14" s="9">
        <f>IF(預測IC!DO14&gt;預測IC!DO$26,1,0)</f>
        <v>1</v>
      </c>
      <c r="DP14" s="9">
        <f>IF(預測IC!DP14&gt;預測IC!DP$26,1,0)</f>
        <v>1</v>
      </c>
      <c r="DQ14" s="9">
        <f>IF(預測IC!DQ14&gt;預測IC!DQ$26,1,0)</f>
        <v>0</v>
      </c>
      <c r="DR14" s="9">
        <f>IF(預測IC!DR14&gt;預測IC!DR$26,1,0)</f>
        <v>1</v>
      </c>
      <c r="DS14" s="9">
        <f>IF(預測IC!DS14&gt;預測IC!DS$26,1,0)</f>
        <v>0</v>
      </c>
      <c r="DT14" s="9">
        <f>IF(預測IC!DT14&gt;預測IC!DT$26,1,0)</f>
        <v>0</v>
      </c>
      <c r="DU14" s="9">
        <f>IF(預測IC!DU14&gt;預測IC!DU$26,1,0)</f>
        <v>0</v>
      </c>
      <c r="DV14" s="9">
        <f>IF(預測IC!DV14&gt;預測IC!DV$26,1,0)</f>
        <v>1</v>
      </c>
      <c r="DW14" s="9">
        <f>IF(預測IC!DW14&gt;預測IC!DW$26,1,0)</f>
        <v>1</v>
      </c>
      <c r="DX14" s="9">
        <f>IF(預測IC!DX14&gt;預測IC!DX$26,1,0)</f>
        <v>0</v>
      </c>
      <c r="DY14" s="9">
        <f>IF(預測IC!DY14&gt;預測IC!DY$26,1,0)</f>
        <v>1</v>
      </c>
      <c r="DZ14" s="9">
        <f>IF(預測IC!DZ14&gt;預測IC!DZ$26,1,0)</f>
        <v>0</v>
      </c>
      <c r="EA14" s="9">
        <f>IF(預測IC!EA14&gt;預測IC!EA$26,1,0)</f>
        <v>1</v>
      </c>
      <c r="EB14" s="9">
        <f>IF(預測IC!EB14&gt;預測IC!EB$26,1,0)</f>
        <v>0</v>
      </c>
      <c r="EC14" s="9">
        <f>IF(預測IC!EC14&gt;預測IC!EC$26,1,0)</f>
        <v>1</v>
      </c>
      <c r="ED14" s="9">
        <f>IF(預測IC!ED14&gt;預測IC!ED$26,1,0)</f>
        <v>0</v>
      </c>
      <c r="EE14" s="9">
        <f>IF(預測IC!EE14&gt;預測IC!EE$26,1,0)</f>
        <v>0</v>
      </c>
      <c r="EF14" s="9">
        <f>IF(預測IC!EF14&gt;預測IC!EF$26,1,0)</f>
        <v>1</v>
      </c>
      <c r="EG14" s="2">
        <f t="shared" si="10"/>
        <v>68</v>
      </c>
      <c r="EH14" s="16">
        <f t="shared" si="11"/>
        <v>0.5074626865671642</v>
      </c>
    </row>
    <row r="15" spans="1:138">
      <c r="A15" s="4">
        <v>100</v>
      </c>
      <c r="B15" s="4">
        <v>10</v>
      </c>
      <c r="C15" s="9">
        <f>IF(預測IC!C15&gt;預測IC!C$26,1,0)</f>
        <v>0</v>
      </c>
      <c r="D15" s="9">
        <f>IF(預測IC!D15&gt;預測IC!D$26,1,0)</f>
        <v>1</v>
      </c>
      <c r="E15" s="9">
        <f>IF(預測IC!E15&gt;預測IC!E$26,1,0)</f>
        <v>0</v>
      </c>
      <c r="F15" s="9">
        <f>IF(預測IC!F15&gt;預測IC!F$26,1,0)</f>
        <v>1</v>
      </c>
      <c r="G15" s="9">
        <f>IF(預測IC!G15&gt;預測IC!G$26,1,0)</f>
        <v>1</v>
      </c>
      <c r="H15" s="9">
        <f>IF(預測IC!H15&gt;預測IC!H$26,1,0)</f>
        <v>1</v>
      </c>
      <c r="I15" s="9">
        <f>IF(預測IC!I15&gt;預測IC!I$26,1,0)</f>
        <v>1</v>
      </c>
      <c r="J15" s="9">
        <f>IF(預測IC!J15&gt;預測IC!J$26,1,0)</f>
        <v>0</v>
      </c>
      <c r="K15" s="9">
        <f>IF(預測IC!K15&gt;預測IC!K$26,1,0)</f>
        <v>1</v>
      </c>
      <c r="L15" s="9">
        <f>IF(預測IC!L15&gt;預測IC!L$26,1,0)</f>
        <v>1</v>
      </c>
      <c r="M15" s="9">
        <f>IF(預測IC!M15&gt;預測IC!M$26,1,0)</f>
        <v>0</v>
      </c>
      <c r="N15" s="9">
        <f>IF(預測IC!N15&gt;預測IC!N$26,1,0)</f>
        <v>1</v>
      </c>
      <c r="O15" s="9">
        <f>IF(預測IC!O15&gt;預測IC!O$26,1,0)</f>
        <v>1</v>
      </c>
      <c r="P15" s="9">
        <f>IF(預測IC!P15&gt;預測IC!P$26,1,0)</f>
        <v>0</v>
      </c>
      <c r="Q15" s="9">
        <f>IF(預測IC!Q15&gt;預測IC!Q$26,1,0)</f>
        <v>1</v>
      </c>
      <c r="R15" s="9">
        <f>IF(預測IC!R15&gt;預測IC!R$26,1,0)</f>
        <v>0</v>
      </c>
      <c r="S15" s="9">
        <f>IF(預測IC!S15&gt;預測IC!S$26,1,0)</f>
        <v>0</v>
      </c>
      <c r="T15" s="9">
        <f>IF(預測IC!T15&gt;預測IC!T$26,1,0)</f>
        <v>0</v>
      </c>
      <c r="U15" s="9">
        <f>IF(預測IC!U15&gt;預測IC!U$26,1,0)</f>
        <v>1</v>
      </c>
      <c r="V15" s="9">
        <f>IF(預測IC!V15&gt;預測IC!V$26,1,0)</f>
        <v>0</v>
      </c>
      <c r="W15" s="9">
        <f>IF(預測IC!W15&gt;預測IC!W$26,1,0)</f>
        <v>1</v>
      </c>
      <c r="X15" s="9">
        <f>IF(預測IC!X15&gt;預測IC!X$26,1,0)</f>
        <v>0</v>
      </c>
      <c r="Y15" s="9">
        <f>IF(預測IC!Y15&gt;預測IC!Y$26,1,0)</f>
        <v>1</v>
      </c>
      <c r="Z15" s="9">
        <f>IF(預測IC!Z15&gt;預測IC!Z$26,1,0)</f>
        <v>0</v>
      </c>
      <c r="AA15" s="9">
        <f>IF(預測IC!AA15&gt;預測IC!AA$26,1,0)</f>
        <v>1</v>
      </c>
      <c r="AB15" s="9">
        <f>IF(預測IC!AB15&gt;預測IC!AB$26,1,0)</f>
        <v>0</v>
      </c>
      <c r="AC15" s="9">
        <f>IF(預測IC!AC15&gt;預測IC!AC$26,1,0)</f>
        <v>0</v>
      </c>
      <c r="AD15" s="9">
        <f>IF(預測IC!AD15&gt;預測IC!AD$26,1,0)</f>
        <v>1</v>
      </c>
      <c r="AE15" s="9">
        <f>IF(預測IC!AE15&gt;預測IC!AE$26,1,0)</f>
        <v>0</v>
      </c>
      <c r="AF15" s="9">
        <f>IF(預測IC!AF15&gt;預測IC!AF$26,1,0)</f>
        <v>1</v>
      </c>
      <c r="AG15" s="9">
        <f>IF(預測IC!AG15&gt;預測IC!AG$26,1,0)</f>
        <v>0</v>
      </c>
      <c r="AH15" s="9">
        <f>IF(預測IC!AH15&gt;預測IC!AH$26,1,0)</f>
        <v>0</v>
      </c>
      <c r="AI15" s="9">
        <f>IF(預測IC!AI15&gt;預測IC!AI$26,1,0)</f>
        <v>1</v>
      </c>
      <c r="AJ15" s="9">
        <f>IF(預測IC!AJ15&gt;預測IC!AJ$26,1,0)</f>
        <v>0</v>
      </c>
      <c r="AK15" s="9">
        <f>IF(預測IC!AK15&gt;預測IC!AK$26,1,0)</f>
        <v>0</v>
      </c>
      <c r="AL15" s="9">
        <f>IF(預測IC!AL15&gt;預測IC!AL$26,1,0)</f>
        <v>1</v>
      </c>
      <c r="AM15" s="9">
        <f>IF(預測IC!AM15&gt;預測IC!AM$26,1,0)</f>
        <v>0</v>
      </c>
      <c r="AN15" s="9">
        <f>IF(預測IC!AN15&gt;預測IC!AN$26,1,0)</f>
        <v>1</v>
      </c>
      <c r="AO15" s="9">
        <f>IF(預測IC!AO15&gt;預測IC!AO$26,1,0)</f>
        <v>1</v>
      </c>
      <c r="AP15" s="9">
        <f>IF(預測IC!AP15&gt;預測IC!AP$26,1,0)</f>
        <v>0</v>
      </c>
      <c r="AQ15" s="9">
        <f>IF(預測IC!AQ15&gt;預測IC!AQ$26,1,0)</f>
        <v>0</v>
      </c>
      <c r="AR15" s="9">
        <f>IF(預測IC!AR15&gt;預測IC!AR$26,1,0)</f>
        <v>0</v>
      </c>
      <c r="AS15" s="9">
        <f>IF(預測IC!AS15&gt;預測IC!AS$26,1,0)</f>
        <v>0</v>
      </c>
      <c r="AT15" s="9">
        <f>IF(預測IC!AT15&gt;預測IC!AT$26,1,0)</f>
        <v>1</v>
      </c>
      <c r="AU15" s="9">
        <f>IF(預測IC!AU15&gt;預測IC!AU$26,1,0)</f>
        <v>1</v>
      </c>
      <c r="AV15" s="9">
        <f>IF(預測IC!AV15&gt;預測IC!AV$26,1,0)</f>
        <v>0</v>
      </c>
      <c r="AW15" s="9">
        <f>IF(預測IC!AW15&gt;預測IC!AW$26,1,0)</f>
        <v>1</v>
      </c>
      <c r="AX15" s="9">
        <f>IF(預測IC!AX15&gt;預測IC!AX$26,1,0)</f>
        <v>1</v>
      </c>
      <c r="AY15" s="9">
        <f>IF(預測IC!AY15&gt;預測IC!AY$26,1,0)</f>
        <v>0</v>
      </c>
      <c r="AZ15" s="9">
        <f>IF(預測IC!AZ15&gt;預測IC!AZ$26,1,0)</f>
        <v>0</v>
      </c>
      <c r="BA15" s="9">
        <f>IF(預測IC!BA15&gt;預測IC!BA$26,1,0)</f>
        <v>1</v>
      </c>
      <c r="BB15" s="9">
        <f>IF(預測IC!BB15&gt;預測IC!BB$26,1,0)</f>
        <v>1</v>
      </c>
      <c r="BC15" s="9">
        <f>IF(預測IC!BC15&gt;預測IC!BC$26,1,0)</f>
        <v>1</v>
      </c>
      <c r="BD15" s="9">
        <f>IF(預測IC!BD15&gt;預測IC!BD$26,1,0)</f>
        <v>1</v>
      </c>
      <c r="BE15" s="9">
        <f>IF(預測IC!BE15&gt;預測IC!BE$26,1,0)</f>
        <v>1</v>
      </c>
      <c r="BF15" s="9">
        <f>IF(預測IC!BF15&gt;預測IC!BF$26,1,0)</f>
        <v>1</v>
      </c>
      <c r="BG15" s="9">
        <f>IF(預測IC!BG15&gt;預測IC!BG$26,1,0)</f>
        <v>1</v>
      </c>
      <c r="BH15" s="9">
        <f>IF(預測IC!BH15&gt;預測IC!BH$26,1,0)</f>
        <v>1</v>
      </c>
      <c r="BI15" s="9">
        <f>IF(預測IC!BI15&gt;預測IC!BI$26,1,0)</f>
        <v>1</v>
      </c>
      <c r="BJ15" s="9">
        <f>IF(預測IC!BJ15&gt;預測IC!BJ$26,1,0)</f>
        <v>1</v>
      </c>
      <c r="BK15" s="9">
        <f>IF(預測IC!BK15&gt;預測IC!BK$26,1,0)</f>
        <v>0</v>
      </c>
      <c r="BL15" s="9">
        <f>IF(預測IC!BL15&gt;預測IC!BL$26,1,0)</f>
        <v>1</v>
      </c>
      <c r="BM15" s="9">
        <f>IF(預測IC!BM15&gt;預測IC!BM$26,1,0)</f>
        <v>1</v>
      </c>
      <c r="BN15" s="9">
        <f>IF(預測IC!BN15&gt;預測IC!BN$26,1,0)</f>
        <v>1</v>
      </c>
      <c r="BO15" s="9">
        <f>IF(預測IC!BO15&gt;預測IC!BO$26,1,0)</f>
        <v>1</v>
      </c>
      <c r="BP15" s="9">
        <f>IF(預測IC!BP15&gt;預測IC!BP$26,1,0)</f>
        <v>0</v>
      </c>
      <c r="BQ15" s="9">
        <f>IF(預測IC!BQ15&gt;預測IC!BQ$26,1,0)</f>
        <v>1</v>
      </c>
      <c r="BR15" s="9">
        <f>IF(預測IC!BR15&gt;預測IC!BR$26,1,0)</f>
        <v>0</v>
      </c>
      <c r="BS15" s="9">
        <f>IF(預測IC!BS15&gt;預測IC!BS$26,1,0)</f>
        <v>0</v>
      </c>
      <c r="BT15" s="9">
        <f>IF(預測IC!BT15&gt;預測IC!BT$26,1,0)</f>
        <v>1</v>
      </c>
      <c r="BU15" s="9">
        <f>IF(預測IC!BU15&gt;預測IC!BU$26,1,0)</f>
        <v>1</v>
      </c>
      <c r="BV15" s="9">
        <f>IF(預測IC!BV15&gt;預測IC!BV$26,1,0)</f>
        <v>1</v>
      </c>
      <c r="BW15" s="9">
        <f>IF(預測IC!BW15&gt;預測IC!BW$26,1,0)</f>
        <v>1</v>
      </c>
      <c r="BX15" s="9">
        <f>IF(預測IC!BX15&gt;預測IC!BX$26,1,0)</f>
        <v>1</v>
      </c>
      <c r="BY15" s="9">
        <f>IF(預測IC!BY15&gt;預測IC!BY$26,1,0)</f>
        <v>1</v>
      </c>
      <c r="BZ15" s="9">
        <f>IF(預測IC!BZ15&gt;預測IC!BZ$26,1,0)</f>
        <v>0</v>
      </c>
      <c r="CA15" s="9">
        <f>IF(預測IC!CA15&gt;預測IC!CA$26,1,0)</f>
        <v>0</v>
      </c>
      <c r="CB15" s="9">
        <f>IF(預測IC!CB15&gt;預測IC!CB$26,1,0)</f>
        <v>0</v>
      </c>
      <c r="CC15" s="9">
        <f>IF(預測IC!CC15&gt;預測IC!CC$26,1,0)</f>
        <v>0</v>
      </c>
      <c r="CD15" s="9">
        <f>IF(預測IC!CD15&gt;預測IC!CD$26,1,0)</f>
        <v>1</v>
      </c>
      <c r="CE15" s="9">
        <f>IF(預測IC!CE15&gt;預測IC!CE$26,1,0)</f>
        <v>0</v>
      </c>
      <c r="CF15" s="9">
        <f>IF(預測IC!CF15&gt;預測IC!CF$26,1,0)</f>
        <v>1</v>
      </c>
      <c r="CG15" s="9">
        <f>IF(預測IC!CG15&gt;預測IC!CG$26,1,0)</f>
        <v>0</v>
      </c>
      <c r="CH15" s="9">
        <f>IF(預測IC!CH15&gt;預測IC!CH$26,1,0)</f>
        <v>0</v>
      </c>
      <c r="CI15" s="9">
        <f>IF(預測IC!CI15&gt;預測IC!CI$26,1,0)</f>
        <v>0</v>
      </c>
      <c r="CJ15" s="9">
        <f>IF(預測IC!CJ15&gt;預測IC!CJ$26,1,0)</f>
        <v>0</v>
      </c>
      <c r="CK15" s="9">
        <f>IF(預測IC!CK15&gt;預測IC!CK$26,1,0)</f>
        <v>1</v>
      </c>
      <c r="CL15" s="9">
        <f>IF(預測IC!CL15&gt;預測IC!CL$26,1,0)</f>
        <v>0</v>
      </c>
      <c r="CM15" s="9">
        <f>IF(預測IC!CM15&gt;預測IC!CM$26,1,0)</f>
        <v>1</v>
      </c>
      <c r="CN15" s="9">
        <f>IF(預測IC!CN15&gt;預測IC!CN$26,1,0)</f>
        <v>0</v>
      </c>
      <c r="CO15" s="9">
        <f>IF(預測IC!CO15&gt;預測IC!CO$26,1,0)</f>
        <v>0</v>
      </c>
      <c r="CP15" s="9">
        <f>IF(預測IC!CP15&gt;預測IC!CP$26,1,0)</f>
        <v>1</v>
      </c>
      <c r="CQ15" s="9">
        <f>IF(預測IC!CQ15&gt;預測IC!CQ$26,1,0)</f>
        <v>1</v>
      </c>
      <c r="CR15" s="9">
        <f>IF(預測IC!CR15&gt;預測IC!CR$26,1,0)</f>
        <v>1</v>
      </c>
      <c r="CS15" s="9">
        <f>IF(預測IC!CS15&gt;預測IC!CS$26,1,0)</f>
        <v>1</v>
      </c>
      <c r="CT15" s="9">
        <f>IF(預測IC!CT15&gt;預測IC!CT$26,1,0)</f>
        <v>0</v>
      </c>
      <c r="CU15" s="9">
        <f>IF(預測IC!CU15&gt;預測IC!CU$26,1,0)</f>
        <v>0</v>
      </c>
      <c r="CV15" s="9">
        <f>IF(預測IC!CV15&gt;預測IC!CV$26,1,0)</f>
        <v>0</v>
      </c>
      <c r="CW15" s="9">
        <f>IF(預測IC!CW15&gt;預測IC!CW$26,1,0)</f>
        <v>0</v>
      </c>
      <c r="CX15" s="9">
        <f>IF(預測IC!CX15&gt;預測IC!CX$26,1,0)</f>
        <v>1</v>
      </c>
      <c r="CY15" s="9">
        <f>IF(預測IC!CY15&gt;預測IC!CY$26,1,0)</f>
        <v>0</v>
      </c>
      <c r="CZ15" s="9">
        <f>IF(預測IC!CZ15&gt;預測IC!CZ$26,1,0)</f>
        <v>1</v>
      </c>
      <c r="DA15" s="9">
        <f>IF(預測IC!DA15&gt;預測IC!DA$26,1,0)</f>
        <v>0</v>
      </c>
      <c r="DB15" s="9">
        <f>IF(預測IC!DB15&gt;預測IC!DB$26,1,0)</f>
        <v>0</v>
      </c>
      <c r="DC15" s="9">
        <f>IF(預測IC!DC15&gt;預測IC!DC$26,1,0)</f>
        <v>1</v>
      </c>
      <c r="DD15" s="9">
        <f>IF(預測IC!DD15&gt;預測IC!DD$26,1,0)</f>
        <v>1</v>
      </c>
      <c r="DE15" s="9">
        <f>IF(預測IC!DE15&gt;預測IC!DE$26,1,0)</f>
        <v>0</v>
      </c>
      <c r="DF15" s="9">
        <f>IF(預測IC!DF15&gt;預測IC!DF$26,1,0)</f>
        <v>1</v>
      </c>
      <c r="DG15" s="9">
        <f>IF(預測IC!DG15&gt;預測IC!DG$26,1,0)</f>
        <v>0</v>
      </c>
      <c r="DH15" s="9">
        <f>IF(預測IC!DH15&gt;預測IC!DH$26,1,0)</f>
        <v>0</v>
      </c>
      <c r="DI15" s="9">
        <f>IF(預測IC!DI15&gt;預測IC!DI$26,1,0)</f>
        <v>0</v>
      </c>
      <c r="DJ15" s="9">
        <f>IF(預測IC!DJ15&gt;預測IC!DJ$26,1,0)</f>
        <v>0</v>
      </c>
      <c r="DK15" s="9">
        <f>IF(預測IC!DK15&gt;預測IC!DK$26,1,0)</f>
        <v>1</v>
      </c>
      <c r="DL15" s="9">
        <f>IF(預測IC!DL15&gt;預測IC!DL$26,1,0)</f>
        <v>1</v>
      </c>
      <c r="DM15" s="9">
        <f>IF(預測IC!DM15&gt;預測IC!DM$26,1,0)</f>
        <v>0</v>
      </c>
      <c r="DN15" s="9">
        <f>IF(預測IC!DN15&gt;預測IC!DN$26,1,0)</f>
        <v>1</v>
      </c>
      <c r="DO15" s="9">
        <f>IF(預測IC!DO15&gt;預測IC!DO$26,1,0)</f>
        <v>1</v>
      </c>
      <c r="DP15" s="9">
        <f>IF(預測IC!DP15&gt;預測IC!DP$26,1,0)</f>
        <v>1</v>
      </c>
      <c r="DQ15" s="9">
        <f>IF(預測IC!DQ15&gt;預測IC!DQ$26,1,0)</f>
        <v>0</v>
      </c>
      <c r="DR15" s="9">
        <f>IF(預測IC!DR15&gt;預測IC!DR$26,1,0)</f>
        <v>1</v>
      </c>
      <c r="DS15" s="9">
        <f>IF(預測IC!DS15&gt;預測IC!DS$26,1,0)</f>
        <v>0</v>
      </c>
      <c r="DT15" s="9">
        <f>IF(預測IC!DT15&gt;預測IC!DT$26,1,0)</f>
        <v>0</v>
      </c>
      <c r="DU15" s="9">
        <f>IF(預測IC!DU15&gt;預測IC!DU$26,1,0)</f>
        <v>0</v>
      </c>
      <c r="DV15" s="9">
        <f>IF(預測IC!DV15&gt;預測IC!DV$26,1,0)</f>
        <v>1</v>
      </c>
      <c r="DW15" s="9">
        <f>IF(預測IC!DW15&gt;預測IC!DW$26,1,0)</f>
        <v>0</v>
      </c>
      <c r="DX15" s="9">
        <f>IF(預測IC!DX15&gt;預測IC!DX$26,1,0)</f>
        <v>0</v>
      </c>
      <c r="DY15" s="9">
        <f>IF(預測IC!DY15&gt;預測IC!DY$26,1,0)</f>
        <v>1</v>
      </c>
      <c r="DZ15" s="9">
        <f>IF(預測IC!DZ15&gt;預測IC!DZ$26,1,0)</f>
        <v>0</v>
      </c>
      <c r="EA15" s="9">
        <f>IF(預測IC!EA15&gt;預測IC!EA$26,1,0)</f>
        <v>1</v>
      </c>
      <c r="EB15" s="9">
        <f>IF(預測IC!EB15&gt;預測IC!EB$26,1,0)</f>
        <v>1</v>
      </c>
      <c r="EC15" s="9">
        <f>IF(預測IC!EC15&gt;預測IC!EC$26,1,0)</f>
        <v>1</v>
      </c>
      <c r="ED15" s="9">
        <f>IF(預測IC!ED15&gt;預測IC!ED$26,1,0)</f>
        <v>0</v>
      </c>
      <c r="EE15" s="9">
        <f>IF(預測IC!EE15&gt;預測IC!EE$26,1,0)</f>
        <v>0</v>
      </c>
      <c r="EF15" s="9">
        <f>IF(預測IC!EF15&gt;預測IC!EF$26,1,0)</f>
        <v>1</v>
      </c>
      <c r="EG15" s="2">
        <f t="shared" si="10"/>
        <v>70</v>
      </c>
      <c r="EH15" s="16">
        <f t="shared" si="11"/>
        <v>0.52238805970149249</v>
      </c>
    </row>
    <row r="16" spans="1:138">
      <c r="A16" s="4">
        <v>107</v>
      </c>
      <c r="B16" s="4">
        <v>9</v>
      </c>
      <c r="C16" s="9">
        <f>IF(預測IC!C16&gt;預測IC!C$26,1,0)</f>
        <v>0</v>
      </c>
      <c r="D16" s="9">
        <f>IF(預測IC!D16&gt;預測IC!D$26,1,0)</f>
        <v>1</v>
      </c>
      <c r="E16" s="9">
        <f>IF(預測IC!E16&gt;預測IC!E$26,1,0)</f>
        <v>0</v>
      </c>
      <c r="F16" s="9">
        <f>IF(預測IC!F16&gt;預測IC!F$26,1,0)</f>
        <v>1</v>
      </c>
      <c r="G16" s="9">
        <f>IF(預測IC!G16&gt;預測IC!G$26,1,0)</f>
        <v>1</v>
      </c>
      <c r="H16" s="9">
        <f>IF(預測IC!H16&gt;預測IC!H$26,1,0)</f>
        <v>1</v>
      </c>
      <c r="I16" s="9">
        <f>IF(預測IC!I16&gt;預測IC!I$26,1,0)</f>
        <v>1</v>
      </c>
      <c r="J16" s="9">
        <f>IF(預測IC!J16&gt;預測IC!J$26,1,0)</f>
        <v>0</v>
      </c>
      <c r="K16" s="9">
        <f>IF(預測IC!K16&gt;預測IC!K$26,1,0)</f>
        <v>1</v>
      </c>
      <c r="L16" s="9">
        <f>IF(預測IC!L16&gt;預測IC!L$26,1,0)</f>
        <v>1</v>
      </c>
      <c r="M16" s="9">
        <f>IF(預測IC!M16&gt;預測IC!M$26,1,0)</f>
        <v>0</v>
      </c>
      <c r="N16" s="9">
        <f>IF(預測IC!N16&gt;預測IC!N$26,1,0)</f>
        <v>1</v>
      </c>
      <c r="O16" s="9">
        <f>IF(預測IC!O16&gt;預測IC!O$26,1,0)</f>
        <v>1</v>
      </c>
      <c r="P16" s="9">
        <f>IF(預測IC!P16&gt;預測IC!P$26,1,0)</f>
        <v>0</v>
      </c>
      <c r="Q16" s="9">
        <f>IF(預測IC!Q16&gt;預測IC!Q$26,1,0)</f>
        <v>1</v>
      </c>
      <c r="R16" s="9">
        <f>IF(預測IC!R16&gt;預測IC!R$26,1,0)</f>
        <v>0</v>
      </c>
      <c r="S16" s="9">
        <f>IF(預測IC!S16&gt;預測IC!S$26,1,0)</f>
        <v>0</v>
      </c>
      <c r="T16" s="9">
        <f>IF(預測IC!T16&gt;預測IC!T$26,1,0)</f>
        <v>1</v>
      </c>
      <c r="U16" s="9">
        <f>IF(預測IC!U16&gt;預測IC!U$26,1,0)</f>
        <v>1</v>
      </c>
      <c r="V16" s="9">
        <f>IF(預測IC!V16&gt;預測IC!V$26,1,0)</f>
        <v>0</v>
      </c>
      <c r="W16" s="9">
        <f>IF(預測IC!W16&gt;預測IC!W$26,1,0)</f>
        <v>1</v>
      </c>
      <c r="X16" s="9">
        <f>IF(預測IC!X16&gt;預測IC!X$26,1,0)</f>
        <v>0</v>
      </c>
      <c r="Y16" s="9">
        <f>IF(預測IC!Y16&gt;預測IC!Y$26,1,0)</f>
        <v>1</v>
      </c>
      <c r="Z16" s="9">
        <f>IF(預測IC!Z16&gt;預測IC!Z$26,1,0)</f>
        <v>0</v>
      </c>
      <c r="AA16" s="9">
        <f>IF(預測IC!AA16&gt;預測IC!AA$26,1,0)</f>
        <v>1</v>
      </c>
      <c r="AB16" s="9">
        <f>IF(預測IC!AB16&gt;預測IC!AB$26,1,0)</f>
        <v>0</v>
      </c>
      <c r="AC16" s="9">
        <f>IF(預測IC!AC16&gt;預測IC!AC$26,1,0)</f>
        <v>0</v>
      </c>
      <c r="AD16" s="9">
        <f>IF(預測IC!AD16&gt;預測IC!AD$26,1,0)</f>
        <v>1</v>
      </c>
      <c r="AE16" s="9">
        <f>IF(預測IC!AE16&gt;預測IC!AE$26,1,0)</f>
        <v>0</v>
      </c>
      <c r="AF16" s="9">
        <f>IF(預測IC!AF16&gt;預測IC!AF$26,1,0)</f>
        <v>0</v>
      </c>
      <c r="AG16" s="9">
        <f>IF(預測IC!AG16&gt;預測IC!AG$26,1,0)</f>
        <v>0</v>
      </c>
      <c r="AH16" s="9">
        <f>IF(預測IC!AH16&gt;預測IC!AH$26,1,0)</f>
        <v>0</v>
      </c>
      <c r="AI16" s="9">
        <f>IF(預測IC!AI16&gt;預測IC!AI$26,1,0)</f>
        <v>1</v>
      </c>
      <c r="AJ16" s="9">
        <f>IF(預測IC!AJ16&gt;預測IC!AJ$26,1,0)</f>
        <v>0</v>
      </c>
      <c r="AK16" s="9">
        <f>IF(預測IC!AK16&gt;預測IC!AK$26,1,0)</f>
        <v>0</v>
      </c>
      <c r="AL16" s="9">
        <f>IF(預測IC!AL16&gt;預測IC!AL$26,1,0)</f>
        <v>1</v>
      </c>
      <c r="AM16" s="9">
        <f>IF(預測IC!AM16&gt;預測IC!AM$26,1,0)</f>
        <v>1</v>
      </c>
      <c r="AN16" s="9">
        <f>IF(預測IC!AN16&gt;預測IC!AN$26,1,0)</f>
        <v>1</v>
      </c>
      <c r="AO16" s="9">
        <f>IF(預測IC!AO16&gt;預測IC!AO$26,1,0)</f>
        <v>1</v>
      </c>
      <c r="AP16" s="9">
        <f>IF(預測IC!AP16&gt;預測IC!AP$26,1,0)</f>
        <v>0</v>
      </c>
      <c r="AQ16" s="9">
        <f>IF(預測IC!AQ16&gt;預測IC!AQ$26,1,0)</f>
        <v>0</v>
      </c>
      <c r="AR16" s="9">
        <f>IF(預測IC!AR16&gt;預測IC!AR$26,1,0)</f>
        <v>0</v>
      </c>
      <c r="AS16" s="9">
        <f>IF(預測IC!AS16&gt;預測IC!AS$26,1,0)</f>
        <v>0</v>
      </c>
      <c r="AT16" s="9">
        <f>IF(預測IC!AT16&gt;預測IC!AT$26,1,0)</f>
        <v>1</v>
      </c>
      <c r="AU16" s="9">
        <f>IF(預測IC!AU16&gt;預測IC!AU$26,1,0)</f>
        <v>1</v>
      </c>
      <c r="AV16" s="9">
        <f>IF(預測IC!AV16&gt;預測IC!AV$26,1,0)</f>
        <v>0</v>
      </c>
      <c r="AW16" s="9">
        <f>IF(預測IC!AW16&gt;預測IC!AW$26,1,0)</f>
        <v>1</v>
      </c>
      <c r="AX16" s="9">
        <f>IF(預測IC!AX16&gt;預測IC!AX$26,1,0)</f>
        <v>1</v>
      </c>
      <c r="AY16" s="9">
        <f>IF(預測IC!AY16&gt;預測IC!AY$26,1,0)</f>
        <v>0</v>
      </c>
      <c r="AZ16" s="9">
        <f>IF(預測IC!AZ16&gt;預測IC!AZ$26,1,0)</f>
        <v>0</v>
      </c>
      <c r="BA16" s="9">
        <f>IF(預測IC!BA16&gt;預測IC!BA$26,1,0)</f>
        <v>1</v>
      </c>
      <c r="BB16" s="9">
        <f>IF(預測IC!BB16&gt;預測IC!BB$26,1,0)</f>
        <v>1</v>
      </c>
      <c r="BC16" s="9">
        <f>IF(預測IC!BC16&gt;預測IC!BC$26,1,0)</f>
        <v>1</v>
      </c>
      <c r="BD16" s="9">
        <f>IF(預測IC!BD16&gt;預測IC!BD$26,1,0)</f>
        <v>1</v>
      </c>
      <c r="BE16" s="9">
        <f>IF(預測IC!BE16&gt;預測IC!BE$26,1,0)</f>
        <v>1</v>
      </c>
      <c r="BF16" s="9">
        <f>IF(預測IC!BF16&gt;預測IC!BF$26,1,0)</f>
        <v>1</v>
      </c>
      <c r="BG16" s="9">
        <f>IF(預測IC!BG16&gt;預測IC!BG$26,1,0)</f>
        <v>1</v>
      </c>
      <c r="BH16" s="9">
        <f>IF(預測IC!BH16&gt;預測IC!BH$26,1,0)</f>
        <v>1</v>
      </c>
      <c r="BI16" s="9">
        <f>IF(預測IC!BI16&gt;預測IC!BI$26,1,0)</f>
        <v>1</v>
      </c>
      <c r="BJ16" s="9">
        <f>IF(預測IC!BJ16&gt;預測IC!BJ$26,1,0)</f>
        <v>0</v>
      </c>
      <c r="BK16" s="9">
        <f>IF(預測IC!BK16&gt;預測IC!BK$26,1,0)</f>
        <v>0</v>
      </c>
      <c r="BL16" s="9">
        <f>IF(預測IC!BL16&gt;預測IC!BL$26,1,0)</f>
        <v>1</v>
      </c>
      <c r="BM16" s="9">
        <f>IF(預測IC!BM16&gt;預測IC!BM$26,1,0)</f>
        <v>1</v>
      </c>
      <c r="BN16" s="9">
        <f>IF(預測IC!BN16&gt;預測IC!BN$26,1,0)</f>
        <v>1</v>
      </c>
      <c r="BO16" s="9">
        <f>IF(預測IC!BO16&gt;預測IC!BO$26,1,0)</f>
        <v>1</v>
      </c>
      <c r="BP16" s="9">
        <f>IF(預測IC!BP16&gt;預測IC!BP$26,1,0)</f>
        <v>0</v>
      </c>
      <c r="BQ16" s="9">
        <f>IF(預測IC!BQ16&gt;預測IC!BQ$26,1,0)</f>
        <v>1</v>
      </c>
      <c r="BR16" s="9">
        <f>IF(預測IC!BR16&gt;預測IC!BR$26,1,0)</f>
        <v>0</v>
      </c>
      <c r="BS16" s="9">
        <f>IF(預測IC!BS16&gt;預測IC!BS$26,1,0)</f>
        <v>0</v>
      </c>
      <c r="BT16" s="9">
        <f>IF(預測IC!BT16&gt;預測IC!BT$26,1,0)</f>
        <v>1</v>
      </c>
      <c r="BU16" s="9">
        <f>IF(預測IC!BU16&gt;預測IC!BU$26,1,0)</f>
        <v>1</v>
      </c>
      <c r="BV16" s="9">
        <f>IF(預測IC!BV16&gt;預測IC!BV$26,1,0)</f>
        <v>1</v>
      </c>
      <c r="BW16" s="9">
        <f>IF(預測IC!BW16&gt;預測IC!BW$26,1,0)</f>
        <v>0</v>
      </c>
      <c r="BX16" s="9">
        <f>IF(預測IC!BX16&gt;預測IC!BX$26,1,0)</f>
        <v>1</v>
      </c>
      <c r="BY16" s="9">
        <f>IF(預測IC!BY16&gt;預測IC!BY$26,1,0)</f>
        <v>1</v>
      </c>
      <c r="BZ16" s="9">
        <f>IF(預測IC!BZ16&gt;預測IC!BZ$26,1,0)</f>
        <v>0</v>
      </c>
      <c r="CA16" s="9">
        <f>IF(預測IC!CA16&gt;預測IC!CA$26,1,0)</f>
        <v>0</v>
      </c>
      <c r="CB16" s="9">
        <f>IF(預測IC!CB16&gt;預測IC!CB$26,1,0)</f>
        <v>0</v>
      </c>
      <c r="CC16" s="9">
        <f>IF(預測IC!CC16&gt;預測IC!CC$26,1,0)</f>
        <v>0</v>
      </c>
      <c r="CD16" s="9">
        <f>IF(預測IC!CD16&gt;預測IC!CD$26,1,0)</f>
        <v>1</v>
      </c>
      <c r="CE16" s="9">
        <f>IF(預測IC!CE16&gt;預測IC!CE$26,1,0)</f>
        <v>0</v>
      </c>
      <c r="CF16" s="9">
        <f>IF(預測IC!CF16&gt;預測IC!CF$26,1,0)</f>
        <v>1</v>
      </c>
      <c r="CG16" s="9">
        <f>IF(預測IC!CG16&gt;預測IC!CG$26,1,0)</f>
        <v>0</v>
      </c>
      <c r="CH16" s="9">
        <f>IF(預測IC!CH16&gt;預測IC!CH$26,1,0)</f>
        <v>0</v>
      </c>
      <c r="CI16" s="9">
        <f>IF(預測IC!CI16&gt;預測IC!CI$26,1,0)</f>
        <v>0</v>
      </c>
      <c r="CJ16" s="9">
        <f>IF(預測IC!CJ16&gt;預測IC!CJ$26,1,0)</f>
        <v>0</v>
      </c>
      <c r="CK16" s="9">
        <f>IF(預測IC!CK16&gt;預測IC!CK$26,1,0)</f>
        <v>1</v>
      </c>
      <c r="CL16" s="9">
        <f>IF(預測IC!CL16&gt;預測IC!CL$26,1,0)</f>
        <v>0</v>
      </c>
      <c r="CM16" s="9">
        <f>IF(預測IC!CM16&gt;預測IC!CM$26,1,0)</f>
        <v>1</v>
      </c>
      <c r="CN16" s="9">
        <f>IF(預測IC!CN16&gt;預測IC!CN$26,1,0)</f>
        <v>0</v>
      </c>
      <c r="CO16" s="9">
        <f>IF(預測IC!CO16&gt;預測IC!CO$26,1,0)</f>
        <v>0</v>
      </c>
      <c r="CP16" s="9">
        <f>IF(預測IC!CP16&gt;預測IC!CP$26,1,0)</f>
        <v>1</v>
      </c>
      <c r="CQ16" s="9">
        <f>IF(預測IC!CQ16&gt;預測IC!CQ$26,1,0)</f>
        <v>1</v>
      </c>
      <c r="CR16" s="9">
        <f>IF(預測IC!CR16&gt;預測IC!CR$26,1,0)</f>
        <v>1</v>
      </c>
      <c r="CS16" s="9">
        <f>IF(預測IC!CS16&gt;預測IC!CS$26,1,0)</f>
        <v>1</v>
      </c>
      <c r="CT16" s="9">
        <f>IF(預測IC!CT16&gt;預測IC!CT$26,1,0)</f>
        <v>0</v>
      </c>
      <c r="CU16" s="9">
        <f>IF(預測IC!CU16&gt;預測IC!CU$26,1,0)</f>
        <v>0</v>
      </c>
      <c r="CV16" s="9">
        <f>IF(預測IC!CV16&gt;預測IC!CV$26,1,0)</f>
        <v>0</v>
      </c>
      <c r="CW16" s="9">
        <f>IF(預測IC!CW16&gt;預測IC!CW$26,1,0)</f>
        <v>0</v>
      </c>
      <c r="CX16" s="9">
        <f>IF(預測IC!CX16&gt;預測IC!CX$26,1,0)</f>
        <v>1</v>
      </c>
      <c r="CY16" s="9">
        <f>IF(預測IC!CY16&gt;預測IC!CY$26,1,0)</f>
        <v>0</v>
      </c>
      <c r="CZ16" s="9">
        <f>IF(預測IC!CZ16&gt;預測IC!CZ$26,1,0)</f>
        <v>1</v>
      </c>
      <c r="DA16" s="9">
        <f>IF(預測IC!DA16&gt;預測IC!DA$26,1,0)</f>
        <v>0</v>
      </c>
      <c r="DB16" s="9">
        <f>IF(預測IC!DB16&gt;預測IC!DB$26,1,0)</f>
        <v>0</v>
      </c>
      <c r="DC16" s="9">
        <f>IF(預測IC!DC16&gt;預測IC!DC$26,1,0)</f>
        <v>1</v>
      </c>
      <c r="DD16" s="9">
        <f>IF(預測IC!DD16&gt;預測IC!DD$26,1,0)</f>
        <v>0</v>
      </c>
      <c r="DE16" s="9">
        <f>IF(預測IC!DE16&gt;預測IC!DE$26,1,0)</f>
        <v>0</v>
      </c>
      <c r="DF16" s="9">
        <f>IF(預測IC!DF16&gt;預測IC!DF$26,1,0)</f>
        <v>1</v>
      </c>
      <c r="DG16" s="9">
        <f>IF(預測IC!DG16&gt;預測IC!DG$26,1,0)</f>
        <v>0</v>
      </c>
      <c r="DH16" s="9">
        <f>IF(預測IC!DH16&gt;預測IC!DH$26,1,0)</f>
        <v>0</v>
      </c>
      <c r="DI16" s="9">
        <f>IF(預測IC!DI16&gt;預測IC!DI$26,1,0)</f>
        <v>0</v>
      </c>
      <c r="DJ16" s="9">
        <f>IF(預測IC!DJ16&gt;預測IC!DJ$26,1,0)</f>
        <v>0</v>
      </c>
      <c r="DK16" s="9">
        <f>IF(預測IC!DK16&gt;預測IC!DK$26,1,0)</f>
        <v>1</v>
      </c>
      <c r="DL16" s="9">
        <f>IF(預測IC!DL16&gt;預測IC!DL$26,1,0)</f>
        <v>1</v>
      </c>
      <c r="DM16" s="9">
        <f>IF(預測IC!DM16&gt;預測IC!DM$26,1,0)</f>
        <v>0</v>
      </c>
      <c r="DN16" s="9">
        <f>IF(預測IC!DN16&gt;預測IC!DN$26,1,0)</f>
        <v>1</v>
      </c>
      <c r="DO16" s="9">
        <f>IF(預測IC!DO16&gt;預測IC!DO$26,1,0)</f>
        <v>1</v>
      </c>
      <c r="DP16" s="9">
        <f>IF(預測IC!DP16&gt;預測IC!DP$26,1,0)</f>
        <v>1</v>
      </c>
      <c r="DQ16" s="9">
        <f>IF(預測IC!DQ16&gt;預測IC!DQ$26,1,0)</f>
        <v>0</v>
      </c>
      <c r="DR16" s="9">
        <f>IF(預測IC!DR16&gt;預測IC!DR$26,1,0)</f>
        <v>1</v>
      </c>
      <c r="DS16" s="9">
        <f>IF(預測IC!DS16&gt;預測IC!DS$26,1,0)</f>
        <v>0</v>
      </c>
      <c r="DT16" s="9">
        <f>IF(預測IC!DT16&gt;預測IC!DT$26,1,0)</f>
        <v>0</v>
      </c>
      <c r="DU16" s="9">
        <f>IF(預測IC!DU16&gt;預測IC!DU$26,1,0)</f>
        <v>0</v>
      </c>
      <c r="DV16" s="9">
        <f>IF(預測IC!DV16&gt;預測IC!DV$26,1,0)</f>
        <v>1</v>
      </c>
      <c r="DW16" s="9">
        <f>IF(預測IC!DW16&gt;預測IC!DW$26,1,0)</f>
        <v>1</v>
      </c>
      <c r="DX16" s="9">
        <f>IF(預測IC!DX16&gt;預測IC!DX$26,1,0)</f>
        <v>0</v>
      </c>
      <c r="DY16" s="9">
        <f>IF(預測IC!DY16&gt;預測IC!DY$26,1,0)</f>
        <v>1</v>
      </c>
      <c r="DZ16" s="9">
        <f>IF(預測IC!DZ16&gt;預測IC!DZ$26,1,0)</f>
        <v>0</v>
      </c>
      <c r="EA16" s="9">
        <f>IF(預測IC!EA16&gt;預測IC!EA$26,1,0)</f>
        <v>1</v>
      </c>
      <c r="EB16" s="9">
        <f>IF(預測IC!EB16&gt;預測IC!EB$26,1,0)</f>
        <v>1</v>
      </c>
      <c r="EC16" s="9">
        <f>IF(預測IC!EC16&gt;預測IC!EC$26,1,0)</f>
        <v>1</v>
      </c>
      <c r="ED16" s="9">
        <f>IF(預測IC!ED16&gt;預測IC!ED$26,1,0)</f>
        <v>0</v>
      </c>
      <c r="EE16" s="9">
        <f>IF(預測IC!EE16&gt;預測IC!EE$26,1,0)</f>
        <v>0</v>
      </c>
      <c r="EF16" s="9">
        <f>IF(預測IC!EF16&gt;預測IC!EF$26,1,0)</f>
        <v>1</v>
      </c>
      <c r="EG16" s="2">
        <f t="shared" si="10"/>
        <v>69</v>
      </c>
      <c r="EH16" s="16">
        <f t="shared" si="11"/>
        <v>0.5149253731343284</v>
      </c>
    </row>
    <row r="17" spans="1:138">
      <c r="A17" s="4">
        <v>120</v>
      </c>
      <c r="B17" s="4">
        <v>8</v>
      </c>
      <c r="C17" s="9">
        <f>IF(預測IC!C17&gt;預測IC!C$26,1,0)</f>
        <v>0</v>
      </c>
      <c r="D17" s="9">
        <f>IF(預測IC!D17&gt;預測IC!D$26,1,0)</f>
        <v>1</v>
      </c>
      <c r="E17" s="9">
        <f>IF(預測IC!E17&gt;預測IC!E$26,1,0)</f>
        <v>0</v>
      </c>
      <c r="F17" s="9">
        <f>IF(預測IC!F17&gt;預測IC!F$26,1,0)</f>
        <v>1</v>
      </c>
      <c r="G17" s="9">
        <f>IF(預測IC!G17&gt;預測IC!G$26,1,0)</f>
        <v>1</v>
      </c>
      <c r="H17" s="9">
        <f>IF(預測IC!H17&gt;預測IC!H$26,1,0)</f>
        <v>1</v>
      </c>
      <c r="I17" s="9">
        <f>IF(預測IC!I17&gt;預測IC!I$26,1,0)</f>
        <v>1</v>
      </c>
      <c r="J17" s="9">
        <f>IF(預測IC!J17&gt;預測IC!J$26,1,0)</f>
        <v>0</v>
      </c>
      <c r="K17" s="9">
        <f>IF(預測IC!K17&gt;預測IC!K$26,1,0)</f>
        <v>1</v>
      </c>
      <c r="L17" s="9">
        <f>IF(預測IC!L17&gt;預測IC!L$26,1,0)</f>
        <v>1</v>
      </c>
      <c r="M17" s="9">
        <f>IF(預測IC!M17&gt;預測IC!M$26,1,0)</f>
        <v>0</v>
      </c>
      <c r="N17" s="9">
        <f>IF(預測IC!N17&gt;預測IC!N$26,1,0)</f>
        <v>1</v>
      </c>
      <c r="O17" s="9">
        <f>IF(預測IC!O17&gt;預測IC!O$26,1,0)</f>
        <v>1</v>
      </c>
      <c r="P17" s="9">
        <f>IF(預測IC!P17&gt;預測IC!P$26,1,0)</f>
        <v>0</v>
      </c>
      <c r="Q17" s="9">
        <f>IF(預測IC!Q17&gt;預測IC!Q$26,1,0)</f>
        <v>1</v>
      </c>
      <c r="R17" s="9">
        <f>IF(預測IC!R17&gt;預測IC!R$26,1,0)</f>
        <v>0</v>
      </c>
      <c r="S17" s="9">
        <f>IF(預測IC!S17&gt;預測IC!S$26,1,0)</f>
        <v>0</v>
      </c>
      <c r="T17" s="9">
        <f>IF(預測IC!T17&gt;預測IC!T$26,1,0)</f>
        <v>1</v>
      </c>
      <c r="U17" s="9">
        <f>IF(預測IC!U17&gt;預測IC!U$26,1,0)</f>
        <v>1</v>
      </c>
      <c r="V17" s="9">
        <f>IF(預測IC!V17&gt;預測IC!V$26,1,0)</f>
        <v>0</v>
      </c>
      <c r="W17" s="9">
        <f>IF(預測IC!W17&gt;預測IC!W$26,1,0)</f>
        <v>1</v>
      </c>
      <c r="X17" s="9">
        <f>IF(預測IC!X17&gt;預測IC!X$26,1,0)</f>
        <v>0</v>
      </c>
      <c r="Y17" s="9">
        <f>IF(預測IC!Y17&gt;預測IC!Y$26,1,0)</f>
        <v>1</v>
      </c>
      <c r="Z17" s="9">
        <f>IF(預測IC!Z17&gt;預測IC!Z$26,1,0)</f>
        <v>0</v>
      </c>
      <c r="AA17" s="9">
        <f>IF(預測IC!AA17&gt;預測IC!AA$26,1,0)</f>
        <v>1</v>
      </c>
      <c r="AB17" s="9">
        <f>IF(預測IC!AB17&gt;預測IC!AB$26,1,0)</f>
        <v>0</v>
      </c>
      <c r="AC17" s="9">
        <f>IF(預測IC!AC17&gt;預測IC!AC$26,1,0)</f>
        <v>0</v>
      </c>
      <c r="AD17" s="9">
        <f>IF(預測IC!AD17&gt;預測IC!AD$26,1,0)</f>
        <v>1</v>
      </c>
      <c r="AE17" s="9">
        <f>IF(預測IC!AE17&gt;預測IC!AE$26,1,0)</f>
        <v>0</v>
      </c>
      <c r="AF17" s="9">
        <f>IF(預測IC!AF17&gt;預測IC!AF$26,1,0)</f>
        <v>0</v>
      </c>
      <c r="AG17" s="9">
        <f>IF(預測IC!AG17&gt;預測IC!AG$26,1,0)</f>
        <v>0</v>
      </c>
      <c r="AH17" s="9">
        <f>IF(預測IC!AH17&gt;預測IC!AH$26,1,0)</f>
        <v>0</v>
      </c>
      <c r="AI17" s="9">
        <f>IF(預測IC!AI17&gt;預測IC!AI$26,1,0)</f>
        <v>1</v>
      </c>
      <c r="AJ17" s="9">
        <f>IF(預測IC!AJ17&gt;預測IC!AJ$26,1,0)</f>
        <v>0</v>
      </c>
      <c r="AK17" s="9">
        <f>IF(預測IC!AK17&gt;預測IC!AK$26,1,0)</f>
        <v>0</v>
      </c>
      <c r="AL17" s="9">
        <f>IF(預測IC!AL17&gt;預測IC!AL$26,1,0)</f>
        <v>1</v>
      </c>
      <c r="AM17" s="9">
        <f>IF(預測IC!AM17&gt;預測IC!AM$26,1,0)</f>
        <v>1</v>
      </c>
      <c r="AN17" s="9">
        <f>IF(預測IC!AN17&gt;預測IC!AN$26,1,0)</f>
        <v>1</v>
      </c>
      <c r="AO17" s="9">
        <f>IF(預測IC!AO17&gt;預測IC!AO$26,1,0)</f>
        <v>1</v>
      </c>
      <c r="AP17" s="9">
        <f>IF(預測IC!AP17&gt;預測IC!AP$26,1,0)</f>
        <v>0</v>
      </c>
      <c r="AQ17" s="9">
        <f>IF(預測IC!AQ17&gt;預測IC!AQ$26,1,0)</f>
        <v>0</v>
      </c>
      <c r="AR17" s="9">
        <f>IF(預測IC!AR17&gt;預測IC!AR$26,1,0)</f>
        <v>1</v>
      </c>
      <c r="AS17" s="9">
        <f>IF(預測IC!AS17&gt;預測IC!AS$26,1,0)</f>
        <v>0</v>
      </c>
      <c r="AT17" s="9">
        <f>IF(預測IC!AT17&gt;預測IC!AT$26,1,0)</f>
        <v>1</v>
      </c>
      <c r="AU17" s="9">
        <f>IF(預測IC!AU17&gt;預測IC!AU$26,1,0)</f>
        <v>1</v>
      </c>
      <c r="AV17" s="9">
        <f>IF(預測IC!AV17&gt;預測IC!AV$26,1,0)</f>
        <v>0</v>
      </c>
      <c r="AW17" s="9">
        <f>IF(預測IC!AW17&gt;預測IC!AW$26,1,0)</f>
        <v>1</v>
      </c>
      <c r="AX17" s="9">
        <f>IF(預測IC!AX17&gt;預測IC!AX$26,1,0)</f>
        <v>1</v>
      </c>
      <c r="AY17" s="9">
        <f>IF(預測IC!AY17&gt;預測IC!AY$26,1,0)</f>
        <v>0</v>
      </c>
      <c r="AZ17" s="9">
        <f>IF(預測IC!AZ17&gt;預測IC!AZ$26,1,0)</f>
        <v>0</v>
      </c>
      <c r="BA17" s="9">
        <f>IF(預測IC!BA17&gt;預測IC!BA$26,1,0)</f>
        <v>1</v>
      </c>
      <c r="BB17" s="9">
        <f>IF(預測IC!BB17&gt;預測IC!BB$26,1,0)</f>
        <v>1</v>
      </c>
      <c r="BC17" s="9">
        <f>IF(預測IC!BC17&gt;預測IC!BC$26,1,0)</f>
        <v>1</v>
      </c>
      <c r="BD17" s="9">
        <f>IF(預測IC!BD17&gt;預測IC!BD$26,1,0)</f>
        <v>1</v>
      </c>
      <c r="BE17" s="9">
        <f>IF(預測IC!BE17&gt;預測IC!BE$26,1,0)</f>
        <v>1</v>
      </c>
      <c r="BF17" s="9">
        <f>IF(預測IC!BF17&gt;預測IC!BF$26,1,0)</f>
        <v>1</v>
      </c>
      <c r="BG17" s="9">
        <f>IF(預測IC!BG17&gt;預測IC!BG$26,1,0)</f>
        <v>0</v>
      </c>
      <c r="BH17" s="9">
        <f>IF(預測IC!BH17&gt;預測IC!BH$26,1,0)</f>
        <v>1</v>
      </c>
      <c r="BI17" s="9">
        <f>IF(預測IC!BI17&gt;預測IC!BI$26,1,0)</f>
        <v>1</v>
      </c>
      <c r="BJ17" s="9">
        <f>IF(預測IC!BJ17&gt;預測IC!BJ$26,1,0)</f>
        <v>1</v>
      </c>
      <c r="BK17" s="9">
        <f>IF(預測IC!BK17&gt;預測IC!BK$26,1,0)</f>
        <v>0</v>
      </c>
      <c r="BL17" s="9">
        <f>IF(預測IC!BL17&gt;預測IC!BL$26,1,0)</f>
        <v>1</v>
      </c>
      <c r="BM17" s="9">
        <f>IF(預測IC!BM17&gt;預測IC!BM$26,1,0)</f>
        <v>1</v>
      </c>
      <c r="BN17" s="9">
        <f>IF(預測IC!BN17&gt;預測IC!BN$26,1,0)</f>
        <v>1</v>
      </c>
      <c r="BO17" s="9">
        <f>IF(預測IC!BO17&gt;預測IC!BO$26,1,0)</f>
        <v>1</v>
      </c>
      <c r="BP17" s="9">
        <f>IF(預測IC!BP17&gt;預測IC!BP$26,1,0)</f>
        <v>1</v>
      </c>
      <c r="BQ17" s="9">
        <f>IF(預測IC!BQ17&gt;預測IC!BQ$26,1,0)</f>
        <v>1</v>
      </c>
      <c r="BR17" s="9">
        <f>IF(預測IC!BR17&gt;預測IC!BR$26,1,0)</f>
        <v>1</v>
      </c>
      <c r="BS17" s="9">
        <f>IF(預測IC!BS17&gt;預測IC!BS$26,1,0)</f>
        <v>0</v>
      </c>
      <c r="BT17" s="9">
        <f>IF(預測IC!BT17&gt;預測IC!BT$26,1,0)</f>
        <v>1</v>
      </c>
      <c r="BU17" s="9">
        <f>IF(預測IC!BU17&gt;預測IC!BU$26,1,0)</f>
        <v>1</v>
      </c>
      <c r="BV17" s="9">
        <f>IF(預測IC!BV17&gt;預測IC!BV$26,1,0)</f>
        <v>1</v>
      </c>
      <c r="BW17" s="9">
        <f>IF(預測IC!BW17&gt;預測IC!BW$26,1,0)</f>
        <v>0</v>
      </c>
      <c r="BX17" s="9">
        <f>IF(預測IC!BX17&gt;預測IC!BX$26,1,0)</f>
        <v>1</v>
      </c>
      <c r="BY17" s="9">
        <f>IF(預測IC!BY17&gt;預測IC!BY$26,1,0)</f>
        <v>1</v>
      </c>
      <c r="BZ17" s="9">
        <f>IF(預測IC!BZ17&gt;預測IC!BZ$26,1,0)</f>
        <v>0</v>
      </c>
      <c r="CA17" s="9">
        <f>IF(預測IC!CA17&gt;預測IC!CA$26,1,0)</f>
        <v>0</v>
      </c>
      <c r="CB17" s="9">
        <f>IF(預測IC!CB17&gt;預測IC!CB$26,1,0)</f>
        <v>0</v>
      </c>
      <c r="CC17" s="9">
        <f>IF(預測IC!CC17&gt;預測IC!CC$26,1,0)</f>
        <v>0</v>
      </c>
      <c r="CD17" s="9">
        <f>IF(預測IC!CD17&gt;預測IC!CD$26,1,0)</f>
        <v>1</v>
      </c>
      <c r="CE17" s="9">
        <f>IF(預測IC!CE17&gt;預測IC!CE$26,1,0)</f>
        <v>0</v>
      </c>
      <c r="CF17" s="9">
        <f>IF(預測IC!CF17&gt;預測IC!CF$26,1,0)</f>
        <v>1</v>
      </c>
      <c r="CG17" s="9">
        <f>IF(預測IC!CG17&gt;預測IC!CG$26,1,0)</f>
        <v>0</v>
      </c>
      <c r="CH17" s="9">
        <f>IF(預測IC!CH17&gt;預測IC!CH$26,1,0)</f>
        <v>0</v>
      </c>
      <c r="CI17" s="9">
        <f>IF(預測IC!CI17&gt;預測IC!CI$26,1,0)</f>
        <v>0</v>
      </c>
      <c r="CJ17" s="9">
        <f>IF(預測IC!CJ17&gt;預測IC!CJ$26,1,0)</f>
        <v>0</v>
      </c>
      <c r="CK17" s="9">
        <f>IF(預測IC!CK17&gt;預測IC!CK$26,1,0)</f>
        <v>1</v>
      </c>
      <c r="CL17" s="9">
        <f>IF(預測IC!CL17&gt;預測IC!CL$26,1,0)</f>
        <v>0</v>
      </c>
      <c r="CM17" s="9">
        <f>IF(預測IC!CM17&gt;預測IC!CM$26,1,0)</f>
        <v>1</v>
      </c>
      <c r="CN17" s="9">
        <f>IF(預測IC!CN17&gt;預測IC!CN$26,1,0)</f>
        <v>0</v>
      </c>
      <c r="CO17" s="9">
        <f>IF(預測IC!CO17&gt;預測IC!CO$26,1,0)</f>
        <v>0</v>
      </c>
      <c r="CP17" s="9">
        <f>IF(預測IC!CP17&gt;預測IC!CP$26,1,0)</f>
        <v>1</v>
      </c>
      <c r="CQ17" s="9">
        <f>IF(預測IC!CQ17&gt;預測IC!CQ$26,1,0)</f>
        <v>1</v>
      </c>
      <c r="CR17" s="9">
        <f>IF(預測IC!CR17&gt;預測IC!CR$26,1,0)</f>
        <v>1</v>
      </c>
      <c r="CS17" s="9">
        <f>IF(預測IC!CS17&gt;預測IC!CS$26,1,0)</f>
        <v>1</v>
      </c>
      <c r="CT17" s="9">
        <f>IF(預測IC!CT17&gt;預測IC!CT$26,1,0)</f>
        <v>1</v>
      </c>
      <c r="CU17" s="9">
        <f>IF(預測IC!CU17&gt;預測IC!CU$26,1,0)</f>
        <v>0</v>
      </c>
      <c r="CV17" s="9">
        <f>IF(預測IC!CV17&gt;預測IC!CV$26,1,0)</f>
        <v>1</v>
      </c>
      <c r="CW17" s="9">
        <f>IF(預測IC!CW17&gt;預測IC!CW$26,1,0)</f>
        <v>0</v>
      </c>
      <c r="CX17" s="9">
        <f>IF(預測IC!CX17&gt;預測IC!CX$26,1,0)</f>
        <v>1</v>
      </c>
      <c r="CY17" s="9">
        <f>IF(預測IC!CY17&gt;預測IC!CY$26,1,0)</f>
        <v>0</v>
      </c>
      <c r="CZ17" s="9">
        <f>IF(預測IC!CZ17&gt;預測IC!CZ$26,1,0)</f>
        <v>1</v>
      </c>
      <c r="DA17" s="9">
        <f>IF(預測IC!DA17&gt;預測IC!DA$26,1,0)</f>
        <v>0</v>
      </c>
      <c r="DB17" s="9">
        <f>IF(預測IC!DB17&gt;預測IC!DB$26,1,0)</f>
        <v>0</v>
      </c>
      <c r="DC17" s="9">
        <f>IF(預測IC!DC17&gt;預測IC!DC$26,1,0)</f>
        <v>1</v>
      </c>
      <c r="DD17" s="9">
        <f>IF(預測IC!DD17&gt;預測IC!DD$26,1,0)</f>
        <v>0</v>
      </c>
      <c r="DE17" s="9">
        <f>IF(預測IC!DE17&gt;預測IC!DE$26,1,0)</f>
        <v>0</v>
      </c>
      <c r="DF17" s="9">
        <f>IF(預測IC!DF17&gt;預測IC!DF$26,1,0)</f>
        <v>1</v>
      </c>
      <c r="DG17" s="9">
        <f>IF(預測IC!DG17&gt;預測IC!DG$26,1,0)</f>
        <v>0</v>
      </c>
      <c r="DH17" s="9">
        <f>IF(預測IC!DH17&gt;預測IC!DH$26,1,0)</f>
        <v>0</v>
      </c>
      <c r="DI17" s="9">
        <f>IF(預測IC!DI17&gt;預測IC!DI$26,1,0)</f>
        <v>0</v>
      </c>
      <c r="DJ17" s="9">
        <f>IF(預測IC!DJ17&gt;預測IC!DJ$26,1,0)</f>
        <v>0</v>
      </c>
      <c r="DK17" s="9">
        <f>IF(預測IC!DK17&gt;預測IC!DK$26,1,0)</f>
        <v>1</v>
      </c>
      <c r="DL17" s="9">
        <f>IF(預測IC!DL17&gt;預測IC!DL$26,1,0)</f>
        <v>1</v>
      </c>
      <c r="DM17" s="9">
        <f>IF(預測IC!DM17&gt;預測IC!DM$26,1,0)</f>
        <v>0</v>
      </c>
      <c r="DN17" s="9">
        <f>IF(預測IC!DN17&gt;預測IC!DN$26,1,0)</f>
        <v>1</v>
      </c>
      <c r="DO17" s="9">
        <f>IF(預測IC!DO17&gt;預測IC!DO$26,1,0)</f>
        <v>1</v>
      </c>
      <c r="DP17" s="9">
        <f>IF(預測IC!DP17&gt;預測IC!DP$26,1,0)</f>
        <v>1</v>
      </c>
      <c r="DQ17" s="9">
        <f>IF(預測IC!DQ17&gt;預測IC!DQ$26,1,0)</f>
        <v>0</v>
      </c>
      <c r="DR17" s="9">
        <f>IF(預測IC!DR17&gt;預測IC!DR$26,1,0)</f>
        <v>1</v>
      </c>
      <c r="DS17" s="9">
        <f>IF(預測IC!DS17&gt;預測IC!DS$26,1,0)</f>
        <v>0</v>
      </c>
      <c r="DT17" s="9">
        <f>IF(預測IC!DT17&gt;預測IC!DT$26,1,0)</f>
        <v>0</v>
      </c>
      <c r="DU17" s="9">
        <f>IF(預測IC!DU17&gt;預測IC!DU$26,1,0)</f>
        <v>0</v>
      </c>
      <c r="DV17" s="9">
        <f>IF(預測IC!DV17&gt;預測IC!DV$26,1,0)</f>
        <v>1</v>
      </c>
      <c r="DW17" s="9">
        <f>IF(預測IC!DW17&gt;預測IC!DW$26,1,0)</f>
        <v>1</v>
      </c>
      <c r="DX17" s="9">
        <f>IF(預測IC!DX17&gt;預測IC!DX$26,1,0)</f>
        <v>0</v>
      </c>
      <c r="DY17" s="9">
        <f>IF(預測IC!DY17&gt;預測IC!DY$26,1,0)</f>
        <v>1</v>
      </c>
      <c r="DZ17" s="9">
        <f>IF(預測IC!DZ17&gt;預測IC!DZ$26,1,0)</f>
        <v>0</v>
      </c>
      <c r="EA17" s="9">
        <f>IF(預測IC!EA17&gt;預測IC!EA$26,1,0)</f>
        <v>1</v>
      </c>
      <c r="EB17" s="9">
        <f>IF(預測IC!EB17&gt;預測IC!EB$26,1,0)</f>
        <v>1</v>
      </c>
      <c r="EC17" s="9">
        <f>IF(預測IC!EC17&gt;預測IC!EC$26,1,0)</f>
        <v>1</v>
      </c>
      <c r="ED17" s="9">
        <f>IF(預測IC!ED17&gt;預測IC!ED$26,1,0)</f>
        <v>0</v>
      </c>
      <c r="EE17" s="9">
        <f>IF(預測IC!EE17&gt;預測IC!EE$26,1,0)</f>
        <v>0</v>
      </c>
      <c r="EF17" s="9">
        <f>IF(預測IC!EF17&gt;預測IC!EF$26,1,0)</f>
        <v>1</v>
      </c>
      <c r="EG17" s="2">
        <f t="shared" si="10"/>
        <v>74</v>
      </c>
      <c r="EH17" s="16">
        <f t="shared" si="11"/>
        <v>0.55223880597014929</v>
      </c>
    </row>
    <row r="18" spans="1:138">
      <c r="A18" s="4">
        <v>137</v>
      </c>
      <c r="B18" s="4">
        <v>7</v>
      </c>
      <c r="C18" s="9">
        <f>IF(預測IC!C18&gt;預測IC!C$26,1,0)</f>
        <v>0</v>
      </c>
      <c r="D18" s="9">
        <f>IF(預測IC!D18&gt;預測IC!D$26,1,0)</f>
        <v>1</v>
      </c>
      <c r="E18" s="9">
        <f>IF(預測IC!E18&gt;預測IC!E$26,1,0)</f>
        <v>0</v>
      </c>
      <c r="F18" s="9">
        <f>IF(預測IC!F18&gt;預測IC!F$26,1,0)</f>
        <v>1</v>
      </c>
      <c r="G18" s="9">
        <f>IF(預測IC!G18&gt;預測IC!G$26,1,0)</f>
        <v>1</v>
      </c>
      <c r="H18" s="9">
        <f>IF(預測IC!H18&gt;預測IC!H$26,1,0)</f>
        <v>1</v>
      </c>
      <c r="I18" s="9">
        <f>IF(預測IC!I18&gt;預測IC!I$26,1,0)</f>
        <v>1</v>
      </c>
      <c r="J18" s="9">
        <f>IF(預測IC!J18&gt;預測IC!J$26,1,0)</f>
        <v>0</v>
      </c>
      <c r="K18" s="9">
        <f>IF(預測IC!K18&gt;預測IC!K$26,1,0)</f>
        <v>1</v>
      </c>
      <c r="L18" s="9">
        <f>IF(預測IC!L18&gt;預測IC!L$26,1,0)</f>
        <v>1</v>
      </c>
      <c r="M18" s="9">
        <f>IF(預測IC!M18&gt;預測IC!M$26,1,0)</f>
        <v>0</v>
      </c>
      <c r="N18" s="9">
        <f>IF(預測IC!N18&gt;預測IC!N$26,1,0)</f>
        <v>1</v>
      </c>
      <c r="O18" s="9">
        <f>IF(預測IC!O18&gt;預測IC!O$26,1,0)</f>
        <v>1</v>
      </c>
      <c r="P18" s="9">
        <f>IF(預測IC!P18&gt;預測IC!P$26,1,0)</f>
        <v>0</v>
      </c>
      <c r="Q18" s="9">
        <f>IF(預測IC!Q18&gt;預測IC!Q$26,1,0)</f>
        <v>1</v>
      </c>
      <c r="R18" s="9">
        <f>IF(預測IC!R18&gt;預測IC!R$26,1,0)</f>
        <v>0</v>
      </c>
      <c r="S18" s="9">
        <f>IF(預測IC!S18&gt;預測IC!S$26,1,0)</f>
        <v>0</v>
      </c>
      <c r="T18" s="9">
        <f>IF(預測IC!T18&gt;預測IC!T$26,1,0)</f>
        <v>1</v>
      </c>
      <c r="U18" s="9">
        <f>IF(預測IC!U18&gt;預測IC!U$26,1,0)</f>
        <v>1</v>
      </c>
      <c r="V18" s="9">
        <f>IF(預測IC!V18&gt;預測IC!V$26,1,0)</f>
        <v>0</v>
      </c>
      <c r="W18" s="9">
        <f>IF(預測IC!W18&gt;預測IC!W$26,1,0)</f>
        <v>1</v>
      </c>
      <c r="X18" s="9">
        <f>IF(預測IC!X18&gt;預測IC!X$26,1,0)</f>
        <v>0</v>
      </c>
      <c r="Y18" s="9">
        <f>IF(預測IC!Y18&gt;預測IC!Y$26,1,0)</f>
        <v>1</v>
      </c>
      <c r="Z18" s="9">
        <f>IF(預測IC!Z18&gt;預測IC!Z$26,1,0)</f>
        <v>0</v>
      </c>
      <c r="AA18" s="9">
        <f>IF(預測IC!AA18&gt;預測IC!AA$26,1,0)</f>
        <v>1</v>
      </c>
      <c r="AB18" s="9">
        <f>IF(預測IC!AB18&gt;預測IC!AB$26,1,0)</f>
        <v>0</v>
      </c>
      <c r="AC18" s="9">
        <f>IF(預測IC!AC18&gt;預測IC!AC$26,1,0)</f>
        <v>0</v>
      </c>
      <c r="AD18" s="9">
        <f>IF(預測IC!AD18&gt;預測IC!AD$26,1,0)</f>
        <v>1</v>
      </c>
      <c r="AE18" s="9">
        <f>IF(預測IC!AE18&gt;預測IC!AE$26,1,0)</f>
        <v>0</v>
      </c>
      <c r="AF18" s="9">
        <f>IF(預測IC!AF18&gt;預測IC!AF$26,1,0)</f>
        <v>0</v>
      </c>
      <c r="AG18" s="9">
        <f>IF(預測IC!AG18&gt;預測IC!AG$26,1,0)</f>
        <v>0</v>
      </c>
      <c r="AH18" s="9">
        <f>IF(預測IC!AH18&gt;預測IC!AH$26,1,0)</f>
        <v>0</v>
      </c>
      <c r="AI18" s="9">
        <f>IF(預測IC!AI18&gt;預測IC!AI$26,1,0)</f>
        <v>1</v>
      </c>
      <c r="AJ18" s="9">
        <f>IF(預測IC!AJ18&gt;預測IC!AJ$26,1,0)</f>
        <v>0</v>
      </c>
      <c r="AK18" s="9">
        <f>IF(預測IC!AK18&gt;預測IC!AK$26,1,0)</f>
        <v>1</v>
      </c>
      <c r="AL18" s="9">
        <f>IF(預測IC!AL18&gt;預測IC!AL$26,1,0)</f>
        <v>1</v>
      </c>
      <c r="AM18" s="9">
        <f>IF(預測IC!AM18&gt;預測IC!AM$26,1,0)</f>
        <v>0</v>
      </c>
      <c r="AN18" s="9">
        <f>IF(預測IC!AN18&gt;預測IC!AN$26,1,0)</f>
        <v>1</v>
      </c>
      <c r="AO18" s="9">
        <f>IF(預測IC!AO18&gt;預測IC!AO$26,1,0)</f>
        <v>1</v>
      </c>
      <c r="AP18" s="9">
        <f>IF(預測IC!AP18&gt;預測IC!AP$26,1,0)</f>
        <v>0</v>
      </c>
      <c r="AQ18" s="9">
        <f>IF(預測IC!AQ18&gt;預測IC!AQ$26,1,0)</f>
        <v>0</v>
      </c>
      <c r="AR18" s="9">
        <f>IF(預測IC!AR18&gt;預測IC!AR$26,1,0)</f>
        <v>1</v>
      </c>
      <c r="AS18" s="9">
        <f>IF(預測IC!AS18&gt;預測IC!AS$26,1,0)</f>
        <v>0</v>
      </c>
      <c r="AT18" s="9">
        <f>IF(預測IC!AT18&gt;預測IC!AT$26,1,0)</f>
        <v>1</v>
      </c>
      <c r="AU18" s="9">
        <f>IF(預測IC!AU18&gt;預測IC!AU$26,1,0)</f>
        <v>1</v>
      </c>
      <c r="AV18" s="9">
        <f>IF(預測IC!AV18&gt;預測IC!AV$26,1,0)</f>
        <v>0</v>
      </c>
      <c r="AW18" s="9">
        <f>IF(預測IC!AW18&gt;預測IC!AW$26,1,0)</f>
        <v>1</v>
      </c>
      <c r="AX18" s="9">
        <f>IF(預測IC!AX18&gt;預測IC!AX$26,1,0)</f>
        <v>1</v>
      </c>
      <c r="AY18" s="9">
        <f>IF(預測IC!AY18&gt;預測IC!AY$26,1,0)</f>
        <v>0</v>
      </c>
      <c r="AZ18" s="9">
        <f>IF(預測IC!AZ18&gt;預測IC!AZ$26,1,0)</f>
        <v>0</v>
      </c>
      <c r="BA18" s="9">
        <f>IF(預測IC!BA18&gt;預測IC!BA$26,1,0)</f>
        <v>0</v>
      </c>
      <c r="BB18" s="9">
        <f>IF(預測IC!BB18&gt;預測IC!BB$26,1,0)</f>
        <v>1</v>
      </c>
      <c r="BC18" s="9">
        <f>IF(預測IC!BC18&gt;預測IC!BC$26,1,0)</f>
        <v>1</v>
      </c>
      <c r="BD18" s="9">
        <f>IF(預測IC!BD18&gt;預測IC!BD$26,1,0)</f>
        <v>0</v>
      </c>
      <c r="BE18" s="9">
        <f>IF(預測IC!BE18&gt;預測IC!BE$26,1,0)</f>
        <v>1</v>
      </c>
      <c r="BF18" s="9">
        <f>IF(預測IC!BF18&gt;預測IC!BF$26,1,0)</f>
        <v>1</v>
      </c>
      <c r="BG18" s="9">
        <f>IF(預測IC!BG18&gt;預測IC!BG$26,1,0)</f>
        <v>0</v>
      </c>
      <c r="BH18" s="9">
        <f>IF(預測IC!BH18&gt;預測IC!BH$26,1,0)</f>
        <v>1</v>
      </c>
      <c r="BI18" s="9">
        <f>IF(預測IC!BI18&gt;預測IC!BI$26,1,0)</f>
        <v>1</v>
      </c>
      <c r="BJ18" s="9">
        <f>IF(預測IC!BJ18&gt;預測IC!BJ$26,1,0)</f>
        <v>1</v>
      </c>
      <c r="BK18" s="9">
        <f>IF(預測IC!BK18&gt;預測IC!BK$26,1,0)</f>
        <v>0</v>
      </c>
      <c r="BL18" s="9">
        <f>IF(預測IC!BL18&gt;預測IC!BL$26,1,0)</f>
        <v>1</v>
      </c>
      <c r="BM18" s="9">
        <f>IF(預測IC!BM18&gt;預測IC!BM$26,1,0)</f>
        <v>1</v>
      </c>
      <c r="BN18" s="9">
        <f>IF(預測IC!BN18&gt;預測IC!BN$26,1,0)</f>
        <v>1</v>
      </c>
      <c r="BO18" s="9">
        <f>IF(預測IC!BO18&gt;預測IC!BO$26,1,0)</f>
        <v>1</v>
      </c>
      <c r="BP18" s="9">
        <f>IF(預測IC!BP18&gt;預測IC!BP$26,1,0)</f>
        <v>1</v>
      </c>
      <c r="BQ18" s="9">
        <f>IF(預測IC!BQ18&gt;預測IC!BQ$26,1,0)</f>
        <v>0</v>
      </c>
      <c r="BR18" s="9">
        <f>IF(預測IC!BR18&gt;預測IC!BR$26,1,0)</f>
        <v>1</v>
      </c>
      <c r="BS18" s="9">
        <f>IF(預測IC!BS18&gt;預測IC!BS$26,1,0)</f>
        <v>0</v>
      </c>
      <c r="BT18" s="9">
        <f>IF(預測IC!BT18&gt;預測IC!BT$26,1,0)</f>
        <v>1</v>
      </c>
      <c r="BU18" s="9">
        <f>IF(預測IC!BU18&gt;預測IC!BU$26,1,0)</f>
        <v>1</v>
      </c>
      <c r="BV18" s="9">
        <f>IF(預測IC!BV18&gt;預測IC!BV$26,1,0)</f>
        <v>1</v>
      </c>
      <c r="BW18" s="9">
        <f>IF(預測IC!BW18&gt;預測IC!BW$26,1,0)</f>
        <v>0</v>
      </c>
      <c r="BX18" s="9">
        <f>IF(預測IC!BX18&gt;預測IC!BX$26,1,0)</f>
        <v>1</v>
      </c>
      <c r="BY18" s="9">
        <f>IF(預測IC!BY18&gt;預測IC!BY$26,1,0)</f>
        <v>1</v>
      </c>
      <c r="BZ18" s="9">
        <f>IF(預測IC!BZ18&gt;預測IC!BZ$26,1,0)</f>
        <v>1</v>
      </c>
      <c r="CA18" s="9">
        <f>IF(預測IC!CA18&gt;預測IC!CA$26,1,0)</f>
        <v>0</v>
      </c>
      <c r="CB18" s="9">
        <f>IF(預測IC!CB18&gt;預測IC!CB$26,1,0)</f>
        <v>0</v>
      </c>
      <c r="CC18" s="9">
        <f>IF(預測IC!CC18&gt;預測IC!CC$26,1,0)</f>
        <v>0</v>
      </c>
      <c r="CD18" s="9">
        <f>IF(預測IC!CD18&gt;預測IC!CD$26,1,0)</f>
        <v>1</v>
      </c>
      <c r="CE18" s="9">
        <f>IF(預測IC!CE18&gt;預測IC!CE$26,1,0)</f>
        <v>0</v>
      </c>
      <c r="CF18" s="9">
        <f>IF(預測IC!CF18&gt;預測IC!CF$26,1,0)</f>
        <v>1</v>
      </c>
      <c r="CG18" s="9">
        <f>IF(預測IC!CG18&gt;預測IC!CG$26,1,0)</f>
        <v>0</v>
      </c>
      <c r="CH18" s="9">
        <f>IF(預測IC!CH18&gt;預測IC!CH$26,1,0)</f>
        <v>1</v>
      </c>
      <c r="CI18" s="9">
        <f>IF(預測IC!CI18&gt;預測IC!CI$26,1,0)</f>
        <v>0</v>
      </c>
      <c r="CJ18" s="9">
        <f>IF(預測IC!CJ18&gt;預測IC!CJ$26,1,0)</f>
        <v>0</v>
      </c>
      <c r="CK18" s="9">
        <f>IF(預測IC!CK18&gt;預測IC!CK$26,1,0)</f>
        <v>1</v>
      </c>
      <c r="CL18" s="9">
        <f>IF(預測IC!CL18&gt;預測IC!CL$26,1,0)</f>
        <v>0</v>
      </c>
      <c r="CM18" s="9">
        <f>IF(預測IC!CM18&gt;預測IC!CM$26,1,0)</f>
        <v>1</v>
      </c>
      <c r="CN18" s="9">
        <f>IF(預測IC!CN18&gt;預測IC!CN$26,1,0)</f>
        <v>0</v>
      </c>
      <c r="CO18" s="9">
        <f>IF(預測IC!CO18&gt;預測IC!CO$26,1,0)</f>
        <v>0</v>
      </c>
      <c r="CP18" s="9">
        <f>IF(預測IC!CP18&gt;預測IC!CP$26,1,0)</f>
        <v>1</v>
      </c>
      <c r="CQ18" s="9">
        <f>IF(預測IC!CQ18&gt;預測IC!CQ$26,1,0)</f>
        <v>1</v>
      </c>
      <c r="CR18" s="9">
        <f>IF(預測IC!CR18&gt;預測IC!CR$26,1,0)</f>
        <v>1</v>
      </c>
      <c r="CS18" s="9">
        <f>IF(預測IC!CS18&gt;預測IC!CS$26,1,0)</f>
        <v>1</v>
      </c>
      <c r="CT18" s="9">
        <f>IF(預測IC!CT18&gt;預測IC!CT$26,1,0)</f>
        <v>1</v>
      </c>
      <c r="CU18" s="9">
        <f>IF(預測IC!CU18&gt;預測IC!CU$26,1,0)</f>
        <v>0</v>
      </c>
      <c r="CV18" s="9">
        <f>IF(預測IC!CV18&gt;預測IC!CV$26,1,0)</f>
        <v>1</v>
      </c>
      <c r="CW18" s="9">
        <f>IF(預測IC!CW18&gt;預測IC!CW$26,1,0)</f>
        <v>0</v>
      </c>
      <c r="CX18" s="9">
        <f>IF(預測IC!CX18&gt;預測IC!CX$26,1,0)</f>
        <v>1</v>
      </c>
      <c r="CY18" s="9">
        <f>IF(預測IC!CY18&gt;預測IC!CY$26,1,0)</f>
        <v>0</v>
      </c>
      <c r="CZ18" s="9">
        <f>IF(預測IC!CZ18&gt;預測IC!CZ$26,1,0)</f>
        <v>1</v>
      </c>
      <c r="DA18" s="9">
        <f>IF(預測IC!DA18&gt;預測IC!DA$26,1,0)</f>
        <v>0</v>
      </c>
      <c r="DB18" s="9">
        <f>IF(預測IC!DB18&gt;預測IC!DB$26,1,0)</f>
        <v>0</v>
      </c>
      <c r="DC18" s="9">
        <f>IF(預測IC!DC18&gt;預測IC!DC$26,1,0)</f>
        <v>1</v>
      </c>
      <c r="DD18" s="9">
        <f>IF(預測IC!DD18&gt;預測IC!DD$26,1,0)</f>
        <v>0</v>
      </c>
      <c r="DE18" s="9">
        <f>IF(預測IC!DE18&gt;預測IC!DE$26,1,0)</f>
        <v>0</v>
      </c>
      <c r="DF18" s="9">
        <f>IF(預測IC!DF18&gt;預測IC!DF$26,1,0)</f>
        <v>1</v>
      </c>
      <c r="DG18" s="9">
        <f>IF(預測IC!DG18&gt;預測IC!DG$26,1,0)</f>
        <v>0</v>
      </c>
      <c r="DH18" s="9">
        <f>IF(預測IC!DH18&gt;預測IC!DH$26,1,0)</f>
        <v>0</v>
      </c>
      <c r="DI18" s="9">
        <f>IF(預測IC!DI18&gt;預測IC!DI$26,1,0)</f>
        <v>0</v>
      </c>
      <c r="DJ18" s="9">
        <f>IF(預測IC!DJ18&gt;預測IC!DJ$26,1,0)</f>
        <v>0</v>
      </c>
      <c r="DK18" s="9">
        <f>IF(預測IC!DK18&gt;預測IC!DK$26,1,0)</f>
        <v>1</v>
      </c>
      <c r="DL18" s="9">
        <f>IF(預測IC!DL18&gt;預測IC!DL$26,1,0)</f>
        <v>1</v>
      </c>
      <c r="DM18" s="9">
        <f>IF(預測IC!DM18&gt;預測IC!DM$26,1,0)</f>
        <v>0</v>
      </c>
      <c r="DN18" s="9">
        <f>IF(預測IC!DN18&gt;預測IC!DN$26,1,0)</f>
        <v>1</v>
      </c>
      <c r="DO18" s="9">
        <f>IF(預測IC!DO18&gt;預測IC!DO$26,1,0)</f>
        <v>1</v>
      </c>
      <c r="DP18" s="9">
        <f>IF(預測IC!DP18&gt;預測IC!DP$26,1,0)</f>
        <v>1</v>
      </c>
      <c r="DQ18" s="9">
        <f>IF(預測IC!DQ18&gt;預測IC!DQ$26,1,0)</f>
        <v>0</v>
      </c>
      <c r="DR18" s="9">
        <f>IF(預測IC!DR18&gt;預測IC!DR$26,1,0)</f>
        <v>1</v>
      </c>
      <c r="DS18" s="9">
        <f>IF(預測IC!DS18&gt;預測IC!DS$26,1,0)</f>
        <v>0</v>
      </c>
      <c r="DT18" s="9">
        <f>IF(預測IC!DT18&gt;預測IC!DT$26,1,0)</f>
        <v>0</v>
      </c>
      <c r="DU18" s="9">
        <f>IF(預測IC!DU18&gt;預測IC!DU$26,1,0)</f>
        <v>0</v>
      </c>
      <c r="DV18" s="9">
        <f>IF(預測IC!DV18&gt;預測IC!DV$26,1,0)</f>
        <v>1</v>
      </c>
      <c r="DW18" s="9">
        <f>IF(預測IC!DW18&gt;預測IC!DW$26,1,0)</f>
        <v>1</v>
      </c>
      <c r="DX18" s="9">
        <f>IF(預測IC!DX18&gt;預測IC!DX$26,1,0)</f>
        <v>0</v>
      </c>
      <c r="DY18" s="9">
        <f>IF(預測IC!DY18&gt;預測IC!DY$26,1,0)</f>
        <v>1</v>
      </c>
      <c r="DZ18" s="9">
        <f>IF(預測IC!DZ18&gt;預測IC!DZ$26,1,0)</f>
        <v>0</v>
      </c>
      <c r="EA18" s="9">
        <f>IF(預測IC!EA18&gt;預測IC!EA$26,1,0)</f>
        <v>0</v>
      </c>
      <c r="EB18" s="9">
        <f>IF(預測IC!EB18&gt;預測IC!EB$26,1,0)</f>
        <v>1</v>
      </c>
      <c r="EC18" s="9">
        <f>IF(預測IC!EC18&gt;預測IC!EC$26,1,0)</f>
        <v>1</v>
      </c>
      <c r="ED18" s="9">
        <f>IF(預測IC!ED18&gt;預測IC!ED$26,1,0)</f>
        <v>0</v>
      </c>
      <c r="EE18" s="9">
        <f>IF(預測IC!EE18&gt;預測IC!EE$26,1,0)</f>
        <v>0</v>
      </c>
      <c r="EF18" s="9">
        <f>IF(預測IC!EF18&gt;預測IC!EF$26,1,0)</f>
        <v>1</v>
      </c>
      <c r="EG18" s="2">
        <f t="shared" si="10"/>
        <v>72</v>
      </c>
      <c r="EH18" s="16">
        <f t="shared" si="11"/>
        <v>0.53731343283582089</v>
      </c>
    </row>
    <row r="19" spans="1:138">
      <c r="A19" s="4">
        <v>160</v>
      </c>
      <c r="B19" s="4">
        <v>6</v>
      </c>
      <c r="C19" s="9">
        <f>IF(預測IC!C19&gt;預測IC!C$26,1,0)</f>
        <v>0</v>
      </c>
      <c r="D19" s="9">
        <f>IF(預測IC!D19&gt;預測IC!D$26,1,0)</f>
        <v>1</v>
      </c>
      <c r="E19" s="9">
        <f>IF(預測IC!E19&gt;預測IC!E$26,1,0)</f>
        <v>0</v>
      </c>
      <c r="F19" s="9">
        <f>IF(預測IC!F19&gt;預測IC!F$26,1,0)</f>
        <v>1</v>
      </c>
      <c r="G19" s="9">
        <f>IF(預測IC!G19&gt;預測IC!G$26,1,0)</f>
        <v>1</v>
      </c>
      <c r="H19" s="9">
        <f>IF(預測IC!H19&gt;預測IC!H$26,1,0)</f>
        <v>1</v>
      </c>
      <c r="I19" s="9">
        <f>IF(預測IC!I19&gt;預測IC!I$26,1,0)</f>
        <v>1</v>
      </c>
      <c r="J19" s="9">
        <f>IF(預測IC!J19&gt;預測IC!J$26,1,0)</f>
        <v>0</v>
      </c>
      <c r="K19" s="9">
        <f>IF(預測IC!K19&gt;預測IC!K$26,1,0)</f>
        <v>1</v>
      </c>
      <c r="L19" s="9">
        <f>IF(預測IC!L19&gt;預測IC!L$26,1,0)</f>
        <v>1</v>
      </c>
      <c r="M19" s="9">
        <f>IF(預測IC!M19&gt;預測IC!M$26,1,0)</f>
        <v>0</v>
      </c>
      <c r="N19" s="9">
        <f>IF(預測IC!N19&gt;預測IC!N$26,1,0)</f>
        <v>1</v>
      </c>
      <c r="O19" s="9">
        <f>IF(預測IC!O19&gt;預測IC!O$26,1,0)</f>
        <v>0</v>
      </c>
      <c r="P19" s="9">
        <f>IF(預測IC!P19&gt;預測IC!P$26,1,0)</f>
        <v>0</v>
      </c>
      <c r="Q19" s="9">
        <f>IF(預測IC!Q19&gt;預測IC!Q$26,1,0)</f>
        <v>1</v>
      </c>
      <c r="R19" s="9">
        <f>IF(預測IC!R19&gt;預測IC!R$26,1,0)</f>
        <v>1</v>
      </c>
      <c r="S19" s="9">
        <f>IF(預測IC!S19&gt;預測IC!S$26,1,0)</f>
        <v>0</v>
      </c>
      <c r="T19" s="9">
        <f>IF(預測IC!T19&gt;預測IC!T$26,1,0)</f>
        <v>0</v>
      </c>
      <c r="U19" s="9">
        <f>IF(預測IC!U19&gt;預測IC!U$26,1,0)</f>
        <v>1</v>
      </c>
      <c r="V19" s="9">
        <f>IF(預測IC!V19&gt;預測IC!V$26,1,0)</f>
        <v>0</v>
      </c>
      <c r="W19" s="9">
        <f>IF(預測IC!W19&gt;預測IC!W$26,1,0)</f>
        <v>1</v>
      </c>
      <c r="X19" s="9">
        <f>IF(預測IC!X19&gt;預測IC!X$26,1,0)</f>
        <v>0</v>
      </c>
      <c r="Y19" s="9">
        <f>IF(預測IC!Y19&gt;預測IC!Y$26,1,0)</f>
        <v>1</v>
      </c>
      <c r="Z19" s="9">
        <f>IF(預測IC!Z19&gt;預測IC!Z$26,1,0)</f>
        <v>0</v>
      </c>
      <c r="AA19" s="9">
        <f>IF(預測IC!AA19&gt;預測IC!AA$26,1,0)</f>
        <v>1</v>
      </c>
      <c r="AB19" s="9">
        <f>IF(預測IC!AB19&gt;預測IC!AB$26,1,0)</f>
        <v>0</v>
      </c>
      <c r="AC19" s="9">
        <f>IF(預測IC!AC19&gt;預測IC!AC$26,1,0)</f>
        <v>0</v>
      </c>
      <c r="AD19" s="9">
        <f>IF(預測IC!AD19&gt;預測IC!AD$26,1,0)</f>
        <v>1</v>
      </c>
      <c r="AE19" s="9">
        <f>IF(預測IC!AE19&gt;預測IC!AE$26,1,0)</f>
        <v>0</v>
      </c>
      <c r="AF19" s="9">
        <f>IF(預測IC!AF19&gt;預測IC!AF$26,1,0)</f>
        <v>0</v>
      </c>
      <c r="AG19" s="9">
        <f>IF(預測IC!AG19&gt;預測IC!AG$26,1,0)</f>
        <v>0</v>
      </c>
      <c r="AH19" s="9">
        <f>IF(預測IC!AH19&gt;預測IC!AH$26,1,0)</f>
        <v>0</v>
      </c>
      <c r="AI19" s="9">
        <f>IF(預測IC!AI19&gt;預測IC!AI$26,1,0)</f>
        <v>1</v>
      </c>
      <c r="AJ19" s="9">
        <f>IF(預測IC!AJ19&gt;預測IC!AJ$26,1,0)</f>
        <v>0</v>
      </c>
      <c r="AK19" s="9">
        <f>IF(預測IC!AK19&gt;預測IC!AK$26,1,0)</f>
        <v>1</v>
      </c>
      <c r="AL19" s="9">
        <f>IF(預測IC!AL19&gt;預測IC!AL$26,1,0)</f>
        <v>1</v>
      </c>
      <c r="AM19" s="9">
        <f>IF(預測IC!AM19&gt;預測IC!AM$26,1,0)</f>
        <v>0</v>
      </c>
      <c r="AN19" s="9">
        <f>IF(預測IC!AN19&gt;預測IC!AN$26,1,0)</f>
        <v>1</v>
      </c>
      <c r="AO19" s="9">
        <f>IF(預測IC!AO19&gt;預測IC!AO$26,1,0)</f>
        <v>1</v>
      </c>
      <c r="AP19" s="9">
        <f>IF(預測IC!AP19&gt;預測IC!AP$26,1,0)</f>
        <v>0</v>
      </c>
      <c r="AQ19" s="9">
        <f>IF(預測IC!AQ19&gt;預測IC!AQ$26,1,0)</f>
        <v>1</v>
      </c>
      <c r="AR19" s="9">
        <f>IF(預測IC!AR19&gt;預測IC!AR$26,1,0)</f>
        <v>1</v>
      </c>
      <c r="AS19" s="9">
        <f>IF(預測IC!AS19&gt;預測IC!AS$26,1,0)</f>
        <v>0</v>
      </c>
      <c r="AT19" s="9">
        <f>IF(預測IC!AT19&gt;預測IC!AT$26,1,0)</f>
        <v>1</v>
      </c>
      <c r="AU19" s="9">
        <f>IF(預測IC!AU19&gt;預測IC!AU$26,1,0)</f>
        <v>1</v>
      </c>
      <c r="AV19" s="9">
        <f>IF(預測IC!AV19&gt;預測IC!AV$26,1,0)</f>
        <v>0</v>
      </c>
      <c r="AW19" s="9">
        <f>IF(預測IC!AW19&gt;預測IC!AW$26,1,0)</f>
        <v>1</v>
      </c>
      <c r="AX19" s="9">
        <f>IF(預測IC!AX19&gt;預測IC!AX$26,1,0)</f>
        <v>1</v>
      </c>
      <c r="AY19" s="9">
        <f>IF(預測IC!AY19&gt;預測IC!AY$26,1,0)</f>
        <v>0</v>
      </c>
      <c r="AZ19" s="9">
        <f>IF(預測IC!AZ19&gt;預測IC!AZ$26,1,0)</f>
        <v>0</v>
      </c>
      <c r="BA19" s="9">
        <f>IF(預測IC!BA19&gt;預測IC!BA$26,1,0)</f>
        <v>0</v>
      </c>
      <c r="BB19" s="9">
        <f>IF(預測IC!BB19&gt;預測IC!BB$26,1,0)</f>
        <v>1</v>
      </c>
      <c r="BC19" s="9">
        <f>IF(預測IC!BC19&gt;預測IC!BC$26,1,0)</f>
        <v>1</v>
      </c>
      <c r="BD19" s="9">
        <f>IF(預測IC!BD19&gt;預測IC!BD$26,1,0)</f>
        <v>1</v>
      </c>
      <c r="BE19" s="9">
        <f>IF(預測IC!BE19&gt;預測IC!BE$26,1,0)</f>
        <v>1</v>
      </c>
      <c r="BF19" s="9">
        <f>IF(預測IC!BF19&gt;預測IC!BF$26,1,0)</f>
        <v>1</v>
      </c>
      <c r="BG19" s="9">
        <f>IF(預測IC!BG19&gt;預測IC!BG$26,1,0)</f>
        <v>0</v>
      </c>
      <c r="BH19" s="9">
        <f>IF(預測IC!BH19&gt;預測IC!BH$26,1,0)</f>
        <v>1</v>
      </c>
      <c r="BI19" s="9">
        <f>IF(預測IC!BI19&gt;預測IC!BI$26,1,0)</f>
        <v>1</v>
      </c>
      <c r="BJ19" s="9">
        <f>IF(預測IC!BJ19&gt;預測IC!BJ$26,1,0)</f>
        <v>1</v>
      </c>
      <c r="BK19" s="9">
        <f>IF(預測IC!BK19&gt;預測IC!BK$26,1,0)</f>
        <v>0</v>
      </c>
      <c r="BL19" s="9">
        <f>IF(預測IC!BL19&gt;預測IC!BL$26,1,0)</f>
        <v>1</v>
      </c>
      <c r="BM19" s="9">
        <f>IF(預測IC!BM19&gt;預測IC!BM$26,1,0)</f>
        <v>1</v>
      </c>
      <c r="BN19" s="9">
        <f>IF(預測IC!BN19&gt;預測IC!BN$26,1,0)</f>
        <v>1</v>
      </c>
      <c r="BO19" s="9">
        <f>IF(預測IC!BO19&gt;預測IC!BO$26,1,0)</f>
        <v>1</v>
      </c>
      <c r="BP19" s="9">
        <f>IF(預測IC!BP19&gt;預測IC!BP$26,1,0)</f>
        <v>1</v>
      </c>
      <c r="BQ19" s="9">
        <f>IF(預測IC!BQ19&gt;預測IC!BQ$26,1,0)</f>
        <v>1</v>
      </c>
      <c r="BR19" s="9">
        <f>IF(預測IC!BR19&gt;預測IC!BR$26,1,0)</f>
        <v>1</v>
      </c>
      <c r="BS19" s="9">
        <f>IF(預測IC!BS19&gt;預測IC!BS$26,1,0)</f>
        <v>0</v>
      </c>
      <c r="BT19" s="9">
        <f>IF(預測IC!BT19&gt;預測IC!BT$26,1,0)</f>
        <v>1</v>
      </c>
      <c r="BU19" s="9">
        <f>IF(預測IC!BU19&gt;預測IC!BU$26,1,0)</f>
        <v>1</v>
      </c>
      <c r="BV19" s="9">
        <f>IF(預測IC!BV19&gt;預測IC!BV$26,1,0)</f>
        <v>1</v>
      </c>
      <c r="BW19" s="9">
        <f>IF(預測IC!BW19&gt;預測IC!BW$26,1,0)</f>
        <v>0</v>
      </c>
      <c r="BX19" s="9">
        <f>IF(預測IC!BX19&gt;預測IC!BX$26,1,0)</f>
        <v>1</v>
      </c>
      <c r="BY19" s="9">
        <f>IF(預測IC!BY19&gt;預測IC!BY$26,1,0)</f>
        <v>1</v>
      </c>
      <c r="BZ19" s="9">
        <f>IF(預測IC!BZ19&gt;預測IC!BZ$26,1,0)</f>
        <v>0</v>
      </c>
      <c r="CA19" s="9">
        <f>IF(預測IC!CA19&gt;預測IC!CA$26,1,0)</f>
        <v>0</v>
      </c>
      <c r="CB19" s="9">
        <f>IF(預測IC!CB19&gt;預測IC!CB$26,1,0)</f>
        <v>0</v>
      </c>
      <c r="CC19" s="9">
        <f>IF(預測IC!CC19&gt;預測IC!CC$26,1,0)</f>
        <v>0</v>
      </c>
      <c r="CD19" s="9">
        <f>IF(預測IC!CD19&gt;預測IC!CD$26,1,0)</f>
        <v>1</v>
      </c>
      <c r="CE19" s="9">
        <f>IF(預測IC!CE19&gt;預測IC!CE$26,1,0)</f>
        <v>0</v>
      </c>
      <c r="CF19" s="9">
        <f>IF(預測IC!CF19&gt;預測IC!CF$26,1,0)</f>
        <v>1</v>
      </c>
      <c r="CG19" s="9">
        <f>IF(預測IC!CG19&gt;預測IC!CG$26,1,0)</f>
        <v>0</v>
      </c>
      <c r="CH19" s="9">
        <f>IF(預測IC!CH19&gt;預測IC!CH$26,1,0)</f>
        <v>1</v>
      </c>
      <c r="CI19" s="9">
        <f>IF(預測IC!CI19&gt;預測IC!CI$26,1,0)</f>
        <v>0</v>
      </c>
      <c r="CJ19" s="9">
        <f>IF(預測IC!CJ19&gt;預測IC!CJ$26,1,0)</f>
        <v>0</v>
      </c>
      <c r="CK19" s="9">
        <f>IF(預測IC!CK19&gt;預測IC!CK$26,1,0)</f>
        <v>1</v>
      </c>
      <c r="CL19" s="9">
        <f>IF(預測IC!CL19&gt;預測IC!CL$26,1,0)</f>
        <v>0</v>
      </c>
      <c r="CM19" s="9">
        <f>IF(預測IC!CM19&gt;預測IC!CM$26,1,0)</f>
        <v>1</v>
      </c>
      <c r="CN19" s="9">
        <f>IF(預測IC!CN19&gt;預測IC!CN$26,1,0)</f>
        <v>0</v>
      </c>
      <c r="CO19" s="9">
        <f>IF(預測IC!CO19&gt;預測IC!CO$26,1,0)</f>
        <v>0</v>
      </c>
      <c r="CP19" s="9">
        <f>IF(預測IC!CP19&gt;預測IC!CP$26,1,0)</f>
        <v>1</v>
      </c>
      <c r="CQ19" s="9">
        <f>IF(預測IC!CQ19&gt;預測IC!CQ$26,1,0)</f>
        <v>1</v>
      </c>
      <c r="CR19" s="9">
        <f>IF(預測IC!CR19&gt;預測IC!CR$26,1,0)</f>
        <v>1</v>
      </c>
      <c r="CS19" s="9">
        <f>IF(預測IC!CS19&gt;預測IC!CS$26,1,0)</f>
        <v>1</v>
      </c>
      <c r="CT19" s="9">
        <f>IF(預測IC!CT19&gt;預測IC!CT$26,1,0)</f>
        <v>1</v>
      </c>
      <c r="CU19" s="9">
        <f>IF(預測IC!CU19&gt;預測IC!CU$26,1,0)</f>
        <v>0</v>
      </c>
      <c r="CV19" s="9">
        <f>IF(預測IC!CV19&gt;預測IC!CV$26,1,0)</f>
        <v>1</v>
      </c>
      <c r="CW19" s="9">
        <f>IF(預測IC!CW19&gt;預測IC!CW$26,1,0)</f>
        <v>0</v>
      </c>
      <c r="CX19" s="9">
        <f>IF(預測IC!CX19&gt;預測IC!CX$26,1,0)</f>
        <v>1</v>
      </c>
      <c r="CY19" s="9">
        <f>IF(預測IC!CY19&gt;預測IC!CY$26,1,0)</f>
        <v>0</v>
      </c>
      <c r="CZ19" s="9">
        <f>IF(預測IC!CZ19&gt;預測IC!CZ$26,1,0)</f>
        <v>1</v>
      </c>
      <c r="DA19" s="9">
        <f>IF(預測IC!DA19&gt;預測IC!DA$26,1,0)</f>
        <v>0</v>
      </c>
      <c r="DB19" s="9">
        <f>IF(預測IC!DB19&gt;預測IC!DB$26,1,0)</f>
        <v>0</v>
      </c>
      <c r="DC19" s="9">
        <f>IF(預測IC!DC19&gt;預測IC!DC$26,1,0)</f>
        <v>1</v>
      </c>
      <c r="DD19" s="9">
        <f>IF(預測IC!DD19&gt;預測IC!DD$26,1,0)</f>
        <v>0</v>
      </c>
      <c r="DE19" s="9">
        <f>IF(預測IC!DE19&gt;預測IC!DE$26,1,0)</f>
        <v>0</v>
      </c>
      <c r="DF19" s="9">
        <f>IF(預測IC!DF19&gt;預測IC!DF$26,1,0)</f>
        <v>0</v>
      </c>
      <c r="DG19" s="9">
        <f>IF(預測IC!DG19&gt;預測IC!DG$26,1,0)</f>
        <v>0</v>
      </c>
      <c r="DH19" s="9">
        <f>IF(預測IC!DH19&gt;預測IC!DH$26,1,0)</f>
        <v>0</v>
      </c>
      <c r="DI19" s="9">
        <f>IF(預測IC!DI19&gt;預測IC!DI$26,1,0)</f>
        <v>0</v>
      </c>
      <c r="DJ19" s="9">
        <f>IF(預測IC!DJ19&gt;預測IC!DJ$26,1,0)</f>
        <v>0</v>
      </c>
      <c r="DK19" s="9">
        <f>IF(預測IC!DK19&gt;預測IC!DK$26,1,0)</f>
        <v>1</v>
      </c>
      <c r="DL19" s="9">
        <f>IF(預測IC!DL19&gt;預測IC!DL$26,1,0)</f>
        <v>1</v>
      </c>
      <c r="DM19" s="9">
        <f>IF(預測IC!DM19&gt;預測IC!DM$26,1,0)</f>
        <v>0</v>
      </c>
      <c r="DN19" s="9">
        <f>IF(預測IC!DN19&gt;預測IC!DN$26,1,0)</f>
        <v>1</v>
      </c>
      <c r="DO19" s="9">
        <f>IF(預測IC!DO19&gt;預測IC!DO$26,1,0)</f>
        <v>1</v>
      </c>
      <c r="DP19" s="9">
        <f>IF(預測IC!DP19&gt;預測IC!DP$26,1,0)</f>
        <v>1</v>
      </c>
      <c r="DQ19" s="9">
        <f>IF(預測IC!DQ19&gt;預測IC!DQ$26,1,0)</f>
        <v>0</v>
      </c>
      <c r="DR19" s="9">
        <f>IF(預測IC!DR19&gt;預測IC!DR$26,1,0)</f>
        <v>1</v>
      </c>
      <c r="DS19" s="9">
        <f>IF(預測IC!DS19&gt;預測IC!DS$26,1,0)</f>
        <v>0</v>
      </c>
      <c r="DT19" s="9">
        <f>IF(預測IC!DT19&gt;預測IC!DT$26,1,0)</f>
        <v>0</v>
      </c>
      <c r="DU19" s="9">
        <f>IF(預測IC!DU19&gt;預測IC!DU$26,1,0)</f>
        <v>0</v>
      </c>
      <c r="DV19" s="9">
        <f>IF(預測IC!DV19&gt;預測IC!DV$26,1,0)</f>
        <v>1</v>
      </c>
      <c r="DW19" s="9">
        <f>IF(預測IC!DW19&gt;預測IC!DW$26,1,0)</f>
        <v>1</v>
      </c>
      <c r="DX19" s="9">
        <f>IF(預測IC!DX19&gt;預測IC!DX$26,1,0)</f>
        <v>0</v>
      </c>
      <c r="DY19" s="9">
        <f>IF(預測IC!DY19&gt;預測IC!DY$26,1,0)</f>
        <v>1</v>
      </c>
      <c r="DZ19" s="9">
        <f>IF(預測IC!DZ19&gt;預測IC!DZ$26,1,0)</f>
        <v>0</v>
      </c>
      <c r="EA19" s="9">
        <f>IF(預測IC!EA19&gt;預測IC!EA$26,1,0)</f>
        <v>0</v>
      </c>
      <c r="EB19" s="9">
        <f>IF(預測IC!EB19&gt;預測IC!EB$26,1,0)</f>
        <v>0</v>
      </c>
      <c r="EC19" s="9">
        <f>IF(預測IC!EC19&gt;預測IC!EC$26,1,0)</f>
        <v>1</v>
      </c>
      <c r="ED19" s="9">
        <f>IF(預測IC!ED19&gt;預測IC!ED$26,1,0)</f>
        <v>0</v>
      </c>
      <c r="EE19" s="9">
        <f>IF(預測IC!EE19&gt;預測IC!EE$26,1,0)</f>
        <v>0</v>
      </c>
      <c r="EF19" s="9">
        <f>IF(預測IC!EF19&gt;預測IC!EF$26,1,0)</f>
        <v>1</v>
      </c>
      <c r="EG19" s="2">
        <f t="shared" si="10"/>
        <v>71</v>
      </c>
      <c r="EH19" s="16">
        <f t="shared" si="11"/>
        <v>0.52985074626865669</v>
      </c>
    </row>
    <row r="20" spans="1:138">
      <c r="A20" s="4">
        <v>192</v>
      </c>
      <c r="B20" s="4">
        <v>5</v>
      </c>
      <c r="C20" s="9">
        <f>IF(預測IC!C20&gt;預測IC!C$26,1,0)</f>
        <v>0</v>
      </c>
      <c r="D20" s="9">
        <f>IF(預測IC!D20&gt;預測IC!D$26,1,0)</f>
        <v>1</v>
      </c>
      <c r="E20" s="9">
        <f>IF(預測IC!E20&gt;預測IC!E$26,1,0)</f>
        <v>0</v>
      </c>
      <c r="F20" s="9">
        <f>IF(預測IC!F20&gt;預測IC!F$26,1,0)</f>
        <v>1</v>
      </c>
      <c r="G20" s="9">
        <f>IF(預測IC!G20&gt;預測IC!G$26,1,0)</f>
        <v>1</v>
      </c>
      <c r="H20" s="9">
        <f>IF(預測IC!H20&gt;預測IC!H$26,1,0)</f>
        <v>1</v>
      </c>
      <c r="I20" s="9">
        <f>IF(預測IC!I20&gt;預測IC!I$26,1,0)</f>
        <v>1</v>
      </c>
      <c r="J20" s="9">
        <f>IF(預測IC!J20&gt;預測IC!J$26,1,0)</f>
        <v>0</v>
      </c>
      <c r="K20" s="9">
        <f>IF(預測IC!K20&gt;預測IC!K$26,1,0)</f>
        <v>1</v>
      </c>
      <c r="L20" s="9">
        <f>IF(預測IC!L20&gt;預測IC!L$26,1,0)</f>
        <v>1</v>
      </c>
      <c r="M20" s="9">
        <f>IF(預測IC!M20&gt;預測IC!M$26,1,0)</f>
        <v>0</v>
      </c>
      <c r="N20" s="9">
        <f>IF(預測IC!N20&gt;預測IC!N$26,1,0)</f>
        <v>1</v>
      </c>
      <c r="O20" s="9">
        <f>IF(預測IC!O20&gt;預測IC!O$26,1,0)</f>
        <v>0</v>
      </c>
      <c r="P20" s="9">
        <f>IF(預測IC!P20&gt;預測IC!P$26,1,0)</f>
        <v>0</v>
      </c>
      <c r="Q20" s="9">
        <f>IF(預測IC!Q20&gt;預測IC!Q$26,1,0)</f>
        <v>1</v>
      </c>
      <c r="R20" s="9">
        <f>IF(預測IC!R20&gt;預測IC!R$26,1,0)</f>
        <v>1</v>
      </c>
      <c r="S20" s="9">
        <f>IF(預測IC!S20&gt;預測IC!S$26,1,0)</f>
        <v>0</v>
      </c>
      <c r="T20" s="9">
        <f>IF(預測IC!T20&gt;預測IC!T$26,1,0)</f>
        <v>0</v>
      </c>
      <c r="U20" s="9">
        <f>IF(預測IC!U20&gt;預測IC!U$26,1,0)</f>
        <v>1</v>
      </c>
      <c r="V20" s="9">
        <f>IF(預測IC!V20&gt;預測IC!V$26,1,0)</f>
        <v>0</v>
      </c>
      <c r="W20" s="9">
        <f>IF(預測IC!W20&gt;預測IC!W$26,1,0)</f>
        <v>1</v>
      </c>
      <c r="X20" s="9">
        <f>IF(預測IC!X20&gt;預測IC!X$26,1,0)</f>
        <v>0</v>
      </c>
      <c r="Y20" s="9">
        <f>IF(預測IC!Y20&gt;預測IC!Y$26,1,0)</f>
        <v>1</v>
      </c>
      <c r="Z20" s="9">
        <f>IF(預測IC!Z20&gt;預測IC!Z$26,1,0)</f>
        <v>1</v>
      </c>
      <c r="AA20" s="9">
        <f>IF(預測IC!AA20&gt;預測IC!AA$26,1,0)</f>
        <v>1</v>
      </c>
      <c r="AB20" s="9">
        <f>IF(預測IC!AB20&gt;預測IC!AB$26,1,0)</f>
        <v>0</v>
      </c>
      <c r="AC20" s="9">
        <f>IF(預測IC!AC20&gt;預測IC!AC$26,1,0)</f>
        <v>0</v>
      </c>
      <c r="AD20" s="9">
        <f>IF(預測IC!AD20&gt;預測IC!AD$26,1,0)</f>
        <v>1</v>
      </c>
      <c r="AE20" s="9">
        <f>IF(預測IC!AE20&gt;預測IC!AE$26,1,0)</f>
        <v>0</v>
      </c>
      <c r="AF20" s="9">
        <f>IF(預測IC!AF20&gt;預測IC!AF$26,1,0)</f>
        <v>0</v>
      </c>
      <c r="AG20" s="9">
        <f>IF(預測IC!AG20&gt;預測IC!AG$26,1,0)</f>
        <v>0</v>
      </c>
      <c r="AH20" s="9">
        <f>IF(預測IC!AH20&gt;預測IC!AH$26,1,0)</f>
        <v>0</v>
      </c>
      <c r="AI20" s="9">
        <f>IF(預測IC!AI20&gt;預測IC!AI$26,1,0)</f>
        <v>1</v>
      </c>
      <c r="AJ20" s="9">
        <f>IF(預測IC!AJ20&gt;預測IC!AJ$26,1,0)</f>
        <v>1</v>
      </c>
      <c r="AK20" s="9">
        <f>IF(預測IC!AK20&gt;預測IC!AK$26,1,0)</f>
        <v>1</v>
      </c>
      <c r="AL20" s="9">
        <f>IF(預測IC!AL20&gt;預測IC!AL$26,1,0)</f>
        <v>1</v>
      </c>
      <c r="AM20" s="9">
        <f>IF(預測IC!AM20&gt;預測IC!AM$26,1,0)</f>
        <v>1</v>
      </c>
      <c r="AN20" s="9">
        <f>IF(預測IC!AN20&gt;預測IC!AN$26,1,0)</f>
        <v>1</v>
      </c>
      <c r="AO20" s="9">
        <f>IF(預測IC!AO20&gt;預測IC!AO$26,1,0)</f>
        <v>1</v>
      </c>
      <c r="AP20" s="9">
        <f>IF(預測IC!AP20&gt;預測IC!AP$26,1,0)</f>
        <v>0</v>
      </c>
      <c r="AQ20" s="9">
        <f>IF(預測IC!AQ20&gt;預測IC!AQ$26,1,0)</f>
        <v>0</v>
      </c>
      <c r="AR20" s="9">
        <f>IF(預測IC!AR20&gt;預測IC!AR$26,1,0)</f>
        <v>0</v>
      </c>
      <c r="AS20" s="9">
        <f>IF(預測IC!AS20&gt;預測IC!AS$26,1,0)</f>
        <v>0</v>
      </c>
      <c r="AT20" s="9">
        <f>IF(預測IC!AT20&gt;預測IC!AT$26,1,0)</f>
        <v>0</v>
      </c>
      <c r="AU20" s="9">
        <f>IF(預測IC!AU20&gt;預測IC!AU$26,1,0)</f>
        <v>1</v>
      </c>
      <c r="AV20" s="9">
        <f>IF(預測IC!AV20&gt;預測IC!AV$26,1,0)</f>
        <v>0</v>
      </c>
      <c r="AW20" s="9">
        <f>IF(預測IC!AW20&gt;預測IC!AW$26,1,0)</f>
        <v>1</v>
      </c>
      <c r="AX20" s="9">
        <f>IF(預測IC!AX20&gt;預測IC!AX$26,1,0)</f>
        <v>1</v>
      </c>
      <c r="AY20" s="9">
        <f>IF(預測IC!AY20&gt;預測IC!AY$26,1,0)</f>
        <v>0</v>
      </c>
      <c r="AZ20" s="9">
        <f>IF(預測IC!AZ20&gt;預測IC!AZ$26,1,0)</f>
        <v>0</v>
      </c>
      <c r="BA20" s="9">
        <f>IF(預測IC!BA20&gt;預測IC!BA$26,1,0)</f>
        <v>0</v>
      </c>
      <c r="BB20" s="9">
        <f>IF(預測IC!BB20&gt;預測IC!BB$26,1,0)</f>
        <v>1</v>
      </c>
      <c r="BC20" s="9">
        <f>IF(預測IC!BC20&gt;預測IC!BC$26,1,0)</f>
        <v>1</v>
      </c>
      <c r="BD20" s="9">
        <f>IF(預測IC!BD20&gt;預測IC!BD$26,1,0)</f>
        <v>0</v>
      </c>
      <c r="BE20" s="9">
        <f>IF(預測IC!BE20&gt;預測IC!BE$26,1,0)</f>
        <v>0</v>
      </c>
      <c r="BF20" s="9">
        <f>IF(預測IC!BF20&gt;預測IC!BF$26,1,0)</f>
        <v>1</v>
      </c>
      <c r="BG20" s="9">
        <f>IF(預測IC!BG20&gt;預測IC!BG$26,1,0)</f>
        <v>1</v>
      </c>
      <c r="BH20" s="9">
        <f>IF(預測IC!BH20&gt;預測IC!BH$26,1,0)</f>
        <v>1</v>
      </c>
      <c r="BI20" s="9">
        <f>IF(預測IC!BI20&gt;預測IC!BI$26,1,0)</f>
        <v>1</v>
      </c>
      <c r="BJ20" s="9">
        <f>IF(預測IC!BJ20&gt;預測IC!BJ$26,1,0)</f>
        <v>1</v>
      </c>
      <c r="BK20" s="9">
        <f>IF(預測IC!BK20&gt;預測IC!BK$26,1,0)</f>
        <v>0</v>
      </c>
      <c r="BL20" s="9">
        <f>IF(預測IC!BL20&gt;預測IC!BL$26,1,0)</f>
        <v>1</v>
      </c>
      <c r="BM20" s="9">
        <f>IF(預測IC!BM20&gt;預測IC!BM$26,1,0)</f>
        <v>1</v>
      </c>
      <c r="BN20" s="9">
        <f>IF(預測IC!BN20&gt;預測IC!BN$26,1,0)</f>
        <v>1</v>
      </c>
      <c r="BO20" s="9">
        <f>IF(預測IC!BO20&gt;預測IC!BO$26,1,0)</f>
        <v>1</v>
      </c>
      <c r="BP20" s="9">
        <f>IF(預測IC!BP20&gt;預測IC!BP$26,1,0)</f>
        <v>1</v>
      </c>
      <c r="BQ20" s="9">
        <f>IF(預測IC!BQ20&gt;預測IC!BQ$26,1,0)</f>
        <v>1</v>
      </c>
      <c r="BR20" s="9">
        <f>IF(預測IC!BR20&gt;預測IC!BR$26,1,0)</f>
        <v>1</v>
      </c>
      <c r="BS20" s="9">
        <f>IF(預測IC!BS20&gt;預測IC!BS$26,1,0)</f>
        <v>0</v>
      </c>
      <c r="BT20" s="9">
        <f>IF(預測IC!BT20&gt;預測IC!BT$26,1,0)</f>
        <v>1</v>
      </c>
      <c r="BU20" s="9">
        <f>IF(預測IC!BU20&gt;預測IC!BU$26,1,0)</f>
        <v>1</v>
      </c>
      <c r="BV20" s="9">
        <f>IF(預測IC!BV20&gt;預測IC!BV$26,1,0)</f>
        <v>1</v>
      </c>
      <c r="BW20" s="9">
        <f>IF(預測IC!BW20&gt;預測IC!BW$26,1,0)</f>
        <v>0</v>
      </c>
      <c r="BX20" s="9">
        <f>IF(預測IC!BX20&gt;預測IC!BX$26,1,0)</f>
        <v>1</v>
      </c>
      <c r="BY20" s="9">
        <f>IF(預測IC!BY20&gt;預測IC!BY$26,1,0)</f>
        <v>1</v>
      </c>
      <c r="BZ20" s="9">
        <f>IF(預測IC!BZ20&gt;預測IC!BZ$26,1,0)</f>
        <v>0</v>
      </c>
      <c r="CA20" s="9">
        <f>IF(預測IC!CA20&gt;預測IC!CA$26,1,0)</f>
        <v>1</v>
      </c>
      <c r="CB20" s="9">
        <f>IF(預測IC!CB20&gt;預測IC!CB$26,1,0)</f>
        <v>0</v>
      </c>
      <c r="CC20" s="9">
        <f>IF(預測IC!CC20&gt;預測IC!CC$26,1,0)</f>
        <v>0</v>
      </c>
      <c r="CD20" s="9">
        <f>IF(預測IC!CD20&gt;預測IC!CD$26,1,0)</f>
        <v>1</v>
      </c>
      <c r="CE20" s="9">
        <f>IF(預測IC!CE20&gt;預測IC!CE$26,1,0)</f>
        <v>0</v>
      </c>
      <c r="CF20" s="9">
        <f>IF(預測IC!CF20&gt;預測IC!CF$26,1,0)</f>
        <v>1</v>
      </c>
      <c r="CG20" s="9">
        <f>IF(預測IC!CG20&gt;預測IC!CG$26,1,0)</f>
        <v>0</v>
      </c>
      <c r="CH20" s="9">
        <f>IF(預測IC!CH20&gt;預測IC!CH$26,1,0)</f>
        <v>1</v>
      </c>
      <c r="CI20" s="9">
        <f>IF(預測IC!CI20&gt;預測IC!CI$26,1,0)</f>
        <v>0</v>
      </c>
      <c r="CJ20" s="9">
        <f>IF(預測IC!CJ20&gt;預測IC!CJ$26,1,0)</f>
        <v>0</v>
      </c>
      <c r="CK20" s="9">
        <f>IF(預測IC!CK20&gt;預測IC!CK$26,1,0)</f>
        <v>1</v>
      </c>
      <c r="CL20" s="9">
        <f>IF(預測IC!CL20&gt;預測IC!CL$26,1,0)</f>
        <v>0</v>
      </c>
      <c r="CM20" s="9">
        <f>IF(預測IC!CM20&gt;預測IC!CM$26,1,0)</f>
        <v>1</v>
      </c>
      <c r="CN20" s="9">
        <f>IF(預測IC!CN20&gt;預測IC!CN$26,1,0)</f>
        <v>0</v>
      </c>
      <c r="CO20" s="9">
        <f>IF(預測IC!CO20&gt;預測IC!CO$26,1,0)</f>
        <v>0</v>
      </c>
      <c r="CP20" s="9">
        <f>IF(預測IC!CP20&gt;預測IC!CP$26,1,0)</f>
        <v>1</v>
      </c>
      <c r="CQ20" s="9">
        <f>IF(預測IC!CQ20&gt;預測IC!CQ$26,1,0)</f>
        <v>1</v>
      </c>
      <c r="CR20" s="9">
        <f>IF(預測IC!CR20&gt;預測IC!CR$26,1,0)</f>
        <v>1</v>
      </c>
      <c r="CS20" s="9">
        <f>IF(預測IC!CS20&gt;預測IC!CS$26,1,0)</f>
        <v>1</v>
      </c>
      <c r="CT20" s="9">
        <f>IF(預測IC!CT20&gt;預測IC!CT$26,1,0)</f>
        <v>1</v>
      </c>
      <c r="CU20" s="9">
        <f>IF(預測IC!CU20&gt;預測IC!CU$26,1,0)</f>
        <v>0</v>
      </c>
      <c r="CV20" s="9">
        <f>IF(預測IC!CV20&gt;預測IC!CV$26,1,0)</f>
        <v>1</v>
      </c>
      <c r="CW20" s="9">
        <f>IF(預測IC!CW20&gt;預測IC!CW$26,1,0)</f>
        <v>1</v>
      </c>
      <c r="CX20" s="9">
        <f>IF(預測IC!CX20&gt;預測IC!CX$26,1,0)</f>
        <v>1</v>
      </c>
      <c r="CY20" s="9">
        <f>IF(預測IC!CY20&gt;預測IC!CY$26,1,0)</f>
        <v>0</v>
      </c>
      <c r="CZ20" s="9">
        <f>IF(預測IC!CZ20&gt;預測IC!CZ$26,1,0)</f>
        <v>1</v>
      </c>
      <c r="DA20" s="9">
        <f>IF(預測IC!DA20&gt;預測IC!DA$26,1,0)</f>
        <v>0</v>
      </c>
      <c r="DB20" s="9">
        <f>IF(預測IC!DB20&gt;預測IC!DB$26,1,0)</f>
        <v>0</v>
      </c>
      <c r="DC20" s="9">
        <f>IF(預測IC!DC20&gt;預測IC!DC$26,1,0)</f>
        <v>1</v>
      </c>
      <c r="DD20" s="9">
        <f>IF(預測IC!DD20&gt;預測IC!DD$26,1,0)</f>
        <v>0</v>
      </c>
      <c r="DE20" s="9">
        <f>IF(預測IC!DE20&gt;預測IC!DE$26,1,0)</f>
        <v>0</v>
      </c>
      <c r="DF20" s="9">
        <f>IF(預測IC!DF20&gt;預測IC!DF$26,1,0)</f>
        <v>1</v>
      </c>
      <c r="DG20" s="9">
        <f>IF(預測IC!DG20&gt;預測IC!DG$26,1,0)</f>
        <v>0</v>
      </c>
      <c r="DH20" s="9">
        <f>IF(預測IC!DH20&gt;預測IC!DH$26,1,0)</f>
        <v>0</v>
      </c>
      <c r="DI20" s="9">
        <f>IF(預測IC!DI20&gt;預測IC!DI$26,1,0)</f>
        <v>0</v>
      </c>
      <c r="DJ20" s="9">
        <f>IF(預測IC!DJ20&gt;預測IC!DJ$26,1,0)</f>
        <v>0</v>
      </c>
      <c r="DK20" s="9">
        <f>IF(預測IC!DK20&gt;預測IC!DK$26,1,0)</f>
        <v>1</v>
      </c>
      <c r="DL20" s="9">
        <f>IF(預測IC!DL20&gt;預測IC!DL$26,1,0)</f>
        <v>1</v>
      </c>
      <c r="DM20" s="9">
        <f>IF(預測IC!DM20&gt;預測IC!DM$26,1,0)</f>
        <v>0</v>
      </c>
      <c r="DN20" s="9">
        <f>IF(預測IC!DN20&gt;預測IC!DN$26,1,0)</f>
        <v>1</v>
      </c>
      <c r="DO20" s="9">
        <f>IF(預測IC!DO20&gt;預測IC!DO$26,1,0)</f>
        <v>1</v>
      </c>
      <c r="DP20" s="9">
        <f>IF(預測IC!DP20&gt;預測IC!DP$26,1,0)</f>
        <v>1</v>
      </c>
      <c r="DQ20" s="9">
        <f>IF(預測IC!DQ20&gt;預測IC!DQ$26,1,0)</f>
        <v>0</v>
      </c>
      <c r="DR20" s="9">
        <f>IF(預測IC!DR20&gt;預測IC!DR$26,1,0)</f>
        <v>1</v>
      </c>
      <c r="DS20" s="9">
        <f>IF(預測IC!DS20&gt;預測IC!DS$26,1,0)</f>
        <v>0</v>
      </c>
      <c r="DT20" s="9">
        <f>IF(預測IC!DT20&gt;預測IC!DT$26,1,0)</f>
        <v>0</v>
      </c>
      <c r="DU20" s="9">
        <f>IF(預測IC!DU20&gt;預測IC!DU$26,1,0)</f>
        <v>0</v>
      </c>
      <c r="DV20" s="9">
        <f>IF(預測IC!DV20&gt;預測IC!DV$26,1,0)</f>
        <v>1</v>
      </c>
      <c r="DW20" s="9">
        <f>IF(預測IC!DW20&gt;預測IC!DW$26,1,0)</f>
        <v>1</v>
      </c>
      <c r="DX20" s="9">
        <f>IF(預測IC!DX20&gt;預測IC!DX$26,1,0)</f>
        <v>0</v>
      </c>
      <c r="DY20" s="9">
        <f>IF(預測IC!DY20&gt;預測IC!DY$26,1,0)</f>
        <v>1</v>
      </c>
      <c r="DZ20" s="9">
        <f>IF(預測IC!DZ20&gt;預測IC!DZ$26,1,0)</f>
        <v>0</v>
      </c>
      <c r="EA20" s="9">
        <f>IF(預測IC!EA20&gt;預測IC!EA$26,1,0)</f>
        <v>1</v>
      </c>
      <c r="EB20" s="9">
        <f>IF(預測IC!EB20&gt;預測IC!EB$26,1,0)</f>
        <v>1</v>
      </c>
      <c r="EC20" s="9">
        <f>IF(預測IC!EC20&gt;預測IC!EC$26,1,0)</f>
        <v>1</v>
      </c>
      <c r="ED20" s="9">
        <f>IF(預測IC!ED20&gt;預測IC!ED$26,1,0)</f>
        <v>0</v>
      </c>
      <c r="EE20" s="9">
        <f>IF(預測IC!EE20&gt;預測IC!EE$26,1,0)</f>
        <v>0</v>
      </c>
      <c r="EF20" s="9">
        <f>IF(預測IC!EF20&gt;預測IC!EF$26,1,0)</f>
        <v>1</v>
      </c>
      <c r="EG20" s="2">
        <f t="shared" si="10"/>
        <v>75</v>
      </c>
      <c r="EH20" s="16">
        <f t="shared" si="11"/>
        <v>0.55970149253731338</v>
      </c>
    </row>
    <row r="21" spans="1:138">
      <c r="A21" s="4">
        <v>241</v>
      </c>
      <c r="B21" s="4">
        <v>4</v>
      </c>
      <c r="C21" s="9">
        <f>IF(預測IC!C21&gt;預測IC!C$26,1,0)</f>
        <v>0</v>
      </c>
      <c r="D21" s="9">
        <f>IF(預測IC!D21&gt;預測IC!D$26,1,0)</f>
        <v>1</v>
      </c>
      <c r="E21" s="9">
        <f>IF(預測IC!E21&gt;預測IC!E$26,1,0)</f>
        <v>0</v>
      </c>
      <c r="F21" s="9">
        <f>IF(預測IC!F21&gt;預測IC!F$26,1,0)</f>
        <v>1</v>
      </c>
      <c r="G21" s="9">
        <f>IF(預測IC!G21&gt;預測IC!G$26,1,0)</f>
        <v>1</v>
      </c>
      <c r="H21" s="9">
        <f>IF(預測IC!H21&gt;預測IC!H$26,1,0)</f>
        <v>1</v>
      </c>
      <c r="I21" s="9">
        <f>IF(預測IC!I21&gt;預測IC!I$26,1,0)</f>
        <v>1</v>
      </c>
      <c r="J21" s="9">
        <f>IF(預測IC!J21&gt;預測IC!J$26,1,0)</f>
        <v>0</v>
      </c>
      <c r="K21" s="9">
        <f>IF(預測IC!K21&gt;預測IC!K$26,1,0)</f>
        <v>1</v>
      </c>
      <c r="L21" s="9">
        <f>IF(預測IC!L21&gt;預測IC!L$26,1,0)</f>
        <v>0</v>
      </c>
      <c r="M21" s="9">
        <f>IF(預測IC!M21&gt;預測IC!M$26,1,0)</f>
        <v>0</v>
      </c>
      <c r="N21" s="9">
        <f>IF(預測IC!N21&gt;預測IC!N$26,1,0)</f>
        <v>1</v>
      </c>
      <c r="O21" s="9">
        <f>IF(預測IC!O21&gt;預測IC!O$26,1,0)</f>
        <v>0</v>
      </c>
      <c r="P21" s="9">
        <f>IF(預測IC!P21&gt;預測IC!P$26,1,0)</f>
        <v>0</v>
      </c>
      <c r="Q21" s="9">
        <f>IF(預測IC!Q21&gt;預測IC!Q$26,1,0)</f>
        <v>1</v>
      </c>
      <c r="R21" s="9">
        <f>IF(預測IC!R21&gt;預測IC!R$26,1,0)</f>
        <v>1</v>
      </c>
      <c r="S21" s="9">
        <f>IF(預測IC!S21&gt;預測IC!S$26,1,0)</f>
        <v>0</v>
      </c>
      <c r="T21" s="9">
        <f>IF(預測IC!T21&gt;預測IC!T$26,1,0)</f>
        <v>0</v>
      </c>
      <c r="U21" s="9">
        <f>IF(預測IC!U21&gt;預測IC!U$26,1,0)</f>
        <v>1</v>
      </c>
      <c r="V21" s="9">
        <f>IF(預測IC!V21&gt;預測IC!V$26,1,0)</f>
        <v>0</v>
      </c>
      <c r="W21" s="9">
        <f>IF(預測IC!W21&gt;預測IC!W$26,1,0)</f>
        <v>1</v>
      </c>
      <c r="X21" s="9">
        <f>IF(預測IC!X21&gt;預測IC!X$26,1,0)</f>
        <v>0</v>
      </c>
      <c r="Y21" s="9">
        <f>IF(預測IC!Y21&gt;預測IC!Y$26,1,0)</f>
        <v>1</v>
      </c>
      <c r="Z21" s="9">
        <f>IF(預測IC!Z21&gt;預測IC!Z$26,1,0)</f>
        <v>1</v>
      </c>
      <c r="AA21" s="9">
        <f>IF(預測IC!AA21&gt;預測IC!AA$26,1,0)</f>
        <v>1</v>
      </c>
      <c r="AB21" s="9">
        <f>IF(預測IC!AB21&gt;預測IC!AB$26,1,0)</f>
        <v>0</v>
      </c>
      <c r="AC21" s="9">
        <f>IF(預測IC!AC21&gt;預測IC!AC$26,1,0)</f>
        <v>0</v>
      </c>
      <c r="AD21" s="9">
        <f>IF(預測IC!AD21&gt;預測IC!AD$26,1,0)</f>
        <v>1</v>
      </c>
      <c r="AE21" s="9">
        <f>IF(預測IC!AE21&gt;預測IC!AE$26,1,0)</f>
        <v>0</v>
      </c>
      <c r="AF21" s="9">
        <f>IF(預測IC!AF21&gt;預測IC!AF$26,1,0)</f>
        <v>0</v>
      </c>
      <c r="AG21" s="9">
        <f>IF(預測IC!AG21&gt;預測IC!AG$26,1,0)</f>
        <v>0</v>
      </c>
      <c r="AH21" s="9">
        <f>IF(預測IC!AH21&gt;預測IC!AH$26,1,0)</f>
        <v>0</v>
      </c>
      <c r="AI21" s="9">
        <f>IF(預測IC!AI21&gt;預測IC!AI$26,1,0)</f>
        <v>1</v>
      </c>
      <c r="AJ21" s="9">
        <f>IF(預測IC!AJ21&gt;預測IC!AJ$26,1,0)</f>
        <v>0</v>
      </c>
      <c r="AK21" s="9">
        <f>IF(預測IC!AK21&gt;預測IC!AK$26,1,0)</f>
        <v>1</v>
      </c>
      <c r="AL21" s="9">
        <f>IF(預測IC!AL21&gt;預測IC!AL$26,1,0)</f>
        <v>1</v>
      </c>
      <c r="AM21" s="9">
        <f>IF(預測IC!AM21&gt;預測IC!AM$26,1,0)</f>
        <v>1</v>
      </c>
      <c r="AN21" s="9">
        <f>IF(預測IC!AN21&gt;預測IC!AN$26,1,0)</f>
        <v>1</v>
      </c>
      <c r="AO21" s="9">
        <f>IF(預測IC!AO21&gt;預測IC!AO$26,1,0)</f>
        <v>1</v>
      </c>
      <c r="AP21" s="9">
        <f>IF(預測IC!AP21&gt;預測IC!AP$26,1,0)</f>
        <v>0</v>
      </c>
      <c r="AQ21" s="9">
        <f>IF(預測IC!AQ21&gt;預測IC!AQ$26,1,0)</f>
        <v>0</v>
      </c>
      <c r="AR21" s="9">
        <f>IF(預測IC!AR21&gt;預測IC!AR$26,1,0)</f>
        <v>0</v>
      </c>
      <c r="AS21" s="9">
        <f>IF(預測IC!AS21&gt;預測IC!AS$26,1,0)</f>
        <v>0</v>
      </c>
      <c r="AT21" s="9">
        <f>IF(預測IC!AT21&gt;預測IC!AT$26,1,0)</f>
        <v>0</v>
      </c>
      <c r="AU21" s="9">
        <f>IF(預測IC!AU21&gt;預測IC!AU$26,1,0)</f>
        <v>1</v>
      </c>
      <c r="AV21" s="9">
        <f>IF(預測IC!AV21&gt;預測IC!AV$26,1,0)</f>
        <v>0</v>
      </c>
      <c r="AW21" s="9">
        <f>IF(預測IC!AW21&gt;預測IC!AW$26,1,0)</f>
        <v>1</v>
      </c>
      <c r="AX21" s="9">
        <f>IF(預測IC!AX21&gt;預測IC!AX$26,1,0)</f>
        <v>1</v>
      </c>
      <c r="AY21" s="9">
        <f>IF(預測IC!AY21&gt;預測IC!AY$26,1,0)</f>
        <v>1</v>
      </c>
      <c r="AZ21" s="9">
        <f>IF(預測IC!AZ21&gt;預測IC!AZ$26,1,0)</f>
        <v>0</v>
      </c>
      <c r="BA21" s="9">
        <f>IF(預測IC!BA21&gt;預測IC!BA$26,1,0)</f>
        <v>0</v>
      </c>
      <c r="BB21" s="9">
        <f>IF(預測IC!BB21&gt;預測IC!BB$26,1,0)</f>
        <v>1</v>
      </c>
      <c r="BC21" s="9">
        <f>IF(預測IC!BC21&gt;預測IC!BC$26,1,0)</f>
        <v>1</v>
      </c>
      <c r="BD21" s="9">
        <f>IF(預測IC!BD21&gt;預測IC!BD$26,1,0)</f>
        <v>0</v>
      </c>
      <c r="BE21" s="9">
        <f>IF(預測IC!BE21&gt;預測IC!BE$26,1,0)</f>
        <v>0</v>
      </c>
      <c r="BF21" s="9">
        <f>IF(預測IC!BF21&gt;預測IC!BF$26,1,0)</f>
        <v>1</v>
      </c>
      <c r="BG21" s="9">
        <f>IF(預測IC!BG21&gt;預測IC!BG$26,1,0)</f>
        <v>1</v>
      </c>
      <c r="BH21" s="9">
        <f>IF(預測IC!BH21&gt;預測IC!BH$26,1,0)</f>
        <v>1</v>
      </c>
      <c r="BI21" s="9">
        <f>IF(預測IC!BI21&gt;預測IC!BI$26,1,0)</f>
        <v>1</v>
      </c>
      <c r="BJ21" s="9">
        <f>IF(預測IC!BJ21&gt;預測IC!BJ$26,1,0)</f>
        <v>1</v>
      </c>
      <c r="BK21" s="9">
        <f>IF(預測IC!BK21&gt;預測IC!BK$26,1,0)</f>
        <v>0</v>
      </c>
      <c r="BL21" s="9">
        <f>IF(預測IC!BL21&gt;預測IC!BL$26,1,0)</f>
        <v>1</v>
      </c>
      <c r="BM21" s="9">
        <f>IF(預測IC!BM21&gt;預測IC!BM$26,1,0)</f>
        <v>1</v>
      </c>
      <c r="BN21" s="9">
        <f>IF(預測IC!BN21&gt;預測IC!BN$26,1,0)</f>
        <v>1</v>
      </c>
      <c r="BO21" s="9">
        <f>IF(預測IC!BO21&gt;預測IC!BO$26,1,0)</f>
        <v>1</v>
      </c>
      <c r="BP21" s="9">
        <f>IF(預測IC!BP21&gt;預測IC!BP$26,1,0)</f>
        <v>1</v>
      </c>
      <c r="BQ21" s="9">
        <f>IF(預測IC!BQ21&gt;預測IC!BQ$26,1,0)</f>
        <v>1</v>
      </c>
      <c r="BR21" s="9">
        <f>IF(預測IC!BR21&gt;預測IC!BR$26,1,0)</f>
        <v>1</v>
      </c>
      <c r="BS21" s="9">
        <f>IF(預測IC!BS21&gt;預測IC!BS$26,1,0)</f>
        <v>0</v>
      </c>
      <c r="BT21" s="9">
        <f>IF(預測IC!BT21&gt;預測IC!BT$26,1,0)</f>
        <v>1</v>
      </c>
      <c r="BU21" s="9">
        <f>IF(預測IC!BU21&gt;預測IC!BU$26,1,0)</f>
        <v>1</v>
      </c>
      <c r="BV21" s="9">
        <f>IF(預測IC!BV21&gt;預測IC!BV$26,1,0)</f>
        <v>1</v>
      </c>
      <c r="BW21" s="9">
        <f>IF(預測IC!BW21&gt;預測IC!BW$26,1,0)</f>
        <v>0</v>
      </c>
      <c r="BX21" s="9">
        <f>IF(預測IC!BX21&gt;預測IC!BX$26,1,0)</f>
        <v>1</v>
      </c>
      <c r="BY21" s="9">
        <f>IF(預測IC!BY21&gt;預測IC!BY$26,1,0)</f>
        <v>1</v>
      </c>
      <c r="BZ21" s="9">
        <f>IF(預測IC!BZ21&gt;預測IC!BZ$26,1,0)</f>
        <v>0</v>
      </c>
      <c r="CA21" s="9">
        <f>IF(預測IC!CA21&gt;預測IC!CA$26,1,0)</f>
        <v>0</v>
      </c>
      <c r="CB21" s="9">
        <f>IF(預測IC!CB21&gt;預測IC!CB$26,1,0)</f>
        <v>0</v>
      </c>
      <c r="CC21" s="9">
        <f>IF(預測IC!CC21&gt;預測IC!CC$26,1,0)</f>
        <v>0</v>
      </c>
      <c r="CD21" s="9">
        <f>IF(預測IC!CD21&gt;預測IC!CD$26,1,0)</f>
        <v>1</v>
      </c>
      <c r="CE21" s="9">
        <f>IF(預測IC!CE21&gt;預測IC!CE$26,1,0)</f>
        <v>0</v>
      </c>
      <c r="CF21" s="9">
        <f>IF(預測IC!CF21&gt;預測IC!CF$26,1,0)</f>
        <v>1</v>
      </c>
      <c r="CG21" s="9">
        <f>IF(預測IC!CG21&gt;預測IC!CG$26,1,0)</f>
        <v>0</v>
      </c>
      <c r="CH21" s="9">
        <f>IF(預測IC!CH21&gt;預測IC!CH$26,1,0)</f>
        <v>1</v>
      </c>
      <c r="CI21" s="9">
        <f>IF(預測IC!CI21&gt;預測IC!CI$26,1,0)</f>
        <v>0</v>
      </c>
      <c r="CJ21" s="9">
        <f>IF(預測IC!CJ21&gt;預測IC!CJ$26,1,0)</f>
        <v>0</v>
      </c>
      <c r="CK21" s="9">
        <f>IF(預測IC!CK21&gt;預測IC!CK$26,1,0)</f>
        <v>1</v>
      </c>
      <c r="CL21" s="9">
        <f>IF(預測IC!CL21&gt;預測IC!CL$26,1,0)</f>
        <v>0</v>
      </c>
      <c r="CM21" s="9">
        <f>IF(預測IC!CM21&gt;預測IC!CM$26,1,0)</f>
        <v>1</v>
      </c>
      <c r="CN21" s="9">
        <f>IF(預測IC!CN21&gt;預測IC!CN$26,1,0)</f>
        <v>0</v>
      </c>
      <c r="CO21" s="9">
        <f>IF(預測IC!CO21&gt;預測IC!CO$26,1,0)</f>
        <v>0</v>
      </c>
      <c r="CP21" s="9">
        <f>IF(預測IC!CP21&gt;預測IC!CP$26,1,0)</f>
        <v>1</v>
      </c>
      <c r="CQ21" s="9">
        <f>IF(預測IC!CQ21&gt;預測IC!CQ$26,1,0)</f>
        <v>1</v>
      </c>
      <c r="CR21" s="9">
        <f>IF(預測IC!CR21&gt;預測IC!CR$26,1,0)</f>
        <v>1</v>
      </c>
      <c r="CS21" s="9">
        <f>IF(預測IC!CS21&gt;預測IC!CS$26,1,0)</f>
        <v>1</v>
      </c>
      <c r="CT21" s="9">
        <f>IF(預測IC!CT21&gt;預測IC!CT$26,1,0)</f>
        <v>1</v>
      </c>
      <c r="CU21" s="9">
        <f>IF(預測IC!CU21&gt;預測IC!CU$26,1,0)</f>
        <v>0</v>
      </c>
      <c r="CV21" s="9">
        <f>IF(預測IC!CV21&gt;預測IC!CV$26,1,0)</f>
        <v>1</v>
      </c>
      <c r="CW21" s="9">
        <f>IF(預測IC!CW21&gt;預測IC!CW$26,1,0)</f>
        <v>1</v>
      </c>
      <c r="CX21" s="9">
        <f>IF(預測IC!CX21&gt;預測IC!CX$26,1,0)</f>
        <v>1</v>
      </c>
      <c r="CY21" s="9">
        <f>IF(預測IC!CY21&gt;預測IC!CY$26,1,0)</f>
        <v>0</v>
      </c>
      <c r="CZ21" s="9">
        <f>IF(預測IC!CZ21&gt;預測IC!CZ$26,1,0)</f>
        <v>1</v>
      </c>
      <c r="DA21" s="9">
        <f>IF(預測IC!DA21&gt;預測IC!DA$26,1,0)</f>
        <v>0</v>
      </c>
      <c r="DB21" s="9">
        <f>IF(預測IC!DB21&gt;預測IC!DB$26,1,0)</f>
        <v>0</v>
      </c>
      <c r="DC21" s="9">
        <f>IF(預測IC!DC21&gt;預測IC!DC$26,1,0)</f>
        <v>1</v>
      </c>
      <c r="DD21" s="9">
        <f>IF(預測IC!DD21&gt;預測IC!DD$26,1,0)</f>
        <v>1</v>
      </c>
      <c r="DE21" s="9">
        <f>IF(預測IC!DE21&gt;預測IC!DE$26,1,0)</f>
        <v>0</v>
      </c>
      <c r="DF21" s="9">
        <f>IF(預測IC!DF21&gt;預測IC!DF$26,1,0)</f>
        <v>1</v>
      </c>
      <c r="DG21" s="9">
        <f>IF(預測IC!DG21&gt;預測IC!DG$26,1,0)</f>
        <v>0</v>
      </c>
      <c r="DH21" s="9">
        <f>IF(預測IC!DH21&gt;預測IC!DH$26,1,0)</f>
        <v>0</v>
      </c>
      <c r="DI21" s="9">
        <f>IF(預測IC!DI21&gt;預測IC!DI$26,1,0)</f>
        <v>1</v>
      </c>
      <c r="DJ21" s="9">
        <f>IF(預測IC!DJ21&gt;預測IC!DJ$26,1,0)</f>
        <v>0</v>
      </c>
      <c r="DK21" s="9">
        <f>IF(預測IC!DK21&gt;預測IC!DK$26,1,0)</f>
        <v>1</v>
      </c>
      <c r="DL21" s="9">
        <f>IF(預測IC!DL21&gt;預測IC!DL$26,1,0)</f>
        <v>1</v>
      </c>
      <c r="DM21" s="9">
        <f>IF(預測IC!DM21&gt;預測IC!DM$26,1,0)</f>
        <v>0</v>
      </c>
      <c r="DN21" s="9">
        <f>IF(預測IC!DN21&gt;預測IC!DN$26,1,0)</f>
        <v>1</v>
      </c>
      <c r="DO21" s="9">
        <f>IF(預測IC!DO21&gt;預測IC!DO$26,1,0)</f>
        <v>1</v>
      </c>
      <c r="DP21" s="9">
        <f>IF(預測IC!DP21&gt;預測IC!DP$26,1,0)</f>
        <v>1</v>
      </c>
      <c r="DQ21" s="9">
        <f>IF(預測IC!DQ21&gt;預測IC!DQ$26,1,0)</f>
        <v>0</v>
      </c>
      <c r="DR21" s="9">
        <f>IF(預測IC!DR21&gt;預測IC!DR$26,1,0)</f>
        <v>1</v>
      </c>
      <c r="DS21" s="9">
        <f>IF(預測IC!DS21&gt;預測IC!DS$26,1,0)</f>
        <v>0</v>
      </c>
      <c r="DT21" s="9">
        <f>IF(預測IC!DT21&gt;預測IC!DT$26,1,0)</f>
        <v>0</v>
      </c>
      <c r="DU21" s="9">
        <f>IF(預測IC!DU21&gt;預測IC!DU$26,1,0)</f>
        <v>0</v>
      </c>
      <c r="DV21" s="9">
        <f>IF(預測IC!DV21&gt;預測IC!DV$26,1,0)</f>
        <v>1</v>
      </c>
      <c r="DW21" s="9">
        <f>IF(預測IC!DW21&gt;預測IC!DW$26,1,0)</f>
        <v>1</v>
      </c>
      <c r="DX21" s="9">
        <f>IF(預測IC!DX21&gt;預測IC!DX$26,1,0)</f>
        <v>0</v>
      </c>
      <c r="DY21" s="9">
        <f>IF(預測IC!DY21&gt;預測IC!DY$26,1,0)</f>
        <v>1</v>
      </c>
      <c r="DZ21" s="9">
        <f>IF(預測IC!DZ21&gt;預測IC!DZ$26,1,0)</f>
        <v>0</v>
      </c>
      <c r="EA21" s="9">
        <f>IF(預測IC!EA21&gt;預測IC!EA$26,1,0)</f>
        <v>0</v>
      </c>
      <c r="EB21" s="9">
        <f>IF(預測IC!EB21&gt;預測IC!EB$26,1,0)</f>
        <v>0</v>
      </c>
      <c r="EC21" s="9">
        <f>IF(預測IC!EC21&gt;預測IC!EC$26,1,0)</f>
        <v>1</v>
      </c>
      <c r="ED21" s="9">
        <f>IF(預測IC!ED21&gt;預測IC!ED$26,1,0)</f>
        <v>0</v>
      </c>
      <c r="EE21" s="9">
        <f>IF(預測IC!EE21&gt;預測IC!EE$26,1,0)</f>
        <v>0</v>
      </c>
      <c r="EF21" s="9">
        <f>IF(預測IC!EF21&gt;預測IC!EF$26,1,0)</f>
        <v>1</v>
      </c>
      <c r="EG21" s="2">
        <f t="shared" si="10"/>
        <v>73</v>
      </c>
      <c r="EH21" s="16">
        <f t="shared" si="11"/>
        <v>0.54477611940298509</v>
      </c>
    </row>
    <row r="22" spans="1:138">
      <c r="A22" s="4">
        <v>321</v>
      </c>
      <c r="B22" s="4">
        <v>3</v>
      </c>
      <c r="C22" s="9">
        <f>IF(預測IC!C22&gt;預測IC!C$26,1,0)</f>
        <v>1</v>
      </c>
      <c r="D22" s="9">
        <f>IF(預測IC!D22&gt;預測IC!D$26,1,0)</f>
        <v>1</v>
      </c>
      <c r="E22" s="9">
        <f>IF(預測IC!E22&gt;預測IC!E$26,1,0)</f>
        <v>0</v>
      </c>
      <c r="F22" s="9">
        <f>IF(預測IC!F22&gt;預測IC!F$26,1,0)</f>
        <v>0</v>
      </c>
      <c r="G22" s="9">
        <f>IF(預測IC!G22&gt;預測IC!G$26,1,0)</f>
        <v>1</v>
      </c>
      <c r="H22" s="9">
        <f>IF(預測IC!H22&gt;預測IC!H$26,1,0)</f>
        <v>1</v>
      </c>
      <c r="I22" s="9">
        <f>IF(預測IC!I22&gt;預測IC!I$26,1,0)</f>
        <v>1</v>
      </c>
      <c r="J22" s="9">
        <f>IF(預測IC!J22&gt;預測IC!J$26,1,0)</f>
        <v>0</v>
      </c>
      <c r="K22" s="9">
        <f>IF(預測IC!K22&gt;預測IC!K$26,1,0)</f>
        <v>1</v>
      </c>
      <c r="L22" s="9">
        <f>IF(預測IC!L22&gt;預測IC!L$26,1,0)</f>
        <v>1</v>
      </c>
      <c r="M22" s="9">
        <f>IF(預測IC!M22&gt;預測IC!M$26,1,0)</f>
        <v>0</v>
      </c>
      <c r="N22" s="9">
        <f>IF(預測IC!N22&gt;預測IC!N$26,1,0)</f>
        <v>1</v>
      </c>
      <c r="O22" s="9">
        <f>IF(預測IC!O22&gt;預測IC!O$26,1,0)</f>
        <v>0</v>
      </c>
      <c r="P22" s="9">
        <f>IF(預測IC!P22&gt;預測IC!P$26,1,0)</f>
        <v>0</v>
      </c>
      <c r="Q22" s="9">
        <f>IF(預測IC!Q22&gt;預測IC!Q$26,1,0)</f>
        <v>1</v>
      </c>
      <c r="R22" s="9">
        <f>IF(預測IC!R22&gt;預測IC!R$26,1,0)</f>
        <v>1</v>
      </c>
      <c r="S22" s="9">
        <f>IF(預測IC!S22&gt;預測IC!S$26,1,0)</f>
        <v>0</v>
      </c>
      <c r="T22" s="9">
        <f>IF(預測IC!T22&gt;預測IC!T$26,1,0)</f>
        <v>0</v>
      </c>
      <c r="U22" s="9">
        <f>IF(預測IC!U22&gt;預測IC!U$26,1,0)</f>
        <v>1</v>
      </c>
      <c r="V22" s="9">
        <f>IF(預測IC!V22&gt;預測IC!V$26,1,0)</f>
        <v>0</v>
      </c>
      <c r="W22" s="9">
        <f>IF(預測IC!W22&gt;預測IC!W$26,1,0)</f>
        <v>1</v>
      </c>
      <c r="X22" s="9">
        <f>IF(預測IC!X22&gt;預測IC!X$26,1,0)</f>
        <v>0</v>
      </c>
      <c r="Y22" s="9">
        <f>IF(預測IC!Y22&gt;預測IC!Y$26,1,0)</f>
        <v>0</v>
      </c>
      <c r="Z22" s="9">
        <f>IF(預測IC!Z22&gt;預測IC!Z$26,1,0)</f>
        <v>1</v>
      </c>
      <c r="AA22" s="9">
        <f>IF(預測IC!AA22&gt;預測IC!AA$26,1,0)</f>
        <v>1</v>
      </c>
      <c r="AB22" s="9">
        <f>IF(預測IC!AB22&gt;預測IC!AB$26,1,0)</f>
        <v>0</v>
      </c>
      <c r="AC22" s="9">
        <f>IF(預測IC!AC22&gt;預測IC!AC$26,1,0)</f>
        <v>0</v>
      </c>
      <c r="AD22" s="9">
        <f>IF(預測IC!AD22&gt;預測IC!AD$26,1,0)</f>
        <v>1</v>
      </c>
      <c r="AE22" s="9">
        <f>IF(預測IC!AE22&gt;預測IC!AE$26,1,0)</f>
        <v>0</v>
      </c>
      <c r="AF22" s="9">
        <f>IF(預測IC!AF22&gt;預測IC!AF$26,1,0)</f>
        <v>0</v>
      </c>
      <c r="AG22" s="9">
        <f>IF(預測IC!AG22&gt;預測IC!AG$26,1,0)</f>
        <v>0</v>
      </c>
      <c r="AH22" s="9">
        <f>IF(預測IC!AH22&gt;預測IC!AH$26,1,0)</f>
        <v>0</v>
      </c>
      <c r="AI22" s="9">
        <f>IF(預測IC!AI22&gt;預測IC!AI$26,1,0)</f>
        <v>1</v>
      </c>
      <c r="AJ22" s="9">
        <f>IF(預測IC!AJ22&gt;預測IC!AJ$26,1,0)</f>
        <v>0</v>
      </c>
      <c r="AK22" s="9">
        <f>IF(預測IC!AK22&gt;預測IC!AK$26,1,0)</f>
        <v>0</v>
      </c>
      <c r="AL22" s="9">
        <f>IF(預測IC!AL22&gt;預測IC!AL$26,1,0)</f>
        <v>1</v>
      </c>
      <c r="AM22" s="9">
        <f>IF(預測IC!AM22&gt;預測IC!AM$26,1,0)</f>
        <v>1</v>
      </c>
      <c r="AN22" s="9">
        <f>IF(預測IC!AN22&gt;預測IC!AN$26,1,0)</f>
        <v>1</v>
      </c>
      <c r="AO22" s="9">
        <f>IF(預測IC!AO22&gt;預測IC!AO$26,1,0)</f>
        <v>1</v>
      </c>
      <c r="AP22" s="9">
        <f>IF(預測IC!AP22&gt;預測IC!AP$26,1,0)</f>
        <v>0</v>
      </c>
      <c r="AQ22" s="9">
        <f>IF(預測IC!AQ22&gt;預測IC!AQ$26,1,0)</f>
        <v>0</v>
      </c>
      <c r="AR22" s="9">
        <f>IF(預測IC!AR22&gt;預測IC!AR$26,1,0)</f>
        <v>0</v>
      </c>
      <c r="AS22" s="9">
        <f>IF(預測IC!AS22&gt;預測IC!AS$26,1,0)</f>
        <v>0</v>
      </c>
      <c r="AT22" s="9">
        <f>IF(預測IC!AT22&gt;預測IC!AT$26,1,0)</f>
        <v>0</v>
      </c>
      <c r="AU22" s="9">
        <f>IF(預測IC!AU22&gt;預測IC!AU$26,1,0)</f>
        <v>1</v>
      </c>
      <c r="AV22" s="9">
        <f>IF(預測IC!AV22&gt;預測IC!AV$26,1,0)</f>
        <v>0</v>
      </c>
      <c r="AW22" s="9">
        <f>IF(預測IC!AW22&gt;預測IC!AW$26,1,0)</f>
        <v>0</v>
      </c>
      <c r="AX22" s="9">
        <f>IF(預測IC!AX22&gt;預測IC!AX$26,1,0)</f>
        <v>1</v>
      </c>
      <c r="AY22" s="9">
        <f>IF(預測IC!AY22&gt;預測IC!AY$26,1,0)</f>
        <v>1</v>
      </c>
      <c r="AZ22" s="9">
        <f>IF(預測IC!AZ22&gt;預測IC!AZ$26,1,0)</f>
        <v>0</v>
      </c>
      <c r="BA22" s="9">
        <f>IF(預測IC!BA22&gt;預測IC!BA$26,1,0)</f>
        <v>0</v>
      </c>
      <c r="BB22" s="9">
        <f>IF(預測IC!BB22&gt;預測IC!BB$26,1,0)</f>
        <v>1</v>
      </c>
      <c r="BC22" s="9">
        <f>IF(預測IC!BC22&gt;預測IC!BC$26,1,0)</f>
        <v>0</v>
      </c>
      <c r="BD22" s="9">
        <f>IF(預測IC!BD22&gt;預測IC!BD$26,1,0)</f>
        <v>1</v>
      </c>
      <c r="BE22" s="9">
        <f>IF(預測IC!BE22&gt;預測IC!BE$26,1,0)</f>
        <v>1</v>
      </c>
      <c r="BF22" s="9">
        <f>IF(預測IC!BF22&gt;預測IC!BF$26,1,0)</f>
        <v>1</v>
      </c>
      <c r="BG22" s="9">
        <f>IF(預測IC!BG22&gt;預測IC!BG$26,1,0)</f>
        <v>1</v>
      </c>
      <c r="BH22" s="9">
        <f>IF(預測IC!BH22&gt;預測IC!BH$26,1,0)</f>
        <v>0</v>
      </c>
      <c r="BI22" s="9">
        <f>IF(預測IC!BI22&gt;預測IC!BI$26,1,0)</f>
        <v>1</v>
      </c>
      <c r="BJ22" s="9">
        <f>IF(預測IC!BJ22&gt;預測IC!BJ$26,1,0)</f>
        <v>1</v>
      </c>
      <c r="BK22" s="9">
        <f>IF(預測IC!BK22&gt;預測IC!BK$26,1,0)</f>
        <v>0</v>
      </c>
      <c r="BL22" s="9">
        <f>IF(預測IC!BL22&gt;預測IC!BL$26,1,0)</f>
        <v>1</v>
      </c>
      <c r="BM22" s="9">
        <f>IF(預測IC!BM22&gt;預測IC!BM$26,1,0)</f>
        <v>1</v>
      </c>
      <c r="BN22" s="9">
        <f>IF(預測IC!BN22&gt;預測IC!BN$26,1,0)</f>
        <v>0</v>
      </c>
      <c r="BO22" s="9">
        <f>IF(預測IC!BO22&gt;預測IC!BO$26,1,0)</f>
        <v>0</v>
      </c>
      <c r="BP22" s="9">
        <f>IF(預測IC!BP22&gt;預測IC!BP$26,1,0)</f>
        <v>1</v>
      </c>
      <c r="BQ22" s="9">
        <f>IF(預測IC!BQ22&gt;預測IC!BQ$26,1,0)</f>
        <v>1</v>
      </c>
      <c r="BR22" s="9">
        <f>IF(預測IC!BR22&gt;預測IC!BR$26,1,0)</f>
        <v>1</v>
      </c>
      <c r="BS22" s="9">
        <f>IF(預測IC!BS22&gt;預測IC!BS$26,1,0)</f>
        <v>0</v>
      </c>
      <c r="BT22" s="9">
        <f>IF(預測IC!BT22&gt;預測IC!BT$26,1,0)</f>
        <v>1</v>
      </c>
      <c r="BU22" s="9">
        <f>IF(預測IC!BU22&gt;預測IC!BU$26,1,0)</f>
        <v>1</v>
      </c>
      <c r="BV22" s="9">
        <f>IF(預測IC!BV22&gt;預測IC!BV$26,1,0)</f>
        <v>1</v>
      </c>
      <c r="BW22" s="9">
        <f>IF(預測IC!BW22&gt;預測IC!BW$26,1,0)</f>
        <v>0</v>
      </c>
      <c r="BX22" s="9">
        <f>IF(預測IC!BX22&gt;預測IC!BX$26,1,0)</f>
        <v>1</v>
      </c>
      <c r="BY22" s="9">
        <f>IF(預測IC!BY22&gt;預測IC!BY$26,1,0)</f>
        <v>1</v>
      </c>
      <c r="BZ22" s="9">
        <f>IF(預測IC!BZ22&gt;預測IC!BZ$26,1,0)</f>
        <v>0</v>
      </c>
      <c r="CA22" s="9">
        <f>IF(預測IC!CA22&gt;預測IC!CA$26,1,0)</f>
        <v>0</v>
      </c>
      <c r="CB22" s="9">
        <f>IF(預測IC!CB22&gt;預測IC!CB$26,1,0)</f>
        <v>0</v>
      </c>
      <c r="CC22" s="9">
        <f>IF(預測IC!CC22&gt;預測IC!CC$26,1,0)</f>
        <v>0</v>
      </c>
      <c r="CD22" s="9">
        <f>IF(預測IC!CD22&gt;預測IC!CD$26,1,0)</f>
        <v>1</v>
      </c>
      <c r="CE22" s="9">
        <f>IF(預測IC!CE22&gt;預測IC!CE$26,1,0)</f>
        <v>0</v>
      </c>
      <c r="CF22" s="9">
        <f>IF(預測IC!CF22&gt;預測IC!CF$26,1,0)</f>
        <v>1</v>
      </c>
      <c r="CG22" s="9">
        <f>IF(預測IC!CG22&gt;預測IC!CG$26,1,0)</f>
        <v>0</v>
      </c>
      <c r="CH22" s="9">
        <f>IF(預測IC!CH22&gt;預測IC!CH$26,1,0)</f>
        <v>1</v>
      </c>
      <c r="CI22" s="9">
        <f>IF(預測IC!CI22&gt;預測IC!CI$26,1,0)</f>
        <v>0</v>
      </c>
      <c r="CJ22" s="9">
        <f>IF(預測IC!CJ22&gt;預測IC!CJ$26,1,0)</f>
        <v>0</v>
      </c>
      <c r="CK22" s="9">
        <f>IF(預測IC!CK22&gt;預測IC!CK$26,1,0)</f>
        <v>1</v>
      </c>
      <c r="CL22" s="9">
        <f>IF(預測IC!CL22&gt;預測IC!CL$26,1,0)</f>
        <v>0</v>
      </c>
      <c r="CM22" s="9">
        <f>IF(預測IC!CM22&gt;預測IC!CM$26,1,0)</f>
        <v>1</v>
      </c>
      <c r="CN22" s="9">
        <f>IF(預測IC!CN22&gt;預測IC!CN$26,1,0)</f>
        <v>0</v>
      </c>
      <c r="CO22" s="9">
        <f>IF(預測IC!CO22&gt;預測IC!CO$26,1,0)</f>
        <v>0</v>
      </c>
      <c r="CP22" s="9">
        <f>IF(預測IC!CP22&gt;預測IC!CP$26,1,0)</f>
        <v>1</v>
      </c>
      <c r="CQ22" s="9">
        <f>IF(預測IC!CQ22&gt;預測IC!CQ$26,1,0)</f>
        <v>1</v>
      </c>
      <c r="CR22" s="9">
        <f>IF(預測IC!CR22&gt;預測IC!CR$26,1,0)</f>
        <v>1</v>
      </c>
      <c r="CS22" s="9">
        <f>IF(預測IC!CS22&gt;預測IC!CS$26,1,0)</f>
        <v>0</v>
      </c>
      <c r="CT22" s="9">
        <f>IF(預測IC!CT22&gt;預測IC!CT$26,1,0)</f>
        <v>1</v>
      </c>
      <c r="CU22" s="9">
        <f>IF(預測IC!CU22&gt;預測IC!CU$26,1,0)</f>
        <v>0</v>
      </c>
      <c r="CV22" s="9">
        <f>IF(預測IC!CV22&gt;預測IC!CV$26,1,0)</f>
        <v>1</v>
      </c>
      <c r="CW22" s="9">
        <f>IF(預測IC!CW22&gt;預測IC!CW$26,1,0)</f>
        <v>1</v>
      </c>
      <c r="CX22" s="9">
        <f>IF(預測IC!CX22&gt;預測IC!CX$26,1,0)</f>
        <v>1</v>
      </c>
      <c r="CY22" s="9">
        <f>IF(預測IC!CY22&gt;預測IC!CY$26,1,0)</f>
        <v>0</v>
      </c>
      <c r="CZ22" s="9">
        <f>IF(預測IC!CZ22&gt;預測IC!CZ$26,1,0)</f>
        <v>1</v>
      </c>
      <c r="DA22" s="9">
        <f>IF(預測IC!DA22&gt;預測IC!DA$26,1,0)</f>
        <v>0</v>
      </c>
      <c r="DB22" s="9">
        <f>IF(預測IC!DB22&gt;預測IC!DB$26,1,0)</f>
        <v>0</v>
      </c>
      <c r="DC22" s="9">
        <f>IF(預測IC!DC22&gt;預測IC!DC$26,1,0)</f>
        <v>1</v>
      </c>
      <c r="DD22" s="9">
        <f>IF(預測IC!DD22&gt;預測IC!DD$26,1,0)</f>
        <v>1</v>
      </c>
      <c r="DE22" s="9">
        <f>IF(預測IC!DE22&gt;預測IC!DE$26,1,0)</f>
        <v>0</v>
      </c>
      <c r="DF22" s="9">
        <f>IF(預測IC!DF22&gt;預測IC!DF$26,1,0)</f>
        <v>1</v>
      </c>
      <c r="DG22" s="9">
        <f>IF(預測IC!DG22&gt;預測IC!DG$26,1,0)</f>
        <v>0</v>
      </c>
      <c r="DH22" s="9">
        <f>IF(預測IC!DH22&gt;預測IC!DH$26,1,0)</f>
        <v>0</v>
      </c>
      <c r="DI22" s="9">
        <f>IF(預測IC!DI22&gt;預測IC!DI$26,1,0)</f>
        <v>1</v>
      </c>
      <c r="DJ22" s="9">
        <f>IF(預測IC!DJ22&gt;預測IC!DJ$26,1,0)</f>
        <v>0</v>
      </c>
      <c r="DK22" s="9">
        <f>IF(預測IC!DK22&gt;預測IC!DK$26,1,0)</f>
        <v>1</v>
      </c>
      <c r="DL22" s="9">
        <f>IF(預測IC!DL22&gt;預測IC!DL$26,1,0)</f>
        <v>1</v>
      </c>
      <c r="DM22" s="9">
        <f>IF(預測IC!DM22&gt;預測IC!DM$26,1,0)</f>
        <v>0</v>
      </c>
      <c r="DN22" s="9">
        <f>IF(預測IC!DN22&gt;預測IC!DN$26,1,0)</f>
        <v>1</v>
      </c>
      <c r="DO22" s="9">
        <f>IF(預測IC!DO22&gt;預測IC!DO$26,1,0)</f>
        <v>1</v>
      </c>
      <c r="DP22" s="9">
        <f>IF(預測IC!DP22&gt;預測IC!DP$26,1,0)</f>
        <v>1</v>
      </c>
      <c r="DQ22" s="9">
        <f>IF(預測IC!DQ22&gt;預測IC!DQ$26,1,0)</f>
        <v>0</v>
      </c>
      <c r="DR22" s="9">
        <f>IF(預測IC!DR22&gt;預測IC!DR$26,1,0)</f>
        <v>0</v>
      </c>
      <c r="DS22" s="9">
        <f>IF(預測IC!DS22&gt;預測IC!DS$26,1,0)</f>
        <v>0</v>
      </c>
      <c r="DT22" s="9">
        <f>IF(預測IC!DT22&gt;預測IC!DT$26,1,0)</f>
        <v>0</v>
      </c>
      <c r="DU22" s="9">
        <f>IF(預測IC!DU22&gt;預測IC!DU$26,1,0)</f>
        <v>0</v>
      </c>
      <c r="DV22" s="9">
        <f>IF(預測IC!DV22&gt;預測IC!DV$26,1,0)</f>
        <v>1</v>
      </c>
      <c r="DW22" s="9">
        <f>IF(預測IC!DW22&gt;預測IC!DW$26,1,0)</f>
        <v>1</v>
      </c>
      <c r="DX22" s="9">
        <f>IF(預測IC!DX22&gt;預測IC!DX$26,1,0)</f>
        <v>0</v>
      </c>
      <c r="DY22" s="9">
        <f>IF(預測IC!DY22&gt;預測IC!DY$26,1,0)</f>
        <v>1</v>
      </c>
      <c r="DZ22" s="9">
        <f>IF(預測IC!DZ22&gt;預測IC!DZ$26,1,0)</f>
        <v>0</v>
      </c>
      <c r="EA22" s="9">
        <f>IF(預測IC!EA22&gt;預測IC!EA$26,1,0)</f>
        <v>0</v>
      </c>
      <c r="EB22" s="9">
        <f>IF(預測IC!EB22&gt;預測IC!EB$26,1,0)</f>
        <v>0</v>
      </c>
      <c r="EC22" s="9">
        <f>IF(預測IC!EC22&gt;預測IC!EC$26,1,0)</f>
        <v>1</v>
      </c>
      <c r="ED22" s="9">
        <f>IF(預測IC!ED22&gt;預測IC!ED$26,1,0)</f>
        <v>0</v>
      </c>
      <c r="EE22" s="9">
        <f>IF(預測IC!EE22&gt;預測IC!EE$26,1,0)</f>
        <v>1</v>
      </c>
      <c r="EF22" s="9">
        <f>IF(預測IC!EF22&gt;預測IC!EF$26,1,0)</f>
        <v>0</v>
      </c>
      <c r="EG22" s="2">
        <f t="shared" si="10"/>
        <v>67</v>
      </c>
      <c r="EH22" s="16">
        <f t="shared" si="11"/>
        <v>0.5</v>
      </c>
    </row>
    <row r="23" spans="1:138">
      <c r="A23" s="4">
        <v>482</v>
      </c>
      <c r="B23" s="4">
        <v>2</v>
      </c>
      <c r="C23" s="9">
        <f>IF(預測IC!C23&gt;預測IC!C$26,1,0)</f>
        <v>0</v>
      </c>
      <c r="D23" s="9">
        <f>IF(預測IC!D23&gt;預測IC!D$26,1,0)</f>
        <v>1</v>
      </c>
      <c r="E23" s="9">
        <f>IF(預測IC!E23&gt;預測IC!E$26,1,0)</f>
        <v>0</v>
      </c>
      <c r="F23" s="9">
        <f>IF(預測IC!F23&gt;預測IC!F$26,1,0)</f>
        <v>1</v>
      </c>
      <c r="G23" s="9">
        <f>IF(預測IC!G23&gt;預測IC!G$26,1,0)</f>
        <v>1</v>
      </c>
      <c r="H23" s="9">
        <f>IF(預測IC!H23&gt;預測IC!H$26,1,0)</f>
        <v>0</v>
      </c>
      <c r="I23" s="9">
        <f>IF(預測IC!I23&gt;預測IC!I$26,1,0)</f>
        <v>1</v>
      </c>
      <c r="J23" s="9">
        <f>IF(預測IC!J23&gt;預測IC!J$26,1,0)</f>
        <v>0</v>
      </c>
      <c r="K23" s="9">
        <f>IF(預測IC!K23&gt;預測IC!K$26,1,0)</f>
        <v>0</v>
      </c>
      <c r="L23" s="9">
        <f>IF(預測IC!L23&gt;預測IC!L$26,1,0)</f>
        <v>1</v>
      </c>
      <c r="M23" s="9">
        <f>IF(預測IC!M23&gt;預測IC!M$26,1,0)</f>
        <v>0</v>
      </c>
      <c r="N23" s="9">
        <f>IF(預測IC!N23&gt;預測IC!N$26,1,0)</f>
        <v>1</v>
      </c>
      <c r="O23" s="9">
        <f>IF(預測IC!O23&gt;預測IC!O$26,1,0)</f>
        <v>0</v>
      </c>
      <c r="P23" s="9">
        <f>IF(預測IC!P23&gt;預測IC!P$26,1,0)</f>
        <v>0</v>
      </c>
      <c r="Q23" s="9">
        <f>IF(預測IC!Q23&gt;預測IC!Q$26,1,0)</f>
        <v>1</v>
      </c>
      <c r="R23" s="9">
        <f>IF(預測IC!R23&gt;預測IC!R$26,1,0)</f>
        <v>1</v>
      </c>
      <c r="S23" s="9">
        <f>IF(預測IC!S23&gt;預測IC!S$26,1,0)</f>
        <v>0</v>
      </c>
      <c r="T23" s="9">
        <f>IF(預測IC!T23&gt;預測IC!T$26,1,0)</f>
        <v>0</v>
      </c>
      <c r="U23" s="9">
        <f>IF(預測IC!U23&gt;預測IC!U$26,1,0)</f>
        <v>1</v>
      </c>
      <c r="V23" s="9">
        <f>IF(預測IC!V23&gt;預測IC!V$26,1,0)</f>
        <v>0</v>
      </c>
      <c r="W23" s="9">
        <f>IF(預測IC!W23&gt;預測IC!W$26,1,0)</f>
        <v>1</v>
      </c>
      <c r="X23" s="9">
        <f>IF(預測IC!X23&gt;預測IC!X$26,1,0)</f>
        <v>0</v>
      </c>
      <c r="Y23" s="9">
        <f>IF(預測IC!Y23&gt;預測IC!Y$26,1,0)</f>
        <v>0</v>
      </c>
      <c r="Z23" s="9">
        <f>IF(預測IC!Z23&gt;預測IC!Z$26,1,0)</f>
        <v>1</v>
      </c>
      <c r="AA23" s="9">
        <f>IF(預測IC!AA23&gt;預測IC!AA$26,1,0)</f>
        <v>1</v>
      </c>
      <c r="AB23" s="9">
        <f>IF(預測IC!AB23&gt;預測IC!AB$26,1,0)</f>
        <v>0</v>
      </c>
      <c r="AC23" s="9">
        <f>IF(預測IC!AC23&gt;預測IC!AC$26,1,0)</f>
        <v>0</v>
      </c>
      <c r="AD23" s="9">
        <f>IF(預測IC!AD23&gt;預測IC!AD$26,1,0)</f>
        <v>1</v>
      </c>
      <c r="AE23" s="9">
        <f>IF(預測IC!AE23&gt;預測IC!AE$26,1,0)</f>
        <v>0</v>
      </c>
      <c r="AF23" s="9">
        <f>IF(預測IC!AF23&gt;預測IC!AF$26,1,0)</f>
        <v>0</v>
      </c>
      <c r="AG23" s="9">
        <f>IF(預測IC!AG23&gt;預測IC!AG$26,1,0)</f>
        <v>0</v>
      </c>
      <c r="AH23" s="9">
        <f>IF(預測IC!AH23&gt;預測IC!AH$26,1,0)</f>
        <v>1</v>
      </c>
      <c r="AI23" s="9">
        <f>IF(預測IC!AI23&gt;預測IC!AI$26,1,0)</f>
        <v>1</v>
      </c>
      <c r="AJ23" s="9">
        <f>IF(預測IC!AJ23&gt;預測IC!AJ$26,1,0)</f>
        <v>1</v>
      </c>
      <c r="AK23" s="9">
        <f>IF(預測IC!AK23&gt;預測IC!AK$26,1,0)</f>
        <v>1</v>
      </c>
      <c r="AL23" s="9">
        <f>IF(預測IC!AL23&gt;預測IC!AL$26,1,0)</f>
        <v>1</v>
      </c>
      <c r="AM23" s="9">
        <f>IF(預測IC!AM23&gt;預測IC!AM$26,1,0)</f>
        <v>1</v>
      </c>
      <c r="AN23" s="9">
        <f>IF(預測IC!AN23&gt;預測IC!AN$26,1,0)</f>
        <v>1</v>
      </c>
      <c r="AO23" s="9">
        <f>IF(預測IC!AO23&gt;預測IC!AO$26,1,0)</f>
        <v>1</v>
      </c>
      <c r="AP23" s="9">
        <f>IF(預測IC!AP23&gt;預測IC!AP$26,1,0)</f>
        <v>0</v>
      </c>
      <c r="AQ23" s="9">
        <f>IF(預測IC!AQ23&gt;預測IC!AQ$26,1,0)</f>
        <v>0</v>
      </c>
      <c r="AR23" s="9">
        <f>IF(預測IC!AR23&gt;預測IC!AR$26,1,0)</f>
        <v>0</v>
      </c>
      <c r="AS23" s="9">
        <f>IF(預測IC!AS23&gt;預測IC!AS$26,1,0)</f>
        <v>1</v>
      </c>
      <c r="AT23" s="9">
        <f>IF(預測IC!AT23&gt;預測IC!AT$26,1,0)</f>
        <v>0</v>
      </c>
      <c r="AU23" s="9">
        <f>IF(預測IC!AU23&gt;預測IC!AU$26,1,0)</f>
        <v>1</v>
      </c>
      <c r="AV23" s="9">
        <f>IF(預測IC!AV23&gt;預測IC!AV$26,1,0)</f>
        <v>0</v>
      </c>
      <c r="AW23" s="9">
        <f>IF(預測IC!AW23&gt;預測IC!AW$26,1,0)</f>
        <v>0</v>
      </c>
      <c r="AX23" s="9">
        <f>IF(預測IC!AX23&gt;預測IC!AX$26,1,0)</f>
        <v>1</v>
      </c>
      <c r="AY23" s="9">
        <f>IF(預測IC!AY23&gt;預測IC!AY$26,1,0)</f>
        <v>1</v>
      </c>
      <c r="AZ23" s="9">
        <f>IF(預測IC!AZ23&gt;預測IC!AZ$26,1,0)</f>
        <v>0</v>
      </c>
      <c r="BA23" s="9">
        <f>IF(預測IC!BA23&gt;預測IC!BA$26,1,0)</f>
        <v>1</v>
      </c>
      <c r="BB23" s="9">
        <f>IF(預測IC!BB23&gt;預測IC!BB$26,1,0)</f>
        <v>0</v>
      </c>
      <c r="BC23" s="9">
        <f>IF(預測IC!BC23&gt;預測IC!BC$26,1,0)</f>
        <v>0</v>
      </c>
      <c r="BD23" s="9">
        <f>IF(預測IC!BD23&gt;預測IC!BD$26,1,0)</f>
        <v>1</v>
      </c>
      <c r="BE23" s="9">
        <f>IF(預測IC!BE23&gt;預測IC!BE$26,1,0)</f>
        <v>0</v>
      </c>
      <c r="BF23" s="9">
        <f>IF(預測IC!BF23&gt;預測IC!BF$26,1,0)</f>
        <v>0</v>
      </c>
      <c r="BG23" s="9">
        <f>IF(預測IC!BG23&gt;預測IC!BG$26,1,0)</f>
        <v>1</v>
      </c>
      <c r="BH23" s="9">
        <f>IF(預測IC!BH23&gt;預測IC!BH$26,1,0)</f>
        <v>0</v>
      </c>
      <c r="BI23" s="9">
        <f>IF(預測IC!BI23&gt;預測IC!BI$26,1,0)</f>
        <v>1</v>
      </c>
      <c r="BJ23" s="9">
        <f>IF(預測IC!BJ23&gt;預測IC!BJ$26,1,0)</f>
        <v>1</v>
      </c>
      <c r="BK23" s="9">
        <f>IF(預測IC!BK23&gt;預測IC!BK$26,1,0)</f>
        <v>0</v>
      </c>
      <c r="BL23" s="9">
        <f>IF(預測IC!BL23&gt;預測IC!BL$26,1,0)</f>
        <v>1</v>
      </c>
      <c r="BM23" s="9">
        <f>IF(預測IC!BM23&gt;預測IC!BM$26,1,0)</f>
        <v>1</v>
      </c>
      <c r="BN23" s="9">
        <f>IF(預測IC!BN23&gt;預測IC!BN$26,1,0)</f>
        <v>0</v>
      </c>
      <c r="BO23" s="9">
        <f>IF(預測IC!BO23&gt;預測IC!BO$26,1,0)</f>
        <v>0</v>
      </c>
      <c r="BP23" s="9">
        <f>IF(預測IC!BP23&gt;預測IC!BP$26,1,0)</f>
        <v>1</v>
      </c>
      <c r="BQ23" s="9">
        <f>IF(預測IC!BQ23&gt;預測IC!BQ$26,1,0)</f>
        <v>1</v>
      </c>
      <c r="BR23" s="9">
        <f>IF(預測IC!BR23&gt;預測IC!BR$26,1,0)</f>
        <v>1</v>
      </c>
      <c r="BS23" s="9">
        <f>IF(預測IC!BS23&gt;預測IC!BS$26,1,0)</f>
        <v>0</v>
      </c>
      <c r="BT23" s="9">
        <f>IF(預測IC!BT23&gt;預測IC!BT$26,1,0)</f>
        <v>1</v>
      </c>
      <c r="BU23" s="9">
        <f>IF(預測IC!BU23&gt;預測IC!BU$26,1,0)</f>
        <v>1</v>
      </c>
      <c r="BV23" s="9">
        <f>IF(預測IC!BV23&gt;預測IC!BV$26,1,0)</f>
        <v>1</v>
      </c>
      <c r="BW23" s="9">
        <f>IF(預測IC!BW23&gt;預測IC!BW$26,1,0)</f>
        <v>0</v>
      </c>
      <c r="BX23" s="9">
        <f>IF(預測IC!BX23&gt;預測IC!BX$26,1,0)</f>
        <v>1</v>
      </c>
      <c r="BY23" s="9">
        <f>IF(預測IC!BY23&gt;預測IC!BY$26,1,0)</f>
        <v>1</v>
      </c>
      <c r="BZ23" s="9">
        <f>IF(預測IC!BZ23&gt;預測IC!BZ$26,1,0)</f>
        <v>0</v>
      </c>
      <c r="CA23" s="9">
        <f>IF(預測IC!CA23&gt;預測IC!CA$26,1,0)</f>
        <v>0</v>
      </c>
      <c r="CB23" s="9">
        <f>IF(預測IC!CB23&gt;預測IC!CB$26,1,0)</f>
        <v>0</v>
      </c>
      <c r="CC23" s="9">
        <f>IF(預測IC!CC23&gt;預測IC!CC$26,1,0)</f>
        <v>1</v>
      </c>
      <c r="CD23" s="9">
        <f>IF(預測IC!CD23&gt;預測IC!CD$26,1,0)</f>
        <v>1</v>
      </c>
      <c r="CE23" s="9">
        <f>IF(預測IC!CE23&gt;預測IC!CE$26,1,0)</f>
        <v>0</v>
      </c>
      <c r="CF23" s="9">
        <f>IF(預測IC!CF23&gt;預測IC!CF$26,1,0)</f>
        <v>1</v>
      </c>
      <c r="CG23" s="9">
        <f>IF(預測IC!CG23&gt;預測IC!CG$26,1,0)</f>
        <v>0</v>
      </c>
      <c r="CH23" s="9">
        <f>IF(預測IC!CH23&gt;預測IC!CH$26,1,0)</f>
        <v>1</v>
      </c>
      <c r="CI23" s="9">
        <f>IF(預測IC!CI23&gt;預測IC!CI$26,1,0)</f>
        <v>0</v>
      </c>
      <c r="CJ23" s="9">
        <f>IF(預測IC!CJ23&gt;預測IC!CJ$26,1,0)</f>
        <v>0</v>
      </c>
      <c r="CK23" s="9">
        <f>IF(預測IC!CK23&gt;預測IC!CK$26,1,0)</f>
        <v>1</v>
      </c>
      <c r="CL23" s="9">
        <f>IF(預測IC!CL23&gt;預測IC!CL$26,1,0)</f>
        <v>0</v>
      </c>
      <c r="CM23" s="9">
        <f>IF(預測IC!CM23&gt;預測IC!CM$26,1,0)</f>
        <v>1</v>
      </c>
      <c r="CN23" s="9">
        <f>IF(預測IC!CN23&gt;預測IC!CN$26,1,0)</f>
        <v>0</v>
      </c>
      <c r="CO23" s="9">
        <f>IF(預測IC!CO23&gt;預測IC!CO$26,1,0)</f>
        <v>0</v>
      </c>
      <c r="CP23" s="9">
        <f>IF(預測IC!CP23&gt;預測IC!CP$26,1,0)</f>
        <v>1</v>
      </c>
      <c r="CQ23" s="9">
        <f>IF(預測IC!CQ23&gt;預測IC!CQ$26,1,0)</f>
        <v>1</v>
      </c>
      <c r="CR23" s="9">
        <f>IF(預測IC!CR23&gt;預測IC!CR$26,1,0)</f>
        <v>1</v>
      </c>
      <c r="CS23" s="9">
        <f>IF(預測IC!CS23&gt;預測IC!CS$26,1,0)</f>
        <v>0</v>
      </c>
      <c r="CT23" s="9">
        <f>IF(預測IC!CT23&gt;預測IC!CT$26,1,0)</f>
        <v>1</v>
      </c>
      <c r="CU23" s="9">
        <f>IF(預測IC!CU23&gt;預測IC!CU$26,1,0)</f>
        <v>1</v>
      </c>
      <c r="CV23" s="9">
        <f>IF(預測IC!CV23&gt;預測IC!CV$26,1,0)</f>
        <v>0</v>
      </c>
      <c r="CW23" s="9">
        <f>IF(預測IC!CW23&gt;預測IC!CW$26,1,0)</f>
        <v>1</v>
      </c>
      <c r="CX23" s="9">
        <f>IF(預測IC!CX23&gt;預測IC!CX$26,1,0)</f>
        <v>0</v>
      </c>
      <c r="CY23" s="9">
        <f>IF(預測IC!CY23&gt;預測IC!CY$26,1,0)</f>
        <v>1</v>
      </c>
      <c r="CZ23" s="9">
        <f>IF(預測IC!CZ23&gt;預測IC!CZ$26,1,0)</f>
        <v>1</v>
      </c>
      <c r="DA23" s="9">
        <f>IF(預測IC!DA23&gt;預測IC!DA$26,1,0)</f>
        <v>0</v>
      </c>
      <c r="DB23" s="9">
        <f>IF(預測IC!DB23&gt;預測IC!DB$26,1,0)</f>
        <v>0</v>
      </c>
      <c r="DC23" s="9">
        <f>IF(預測IC!DC23&gt;預測IC!DC$26,1,0)</f>
        <v>1</v>
      </c>
      <c r="DD23" s="9">
        <f>IF(預測IC!DD23&gt;預測IC!DD$26,1,0)</f>
        <v>1</v>
      </c>
      <c r="DE23" s="9">
        <f>IF(預測IC!DE23&gt;預測IC!DE$26,1,0)</f>
        <v>0</v>
      </c>
      <c r="DF23" s="9">
        <f>IF(預測IC!DF23&gt;預測IC!DF$26,1,0)</f>
        <v>1</v>
      </c>
      <c r="DG23" s="9">
        <f>IF(預測IC!DG23&gt;預測IC!DG$26,1,0)</f>
        <v>0</v>
      </c>
      <c r="DH23" s="9">
        <f>IF(預測IC!DH23&gt;預測IC!DH$26,1,0)</f>
        <v>1</v>
      </c>
      <c r="DI23" s="9">
        <f>IF(預測IC!DI23&gt;預測IC!DI$26,1,0)</f>
        <v>1</v>
      </c>
      <c r="DJ23" s="9">
        <f>IF(預測IC!DJ23&gt;預測IC!DJ$26,1,0)</f>
        <v>0</v>
      </c>
      <c r="DK23" s="9">
        <f>IF(預測IC!DK23&gt;預測IC!DK$26,1,0)</f>
        <v>1</v>
      </c>
      <c r="DL23" s="9">
        <f>IF(預測IC!DL23&gt;預測IC!DL$26,1,0)</f>
        <v>1</v>
      </c>
      <c r="DM23" s="9">
        <f>IF(預測IC!DM23&gt;預測IC!DM$26,1,0)</f>
        <v>0</v>
      </c>
      <c r="DN23" s="9">
        <f>IF(預測IC!DN23&gt;預測IC!DN$26,1,0)</f>
        <v>1</v>
      </c>
      <c r="DO23" s="9">
        <f>IF(預測IC!DO23&gt;預測IC!DO$26,1,0)</f>
        <v>1</v>
      </c>
      <c r="DP23" s="9">
        <f>IF(預測IC!DP23&gt;預測IC!DP$26,1,0)</f>
        <v>1</v>
      </c>
      <c r="DQ23" s="9">
        <f>IF(預測IC!DQ23&gt;預測IC!DQ$26,1,0)</f>
        <v>0</v>
      </c>
      <c r="DR23" s="9">
        <f>IF(預測IC!DR23&gt;預測IC!DR$26,1,0)</f>
        <v>0</v>
      </c>
      <c r="DS23" s="9">
        <f>IF(預測IC!DS23&gt;預測IC!DS$26,1,0)</f>
        <v>0</v>
      </c>
      <c r="DT23" s="9">
        <f>IF(預測IC!DT23&gt;預測IC!DT$26,1,0)</f>
        <v>0</v>
      </c>
      <c r="DU23" s="9">
        <f>IF(預測IC!DU23&gt;預測IC!DU$26,1,0)</f>
        <v>0</v>
      </c>
      <c r="DV23" s="9">
        <f>IF(預測IC!DV23&gt;預測IC!DV$26,1,0)</f>
        <v>1</v>
      </c>
      <c r="DW23" s="9">
        <f>IF(預測IC!DW23&gt;預測IC!DW$26,1,0)</f>
        <v>1</v>
      </c>
      <c r="DX23" s="9">
        <f>IF(預測IC!DX23&gt;預測IC!DX$26,1,0)</f>
        <v>0</v>
      </c>
      <c r="DY23" s="9">
        <f>IF(預測IC!DY23&gt;預測IC!DY$26,1,0)</f>
        <v>1</v>
      </c>
      <c r="DZ23" s="9">
        <f>IF(預測IC!DZ23&gt;預測IC!DZ$26,1,0)</f>
        <v>0</v>
      </c>
      <c r="EA23" s="9">
        <f>IF(預測IC!EA23&gt;預測IC!EA$26,1,0)</f>
        <v>0</v>
      </c>
      <c r="EB23" s="9">
        <f>IF(預測IC!EB23&gt;預測IC!EB$26,1,0)</f>
        <v>0</v>
      </c>
      <c r="EC23" s="9">
        <f>IF(預測IC!EC23&gt;預測IC!EC$26,1,0)</f>
        <v>0</v>
      </c>
      <c r="ED23" s="9">
        <f>IF(預測IC!ED23&gt;預測IC!ED$26,1,0)</f>
        <v>0</v>
      </c>
      <c r="EE23" s="9">
        <f>IF(預測IC!EE23&gt;預測IC!EE$26,1,0)</f>
        <v>1</v>
      </c>
      <c r="EF23" s="9">
        <f>IF(預測IC!EF23&gt;預測IC!EF$26,1,0)</f>
        <v>0</v>
      </c>
      <c r="EG23" s="2">
        <f t="shared" si="10"/>
        <v>68</v>
      </c>
      <c r="EH23" s="16">
        <f t="shared" si="11"/>
        <v>0.5074626865671642</v>
      </c>
    </row>
    <row r="24" spans="1:138">
      <c r="A24" s="4">
        <v>964</v>
      </c>
      <c r="B24" s="4">
        <v>1</v>
      </c>
      <c r="C24" s="9">
        <f>IF(預測IC!C24&gt;預測IC!C$26,1,0)</f>
        <v>1</v>
      </c>
      <c r="D24" s="9">
        <f>IF(預測IC!D24&gt;預測IC!D$26,1,0)</f>
        <v>1</v>
      </c>
      <c r="E24" s="9">
        <f>IF(預測IC!E24&gt;預測IC!E$26,1,0)</f>
        <v>1</v>
      </c>
      <c r="F24" s="9">
        <f>IF(預測IC!F24&gt;預測IC!F$26,1,0)</f>
        <v>1</v>
      </c>
      <c r="G24" s="9">
        <f>IF(預測IC!G24&gt;預測IC!G$26,1,0)</f>
        <v>1</v>
      </c>
      <c r="H24" s="9">
        <f>IF(預測IC!H24&gt;預測IC!H$26,1,0)</f>
        <v>1</v>
      </c>
      <c r="I24" s="9">
        <f>IF(預測IC!I24&gt;預測IC!I$26,1,0)</f>
        <v>1</v>
      </c>
      <c r="J24" s="9">
        <f>IF(預測IC!J24&gt;預測IC!J$26,1,0)</f>
        <v>0</v>
      </c>
      <c r="K24" s="9">
        <f>IF(預測IC!K24&gt;預測IC!K$26,1,0)</f>
        <v>1</v>
      </c>
      <c r="L24" s="9">
        <f>IF(預測IC!L24&gt;預測IC!L$26,1,0)</f>
        <v>1</v>
      </c>
      <c r="M24" s="9">
        <f>IF(預測IC!M24&gt;預測IC!M$26,1,0)</f>
        <v>0</v>
      </c>
      <c r="N24" s="9">
        <f>IF(預測IC!N24&gt;預測IC!N$26,1,0)</f>
        <v>1</v>
      </c>
      <c r="O24" s="9">
        <f>IF(預測IC!O24&gt;預測IC!O$26,1,0)</f>
        <v>0</v>
      </c>
      <c r="P24" s="9">
        <f>IF(預測IC!P24&gt;預測IC!P$26,1,0)</f>
        <v>0</v>
      </c>
      <c r="Q24" s="9">
        <f>IF(預測IC!Q24&gt;預測IC!Q$26,1,0)</f>
        <v>1</v>
      </c>
      <c r="R24" s="9">
        <f>IF(預測IC!R24&gt;預測IC!R$26,1,0)</f>
        <v>0</v>
      </c>
      <c r="S24" s="9">
        <f>IF(預測IC!S24&gt;預測IC!S$26,1,0)</f>
        <v>0</v>
      </c>
      <c r="T24" s="9">
        <f>IF(預測IC!T24&gt;預測IC!T$26,1,0)</f>
        <v>0</v>
      </c>
      <c r="U24" s="9">
        <f>IF(預測IC!U24&gt;預測IC!U$26,1,0)</f>
        <v>1</v>
      </c>
      <c r="V24" s="9">
        <f>IF(預測IC!V24&gt;預測IC!V$26,1,0)</f>
        <v>0</v>
      </c>
      <c r="W24" s="9">
        <f>IF(預測IC!W24&gt;預測IC!W$26,1,0)</f>
        <v>0</v>
      </c>
      <c r="X24" s="9">
        <f>IF(預測IC!X24&gt;預測IC!X$26,1,0)</f>
        <v>0</v>
      </c>
      <c r="Y24" s="9">
        <f>IF(預測IC!Y24&gt;預測IC!Y$26,1,0)</f>
        <v>0</v>
      </c>
      <c r="Z24" s="9">
        <f>IF(預測IC!Z24&gt;預測IC!Z$26,1,0)</f>
        <v>0</v>
      </c>
      <c r="AA24" s="9">
        <f>IF(預測IC!AA24&gt;預測IC!AA$26,1,0)</f>
        <v>1</v>
      </c>
      <c r="AB24" s="9">
        <f>IF(預測IC!AB24&gt;預測IC!AB$26,1,0)</f>
        <v>0</v>
      </c>
      <c r="AC24" s="9">
        <f>IF(預測IC!AC24&gt;預測IC!AC$26,1,0)</f>
        <v>0</v>
      </c>
      <c r="AD24" s="9">
        <f>IF(預測IC!AD24&gt;預測IC!AD$26,1,0)</f>
        <v>1</v>
      </c>
      <c r="AE24" s="9">
        <f>IF(預測IC!AE24&gt;預測IC!AE$26,1,0)</f>
        <v>0</v>
      </c>
      <c r="AF24" s="9">
        <f>IF(預測IC!AF24&gt;預測IC!AF$26,1,0)</f>
        <v>0</v>
      </c>
      <c r="AG24" s="9">
        <f>IF(預測IC!AG24&gt;預測IC!AG$26,1,0)</f>
        <v>1</v>
      </c>
      <c r="AH24" s="9">
        <f>IF(預測IC!AH24&gt;預測IC!AH$26,1,0)</f>
        <v>0</v>
      </c>
      <c r="AI24" s="9">
        <f>IF(預測IC!AI24&gt;預測IC!AI$26,1,0)</f>
        <v>1</v>
      </c>
      <c r="AJ24" s="9">
        <f>IF(預測IC!AJ24&gt;預測IC!AJ$26,1,0)</f>
        <v>1</v>
      </c>
      <c r="AK24" s="9">
        <f>IF(預測IC!AK24&gt;預測IC!AK$26,1,0)</f>
        <v>1</v>
      </c>
      <c r="AL24" s="9">
        <f>IF(預測IC!AL24&gt;預測IC!AL$26,1,0)</f>
        <v>0</v>
      </c>
      <c r="AM24" s="9">
        <f>IF(預測IC!AM24&gt;預測IC!AM$26,1,0)</f>
        <v>1</v>
      </c>
      <c r="AN24" s="9">
        <f>IF(預測IC!AN24&gt;預測IC!AN$26,1,0)</f>
        <v>1</v>
      </c>
      <c r="AO24" s="9">
        <f>IF(預測IC!AO24&gt;預測IC!AO$26,1,0)</f>
        <v>1</v>
      </c>
      <c r="AP24" s="9">
        <f>IF(預測IC!AP24&gt;預測IC!AP$26,1,0)</f>
        <v>0</v>
      </c>
      <c r="AQ24" s="9">
        <f>IF(預測IC!AQ24&gt;預測IC!AQ$26,1,0)</f>
        <v>0</v>
      </c>
      <c r="AR24" s="9">
        <f>IF(預測IC!AR24&gt;預測IC!AR$26,1,0)</f>
        <v>0</v>
      </c>
      <c r="AS24" s="9">
        <f>IF(預測IC!AS24&gt;預測IC!AS$26,1,0)</f>
        <v>1</v>
      </c>
      <c r="AT24" s="9">
        <f>IF(預測IC!AT24&gt;預測IC!AT$26,1,0)</f>
        <v>1</v>
      </c>
      <c r="AU24" s="9">
        <f>IF(預測IC!AU24&gt;預測IC!AU$26,1,0)</f>
        <v>1</v>
      </c>
      <c r="AV24" s="9">
        <f>IF(預測IC!AV24&gt;預測IC!AV$26,1,0)</f>
        <v>0</v>
      </c>
      <c r="AW24" s="9">
        <f>IF(預測IC!AW24&gt;預測IC!AW$26,1,0)</f>
        <v>1</v>
      </c>
      <c r="AX24" s="9">
        <f>IF(預測IC!AX24&gt;預測IC!AX$26,1,0)</f>
        <v>1</v>
      </c>
      <c r="AY24" s="9">
        <f>IF(預測IC!AY24&gt;預測IC!AY$26,1,0)</f>
        <v>1</v>
      </c>
      <c r="AZ24" s="9">
        <f>IF(預測IC!AZ24&gt;預測IC!AZ$26,1,0)</f>
        <v>1</v>
      </c>
      <c r="BA24" s="9">
        <f>IF(預測IC!BA24&gt;預測IC!BA$26,1,0)</f>
        <v>0</v>
      </c>
      <c r="BB24" s="9">
        <f>IF(預測IC!BB24&gt;預測IC!BB$26,1,0)</f>
        <v>0</v>
      </c>
      <c r="BC24" s="9">
        <f>IF(預測IC!BC24&gt;預測IC!BC$26,1,0)</f>
        <v>0</v>
      </c>
      <c r="BD24" s="9">
        <f>IF(預測IC!BD24&gt;預測IC!BD$26,1,0)</f>
        <v>1</v>
      </c>
      <c r="BE24" s="9">
        <f>IF(預測IC!BE24&gt;預測IC!BE$26,1,0)</f>
        <v>0</v>
      </c>
      <c r="BF24" s="9">
        <f>IF(預測IC!BF24&gt;預測IC!BF$26,1,0)</f>
        <v>1</v>
      </c>
      <c r="BG24" s="9">
        <f>IF(預測IC!BG24&gt;預測IC!BG$26,1,0)</f>
        <v>1</v>
      </c>
      <c r="BH24" s="9">
        <f>IF(預測IC!BH24&gt;預測IC!BH$26,1,0)</f>
        <v>0</v>
      </c>
      <c r="BI24" s="9">
        <f>IF(預測IC!BI24&gt;預測IC!BI$26,1,0)</f>
        <v>1</v>
      </c>
      <c r="BJ24" s="9">
        <f>IF(預測IC!BJ24&gt;預測IC!BJ$26,1,0)</f>
        <v>1</v>
      </c>
      <c r="BK24" s="9">
        <f>IF(預測IC!BK24&gt;預測IC!BK$26,1,0)</f>
        <v>0</v>
      </c>
      <c r="BL24" s="9">
        <f>IF(預測IC!BL24&gt;預測IC!BL$26,1,0)</f>
        <v>1</v>
      </c>
      <c r="BM24" s="9">
        <f>IF(預測IC!BM24&gt;預測IC!BM$26,1,0)</f>
        <v>0</v>
      </c>
      <c r="BN24" s="9">
        <f>IF(預測IC!BN24&gt;預測IC!BN$26,1,0)</f>
        <v>0</v>
      </c>
      <c r="BO24" s="9">
        <f>IF(預測IC!BO24&gt;預測IC!BO$26,1,0)</f>
        <v>0</v>
      </c>
      <c r="BP24" s="9">
        <f>IF(預測IC!BP24&gt;預測IC!BP$26,1,0)</f>
        <v>1</v>
      </c>
      <c r="BQ24" s="9">
        <f>IF(預測IC!BQ24&gt;預測IC!BQ$26,1,0)</f>
        <v>0</v>
      </c>
      <c r="BR24" s="9">
        <f>IF(預測IC!BR24&gt;預測IC!BR$26,1,0)</f>
        <v>1</v>
      </c>
      <c r="BS24" s="9">
        <f>IF(預測IC!BS24&gt;預測IC!BS$26,1,0)</f>
        <v>0</v>
      </c>
      <c r="BT24" s="9">
        <f>IF(預測IC!BT24&gt;預測IC!BT$26,1,0)</f>
        <v>1</v>
      </c>
      <c r="BU24" s="9">
        <f>IF(預測IC!BU24&gt;預測IC!BU$26,1,0)</f>
        <v>1</v>
      </c>
      <c r="BV24" s="9">
        <f>IF(預測IC!BV24&gt;預測IC!BV$26,1,0)</f>
        <v>1</v>
      </c>
      <c r="BW24" s="9">
        <f>IF(預測IC!BW24&gt;預測IC!BW$26,1,0)</f>
        <v>0</v>
      </c>
      <c r="BX24" s="9">
        <f>IF(預測IC!BX24&gt;預測IC!BX$26,1,0)</f>
        <v>0</v>
      </c>
      <c r="BY24" s="9">
        <f>IF(預測IC!BY24&gt;預測IC!BY$26,1,0)</f>
        <v>1</v>
      </c>
      <c r="BZ24" s="9">
        <f>IF(預測IC!BZ24&gt;預測IC!BZ$26,1,0)</f>
        <v>1</v>
      </c>
      <c r="CA24" s="9">
        <f>IF(預測IC!CA24&gt;預測IC!CA$26,1,0)</f>
        <v>0</v>
      </c>
      <c r="CB24" s="9">
        <f>IF(預測IC!CB24&gt;預測IC!CB$26,1,0)</f>
        <v>1</v>
      </c>
      <c r="CC24" s="9">
        <f>IF(預測IC!CC24&gt;預測IC!CC$26,1,0)</f>
        <v>1</v>
      </c>
      <c r="CD24" s="9">
        <f>IF(預測IC!CD24&gt;預測IC!CD$26,1,0)</f>
        <v>1</v>
      </c>
      <c r="CE24" s="9">
        <f>IF(預測IC!CE24&gt;預測IC!CE$26,1,0)</f>
        <v>0</v>
      </c>
      <c r="CF24" s="9">
        <f>IF(預測IC!CF24&gt;預測IC!CF$26,1,0)</f>
        <v>1</v>
      </c>
      <c r="CG24" s="9">
        <f>IF(預測IC!CG24&gt;預測IC!CG$26,1,0)</f>
        <v>0</v>
      </c>
      <c r="CH24" s="9">
        <f>IF(預測IC!CH24&gt;預測IC!CH$26,1,0)</f>
        <v>1</v>
      </c>
      <c r="CI24" s="9">
        <f>IF(預測IC!CI24&gt;預測IC!CI$26,1,0)</f>
        <v>1</v>
      </c>
      <c r="CJ24" s="9">
        <f>IF(預測IC!CJ24&gt;預測IC!CJ$26,1,0)</f>
        <v>0</v>
      </c>
      <c r="CK24" s="9">
        <f>IF(預測IC!CK24&gt;預測IC!CK$26,1,0)</f>
        <v>1</v>
      </c>
      <c r="CL24" s="9">
        <f>IF(預測IC!CL24&gt;預測IC!CL$26,1,0)</f>
        <v>1</v>
      </c>
      <c r="CM24" s="9">
        <f>IF(預測IC!CM24&gt;預測IC!CM$26,1,0)</f>
        <v>1</v>
      </c>
      <c r="CN24" s="9">
        <f>IF(預測IC!CN24&gt;預測IC!CN$26,1,0)</f>
        <v>0</v>
      </c>
      <c r="CO24" s="9">
        <f>IF(預測IC!CO24&gt;預測IC!CO$26,1,0)</f>
        <v>0</v>
      </c>
      <c r="CP24" s="9">
        <f>IF(預測IC!CP24&gt;預測IC!CP$26,1,0)</f>
        <v>1</v>
      </c>
      <c r="CQ24" s="9">
        <f>IF(預測IC!CQ24&gt;預測IC!CQ$26,1,0)</f>
        <v>1</v>
      </c>
      <c r="CR24" s="9">
        <f>IF(預測IC!CR24&gt;預測IC!CR$26,1,0)</f>
        <v>1</v>
      </c>
      <c r="CS24" s="9">
        <f>IF(預測IC!CS24&gt;預測IC!CS$26,1,0)</f>
        <v>0</v>
      </c>
      <c r="CT24" s="9">
        <f>IF(預測IC!CT24&gt;預測IC!CT$26,1,0)</f>
        <v>1</v>
      </c>
      <c r="CU24" s="9">
        <f>IF(預測IC!CU24&gt;預測IC!CU$26,1,0)</f>
        <v>0</v>
      </c>
      <c r="CV24" s="9">
        <f>IF(預測IC!CV24&gt;預測IC!CV$26,1,0)</f>
        <v>1</v>
      </c>
      <c r="CW24" s="9">
        <f>IF(預測IC!CW24&gt;預測IC!CW$26,1,0)</f>
        <v>1</v>
      </c>
      <c r="CX24" s="9">
        <f>IF(預測IC!CX24&gt;預測IC!CX$26,1,0)</f>
        <v>1</v>
      </c>
      <c r="CY24" s="9">
        <f>IF(預測IC!CY24&gt;預測IC!CY$26,1,0)</f>
        <v>0</v>
      </c>
      <c r="CZ24" s="9">
        <f>IF(預測IC!CZ24&gt;預測IC!CZ$26,1,0)</f>
        <v>1</v>
      </c>
      <c r="DA24" s="9">
        <f>IF(預測IC!DA24&gt;預測IC!DA$26,1,0)</f>
        <v>1</v>
      </c>
      <c r="DB24" s="9">
        <f>IF(預測IC!DB24&gt;預測IC!DB$26,1,0)</f>
        <v>0</v>
      </c>
      <c r="DC24" s="9">
        <f>IF(預測IC!DC24&gt;預測IC!DC$26,1,0)</f>
        <v>1</v>
      </c>
      <c r="DD24" s="9">
        <f>IF(預測IC!DD24&gt;預測IC!DD$26,1,0)</f>
        <v>1</v>
      </c>
      <c r="DE24" s="9">
        <f>IF(預測IC!DE24&gt;預測IC!DE$26,1,0)</f>
        <v>0</v>
      </c>
      <c r="DF24" s="9">
        <f>IF(預測IC!DF24&gt;預測IC!DF$26,1,0)</f>
        <v>0</v>
      </c>
      <c r="DG24" s="9">
        <f>IF(預測IC!DG24&gt;預測IC!DG$26,1,0)</f>
        <v>0</v>
      </c>
      <c r="DH24" s="9">
        <f>IF(預測IC!DH24&gt;預測IC!DH$26,1,0)</f>
        <v>1</v>
      </c>
      <c r="DI24" s="9">
        <f>IF(預測IC!DI24&gt;預測IC!DI$26,1,0)</f>
        <v>1</v>
      </c>
      <c r="DJ24" s="9">
        <f>IF(預測IC!DJ24&gt;預測IC!DJ$26,1,0)</f>
        <v>0</v>
      </c>
      <c r="DK24" s="9">
        <f>IF(預測IC!DK24&gt;預測IC!DK$26,1,0)</f>
        <v>1</v>
      </c>
      <c r="DL24" s="9">
        <f>IF(預測IC!DL24&gt;預測IC!DL$26,1,0)</f>
        <v>1</v>
      </c>
      <c r="DM24" s="9">
        <f>IF(預測IC!DM24&gt;預測IC!DM$26,1,0)</f>
        <v>0</v>
      </c>
      <c r="DN24" s="9">
        <f>IF(預測IC!DN24&gt;預測IC!DN$26,1,0)</f>
        <v>1</v>
      </c>
      <c r="DO24" s="9">
        <f>IF(預測IC!DO24&gt;預測IC!DO$26,1,0)</f>
        <v>1</v>
      </c>
      <c r="DP24" s="9">
        <f>IF(預測IC!DP24&gt;預測IC!DP$26,1,0)</f>
        <v>1</v>
      </c>
      <c r="DQ24" s="9">
        <f>IF(預測IC!DQ24&gt;預測IC!DQ$26,1,0)</f>
        <v>0</v>
      </c>
      <c r="DR24" s="9">
        <f>IF(預測IC!DR24&gt;預測IC!DR$26,1,0)</f>
        <v>0</v>
      </c>
      <c r="DS24" s="9">
        <f>IF(預測IC!DS24&gt;預測IC!DS$26,1,0)</f>
        <v>0</v>
      </c>
      <c r="DT24" s="9">
        <f>IF(預測IC!DT24&gt;預測IC!DT$26,1,0)</f>
        <v>0</v>
      </c>
      <c r="DU24" s="9">
        <f>IF(預測IC!DU24&gt;預測IC!DU$26,1,0)</f>
        <v>0</v>
      </c>
      <c r="DV24" s="9">
        <f>IF(預測IC!DV24&gt;預測IC!DV$26,1,0)</f>
        <v>1</v>
      </c>
      <c r="DW24" s="9">
        <f>IF(預測IC!DW24&gt;預測IC!DW$26,1,0)</f>
        <v>1</v>
      </c>
      <c r="DX24" s="9">
        <f>IF(預測IC!DX24&gt;預測IC!DX$26,1,0)</f>
        <v>0</v>
      </c>
      <c r="DY24" s="9">
        <f>IF(預測IC!DY24&gt;預測IC!DY$26,1,0)</f>
        <v>1</v>
      </c>
      <c r="DZ24" s="9">
        <f>IF(預測IC!DZ24&gt;預測IC!DZ$26,1,0)</f>
        <v>0</v>
      </c>
      <c r="EA24" s="9">
        <f>IF(預測IC!EA24&gt;預測IC!EA$26,1,0)</f>
        <v>1</v>
      </c>
      <c r="EB24" s="9">
        <f>IF(預測IC!EB24&gt;預測IC!EB$26,1,0)</f>
        <v>1</v>
      </c>
      <c r="EC24" s="9">
        <f>IF(預測IC!EC24&gt;預測IC!EC$26,1,0)</f>
        <v>1</v>
      </c>
      <c r="ED24" s="9">
        <f>IF(預測IC!ED24&gt;預測IC!ED$26,1,0)</f>
        <v>0</v>
      </c>
      <c r="EE24" s="9">
        <f>IF(預測IC!EE24&gt;預測IC!EE$26,1,0)</f>
        <v>1</v>
      </c>
      <c r="EF24" s="9">
        <f>IF(預測IC!EF24&gt;預測IC!EF$26,1,0)</f>
        <v>1</v>
      </c>
      <c r="EG24" s="2">
        <f t="shared" si="10"/>
        <v>76</v>
      </c>
      <c r="EH24" s="16">
        <f t="shared" si="11"/>
        <v>0.56716417910447758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G25"/>
  <sheetViews>
    <sheetView tabSelected="1" topLeftCell="A6" zoomScale="178" workbookViewId="0">
      <selection activeCell="C24" sqref="C24:EF24"/>
    </sheetView>
  </sheetViews>
  <sheetFormatPr baseColWidth="10" defaultColWidth="9" defaultRowHeight="14"/>
  <cols>
    <col min="136" max="136" width="9.3984375" bestFit="1" customWidth="1"/>
  </cols>
  <sheetData>
    <row r="1" spans="1:137">
      <c r="A1" s="7" t="str">
        <f>預測IC!A1</f>
        <v>NN4</v>
      </c>
      <c r="B1" s="7"/>
    </row>
    <row r="2" spans="1:137">
      <c r="A2" s="7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5" t="s">
        <v>43</v>
      </c>
      <c r="AT2" s="5" t="s">
        <v>44</v>
      </c>
      <c r="AU2" s="5" t="s">
        <v>45</v>
      </c>
      <c r="AV2" s="5" t="s">
        <v>46</v>
      </c>
      <c r="AW2" s="5" t="s">
        <v>47</v>
      </c>
      <c r="AX2" s="5" t="s">
        <v>48</v>
      </c>
      <c r="AY2" s="5" t="s">
        <v>49</v>
      </c>
      <c r="AZ2" s="5" t="s">
        <v>50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55</v>
      </c>
      <c r="BF2" s="5" t="s">
        <v>56</v>
      </c>
      <c r="BG2" s="5" t="s">
        <v>57</v>
      </c>
      <c r="BH2" s="5" t="s">
        <v>58</v>
      </c>
      <c r="BI2" s="5" t="s">
        <v>59</v>
      </c>
      <c r="BJ2" s="5" t="s">
        <v>60</v>
      </c>
      <c r="BK2" s="5" t="s">
        <v>61</v>
      </c>
      <c r="BL2" s="5" t="s">
        <v>62</v>
      </c>
      <c r="BM2" s="5" t="s">
        <v>63</v>
      </c>
      <c r="BN2" s="5" t="s">
        <v>64</v>
      </c>
      <c r="BO2" s="5" t="s">
        <v>65</v>
      </c>
      <c r="BP2" s="5" t="s">
        <v>66</v>
      </c>
      <c r="BQ2" s="5" t="s">
        <v>67</v>
      </c>
      <c r="BR2" s="5" t="s">
        <v>68</v>
      </c>
      <c r="BS2" s="5" t="s">
        <v>69</v>
      </c>
      <c r="BT2" s="5" t="s">
        <v>70</v>
      </c>
      <c r="BU2" s="5" t="s">
        <v>71</v>
      </c>
      <c r="BV2" s="5" t="s">
        <v>72</v>
      </c>
      <c r="BW2" s="5" t="s">
        <v>73</v>
      </c>
      <c r="BX2" s="5" t="s">
        <v>74</v>
      </c>
      <c r="BY2" s="5" t="s">
        <v>75</v>
      </c>
      <c r="BZ2" s="5" t="s">
        <v>76</v>
      </c>
      <c r="CA2" s="5" t="s">
        <v>77</v>
      </c>
      <c r="CB2" s="5" t="s">
        <v>78</v>
      </c>
      <c r="CC2" s="5" t="s">
        <v>79</v>
      </c>
      <c r="CD2" s="5" t="s">
        <v>80</v>
      </c>
      <c r="CE2" s="5" t="s">
        <v>81</v>
      </c>
      <c r="CF2" s="5" t="s">
        <v>82</v>
      </c>
      <c r="CG2" s="5" t="s">
        <v>83</v>
      </c>
      <c r="CH2" s="5" t="s">
        <v>84</v>
      </c>
      <c r="CI2" s="5" t="s">
        <v>85</v>
      </c>
      <c r="CJ2" s="5" t="s">
        <v>86</v>
      </c>
      <c r="CK2" s="5" t="s">
        <v>87</v>
      </c>
      <c r="CL2" s="5" t="s">
        <v>88</v>
      </c>
      <c r="CM2" s="5" t="s">
        <v>89</v>
      </c>
      <c r="CN2" s="5" t="s">
        <v>90</v>
      </c>
      <c r="CO2" s="5" t="s">
        <v>91</v>
      </c>
      <c r="CP2" s="5" t="s">
        <v>92</v>
      </c>
      <c r="CQ2" s="5" t="s">
        <v>93</v>
      </c>
      <c r="CR2" s="5" t="s">
        <v>94</v>
      </c>
      <c r="CS2" s="5" t="s">
        <v>95</v>
      </c>
      <c r="CT2" s="5" t="s">
        <v>96</v>
      </c>
      <c r="CU2" s="5" t="s">
        <v>97</v>
      </c>
      <c r="CV2" s="5" t="s">
        <v>98</v>
      </c>
      <c r="CW2" s="5" t="s">
        <v>99</v>
      </c>
      <c r="CX2" s="5" t="s">
        <v>100</v>
      </c>
      <c r="CY2" s="5" t="s">
        <v>101</v>
      </c>
      <c r="CZ2" s="5" t="s">
        <v>102</v>
      </c>
      <c r="DA2" s="5" t="s">
        <v>103</v>
      </c>
      <c r="DB2" s="5" t="s">
        <v>104</v>
      </c>
      <c r="DC2" s="5" t="s">
        <v>105</v>
      </c>
      <c r="DD2" s="5" t="s">
        <v>106</v>
      </c>
      <c r="DE2" s="5" t="s">
        <v>107</v>
      </c>
      <c r="DF2" s="5" t="s">
        <v>108</v>
      </c>
      <c r="DG2" s="5" t="s">
        <v>109</v>
      </c>
      <c r="DH2" s="5" t="s">
        <v>110</v>
      </c>
      <c r="DI2" s="5" t="s">
        <v>111</v>
      </c>
      <c r="DJ2" s="5" t="s">
        <v>112</v>
      </c>
      <c r="DK2" s="5" t="s">
        <v>113</v>
      </c>
      <c r="DL2" s="5" t="s">
        <v>114</v>
      </c>
      <c r="DM2" s="5" t="s">
        <v>115</v>
      </c>
      <c r="DN2" s="5" t="s">
        <v>116</v>
      </c>
      <c r="DO2" s="5" t="s">
        <v>117</v>
      </c>
      <c r="DP2" s="5" t="s">
        <v>118</v>
      </c>
      <c r="DQ2" s="5" t="s">
        <v>119</v>
      </c>
      <c r="DR2" s="5" t="s">
        <v>120</v>
      </c>
      <c r="DS2" s="5" t="s">
        <v>121</v>
      </c>
      <c r="DT2" s="5" t="s">
        <v>122</v>
      </c>
      <c r="DU2" s="5" t="s">
        <v>123</v>
      </c>
      <c r="DV2" s="5" t="s">
        <v>124</v>
      </c>
      <c r="DW2" s="5" t="s">
        <v>125</v>
      </c>
      <c r="DX2" s="5" t="s">
        <v>126</v>
      </c>
      <c r="DY2" s="5" t="s">
        <v>127</v>
      </c>
      <c r="DZ2" s="5" t="s">
        <v>128</v>
      </c>
      <c r="EA2" s="5" t="s">
        <v>129</v>
      </c>
      <c r="EB2" s="5" t="s">
        <v>130</v>
      </c>
      <c r="EC2" s="5" t="s">
        <v>131</v>
      </c>
      <c r="ED2" s="5" t="s">
        <v>132</v>
      </c>
      <c r="EE2" s="5" t="s">
        <v>133</v>
      </c>
      <c r="EF2" s="5" t="s">
        <v>134</v>
      </c>
      <c r="EG2" s="5" t="s">
        <v>135</v>
      </c>
    </row>
    <row r="3" spans="1:137">
      <c r="A3" s="7"/>
      <c r="B3" s="5" t="s">
        <v>136</v>
      </c>
      <c r="C3" s="26">
        <f>預測IC!C3</f>
        <v>5.338069424033165E-2</v>
      </c>
      <c r="D3" s="26">
        <f>預測IC!D3</f>
        <v>2.5363307446241379E-2</v>
      </c>
      <c r="E3" s="26">
        <f>預測IC!E3</f>
        <v>3.7131085991859443E-2</v>
      </c>
      <c r="F3" s="26">
        <f>預測IC!F3</f>
        <v>-1.5433895401656629E-2</v>
      </c>
      <c r="G3" s="26">
        <f>預測IC!G3</f>
        <v>3.8762547075748437E-2</v>
      </c>
      <c r="H3" s="26">
        <f>預測IC!H3</f>
        <v>1.892003417015076E-2</v>
      </c>
      <c r="I3" s="26">
        <f>預測IC!I3</f>
        <v>3.051983006298542E-2</v>
      </c>
      <c r="J3" s="26">
        <f>預測IC!J3</f>
        <v>-7.0650950074195862E-3</v>
      </c>
      <c r="K3" s="26">
        <f>預測IC!K3</f>
        <v>8.7663400918245316E-3</v>
      </c>
      <c r="L3" s="26">
        <f>預測IC!L3</f>
        <v>-1.6310771927237511E-2</v>
      </c>
      <c r="M3" s="26">
        <f>預測IC!M3</f>
        <v>2.2654309868812561E-2</v>
      </c>
      <c r="N3" s="26">
        <f>預測IC!N3</f>
        <v>-1.6186010092496868E-2</v>
      </c>
      <c r="O3" s="26">
        <f>預測IC!O3</f>
        <v>-2.7719441801309589E-2</v>
      </c>
      <c r="P3" s="26">
        <f>預測IC!P3</f>
        <v>9.2788353562355042E-2</v>
      </c>
      <c r="Q3" s="26">
        <f>預測IC!Q3</f>
        <v>-1.6570717096328739E-2</v>
      </c>
      <c r="R3" s="26">
        <f>預測IC!R3</f>
        <v>-1.4206883497536181E-2</v>
      </c>
      <c r="S3" s="26">
        <f>預測IC!S3</f>
        <v>4.957927018404007E-2</v>
      </c>
      <c r="T3" s="26">
        <f>預測IC!T3</f>
        <v>2.795058116316795E-2</v>
      </c>
      <c r="U3" s="26">
        <f>預測IC!U3</f>
        <v>1.4803186058998111E-4</v>
      </c>
      <c r="V3" s="26">
        <f>預測IC!V3</f>
        <v>-1.9191417843103409E-2</v>
      </c>
      <c r="W3" s="26">
        <f>預測IC!W3</f>
        <v>-2.0450763404369351E-2</v>
      </c>
      <c r="X3" s="26">
        <f>預測IC!X3</f>
        <v>-3.8444548845291138E-2</v>
      </c>
      <c r="Y3" s="26">
        <f>預測IC!Y3</f>
        <v>-2.1946478635072712E-2</v>
      </c>
      <c r="Z3" s="26">
        <f>預測IC!Z3</f>
        <v>1.4381051063537599E-2</v>
      </c>
      <c r="AA3" s="26">
        <f>預測IC!AA3</f>
        <v>2.881650626659393E-2</v>
      </c>
      <c r="AB3" s="26">
        <f>預測IC!AB3</f>
        <v>-2.372733503580093E-2</v>
      </c>
      <c r="AC3" s="26">
        <f>預測IC!AC3</f>
        <v>-1.292891800403595E-2</v>
      </c>
      <c r="AD3" s="26">
        <f>預測IC!AD3</f>
        <v>2.2476669400930401E-2</v>
      </c>
      <c r="AE3" s="26">
        <f>預測IC!AE3</f>
        <v>3.8704991340637207E-2</v>
      </c>
      <c r="AF3" s="26">
        <f>預測IC!AF3</f>
        <v>1.200170814990997E-2</v>
      </c>
      <c r="AG3" s="26">
        <f>預測IC!AG3</f>
        <v>-2.7202442288398739E-2</v>
      </c>
      <c r="AH3" s="26">
        <f>預測IC!AH3</f>
        <v>1.702401414513588E-2</v>
      </c>
      <c r="AI3" s="26">
        <f>預測IC!AI3</f>
        <v>1.4300147071480749E-2</v>
      </c>
      <c r="AJ3" s="26">
        <f>預測IC!AJ3</f>
        <v>1.841375045478344E-2</v>
      </c>
      <c r="AK3" s="26">
        <f>預測IC!AK3</f>
        <v>1.0560634545981881E-2</v>
      </c>
      <c r="AL3" s="26">
        <f>預測IC!AL3</f>
        <v>3.8964591920375817E-2</v>
      </c>
      <c r="AM3" s="26">
        <f>預測IC!AM3</f>
        <v>1.855255663394928E-2</v>
      </c>
      <c r="AN3" s="26">
        <f>預測IC!AN3</f>
        <v>4.386327788233757E-2</v>
      </c>
      <c r="AO3" s="26">
        <f>預測IC!AO3</f>
        <v>-3.6691559944301839E-3</v>
      </c>
      <c r="AP3" s="26">
        <f>預測IC!AP3</f>
        <v>3.8291200995445251E-2</v>
      </c>
      <c r="AQ3" s="26">
        <f>預測IC!AQ3</f>
        <v>1.015769504010677E-2</v>
      </c>
      <c r="AR3" s="26">
        <f>預測IC!AR3</f>
        <v>8.0924127250909805E-3</v>
      </c>
      <c r="AS3" s="26">
        <f>預測IC!AS3</f>
        <v>-6.6054962575435638E-2</v>
      </c>
      <c r="AT3" s="26">
        <f>預測IC!AT3</f>
        <v>4.3137997388839722E-2</v>
      </c>
      <c r="AU3" s="26">
        <f>預測IC!AU3</f>
        <v>4.9771856516599662E-2</v>
      </c>
      <c r="AV3" s="26">
        <f>預測IC!AV3</f>
        <v>4.9413982778787613E-2</v>
      </c>
      <c r="AW3" s="26">
        <f>預測IC!AW3</f>
        <v>5.1071316003799438E-2</v>
      </c>
      <c r="AX3" s="26">
        <f>預測IC!AX3</f>
        <v>4.962177574634552E-2</v>
      </c>
      <c r="AY3" s="26">
        <f>預測IC!AY3</f>
        <v>5.1257487386465073E-2</v>
      </c>
      <c r="AZ3" s="26">
        <f>預測IC!AZ3</f>
        <v>4.2423129081726067E-2</v>
      </c>
      <c r="BA3" s="26">
        <f>預測IC!BA3</f>
        <v>3.9333701133728027E-2</v>
      </c>
      <c r="BB3" s="26">
        <f>預測IC!BB3</f>
        <v>3.9388258010149002E-2</v>
      </c>
      <c r="BC3" s="26">
        <f>預測IC!BC3</f>
        <v>4.2884018272161477E-2</v>
      </c>
      <c r="BD3" s="26">
        <f>預測IC!BD3</f>
        <v>4.4494438916444778E-2</v>
      </c>
      <c r="BE3" s="26">
        <f>預測IC!BE3</f>
        <v>4.6050392091274261E-2</v>
      </c>
      <c r="BF3" s="26">
        <f>預測IC!BF3</f>
        <v>5.2774351090192788E-2</v>
      </c>
      <c r="BG3" s="26">
        <f>預測IC!BG3</f>
        <v>5.2520696073770523E-2</v>
      </c>
      <c r="BH3" s="26">
        <f>預測IC!BH3</f>
        <v>5.204303190112114E-2</v>
      </c>
      <c r="BI3" s="26">
        <f>預測IC!BI3</f>
        <v>5.3213786333799362E-2</v>
      </c>
      <c r="BJ3" s="26">
        <f>預測IC!BJ3</f>
        <v>5.14848493039608E-2</v>
      </c>
      <c r="BK3" s="26">
        <f>預測IC!BK3</f>
        <v>5.2345767617225647E-2</v>
      </c>
      <c r="BL3" s="26">
        <f>預測IC!BL3</f>
        <v>5.2821684628725052E-2</v>
      </c>
      <c r="BM3" s="26">
        <f>預測IC!BM3</f>
        <v>5.246623232960701E-2</v>
      </c>
      <c r="BN3" s="26">
        <f>預測IC!BN3</f>
        <v>5.7477392256259918E-2</v>
      </c>
      <c r="BO3" s="26">
        <f>預測IC!BO3</f>
        <v>5.5104456841945648E-2</v>
      </c>
      <c r="BP3" s="26">
        <f>預測IC!BP3</f>
        <v>4.081440344452858E-2</v>
      </c>
      <c r="BQ3" s="26">
        <f>預測IC!BQ3</f>
        <v>5.2616532891988747E-2</v>
      </c>
      <c r="BR3" s="26">
        <f>預測IC!BR3</f>
        <v>3.6645740270614617E-2</v>
      </c>
      <c r="BS3" s="26">
        <f>預測IC!BS3</f>
        <v>5.4600823670625687E-2</v>
      </c>
      <c r="BT3" s="26">
        <f>預測IC!BT3</f>
        <v>4.5548383146524429E-2</v>
      </c>
      <c r="BU3" s="26">
        <f>預測IC!BU3</f>
        <v>5.5572357028722763E-2</v>
      </c>
      <c r="BV3" s="26">
        <f>預測IC!BV3</f>
        <v>5.2330784499645233E-2</v>
      </c>
      <c r="BW3" s="26">
        <f>預測IC!BW3</f>
        <v>4.1799742728471763E-2</v>
      </c>
      <c r="BX3" s="26">
        <f>預測IC!BX3</f>
        <v>4.7964099794626243E-2</v>
      </c>
      <c r="BY3" s="26">
        <f>預測IC!BY3</f>
        <v>4.9554049968719482E-2</v>
      </c>
      <c r="BZ3" s="26">
        <f>預測IC!BZ3</f>
        <v>5.3468108177185059E-2</v>
      </c>
      <c r="CA3" s="26">
        <f>預測IC!CA3</f>
        <v>4.868757352232933E-2</v>
      </c>
      <c r="CB3" s="26">
        <f>預測IC!CB3</f>
        <v>4.6025428920984268E-2</v>
      </c>
      <c r="CC3" s="26">
        <f>預測IC!CC3</f>
        <v>5.2412558346986771E-2</v>
      </c>
      <c r="CD3" s="26">
        <f>預測IC!CD3</f>
        <v>4.9619406461715698E-2</v>
      </c>
      <c r="CE3" s="26">
        <f>預測IC!CE3</f>
        <v>4.6824052929878228E-2</v>
      </c>
      <c r="CF3" s="26">
        <f>預測IC!CF3</f>
        <v>5.0924398005008698E-2</v>
      </c>
      <c r="CG3" s="26">
        <f>預測IC!CG3</f>
        <v>4.6287201344966888E-2</v>
      </c>
      <c r="CH3" s="26">
        <f>預測IC!CH3</f>
        <v>5.0006065517663963E-2</v>
      </c>
      <c r="CI3" s="26">
        <f>預測IC!CI3</f>
        <v>4.8990387469530113E-2</v>
      </c>
      <c r="CJ3" s="26">
        <f>預測IC!CJ3</f>
        <v>5.0737027078866959E-2</v>
      </c>
      <c r="CK3" s="26">
        <f>預測IC!CK3</f>
        <v>5.0407581031322479E-2</v>
      </c>
      <c r="CL3" s="26">
        <f>預測IC!CL3</f>
        <v>5.1771163940429688E-2</v>
      </c>
      <c r="CM3" s="26">
        <f>預測IC!CM3</f>
        <v>4.9744158983230591E-2</v>
      </c>
      <c r="CN3" s="26">
        <f>預測IC!CN3</f>
        <v>4.9877673387527473E-2</v>
      </c>
      <c r="CO3" s="26">
        <f>預測IC!CO3</f>
        <v>4.8527717590332031E-2</v>
      </c>
      <c r="CP3" s="26">
        <f>預測IC!CP3</f>
        <v>4.8692740499973297E-2</v>
      </c>
      <c r="CQ3" s="26">
        <f>預測IC!CQ3</f>
        <v>4.9047302454710007E-2</v>
      </c>
      <c r="CR3" s="26">
        <f>預測IC!CR3</f>
        <v>4.9837246537208557E-2</v>
      </c>
      <c r="CS3" s="26">
        <f>預測IC!CS3</f>
        <v>4.7483202069997787E-2</v>
      </c>
      <c r="CT3" s="26">
        <f>預測IC!CT3</f>
        <v>3.1795904040336609E-2</v>
      </c>
      <c r="CU3" s="26">
        <f>預測IC!CU3</f>
        <v>4.4976841658353812E-2</v>
      </c>
      <c r="CV3" s="26">
        <f>預測IC!CV3</f>
        <v>4.9786105751991272E-2</v>
      </c>
      <c r="CW3" s="26">
        <f>預測IC!CW3</f>
        <v>4.3859463185071952E-2</v>
      </c>
      <c r="CX3" s="26">
        <f>預測IC!CX3</f>
        <v>5.1966626197099693E-2</v>
      </c>
      <c r="CY3" s="26">
        <f>預測IC!CY3</f>
        <v>5.0948314368724823E-2</v>
      </c>
      <c r="CZ3" s="26">
        <f>預測IC!CZ3</f>
        <v>4.4357843697071082E-2</v>
      </c>
      <c r="DA3" s="26">
        <f>預測IC!DA3</f>
        <v>4.5401513576507568E-2</v>
      </c>
      <c r="DB3" s="26">
        <f>預測IC!DB3</f>
        <v>5.2733633667230613E-2</v>
      </c>
      <c r="DC3" s="26">
        <f>預測IC!DC3</f>
        <v>5.2081622183322913E-2</v>
      </c>
      <c r="DD3" s="26">
        <f>預測IC!DD3</f>
        <v>4.963703453540802E-2</v>
      </c>
      <c r="DE3" s="26">
        <f>預測IC!DE3</f>
        <v>5.2589800208806992E-2</v>
      </c>
      <c r="DF3" s="26">
        <f>預測IC!DF3</f>
        <v>4.1408929973840707E-2</v>
      </c>
      <c r="DG3" s="26">
        <f>預測IC!DG3</f>
        <v>4.3718356639146798E-2</v>
      </c>
      <c r="DH3" s="26">
        <f>預測IC!DH3</f>
        <v>4.6793397516012192E-2</v>
      </c>
      <c r="DI3" s="26">
        <f>預測IC!DI3</f>
        <v>4.7784905880689621E-2</v>
      </c>
      <c r="DJ3" s="26">
        <f>預測IC!DJ3</f>
        <v>5.1443465054035187E-2</v>
      </c>
      <c r="DK3" s="26">
        <f>預測IC!DK3</f>
        <v>4.1621468961238861E-2</v>
      </c>
      <c r="DL3" s="26">
        <f>預測IC!DL3</f>
        <v>4.8520050942897797E-2</v>
      </c>
      <c r="DM3" s="26">
        <f>預測IC!DM3</f>
        <v>4.8485212028026581E-2</v>
      </c>
      <c r="DN3" s="26">
        <f>預測IC!DN3</f>
        <v>4.6739093959331512E-2</v>
      </c>
      <c r="DO3" s="26">
        <f>預測IC!DO3</f>
        <v>4.815780371427536E-2</v>
      </c>
      <c r="DP3" s="26">
        <f>預測IC!DP3</f>
        <v>4.7622770071029663E-2</v>
      </c>
      <c r="DQ3" s="26">
        <f>預測IC!DQ3</f>
        <v>4.8637110739946372E-2</v>
      </c>
      <c r="DR3" s="26">
        <f>預測IC!DR3</f>
        <v>4.879031702876091E-2</v>
      </c>
      <c r="DS3" s="26">
        <f>預測IC!DS3</f>
        <v>4.4818054884672158E-2</v>
      </c>
      <c r="DT3" s="26">
        <f>預測IC!DT3</f>
        <v>4.8045273870229721E-2</v>
      </c>
      <c r="DU3" s="26">
        <f>預測IC!DU3</f>
        <v>4.7465518116950989E-2</v>
      </c>
      <c r="DV3" s="26">
        <f>預測IC!DV3</f>
        <v>4.6620264649391167E-2</v>
      </c>
      <c r="DW3" s="26">
        <f>預測IC!DW3</f>
        <v>4.7323688864707947E-2</v>
      </c>
      <c r="DX3" s="26">
        <f>預測IC!DX3</f>
        <v>4.754440113902092E-2</v>
      </c>
      <c r="DY3" s="26">
        <f>預測IC!DY3</f>
        <v>4.7807488590478897E-2</v>
      </c>
      <c r="DZ3" s="26">
        <f>預測IC!DZ3</f>
        <v>3.4820709377527237E-2</v>
      </c>
      <c r="EA3" s="26">
        <f>預測IC!EA3</f>
        <v>4.8265136778354638E-2</v>
      </c>
      <c r="EB3" s="26">
        <f>預測IC!EB3</f>
        <v>4.2205382138490677E-2</v>
      </c>
      <c r="EC3" s="26">
        <f>預測IC!EC3</f>
        <v>3.6263357847929001E-2</v>
      </c>
      <c r="ED3" s="26">
        <f>預測IC!ED3</f>
        <v>3.9504203945398331E-2</v>
      </c>
      <c r="EE3" s="26">
        <f>預測IC!EE3</f>
        <v>4.6422228217124939E-2</v>
      </c>
      <c r="EF3" s="26">
        <f>預測IC!EF3</f>
        <v>5.0174936652183533E-2</v>
      </c>
      <c r="EG3" s="1"/>
    </row>
    <row r="4" spans="1:137">
      <c r="A4" s="7"/>
      <c r="B4" s="5" t="s">
        <v>137</v>
      </c>
      <c r="C4" s="26">
        <f>預測IC!C4</f>
        <v>-2.5382354855537411E-2</v>
      </c>
      <c r="D4" s="26">
        <f>預測IC!D4</f>
        <v>-3.0302392318844799E-2</v>
      </c>
      <c r="E4" s="26">
        <f>預測IC!E4</f>
        <v>-2.2067004814743999E-2</v>
      </c>
      <c r="F4" s="26">
        <f>預測IC!F4</f>
        <v>-3.342650830745697E-2</v>
      </c>
      <c r="G4" s="26">
        <f>預測IC!G4</f>
        <v>-4.356461763381958E-2</v>
      </c>
      <c r="H4" s="26">
        <f>預測IC!H4</f>
        <v>-2.4043656885623928E-2</v>
      </c>
      <c r="I4" s="26">
        <f>預測IC!I4</f>
        <v>-2.6620017364621159E-2</v>
      </c>
      <c r="J4" s="26">
        <f>預測IC!J4</f>
        <v>-3.6628138273954391E-2</v>
      </c>
      <c r="K4" s="26">
        <f>預測IC!K4</f>
        <v>-3.3706646412611008E-2</v>
      </c>
      <c r="L4" s="26">
        <f>預測IC!L4</f>
        <v>-3.9789609611034393E-2</v>
      </c>
      <c r="M4" s="26">
        <f>預測IC!M4</f>
        <v>-3.8071341812610633E-2</v>
      </c>
      <c r="N4" s="26">
        <f>預測IC!N4</f>
        <v>-2.9651828110218052E-2</v>
      </c>
      <c r="O4" s="26">
        <f>預測IC!O4</f>
        <v>-3.6376375705003738E-2</v>
      </c>
      <c r="P4" s="26">
        <f>預測IC!P4</f>
        <v>-3.8347743451595313E-2</v>
      </c>
      <c r="Q4" s="26">
        <f>預測IC!Q4</f>
        <v>-2.434376627206802E-2</v>
      </c>
      <c r="R4" s="26">
        <f>預測IC!R4</f>
        <v>-3.3573232591152191E-2</v>
      </c>
      <c r="S4" s="26">
        <f>預測IC!S4</f>
        <v>-2.8594411909580231E-2</v>
      </c>
      <c r="T4" s="26">
        <f>預測IC!T4</f>
        <v>-2.798360958695412E-2</v>
      </c>
      <c r="U4" s="26">
        <f>預測IC!U4</f>
        <v>-2.942265011370182E-2</v>
      </c>
      <c r="V4" s="26">
        <f>預測IC!V4</f>
        <v>-2.794249914586544E-2</v>
      </c>
      <c r="W4" s="26">
        <f>預測IC!W4</f>
        <v>-2.784637734293938E-2</v>
      </c>
      <c r="X4" s="26">
        <f>預測IC!X4</f>
        <v>-2.9234068468213081E-2</v>
      </c>
      <c r="Y4" s="26">
        <f>預測IC!Y4</f>
        <v>-3.1967829912900918E-2</v>
      </c>
      <c r="Z4" s="26">
        <f>預測IC!Z4</f>
        <v>-2.9925361275672909E-2</v>
      </c>
      <c r="AA4" s="26">
        <f>預測IC!AA4</f>
        <v>-3.0244136229157451E-2</v>
      </c>
      <c r="AB4" s="26">
        <f>預測IC!AB4</f>
        <v>-2.8592776507139209E-2</v>
      </c>
      <c r="AC4" s="26">
        <f>預測IC!AC4</f>
        <v>-2.740947529673576E-2</v>
      </c>
      <c r="AD4" s="26">
        <f>預測IC!AD4</f>
        <v>-2.904889173805714E-2</v>
      </c>
      <c r="AE4" s="26">
        <f>預測IC!AE4</f>
        <v>-3.0896455049514771E-2</v>
      </c>
      <c r="AF4" s="26">
        <f>預測IC!AF4</f>
        <v>-2.8318248689174649E-2</v>
      </c>
      <c r="AG4" s="26">
        <f>預測IC!AG4</f>
        <v>-2.835783921182156E-2</v>
      </c>
      <c r="AH4" s="26">
        <f>預測IC!AH4</f>
        <v>-2.0635519176721569E-2</v>
      </c>
      <c r="AI4" s="26">
        <f>預測IC!AI4</f>
        <v>-3.9616737514734268E-2</v>
      </c>
      <c r="AJ4" s="26">
        <f>預測IC!AJ4</f>
        <v>-3.4279849380254752E-2</v>
      </c>
      <c r="AK4" s="26">
        <f>預測IC!AK4</f>
        <v>-2.738221921026707E-2</v>
      </c>
      <c r="AL4" s="26">
        <f>預測IC!AL4</f>
        <v>-2.863131649792194E-2</v>
      </c>
      <c r="AM4" s="26">
        <f>預測IC!AM4</f>
        <v>-3.1148817390203479E-2</v>
      </c>
      <c r="AN4" s="26">
        <f>預測IC!AN4</f>
        <v>-2.5323469191789631E-2</v>
      </c>
      <c r="AO4" s="26">
        <f>預測IC!AO4</f>
        <v>-3.5884447395801537E-2</v>
      </c>
      <c r="AP4" s="26">
        <f>預測IC!AP4</f>
        <v>-2.0551485940814022E-2</v>
      </c>
      <c r="AQ4" s="26">
        <f>預測IC!AQ4</f>
        <v>-2.1187437698245049E-2</v>
      </c>
      <c r="AR4" s="26">
        <f>預測IC!AR4</f>
        <v>-2.6181202381849289E-2</v>
      </c>
      <c r="AS4" s="26">
        <f>預測IC!AS4</f>
        <v>-2.9181500896811489E-2</v>
      </c>
      <c r="AT4" s="26">
        <f>預測IC!AT4</f>
        <v>-2.6695109903812408E-2</v>
      </c>
      <c r="AU4" s="26">
        <f>預測IC!AU4</f>
        <v>-3.0467243865132328E-2</v>
      </c>
      <c r="AV4" s="26">
        <f>預測IC!AV4</f>
        <v>-3.2533787190914147E-2</v>
      </c>
      <c r="AW4" s="26">
        <f>預測IC!AW4</f>
        <v>-2.7417561039328579E-2</v>
      </c>
      <c r="AX4" s="26">
        <f>預測IC!AX4</f>
        <v>-2.6351917535066601E-2</v>
      </c>
      <c r="AY4" s="26">
        <f>預測IC!AY4</f>
        <v>-3.3511210232973099E-2</v>
      </c>
      <c r="AZ4" s="26">
        <f>預測IC!AZ4</f>
        <v>-2.682668715715408E-2</v>
      </c>
      <c r="BA4" s="26">
        <f>預測IC!BA4</f>
        <v>-3.1055137515068051E-2</v>
      </c>
      <c r="BB4" s="26">
        <f>預測IC!BB4</f>
        <v>-3.3870145678520203E-2</v>
      </c>
      <c r="BC4" s="26">
        <f>預測IC!BC4</f>
        <v>-3.1388275325298309E-2</v>
      </c>
      <c r="BD4" s="26">
        <f>預測IC!BD4</f>
        <v>-3.1560800969600677E-2</v>
      </c>
      <c r="BE4" s="26">
        <f>預測IC!BE4</f>
        <v>-3.270566463470459E-2</v>
      </c>
      <c r="BF4" s="26">
        <f>預測IC!BF4</f>
        <v>-3.091945685446262E-2</v>
      </c>
      <c r="BG4" s="26">
        <f>預測IC!BG4</f>
        <v>-3.1984996050596237E-2</v>
      </c>
      <c r="BH4" s="26">
        <f>預測IC!BH4</f>
        <v>-3.0280498787760731E-2</v>
      </c>
      <c r="BI4" s="26">
        <f>預測IC!BI4</f>
        <v>-3.1126156449317929E-2</v>
      </c>
      <c r="BJ4" s="26">
        <f>預測IC!BJ4</f>
        <v>-3.047936782240868E-2</v>
      </c>
      <c r="BK4" s="26">
        <f>預測IC!BK4</f>
        <v>-3.2265529036521912E-2</v>
      </c>
      <c r="BL4" s="26">
        <f>預測IC!BL4</f>
        <v>-3.1362555921077728E-2</v>
      </c>
      <c r="BM4" s="26">
        <f>預測IC!BM4</f>
        <v>-3.135472908616066E-2</v>
      </c>
      <c r="BN4" s="26">
        <f>預測IC!BN4</f>
        <v>-1.223484799265862E-2</v>
      </c>
      <c r="BO4" s="26">
        <f>預測IC!BO4</f>
        <v>-2.3717723786830899E-2</v>
      </c>
      <c r="BP4" s="26">
        <f>預測IC!BP4</f>
        <v>-2.602463960647583E-2</v>
      </c>
      <c r="BQ4" s="26">
        <f>預測IC!BQ4</f>
        <v>-3.055395744740963E-2</v>
      </c>
      <c r="BR4" s="26">
        <f>預測IC!BR4</f>
        <v>-1.1215118691325189E-2</v>
      </c>
      <c r="BS4" s="26">
        <f>預測IC!BS4</f>
        <v>-3.3343475311994553E-2</v>
      </c>
      <c r="BT4" s="26">
        <f>預測IC!BT4</f>
        <v>-2.5871314108371731E-2</v>
      </c>
      <c r="BU4" s="26">
        <f>預測IC!BU4</f>
        <v>-3.636319562792778E-2</v>
      </c>
      <c r="BV4" s="26">
        <f>預測IC!BV4</f>
        <v>-3.3731509000062943E-2</v>
      </c>
      <c r="BW4" s="26">
        <f>預測IC!BW4</f>
        <v>-2.4674531072378159E-2</v>
      </c>
      <c r="BX4" s="26">
        <f>預測IC!BX4</f>
        <v>-3.3149182796478271E-2</v>
      </c>
      <c r="BY4" s="26">
        <f>預測IC!BY4</f>
        <v>-3.1638260930776603E-2</v>
      </c>
      <c r="BZ4" s="26">
        <f>預測IC!BZ4</f>
        <v>-3.5745307803153992E-2</v>
      </c>
      <c r="CA4" s="26">
        <f>預測IC!CA4</f>
        <v>-3.2566580921411507E-2</v>
      </c>
      <c r="CB4" s="26">
        <f>預測IC!CB4</f>
        <v>-2.4697717279195789E-2</v>
      </c>
      <c r="CC4" s="26">
        <f>預測IC!CC4</f>
        <v>-2.9147785156965259E-2</v>
      </c>
      <c r="CD4" s="26">
        <f>預測IC!CD4</f>
        <v>-2.5953460484743118E-2</v>
      </c>
      <c r="CE4" s="26">
        <f>預測IC!CE4</f>
        <v>-3.1028131023049351E-2</v>
      </c>
      <c r="CF4" s="26">
        <f>預測IC!CF4</f>
        <v>-3.1018134206533429E-2</v>
      </c>
      <c r="CG4" s="26">
        <f>預測IC!CG4</f>
        <v>-3.0473332852125171E-2</v>
      </c>
      <c r="CH4" s="26">
        <f>預測IC!CH4</f>
        <v>-3.1180024147033691E-2</v>
      </c>
      <c r="CI4" s="26">
        <f>預測IC!CI4</f>
        <v>-3.08760479092598E-2</v>
      </c>
      <c r="CJ4" s="26">
        <f>預測IC!CJ4</f>
        <v>-3.3132713288068771E-2</v>
      </c>
      <c r="CK4" s="26">
        <f>預測IC!CK4</f>
        <v>-3.1985852867364883E-2</v>
      </c>
      <c r="CL4" s="26">
        <f>預測IC!CL4</f>
        <v>-3.1450629234313958E-2</v>
      </c>
      <c r="CM4" s="26">
        <f>預測IC!CM4</f>
        <v>-3.0559267848730091E-2</v>
      </c>
      <c r="CN4" s="26">
        <f>預測IC!CN4</f>
        <v>-3.1584195792675018E-2</v>
      </c>
      <c r="CO4" s="26">
        <f>預測IC!CO4</f>
        <v>-3.0493449419736859E-2</v>
      </c>
      <c r="CP4" s="26">
        <f>預測IC!CP4</f>
        <v>-3.0219420790672299E-2</v>
      </c>
      <c r="CQ4" s="26">
        <f>預測IC!CQ4</f>
        <v>-3.1929124146699912E-2</v>
      </c>
      <c r="CR4" s="26">
        <f>預測IC!CR4</f>
        <v>-2.934969961643219E-2</v>
      </c>
      <c r="CS4" s="26">
        <f>預測IC!CS4</f>
        <v>-3.0506746843457219E-2</v>
      </c>
      <c r="CT4" s="26">
        <f>預測IC!CT4</f>
        <v>-2.308591827750206E-2</v>
      </c>
      <c r="CU4" s="26">
        <f>預測IC!CU4</f>
        <v>-2.7401415631175041E-2</v>
      </c>
      <c r="CV4" s="26">
        <f>預測IC!CV4</f>
        <v>-2.833597362041473E-2</v>
      </c>
      <c r="CW4" s="26">
        <f>預測IC!CW4</f>
        <v>-3.2171882688999183E-2</v>
      </c>
      <c r="CX4" s="26">
        <f>預測IC!CX4</f>
        <v>-2.7837745845317841E-2</v>
      </c>
      <c r="CY4" s="26">
        <f>預測IC!CY4</f>
        <v>-2.7134021744132038E-2</v>
      </c>
      <c r="CZ4" s="26">
        <f>預測IC!CZ4</f>
        <v>-2.573245391249657E-2</v>
      </c>
      <c r="DA4" s="26">
        <f>預測IC!DA4</f>
        <v>-2.8771925717592239E-2</v>
      </c>
      <c r="DB4" s="26">
        <f>預測IC!DB4</f>
        <v>-3.3348452299833298E-2</v>
      </c>
      <c r="DC4" s="26">
        <f>預測IC!DC4</f>
        <v>-3.2358631491661072E-2</v>
      </c>
      <c r="DD4" s="26">
        <f>預測IC!DD4</f>
        <v>-3.2213933765888207E-2</v>
      </c>
      <c r="DE4" s="26">
        <f>預測IC!DE4</f>
        <v>-2.9715811833739281E-2</v>
      </c>
      <c r="DF4" s="26">
        <f>預測IC!DF4</f>
        <v>-2.911583706736565E-2</v>
      </c>
      <c r="DG4" s="26">
        <f>預測IC!DG4</f>
        <v>-2.7615876868367199E-2</v>
      </c>
      <c r="DH4" s="26">
        <f>預測IC!DH4</f>
        <v>-2.9729645699262619E-2</v>
      </c>
      <c r="DI4" s="26">
        <f>預測IC!DI4</f>
        <v>-2.982079982757568E-2</v>
      </c>
      <c r="DJ4" s="26">
        <f>預測IC!DJ4</f>
        <v>-3.0264958739280701E-2</v>
      </c>
      <c r="DK4" s="26">
        <f>預測IC!DK4</f>
        <v>-2.9952950775623322E-2</v>
      </c>
      <c r="DL4" s="26">
        <f>預測IC!DL4</f>
        <v>-3.0072087422013279E-2</v>
      </c>
      <c r="DM4" s="26">
        <f>預測IC!DM4</f>
        <v>-2.81603466719389E-2</v>
      </c>
      <c r="DN4" s="26">
        <f>預測IC!DN4</f>
        <v>-2.7362493798136711E-2</v>
      </c>
      <c r="DO4" s="26">
        <f>預測IC!DO4</f>
        <v>-2.868092060089111E-2</v>
      </c>
      <c r="DP4" s="26">
        <f>預測IC!DP4</f>
        <v>-2.6546770706772801E-2</v>
      </c>
      <c r="DQ4" s="26">
        <f>預測IC!DQ4</f>
        <v>-2.7645908296108249E-2</v>
      </c>
      <c r="DR4" s="26">
        <f>預測IC!DR4</f>
        <v>-3.0578829348087311E-2</v>
      </c>
      <c r="DS4" s="26">
        <f>預測IC!DS4</f>
        <v>-2.7206588536500931E-2</v>
      </c>
      <c r="DT4" s="26">
        <f>預測IC!DT4</f>
        <v>-2.9622273519635201E-2</v>
      </c>
      <c r="DU4" s="26">
        <f>預測IC!DU4</f>
        <v>-2.8198828920722011E-2</v>
      </c>
      <c r="DV4" s="26">
        <f>預測IC!DV4</f>
        <v>-2.79831737279892E-2</v>
      </c>
      <c r="DW4" s="26">
        <f>預測IC!DW4</f>
        <v>-2.6147188618779179E-2</v>
      </c>
      <c r="DX4" s="26">
        <f>預測IC!DX4</f>
        <v>-2.7574015781283379E-2</v>
      </c>
      <c r="DY4" s="26">
        <f>預測IC!DY4</f>
        <v>-2.9771693050861359E-2</v>
      </c>
      <c r="DZ4" s="26">
        <f>預測IC!DZ4</f>
        <v>-2.387923933565617E-2</v>
      </c>
      <c r="EA4" s="26">
        <f>預測IC!EA4</f>
        <v>-2.6729578152298931E-2</v>
      </c>
      <c r="EB4" s="26">
        <f>預測IC!EB4</f>
        <v>-2.6265991851687431E-2</v>
      </c>
      <c r="EC4" s="26">
        <f>預測IC!EC4</f>
        <v>-2.85224225372076E-2</v>
      </c>
      <c r="ED4" s="26">
        <f>預測IC!ED4</f>
        <v>-2.3929797112941738E-2</v>
      </c>
      <c r="EE4" s="26">
        <f>預測IC!EE4</f>
        <v>-3.5369247198104858E-2</v>
      </c>
      <c r="EF4" s="26">
        <f>預測IC!EF4</f>
        <v>-2.889788523316383E-2</v>
      </c>
      <c r="EG4" s="1"/>
    </row>
    <row r="5" spans="1:137">
      <c r="A5" s="7"/>
      <c r="B5" s="8" t="s">
        <v>138</v>
      </c>
      <c r="C5" s="26">
        <f>預測IC!C5</f>
        <v>6.8580564111471176E-3</v>
      </c>
      <c r="D5" s="26">
        <f>預測IC!D5</f>
        <v>-4.5473207719624043E-3</v>
      </c>
      <c r="E5" s="26">
        <f>預測IC!E5</f>
        <v>-5.2568246610462674E-3</v>
      </c>
      <c r="F5" s="26">
        <f>預測IC!F5</f>
        <v>-5.0700334832072258E-3</v>
      </c>
      <c r="G5" s="26">
        <f>預測IC!G5</f>
        <v>-7.554895244538784E-3</v>
      </c>
      <c r="H5" s="26">
        <f>預測IC!H5</f>
        <v>-5.7517439126968384E-3</v>
      </c>
      <c r="I5" s="26">
        <f>預測IC!I5</f>
        <v>-6.6213347017765054E-3</v>
      </c>
      <c r="J5" s="26">
        <f>預測IC!J5</f>
        <v>-6.4456779509782791E-3</v>
      </c>
      <c r="K5" s="26">
        <f>預測IC!K5</f>
        <v>-7.2449943982064724E-3</v>
      </c>
      <c r="L5" s="26">
        <f>預測IC!L5</f>
        <v>-7.4795205146074304E-3</v>
      </c>
      <c r="M5" s="26">
        <f>預測IC!M5</f>
        <v>-5.7203313335776329E-3</v>
      </c>
      <c r="N5" s="26">
        <f>預測IC!N5</f>
        <v>1.217774953693151E-2</v>
      </c>
      <c r="O5" s="26">
        <f>預測IC!O5</f>
        <v>2.0977385342121121E-2</v>
      </c>
      <c r="P5" s="26">
        <f>預測IC!P5</f>
        <v>4.1054370813071728E-3</v>
      </c>
      <c r="Q5" s="26">
        <f>預測IC!Q5</f>
        <v>2.752495463937521E-3</v>
      </c>
      <c r="R5" s="26">
        <f>預測IC!R5</f>
        <v>2.2056563757359982E-3</v>
      </c>
      <c r="S5" s="26">
        <f>預測IC!S5</f>
        <v>-3.200523322448134E-3</v>
      </c>
      <c r="T5" s="26">
        <f>預測IC!T5</f>
        <v>4.7661159187555313E-3</v>
      </c>
      <c r="U5" s="26">
        <f>預測IC!U5</f>
        <v>3.1950199045240879E-3</v>
      </c>
      <c r="V5" s="26">
        <f>預測IC!V5</f>
        <v>1.3798894360661509E-4</v>
      </c>
      <c r="W5" s="26">
        <f>預測IC!W5</f>
        <v>9.084991761483252E-4</v>
      </c>
      <c r="X5" s="26">
        <f>預測IC!X5</f>
        <v>-4.8395749181509018E-3</v>
      </c>
      <c r="Y5" s="26">
        <f>預測IC!Y5</f>
        <v>-9.668414480984211E-3</v>
      </c>
      <c r="Z5" s="26">
        <f>預測IC!Z5</f>
        <v>-4.3582962825894356E-3</v>
      </c>
      <c r="AA5" s="26">
        <f>預測IC!AA5</f>
        <v>-9.451698511838913E-3</v>
      </c>
      <c r="AB5" s="26">
        <f>預測IC!AB5</f>
        <v>-7.8619010746479034E-3</v>
      </c>
      <c r="AC5" s="26">
        <f>預測IC!AC5</f>
        <v>-9.5739839598536491E-3</v>
      </c>
      <c r="AD5" s="26">
        <f>預測IC!AD5</f>
        <v>-1.192590594291687E-2</v>
      </c>
      <c r="AE5" s="26">
        <f>預測IC!AE5</f>
        <v>-9.073648601770401E-3</v>
      </c>
      <c r="AF5" s="26">
        <f>預測IC!AF5</f>
        <v>-5.2689705044031143E-3</v>
      </c>
      <c r="AG5" s="26">
        <f>預測IC!AG5</f>
        <v>-6.2905293889343739E-3</v>
      </c>
      <c r="AH5" s="26">
        <f>預測IC!AH5</f>
        <v>-4.2838593944907188E-3</v>
      </c>
      <c r="AI5" s="26">
        <f>預測IC!AI5</f>
        <v>-3.658974077552557E-3</v>
      </c>
      <c r="AJ5" s="26">
        <f>預測IC!AJ5</f>
        <v>-3.1868440564721818E-3</v>
      </c>
      <c r="AK5" s="26">
        <f>預測IC!AK5</f>
        <v>-6.5460228361189374E-3</v>
      </c>
      <c r="AL5" s="26">
        <f>預測IC!AL5</f>
        <v>-5.4174191318452358E-3</v>
      </c>
      <c r="AM5" s="26">
        <f>預測IC!AM5</f>
        <v>-6.3505335710942754E-3</v>
      </c>
      <c r="AN5" s="26">
        <f>預測IC!AN5</f>
        <v>9.4361149240285158E-4</v>
      </c>
      <c r="AO5" s="26">
        <f>預測IC!AO5</f>
        <v>-4.1886745020747176E-3</v>
      </c>
      <c r="AP5" s="26">
        <f>預測IC!AP5</f>
        <v>-6.3021155074238777E-3</v>
      </c>
      <c r="AQ5" s="26">
        <f>預測IC!AQ5</f>
        <v>-7.8539003152400255E-4</v>
      </c>
      <c r="AR5" s="26">
        <f>預測IC!AR5</f>
        <v>1.274428068427369E-4</v>
      </c>
      <c r="AS5" s="26">
        <f>預測IC!AS5</f>
        <v>-2.6125095319002871E-3</v>
      </c>
      <c r="AT5" s="26">
        <f>預測IC!AT5</f>
        <v>1.7251728102564812E-2</v>
      </c>
      <c r="AU5" s="26">
        <f>預測IC!AU5</f>
        <v>-1.1382638476788999E-2</v>
      </c>
      <c r="AV5" s="26">
        <f>預測IC!AV5</f>
        <v>9.8412996158003807E-3</v>
      </c>
      <c r="AW5" s="26">
        <f>預測IC!AW5</f>
        <v>6.4438600093126297E-3</v>
      </c>
      <c r="AX5" s="26">
        <f>預測IC!AX5</f>
        <v>-9.4542577862739563E-3</v>
      </c>
      <c r="AY5" s="26">
        <f>預測IC!AY5</f>
        <v>-2.605369314551353E-3</v>
      </c>
      <c r="AZ5" s="26">
        <f>預測IC!AZ5</f>
        <v>1.02137690410018E-2</v>
      </c>
      <c r="BA5" s="26">
        <f>預測IC!BA5</f>
        <v>-3.370878694113344E-4</v>
      </c>
      <c r="BB5" s="26">
        <f>預測IC!BB5</f>
        <v>-7.658196147531271E-3</v>
      </c>
      <c r="BC5" s="26">
        <f>預測IC!BC5</f>
        <v>1.95592432282865E-3</v>
      </c>
      <c r="BD5" s="26">
        <f>預測IC!BD5</f>
        <v>-1.753970421850681E-2</v>
      </c>
      <c r="BE5" s="26">
        <f>預測IC!BE5</f>
        <v>-5.8258567005395889E-3</v>
      </c>
      <c r="BF5" s="26">
        <f>預測IC!BF5</f>
        <v>6.1481038574129343E-4</v>
      </c>
      <c r="BG5" s="26">
        <f>預測IC!BG5</f>
        <v>-7.2949402965605259E-3</v>
      </c>
      <c r="BH5" s="26">
        <f>預測IC!BH5</f>
        <v>-4.383845254778862E-3</v>
      </c>
      <c r="BI5" s="26">
        <f>預測IC!BI5</f>
        <v>7.9724268289282918E-5</v>
      </c>
      <c r="BJ5" s="26">
        <f>預測IC!BJ5</f>
        <v>-4.1618733666837221E-4</v>
      </c>
      <c r="BK5" s="26">
        <f>預測IC!BK5</f>
        <v>-8.1078559160232544E-3</v>
      </c>
      <c r="BL5" s="26">
        <f>預測IC!BL5</f>
        <v>-1.816836651414633E-3</v>
      </c>
      <c r="BM5" s="26">
        <f>預測IC!BM5</f>
        <v>-3.0251548159867529E-3</v>
      </c>
      <c r="BN5" s="26">
        <f>預測IC!BN5</f>
        <v>-7.1253179339691997E-4</v>
      </c>
      <c r="BO5" s="26">
        <f>預測IC!BO5</f>
        <v>-4.3908162042498589E-3</v>
      </c>
      <c r="BP5" s="26">
        <f>預測IC!BP5</f>
        <v>-8.6731631308794022E-3</v>
      </c>
      <c r="BQ5" s="26">
        <f>預測IC!BQ5</f>
        <v>9.8586292006075382E-4</v>
      </c>
      <c r="BR5" s="26">
        <f>預測IC!BR5</f>
        <v>5.6344678159803152E-4</v>
      </c>
      <c r="BS5" s="26">
        <f>預測IC!BS5</f>
        <v>-7.2165514575317502E-4</v>
      </c>
      <c r="BT5" s="26">
        <f>預測IC!BT5</f>
        <v>2.1159742027521131E-4</v>
      </c>
      <c r="BU5" s="26">
        <f>預測IC!BU5</f>
        <v>-3.9482754655182362E-3</v>
      </c>
      <c r="BV5" s="26">
        <f>預測IC!BV5</f>
        <v>-1.754006138071418E-3</v>
      </c>
      <c r="BW5" s="26">
        <f>預測IC!BW5</f>
        <v>-3.9257919415831566E-3</v>
      </c>
      <c r="BX5" s="26">
        <f>預測IC!BX5</f>
        <v>-2.280559623613954E-3</v>
      </c>
      <c r="BY5" s="26">
        <f>預測IC!BY5</f>
        <v>-2.5638358201831579E-3</v>
      </c>
      <c r="BZ5" s="26">
        <f>預測IC!BZ5</f>
        <v>9.5798890106379986E-4</v>
      </c>
      <c r="CA5" s="26">
        <f>預測IC!CA5</f>
        <v>-1.7290487885475159E-2</v>
      </c>
      <c r="CB5" s="26">
        <f>預測IC!CB5</f>
        <v>-1.8011752516031269E-2</v>
      </c>
      <c r="CC5" s="26">
        <f>預測IC!CC5</f>
        <v>-1.120550092309713E-2</v>
      </c>
      <c r="CD5" s="26">
        <f>預測IC!CD5</f>
        <v>-5.9453980065882206E-3</v>
      </c>
      <c r="CE5" s="26">
        <f>預測IC!CE5</f>
        <v>5.6577795185148716E-3</v>
      </c>
      <c r="CF5" s="26">
        <f>預測IC!CF5</f>
        <v>-5.0181304104626179E-3</v>
      </c>
      <c r="CG5" s="26">
        <f>預測IC!CG5</f>
        <v>-1.080882735550404E-3</v>
      </c>
      <c r="CH5" s="26">
        <f>預測IC!CH5</f>
        <v>-2.4344832636415958E-3</v>
      </c>
      <c r="CI5" s="26">
        <f>預測IC!CI5</f>
        <v>-5.8056642301380634E-3</v>
      </c>
      <c r="CJ5" s="26">
        <f>預測IC!CJ5</f>
        <v>5.3442474454641342E-3</v>
      </c>
      <c r="CK5" s="26">
        <f>預測IC!CK5</f>
        <v>-6.6559319384396076E-3</v>
      </c>
      <c r="CL5" s="26">
        <f>預測IC!CL5</f>
        <v>-8.122333325445652E-3</v>
      </c>
      <c r="CM5" s="26">
        <f>預測IC!CM5</f>
        <v>4.4885189272463322E-3</v>
      </c>
      <c r="CN5" s="26">
        <f>預測IC!CN5</f>
        <v>-1.260940451174974E-3</v>
      </c>
      <c r="CO5" s="26">
        <f>預測IC!CO5</f>
        <v>2.2093972656875849E-3</v>
      </c>
      <c r="CP5" s="26">
        <f>預測IC!CP5</f>
        <v>-3.1657333020120859E-3</v>
      </c>
      <c r="CQ5" s="26">
        <f>預測IC!CQ5</f>
        <v>-4.2476160451769829E-3</v>
      </c>
      <c r="CR5" s="26">
        <f>預測IC!CR5</f>
        <v>7.4740842683240771E-4</v>
      </c>
      <c r="CS5" s="26">
        <f>預測IC!CS5</f>
        <v>-6.8966434337198734E-3</v>
      </c>
      <c r="CT5" s="26">
        <f>預測IC!CT5</f>
        <v>-8.8150595547631383E-4</v>
      </c>
      <c r="CU5" s="26">
        <f>預測IC!CU5</f>
        <v>-5.4849479347467422E-3</v>
      </c>
      <c r="CV5" s="26">
        <f>預測IC!CV5</f>
        <v>-5.0015887245535851E-4</v>
      </c>
      <c r="CW5" s="26">
        <f>預測IC!CW5</f>
        <v>-3.6941524595022202E-3</v>
      </c>
      <c r="CX5" s="26">
        <f>預測IC!CX5</f>
        <v>-1.516487682238221E-3</v>
      </c>
      <c r="CY5" s="26">
        <f>預測IC!CY5</f>
        <v>-2.2506022360175848E-3</v>
      </c>
      <c r="CZ5" s="26">
        <f>預測IC!CZ5</f>
        <v>-1.037915935739875E-4</v>
      </c>
      <c r="DA5" s="26">
        <f>預測IC!DA5</f>
        <v>-1.3994954060763121E-3</v>
      </c>
      <c r="DB5" s="26">
        <f>預測IC!DB5</f>
        <v>-2.8583267703652382E-3</v>
      </c>
      <c r="DC5" s="26">
        <f>預測IC!DC5</f>
        <v>-3.8185073062777519E-3</v>
      </c>
      <c r="DD5" s="26">
        <f>預測IC!DD5</f>
        <v>-4.7922488301992416E-3</v>
      </c>
      <c r="DE5" s="26">
        <f>預測IC!DE5</f>
        <v>-4.4267559424042702E-3</v>
      </c>
      <c r="DF5" s="26">
        <f>預測IC!DF5</f>
        <v>-2.32978705316782E-2</v>
      </c>
      <c r="DG5" s="26">
        <f>預測IC!DG5</f>
        <v>-6.6420962102711201E-3</v>
      </c>
      <c r="DH5" s="26">
        <f>預測IC!DH5</f>
        <v>-4.64266212657094E-3</v>
      </c>
      <c r="DI5" s="26">
        <f>預測IC!DI5</f>
        <v>-2.1060877479612832E-3</v>
      </c>
      <c r="DJ5" s="26">
        <f>預測IC!DJ5</f>
        <v>-1.062803342938423E-2</v>
      </c>
      <c r="DK5" s="26">
        <f>預測IC!DK5</f>
        <v>-9.6024703234434128E-3</v>
      </c>
      <c r="DL5" s="26">
        <f>預測IC!DL5</f>
        <v>-3.8239909335970879E-3</v>
      </c>
      <c r="DM5" s="26">
        <f>預測IC!DM5</f>
        <v>-6.1252154409885406E-4</v>
      </c>
      <c r="DN5" s="26">
        <f>預測IC!DN5</f>
        <v>-3.627817146480083E-3</v>
      </c>
      <c r="DO5" s="26">
        <f>預測IC!DO5</f>
        <v>2.946552587673068E-3</v>
      </c>
      <c r="DP5" s="26">
        <f>預測IC!DP5</f>
        <v>-5.6377304717898369E-3</v>
      </c>
      <c r="DQ5" s="26">
        <f>預測IC!DQ5</f>
        <v>-4.3007815256714821E-3</v>
      </c>
      <c r="DR5" s="26">
        <f>預測IC!DR5</f>
        <v>-7.0757018402218819E-3</v>
      </c>
      <c r="DS5" s="26">
        <f>預測IC!DS5</f>
        <v>-3.6393199115991588E-3</v>
      </c>
      <c r="DT5" s="26">
        <f>預測IC!DT5</f>
        <v>-1.078812405467033E-3</v>
      </c>
      <c r="DU5" s="26">
        <f>預測IC!DU5</f>
        <v>-5.7610021904110909E-3</v>
      </c>
      <c r="DV5" s="26">
        <f>預測IC!DV5</f>
        <v>-3.170169191434979E-3</v>
      </c>
      <c r="DW5" s="26">
        <f>預測IC!DW5</f>
        <v>1.376348081976175E-4</v>
      </c>
      <c r="DX5" s="26">
        <f>預測IC!DX5</f>
        <v>-5.2125225774943829E-3</v>
      </c>
      <c r="DY5" s="26">
        <f>預測IC!DY5</f>
        <v>-3.231637179851532E-3</v>
      </c>
      <c r="DZ5" s="26">
        <f>預測IC!DZ5</f>
        <v>-1.969799399375916E-3</v>
      </c>
      <c r="EA5" s="26">
        <f>預測IC!EA5</f>
        <v>-2.5265156291425228E-3</v>
      </c>
      <c r="EB5" s="26">
        <f>預測IC!EB5</f>
        <v>-4.4835992157459259E-3</v>
      </c>
      <c r="EC5" s="26">
        <f>預測IC!EC5</f>
        <v>-4.603260662406683E-3</v>
      </c>
      <c r="ED5" s="26">
        <f>預測IC!ED5</f>
        <v>-6.4388466998934746E-3</v>
      </c>
      <c r="EE5" s="26">
        <f>預測IC!EE5</f>
        <v>-5.9161325916647911E-3</v>
      </c>
      <c r="EF5" s="26">
        <f>預測IC!EF5</f>
        <v>-6.1999494209885597E-3</v>
      </c>
      <c r="EG5" s="1"/>
    </row>
    <row r="6" spans="1:137" s="2" customFormat="1">
      <c r="A6" s="32" t="s">
        <v>139</v>
      </c>
      <c r="B6" s="33"/>
      <c r="C6" s="27">
        <f t="array" ref="C6">MATCH(MAX(ABS(C3:C5)), ABS(C3:C5), 0)</f>
        <v>1</v>
      </c>
      <c r="D6" s="27">
        <f t="array" ref="D6">MATCH(MAX(ABS(D3:D5)), ABS(D3:D5), 0)</f>
        <v>2</v>
      </c>
      <c r="E6" s="27">
        <f t="array" ref="E6">MATCH(MAX(ABS(E3:E5)), ABS(E3:E5), 0)</f>
        <v>1</v>
      </c>
      <c r="F6" s="27">
        <f t="array" ref="F6">MATCH(MAX(ABS(F3:F5)), ABS(F3:F5), 0)</f>
        <v>2</v>
      </c>
      <c r="G6" s="27">
        <f t="array" ref="G6">MATCH(MAX(ABS(G3:G5)), ABS(G3:G5), 0)</f>
        <v>2</v>
      </c>
      <c r="H6" s="27">
        <f t="array" ref="H6">MATCH(MAX(ABS(H3:H5)), ABS(H3:H5), 0)</f>
        <v>2</v>
      </c>
      <c r="I6" s="27">
        <f t="array" ref="I6">MATCH(MAX(ABS(I3:I5)), ABS(I3:I5), 0)</f>
        <v>1</v>
      </c>
      <c r="J6" s="27">
        <f t="array" ref="J6">MATCH(MAX(ABS(J3:J5)), ABS(J3:J5), 0)</f>
        <v>2</v>
      </c>
      <c r="K6" s="27">
        <f t="array" ref="K6">MATCH(MAX(ABS(K3:K5)), ABS(K3:K5), 0)</f>
        <v>2</v>
      </c>
      <c r="L6" s="27">
        <f t="array" ref="L6">MATCH(MAX(ABS(L3:L5)), ABS(L3:L5), 0)</f>
        <v>2</v>
      </c>
      <c r="M6" s="27">
        <f t="array" ref="M6">MATCH(MAX(ABS(M3:M5)), ABS(M3:M5), 0)</f>
        <v>2</v>
      </c>
      <c r="N6" s="27">
        <f t="array" ref="N6">MATCH(MAX(ABS(N3:N5)), ABS(N3:N5), 0)</f>
        <v>2</v>
      </c>
      <c r="O6" s="27">
        <f t="array" ref="O6">MATCH(MAX(ABS(O3:O5)), ABS(O3:O5), 0)</f>
        <v>2</v>
      </c>
      <c r="P6" s="27">
        <f t="array" ref="P6">MATCH(MAX(ABS(P3:P5)), ABS(P3:P5), 0)</f>
        <v>1</v>
      </c>
      <c r="Q6" s="27">
        <f t="array" ref="Q6">MATCH(MAX(ABS(Q3:Q5)), ABS(Q3:Q5), 0)</f>
        <v>2</v>
      </c>
      <c r="R6" s="27">
        <f t="array" ref="R6">MATCH(MAX(ABS(R3:R5)), ABS(R3:R5), 0)</f>
        <v>2</v>
      </c>
      <c r="S6" s="27">
        <f t="array" ref="S6">MATCH(MAX(ABS(S3:S5)), ABS(S3:S5), 0)</f>
        <v>1</v>
      </c>
      <c r="T6" s="27">
        <f t="array" ref="T6">MATCH(MAX(ABS(T3:T5)), ABS(T3:T5), 0)</f>
        <v>2</v>
      </c>
      <c r="U6" s="27">
        <f t="array" ref="U6">MATCH(MAX(ABS(U3:U5)), ABS(U3:U5), 0)</f>
        <v>2</v>
      </c>
      <c r="V6" s="27">
        <f t="array" ref="V6">MATCH(MAX(ABS(V3:V5)), ABS(V3:V5), 0)</f>
        <v>2</v>
      </c>
      <c r="W6" s="27">
        <f t="array" ref="W6">MATCH(MAX(ABS(W3:W5)), ABS(W3:W5), 0)</f>
        <v>2</v>
      </c>
      <c r="X6" s="27">
        <f t="array" ref="X6">MATCH(MAX(ABS(X3:X5)), ABS(X3:X5), 0)</f>
        <v>1</v>
      </c>
      <c r="Y6" s="27">
        <f t="array" ref="Y6">MATCH(MAX(ABS(Y3:Y5)), ABS(Y3:Y5), 0)</f>
        <v>2</v>
      </c>
      <c r="Z6" s="27">
        <f t="array" ref="Z6">MATCH(MAX(ABS(Z3:Z5)), ABS(Z3:Z5), 0)</f>
        <v>2</v>
      </c>
      <c r="AA6" s="27">
        <f t="array" ref="AA6">MATCH(MAX(ABS(AA3:AA5)), ABS(AA3:AA5), 0)</f>
        <v>2</v>
      </c>
      <c r="AB6" s="27">
        <f t="array" ref="AB6">MATCH(MAX(ABS(AB3:AB5)), ABS(AB3:AB5), 0)</f>
        <v>2</v>
      </c>
      <c r="AC6" s="27">
        <f t="array" ref="AC6">MATCH(MAX(ABS(AC3:AC5)), ABS(AC3:AC5), 0)</f>
        <v>2</v>
      </c>
      <c r="AD6" s="27">
        <f t="array" ref="AD6">MATCH(MAX(ABS(AD3:AD5)), ABS(AD3:AD5), 0)</f>
        <v>2</v>
      </c>
      <c r="AE6" s="27">
        <f t="array" ref="AE6">MATCH(MAX(ABS(AE3:AE5)), ABS(AE3:AE5), 0)</f>
        <v>1</v>
      </c>
      <c r="AF6" s="27">
        <f t="array" ref="AF6">MATCH(MAX(ABS(AF3:AF5)), ABS(AF3:AF5), 0)</f>
        <v>2</v>
      </c>
      <c r="AG6" s="27">
        <f t="array" ref="AG6">MATCH(MAX(ABS(AG3:AG5)), ABS(AG3:AG5), 0)</f>
        <v>2</v>
      </c>
      <c r="AH6" s="27">
        <f t="array" ref="AH6">MATCH(MAX(ABS(AH3:AH5)), ABS(AH3:AH5), 0)</f>
        <v>2</v>
      </c>
      <c r="AI6" s="27">
        <f t="array" ref="AI6">MATCH(MAX(ABS(AI3:AI5)), ABS(AI3:AI5), 0)</f>
        <v>2</v>
      </c>
      <c r="AJ6" s="27">
        <f t="array" ref="AJ6">MATCH(MAX(ABS(AJ3:AJ5)), ABS(AJ3:AJ5), 0)</f>
        <v>2</v>
      </c>
      <c r="AK6" s="27">
        <f t="array" ref="AK6">MATCH(MAX(ABS(AK3:AK5)), ABS(AK3:AK5), 0)</f>
        <v>2</v>
      </c>
      <c r="AL6" s="27">
        <f t="array" ref="AL6">MATCH(MAX(ABS(AL3:AL5)), ABS(AL3:AL5), 0)</f>
        <v>1</v>
      </c>
      <c r="AM6" s="27">
        <f t="array" ref="AM6">MATCH(MAX(ABS(AM3:AM5)), ABS(AM3:AM5), 0)</f>
        <v>2</v>
      </c>
      <c r="AN6" s="27">
        <f t="array" ref="AN6">MATCH(MAX(ABS(AN3:AN5)), ABS(AN3:AN5), 0)</f>
        <v>1</v>
      </c>
      <c r="AO6" s="27">
        <f t="array" ref="AO6">MATCH(MAX(ABS(AO3:AO5)), ABS(AO3:AO5), 0)</f>
        <v>2</v>
      </c>
      <c r="AP6" s="27">
        <f t="array" ref="AP6">MATCH(MAX(ABS(AP3:AP5)), ABS(AP3:AP5), 0)</f>
        <v>1</v>
      </c>
      <c r="AQ6" s="27">
        <f t="array" ref="AQ6">MATCH(MAX(ABS(AQ3:AQ5)), ABS(AQ3:AQ5), 0)</f>
        <v>2</v>
      </c>
      <c r="AR6" s="27">
        <f t="array" ref="AR6">MATCH(MAX(ABS(AR3:AR5)), ABS(AR3:AR5), 0)</f>
        <v>2</v>
      </c>
      <c r="AS6" s="27">
        <f t="array" ref="AS6">MATCH(MAX(ABS(AS3:AS5)), ABS(AS3:AS5), 0)</f>
        <v>1</v>
      </c>
      <c r="AT6" s="27">
        <f t="array" ref="AT6">MATCH(MAX(ABS(AT3:AT5)), ABS(AT3:AT5), 0)</f>
        <v>1</v>
      </c>
      <c r="AU6" s="27">
        <f t="array" ref="AU6">MATCH(MAX(ABS(AU3:AU5)), ABS(AU3:AU5), 0)</f>
        <v>1</v>
      </c>
      <c r="AV6" s="27">
        <f t="array" ref="AV6">MATCH(MAX(ABS(AV3:AV5)), ABS(AV3:AV5), 0)</f>
        <v>1</v>
      </c>
      <c r="AW6" s="27">
        <f t="array" ref="AW6">MATCH(MAX(ABS(AW3:AW5)), ABS(AW3:AW5), 0)</f>
        <v>1</v>
      </c>
      <c r="AX6" s="27">
        <f t="array" ref="AX6">MATCH(MAX(ABS(AX3:AX5)), ABS(AX3:AX5), 0)</f>
        <v>1</v>
      </c>
      <c r="AY6" s="27">
        <f t="array" ref="AY6">MATCH(MAX(ABS(AY3:AY5)), ABS(AY3:AY5), 0)</f>
        <v>1</v>
      </c>
      <c r="AZ6" s="27">
        <f t="array" ref="AZ6">MATCH(MAX(ABS(AZ3:AZ5)), ABS(AZ3:AZ5), 0)</f>
        <v>1</v>
      </c>
      <c r="BA6" s="27">
        <f t="array" ref="BA6">MATCH(MAX(ABS(BA3:BA5)), ABS(BA3:BA5), 0)</f>
        <v>1</v>
      </c>
      <c r="BB6" s="27">
        <f t="array" ref="BB6">MATCH(MAX(ABS(BB3:BB5)), ABS(BB3:BB5), 0)</f>
        <v>1</v>
      </c>
      <c r="BC6" s="27">
        <f t="array" ref="BC6">MATCH(MAX(ABS(BC3:BC5)), ABS(BC3:BC5), 0)</f>
        <v>1</v>
      </c>
      <c r="BD6" s="27">
        <f t="array" ref="BD6">MATCH(MAX(ABS(BD3:BD5)), ABS(BD3:BD5), 0)</f>
        <v>1</v>
      </c>
      <c r="BE6" s="27">
        <f t="array" ref="BE6">MATCH(MAX(ABS(BE3:BE5)), ABS(BE3:BE5), 0)</f>
        <v>1</v>
      </c>
      <c r="BF6" s="27">
        <f t="array" ref="BF6">MATCH(MAX(ABS(BF3:BF5)), ABS(BF3:BF5), 0)</f>
        <v>1</v>
      </c>
      <c r="BG6" s="27">
        <f t="array" ref="BG6">MATCH(MAX(ABS(BG3:BG5)), ABS(BG3:BG5), 0)</f>
        <v>1</v>
      </c>
      <c r="BH6" s="27">
        <f t="array" ref="BH6">MATCH(MAX(ABS(BH3:BH5)), ABS(BH3:BH5), 0)</f>
        <v>1</v>
      </c>
      <c r="BI6" s="27">
        <f t="array" ref="BI6">MATCH(MAX(ABS(BI3:BI5)), ABS(BI3:BI5), 0)</f>
        <v>1</v>
      </c>
      <c r="BJ6" s="27">
        <f t="array" ref="BJ6">MATCH(MAX(ABS(BJ3:BJ5)), ABS(BJ3:BJ5), 0)</f>
        <v>1</v>
      </c>
      <c r="BK6" s="27">
        <f t="array" ref="BK6">MATCH(MAX(ABS(BK3:BK5)), ABS(BK3:BK5), 0)</f>
        <v>1</v>
      </c>
      <c r="BL6" s="27">
        <f t="array" ref="BL6">MATCH(MAX(ABS(BL3:BL5)), ABS(BL3:BL5), 0)</f>
        <v>1</v>
      </c>
      <c r="BM6" s="27">
        <f t="array" ref="BM6">MATCH(MAX(ABS(BM3:BM5)), ABS(BM3:BM5), 0)</f>
        <v>1</v>
      </c>
      <c r="BN6" s="27">
        <f t="array" ref="BN6">MATCH(MAX(ABS(BN3:BN5)), ABS(BN3:BN5), 0)</f>
        <v>1</v>
      </c>
      <c r="BO6" s="27">
        <f t="array" ref="BO6">MATCH(MAX(ABS(BO3:BO5)), ABS(BO3:BO5), 0)</f>
        <v>1</v>
      </c>
      <c r="BP6" s="27">
        <f t="array" ref="BP6">MATCH(MAX(ABS(BP3:BP5)), ABS(BP3:BP5), 0)</f>
        <v>1</v>
      </c>
      <c r="BQ6" s="27">
        <f t="array" ref="BQ6">MATCH(MAX(ABS(BQ3:BQ5)), ABS(BQ3:BQ5), 0)</f>
        <v>1</v>
      </c>
      <c r="BR6" s="27">
        <f t="array" ref="BR6">MATCH(MAX(ABS(BR3:BR5)), ABS(BR3:BR5), 0)</f>
        <v>1</v>
      </c>
      <c r="BS6" s="27">
        <f t="array" ref="BS6">MATCH(MAX(ABS(BS3:BS5)), ABS(BS3:BS5), 0)</f>
        <v>1</v>
      </c>
      <c r="BT6" s="27">
        <f t="array" ref="BT6">MATCH(MAX(ABS(BT3:BT5)), ABS(BT3:BT5), 0)</f>
        <v>1</v>
      </c>
      <c r="BU6" s="27">
        <f t="array" ref="BU6">MATCH(MAX(ABS(BU3:BU5)), ABS(BU3:BU5), 0)</f>
        <v>1</v>
      </c>
      <c r="BV6" s="27">
        <f t="array" ref="BV6">MATCH(MAX(ABS(BV3:BV5)), ABS(BV3:BV5), 0)</f>
        <v>1</v>
      </c>
      <c r="BW6" s="27">
        <f t="array" ref="BW6">MATCH(MAX(ABS(BW3:BW5)), ABS(BW3:BW5), 0)</f>
        <v>1</v>
      </c>
      <c r="BX6" s="27">
        <f t="array" ref="BX6">MATCH(MAX(ABS(BX3:BX5)), ABS(BX3:BX5), 0)</f>
        <v>1</v>
      </c>
      <c r="BY6" s="27">
        <f t="array" ref="BY6">MATCH(MAX(ABS(BY3:BY5)), ABS(BY3:BY5), 0)</f>
        <v>1</v>
      </c>
      <c r="BZ6" s="27">
        <f t="array" ref="BZ6">MATCH(MAX(ABS(BZ3:BZ5)), ABS(BZ3:BZ5), 0)</f>
        <v>1</v>
      </c>
      <c r="CA6" s="27">
        <f t="array" ref="CA6">MATCH(MAX(ABS(CA3:CA5)), ABS(CA3:CA5), 0)</f>
        <v>1</v>
      </c>
      <c r="CB6" s="27">
        <f t="array" ref="CB6">MATCH(MAX(ABS(CB3:CB5)), ABS(CB3:CB5), 0)</f>
        <v>1</v>
      </c>
      <c r="CC6" s="27">
        <f t="array" ref="CC6">MATCH(MAX(ABS(CC3:CC5)), ABS(CC3:CC5), 0)</f>
        <v>1</v>
      </c>
      <c r="CD6" s="27">
        <f t="array" ref="CD6">MATCH(MAX(ABS(CD3:CD5)), ABS(CD3:CD5), 0)</f>
        <v>1</v>
      </c>
      <c r="CE6" s="27">
        <f t="array" ref="CE6">MATCH(MAX(ABS(CE3:CE5)), ABS(CE3:CE5), 0)</f>
        <v>1</v>
      </c>
      <c r="CF6" s="27">
        <f t="array" ref="CF6">MATCH(MAX(ABS(CF3:CF5)), ABS(CF3:CF5), 0)</f>
        <v>1</v>
      </c>
      <c r="CG6" s="27">
        <f t="array" ref="CG6">MATCH(MAX(ABS(CG3:CG5)), ABS(CG3:CG5), 0)</f>
        <v>1</v>
      </c>
      <c r="CH6" s="27">
        <f t="array" ref="CH6">MATCH(MAX(ABS(CH3:CH5)), ABS(CH3:CH5), 0)</f>
        <v>1</v>
      </c>
      <c r="CI6" s="27">
        <f t="array" ref="CI6">MATCH(MAX(ABS(CI3:CI5)), ABS(CI3:CI5), 0)</f>
        <v>1</v>
      </c>
      <c r="CJ6" s="27">
        <f t="array" ref="CJ6">MATCH(MAX(ABS(CJ3:CJ5)), ABS(CJ3:CJ5), 0)</f>
        <v>1</v>
      </c>
      <c r="CK6" s="27">
        <f t="array" ref="CK6">MATCH(MAX(ABS(CK3:CK5)), ABS(CK3:CK5), 0)</f>
        <v>1</v>
      </c>
      <c r="CL6" s="27">
        <f t="array" ref="CL6">MATCH(MAX(ABS(CL3:CL5)), ABS(CL3:CL5), 0)</f>
        <v>1</v>
      </c>
      <c r="CM6" s="27">
        <f t="array" ref="CM6">MATCH(MAX(ABS(CM3:CM5)), ABS(CM3:CM5), 0)</f>
        <v>1</v>
      </c>
      <c r="CN6" s="27">
        <f t="array" ref="CN6">MATCH(MAX(ABS(CN3:CN5)), ABS(CN3:CN5), 0)</f>
        <v>1</v>
      </c>
      <c r="CO6" s="27">
        <f t="array" ref="CO6">MATCH(MAX(ABS(CO3:CO5)), ABS(CO3:CO5), 0)</f>
        <v>1</v>
      </c>
      <c r="CP6" s="27">
        <f t="array" ref="CP6">MATCH(MAX(ABS(CP3:CP5)), ABS(CP3:CP5), 0)</f>
        <v>1</v>
      </c>
      <c r="CQ6" s="27">
        <f t="array" ref="CQ6">MATCH(MAX(ABS(CQ3:CQ5)), ABS(CQ3:CQ5), 0)</f>
        <v>1</v>
      </c>
      <c r="CR6" s="27">
        <f t="array" ref="CR6">MATCH(MAX(ABS(CR3:CR5)), ABS(CR3:CR5), 0)</f>
        <v>1</v>
      </c>
      <c r="CS6" s="27">
        <f t="array" ref="CS6">MATCH(MAX(ABS(CS3:CS5)), ABS(CS3:CS5), 0)</f>
        <v>1</v>
      </c>
      <c r="CT6" s="27">
        <f t="array" ref="CT6">MATCH(MAX(ABS(CT3:CT5)), ABS(CT3:CT5), 0)</f>
        <v>1</v>
      </c>
      <c r="CU6" s="27">
        <f t="array" ref="CU6">MATCH(MAX(ABS(CU3:CU5)), ABS(CU3:CU5), 0)</f>
        <v>1</v>
      </c>
      <c r="CV6" s="27">
        <f t="array" ref="CV6">MATCH(MAX(ABS(CV3:CV5)), ABS(CV3:CV5), 0)</f>
        <v>1</v>
      </c>
      <c r="CW6" s="27">
        <f t="array" ref="CW6">MATCH(MAX(ABS(CW3:CW5)), ABS(CW3:CW5), 0)</f>
        <v>1</v>
      </c>
      <c r="CX6" s="27">
        <f t="array" ref="CX6">MATCH(MAX(ABS(CX3:CX5)), ABS(CX3:CX5), 0)</f>
        <v>1</v>
      </c>
      <c r="CY6" s="27">
        <f t="array" ref="CY6">MATCH(MAX(ABS(CY3:CY5)), ABS(CY3:CY5), 0)</f>
        <v>1</v>
      </c>
      <c r="CZ6" s="27">
        <f t="array" ref="CZ6">MATCH(MAX(ABS(CZ3:CZ5)), ABS(CZ3:CZ5), 0)</f>
        <v>1</v>
      </c>
      <c r="DA6" s="27">
        <f t="array" ref="DA6">MATCH(MAX(ABS(DA3:DA5)), ABS(DA3:DA5), 0)</f>
        <v>1</v>
      </c>
      <c r="DB6" s="27">
        <f t="array" ref="DB6">MATCH(MAX(ABS(DB3:DB5)), ABS(DB3:DB5), 0)</f>
        <v>1</v>
      </c>
      <c r="DC6" s="27">
        <f t="array" ref="DC6">MATCH(MAX(ABS(DC3:DC5)), ABS(DC3:DC5), 0)</f>
        <v>1</v>
      </c>
      <c r="DD6" s="27">
        <f t="array" ref="DD6">MATCH(MAX(ABS(DD3:DD5)), ABS(DD3:DD5), 0)</f>
        <v>1</v>
      </c>
      <c r="DE6" s="27">
        <f t="array" ref="DE6">MATCH(MAX(ABS(DE3:DE5)), ABS(DE3:DE5), 0)</f>
        <v>1</v>
      </c>
      <c r="DF6" s="27">
        <f t="array" ref="DF6">MATCH(MAX(ABS(DF3:DF5)), ABS(DF3:DF5), 0)</f>
        <v>1</v>
      </c>
      <c r="DG6" s="27">
        <f t="array" ref="DG6">MATCH(MAX(ABS(DG3:DG5)), ABS(DG3:DG5), 0)</f>
        <v>1</v>
      </c>
      <c r="DH6" s="27">
        <f t="array" ref="DH6">MATCH(MAX(ABS(DH3:DH5)), ABS(DH3:DH5), 0)</f>
        <v>1</v>
      </c>
      <c r="DI6" s="27">
        <f t="array" ref="DI6">MATCH(MAX(ABS(DI3:DI5)), ABS(DI3:DI5), 0)</f>
        <v>1</v>
      </c>
      <c r="DJ6" s="27">
        <f t="array" ref="DJ6">MATCH(MAX(ABS(DJ3:DJ5)), ABS(DJ3:DJ5), 0)</f>
        <v>1</v>
      </c>
      <c r="DK6" s="27">
        <f t="array" ref="DK6">MATCH(MAX(ABS(DK3:DK5)), ABS(DK3:DK5), 0)</f>
        <v>1</v>
      </c>
      <c r="DL6" s="27">
        <f t="array" ref="DL6">MATCH(MAX(ABS(DL3:DL5)), ABS(DL3:DL5), 0)</f>
        <v>1</v>
      </c>
      <c r="DM6" s="27">
        <f t="array" ref="DM6">MATCH(MAX(ABS(DM3:DM5)), ABS(DM3:DM5), 0)</f>
        <v>1</v>
      </c>
      <c r="DN6" s="27">
        <f t="array" ref="DN6">MATCH(MAX(ABS(DN3:DN5)), ABS(DN3:DN5), 0)</f>
        <v>1</v>
      </c>
      <c r="DO6" s="27">
        <f t="array" ref="DO6">MATCH(MAX(ABS(DO3:DO5)), ABS(DO3:DO5), 0)</f>
        <v>1</v>
      </c>
      <c r="DP6" s="27">
        <f t="array" ref="DP6">MATCH(MAX(ABS(DP3:DP5)), ABS(DP3:DP5), 0)</f>
        <v>1</v>
      </c>
      <c r="DQ6" s="27">
        <f t="array" ref="DQ6">MATCH(MAX(ABS(DQ3:DQ5)), ABS(DQ3:DQ5), 0)</f>
        <v>1</v>
      </c>
      <c r="DR6" s="27">
        <f t="array" ref="DR6">MATCH(MAX(ABS(DR3:DR5)), ABS(DR3:DR5), 0)</f>
        <v>1</v>
      </c>
      <c r="DS6" s="27">
        <f t="array" ref="DS6">MATCH(MAX(ABS(DS3:DS5)), ABS(DS3:DS5), 0)</f>
        <v>1</v>
      </c>
      <c r="DT6" s="27">
        <f t="array" ref="DT6">MATCH(MAX(ABS(DT3:DT5)), ABS(DT3:DT5), 0)</f>
        <v>1</v>
      </c>
      <c r="DU6" s="27">
        <f t="array" ref="DU6">MATCH(MAX(ABS(DU3:DU5)), ABS(DU3:DU5), 0)</f>
        <v>1</v>
      </c>
      <c r="DV6" s="27">
        <f t="array" ref="DV6">MATCH(MAX(ABS(DV3:DV5)), ABS(DV3:DV5), 0)</f>
        <v>1</v>
      </c>
      <c r="DW6" s="27">
        <f t="array" ref="DW6">MATCH(MAX(ABS(DW3:DW5)), ABS(DW3:DW5), 0)</f>
        <v>1</v>
      </c>
      <c r="DX6" s="27">
        <f t="array" ref="DX6">MATCH(MAX(ABS(DX3:DX5)), ABS(DX3:DX5), 0)</f>
        <v>1</v>
      </c>
      <c r="DY6" s="27">
        <f t="array" ref="DY6">MATCH(MAX(ABS(DY3:DY5)), ABS(DY3:DY5), 0)</f>
        <v>1</v>
      </c>
      <c r="DZ6" s="27">
        <f t="array" ref="DZ6">MATCH(MAX(ABS(DZ3:DZ5)), ABS(DZ3:DZ5), 0)</f>
        <v>1</v>
      </c>
      <c r="EA6" s="27">
        <f t="array" ref="EA6">MATCH(MAX(ABS(EA3:EA5)), ABS(EA3:EA5), 0)</f>
        <v>1</v>
      </c>
      <c r="EB6" s="27">
        <f t="array" ref="EB6">MATCH(MAX(ABS(EB3:EB5)), ABS(EB3:EB5), 0)</f>
        <v>1</v>
      </c>
      <c r="EC6" s="27">
        <f t="array" ref="EC6">MATCH(MAX(ABS(EC3:EC5)), ABS(EC3:EC5), 0)</f>
        <v>1</v>
      </c>
      <c r="ED6" s="27">
        <f t="array" ref="ED6">MATCH(MAX(ABS(ED3:ED5)), ABS(ED3:ED5), 0)</f>
        <v>1</v>
      </c>
      <c r="EE6" s="27">
        <f t="array" ref="EE6">MATCH(MAX(ABS(EE3:EE5)), ABS(EE3:EE5), 0)</f>
        <v>1</v>
      </c>
      <c r="EF6" s="27">
        <f t="array" ref="EF6">MATCH(MAX(ABS(EF3:EF5)), ABS(EF3:EF5), 0)</f>
        <v>1</v>
      </c>
    </row>
    <row r="7" spans="1:137" s="2" customFormat="1">
      <c r="C7" s="27" t="str">
        <f t="shared" ref="C7:AH7" si="0">IF(C6=1,"bm",IF(C6=2,"size",IF(C6=3,"mom")))</f>
        <v>bm</v>
      </c>
      <c r="D7" s="27" t="str">
        <f t="shared" si="0"/>
        <v>size</v>
      </c>
      <c r="E7" s="27" t="str">
        <f t="shared" si="0"/>
        <v>bm</v>
      </c>
      <c r="F7" s="27" t="str">
        <f t="shared" si="0"/>
        <v>size</v>
      </c>
      <c r="G7" s="27" t="str">
        <f t="shared" si="0"/>
        <v>size</v>
      </c>
      <c r="H7" s="27" t="str">
        <f t="shared" si="0"/>
        <v>size</v>
      </c>
      <c r="I7" s="27" t="str">
        <f t="shared" si="0"/>
        <v>bm</v>
      </c>
      <c r="J7" s="27" t="str">
        <f t="shared" si="0"/>
        <v>size</v>
      </c>
      <c r="K7" s="27" t="str">
        <f t="shared" si="0"/>
        <v>size</v>
      </c>
      <c r="L7" s="27" t="str">
        <f t="shared" si="0"/>
        <v>size</v>
      </c>
      <c r="M7" s="27" t="str">
        <f t="shared" si="0"/>
        <v>size</v>
      </c>
      <c r="N7" s="27" t="str">
        <f t="shared" si="0"/>
        <v>size</v>
      </c>
      <c r="O7" s="27" t="str">
        <f t="shared" si="0"/>
        <v>size</v>
      </c>
      <c r="P7" s="27" t="str">
        <f t="shared" si="0"/>
        <v>bm</v>
      </c>
      <c r="Q7" s="27" t="str">
        <f t="shared" si="0"/>
        <v>size</v>
      </c>
      <c r="R7" s="27" t="str">
        <f t="shared" si="0"/>
        <v>size</v>
      </c>
      <c r="S7" s="27" t="str">
        <f t="shared" si="0"/>
        <v>bm</v>
      </c>
      <c r="T7" s="27" t="str">
        <f t="shared" si="0"/>
        <v>size</v>
      </c>
      <c r="U7" s="27" t="str">
        <f t="shared" si="0"/>
        <v>size</v>
      </c>
      <c r="V7" s="27" t="str">
        <f t="shared" si="0"/>
        <v>size</v>
      </c>
      <c r="W7" s="27" t="str">
        <f t="shared" si="0"/>
        <v>size</v>
      </c>
      <c r="X7" s="27" t="str">
        <f t="shared" si="0"/>
        <v>bm</v>
      </c>
      <c r="Y7" s="27" t="str">
        <f t="shared" si="0"/>
        <v>size</v>
      </c>
      <c r="Z7" s="27" t="str">
        <f t="shared" si="0"/>
        <v>size</v>
      </c>
      <c r="AA7" s="27" t="str">
        <f t="shared" si="0"/>
        <v>size</v>
      </c>
      <c r="AB7" s="27" t="str">
        <f t="shared" si="0"/>
        <v>size</v>
      </c>
      <c r="AC7" s="27" t="str">
        <f t="shared" si="0"/>
        <v>size</v>
      </c>
      <c r="AD7" s="27" t="str">
        <f t="shared" si="0"/>
        <v>size</v>
      </c>
      <c r="AE7" s="27" t="str">
        <f t="shared" si="0"/>
        <v>bm</v>
      </c>
      <c r="AF7" s="27" t="str">
        <f t="shared" si="0"/>
        <v>size</v>
      </c>
      <c r="AG7" s="27" t="str">
        <f t="shared" si="0"/>
        <v>size</v>
      </c>
      <c r="AH7" s="27" t="str">
        <f t="shared" si="0"/>
        <v>size</v>
      </c>
      <c r="AI7" s="27" t="str">
        <f t="shared" ref="AI7:BN7" si="1">IF(AI6=1,"bm",IF(AI6=2,"size",IF(AI6=3,"mom")))</f>
        <v>size</v>
      </c>
      <c r="AJ7" s="27" t="str">
        <f t="shared" si="1"/>
        <v>size</v>
      </c>
      <c r="AK7" s="27" t="str">
        <f t="shared" si="1"/>
        <v>size</v>
      </c>
      <c r="AL7" s="27" t="str">
        <f t="shared" si="1"/>
        <v>bm</v>
      </c>
      <c r="AM7" s="27" t="str">
        <f t="shared" si="1"/>
        <v>size</v>
      </c>
      <c r="AN7" s="27" t="str">
        <f t="shared" si="1"/>
        <v>bm</v>
      </c>
      <c r="AO7" s="27" t="str">
        <f t="shared" si="1"/>
        <v>size</v>
      </c>
      <c r="AP7" s="27" t="str">
        <f t="shared" si="1"/>
        <v>bm</v>
      </c>
      <c r="AQ7" s="27" t="str">
        <f t="shared" si="1"/>
        <v>size</v>
      </c>
      <c r="AR7" s="27" t="str">
        <f t="shared" si="1"/>
        <v>size</v>
      </c>
      <c r="AS7" s="27" t="str">
        <f t="shared" si="1"/>
        <v>bm</v>
      </c>
      <c r="AT7" s="27" t="str">
        <f t="shared" si="1"/>
        <v>bm</v>
      </c>
      <c r="AU7" s="27" t="str">
        <f t="shared" si="1"/>
        <v>bm</v>
      </c>
      <c r="AV7" s="27" t="str">
        <f t="shared" si="1"/>
        <v>bm</v>
      </c>
      <c r="AW7" s="27" t="str">
        <f t="shared" si="1"/>
        <v>bm</v>
      </c>
      <c r="AX7" s="27" t="str">
        <f t="shared" si="1"/>
        <v>bm</v>
      </c>
      <c r="AY7" s="27" t="str">
        <f t="shared" si="1"/>
        <v>bm</v>
      </c>
      <c r="AZ7" s="27" t="str">
        <f t="shared" si="1"/>
        <v>bm</v>
      </c>
      <c r="BA7" s="27" t="str">
        <f t="shared" si="1"/>
        <v>bm</v>
      </c>
      <c r="BB7" s="27" t="str">
        <f t="shared" si="1"/>
        <v>bm</v>
      </c>
      <c r="BC7" s="27" t="str">
        <f t="shared" si="1"/>
        <v>bm</v>
      </c>
      <c r="BD7" s="27" t="str">
        <f t="shared" si="1"/>
        <v>bm</v>
      </c>
      <c r="BE7" s="27" t="str">
        <f t="shared" si="1"/>
        <v>bm</v>
      </c>
      <c r="BF7" s="27" t="str">
        <f t="shared" si="1"/>
        <v>bm</v>
      </c>
      <c r="BG7" s="27" t="str">
        <f t="shared" si="1"/>
        <v>bm</v>
      </c>
      <c r="BH7" s="27" t="str">
        <f t="shared" si="1"/>
        <v>bm</v>
      </c>
      <c r="BI7" s="27" t="str">
        <f t="shared" si="1"/>
        <v>bm</v>
      </c>
      <c r="BJ7" s="27" t="str">
        <f t="shared" si="1"/>
        <v>bm</v>
      </c>
      <c r="BK7" s="27" t="str">
        <f t="shared" si="1"/>
        <v>bm</v>
      </c>
      <c r="BL7" s="27" t="str">
        <f t="shared" si="1"/>
        <v>bm</v>
      </c>
      <c r="BM7" s="27" t="str">
        <f t="shared" si="1"/>
        <v>bm</v>
      </c>
      <c r="BN7" s="27" t="str">
        <f t="shared" si="1"/>
        <v>bm</v>
      </c>
      <c r="BO7" s="27" t="str">
        <f t="shared" ref="BO7:CT7" si="2">IF(BO6=1,"bm",IF(BO6=2,"size",IF(BO6=3,"mom")))</f>
        <v>bm</v>
      </c>
      <c r="BP7" s="27" t="str">
        <f t="shared" si="2"/>
        <v>bm</v>
      </c>
      <c r="BQ7" s="27" t="str">
        <f t="shared" si="2"/>
        <v>bm</v>
      </c>
      <c r="BR7" s="27" t="str">
        <f t="shared" si="2"/>
        <v>bm</v>
      </c>
      <c r="BS7" s="27" t="str">
        <f t="shared" si="2"/>
        <v>bm</v>
      </c>
      <c r="BT7" s="27" t="str">
        <f t="shared" si="2"/>
        <v>bm</v>
      </c>
      <c r="BU7" s="27" t="str">
        <f t="shared" si="2"/>
        <v>bm</v>
      </c>
      <c r="BV7" s="27" t="str">
        <f t="shared" si="2"/>
        <v>bm</v>
      </c>
      <c r="BW7" s="27" t="str">
        <f t="shared" si="2"/>
        <v>bm</v>
      </c>
      <c r="BX7" s="27" t="str">
        <f t="shared" si="2"/>
        <v>bm</v>
      </c>
      <c r="BY7" s="27" t="str">
        <f t="shared" si="2"/>
        <v>bm</v>
      </c>
      <c r="BZ7" s="27" t="str">
        <f t="shared" si="2"/>
        <v>bm</v>
      </c>
      <c r="CA7" s="27" t="str">
        <f t="shared" si="2"/>
        <v>bm</v>
      </c>
      <c r="CB7" s="27" t="str">
        <f t="shared" si="2"/>
        <v>bm</v>
      </c>
      <c r="CC7" s="27" t="str">
        <f t="shared" si="2"/>
        <v>bm</v>
      </c>
      <c r="CD7" s="27" t="str">
        <f t="shared" si="2"/>
        <v>bm</v>
      </c>
      <c r="CE7" s="27" t="str">
        <f t="shared" si="2"/>
        <v>bm</v>
      </c>
      <c r="CF7" s="27" t="str">
        <f t="shared" si="2"/>
        <v>bm</v>
      </c>
      <c r="CG7" s="27" t="str">
        <f t="shared" si="2"/>
        <v>bm</v>
      </c>
      <c r="CH7" s="27" t="str">
        <f t="shared" si="2"/>
        <v>bm</v>
      </c>
      <c r="CI7" s="27" t="str">
        <f t="shared" si="2"/>
        <v>bm</v>
      </c>
      <c r="CJ7" s="27" t="str">
        <f t="shared" si="2"/>
        <v>bm</v>
      </c>
      <c r="CK7" s="27" t="str">
        <f t="shared" si="2"/>
        <v>bm</v>
      </c>
      <c r="CL7" s="27" t="str">
        <f t="shared" si="2"/>
        <v>bm</v>
      </c>
      <c r="CM7" s="27" t="str">
        <f t="shared" si="2"/>
        <v>bm</v>
      </c>
      <c r="CN7" s="27" t="str">
        <f t="shared" si="2"/>
        <v>bm</v>
      </c>
      <c r="CO7" s="27" t="str">
        <f t="shared" si="2"/>
        <v>bm</v>
      </c>
      <c r="CP7" s="27" t="str">
        <f t="shared" si="2"/>
        <v>bm</v>
      </c>
      <c r="CQ7" s="27" t="str">
        <f t="shared" si="2"/>
        <v>bm</v>
      </c>
      <c r="CR7" s="27" t="str">
        <f t="shared" si="2"/>
        <v>bm</v>
      </c>
      <c r="CS7" s="27" t="str">
        <f t="shared" si="2"/>
        <v>bm</v>
      </c>
      <c r="CT7" s="27" t="str">
        <f t="shared" si="2"/>
        <v>bm</v>
      </c>
      <c r="CU7" s="27" t="str">
        <f t="shared" ref="CU7:DZ7" si="3">IF(CU6=1,"bm",IF(CU6=2,"size",IF(CU6=3,"mom")))</f>
        <v>bm</v>
      </c>
      <c r="CV7" s="27" t="str">
        <f t="shared" si="3"/>
        <v>bm</v>
      </c>
      <c r="CW7" s="27" t="str">
        <f t="shared" si="3"/>
        <v>bm</v>
      </c>
      <c r="CX7" s="27" t="str">
        <f t="shared" si="3"/>
        <v>bm</v>
      </c>
      <c r="CY7" s="27" t="str">
        <f t="shared" si="3"/>
        <v>bm</v>
      </c>
      <c r="CZ7" s="27" t="str">
        <f t="shared" si="3"/>
        <v>bm</v>
      </c>
      <c r="DA7" s="27" t="str">
        <f t="shared" si="3"/>
        <v>bm</v>
      </c>
      <c r="DB7" s="27" t="str">
        <f t="shared" si="3"/>
        <v>bm</v>
      </c>
      <c r="DC7" s="27" t="str">
        <f t="shared" si="3"/>
        <v>bm</v>
      </c>
      <c r="DD7" s="27" t="str">
        <f t="shared" si="3"/>
        <v>bm</v>
      </c>
      <c r="DE7" s="27" t="str">
        <f t="shared" si="3"/>
        <v>bm</v>
      </c>
      <c r="DF7" s="27" t="str">
        <f t="shared" si="3"/>
        <v>bm</v>
      </c>
      <c r="DG7" s="27" t="str">
        <f t="shared" si="3"/>
        <v>bm</v>
      </c>
      <c r="DH7" s="27" t="str">
        <f t="shared" si="3"/>
        <v>bm</v>
      </c>
      <c r="DI7" s="27" t="str">
        <f t="shared" si="3"/>
        <v>bm</v>
      </c>
      <c r="DJ7" s="27" t="str">
        <f t="shared" si="3"/>
        <v>bm</v>
      </c>
      <c r="DK7" s="27" t="str">
        <f t="shared" si="3"/>
        <v>bm</v>
      </c>
      <c r="DL7" s="27" t="str">
        <f t="shared" si="3"/>
        <v>bm</v>
      </c>
      <c r="DM7" s="27" t="str">
        <f t="shared" si="3"/>
        <v>bm</v>
      </c>
      <c r="DN7" s="27" t="str">
        <f t="shared" si="3"/>
        <v>bm</v>
      </c>
      <c r="DO7" s="27" t="str">
        <f t="shared" si="3"/>
        <v>bm</v>
      </c>
      <c r="DP7" s="27" t="str">
        <f t="shared" si="3"/>
        <v>bm</v>
      </c>
      <c r="DQ7" s="27" t="str">
        <f t="shared" si="3"/>
        <v>bm</v>
      </c>
      <c r="DR7" s="27" t="str">
        <f t="shared" si="3"/>
        <v>bm</v>
      </c>
      <c r="DS7" s="27" t="str">
        <f t="shared" si="3"/>
        <v>bm</v>
      </c>
      <c r="DT7" s="27" t="str">
        <f t="shared" si="3"/>
        <v>bm</v>
      </c>
      <c r="DU7" s="27" t="str">
        <f t="shared" si="3"/>
        <v>bm</v>
      </c>
      <c r="DV7" s="27" t="str">
        <f t="shared" si="3"/>
        <v>bm</v>
      </c>
      <c r="DW7" s="27" t="str">
        <f t="shared" si="3"/>
        <v>bm</v>
      </c>
      <c r="DX7" s="27" t="str">
        <f t="shared" si="3"/>
        <v>bm</v>
      </c>
      <c r="DY7" s="27" t="str">
        <f t="shared" si="3"/>
        <v>bm</v>
      </c>
      <c r="DZ7" s="27" t="str">
        <f t="shared" si="3"/>
        <v>bm</v>
      </c>
      <c r="EA7" s="27" t="str">
        <f t="shared" ref="EA7:EF7" si="4">IF(EA6=1,"bm",IF(EA6=2,"size",IF(EA6=3,"mom")))</f>
        <v>bm</v>
      </c>
      <c r="EB7" s="27" t="str">
        <f t="shared" si="4"/>
        <v>bm</v>
      </c>
      <c r="EC7" s="27" t="str">
        <f t="shared" si="4"/>
        <v>bm</v>
      </c>
      <c r="ED7" s="27" t="str">
        <f t="shared" si="4"/>
        <v>bm</v>
      </c>
      <c r="EE7" s="27" t="str">
        <f t="shared" si="4"/>
        <v>bm</v>
      </c>
      <c r="EF7" s="27" t="str">
        <f t="shared" si="4"/>
        <v>bm</v>
      </c>
    </row>
    <row r="8" spans="1:137" s="2" customFormat="1">
      <c r="C8" s="27">
        <f t="shared" ref="C8:AH8" si="5">IF(C6=1,C3,IF(C6=2,C4,IF(C6=3,C5)))</f>
        <v>5.338069424033165E-2</v>
      </c>
      <c r="D8" s="27">
        <f t="shared" si="5"/>
        <v>-3.0302392318844799E-2</v>
      </c>
      <c r="E8" s="27">
        <f t="shared" si="5"/>
        <v>3.7131085991859443E-2</v>
      </c>
      <c r="F8" s="27">
        <f t="shared" si="5"/>
        <v>-3.342650830745697E-2</v>
      </c>
      <c r="G8" s="27">
        <f t="shared" si="5"/>
        <v>-4.356461763381958E-2</v>
      </c>
      <c r="H8" s="27">
        <f t="shared" si="5"/>
        <v>-2.4043656885623928E-2</v>
      </c>
      <c r="I8" s="27">
        <f t="shared" si="5"/>
        <v>3.051983006298542E-2</v>
      </c>
      <c r="J8" s="27">
        <f t="shared" si="5"/>
        <v>-3.6628138273954391E-2</v>
      </c>
      <c r="K8" s="27">
        <f t="shared" si="5"/>
        <v>-3.3706646412611008E-2</v>
      </c>
      <c r="L8" s="27">
        <f t="shared" si="5"/>
        <v>-3.9789609611034393E-2</v>
      </c>
      <c r="M8" s="27">
        <f t="shared" si="5"/>
        <v>-3.8071341812610633E-2</v>
      </c>
      <c r="N8" s="27">
        <f t="shared" si="5"/>
        <v>-2.9651828110218052E-2</v>
      </c>
      <c r="O8" s="27">
        <f t="shared" si="5"/>
        <v>-3.6376375705003738E-2</v>
      </c>
      <c r="P8" s="27">
        <f t="shared" si="5"/>
        <v>9.2788353562355042E-2</v>
      </c>
      <c r="Q8" s="27">
        <f t="shared" si="5"/>
        <v>-2.434376627206802E-2</v>
      </c>
      <c r="R8" s="27">
        <f t="shared" si="5"/>
        <v>-3.3573232591152191E-2</v>
      </c>
      <c r="S8" s="27">
        <f t="shared" si="5"/>
        <v>4.957927018404007E-2</v>
      </c>
      <c r="T8" s="27">
        <f t="shared" si="5"/>
        <v>-2.798360958695412E-2</v>
      </c>
      <c r="U8" s="27">
        <f t="shared" si="5"/>
        <v>-2.942265011370182E-2</v>
      </c>
      <c r="V8" s="27">
        <f t="shared" si="5"/>
        <v>-2.794249914586544E-2</v>
      </c>
      <c r="W8" s="27">
        <f t="shared" si="5"/>
        <v>-2.784637734293938E-2</v>
      </c>
      <c r="X8" s="27">
        <f t="shared" si="5"/>
        <v>-3.8444548845291138E-2</v>
      </c>
      <c r="Y8" s="27">
        <f t="shared" si="5"/>
        <v>-3.1967829912900918E-2</v>
      </c>
      <c r="Z8" s="27">
        <f t="shared" si="5"/>
        <v>-2.9925361275672909E-2</v>
      </c>
      <c r="AA8" s="27">
        <f t="shared" si="5"/>
        <v>-3.0244136229157451E-2</v>
      </c>
      <c r="AB8" s="27">
        <f t="shared" si="5"/>
        <v>-2.8592776507139209E-2</v>
      </c>
      <c r="AC8" s="27">
        <f t="shared" si="5"/>
        <v>-2.740947529673576E-2</v>
      </c>
      <c r="AD8" s="27">
        <f t="shared" si="5"/>
        <v>-2.904889173805714E-2</v>
      </c>
      <c r="AE8" s="27">
        <f t="shared" si="5"/>
        <v>3.8704991340637207E-2</v>
      </c>
      <c r="AF8" s="27">
        <f t="shared" si="5"/>
        <v>-2.8318248689174649E-2</v>
      </c>
      <c r="AG8" s="27">
        <f t="shared" si="5"/>
        <v>-2.835783921182156E-2</v>
      </c>
      <c r="AH8" s="27">
        <f t="shared" si="5"/>
        <v>-2.0635519176721569E-2</v>
      </c>
      <c r="AI8" s="27">
        <f t="shared" ref="AI8:BN8" si="6">IF(AI6=1,AI3,IF(AI6=2,AI4,IF(AI6=3,AI5)))</f>
        <v>-3.9616737514734268E-2</v>
      </c>
      <c r="AJ8" s="27">
        <f t="shared" si="6"/>
        <v>-3.4279849380254752E-2</v>
      </c>
      <c r="AK8" s="27">
        <f t="shared" si="6"/>
        <v>-2.738221921026707E-2</v>
      </c>
      <c r="AL8" s="27">
        <f t="shared" si="6"/>
        <v>3.8964591920375817E-2</v>
      </c>
      <c r="AM8" s="27">
        <f t="shared" si="6"/>
        <v>-3.1148817390203479E-2</v>
      </c>
      <c r="AN8" s="27">
        <f t="shared" si="6"/>
        <v>4.386327788233757E-2</v>
      </c>
      <c r="AO8" s="27">
        <f t="shared" si="6"/>
        <v>-3.5884447395801537E-2</v>
      </c>
      <c r="AP8" s="27">
        <f t="shared" si="6"/>
        <v>3.8291200995445251E-2</v>
      </c>
      <c r="AQ8" s="27">
        <f t="shared" si="6"/>
        <v>-2.1187437698245049E-2</v>
      </c>
      <c r="AR8" s="27">
        <f t="shared" si="6"/>
        <v>-2.6181202381849289E-2</v>
      </c>
      <c r="AS8" s="27">
        <f t="shared" si="6"/>
        <v>-6.6054962575435638E-2</v>
      </c>
      <c r="AT8" s="27">
        <f t="shared" si="6"/>
        <v>4.3137997388839722E-2</v>
      </c>
      <c r="AU8" s="27">
        <f t="shared" si="6"/>
        <v>4.9771856516599662E-2</v>
      </c>
      <c r="AV8" s="27">
        <f t="shared" si="6"/>
        <v>4.9413982778787613E-2</v>
      </c>
      <c r="AW8" s="27">
        <f t="shared" si="6"/>
        <v>5.1071316003799438E-2</v>
      </c>
      <c r="AX8" s="27">
        <f t="shared" si="6"/>
        <v>4.962177574634552E-2</v>
      </c>
      <c r="AY8" s="27">
        <f t="shared" si="6"/>
        <v>5.1257487386465073E-2</v>
      </c>
      <c r="AZ8" s="27">
        <f t="shared" si="6"/>
        <v>4.2423129081726067E-2</v>
      </c>
      <c r="BA8" s="27">
        <f t="shared" si="6"/>
        <v>3.9333701133728027E-2</v>
      </c>
      <c r="BB8" s="27">
        <f t="shared" si="6"/>
        <v>3.9388258010149002E-2</v>
      </c>
      <c r="BC8" s="27">
        <f t="shared" si="6"/>
        <v>4.2884018272161477E-2</v>
      </c>
      <c r="BD8" s="27">
        <f t="shared" si="6"/>
        <v>4.4494438916444778E-2</v>
      </c>
      <c r="BE8" s="27">
        <f t="shared" si="6"/>
        <v>4.6050392091274261E-2</v>
      </c>
      <c r="BF8" s="27">
        <f t="shared" si="6"/>
        <v>5.2774351090192788E-2</v>
      </c>
      <c r="BG8" s="27">
        <f t="shared" si="6"/>
        <v>5.2520696073770523E-2</v>
      </c>
      <c r="BH8" s="27">
        <f t="shared" si="6"/>
        <v>5.204303190112114E-2</v>
      </c>
      <c r="BI8" s="27">
        <f t="shared" si="6"/>
        <v>5.3213786333799362E-2</v>
      </c>
      <c r="BJ8" s="27">
        <f t="shared" si="6"/>
        <v>5.14848493039608E-2</v>
      </c>
      <c r="BK8" s="27">
        <f t="shared" si="6"/>
        <v>5.2345767617225647E-2</v>
      </c>
      <c r="BL8" s="27">
        <f t="shared" si="6"/>
        <v>5.2821684628725052E-2</v>
      </c>
      <c r="BM8" s="27">
        <f t="shared" si="6"/>
        <v>5.246623232960701E-2</v>
      </c>
      <c r="BN8" s="27">
        <f t="shared" si="6"/>
        <v>5.7477392256259918E-2</v>
      </c>
      <c r="BO8" s="27">
        <f t="shared" ref="BO8:CT8" si="7">IF(BO6=1,BO3,IF(BO6=2,BO4,IF(BO6=3,BO5)))</f>
        <v>5.5104456841945648E-2</v>
      </c>
      <c r="BP8" s="27">
        <f t="shared" si="7"/>
        <v>4.081440344452858E-2</v>
      </c>
      <c r="BQ8" s="27">
        <f t="shared" si="7"/>
        <v>5.2616532891988747E-2</v>
      </c>
      <c r="BR8" s="27">
        <f t="shared" si="7"/>
        <v>3.6645740270614617E-2</v>
      </c>
      <c r="BS8" s="27">
        <f t="shared" si="7"/>
        <v>5.4600823670625687E-2</v>
      </c>
      <c r="BT8" s="27">
        <f t="shared" si="7"/>
        <v>4.5548383146524429E-2</v>
      </c>
      <c r="BU8" s="27">
        <f t="shared" si="7"/>
        <v>5.5572357028722763E-2</v>
      </c>
      <c r="BV8" s="27">
        <f t="shared" si="7"/>
        <v>5.2330784499645233E-2</v>
      </c>
      <c r="BW8" s="27">
        <f t="shared" si="7"/>
        <v>4.1799742728471763E-2</v>
      </c>
      <c r="BX8" s="27">
        <f t="shared" si="7"/>
        <v>4.7964099794626243E-2</v>
      </c>
      <c r="BY8" s="27">
        <f t="shared" si="7"/>
        <v>4.9554049968719482E-2</v>
      </c>
      <c r="BZ8" s="27">
        <f t="shared" si="7"/>
        <v>5.3468108177185059E-2</v>
      </c>
      <c r="CA8" s="27">
        <f t="shared" si="7"/>
        <v>4.868757352232933E-2</v>
      </c>
      <c r="CB8" s="27">
        <f t="shared" si="7"/>
        <v>4.6025428920984268E-2</v>
      </c>
      <c r="CC8" s="27">
        <f t="shared" si="7"/>
        <v>5.2412558346986771E-2</v>
      </c>
      <c r="CD8" s="27">
        <f t="shared" si="7"/>
        <v>4.9619406461715698E-2</v>
      </c>
      <c r="CE8" s="27">
        <f t="shared" si="7"/>
        <v>4.6824052929878228E-2</v>
      </c>
      <c r="CF8" s="27">
        <f t="shared" si="7"/>
        <v>5.0924398005008698E-2</v>
      </c>
      <c r="CG8" s="27">
        <f t="shared" si="7"/>
        <v>4.6287201344966888E-2</v>
      </c>
      <c r="CH8" s="27">
        <f t="shared" si="7"/>
        <v>5.0006065517663963E-2</v>
      </c>
      <c r="CI8" s="27">
        <f t="shared" si="7"/>
        <v>4.8990387469530113E-2</v>
      </c>
      <c r="CJ8" s="27">
        <f t="shared" si="7"/>
        <v>5.0737027078866959E-2</v>
      </c>
      <c r="CK8" s="27">
        <f t="shared" si="7"/>
        <v>5.0407581031322479E-2</v>
      </c>
      <c r="CL8" s="27">
        <f t="shared" si="7"/>
        <v>5.1771163940429688E-2</v>
      </c>
      <c r="CM8" s="27">
        <f t="shared" si="7"/>
        <v>4.9744158983230591E-2</v>
      </c>
      <c r="CN8" s="27">
        <f t="shared" si="7"/>
        <v>4.9877673387527473E-2</v>
      </c>
      <c r="CO8" s="27">
        <f t="shared" si="7"/>
        <v>4.8527717590332031E-2</v>
      </c>
      <c r="CP8" s="27">
        <f t="shared" si="7"/>
        <v>4.8692740499973297E-2</v>
      </c>
      <c r="CQ8" s="27">
        <f t="shared" si="7"/>
        <v>4.9047302454710007E-2</v>
      </c>
      <c r="CR8" s="27">
        <f t="shared" si="7"/>
        <v>4.9837246537208557E-2</v>
      </c>
      <c r="CS8" s="27">
        <f t="shared" si="7"/>
        <v>4.7483202069997787E-2</v>
      </c>
      <c r="CT8" s="27">
        <f t="shared" si="7"/>
        <v>3.1795904040336609E-2</v>
      </c>
      <c r="CU8" s="27">
        <f t="shared" ref="CU8:DZ8" si="8">IF(CU6=1,CU3,IF(CU6=2,CU4,IF(CU6=3,CU5)))</f>
        <v>4.4976841658353812E-2</v>
      </c>
      <c r="CV8" s="27">
        <f t="shared" si="8"/>
        <v>4.9786105751991272E-2</v>
      </c>
      <c r="CW8" s="27">
        <f t="shared" si="8"/>
        <v>4.3859463185071952E-2</v>
      </c>
      <c r="CX8" s="27">
        <f t="shared" si="8"/>
        <v>5.1966626197099693E-2</v>
      </c>
      <c r="CY8" s="27">
        <f t="shared" si="8"/>
        <v>5.0948314368724823E-2</v>
      </c>
      <c r="CZ8" s="27">
        <f t="shared" si="8"/>
        <v>4.4357843697071082E-2</v>
      </c>
      <c r="DA8" s="27">
        <f t="shared" si="8"/>
        <v>4.5401513576507568E-2</v>
      </c>
      <c r="DB8" s="27">
        <f t="shared" si="8"/>
        <v>5.2733633667230613E-2</v>
      </c>
      <c r="DC8" s="27">
        <f t="shared" si="8"/>
        <v>5.2081622183322913E-2</v>
      </c>
      <c r="DD8" s="27">
        <f t="shared" si="8"/>
        <v>4.963703453540802E-2</v>
      </c>
      <c r="DE8" s="27">
        <f t="shared" si="8"/>
        <v>5.2589800208806992E-2</v>
      </c>
      <c r="DF8" s="27">
        <f t="shared" si="8"/>
        <v>4.1408929973840707E-2</v>
      </c>
      <c r="DG8" s="27">
        <f t="shared" si="8"/>
        <v>4.3718356639146798E-2</v>
      </c>
      <c r="DH8" s="27">
        <f t="shared" si="8"/>
        <v>4.6793397516012192E-2</v>
      </c>
      <c r="DI8" s="27">
        <f t="shared" si="8"/>
        <v>4.7784905880689621E-2</v>
      </c>
      <c r="DJ8" s="27">
        <f t="shared" si="8"/>
        <v>5.1443465054035187E-2</v>
      </c>
      <c r="DK8" s="27">
        <f t="shared" si="8"/>
        <v>4.1621468961238861E-2</v>
      </c>
      <c r="DL8" s="27">
        <f t="shared" si="8"/>
        <v>4.8520050942897797E-2</v>
      </c>
      <c r="DM8" s="27">
        <f t="shared" si="8"/>
        <v>4.8485212028026581E-2</v>
      </c>
      <c r="DN8" s="27">
        <f t="shared" si="8"/>
        <v>4.6739093959331512E-2</v>
      </c>
      <c r="DO8" s="27">
        <f t="shared" si="8"/>
        <v>4.815780371427536E-2</v>
      </c>
      <c r="DP8" s="27">
        <f t="shared" si="8"/>
        <v>4.7622770071029663E-2</v>
      </c>
      <c r="DQ8" s="27">
        <f t="shared" si="8"/>
        <v>4.8637110739946372E-2</v>
      </c>
      <c r="DR8" s="27">
        <f t="shared" si="8"/>
        <v>4.879031702876091E-2</v>
      </c>
      <c r="DS8" s="27">
        <f t="shared" si="8"/>
        <v>4.4818054884672158E-2</v>
      </c>
      <c r="DT8" s="27">
        <f t="shared" si="8"/>
        <v>4.8045273870229721E-2</v>
      </c>
      <c r="DU8" s="27">
        <f t="shared" si="8"/>
        <v>4.7465518116950989E-2</v>
      </c>
      <c r="DV8" s="27">
        <f t="shared" si="8"/>
        <v>4.6620264649391167E-2</v>
      </c>
      <c r="DW8" s="27">
        <f t="shared" si="8"/>
        <v>4.7323688864707947E-2</v>
      </c>
      <c r="DX8" s="27">
        <f t="shared" si="8"/>
        <v>4.754440113902092E-2</v>
      </c>
      <c r="DY8" s="27">
        <f t="shared" si="8"/>
        <v>4.7807488590478897E-2</v>
      </c>
      <c r="DZ8" s="27">
        <f t="shared" si="8"/>
        <v>3.4820709377527237E-2</v>
      </c>
      <c r="EA8" s="27">
        <f t="shared" ref="EA8:EF8" si="9">IF(EA6=1,EA3,IF(EA6=2,EA4,IF(EA6=3,EA5)))</f>
        <v>4.8265136778354638E-2</v>
      </c>
      <c r="EB8" s="27">
        <f t="shared" si="9"/>
        <v>4.2205382138490677E-2</v>
      </c>
      <c r="EC8" s="27">
        <f t="shared" si="9"/>
        <v>3.6263357847929001E-2</v>
      </c>
      <c r="ED8" s="27">
        <f t="shared" si="9"/>
        <v>3.9504203945398331E-2</v>
      </c>
      <c r="EE8" s="27">
        <f t="shared" si="9"/>
        <v>4.6422228217124939E-2</v>
      </c>
      <c r="EF8" s="27">
        <f t="shared" si="9"/>
        <v>5.0174936652183533E-2</v>
      </c>
    </row>
    <row r="10" spans="1:137">
      <c r="A10" s="32" t="s">
        <v>140</v>
      </c>
      <c r="B10" s="33"/>
      <c r="C10" s="4" t="s">
        <v>141</v>
      </c>
      <c r="D10" s="6">
        <v>964</v>
      </c>
    </row>
    <row r="11" spans="1:137">
      <c r="A11" s="4" t="s">
        <v>142</v>
      </c>
      <c r="B11" s="4" t="s">
        <v>143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I11" s="5" t="s">
        <v>8</v>
      </c>
      <c r="J11" s="5" t="s">
        <v>9</v>
      </c>
      <c r="K11" s="5" t="s">
        <v>10</v>
      </c>
      <c r="L11" s="5" t="s">
        <v>11</v>
      </c>
      <c r="M11" s="5" t="s">
        <v>12</v>
      </c>
      <c r="N11" s="5" t="s">
        <v>13</v>
      </c>
      <c r="O11" s="5" t="s">
        <v>14</v>
      </c>
      <c r="P11" s="5" t="s">
        <v>15</v>
      </c>
      <c r="Q11" s="5" t="s">
        <v>16</v>
      </c>
      <c r="R11" s="5" t="s">
        <v>17</v>
      </c>
      <c r="S11" s="5" t="s">
        <v>18</v>
      </c>
      <c r="T11" s="5" t="s">
        <v>19</v>
      </c>
      <c r="U11" s="5" t="s">
        <v>20</v>
      </c>
      <c r="V11" s="5" t="s">
        <v>21</v>
      </c>
      <c r="W11" s="5" t="s">
        <v>22</v>
      </c>
      <c r="X11" s="5" t="s">
        <v>23</v>
      </c>
      <c r="Y11" s="5" t="s">
        <v>24</v>
      </c>
      <c r="Z11" s="5" t="s">
        <v>25</v>
      </c>
      <c r="AA11" s="5" t="s">
        <v>26</v>
      </c>
      <c r="AB11" s="5" t="s">
        <v>27</v>
      </c>
      <c r="AC11" s="5" t="s">
        <v>28</v>
      </c>
      <c r="AD11" s="5" t="s">
        <v>29</v>
      </c>
      <c r="AE11" s="5" t="s">
        <v>30</v>
      </c>
      <c r="AF11" s="5" t="s">
        <v>31</v>
      </c>
      <c r="AG11" s="5" t="s">
        <v>32</v>
      </c>
      <c r="AH11" s="5" t="s">
        <v>33</v>
      </c>
      <c r="AI11" s="5" t="s">
        <v>34</v>
      </c>
      <c r="AJ11" s="5" t="s">
        <v>35</v>
      </c>
      <c r="AK11" s="5" t="s">
        <v>36</v>
      </c>
      <c r="AL11" s="5" t="s">
        <v>37</v>
      </c>
      <c r="AM11" s="5" t="s">
        <v>38</v>
      </c>
      <c r="AN11" s="5" t="s">
        <v>39</v>
      </c>
      <c r="AO11" s="5" t="s">
        <v>40</v>
      </c>
      <c r="AP11" s="5" t="s">
        <v>41</v>
      </c>
      <c r="AQ11" s="5" t="s">
        <v>42</v>
      </c>
      <c r="AR11" s="5" t="s">
        <v>43</v>
      </c>
      <c r="AS11" s="5" t="s">
        <v>44</v>
      </c>
      <c r="AT11" s="5" t="s">
        <v>45</v>
      </c>
      <c r="AU11" s="5" t="s">
        <v>46</v>
      </c>
      <c r="AV11" s="5" t="s">
        <v>47</v>
      </c>
      <c r="AW11" s="5" t="s">
        <v>48</v>
      </c>
      <c r="AX11" s="5" t="s">
        <v>49</v>
      </c>
      <c r="AY11" s="5" t="s">
        <v>50</v>
      </c>
      <c r="AZ11" s="5" t="s">
        <v>51</v>
      </c>
      <c r="BA11" s="5" t="s">
        <v>52</v>
      </c>
      <c r="BB11" s="5" t="s">
        <v>53</v>
      </c>
      <c r="BC11" s="5" t="s">
        <v>54</v>
      </c>
      <c r="BD11" s="5" t="s">
        <v>55</v>
      </c>
      <c r="BE11" s="5" t="s">
        <v>56</v>
      </c>
      <c r="BF11" s="5" t="s">
        <v>57</v>
      </c>
      <c r="BG11" s="5" t="s">
        <v>58</v>
      </c>
      <c r="BH11" s="5" t="s">
        <v>59</v>
      </c>
      <c r="BI11" s="5" t="s">
        <v>60</v>
      </c>
      <c r="BJ11" s="5" t="s">
        <v>61</v>
      </c>
      <c r="BK11" s="5" t="s">
        <v>62</v>
      </c>
      <c r="BL11" s="5" t="s">
        <v>63</v>
      </c>
      <c r="BM11" s="5" t="s">
        <v>64</v>
      </c>
      <c r="BN11" s="5" t="s">
        <v>65</v>
      </c>
      <c r="BO11" s="5" t="s">
        <v>66</v>
      </c>
      <c r="BP11" s="5" t="s">
        <v>67</v>
      </c>
      <c r="BQ11" s="5" t="s">
        <v>68</v>
      </c>
      <c r="BR11" s="5" t="s">
        <v>69</v>
      </c>
      <c r="BS11" s="5" t="s">
        <v>70</v>
      </c>
      <c r="BT11" s="5" t="s">
        <v>71</v>
      </c>
      <c r="BU11" s="5" t="s">
        <v>72</v>
      </c>
      <c r="BV11" s="5" t="s">
        <v>73</v>
      </c>
      <c r="BW11" s="5" t="s">
        <v>74</v>
      </c>
      <c r="BX11" s="5" t="s">
        <v>75</v>
      </c>
      <c r="BY11" s="5" t="s">
        <v>76</v>
      </c>
      <c r="BZ11" s="5" t="s">
        <v>77</v>
      </c>
      <c r="CA11" s="5" t="s">
        <v>78</v>
      </c>
      <c r="CB11" s="5" t="s">
        <v>79</v>
      </c>
      <c r="CC11" s="5" t="s">
        <v>80</v>
      </c>
      <c r="CD11" s="5" t="s">
        <v>81</v>
      </c>
      <c r="CE11" s="5" t="s">
        <v>82</v>
      </c>
      <c r="CF11" s="5" t="s">
        <v>83</v>
      </c>
      <c r="CG11" s="5" t="s">
        <v>84</v>
      </c>
      <c r="CH11" s="5" t="s">
        <v>85</v>
      </c>
      <c r="CI11" s="5" t="s">
        <v>86</v>
      </c>
      <c r="CJ11" s="5" t="s">
        <v>87</v>
      </c>
      <c r="CK11" s="5" t="s">
        <v>88</v>
      </c>
      <c r="CL11" s="5" t="s">
        <v>89</v>
      </c>
      <c r="CM11" s="5" t="s">
        <v>90</v>
      </c>
      <c r="CN11" s="5" t="s">
        <v>91</v>
      </c>
      <c r="CO11" s="5" t="s">
        <v>92</v>
      </c>
      <c r="CP11" s="5" t="s">
        <v>93</v>
      </c>
      <c r="CQ11" s="5" t="s">
        <v>94</v>
      </c>
      <c r="CR11" s="5" t="s">
        <v>95</v>
      </c>
      <c r="CS11" s="5" t="s">
        <v>96</v>
      </c>
      <c r="CT11" s="5" t="s">
        <v>97</v>
      </c>
      <c r="CU11" s="5" t="s">
        <v>98</v>
      </c>
      <c r="CV11" s="5" t="s">
        <v>99</v>
      </c>
      <c r="CW11" s="5" t="s">
        <v>100</v>
      </c>
      <c r="CX11" s="5" t="s">
        <v>101</v>
      </c>
      <c r="CY11" s="5" t="s">
        <v>102</v>
      </c>
      <c r="CZ11" s="5" t="s">
        <v>103</v>
      </c>
      <c r="DA11" s="5" t="s">
        <v>104</v>
      </c>
      <c r="DB11" s="5" t="s">
        <v>105</v>
      </c>
      <c r="DC11" s="5" t="s">
        <v>106</v>
      </c>
      <c r="DD11" s="5" t="s">
        <v>107</v>
      </c>
      <c r="DE11" s="5" t="s">
        <v>108</v>
      </c>
      <c r="DF11" s="5" t="s">
        <v>109</v>
      </c>
      <c r="DG11" s="5" t="s">
        <v>110</v>
      </c>
      <c r="DH11" s="5" t="s">
        <v>111</v>
      </c>
      <c r="DI11" s="5" t="s">
        <v>112</v>
      </c>
      <c r="DJ11" s="5" t="s">
        <v>113</v>
      </c>
      <c r="DK11" s="5" t="s">
        <v>114</v>
      </c>
      <c r="DL11" s="5" t="s">
        <v>115</v>
      </c>
      <c r="DM11" s="5" t="s">
        <v>116</v>
      </c>
      <c r="DN11" s="5" t="s">
        <v>117</v>
      </c>
      <c r="DO11" s="5" t="s">
        <v>118</v>
      </c>
      <c r="DP11" s="5" t="s">
        <v>119</v>
      </c>
      <c r="DQ11" s="5" t="s">
        <v>120</v>
      </c>
      <c r="DR11" s="5" t="s">
        <v>121</v>
      </c>
      <c r="DS11" s="5" t="s">
        <v>122</v>
      </c>
      <c r="DT11" s="5" t="s">
        <v>123</v>
      </c>
      <c r="DU11" s="5" t="s">
        <v>124</v>
      </c>
      <c r="DV11" s="5" t="s">
        <v>125</v>
      </c>
      <c r="DW11" s="5" t="s">
        <v>126</v>
      </c>
      <c r="DX11" s="5" t="s">
        <v>127</v>
      </c>
      <c r="DY11" s="5" t="s">
        <v>128</v>
      </c>
      <c r="DZ11" s="5" t="s">
        <v>129</v>
      </c>
      <c r="EA11" s="5" t="s">
        <v>130</v>
      </c>
      <c r="EB11" s="5" t="s">
        <v>131</v>
      </c>
      <c r="EC11" s="5" t="s">
        <v>132</v>
      </c>
      <c r="ED11" s="5" t="s">
        <v>133</v>
      </c>
      <c r="EE11" s="5" t="s">
        <v>134</v>
      </c>
      <c r="EF11" s="5" t="s">
        <v>135</v>
      </c>
    </row>
    <row r="12" spans="1:137">
      <c r="A12" s="4">
        <v>10</v>
      </c>
      <c r="B12" s="4">
        <v>96</v>
      </c>
      <c r="C12" s="26">
        <f>預測IC!C12</f>
        <v>4.6867682744863907E-2</v>
      </c>
      <c r="D12" s="26">
        <f>C12+預測IC!D12</f>
        <v>0.16155619316153061</v>
      </c>
      <c r="E12" s="26">
        <f>D12+預測IC!E12</f>
        <v>0.15476263281391694</v>
      </c>
      <c r="F12" s="26">
        <f>E12+預測IC!F12</f>
        <v>0.16818403906391693</v>
      </c>
      <c r="G12" s="26">
        <f>F12+預測IC!G12</f>
        <v>0.17990900781391692</v>
      </c>
      <c r="H12" s="26">
        <f>G12+預測IC!H12</f>
        <v>0.21843972656391691</v>
      </c>
      <c r="I12" s="26">
        <f>H12+預測IC!I12</f>
        <v>0.25653684180344838</v>
      </c>
      <c r="J12" s="26">
        <f>I12+預測IC!J12</f>
        <v>0.22712903972011503</v>
      </c>
      <c r="K12" s="26">
        <f>J12+預測IC!K12</f>
        <v>0.24590321680344837</v>
      </c>
      <c r="L12" s="26">
        <f>K12+預測IC!L12</f>
        <v>0.20401258138678172</v>
      </c>
      <c r="M12" s="26">
        <f>L12+預測IC!M12</f>
        <v>0.20361589388678172</v>
      </c>
      <c r="N12" s="26">
        <f>M12+預測IC!N12</f>
        <v>0.27294264388678169</v>
      </c>
      <c r="O12" s="26">
        <f>N12+預測IC!O12</f>
        <v>0.2901834876367817</v>
      </c>
      <c r="P12" s="26">
        <f>O12+預測IC!P12</f>
        <v>0.27037372273981342</v>
      </c>
      <c r="Q12" s="26">
        <f>P12+預測IC!Q12</f>
        <v>0.30564419148981337</v>
      </c>
      <c r="R12" s="26">
        <f>Q12+預測IC!R12</f>
        <v>0.31230727482314669</v>
      </c>
      <c r="S12" s="26">
        <f>R12+預測IC!S12</f>
        <v>0.23655446793232207</v>
      </c>
      <c r="T12" s="26">
        <f>S12+預測IC!T12</f>
        <v>0.22881408251565538</v>
      </c>
      <c r="U12" s="26">
        <f>T12+預測IC!U12</f>
        <v>0.21263529084898869</v>
      </c>
      <c r="V12" s="26">
        <f>U12+預測IC!V12</f>
        <v>0.21884009293232198</v>
      </c>
      <c r="W12" s="26">
        <f>V12+預測IC!W12</f>
        <v>0.28287973876565531</v>
      </c>
      <c r="X12" s="26">
        <f>W12+預測IC!X12</f>
        <v>0.23404186542606104</v>
      </c>
      <c r="Y12" s="26">
        <f>X12+預測IC!Y12</f>
        <v>0.24948196959272773</v>
      </c>
      <c r="Z12" s="26">
        <f>Y12+預測IC!Z12</f>
        <v>0.2546480112593944</v>
      </c>
      <c r="AA12" s="26">
        <f>Z12+預測IC!AA12</f>
        <v>0.24273117792606108</v>
      </c>
      <c r="AB12" s="26">
        <f>AA12+預測IC!AB12</f>
        <v>0.23901985500939441</v>
      </c>
      <c r="AC12" s="26">
        <f>AB12+預測IC!AC12</f>
        <v>0.24418730292606106</v>
      </c>
      <c r="AD12" s="26">
        <f>AC12+預測IC!AD12</f>
        <v>0.25541784459272771</v>
      </c>
      <c r="AE12" s="26">
        <f>AD12+預測IC!AE12</f>
        <v>0.21789662363475634</v>
      </c>
      <c r="AF12" s="26">
        <f>AE12+預測IC!AF12</f>
        <v>0.26407855071808972</v>
      </c>
      <c r="AG12" s="26">
        <f>AF12+預測IC!AG12</f>
        <v>0.27615773821808975</v>
      </c>
      <c r="AH12" s="26">
        <f>AG12+預測IC!AH12</f>
        <v>0.29625085280142305</v>
      </c>
      <c r="AI12" s="26">
        <f>AH12+預測IC!AI12</f>
        <v>0.31949781113475639</v>
      </c>
      <c r="AJ12" s="26">
        <f>AI12+預測IC!AJ12</f>
        <v>0.34056018613475642</v>
      </c>
      <c r="AK12" s="26">
        <f>AJ12+預測IC!AK12</f>
        <v>0.35073995696808974</v>
      </c>
      <c r="AL12" s="26">
        <f>AK12+預測IC!AL12</f>
        <v>0.3685989599900118</v>
      </c>
      <c r="AM12" s="26">
        <f>AL12+預測IC!AM12</f>
        <v>0.38880478290667847</v>
      </c>
      <c r="AN12" s="26">
        <f>AM12+預測IC!AN12</f>
        <v>0.45917564938041039</v>
      </c>
      <c r="AO12" s="26">
        <f>AN12+預測IC!AO12</f>
        <v>0.47087964938041038</v>
      </c>
      <c r="AP12" s="26">
        <f>AO12+預測IC!AP12</f>
        <v>0.43715065360922156</v>
      </c>
      <c r="AQ12" s="26">
        <f>AP12+預測IC!AQ12</f>
        <v>0.43046900777588826</v>
      </c>
      <c r="AR12" s="26">
        <f>AQ12+預測IC!AR12</f>
        <v>0.42296464319255495</v>
      </c>
      <c r="AS12" s="26">
        <f>AR12+預測IC!AS12</f>
        <v>0.4032385117983473</v>
      </c>
      <c r="AT12" s="26">
        <f>AS12+預測IC!AT12</f>
        <v>0.41630743830528816</v>
      </c>
      <c r="AU12" s="26">
        <f>AT12+預測IC!AU12</f>
        <v>0.43628208799469304</v>
      </c>
      <c r="AV12" s="26">
        <f>AU12+預測IC!AV12</f>
        <v>0.39515601700292396</v>
      </c>
      <c r="AW12" s="26">
        <f>AV12+預測IC!AW12</f>
        <v>0.39608556454628285</v>
      </c>
      <c r="AX12" s="26">
        <f>AW12+預測IC!AX12</f>
        <v>0.43910602465785514</v>
      </c>
      <c r="AY12" s="26">
        <f>AX12+預測IC!AY12</f>
        <v>0.4635893786020675</v>
      </c>
      <c r="AZ12" s="26">
        <f>AY12+預測IC!AZ12</f>
        <v>0.46053116374156094</v>
      </c>
      <c r="BA12" s="26">
        <f>AZ12+預測IC!BA12</f>
        <v>0.46468855429567446</v>
      </c>
      <c r="BB12" s="26">
        <f>BA12+預測IC!BB12</f>
        <v>0.48067144610107781</v>
      </c>
      <c r="BC12" s="26">
        <f>BB12+預測IC!BC12</f>
        <v>0.49365702248852328</v>
      </c>
      <c r="BD12" s="26">
        <f>BC12+預測IC!BD12</f>
        <v>0.50508844648221918</v>
      </c>
      <c r="BE12" s="26">
        <f>BD12+預測IC!BE12</f>
        <v>0.52911893747833905</v>
      </c>
      <c r="BF12" s="26">
        <f>BE12+預測IC!BF12</f>
        <v>0.59784874649347453</v>
      </c>
      <c r="BG12" s="26">
        <f>BF12+預測IC!BG12</f>
        <v>0.63623687653019001</v>
      </c>
      <c r="BH12" s="26">
        <f>BG12+預測IC!BH12</f>
        <v>0.64738579214319403</v>
      </c>
      <c r="BI12" s="26">
        <f>BH12+預測IC!BI12</f>
        <v>0.69882571953016437</v>
      </c>
      <c r="BJ12" s="26">
        <f>BI12+預測IC!BJ12</f>
        <v>0.6980297262102465</v>
      </c>
      <c r="BK12" s="26">
        <f>BJ12+預測IC!BK12</f>
        <v>0.67633325180579895</v>
      </c>
      <c r="BL12" s="26">
        <f>BK12+預測IC!BL12</f>
        <v>0.70104249763594761</v>
      </c>
      <c r="BM12" s="26">
        <f>BL12+預測IC!BM12</f>
        <v>0.69911721453270892</v>
      </c>
      <c r="BN12" s="26">
        <f>BM12+預測IC!BN12</f>
        <v>0.71045552635740483</v>
      </c>
      <c r="BO12" s="26">
        <f>BN12+預測IC!BO12</f>
        <v>0.73470183661364175</v>
      </c>
      <c r="BP12" s="26">
        <f>BO12+預測IC!BP12</f>
        <v>0.72412502011934476</v>
      </c>
      <c r="BQ12" s="26">
        <f>BP12+預測IC!BQ12</f>
        <v>0.7393316003906627</v>
      </c>
      <c r="BR12" s="26">
        <f>BQ12+預測IC!BR12</f>
        <v>0.73782493597697174</v>
      </c>
      <c r="BS12" s="26">
        <f>BR12+預測IC!BS12</f>
        <v>0.75552184253538912</v>
      </c>
      <c r="BT12" s="26">
        <f>BS12+預測IC!BT12</f>
        <v>0.77731969289665048</v>
      </c>
      <c r="BU12" s="26">
        <f>BT12+預測IC!BU12</f>
        <v>0.7875291936092651</v>
      </c>
      <c r="BV12" s="26">
        <f>BU12+預測IC!BV12</f>
        <v>0.8177530068269816</v>
      </c>
      <c r="BW12" s="26">
        <f>BV12+預測IC!BW12</f>
        <v>0.78893613246958683</v>
      </c>
      <c r="BX12" s="26">
        <f>BW12+預測IC!BX12</f>
        <v>0.79864923799382215</v>
      </c>
      <c r="BY12" s="26">
        <f>BX12+預測IC!BY12</f>
        <v>0.76559782843108815</v>
      </c>
      <c r="BZ12" s="26">
        <f>BY12+預測IC!BZ12</f>
        <v>0.81060185661507911</v>
      </c>
      <c r="CA12" s="26">
        <f>BZ12+預測IC!CA12</f>
        <v>0.78015408311263934</v>
      </c>
      <c r="CB12" s="26">
        <f>CA12+預測IC!CB12</f>
        <v>0.78181897072714124</v>
      </c>
      <c r="CC12" s="26">
        <f>CB12+預測IC!CC12</f>
        <v>0.76415807345481834</v>
      </c>
      <c r="CD12" s="26">
        <f>CC12+預測IC!CD12</f>
        <v>0.87509170703927086</v>
      </c>
      <c r="CE12" s="26">
        <f>CD12+預測IC!CE12</f>
        <v>0.88671111548150006</v>
      </c>
      <c r="CF12" s="26">
        <f>CE12+預測IC!CF12</f>
        <v>0.9137044681081935</v>
      </c>
      <c r="CG12" s="26">
        <f>CF12+預測IC!CG12</f>
        <v>0.95501380150088067</v>
      </c>
      <c r="CH12" s="26">
        <f>CG12+預測IC!CH12</f>
        <v>1.0194164419026752</v>
      </c>
      <c r="CI12" s="26">
        <f>CH12+預測IC!CI12</f>
        <v>0.98360902927852689</v>
      </c>
      <c r="CJ12" s="26">
        <f>CI12+預測IC!CJ12</f>
        <v>1.0012228788195603</v>
      </c>
      <c r="CK12" s="26">
        <f>CJ12+預測IC!CK12</f>
        <v>1.0132169471974128</v>
      </c>
      <c r="CL12" s="26">
        <f>CK12+預測IC!CL12</f>
        <v>1.1312325548670232</v>
      </c>
      <c r="CM12" s="26">
        <f>CL12+預測IC!CM12</f>
        <v>1.1168498642540465</v>
      </c>
      <c r="CN12" s="26">
        <f>CM12+預測IC!CN12</f>
        <v>1.0912629013671773</v>
      </c>
      <c r="CO12" s="26">
        <f>CN12+預測IC!CO12</f>
        <v>1.0645149560164437</v>
      </c>
      <c r="CP12" s="26">
        <f>CO12+預測IC!CP12</f>
        <v>1.109555151622011</v>
      </c>
      <c r="CQ12" s="26">
        <f>CP12+預測IC!CQ12</f>
        <v>1.1468138123622309</v>
      </c>
      <c r="CR12" s="26">
        <f>CQ12+預測IC!CR12</f>
        <v>1.1493246843720621</v>
      </c>
      <c r="CS12" s="26">
        <f>CR12+預測IC!CS12</f>
        <v>1.1341230366850166</v>
      </c>
      <c r="CT12" s="26">
        <f>CS12+預測IC!CT12</f>
        <v>1.1331613904811142</v>
      </c>
      <c r="CU12" s="26">
        <f>CT12+預測IC!CU12</f>
        <v>1.1651975692444594</v>
      </c>
      <c r="CV12" s="26">
        <f>CU12+預測IC!CV12</f>
        <v>1.1734607231732919</v>
      </c>
      <c r="CW12" s="26">
        <f>CV12+預測IC!CW12</f>
        <v>1.1788419512578625</v>
      </c>
      <c r="CX12" s="26">
        <f>CW12+預測IC!CX12</f>
        <v>1.2398318337948544</v>
      </c>
      <c r="CY12" s="26">
        <f>CX12+預測IC!CY12</f>
        <v>1.2336496136560033</v>
      </c>
      <c r="CZ12" s="26">
        <f>CY12+預測IC!CZ12</f>
        <v>1.3132568969146077</v>
      </c>
      <c r="DA12" s="26">
        <f>CZ12+預測IC!DA12</f>
        <v>1.3166601049101603</v>
      </c>
      <c r="DB12" s="26">
        <f>DA12+預測IC!DB12</f>
        <v>1.293248304866411</v>
      </c>
      <c r="DC12" s="26">
        <f>DB12+預測IC!DC12</f>
        <v>1.3262926821495886</v>
      </c>
      <c r="DD12" s="26">
        <f>DC12+預測IC!DD12</f>
        <v>1.3532094724393069</v>
      </c>
      <c r="DE12" s="26">
        <f>DD12+預測IC!DE12</f>
        <v>1.3530247281942753</v>
      </c>
      <c r="DF12" s="26">
        <f>DE12+預測IC!DF12</f>
        <v>1.3461917120106854</v>
      </c>
      <c r="DG12" s="26">
        <f>DF12+預測IC!DG12</f>
        <v>1.345401441937907</v>
      </c>
      <c r="DH12" s="26">
        <f>DG12+預測IC!DH12</f>
        <v>1.340139298163104</v>
      </c>
      <c r="DI12" s="26">
        <f>DH12+預測IC!DI12</f>
        <v>1.2856961251709715</v>
      </c>
      <c r="DJ12" s="26">
        <f>DI12+預測IC!DJ12</f>
        <v>1.2937587234257419</v>
      </c>
      <c r="DK12" s="26">
        <f>DJ12+預測IC!DK12</f>
        <v>1.2784943202033572</v>
      </c>
      <c r="DL12" s="26">
        <f>DK12+預測IC!DL12</f>
        <v>1.2774300550403466</v>
      </c>
      <c r="DM12" s="26">
        <f>DL12+預測IC!DM12</f>
        <v>1.2717152836444798</v>
      </c>
      <c r="DN12" s="26">
        <f>DM12+預測IC!DN12</f>
        <v>1.3109436262773195</v>
      </c>
      <c r="DO12" s="26">
        <f>DN12+預測IC!DO12</f>
        <v>1.333071876442218</v>
      </c>
      <c r="DP12" s="26">
        <f>DO12+預測IC!DP12</f>
        <v>1.3656563260425152</v>
      </c>
      <c r="DQ12" s="26">
        <f>DP12+預測IC!DQ12</f>
        <v>1.3422079354910206</v>
      </c>
      <c r="DR12" s="26">
        <f>DQ12+預測IC!DR12</f>
        <v>1.3609868787704076</v>
      </c>
      <c r="DS12" s="26">
        <f>DR12+預測IC!DS12</f>
        <v>1.3237228483311465</v>
      </c>
      <c r="DT12" s="26">
        <f>DS12+預測IC!DT12</f>
        <v>1.2795016435273503</v>
      </c>
      <c r="DU12" s="26">
        <f>DT12+預測IC!DU12</f>
        <v>1.2932542916137328</v>
      </c>
      <c r="DV12" s="26">
        <f>DU12+預測IC!DV12</f>
        <v>1.3454274754232587</v>
      </c>
      <c r="DW12" s="26">
        <f>DV12+預測IC!DW12</f>
        <v>1.3851217770475266</v>
      </c>
      <c r="DX12" s="26">
        <f>DW12+預測IC!DX12</f>
        <v>1.3355025702442991</v>
      </c>
      <c r="DY12" s="26">
        <f>DX12+預測IC!DY12</f>
        <v>1.3527477181815291</v>
      </c>
      <c r="DZ12" s="26">
        <f>DY12+預測IC!DZ12</f>
        <v>1.3479901930556677</v>
      </c>
      <c r="EA12" s="26">
        <f>DZ12+預測IC!EA12</f>
        <v>1.4119941343788647</v>
      </c>
      <c r="EB12" s="26">
        <f>EA12+預測IC!EB12</f>
        <v>1.4156635200167826</v>
      </c>
      <c r="EC12" s="26">
        <f>EB12+預測IC!EC12</f>
        <v>1.442315029596448</v>
      </c>
      <c r="ED12" s="26">
        <f>EC12+預測IC!ED12</f>
        <v>1.3856869937890524</v>
      </c>
      <c r="EE12" s="26">
        <f>ED12+預測IC!EE12</f>
        <v>1.3981453680527576</v>
      </c>
      <c r="EF12" s="26">
        <f>EE12+預測IC!EF12</f>
        <v>1.4373787160915532</v>
      </c>
    </row>
    <row r="13" spans="1:137">
      <c r="A13" s="4">
        <v>20</v>
      </c>
      <c r="B13" s="4">
        <v>48</v>
      </c>
      <c r="C13" s="26">
        <f>預測IC!C13</f>
        <v>5.420904267159625E-2</v>
      </c>
      <c r="D13" s="26">
        <f>C13+預測IC!D13</f>
        <v>0.17795414683826286</v>
      </c>
      <c r="E13" s="26">
        <f>D13+預測IC!E13</f>
        <v>0.14345752734690981</v>
      </c>
      <c r="F13" s="26">
        <f>E13+預測IC!F13</f>
        <v>0.13200271484690981</v>
      </c>
      <c r="G13" s="26">
        <f>F13+預測IC!G13</f>
        <v>0.1477475690135765</v>
      </c>
      <c r="H13" s="26">
        <f>G13+預測IC!H13</f>
        <v>0.17773792318024315</v>
      </c>
      <c r="I13" s="26">
        <f>H13+預測IC!I13</f>
        <v>0.2150536073419102</v>
      </c>
      <c r="J13" s="26">
        <f>I13+預測IC!J13</f>
        <v>0.17115479484191018</v>
      </c>
      <c r="K13" s="26">
        <f>J13+預測IC!K13</f>
        <v>0.16978731567524352</v>
      </c>
      <c r="L13" s="26">
        <f>K13+預測IC!L13</f>
        <v>0.16376221150857687</v>
      </c>
      <c r="M13" s="26">
        <f>L13+預測IC!M13</f>
        <v>0.18944950317524353</v>
      </c>
      <c r="N13" s="26">
        <f>M13+預測IC!N13</f>
        <v>0.28925623234191022</v>
      </c>
      <c r="O13" s="26">
        <f>N13+預測IC!O13</f>
        <v>0.32904560734191024</v>
      </c>
      <c r="P13" s="26">
        <f>O13+預測IC!P13</f>
        <v>0.30794153471890445</v>
      </c>
      <c r="Q13" s="26">
        <f>P13+預測IC!Q13</f>
        <v>0.38116655555223777</v>
      </c>
      <c r="R13" s="26">
        <f>Q13+預測IC!R13</f>
        <v>0.39532638888557109</v>
      </c>
      <c r="S13" s="26">
        <f>R13+預測IC!S13</f>
        <v>0.27241109088202048</v>
      </c>
      <c r="T13" s="26">
        <f>S13+預測IC!T13</f>
        <v>0.25077702838202048</v>
      </c>
      <c r="U13" s="26">
        <f>T13+預測IC!U13</f>
        <v>0.25237334088202051</v>
      </c>
      <c r="V13" s="26">
        <f>U13+預測IC!V13</f>
        <v>0.23227921588202052</v>
      </c>
      <c r="W13" s="26">
        <f>V13+預測IC!W13</f>
        <v>0.30775561171535387</v>
      </c>
      <c r="X13" s="26">
        <f>W13+預測IC!X13</f>
        <v>0.23225296244065002</v>
      </c>
      <c r="Y13" s="26">
        <f>X13+預測IC!Y13</f>
        <v>0.24617333744065001</v>
      </c>
      <c r="Z13" s="26">
        <f>Y13+預測IC!Z13</f>
        <v>0.26675725410731665</v>
      </c>
      <c r="AA13" s="26">
        <f>Z13+預測IC!AA13</f>
        <v>0.25031721244065003</v>
      </c>
      <c r="AB13" s="26">
        <f>AA13+預測IC!AB13</f>
        <v>0.23428123327398337</v>
      </c>
      <c r="AC13" s="26">
        <f>AB13+預測IC!AC13</f>
        <v>0.2423125041073167</v>
      </c>
      <c r="AD13" s="26">
        <f>AC13+預測IC!AD13</f>
        <v>0.26385558744065002</v>
      </c>
      <c r="AE13" s="26">
        <f>AD13+預測IC!AE13</f>
        <v>0.21757147868805926</v>
      </c>
      <c r="AF13" s="26">
        <f>AE13+預測IC!AF13</f>
        <v>0.26950747868805924</v>
      </c>
      <c r="AG13" s="26">
        <f>AF13+預測IC!AG13</f>
        <v>0.27278993702139259</v>
      </c>
      <c r="AH13" s="26">
        <f>AG13+預測IC!AH13</f>
        <v>0.30466464535472593</v>
      </c>
      <c r="AI13" s="26">
        <f>AH13+預測IC!AI13</f>
        <v>0.32457468702139258</v>
      </c>
      <c r="AJ13" s="26">
        <f>AI13+預測IC!AJ13</f>
        <v>0.34446060368805925</v>
      </c>
      <c r="AK13" s="26">
        <f>AJ13+預測IC!AK13</f>
        <v>0.3477795620213926</v>
      </c>
      <c r="AL13" s="26">
        <f>AK13+預測IC!AL13</f>
        <v>0.37410856182494212</v>
      </c>
      <c r="AM13" s="26">
        <f>AL13+預測IC!AM13</f>
        <v>0.37182558265827542</v>
      </c>
      <c r="AN13" s="26">
        <f>AM13+預測IC!AN13</f>
        <v>0.47715582079430952</v>
      </c>
      <c r="AO13" s="26">
        <f>AN13+預測IC!AO13</f>
        <v>0.48017679996097618</v>
      </c>
      <c r="AP13" s="26">
        <f>AO13+預測IC!AP13</f>
        <v>0.42063857978810304</v>
      </c>
      <c r="AQ13" s="26">
        <f>AP13+預測IC!AQ13</f>
        <v>0.40955668395476968</v>
      </c>
      <c r="AR13" s="26">
        <f>AQ13+預測IC!AR13</f>
        <v>0.41880710062143633</v>
      </c>
      <c r="AS13" s="26">
        <f>AR13+預測IC!AS13</f>
        <v>0.3790291476317616</v>
      </c>
      <c r="AT13" s="26">
        <f>AS13+預測IC!AT13</f>
        <v>0.41949223548620135</v>
      </c>
      <c r="AU13" s="26">
        <f>AT13+預測IC!AU13</f>
        <v>0.46195321771417275</v>
      </c>
      <c r="AV13" s="26">
        <f>AU13+預測IC!AV13</f>
        <v>0.45295243969293919</v>
      </c>
      <c r="AW13" s="26">
        <f>AV13+預測IC!AW13</f>
        <v>0.45622071053099406</v>
      </c>
      <c r="AX13" s="26">
        <f>AW13+預測IC!AX13</f>
        <v>0.52156973200701517</v>
      </c>
      <c r="AY13" s="26">
        <f>AX13+預測IC!AY13</f>
        <v>0.53733737541009186</v>
      </c>
      <c r="AZ13" s="26">
        <f>AY13+預測IC!AZ13</f>
        <v>0.52833961155766451</v>
      </c>
      <c r="BA13" s="26">
        <f>AZ13+預測IC!BA13</f>
        <v>0.5362340641894594</v>
      </c>
      <c r="BB13" s="26">
        <f>BA13+預測IC!BB13</f>
        <v>0.57910943868627029</v>
      </c>
      <c r="BC13" s="26">
        <f>BB13+預測IC!BC13</f>
        <v>0.59213601893991785</v>
      </c>
      <c r="BD13" s="26">
        <f>BC13+預測IC!BD13</f>
        <v>0.59773810105522041</v>
      </c>
      <c r="BE13" s="26">
        <f>BD13+預測IC!BE13</f>
        <v>0.62616144901020732</v>
      </c>
      <c r="BF13" s="26">
        <f>BE13+預測IC!BF13</f>
        <v>0.71009086431770407</v>
      </c>
      <c r="BG13" s="26">
        <f>BF13+預測IC!BG13</f>
        <v>0.75665732665641572</v>
      </c>
      <c r="BH13" s="26">
        <f>BG13+預測IC!BH13</f>
        <v>0.76363359855757795</v>
      </c>
      <c r="BI13" s="26">
        <f>BH13+預測IC!BI13</f>
        <v>0.81642171812452635</v>
      </c>
      <c r="BJ13" s="26">
        <f>BI13+預測IC!BJ13</f>
        <v>0.79876760959836368</v>
      </c>
      <c r="BK13" s="26">
        <f>BJ13+預測IC!BK13</f>
        <v>0.78037658471861426</v>
      </c>
      <c r="BL13" s="26">
        <f>BK13+預測IC!BL13</f>
        <v>0.81733919489556262</v>
      </c>
      <c r="BM13" s="26">
        <f>BL13+預測IC!BM13</f>
        <v>0.83239544454203673</v>
      </c>
      <c r="BN13" s="26">
        <f>BM13+預測IC!BN13</f>
        <v>0.8432881835105045</v>
      </c>
      <c r="BO13" s="26">
        <f>BN13+預測IC!BO13</f>
        <v>0.87502349584242456</v>
      </c>
      <c r="BP13" s="26">
        <f>BO13+預測IC!BP13</f>
        <v>0.88267544266674192</v>
      </c>
      <c r="BQ13" s="26">
        <f>BP13+預測IC!BQ13</f>
        <v>0.9234945394381523</v>
      </c>
      <c r="BR13" s="26">
        <f>BQ13+預測IC!BR13</f>
        <v>0.91642315796152363</v>
      </c>
      <c r="BS13" s="26">
        <f>BR13+預測IC!BS13</f>
        <v>0.92368140046945724</v>
      </c>
      <c r="BT13" s="26">
        <f>BS13+預測IC!BT13</f>
        <v>0.96202490608593005</v>
      </c>
      <c r="BU13" s="26">
        <f>BT13+預測IC!BU13</f>
        <v>0.97855190083082744</v>
      </c>
      <c r="BV13" s="26">
        <f>BU13+預測IC!BV13</f>
        <v>0.99919577583212615</v>
      </c>
      <c r="BW13" s="26">
        <f>BV13+預測IC!BW13</f>
        <v>1.0009590136428033</v>
      </c>
      <c r="BX13" s="26">
        <f>BW13+預測IC!BX13</f>
        <v>1.0227445045354209</v>
      </c>
      <c r="BY13" s="26">
        <f>BX13+預測IC!BY13</f>
        <v>1.0082321068649305</v>
      </c>
      <c r="BZ13" s="26">
        <f>BY13+預測IC!BZ13</f>
        <v>1.085159977589359</v>
      </c>
      <c r="CA13" s="26">
        <f>BZ13+預測IC!CA13</f>
        <v>1.0516284119889621</v>
      </c>
      <c r="CB13" s="26">
        <f>CA13+預測IC!CB13</f>
        <v>1.0444965425811279</v>
      </c>
      <c r="CC13" s="26">
        <f>CB13+預測IC!CC13</f>
        <v>1.0323639267194213</v>
      </c>
      <c r="CD13" s="26">
        <f>CC13+預測IC!CD13</f>
        <v>1.1378558049474599</v>
      </c>
      <c r="CE13" s="26">
        <f>CD13+預測IC!CE13</f>
        <v>1.1498241151313353</v>
      </c>
      <c r="CF13" s="26">
        <f>CE13+預測IC!CF13</f>
        <v>1.1967635679645621</v>
      </c>
      <c r="CG13" s="26">
        <f>CF13+預測IC!CG13</f>
        <v>1.2337788398653977</v>
      </c>
      <c r="CH13" s="26">
        <f>CG13+預測IC!CH13</f>
        <v>1.2921134516926049</v>
      </c>
      <c r="CI13" s="26">
        <f>CH13+預測IC!CI13</f>
        <v>1.2402599425583416</v>
      </c>
      <c r="CJ13" s="26">
        <f>CI13+預測IC!CJ13</f>
        <v>1.2363833422638488</v>
      </c>
      <c r="CK13" s="26">
        <f>CJ13+預測IC!CK13</f>
        <v>1.2684286115003127</v>
      </c>
      <c r="CL13" s="26">
        <f>CK13+預測IC!CL13</f>
        <v>1.3527330028148166</v>
      </c>
      <c r="CM13" s="26">
        <f>CL13+預測IC!CM13</f>
        <v>1.3424361990584215</v>
      </c>
      <c r="CN13" s="26">
        <f>CM13+預測IC!CN13</f>
        <v>1.3155486330595692</v>
      </c>
      <c r="CO13" s="26">
        <f>CN13+預測IC!CO13</f>
        <v>1.3020911744963417</v>
      </c>
      <c r="CP13" s="26">
        <f>CO13+預測IC!CP13</f>
        <v>1.372888646979431</v>
      </c>
      <c r="CQ13" s="26">
        <f>CP13+預測IC!CQ13</f>
        <v>1.4108376118012573</v>
      </c>
      <c r="CR13" s="26">
        <f>CQ13+預測IC!CR13</f>
        <v>1.4194704079977478</v>
      </c>
      <c r="CS13" s="26">
        <f>CR13+預測IC!CS13</f>
        <v>1.4315485683293749</v>
      </c>
      <c r="CT13" s="26">
        <f>CS13+預測IC!CT13</f>
        <v>1.4396193676457536</v>
      </c>
      <c r="CU13" s="26">
        <f>CT13+預測IC!CU13</f>
        <v>1.4756262831800429</v>
      </c>
      <c r="CV13" s="26">
        <f>CU13+預測IC!CV13</f>
        <v>1.4733959085360988</v>
      </c>
      <c r="CW13" s="26">
        <f>CV13+預測IC!CW13</f>
        <v>1.4793729393923449</v>
      </c>
      <c r="CX13" s="26">
        <f>CW13+預測IC!CX13</f>
        <v>1.5400167010276646</v>
      </c>
      <c r="CY13" s="26">
        <f>CX13+預測IC!CY13</f>
        <v>1.5268979609126521</v>
      </c>
      <c r="CZ13" s="26">
        <f>CY13+預測IC!CZ13</f>
        <v>1.5841221812661372</v>
      </c>
      <c r="DA13" s="26">
        <f>CZ13+預測IC!DA13</f>
        <v>1.5770256503146969</v>
      </c>
      <c r="DB13" s="26">
        <f>DA13+預測IC!DB13</f>
        <v>1.5360367047068797</v>
      </c>
      <c r="DC13" s="26">
        <f>DB13+預測IC!DC13</f>
        <v>1.5657768900406059</v>
      </c>
      <c r="DD13" s="26">
        <f>DC13+預測IC!DD13</f>
        <v>1.5753884258029374</v>
      </c>
      <c r="DE13" s="26">
        <f>DD13+預測IC!DE13</f>
        <v>1.5805560786983566</v>
      </c>
      <c r="DF13" s="26">
        <f>DE13+預測IC!DF13</f>
        <v>1.5520372819047219</v>
      </c>
      <c r="DG13" s="26">
        <f>DF13+預測IC!DG13</f>
        <v>1.550406624731832</v>
      </c>
      <c r="DH13" s="26">
        <f>DG13+預測IC!DH13</f>
        <v>1.563398869777624</v>
      </c>
      <c r="DI13" s="26">
        <f>DH13+預測IC!DI13</f>
        <v>1.5168374129633904</v>
      </c>
      <c r="DJ13" s="26">
        <f>DI13+預測IC!DJ13</f>
        <v>1.5171198929316863</v>
      </c>
      <c r="DK13" s="26">
        <f>DJ13+預測IC!DK13</f>
        <v>1.5291466827705302</v>
      </c>
      <c r="DL13" s="26">
        <f>DK13+預測IC!DL13</f>
        <v>1.5134921303299709</v>
      </c>
      <c r="DM13" s="26">
        <f>DL13+預測IC!DM13</f>
        <v>1.5068332612815269</v>
      </c>
      <c r="DN13" s="26">
        <f>DM13+預測IC!DN13</f>
        <v>1.5216730590617915</v>
      </c>
      <c r="DO13" s="26">
        <f>DN13+預測IC!DO13</f>
        <v>1.5702045722847575</v>
      </c>
      <c r="DP13" s="26">
        <f>DO13+預測IC!DP13</f>
        <v>1.6174427255107984</v>
      </c>
      <c r="DQ13" s="26">
        <f>DP13+預測IC!DQ13</f>
        <v>1.5910126440936696</v>
      </c>
      <c r="DR13" s="26">
        <f>DQ13+預測IC!DR13</f>
        <v>1.6047838533659815</v>
      </c>
      <c r="DS13" s="26">
        <f>DR13+預測IC!DS13</f>
        <v>1.566281078383807</v>
      </c>
      <c r="DT13" s="26">
        <f>DS13+預測IC!DT13</f>
        <v>1.5308547773361423</v>
      </c>
      <c r="DU13" s="26">
        <f>DT13+預測IC!DU13</f>
        <v>1.5517031918551654</v>
      </c>
      <c r="DV13" s="26">
        <f>DU13+預測IC!DV13</f>
        <v>1.631323335879354</v>
      </c>
      <c r="DW13" s="26">
        <f>DV13+預測IC!DW13</f>
        <v>1.677010315307361</v>
      </c>
      <c r="DX13" s="26">
        <f>DW13+預測IC!DX13</f>
        <v>1.6123683958168298</v>
      </c>
      <c r="DY13" s="26">
        <f>DX13+預測IC!DY13</f>
        <v>1.6476745337576997</v>
      </c>
      <c r="DZ13" s="26">
        <f>DY13+預測IC!DZ13</f>
        <v>1.6359040679954291</v>
      </c>
      <c r="EA13" s="26">
        <f>DZ13+預測IC!EA13</f>
        <v>1.7124944343444854</v>
      </c>
      <c r="EB13" s="26">
        <f>EA13+預測IC!EB13</f>
        <v>1.7338676525438719</v>
      </c>
      <c r="EC13" s="26">
        <f>EB13+預測IC!EC13</f>
        <v>1.7755274059791009</v>
      </c>
      <c r="ED13" s="26">
        <f>EC13+預測IC!ED13</f>
        <v>1.7098453123198658</v>
      </c>
      <c r="EE13" s="26">
        <f>ED13+預測IC!EE13</f>
        <v>1.7185833380226252</v>
      </c>
      <c r="EF13" s="26">
        <f>EE13+預測IC!EF13</f>
        <v>1.7858744947640774</v>
      </c>
    </row>
    <row r="14" spans="1:137">
      <c r="A14" s="4">
        <v>50</v>
      </c>
      <c r="B14" s="4">
        <v>19</v>
      </c>
      <c r="C14" s="26">
        <f>預測IC!C14</f>
        <v>-3.0371566279064999E-2</v>
      </c>
      <c r="D14" s="26">
        <f>C14+預測IC!D14</f>
        <v>0.1919372231946192</v>
      </c>
      <c r="E14" s="26">
        <f>D14+預測IC!E14</f>
        <v>0.14441127992736319</v>
      </c>
      <c r="F14" s="26">
        <f>E14+預測IC!F14</f>
        <v>0.17895449045367898</v>
      </c>
      <c r="G14" s="26">
        <f>F14+預測IC!G14</f>
        <v>0.26410370097999475</v>
      </c>
      <c r="H14" s="26">
        <f>G14+預測IC!H14</f>
        <v>0.32369264834841577</v>
      </c>
      <c r="I14" s="26">
        <f>H14+預測IC!I14</f>
        <v>0.36748000817155807</v>
      </c>
      <c r="J14" s="26">
        <f>I14+預測IC!J14</f>
        <v>0.26238642922418964</v>
      </c>
      <c r="K14" s="26">
        <f>J14+預測IC!K14</f>
        <v>0.27483790290840016</v>
      </c>
      <c r="L14" s="26">
        <f>K14+預測IC!L14</f>
        <v>0.26635769238208434</v>
      </c>
      <c r="M14" s="26">
        <f>L14+預測IC!M14</f>
        <v>0.19040632396103171</v>
      </c>
      <c r="N14" s="26">
        <f>M14+預測IC!N14</f>
        <v>0.39523900817155799</v>
      </c>
      <c r="O14" s="26">
        <f>N14+預測IC!O14</f>
        <v>0.43488137659261061</v>
      </c>
      <c r="P14" s="26">
        <f>O14+預測IC!P14</f>
        <v>0.37653545469436939</v>
      </c>
      <c r="Q14" s="26">
        <f>P14+預測IC!Q14</f>
        <v>0.43477450732594836</v>
      </c>
      <c r="R14" s="26">
        <f>Q14+預測IC!R14</f>
        <v>0.42062282311542204</v>
      </c>
      <c r="S14" s="26">
        <f>R14+預測IC!S14</f>
        <v>0.25472959593071332</v>
      </c>
      <c r="T14" s="26">
        <f>S14+預測IC!T14</f>
        <v>0.23736785908860805</v>
      </c>
      <c r="U14" s="26">
        <f>T14+預測IC!U14</f>
        <v>0.27394612224650278</v>
      </c>
      <c r="V14" s="26">
        <f>U14+預測IC!V14</f>
        <v>0.2355718064570291</v>
      </c>
      <c r="W14" s="26">
        <f>V14+預測IC!W14</f>
        <v>0.3517371748780817</v>
      </c>
      <c r="X14" s="26">
        <f>W14+預測IC!X14</f>
        <v>0.23732886708917761</v>
      </c>
      <c r="Y14" s="26">
        <f>X14+預測IC!Y14</f>
        <v>0.22056528814180917</v>
      </c>
      <c r="Z14" s="26">
        <f>Y14+預測IC!Z14</f>
        <v>0.24181728814180917</v>
      </c>
      <c r="AA14" s="26">
        <f>Z14+預測IC!AA14</f>
        <v>0.23919160393128286</v>
      </c>
      <c r="AB14" s="26">
        <f>AA14+預測IC!AB14</f>
        <v>0.1642089723523355</v>
      </c>
      <c r="AC14" s="26">
        <f>AB14+預測IC!AC14</f>
        <v>0.13491634077338813</v>
      </c>
      <c r="AD14" s="26">
        <f>AC14+預測IC!AD14</f>
        <v>0.17424428814180917</v>
      </c>
      <c r="AE14" s="26">
        <f>AD14+預測IC!AE14</f>
        <v>6.6809944448525671E-2</v>
      </c>
      <c r="AF14" s="26">
        <f>AE14+預測IC!AF14</f>
        <v>0.15112773392220988</v>
      </c>
      <c r="AG14" s="26">
        <f>AF14+預測IC!AG14</f>
        <v>0.15751831286957829</v>
      </c>
      <c r="AH14" s="26">
        <f>AG14+預測IC!AH14</f>
        <v>0.22092826023799933</v>
      </c>
      <c r="AI14" s="26">
        <f>AH14+預測IC!AI14</f>
        <v>0.23189357602747301</v>
      </c>
      <c r="AJ14" s="26">
        <f>AI14+預測IC!AJ14</f>
        <v>0.33235673392220982</v>
      </c>
      <c r="AK14" s="26">
        <f>AJ14+預測IC!AK14</f>
        <v>0.32084731286957824</v>
      </c>
      <c r="AL14" s="26">
        <f>AK14+預測IC!AL14</f>
        <v>0.35881650259203896</v>
      </c>
      <c r="AM14" s="26">
        <f>AL14+預測IC!AM14</f>
        <v>0.36196492364467053</v>
      </c>
      <c r="AN14" s="26">
        <f>AM14+預測IC!AN14</f>
        <v>0.45422541284824663</v>
      </c>
      <c r="AO14" s="26">
        <f>AN14+預測IC!AO14</f>
        <v>0.44422783390087822</v>
      </c>
      <c r="AP14" s="26">
        <f>AO14+預測IC!AP14</f>
        <v>0.37425130874879398</v>
      </c>
      <c r="AQ14" s="26">
        <f>AP14+預測IC!AQ14</f>
        <v>0.36612488769616242</v>
      </c>
      <c r="AR14" s="26">
        <f>AQ14+預測IC!AR14</f>
        <v>0.38429536138037296</v>
      </c>
      <c r="AS14" s="26">
        <f>AR14+預測IC!AS14</f>
        <v>0.3019623853391612</v>
      </c>
      <c r="AT14" s="26">
        <f>AS14+預測IC!AT14</f>
        <v>0.34288695099725858</v>
      </c>
      <c r="AU14" s="26">
        <f>AT14+預測IC!AU14</f>
        <v>0.3899083049059327</v>
      </c>
      <c r="AV14" s="26">
        <f>AU14+預測IC!AV14</f>
        <v>0.36722351856529567</v>
      </c>
      <c r="AW14" s="26">
        <f>AV14+預測IC!AW14</f>
        <v>0.35180214044204067</v>
      </c>
      <c r="AX14" s="26">
        <f>AW14+預測IC!AX14</f>
        <v>0.48875316873643337</v>
      </c>
      <c r="AY14" s="26">
        <f>AX14+預測IC!AY14</f>
        <v>0.50382128750819488</v>
      </c>
      <c r="AZ14" s="26">
        <f>AY14+預測IC!AZ14</f>
        <v>0.4506630398031321</v>
      </c>
      <c r="BA14" s="26">
        <f>AZ14+預測IC!BA14</f>
        <v>0.47078895083996947</v>
      </c>
      <c r="BB14" s="26">
        <f>BA14+預測IC!BB14</f>
        <v>0.53252323284164427</v>
      </c>
      <c r="BC14" s="26">
        <f>BB14+預測IC!BC14</f>
        <v>0.52343930931612603</v>
      </c>
      <c r="BD14" s="26">
        <f>BC14+預測IC!BD14</f>
        <v>0.5667670909835314</v>
      </c>
      <c r="BE14" s="26">
        <f>BD14+預測IC!BE14</f>
        <v>0.60994333530216005</v>
      </c>
      <c r="BF14" s="26">
        <f>BE14+預測IC!BF14</f>
        <v>0.65071385684784988</v>
      </c>
      <c r="BG14" s="26">
        <f>BF14+預測IC!BG14</f>
        <v>0.69208812092178262</v>
      </c>
      <c r="BH14" s="26">
        <f>BG14+預測IC!BH14</f>
        <v>0.69180467675476676</v>
      </c>
      <c r="BI14" s="26">
        <f>BH14+預測IC!BI14</f>
        <v>0.74381891238093545</v>
      </c>
      <c r="BJ14" s="26">
        <f>BI14+預測IC!BJ14</f>
        <v>0.73056463356686829</v>
      </c>
      <c r="BK14" s="26">
        <f>BJ14+預測IC!BK14</f>
        <v>0.73047730828711532</v>
      </c>
      <c r="BL14" s="26">
        <f>BK14+預測IC!BL14</f>
        <v>0.79021507512948563</v>
      </c>
      <c r="BM14" s="26">
        <f>BL14+預測IC!BM14</f>
        <v>0.82221791235585695</v>
      </c>
      <c r="BN14" s="26">
        <f>BM14+預測IC!BN14</f>
        <v>0.84315445042840831</v>
      </c>
      <c r="BO14" s="26">
        <f>BN14+預測IC!BO14</f>
        <v>0.87676349610567283</v>
      </c>
      <c r="BP14" s="26">
        <f>BO14+預測IC!BP14</f>
        <v>0.88958616349607411</v>
      </c>
      <c r="BQ14" s="26">
        <f>BP14+預測IC!BQ14</f>
        <v>0.90163558628120999</v>
      </c>
      <c r="BR14" s="26">
        <f>BQ14+預測IC!BR14</f>
        <v>0.87370615674859209</v>
      </c>
      <c r="BS14" s="26">
        <f>BR14+預測IC!BS14</f>
        <v>0.83507695313428798</v>
      </c>
      <c r="BT14" s="26">
        <f>BS14+預測IC!BT14</f>
        <v>0.90821608173523449</v>
      </c>
      <c r="BU14" s="26">
        <f>BT14+預測IC!BU14</f>
        <v>0.8993612463772036</v>
      </c>
      <c r="BV14" s="26">
        <f>BU14+預測IC!BV14</f>
        <v>0.9282526682601594</v>
      </c>
      <c r="BW14" s="26">
        <f>BV14+預測IC!BW14</f>
        <v>0.94076061651775267</v>
      </c>
      <c r="BX14" s="26">
        <f>BW14+預測IC!BX14</f>
        <v>0.99461897855231285</v>
      </c>
      <c r="BY14" s="26">
        <f>BX14+預測IC!BY14</f>
        <v>0.97609710549926365</v>
      </c>
      <c r="BZ14" s="26">
        <f>BY14+預測IC!BZ14</f>
        <v>1.0878776260308445</v>
      </c>
      <c r="CA14" s="26">
        <f>BZ14+預測IC!CA14</f>
        <v>1.0634123599159073</v>
      </c>
      <c r="CB14" s="26">
        <f>CA14+預測IC!CB14</f>
        <v>1.0855399764580822</v>
      </c>
      <c r="CC14" s="26">
        <f>CB14+預測IC!CC14</f>
        <v>1.0653833717670473</v>
      </c>
      <c r="CD14" s="26">
        <f>CC14+預測IC!CD14</f>
        <v>1.1634000816992451</v>
      </c>
      <c r="CE14" s="26">
        <f>CD14+預測IC!CE14</f>
        <v>1.0912433624875473</v>
      </c>
      <c r="CF14" s="26">
        <f>CE14+預測IC!CF14</f>
        <v>1.186634504876914</v>
      </c>
      <c r="CG14" s="26">
        <f>CF14+預測IC!CG14</f>
        <v>1.239701533172753</v>
      </c>
      <c r="CH14" s="26">
        <f>CG14+預測IC!CH14</f>
        <v>1.3043629254509701</v>
      </c>
      <c r="CI14" s="26">
        <f>CH14+預測IC!CI14</f>
        <v>1.1984781480876112</v>
      </c>
      <c r="CJ14" s="26">
        <f>CI14+預測IC!CJ14</f>
        <v>1.1659477414087003</v>
      </c>
      <c r="CK14" s="26">
        <f>CJ14+預測IC!CK14</f>
        <v>1.1799641057993464</v>
      </c>
      <c r="CL14" s="26">
        <f>CK14+預測IC!CL14</f>
        <v>1.242234060678183</v>
      </c>
      <c r="CM14" s="26">
        <f>CL14+預測IC!CM14</f>
        <v>1.2742740710465001</v>
      </c>
      <c r="CN14" s="26">
        <f>CM14+預測IC!CN14</f>
        <v>1.2537946730032945</v>
      </c>
      <c r="CO14" s="26">
        <f>CN14+預測IC!CO14</f>
        <v>1.1802069529644015</v>
      </c>
      <c r="CP14" s="26">
        <f>CO14+預測IC!CP14</f>
        <v>1.2800162844461542</v>
      </c>
      <c r="CQ14" s="26">
        <f>CP14+預測IC!CQ14</f>
        <v>1.3332279125378288</v>
      </c>
      <c r="CR14" s="26">
        <f>CQ14+預測IC!CR14</f>
        <v>1.3899064675954054</v>
      </c>
      <c r="CS14" s="26">
        <f>CR14+預測IC!CS14</f>
        <v>1.448933587859061</v>
      </c>
      <c r="CT14" s="26">
        <f>CS14+預測IC!CT14</f>
        <v>1.4680341644097459</v>
      </c>
      <c r="CU14" s="26">
        <f>CT14+預測IC!CU14</f>
        <v>1.4234897222967398</v>
      </c>
      <c r="CV14" s="26">
        <f>CU14+預測IC!CV14</f>
        <v>1.4462354374349951</v>
      </c>
      <c r="CW14" s="26">
        <f>CV14+預測IC!CW14</f>
        <v>1.4428370549715244</v>
      </c>
      <c r="CX14" s="26">
        <f>CW14+預測IC!CX14</f>
        <v>1.4756013840581079</v>
      </c>
      <c r="CY14" s="26">
        <f>CX14+預測IC!CY14</f>
        <v>1.4468422637666336</v>
      </c>
      <c r="CZ14" s="26">
        <f>CY14+預測IC!CZ14</f>
        <v>1.510905827117017</v>
      </c>
      <c r="DA14" s="26">
        <f>CZ14+預測IC!DA14</f>
        <v>1.4866015379464326</v>
      </c>
      <c r="DB14" s="26">
        <f>DA14+預測IC!DB14</f>
        <v>1.4702587609760354</v>
      </c>
      <c r="DC14" s="26">
        <f>DB14+預測IC!DC14</f>
        <v>1.4977928535764271</v>
      </c>
      <c r="DD14" s="26">
        <f>DC14+預測IC!DD14</f>
        <v>1.4810343037840106</v>
      </c>
      <c r="DE14" s="26">
        <f>DD14+預測IC!DE14</f>
        <v>1.4864186033917752</v>
      </c>
      <c r="DF14" s="26">
        <f>DE14+預測IC!DF14</f>
        <v>1.446648142929633</v>
      </c>
      <c r="DG14" s="26">
        <f>DF14+預測IC!DG14</f>
        <v>1.4580946993229502</v>
      </c>
      <c r="DH14" s="26">
        <f>DG14+預測IC!DH14</f>
        <v>1.4628695365658617</v>
      </c>
      <c r="DI14" s="26">
        <f>DH14+預測IC!DI14</f>
        <v>1.4096775393212539</v>
      </c>
      <c r="DJ14" s="26">
        <f>DI14+預測IC!DJ14</f>
        <v>1.4107012635885514</v>
      </c>
      <c r="DK14" s="26">
        <f>DJ14+預測IC!DK14</f>
        <v>1.4290186396654312</v>
      </c>
      <c r="DL14" s="26">
        <f>DK14+預測IC!DL14</f>
        <v>1.4138534781105427</v>
      </c>
      <c r="DM14" s="26">
        <f>DL14+預測IC!DM14</f>
        <v>1.4193577472041932</v>
      </c>
      <c r="DN14" s="26">
        <f>DM14+預測IC!DN14</f>
        <v>1.4592094547707379</v>
      </c>
      <c r="DO14" s="26">
        <f>DN14+預測IC!DO14</f>
        <v>1.5005850999335353</v>
      </c>
      <c r="DP14" s="26">
        <f>DO14+預測IC!DP14</f>
        <v>1.5411173274377727</v>
      </c>
      <c r="DQ14" s="26">
        <f>DP14+預測IC!DQ14</f>
        <v>1.4517494673969609</v>
      </c>
      <c r="DR14" s="26">
        <f>DQ14+預測IC!DR14</f>
        <v>1.5043719868559604</v>
      </c>
      <c r="DS14" s="26">
        <f>DR14+預測IC!DS14</f>
        <v>1.4693270805850436</v>
      </c>
      <c r="DT14" s="26">
        <f>DS14+預測IC!DT14</f>
        <v>1.4248938967447029</v>
      </c>
      <c r="DU14" s="26">
        <f>DT14+預測IC!DU14</f>
        <v>1.379978948125721</v>
      </c>
      <c r="DV14" s="26">
        <f>DU14+預測IC!DV14</f>
        <v>1.4882413026558283</v>
      </c>
      <c r="DW14" s="26">
        <f>DV14+預測IC!DW14</f>
        <v>1.5800506317116667</v>
      </c>
      <c r="DX14" s="26">
        <f>DW14+預測IC!DX14</f>
        <v>1.4778894118258274</v>
      </c>
      <c r="DY14" s="26">
        <f>DX14+預測IC!DY14</f>
        <v>1.515886491772676</v>
      </c>
      <c r="DZ14" s="26">
        <f>DY14+預測IC!DZ14</f>
        <v>1.5115461522002371</v>
      </c>
      <c r="EA14" s="26">
        <f>DZ14+預測IC!EA14</f>
        <v>1.5896514180881733</v>
      </c>
      <c r="EB14" s="26">
        <f>EA14+預測IC!EB14</f>
        <v>1.5966688925088723</v>
      </c>
      <c r="EC14" s="26">
        <f>EB14+預測IC!EC14</f>
        <v>1.6027482746570054</v>
      </c>
      <c r="ED14" s="26">
        <f>EC14+預測IC!ED14</f>
        <v>1.5001185654708185</v>
      </c>
      <c r="EE14" s="26">
        <f>ED14+預測IC!EE14</f>
        <v>1.5188065154225745</v>
      </c>
      <c r="EF14" s="26">
        <f>EE14+預測IC!EF14</f>
        <v>1.585438862151987</v>
      </c>
    </row>
    <row r="15" spans="1:137">
      <c r="A15" s="4">
        <v>100</v>
      </c>
      <c r="B15" s="4">
        <v>10</v>
      </c>
      <c r="C15" s="26">
        <f>預測IC!C15</f>
        <v>-9.6503141994516081E-2</v>
      </c>
      <c r="D15" s="26">
        <f>C15+預測IC!D15</f>
        <v>0.27620655800548399</v>
      </c>
      <c r="E15" s="26">
        <f>D15+預測IC!E15</f>
        <v>0.26600813173340049</v>
      </c>
      <c r="F15" s="26">
        <f>E15+預測IC!F15</f>
        <v>0.3563127317334005</v>
      </c>
      <c r="G15" s="26">
        <f>F15+預測IC!G15</f>
        <v>0.45291893173340048</v>
      </c>
      <c r="H15" s="26">
        <f>G15+預測IC!H15</f>
        <v>0.57176333173340044</v>
      </c>
      <c r="I15" s="26">
        <f>H15+預測IC!I15</f>
        <v>0.63019477601326601</v>
      </c>
      <c r="J15" s="26">
        <f>I15+預測IC!J15</f>
        <v>0.56567057601326598</v>
      </c>
      <c r="K15" s="26">
        <f>J15+預測IC!K15</f>
        <v>0.56145957601326602</v>
      </c>
      <c r="L15" s="26">
        <f>K15+預測IC!L15</f>
        <v>0.57442647601326602</v>
      </c>
      <c r="M15" s="26">
        <f>L15+預測IC!M15</f>
        <v>0.38593507601326604</v>
      </c>
      <c r="N15" s="26">
        <f>M15+預測IC!N15</f>
        <v>0.71624467601326602</v>
      </c>
      <c r="O15" s="26">
        <f>N15+預測IC!O15</f>
        <v>0.76234817601326599</v>
      </c>
      <c r="P15" s="26">
        <f>O15+預測IC!P15</f>
        <v>0.69823199299160421</v>
      </c>
      <c r="Q15" s="26">
        <f>P15+預測IC!Q15</f>
        <v>0.79860879299160425</v>
      </c>
      <c r="R15" s="26">
        <f>Q15+預測IC!R15</f>
        <v>0.81536399299160423</v>
      </c>
      <c r="S15" s="26">
        <f>R15+預測IC!S15</f>
        <v>0.54513194702089729</v>
      </c>
      <c r="T15" s="26">
        <f>S15+預測IC!T15</f>
        <v>0.4957922470208973</v>
      </c>
      <c r="U15" s="26">
        <f>T15+預測IC!U15</f>
        <v>0.54258094702089732</v>
      </c>
      <c r="V15" s="26">
        <f>U15+預測IC!V15</f>
        <v>0.45690054702089733</v>
      </c>
      <c r="W15" s="26">
        <f>V15+預測IC!W15</f>
        <v>0.56383514702089732</v>
      </c>
      <c r="X15" s="26">
        <f>W15+預測IC!X15</f>
        <v>0.43699181555722422</v>
      </c>
      <c r="Y15" s="26">
        <f>X15+預測IC!Y15</f>
        <v>0.41280211555722424</v>
      </c>
      <c r="Z15" s="26">
        <f>Y15+預測IC!Z15</f>
        <v>0.38914591555722422</v>
      </c>
      <c r="AA15" s="26">
        <f>Z15+預測IC!AA15</f>
        <v>0.43573481555722421</v>
      </c>
      <c r="AB15" s="26">
        <f>AA15+預測IC!AB15</f>
        <v>0.36173941555722422</v>
      </c>
      <c r="AC15" s="26">
        <f>AB15+預測IC!AC15</f>
        <v>0.32168461555722422</v>
      </c>
      <c r="AD15" s="26">
        <f>AC15+預測IC!AD15</f>
        <v>0.36137501555722423</v>
      </c>
      <c r="AE15" s="26">
        <f>AD15+預測IC!AE15</f>
        <v>0.26006169935834922</v>
      </c>
      <c r="AF15" s="26">
        <f>AE15+預測IC!AF15</f>
        <v>0.30983519935834924</v>
      </c>
      <c r="AG15" s="26">
        <f>AF15+預測IC!AG15</f>
        <v>0.30009019935834924</v>
      </c>
      <c r="AH15" s="26">
        <f>AG15+預測IC!AH15</f>
        <v>0.28558839935834923</v>
      </c>
      <c r="AI15" s="26">
        <f>AH15+預測IC!AI15</f>
        <v>0.35986579935834923</v>
      </c>
      <c r="AJ15" s="26">
        <f>AI15+預測IC!AJ15</f>
        <v>0.36404919935834923</v>
      </c>
      <c r="AK15" s="26">
        <f>AJ15+預測IC!AK15</f>
        <v>0.32705109935834925</v>
      </c>
      <c r="AL15" s="26">
        <f>AK15+預測IC!AL15</f>
        <v>0.3676067543447839</v>
      </c>
      <c r="AM15" s="26">
        <f>AL15+預測IC!AM15</f>
        <v>0.36955025434478389</v>
      </c>
      <c r="AN15" s="26">
        <f>AM15+預測IC!AN15</f>
        <v>0.46241216776247024</v>
      </c>
      <c r="AO15" s="26">
        <f>AN15+預測IC!AO15</f>
        <v>0.49811446776247026</v>
      </c>
      <c r="AP15" s="26">
        <f>AO15+預測IC!AP15</f>
        <v>0.41165670125196752</v>
      </c>
      <c r="AQ15" s="26">
        <f>AP15+預測IC!AQ15</f>
        <v>0.39190940125196749</v>
      </c>
      <c r="AR15" s="26">
        <f>AQ15+預測IC!AR15</f>
        <v>0.41645970125196752</v>
      </c>
      <c r="AS15" s="26">
        <f>AR15+預測IC!AS15</f>
        <v>0.36263852221485349</v>
      </c>
      <c r="AT15" s="26">
        <f>AS15+預測IC!AT15</f>
        <v>0.42789351286728206</v>
      </c>
      <c r="AU15" s="26">
        <f>AT15+預測IC!AU15</f>
        <v>0.46783677395674839</v>
      </c>
      <c r="AV15" s="26">
        <f>AU15+預測IC!AV15</f>
        <v>0.42060995562930953</v>
      </c>
      <c r="AW15" s="26">
        <f>AV15+預測IC!AW15</f>
        <v>0.43626989488389045</v>
      </c>
      <c r="AX15" s="26">
        <f>AW15+預測IC!AX15</f>
        <v>0.56150387205862562</v>
      </c>
      <c r="AY15" s="26">
        <f>AX15+預測IC!AY15</f>
        <v>0.58961328852141182</v>
      </c>
      <c r="AZ15" s="26">
        <f>AY15+預測IC!AZ15</f>
        <v>0.49829000845290833</v>
      </c>
      <c r="BA15" s="26">
        <f>AZ15+預測IC!BA15</f>
        <v>0.50890352326056132</v>
      </c>
      <c r="BB15" s="26">
        <f>BA15+預測IC!BB15</f>
        <v>0.62010586857966787</v>
      </c>
      <c r="BC15" s="26">
        <f>BB15+預測IC!BC15</f>
        <v>0.68226101224749813</v>
      </c>
      <c r="BD15" s="26">
        <f>BC15+預測IC!BD15</f>
        <v>0.72521083259946661</v>
      </c>
      <c r="BE15" s="26">
        <f>BD15+預測IC!BE15</f>
        <v>0.76435734745713502</v>
      </c>
      <c r="BF15" s="26">
        <f>BE15+預測IC!BF15</f>
        <v>0.81553523473467848</v>
      </c>
      <c r="BG15" s="26">
        <f>BF15+預測IC!BG15</f>
        <v>0.8183600568160545</v>
      </c>
      <c r="BH15" s="26">
        <f>BG15+預測IC!BH15</f>
        <v>0.85191659410243148</v>
      </c>
      <c r="BI15" s="26">
        <f>BH15+預測IC!BI15</f>
        <v>0.92050325321740112</v>
      </c>
      <c r="BJ15" s="26">
        <f>BI15+預測IC!BJ15</f>
        <v>0.90488415054540927</v>
      </c>
      <c r="BK15" s="26">
        <f>BJ15+預測IC!BK15</f>
        <v>0.89372778283195331</v>
      </c>
      <c r="BL15" s="26">
        <f>BK15+預測IC!BL15</f>
        <v>0.95647595883214342</v>
      </c>
      <c r="BM15" s="26">
        <f>BL15+預測IC!BM15</f>
        <v>1.0216828418308772</v>
      </c>
      <c r="BN15" s="26">
        <f>BM15+預測IC!BN15</f>
        <v>1.0618254115640671</v>
      </c>
      <c r="BO15" s="26">
        <f>BN15+預測IC!BO15</f>
        <v>1.089559887518998</v>
      </c>
      <c r="BP15" s="26">
        <f>BO15+預測IC!BP15</f>
        <v>1.1037441082268027</v>
      </c>
      <c r="BQ15" s="26">
        <f>BP15+預測IC!BQ15</f>
        <v>1.1165470395171304</v>
      </c>
      <c r="BR15" s="26">
        <f>BQ15+預測IC!BR15</f>
        <v>1.0663896103950707</v>
      </c>
      <c r="BS15" s="26">
        <f>BR15+預測IC!BS15</f>
        <v>1.0495658329447843</v>
      </c>
      <c r="BT15" s="26">
        <f>BS15+預測IC!BT15</f>
        <v>1.1386260386761187</v>
      </c>
      <c r="BU15" s="26">
        <f>BT15+預測IC!BU15</f>
        <v>1.1581024584719122</v>
      </c>
      <c r="BV15" s="26">
        <f>BU15+預測IC!BV15</f>
        <v>1.2173313954323606</v>
      </c>
      <c r="BW15" s="26">
        <f>BV15+預測IC!BW15</f>
        <v>1.1813855053029569</v>
      </c>
      <c r="BX15" s="26">
        <f>BW15+預測IC!BX15</f>
        <v>1.2020560513465854</v>
      </c>
      <c r="BY15" s="26">
        <f>BX15+預測IC!BY15</f>
        <v>1.1144009335850324</v>
      </c>
      <c r="BZ15" s="26">
        <f>BY15+預測IC!BZ15</f>
        <v>1.2173074025623798</v>
      </c>
      <c r="CA15" s="26">
        <f>BZ15+預測IC!CA15</f>
        <v>1.1987153817659375</v>
      </c>
      <c r="CB15" s="26">
        <f>CA15+預測IC!CB15</f>
        <v>1.213772275777762</v>
      </c>
      <c r="CC15" s="26">
        <f>CB15+預測IC!CC15</f>
        <v>1.0602700030640786</v>
      </c>
      <c r="CD15" s="26">
        <f>CC15+預測IC!CD15</f>
        <v>1.1804220870271629</v>
      </c>
      <c r="CE15" s="26">
        <f>CD15+預測IC!CE15</f>
        <v>1.0637820763909416</v>
      </c>
      <c r="CF15" s="26">
        <f>CE15+預測IC!CF15</f>
        <v>1.1622520708019928</v>
      </c>
      <c r="CG15" s="26">
        <f>CF15+預測IC!CG15</f>
        <v>1.1579531915486285</v>
      </c>
      <c r="CH15" s="26">
        <f>CG15+預測IC!CH15</f>
        <v>1.2208391498323299</v>
      </c>
      <c r="CI15" s="26">
        <f>CH15+預測IC!CI15</f>
        <v>1.1930360779913394</v>
      </c>
      <c r="CJ15" s="26">
        <f>CI15+預測IC!CJ15</f>
        <v>1.1059917219186213</v>
      </c>
      <c r="CK15" s="26">
        <f>CJ15+預測IC!CK15</f>
        <v>1.1626643676907207</v>
      </c>
      <c r="CL15" s="26">
        <f>CK15+預測IC!CL15</f>
        <v>1.194086342683969</v>
      </c>
      <c r="CM15" s="26">
        <f>CL15+預測IC!CM15</f>
        <v>1.2687174588124228</v>
      </c>
      <c r="CN15" s="26">
        <f>CM15+預測IC!CN15</f>
        <v>1.2260833430132625</v>
      </c>
      <c r="CO15" s="26">
        <f>CN15+預測IC!CO15</f>
        <v>1.096634318131221</v>
      </c>
      <c r="CP15" s="26">
        <f>CO15+預測IC!CP15</f>
        <v>1.2241701535641707</v>
      </c>
      <c r="CQ15" s="26">
        <f>CP15+預測IC!CQ15</f>
        <v>1.2610464779278401</v>
      </c>
      <c r="CR15" s="26">
        <f>CQ15+預測IC!CR15</f>
        <v>1.3072270998186328</v>
      </c>
      <c r="CS15" s="26">
        <f>CR15+預測IC!CS15</f>
        <v>1.3674122722822275</v>
      </c>
      <c r="CT15" s="26">
        <f>CS15+預測IC!CT15</f>
        <v>1.3748068472576822</v>
      </c>
      <c r="CU15" s="26">
        <f>CT15+預測IC!CU15</f>
        <v>1.3116281873429094</v>
      </c>
      <c r="CV15" s="26">
        <f>CU15+預測IC!CV15</f>
        <v>1.3054863404381005</v>
      </c>
      <c r="CW15" s="26">
        <f>CV15+預測IC!CW15</f>
        <v>1.290095416054758</v>
      </c>
      <c r="CX15" s="26">
        <f>CW15+預測IC!CX15</f>
        <v>1.3141350231080888</v>
      </c>
      <c r="CY15" s="26">
        <f>CX15+預測IC!CY15</f>
        <v>1.2716643500303264</v>
      </c>
      <c r="CZ15" s="26">
        <f>CY15+預測IC!CZ15</f>
        <v>1.348809423970788</v>
      </c>
      <c r="DA15" s="26">
        <f>CZ15+預測IC!DA15</f>
        <v>1.3224335885289114</v>
      </c>
      <c r="DB15" s="26">
        <f>DA15+預測IC!DB15</f>
        <v>1.2922069703147876</v>
      </c>
      <c r="DC15" s="26">
        <f>DB15+預測IC!DC15</f>
        <v>1.3170280772455205</v>
      </c>
      <c r="DD15" s="26">
        <f>DC15+預測IC!DD15</f>
        <v>1.2812117645201353</v>
      </c>
      <c r="DE15" s="26">
        <f>DD15+預測IC!DE15</f>
        <v>1.3061604792651784</v>
      </c>
      <c r="DF15" s="26">
        <f>DE15+預測IC!DF15</f>
        <v>1.2637691728657836</v>
      </c>
      <c r="DG15" s="26">
        <f>DF15+預測IC!DG15</f>
        <v>1.2799659044840248</v>
      </c>
      <c r="DH15" s="26">
        <f>DG15+預測IC!DH15</f>
        <v>1.2612568934401327</v>
      </c>
      <c r="DI15" s="26">
        <f>DH15+預測IC!DI15</f>
        <v>1.249538444430675</v>
      </c>
      <c r="DJ15" s="26">
        <f>DI15+預測IC!DJ15</f>
        <v>1.1980156336072707</v>
      </c>
      <c r="DK15" s="26">
        <f>DJ15+預測IC!DK15</f>
        <v>1.2997904676587386</v>
      </c>
      <c r="DL15" s="26">
        <f>DK15+預測IC!DL15</f>
        <v>1.3624259617471766</v>
      </c>
      <c r="DM15" s="26">
        <f>DL15+預測IC!DM15</f>
        <v>1.3386174148795078</v>
      </c>
      <c r="DN15" s="26">
        <f>DM15+預測IC!DN15</f>
        <v>1.3826139123031274</v>
      </c>
      <c r="DO15" s="26">
        <f>DN15+預測IC!DO15</f>
        <v>1.4289106395369282</v>
      </c>
      <c r="DP15" s="26">
        <f>DO15+預測IC!DP15</f>
        <v>1.4526462415438208</v>
      </c>
      <c r="DQ15" s="26">
        <f>DP15+預測IC!DQ15</f>
        <v>1.3529740264886851</v>
      </c>
      <c r="DR15" s="26">
        <f>DQ15+預測IC!DR15</f>
        <v>1.392759634543786</v>
      </c>
      <c r="DS15" s="26">
        <f>DR15+預測IC!DS15</f>
        <v>1.3097147179128168</v>
      </c>
      <c r="DT15" s="26">
        <f>DS15+預測IC!DT15</f>
        <v>1.2375510861946537</v>
      </c>
      <c r="DU15" s="26">
        <f>DT15+預測IC!DU15</f>
        <v>1.191780357242973</v>
      </c>
      <c r="DV15" s="26">
        <f>DU15+預測IC!DV15</f>
        <v>1.3315487141838445</v>
      </c>
      <c r="DW15" s="26">
        <f>DV15+預測IC!DW15</f>
        <v>1.357087341330677</v>
      </c>
      <c r="DX15" s="26">
        <f>DW15+預測IC!DX15</f>
        <v>1.2384710906806906</v>
      </c>
      <c r="DY15" s="26">
        <f>DX15+預測IC!DY15</f>
        <v>1.3450102572817002</v>
      </c>
      <c r="DZ15" s="26">
        <f>DY15+預測IC!DZ15</f>
        <v>1.3260900132123159</v>
      </c>
      <c r="EA15" s="26">
        <f>DZ15+預測IC!EA15</f>
        <v>1.3583297045113538</v>
      </c>
      <c r="EB15" s="26">
        <f>EA15+預測IC!EB15</f>
        <v>1.4068482776425988</v>
      </c>
      <c r="EC15" s="26">
        <f>EB15+預測IC!EC15</f>
        <v>1.4575847764112351</v>
      </c>
      <c r="ED15" s="26">
        <f>EC15+預測IC!ED15</f>
        <v>1.3442277204759236</v>
      </c>
      <c r="EE15" s="26">
        <f>ED15+預測IC!EE15</f>
        <v>1.3217691804988438</v>
      </c>
      <c r="EF15" s="26">
        <f>EE15+預測IC!EF15</f>
        <v>1.3839774857379199</v>
      </c>
    </row>
    <row r="16" spans="1:137">
      <c r="A16" s="4">
        <v>107</v>
      </c>
      <c r="B16" s="4">
        <v>9</v>
      </c>
      <c r="C16" s="26">
        <f>預測IC!C16</f>
        <v>-2.7383644610379052E-2</v>
      </c>
      <c r="D16" s="26">
        <f>C16+預測IC!D16</f>
        <v>0.38081179983406532</v>
      </c>
      <c r="E16" s="26">
        <f>D16+預測IC!E16</f>
        <v>0.37798162322397993</v>
      </c>
      <c r="F16" s="26">
        <f>E16+預測IC!F16</f>
        <v>0.48540117877953554</v>
      </c>
      <c r="G16" s="26">
        <f>F16+預測IC!G16</f>
        <v>0.59441473433509107</v>
      </c>
      <c r="H16" s="26">
        <f>G16+預測IC!H16</f>
        <v>0.66726351211286883</v>
      </c>
      <c r="I16" s="26">
        <f>H16+預測IC!I16</f>
        <v>0.72479413077849031</v>
      </c>
      <c r="J16" s="26">
        <f>I16+預測IC!J16</f>
        <v>0.65610068633404584</v>
      </c>
      <c r="K16" s="26">
        <f>J16+預測IC!K16</f>
        <v>0.67402513077849024</v>
      </c>
      <c r="L16" s="26">
        <f>K16+預測IC!L16</f>
        <v>0.7050516863340458</v>
      </c>
      <c r="M16" s="26">
        <f>L16+預測IC!M16</f>
        <v>0.51017590855626804</v>
      </c>
      <c r="N16" s="26">
        <f>M16+預測IC!N16</f>
        <v>0.87716379744515693</v>
      </c>
      <c r="O16" s="26">
        <f>N16+預測IC!O16</f>
        <v>0.89278490855626802</v>
      </c>
      <c r="P16" s="26">
        <f>O16+預測IC!P16</f>
        <v>0.83173967676484573</v>
      </c>
      <c r="Q16" s="26">
        <f>P16+預測IC!Q16</f>
        <v>0.92835956565373468</v>
      </c>
      <c r="R16" s="26">
        <f>Q16+預測IC!R16</f>
        <v>0.94754201009817918</v>
      </c>
      <c r="S16" s="26">
        <f>R16+預測IC!S16</f>
        <v>0.66208740583445325</v>
      </c>
      <c r="T16" s="26">
        <f>S16+預測IC!T16</f>
        <v>0.63885996139000878</v>
      </c>
      <c r="U16" s="26">
        <f>T16+預測IC!U16</f>
        <v>0.68750962805667548</v>
      </c>
      <c r="V16" s="26">
        <f>U16+預測IC!V16</f>
        <v>0.58319440583445326</v>
      </c>
      <c r="W16" s="26">
        <f>V16+預測IC!W16</f>
        <v>0.66156785027889775</v>
      </c>
      <c r="X16" s="26">
        <f>W16+預測IC!X16</f>
        <v>0.53715806657041099</v>
      </c>
      <c r="Y16" s="26">
        <f>X16+預測IC!Y16</f>
        <v>0.53286951101485547</v>
      </c>
      <c r="Z16" s="26">
        <f>Y16+預測IC!Z16</f>
        <v>0.51279373323707766</v>
      </c>
      <c r="AA16" s="26">
        <f>Z16+預測IC!AA16</f>
        <v>0.56302139990374434</v>
      </c>
      <c r="AB16" s="26">
        <f>AA16+預測IC!AB16</f>
        <v>0.49200539990374437</v>
      </c>
      <c r="AC16" s="26">
        <f>AB16+預測IC!AC16</f>
        <v>0.45096528879263326</v>
      </c>
      <c r="AD16" s="26">
        <f>AC16+預測IC!AD16</f>
        <v>0.48577628879263324</v>
      </c>
      <c r="AE16" s="26">
        <f>AD16+預測IC!AE16</f>
        <v>0.38927392830402757</v>
      </c>
      <c r="AF16" s="26">
        <f>AE16+預測IC!AF16</f>
        <v>0.40428426163736092</v>
      </c>
      <c r="AG16" s="26">
        <f>AF16+預測IC!AG16</f>
        <v>0.39598270608180536</v>
      </c>
      <c r="AH16" s="26">
        <f>AG16+預測IC!AH16</f>
        <v>0.35187426163736091</v>
      </c>
      <c r="AI16" s="26">
        <f>AH16+預測IC!AI16</f>
        <v>0.44239737274847202</v>
      </c>
      <c r="AJ16" s="26">
        <f>AI16+預測IC!AJ16</f>
        <v>0.42476737274847204</v>
      </c>
      <c r="AK16" s="26">
        <f>AJ16+預測IC!AK16</f>
        <v>0.41678103941513872</v>
      </c>
      <c r="AL16" s="26">
        <f>AK16+預測IC!AL16</f>
        <v>0.46546997251966199</v>
      </c>
      <c r="AM16" s="26">
        <f>AL16+預測IC!AM16</f>
        <v>0.48920252807521752</v>
      </c>
      <c r="AN16" s="26">
        <f>AM16+預測IC!AN16</f>
        <v>0.59565872816489307</v>
      </c>
      <c r="AO16" s="26">
        <f>AN16+預測IC!AO16</f>
        <v>0.63570128372044865</v>
      </c>
      <c r="AP16" s="26">
        <f>AO16+預測IC!AP16</f>
        <v>0.55790291557486016</v>
      </c>
      <c r="AQ16" s="26">
        <f>AP16+預測IC!AQ16</f>
        <v>0.53387036001930466</v>
      </c>
      <c r="AR16" s="26">
        <f>AQ16+預測IC!AR16</f>
        <v>0.56636258224152691</v>
      </c>
      <c r="AS16" s="26">
        <f>AR16+預測IC!AS16</f>
        <v>0.50129435676755763</v>
      </c>
      <c r="AT16" s="26">
        <f>AS16+預測IC!AT16</f>
        <v>0.56116149591195175</v>
      </c>
      <c r="AU16" s="26">
        <f>AT16+預測IC!AU16</f>
        <v>0.60298833416684683</v>
      </c>
      <c r="AV16" s="26">
        <f>AU16+預測IC!AV16</f>
        <v>0.59391582738682813</v>
      </c>
      <c r="AW16" s="26">
        <f>AV16+預測IC!AW16</f>
        <v>0.63316875746147883</v>
      </c>
      <c r="AX16" s="26">
        <f>AW16+預測IC!AX16</f>
        <v>0.73399853070545173</v>
      </c>
      <c r="AY16" s="26">
        <f>AX16+預測IC!AY16</f>
        <v>0.76781112054979772</v>
      </c>
      <c r="AZ16" s="26">
        <f>AY16+預測IC!AZ16</f>
        <v>0.66290148537108551</v>
      </c>
      <c r="BA16" s="26">
        <f>AZ16+預測IC!BA16</f>
        <v>0.6727096839154354</v>
      </c>
      <c r="BB16" s="26">
        <f>BA16+預測IC!BB16</f>
        <v>0.78074860806817348</v>
      </c>
      <c r="BC16" s="26">
        <f>BB16+預測IC!BC16</f>
        <v>0.84685085316786224</v>
      </c>
      <c r="BD16" s="26">
        <f>BC16+預測IC!BD16</f>
        <v>0.88278756471376629</v>
      </c>
      <c r="BE16" s="26">
        <f>BD16+預測IC!BE16</f>
        <v>0.93419855910824123</v>
      </c>
      <c r="BF16" s="26">
        <f>BE16+預測IC!BF16</f>
        <v>0.99846661342795939</v>
      </c>
      <c r="BG16" s="26">
        <f>BF16+預測IC!BG16</f>
        <v>1.012312432527928</v>
      </c>
      <c r="BH16" s="26">
        <f>BG16+預測IC!BH16</f>
        <v>1.0068999524609707</v>
      </c>
      <c r="BI16" s="26">
        <f>BH16+預測IC!BI16</f>
        <v>1.0592357127554355</v>
      </c>
      <c r="BJ16" s="26">
        <f>BI16+預測IC!BJ16</f>
        <v>1.0387318964722279</v>
      </c>
      <c r="BK16" s="26">
        <f>BJ16+預測IC!BK16</f>
        <v>1.0366089446597122</v>
      </c>
      <c r="BL16" s="26">
        <f>BK16+預測IC!BL16</f>
        <v>1.1072325103672354</v>
      </c>
      <c r="BM16" s="26">
        <f>BL16+預測IC!BM16</f>
        <v>1.198339682717108</v>
      </c>
      <c r="BN16" s="26">
        <f>BM16+預測IC!BN16</f>
        <v>1.2462455153211351</v>
      </c>
      <c r="BO16" s="26">
        <f>BN16+預測IC!BO16</f>
        <v>1.2681358752747929</v>
      </c>
      <c r="BP16" s="26">
        <f>BO16+預測IC!BP16</f>
        <v>1.2798830732581321</v>
      </c>
      <c r="BQ16" s="26">
        <f>BP16+預測IC!BQ16</f>
        <v>1.293195527002948</v>
      </c>
      <c r="BR16" s="26">
        <f>BQ16+預測IC!BR16</f>
        <v>1.2668986789815035</v>
      </c>
      <c r="BS16" s="26">
        <f>BR16+預測IC!BS16</f>
        <v>1.2537071058340394</v>
      </c>
      <c r="BT16" s="26">
        <f>BS16+預測IC!BT16</f>
        <v>1.339190297101839</v>
      </c>
      <c r="BU16" s="26">
        <f>BT16+預測IC!BU16</f>
        <v>1.3969554072866395</v>
      </c>
      <c r="BV16" s="26">
        <f>BU16+預測IC!BV16</f>
        <v>1.4607378956357928</v>
      </c>
      <c r="BW16" s="26">
        <f>BV16+預測IC!BW16</f>
        <v>1.3949969682092582</v>
      </c>
      <c r="BX16" s="26">
        <f>BW16+預測IC!BX16</f>
        <v>1.4265562057303891</v>
      </c>
      <c r="BY16" s="26">
        <f>BX16+預測IC!BY16</f>
        <v>1.3492014294656993</v>
      </c>
      <c r="BZ16" s="26">
        <f>BY16+預測IC!BZ16</f>
        <v>1.4607272779673486</v>
      </c>
      <c r="CA16" s="26">
        <f>BZ16+預測IC!CA16</f>
        <v>1.4436111742835771</v>
      </c>
      <c r="CB16" s="26">
        <f>CA16+預測IC!CB16</f>
        <v>1.4421831292943599</v>
      </c>
      <c r="CC16" s="26">
        <f>CB16+預測IC!CC16</f>
        <v>1.2831106148104254</v>
      </c>
      <c r="CD16" s="26">
        <f>CC16+預測IC!CD16</f>
        <v>1.4381818864367872</v>
      </c>
      <c r="CE16" s="26">
        <f>CD16+預測IC!CE16</f>
        <v>1.3055868256432759</v>
      </c>
      <c r="CF16" s="26">
        <f>CE16+預測IC!CF16</f>
        <v>1.4107880896530269</v>
      </c>
      <c r="CG16" s="26">
        <f>CF16+預測IC!CG16</f>
        <v>1.4172361112002345</v>
      </c>
      <c r="CH16" s="26">
        <f>CG16+預測IC!CH16</f>
        <v>1.4589335259032616</v>
      </c>
      <c r="CI16" s="26">
        <f>CH16+預測IC!CI16</f>
        <v>1.4202236440747442</v>
      </c>
      <c r="CJ16" s="26">
        <f>CI16+預測IC!CJ16</f>
        <v>1.3747000932870777</v>
      </c>
      <c r="CK16" s="26">
        <f>CJ16+預測IC!CK16</f>
        <v>1.4511730770047679</v>
      </c>
      <c r="CL16" s="26">
        <f>CK16+預測IC!CL16</f>
        <v>1.4711684464835442</v>
      </c>
      <c r="CM16" s="26">
        <f>CL16+預測IC!CM16</f>
        <v>1.5601570746330558</v>
      </c>
      <c r="CN16" s="26">
        <f>CM16+預測IC!CN16</f>
        <v>1.5270995594921057</v>
      </c>
      <c r="CO16" s="26">
        <f>CN16+預測IC!CO16</f>
        <v>1.3562208683848593</v>
      </c>
      <c r="CP16" s="26">
        <f>CO16+預測IC!CP16</f>
        <v>1.4938346844132715</v>
      </c>
      <c r="CQ16" s="26">
        <f>CP16+預測IC!CQ16</f>
        <v>1.5347128607377267</v>
      </c>
      <c r="CR16" s="26">
        <f>CQ16+預測IC!CR16</f>
        <v>1.5830126274210432</v>
      </c>
      <c r="CS16" s="26">
        <f>CR16+預測IC!CS16</f>
        <v>1.6479610296175224</v>
      </c>
      <c r="CT16" s="26">
        <f>CS16+預測IC!CT16</f>
        <v>1.6530284361183634</v>
      </c>
      <c r="CU16" s="26">
        <f>CT16+預測IC!CU16</f>
        <v>1.5889150670544796</v>
      </c>
      <c r="CV16" s="26">
        <f>CU16+預測IC!CV16</f>
        <v>1.5710541076363456</v>
      </c>
      <c r="CW16" s="26">
        <f>CV16+預測IC!CW16</f>
        <v>1.5586307656560545</v>
      </c>
      <c r="CX16" s="26">
        <f>CW16+預測IC!CX16</f>
        <v>1.5708710504103045</v>
      </c>
      <c r="CY16" s="26">
        <f>CX16+預測IC!CY16</f>
        <v>1.521754001293679</v>
      </c>
      <c r="CZ16" s="26">
        <f>CY16+預測IC!CZ16</f>
        <v>1.6243872604718115</v>
      </c>
      <c r="DA16" s="26">
        <f>CZ16+預測IC!DA16</f>
        <v>1.594582466504576</v>
      </c>
      <c r="DB16" s="26">
        <f>DA16+預測IC!DB16</f>
        <v>1.5518702967243501</v>
      </c>
      <c r="DC16" s="26">
        <f>DB16+預測IC!DC16</f>
        <v>1.5872280159078782</v>
      </c>
      <c r="DD16" s="26">
        <f>DC16+預測IC!DD16</f>
        <v>1.527250940507052</v>
      </c>
      <c r="DE16" s="26">
        <f>DD16+預測IC!DE16</f>
        <v>1.4960578124709192</v>
      </c>
      <c r="DF16" s="26">
        <f>DE16+預測IC!DF16</f>
        <v>1.4729113792453601</v>
      </c>
      <c r="DG16" s="26">
        <f>DF16+預測IC!DG16</f>
        <v>1.4873643268767986</v>
      </c>
      <c r="DH16" s="26">
        <f>DG16+預測IC!DH16</f>
        <v>1.4682349834588275</v>
      </c>
      <c r="DI16" s="26">
        <f>DH16+預測IC!DI16</f>
        <v>1.4550015577463054</v>
      </c>
      <c r="DJ16" s="26">
        <f>DI16+預測IC!DJ16</f>
        <v>1.4183584150147217</v>
      </c>
      <c r="DK16" s="26">
        <f>DJ16+預測IC!DK16</f>
        <v>1.5519527716403023</v>
      </c>
      <c r="DL16" s="26">
        <f>DK16+預測IC!DL16</f>
        <v>1.6234471465562668</v>
      </c>
      <c r="DM16" s="26">
        <f>DL16+預測IC!DM16</f>
        <v>1.5931161967979257</v>
      </c>
      <c r="DN16" s="26">
        <f>DM16+預測IC!DN16</f>
        <v>1.6355540501573329</v>
      </c>
      <c r="DO16" s="26">
        <f>DN16+預測IC!DO16</f>
        <v>1.6879659095731789</v>
      </c>
      <c r="DP16" s="26">
        <f>DO16+預測IC!DP16</f>
        <v>1.707807858152405</v>
      </c>
      <c r="DQ16" s="26">
        <f>DP16+預測IC!DQ16</f>
        <v>1.6247742000753884</v>
      </c>
      <c r="DR16" s="26">
        <f>DQ16+預測IC!DR16</f>
        <v>1.6799654517249036</v>
      </c>
      <c r="DS16" s="26">
        <f>DR16+預測IC!DS16</f>
        <v>1.5862133867351493</v>
      </c>
      <c r="DT16" s="26">
        <f>DS16+預測IC!DT16</f>
        <v>1.485520062439277</v>
      </c>
      <c r="DU16" s="26">
        <f>DT16+預測IC!DU16</f>
        <v>1.4210463286697383</v>
      </c>
      <c r="DV16" s="26">
        <f>DU16+預測IC!DV16</f>
        <v>1.5580000606875319</v>
      </c>
      <c r="DW16" s="26">
        <f>DV16+預測IC!DW16</f>
        <v>1.5989177903872227</v>
      </c>
      <c r="DX16" s="26">
        <f>DW16+預測IC!DX16</f>
        <v>1.4736330840632452</v>
      </c>
      <c r="DY16" s="26">
        <f>DX16+預測IC!DY16</f>
        <v>1.5899874189735885</v>
      </c>
      <c r="DZ16" s="26">
        <f>DY16+預測IC!DZ16</f>
        <v>1.5587103391489121</v>
      </c>
      <c r="EA16" s="26">
        <f>DZ16+預測IC!EA16</f>
        <v>1.605371710704639</v>
      </c>
      <c r="EB16" s="26">
        <f>EA16+預測IC!EB16</f>
        <v>1.6833494935645861</v>
      </c>
      <c r="EC16" s="26">
        <f>EB16+預測IC!EC16</f>
        <v>1.7344671458189667</v>
      </c>
      <c r="ED16" s="26">
        <f>EC16+預測IC!ED16</f>
        <v>1.6190503983200455</v>
      </c>
      <c r="EE16" s="26">
        <f>ED16+預測IC!EE16</f>
        <v>1.5859921287754175</v>
      </c>
      <c r="EF16" s="26">
        <f>EE16+預測IC!EF16</f>
        <v>1.6258860354880613</v>
      </c>
    </row>
    <row r="17" spans="1:136">
      <c r="A17" s="4">
        <v>120</v>
      </c>
      <c r="B17" s="4">
        <v>8</v>
      </c>
      <c r="C17" s="26">
        <f>預測IC!C17</f>
        <v>-4.5056429492109057E-2</v>
      </c>
      <c r="D17" s="26">
        <f>C17+預測IC!D17</f>
        <v>0.39453194550789095</v>
      </c>
      <c r="E17" s="26">
        <f>D17+預測IC!E17</f>
        <v>0.4019109470031923</v>
      </c>
      <c r="F17" s="26">
        <f>E17+預測IC!F17</f>
        <v>0.54868294700319231</v>
      </c>
      <c r="G17" s="26">
        <f>F17+預測IC!G17</f>
        <v>0.6658155720031923</v>
      </c>
      <c r="H17" s="26">
        <f>G17+預測IC!H17</f>
        <v>0.77081032200319233</v>
      </c>
      <c r="I17" s="26">
        <f>H17+預測IC!I17</f>
        <v>0.88453534980537984</v>
      </c>
      <c r="J17" s="26">
        <f>I17+預測IC!J17</f>
        <v>0.76923697480537989</v>
      </c>
      <c r="K17" s="26">
        <f>J17+預測IC!K17</f>
        <v>0.80868072480537989</v>
      </c>
      <c r="L17" s="26">
        <f>K17+預測IC!L17</f>
        <v>0.84245559980537987</v>
      </c>
      <c r="M17" s="26">
        <f>L17+預測IC!M17</f>
        <v>0.61551572480537986</v>
      </c>
      <c r="N17" s="26">
        <f>M17+預測IC!N17</f>
        <v>1.0206239748053798</v>
      </c>
      <c r="O17" s="26">
        <f>N17+預測IC!O17</f>
        <v>1.0452560998053797</v>
      </c>
      <c r="P17" s="26">
        <f>O17+預測IC!P17</f>
        <v>0.97684532548617176</v>
      </c>
      <c r="Q17" s="26">
        <f>P17+預測IC!Q17</f>
        <v>1.0832777004861718</v>
      </c>
      <c r="R17" s="26">
        <f>Q17+預測IC!R17</f>
        <v>1.0852527004861718</v>
      </c>
      <c r="S17" s="26">
        <f>R17+預測IC!S17</f>
        <v>0.77459926783087363</v>
      </c>
      <c r="T17" s="26">
        <f>S17+預測IC!T17</f>
        <v>0.7510908928308736</v>
      </c>
      <c r="U17" s="26">
        <f>T17+預測IC!U17</f>
        <v>0.80337926783087366</v>
      </c>
      <c r="V17" s="26">
        <f>U17+預測IC!V17</f>
        <v>0.68702414283087365</v>
      </c>
      <c r="W17" s="26">
        <f>V17+預測IC!W17</f>
        <v>0.7661662678308736</v>
      </c>
      <c r="X17" s="26">
        <f>W17+預測IC!X17</f>
        <v>0.6089536405839806</v>
      </c>
      <c r="Y17" s="26">
        <f>X17+預測IC!Y17</f>
        <v>0.61045276558398065</v>
      </c>
      <c r="Z17" s="26">
        <f>Y17+預測IC!Z17</f>
        <v>0.58884426558398062</v>
      </c>
      <c r="AA17" s="26">
        <f>Z17+預測IC!AA17</f>
        <v>0.65110039058398061</v>
      </c>
      <c r="AB17" s="26">
        <f>AA17+預測IC!AB17</f>
        <v>0.59276601558398057</v>
      </c>
      <c r="AC17" s="26">
        <f>AB17+預測IC!AC17</f>
        <v>0.55196689058398052</v>
      </c>
      <c r="AD17" s="26">
        <f>AC17+預測IC!AD17</f>
        <v>0.62058676558398052</v>
      </c>
      <c r="AE17" s="26">
        <f>AD17+預測IC!AE17</f>
        <v>0.49342834313675554</v>
      </c>
      <c r="AF17" s="26">
        <f>AE17+預測IC!AF17</f>
        <v>0.50184096813675549</v>
      </c>
      <c r="AG17" s="26">
        <f>AF17+預測IC!AG17</f>
        <v>0.50048971813675547</v>
      </c>
      <c r="AH17" s="26">
        <f>AG17+預測IC!AH17</f>
        <v>0.46856684313675545</v>
      </c>
      <c r="AI17" s="26">
        <f>AH17+預測IC!AI17</f>
        <v>0.58343196813675546</v>
      </c>
      <c r="AJ17" s="26">
        <f>AI17+預測IC!AJ17</f>
        <v>0.57315884313675547</v>
      </c>
      <c r="AK17" s="26">
        <f>AJ17+預測IC!AK17</f>
        <v>0.55983421813675549</v>
      </c>
      <c r="AL17" s="26">
        <f>AK17+預測IC!AL17</f>
        <v>0.61055862388531201</v>
      </c>
      <c r="AM17" s="26">
        <f>AL17+預測IC!AM17</f>
        <v>0.63842774888531206</v>
      </c>
      <c r="AN17" s="26">
        <f>AM17+預測IC!AN17</f>
        <v>0.75171486923122977</v>
      </c>
      <c r="AO17" s="26">
        <f>AN17+預測IC!AO17</f>
        <v>0.7824187442312297</v>
      </c>
      <c r="AP17" s="26">
        <f>AO17+預測IC!AP17</f>
        <v>0.70517592981164423</v>
      </c>
      <c r="AQ17" s="26">
        <f>AP17+預測IC!AQ17</f>
        <v>0.69594555481164422</v>
      </c>
      <c r="AR17" s="26">
        <f>AQ17+預測IC!AR17</f>
        <v>0.73094217981164422</v>
      </c>
      <c r="AS17" s="26">
        <f>AR17+預測IC!AS17</f>
        <v>0.67461861777716847</v>
      </c>
      <c r="AT17" s="26">
        <f>AS17+預測IC!AT17</f>
        <v>0.72688642422689065</v>
      </c>
      <c r="AU17" s="26">
        <f>AT17+預測IC!AU17</f>
        <v>0.77953465546988365</v>
      </c>
      <c r="AV17" s="26">
        <f>AU17+預測IC!AV17</f>
        <v>0.75802629253197806</v>
      </c>
      <c r="AW17" s="26">
        <f>AV17+預測IC!AW17</f>
        <v>0.77719026630629784</v>
      </c>
      <c r="AX17" s="26">
        <f>AW17+預測IC!AX17</f>
        <v>0.87343082481509682</v>
      </c>
      <c r="AY17" s="26">
        <f>AX17+預測IC!AY17</f>
        <v>0.90085452150569767</v>
      </c>
      <c r="AZ17" s="26">
        <f>AY17+預測IC!AZ17</f>
        <v>0.77574369659832954</v>
      </c>
      <c r="BA17" s="26">
        <f>AZ17+預測IC!BA17</f>
        <v>0.78556887570544254</v>
      </c>
      <c r="BB17" s="26">
        <f>BA17+預測IC!BB17</f>
        <v>0.9093329388192869</v>
      </c>
      <c r="BC17" s="26">
        <f>BB17+預測IC!BC17</f>
        <v>0.99204951036309708</v>
      </c>
      <c r="BD17" s="26">
        <f>BC17+預測IC!BD17</f>
        <v>1.0144059926093019</v>
      </c>
      <c r="BE17" s="26">
        <f>BD17+預測IC!BE17</f>
        <v>1.0917562348473622</v>
      </c>
      <c r="BF17" s="26">
        <f>BE17+預測IC!BF17</f>
        <v>1.1469537314563159</v>
      </c>
      <c r="BG17" s="26">
        <f>BF17+預測IC!BG17</f>
        <v>1.1115594953682786</v>
      </c>
      <c r="BH17" s="26">
        <f>BG17+預測IC!BH17</f>
        <v>1.109828110603654</v>
      </c>
      <c r="BI17" s="26">
        <f>BH17+預測IC!BI17</f>
        <v>1.2091935026412044</v>
      </c>
      <c r="BJ17" s="26">
        <f>BI17+預測IC!BJ17</f>
        <v>1.199335438367968</v>
      </c>
      <c r="BK17" s="26">
        <f>BJ17+預測IC!BK17</f>
        <v>1.1855124862978625</v>
      </c>
      <c r="BL17" s="26">
        <f>BK17+預測IC!BL17</f>
        <v>1.2594437914996086</v>
      </c>
      <c r="BM17" s="26">
        <f>BL17+預測IC!BM17</f>
        <v>1.3354415619454685</v>
      </c>
      <c r="BN17" s="26">
        <f>BM17+預測IC!BN17</f>
        <v>1.3831711813993173</v>
      </c>
      <c r="BO17" s="26">
        <f>BN17+預測IC!BO17</f>
        <v>1.4030572621082043</v>
      </c>
      <c r="BP17" s="26">
        <f>BO17+預測IC!BP17</f>
        <v>1.4298947631866383</v>
      </c>
      <c r="BQ17" s="26">
        <f>BP17+預測IC!BQ17</f>
        <v>1.4412712736330899</v>
      </c>
      <c r="BR17" s="26">
        <f>BQ17+預測IC!BR17</f>
        <v>1.4403533282271692</v>
      </c>
      <c r="BS17" s="26">
        <f>BR17+預測IC!BS17</f>
        <v>1.4362498591165627</v>
      </c>
      <c r="BT17" s="26">
        <f>BS17+預測IC!BT17</f>
        <v>1.5456662379869859</v>
      </c>
      <c r="BU17" s="26">
        <f>BT17+預測IC!BU17</f>
        <v>1.6167940567377383</v>
      </c>
      <c r="BV17" s="26">
        <f>BU17+預測IC!BV17</f>
        <v>1.6912409575364735</v>
      </c>
      <c r="BW17" s="26">
        <f>BV17+預測IC!BW17</f>
        <v>1.6108092449372076</v>
      </c>
      <c r="BX17" s="26">
        <f>BW17+預測IC!BX17</f>
        <v>1.6396322095568803</v>
      </c>
      <c r="BY17" s="26">
        <f>BX17+預測IC!BY17</f>
        <v>1.539450139374257</v>
      </c>
      <c r="BZ17" s="26">
        <f>BY17+預測IC!BZ17</f>
        <v>1.6600282952553422</v>
      </c>
      <c r="CA17" s="26">
        <f>BZ17+預測IC!CA17</f>
        <v>1.6320934628968526</v>
      </c>
      <c r="CB17" s="26">
        <f>CA17+預測IC!CB17</f>
        <v>1.6307581525627406</v>
      </c>
      <c r="CC17" s="26">
        <f>CB17+預測IC!CC17</f>
        <v>1.4558001785730597</v>
      </c>
      <c r="CD17" s="26">
        <f>CC17+預測IC!CD17</f>
        <v>1.6287599197922082</v>
      </c>
      <c r="CE17" s="26">
        <f>CD17+預測IC!CE17</f>
        <v>1.4536436742861567</v>
      </c>
      <c r="CF17" s="26">
        <f>CE17+預測IC!CF17</f>
        <v>1.5523898717123552</v>
      </c>
      <c r="CG17" s="26">
        <f>CF17+預測IC!CG17</f>
        <v>1.5501676247881331</v>
      </c>
      <c r="CH17" s="26">
        <f>CG17+預測IC!CH17</f>
        <v>1.608804071395183</v>
      </c>
      <c r="CI17" s="26">
        <f>CH17+預測IC!CI17</f>
        <v>1.5942728864055944</v>
      </c>
      <c r="CJ17" s="26">
        <f>CI17+預測IC!CJ17</f>
        <v>1.5435305649211524</v>
      </c>
      <c r="CK17" s="26">
        <f>CJ17+預測IC!CK17</f>
        <v>1.6352691375790653</v>
      </c>
      <c r="CL17" s="26">
        <f>CK17+預測IC!CL17</f>
        <v>1.6258427928100341</v>
      </c>
      <c r="CM17" s="26">
        <f>CL17+預測IC!CM17</f>
        <v>1.7604121372416084</v>
      </c>
      <c r="CN17" s="26">
        <f>CM17+預測IC!CN17</f>
        <v>1.7336940760906214</v>
      </c>
      <c r="CO17" s="26">
        <f>CN17+預測IC!CO17</f>
        <v>1.531155448827632</v>
      </c>
      <c r="CP17" s="26">
        <f>CO17+預測IC!CP17</f>
        <v>1.6793147180249757</v>
      </c>
      <c r="CQ17" s="26">
        <f>CP17+預測IC!CQ17</f>
        <v>1.720402651208379</v>
      </c>
      <c r="CR17" s="26">
        <f>CQ17+預測IC!CR17</f>
        <v>1.7691402926506274</v>
      </c>
      <c r="CS17" s="26">
        <f>CR17+預測IC!CS17</f>
        <v>1.8621802133508194</v>
      </c>
      <c r="CT17" s="26">
        <f>CS17+預測IC!CT17</f>
        <v>1.9114402697400126</v>
      </c>
      <c r="CU17" s="26">
        <f>CT17+預測IC!CU17</f>
        <v>1.8370319621567586</v>
      </c>
      <c r="CV17" s="26">
        <f>CU17+預測IC!CV17</f>
        <v>1.840911570096686</v>
      </c>
      <c r="CW17" s="26">
        <f>CV17+預測IC!CW17</f>
        <v>1.8211497161873331</v>
      </c>
      <c r="CX17" s="26">
        <f>CW17+預測IC!CX17</f>
        <v>1.8319221107112809</v>
      </c>
      <c r="CY17" s="26">
        <f>CX17+預測IC!CY17</f>
        <v>1.7825388119951908</v>
      </c>
      <c r="CZ17" s="26">
        <f>CY17+預測IC!CZ17</f>
        <v>1.9067876498428113</v>
      </c>
      <c r="DA17" s="26">
        <f>CZ17+預測IC!DA17</f>
        <v>1.8628917906976772</v>
      </c>
      <c r="DB17" s="26">
        <f>DA17+預測IC!DB17</f>
        <v>1.8280087799052094</v>
      </c>
      <c r="DC17" s="26">
        <f>DB17+預測IC!DC17</f>
        <v>1.8713722488827087</v>
      </c>
      <c r="DD17" s="26">
        <f>DC17+預測IC!DD17</f>
        <v>1.7862383157985549</v>
      </c>
      <c r="DE17" s="26">
        <f>DD17+預測IC!DE17</f>
        <v>1.7530573851312876</v>
      </c>
      <c r="DF17" s="26">
        <f>DE17+預測IC!DF17</f>
        <v>1.7418260148046283</v>
      </c>
      <c r="DG17" s="26">
        <f>DF17+預測IC!DG17</f>
        <v>1.7487605912319113</v>
      </c>
      <c r="DH17" s="26">
        <f>DG17+預測IC!DH17</f>
        <v>1.7100339402938987</v>
      </c>
      <c r="DI17" s="26">
        <f>DH17+預測IC!DI17</f>
        <v>1.7047406959701161</v>
      </c>
      <c r="DJ17" s="26">
        <f>DI17+預測IC!DJ17</f>
        <v>1.6594045384292961</v>
      </c>
      <c r="DK17" s="26">
        <f>DJ17+預測IC!DK17</f>
        <v>1.8154409665458424</v>
      </c>
      <c r="DL17" s="26">
        <f>DK17+預測IC!DL17</f>
        <v>1.8889565674830135</v>
      </c>
      <c r="DM17" s="26">
        <f>DL17+預測IC!DM17</f>
        <v>1.8367036569006976</v>
      </c>
      <c r="DN17" s="26">
        <f>DM17+預測IC!DN17</f>
        <v>1.8721926896150367</v>
      </c>
      <c r="DO17" s="26">
        <f>DN17+預測IC!DO17</f>
        <v>1.92564405995494</v>
      </c>
      <c r="DP17" s="26">
        <f>DO17+預測IC!DP17</f>
        <v>1.9087654506210432</v>
      </c>
      <c r="DQ17" s="26">
        <f>DP17+預測IC!DQ17</f>
        <v>1.8010629818244124</v>
      </c>
      <c r="DR17" s="26">
        <f>DQ17+預測IC!DR17</f>
        <v>1.8569477967007406</v>
      </c>
      <c r="DS17" s="26">
        <f>DR17+預測IC!DS17</f>
        <v>1.7326316368959298</v>
      </c>
      <c r="DT17" s="26">
        <f>DS17+預測IC!DT17</f>
        <v>1.6386514245332062</v>
      </c>
      <c r="DU17" s="26">
        <f>DT17+預測IC!DU17</f>
        <v>1.566920718482701</v>
      </c>
      <c r="DV17" s="26">
        <f>DU17+預測IC!DV17</f>
        <v>1.6846861165936553</v>
      </c>
      <c r="DW17" s="26">
        <f>DV17+預測IC!DW17</f>
        <v>1.7333676000078055</v>
      </c>
      <c r="DX17" s="26">
        <f>DW17+預測IC!DX17</f>
        <v>1.6038286174113314</v>
      </c>
      <c r="DY17" s="26">
        <f>DX17+預測IC!DY17</f>
        <v>1.7069492956794856</v>
      </c>
      <c r="DZ17" s="26">
        <f>DY17+預測IC!DZ17</f>
        <v>1.6588039968324779</v>
      </c>
      <c r="EA17" s="26">
        <f>DZ17+預測IC!EA17</f>
        <v>1.6706219206981905</v>
      </c>
      <c r="EB17" s="26">
        <f>EA17+預測IC!EB17</f>
        <v>1.7577222698929298</v>
      </c>
      <c r="EC17" s="26">
        <f>EB17+預測IC!EC17</f>
        <v>1.7741474871089904</v>
      </c>
      <c r="ED17" s="26">
        <f>EC17+預測IC!ED17</f>
        <v>1.6458230431800778</v>
      </c>
      <c r="EE17" s="26">
        <f>ED17+預測IC!EE17</f>
        <v>1.6204096828700438</v>
      </c>
      <c r="EF17" s="26">
        <f>EE17+預測IC!EF17</f>
        <v>1.6681194498798957</v>
      </c>
    </row>
    <row r="18" spans="1:136">
      <c r="A18" s="4">
        <v>137</v>
      </c>
      <c r="B18" s="4">
        <v>7</v>
      </c>
      <c r="C18" s="26">
        <f>預測IC!C18</f>
        <v>-5.3942228163147227E-2</v>
      </c>
      <c r="D18" s="26">
        <f>C18+預測IC!D18</f>
        <v>0.34794177183685282</v>
      </c>
      <c r="E18" s="26">
        <f>D18+預測IC!E18</f>
        <v>0.28894111473864503</v>
      </c>
      <c r="F18" s="26">
        <f>E18+預測IC!F18</f>
        <v>0.50103197188150217</v>
      </c>
      <c r="G18" s="26">
        <f>F18+預測IC!G18</f>
        <v>0.63409068616721642</v>
      </c>
      <c r="H18" s="26">
        <f>G18+預測IC!H18</f>
        <v>0.76263068616721641</v>
      </c>
      <c r="I18" s="26">
        <f>H18+預測IC!I18</f>
        <v>0.89813086639045747</v>
      </c>
      <c r="J18" s="26">
        <f>I18+預測IC!J18</f>
        <v>0.77297000924760029</v>
      </c>
      <c r="K18" s="26">
        <f>J18+預測IC!K18</f>
        <v>0.80455529496188594</v>
      </c>
      <c r="L18" s="26">
        <f>K18+預測IC!L18</f>
        <v>0.85122686639045742</v>
      </c>
      <c r="M18" s="26">
        <f>L18+預測IC!M18</f>
        <v>0.59771400924760021</v>
      </c>
      <c r="N18" s="26">
        <f>M18+預測IC!N18</f>
        <v>1.0595344378190288</v>
      </c>
      <c r="O18" s="26">
        <f>N18+預測IC!O18</f>
        <v>1.0838585806761716</v>
      </c>
      <c r="P18" s="26">
        <f>O18+預測IC!P18</f>
        <v>1.003684396553659</v>
      </c>
      <c r="Q18" s="26">
        <f>P18+預測IC!Q18</f>
        <v>1.1254231108393733</v>
      </c>
      <c r="R18" s="26">
        <f>Q18+預測IC!R18</f>
        <v>1.1447496822679448</v>
      </c>
      <c r="S18" s="26">
        <f>R18+預測IC!S18</f>
        <v>0.76101705333605052</v>
      </c>
      <c r="T18" s="26">
        <f>S18+預測IC!T18</f>
        <v>0.75598748190747911</v>
      </c>
      <c r="U18" s="26">
        <f>T18+預測IC!U18</f>
        <v>0.78412105333605053</v>
      </c>
      <c r="V18" s="26">
        <f>U18+預測IC!V18</f>
        <v>0.65286805333605047</v>
      </c>
      <c r="W18" s="26">
        <f>V18+預測IC!W18</f>
        <v>0.73016505333605042</v>
      </c>
      <c r="X18" s="26">
        <f>W18+預測IC!X18</f>
        <v>0.57431682585448618</v>
      </c>
      <c r="Y18" s="26">
        <f>X18+預測IC!Y18</f>
        <v>0.5985286829973433</v>
      </c>
      <c r="Z18" s="26">
        <f>Y18+預測IC!Z18</f>
        <v>0.58162311156877189</v>
      </c>
      <c r="AA18" s="26">
        <f>Z18+預測IC!AA18</f>
        <v>0.63642868299734334</v>
      </c>
      <c r="AB18" s="26">
        <f>AA18+預測IC!AB18</f>
        <v>0.5747146829973433</v>
      </c>
      <c r="AC18" s="26">
        <f>AB18+預測IC!AC18</f>
        <v>0.49999482585448618</v>
      </c>
      <c r="AD18" s="26">
        <f>AC18+預測IC!AD18</f>
        <v>0.59628068299734327</v>
      </c>
      <c r="AE18" s="26">
        <f>AD18+預測IC!AE18</f>
        <v>0.45275144156826874</v>
      </c>
      <c r="AF18" s="26">
        <f>AE18+預測IC!AF18</f>
        <v>0.45100187013969734</v>
      </c>
      <c r="AG18" s="26">
        <f>AF18+預測IC!AG18</f>
        <v>0.44238401299684021</v>
      </c>
      <c r="AH18" s="26">
        <f>AG18+預測IC!AH18</f>
        <v>0.40646915585398308</v>
      </c>
      <c r="AI18" s="26">
        <f>AH18+預測IC!AI18</f>
        <v>0.52455558442541173</v>
      </c>
      <c r="AJ18" s="26">
        <f>AI18+預測IC!AJ18</f>
        <v>0.51722744156826883</v>
      </c>
      <c r="AK18" s="26">
        <f>AJ18+預測IC!AK18</f>
        <v>0.54451872728255457</v>
      </c>
      <c r="AL18" s="26">
        <f>AK18+預測IC!AL18</f>
        <v>0.59037885287742564</v>
      </c>
      <c r="AM18" s="26">
        <f>AL18+預測IC!AM18</f>
        <v>0.60023785287742559</v>
      </c>
      <c r="AN18" s="26">
        <f>AM18+預測IC!AN18</f>
        <v>0.6795324928326274</v>
      </c>
      <c r="AO18" s="26">
        <f>AN18+預測IC!AO18</f>
        <v>0.72620120711834169</v>
      </c>
      <c r="AP18" s="26">
        <f>AO18+預測IC!AP18</f>
        <v>0.64792261518453476</v>
      </c>
      <c r="AQ18" s="26">
        <f>AP18+預測IC!AQ18</f>
        <v>0.66471075804167756</v>
      </c>
      <c r="AR18" s="26">
        <f>AQ18+預測IC!AR18</f>
        <v>0.72640518661310616</v>
      </c>
      <c r="AS18" s="26">
        <f>AR18+預測IC!AS18</f>
        <v>0.64057863505913704</v>
      </c>
      <c r="AT18" s="26">
        <f>AS18+預測IC!AT18</f>
        <v>0.68390428487971566</v>
      </c>
      <c r="AU18" s="26">
        <f>AT18+預測IC!AU18</f>
        <v>0.75221962493640881</v>
      </c>
      <c r="AV18" s="26">
        <f>AU18+預測IC!AV18</f>
        <v>0.72345086905469158</v>
      </c>
      <c r="AW18" s="26">
        <f>AV18+預測IC!AW18</f>
        <v>0.74798890329579903</v>
      </c>
      <c r="AX18" s="26">
        <f>AW18+預測IC!AX18</f>
        <v>0.85554977155163514</v>
      </c>
      <c r="AY18" s="26">
        <f>AX18+預測IC!AY18</f>
        <v>0.89033305019278319</v>
      </c>
      <c r="AZ18" s="26">
        <f>AY18+預測IC!AZ18</f>
        <v>0.74192396780388403</v>
      </c>
      <c r="BA18" s="26">
        <f>AZ18+預測IC!BA18</f>
        <v>0.74141184219057676</v>
      </c>
      <c r="BB18" s="26">
        <f>BA18+預測IC!BB18</f>
        <v>0.87453235601725943</v>
      </c>
      <c r="BC18" s="26">
        <f>BB18+預測IC!BC18</f>
        <v>0.95773392861058004</v>
      </c>
      <c r="BD18" s="26">
        <f>BC18+預測IC!BD18</f>
        <v>0.93371765692327957</v>
      </c>
      <c r="BE18" s="26">
        <f>BD18+預測IC!BE18</f>
        <v>1.0020788701614425</v>
      </c>
      <c r="BF18" s="26">
        <f>BE18+預測IC!BF18</f>
        <v>1.0479634064610213</v>
      </c>
      <c r="BG18" s="26">
        <f>BF18+預測IC!BG18</f>
        <v>1.0135287774104254</v>
      </c>
      <c r="BH18" s="26">
        <f>BG18+預測IC!BH18</f>
        <v>1.0435447693911466</v>
      </c>
      <c r="BI18" s="26">
        <f>BH18+預測IC!BI18</f>
        <v>1.1525447763098122</v>
      </c>
      <c r="BJ18" s="26">
        <f>BI18+預測IC!BJ18</f>
        <v>1.1585008403602717</v>
      </c>
      <c r="BK18" s="26">
        <f>BJ18+預測IC!BK18</f>
        <v>1.1077557889762102</v>
      </c>
      <c r="BL18" s="26">
        <f>BK18+預測IC!BL18</f>
        <v>1.1889134627964142</v>
      </c>
      <c r="BM18" s="26">
        <f>BL18+預測IC!BM18</f>
        <v>1.2916874018598539</v>
      </c>
      <c r="BN18" s="26">
        <f>BM18+預測IC!BN18</f>
        <v>1.3444617914836841</v>
      </c>
      <c r="BO18" s="26">
        <f>BN18+預測IC!BO18</f>
        <v>1.3646892875900587</v>
      </c>
      <c r="BP18" s="26">
        <f>BO18+預測IC!BP18</f>
        <v>1.4115468279247407</v>
      </c>
      <c r="BQ18" s="26">
        <f>BP18+預測IC!BQ18</f>
        <v>1.4134636120345898</v>
      </c>
      <c r="BR18" s="26">
        <f>BQ18+預測IC!BR18</f>
        <v>1.4077154184506351</v>
      </c>
      <c r="BS18" s="26">
        <f>BR18+預測IC!BS18</f>
        <v>1.3862182170689337</v>
      </c>
      <c r="BT18" s="26">
        <f>BS18+預測IC!BT18</f>
        <v>1.5290892847371831</v>
      </c>
      <c r="BU18" s="26">
        <f>BT18+預測IC!BU18</f>
        <v>1.6097667287772239</v>
      </c>
      <c r="BV18" s="26">
        <f>BU18+預測IC!BV18</f>
        <v>1.6906901240542662</v>
      </c>
      <c r="BW18" s="26">
        <f>BV18+預測IC!BW18</f>
        <v>1.6053790371210708</v>
      </c>
      <c r="BX18" s="26">
        <f>BW18+預測IC!BX18</f>
        <v>1.6243975118371063</v>
      </c>
      <c r="BY18" s="26">
        <f>BX18+預測IC!BY18</f>
        <v>1.5013225360130815</v>
      </c>
      <c r="BZ18" s="26">
        <f>BY18+預測IC!BZ18</f>
        <v>1.6546425238156797</v>
      </c>
      <c r="CA18" s="26">
        <f>BZ18+預測IC!CA18</f>
        <v>1.6385659799228189</v>
      </c>
      <c r="CB18" s="26">
        <f>CA18+預測IC!CB18</f>
        <v>1.6139886233103706</v>
      </c>
      <c r="CC18" s="26">
        <f>CB18+預測IC!CC18</f>
        <v>1.5858151792909705</v>
      </c>
      <c r="CD18" s="26">
        <f>CC18+預測IC!CD18</f>
        <v>1.7795319979378013</v>
      </c>
      <c r="CE18" s="26">
        <f>CD18+預測IC!CE18</f>
        <v>1.6121380626563491</v>
      </c>
      <c r="CF18" s="26">
        <f>CE18+預測IC!CF18</f>
        <v>1.6815758135014891</v>
      </c>
      <c r="CG18" s="26">
        <f>CF18+預測IC!CG18</f>
        <v>1.6787744545620735</v>
      </c>
      <c r="CH18" s="26">
        <f>CG18+預測IC!CH18</f>
        <v>1.8414315012493068</v>
      </c>
      <c r="CI18" s="26">
        <f>CH18+預測IC!CI18</f>
        <v>1.7968655148016099</v>
      </c>
      <c r="CJ18" s="26">
        <f>CI18+預測IC!CJ18</f>
        <v>1.7345518369767003</v>
      </c>
      <c r="CK18" s="26">
        <f>CJ18+預測IC!CK18</f>
        <v>1.825219621268984</v>
      </c>
      <c r="CL18" s="26">
        <f>CK18+預測IC!CL18</f>
        <v>1.7942300762107908</v>
      </c>
      <c r="CM18" s="26">
        <f>CL18+預測IC!CM18</f>
        <v>1.9538658739698245</v>
      </c>
      <c r="CN18" s="26">
        <f>CM18+預測IC!CN18</f>
        <v>1.9158688368754437</v>
      </c>
      <c r="CO18" s="26">
        <f>CN18+預測IC!CO18</f>
        <v>1.6842949583260145</v>
      </c>
      <c r="CP18" s="26">
        <f>CO18+預測IC!CP18</f>
        <v>1.8471340672740253</v>
      </c>
      <c r="CQ18" s="26">
        <f>CP18+預測IC!CQ18</f>
        <v>1.8951106036822929</v>
      </c>
      <c r="CR18" s="26">
        <f>CQ18+預測IC!CR18</f>
        <v>1.9502667323988849</v>
      </c>
      <c r="CS18" s="26">
        <f>CR18+預測IC!CS18</f>
        <v>2.0372838632383585</v>
      </c>
      <c r="CT18" s="26">
        <f>CS18+預測IC!CT18</f>
        <v>2.1322348923038441</v>
      </c>
      <c r="CU18" s="26">
        <f>CT18+預測IC!CU18</f>
        <v>2.0605862010987339</v>
      </c>
      <c r="CV18" s="26">
        <f>CU18+預測IC!CV18</f>
        <v>2.1516264833290224</v>
      </c>
      <c r="CW18" s="26">
        <f>CV18+預測IC!CW18</f>
        <v>2.1431703977644965</v>
      </c>
      <c r="CX18" s="26">
        <f>CW18+預測IC!CX18</f>
        <v>2.2047305835982747</v>
      </c>
      <c r="CY18" s="26">
        <f>CX18+預測IC!CY18</f>
        <v>2.1533731698234924</v>
      </c>
      <c r="CZ18" s="26">
        <f>CY18+預測IC!CZ18</f>
        <v>2.2862160331252639</v>
      </c>
      <c r="DA18" s="26">
        <f>CZ18+預測IC!DA18</f>
        <v>2.2388350936065704</v>
      </c>
      <c r="DB18" s="26">
        <f>DA18+預測IC!DB18</f>
        <v>2.1930998849278112</v>
      </c>
      <c r="DC18" s="26">
        <f>DB18+預測IC!DC18</f>
        <v>2.2295086664233175</v>
      </c>
      <c r="DD18" s="26">
        <f>DC18+預測IC!DD18</f>
        <v>2.1470463129279032</v>
      </c>
      <c r="DE18" s="26">
        <f>DD18+預測IC!DE18</f>
        <v>2.1122449652569126</v>
      </c>
      <c r="DF18" s="26">
        <f>DE18+預測IC!DF18</f>
        <v>2.0772021864745422</v>
      </c>
      <c r="DG18" s="26">
        <f>DF18+預測IC!DG18</f>
        <v>2.0695827133169145</v>
      </c>
      <c r="DH18" s="26">
        <f>DG18+預測IC!DH18</f>
        <v>2.0415447000682656</v>
      </c>
      <c r="DI18" s="26">
        <f>DH18+預測IC!DI18</f>
        <v>2.0254300708302386</v>
      </c>
      <c r="DJ18" s="26">
        <f>DI18+預測IC!DJ18</f>
        <v>1.9802260310449491</v>
      </c>
      <c r="DK18" s="26">
        <f>DJ18+預測IC!DK18</f>
        <v>2.1387396581373763</v>
      </c>
      <c r="DL18" s="26">
        <f>DK18+預測IC!DL18</f>
        <v>2.2201374010536172</v>
      </c>
      <c r="DM18" s="26">
        <f>DL18+預測IC!DM18</f>
        <v>2.153629260321579</v>
      </c>
      <c r="DN18" s="26">
        <f>DM18+預測IC!DN18</f>
        <v>2.1369071962435577</v>
      </c>
      <c r="DO18" s="26">
        <f>DN18+預測IC!DO18</f>
        <v>2.1790121037941881</v>
      </c>
      <c r="DP18" s="26">
        <f>DO18+預測IC!DP18</f>
        <v>2.1584074173273224</v>
      </c>
      <c r="DQ18" s="26">
        <f>DP18+預測IC!DQ18</f>
        <v>2.0576801390214907</v>
      </c>
      <c r="DR18" s="26">
        <f>DQ18+預測IC!DR18</f>
        <v>2.1345207937934516</v>
      </c>
      <c r="DS18" s="26">
        <f>DR18+預測IC!DS18</f>
        <v>1.986798795341719</v>
      </c>
      <c r="DT18" s="26">
        <f>DS18+預測IC!DT18</f>
        <v>1.8707814052307419</v>
      </c>
      <c r="DU18" s="26">
        <f>DT18+預測IC!DU18</f>
        <v>1.7738862191538372</v>
      </c>
      <c r="DV18" s="26">
        <f>DU18+預測IC!DV18</f>
        <v>1.879526827953899</v>
      </c>
      <c r="DW18" s="26">
        <f>DV18+預測IC!DW18</f>
        <v>1.9614355202382723</v>
      </c>
      <c r="DX18" s="26">
        <f>DW18+預測IC!DX18</f>
        <v>1.8078325427757904</v>
      </c>
      <c r="DY18" s="26">
        <f>DX18+預測IC!DY18</f>
        <v>1.9052605797517401</v>
      </c>
      <c r="DZ18" s="26">
        <f>DY18+預測IC!DZ18</f>
        <v>1.8297442204553744</v>
      </c>
      <c r="EA18" s="26">
        <f>DZ18+預測IC!EA18</f>
        <v>1.8233826577113927</v>
      </c>
      <c r="EB18" s="26">
        <f>EA18+預測IC!EB18</f>
        <v>1.9232290356897133</v>
      </c>
      <c r="EC18" s="26">
        <f>EB18+預測IC!EC18</f>
        <v>1.9290518831652108</v>
      </c>
      <c r="ED18" s="26">
        <f>EC18+預測IC!ED18</f>
        <v>1.8089744508888703</v>
      </c>
      <c r="EE18" s="26">
        <f>ED18+預測IC!EE18</f>
        <v>1.7951206969143632</v>
      </c>
      <c r="EF18" s="26">
        <f>EE18+預測IC!EF18</f>
        <v>1.8440757140247797</v>
      </c>
    </row>
    <row r="19" spans="1:136">
      <c r="A19" s="4">
        <v>160</v>
      </c>
      <c r="B19" s="4">
        <v>6</v>
      </c>
      <c r="C19" s="26">
        <f>預測IC!C19</f>
        <v>-7.7959416087486216E-2</v>
      </c>
      <c r="D19" s="26">
        <f>C19+預測IC!D19</f>
        <v>0.32956191724584716</v>
      </c>
      <c r="E19" s="26">
        <f>D19+預測IC!E19</f>
        <v>0.28146168569830254</v>
      </c>
      <c r="F19" s="26">
        <f>E19+預測IC!F19</f>
        <v>0.51763251903163587</v>
      </c>
      <c r="G19" s="26">
        <f>F19+預測IC!G19</f>
        <v>0.67049768569830259</v>
      </c>
      <c r="H19" s="26">
        <f>G19+預測IC!H19</f>
        <v>0.84810785236496933</v>
      </c>
      <c r="I19" s="26">
        <f>H19+預測IC!I19</f>
        <v>0.98276218525643588</v>
      </c>
      <c r="J19" s="26">
        <f>I19+預測IC!J19</f>
        <v>0.82653301858976924</v>
      </c>
      <c r="K19" s="26">
        <f>J19+預測IC!K19</f>
        <v>0.88307251858976921</v>
      </c>
      <c r="L19" s="26">
        <f>K19+預測IC!L19</f>
        <v>0.91343368525643587</v>
      </c>
      <c r="M19" s="26">
        <f>L19+預測IC!M19</f>
        <v>0.6518920185897692</v>
      </c>
      <c r="N19" s="26">
        <f>M19+預測IC!N19</f>
        <v>1.1842665185897692</v>
      </c>
      <c r="O19" s="26">
        <f>N19+預測IC!O19</f>
        <v>1.1644695185897691</v>
      </c>
      <c r="P19" s="26">
        <f>O19+預測IC!P19</f>
        <v>1.071935332403072</v>
      </c>
      <c r="Q19" s="26">
        <f>P19+預測IC!Q19</f>
        <v>1.2423996657364054</v>
      </c>
      <c r="R19" s="26">
        <f>Q19+預測IC!R19</f>
        <v>1.2843426657364054</v>
      </c>
      <c r="S19" s="26">
        <f>R19+預測IC!S19</f>
        <v>1.1177720983073707</v>
      </c>
      <c r="T19" s="26">
        <f>S19+預測IC!T19</f>
        <v>1.0082452649740374</v>
      </c>
      <c r="U19" s="26">
        <f>T19+預測IC!U19</f>
        <v>1.0524294316407041</v>
      </c>
      <c r="V19" s="26">
        <f>U19+預測IC!V19</f>
        <v>0.93374593164070419</v>
      </c>
      <c r="W19" s="26">
        <f>V19+預測IC!W19</f>
        <v>1.0061617649740375</v>
      </c>
      <c r="X19" s="26">
        <f>W19+預測IC!X19</f>
        <v>0.8860754712767579</v>
      </c>
      <c r="Y19" s="26">
        <f>X19+預測IC!Y19</f>
        <v>0.91013763794342462</v>
      </c>
      <c r="Z19" s="26">
        <f>Y19+預測IC!Z19</f>
        <v>0.88791463794342462</v>
      </c>
      <c r="AA19" s="26">
        <f>Z19+預測IC!AA19</f>
        <v>0.93521630461009131</v>
      </c>
      <c r="AB19" s="26">
        <f>AA19+預測IC!AB19</f>
        <v>0.87445380461009137</v>
      </c>
      <c r="AC19" s="26">
        <f>AB19+預測IC!AC19</f>
        <v>0.790940971276758</v>
      </c>
      <c r="AD19" s="26">
        <f>AC19+預測IC!AD19</f>
        <v>0.8869338046100913</v>
      </c>
      <c r="AE19" s="26">
        <f>AD19+預測IC!AE19</f>
        <v>0.71751774361230147</v>
      </c>
      <c r="AF19" s="26">
        <f>AE19+預測IC!AF19</f>
        <v>0.71778157694563482</v>
      </c>
      <c r="AG19" s="26">
        <f>AF19+預測IC!AG19</f>
        <v>0.73708007694563482</v>
      </c>
      <c r="AH19" s="26">
        <f>AG19+預測IC!AH19</f>
        <v>0.72098874361230147</v>
      </c>
      <c r="AI19" s="26">
        <f>AH19+預測IC!AI19</f>
        <v>0.81253807694563485</v>
      </c>
      <c r="AJ19" s="26">
        <f>AI19+預測IC!AJ19</f>
        <v>0.82470441027896813</v>
      </c>
      <c r="AK19" s="26">
        <f>AJ19+預測IC!AK19</f>
        <v>0.87376507694563477</v>
      </c>
      <c r="AL19" s="26">
        <f>AK19+預測IC!AL19</f>
        <v>0.94403602261644037</v>
      </c>
      <c r="AM19" s="26">
        <f>AL19+預測IC!AM19</f>
        <v>0.95456852261644043</v>
      </c>
      <c r="AN19" s="26">
        <f>AM19+預測IC!AN19</f>
        <v>1.0381368169821226</v>
      </c>
      <c r="AO19" s="26">
        <f>AN19+預測IC!AO19</f>
        <v>1.0958836503154559</v>
      </c>
      <c r="AP19" s="26">
        <f>AO19+預測IC!AP19</f>
        <v>1.0083095300426037</v>
      </c>
      <c r="AQ19" s="26">
        <f>AP19+預測IC!AQ19</f>
        <v>1.0632373633759371</v>
      </c>
      <c r="AR19" s="26">
        <f>AQ19+預測IC!AR19</f>
        <v>1.1378541967092703</v>
      </c>
      <c r="AS19" s="26">
        <f>AR19+預測IC!AS19</f>
        <v>1.0400572414409559</v>
      </c>
      <c r="AT19" s="26">
        <f>AS19+預測IC!AT19</f>
        <v>1.0893522232066573</v>
      </c>
      <c r="AU19" s="26">
        <f>AT19+預測IC!AU19</f>
        <v>1.1657809389203113</v>
      </c>
      <c r="AV19" s="26">
        <f>AU19+預測IC!AV19</f>
        <v>1.1173178373464647</v>
      </c>
      <c r="AW19" s="26">
        <f>AV19+預測IC!AW19</f>
        <v>1.1396740055006012</v>
      </c>
      <c r="AX19" s="26">
        <f>AW19+預測IC!AX19</f>
        <v>1.219880419811014</v>
      </c>
      <c r="AY19" s="26">
        <f>AX19+預測IC!AY19</f>
        <v>1.2494093902043939</v>
      </c>
      <c r="AZ19" s="26">
        <f>AY19+預測IC!AZ19</f>
        <v>1.0625297720362197</v>
      </c>
      <c r="BA19" s="26">
        <f>AZ19+預測IC!BA19</f>
        <v>1.0281658880821467</v>
      </c>
      <c r="BB19" s="26">
        <f>BA19+預測IC!BB19</f>
        <v>1.1879120871545783</v>
      </c>
      <c r="BC19" s="26">
        <f>BB19+預測IC!BC19</f>
        <v>1.251967573500764</v>
      </c>
      <c r="BD19" s="26">
        <f>BC19+預測IC!BD19</f>
        <v>1.2487331808706958</v>
      </c>
      <c r="BE19" s="26">
        <f>BD19+預測IC!BE19</f>
        <v>1.3026006785599844</v>
      </c>
      <c r="BF19" s="26">
        <f>BE19+預測IC!BF19</f>
        <v>1.316171652709123</v>
      </c>
      <c r="BG19" s="26">
        <f>BF19+預測IC!BG19</f>
        <v>1.2998279943762807</v>
      </c>
      <c r="BH19" s="26">
        <f>BG19+預測IC!BH19</f>
        <v>1.3018461960777117</v>
      </c>
      <c r="BI19" s="26">
        <f>BH19+預測IC!BI19</f>
        <v>1.4296448248969305</v>
      </c>
      <c r="BJ19" s="26">
        <f>BI19+預測IC!BJ19</f>
        <v>1.4513521264355096</v>
      </c>
      <c r="BK19" s="26">
        <f>BJ19+預測IC!BK19</f>
        <v>1.3996026003435171</v>
      </c>
      <c r="BL19" s="26">
        <f>BK19+預測IC!BL19</f>
        <v>1.4795672584900204</v>
      </c>
      <c r="BM19" s="26">
        <f>BL19+預測IC!BM19</f>
        <v>1.593817858748716</v>
      </c>
      <c r="BN19" s="26">
        <f>BM19+預測IC!BN19</f>
        <v>1.6610705062159878</v>
      </c>
      <c r="BO19" s="26">
        <f>BN19+預測IC!BO19</f>
        <v>1.6867994674811033</v>
      </c>
      <c r="BP19" s="26">
        <f>BO19+預測IC!BP19</f>
        <v>1.7242257303576396</v>
      </c>
      <c r="BQ19" s="26">
        <f>BP19+預測IC!BQ19</f>
        <v>1.7341597748119626</v>
      </c>
      <c r="BR19" s="26">
        <f>BQ19+預測IC!BR19</f>
        <v>1.7408350208354826</v>
      </c>
      <c r="BS19" s="26">
        <f>BR19+預測IC!BS19</f>
        <v>1.7165786820910005</v>
      </c>
      <c r="BT19" s="26">
        <f>BS19+預測IC!BT19</f>
        <v>1.8582113619445739</v>
      </c>
      <c r="BU19" s="26">
        <f>BT19+預測IC!BU19</f>
        <v>1.934147613178812</v>
      </c>
      <c r="BV19" s="26">
        <f>BU19+預測IC!BV19</f>
        <v>2.0278028543321582</v>
      </c>
      <c r="BW19" s="26">
        <f>BV19+預測IC!BW19</f>
        <v>1.9188358929485132</v>
      </c>
      <c r="BX19" s="26">
        <f>BW19+預測IC!BX19</f>
        <v>1.9529236782203714</v>
      </c>
      <c r="BY19" s="26">
        <f>BX19+預測IC!BY19</f>
        <v>1.8452739416647232</v>
      </c>
      <c r="BZ19" s="26">
        <f>BY19+預測IC!BZ19</f>
        <v>1.9090893354319372</v>
      </c>
      <c r="CA19" s="26">
        <f>BZ19+預測IC!CA19</f>
        <v>1.8875436453007579</v>
      </c>
      <c r="CB19" s="26">
        <f>CA19+預測IC!CB19</f>
        <v>1.839502476792513</v>
      </c>
      <c r="CC19" s="26">
        <f>CB19+預測IC!CC19</f>
        <v>1.8147792240266856</v>
      </c>
      <c r="CD19" s="26">
        <f>CC19+預測IC!CD19</f>
        <v>2.0218650246760417</v>
      </c>
      <c r="CE19" s="26">
        <f>CD19+預測IC!CE19</f>
        <v>1.8235991954990824</v>
      </c>
      <c r="CF19" s="26">
        <f>CE19+預測IC!CF19</f>
        <v>1.9085707042521609</v>
      </c>
      <c r="CG19" s="26">
        <f>CF19+預測IC!CG19</f>
        <v>1.8579371742375075</v>
      </c>
      <c r="CH19" s="26">
        <f>CG19+預測IC!CH19</f>
        <v>2.0108270412874338</v>
      </c>
      <c r="CI19" s="26">
        <f>CH19+預測IC!CI19</f>
        <v>1.9737600951272387</v>
      </c>
      <c r="CJ19" s="26">
        <f>CI19+預測IC!CJ19</f>
        <v>1.9118195951612025</v>
      </c>
      <c r="CK19" s="26">
        <f>CJ19+預測IC!CK19</f>
        <v>2.0157873129783006</v>
      </c>
      <c r="CL19" s="26">
        <f>CK19+預測IC!CL19</f>
        <v>1.9725470330035106</v>
      </c>
      <c r="CM19" s="26">
        <f>CL19+預測IC!CM19</f>
        <v>2.1478946745852259</v>
      </c>
      <c r="CN19" s="26">
        <f>CM19+預測IC!CN19</f>
        <v>2.0709620199179226</v>
      </c>
      <c r="CO19" s="26">
        <f>CN19+預測IC!CO19</f>
        <v>1.7985076152894162</v>
      </c>
      <c r="CP19" s="26">
        <f>CO19+預測IC!CP19</f>
        <v>1.9575402142717488</v>
      </c>
      <c r="CQ19" s="26">
        <f>CP19+預測IC!CQ19</f>
        <v>1.9548103061171869</v>
      </c>
      <c r="CR19" s="26">
        <f>CQ19+預測IC!CR19</f>
        <v>2.004147972157321</v>
      </c>
      <c r="CS19" s="26">
        <f>CR19+預測IC!CS19</f>
        <v>2.064848823055859</v>
      </c>
      <c r="CT19" s="26">
        <f>CS19+預測IC!CT19</f>
        <v>2.1874692496858898</v>
      </c>
      <c r="CU19" s="26">
        <f>CT19+預測IC!CU19</f>
        <v>2.1040328525719967</v>
      </c>
      <c r="CV19" s="26">
        <f>CU19+預測IC!CV19</f>
        <v>2.1938689433339311</v>
      </c>
      <c r="CW19" s="26">
        <f>CV19+預測IC!CW19</f>
        <v>2.1719671355520327</v>
      </c>
      <c r="CX19" s="26">
        <f>CW19+預測IC!CX19</f>
        <v>2.2655168538114543</v>
      </c>
      <c r="CY19" s="26">
        <f>CX19+預測IC!CY19</f>
        <v>2.1945949842470847</v>
      </c>
      <c r="CZ19" s="26">
        <f>CY19+預測IC!CZ19</f>
        <v>2.2950597192225946</v>
      </c>
      <c r="DA19" s="26">
        <f>CZ19+預測IC!DA19</f>
        <v>2.236835842519358</v>
      </c>
      <c r="DB19" s="26">
        <f>DA19+預測IC!DB19</f>
        <v>2.2011149434941424</v>
      </c>
      <c r="DC19" s="26">
        <f>DB19+預測IC!DC19</f>
        <v>2.1659355435920484</v>
      </c>
      <c r="DD19" s="26">
        <f>DC19+預測IC!DD19</f>
        <v>2.061406917525836</v>
      </c>
      <c r="DE19" s="26">
        <f>DD19+預測IC!DE19</f>
        <v>2.0174612815853754</v>
      </c>
      <c r="DF19" s="26">
        <f>DE19+預測IC!DF19</f>
        <v>1.9477682346923528</v>
      </c>
      <c r="DG19" s="26">
        <f>DF19+預測IC!DG19</f>
        <v>1.9350217597817037</v>
      </c>
      <c r="DH19" s="26">
        <f>DG19+預測IC!DH19</f>
        <v>1.9348647766522988</v>
      </c>
      <c r="DI19" s="26">
        <f>DH19+預測IC!DI19</f>
        <v>1.93853120109472</v>
      </c>
      <c r="DJ19" s="26">
        <f>DI19+預測IC!DJ19</f>
        <v>1.8900168503717434</v>
      </c>
      <c r="DK19" s="26">
        <f>DJ19+預測IC!DK19</f>
        <v>2.0141614381559512</v>
      </c>
      <c r="DL19" s="26">
        <f>DK19+預測IC!DL19</f>
        <v>2.0843288459558207</v>
      </c>
      <c r="DM19" s="26">
        <f>DL19+預測IC!DM19</f>
        <v>2.0023765909218265</v>
      </c>
      <c r="DN19" s="26">
        <f>DM19+預測IC!DN19</f>
        <v>1.9981989461185579</v>
      </c>
      <c r="DO19" s="26">
        <f>DN19+預測IC!DO19</f>
        <v>2.0533255095185017</v>
      </c>
      <c r="DP19" s="26">
        <f>DO19+預測IC!DP19</f>
        <v>2.0804909520298653</v>
      </c>
      <c r="DQ19" s="26">
        <f>DP19+預測IC!DQ19</f>
        <v>1.9600015726692301</v>
      </c>
      <c r="DR19" s="26">
        <f>DQ19+預測IC!DR19</f>
        <v>2.0359639259942783</v>
      </c>
      <c r="DS19" s="26">
        <f>DR19+預測IC!DS19</f>
        <v>1.8579683790403081</v>
      </c>
      <c r="DT19" s="26">
        <f>DS19+預測IC!DT19</f>
        <v>1.7248398784209586</v>
      </c>
      <c r="DU19" s="26">
        <f>DT19+預測IC!DU19</f>
        <v>1.5820091803665184</v>
      </c>
      <c r="DV19" s="26">
        <f>DU19+預測IC!DV19</f>
        <v>1.7015410247809204</v>
      </c>
      <c r="DW19" s="26">
        <f>DV19+預測IC!DW19</f>
        <v>1.7621501641216046</v>
      </c>
      <c r="DX19" s="26">
        <f>DW19+預測IC!DX19</f>
        <v>1.6237850298834269</v>
      </c>
      <c r="DY19" s="26">
        <f>DX19+預測IC!DY19</f>
        <v>1.6938946075713499</v>
      </c>
      <c r="DZ19" s="26">
        <f>DY19+預測IC!DZ19</f>
        <v>1.5819737787073569</v>
      </c>
      <c r="EA19" s="26">
        <f>DZ19+預測IC!EA19</f>
        <v>1.5538944252316895</v>
      </c>
      <c r="EB19" s="26">
        <f>EA19+預測IC!EB19</f>
        <v>1.5756671952444681</v>
      </c>
      <c r="EC19" s="26">
        <f>EB19+預測IC!EC19</f>
        <v>1.5670456727459132</v>
      </c>
      <c r="ED19" s="26">
        <f>EC19+預測IC!ED19</f>
        <v>1.4161103557557564</v>
      </c>
      <c r="EE19" s="26">
        <f>ED19+預測IC!EE19</f>
        <v>1.4287443986961788</v>
      </c>
      <c r="EF19" s="26">
        <f>EE19+預測IC!EF19</f>
        <v>1.4457223535709478</v>
      </c>
    </row>
    <row r="20" spans="1:136">
      <c r="A20" s="4">
        <v>192</v>
      </c>
      <c r="B20" s="4">
        <v>5</v>
      </c>
      <c r="C20" s="26">
        <f>預測IC!C20</f>
        <v>-0.13932460396499161</v>
      </c>
      <c r="D20" s="26">
        <f>C20+預測IC!D20</f>
        <v>0.24270119603500842</v>
      </c>
      <c r="E20" s="26">
        <f>D20+預測IC!E20</f>
        <v>0.26409362282297971</v>
      </c>
      <c r="F20" s="26">
        <f>E20+預測IC!F20</f>
        <v>0.44651282282297972</v>
      </c>
      <c r="G20" s="26">
        <f>F20+預測IC!G20</f>
        <v>0.60454102282297972</v>
      </c>
      <c r="H20" s="26">
        <f>G20+預測IC!H20</f>
        <v>0.74847322282297979</v>
      </c>
      <c r="I20" s="26">
        <f>H20+預測IC!I20</f>
        <v>0.90662278542408148</v>
      </c>
      <c r="J20" s="26">
        <f>I20+預測IC!J20</f>
        <v>0.77341658542408154</v>
      </c>
      <c r="K20" s="26">
        <f>J20+預測IC!K20</f>
        <v>0.81082018542408152</v>
      </c>
      <c r="L20" s="26">
        <f>K20+預測IC!L20</f>
        <v>0.84151378542408151</v>
      </c>
      <c r="M20" s="26">
        <f>L20+預測IC!M20</f>
        <v>0.57281978542408152</v>
      </c>
      <c r="N20" s="26">
        <f>M20+預測IC!N20</f>
        <v>1.0728313854240814</v>
      </c>
      <c r="O20" s="26">
        <f>N20+預測IC!O20</f>
        <v>0.96271758542408137</v>
      </c>
      <c r="P20" s="26">
        <f>O20+預測IC!P20</f>
        <v>0.87154765775555609</v>
      </c>
      <c r="Q20" s="26">
        <f>P20+預測IC!Q20</f>
        <v>1.096374257755556</v>
      </c>
      <c r="R20" s="26">
        <f>Q20+預測IC!R20</f>
        <v>1.162843857755556</v>
      </c>
      <c r="S20" s="26">
        <f>R20+預測IC!S20</f>
        <v>1.0005076325653106</v>
      </c>
      <c r="T20" s="26">
        <f>S20+預測IC!T20</f>
        <v>0.89966183256531063</v>
      </c>
      <c r="U20" s="26">
        <f>T20+預測IC!U20</f>
        <v>0.93189683256531064</v>
      </c>
      <c r="V20" s="26">
        <f>U20+預測IC!V20</f>
        <v>0.79560863256531067</v>
      </c>
      <c r="W20" s="26">
        <f>V20+預測IC!W20</f>
        <v>0.88669363256531064</v>
      </c>
      <c r="X20" s="26">
        <f>W20+預測IC!X20</f>
        <v>0.73385973318835351</v>
      </c>
      <c r="Y20" s="26">
        <f>X20+預測IC!Y20</f>
        <v>0.72900173318835348</v>
      </c>
      <c r="Z20" s="26">
        <f>Y20+預測IC!Z20</f>
        <v>0.75816013318835351</v>
      </c>
      <c r="AA20" s="26">
        <f>Z20+預測IC!AA20</f>
        <v>0.82512413318835354</v>
      </c>
      <c r="AB20" s="26">
        <f>AA20+預測IC!AB20</f>
        <v>0.76470113318835353</v>
      </c>
      <c r="AC20" s="26">
        <f>AB20+預測IC!AC20</f>
        <v>0.66839293318835358</v>
      </c>
      <c r="AD20" s="26">
        <f>AC20+預測IC!AD20</f>
        <v>0.79823553318835361</v>
      </c>
      <c r="AE20" s="26">
        <f>AD20+預測IC!AE20</f>
        <v>0.62295401862514221</v>
      </c>
      <c r="AF20" s="26">
        <f>AE20+預測IC!AF20</f>
        <v>0.6164864186251422</v>
      </c>
      <c r="AG20" s="26">
        <f>AF20+預測IC!AG20</f>
        <v>0.61024681862514218</v>
      </c>
      <c r="AH20" s="26">
        <f>AG20+預測IC!AH20</f>
        <v>0.58243781862514221</v>
      </c>
      <c r="AI20" s="26">
        <f>AH20+預測IC!AI20</f>
        <v>0.69877501862514224</v>
      </c>
      <c r="AJ20" s="26">
        <f>AI20+預測IC!AJ20</f>
        <v>0.71601561862514218</v>
      </c>
      <c r="AK20" s="26">
        <f>AJ20+預測IC!AK20</f>
        <v>0.78298421862514223</v>
      </c>
      <c r="AL20" s="26">
        <f>AK20+預測IC!AL20</f>
        <v>0.85587767066211917</v>
      </c>
      <c r="AM20" s="26">
        <f>AL20+預測IC!AM20</f>
        <v>0.88861627066211912</v>
      </c>
      <c r="AN20" s="26">
        <f>AM20+預測IC!AN20</f>
        <v>0.96408646418111743</v>
      </c>
      <c r="AO20" s="26">
        <f>AN20+預測IC!AO20</f>
        <v>1.0321724641811174</v>
      </c>
      <c r="AP20" s="26">
        <f>AO20+預測IC!AP20</f>
        <v>0.90044200292572962</v>
      </c>
      <c r="AQ20" s="26">
        <f>AP20+預測IC!AQ20</f>
        <v>0.82754340292572959</v>
      </c>
      <c r="AR20" s="26">
        <f>AQ20+預測IC!AR20</f>
        <v>0.84083260292572959</v>
      </c>
      <c r="AS20" s="26">
        <f>AR20+預測IC!AS20</f>
        <v>0.72873679324291263</v>
      </c>
      <c r="AT20" s="26">
        <f>AS20+預測IC!AT20</f>
        <v>0.73459556700311834</v>
      </c>
      <c r="AU20" s="26">
        <f>AT20+預測IC!AU20</f>
        <v>0.80749538514403763</v>
      </c>
      <c r="AV20" s="26">
        <f>AU20+預測IC!AV20</f>
        <v>0.75286967136155947</v>
      </c>
      <c r="AW20" s="26">
        <f>AV20+預測IC!AW20</f>
        <v>0.75973493954071047</v>
      </c>
      <c r="AX20" s="26">
        <f>AW20+預測IC!AX20</f>
        <v>0.87046748753941205</v>
      </c>
      <c r="AY20" s="26">
        <f>AX20+預測IC!AY20</f>
        <v>0.90914218598232144</v>
      </c>
      <c r="AZ20" s="26">
        <f>AY20+預測IC!AZ20</f>
        <v>0.69533975480523269</v>
      </c>
      <c r="BA20" s="26">
        <f>AZ20+預測IC!BA20</f>
        <v>0.64129462079492594</v>
      </c>
      <c r="BB20" s="26">
        <f>BA20+預測IC!BB20</f>
        <v>0.80895004417149519</v>
      </c>
      <c r="BC20" s="26">
        <f>BB20+預測IC!BC20</f>
        <v>0.87955561184923536</v>
      </c>
      <c r="BD20" s="26">
        <f>BC20+預測IC!BD20</f>
        <v>0.82612579862763802</v>
      </c>
      <c r="BE20" s="26">
        <f>BD20+預測IC!BE20</f>
        <v>0.82017900148837763</v>
      </c>
      <c r="BF20" s="26">
        <f>BE20+預測IC!BF20</f>
        <v>0.82586758381970637</v>
      </c>
      <c r="BG20" s="26">
        <f>BF20+預測IC!BG20</f>
        <v>0.84836242428043518</v>
      </c>
      <c r="BH20" s="26">
        <f>BG20+預測IC!BH20</f>
        <v>0.77675597716632416</v>
      </c>
      <c r="BI20" s="26">
        <f>BH20+預測IC!BI20</f>
        <v>0.90850124425149903</v>
      </c>
      <c r="BJ20" s="26">
        <f>BI20+預測IC!BJ20</f>
        <v>0.93013075608468565</v>
      </c>
      <c r="BK20" s="26">
        <f>BJ20+預測IC!BK20</f>
        <v>0.87089758824185837</v>
      </c>
      <c r="BL20" s="26">
        <f>BK20+預測IC!BL20</f>
        <v>0.95718981941831305</v>
      </c>
      <c r="BM20" s="26">
        <f>BL20+預測IC!BM20</f>
        <v>1.0941074807467515</v>
      </c>
      <c r="BN20" s="26">
        <f>BM20+預測IC!BN20</f>
        <v>1.1784471215241157</v>
      </c>
      <c r="BO20" s="26">
        <f>BN20+預測IC!BO20</f>
        <v>1.1399854040081365</v>
      </c>
      <c r="BP20" s="26">
        <f>BO20+預測IC!BP20</f>
        <v>1.2003929247710916</v>
      </c>
      <c r="BQ20" s="26">
        <f>BP20+預測IC!BQ20</f>
        <v>1.2158446317319347</v>
      </c>
      <c r="BR20" s="26">
        <f>BQ20+預測IC!BR20</f>
        <v>1.2240447143071502</v>
      </c>
      <c r="BS20" s="26">
        <f>BR20+預測IC!BS20</f>
        <v>1.2219220307184853</v>
      </c>
      <c r="BT20" s="26">
        <f>BS20+預測IC!BT20</f>
        <v>1.3697250638971326</v>
      </c>
      <c r="BU20" s="26">
        <f>BT20+預測IC!BU20</f>
        <v>1.4684800132648392</v>
      </c>
      <c r="BV20" s="26">
        <f>BU20+預測IC!BV20</f>
        <v>1.5843983448279113</v>
      </c>
      <c r="BW20" s="26">
        <f>BV20+預測IC!BW20</f>
        <v>1.4488950930154352</v>
      </c>
      <c r="BX20" s="26">
        <f>BW20+預測IC!BX20</f>
        <v>1.4795887296986794</v>
      </c>
      <c r="BY20" s="26">
        <f>BX20+預測IC!BY20</f>
        <v>1.374354763329376</v>
      </c>
      <c r="BZ20" s="26">
        <f>BY20+預測IC!BZ20</f>
        <v>1.4646261675896597</v>
      </c>
      <c r="CA20" s="26">
        <f>BZ20+預測IC!CA20</f>
        <v>1.4626323454487098</v>
      </c>
      <c r="CB20" s="26">
        <f>CA20+預測IC!CB20</f>
        <v>1.4243803954377818</v>
      </c>
      <c r="CC20" s="26">
        <f>CB20+預測IC!CC20</f>
        <v>1.4244750908886135</v>
      </c>
      <c r="CD20" s="26">
        <f>CC20+預測IC!CD20</f>
        <v>1.6055025883792107</v>
      </c>
      <c r="CE20" s="26">
        <f>CD20+預測IC!CE20</f>
        <v>1.3615387929094775</v>
      </c>
      <c r="CF20" s="26">
        <f>CE20+預測IC!CF20</f>
        <v>1.4424967301081542</v>
      </c>
      <c r="CG20" s="26">
        <f>CF20+預測IC!CG20</f>
        <v>1.3434438415780654</v>
      </c>
      <c r="CH20" s="26">
        <f>CG20+預測IC!CH20</f>
        <v>1.4153078671752037</v>
      </c>
      <c r="CI20" s="26">
        <f>CH20+預測IC!CI20</f>
        <v>1.3849131934061218</v>
      </c>
      <c r="CJ20" s="26">
        <f>CI20+預測IC!CJ20</f>
        <v>1.2614728735187708</v>
      </c>
      <c r="CK20" s="26">
        <f>CJ20+預測IC!CK20</f>
        <v>1.3524512702688773</v>
      </c>
      <c r="CL20" s="26">
        <f>CK20+預測IC!CL20</f>
        <v>1.2602663360797484</v>
      </c>
      <c r="CM20" s="26">
        <f>CL20+預測IC!CM20</f>
        <v>1.449317501250369</v>
      </c>
      <c r="CN20" s="26">
        <f>CM20+預測IC!CN20</f>
        <v>1.4714769126208536</v>
      </c>
      <c r="CO20" s="26">
        <f>CN20+預測IC!CO20</f>
        <v>1.0555055774518411</v>
      </c>
      <c r="CP20" s="26">
        <f>CO20+預測IC!CP20</f>
        <v>1.2475367825608685</v>
      </c>
      <c r="CQ20" s="26">
        <f>CP20+預測IC!CQ20</f>
        <v>1.2536481404899307</v>
      </c>
      <c r="CR20" s="26">
        <f>CQ20+預測IC!CR20</f>
        <v>1.3267643849957811</v>
      </c>
      <c r="CS20" s="26">
        <f>CR20+預測IC!CS20</f>
        <v>1.4151286620080425</v>
      </c>
      <c r="CT20" s="26">
        <f>CS20+預測IC!CT20</f>
        <v>1.5056026994223088</v>
      </c>
      <c r="CU20" s="26">
        <f>CT20+預測IC!CU20</f>
        <v>1.4015018016298826</v>
      </c>
      <c r="CV20" s="26">
        <f>CU20+預測IC!CV20</f>
        <v>1.4940128773253087</v>
      </c>
      <c r="CW20" s="26">
        <f>CV20+預測IC!CW20</f>
        <v>1.5039659402465915</v>
      </c>
      <c r="CX20" s="26">
        <f>CW20+預測IC!CX20</f>
        <v>1.594264491114356</v>
      </c>
      <c r="CY20" s="26">
        <f>CX20+預測IC!CY20</f>
        <v>1.5817847584460591</v>
      </c>
      <c r="CZ20" s="26">
        <f>CY20+預測IC!CZ20</f>
        <v>1.7369464035952575</v>
      </c>
      <c r="DA20" s="26">
        <f>CZ20+預測IC!DA20</f>
        <v>1.6894745104400799</v>
      </c>
      <c r="DB20" s="26">
        <f>DA20+預測IC!DB20</f>
        <v>1.6325718006829457</v>
      </c>
      <c r="DC20" s="26">
        <f>DB20+預測IC!DC20</f>
        <v>1.5854876673751825</v>
      </c>
      <c r="DD20" s="26">
        <f>DC20+預測IC!DD20</f>
        <v>1.43737885303636</v>
      </c>
      <c r="DE20" s="26">
        <f>DD20+預測IC!DE20</f>
        <v>1.4106289891154316</v>
      </c>
      <c r="DF20" s="26">
        <f>DE20+預測IC!DF20</f>
        <v>1.4114881106478521</v>
      </c>
      <c r="DG20" s="26">
        <f>DF20+預測IC!DG20</f>
        <v>1.4072859000274813</v>
      </c>
      <c r="DH20" s="26">
        <f>DG20+預測IC!DH20</f>
        <v>1.3963104882849542</v>
      </c>
      <c r="DI20" s="26">
        <f>DH20+預測IC!DI20</f>
        <v>1.3885529202709617</v>
      </c>
      <c r="DJ20" s="26">
        <f>DI20+預測IC!DJ20</f>
        <v>1.3490929740020738</v>
      </c>
      <c r="DK20" s="26">
        <f>DJ20+預測IC!DK20</f>
        <v>1.4340469554481288</v>
      </c>
      <c r="DL20" s="26">
        <f>DK20+預測IC!DL20</f>
        <v>1.5098735916266712</v>
      </c>
      <c r="DM20" s="26">
        <f>DL20+預測IC!DM20</f>
        <v>1.5191572419061083</v>
      </c>
      <c r="DN20" s="26">
        <f>DM20+預測IC!DN20</f>
        <v>1.5771764485603075</v>
      </c>
      <c r="DO20" s="26">
        <f>DN20+預測IC!DO20</f>
        <v>1.6429922503982779</v>
      </c>
      <c r="DP20" s="26">
        <f>DO20+預測IC!DP20</f>
        <v>1.6528227817891652</v>
      </c>
      <c r="DQ20" s="26">
        <f>DP20+預測IC!DQ20</f>
        <v>1.4614932433328818</v>
      </c>
      <c r="DR20" s="26">
        <f>DQ20+預測IC!DR20</f>
        <v>1.5400059033611724</v>
      </c>
      <c r="DS20" s="26">
        <f>DR20+預測IC!DS20</f>
        <v>1.3339248057828177</v>
      </c>
      <c r="DT20" s="26">
        <f>DS20+預測IC!DT20</f>
        <v>1.2066501038952646</v>
      </c>
      <c r="DU20" s="26">
        <f>DT20+預測IC!DU20</f>
        <v>1.0345809966893953</v>
      </c>
      <c r="DV20" s="26">
        <f>DU20+預測IC!DV20</f>
        <v>1.163926468528254</v>
      </c>
      <c r="DW20" s="26">
        <f>DV20+預測IC!DW20</f>
        <v>1.2329866724862937</v>
      </c>
      <c r="DX20" s="26">
        <f>DW20+預測IC!DX20</f>
        <v>1.0791203428799789</v>
      </c>
      <c r="DY20" s="26">
        <f>DX20+預測IC!DY20</f>
        <v>1.1327389522316278</v>
      </c>
      <c r="DZ20" s="26">
        <f>DY20+預測IC!DZ20</f>
        <v>1.0482643739219357</v>
      </c>
      <c r="EA20" s="26">
        <f>DZ20+預測IC!EA20</f>
        <v>1.0620731001232937</v>
      </c>
      <c r="EB20" s="26">
        <f>EA20+預測IC!EB20</f>
        <v>1.089462257977281</v>
      </c>
      <c r="EC20" s="26">
        <f>EB20+預測IC!EC20</f>
        <v>1.1235118393912229</v>
      </c>
      <c r="ED20" s="26">
        <f>EC20+預測IC!ED20</f>
        <v>0.94659297832421263</v>
      </c>
      <c r="EE20" s="26">
        <f>ED20+預測IC!EE20</f>
        <v>0.94896020925159452</v>
      </c>
      <c r="EF20" s="26">
        <f>EE20+預測IC!EF20</f>
        <v>0.96924162586750173</v>
      </c>
    </row>
    <row r="21" spans="1:136">
      <c r="A21" s="4">
        <v>241</v>
      </c>
      <c r="B21" s="4">
        <v>4</v>
      </c>
      <c r="C21" s="26">
        <f>預測IC!C21</f>
        <v>-0.19764916434148611</v>
      </c>
      <c r="D21" s="26">
        <f>C21+預測IC!D21</f>
        <v>-7.1260164341486104E-2</v>
      </c>
      <c r="E21" s="26">
        <f>D21+預測IC!E21</f>
        <v>-7.1539516612277948E-2</v>
      </c>
      <c r="F21" s="26">
        <f>E21+預測IC!F21</f>
        <v>0.13187348338772206</v>
      </c>
      <c r="G21" s="26">
        <f>F21+預測IC!G21</f>
        <v>0.27720548338772205</v>
      </c>
      <c r="H21" s="26">
        <f>G21+預測IC!H21</f>
        <v>0.43936948338772208</v>
      </c>
      <c r="I21" s="26">
        <f>H21+預測IC!I21</f>
        <v>0.58662509151519504</v>
      </c>
      <c r="J21" s="26">
        <f>I21+預測IC!J21</f>
        <v>0.44988359151519508</v>
      </c>
      <c r="K21" s="26">
        <f>J21+預測IC!K21</f>
        <v>0.45135359151519505</v>
      </c>
      <c r="L21" s="26">
        <f>K21+預測IC!L21</f>
        <v>0.44632259151519504</v>
      </c>
      <c r="M21" s="26">
        <f>L21+預測IC!M21</f>
        <v>0.24643759151519504</v>
      </c>
      <c r="N21" s="26">
        <f>M21+預測IC!N21</f>
        <v>0.83132809151519504</v>
      </c>
      <c r="O21" s="26">
        <f>N21+預測IC!O21</f>
        <v>0.69205084151519503</v>
      </c>
      <c r="P21" s="26">
        <f>O21+預測IC!P21</f>
        <v>0.54727824062551012</v>
      </c>
      <c r="Q21" s="26">
        <f>P21+預測IC!Q21</f>
        <v>0.82136399062551013</v>
      </c>
      <c r="R21" s="26">
        <f>Q21+預測IC!R21</f>
        <v>0.90626924062551018</v>
      </c>
      <c r="S21" s="26">
        <f>R21+預測IC!S21</f>
        <v>0.77767895517555319</v>
      </c>
      <c r="T21" s="26">
        <f>S21+預測IC!T21</f>
        <v>0.64655895517555317</v>
      </c>
      <c r="U21" s="26">
        <f>T21+預測IC!U21</f>
        <v>0.63673220517555318</v>
      </c>
      <c r="V21" s="26">
        <f>U21+預測IC!V21</f>
        <v>0.50498195517555322</v>
      </c>
      <c r="W21" s="26">
        <f>V21+預測IC!W21</f>
        <v>0.62948070517555321</v>
      </c>
      <c r="X21" s="26">
        <f>W21+預測IC!X21</f>
        <v>0.43214352659190652</v>
      </c>
      <c r="Y21" s="26">
        <f>X21+預測IC!Y21</f>
        <v>0.42199602659190655</v>
      </c>
      <c r="Z21" s="26">
        <f>Y21+預測IC!Z21</f>
        <v>0.46145502659190657</v>
      </c>
      <c r="AA21" s="26">
        <f>Z21+預測IC!AA21</f>
        <v>0.48949052659190656</v>
      </c>
      <c r="AB21" s="26">
        <f>AA21+預測IC!AB21</f>
        <v>0.42420352659190658</v>
      </c>
      <c r="AC21" s="26">
        <f>AB21+預測IC!AC21</f>
        <v>0.26466227659190655</v>
      </c>
      <c r="AD21" s="26">
        <f>AC21+預測IC!AD21</f>
        <v>0.39348677659190656</v>
      </c>
      <c r="AE21" s="26">
        <f>AD21+預測IC!AE21</f>
        <v>0.15303066609871988</v>
      </c>
      <c r="AF21" s="26">
        <f>AE21+預測IC!AF21</f>
        <v>0.11946516609871988</v>
      </c>
      <c r="AG21" s="26">
        <f>AF21+預測IC!AG21</f>
        <v>0.10889716609871988</v>
      </c>
      <c r="AH21" s="26">
        <f>AG21+預測IC!AH21</f>
        <v>6.5487916098719873E-2</v>
      </c>
      <c r="AI21" s="26">
        <f>AH21+預測IC!AI21</f>
        <v>0.16761216609871987</v>
      </c>
      <c r="AJ21" s="26">
        <f>AI21+預測IC!AJ21</f>
        <v>0.17279566609871988</v>
      </c>
      <c r="AK21" s="26">
        <f>AJ21+預測IC!AK21</f>
        <v>0.27778616609871987</v>
      </c>
      <c r="AL21" s="26">
        <f>AK21+預測IC!AL21</f>
        <v>0.34316598883183047</v>
      </c>
      <c r="AM21" s="26">
        <f>AL21+預測IC!AM21</f>
        <v>0.37987673883183048</v>
      </c>
      <c r="AN21" s="26">
        <f>AM21+預測IC!AN21</f>
        <v>0.49183279489492482</v>
      </c>
      <c r="AO21" s="26">
        <f>AN21+預測IC!AO21</f>
        <v>0.5868185448949248</v>
      </c>
      <c r="AP21" s="26">
        <f>AO21+預測IC!AP21</f>
        <v>0.5244279911959886</v>
      </c>
      <c r="AQ21" s="26">
        <f>AP21+預測IC!AQ21</f>
        <v>0.45722974119598858</v>
      </c>
      <c r="AR21" s="26">
        <f>AQ21+預測IC!AR21</f>
        <v>0.40924149119598857</v>
      </c>
      <c r="AS21" s="26">
        <f>AR21+預測IC!AS21</f>
        <v>0.34478562254935918</v>
      </c>
      <c r="AT21" s="26">
        <f>AS21+預測IC!AT21</f>
        <v>0.34229271127220412</v>
      </c>
      <c r="AU21" s="26">
        <f>AT21+預測IC!AU21</f>
        <v>0.39010234278116113</v>
      </c>
      <c r="AV21" s="26">
        <f>AU21+預測IC!AV21</f>
        <v>0.33458156271902739</v>
      </c>
      <c r="AW21" s="26">
        <f>AV21+預測IC!AW21</f>
        <v>0.34437259267312481</v>
      </c>
      <c r="AX21" s="26">
        <f>AW21+預測IC!AX21</f>
        <v>0.48752028014288151</v>
      </c>
      <c r="AY21" s="26">
        <f>AX21+預測IC!AY21</f>
        <v>0.53454157112091949</v>
      </c>
      <c r="AZ21" s="26">
        <f>AY21+預測IC!AZ21</f>
        <v>0.27963030122378307</v>
      </c>
      <c r="BA21" s="26">
        <f>AZ21+預測IC!BA21</f>
        <v>0.20859811957569724</v>
      </c>
      <c r="BB21" s="26">
        <f>BA21+預測IC!BB21</f>
        <v>0.43419378840061096</v>
      </c>
      <c r="BC21" s="26">
        <f>BB21+預測IC!BC21</f>
        <v>0.47251493612580486</v>
      </c>
      <c r="BD21" s="26">
        <f>BC21+預測IC!BD21</f>
        <v>0.45076407275517694</v>
      </c>
      <c r="BE21" s="26">
        <f>BD21+預測IC!BE21</f>
        <v>0.45711460615257843</v>
      </c>
      <c r="BF21" s="26">
        <f>BE21+預測IC!BF21</f>
        <v>0.4606917063330131</v>
      </c>
      <c r="BG21" s="26">
        <f>BF21+預測IC!BG21</f>
        <v>0.51071224676948224</v>
      </c>
      <c r="BH21" s="26">
        <f>BG21+預測IC!BH21</f>
        <v>0.43439088363072692</v>
      </c>
      <c r="BI21" s="26">
        <f>BH21+預測IC!BI21</f>
        <v>0.60036047980911866</v>
      </c>
      <c r="BJ21" s="26">
        <f>BI21+預測IC!BJ21</f>
        <v>0.62393950599083636</v>
      </c>
      <c r="BK21" s="26">
        <f>BJ21+預測IC!BK21</f>
        <v>0.55548962561130155</v>
      </c>
      <c r="BL21" s="26">
        <f>BK21+預測IC!BL21</f>
        <v>0.69821071825765135</v>
      </c>
      <c r="BM21" s="26">
        <f>BL21+預測IC!BM21</f>
        <v>0.85333072217875117</v>
      </c>
      <c r="BN21" s="26">
        <f>BM21+預測IC!BN21</f>
        <v>0.91697867017099921</v>
      </c>
      <c r="BO21" s="26">
        <f>BN21+預測IC!BO21</f>
        <v>0.90631027861780933</v>
      </c>
      <c r="BP21" s="26">
        <f>BO21+預測IC!BP21</f>
        <v>1.0108194080372237</v>
      </c>
      <c r="BQ21" s="26">
        <f>BP21+預測IC!BQ21</f>
        <v>1.0653616388717286</v>
      </c>
      <c r="BR21" s="26">
        <f>BQ21+預測IC!BR21</f>
        <v>1.079324896011344</v>
      </c>
      <c r="BS21" s="26">
        <f>BR21+預測IC!BS21</f>
        <v>1.0542450416008471</v>
      </c>
      <c r="BT21" s="26">
        <f>BS21+預測IC!BT21</f>
        <v>1.1864897355752899</v>
      </c>
      <c r="BU21" s="26">
        <f>BT21+預測IC!BU21</f>
        <v>1.3073106749254788</v>
      </c>
      <c r="BV21" s="26">
        <f>BU21+預測IC!BV21</f>
        <v>1.4494536751109321</v>
      </c>
      <c r="BW21" s="26">
        <f>BV21+預測IC!BW21</f>
        <v>1.3027744781752011</v>
      </c>
      <c r="BX21" s="26">
        <f>BW21+預測IC!BX21</f>
        <v>1.287366550608888</v>
      </c>
      <c r="BY21" s="26">
        <f>BX21+預測IC!BY21</f>
        <v>1.2369866993907714</v>
      </c>
      <c r="BZ21" s="26">
        <f>BY21+預測IC!BZ21</f>
        <v>1.3351434098306698</v>
      </c>
      <c r="CA21" s="26">
        <f>BZ21+預測IC!CA21</f>
        <v>1.3105873412778823</v>
      </c>
      <c r="CB21" s="26">
        <f>CA21+預測IC!CB21</f>
        <v>1.1983437304787239</v>
      </c>
      <c r="CC21" s="26">
        <f>CB21+預測IC!CC21</f>
        <v>1.1516501810097608</v>
      </c>
      <c r="CD21" s="26">
        <f>CC21+預測IC!CD21</f>
        <v>1.439706245372234</v>
      </c>
      <c r="CE21" s="26">
        <f>CD21+預測IC!CE21</f>
        <v>1.1341169344957249</v>
      </c>
      <c r="CF21" s="26">
        <f>CE21+預測IC!CF21</f>
        <v>1.2653826112967972</v>
      </c>
      <c r="CG21" s="26">
        <f>CF21+預測IC!CG21</f>
        <v>1.1216314221391115</v>
      </c>
      <c r="CH21" s="26">
        <f>CG21+預測IC!CH21</f>
        <v>1.2017317432153232</v>
      </c>
      <c r="CI21" s="26">
        <f>CH21+預測IC!CI21</f>
        <v>1.1212321268243408</v>
      </c>
      <c r="CJ21" s="26">
        <f>CI21+預測IC!CJ21</f>
        <v>1.0494774648682952</v>
      </c>
      <c r="CK21" s="26">
        <f>CJ21+預測IC!CK21</f>
        <v>1.1765280115984293</v>
      </c>
      <c r="CL21" s="26">
        <f>CK21+預測IC!CL21</f>
        <v>0.96607563574432087</v>
      </c>
      <c r="CM21" s="26">
        <f>CL21+預測IC!CM21</f>
        <v>1.1915786241476922</v>
      </c>
      <c r="CN21" s="26">
        <f>CM21+預測IC!CN21</f>
        <v>1.2221175143514678</v>
      </c>
      <c r="CO21" s="26">
        <f>CN21+預測IC!CO21</f>
        <v>0.70725226575387512</v>
      </c>
      <c r="CP21" s="26">
        <f>CO21+預測IC!CP21</f>
        <v>0.92995232663178784</v>
      </c>
      <c r="CQ21" s="26">
        <f>CP21+預測IC!CQ21</f>
        <v>0.93324041835687865</v>
      </c>
      <c r="CR21" s="26">
        <f>CQ21+預測IC!CR21</f>
        <v>1.0240646963365583</v>
      </c>
      <c r="CS21" s="26">
        <f>CR21+預測IC!CS21</f>
        <v>1.09371109248333</v>
      </c>
      <c r="CT21" s="26">
        <f>CS21+預測IC!CT21</f>
        <v>1.176003965337669</v>
      </c>
      <c r="CU21" s="26">
        <f>CT21+預測IC!CU21</f>
        <v>1.1133304051681778</v>
      </c>
      <c r="CV21" s="26">
        <f>CU21+預測IC!CV21</f>
        <v>1.2115560371895648</v>
      </c>
      <c r="CW21" s="26">
        <f>CV21+預測IC!CW21</f>
        <v>1.2765614544705535</v>
      </c>
      <c r="CX21" s="26">
        <f>CW21+預測IC!CX21</f>
        <v>1.3786836301279606</v>
      </c>
      <c r="CY21" s="26">
        <f>CX21+預測IC!CY21</f>
        <v>1.3702017137240461</v>
      </c>
      <c r="CZ21" s="26">
        <f>CY21+預測IC!CZ21</f>
        <v>1.6076530845498762</v>
      </c>
      <c r="DA21" s="26">
        <f>CZ21+預測IC!DA21</f>
        <v>1.6088453410066079</v>
      </c>
      <c r="DB21" s="26">
        <f>DA21+預測IC!DB21</f>
        <v>1.5743819320184427</v>
      </c>
      <c r="DC21" s="26">
        <f>DB21+預測IC!DC21</f>
        <v>1.5358356613535293</v>
      </c>
      <c r="DD21" s="26">
        <f>DC21+預測IC!DD21</f>
        <v>1.6571583502221783</v>
      </c>
      <c r="DE21" s="26">
        <f>DD21+預測IC!DE21</f>
        <v>1.6693964588104973</v>
      </c>
      <c r="DF21" s="26">
        <f>DE21+預測IC!DF21</f>
        <v>1.677125018082116</v>
      </c>
      <c r="DG21" s="26">
        <f>DF21+預測IC!DG21</f>
        <v>1.6849713962106494</v>
      </c>
      <c r="DH21" s="26">
        <f>DG21+預測IC!DH21</f>
        <v>1.699048216423104</v>
      </c>
      <c r="DI21" s="26">
        <f>DH21+預測IC!DI21</f>
        <v>1.7334556947032835</v>
      </c>
      <c r="DJ21" s="26">
        <f>DI21+預測IC!DJ21</f>
        <v>1.6955443815127234</v>
      </c>
      <c r="DK21" s="26">
        <f>DJ21+預測IC!DK21</f>
        <v>1.8350470883316279</v>
      </c>
      <c r="DL21" s="26">
        <f>DK21+預測IC!DL21</f>
        <v>1.9334120271710045</v>
      </c>
      <c r="DM21" s="26">
        <f>DL21+預測IC!DM21</f>
        <v>1.9035779075287642</v>
      </c>
      <c r="DN21" s="26">
        <f>DM21+預測IC!DN21</f>
        <v>1.9655386889755526</v>
      </c>
      <c r="DO21" s="26">
        <f>DN21+預測IC!DO21</f>
        <v>2.0479844813062322</v>
      </c>
      <c r="DP21" s="26">
        <f>DO21+預測IC!DP21</f>
        <v>2.0722506363997981</v>
      </c>
      <c r="DQ21" s="26">
        <f>DP21+預測IC!DQ21</f>
        <v>1.9444972433011456</v>
      </c>
      <c r="DR21" s="26">
        <f>DQ21+預測IC!DR21</f>
        <v>1.9946681023382262</v>
      </c>
      <c r="DS21" s="26">
        <f>DR21+預測IC!DS21</f>
        <v>1.7938286285009306</v>
      </c>
      <c r="DT21" s="26">
        <f>DS21+預測IC!DT21</f>
        <v>1.6232578258154697</v>
      </c>
      <c r="DU21" s="26">
        <f>DT21+預測IC!DU21</f>
        <v>1.595167531819091</v>
      </c>
      <c r="DV21" s="26">
        <f>DU21+預測IC!DV21</f>
        <v>1.735443508688969</v>
      </c>
      <c r="DW21" s="26">
        <f>DV21+預測IC!DW21</f>
        <v>1.8547907260629728</v>
      </c>
      <c r="DX21" s="26">
        <f>DW21+預測IC!DX21</f>
        <v>1.6688245120317893</v>
      </c>
      <c r="DY21" s="26">
        <f>DX21+預測IC!DY21</f>
        <v>1.6934205075698052</v>
      </c>
      <c r="DZ21" s="26">
        <f>DY21+預測IC!DZ21</f>
        <v>1.6405764410095163</v>
      </c>
      <c r="EA21" s="26">
        <f>DZ21+預測IC!EA21</f>
        <v>1.6143255445282558</v>
      </c>
      <c r="EB21" s="26">
        <f>EA21+預測IC!EB21</f>
        <v>1.6227336906988417</v>
      </c>
      <c r="EC21" s="26">
        <f>EB21+預測IC!EC21</f>
        <v>1.6257986592016405</v>
      </c>
      <c r="ED21" s="26">
        <f>EC21+預測IC!ED21</f>
        <v>1.5712998028534597</v>
      </c>
      <c r="EE21" s="26">
        <f>ED21+預測IC!EE21</f>
        <v>1.5857286549618776</v>
      </c>
      <c r="EF21" s="26">
        <f>EE21+預測IC!EF21</f>
        <v>1.5777370521058458</v>
      </c>
    </row>
    <row r="22" spans="1:136">
      <c r="A22" s="4">
        <v>321</v>
      </c>
      <c r="B22" s="4">
        <v>3</v>
      </c>
      <c r="C22" s="26">
        <f>預測IC!C22</f>
        <v>6.4235717628454689E-2</v>
      </c>
      <c r="D22" s="26">
        <f>C22+預測IC!D22</f>
        <v>0.206665050961788</v>
      </c>
      <c r="E22" s="26">
        <f>D22+預測IC!E22</f>
        <v>0.16563751896116896</v>
      </c>
      <c r="F22" s="26">
        <f>E22+預測IC!F22</f>
        <v>2.5769518961168969E-2</v>
      </c>
      <c r="G22" s="26">
        <f>F22+預測IC!G22</f>
        <v>0.25871485229450236</v>
      </c>
      <c r="H22" s="26">
        <f>G22+預測IC!H22</f>
        <v>0.38289285229450237</v>
      </c>
      <c r="I22" s="26">
        <f>H22+預測IC!I22</f>
        <v>0.50638602163257218</v>
      </c>
      <c r="J22" s="26">
        <f>I22+預測IC!J22</f>
        <v>0.40213402163257217</v>
      </c>
      <c r="K22" s="26">
        <f>J22+預測IC!K22</f>
        <v>0.43079068829923883</v>
      </c>
      <c r="L22" s="26">
        <f>K22+預測IC!L22</f>
        <v>0.44506268829923884</v>
      </c>
      <c r="M22" s="26">
        <f>L22+預測IC!M22</f>
        <v>0.26039935496590555</v>
      </c>
      <c r="N22" s="26">
        <f>M22+預測IC!N22</f>
        <v>1.0165416882992389</v>
      </c>
      <c r="O22" s="26">
        <f>N22+預測IC!O22</f>
        <v>0.95009935496590558</v>
      </c>
      <c r="P22" s="26">
        <f>O22+預測IC!P22</f>
        <v>0.87731647083708864</v>
      </c>
      <c r="Q22" s="26">
        <f>P22+預測IC!Q22</f>
        <v>1.0045911375037553</v>
      </c>
      <c r="R22" s="26">
        <f>Q22+預測IC!R22</f>
        <v>1.0712888041704218</v>
      </c>
      <c r="S22" s="26">
        <f>R22+預測IC!S22</f>
        <v>0.90164224861248121</v>
      </c>
      <c r="T22" s="26">
        <f>S22+預測IC!T22</f>
        <v>0.79679424861248127</v>
      </c>
      <c r="U22" s="26">
        <f>T22+預測IC!U22</f>
        <v>0.84927858194581463</v>
      </c>
      <c r="V22" s="26">
        <f>U22+預測IC!V22</f>
        <v>0.67365491527914789</v>
      </c>
      <c r="W22" s="26">
        <f>V22+預測IC!W22</f>
        <v>0.83170291527914786</v>
      </c>
      <c r="X22" s="26">
        <f>W22+預測IC!X22</f>
        <v>0.61680286754958291</v>
      </c>
      <c r="Y22" s="26">
        <f>X22+預測IC!Y22</f>
        <v>0.54694553421624958</v>
      </c>
      <c r="Z22" s="26">
        <f>Y22+預測IC!Z22</f>
        <v>0.57081353421624959</v>
      </c>
      <c r="AA22" s="26">
        <f>Z22+預測IC!AA22</f>
        <v>0.68893620088291629</v>
      </c>
      <c r="AB22" s="26">
        <f>AA22+預測IC!AB22</f>
        <v>0.65066286754958291</v>
      </c>
      <c r="AC22" s="26">
        <f>AB22+預測IC!AC22</f>
        <v>0.47345153421624964</v>
      </c>
      <c r="AD22" s="26">
        <f>AC22+預測IC!AD22</f>
        <v>0.48702286754958296</v>
      </c>
      <c r="AE22" s="26">
        <f>AD22+預測IC!AE22</f>
        <v>0.22433714619743944</v>
      </c>
      <c r="AF22" s="26">
        <f>AE22+預測IC!AF22</f>
        <v>0.13793381286410611</v>
      </c>
      <c r="AG22" s="26">
        <f>AF22+預測IC!AG22</f>
        <v>9.1963479530772774E-2</v>
      </c>
      <c r="AH22" s="26">
        <f>AG22+預測IC!AH22</f>
        <v>9.2450146197439437E-2</v>
      </c>
      <c r="AI22" s="26">
        <f>AH22+預測IC!AI22</f>
        <v>0.20345481286410613</v>
      </c>
      <c r="AJ22" s="26">
        <f>AI22+預測IC!AJ22</f>
        <v>0.21653614619743947</v>
      </c>
      <c r="AK22" s="26">
        <f>AJ22+預測IC!AK22</f>
        <v>0.1482694795307728</v>
      </c>
      <c r="AL22" s="26">
        <f>AK22+預測IC!AL22</f>
        <v>0.18861044633767321</v>
      </c>
      <c r="AM22" s="26">
        <f>AL22+預測IC!AM22</f>
        <v>0.23008377967100654</v>
      </c>
      <c r="AN22" s="26">
        <f>AM22+預測IC!AN22</f>
        <v>0.34121658933456583</v>
      </c>
      <c r="AO22" s="26">
        <f>AN22+預測IC!AO22</f>
        <v>0.53188958933456587</v>
      </c>
      <c r="AP22" s="26">
        <f>AO22+預測IC!AP22</f>
        <v>0.46935323544657315</v>
      </c>
      <c r="AQ22" s="26">
        <f>AP22+預測IC!AQ22</f>
        <v>0.35922390211323985</v>
      </c>
      <c r="AR22" s="26">
        <f>AQ22+預測IC!AR22</f>
        <v>0.29129923544657321</v>
      </c>
      <c r="AS22" s="26">
        <f>AR22+預測IC!AS22</f>
        <v>0.20848879654802327</v>
      </c>
      <c r="AT22" s="26">
        <f>AS22+預測IC!AT22</f>
        <v>0.21506918689704282</v>
      </c>
      <c r="AU22" s="26">
        <f>AT22+預測IC!AU22</f>
        <v>0.26821197859742107</v>
      </c>
      <c r="AV22" s="26">
        <f>AU22+預測IC!AV22</f>
        <v>0.20839880192154112</v>
      </c>
      <c r="AW22" s="26">
        <f>AV22+預測IC!AW22</f>
        <v>0.17824941271453218</v>
      </c>
      <c r="AX22" s="26">
        <f>AW22+預測IC!AX22</f>
        <v>0.35201281269455642</v>
      </c>
      <c r="AY22" s="26">
        <f>AX22+預測IC!AY22</f>
        <v>0.42374619802878699</v>
      </c>
      <c r="AZ22" s="26">
        <f>AY22+預測IC!AZ22</f>
        <v>0.26884241970763489</v>
      </c>
      <c r="BA22" s="26">
        <f>AZ22+預測IC!BA22</f>
        <v>0.22324399454017294</v>
      </c>
      <c r="BB22" s="26">
        <f>BA22+預測IC!BB22</f>
        <v>0.52517393908059595</v>
      </c>
      <c r="BC22" s="26">
        <f>BB22+預測IC!BC22</f>
        <v>0.39433700095764079</v>
      </c>
      <c r="BD22" s="26">
        <f>BC22+預測IC!BD22</f>
        <v>0.407284390800213</v>
      </c>
      <c r="BE22" s="26">
        <f>BD22+預測IC!BE22</f>
        <v>0.42950057419469345</v>
      </c>
      <c r="BF22" s="26">
        <f>BE22+預測IC!BF22</f>
        <v>0.44313939153301307</v>
      </c>
      <c r="BG22" s="26">
        <f>BF22+預測IC!BG22</f>
        <v>0.48941890370139912</v>
      </c>
      <c r="BH22" s="26">
        <f>BG22+預測IC!BH22</f>
        <v>0.36145836136326726</v>
      </c>
      <c r="BI22" s="26">
        <f>BH22+預測IC!BI22</f>
        <v>0.47254708077317426</v>
      </c>
      <c r="BJ22" s="26">
        <f>BI22+預測IC!BJ22</f>
        <v>0.52754349592389516</v>
      </c>
      <c r="BK22" s="26">
        <f>BJ22+預測IC!BK22</f>
        <v>0.48570385999023002</v>
      </c>
      <c r="BL22" s="26">
        <f>BK22+預測IC!BL22</f>
        <v>0.64748419906126531</v>
      </c>
      <c r="BM22" s="26">
        <f>BL22+預測IC!BM22</f>
        <v>0.75308867601897678</v>
      </c>
      <c r="BN22" s="26">
        <f>BM22+預測IC!BN22</f>
        <v>0.73776112399593452</v>
      </c>
      <c r="BO22" s="26">
        <f>BN22+預測IC!BO22</f>
        <v>0.64074822847232871</v>
      </c>
      <c r="BP22" s="26">
        <f>BO22+預測IC!BP22</f>
        <v>0.71558377862743505</v>
      </c>
      <c r="BQ22" s="26">
        <f>BP22+預測IC!BQ22</f>
        <v>0.7434138760257476</v>
      </c>
      <c r="BR22" s="26">
        <f>BQ22+預測IC!BR22</f>
        <v>0.76422748549220054</v>
      </c>
      <c r="BS22" s="26">
        <f>BR22+預測IC!BS22</f>
        <v>0.74785470311540136</v>
      </c>
      <c r="BT22" s="26">
        <f>BS22+預測IC!BT22</f>
        <v>0.8783854064519474</v>
      </c>
      <c r="BU22" s="26">
        <f>BT22+預測IC!BU22</f>
        <v>1.0913341725899577</v>
      </c>
      <c r="BV22" s="26">
        <f>BU22+預測IC!BV22</f>
        <v>1.2498781449875667</v>
      </c>
      <c r="BW22" s="26">
        <f>BV22+預測IC!BW22</f>
        <v>1.0752096470599595</v>
      </c>
      <c r="BX22" s="26">
        <f>BW22+預測IC!BX22</f>
        <v>1.1118470927519319</v>
      </c>
      <c r="BY22" s="26">
        <f>BX22+預測IC!BY22</f>
        <v>1.1071003063491973</v>
      </c>
      <c r="BZ22" s="26">
        <f>BY22+預測IC!BZ22</f>
        <v>1.1543580422120896</v>
      </c>
      <c r="CA22" s="26">
        <f>BZ22+預測IC!CA22</f>
        <v>1.126867963731766</v>
      </c>
      <c r="CB22" s="26">
        <f>CA22+預測IC!CB22</f>
        <v>0.97787468548583945</v>
      </c>
      <c r="CC22" s="26">
        <f>CB22+預測IC!CC22</f>
        <v>0.96288898204768303</v>
      </c>
      <c r="CD22" s="26">
        <f>CC22+預測IC!CD22</f>
        <v>1.2967670187604059</v>
      </c>
      <c r="CE22" s="26">
        <f>CD22+預測IC!CE22</f>
        <v>0.90337967965612775</v>
      </c>
      <c r="CF22" s="26">
        <f>CE22+預測IC!CF22</f>
        <v>1.0921794654164052</v>
      </c>
      <c r="CG22" s="26">
        <f>CF22+預測IC!CG22</f>
        <v>0.88891637321381811</v>
      </c>
      <c r="CH22" s="26">
        <f>CG22+預測IC!CH22</f>
        <v>1.0048351444932664</v>
      </c>
      <c r="CI22" s="26">
        <f>CH22+預測IC!CI22</f>
        <v>0.8870553982149072</v>
      </c>
      <c r="CJ22" s="26">
        <f>CI22+預測IC!CJ22</f>
        <v>0.78367589312534447</v>
      </c>
      <c r="CK22" s="26">
        <f>CJ22+預測IC!CK22</f>
        <v>0.81983923573002682</v>
      </c>
      <c r="CL22" s="26">
        <f>CK22+預測IC!CL22</f>
        <v>0.57918743710498599</v>
      </c>
      <c r="CM22" s="26">
        <f>CL22+預測IC!CM22</f>
        <v>0.8809476950144679</v>
      </c>
      <c r="CN22" s="26">
        <f>CM22+預測IC!CN22</f>
        <v>0.87240092319356055</v>
      </c>
      <c r="CO22" s="26">
        <f>CN22+預測IC!CO22</f>
        <v>0.2224444549444049</v>
      </c>
      <c r="CP22" s="26">
        <f>CO22+預測IC!CP22</f>
        <v>0.48185301191380742</v>
      </c>
      <c r="CQ22" s="26">
        <f>CP22+預測IC!CQ22</f>
        <v>0.46951923258814282</v>
      </c>
      <c r="CR22" s="26">
        <f>CQ22+預測IC!CR22</f>
        <v>0.63136965388953481</v>
      </c>
      <c r="CS22" s="26">
        <f>CR22+預測IC!CS22</f>
        <v>0.61616747036811204</v>
      </c>
      <c r="CT22" s="26">
        <f>CS22+預測IC!CT22</f>
        <v>0.67439999172409737</v>
      </c>
      <c r="CU22" s="26">
        <f>CT22+預測IC!CU22</f>
        <v>0.56355857208223159</v>
      </c>
      <c r="CV22" s="26">
        <f>CU22+預測IC!CV22</f>
        <v>0.67579226728928576</v>
      </c>
      <c r="CW22" s="26">
        <f>CV22+預測IC!CW22</f>
        <v>0.71224352061545093</v>
      </c>
      <c r="CX22" s="26">
        <f>CW22+預測IC!CX22</f>
        <v>0.71599311388329989</v>
      </c>
      <c r="CY22" s="26">
        <f>CX22+預測IC!CY22</f>
        <v>0.70800428810979077</v>
      </c>
      <c r="CZ22" s="26">
        <f>CY22+預測IC!CZ22</f>
        <v>0.97092477270902988</v>
      </c>
      <c r="DA22" s="26">
        <f>CZ22+預測IC!DA22</f>
        <v>0.96693301882710581</v>
      </c>
      <c r="DB22" s="26">
        <f>DA22+預測IC!DB22</f>
        <v>0.9366696601074872</v>
      </c>
      <c r="DC22" s="26">
        <f>DB22+預測IC!DC22</f>
        <v>0.89717533015759032</v>
      </c>
      <c r="DD22" s="26">
        <f>DC22+預測IC!DD22</f>
        <v>1.0450694327303938</v>
      </c>
      <c r="DE22" s="26">
        <f>DD22+預測IC!DE22</f>
        <v>1.0395776747484435</v>
      </c>
      <c r="DF22" s="26">
        <f>DE22+預測IC!DF22</f>
        <v>1.0566094500219967</v>
      </c>
      <c r="DG22" s="26">
        <f>DF22+預測IC!DG22</f>
        <v>1.0885944931028844</v>
      </c>
      <c r="DH22" s="26">
        <f>DG22+預測IC!DH22</f>
        <v>1.1025398392863883</v>
      </c>
      <c r="DI22" s="26">
        <f>DH22+預測IC!DI22</f>
        <v>1.1661008385486378</v>
      </c>
      <c r="DJ22" s="26">
        <f>DI22+預測IC!DJ22</f>
        <v>1.115854832715542</v>
      </c>
      <c r="DK22" s="26">
        <f>DJ22+預測IC!DK22</f>
        <v>1.2949895465383821</v>
      </c>
      <c r="DL22" s="26">
        <f>DK22+預測IC!DL22</f>
        <v>1.4199311942757651</v>
      </c>
      <c r="DM22" s="26">
        <f>DL22+預測IC!DM22</f>
        <v>1.3564651432377315</v>
      </c>
      <c r="DN22" s="26">
        <f>DM22+預測IC!DN22</f>
        <v>1.4032284714417389</v>
      </c>
      <c r="DO22" s="26">
        <f>DN22+預測IC!DO22</f>
        <v>1.5266659727533771</v>
      </c>
      <c r="DP22" s="26">
        <f>DO22+預測IC!DP22</f>
        <v>1.5288382960924074</v>
      </c>
      <c r="DQ22" s="26">
        <f>DP22+預測IC!DQ22</f>
        <v>1.3978072922729674</v>
      </c>
      <c r="DR22" s="26">
        <f>DQ22+預測IC!DR22</f>
        <v>1.3917147396576495</v>
      </c>
      <c r="DS22" s="26">
        <f>DR22+預測IC!DS22</f>
        <v>1.1946638180952902</v>
      </c>
      <c r="DT22" s="26">
        <f>DS22+預測IC!DT22</f>
        <v>1.1682874618590895</v>
      </c>
      <c r="DU22" s="26">
        <f>DT22+預測IC!DU22</f>
        <v>1.1107920710222505</v>
      </c>
      <c r="DV22" s="26">
        <f>DU22+預測IC!DV22</f>
        <v>1.2364971887004286</v>
      </c>
      <c r="DW22" s="26">
        <f>DV22+預測IC!DW22</f>
        <v>1.346000255341993</v>
      </c>
      <c r="DX22" s="26">
        <f>DW22+預測IC!DX22</f>
        <v>1.1235576468936983</v>
      </c>
      <c r="DY22" s="26">
        <f>DX22+預測IC!DY22</f>
        <v>1.1154105302681583</v>
      </c>
      <c r="DZ22" s="26">
        <f>DY22+預測IC!DZ22</f>
        <v>1.0116625493226006</v>
      </c>
      <c r="EA22" s="26">
        <f>DZ22+預測IC!EA22</f>
        <v>0.94111390048324184</v>
      </c>
      <c r="EB22" s="26">
        <f>EA22+預測IC!EB22</f>
        <v>0.86051717294792385</v>
      </c>
      <c r="EC22" s="26">
        <f>EB22+預測IC!EC22</f>
        <v>0.88201227452356201</v>
      </c>
      <c r="ED22" s="26">
        <f>EC22+預測IC!ED22</f>
        <v>0.80459870746595452</v>
      </c>
      <c r="EE22" s="26">
        <f>ED22+預測IC!EE22</f>
        <v>0.83804501127816788</v>
      </c>
      <c r="EF22" s="26">
        <f>EE22+預測IC!EF22</f>
        <v>0.80325476490599557</v>
      </c>
    </row>
    <row r="23" spans="1:136">
      <c r="A23" s="4">
        <v>482</v>
      </c>
      <c r="B23" s="4">
        <v>2</v>
      </c>
      <c r="C23" s="26">
        <f>預測IC!C23</f>
        <v>-3.4987009286289193E-2</v>
      </c>
      <c r="D23" s="26">
        <f>C23+預測IC!D23</f>
        <v>0.21910699071371079</v>
      </c>
      <c r="E23" s="26">
        <f>D23+預測IC!E23</f>
        <v>0.13816581814303858</v>
      </c>
      <c r="F23" s="26">
        <f>E23+預測IC!F23</f>
        <v>0.13442381814303858</v>
      </c>
      <c r="G23" s="26">
        <f>F23+預測IC!G23</f>
        <v>0.49605581814303856</v>
      </c>
      <c r="H23" s="26">
        <f>G23+預測IC!H23</f>
        <v>0.47786731814303857</v>
      </c>
      <c r="I23" s="26">
        <f>H23+預測IC!I23</f>
        <v>0.62601934674333259</v>
      </c>
      <c r="J23" s="26">
        <f>I23+預測IC!J23</f>
        <v>0.51114384674333257</v>
      </c>
      <c r="K23" s="26">
        <f>J23+預測IC!K23</f>
        <v>0.45122534674333259</v>
      </c>
      <c r="L23" s="26">
        <f>K23+預測IC!L23</f>
        <v>0.5019963467433326</v>
      </c>
      <c r="M23" s="26">
        <f>L23+預測IC!M23</f>
        <v>0.35470684674333264</v>
      </c>
      <c r="N23" s="26">
        <f>M23+預測IC!N23</f>
        <v>1.3306078467433327</v>
      </c>
      <c r="O23" s="26">
        <f>N23+預測IC!O23</f>
        <v>1.2077078467433326</v>
      </c>
      <c r="P23" s="26">
        <f>O23+預測IC!P23</f>
        <v>1.1173061355612073</v>
      </c>
      <c r="Q23" s="26">
        <f>P23+預測IC!Q23</f>
        <v>1.4084836355612071</v>
      </c>
      <c r="R23" s="26">
        <f>Q23+預測IC!R23</f>
        <v>1.4713036355612072</v>
      </c>
      <c r="S23" s="26">
        <f>R23+預測IC!S23</f>
        <v>1.3575791027339452</v>
      </c>
      <c r="T23" s="26">
        <f>S23+預測IC!T23</f>
        <v>1.2729021027339451</v>
      </c>
      <c r="U23" s="26">
        <f>T23+預測IC!U23</f>
        <v>1.332138602733945</v>
      </c>
      <c r="V23" s="26">
        <f>U23+預測IC!V23</f>
        <v>1.099663102733945</v>
      </c>
      <c r="W23" s="26">
        <f>V23+預測IC!W23</f>
        <v>1.3592101027339449</v>
      </c>
      <c r="X23" s="26">
        <f>W23+預測IC!X23</f>
        <v>1.0951244077706477</v>
      </c>
      <c r="Y23" s="26">
        <f>X23+預測IC!Y23</f>
        <v>1.0271699077706478</v>
      </c>
      <c r="Z23" s="26">
        <f>Y23+預測IC!Z23</f>
        <v>1.0682219077706478</v>
      </c>
      <c r="AA23" s="26">
        <f>Z23+預測IC!AA23</f>
        <v>1.2198739077706477</v>
      </c>
      <c r="AB23" s="26">
        <f>AA23+預測IC!AB23</f>
        <v>1.1721259077706478</v>
      </c>
      <c r="AC23" s="26">
        <f>AB23+預測IC!AC23</f>
        <v>0.93811740777064778</v>
      </c>
      <c r="AD23" s="26">
        <f>AC23+預測IC!AD23</f>
        <v>1.0097444077706479</v>
      </c>
      <c r="AE23" s="26">
        <f>AD23+預測IC!AE23</f>
        <v>0.64776902851709406</v>
      </c>
      <c r="AF23" s="26">
        <f>AE23+預測IC!AF23</f>
        <v>0.62246952851709403</v>
      </c>
      <c r="AG23" s="26">
        <f>AF23+預測IC!AG23</f>
        <v>0.62041402851709404</v>
      </c>
      <c r="AH23" s="26">
        <f>AG23+預測IC!AH23</f>
        <v>0.65769202851709407</v>
      </c>
      <c r="AI23" s="26">
        <f>AH23+預測IC!AI23</f>
        <v>0.86684402851709408</v>
      </c>
      <c r="AJ23" s="26">
        <f>AI23+預測IC!AJ23</f>
        <v>0.8904310285170941</v>
      </c>
      <c r="AK23" s="26">
        <f>AJ23+預測IC!AK23</f>
        <v>0.90899102851709412</v>
      </c>
      <c r="AL23" s="26">
        <f>AK23+預測IC!AL23</f>
        <v>1.0404227417096297</v>
      </c>
      <c r="AM23" s="26">
        <f>AL23+預測IC!AM23</f>
        <v>1.1271177417096296</v>
      </c>
      <c r="AN23" s="26">
        <f>AM23+預測IC!AN23</f>
        <v>1.3694324410669303</v>
      </c>
      <c r="AO23" s="26">
        <f>AN23+預測IC!AO23</f>
        <v>1.7159169410669302</v>
      </c>
      <c r="AP23" s="26">
        <f>AO23+預測IC!AP23</f>
        <v>1.7190380404192358</v>
      </c>
      <c r="AQ23" s="26">
        <f>AP23+預測IC!AQ23</f>
        <v>1.6196590404192357</v>
      </c>
      <c r="AR23" s="26">
        <f>AQ23+預測IC!AR23</f>
        <v>1.4735230404192357</v>
      </c>
      <c r="AS23" s="26">
        <f>AR23+預測IC!AS23</f>
        <v>1.4882299284166132</v>
      </c>
      <c r="AT23" s="26">
        <f>AS23+預測IC!AT23</f>
        <v>1.4468022066029635</v>
      </c>
      <c r="AU23" s="26">
        <f>AT23+預測IC!AU23</f>
        <v>1.4799477327314678</v>
      </c>
      <c r="AV23" s="26">
        <f>AU23+預測IC!AV23</f>
        <v>1.4523087385340938</v>
      </c>
      <c r="AW23" s="26">
        <f>AV23+預測IC!AW23</f>
        <v>1.4002818286956911</v>
      </c>
      <c r="AX23" s="26">
        <f>AW23+預測IC!AX23</f>
        <v>1.4701199825227351</v>
      </c>
      <c r="AY23" s="26">
        <f>AX23+預測IC!AY23</f>
        <v>1.6403539633633173</v>
      </c>
      <c r="AZ23" s="26">
        <f>AY23+預測IC!AZ23</f>
        <v>1.5766003459622571</v>
      </c>
      <c r="BA23" s="26">
        <f>AZ23+預測IC!BA23</f>
        <v>1.5862471260423578</v>
      </c>
      <c r="BB23" s="26">
        <f>BA23+預測IC!BB23</f>
        <v>1.5351976419394728</v>
      </c>
      <c r="BC23" s="26">
        <f>BB23+預測IC!BC23</f>
        <v>1.234369392766407</v>
      </c>
      <c r="BD23" s="26">
        <f>BC23+預測IC!BD23</f>
        <v>1.3292002741128572</v>
      </c>
      <c r="BE23" s="26">
        <f>BD23+預測IC!BE23</f>
        <v>1.2577695117155607</v>
      </c>
      <c r="BF23" s="26">
        <f>BE23+預測IC!BF23</f>
        <v>1.2349225211108745</v>
      </c>
      <c r="BG23" s="26">
        <f>BF23+預測IC!BG23</f>
        <v>1.3096839923076271</v>
      </c>
      <c r="BH23" s="26">
        <f>BG23+預測IC!BH23</f>
        <v>1.10620001095234</v>
      </c>
      <c r="BI23" s="26">
        <f>BH23+預測IC!BI23</f>
        <v>1.2973120902755391</v>
      </c>
      <c r="BJ23" s="26">
        <f>BI23+預測IC!BJ23</f>
        <v>1.401315405543466</v>
      </c>
      <c r="BK23" s="26">
        <f>BJ23+預測IC!BK23</f>
        <v>1.40600238325439</v>
      </c>
      <c r="BL23" s="26">
        <f>BK23+預測IC!BL23</f>
        <v>1.5555366795046295</v>
      </c>
      <c r="BM23" s="26">
        <f>BL23+預測IC!BM23</f>
        <v>1.7447173662917834</v>
      </c>
      <c r="BN23" s="26">
        <f>BM23+預測IC!BN23</f>
        <v>1.7377701955329703</v>
      </c>
      <c r="BO23" s="26">
        <f>BN23+預測IC!BO23</f>
        <v>1.5714600296402799</v>
      </c>
      <c r="BP23" s="26">
        <f>BO23+預測IC!BP23</f>
        <v>1.6697264288517364</v>
      </c>
      <c r="BQ23" s="26">
        <f>BP23+預測IC!BQ23</f>
        <v>1.7193382701397275</v>
      </c>
      <c r="BR23" s="26">
        <f>BQ23+預測IC!BR23</f>
        <v>1.7371825916036903</v>
      </c>
      <c r="BS23" s="26">
        <f>BR23+預測IC!BS23</f>
        <v>1.6639072029457784</v>
      </c>
      <c r="BT23" s="26">
        <f>BS23+預測IC!BT23</f>
        <v>1.8075570089717756</v>
      </c>
      <c r="BU23" s="26">
        <f>BT23+預測IC!BU23</f>
        <v>2.0132447448177215</v>
      </c>
      <c r="BV23" s="26">
        <f>BU23+預測IC!BV23</f>
        <v>2.1267123131779102</v>
      </c>
      <c r="BW23" s="26">
        <f>BV23+預測IC!BW23</f>
        <v>1.9245599799022191</v>
      </c>
      <c r="BX23" s="26">
        <f>BW23+預測IC!BX23</f>
        <v>1.9163468601749658</v>
      </c>
      <c r="BY23" s="26">
        <f>BX23+預測IC!BY23</f>
        <v>1.9061411674806181</v>
      </c>
      <c r="BZ23" s="26">
        <f>BY23+預測IC!BZ23</f>
        <v>1.913810929912463</v>
      </c>
      <c r="CA23" s="26">
        <f>BZ23+預測IC!CA23</f>
        <v>1.8381577301658338</v>
      </c>
      <c r="CB23" s="26">
        <f>CA23+預測IC!CB23</f>
        <v>1.6205435271733939</v>
      </c>
      <c r="CC23" s="26">
        <f>CB23+預測IC!CC23</f>
        <v>1.845502154669074</v>
      </c>
      <c r="CD23" s="26">
        <f>CC23+預測IC!CD23</f>
        <v>2.0371786096838589</v>
      </c>
      <c r="CE23" s="26">
        <f>CD23+預測IC!CE23</f>
        <v>1.9205540028873975</v>
      </c>
      <c r="CF23" s="26">
        <f>CE23+預測IC!CF23</f>
        <v>2.0776889126785627</v>
      </c>
      <c r="CG23" s="26">
        <f>CF23+預測IC!CG23</f>
        <v>1.6844451247548859</v>
      </c>
      <c r="CH23" s="26">
        <f>CG23+預測IC!CH23</f>
        <v>1.8646415736763142</v>
      </c>
      <c r="CI23" s="26">
        <f>CH23+預測IC!CI23</f>
        <v>1.5547421565482173</v>
      </c>
      <c r="CJ23" s="26">
        <f>CI23+預測IC!CJ23</f>
        <v>1.5348667889978067</v>
      </c>
      <c r="CK23" s="26">
        <f>CJ23+預測IC!CK23</f>
        <v>1.6309837837257684</v>
      </c>
      <c r="CL23" s="26">
        <f>CK23+預測IC!CL23</f>
        <v>1.22232277105835</v>
      </c>
      <c r="CM23" s="26">
        <f>CL23+預測IC!CM23</f>
        <v>1.6090557175812594</v>
      </c>
      <c r="CN23" s="26">
        <f>CM23+預測IC!CN23</f>
        <v>1.5560505392114561</v>
      </c>
      <c r="CO23" s="26">
        <f>CN23+預測IC!CO23</f>
        <v>0.6471272518458363</v>
      </c>
      <c r="CP23" s="26">
        <f>CO23+預測IC!CP23</f>
        <v>0.95848799500859294</v>
      </c>
      <c r="CQ23" s="26">
        <f>CP23+預測IC!CQ23</f>
        <v>0.94930425050878708</v>
      </c>
      <c r="CR23" s="26">
        <f>CQ23+預測IC!CR23</f>
        <v>1.0880296382654091</v>
      </c>
      <c r="CS23" s="26">
        <f>CR23+預測IC!CS23</f>
        <v>1.0510554192741306</v>
      </c>
      <c r="CT23" s="26">
        <f>CS23+預測IC!CT23</f>
        <v>1.0967179609853845</v>
      </c>
      <c r="CU23" s="26">
        <f>CT23+預測IC!CU23</f>
        <v>1.0756613652720974</v>
      </c>
      <c r="CV23" s="26">
        <f>CU23+預測IC!CV23</f>
        <v>1.0534162277832917</v>
      </c>
      <c r="CW23" s="26">
        <f>CV23+預測IC!CW23</f>
        <v>1.1543175595857103</v>
      </c>
      <c r="CX23" s="26">
        <f>CW23+預測IC!CX23</f>
        <v>1.0656005654891838</v>
      </c>
      <c r="CY23" s="26">
        <f>CX23+預測IC!CY23</f>
        <v>1.0876470962425624</v>
      </c>
      <c r="CZ23" s="26">
        <f>CY23+預測IC!CZ23</f>
        <v>1.2696458900999137</v>
      </c>
      <c r="DA23" s="26">
        <f>CZ23+預測IC!DA23</f>
        <v>1.2386637538740033</v>
      </c>
      <c r="DB23" s="26">
        <f>DA23+預測IC!DB23</f>
        <v>1.2227085970070068</v>
      </c>
      <c r="DC23" s="26">
        <f>DB23+預測IC!DC23</f>
        <v>1.3418990830774211</v>
      </c>
      <c r="DD23" s="26">
        <f>DC23+預測IC!DD23</f>
        <v>1.5518261731703467</v>
      </c>
      <c r="DE23" s="26">
        <f>DD23+預測IC!DE23</f>
        <v>1.5424309472187017</v>
      </c>
      <c r="DF23" s="26">
        <f>DE23+預測IC!DF23</f>
        <v>1.6043730742636071</v>
      </c>
      <c r="DG23" s="26">
        <f>DF23+預測IC!DG23</f>
        <v>1.6426430861383241</v>
      </c>
      <c r="DH23" s="26">
        <f>DG23+預測IC!DH23</f>
        <v>1.6980565334470665</v>
      </c>
      <c r="DI23" s="26">
        <f>DH23+預測IC!DI23</f>
        <v>1.7515361303630874</v>
      </c>
      <c r="DJ23" s="26">
        <f>DI23+預測IC!DJ23</f>
        <v>1.6644781221907397</v>
      </c>
      <c r="DK23" s="26">
        <f>DJ23+預測IC!DK23</f>
        <v>1.9423113387495827</v>
      </c>
      <c r="DL23" s="26">
        <f>DK23+預測IC!DL23</f>
        <v>2.1584123982898564</v>
      </c>
      <c r="DM23" s="26">
        <f>DL23+預測IC!DM23</f>
        <v>2.1389150933704904</v>
      </c>
      <c r="DN23" s="26">
        <f>DM23+預測IC!DN23</f>
        <v>2.1454122894144607</v>
      </c>
      <c r="DO23" s="26">
        <f>DN23+預測IC!DO23</f>
        <v>2.3095035931482948</v>
      </c>
      <c r="DP23" s="26">
        <f>DO23+預測IC!DP23</f>
        <v>2.3565918258040175</v>
      </c>
      <c r="DQ23" s="26">
        <f>DP23+預測IC!DQ23</f>
        <v>2.1863808293004796</v>
      </c>
      <c r="DR23" s="26">
        <f>DQ23+預測IC!DR23</f>
        <v>2.096494826569173</v>
      </c>
      <c r="DS23" s="26">
        <f>DR23+預測IC!DS23</f>
        <v>1.8083982496501267</v>
      </c>
      <c r="DT23" s="26">
        <f>DS23+預測IC!DT23</f>
        <v>1.6844430264539278</v>
      </c>
      <c r="DU23" s="26">
        <f>DT23+預測IC!DU23</f>
        <v>1.7187302117089254</v>
      </c>
      <c r="DV23" s="26">
        <f>DU23+預測IC!DV23</f>
        <v>1.995001820038365</v>
      </c>
      <c r="DW23" s="26">
        <f>DV23+預測IC!DW23</f>
        <v>2.1362300526212037</v>
      </c>
      <c r="DX23" s="26">
        <f>DW23+預測IC!DX23</f>
        <v>1.8227368462422375</v>
      </c>
      <c r="DY23" s="26">
        <f>DX23+預測IC!DY23</f>
        <v>1.9926136748944916</v>
      </c>
      <c r="DZ23" s="26">
        <f>DY23+預測IC!DZ23</f>
        <v>1.9069227724115303</v>
      </c>
      <c r="EA23" s="26">
        <f>DZ23+預測IC!EA23</f>
        <v>1.8834738647984108</v>
      </c>
      <c r="EB23" s="26">
        <f>EA23+預測IC!EB23</f>
        <v>1.8207204250877358</v>
      </c>
      <c r="EC23" s="26">
        <f>EB23+預測IC!EC23</f>
        <v>1.7841361087619225</v>
      </c>
      <c r="ED23" s="26">
        <f>EC23+預測IC!ED23</f>
        <v>1.6927102041421416</v>
      </c>
      <c r="EE23" s="26">
        <f>ED23+預測IC!EE23</f>
        <v>1.7517608880303819</v>
      </c>
      <c r="EF23" s="26">
        <f>EE23+預測IC!EF23</f>
        <v>1.7039786094387221</v>
      </c>
    </row>
    <row r="24" spans="1:136">
      <c r="A24" s="4">
        <v>964</v>
      </c>
      <c r="B24" s="4">
        <v>1</v>
      </c>
      <c r="C24" s="26">
        <f>預測IC!C24</f>
        <v>0.162993136931085</v>
      </c>
      <c r="D24" s="26">
        <f>C24+預測IC!D24</f>
        <v>0.263603136931085</v>
      </c>
      <c r="E24" s="26">
        <f>D24+預測IC!E24</f>
        <v>0.33500346710038192</v>
      </c>
      <c r="F24" s="26">
        <f>E24+預測IC!F24</f>
        <v>0.41032946710038193</v>
      </c>
      <c r="G24" s="26">
        <f>F24+預測IC!G24</f>
        <v>0.63993646710038199</v>
      </c>
      <c r="H24" s="26">
        <f>G24+預測IC!H24</f>
        <v>0.67579246710038199</v>
      </c>
      <c r="I24" s="26">
        <f>H24+預測IC!I24</f>
        <v>0.67368053389723848</v>
      </c>
      <c r="J24" s="26">
        <f>I24+預測IC!J24</f>
        <v>0.55821953389723844</v>
      </c>
      <c r="K24" s="26">
        <f>J24+預測IC!K24</f>
        <v>0.61195253389723847</v>
      </c>
      <c r="L24" s="26">
        <f>K24+預測IC!L24</f>
        <v>0.70575253389723847</v>
      </c>
      <c r="M24" s="26">
        <f>L24+預測IC!M24</f>
        <v>0.48796653389723843</v>
      </c>
      <c r="N24" s="26">
        <f>M24+預測IC!N24</f>
        <v>2.2569985338972383</v>
      </c>
      <c r="O24" s="26">
        <f>N24+預測IC!O24</f>
        <v>2.0127185338972384</v>
      </c>
      <c r="P24" s="26">
        <f>O24+預測IC!P24</f>
        <v>1.908470119488239</v>
      </c>
      <c r="Q24" s="26">
        <f>P24+預測IC!Q24</f>
        <v>1.905630119488239</v>
      </c>
      <c r="R24" s="26">
        <f>Q24+預測IC!R24</f>
        <v>1.877803119488239</v>
      </c>
      <c r="S24" s="26">
        <f>R24+預測IC!S24</f>
        <v>1.5252886584280745</v>
      </c>
      <c r="T24" s="26">
        <f>S24+預測IC!T24</f>
        <v>1.2374686584280745</v>
      </c>
      <c r="U24" s="26">
        <f>T24+預測IC!U24</f>
        <v>1.5233216584280744</v>
      </c>
      <c r="V24" s="26">
        <f>U24+預測IC!V24</f>
        <v>1.4246416584280743</v>
      </c>
      <c r="W24" s="26">
        <f>V24+預測IC!W24</f>
        <v>1.2600796584280742</v>
      </c>
      <c r="X24" s="26">
        <f>W24+預測IC!X24</f>
        <v>1.1420572259220703</v>
      </c>
      <c r="Y24" s="26">
        <f>X24+預測IC!Y24</f>
        <v>1.0217382259220702</v>
      </c>
      <c r="Z24" s="26">
        <f>Y24+預測IC!Z24</f>
        <v>0.99734322592207025</v>
      </c>
      <c r="AA24" s="26">
        <f>Z24+預測IC!AA24</f>
        <v>1.0917052259220703</v>
      </c>
      <c r="AB24" s="26">
        <f>AA24+預測IC!AB24</f>
        <v>0.90745622592207031</v>
      </c>
      <c r="AC24" s="26">
        <f>AB24+預測IC!AC24</f>
        <v>0.66128622592207031</v>
      </c>
      <c r="AD24" s="26">
        <f>AC24+預測IC!AD24</f>
        <v>0.7624602259220703</v>
      </c>
      <c r="AE24" s="26">
        <f>AD24+預測IC!AE24</f>
        <v>0.22120210467578905</v>
      </c>
      <c r="AF24" s="26">
        <f>AE24+預測IC!AF24</f>
        <v>5.5500104675789058E-2</v>
      </c>
      <c r="AG24" s="26">
        <f>AF24+預測IC!AG24</f>
        <v>0.16140110467578905</v>
      </c>
      <c r="AH24" s="26">
        <f>AG24+預測IC!AH24</f>
        <v>9.2784104675789056E-2</v>
      </c>
      <c r="AI24" s="26">
        <f>AH24+預測IC!AI24</f>
        <v>0.40319810467578909</v>
      </c>
      <c r="AJ24" s="26">
        <f>AI24+預測IC!AJ24</f>
        <v>0.48863310467578908</v>
      </c>
      <c r="AK24" s="26">
        <f>AJ24+預測IC!AK24</f>
        <v>0.49007310467578907</v>
      </c>
      <c r="AL24" s="26">
        <f>AK24+預測IC!AL24</f>
        <v>0.43539616918515367</v>
      </c>
      <c r="AM24" s="26">
        <f>AL24+預測IC!AM24</f>
        <v>0.51399516918515364</v>
      </c>
      <c r="AN24" s="26">
        <f>AM24+預測IC!AN24</f>
        <v>0.73518463433058501</v>
      </c>
      <c r="AO24" s="26">
        <f>AN24+預測IC!AO24</f>
        <v>0.817876634330585</v>
      </c>
      <c r="AP24" s="26">
        <f>AO24+預測IC!AP24</f>
        <v>0.79502491884148863</v>
      </c>
      <c r="AQ24" s="26">
        <f>AP24+預測IC!AQ24</f>
        <v>0.57790091884148864</v>
      </c>
      <c r="AR24" s="26">
        <f>AQ24+預測IC!AR24</f>
        <v>0.40706791884148863</v>
      </c>
      <c r="AS24" s="26">
        <f>AR24+預測IC!AS24</f>
        <v>0.43502399610807868</v>
      </c>
      <c r="AT24" s="26">
        <f>AS24+預測IC!AT24</f>
        <v>0.46548320359278733</v>
      </c>
      <c r="AU24" s="26">
        <f>AT24+預測IC!AU24</f>
        <v>0.50957852345801169</v>
      </c>
      <c r="AV24" s="26">
        <f>AU24+預測IC!AV24</f>
        <v>0.42242657127111582</v>
      </c>
      <c r="AW24" s="26">
        <f>AV24+預測IC!AW24</f>
        <v>0.42741411278215502</v>
      </c>
      <c r="AX24" s="26">
        <f>AW24+預測IC!AX24</f>
        <v>0.45572029937057956</v>
      </c>
      <c r="AY24" s="26">
        <f>AX24+預測IC!AY24</f>
        <v>0.62384759325546901</v>
      </c>
      <c r="AZ24" s="26">
        <f>AY24+預測IC!AZ24</f>
        <v>0.66171466685513425</v>
      </c>
      <c r="BA24" s="26">
        <f>AZ24+預測IC!BA24</f>
        <v>0.6079199347705011</v>
      </c>
      <c r="BB24" s="26">
        <f>BA24+預測IC!BB24</f>
        <v>0.52176090137516629</v>
      </c>
      <c r="BC24" s="26">
        <f>BB24+預測IC!BC24</f>
        <v>-7.7660739648725552E-2</v>
      </c>
      <c r="BD24" s="26">
        <f>BC24+預測IC!BD24</f>
        <v>0.10793447959770966</v>
      </c>
      <c r="BE24" s="26">
        <f>BD24+預測IC!BE24</f>
        <v>6.1870125566022789E-2</v>
      </c>
      <c r="BF24" s="26">
        <f>BE24+預測IC!BF24</f>
        <v>0.14952146162011509</v>
      </c>
      <c r="BG24" s="26">
        <f>BF24+預測IC!BG24</f>
        <v>0.17635742748642602</v>
      </c>
      <c r="BH24" s="26">
        <f>BG24+預測IC!BH24</f>
        <v>-0.20989790942710895</v>
      </c>
      <c r="BI24" s="26">
        <f>BH24+預測IC!BI24</f>
        <v>1.3731196642938148E-2</v>
      </c>
      <c r="BJ24" s="26">
        <f>BI24+預測IC!BJ24</f>
        <v>1.7079512397822731E-2</v>
      </c>
      <c r="BK24" s="26">
        <f>BJ24+預測IC!BK24</f>
        <v>2.1103059292108959E-2</v>
      </c>
      <c r="BL24" s="26">
        <f>BK24+預測IC!BL24</f>
        <v>0.33826735321682561</v>
      </c>
      <c r="BM24" s="26">
        <f>BL24+預測IC!BM24</f>
        <v>0.34974037233456273</v>
      </c>
      <c r="BN24" s="26">
        <f>BM24+預測IC!BN24</f>
        <v>0.35658971418013752</v>
      </c>
      <c r="BO24" s="26">
        <f>BN24+預測IC!BO24</f>
        <v>0.19548002308449561</v>
      </c>
      <c r="BP24" s="26">
        <f>BO24+預測IC!BP24</f>
        <v>0.3188312042138175</v>
      </c>
      <c r="BQ24" s="26">
        <f>BP24+預測IC!BQ24</f>
        <v>0.25466157088370245</v>
      </c>
      <c r="BR24" s="26">
        <f>BQ24+預測IC!BR24</f>
        <v>0.29701779418712015</v>
      </c>
      <c r="BS24" s="26">
        <f>BR24+預測IC!BS24</f>
        <v>0.29573307670266319</v>
      </c>
      <c r="BT24" s="26">
        <f>BS24+預測IC!BT24</f>
        <v>0.41200377275685052</v>
      </c>
      <c r="BU24" s="26">
        <f>BT24+預測IC!BU24</f>
        <v>0.64033040431679122</v>
      </c>
      <c r="BV24" s="26">
        <f>BU24+預測IC!BV24</f>
        <v>0.74805885820477414</v>
      </c>
      <c r="BW24" s="26">
        <f>BV24+預測IC!BW24</f>
        <v>0.68622297456918102</v>
      </c>
      <c r="BX24" s="26">
        <f>BW24+預測IC!BX24</f>
        <v>0.55326291885872325</v>
      </c>
      <c r="BY24" s="26">
        <f>BX24+預測IC!BY24</f>
        <v>0.6630085880261406</v>
      </c>
      <c r="BZ24" s="26">
        <f>BY24+預測IC!BZ24</f>
        <v>0.92190148687613749</v>
      </c>
      <c r="CA24" s="26">
        <f>BZ24+預測IC!CA24</f>
        <v>0.80667980610272283</v>
      </c>
      <c r="CB24" s="26">
        <f>CA24+預測IC!CB24</f>
        <v>1.015441780390592</v>
      </c>
      <c r="CC24" s="26">
        <f>CB24+預測IC!CC24</f>
        <v>1.4552962926575255</v>
      </c>
      <c r="CD24" s="26">
        <f>CC24+預測IC!CD24</f>
        <v>1.4876885600118017</v>
      </c>
      <c r="CE24" s="26">
        <f>CD24+預測IC!CE24</f>
        <v>1.2775671247757132</v>
      </c>
      <c r="CF24" s="26">
        <f>CE24+預測IC!CF24</f>
        <v>1.4992884870211016</v>
      </c>
      <c r="CG24" s="26">
        <f>CF24+預測IC!CG24</f>
        <v>1.1754705080020411</v>
      </c>
      <c r="CH24" s="26">
        <f>CG24+預測IC!CH24</f>
        <v>1.5297478048445441</v>
      </c>
      <c r="CI24" s="26">
        <f>CH24+預測IC!CI24</f>
        <v>1.8581996255538087</v>
      </c>
      <c r="CJ24" s="26">
        <f>CI24+預測IC!CJ24</f>
        <v>1.8713091109732283</v>
      </c>
      <c r="CK24" s="26">
        <f>CJ24+預測IC!CK24</f>
        <v>1.9648391902889248</v>
      </c>
      <c r="CL24" s="26">
        <f>CK24+預測IC!CL24</f>
        <v>2.1065945236614656</v>
      </c>
      <c r="CM24" s="26">
        <f>CL24+預測IC!CM24</f>
        <v>2.6561816336205659</v>
      </c>
      <c r="CN24" s="26">
        <f>CM24+預測IC!CN24</f>
        <v>2.5484428671633528</v>
      </c>
      <c r="CO24" s="26">
        <f>CN24+預測IC!CO24</f>
        <v>1.7717896488271216</v>
      </c>
      <c r="CP24" s="26">
        <f>CO24+預測IC!CP24</f>
        <v>2.0596054200557576</v>
      </c>
      <c r="CQ24" s="26">
        <f>CP24+預測IC!CQ24</f>
        <v>2.1742925939190543</v>
      </c>
      <c r="CR24" s="26">
        <f>CQ24+預測IC!CR24</f>
        <v>2.2353774321586108</v>
      </c>
      <c r="CS24" s="26">
        <f>CR24+預測IC!CS24</f>
        <v>2.1494821994118052</v>
      </c>
      <c r="CT24" s="26">
        <f>CS24+預測IC!CT24</f>
        <v>2.2459012075592009</v>
      </c>
      <c r="CU24" s="26">
        <f>CT24+預測IC!CU24</f>
        <v>2.173149859902491</v>
      </c>
      <c r="CV24" s="26">
        <f>CU24+預測IC!CV24</f>
        <v>2.1882139074418663</v>
      </c>
      <c r="CW24" s="26">
        <f>CV24+預測IC!CW24</f>
        <v>2.3633310735138737</v>
      </c>
      <c r="CX24" s="26">
        <f>CW24+預測IC!CX24</f>
        <v>2.4185382672225608</v>
      </c>
      <c r="CY24" s="26">
        <f>CX24+預測IC!CY24</f>
        <v>2.3384713625857421</v>
      </c>
      <c r="CZ24" s="26">
        <f>CY24+預測IC!CZ24</f>
        <v>2.4506779910303091</v>
      </c>
      <c r="DA24" s="26">
        <f>CZ24+預測IC!DA24</f>
        <v>2.4751891951930638</v>
      </c>
      <c r="DB24" s="26">
        <f>DA24+預測IC!DB24</f>
        <v>2.2797285226804096</v>
      </c>
      <c r="DC24" s="26">
        <f>DB24+預測IC!DC24</f>
        <v>2.4741821209716273</v>
      </c>
      <c r="DD24" s="26">
        <f>DC24+預測IC!DD24</f>
        <v>2.6275635017107333</v>
      </c>
      <c r="DE24" s="26">
        <f>DD24+預測IC!DE24</f>
        <v>2.4515007442011982</v>
      </c>
      <c r="DF24" s="26">
        <f>DE24+預測IC!DF24</f>
        <v>2.3468357681806369</v>
      </c>
      <c r="DG24" s="26">
        <f>DF24+預測IC!DG24</f>
        <v>2.4059416023049809</v>
      </c>
      <c r="DH24" s="26">
        <f>DG24+預測IC!DH24</f>
        <v>2.5053085828049202</v>
      </c>
      <c r="DI24" s="26">
        <f>DH24+預測IC!DI24</f>
        <v>2.6471840417431896</v>
      </c>
      <c r="DJ24" s="26">
        <f>DI24+預測IC!DJ24</f>
        <v>2.51469543123395</v>
      </c>
      <c r="DK24" s="26">
        <f>DJ24+預測IC!DK24</f>
        <v>2.8542046418643938</v>
      </c>
      <c r="DL24" s="26">
        <f>DK24+預測IC!DL24</f>
        <v>3.067309068150275</v>
      </c>
      <c r="DM24" s="26">
        <f>DL24+預測IC!DM24</f>
        <v>2.9258695409234003</v>
      </c>
      <c r="DN24" s="26">
        <f>DM24+預測IC!DN24</f>
        <v>3.1592041116980965</v>
      </c>
      <c r="DO24" s="26">
        <f>DN24+預測IC!DO24</f>
        <v>3.3446449143307841</v>
      </c>
      <c r="DP24" s="26">
        <f>DO24+預測IC!DP24</f>
        <v>3.4590183398167982</v>
      </c>
      <c r="DQ24" s="26">
        <f>DP24+預測IC!DQ24</f>
        <v>3.3260409885808282</v>
      </c>
      <c r="DR24" s="26">
        <f>DQ24+預測IC!DR24</f>
        <v>3.3055253583687989</v>
      </c>
      <c r="DS24" s="26">
        <f>DR24+預測IC!DS24</f>
        <v>3.0892638173359535</v>
      </c>
      <c r="DT24" s="26">
        <f>DS24+預測IC!DT24</f>
        <v>3.0509009511658238</v>
      </c>
      <c r="DU24" s="26">
        <f>DT24+預測IC!DU24</f>
        <v>3.0032623638920661</v>
      </c>
      <c r="DV24" s="26">
        <f>DU24+預測IC!DV24</f>
        <v>3.1614870625358806</v>
      </c>
      <c r="DW24" s="26">
        <f>DV24+預測IC!DW24</f>
        <v>3.270344152427211</v>
      </c>
      <c r="DX24" s="26">
        <f>DW24+預測IC!DX24</f>
        <v>2.9587510246347071</v>
      </c>
      <c r="DY24" s="26">
        <f>DX24+預測IC!DY24</f>
        <v>3.3025553114329158</v>
      </c>
      <c r="DZ24" s="26">
        <f>DY24+預測IC!DZ24</f>
        <v>3.2520861290297991</v>
      </c>
      <c r="EA24" s="26">
        <f>DZ24+預測IC!EA24</f>
        <v>3.329437051257135</v>
      </c>
      <c r="EB24" s="26">
        <f>EA24+預測IC!EB24</f>
        <v>3.3578087881678718</v>
      </c>
      <c r="EC24" s="26">
        <f>EB24+預測IC!EC24</f>
        <v>3.3434988693971928</v>
      </c>
      <c r="ED24" s="26">
        <f>EC24+預測IC!ED24</f>
        <v>3.2873260240988307</v>
      </c>
      <c r="EE24" s="26">
        <f>ED24+預測IC!EE24</f>
        <v>3.4007554632900496</v>
      </c>
      <c r="EF24" s="26">
        <f>EE24+預測IC!EF24</f>
        <v>3.4680321403340182</v>
      </c>
    </row>
    <row r="25" spans="1:136" s="2" customFormat="1">
      <c r="A25" s="3" t="s">
        <v>144</v>
      </c>
      <c r="B25" s="3" t="s">
        <v>145</v>
      </c>
      <c r="C25" s="30">
        <v>-1.7446770539390338E-2</v>
      </c>
      <c r="D25" s="31">
        <f>C25+預測IC!D26</f>
        <v>3.2542899924252917E-3</v>
      </c>
      <c r="E25" s="31">
        <f>D25+預測IC!E26</f>
        <v>2.7236419247192001E-2</v>
      </c>
      <c r="F25" s="31">
        <f>E25+預測IC!F26</f>
        <v>2.0678840274368924E-2</v>
      </c>
      <c r="G25" s="31">
        <f>F25+預測IC!G26</f>
        <v>5.2523970074888612E-2</v>
      </c>
      <c r="H25" s="31">
        <f>G25+預測IC!H26</f>
        <v>8.6872502811879138E-2</v>
      </c>
      <c r="I25" s="31">
        <f>H25+預測IC!I26</f>
        <v>7.8617570030553904E-2</v>
      </c>
      <c r="J25" s="31">
        <f>I25+預測IC!J26</f>
        <v>9.1461094424606662E-2</v>
      </c>
      <c r="K25" s="31">
        <f>J25+預測IC!K26</f>
        <v>4.0442569797815839E-2</v>
      </c>
      <c r="L25" s="31">
        <f>K25+預測IC!L26</f>
        <v>4.1316512538852428E-2</v>
      </c>
      <c r="M25" s="31">
        <f>L25+預測IC!M26</f>
        <v>6.4706088044348353E-2</v>
      </c>
      <c r="N25" s="31">
        <f>M25+預測IC!N26</f>
        <v>7.7695060244681202E-2</v>
      </c>
      <c r="O25" s="31">
        <f>N25+預測IC!O26</f>
        <v>8.3549648970316082E-2</v>
      </c>
      <c r="P25" s="31">
        <f>O25+預測IC!P26</f>
        <v>0.11096285554210664</v>
      </c>
      <c r="Q25" s="31">
        <f>P25+預測IC!Q26</f>
        <v>0.10724991942441378</v>
      </c>
      <c r="R25" s="31">
        <f>Q25+預測IC!R26</f>
        <v>0.13132653347223711</v>
      </c>
      <c r="S25" s="31">
        <f>R25+預測IC!S26</f>
        <v>0.11913650817319715</v>
      </c>
      <c r="T25" s="31">
        <f>S25+預測IC!T26</f>
        <v>7.9386930013607554E-2</v>
      </c>
      <c r="U25" s="31">
        <f>T25+預測IC!U26</f>
        <v>6.2314801819580018E-3</v>
      </c>
      <c r="V25" s="31">
        <f>U25+預測IC!V26</f>
        <v>-5.2028749728156659E-2</v>
      </c>
      <c r="W25" s="31">
        <f>V25+預測IC!W26</f>
        <v>-5.1255952162648284E-2</v>
      </c>
      <c r="X25" s="31">
        <f>W25+預測IC!X26</f>
        <v>-6.6644310274293142E-3</v>
      </c>
      <c r="Y25" s="31">
        <f>X25+預測IC!Y26</f>
        <v>-3.4364111077642409E-2</v>
      </c>
      <c r="Z25" s="31">
        <f>Y25+預測IC!Z26</f>
        <v>-3.226910512789876E-2</v>
      </c>
      <c r="AA25" s="31">
        <f>Z25+預測IC!AA26</f>
        <v>-5.5669656120462874E-2</v>
      </c>
      <c r="AB25" s="31">
        <f>AA25+預測IC!AB26</f>
        <v>-2.3540285023140685E-2</v>
      </c>
      <c r="AC25" s="31">
        <f>AB25+預測IC!AC26</f>
        <v>1.5362988070925745E-2</v>
      </c>
      <c r="AD25" s="31">
        <f>AC25+預測IC!AD26</f>
        <v>-2.7502394100178525E-2</v>
      </c>
      <c r="AE25" s="31">
        <f>AD25+預測IC!AE26</f>
        <v>-8.8551995500263658E-3</v>
      </c>
      <c r="AF25" s="31">
        <f>AE25+預測IC!AF26</f>
        <v>6.3745687725025833E-3</v>
      </c>
      <c r="AG25" s="31">
        <f>AF25+預測IC!AG26</f>
        <v>4.2391172551395004E-2</v>
      </c>
      <c r="AH25" s="31">
        <f>AG25+預測IC!AH26</f>
        <v>5.174578393671117E-2</v>
      </c>
      <c r="AI25" s="31">
        <f>AH25+預測IC!AI26</f>
        <v>6.2494035273549312E-2</v>
      </c>
      <c r="AJ25" s="31">
        <f>AI25+預測IC!AJ26</f>
        <v>7.5851789326630281E-2</v>
      </c>
      <c r="AK25" s="31">
        <f>AJ25+預測IC!AK26</f>
        <v>7.0519041997534893E-2</v>
      </c>
      <c r="AL25" s="31">
        <f>AK25+預測IC!AL26</f>
        <v>7.1902177804796574E-2</v>
      </c>
      <c r="AM25" s="31">
        <f>AL25+預測IC!AM26</f>
        <v>9.2698106224871041E-2</v>
      </c>
      <c r="AN25" s="31">
        <f>AM25+預測IC!AN26</f>
        <v>0.12421580844526167</v>
      </c>
      <c r="AO25" s="31">
        <f>AN25+預測IC!AO26</f>
        <v>0.13045752497859112</v>
      </c>
      <c r="AP25" s="31">
        <f>AO25+預測IC!AP26</f>
        <v>0.13660278663216249</v>
      </c>
      <c r="AQ25" s="31">
        <f>AP25+預測IC!AQ26</f>
        <v>0.15354914430885899</v>
      </c>
      <c r="AR25" s="31">
        <f>AQ25+預測IC!AR26</f>
        <v>0.18823197476316722</v>
      </c>
      <c r="AS25" s="31">
        <f>AR25+預測IC!AS26</f>
        <v>0.19133056338036419</v>
      </c>
      <c r="AT25" s="31">
        <f>AS25+預測IC!AT26</f>
        <v>0.2064119105238503</v>
      </c>
      <c r="AU25" s="31">
        <f>AT25+預測IC!AU26</f>
        <v>0.18716070129398632</v>
      </c>
      <c r="AV25" s="31">
        <f>AU25+預測IC!AV26</f>
        <v>0.22587221468161775</v>
      </c>
      <c r="AW25" s="31">
        <f>AV25+預測IC!AW26</f>
        <v>0.20401526354588115</v>
      </c>
      <c r="AX25" s="31">
        <f>AW25+預測IC!AX26</f>
        <v>0.21178956425567083</v>
      </c>
      <c r="AY25" s="31">
        <f>AX25+預測IC!AY26</f>
        <v>0.25418681095099677</v>
      </c>
      <c r="AZ25" s="31">
        <f>AY25+預測IC!AZ26</f>
        <v>0.22787783608983703</v>
      </c>
      <c r="BA25" s="31">
        <f>AZ25+預測IC!BA26</f>
        <v>0.23744958539855326</v>
      </c>
      <c r="BB25" s="31">
        <f>BA25+預測IC!BB26</f>
        <v>0.21319984413227844</v>
      </c>
      <c r="BC25" s="31">
        <f>BB25+預測IC!BC26</f>
        <v>0.23336321827619427</v>
      </c>
      <c r="BD25" s="31">
        <f>BC25+預測IC!BD26</f>
        <v>0.22985821949407825</v>
      </c>
      <c r="BE25" s="31">
        <f>BD25+預測IC!BE26</f>
        <v>0.25001015459262055</v>
      </c>
      <c r="BF25" s="31">
        <f>BE25+預測IC!BF26</f>
        <v>0.25059149082339083</v>
      </c>
      <c r="BG25" s="31">
        <f>BF25+預測IC!BG26</f>
        <v>0.24537178987013822</v>
      </c>
      <c r="BH25" s="31">
        <f>BG25+預測IC!BH26</f>
        <v>0.12950002846800823</v>
      </c>
      <c r="BI25" s="31">
        <f>BH25+預測IC!BI26</f>
        <v>0.13822525416044559</v>
      </c>
      <c r="BJ25" s="31">
        <f>BI25+預測IC!BJ26</f>
        <v>0.12184799318262345</v>
      </c>
      <c r="BK25" s="31">
        <f>BJ25+預測IC!BK26</f>
        <v>0.14268836478288388</v>
      </c>
      <c r="BL25" s="31">
        <f>BK25+預測IC!BL26</f>
        <v>0.18766423688499859</v>
      </c>
      <c r="BM25" s="31">
        <f>BL25+預測IC!BM26</f>
        <v>0.21161854296686244</v>
      </c>
      <c r="BN25" s="31">
        <f>BM25+預測IC!BN26</f>
        <v>0.24185764435830504</v>
      </c>
      <c r="BO25" s="31">
        <f>BN25+預測IC!BO26</f>
        <v>0.19813175676721753</v>
      </c>
      <c r="BP25" s="31">
        <f>BO25+預測IC!BP26</f>
        <v>0.22002122633541615</v>
      </c>
      <c r="BQ25" s="31">
        <f>BP25+預測IC!BQ26</f>
        <v>0.22864865659892455</v>
      </c>
      <c r="BR25" s="31">
        <f>BQ25+預測IC!BR26</f>
        <v>0.20945570260426577</v>
      </c>
      <c r="BS25" s="31">
        <f>BR25+預測IC!BS26</f>
        <v>0.22919083249239883</v>
      </c>
      <c r="BT25" s="31">
        <f>BS25+預測IC!BT26</f>
        <v>0.27688516997609824</v>
      </c>
      <c r="BU25" s="31">
        <f>BT25+預測IC!BU26</f>
        <v>0.28833998678268163</v>
      </c>
      <c r="BV25" s="31">
        <f>BU25+預測IC!BV26</f>
        <v>0.33156860751789485</v>
      </c>
      <c r="BW25" s="31">
        <f>BV25+預測IC!BW26</f>
        <v>0.28882117708097205</v>
      </c>
      <c r="BX25" s="31">
        <f>BW25+預測IC!BX26</f>
        <v>0.27100988465317749</v>
      </c>
      <c r="BY25" s="31">
        <f>BX25+預測IC!BY26</f>
        <v>0.11985678778410189</v>
      </c>
      <c r="BZ25" s="31">
        <f>BY25+預測IC!BZ26</f>
        <v>0.24408079140367717</v>
      </c>
      <c r="CA25" s="31">
        <f>BZ25+預測IC!CA26</f>
        <v>0.23952353755914751</v>
      </c>
      <c r="CB25" s="31">
        <f>CA25+預測IC!CB26</f>
        <v>0.29973477776405871</v>
      </c>
      <c r="CC25" s="31">
        <f>CB25+預測IC!CC26</f>
        <v>0.385726811246561</v>
      </c>
      <c r="CD25" s="31">
        <f>CC25+預測IC!CD26</f>
        <v>0.37991833166419492</v>
      </c>
      <c r="CE25" s="31">
        <f>CD25+預測IC!CE26</f>
        <v>0.37387698467522684</v>
      </c>
      <c r="CF25" s="31">
        <f>CE25+預測IC!CF26</f>
        <v>0.37632930904747891</v>
      </c>
      <c r="CG25" s="31">
        <f>CF25+預測IC!CG26</f>
        <v>0.46596556098450181</v>
      </c>
      <c r="CH25" s="31">
        <f>CG25+預測IC!CH26</f>
        <v>0.53695829351125968</v>
      </c>
      <c r="CI25" s="31">
        <f>CH25+預測IC!CI26</f>
        <v>0.56412893641304307</v>
      </c>
      <c r="CJ25" s="31">
        <f>CI25+預測IC!CJ26</f>
        <v>0.61659736483837313</v>
      </c>
      <c r="CK25" s="31">
        <f>CJ25+預測IC!CK26</f>
        <v>0.64607802578142259</v>
      </c>
      <c r="CL25" s="31">
        <f>CK25+預測IC!CL26</f>
        <v>0.71290310684162383</v>
      </c>
      <c r="CM25" s="31">
        <f>CL25+預測IC!CM26</f>
        <v>0.68413087782180682</v>
      </c>
      <c r="CN25" s="31">
        <f>CM25+預測IC!CN26</f>
        <v>0.72359339372344467</v>
      </c>
      <c r="CO25" s="31">
        <f>CN25+預測IC!CO26</f>
        <v>0.69456230674608477</v>
      </c>
      <c r="CP25" s="31">
        <f>CO25+預測IC!CP26</f>
        <v>0.70854618926555268</v>
      </c>
      <c r="CQ25" s="31">
        <f>CP25+預測IC!CQ26</f>
        <v>0.67626922430621883</v>
      </c>
      <c r="CR25" s="31">
        <f>CQ25+預測IC!CR26</f>
        <v>0.6793728009191129</v>
      </c>
      <c r="CS25" s="31">
        <f>CR25+預測IC!CS26</f>
        <v>0.70496465668619601</v>
      </c>
      <c r="CT25" s="31">
        <f>CS25+預測IC!CT26</f>
        <v>0.74935654297338927</v>
      </c>
      <c r="CU25" s="31">
        <f>CT25+預測IC!CU26</f>
        <v>0.71901758442381181</v>
      </c>
      <c r="CV25" s="31">
        <f>CU25+預測IC!CV26</f>
        <v>0.7177596079692401</v>
      </c>
      <c r="CW25" s="31">
        <f>CV25+預測IC!CW26</f>
        <v>0.72009596442509805</v>
      </c>
      <c r="CX25" s="31">
        <f>CW25+預測IC!CX26</f>
        <v>0.655831819499192</v>
      </c>
      <c r="CY25" s="31">
        <f>CX25+預測IC!CY26</f>
        <v>0.66874159895818441</v>
      </c>
      <c r="CZ25" s="31">
        <f>CY25+預測IC!CZ26</f>
        <v>0.54326450428732564</v>
      </c>
      <c r="DA25" s="31">
        <f>CZ25+預測IC!DA26</f>
        <v>0.55495518722711823</v>
      </c>
      <c r="DB25" s="31">
        <f>DA25+預測IC!DB26</f>
        <v>0.56129303092785998</v>
      </c>
      <c r="DC25" s="31">
        <f>DB25+預測IC!DC26</f>
        <v>0.44398767445847448</v>
      </c>
      <c r="DD25" s="31">
        <f>DC25+預測IC!DD26</f>
        <v>0.40797680240902789</v>
      </c>
      <c r="DE25" s="31">
        <f>DD25+預測IC!DE26</f>
        <v>0.54688810648129582</v>
      </c>
      <c r="DF25" s="31">
        <f>DE25+預測IC!DF26</f>
        <v>0.49574460025519007</v>
      </c>
      <c r="DG25" s="31">
        <f>DF25+預測IC!DG26</f>
        <v>0.57247604743715907</v>
      </c>
      <c r="DH25" s="31">
        <f>DG25+預測IC!DH26</f>
        <v>0.58798482963416721</v>
      </c>
      <c r="DI25" s="31">
        <f>DH25+預測IC!DI26</f>
        <v>0.61120860330892302</v>
      </c>
      <c r="DJ25" s="31">
        <f>DI25+預測IC!DJ26</f>
        <v>0.59283572694769515</v>
      </c>
      <c r="DK25" s="31">
        <f>DJ25+預測IC!DK26</f>
        <v>0.65503474103279458</v>
      </c>
      <c r="DL25" s="31">
        <f>DK25+預測IC!DL26</f>
        <v>0.67513304551975173</v>
      </c>
      <c r="DM25" s="31">
        <f>DL25+預測IC!DM26</f>
        <v>0.68863198526781977</v>
      </c>
      <c r="DN25" s="31">
        <f>DM25+預測IC!DN26</f>
        <v>0.65837977253939894</v>
      </c>
      <c r="DO25" s="31">
        <f>DN25+預測IC!DO26</f>
        <v>0.64135693683134509</v>
      </c>
      <c r="DP25" s="31">
        <f>DO25+預測IC!DP26</f>
        <v>0.61956841355888315</v>
      </c>
      <c r="DQ25" s="31">
        <f>DP25+預測IC!DQ26</f>
        <v>0.70531403814402038</v>
      </c>
      <c r="DR25" s="31">
        <f>DQ25+預測IC!DR26</f>
        <v>0.73342078174899417</v>
      </c>
      <c r="DS25" s="31">
        <f>DR25+預測IC!DS26</f>
        <v>0.73111762194163477</v>
      </c>
      <c r="DT25" s="31">
        <f>DS25+預測IC!DT26</f>
        <v>0.78958882007312226</v>
      </c>
      <c r="DU25" s="31">
        <f>DT25+預測IC!DU26</f>
        <v>0.85724776912176992</v>
      </c>
      <c r="DV25" s="31">
        <f>DU25+預測IC!DV26</f>
        <v>0.86226853976220219</v>
      </c>
      <c r="DW25" s="31">
        <f>DV25+預測IC!DW26</f>
        <v>0.89968472343740924</v>
      </c>
      <c r="DX25" s="31">
        <f>DW25+預測IC!DX26</f>
        <v>0.98379572718345132</v>
      </c>
      <c r="DY25" s="31">
        <f>DX25+預測IC!DY26</f>
        <v>0.94696332863943844</v>
      </c>
      <c r="DZ25" s="31">
        <f>DY25+預測IC!DZ26</f>
        <v>0.95005503145637549</v>
      </c>
      <c r="EA25" s="31">
        <f>DZ25+預測IC!EA26</f>
        <v>0.94809740324208092</v>
      </c>
      <c r="EB25" s="31">
        <f>EA25+預測IC!EB26</f>
        <v>0.97455650684560069</v>
      </c>
      <c r="EC25" s="31">
        <f>EB25+預測IC!EC26</f>
        <v>0.94980396808491041</v>
      </c>
      <c r="ED25" s="31">
        <f>EC25+預測IC!ED26</f>
        <v>0.98391945906747036</v>
      </c>
      <c r="EE25" s="31">
        <f>ED25+預測IC!EE26</f>
        <v>1.0049814330565034</v>
      </c>
      <c r="EF25" s="31">
        <f>EE25+預測IC!EF26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G25"/>
  <sheetViews>
    <sheetView topLeftCell="A25" zoomScale="88" zoomScaleNormal="88" workbookViewId="0"/>
  </sheetViews>
  <sheetFormatPr baseColWidth="10" defaultColWidth="9" defaultRowHeight="14"/>
  <cols>
    <col min="136" max="136" width="9.3984375" bestFit="1" customWidth="1"/>
  </cols>
  <sheetData>
    <row r="1" spans="1:137">
      <c r="A1" s="21" t="str">
        <f>預測IC!A1</f>
        <v>NN4</v>
      </c>
      <c r="B1" s="7"/>
    </row>
    <row r="2" spans="1:137">
      <c r="A2" s="7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5" t="s">
        <v>43</v>
      </c>
      <c r="AT2" s="5" t="s">
        <v>44</v>
      </c>
      <c r="AU2" s="5" t="s">
        <v>45</v>
      </c>
      <c r="AV2" s="5" t="s">
        <v>46</v>
      </c>
      <c r="AW2" s="5" t="s">
        <v>47</v>
      </c>
      <c r="AX2" s="5" t="s">
        <v>48</v>
      </c>
      <c r="AY2" s="5" t="s">
        <v>49</v>
      </c>
      <c r="AZ2" s="5" t="s">
        <v>50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55</v>
      </c>
      <c r="BF2" s="5" t="s">
        <v>56</v>
      </c>
      <c r="BG2" s="5" t="s">
        <v>57</v>
      </c>
      <c r="BH2" s="5" t="s">
        <v>58</v>
      </c>
      <c r="BI2" s="5" t="s">
        <v>59</v>
      </c>
      <c r="BJ2" s="5" t="s">
        <v>60</v>
      </c>
      <c r="BK2" s="5" t="s">
        <v>61</v>
      </c>
      <c r="BL2" s="5" t="s">
        <v>62</v>
      </c>
      <c r="BM2" s="5" t="s">
        <v>63</v>
      </c>
      <c r="BN2" s="5" t="s">
        <v>64</v>
      </c>
      <c r="BO2" s="5" t="s">
        <v>65</v>
      </c>
      <c r="BP2" s="5" t="s">
        <v>66</v>
      </c>
      <c r="BQ2" s="5" t="s">
        <v>67</v>
      </c>
      <c r="BR2" s="5" t="s">
        <v>68</v>
      </c>
      <c r="BS2" s="5" t="s">
        <v>69</v>
      </c>
      <c r="BT2" s="5" t="s">
        <v>70</v>
      </c>
      <c r="BU2" s="5" t="s">
        <v>71</v>
      </c>
      <c r="BV2" s="5" t="s">
        <v>72</v>
      </c>
      <c r="BW2" s="5" t="s">
        <v>73</v>
      </c>
      <c r="BX2" s="5" t="s">
        <v>74</v>
      </c>
      <c r="BY2" s="5" t="s">
        <v>75</v>
      </c>
      <c r="BZ2" s="5" t="s">
        <v>76</v>
      </c>
      <c r="CA2" s="5" t="s">
        <v>77</v>
      </c>
      <c r="CB2" s="5" t="s">
        <v>78</v>
      </c>
      <c r="CC2" s="5" t="s">
        <v>79</v>
      </c>
      <c r="CD2" s="5" t="s">
        <v>80</v>
      </c>
      <c r="CE2" s="5" t="s">
        <v>81</v>
      </c>
      <c r="CF2" s="5" t="s">
        <v>82</v>
      </c>
      <c r="CG2" s="5" t="s">
        <v>83</v>
      </c>
      <c r="CH2" s="5" t="s">
        <v>84</v>
      </c>
      <c r="CI2" s="5" t="s">
        <v>85</v>
      </c>
      <c r="CJ2" s="5" t="s">
        <v>86</v>
      </c>
      <c r="CK2" s="5" t="s">
        <v>87</v>
      </c>
      <c r="CL2" s="5" t="s">
        <v>88</v>
      </c>
      <c r="CM2" s="5" t="s">
        <v>89</v>
      </c>
      <c r="CN2" s="5" t="s">
        <v>90</v>
      </c>
      <c r="CO2" s="5" t="s">
        <v>91</v>
      </c>
      <c r="CP2" s="5" t="s">
        <v>92</v>
      </c>
      <c r="CQ2" s="5" t="s">
        <v>93</v>
      </c>
      <c r="CR2" s="5" t="s">
        <v>94</v>
      </c>
      <c r="CS2" s="5" t="s">
        <v>95</v>
      </c>
      <c r="CT2" s="5" t="s">
        <v>96</v>
      </c>
      <c r="CU2" s="5" t="s">
        <v>97</v>
      </c>
      <c r="CV2" s="5" t="s">
        <v>98</v>
      </c>
      <c r="CW2" s="5" t="s">
        <v>99</v>
      </c>
      <c r="CX2" s="5" t="s">
        <v>100</v>
      </c>
      <c r="CY2" s="5" t="s">
        <v>101</v>
      </c>
      <c r="CZ2" s="5" t="s">
        <v>102</v>
      </c>
      <c r="DA2" s="5" t="s">
        <v>103</v>
      </c>
      <c r="DB2" s="5" t="s">
        <v>104</v>
      </c>
      <c r="DC2" s="5" t="s">
        <v>105</v>
      </c>
      <c r="DD2" s="5" t="s">
        <v>106</v>
      </c>
      <c r="DE2" s="5" t="s">
        <v>107</v>
      </c>
      <c r="DF2" s="5" t="s">
        <v>108</v>
      </c>
      <c r="DG2" s="5" t="s">
        <v>109</v>
      </c>
      <c r="DH2" s="5" t="s">
        <v>110</v>
      </c>
      <c r="DI2" s="5" t="s">
        <v>111</v>
      </c>
      <c r="DJ2" s="5" t="s">
        <v>112</v>
      </c>
      <c r="DK2" s="5" t="s">
        <v>113</v>
      </c>
      <c r="DL2" s="5" t="s">
        <v>114</v>
      </c>
      <c r="DM2" s="5" t="s">
        <v>115</v>
      </c>
      <c r="DN2" s="5" t="s">
        <v>116</v>
      </c>
      <c r="DO2" s="5" t="s">
        <v>117</v>
      </c>
      <c r="DP2" s="5" t="s">
        <v>118</v>
      </c>
      <c r="DQ2" s="5" t="s">
        <v>119</v>
      </c>
      <c r="DR2" s="5" t="s">
        <v>120</v>
      </c>
      <c r="DS2" s="5" t="s">
        <v>121</v>
      </c>
      <c r="DT2" s="5" t="s">
        <v>122</v>
      </c>
      <c r="DU2" s="5" t="s">
        <v>123</v>
      </c>
      <c r="DV2" s="5" t="s">
        <v>124</v>
      </c>
      <c r="DW2" s="5" t="s">
        <v>125</v>
      </c>
      <c r="DX2" s="5" t="s">
        <v>126</v>
      </c>
      <c r="DY2" s="5" t="s">
        <v>127</v>
      </c>
      <c r="DZ2" s="5" t="s">
        <v>128</v>
      </c>
      <c r="EA2" s="5" t="s">
        <v>129</v>
      </c>
      <c r="EB2" s="5" t="s">
        <v>130</v>
      </c>
      <c r="EC2" s="5" t="s">
        <v>131</v>
      </c>
      <c r="ED2" s="5" t="s">
        <v>132</v>
      </c>
      <c r="EE2" s="5" t="s">
        <v>133</v>
      </c>
      <c r="EF2" s="5" t="s">
        <v>134</v>
      </c>
      <c r="EG2" s="5" t="s">
        <v>135</v>
      </c>
    </row>
    <row r="3" spans="1:137">
      <c r="A3" s="7"/>
      <c r="B3" s="5" t="s">
        <v>136</v>
      </c>
      <c r="C3" s="21">
        <f>預測IC!C3</f>
        <v>5.338069424033165E-2</v>
      </c>
      <c r="D3" s="21">
        <f>預測IC!D3</f>
        <v>2.5363307446241379E-2</v>
      </c>
      <c r="E3" s="21">
        <f>預測IC!E3</f>
        <v>3.7131085991859443E-2</v>
      </c>
      <c r="F3" s="21">
        <f>預測IC!F3</f>
        <v>-1.5433895401656629E-2</v>
      </c>
      <c r="G3" s="21">
        <f>預測IC!G3</f>
        <v>3.8762547075748437E-2</v>
      </c>
      <c r="H3" s="21">
        <f>預測IC!H3</f>
        <v>1.892003417015076E-2</v>
      </c>
      <c r="I3" s="21">
        <f>預測IC!I3</f>
        <v>3.051983006298542E-2</v>
      </c>
      <c r="J3" s="21">
        <f>預測IC!J3</f>
        <v>-7.0650950074195862E-3</v>
      </c>
      <c r="K3" s="21">
        <f>預測IC!K3</f>
        <v>8.7663400918245316E-3</v>
      </c>
      <c r="L3" s="21">
        <f>預測IC!L3</f>
        <v>-1.6310771927237511E-2</v>
      </c>
      <c r="M3" s="21">
        <f>預測IC!M3</f>
        <v>2.2654309868812561E-2</v>
      </c>
      <c r="N3" s="21">
        <f>預測IC!N3</f>
        <v>-1.6186010092496868E-2</v>
      </c>
      <c r="O3" s="21">
        <f>預測IC!O3</f>
        <v>-2.7719441801309589E-2</v>
      </c>
      <c r="P3" s="21">
        <f>預測IC!P3</f>
        <v>9.2788353562355042E-2</v>
      </c>
      <c r="Q3" s="21">
        <f>預測IC!Q3</f>
        <v>-1.6570717096328739E-2</v>
      </c>
      <c r="R3" s="21">
        <f>預測IC!R3</f>
        <v>-1.4206883497536181E-2</v>
      </c>
      <c r="S3" s="21">
        <f>預測IC!S3</f>
        <v>4.957927018404007E-2</v>
      </c>
      <c r="T3" s="21">
        <f>預測IC!T3</f>
        <v>2.795058116316795E-2</v>
      </c>
      <c r="U3" s="21">
        <f>預測IC!U3</f>
        <v>1.4803186058998111E-4</v>
      </c>
      <c r="V3" s="21">
        <f>預測IC!V3</f>
        <v>-1.9191417843103409E-2</v>
      </c>
      <c r="W3" s="21">
        <f>預測IC!W3</f>
        <v>-2.0450763404369351E-2</v>
      </c>
      <c r="X3" s="21">
        <f>預測IC!X3</f>
        <v>-3.8444548845291138E-2</v>
      </c>
      <c r="Y3" s="21">
        <f>預測IC!Y3</f>
        <v>-2.1946478635072712E-2</v>
      </c>
      <c r="Z3" s="21">
        <f>預測IC!Z3</f>
        <v>1.4381051063537599E-2</v>
      </c>
      <c r="AA3" s="21">
        <f>預測IC!AA3</f>
        <v>2.881650626659393E-2</v>
      </c>
      <c r="AB3" s="21">
        <f>預測IC!AB3</f>
        <v>-2.372733503580093E-2</v>
      </c>
      <c r="AC3" s="21">
        <f>預測IC!AC3</f>
        <v>-1.292891800403595E-2</v>
      </c>
      <c r="AD3" s="21">
        <f>預測IC!AD3</f>
        <v>2.2476669400930401E-2</v>
      </c>
      <c r="AE3" s="21">
        <f>預測IC!AE3</f>
        <v>3.8704991340637207E-2</v>
      </c>
      <c r="AF3" s="21">
        <f>預測IC!AF3</f>
        <v>1.200170814990997E-2</v>
      </c>
      <c r="AG3" s="21">
        <f>預測IC!AG3</f>
        <v>-2.7202442288398739E-2</v>
      </c>
      <c r="AH3" s="21">
        <f>預測IC!AH3</f>
        <v>1.702401414513588E-2</v>
      </c>
      <c r="AI3" s="21">
        <f>預測IC!AI3</f>
        <v>1.4300147071480749E-2</v>
      </c>
      <c r="AJ3" s="21">
        <f>預測IC!AJ3</f>
        <v>1.841375045478344E-2</v>
      </c>
      <c r="AK3" s="21">
        <f>預測IC!AK3</f>
        <v>1.0560634545981881E-2</v>
      </c>
      <c r="AL3" s="21">
        <f>預測IC!AL3</f>
        <v>3.8964591920375817E-2</v>
      </c>
      <c r="AM3" s="21">
        <f>預測IC!AM3</f>
        <v>1.855255663394928E-2</v>
      </c>
      <c r="AN3" s="21">
        <f>預測IC!AN3</f>
        <v>4.386327788233757E-2</v>
      </c>
      <c r="AO3" s="21">
        <f>預測IC!AO3</f>
        <v>-3.6691559944301839E-3</v>
      </c>
      <c r="AP3" s="21">
        <f>預測IC!AP3</f>
        <v>3.8291200995445251E-2</v>
      </c>
      <c r="AQ3" s="21">
        <f>預測IC!AQ3</f>
        <v>1.015769504010677E-2</v>
      </c>
      <c r="AR3" s="21">
        <f>預測IC!AR3</f>
        <v>8.0924127250909805E-3</v>
      </c>
      <c r="AS3" s="21">
        <f>預測IC!AS3</f>
        <v>-6.6054962575435638E-2</v>
      </c>
      <c r="AT3" s="21">
        <f>預測IC!AT3</f>
        <v>4.3137997388839722E-2</v>
      </c>
      <c r="AU3" s="21">
        <f>預測IC!AU3</f>
        <v>4.9771856516599662E-2</v>
      </c>
      <c r="AV3" s="21">
        <f>預測IC!AV3</f>
        <v>4.9413982778787613E-2</v>
      </c>
      <c r="AW3" s="21">
        <f>預測IC!AW3</f>
        <v>5.1071316003799438E-2</v>
      </c>
      <c r="AX3" s="21">
        <f>預測IC!AX3</f>
        <v>4.962177574634552E-2</v>
      </c>
      <c r="AY3" s="21">
        <f>預測IC!AY3</f>
        <v>5.1257487386465073E-2</v>
      </c>
      <c r="AZ3" s="21">
        <f>預測IC!AZ3</f>
        <v>4.2423129081726067E-2</v>
      </c>
      <c r="BA3" s="21">
        <f>預測IC!BA3</f>
        <v>3.9333701133728027E-2</v>
      </c>
      <c r="BB3" s="21">
        <f>預測IC!BB3</f>
        <v>3.9388258010149002E-2</v>
      </c>
      <c r="BC3" s="21">
        <f>預測IC!BC3</f>
        <v>4.2884018272161477E-2</v>
      </c>
      <c r="BD3" s="21">
        <f>預測IC!BD3</f>
        <v>4.4494438916444778E-2</v>
      </c>
      <c r="BE3" s="21">
        <f>預測IC!BE3</f>
        <v>4.6050392091274261E-2</v>
      </c>
      <c r="BF3" s="21">
        <f>預測IC!BF3</f>
        <v>5.2774351090192788E-2</v>
      </c>
      <c r="BG3" s="21">
        <f>預測IC!BG3</f>
        <v>5.2520696073770523E-2</v>
      </c>
      <c r="BH3" s="21">
        <f>預測IC!BH3</f>
        <v>5.204303190112114E-2</v>
      </c>
      <c r="BI3" s="21">
        <f>預測IC!BI3</f>
        <v>5.3213786333799362E-2</v>
      </c>
      <c r="BJ3" s="21">
        <f>預測IC!BJ3</f>
        <v>5.14848493039608E-2</v>
      </c>
      <c r="BK3" s="21">
        <f>預測IC!BK3</f>
        <v>5.2345767617225647E-2</v>
      </c>
      <c r="BL3" s="21">
        <f>預測IC!BL3</f>
        <v>5.2821684628725052E-2</v>
      </c>
      <c r="BM3" s="21">
        <f>預測IC!BM3</f>
        <v>5.246623232960701E-2</v>
      </c>
      <c r="BN3" s="21">
        <f>預測IC!BN3</f>
        <v>5.7477392256259918E-2</v>
      </c>
      <c r="BO3" s="21">
        <f>預測IC!BO3</f>
        <v>5.5104456841945648E-2</v>
      </c>
      <c r="BP3" s="21">
        <f>預測IC!BP3</f>
        <v>4.081440344452858E-2</v>
      </c>
      <c r="BQ3" s="21">
        <f>預測IC!BQ3</f>
        <v>5.2616532891988747E-2</v>
      </c>
      <c r="BR3" s="21">
        <f>預測IC!BR3</f>
        <v>3.6645740270614617E-2</v>
      </c>
      <c r="BS3" s="21">
        <f>預測IC!BS3</f>
        <v>5.4600823670625687E-2</v>
      </c>
      <c r="BT3" s="21">
        <f>預測IC!BT3</f>
        <v>4.5548383146524429E-2</v>
      </c>
      <c r="BU3" s="21">
        <f>預測IC!BU3</f>
        <v>5.5572357028722763E-2</v>
      </c>
      <c r="BV3" s="21">
        <f>預測IC!BV3</f>
        <v>5.2330784499645233E-2</v>
      </c>
      <c r="BW3" s="21">
        <f>預測IC!BW3</f>
        <v>4.1799742728471763E-2</v>
      </c>
      <c r="BX3" s="21">
        <f>預測IC!BX3</f>
        <v>4.7964099794626243E-2</v>
      </c>
      <c r="BY3" s="21">
        <f>預測IC!BY3</f>
        <v>4.9554049968719482E-2</v>
      </c>
      <c r="BZ3" s="21">
        <f>預測IC!BZ3</f>
        <v>5.3468108177185059E-2</v>
      </c>
      <c r="CA3" s="21">
        <f>預測IC!CA3</f>
        <v>4.868757352232933E-2</v>
      </c>
      <c r="CB3" s="21">
        <f>預測IC!CB3</f>
        <v>4.6025428920984268E-2</v>
      </c>
      <c r="CC3" s="21">
        <f>預測IC!CC3</f>
        <v>5.2412558346986771E-2</v>
      </c>
      <c r="CD3" s="21">
        <f>預測IC!CD3</f>
        <v>4.9619406461715698E-2</v>
      </c>
      <c r="CE3" s="21">
        <f>預測IC!CE3</f>
        <v>4.6824052929878228E-2</v>
      </c>
      <c r="CF3" s="21">
        <f>預測IC!CF3</f>
        <v>5.0924398005008698E-2</v>
      </c>
      <c r="CG3" s="21">
        <f>預測IC!CG3</f>
        <v>4.6287201344966888E-2</v>
      </c>
      <c r="CH3" s="21">
        <f>預測IC!CH3</f>
        <v>5.0006065517663963E-2</v>
      </c>
      <c r="CI3" s="21">
        <f>預測IC!CI3</f>
        <v>4.8990387469530113E-2</v>
      </c>
      <c r="CJ3" s="21">
        <f>預測IC!CJ3</f>
        <v>5.0737027078866959E-2</v>
      </c>
      <c r="CK3" s="21">
        <f>預測IC!CK3</f>
        <v>5.0407581031322479E-2</v>
      </c>
      <c r="CL3" s="21">
        <f>預測IC!CL3</f>
        <v>5.1771163940429688E-2</v>
      </c>
      <c r="CM3" s="21">
        <f>預測IC!CM3</f>
        <v>4.9744158983230591E-2</v>
      </c>
      <c r="CN3" s="21">
        <f>預測IC!CN3</f>
        <v>4.9877673387527473E-2</v>
      </c>
      <c r="CO3" s="21">
        <f>預測IC!CO3</f>
        <v>4.8527717590332031E-2</v>
      </c>
      <c r="CP3" s="21">
        <f>預測IC!CP3</f>
        <v>4.8692740499973297E-2</v>
      </c>
      <c r="CQ3" s="21">
        <f>預測IC!CQ3</f>
        <v>4.9047302454710007E-2</v>
      </c>
      <c r="CR3" s="21">
        <f>預測IC!CR3</f>
        <v>4.9837246537208557E-2</v>
      </c>
      <c r="CS3" s="21">
        <f>預測IC!CS3</f>
        <v>4.7483202069997787E-2</v>
      </c>
      <c r="CT3" s="21">
        <f>預測IC!CT3</f>
        <v>3.1795904040336609E-2</v>
      </c>
      <c r="CU3" s="21">
        <f>預測IC!CU3</f>
        <v>4.4976841658353812E-2</v>
      </c>
      <c r="CV3" s="21">
        <f>預測IC!CV3</f>
        <v>4.9786105751991272E-2</v>
      </c>
      <c r="CW3" s="21">
        <f>預測IC!CW3</f>
        <v>4.3859463185071952E-2</v>
      </c>
      <c r="CX3" s="21">
        <f>預測IC!CX3</f>
        <v>5.1966626197099693E-2</v>
      </c>
      <c r="CY3" s="21">
        <f>預測IC!CY3</f>
        <v>5.0948314368724823E-2</v>
      </c>
      <c r="CZ3" s="21">
        <f>預測IC!CZ3</f>
        <v>4.4357843697071082E-2</v>
      </c>
      <c r="DA3" s="21">
        <f>預測IC!DA3</f>
        <v>4.5401513576507568E-2</v>
      </c>
      <c r="DB3" s="21">
        <f>預測IC!DB3</f>
        <v>5.2733633667230613E-2</v>
      </c>
      <c r="DC3" s="21">
        <f>預測IC!DC3</f>
        <v>5.2081622183322913E-2</v>
      </c>
      <c r="DD3" s="21">
        <f>預測IC!DD3</f>
        <v>4.963703453540802E-2</v>
      </c>
      <c r="DE3" s="21">
        <f>預測IC!DE3</f>
        <v>5.2589800208806992E-2</v>
      </c>
      <c r="DF3" s="21">
        <f>預測IC!DF3</f>
        <v>4.1408929973840707E-2</v>
      </c>
      <c r="DG3" s="21">
        <f>預測IC!DG3</f>
        <v>4.3718356639146798E-2</v>
      </c>
      <c r="DH3" s="21">
        <f>預測IC!DH3</f>
        <v>4.6793397516012192E-2</v>
      </c>
      <c r="DI3" s="21">
        <f>預測IC!DI3</f>
        <v>4.7784905880689621E-2</v>
      </c>
      <c r="DJ3" s="21">
        <f>預測IC!DJ3</f>
        <v>5.1443465054035187E-2</v>
      </c>
      <c r="DK3" s="21">
        <f>預測IC!DK3</f>
        <v>4.1621468961238861E-2</v>
      </c>
      <c r="DL3" s="21">
        <f>預測IC!DL3</f>
        <v>4.8520050942897797E-2</v>
      </c>
      <c r="DM3" s="21">
        <f>預測IC!DM3</f>
        <v>4.8485212028026581E-2</v>
      </c>
      <c r="DN3" s="21">
        <f>預測IC!DN3</f>
        <v>4.6739093959331512E-2</v>
      </c>
      <c r="DO3" s="21">
        <f>預測IC!DO3</f>
        <v>4.815780371427536E-2</v>
      </c>
      <c r="DP3" s="21">
        <f>預測IC!DP3</f>
        <v>4.7622770071029663E-2</v>
      </c>
      <c r="DQ3" s="21">
        <f>預測IC!DQ3</f>
        <v>4.8637110739946372E-2</v>
      </c>
      <c r="DR3" s="21">
        <f>預測IC!DR3</f>
        <v>4.879031702876091E-2</v>
      </c>
      <c r="DS3" s="21">
        <f>預測IC!DS3</f>
        <v>4.4818054884672158E-2</v>
      </c>
      <c r="DT3" s="21">
        <f>預測IC!DT3</f>
        <v>4.8045273870229721E-2</v>
      </c>
      <c r="DU3" s="21">
        <f>預測IC!DU3</f>
        <v>4.7465518116950989E-2</v>
      </c>
      <c r="DV3" s="21">
        <f>預測IC!DV3</f>
        <v>4.6620264649391167E-2</v>
      </c>
      <c r="DW3" s="21">
        <f>預測IC!DW3</f>
        <v>4.7323688864707947E-2</v>
      </c>
      <c r="DX3" s="21">
        <f>預測IC!DX3</f>
        <v>4.754440113902092E-2</v>
      </c>
      <c r="DY3" s="21">
        <f>預測IC!DY3</f>
        <v>4.7807488590478897E-2</v>
      </c>
      <c r="DZ3" s="21">
        <f>預測IC!DZ3</f>
        <v>3.4820709377527237E-2</v>
      </c>
      <c r="EA3" s="21">
        <f>預測IC!EA3</f>
        <v>4.8265136778354638E-2</v>
      </c>
      <c r="EB3" s="21">
        <f>預測IC!EB3</f>
        <v>4.2205382138490677E-2</v>
      </c>
      <c r="EC3" s="21">
        <f>預測IC!EC3</f>
        <v>3.6263357847929001E-2</v>
      </c>
      <c r="ED3" s="21">
        <f>預測IC!ED3</f>
        <v>3.9504203945398331E-2</v>
      </c>
      <c r="EE3" s="21">
        <f>預測IC!EE3</f>
        <v>4.6422228217124939E-2</v>
      </c>
      <c r="EF3" s="21">
        <f>預測IC!EF3</f>
        <v>5.0174936652183533E-2</v>
      </c>
      <c r="EG3" s="1"/>
    </row>
    <row r="4" spans="1:137">
      <c r="A4" s="7"/>
      <c r="B4" s="5" t="s">
        <v>137</v>
      </c>
      <c r="C4" s="21">
        <f>預測IC!C4</f>
        <v>-2.5382354855537411E-2</v>
      </c>
      <c r="D4" s="21">
        <f>預測IC!D4</f>
        <v>-3.0302392318844799E-2</v>
      </c>
      <c r="E4" s="21">
        <f>預測IC!E4</f>
        <v>-2.2067004814743999E-2</v>
      </c>
      <c r="F4" s="21">
        <f>預測IC!F4</f>
        <v>-3.342650830745697E-2</v>
      </c>
      <c r="G4" s="21">
        <f>預測IC!G4</f>
        <v>-4.356461763381958E-2</v>
      </c>
      <c r="H4" s="21">
        <f>預測IC!H4</f>
        <v>-2.4043656885623928E-2</v>
      </c>
      <c r="I4" s="21">
        <f>預測IC!I4</f>
        <v>-2.6620017364621159E-2</v>
      </c>
      <c r="J4" s="21">
        <f>預測IC!J4</f>
        <v>-3.6628138273954391E-2</v>
      </c>
      <c r="K4" s="21">
        <f>預測IC!K4</f>
        <v>-3.3706646412611008E-2</v>
      </c>
      <c r="L4" s="21">
        <f>預測IC!L4</f>
        <v>-3.9789609611034393E-2</v>
      </c>
      <c r="M4" s="21">
        <f>預測IC!M4</f>
        <v>-3.8071341812610633E-2</v>
      </c>
      <c r="N4" s="21">
        <f>預測IC!N4</f>
        <v>-2.9651828110218052E-2</v>
      </c>
      <c r="O4" s="21">
        <f>預測IC!O4</f>
        <v>-3.6376375705003738E-2</v>
      </c>
      <c r="P4" s="21">
        <f>預測IC!P4</f>
        <v>-3.8347743451595313E-2</v>
      </c>
      <c r="Q4" s="21">
        <f>預測IC!Q4</f>
        <v>-2.434376627206802E-2</v>
      </c>
      <c r="R4" s="21">
        <f>預測IC!R4</f>
        <v>-3.3573232591152191E-2</v>
      </c>
      <c r="S4" s="21">
        <f>預測IC!S4</f>
        <v>-2.8594411909580231E-2</v>
      </c>
      <c r="T4" s="21">
        <f>預測IC!T4</f>
        <v>-2.798360958695412E-2</v>
      </c>
      <c r="U4" s="21">
        <f>預測IC!U4</f>
        <v>-2.942265011370182E-2</v>
      </c>
      <c r="V4" s="21">
        <f>預測IC!V4</f>
        <v>-2.794249914586544E-2</v>
      </c>
      <c r="W4" s="21">
        <f>預測IC!W4</f>
        <v>-2.784637734293938E-2</v>
      </c>
      <c r="X4" s="21">
        <f>預測IC!X4</f>
        <v>-2.9234068468213081E-2</v>
      </c>
      <c r="Y4" s="21">
        <f>預測IC!Y4</f>
        <v>-3.1967829912900918E-2</v>
      </c>
      <c r="Z4" s="21">
        <f>預測IC!Z4</f>
        <v>-2.9925361275672909E-2</v>
      </c>
      <c r="AA4" s="21">
        <f>預測IC!AA4</f>
        <v>-3.0244136229157451E-2</v>
      </c>
      <c r="AB4" s="21">
        <f>預測IC!AB4</f>
        <v>-2.8592776507139209E-2</v>
      </c>
      <c r="AC4" s="21">
        <f>預測IC!AC4</f>
        <v>-2.740947529673576E-2</v>
      </c>
      <c r="AD4" s="21">
        <f>預測IC!AD4</f>
        <v>-2.904889173805714E-2</v>
      </c>
      <c r="AE4" s="21">
        <f>預測IC!AE4</f>
        <v>-3.0896455049514771E-2</v>
      </c>
      <c r="AF4" s="21">
        <f>預測IC!AF4</f>
        <v>-2.8318248689174649E-2</v>
      </c>
      <c r="AG4" s="21">
        <f>預測IC!AG4</f>
        <v>-2.835783921182156E-2</v>
      </c>
      <c r="AH4" s="21">
        <f>預測IC!AH4</f>
        <v>-2.0635519176721569E-2</v>
      </c>
      <c r="AI4" s="21">
        <f>預測IC!AI4</f>
        <v>-3.9616737514734268E-2</v>
      </c>
      <c r="AJ4" s="21">
        <f>預測IC!AJ4</f>
        <v>-3.4279849380254752E-2</v>
      </c>
      <c r="AK4" s="21">
        <f>預測IC!AK4</f>
        <v>-2.738221921026707E-2</v>
      </c>
      <c r="AL4" s="21">
        <f>預測IC!AL4</f>
        <v>-2.863131649792194E-2</v>
      </c>
      <c r="AM4" s="21">
        <f>預測IC!AM4</f>
        <v>-3.1148817390203479E-2</v>
      </c>
      <c r="AN4" s="21">
        <f>預測IC!AN4</f>
        <v>-2.5323469191789631E-2</v>
      </c>
      <c r="AO4" s="21">
        <f>預測IC!AO4</f>
        <v>-3.5884447395801537E-2</v>
      </c>
      <c r="AP4" s="21">
        <f>預測IC!AP4</f>
        <v>-2.0551485940814022E-2</v>
      </c>
      <c r="AQ4" s="21">
        <f>預測IC!AQ4</f>
        <v>-2.1187437698245049E-2</v>
      </c>
      <c r="AR4" s="21">
        <f>預測IC!AR4</f>
        <v>-2.6181202381849289E-2</v>
      </c>
      <c r="AS4" s="21">
        <f>預測IC!AS4</f>
        <v>-2.9181500896811489E-2</v>
      </c>
      <c r="AT4" s="21">
        <f>預測IC!AT4</f>
        <v>-2.6695109903812408E-2</v>
      </c>
      <c r="AU4" s="21">
        <f>預測IC!AU4</f>
        <v>-3.0467243865132328E-2</v>
      </c>
      <c r="AV4" s="21">
        <f>預測IC!AV4</f>
        <v>-3.2533787190914147E-2</v>
      </c>
      <c r="AW4" s="21">
        <f>預測IC!AW4</f>
        <v>-2.7417561039328579E-2</v>
      </c>
      <c r="AX4" s="21">
        <f>預測IC!AX4</f>
        <v>-2.6351917535066601E-2</v>
      </c>
      <c r="AY4" s="21">
        <f>預測IC!AY4</f>
        <v>-3.3511210232973099E-2</v>
      </c>
      <c r="AZ4" s="21">
        <f>預測IC!AZ4</f>
        <v>-2.682668715715408E-2</v>
      </c>
      <c r="BA4" s="21">
        <f>預測IC!BA4</f>
        <v>-3.1055137515068051E-2</v>
      </c>
      <c r="BB4" s="21">
        <f>預測IC!BB4</f>
        <v>-3.3870145678520203E-2</v>
      </c>
      <c r="BC4" s="21">
        <f>預測IC!BC4</f>
        <v>-3.1388275325298309E-2</v>
      </c>
      <c r="BD4" s="21">
        <f>預測IC!BD4</f>
        <v>-3.1560800969600677E-2</v>
      </c>
      <c r="BE4" s="21">
        <f>預測IC!BE4</f>
        <v>-3.270566463470459E-2</v>
      </c>
      <c r="BF4" s="21">
        <f>預測IC!BF4</f>
        <v>-3.091945685446262E-2</v>
      </c>
      <c r="BG4" s="21">
        <f>預測IC!BG4</f>
        <v>-3.1984996050596237E-2</v>
      </c>
      <c r="BH4" s="21">
        <f>預測IC!BH4</f>
        <v>-3.0280498787760731E-2</v>
      </c>
      <c r="BI4" s="21">
        <f>預測IC!BI4</f>
        <v>-3.1126156449317929E-2</v>
      </c>
      <c r="BJ4" s="21">
        <f>預測IC!BJ4</f>
        <v>-3.047936782240868E-2</v>
      </c>
      <c r="BK4" s="21">
        <f>預測IC!BK4</f>
        <v>-3.2265529036521912E-2</v>
      </c>
      <c r="BL4" s="21">
        <f>預測IC!BL4</f>
        <v>-3.1362555921077728E-2</v>
      </c>
      <c r="BM4" s="21">
        <f>預測IC!BM4</f>
        <v>-3.135472908616066E-2</v>
      </c>
      <c r="BN4" s="21">
        <f>預測IC!BN4</f>
        <v>-1.223484799265862E-2</v>
      </c>
      <c r="BO4" s="21">
        <f>預測IC!BO4</f>
        <v>-2.3717723786830899E-2</v>
      </c>
      <c r="BP4" s="21">
        <f>預測IC!BP4</f>
        <v>-2.602463960647583E-2</v>
      </c>
      <c r="BQ4" s="21">
        <f>預測IC!BQ4</f>
        <v>-3.055395744740963E-2</v>
      </c>
      <c r="BR4" s="21">
        <f>預測IC!BR4</f>
        <v>-1.1215118691325189E-2</v>
      </c>
      <c r="BS4" s="21">
        <f>預測IC!BS4</f>
        <v>-3.3343475311994553E-2</v>
      </c>
      <c r="BT4" s="21">
        <f>預測IC!BT4</f>
        <v>-2.5871314108371731E-2</v>
      </c>
      <c r="BU4" s="21">
        <f>預測IC!BU4</f>
        <v>-3.636319562792778E-2</v>
      </c>
      <c r="BV4" s="21">
        <f>預測IC!BV4</f>
        <v>-3.3731509000062943E-2</v>
      </c>
      <c r="BW4" s="21">
        <f>預測IC!BW4</f>
        <v>-2.4674531072378159E-2</v>
      </c>
      <c r="BX4" s="21">
        <f>預測IC!BX4</f>
        <v>-3.3149182796478271E-2</v>
      </c>
      <c r="BY4" s="21">
        <f>預測IC!BY4</f>
        <v>-3.1638260930776603E-2</v>
      </c>
      <c r="BZ4" s="21">
        <f>預測IC!BZ4</f>
        <v>-3.5745307803153992E-2</v>
      </c>
      <c r="CA4" s="21">
        <f>預測IC!CA4</f>
        <v>-3.2566580921411507E-2</v>
      </c>
      <c r="CB4" s="21">
        <f>預測IC!CB4</f>
        <v>-2.4697717279195789E-2</v>
      </c>
      <c r="CC4" s="21">
        <f>預測IC!CC4</f>
        <v>-2.9147785156965259E-2</v>
      </c>
      <c r="CD4" s="21">
        <f>預測IC!CD4</f>
        <v>-2.5953460484743118E-2</v>
      </c>
      <c r="CE4" s="21">
        <f>預測IC!CE4</f>
        <v>-3.1028131023049351E-2</v>
      </c>
      <c r="CF4" s="21">
        <f>預測IC!CF4</f>
        <v>-3.1018134206533429E-2</v>
      </c>
      <c r="CG4" s="21">
        <f>預測IC!CG4</f>
        <v>-3.0473332852125171E-2</v>
      </c>
      <c r="CH4" s="21">
        <f>預測IC!CH4</f>
        <v>-3.1180024147033691E-2</v>
      </c>
      <c r="CI4" s="21">
        <f>預測IC!CI4</f>
        <v>-3.08760479092598E-2</v>
      </c>
      <c r="CJ4" s="21">
        <f>預測IC!CJ4</f>
        <v>-3.3132713288068771E-2</v>
      </c>
      <c r="CK4" s="21">
        <f>預測IC!CK4</f>
        <v>-3.1985852867364883E-2</v>
      </c>
      <c r="CL4" s="21">
        <f>預測IC!CL4</f>
        <v>-3.1450629234313958E-2</v>
      </c>
      <c r="CM4" s="21">
        <f>預測IC!CM4</f>
        <v>-3.0559267848730091E-2</v>
      </c>
      <c r="CN4" s="21">
        <f>預測IC!CN4</f>
        <v>-3.1584195792675018E-2</v>
      </c>
      <c r="CO4" s="21">
        <f>預測IC!CO4</f>
        <v>-3.0493449419736859E-2</v>
      </c>
      <c r="CP4" s="21">
        <f>預測IC!CP4</f>
        <v>-3.0219420790672299E-2</v>
      </c>
      <c r="CQ4" s="21">
        <f>預測IC!CQ4</f>
        <v>-3.1929124146699912E-2</v>
      </c>
      <c r="CR4" s="21">
        <f>預測IC!CR4</f>
        <v>-2.934969961643219E-2</v>
      </c>
      <c r="CS4" s="21">
        <f>預測IC!CS4</f>
        <v>-3.0506746843457219E-2</v>
      </c>
      <c r="CT4" s="21">
        <f>預測IC!CT4</f>
        <v>-2.308591827750206E-2</v>
      </c>
      <c r="CU4" s="21">
        <f>預測IC!CU4</f>
        <v>-2.7401415631175041E-2</v>
      </c>
      <c r="CV4" s="21">
        <f>預測IC!CV4</f>
        <v>-2.833597362041473E-2</v>
      </c>
      <c r="CW4" s="21">
        <f>預測IC!CW4</f>
        <v>-3.2171882688999183E-2</v>
      </c>
      <c r="CX4" s="21">
        <f>預測IC!CX4</f>
        <v>-2.7837745845317841E-2</v>
      </c>
      <c r="CY4" s="21">
        <f>預測IC!CY4</f>
        <v>-2.7134021744132038E-2</v>
      </c>
      <c r="CZ4" s="21">
        <f>預測IC!CZ4</f>
        <v>-2.573245391249657E-2</v>
      </c>
      <c r="DA4" s="21">
        <f>預測IC!DA4</f>
        <v>-2.8771925717592239E-2</v>
      </c>
      <c r="DB4" s="21">
        <f>預測IC!DB4</f>
        <v>-3.3348452299833298E-2</v>
      </c>
      <c r="DC4" s="21">
        <f>預測IC!DC4</f>
        <v>-3.2358631491661072E-2</v>
      </c>
      <c r="DD4" s="21">
        <f>預測IC!DD4</f>
        <v>-3.2213933765888207E-2</v>
      </c>
      <c r="DE4" s="21">
        <f>預測IC!DE4</f>
        <v>-2.9715811833739281E-2</v>
      </c>
      <c r="DF4" s="21">
        <f>預測IC!DF4</f>
        <v>-2.911583706736565E-2</v>
      </c>
      <c r="DG4" s="21">
        <f>預測IC!DG4</f>
        <v>-2.7615876868367199E-2</v>
      </c>
      <c r="DH4" s="21">
        <f>預測IC!DH4</f>
        <v>-2.9729645699262619E-2</v>
      </c>
      <c r="DI4" s="21">
        <f>預測IC!DI4</f>
        <v>-2.982079982757568E-2</v>
      </c>
      <c r="DJ4" s="21">
        <f>預測IC!DJ4</f>
        <v>-3.0264958739280701E-2</v>
      </c>
      <c r="DK4" s="21">
        <f>預測IC!DK4</f>
        <v>-2.9952950775623322E-2</v>
      </c>
      <c r="DL4" s="21">
        <f>預測IC!DL4</f>
        <v>-3.0072087422013279E-2</v>
      </c>
      <c r="DM4" s="21">
        <f>預測IC!DM4</f>
        <v>-2.81603466719389E-2</v>
      </c>
      <c r="DN4" s="21">
        <f>預測IC!DN4</f>
        <v>-2.7362493798136711E-2</v>
      </c>
      <c r="DO4" s="21">
        <f>預測IC!DO4</f>
        <v>-2.868092060089111E-2</v>
      </c>
      <c r="DP4" s="21">
        <f>預測IC!DP4</f>
        <v>-2.6546770706772801E-2</v>
      </c>
      <c r="DQ4" s="21">
        <f>預測IC!DQ4</f>
        <v>-2.7645908296108249E-2</v>
      </c>
      <c r="DR4" s="21">
        <f>預測IC!DR4</f>
        <v>-3.0578829348087311E-2</v>
      </c>
      <c r="DS4" s="21">
        <f>預測IC!DS4</f>
        <v>-2.7206588536500931E-2</v>
      </c>
      <c r="DT4" s="21">
        <f>預測IC!DT4</f>
        <v>-2.9622273519635201E-2</v>
      </c>
      <c r="DU4" s="21">
        <f>預測IC!DU4</f>
        <v>-2.8198828920722011E-2</v>
      </c>
      <c r="DV4" s="21">
        <f>預測IC!DV4</f>
        <v>-2.79831737279892E-2</v>
      </c>
      <c r="DW4" s="21">
        <f>預測IC!DW4</f>
        <v>-2.6147188618779179E-2</v>
      </c>
      <c r="DX4" s="21">
        <f>預測IC!DX4</f>
        <v>-2.7574015781283379E-2</v>
      </c>
      <c r="DY4" s="21">
        <f>預測IC!DY4</f>
        <v>-2.9771693050861359E-2</v>
      </c>
      <c r="DZ4" s="21">
        <f>預測IC!DZ4</f>
        <v>-2.387923933565617E-2</v>
      </c>
      <c r="EA4" s="21">
        <f>預測IC!EA4</f>
        <v>-2.6729578152298931E-2</v>
      </c>
      <c r="EB4" s="21">
        <f>預測IC!EB4</f>
        <v>-2.6265991851687431E-2</v>
      </c>
      <c r="EC4" s="21">
        <f>預測IC!EC4</f>
        <v>-2.85224225372076E-2</v>
      </c>
      <c r="ED4" s="21">
        <f>預測IC!ED4</f>
        <v>-2.3929797112941738E-2</v>
      </c>
      <c r="EE4" s="21">
        <f>預測IC!EE4</f>
        <v>-3.5369247198104858E-2</v>
      </c>
      <c r="EF4" s="21">
        <f>預測IC!EF4</f>
        <v>-2.889788523316383E-2</v>
      </c>
      <c r="EG4" s="1"/>
    </row>
    <row r="5" spans="1:137">
      <c r="A5" s="7"/>
      <c r="B5" s="8" t="s">
        <v>138</v>
      </c>
      <c r="C5" s="21">
        <f>預測IC!C5</f>
        <v>6.8580564111471176E-3</v>
      </c>
      <c r="D5" s="21">
        <f>預測IC!D5</f>
        <v>-4.5473207719624043E-3</v>
      </c>
      <c r="E5" s="21">
        <f>預測IC!E5</f>
        <v>-5.2568246610462674E-3</v>
      </c>
      <c r="F5" s="21">
        <f>預測IC!F5</f>
        <v>-5.0700334832072258E-3</v>
      </c>
      <c r="G5" s="21">
        <f>預測IC!G5</f>
        <v>-7.554895244538784E-3</v>
      </c>
      <c r="H5" s="21">
        <f>預測IC!H5</f>
        <v>-5.7517439126968384E-3</v>
      </c>
      <c r="I5" s="21">
        <f>預測IC!I5</f>
        <v>-6.6213347017765054E-3</v>
      </c>
      <c r="J5" s="21">
        <f>預測IC!J5</f>
        <v>-6.4456779509782791E-3</v>
      </c>
      <c r="K5" s="21">
        <f>預測IC!K5</f>
        <v>-7.2449943982064724E-3</v>
      </c>
      <c r="L5" s="21">
        <f>預測IC!L5</f>
        <v>-7.4795205146074304E-3</v>
      </c>
      <c r="M5" s="21">
        <f>預測IC!M5</f>
        <v>-5.7203313335776329E-3</v>
      </c>
      <c r="N5" s="21">
        <f>預測IC!N5</f>
        <v>1.217774953693151E-2</v>
      </c>
      <c r="O5" s="21">
        <f>預測IC!O5</f>
        <v>2.0977385342121121E-2</v>
      </c>
      <c r="P5" s="21">
        <f>預測IC!P5</f>
        <v>4.1054370813071728E-3</v>
      </c>
      <c r="Q5" s="21">
        <f>預測IC!Q5</f>
        <v>2.752495463937521E-3</v>
      </c>
      <c r="R5" s="21">
        <f>預測IC!R5</f>
        <v>2.2056563757359982E-3</v>
      </c>
      <c r="S5" s="21">
        <f>預測IC!S5</f>
        <v>-3.200523322448134E-3</v>
      </c>
      <c r="T5" s="21">
        <f>預測IC!T5</f>
        <v>4.7661159187555313E-3</v>
      </c>
      <c r="U5" s="21">
        <f>預測IC!U5</f>
        <v>3.1950199045240879E-3</v>
      </c>
      <c r="V5" s="21">
        <f>預測IC!V5</f>
        <v>1.3798894360661509E-4</v>
      </c>
      <c r="W5" s="21">
        <f>預測IC!W5</f>
        <v>9.084991761483252E-4</v>
      </c>
      <c r="X5" s="21">
        <f>預測IC!X5</f>
        <v>-4.8395749181509018E-3</v>
      </c>
      <c r="Y5" s="21">
        <f>預測IC!Y5</f>
        <v>-9.668414480984211E-3</v>
      </c>
      <c r="Z5" s="21">
        <f>預測IC!Z5</f>
        <v>-4.3582962825894356E-3</v>
      </c>
      <c r="AA5" s="21">
        <f>預測IC!AA5</f>
        <v>-9.451698511838913E-3</v>
      </c>
      <c r="AB5" s="21">
        <f>預測IC!AB5</f>
        <v>-7.8619010746479034E-3</v>
      </c>
      <c r="AC5" s="21">
        <f>預測IC!AC5</f>
        <v>-9.5739839598536491E-3</v>
      </c>
      <c r="AD5" s="21">
        <f>預測IC!AD5</f>
        <v>-1.192590594291687E-2</v>
      </c>
      <c r="AE5" s="21">
        <f>預測IC!AE5</f>
        <v>-9.073648601770401E-3</v>
      </c>
      <c r="AF5" s="21">
        <f>預測IC!AF5</f>
        <v>-5.2689705044031143E-3</v>
      </c>
      <c r="AG5" s="21">
        <f>預測IC!AG5</f>
        <v>-6.2905293889343739E-3</v>
      </c>
      <c r="AH5" s="21">
        <f>預測IC!AH5</f>
        <v>-4.2838593944907188E-3</v>
      </c>
      <c r="AI5" s="21">
        <f>預測IC!AI5</f>
        <v>-3.658974077552557E-3</v>
      </c>
      <c r="AJ5" s="21">
        <f>預測IC!AJ5</f>
        <v>-3.1868440564721818E-3</v>
      </c>
      <c r="AK5" s="21">
        <f>預測IC!AK5</f>
        <v>-6.5460228361189374E-3</v>
      </c>
      <c r="AL5" s="21">
        <f>預測IC!AL5</f>
        <v>-5.4174191318452358E-3</v>
      </c>
      <c r="AM5" s="21">
        <f>預測IC!AM5</f>
        <v>-6.3505335710942754E-3</v>
      </c>
      <c r="AN5" s="21">
        <f>預測IC!AN5</f>
        <v>9.4361149240285158E-4</v>
      </c>
      <c r="AO5" s="21">
        <f>預測IC!AO5</f>
        <v>-4.1886745020747176E-3</v>
      </c>
      <c r="AP5" s="21">
        <f>預測IC!AP5</f>
        <v>-6.3021155074238777E-3</v>
      </c>
      <c r="AQ5" s="21">
        <f>預測IC!AQ5</f>
        <v>-7.8539003152400255E-4</v>
      </c>
      <c r="AR5" s="21">
        <f>預測IC!AR5</f>
        <v>1.274428068427369E-4</v>
      </c>
      <c r="AS5" s="21">
        <f>預測IC!AS5</f>
        <v>-2.6125095319002871E-3</v>
      </c>
      <c r="AT5" s="21">
        <f>預測IC!AT5</f>
        <v>1.7251728102564812E-2</v>
      </c>
      <c r="AU5" s="21">
        <f>預測IC!AU5</f>
        <v>-1.1382638476788999E-2</v>
      </c>
      <c r="AV5" s="21">
        <f>預測IC!AV5</f>
        <v>9.8412996158003807E-3</v>
      </c>
      <c r="AW5" s="21">
        <f>預測IC!AW5</f>
        <v>6.4438600093126297E-3</v>
      </c>
      <c r="AX5" s="21">
        <f>預測IC!AX5</f>
        <v>-9.4542577862739563E-3</v>
      </c>
      <c r="AY5" s="21">
        <f>預測IC!AY5</f>
        <v>-2.605369314551353E-3</v>
      </c>
      <c r="AZ5" s="21">
        <f>預測IC!AZ5</f>
        <v>1.02137690410018E-2</v>
      </c>
      <c r="BA5" s="21">
        <f>預測IC!BA5</f>
        <v>-3.370878694113344E-4</v>
      </c>
      <c r="BB5" s="21">
        <f>預測IC!BB5</f>
        <v>-7.658196147531271E-3</v>
      </c>
      <c r="BC5" s="21">
        <f>預測IC!BC5</f>
        <v>1.95592432282865E-3</v>
      </c>
      <c r="BD5" s="21">
        <f>預測IC!BD5</f>
        <v>-1.753970421850681E-2</v>
      </c>
      <c r="BE5" s="21">
        <f>預測IC!BE5</f>
        <v>-5.8258567005395889E-3</v>
      </c>
      <c r="BF5" s="21">
        <f>預測IC!BF5</f>
        <v>6.1481038574129343E-4</v>
      </c>
      <c r="BG5" s="21">
        <f>預測IC!BG5</f>
        <v>-7.2949402965605259E-3</v>
      </c>
      <c r="BH5" s="21">
        <f>預測IC!BH5</f>
        <v>-4.383845254778862E-3</v>
      </c>
      <c r="BI5" s="21">
        <f>預測IC!BI5</f>
        <v>7.9724268289282918E-5</v>
      </c>
      <c r="BJ5" s="21">
        <f>預測IC!BJ5</f>
        <v>-4.1618733666837221E-4</v>
      </c>
      <c r="BK5" s="21">
        <f>預測IC!BK5</f>
        <v>-8.1078559160232544E-3</v>
      </c>
      <c r="BL5" s="21">
        <f>預測IC!BL5</f>
        <v>-1.816836651414633E-3</v>
      </c>
      <c r="BM5" s="21">
        <f>預測IC!BM5</f>
        <v>-3.0251548159867529E-3</v>
      </c>
      <c r="BN5" s="21">
        <f>預測IC!BN5</f>
        <v>-7.1253179339691997E-4</v>
      </c>
      <c r="BO5" s="21">
        <f>預測IC!BO5</f>
        <v>-4.3908162042498589E-3</v>
      </c>
      <c r="BP5" s="21">
        <f>預測IC!BP5</f>
        <v>-8.6731631308794022E-3</v>
      </c>
      <c r="BQ5" s="21">
        <f>預測IC!BQ5</f>
        <v>9.8586292006075382E-4</v>
      </c>
      <c r="BR5" s="21">
        <f>預測IC!BR5</f>
        <v>5.6344678159803152E-4</v>
      </c>
      <c r="BS5" s="21">
        <f>預測IC!BS5</f>
        <v>-7.2165514575317502E-4</v>
      </c>
      <c r="BT5" s="21">
        <f>預測IC!BT5</f>
        <v>2.1159742027521131E-4</v>
      </c>
      <c r="BU5" s="21">
        <f>預測IC!BU5</f>
        <v>-3.9482754655182362E-3</v>
      </c>
      <c r="BV5" s="21">
        <f>預測IC!BV5</f>
        <v>-1.754006138071418E-3</v>
      </c>
      <c r="BW5" s="21">
        <f>預測IC!BW5</f>
        <v>-3.9257919415831566E-3</v>
      </c>
      <c r="BX5" s="21">
        <f>預測IC!BX5</f>
        <v>-2.280559623613954E-3</v>
      </c>
      <c r="BY5" s="21">
        <f>預測IC!BY5</f>
        <v>-2.5638358201831579E-3</v>
      </c>
      <c r="BZ5" s="21">
        <f>預測IC!BZ5</f>
        <v>9.5798890106379986E-4</v>
      </c>
      <c r="CA5" s="21">
        <f>預測IC!CA5</f>
        <v>-1.7290487885475159E-2</v>
      </c>
      <c r="CB5" s="21">
        <f>預測IC!CB5</f>
        <v>-1.8011752516031269E-2</v>
      </c>
      <c r="CC5" s="21">
        <f>預測IC!CC5</f>
        <v>-1.120550092309713E-2</v>
      </c>
      <c r="CD5" s="21">
        <f>預測IC!CD5</f>
        <v>-5.9453980065882206E-3</v>
      </c>
      <c r="CE5" s="21">
        <f>預測IC!CE5</f>
        <v>5.6577795185148716E-3</v>
      </c>
      <c r="CF5" s="21">
        <f>預測IC!CF5</f>
        <v>-5.0181304104626179E-3</v>
      </c>
      <c r="CG5" s="21">
        <f>預測IC!CG5</f>
        <v>-1.080882735550404E-3</v>
      </c>
      <c r="CH5" s="21">
        <f>預測IC!CH5</f>
        <v>-2.4344832636415958E-3</v>
      </c>
      <c r="CI5" s="21">
        <f>預測IC!CI5</f>
        <v>-5.8056642301380634E-3</v>
      </c>
      <c r="CJ5" s="21">
        <f>預測IC!CJ5</f>
        <v>5.3442474454641342E-3</v>
      </c>
      <c r="CK5" s="21">
        <f>預測IC!CK5</f>
        <v>-6.6559319384396076E-3</v>
      </c>
      <c r="CL5" s="21">
        <f>預測IC!CL5</f>
        <v>-8.122333325445652E-3</v>
      </c>
      <c r="CM5" s="21">
        <f>預測IC!CM5</f>
        <v>4.4885189272463322E-3</v>
      </c>
      <c r="CN5" s="21">
        <f>預測IC!CN5</f>
        <v>-1.260940451174974E-3</v>
      </c>
      <c r="CO5" s="21">
        <f>預測IC!CO5</f>
        <v>2.2093972656875849E-3</v>
      </c>
      <c r="CP5" s="21">
        <f>預測IC!CP5</f>
        <v>-3.1657333020120859E-3</v>
      </c>
      <c r="CQ5" s="21">
        <f>預測IC!CQ5</f>
        <v>-4.2476160451769829E-3</v>
      </c>
      <c r="CR5" s="21">
        <f>預測IC!CR5</f>
        <v>7.4740842683240771E-4</v>
      </c>
      <c r="CS5" s="21">
        <f>預測IC!CS5</f>
        <v>-6.8966434337198734E-3</v>
      </c>
      <c r="CT5" s="21">
        <f>預測IC!CT5</f>
        <v>-8.8150595547631383E-4</v>
      </c>
      <c r="CU5" s="21">
        <f>預測IC!CU5</f>
        <v>-5.4849479347467422E-3</v>
      </c>
      <c r="CV5" s="21">
        <f>預測IC!CV5</f>
        <v>-5.0015887245535851E-4</v>
      </c>
      <c r="CW5" s="21">
        <f>預測IC!CW5</f>
        <v>-3.6941524595022202E-3</v>
      </c>
      <c r="CX5" s="21">
        <f>預測IC!CX5</f>
        <v>-1.516487682238221E-3</v>
      </c>
      <c r="CY5" s="21">
        <f>預測IC!CY5</f>
        <v>-2.2506022360175848E-3</v>
      </c>
      <c r="CZ5" s="21">
        <f>預測IC!CZ5</f>
        <v>-1.037915935739875E-4</v>
      </c>
      <c r="DA5" s="21">
        <f>預測IC!DA5</f>
        <v>-1.3994954060763121E-3</v>
      </c>
      <c r="DB5" s="21">
        <f>預測IC!DB5</f>
        <v>-2.8583267703652382E-3</v>
      </c>
      <c r="DC5" s="21">
        <f>預測IC!DC5</f>
        <v>-3.8185073062777519E-3</v>
      </c>
      <c r="DD5" s="21">
        <f>預測IC!DD5</f>
        <v>-4.7922488301992416E-3</v>
      </c>
      <c r="DE5" s="21">
        <f>預測IC!DE5</f>
        <v>-4.4267559424042702E-3</v>
      </c>
      <c r="DF5" s="21">
        <f>預測IC!DF5</f>
        <v>-2.32978705316782E-2</v>
      </c>
      <c r="DG5" s="21">
        <f>預測IC!DG5</f>
        <v>-6.6420962102711201E-3</v>
      </c>
      <c r="DH5" s="21">
        <f>預測IC!DH5</f>
        <v>-4.64266212657094E-3</v>
      </c>
      <c r="DI5" s="21">
        <f>預測IC!DI5</f>
        <v>-2.1060877479612832E-3</v>
      </c>
      <c r="DJ5" s="21">
        <f>預測IC!DJ5</f>
        <v>-1.062803342938423E-2</v>
      </c>
      <c r="DK5" s="21">
        <f>預測IC!DK5</f>
        <v>-9.6024703234434128E-3</v>
      </c>
      <c r="DL5" s="21">
        <f>預測IC!DL5</f>
        <v>-3.8239909335970879E-3</v>
      </c>
      <c r="DM5" s="21">
        <f>預測IC!DM5</f>
        <v>-6.1252154409885406E-4</v>
      </c>
      <c r="DN5" s="21">
        <f>預測IC!DN5</f>
        <v>-3.627817146480083E-3</v>
      </c>
      <c r="DO5" s="21">
        <f>預測IC!DO5</f>
        <v>2.946552587673068E-3</v>
      </c>
      <c r="DP5" s="21">
        <f>預測IC!DP5</f>
        <v>-5.6377304717898369E-3</v>
      </c>
      <c r="DQ5" s="21">
        <f>預測IC!DQ5</f>
        <v>-4.3007815256714821E-3</v>
      </c>
      <c r="DR5" s="21">
        <f>預測IC!DR5</f>
        <v>-7.0757018402218819E-3</v>
      </c>
      <c r="DS5" s="21">
        <f>預測IC!DS5</f>
        <v>-3.6393199115991588E-3</v>
      </c>
      <c r="DT5" s="21">
        <f>預測IC!DT5</f>
        <v>-1.078812405467033E-3</v>
      </c>
      <c r="DU5" s="21">
        <f>預測IC!DU5</f>
        <v>-5.7610021904110909E-3</v>
      </c>
      <c r="DV5" s="21">
        <f>預測IC!DV5</f>
        <v>-3.170169191434979E-3</v>
      </c>
      <c r="DW5" s="21">
        <f>預測IC!DW5</f>
        <v>1.376348081976175E-4</v>
      </c>
      <c r="DX5" s="21">
        <f>預測IC!DX5</f>
        <v>-5.2125225774943829E-3</v>
      </c>
      <c r="DY5" s="21">
        <f>預測IC!DY5</f>
        <v>-3.231637179851532E-3</v>
      </c>
      <c r="DZ5" s="21">
        <f>預測IC!DZ5</f>
        <v>-1.969799399375916E-3</v>
      </c>
      <c r="EA5" s="21">
        <f>預測IC!EA5</f>
        <v>-2.5265156291425228E-3</v>
      </c>
      <c r="EB5" s="21">
        <f>預測IC!EB5</f>
        <v>-4.4835992157459259E-3</v>
      </c>
      <c r="EC5" s="21">
        <f>預測IC!EC5</f>
        <v>-4.603260662406683E-3</v>
      </c>
      <c r="ED5" s="21">
        <f>預測IC!ED5</f>
        <v>-6.4388466998934746E-3</v>
      </c>
      <c r="EE5" s="21">
        <f>預測IC!EE5</f>
        <v>-5.9161325916647911E-3</v>
      </c>
      <c r="EF5" s="21">
        <f>預測IC!EF5</f>
        <v>-6.1999494209885597E-3</v>
      </c>
      <c r="EG5" s="1"/>
    </row>
    <row r="6" spans="1:137" s="2" customFormat="1">
      <c r="A6" s="32" t="s">
        <v>139</v>
      </c>
      <c r="B6" s="33"/>
      <c r="C6" s="9">
        <f t="array" ref="C6">MATCH(MAX(ABS(C3:C5)), ABS(C3:C5), 0)</f>
        <v>1</v>
      </c>
      <c r="D6" s="9">
        <f t="array" ref="D6">MATCH(MAX(ABS(D3:D5)), ABS(D3:D5), 0)</f>
        <v>2</v>
      </c>
      <c r="E6" s="9">
        <f t="array" ref="E6">MATCH(MAX(ABS(E3:E5)), ABS(E3:E5), 0)</f>
        <v>1</v>
      </c>
      <c r="F6" s="9">
        <f t="array" ref="F6">MATCH(MAX(ABS(F3:F5)), ABS(F3:F5), 0)</f>
        <v>2</v>
      </c>
      <c r="G6" s="9">
        <f t="array" ref="G6">MATCH(MAX(ABS(G3:G5)), ABS(G3:G5), 0)</f>
        <v>2</v>
      </c>
      <c r="H6" s="9">
        <f t="array" ref="H6">MATCH(MAX(ABS(H3:H5)), ABS(H3:H5), 0)</f>
        <v>2</v>
      </c>
      <c r="I6" s="9">
        <f t="array" ref="I6">MATCH(MAX(ABS(I3:I5)), ABS(I3:I5), 0)</f>
        <v>1</v>
      </c>
      <c r="J6" s="9">
        <f t="array" ref="J6">MATCH(MAX(ABS(J3:J5)), ABS(J3:J5), 0)</f>
        <v>2</v>
      </c>
      <c r="K6" s="9">
        <f t="array" ref="K6">MATCH(MAX(ABS(K3:K5)), ABS(K3:K5), 0)</f>
        <v>2</v>
      </c>
      <c r="L6" s="9">
        <f t="array" ref="L6">MATCH(MAX(ABS(L3:L5)), ABS(L3:L5), 0)</f>
        <v>2</v>
      </c>
      <c r="M6" s="9">
        <f t="array" ref="M6">MATCH(MAX(ABS(M3:M5)), ABS(M3:M5), 0)</f>
        <v>2</v>
      </c>
      <c r="N6" s="9">
        <f t="array" ref="N6">MATCH(MAX(ABS(N3:N5)), ABS(N3:N5), 0)</f>
        <v>2</v>
      </c>
      <c r="O6" s="9">
        <f t="array" ref="O6">MATCH(MAX(ABS(O3:O5)), ABS(O3:O5), 0)</f>
        <v>2</v>
      </c>
      <c r="P6" s="9">
        <f t="array" ref="P6">MATCH(MAX(ABS(P3:P5)), ABS(P3:P5), 0)</f>
        <v>1</v>
      </c>
      <c r="Q6" s="9">
        <f t="array" ref="Q6">MATCH(MAX(ABS(Q3:Q5)), ABS(Q3:Q5), 0)</f>
        <v>2</v>
      </c>
      <c r="R6" s="9">
        <f t="array" ref="R6">MATCH(MAX(ABS(R3:R5)), ABS(R3:R5), 0)</f>
        <v>2</v>
      </c>
      <c r="S6" s="9">
        <f t="array" ref="S6">MATCH(MAX(ABS(S3:S5)), ABS(S3:S5), 0)</f>
        <v>1</v>
      </c>
      <c r="T6" s="9">
        <f t="array" ref="T6">MATCH(MAX(ABS(T3:T5)), ABS(T3:T5), 0)</f>
        <v>2</v>
      </c>
      <c r="U6" s="9">
        <f t="array" ref="U6">MATCH(MAX(ABS(U3:U5)), ABS(U3:U5), 0)</f>
        <v>2</v>
      </c>
      <c r="V6" s="9">
        <f t="array" ref="V6">MATCH(MAX(ABS(V3:V5)), ABS(V3:V5), 0)</f>
        <v>2</v>
      </c>
      <c r="W6" s="9">
        <f t="array" ref="W6">MATCH(MAX(ABS(W3:W5)), ABS(W3:W5), 0)</f>
        <v>2</v>
      </c>
      <c r="X6" s="9">
        <f t="array" ref="X6">MATCH(MAX(ABS(X3:X5)), ABS(X3:X5), 0)</f>
        <v>1</v>
      </c>
      <c r="Y6" s="9">
        <f t="array" ref="Y6">MATCH(MAX(ABS(Y3:Y5)), ABS(Y3:Y5), 0)</f>
        <v>2</v>
      </c>
      <c r="Z6" s="9">
        <f t="array" ref="Z6">MATCH(MAX(ABS(Z3:Z5)), ABS(Z3:Z5), 0)</f>
        <v>2</v>
      </c>
      <c r="AA6" s="9">
        <f t="array" ref="AA6">MATCH(MAX(ABS(AA3:AA5)), ABS(AA3:AA5), 0)</f>
        <v>2</v>
      </c>
      <c r="AB6" s="9">
        <f t="array" ref="AB6">MATCH(MAX(ABS(AB3:AB5)), ABS(AB3:AB5), 0)</f>
        <v>2</v>
      </c>
      <c r="AC6" s="9">
        <f t="array" ref="AC6">MATCH(MAX(ABS(AC3:AC5)), ABS(AC3:AC5), 0)</f>
        <v>2</v>
      </c>
      <c r="AD6" s="9">
        <f t="array" ref="AD6">MATCH(MAX(ABS(AD3:AD5)), ABS(AD3:AD5), 0)</f>
        <v>2</v>
      </c>
      <c r="AE6" s="9">
        <f t="array" ref="AE6">MATCH(MAX(ABS(AE3:AE5)), ABS(AE3:AE5), 0)</f>
        <v>1</v>
      </c>
      <c r="AF6" s="9">
        <f t="array" ref="AF6">MATCH(MAX(ABS(AF3:AF5)), ABS(AF3:AF5), 0)</f>
        <v>2</v>
      </c>
      <c r="AG6" s="9">
        <f t="array" ref="AG6">MATCH(MAX(ABS(AG3:AG5)), ABS(AG3:AG5), 0)</f>
        <v>2</v>
      </c>
      <c r="AH6" s="9">
        <f t="array" ref="AH6">MATCH(MAX(ABS(AH3:AH5)), ABS(AH3:AH5), 0)</f>
        <v>2</v>
      </c>
      <c r="AI6" s="9">
        <f t="array" ref="AI6">MATCH(MAX(ABS(AI3:AI5)), ABS(AI3:AI5), 0)</f>
        <v>2</v>
      </c>
      <c r="AJ6" s="9">
        <f t="array" ref="AJ6">MATCH(MAX(ABS(AJ3:AJ5)), ABS(AJ3:AJ5), 0)</f>
        <v>2</v>
      </c>
      <c r="AK6" s="9">
        <f t="array" ref="AK6">MATCH(MAX(ABS(AK3:AK5)), ABS(AK3:AK5), 0)</f>
        <v>2</v>
      </c>
      <c r="AL6" s="9">
        <f t="array" ref="AL6">MATCH(MAX(ABS(AL3:AL5)), ABS(AL3:AL5), 0)</f>
        <v>1</v>
      </c>
      <c r="AM6" s="9">
        <f t="array" ref="AM6">MATCH(MAX(ABS(AM3:AM5)), ABS(AM3:AM5), 0)</f>
        <v>2</v>
      </c>
      <c r="AN6" s="9">
        <f t="array" ref="AN6">MATCH(MAX(ABS(AN3:AN5)), ABS(AN3:AN5), 0)</f>
        <v>1</v>
      </c>
      <c r="AO6" s="9">
        <f t="array" ref="AO6">MATCH(MAX(ABS(AO3:AO5)), ABS(AO3:AO5), 0)</f>
        <v>2</v>
      </c>
      <c r="AP6" s="9">
        <f t="array" ref="AP6">MATCH(MAX(ABS(AP3:AP5)), ABS(AP3:AP5), 0)</f>
        <v>1</v>
      </c>
      <c r="AQ6" s="9">
        <f t="array" ref="AQ6">MATCH(MAX(ABS(AQ3:AQ5)), ABS(AQ3:AQ5), 0)</f>
        <v>2</v>
      </c>
      <c r="AR6" s="9">
        <f t="array" ref="AR6">MATCH(MAX(ABS(AR3:AR5)), ABS(AR3:AR5), 0)</f>
        <v>2</v>
      </c>
      <c r="AS6" s="9">
        <f t="array" ref="AS6">MATCH(MAX(ABS(AS3:AS5)), ABS(AS3:AS5), 0)</f>
        <v>1</v>
      </c>
      <c r="AT6" s="9">
        <f t="array" ref="AT6">MATCH(MAX(ABS(AT3:AT5)), ABS(AT3:AT5), 0)</f>
        <v>1</v>
      </c>
      <c r="AU6" s="9">
        <f t="array" ref="AU6">MATCH(MAX(ABS(AU3:AU5)), ABS(AU3:AU5), 0)</f>
        <v>1</v>
      </c>
      <c r="AV6" s="9">
        <f t="array" ref="AV6">MATCH(MAX(ABS(AV3:AV5)), ABS(AV3:AV5), 0)</f>
        <v>1</v>
      </c>
      <c r="AW6" s="9">
        <f t="array" ref="AW6">MATCH(MAX(ABS(AW3:AW5)), ABS(AW3:AW5), 0)</f>
        <v>1</v>
      </c>
      <c r="AX6" s="9">
        <f t="array" ref="AX6">MATCH(MAX(ABS(AX3:AX5)), ABS(AX3:AX5), 0)</f>
        <v>1</v>
      </c>
      <c r="AY6" s="9">
        <f t="array" ref="AY6">MATCH(MAX(ABS(AY3:AY5)), ABS(AY3:AY5), 0)</f>
        <v>1</v>
      </c>
      <c r="AZ6" s="9">
        <f t="array" ref="AZ6">MATCH(MAX(ABS(AZ3:AZ5)), ABS(AZ3:AZ5), 0)</f>
        <v>1</v>
      </c>
      <c r="BA6" s="9">
        <f t="array" ref="BA6">MATCH(MAX(ABS(BA3:BA5)), ABS(BA3:BA5), 0)</f>
        <v>1</v>
      </c>
      <c r="BB6" s="9">
        <f t="array" ref="BB6">MATCH(MAX(ABS(BB3:BB5)), ABS(BB3:BB5), 0)</f>
        <v>1</v>
      </c>
      <c r="BC6" s="9">
        <f t="array" ref="BC6">MATCH(MAX(ABS(BC3:BC5)), ABS(BC3:BC5), 0)</f>
        <v>1</v>
      </c>
      <c r="BD6" s="9">
        <f t="array" ref="BD6">MATCH(MAX(ABS(BD3:BD5)), ABS(BD3:BD5), 0)</f>
        <v>1</v>
      </c>
      <c r="BE6" s="9">
        <f t="array" ref="BE6">MATCH(MAX(ABS(BE3:BE5)), ABS(BE3:BE5), 0)</f>
        <v>1</v>
      </c>
      <c r="BF6" s="9">
        <f t="array" ref="BF6">MATCH(MAX(ABS(BF3:BF5)), ABS(BF3:BF5), 0)</f>
        <v>1</v>
      </c>
      <c r="BG6" s="9">
        <f t="array" ref="BG6">MATCH(MAX(ABS(BG3:BG5)), ABS(BG3:BG5), 0)</f>
        <v>1</v>
      </c>
      <c r="BH6" s="9">
        <f t="array" ref="BH6">MATCH(MAX(ABS(BH3:BH5)), ABS(BH3:BH5), 0)</f>
        <v>1</v>
      </c>
      <c r="BI6" s="9">
        <f t="array" ref="BI6">MATCH(MAX(ABS(BI3:BI5)), ABS(BI3:BI5), 0)</f>
        <v>1</v>
      </c>
      <c r="BJ6" s="9">
        <f t="array" ref="BJ6">MATCH(MAX(ABS(BJ3:BJ5)), ABS(BJ3:BJ5), 0)</f>
        <v>1</v>
      </c>
      <c r="BK6" s="9">
        <f t="array" ref="BK6">MATCH(MAX(ABS(BK3:BK5)), ABS(BK3:BK5), 0)</f>
        <v>1</v>
      </c>
      <c r="BL6" s="9">
        <f t="array" ref="BL6">MATCH(MAX(ABS(BL3:BL5)), ABS(BL3:BL5), 0)</f>
        <v>1</v>
      </c>
      <c r="BM6" s="9">
        <f t="array" ref="BM6">MATCH(MAX(ABS(BM3:BM5)), ABS(BM3:BM5), 0)</f>
        <v>1</v>
      </c>
      <c r="BN6" s="9">
        <f t="array" ref="BN6">MATCH(MAX(ABS(BN3:BN5)), ABS(BN3:BN5), 0)</f>
        <v>1</v>
      </c>
      <c r="BO6" s="9">
        <f t="array" ref="BO6">MATCH(MAX(ABS(BO3:BO5)), ABS(BO3:BO5), 0)</f>
        <v>1</v>
      </c>
      <c r="BP6" s="9">
        <f t="array" ref="BP6">MATCH(MAX(ABS(BP3:BP5)), ABS(BP3:BP5), 0)</f>
        <v>1</v>
      </c>
      <c r="BQ6" s="9">
        <f t="array" ref="BQ6">MATCH(MAX(ABS(BQ3:BQ5)), ABS(BQ3:BQ5), 0)</f>
        <v>1</v>
      </c>
      <c r="BR6" s="9">
        <f t="array" ref="BR6">MATCH(MAX(ABS(BR3:BR5)), ABS(BR3:BR5), 0)</f>
        <v>1</v>
      </c>
      <c r="BS6" s="9">
        <f t="array" ref="BS6">MATCH(MAX(ABS(BS3:BS5)), ABS(BS3:BS5), 0)</f>
        <v>1</v>
      </c>
      <c r="BT6" s="9">
        <f t="array" ref="BT6">MATCH(MAX(ABS(BT3:BT5)), ABS(BT3:BT5), 0)</f>
        <v>1</v>
      </c>
      <c r="BU6" s="9">
        <f t="array" ref="BU6">MATCH(MAX(ABS(BU3:BU5)), ABS(BU3:BU5), 0)</f>
        <v>1</v>
      </c>
      <c r="BV6" s="9">
        <f t="array" ref="BV6">MATCH(MAX(ABS(BV3:BV5)), ABS(BV3:BV5), 0)</f>
        <v>1</v>
      </c>
      <c r="BW6" s="9">
        <f t="array" ref="BW6">MATCH(MAX(ABS(BW3:BW5)), ABS(BW3:BW5), 0)</f>
        <v>1</v>
      </c>
      <c r="BX6" s="9">
        <f t="array" ref="BX6">MATCH(MAX(ABS(BX3:BX5)), ABS(BX3:BX5), 0)</f>
        <v>1</v>
      </c>
      <c r="BY6" s="9">
        <f t="array" ref="BY6">MATCH(MAX(ABS(BY3:BY5)), ABS(BY3:BY5), 0)</f>
        <v>1</v>
      </c>
      <c r="BZ6" s="9">
        <f t="array" ref="BZ6">MATCH(MAX(ABS(BZ3:BZ5)), ABS(BZ3:BZ5), 0)</f>
        <v>1</v>
      </c>
      <c r="CA6" s="9">
        <f t="array" ref="CA6">MATCH(MAX(ABS(CA3:CA5)), ABS(CA3:CA5), 0)</f>
        <v>1</v>
      </c>
      <c r="CB6" s="9">
        <f t="array" ref="CB6">MATCH(MAX(ABS(CB3:CB5)), ABS(CB3:CB5), 0)</f>
        <v>1</v>
      </c>
      <c r="CC6" s="9">
        <f t="array" ref="CC6">MATCH(MAX(ABS(CC3:CC5)), ABS(CC3:CC5), 0)</f>
        <v>1</v>
      </c>
      <c r="CD6" s="9">
        <f t="array" ref="CD6">MATCH(MAX(ABS(CD3:CD5)), ABS(CD3:CD5), 0)</f>
        <v>1</v>
      </c>
      <c r="CE6" s="9">
        <f t="array" ref="CE6">MATCH(MAX(ABS(CE3:CE5)), ABS(CE3:CE5), 0)</f>
        <v>1</v>
      </c>
      <c r="CF6" s="9">
        <f t="array" ref="CF6">MATCH(MAX(ABS(CF3:CF5)), ABS(CF3:CF5), 0)</f>
        <v>1</v>
      </c>
      <c r="CG6" s="9">
        <f t="array" ref="CG6">MATCH(MAX(ABS(CG3:CG5)), ABS(CG3:CG5), 0)</f>
        <v>1</v>
      </c>
      <c r="CH6" s="9">
        <f t="array" ref="CH6">MATCH(MAX(ABS(CH3:CH5)), ABS(CH3:CH5), 0)</f>
        <v>1</v>
      </c>
      <c r="CI6" s="9">
        <f t="array" ref="CI6">MATCH(MAX(ABS(CI3:CI5)), ABS(CI3:CI5), 0)</f>
        <v>1</v>
      </c>
      <c r="CJ6" s="9">
        <f t="array" ref="CJ6">MATCH(MAX(ABS(CJ3:CJ5)), ABS(CJ3:CJ5), 0)</f>
        <v>1</v>
      </c>
      <c r="CK6" s="9">
        <f t="array" ref="CK6">MATCH(MAX(ABS(CK3:CK5)), ABS(CK3:CK5), 0)</f>
        <v>1</v>
      </c>
      <c r="CL6" s="9">
        <f t="array" ref="CL6">MATCH(MAX(ABS(CL3:CL5)), ABS(CL3:CL5), 0)</f>
        <v>1</v>
      </c>
      <c r="CM6" s="9">
        <f t="array" ref="CM6">MATCH(MAX(ABS(CM3:CM5)), ABS(CM3:CM5), 0)</f>
        <v>1</v>
      </c>
      <c r="CN6" s="9">
        <f t="array" ref="CN6">MATCH(MAX(ABS(CN3:CN5)), ABS(CN3:CN5), 0)</f>
        <v>1</v>
      </c>
      <c r="CO6" s="9">
        <f t="array" ref="CO6">MATCH(MAX(ABS(CO3:CO5)), ABS(CO3:CO5), 0)</f>
        <v>1</v>
      </c>
      <c r="CP6" s="9">
        <f t="array" ref="CP6">MATCH(MAX(ABS(CP3:CP5)), ABS(CP3:CP5), 0)</f>
        <v>1</v>
      </c>
      <c r="CQ6" s="9">
        <f t="array" ref="CQ6">MATCH(MAX(ABS(CQ3:CQ5)), ABS(CQ3:CQ5), 0)</f>
        <v>1</v>
      </c>
      <c r="CR6" s="9">
        <f t="array" ref="CR6">MATCH(MAX(ABS(CR3:CR5)), ABS(CR3:CR5), 0)</f>
        <v>1</v>
      </c>
      <c r="CS6" s="9">
        <f t="array" ref="CS6">MATCH(MAX(ABS(CS3:CS5)), ABS(CS3:CS5), 0)</f>
        <v>1</v>
      </c>
      <c r="CT6" s="9">
        <f t="array" ref="CT6">MATCH(MAX(ABS(CT3:CT5)), ABS(CT3:CT5), 0)</f>
        <v>1</v>
      </c>
      <c r="CU6" s="9">
        <f t="array" ref="CU6">MATCH(MAX(ABS(CU3:CU5)), ABS(CU3:CU5), 0)</f>
        <v>1</v>
      </c>
      <c r="CV6" s="9">
        <f t="array" ref="CV6">MATCH(MAX(ABS(CV3:CV5)), ABS(CV3:CV5), 0)</f>
        <v>1</v>
      </c>
      <c r="CW6" s="9">
        <f t="array" ref="CW6">MATCH(MAX(ABS(CW3:CW5)), ABS(CW3:CW5), 0)</f>
        <v>1</v>
      </c>
      <c r="CX6" s="9">
        <f t="array" ref="CX6">MATCH(MAX(ABS(CX3:CX5)), ABS(CX3:CX5), 0)</f>
        <v>1</v>
      </c>
      <c r="CY6" s="9">
        <f t="array" ref="CY6">MATCH(MAX(ABS(CY3:CY5)), ABS(CY3:CY5), 0)</f>
        <v>1</v>
      </c>
      <c r="CZ6" s="9">
        <f t="array" ref="CZ6">MATCH(MAX(ABS(CZ3:CZ5)), ABS(CZ3:CZ5), 0)</f>
        <v>1</v>
      </c>
      <c r="DA6" s="9">
        <f t="array" ref="DA6">MATCH(MAX(ABS(DA3:DA5)), ABS(DA3:DA5), 0)</f>
        <v>1</v>
      </c>
      <c r="DB6" s="9">
        <f t="array" ref="DB6">MATCH(MAX(ABS(DB3:DB5)), ABS(DB3:DB5), 0)</f>
        <v>1</v>
      </c>
      <c r="DC6" s="9">
        <f t="array" ref="DC6">MATCH(MAX(ABS(DC3:DC5)), ABS(DC3:DC5), 0)</f>
        <v>1</v>
      </c>
      <c r="DD6" s="9">
        <f t="array" ref="DD6">MATCH(MAX(ABS(DD3:DD5)), ABS(DD3:DD5), 0)</f>
        <v>1</v>
      </c>
      <c r="DE6" s="9">
        <f t="array" ref="DE6">MATCH(MAX(ABS(DE3:DE5)), ABS(DE3:DE5), 0)</f>
        <v>1</v>
      </c>
      <c r="DF6" s="9">
        <f t="array" ref="DF6">MATCH(MAX(ABS(DF3:DF5)), ABS(DF3:DF5), 0)</f>
        <v>1</v>
      </c>
      <c r="DG6" s="9">
        <f t="array" ref="DG6">MATCH(MAX(ABS(DG3:DG5)), ABS(DG3:DG5), 0)</f>
        <v>1</v>
      </c>
      <c r="DH6" s="9">
        <f t="array" ref="DH6">MATCH(MAX(ABS(DH3:DH5)), ABS(DH3:DH5), 0)</f>
        <v>1</v>
      </c>
      <c r="DI6" s="9">
        <f t="array" ref="DI6">MATCH(MAX(ABS(DI3:DI5)), ABS(DI3:DI5), 0)</f>
        <v>1</v>
      </c>
      <c r="DJ6" s="9">
        <f t="array" ref="DJ6">MATCH(MAX(ABS(DJ3:DJ5)), ABS(DJ3:DJ5), 0)</f>
        <v>1</v>
      </c>
      <c r="DK6" s="9">
        <f t="array" ref="DK6">MATCH(MAX(ABS(DK3:DK5)), ABS(DK3:DK5), 0)</f>
        <v>1</v>
      </c>
      <c r="DL6" s="9">
        <f t="array" ref="DL6">MATCH(MAX(ABS(DL3:DL5)), ABS(DL3:DL5), 0)</f>
        <v>1</v>
      </c>
      <c r="DM6" s="9">
        <f t="array" ref="DM6">MATCH(MAX(ABS(DM3:DM5)), ABS(DM3:DM5), 0)</f>
        <v>1</v>
      </c>
      <c r="DN6" s="9">
        <f t="array" ref="DN6">MATCH(MAX(ABS(DN3:DN5)), ABS(DN3:DN5), 0)</f>
        <v>1</v>
      </c>
      <c r="DO6" s="9">
        <f t="array" ref="DO6">MATCH(MAX(ABS(DO3:DO5)), ABS(DO3:DO5), 0)</f>
        <v>1</v>
      </c>
      <c r="DP6" s="9">
        <f t="array" ref="DP6">MATCH(MAX(ABS(DP3:DP5)), ABS(DP3:DP5), 0)</f>
        <v>1</v>
      </c>
      <c r="DQ6" s="9">
        <f t="array" ref="DQ6">MATCH(MAX(ABS(DQ3:DQ5)), ABS(DQ3:DQ5), 0)</f>
        <v>1</v>
      </c>
      <c r="DR6" s="9">
        <f t="array" ref="DR6">MATCH(MAX(ABS(DR3:DR5)), ABS(DR3:DR5), 0)</f>
        <v>1</v>
      </c>
      <c r="DS6" s="9">
        <f t="array" ref="DS6">MATCH(MAX(ABS(DS3:DS5)), ABS(DS3:DS5), 0)</f>
        <v>1</v>
      </c>
      <c r="DT6" s="9">
        <f t="array" ref="DT6">MATCH(MAX(ABS(DT3:DT5)), ABS(DT3:DT5), 0)</f>
        <v>1</v>
      </c>
      <c r="DU6" s="9">
        <f t="array" ref="DU6">MATCH(MAX(ABS(DU3:DU5)), ABS(DU3:DU5), 0)</f>
        <v>1</v>
      </c>
      <c r="DV6" s="9">
        <f t="array" ref="DV6">MATCH(MAX(ABS(DV3:DV5)), ABS(DV3:DV5), 0)</f>
        <v>1</v>
      </c>
      <c r="DW6" s="9">
        <f t="array" ref="DW6">MATCH(MAX(ABS(DW3:DW5)), ABS(DW3:DW5), 0)</f>
        <v>1</v>
      </c>
      <c r="DX6" s="9">
        <f t="array" ref="DX6">MATCH(MAX(ABS(DX3:DX5)), ABS(DX3:DX5), 0)</f>
        <v>1</v>
      </c>
      <c r="DY6" s="9">
        <f t="array" ref="DY6">MATCH(MAX(ABS(DY3:DY5)), ABS(DY3:DY5), 0)</f>
        <v>1</v>
      </c>
      <c r="DZ6" s="9">
        <f t="array" ref="DZ6">MATCH(MAX(ABS(DZ3:DZ5)), ABS(DZ3:DZ5), 0)</f>
        <v>1</v>
      </c>
      <c r="EA6" s="9">
        <f t="array" ref="EA6">MATCH(MAX(ABS(EA3:EA5)), ABS(EA3:EA5), 0)</f>
        <v>1</v>
      </c>
      <c r="EB6" s="9">
        <f t="array" ref="EB6">MATCH(MAX(ABS(EB3:EB5)), ABS(EB3:EB5), 0)</f>
        <v>1</v>
      </c>
      <c r="EC6" s="9">
        <f t="array" ref="EC6">MATCH(MAX(ABS(EC3:EC5)), ABS(EC3:EC5), 0)</f>
        <v>1</v>
      </c>
      <c r="ED6" s="9">
        <f t="array" ref="ED6">MATCH(MAX(ABS(ED3:ED5)), ABS(ED3:ED5), 0)</f>
        <v>1</v>
      </c>
      <c r="EE6" s="9">
        <f t="array" ref="EE6">MATCH(MAX(ABS(EE3:EE5)), ABS(EE3:EE5), 0)</f>
        <v>1</v>
      </c>
      <c r="EF6" s="9">
        <f t="array" ref="EF6">MATCH(MAX(ABS(EF3:EF5)), ABS(EF3:EF5), 0)</f>
        <v>1</v>
      </c>
    </row>
    <row r="7" spans="1:137" s="2" customFormat="1">
      <c r="C7" s="9" t="str">
        <f t="shared" ref="C7:AH7" si="0">IF(C6=1,"bm",IF(C6=2,"size",IF(C6=3,"mom")))</f>
        <v>bm</v>
      </c>
      <c r="D7" s="9" t="str">
        <f t="shared" si="0"/>
        <v>size</v>
      </c>
      <c r="E7" s="9" t="str">
        <f t="shared" si="0"/>
        <v>bm</v>
      </c>
      <c r="F7" s="9" t="str">
        <f t="shared" si="0"/>
        <v>size</v>
      </c>
      <c r="G7" s="9" t="str">
        <f t="shared" si="0"/>
        <v>size</v>
      </c>
      <c r="H7" s="9" t="str">
        <f t="shared" si="0"/>
        <v>size</v>
      </c>
      <c r="I7" s="9" t="str">
        <f t="shared" si="0"/>
        <v>bm</v>
      </c>
      <c r="J7" s="9" t="str">
        <f t="shared" si="0"/>
        <v>size</v>
      </c>
      <c r="K7" s="9" t="str">
        <f t="shared" si="0"/>
        <v>size</v>
      </c>
      <c r="L7" s="9" t="str">
        <f t="shared" si="0"/>
        <v>size</v>
      </c>
      <c r="M7" s="9" t="str">
        <f t="shared" si="0"/>
        <v>size</v>
      </c>
      <c r="N7" s="9" t="str">
        <f t="shared" si="0"/>
        <v>size</v>
      </c>
      <c r="O7" s="9" t="str">
        <f t="shared" si="0"/>
        <v>size</v>
      </c>
      <c r="P7" s="9" t="str">
        <f t="shared" si="0"/>
        <v>bm</v>
      </c>
      <c r="Q7" s="9" t="str">
        <f t="shared" si="0"/>
        <v>size</v>
      </c>
      <c r="R7" s="9" t="str">
        <f t="shared" si="0"/>
        <v>size</v>
      </c>
      <c r="S7" s="9" t="str">
        <f t="shared" si="0"/>
        <v>bm</v>
      </c>
      <c r="T7" s="9" t="str">
        <f t="shared" si="0"/>
        <v>size</v>
      </c>
      <c r="U7" s="9" t="str">
        <f t="shared" si="0"/>
        <v>size</v>
      </c>
      <c r="V7" s="9" t="str">
        <f t="shared" si="0"/>
        <v>size</v>
      </c>
      <c r="W7" s="9" t="str">
        <f t="shared" si="0"/>
        <v>size</v>
      </c>
      <c r="X7" s="9" t="str">
        <f t="shared" si="0"/>
        <v>bm</v>
      </c>
      <c r="Y7" s="9" t="str">
        <f t="shared" si="0"/>
        <v>size</v>
      </c>
      <c r="Z7" s="9" t="str">
        <f t="shared" si="0"/>
        <v>size</v>
      </c>
      <c r="AA7" s="9" t="str">
        <f t="shared" si="0"/>
        <v>size</v>
      </c>
      <c r="AB7" s="9" t="str">
        <f t="shared" si="0"/>
        <v>size</v>
      </c>
      <c r="AC7" s="9" t="str">
        <f t="shared" si="0"/>
        <v>size</v>
      </c>
      <c r="AD7" s="9" t="str">
        <f t="shared" si="0"/>
        <v>size</v>
      </c>
      <c r="AE7" s="9" t="str">
        <f t="shared" si="0"/>
        <v>bm</v>
      </c>
      <c r="AF7" s="9" t="str">
        <f t="shared" si="0"/>
        <v>size</v>
      </c>
      <c r="AG7" s="9" t="str">
        <f t="shared" si="0"/>
        <v>size</v>
      </c>
      <c r="AH7" s="9" t="str">
        <f t="shared" si="0"/>
        <v>size</v>
      </c>
      <c r="AI7" s="9" t="str">
        <f t="shared" ref="AI7:BN7" si="1">IF(AI6=1,"bm",IF(AI6=2,"size",IF(AI6=3,"mom")))</f>
        <v>size</v>
      </c>
      <c r="AJ7" s="9" t="str">
        <f t="shared" si="1"/>
        <v>size</v>
      </c>
      <c r="AK7" s="9" t="str">
        <f t="shared" si="1"/>
        <v>size</v>
      </c>
      <c r="AL7" s="9" t="str">
        <f t="shared" si="1"/>
        <v>bm</v>
      </c>
      <c r="AM7" s="9" t="str">
        <f t="shared" si="1"/>
        <v>size</v>
      </c>
      <c r="AN7" s="9" t="str">
        <f t="shared" si="1"/>
        <v>bm</v>
      </c>
      <c r="AO7" s="9" t="str">
        <f t="shared" si="1"/>
        <v>size</v>
      </c>
      <c r="AP7" s="9" t="str">
        <f t="shared" si="1"/>
        <v>bm</v>
      </c>
      <c r="AQ7" s="9" t="str">
        <f t="shared" si="1"/>
        <v>size</v>
      </c>
      <c r="AR7" s="9" t="str">
        <f t="shared" si="1"/>
        <v>size</v>
      </c>
      <c r="AS7" s="9" t="str">
        <f t="shared" si="1"/>
        <v>bm</v>
      </c>
      <c r="AT7" s="9" t="str">
        <f t="shared" si="1"/>
        <v>bm</v>
      </c>
      <c r="AU7" s="9" t="str">
        <f t="shared" si="1"/>
        <v>bm</v>
      </c>
      <c r="AV7" s="9" t="str">
        <f t="shared" si="1"/>
        <v>bm</v>
      </c>
      <c r="AW7" s="9" t="str">
        <f t="shared" si="1"/>
        <v>bm</v>
      </c>
      <c r="AX7" s="9" t="str">
        <f t="shared" si="1"/>
        <v>bm</v>
      </c>
      <c r="AY7" s="9" t="str">
        <f t="shared" si="1"/>
        <v>bm</v>
      </c>
      <c r="AZ7" s="9" t="str">
        <f t="shared" si="1"/>
        <v>bm</v>
      </c>
      <c r="BA7" s="9" t="str">
        <f t="shared" si="1"/>
        <v>bm</v>
      </c>
      <c r="BB7" s="9" t="str">
        <f t="shared" si="1"/>
        <v>bm</v>
      </c>
      <c r="BC7" s="9" t="str">
        <f t="shared" si="1"/>
        <v>bm</v>
      </c>
      <c r="BD7" s="9" t="str">
        <f t="shared" si="1"/>
        <v>bm</v>
      </c>
      <c r="BE7" s="9" t="str">
        <f t="shared" si="1"/>
        <v>bm</v>
      </c>
      <c r="BF7" s="9" t="str">
        <f t="shared" si="1"/>
        <v>bm</v>
      </c>
      <c r="BG7" s="9" t="str">
        <f t="shared" si="1"/>
        <v>bm</v>
      </c>
      <c r="BH7" s="9" t="str">
        <f t="shared" si="1"/>
        <v>bm</v>
      </c>
      <c r="BI7" s="9" t="str">
        <f t="shared" si="1"/>
        <v>bm</v>
      </c>
      <c r="BJ7" s="9" t="str">
        <f t="shared" si="1"/>
        <v>bm</v>
      </c>
      <c r="BK7" s="9" t="str">
        <f t="shared" si="1"/>
        <v>bm</v>
      </c>
      <c r="BL7" s="9" t="str">
        <f t="shared" si="1"/>
        <v>bm</v>
      </c>
      <c r="BM7" s="9" t="str">
        <f t="shared" si="1"/>
        <v>bm</v>
      </c>
      <c r="BN7" s="9" t="str">
        <f t="shared" si="1"/>
        <v>bm</v>
      </c>
      <c r="BO7" s="9" t="str">
        <f t="shared" ref="BO7:CT7" si="2">IF(BO6=1,"bm",IF(BO6=2,"size",IF(BO6=3,"mom")))</f>
        <v>bm</v>
      </c>
      <c r="BP7" s="9" t="str">
        <f t="shared" si="2"/>
        <v>bm</v>
      </c>
      <c r="BQ7" s="9" t="str">
        <f t="shared" si="2"/>
        <v>bm</v>
      </c>
      <c r="BR7" s="9" t="str">
        <f t="shared" si="2"/>
        <v>bm</v>
      </c>
      <c r="BS7" s="9" t="str">
        <f t="shared" si="2"/>
        <v>bm</v>
      </c>
      <c r="BT7" s="9" t="str">
        <f t="shared" si="2"/>
        <v>bm</v>
      </c>
      <c r="BU7" s="9" t="str">
        <f t="shared" si="2"/>
        <v>bm</v>
      </c>
      <c r="BV7" s="9" t="str">
        <f t="shared" si="2"/>
        <v>bm</v>
      </c>
      <c r="BW7" s="9" t="str">
        <f t="shared" si="2"/>
        <v>bm</v>
      </c>
      <c r="BX7" s="9" t="str">
        <f t="shared" si="2"/>
        <v>bm</v>
      </c>
      <c r="BY7" s="9" t="str">
        <f t="shared" si="2"/>
        <v>bm</v>
      </c>
      <c r="BZ7" s="9" t="str">
        <f t="shared" si="2"/>
        <v>bm</v>
      </c>
      <c r="CA7" s="9" t="str">
        <f t="shared" si="2"/>
        <v>bm</v>
      </c>
      <c r="CB7" s="9" t="str">
        <f t="shared" si="2"/>
        <v>bm</v>
      </c>
      <c r="CC7" s="9" t="str">
        <f t="shared" si="2"/>
        <v>bm</v>
      </c>
      <c r="CD7" s="9" t="str">
        <f t="shared" si="2"/>
        <v>bm</v>
      </c>
      <c r="CE7" s="9" t="str">
        <f t="shared" si="2"/>
        <v>bm</v>
      </c>
      <c r="CF7" s="9" t="str">
        <f t="shared" si="2"/>
        <v>bm</v>
      </c>
      <c r="CG7" s="9" t="str">
        <f t="shared" si="2"/>
        <v>bm</v>
      </c>
      <c r="CH7" s="9" t="str">
        <f t="shared" si="2"/>
        <v>bm</v>
      </c>
      <c r="CI7" s="9" t="str">
        <f t="shared" si="2"/>
        <v>bm</v>
      </c>
      <c r="CJ7" s="9" t="str">
        <f t="shared" si="2"/>
        <v>bm</v>
      </c>
      <c r="CK7" s="9" t="str">
        <f t="shared" si="2"/>
        <v>bm</v>
      </c>
      <c r="CL7" s="9" t="str">
        <f t="shared" si="2"/>
        <v>bm</v>
      </c>
      <c r="CM7" s="9" t="str">
        <f t="shared" si="2"/>
        <v>bm</v>
      </c>
      <c r="CN7" s="9" t="str">
        <f t="shared" si="2"/>
        <v>bm</v>
      </c>
      <c r="CO7" s="9" t="str">
        <f t="shared" si="2"/>
        <v>bm</v>
      </c>
      <c r="CP7" s="9" t="str">
        <f t="shared" si="2"/>
        <v>bm</v>
      </c>
      <c r="CQ7" s="9" t="str">
        <f t="shared" si="2"/>
        <v>bm</v>
      </c>
      <c r="CR7" s="9" t="str">
        <f t="shared" si="2"/>
        <v>bm</v>
      </c>
      <c r="CS7" s="9" t="str">
        <f t="shared" si="2"/>
        <v>bm</v>
      </c>
      <c r="CT7" s="9" t="str">
        <f t="shared" si="2"/>
        <v>bm</v>
      </c>
      <c r="CU7" s="9" t="str">
        <f t="shared" ref="CU7:DZ7" si="3">IF(CU6=1,"bm",IF(CU6=2,"size",IF(CU6=3,"mom")))</f>
        <v>bm</v>
      </c>
      <c r="CV7" s="9" t="str">
        <f t="shared" si="3"/>
        <v>bm</v>
      </c>
      <c r="CW7" s="9" t="str">
        <f t="shared" si="3"/>
        <v>bm</v>
      </c>
      <c r="CX7" s="9" t="str">
        <f t="shared" si="3"/>
        <v>bm</v>
      </c>
      <c r="CY7" s="9" t="str">
        <f t="shared" si="3"/>
        <v>bm</v>
      </c>
      <c r="CZ7" s="9" t="str">
        <f t="shared" si="3"/>
        <v>bm</v>
      </c>
      <c r="DA7" s="9" t="str">
        <f t="shared" si="3"/>
        <v>bm</v>
      </c>
      <c r="DB7" s="9" t="str">
        <f t="shared" si="3"/>
        <v>bm</v>
      </c>
      <c r="DC7" s="9" t="str">
        <f t="shared" si="3"/>
        <v>bm</v>
      </c>
      <c r="DD7" s="9" t="str">
        <f t="shared" si="3"/>
        <v>bm</v>
      </c>
      <c r="DE7" s="9" t="str">
        <f t="shared" si="3"/>
        <v>bm</v>
      </c>
      <c r="DF7" s="9" t="str">
        <f t="shared" si="3"/>
        <v>bm</v>
      </c>
      <c r="DG7" s="9" t="str">
        <f t="shared" si="3"/>
        <v>bm</v>
      </c>
      <c r="DH7" s="9" t="str">
        <f t="shared" si="3"/>
        <v>bm</v>
      </c>
      <c r="DI7" s="9" t="str">
        <f t="shared" si="3"/>
        <v>bm</v>
      </c>
      <c r="DJ7" s="9" t="str">
        <f t="shared" si="3"/>
        <v>bm</v>
      </c>
      <c r="DK7" s="9" t="str">
        <f t="shared" si="3"/>
        <v>bm</v>
      </c>
      <c r="DL7" s="9" t="str">
        <f t="shared" si="3"/>
        <v>bm</v>
      </c>
      <c r="DM7" s="9" t="str">
        <f t="shared" si="3"/>
        <v>bm</v>
      </c>
      <c r="DN7" s="9" t="str">
        <f t="shared" si="3"/>
        <v>bm</v>
      </c>
      <c r="DO7" s="9" t="str">
        <f t="shared" si="3"/>
        <v>bm</v>
      </c>
      <c r="DP7" s="9" t="str">
        <f t="shared" si="3"/>
        <v>bm</v>
      </c>
      <c r="DQ7" s="9" t="str">
        <f t="shared" si="3"/>
        <v>bm</v>
      </c>
      <c r="DR7" s="9" t="str">
        <f t="shared" si="3"/>
        <v>bm</v>
      </c>
      <c r="DS7" s="9" t="str">
        <f t="shared" si="3"/>
        <v>bm</v>
      </c>
      <c r="DT7" s="9" t="str">
        <f t="shared" si="3"/>
        <v>bm</v>
      </c>
      <c r="DU7" s="9" t="str">
        <f t="shared" si="3"/>
        <v>bm</v>
      </c>
      <c r="DV7" s="9" t="str">
        <f t="shared" si="3"/>
        <v>bm</v>
      </c>
      <c r="DW7" s="9" t="str">
        <f t="shared" si="3"/>
        <v>bm</v>
      </c>
      <c r="DX7" s="9" t="str">
        <f t="shared" si="3"/>
        <v>bm</v>
      </c>
      <c r="DY7" s="9" t="str">
        <f t="shared" si="3"/>
        <v>bm</v>
      </c>
      <c r="DZ7" s="9" t="str">
        <f t="shared" si="3"/>
        <v>bm</v>
      </c>
      <c r="EA7" s="9" t="str">
        <f t="shared" ref="EA7:EF7" si="4">IF(EA6=1,"bm",IF(EA6=2,"size",IF(EA6=3,"mom")))</f>
        <v>bm</v>
      </c>
      <c r="EB7" s="9" t="str">
        <f t="shared" si="4"/>
        <v>bm</v>
      </c>
      <c r="EC7" s="9" t="str">
        <f t="shared" si="4"/>
        <v>bm</v>
      </c>
      <c r="ED7" s="9" t="str">
        <f t="shared" si="4"/>
        <v>bm</v>
      </c>
      <c r="EE7" s="9" t="str">
        <f t="shared" si="4"/>
        <v>bm</v>
      </c>
      <c r="EF7" s="9" t="str">
        <f t="shared" si="4"/>
        <v>bm</v>
      </c>
    </row>
    <row r="8" spans="1:137" s="2" customFormat="1">
      <c r="C8" s="9">
        <f t="shared" ref="C8:AH8" si="5">IF(C6=1,C3,IF(C6=2,C4,IF(C6=3,C5)))</f>
        <v>5.338069424033165E-2</v>
      </c>
      <c r="D8" s="9">
        <f t="shared" si="5"/>
        <v>-3.0302392318844799E-2</v>
      </c>
      <c r="E8" s="9">
        <f t="shared" si="5"/>
        <v>3.7131085991859443E-2</v>
      </c>
      <c r="F8" s="9">
        <f t="shared" si="5"/>
        <v>-3.342650830745697E-2</v>
      </c>
      <c r="G8" s="9">
        <f t="shared" si="5"/>
        <v>-4.356461763381958E-2</v>
      </c>
      <c r="H8" s="9">
        <f t="shared" si="5"/>
        <v>-2.4043656885623928E-2</v>
      </c>
      <c r="I8" s="9">
        <f t="shared" si="5"/>
        <v>3.051983006298542E-2</v>
      </c>
      <c r="J8" s="9">
        <f t="shared" si="5"/>
        <v>-3.6628138273954391E-2</v>
      </c>
      <c r="K8" s="9">
        <f t="shared" si="5"/>
        <v>-3.3706646412611008E-2</v>
      </c>
      <c r="L8" s="9">
        <f t="shared" si="5"/>
        <v>-3.9789609611034393E-2</v>
      </c>
      <c r="M8" s="9">
        <f t="shared" si="5"/>
        <v>-3.8071341812610633E-2</v>
      </c>
      <c r="N8" s="9">
        <f t="shared" si="5"/>
        <v>-2.9651828110218052E-2</v>
      </c>
      <c r="O8" s="9">
        <f t="shared" si="5"/>
        <v>-3.6376375705003738E-2</v>
      </c>
      <c r="P8" s="9">
        <f t="shared" si="5"/>
        <v>9.2788353562355042E-2</v>
      </c>
      <c r="Q8" s="9">
        <f t="shared" si="5"/>
        <v>-2.434376627206802E-2</v>
      </c>
      <c r="R8" s="9">
        <f t="shared" si="5"/>
        <v>-3.3573232591152191E-2</v>
      </c>
      <c r="S8" s="9">
        <f t="shared" si="5"/>
        <v>4.957927018404007E-2</v>
      </c>
      <c r="T8" s="9">
        <f t="shared" si="5"/>
        <v>-2.798360958695412E-2</v>
      </c>
      <c r="U8" s="9">
        <f t="shared" si="5"/>
        <v>-2.942265011370182E-2</v>
      </c>
      <c r="V8" s="9">
        <f t="shared" si="5"/>
        <v>-2.794249914586544E-2</v>
      </c>
      <c r="W8" s="9">
        <f t="shared" si="5"/>
        <v>-2.784637734293938E-2</v>
      </c>
      <c r="X8" s="9">
        <f t="shared" si="5"/>
        <v>-3.8444548845291138E-2</v>
      </c>
      <c r="Y8" s="9">
        <f t="shared" si="5"/>
        <v>-3.1967829912900918E-2</v>
      </c>
      <c r="Z8" s="9">
        <f t="shared" si="5"/>
        <v>-2.9925361275672909E-2</v>
      </c>
      <c r="AA8" s="9">
        <f t="shared" si="5"/>
        <v>-3.0244136229157451E-2</v>
      </c>
      <c r="AB8" s="9">
        <f t="shared" si="5"/>
        <v>-2.8592776507139209E-2</v>
      </c>
      <c r="AC8" s="9">
        <f t="shared" si="5"/>
        <v>-2.740947529673576E-2</v>
      </c>
      <c r="AD8" s="9">
        <f t="shared" si="5"/>
        <v>-2.904889173805714E-2</v>
      </c>
      <c r="AE8" s="9">
        <f t="shared" si="5"/>
        <v>3.8704991340637207E-2</v>
      </c>
      <c r="AF8" s="9">
        <f t="shared" si="5"/>
        <v>-2.8318248689174649E-2</v>
      </c>
      <c r="AG8" s="9">
        <f t="shared" si="5"/>
        <v>-2.835783921182156E-2</v>
      </c>
      <c r="AH8" s="9">
        <f t="shared" si="5"/>
        <v>-2.0635519176721569E-2</v>
      </c>
      <c r="AI8" s="9">
        <f t="shared" ref="AI8:BN8" si="6">IF(AI6=1,AI3,IF(AI6=2,AI4,IF(AI6=3,AI5)))</f>
        <v>-3.9616737514734268E-2</v>
      </c>
      <c r="AJ8" s="9">
        <f t="shared" si="6"/>
        <v>-3.4279849380254752E-2</v>
      </c>
      <c r="AK8" s="9">
        <f t="shared" si="6"/>
        <v>-2.738221921026707E-2</v>
      </c>
      <c r="AL8" s="9">
        <f t="shared" si="6"/>
        <v>3.8964591920375817E-2</v>
      </c>
      <c r="AM8" s="9">
        <f t="shared" si="6"/>
        <v>-3.1148817390203479E-2</v>
      </c>
      <c r="AN8" s="9">
        <f t="shared" si="6"/>
        <v>4.386327788233757E-2</v>
      </c>
      <c r="AO8" s="9">
        <f t="shared" si="6"/>
        <v>-3.5884447395801537E-2</v>
      </c>
      <c r="AP8" s="9">
        <f t="shared" si="6"/>
        <v>3.8291200995445251E-2</v>
      </c>
      <c r="AQ8" s="9">
        <f t="shared" si="6"/>
        <v>-2.1187437698245049E-2</v>
      </c>
      <c r="AR8" s="9">
        <f t="shared" si="6"/>
        <v>-2.6181202381849289E-2</v>
      </c>
      <c r="AS8" s="9">
        <f t="shared" si="6"/>
        <v>-6.6054962575435638E-2</v>
      </c>
      <c r="AT8" s="9">
        <f t="shared" si="6"/>
        <v>4.3137997388839722E-2</v>
      </c>
      <c r="AU8" s="9">
        <f t="shared" si="6"/>
        <v>4.9771856516599662E-2</v>
      </c>
      <c r="AV8" s="9">
        <f t="shared" si="6"/>
        <v>4.9413982778787613E-2</v>
      </c>
      <c r="AW8" s="9">
        <f t="shared" si="6"/>
        <v>5.1071316003799438E-2</v>
      </c>
      <c r="AX8" s="9">
        <f t="shared" si="6"/>
        <v>4.962177574634552E-2</v>
      </c>
      <c r="AY8" s="9">
        <f t="shared" si="6"/>
        <v>5.1257487386465073E-2</v>
      </c>
      <c r="AZ8" s="9">
        <f t="shared" si="6"/>
        <v>4.2423129081726067E-2</v>
      </c>
      <c r="BA8" s="9">
        <f t="shared" si="6"/>
        <v>3.9333701133728027E-2</v>
      </c>
      <c r="BB8" s="9">
        <f t="shared" si="6"/>
        <v>3.9388258010149002E-2</v>
      </c>
      <c r="BC8" s="9">
        <f t="shared" si="6"/>
        <v>4.2884018272161477E-2</v>
      </c>
      <c r="BD8" s="9">
        <f t="shared" si="6"/>
        <v>4.4494438916444778E-2</v>
      </c>
      <c r="BE8" s="9">
        <f t="shared" si="6"/>
        <v>4.6050392091274261E-2</v>
      </c>
      <c r="BF8" s="9">
        <f t="shared" si="6"/>
        <v>5.2774351090192788E-2</v>
      </c>
      <c r="BG8" s="9">
        <f t="shared" si="6"/>
        <v>5.2520696073770523E-2</v>
      </c>
      <c r="BH8" s="9">
        <f t="shared" si="6"/>
        <v>5.204303190112114E-2</v>
      </c>
      <c r="BI8" s="9">
        <f t="shared" si="6"/>
        <v>5.3213786333799362E-2</v>
      </c>
      <c r="BJ8" s="9">
        <f t="shared" si="6"/>
        <v>5.14848493039608E-2</v>
      </c>
      <c r="BK8" s="9">
        <f t="shared" si="6"/>
        <v>5.2345767617225647E-2</v>
      </c>
      <c r="BL8" s="9">
        <f t="shared" si="6"/>
        <v>5.2821684628725052E-2</v>
      </c>
      <c r="BM8" s="9">
        <f t="shared" si="6"/>
        <v>5.246623232960701E-2</v>
      </c>
      <c r="BN8" s="9">
        <f t="shared" si="6"/>
        <v>5.7477392256259918E-2</v>
      </c>
      <c r="BO8" s="9">
        <f t="shared" ref="BO8:CT8" si="7">IF(BO6=1,BO3,IF(BO6=2,BO4,IF(BO6=3,BO5)))</f>
        <v>5.5104456841945648E-2</v>
      </c>
      <c r="BP8" s="9">
        <f t="shared" si="7"/>
        <v>4.081440344452858E-2</v>
      </c>
      <c r="BQ8" s="9">
        <f t="shared" si="7"/>
        <v>5.2616532891988747E-2</v>
      </c>
      <c r="BR8" s="9">
        <f t="shared" si="7"/>
        <v>3.6645740270614617E-2</v>
      </c>
      <c r="BS8" s="9">
        <f t="shared" si="7"/>
        <v>5.4600823670625687E-2</v>
      </c>
      <c r="BT8" s="9">
        <f t="shared" si="7"/>
        <v>4.5548383146524429E-2</v>
      </c>
      <c r="BU8" s="9">
        <f t="shared" si="7"/>
        <v>5.5572357028722763E-2</v>
      </c>
      <c r="BV8" s="9">
        <f t="shared" si="7"/>
        <v>5.2330784499645233E-2</v>
      </c>
      <c r="BW8" s="9">
        <f t="shared" si="7"/>
        <v>4.1799742728471763E-2</v>
      </c>
      <c r="BX8" s="9">
        <f t="shared" si="7"/>
        <v>4.7964099794626243E-2</v>
      </c>
      <c r="BY8" s="9">
        <f t="shared" si="7"/>
        <v>4.9554049968719482E-2</v>
      </c>
      <c r="BZ8" s="9">
        <f t="shared" si="7"/>
        <v>5.3468108177185059E-2</v>
      </c>
      <c r="CA8" s="9">
        <f t="shared" si="7"/>
        <v>4.868757352232933E-2</v>
      </c>
      <c r="CB8" s="9">
        <f t="shared" si="7"/>
        <v>4.6025428920984268E-2</v>
      </c>
      <c r="CC8" s="9">
        <f t="shared" si="7"/>
        <v>5.2412558346986771E-2</v>
      </c>
      <c r="CD8" s="9">
        <f t="shared" si="7"/>
        <v>4.9619406461715698E-2</v>
      </c>
      <c r="CE8" s="9">
        <f t="shared" si="7"/>
        <v>4.6824052929878228E-2</v>
      </c>
      <c r="CF8" s="9">
        <f t="shared" si="7"/>
        <v>5.0924398005008698E-2</v>
      </c>
      <c r="CG8" s="9">
        <f t="shared" si="7"/>
        <v>4.6287201344966888E-2</v>
      </c>
      <c r="CH8" s="9">
        <f t="shared" si="7"/>
        <v>5.0006065517663963E-2</v>
      </c>
      <c r="CI8" s="9">
        <f t="shared" si="7"/>
        <v>4.8990387469530113E-2</v>
      </c>
      <c r="CJ8" s="9">
        <f t="shared" si="7"/>
        <v>5.0737027078866959E-2</v>
      </c>
      <c r="CK8" s="9">
        <f t="shared" si="7"/>
        <v>5.0407581031322479E-2</v>
      </c>
      <c r="CL8" s="9">
        <f t="shared" si="7"/>
        <v>5.1771163940429688E-2</v>
      </c>
      <c r="CM8" s="9">
        <f t="shared" si="7"/>
        <v>4.9744158983230591E-2</v>
      </c>
      <c r="CN8" s="9">
        <f t="shared" si="7"/>
        <v>4.9877673387527473E-2</v>
      </c>
      <c r="CO8" s="9">
        <f t="shared" si="7"/>
        <v>4.8527717590332031E-2</v>
      </c>
      <c r="CP8" s="9">
        <f t="shared" si="7"/>
        <v>4.8692740499973297E-2</v>
      </c>
      <c r="CQ8" s="9">
        <f t="shared" si="7"/>
        <v>4.9047302454710007E-2</v>
      </c>
      <c r="CR8" s="9">
        <f t="shared" si="7"/>
        <v>4.9837246537208557E-2</v>
      </c>
      <c r="CS8" s="9">
        <f t="shared" si="7"/>
        <v>4.7483202069997787E-2</v>
      </c>
      <c r="CT8" s="9">
        <f t="shared" si="7"/>
        <v>3.1795904040336609E-2</v>
      </c>
      <c r="CU8" s="9">
        <f t="shared" ref="CU8:DZ8" si="8">IF(CU6=1,CU3,IF(CU6=2,CU4,IF(CU6=3,CU5)))</f>
        <v>4.4976841658353812E-2</v>
      </c>
      <c r="CV8" s="9">
        <f t="shared" si="8"/>
        <v>4.9786105751991272E-2</v>
      </c>
      <c r="CW8" s="9">
        <f t="shared" si="8"/>
        <v>4.3859463185071952E-2</v>
      </c>
      <c r="CX8" s="9">
        <f t="shared" si="8"/>
        <v>5.1966626197099693E-2</v>
      </c>
      <c r="CY8" s="9">
        <f t="shared" si="8"/>
        <v>5.0948314368724823E-2</v>
      </c>
      <c r="CZ8" s="9">
        <f t="shared" si="8"/>
        <v>4.4357843697071082E-2</v>
      </c>
      <c r="DA8" s="9">
        <f t="shared" si="8"/>
        <v>4.5401513576507568E-2</v>
      </c>
      <c r="DB8" s="9">
        <f t="shared" si="8"/>
        <v>5.2733633667230613E-2</v>
      </c>
      <c r="DC8" s="9">
        <f t="shared" si="8"/>
        <v>5.2081622183322913E-2</v>
      </c>
      <c r="DD8" s="9">
        <f t="shared" si="8"/>
        <v>4.963703453540802E-2</v>
      </c>
      <c r="DE8" s="9">
        <f t="shared" si="8"/>
        <v>5.2589800208806992E-2</v>
      </c>
      <c r="DF8" s="9">
        <f t="shared" si="8"/>
        <v>4.1408929973840707E-2</v>
      </c>
      <c r="DG8" s="9">
        <f t="shared" si="8"/>
        <v>4.3718356639146798E-2</v>
      </c>
      <c r="DH8" s="9">
        <f t="shared" si="8"/>
        <v>4.6793397516012192E-2</v>
      </c>
      <c r="DI8" s="9">
        <f t="shared" si="8"/>
        <v>4.7784905880689621E-2</v>
      </c>
      <c r="DJ8" s="9">
        <f t="shared" si="8"/>
        <v>5.1443465054035187E-2</v>
      </c>
      <c r="DK8" s="9">
        <f t="shared" si="8"/>
        <v>4.1621468961238861E-2</v>
      </c>
      <c r="DL8" s="9">
        <f t="shared" si="8"/>
        <v>4.8520050942897797E-2</v>
      </c>
      <c r="DM8" s="9">
        <f t="shared" si="8"/>
        <v>4.8485212028026581E-2</v>
      </c>
      <c r="DN8" s="9">
        <f t="shared" si="8"/>
        <v>4.6739093959331512E-2</v>
      </c>
      <c r="DO8" s="9">
        <f t="shared" si="8"/>
        <v>4.815780371427536E-2</v>
      </c>
      <c r="DP8" s="9">
        <f t="shared" si="8"/>
        <v>4.7622770071029663E-2</v>
      </c>
      <c r="DQ8" s="9">
        <f t="shared" si="8"/>
        <v>4.8637110739946372E-2</v>
      </c>
      <c r="DR8" s="9">
        <f t="shared" si="8"/>
        <v>4.879031702876091E-2</v>
      </c>
      <c r="DS8" s="9">
        <f t="shared" si="8"/>
        <v>4.4818054884672158E-2</v>
      </c>
      <c r="DT8" s="9">
        <f t="shared" si="8"/>
        <v>4.8045273870229721E-2</v>
      </c>
      <c r="DU8" s="9">
        <f t="shared" si="8"/>
        <v>4.7465518116950989E-2</v>
      </c>
      <c r="DV8" s="9">
        <f t="shared" si="8"/>
        <v>4.6620264649391167E-2</v>
      </c>
      <c r="DW8" s="9">
        <f t="shared" si="8"/>
        <v>4.7323688864707947E-2</v>
      </c>
      <c r="DX8" s="9">
        <f t="shared" si="8"/>
        <v>4.754440113902092E-2</v>
      </c>
      <c r="DY8" s="9">
        <f t="shared" si="8"/>
        <v>4.7807488590478897E-2</v>
      </c>
      <c r="DZ8" s="9">
        <f t="shared" si="8"/>
        <v>3.4820709377527237E-2</v>
      </c>
      <c r="EA8" s="9">
        <f t="shared" ref="EA8:EF8" si="9">IF(EA6=1,EA3,IF(EA6=2,EA4,IF(EA6=3,EA5)))</f>
        <v>4.8265136778354638E-2</v>
      </c>
      <c r="EB8" s="9">
        <f t="shared" si="9"/>
        <v>4.2205382138490677E-2</v>
      </c>
      <c r="EC8" s="9">
        <f t="shared" si="9"/>
        <v>3.6263357847929001E-2</v>
      </c>
      <c r="ED8" s="9">
        <f t="shared" si="9"/>
        <v>3.9504203945398331E-2</v>
      </c>
      <c r="EE8" s="9">
        <f t="shared" si="9"/>
        <v>4.6422228217124939E-2</v>
      </c>
      <c r="EF8" s="9">
        <f t="shared" si="9"/>
        <v>5.0174936652183533E-2</v>
      </c>
    </row>
    <row r="10" spans="1:137">
      <c r="A10" s="32" t="s">
        <v>140</v>
      </c>
      <c r="B10" s="33"/>
      <c r="C10" s="4" t="s">
        <v>141</v>
      </c>
      <c r="D10" s="6">
        <v>964</v>
      </c>
    </row>
    <row r="11" spans="1:137">
      <c r="A11" s="4" t="s">
        <v>143</v>
      </c>
      <c r="B11" s="4" t="s">
        <v>142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I11" s="5" t="s">
        <v>8</v>
      </c>
      <c r="J11" s="5" t="s">
        <v>9</v>
      </c>
      <c r="K11" s="5" t="s">
        <v>10</v>
      </c>
      <c r="L11" s="5" t="s">
        <v>11</v>
      </c>
      <c r="M11" s="5" t="s">
        <v>12</v>
      </c>
      <c r="N11" s="5" t="s">
        <v>13</v>
      </c>
      <c r="O11" s="5" t="s">
        <v>14</v>
      </c>
      <c r="P11" s="5" t="s">
        <v>15</v>
      </c>
      <c r="Q11" s="5" t="s">
        <v>16</v>
      </c>
      <c r="R11" s="5" t="s">
        <v>17</v>
      </c>
      <c r="S11" s="5" t="s">
        <v>18</v>
      </c>
      <c r="T11" s="5" t="s">
        <v>19</v>
      </c>
      <c r="U11" s="5" t="s">
        <v>20</v>
      </c>
      <c r="V11" s="5" t="s">
        <v>21</v>
      </c>
      <c r="W11" s="5" t="s">
        <v>22</v>
      </c>
      <c r="X11" s="5" t="s">
        <v>23</v>
      </c>
      <c r="Y11" s="5" t="s">
        <v>24</v>
      </c>
      <c r="Z11" s="5" t="s">
        <v>25</v>
      </c>
      <c r="AA11" s="5" t="s">
        <v>26</v>
      </c>
      <c r="AB11" s="5" t="s">
        <v>27</v>
      </c>
      <c r="AC11" s="5" t="s">
        <v>28</v>
      </c>
      <c r="AD11" s="5" t="s">
        <v>29</v>
      </c>
      <c r="AE11" s="5" t="s">
        <v>30</v>
      </c>
      <c r="AF11" s="5" t="s">
        <v>31</v>
      </c>
      <c r="AG11" s="5" t="s">
        <v>32</v>
      </c>
      <c r="AH11" s="5" t="s">
        <v>33</v>
      </c>
      <c r="AI11" s="5" t="s">
        <v>34</v>
      </c>
      <c r="AJ11" s="5" t="s">
        <v>35</v>
      </c>
      <c r="AK11" s="5" t="s">
        <v>36</v>
      </c>
      <c r="AL11" s="5" t="s">
        <v>37</v>
      </c>
      <c r="AM11" s="5" t="s">
        <v>38</v>
      </c>
      <c r="AN11" s="5" t="s">
        <v>39</v>
      </c>
      <c r="AO11" s="5" t="s">
        <v>40</v>
      </c>
      <c r="AP11" s="5" t="s">
        <v>41</v>
      </c>
      <c r="AQ11" s="5" t="s">
        <v>42</v>
      </c>
      <c r="AR11" s="5" t="s">
        <v>43</v>
      </c>
      <c r="AS11" s="5" t="s">
        <v>44</v>
      </c>
      <c r="AT11" s="5" t="s">
        <v>45</v>
      </c>
      <c r="AU11" s="5" t="s">
        <v>46</v>
      </c>
      <c r="AV11" s="5" t="s">
        <v>47</v>
      </c>
      <c r="AW11" s="5" t="s">
        <v>48</v>
      </c>
      <c r="AX11" s="5" t="s">
        <v>49</v>
      </c>
      <c r="AY11" s="5" t="s">
        <v>50</v>
      </c>
      <c r="AZ11" s="5" t="s">
        <v>51</v>
      </c>
      <c r="BA11" s="5" t="s">
        <v>52</v>
      </c>
      <c r="BB11" s="5" t="s">
        <v>53</v>
      </c>
      <c r="BC11" s="5" t="s">
        <v>54</v>
      </c>
      <c r="BD11" s="5" t="s">
        <v>55</v>
      </c>
      <c r="BE11" s="5" t="s">
        <v>56</v>
      </c>
      <c r="BF11" s="5" t="s">
        <v>57</v>
      </c>
      <c r="BG11" s="5" t="s">
        <v>58</v>
      </c>
      <c r="BH11" s="5" t="s">
        <v>59</v>
      </c>
      <c r="BI11" s="5" t="s">
        <v>60</v>
      </c>
      <c r="BJ11" s="5" t="s">
        <v>61</v>
      </c>
      <c r="BK11" s="5" t="s">
        <v>62</v>
      </c>
      <c r="BL11" s="5" t="s">
        <v>63</v>
      </c>
      <c r="BM11" s="5" t="s">
        <v>64</v>
      </c>
      <c r="BN11" s="5" t="s">
        <v>65</v>
      </c>
      <c r="BO11" s="5" t="s">
        <v>66</v>
      </c>
      <c r="BP11" s="5" t="s">
        <v>67</v>
      </c>
      <c r="BQ11" s="5" t="s">
        <v>68</v>
      </c>
      <c r="BR11" s="5" t="s">
        <v>69</v>
      </c>
      <c r="BS11" s="5" t="s">
        <v>70</v>
      </c>
      <c r="BT11" s="5" t="s">
        <v>71</v>
      </c>
      <c r="BU11" s="5" t="s">
        <v>72</v>
      </c>
      <c r="BV11" s="5" t="s">
        <v>73</v>
      </c>
      <c r="BW11" s="5" t="s">
        <v>74</v>
      </c>
      <c r="BX11" s="5" t="s">
        <v>75</v>
      </c>
      <c r="BY11" s="5" t="s">
        <v>76</v>
      </c>
      <c r="BZ11" s="5" t="s">
        <v>77</v>
      </c>
      <c r="CA11" s="5" t="s">
        <v>78</v>
      </c>
      <c r="CB11" s="5" t="s">
        <v>79</v>
      </c>
      <c r="CC11" s="5" t="s">
        <v>80</v>
      </c>
      <c r="CD11" s="5" t="s">
        <v>81</v>
      </c>
      <c r="CE11" s="5" t="s">
        <v>82</v>
      </c>
      <c r="CF11" s="5" t="s">
        <v>83</v>
      </c>
      <c r="CG11" s="5" t="s">
        <v>84</v>
      </c>
      <c r="CH11" s="5" t="s">
        <v>85</v>
      </c>
      <c r="CI11" s="5" t="s">
        <v>86</v>
      </c>
      <c r="CJ11" s="5" t="s">
        <v>87</v>
      </c>
      <c r="CK11" s="5" t="s">
        <v>88</v>
      </c>
      <c r="CL11" s="5" t="s">
        <v>89</v>
      </c>
      <c r="CM11" s="5" t="s">
        <v>90</v>
      </c>
      <c r="CN11" s="5" t="s">
        <v>91</v>
      </c>
      <c r="CO11" s="5" t="s">
        <v>92</v>
      </c>
      <c r="CP11" s="5" t="s">
        <v>93</v>
      </c>
      <c r="CQ11" s="5" t="s">
        <v>94</v>
      </c>
      <c r="CR11" s="5" t="s">
        <v>95</v>
      </c>
      <c r="CS11" s="5" t="s">
        <v>96</v>
      </c>
      <c r="CT11" s="5" t="s">
        <v>97</v>
      </c>
      <c r="CU11" s="5" t="s">
        <v>98</v>
      </c>
      <c r="CV11" s="5" t="s">
        <v>99</v>
      </c>
      <c r="CW11" s="5" t="s">
        <v>100</v>
      </c>
      <c r="CX11" s="5" t="s">
        <v>101</v>
      </c>
      <c r="CY11" s="5" t="s">
        <v>102</v>
      </c>
      <c r="CZ11" s="5" t="s">
        <v>103</v>
      </c>
      <c r="DA11" s="5" t="s">
        <v>104</v>
      </c>
      <c r="DB11" s="5" t="s">
        <v>105</v>
      </c>
      <c r="DC11" s="5" t="s">
        <v>106</v>
      </c>
      <c r="DD11" s="5" t="s">
        <v>107</v>
      </c>
      <c r="DE11" s="5" t="s">
        <v>108</v>
      </c>
      <c r="DF11" s="5" t="s">
        <v>109</v>
      </c>
      <c r="DG11" s="5" t="s">
        <v>110</v>
      </c>
      <c r="DH11" s="5" t="s">
        <v>111</v>
      </c>
      <c r="DI11" s="5" t="s">
        <v>112</v>
      </c>
      <c r="DJ11" s="5" t="s">
        <v>113</v>
      </c>
      <c r="DK11" s="5" t="s">
        <v>114</v>
      </c>
      <c r="DL11" s="5" t="s">
        <v>115</v>
      </c>
      <c r="DM11" s="5" t="s">
        <v>116</v>
      </c>
      <c r="DN11" s="5" t="s">
        <v>117</v>
      </c>
      <c r="DO11" s="5" t="s">
        <v>118</v>
      </c>
      <c r="DP11" s="5" t="s">
        <v>119</v>
      </c>
      <c r="DQ11" s="5" t="s">
        <v>120</v>
      </c>
      <c r="DR11" s="5" t="s">
        <v>121</v>
      </c>
      <c r="DS11" s="5" t="s">
        <v>122</v>
      </c>
      <c r="DT11" s="5" t="s">
        <v>123</v>
      </c>
      <c r="DU11" s="5" t="s">
        <v>124</v>
      </c>
      <c r="DV11" s="5" t="s">
        <v>125</v>
      </c>
      <c r="DW11" s="5" t="s">
        <v>126</v>
      </c>
      <c r="DX11" s="5" t="s">
        <v>127</v>
      </c>
      <c r="DY11" s="5" t="s">
        <v>128</v>
      </c>
      <c r="DZ11" s="5" t="s">
        <v>129</v>
      </c>
      <c r="EA11" s="5" t="s">
        <v>130</v>
      </c>
      <c r="EB11" s="5" t="s">
        <v>131</v>
      </c>
      <c r="EC11" s="5" t="s">
        <v>132</v>
      </c>
      <c r="ED11" s="5" t="s">
        <v>133</v>
      </c>
      <c r="EE11" s="5" t="s">
        <v>134</v>
      </c>
      <c r="EF11" s="5" t="s">
        <v>135</v>
      </c>
    </row>
    <row r="12" spans="1:137">
      <c r="A12" s="4">
        <v>96</v>
      </c>
      <c r="B12" s="4">
        <v>10</v>
      </c>
      <c r="C12" s="21">
        <f>預測IC!C12</f>
        <v>4.6867682744863907E-2</v>
      </c>
      <c r="D12" s="10">
        <f>C12+預測IC!D12</f>
        <v>0.16155619316153061</v>
      </c>
      <c r="E12" s="10">
        <f>D12+預測IC!E12</f>
        <v>0.15476263281391694</v>
      </c>
      <c r="F12" s="10">
        <f>E12+預測IC!F12</f>
        <v>0.16818403906391693</v>
      </c>
      <c r="G12" s="10">
        <f>F12+預測IC!G12</f>
        <v>0.17990900781391692</v>
      </c>
      <c r="H12" s="10">
        <f>G12+預測IC!H12</f>
        <v>0.21843972656391691</v>
      </c>
      <c r="I12" s="10">
        <f>H12+預測IC!I12</f>
        <v>0.25653684180344838</v>
      </c>
      <c r="J12" s="10">
        <f>I12+預測IC!J12</f>
        <v>0.22712903972011503</v>
      </c>
      <c r="K12" s="10">
        <f>J12+預測IC!K12</f>
        <v>0.24590321680344837</v>
      </c>
      <c r="L12" s="10">
        <f>K12+預測IC!L12</f>
        <v>0.20401258138678172</v>
      </c>
      <c r="M12" s="10">
        <f>L12+預測IC!M12</f>
        <v>0.20361589388678172</v>
      </c>
      <c r="N12" s="10">
        <f>M12+預測IC!N12</f>
        <v>0.27294264388678169</v>
      </c>
      <c r="O12" s="10">
        <f>N12+預測IC!O12</f>
        <v>0.2901834876367817</v>
      </c>
      <c r="P12" s="10">
        <f>O12+預測IC!P12</f>
        <v>0.27037372273981342</v>
      </c>
      <c r="Q12" s="10">
        <f>P12+預測IC!Q12</f>
        <v>0.30564419148981337</v>
      </c>
      <c r="R12" s="10">
        <f>Q12+預測IC!R12</f>
        <v>0.31230727482314669</v>
      </c>
      <c r="S12" s="10">
        <f>R12+預測IC!S12</f>
        <v>0.23655446793232207</v>
      </c>
      <c r="T12" s="10">
        <f>S12+預測IC!T12</f>
        <v>0.22881408251565538</v>
      </c>
      <c r="U12" s="10">
        <f>T12+預測IC!U12</f>
        <v>0.21263529084898869</v>
      </c>
      <c r="V12" s="10">
        <f>U12+預測IC!V12</f>
        <v>0.21884009293232198</v>
      </c>
      <c r="W12" s="10">
        <f>V12+預測IC!W12</f>
        <v>0.28287973876565531</v>
      </c>
      <c r="X12" s="10">
        <f>W12+預測IC!X12</f>
        <v>0.23404186542606104</v>
      </c>
      <c r="Y12" s="10">
        <f>X12+預測IC!Y12</f>
        <v>0.24948196959272773</v>
      </c>
      <c r="Z12" s="10">
        <f>Y12+預測IC!Z12</f>
        <v>0.2546480112593944</v>
      </c>
      <c r="AA12" s="10">
        <f>Z12+預測IC!AA12</f>
        <v>0.24273117792606108</v>
      </c>
      <c r="AB12" s="10">
        <f>AA12+預測IC!AB12</f>
        <v>0.23901985500939441</v>
      </c>
      <c r="AC12" s="10">
        <f>AB12+預測IC!AC12</f>
        <v>0.24418730292606106</v>
      </c>
      <c r="AD12" s="10">
        <f>AC12+預測IC!AD12</f>
        <v>0.25541784459272771</v>
      </c>
      <c r="AE12" s="10">
        <f>AD12+預測IC!AE12</f>
        <v>0.21789662363475634</v>
      </c>
      <c r="AF12" s="10">
        <f>AE12+預測IC!AF12</f>
        <v>0.26407855071808972</v>
      </c>
      <c r="AG12" s="10">
        <f>AF12+預測IC!AG12</f>
        <v>0.27615773821808975</v>
      </c>
      <c r="AH12" s="10">
        <f>AG12+預測IC!AH12</f>
        <v>0.29625085280142305</v>
      </c>
      <c r="AI12" s="10">
        <f>AH12+預測IC!AI12</f>
        <v>0.31949781113475639</v>
      </c>
      <c r="AJ12" s="10">
        <f>AI12+預測IC!AJ12</f>
        <v>0.34056018613475642</v>
      </c>
      <c r="AK12" s="10">
        <f>AJ12+預測IC!AK12</f>
        <v>0.35073995696808974</v>
      </c>
      <c r="AL12" s="10">
        <f>AK12+預測IC!AL12</f>
        <v>0.3685989599900118</v>
      </c>
      <c r="AM12" s="10">
        <f>AL12+預測IC!AM12</f>
        <v>0.38880478290667847</v>
      </c>
      <c r="AN12" s="10">
        <f>AM12+預測IC!AN12</f>
        <v>0.45917564938041039</v>
      </c>
      <c r="AO12" s="10">
        <f>AN12+預測IC!AO12</f>
        <v>0.47087964938041038</v>
      </c>
      <c r="AP12" s="10">
        <f>AO12+預測IC!AP12</f>
        <v>0.43715065360922156</v>
      </c>
      <c r="AQ12" s="10">
        <f>AP12+預測IC!AQ12</f>
        <v>0.43046900777588826</v>
      </c>
      <c r="AR12" s="10">
        <f>AQ12+預測IC!AR12</f>
        <v>0.42296464319255495</v>
      </c>
      <c r="AS12" s="10">
        <f>AR12+預測IC!AS12</f>
        <v>0.4032385117983473</v>
      </c>
      <c r="AT12" s="10">
        <f>AS12+預測IC!AT12</f>
        <v>0.41630743830528816</v>
      </c>
      <c r="AU12" s="10">
        <f>AT12+預測IC!AU12</f>
        <v>0.43628208799469304</v>
      </c>
      <c r="AV12" s="10">
        <f>AU12+預測IC!AV12</f>
        <v>0.39515601700292396</v>
      </c>
      <c r="AW12" s="10">
        <f>AV12+預測IC!AW12</f>
        <v>0.39608556454628285</v>
      </c>
      <c r="AX12" s="10">
        <f>AW12+預測IC!AX12</f>
        <v>0.43910602465785514</v>
      </c>
      <c r="AY12" s="10">
        <f>AX12+預測IC!AY12</f>
        <v>0.4635893786020675</v>
      </c>
      <c r="AZ12" s="10">
        <f>AY12+預測IC!AZ12</f>
        <v>0.46053116374156094</v>
      </c>
      <c r="BA12" s="10">
        <f>AZ12+預測IC!BA12</f>
        <v>0.46468855429567446</v>
      </c>
      <c r="BB12" s="10">
        <f>BA12+預測IC!BB12</f>
        <v>0.48067144610107781</v>
      </c>
      <c r="BC12" s="10">
        <f>BB12+預測IC!BC12</f>
        <v>0.49365702248852328</v>
      </c>
      <c r="BD12" s="10">
        <f>BC12+預測IC!BD12</f>
        <v>0.50508844648221918</v>
      </c>
      <c r="BE12" s="10">
        <f>BD12+預測IC!BE12</f>
        <v>0.52911893747833905</v>
      </c>
      <c r="BF12" s="10">
        <f>BE12+預測IC!BF12</f>
        <v>0.59784874649347453</v>
      </c>
      <c r="BG12" s="10">
        <f>BF12+預測IC!BG12</f>
        <v>0.63623687653019001</v>
      </c>
      <c r="BH12" s="10">
        <f>BG12+預測IC!BH12</f>
        <v>0.64738579214319403</v>
      </c>
      <c r="BI12" s="10">
        <f>BH12+預測IC!BI12</f>
        <v>0.69882571953016437</v>
      </c>
      <c r="BJ12" s="10">
        <f>BI12+預測IC!BJ12</f>
        <v>0.6980297262102465</v>
      </c>
      <c r="BK12" s="10">
        <f>BJ12+預測IC!BK12</f>
        <v>0.67633325180579895</v>
      </c>
      <c r="BL12" s="10">
        <f>BK12+預測IC!BL12</f>
        <v>0.70104249763594761</v>
      </c>
      <c r="BM12" s="10">
        <f>BL12+預測IC!BM12</f>
        <v>0.69911721453270892</v>
      </c>
      <c r="BN12" s="10">
        <f>BM12+預測IC!BN12</f>
        <v>0.71045552635740483</v>
      </c>
      <c r="BO12" s="10">
        <f>BN12+預測IC!BO12</f>
        <v>0.73470183661364175</v>
      </c>
      <c r="BP12" s="10">
        <f>BO12+預測IC!BP12</f>
        <v>0.72412502011934476</v>
      </c>
      <c r="BQ12" s="10">
        <f>BP12+預測IC!BQ12</f>
        <v>0.7393316003906627</v>
      </c>
      <c r="BR12" s="10">
        <f>BQ12+預測IC!BR12</f>
        <v>0.73782493597697174</v>
      </c>
      <c r="BS12" s="10">
        <f>BR12+預測IC!BS12</f>
        <v>0.75552184253538912</v>
      </c>
      <c r="BT12" s="10">
        <f>BS12+預測IC!BT12</f>
        <v>0.77731969289665048</v>
      </c>
      <c r="BU12" s="10">
        <f>BT12+預測IC!BU12</f>
        <v>0.7875291936092651</v>
      </c>
      <c r="BV12" s="10">
        <f>BU12+預測IC!BV12</f>
        <v>0.8177530068269816</v>
      </c>
      <c r="BW12" s="10">
        <f>BV12+預測IC!BW12</f>
        <v>0.78893613246958683</v>
      </c>
      <c r="BX12" s="10">
        <f>BW12+預測IC!BX12</f>
        <v>0.79864923799382215</v>
      </c>
      <c r="BY12" s="10">
        <f>BX12+預測IC!BY12</f>
        <v>0.76559782843108815</v>
      </c>
      <c r="BZ12" s="10">
        <f>BY12+預測IC!BZ12</f>
        <v>0.81060185661507911</v>
      </c>
      <c r="CA12" s="10">
        <f>BZ12+預測IC!CA12</f>
        <v>0.78015408311263934</v>
      </c>
      <c r="CB12" s="10">
        <f>CA12+預測IC!CB12</f>
        <v>0.78181897072714124</v>
      </c>
      <c r="CC12" s="10">
        <f>CB12+預測IC!CC12</f>
        <v>0.76415807345481834</v>
      </c>
      <c r="CD12" s="10">
        <f>CC12+預測IC!CD12</f>
        <v>0.87509170703927086</v>
      </c>
      <c r="CE12" s="10">
        <f>CD12+預測IC!CE12</f>
        <v>0.88671111548150006</v>
      </c>
      <c r="CF12" s="10">
        <f>CE12+預測IC!CF12</f>
        <v>0.9137044681081935</v>
      </c>
      <c r="CG12" s="10">
        <f>CF12+預測IC!CG12</f>
        <v>0.95501380150088067</v>
      </c>
      <c r="CH12" s="10">
        <f>CG12+預測IC!CH12</f>
        <v>1.0194164419026752</v>
      </c>
      <c r="CI12" s="10">
        <f>CH12+預測IC!CI12</f>
        <v>0.98360902927852689</v>
      </c>
      <c r="CJ12" s="10">
        <f>CI12+預測IC!CJ12</f>
        <v>1.0012228788195603</v>
      </c>
      <c r="CK12" s="10">
        <f>CJ12+預測IC!CK12</f>
        <v>1.0132169471974128</v>
      </c>
      <c r="CL12" s="10">
        <f>CK12+預測IC!CL12</f>
        <v>1.1312325548670232</v>
      </c>
      <c r="CM12" s="10">
        <f>CL12+預測IC!CM12</f>
        <v>1.1168498642540465</v>
      </c>
      <c r="CN12" s="10">
        <f>CM12+預測IC!CN12</f>
        <v>1.0912629013671773</v>
      </c>
      <c r="CO12" s="10">
        <f>CN12+預測IC!CO12</f>
        <v>1.0645149560164437</v>
      </c>
      <c r="CP12" s="10">
        <f>CO12+預測IC!CP12</f>
        <v>1.109555151622011</v>
      </c>
      <c r="CQ12" s="10">
        <f>CP12+預測IC!CQ12</f>
        <v>1.1468138123622309</v>
      </c>
      <c r="CR12" s="10">
        <f>CQ12+預測IC!CR12</f>
        <v>1.1493246843720621</v>
      </c>
      <c r="CS12" s="10">
        <f>CR12+預測IC!CS12</f>
        <v>1.1341230366850166</v>
      </c>
      <c r="CT12" s="10">
        <f>CS12+預測IC!CT12</f>
        <v>1.1331613904811142</v>
      </c>
      <c r="CU12" s="10">
        <f>CT12+預測IC!CU12</f>
        <v>1.1651975692444594</v>
      </c>
      <c r="CV12" s="10">
        <f>CU12+預測IC!CV12</f>
        <v>1.1734607231732919</v>
      </c>
      <c r="CW12" s="10">
        <f>CV12+預測IC!CW12</f>
        <v>1.1788419512578625</v>
      </c>
      <c r="CX12" s="10">
        <f>CW12+預測IC!CX12</f>
        <v>1.2398318337948544</v>
      </c>
      <c r="CY12" s="10">
        <f>CX12+預測IC!CY12</f>
        <v>1.2336496136560033</v>
      </c>
      <c r="CZ12" s="10">
        <f>CY12+預測IC!CZ12</f>
        <v>1.3132568969146077</v>
      </c>
      <c r="DA12" s="10">
        <f>CZ12+預測IC!DA12</f>
        <v>1.3166601049101603</v>
      </c>
      <c r="DB12" s="10">
        <f>DA12+預測IC!DB12</f>
        <v>1.293248304866411</v>
      </c>
      <c r="DC12" s="10">
        <f>DB12+預測IC!DC12</f>
        <v>1.3262926821495886</v>
      </c>
      <c r="DD12" s="10">
        <f>DC12+預測IC!DD12</f>
        <v>1.3532094724393069</v>
      </c>
      <c r="DE12" s="10">
        <f>DD12+預測IC!DE12</f>
        <v>1.3530247281942753</v>
      </c>
      <c r="DF12" s="10">
        <f>DE12+預測IC!DF12</f>
        <v>1.3461917120106854</v>
      </c>
      <c r="DG12" s="10">
        <f>DF12+預測IC!DG12</f>
        <v>1.345401441937907</v>
      </c>
      <c r="DH12" s="10">
        <f>DG12+預測IC!DH12</f>
        <v>1.340139298163104</v>
      </c>
      <c r="DI12" s="10">
        <f>DH12+預測IC!DI12</f>
        <v>1.2856961251709715</v>
      </c>
      <c r="DJ12" s="10">
        <f>DI12+預測IC!DJ12</f>
        <v>1.2937587234257419</v>
      </c>
      <c r="DK12" s="10">
        <f>DJ12+預測IC!DK12</f>
        <v>1.2784943202033572</v>
      </c>
      <c r="DL12" s="10">
        <f>DK12+預測IC!DL12</f>
        <v>1.2774300550403466</v>
      </c>
      <c r="DM12" s="10">
        <f>DL12+預測IC!DM12</f>
        <v>1.2717152836444798</v>
      </c>
      <c r="DN12" s="10">
        <f>DM12+預測IC!DN12</f>
        <v>1.3109436262773195</v>
      </c>
      <c r="DO12" s="10">
        <f>DN12+預測IC!DO12</f>
        <v>1.333071876442218</v>
      </c>
      <c r="DP12" s="10">
        <f>DO12+預測IC!DP12</f>
        <v>1.3656563260425152</v>
      </c>
      <c r="DQ12" s="10">
        <f>DP12+預測IC!DQ12</f>
        <v>1.3422079354910206</v>
      </c>
      <c r="DR12" s="10">
        <f>DQ12+預測IC!DR12</f>
        <v>1.3609868787704076</v>
      </c>
      <c r="DS12" s="10">
        <f>DR12+預測IC!DS12</f>
        <v>1.3237228483311465</v>
      </c>
      <c r="DT12" s="10">
        <f>DS12+預測IC!DT12</f>
        <v>1.2795016435273503</v>
      </c>
      <c r="DU12" s="10">
        <f>DT12+預測IC!DU12</f>
        <v>1.2932542916137328</v>
      </c>
      <c r="DV12" s="10">
        <f>DU12+預測IC!DV12</f>
        <v>1.3454274754232587</v>
      </c>
      <c r="DW12" s="10">
        <f>DV12+預測IC!DW12</f>
        <v>1.3851217770475266</v>
      </c>
      <c r="DX12" s="10">
        <f>DW12+預測IC!DX12</f>
        <v>1.3355025702442991</v>
      </c>
      <c r="DY12" s="10">
        <f>DX12+預測IC!DY12</f>
        <v>1.3527477181815291</v>
      </c>
      <c r="DZ12" s="10">
        <f>DY12+預測IC!DZ12</f>
        <v>1.3479901930556677</v>
      </c>
      <c r="EA12" s="10">
        <f>DZ12+預測IC!EA12</f>
        <v>1.4119941343788647</v>
      </c>
      <c r="EB12" s="10">
        <f>EA12+預測IC!EB12</f>
        <v>1.4156635200167826</v>
      </c>
      <c r="EC12" s="10">
        <f>EB12+預測IC!EC12</f>
        <v>1.442315029596448</v>
      </c>
      <c r="ED12" s="10">
        <f>EC12+預測IC!ED12</f>
        <v>1.3856869937890524</v>
      </c>
      <c r="EE12" s="10">
        <f>ED12+預測IC!EE12</f>
        <v>1.3981453680527576</v>
      </c>
      <c r="EF12" s="10">
        <f>EE12+預測IC!EF12</f>
        <v>1.4373787160915532</v>
      </c>
    </row>
    <row r="13" spans="1:137">
      <c r="A13" s="4">
        <v>48</v>
      </c>
      <c r="B13" s="4">
        <v>20</v>
      </c>
      <c r="C13" s="21">
        <f>預測IC!C13</f>
        <v>5.420904267159625E-2</v>
      </c>
      <c r="D13" s="10">
        <f>C13+預測IC!D13</f>
        <v>0.17795414683826286</v>
      </c>
      <c r="E13" s="10">
        <f>D13+預測IC!E13</f>
        <v>0.14345752734690981</v>
      </c>
      <c r="F13" s="10">
        <f>E13+預測IC!F13</f>
        <v>0.13200271484690981</v>
      </c>
      <c r="G13" s="10">
        <f>F13+預測IC!G13</f>
        <v>0.1477475690135765</v>
      </c>
      <c r="H13" s="10">
        <f>G13+預測IC!H13</f>
        <v>0.17773792318024315</v>
      </c>
      <c r="I13" s="10">
        <f>H13+預測IC!I13</f>
        <v>0.2150536073419102</v>
      </c>
      <c r="J13" s="10">
        <f>I13+預測IC!J13</f>
        <v>0.17115479484191018</v>
      </c>
      <c r="K13" s="10">
        <f>J13+預測IC!K13</f>
        <v>0.16978731567524352</v>
      </c>
      <c r="L13" s="10">
        <f>K13+預測IC!L13</f>
        <v>0.16376221150857687</v>
      </c>
      <c r="M13" s="10">
        <f>L13+預測IC!M13</f>
        <v>0.18944950317524353</v>
      </c>
      <c r="N13" s="10">
        <f>M13+預測IC!N13</f>
        <v>0.28925623234191022</v>
      </c>
      <c r="O13" s="10">
        <f>N13+預測IC!O13</f>
        <v>0.32904560734191024</v>
      </c>
      <c r="P13" s="10">
        <f>O13+預測IC!P13</f>
        <v>0.30794153471890445</v>
      </c>
      <c r="Q13" s="10">
        <f>P13+預測IC!Q13</f>
        <v>0.38116655555223777</v>
      </c>
      <c r="R13" s="10">
        <f>Q13+預測IC!R13</f>
        <v>0.39532638888557109</v>
      </c>
      <c r="S13" s="10">
        <f>R13+預測IC!S13</f>
        <v>0.27241109088202048</v>
      </c>
      <c r="T13" s="10">
        <f>S13+預測IC!T13</f>
        <v>0.25077702838202048</v>
      </c>
      <c r="U13" s="10">
        <f>T13+預測IC!U13</f>
        <v>0.25237334088202051</v>
      </c>
      <c r="V13" s="10">
        <f>U13+預測IC!V13</f>
        <v>0.23227921588202052</v>
      </c>
      <c r="W13" s="10">
        <f>V13+預測IC!W13</f>
        <v>0.30775561171535387</v>
      </c>
      <c r="X13" s="10">
        <f>W13+預測IC!X13</f>
        <v>0.23225296244065002</v>
      </c>
      <c r="Y13" s="10">
        <f>X13+預測IC!Y13</f>
        <v>0.24617333744065001</v>
      </c>
      <c r="Z13" s="10">
        <f>Y13+預測IC!Z13</f>
        <v>0.26675725410731665</v>
      </c>
      <c r="AA13" s="10">
        <f>Z13+預測IC!AA13</f>
        <v>0.25031721244065003</v>
      </c>
      <c r="AB13" s="10">
        <f>AA13+預測IC!AB13</f>
        <v>0.23428123327398337</v>
      </c>
      <c r="AC13" s="10">
        <f>AB13+預測IC!AC13</f>
        <v>0.2423125041073167</v>
      </c>
      <c r="AD13" s="10">
        <f>AC13+預測IC!AD13</f>
        <v>0.26385558744065002</v>
      </c>
      <c r="AE13" s="10">
        <f>AD13+預測IC!AE13</f>
        <v>0.21757147868805926</v>
      </c>
      <c r="AF13" s="10">
        <f>AE13+預測IC!AF13</f>
        <v>0.26950747868805924</v>
      </c>
      <c r="AG13" s="10">
        <f>AF13+預測IC!AG13</f>
        <v>0.27278993702139259</v>
      </c>
      <c r="AH13" s="10">
        <f>AG13+預測IC!AH13</f>
        <v>0.30466464535472593</v>
      </c>
      <c r="AI13" s="10">
        <f>AH13+預測IC!AI13</f>
        <v>0.32457468702139258</v>
      </c>
      <c r="AJ13" s="10">
        <f>AI13+預測IC!AJ13</f>
        <v>0.34446060368805925</v>
      </c>
      <c r="AK13" s="10">
        <f>AJ13+預測IC!AK13</f>
        <v>0.3477795620213926</v>
      </c>
      <c r="AL13" s="10">
        <f>AK13+預測IC!AL13</f>
        <v>0.37410856182494212</v>
      </c>
      <c r="AM13" s="10">
        <f>AL13+預測IC!AM13</f>
        <v>0.37182558265827542</v>
      </c>
      <c r="AN13" s="10">
        <f>AM13+預測IC!AN13</f>
        <v>0.47715582079430952</v>
      </c>
      <c r="AO13" s="10">
        <f>AN13+預測IC!AO13</f>
        <v>0.48017679996097618</v>
      </c>
      <c r="AP13" s="10">
        <f>AO13+預測IC!AP13</f>
        <v>0.42063857978810304</v>
      </c>
      <c r="AQ13" s="10">
        <f>AP13+預測IC!AQ13</f>
        <v>0.40955668395476968</v>
      </c>
      <c r="AR13" s="10">
        <f>AQ13+預測IC!AR13</f>
        <v>0.41880710062143633</v>
      </c>
      <c r="AS13" s="10">
        <f>AR13+預測IC!AS13</f>
        <v>0.3790291476317616</v>
      </c>
      <c r="AT13" s="10">
        <f>AS13+預測IC!AT13</f>
        <v>0.41949223548620135</v>
      </c>
      <c r="AU13" s="10">
        <f>AT13+預測IC!AU13</f>
        <v>0.46195321771417275</v>
      </c>
      <c r="AV13" s="10">
        <f>AU13+預測IC!AV13</f>
        <v>0.45295243969293919</v>
      </c>
      <c r="AW13" s="10">
        <f>AV13+預測IC!AW13</f>
        <v>0.45622071053099406</v>
      </c>
      <c r="AX13" s="10">
        <f>AW13+預測IC!AX13</f>
        <v>0.52156973200701517</v>
      </c>
      <c r="AY13" s="10">
        <f>AX13+預測IC!AY13</f>
        <v>0.53733737541009186</v>
      </c>
      <c r="AZ13" s="10">
        <f>AY13+預測IC!AZ13</f>
        <v>0.52833961155766451</v>
      </c>
      <c r="BA13" s="10">
        <f>AZ13+預測IC!BA13</f>
        <v>0.5362340641894594</v>
      </c>
      <c r="BB13" s="10">
        <f>BA13+預測IC!BB13</f>
        <v>0.57910943868627029</v>
      </c>
      <c r="BC13" s="10">
        <f>BB13+預測IC!BC13</f>
        <v>0.59213601893991785</v>
      </c>
      <c r="BD13" s="10">
        <f>BC13+預測IC!BD13</f>
        <v>0.59773810105522041</v>
      </c>
      <c r="BE13" s="10">
        <f>BD13+預測IC!BE13</f>
        <v>0.62616144901020732</v>
      </c>
      <c r="BF13" s="10">
        <f>BE13+預測IC!BF13</f>
        <v>0.71009086431770407</v>
      </c>
      <c r="BG13" s="10">
        <f>BF13+預測IC!BG13</f>
        <v>0.75665732665641572</v>
      </c>
      <c r="BH13" s="10">
        <f>BG13+預測IC!BH13</f>
        <v>0.76363359855757795</v>
      </c>
      <c r="BI13" s="10">
        <f>BH13+預測IC!BI13</f>
        <v>0.81642171812452635</v>
      </c>
      <c r="BJ13" s="10">
        <f>BI13+預測IC!BJ13</f>
        <v>0.79876760959836368</v>
      </c>
      <c r="BK13" s="10">
        <f>BJ13+預測IC!BK13</f>
        <v>0.78037658471861426</v>
      </c>
      <c r="BL13" s="10">
        <f>BK13+預測IC!BL13</f>
        <v>0.81733919489556262</v>
      </c>
      <c r="BM13" s="10">
        <f>BL13+預測IC!BM13</f>
        <v>0.83239544454203673</v>
      </c>
      <c r="BN13" s="10">
        <f>BM13+預測IC!BN13</f>
        <v>0.8432881835105045</v>
      </c>
      <c r="BO13" s="10">
        <f>BN13+預測IC!BO13</f>
        <v>0.87502349584242456</v>
      </c>
      <c r="BP13" s="10">
        <f>BO13+預測IC!BP13</f>
        <v>0.88267544266674192</v>
      </c>
      <c r="BQ13" s="10">
        <f>BP13+預測IC!BQ13</f>
        <v>0.9234945394381523</v>
      </c>
      <c r="BR13" s="10">
        <f>BQ13+預測IC!BR13</f>
        <v>0.91642315796152363</v>
      </c>
      <c r="BS13" s="10">
        <f>BR13+預測IC!BS13</f>
        <v>0.92368140046945724</v>
      </c>
      <c r="BT13" s="10">
        <f>BS13+預測IC!BT13</f>
        <v>0.96202490608593005</v>
      </c>
      <c r="BU13" s="10">
        <f>BT13+預測IC!BU13</f>
        <v>0.97855190083082744</v>
      </c>
      <c r="BV13" s="10">
        <f>BU13+預測IC!BV13</f>
        <v>0.99919577583212615</v>
      </c>
      <c r="BW13" s="10">
        <f>BV13+預測IC!BW13</f>
        <v>1.0009590136428033</v>
      </c>
      <c r="BX13" s="10">
        <f>BW13+預測IC!BX13</f>
        <v>1.0227445045354209</v>
      </c>
      <c r="BY13" s="10">
        <f>BX13+預測IC!BY13</f>
        <v>1.0082321068649305</v>
      </c>
      <c r="BZ13" s="10">
        <f>BY13+預測IC!BZ13</f>
        <v>1.085159977589359</v>
      </c>
      <c r="CA13" s="10">
        <f>BZ13+預測IC!CA13</f>
        <v>1.0516284119889621</v>
      </c>
      <c r="CB13" s="10">
        <f>CA13+預測IC!CB13</f>
        <v>1.0444965425811279</v>
      </c>
      <c r="CC13" s="10">
        <f>CB13+預測IC!CC13</f>
        <v>1.0323639267194213</v>
      </c>
      <c r="CD13" s="10">
        <f>CC13+預測IC!CD13</f>
        <v>1.1378558049474599</v>
      </c>
      <c r="CE13" s="10">
        <f>CD13+預測IC!CE13</f>
        <v>1.1498241151313353</v>
      </c>
      <c r="CF13" s="10">
        <f>CE13+預測IC!CF13</f>
        <v>1.1967635679645621</v>
      </c>
      <c r="CG13" s="10">
        <f>CF13+預測IC!CG13</f>
        <v>1.2337788398653977</v>
      </c>
      <c r="CH13" s="10">
        <f>CG13+預測IC!CH13</f>
        <v>1.2921134516926049</v>
      </c>
      <c r="CI13" s="10">
        <f>CH13+預測IC!CI13</f>
        <v>1.2402599425583416</v>
      </c>
      <c r="CJ13" s="10">
        <f>CI13+預測IC!CJ13</f>
        <v>1.2363833422638488</v>
      </c>
      <c r="CK13" s="10">
        <f>CJ13+預測IC!CK13</f>
        <v>1.2684286115003127</v>
      </c>
      <c r="CL13" s="10">
        <f>CK13+預測IC!CL13</f>
        <v>1.3527330028148166</v>
      </c>
      <c r="CM13" s="10">
        <f>CL13+預測IC!CM13</f>
        <v>1.3424361990584215</v>
      </c>
      <c r="CN13" s="10">
        <f>CM13+預測IC!CN13</f>
        <v>1.3155486330595692</v>
      </c>
      <c r="CO13" s="10">
        <f>CN13+預測IC!CO13</f>
        <v>1.3020911744963417</v>
      </c>
      <c r="CP13" s="10">
        <f>CO13+預測IC!CP13</f>
        <v>1.372888646979431</v>
      </c>
      <c r="CQ13" s="10">
        <f>CP13+預測IC!CQ13</f>
        <v>1.4108376118012573</v>
      </c>
      <c r="CR13" s="10">
        <f>CQ13+預測IC!CR13</f>
        <v>1.4194704079977478</v>
      </c>
      <c r="CS13" s="10">
        <f>CR13+預測IC!CS13</f>
        <v>1.4315485683293749</v>
      </c>
      <c r="CT13" s="10">
        <f>CS13+預測IC!CT13</f>
        <v>1.4396193676457536</v>
      </c>
      <c r="CU13" s="10">
        <f>CT13+預測IC!CU13</f>
        <v>1.4756262831800429</v>
      </c>
      <c r="CV13" s="10">
        <f>CU13+預測IC!CV13</f>
        <v>1.4733959085360988</v>
      </c>
      <c r="CW13" s="10">
        <f>CV13+預測IC!CW13</f>
        <v>1.4793729393923449</v>
      </c>
      <c r="CX13" s="10">
        <f>CW13+預測IC!CX13</f>
        <v>1.5400167010276646</v>
      </c>
      <c r="CY13" s="10">
        <f>CX13+預測IC!CY13</f>
        <v>1.5268979609126521</v>
      </c>
      <c r="CZ13" s="10">
        <f>CY13+預測IC!CZ13</f>
        <v>1.5841221812661372</v>
      </c>
      <c r="DA13" s="10">
        <f>CZ13+預測IC!DA13</f>
        <v>1.5770256503146969</v>
      </c>
      <c r="DB13" s="10">
        <f>DA13+預測IC!DB13</f>
        <v>1.5360367047068797</v>
      </c>
      <c r="DC13" s="10">
        <f>DB13+預測IC!DC13</f>
        <v>1.5657768900406059</v>
      </c>
      <c r="DD13" s="10">
        <f>DC13+預測IC!DD13</f>
        <v>1.5753884258029374</v>
      </c>
      <c r="DE13" s="10">
        <f>DD13+預測IC!DE13</f>
        <v>1.5805560786983566</v>
      </c>
      <c r="DF13" s="10">
        <f>DE13+預測IC!DF13</f>
        <v>1.5520372819047219</v>
      </c>
      <c r="DG13" s="10">
        <f>DF13+預測IC!DG13</f>
        <v>1.550406624731832</v>
      </c>
      <c r="DH13" s="10">
        <f>DG13+預測IC!DH13</f>
        <v>1.563398869777624</v>
      </c>
      <c r="DI13" s="10">
        <f>DH13+預測IC!DI13</f>
        <v>1.5168374129633904</v>
      </c>
      <c r="DJ13" s="10">
        <f>DI13+預測IC!DJ13</f>
        <v>1.5171198929316863</v>
      </c>
      <c r="DK13" s="10">
        <f>DJ13+預測IC!DK13</f>
        <v>1.5291466827705302</v>
      </c>
      <c r="DL13" s="10">
        <f>DK13+預測IC!DL13</f>
        <v>1.5134921303299709</v>
      </c>
      <c r="DM13" s="10">
        <f>DL13+預測IC!DM13</f>
        <v>1.5068332612815269</v>
      </c>
      <c r="DN13" s="10">
        <f>DM13+預測IC!DN13</f>
        <v>1.5216730590617915</v>
      </c>
      <c r="DO13" s="10">
        <f>DN13+預測IC!DO13</f>
        <v>1.5702045722847575</v>
      </c>
      <c r="DP13" s="10">
        <f>DO13+預測IC!DP13</f>
        <v>1.6174427255107984</v>
      </c>
      <c r="DQ13" s="10">
        <f>DP13+預測IC!DQ13</f>
        <v>1.5910126440936696</v>
      </c>
      <c r="DR13" s="10">
        <f>DQ13+預測IC!DR13</f>
        <v>1.6047838533659815</v>
      </c>
      <c r="DS13" s="10">
        <f>DR13+預測IC!DS13</f>
        <v>1.566281078383807</v>
      </c>
      <c r="DT13" s="10">
        <f>DS13+預測IC!DT13</f>
        <v>1.5308547773361423</v>
      </c>
      <c r="DU13" s="10">
        <f>DT13+預測IC!DU13</f>
        <v>1.5517031918551654</v>
      </c>
      <c r="DV13" s="10">
        <f>DU13+預測IC!DV13</f>
        <v>1.631323335879354</v>
      </c>
      <c r="DW13" s="10">
        <f>DV13+預測IC!DW13</f>
        <v>1.677010315307361</v>
      </c>
      <c r="DX13" s="10">
        <f>DW13+預測IC!DX13</f>
        <v>1.6123683958168298</v>
      </c>
      <c r="DY13" s="10">
        <f>DX13+預測IC!DY13</f>
        <v>1.6476745337576997</v>
      </c>
      <c r="DZ13" s="10">
        <f>DY13+預測IC!DZ13</f>
        <v>1.6359040679954291</v>
      </c>
      <c r="EA13" s="10">
        <f>DZ13+預測IC!EA13</f>
        <v>1.7124944343444854</v>
      </c>
      <c r="EB13" s="10">
        <f>EA13+預測IC!EB13</f>
        <v>1.7338676525438719</v>
      </c>
      <c r="EC13" s="10">
        <f>EB13+預測IC!EC13</f>
        <v>1.7755274059791009</v>
      </c>
      <c r="ED13" s="10">
        <f>EC13+預測IC!ED13</f>
        <v>1.7098453123198658</v>
      </c>
      <c r="EE13" s="10">
        <f>ED13+預測IC!EE13</f>
        <v>1.7185833380226252</v>
      </c>
      <c r="EF13" s="10">
        <f>EE13+預測IC!EF13</f>
        <v>1.7858744947640774</v>
      </c>
    </row>
    <row r="14" spans="1:137">
      <c r="A14" s="4">
        <v>19</v>
      </c>
      <c r="B14" s="4">
        <v>50</v>
      </c>
      <c r="C14" s="21">
        <f>預測IC!C14</f>
        <v>-3.0371566279064999E-2</v>
      </c>
      <c r="D14" s="10">
        <f>C14+預測IC!D14</f>
        <v>0.1919372231946192</v>
      </c>
      <c r="E14" s="10">
        <f>D14+預測IC!E14</f>
        <v>0.14441127992736319</v>
      </c>
      <c r="F14" s="10">
        <f>E14+預測IC!F14</f>
        <v>0.17895449045367898</v>
      </c>
      <c r="G14" s="10">
        <f>F14+預測IC!G14</f>
        <v>0.26410370097999475</v>
      </c>
      <c r="H14" s="10">
        <f>G14+預測IC!H14</f>
        <v>0.32369264834841577</v>
      </c>
      <c r="I14" s="10">
        <f>H14+預測IC!I14</f>
        <v>0.36748000817155807</v>
      </c>
      <c r="J14" s="10">
        <f>I14+預測IC!J14</f>
        <v>0.26238642922418964</v>
      </c>
      <c r="K14" s="10">
        <f>J14+預測IC!K14</f>
        <v>0.27483790290840016</v>
      </c>
      <c r="L14" s="10">
        <f>K14+預測IC!L14</f>
        <v>0.26635769238208434</v>
      </c>
      <c r="M14" s="10">
        <f>L14+預測IC!M14</f>
        <v>0.19040632396103171</v>
      </c>
      <c r="N14" s="10">
        <f>M14+預測IC!N14</f>
        <v>0.39523900817155799</v>
      </c>
      <c r="O14" s="10">
        <f>N14+預測IC!O14</f>
        <v>0.43488137659261061</v>
      </c>
      <c r="P14" s="10">
        <f>O14+預測IC!P14</f>
        <v>0.37653545469436939</v>
      </c>
      <c r="Q14" s="10">
        <f>P14+預測IC!Q14</f>
        <v>0.43477450732594836</v>
      </c>
      <c r="R14" s="10">
        <f>Q14+預測IC!R14</f>
        <v>0.42062282311542204</v>
      </c>
      <c r="S14" s="10">
        <f>R14+預測IC!S14</f>
        <v>0.25472959593071332</v>
      </c>
      <c r="T14" s="10">
        <f>S14+預測IC!T14</f>
        <v>0.23736785908860805</v>
      </c>
      <c r="U14" s="10">
        <f>T14+預測IC!U14</f>
        <v>0.27394612224650278</v>
      </c>
      <c r="V14" s="10">
        <f>U14+預測IC!V14</f>
        <v>0.2355718064570291</v>
      </c>
      <c r="W14" s="10">
        <f>V14+預測IC!W14</f>
        <v>0.3517371748780817</v>
      </c>
      <c r="X14" s="10">
        <f>W14+預測IC!X14</f>
        <v>0.23732886708917761</v>
      </c>
      <c r="Y14" s="10">
        <f>X14+預測IC!Y14</f>
        <v>0.22056528814180917</v>
      </c>
      <c r="Z14" s="10">
        <f>Y14+預測IC!Z14</f>
        <v>0.24181728814180917</v>
      </c>
      <c r="AA14" s="10">
        <f>Z14+預測IC!AA14</f>
        <v>0.23919160393128286</v>
      </c>
      <c r="AB14" s="10">
        <f>AA14+預測IC!AB14</f>
        <v>0.1642089723523355</v>
      </c>
      <c r="AC14" s="10">
        <f>AB14+預測IC!AC14</f>
        <v>0.13491634077338813</v>
      </c>
      <c r="AD14" s="10">
        <f>AC14+預測IC!AD14</f>
        <v>0.17424428814180917</v>
      </c>
      <c r="AE14" s="10">
        <f>AD14+預測IC!AE14</f>
        <v>6.6809944448525671E-2</v>
      </c>
      <c r="AF14" s="10">
        <f>AE14+預測IC!AF14</f>
        <v>0.15112773392220988</v>
      </c>
      <c r="AG14" s="10">
        <f>AF14+預測IC!AG14</f>
        <v>0.15751831286957829</v>
      </c>
      <c r="AH14" s="10">
        <f>AG14+預測IC!AH14</f>
        <v>0.22092826023799933</v>
      </c>
      <c r="AI14" s="10">
        <f>AH14+預測IC!AI14</f>
        <v>0.23189357602747301</v>
      </c>
      <c r="AJ14" s="10">
        <f>AI14+預測IC!AJ14</f>
        <v>0.33235673392220982</v>
      </c>
      <c r="AK14" s="10">
        <f>AJ14+預測IC!AK14</f>
        <v>0.32084731286957824</v>
      </c>
      <c r="AL14" s="10">
        <f>AK14+預測IC!AL14</f>
        <v>0.35881650259203896</v>
      </c>
      <c r="AM14" s="10">
        <f>AL14+預測IC!AM14</f>
        <v>0.36196492364467053</v>
      </c>
      <c r="AN14" s="10">
        <f>AM14+預測IC!AN14</f>
        <v>0.45422541284824663</v>
      </c>
      <c r="AO14" s="10">
        <f>AN14+預測IC!AO14</f>
        <v>0.44422783390087822</v>
      </c>
      <c r="AP14" s="10">
        <f>AO14+預測IC!AP14</f>
        <v>0.37425130874879398</v>
      </c>
      <c r="AQ14" s="10">
        <f>AP14+預測IC!AQ14</f>
        <v>0.36612488769616242</v>
      </c>
      <c r="AR14" s="10">
        <f>AQ14+預測IC!AR14</f>
        <v>0.38429536138037296</v>
      </c>
      <c r="AS14" s="10">
        <f>AR14+預測IC!AS14</f>
        <v>0.3019623853391612</v>
      </c>
      <c r="AT14" s="10">
        <f>AS14+預測IC!AT14</f>
        <v>0.34288695099725858</v>
      </c>
      <c r="AU14" s="10">
        <f>AT14+預測IC!AU14</f>
        <v>0.3899083049059327</v>
      </c>
      <c r="AV14" s="10">
        <f>AU14+預測IC!AV14</f>
        <v>0.36722351856529567</v>
      </c>
      <c r="AW14" s="10">
        <f>AV14+預測IC!AW14</f>
        <v>0.35180214044204067</v>
      </c>
      <c r="AX14" s="10">
        <f>AW14+預測IC!AX14</f>
        <v>0.48875316873643337</v>
      </c>
      <c r="AY14" s="10">
        <f>AX14+預測IC!AY14</f>
        <v>0.50382128750819488</v>
      </c>
      <c r="AZ14" s="10">
        <f>AY14+預測IC!AZ14</f>
        <v>0.4506630398031321</v>
      </c>
      <c r="BA14" s="10">
        <f>AZ14+預測IC!BA14</f>
        <v>0.47078895083996947</v>
      </c>
      <c r="BB14" s="10">
        <f>BA14+預測IC!BB14</f>
        <v>0.53252323284164427</v>
      </c>
      <c r="BC14" s="10">
        <f>BB14+預測IC!BC14</f>
        <v>0.52343930931612603</v>
      </c>
      <c r="BD14" s="10">
        <f>BC14+預測IC!BD14</f>
        <v>0.5667670909835314</v>
      </c>
      <c r="BE14" s="10">
        <f>BD14+預測IC!BE14</f>
        <v>0.60994333530216005</v>
      </c>
      <c r="BF14" s="10">
        <f>BE14+預測IC!BF14</f>
        <v>0.65071385684784988</v>
      </c>
      <c r="BG14" s="10">
        <f>BF14+預測IC!BG14</f>
        <v>0.69208812092178262</v>
      </c>
      <c r="BH14" s="10">
        <f>BG14+預測IC!BH14</f>
        <v>0.69180467675476676</v>
      </c>
      <c r="BI14" s="10">
        <f>BH14+預測IC!BI14</f>
        <v>0.74381891238093545</v>
      </c>
      <c r="BJ14" s="10">
        <f>BI14+預測IC!BJ14</f>
        <v>0.73056463356686829</v>
      </c>
      <c r="BK14" s="10">
        <f>BJ14+預測IC!BK14</f>
        <v>0.73047730828711532</v>
      </c>
      <c r="BL14" s="10">
        <f>BK14+預測IC!BL14</f>
        <v>0.79021507512948563</v>
      </c>
      <c r="BM14" s="10">
        <f>BL14+預測IC!BM14</f>
        <v>0.82221791235585695</v>
      </c>
      <c r="BN14" s="10">
        <f>BM14+預測IC!BN14</f>
        <v>0.84315445042840831</v>
      </c>
      <c r="BO14" s="10">
        <f>BN14+預測IC!BO14</f>
        <v>0.87676349610567283</v>
      </c>
      <c r="BP14" s="10">
        <f>BO14+預測IC!BP14</f>
        <v>0.88958616349607411</v>
      </c>
      <c r="BQ14" s="10">
        <f>BP14+預測IC!BQ14</f>
        <v>0.90163558628120999</v>
      </c>
      <c r="BR14" s="10">
        <f>BQ14+預測IC!BR14</f>
        <v>0.87370615674859209</v>
      </c>
      <c r="BS14" s="10">
        <f>BR14+預測IC!BS14</f>
        <v>0.83507695313428798</v>
      </c>
      <c r="BT14" s="10">
        <f>BS14+預測IC!BT14</f>
        <v>0.90821608173523449</v>
      </c>
      <c r="BU14" s="10">
        <f>BT14+預測IC!BU14</f>
        <v>0.8993612463772036</v>
      </c>
      <c r="BV14" s="10">
        <f>BU14+預測IC!BV14</f>
        <v>0.9282526682601594</v>
      </c>
      <c r="BW14" s="10">
        <f>BV14+預測IC!BW14</f>
        <v>0.94076061651775267</v>
      </c>
      <c r="BX14" s="10">
        <f>BW14+預測IC!BX14</f>
        <v>0.99461897855231285</v>
      </c>
      <c r="BY14" s="10">
        <f>BX14+預測IC!BY14</f>
        <v>0.97609710549926365</v>
      </c>
      <c r="BZ14" s="10">
        <f>BY14+預測IC!BZ14</f>
        <v>1.0878776260308445</v>
      </c>
      <c r="CA14" s="10">
        <f>BZ14+預測IC!CA14</f>
        <v>1.0634123599159073</v>
      </c>
      <c r="CB14" s="10">
        <f>CA14+預測IC!CB14</f>
        <v>1.0855399764580822</v>
      </c>
      <c r="CC14" s="10">
        <f>CB14+預測IC!CC14</f>
        <v>1.0653833717670473</v>
      </c>
      <c r="CD14" s="10">
        <f>CC14+預測IC!CD14</f>
        <v>1.1634000816992451</v>
      </c>
      <c r="CE14" s="10">
        <f>CD14+預測IC!CE14</f>
        <v>1.0912433624875473</v>
      </c>
      <c r="CF14" s="10">
        <f>CE14+預測IC!CF14</f>
        <v>1.186634504876914</v>
      </c>
      <c r="CG14" s="10">
        <f>CF14+預測IC!CG14</f>
        <v>1.239701533172753</v>
      </c>
      <c r="CH14" s="10">
        <f>CG14+預測IC!CH14</f>
        <v>1.3043629254509701</v>
      </c>
      <c r="CI14" s="10">
        <f>CH14+預測IC!CI14</f>
        <v>1.1984781480876112</v>
      </c>
      <c r="CJ14" s="10">
        <f>CI14+預測IC!CJ14</f>
        <v>1.1659477414087003</v>
      </c>
      <c r="CK14" s="10">
        <f>CJ14+預測IC!CK14</f>
        <v>1.1799641057993464</v>
      </c>
      <c r="CL14" s="10">
        <f>CK14+預測IC!CL14</f>
        <v>1.242234060678183</v>
      </c>
      <c r="CM14" s="10">
        <f>CL14+預測IC!CM14</f>
        <v>1.2742740710465001</v>
      </c>
      <c r="CN14" s="10">
        <f>CM14+預測IC!CN14</f>
        <v>1.2537946730032945</v>
      </c>
      <c r="CO14" s="10">
        <f>CN14+預測IC!CO14</f>
        <v>1.1802069529644015</v>
      </c>
      <c r="CP14" s="10">
        <f>CO14+預測IC!CP14</f>
        <v>1.2800162844461542</v>
      </c>
      <c r="CQ14" s="10">
        <f>CP14+預測IC!CQ14</f>
        <v>1.3332279125378288</v>
      </c>
      <c r="CR14" s="10">
        <f>CQ14+預測IC!CR14</f>
        <v>1.3899064675954054</v>
      </c>
      <c r="CS14" s="10">
        <f>CR14+預測IC!CS14</f>
        <v>1.448933587859061</v>
      </c>
      <c r="CT14" s="10">
        <f>CS14+預測IC!CT14</f>
        <v>1.4680341644097459</v>
      </c>
      <c r="CU14" s="10">
        <f>CT14+預測IC!CU14</f>
        <v>1.4234897222967398</v>
      </c>
      <c r="CV14" s="10">
        <f>CU14+預測IC!CV14</f>
        <v>1.4462354374349951</v>
      </c>
      <c r="CW14" s="10">
        <f>CV14+預測IC!CW14</f>
        <v>1.4428370549715244</v>
      </c>
      <c r="CX14" s="10">
        <f>CW14+預測IC!CX14</f>
        <v>1.4756013840581079</v>
      </c>
      <c r="CY14" s="10">
        <f>CX14+預測IC!CY14</f>
        <v>1.4468422637666336</v>
      </c>
      <c r="CZ14" s="10">
        <f>CY14+預測IC!CZ14</f>
        <v>1.510905827117017</v>
      </c>
      <c r="DA14" s="10">
        <f>CZ14+預測IC!DA14</f>
        <v>1.4866015379464326</v>
      </c>
      <c r="DB14" s="10">
        <f>DA14+預測IC!DB14</f>
        <v>1.4702587609760354</v>
      </c>
      <c r="DC14" s="10">
        <f>DB14+預測IC!DC14</f>
        <v>1.4977928535764271</v>
      </c>
      <c r="DD14" s="10">
        <f>DC14+預測IC!DD14</f>
        <v>1.4810343037840106</v>
      </c>
      <c r="DE14" s="10">
        <f>DD14+預測IC!DE14</f>
        <v>1.4864186033917752</v>
      </c>
      <c r="DF14" s="10">
        <f>DE14+預測IC!DF14</f>
        <v>1.446648142929633</v>
      </c>
      <c r="DG14" s="10">
        <f>DF14+預測IC!DG14</f>
        <v>1.4580946993229502</v>
      </c>
      <c r="DH14" s="10">
        <f>DG14+預測IC!DH14</f>
        <v>1.4628695365658617</v>
      </c>
      <c r="DI14" s="10">
        <f>DH14+預測IC!DI14</f>
        <v>1.4096775393212539</v>
      </c>
      <c r="DJ14" s="10">
        <f>DI14+預測IC!DJ14</f>
        <v>1.4107012635885514</v>
      </c>
      <c r="DK14" s="10">
        <f>DJ14+預測IC!DK14</f>
        <v>1.4290186396654312</v>
      </c>
      <c r="DL14" s="10">
        <f>DK14+預測IC!DL14</f>
        <v>1.4138534781105427</v>
      </c>
      <c r="DM14" s="10">
        <f>DL14+預測IC!DM14</f>
        <v>1.4193577472041932</v>
      </c>
      <c r="DN14" s="10">
        <f>DM14+預測IC!DN14</f>
        <v>1.4592094547707379</v>
      </c>
      <c r="DO14" s="10">
        <f>DN14+預測IC!DO14</f>
        <v>1.5005850999335353</v>
      </c>
      <c r="DP14" s="10">
        <f>DO14+預測IC!DP14</f>
        <v>1.5411173274377727</v>
      </c>
      <c r="DQ14" s="10">
        <f>DP14+預測IC!DQ14</f>
        <v>1.4517494673969609</v>
      </c>
      <c r="DR14" s="10">
        <f>DQ14+預測IC!DR14</f>
        <v>1.5043719868559604</v>
      </c>
      <c r="DS14" s="10">
        <f>DR14+預測IC!DS14</f>
        <v>1.4693270805850436</v>
      </c>
      <c r="DT14" s="10">
        <f>DS14+預測IC!DT14</f>
        <v>1.4248938967447029</v>
      </c>
      <c r="DU14" s="10">
        <f>DT14+預測IC!DU14</f>
        <v>1.379978948125721</v>
      </c>
      <c r="DV14" s="10">
        <f>DU14+預測IC!DV14</f>
        <v>1.4882413026558283</v>
      </c>
      <c r="DW14" s="10">
        <f>DV14+預測IC!DW14</f>
        <v>1.5800506317116667</v>
      </c>
      <c r="DX14" s="10">
        <f>DW14+預測IC!DX14</f>
        <v>1.4778894118258274</v>
      </c>
      <c r="DY14" s="10">
        <f>DX14+預測IC!DY14</f>
        <v>1.515886491772676</v>
      </c>
      <c r="DZ14" s="10">
        <f>DY14+預測IC!DZ14</f>
        <v>1.5115461522002371</v>
      </c>
      <c r="EA14" s="10">
        <f>DZ14+預測IC!EA14</f>
        <v>1.5896514180881733</v>
      </c>
      <c r="EB14" s="10">
        <f>EA14+預測IC!EB14</f>
        <v>1.5966688925088723</v>
      </c>
      <c r="EC14" s="10">
        <f>EB14+預測IC!EC14</f>
        <v>1.6027482746570054</v>
      </c>
      <c r="ED14" s="10">
        <f>EC14+預測IC!ED14</f>
        <v>1.5001185654708185</v>
      </c>
      <c r="EE14" s="10">
        <f>ED14+預測IC!EE14</f>
        <v>1.5188065154225745</v>
      </c>
      <c r="EF14" s="10">
        <f>EE14+預測IC!EF14</f>
        <v>1.585438862151987</v>
      </c>
    </row>
    <row r="15" spans="1:137">
      <c r="A15" s="4">
        <v>10</v>
      </c>
      <c r="B15" s="4">
        <v>100</v>
      </c>
      <c r="C15" s="21">
        <f>預測IC!C15</f>
        <v>-9.6503141994516081E-2</v>
      </c>
      <c r="D15" s="10">
        <f>C15+預測IC!D15</f>
        <v>0.27620655800548399</v>
      </c>
      <c r="E15" s="10">
        <f>D15+預測IC!E15</f>
        <v>0.26600813173340049</v>
      </c>
      <c r="F15" s="10">
        <f>E15+預測IC!F15</f>
        <v>0.3563127317334005</v>
      </c>
      <c r="G15" s="10">
        <f>F15+預測IC!G15</f>
        <v>0.45291893173340048</v>
      </c>
      <c r="H15" s="10">
        <f>G15+預測IC!H15</f>
        <v>0.57176333173340044</v>
      </c>
      <c r="I15" s="10">
        <f>H15+預測IC!I15</f>
        <v>0.63019477601326601</v>
      </c>
      <c r="J15" s="10">
        <f>I15+預測IC!J15</f>
        <v>0.56567057601326598</v>
      </c>
      <c r="K15" s="10">
        <f>J15+預測IC!K15</f>
        <v>0.56145957601326602</v>
      </c>
      <c r="L15" s="10">
        <f>K15+預測IC!L15</f>
        <v>0.57442647601326602</v>
      </c>
      <c r="M15" s="10">
        <f>L15+預測IC!M15</f>
        <v>0.38593507601326604</v>
      </c>
      <c r="N15" s="10">
        <f>M15+預測IC!N15</f>
        <v>0.71624467601326602</v>
      </c>
      <c r="O15" s="10">
        <f>N15+預測IC!O15</f>
        <v>0.76234817601326599</v>
      </c>
      <c r="P15" s="10">
        <f>O15+預測IC!P15</f>
        <v>0.69823199299160421</v>
      </c>
      <c r="Q15" s="10">
        <f>P15+預測IC!Q15</f>
        <v>0.79860879299160425</v>
      </c>
      <c r="R15" s="10">
        <f>Q15+預測IC!R15</f>
        <v>0.81536399299160423</v>
      </c>
      <c r="S15" s="10">
        <f>R15+預測IC!S15</f>
        <v>0.54513194702089729</v>
      </c>
      <c r="T15" s="10">
        <f>S15+預測IC!T15</f>
        <v>0.4957922470208973</v>
      </c>
      <c r="U15" s="10">
        <f>T15+預測IC!U15</f>
        <v>0.54258094702089732</v>
      </c>
      <c r="V15" s="10">
        <f>U15+預測IC!V15</f>
        <v>0.45690054702089733</v>
      </c>
      <c r="W15" s="10">
        <f>V15+預測IC!W15</f>
        <v>0.56383514702089732</v>
      </c>
      <c r="X15" s="10">
        <f>W15+預測IC!X15</f>
        <v>0.43699181555722422</v>
      </c>
      <c r="Y15" s="10">
        <f>X15+預測IC!Y15</f>
        <v>0.41280211555722424</v>
      </c>
      <c r="Z15" s="10">
        <f>Y15+預測IC!Z15</f>
        <v>0.38914591555722422</v>
      </c>
      <c r="AA15" s="10">
        <f>Z15+預測IC!AA15</f>
        <v>0.43573481555722421</v>
      </c>
      <c r="AB15" s="10">
        <f>AA15+預測IC!AB15</f>
        <v>0.36173941555722422</v>
      </c>
      <c r="AC15" s="10">
        <f>AB15+預測IC!AC15</f>
        <v>0.32168461555722422</v>
      </c>
      <c r="AD15" s="10">
        <f>AC15+預測IC!AD15</f>
        <v>0.36137501555722423</v>
      </c>
      <c r="AE15" s="10">
        <f>AD15+預測IC!AE15</f>
        <v>0.26006169935834922</v>
      </c>
      <c r="AF15" s="10">
        <f>AE15+預測IC!AF15</f>
        <v>0.30983519935834924</v>
      </c>
      <c r="AG15" s="10">
        <f>AF15+預測IC!AG15</f>
        <v>0.30009019935834924</v>
      </c>
      <c r="AH15" s="10">
        <f>AG15+預測IC!AH15</f>
        <v>0.28558839935834923</v>
      </c>
      <c r="AI15" s="10">
        <f>AH15+預測IC!AI15</f>
        <v>0.35986579935834923</v>
      </c>
      <c r="AJ15" s="10">
        <f>AI15+預測IC!AJ15</f>
        <v>0.36404919935834923</v>
      </c>
      <c r="AK15" s="10">
        <f>AJ15+預測IC!AK15</f>
        <v>0.32705109935834925</v>
      </c>
      <c r="AL15" s="10">
        <f>AK15+預測IC!AL15</f>
        <v>0.3676067543447839</v>
      </c>
      <c r="AM15" s="10">
        <f>AL15+預測IC!AM15</f>
        <v>0.36955025434478389</v>
      </c>
      <c r="AN15" s="10">
        <f>AM15+預測IC!AN15</f>
        <v>0.46241216776247024</v>
      </c>
      <c r="AO15" s="10">
        <f>AN15+預測IC!AO15</f>
        <v>0.49811446776247026</v>
      </c>
      <c r="AP15" s="10">
        <f>AO15+預測IC!AP15</f>
        <v>0.41165670125196752</v>
      </c>
      <c r="AQ15" s="10">
        <f>AP15+預測IC!AQ15</f>
        <v>0.39190940125196749</v>
      </c>
      <c r="AR15" s="10">
        <f>AQ15+預測IC!AR15</f>
        <v>0.41645970125196752</v>
      </c>
      <c r="AS15" s="10">
        <f>AR15+預測IC!AS15</f>
        <v>0.36263852221485349</v>
      </c>
      <c r="AT15" s="10">
        <f>AS15+預測IC!AT15</f>
        <v>0.42789351286728206</v>
      </c>
      <c r="AU15" s="10">
        <f>AT15+預測IC!AU15</f>
        <v>0.46783677395674839</v>
      </c>
      <c r="AV15" s="10">
        <f>AU15+預測IC!AV15</f>
        <v>0.42060995562930953</v>
      </c>
      <c r="AW15" s="10">
        <f>AV15+預測IC!AW15</f>
        <v>0.43626989488389045</v>
      </c>
      <c r="AX15" s="10">
        <f>AW15+預測IC!AX15</f>
        <v>0.56150387205862562</v>
      </c>
      <c r="AY15" s="10">
        <f>AX15+預測IC!AY15</f>
        <v>0.58961328852141182</v>
      </c>
      <c r="AZ15" s="10">
        <f>AY15+預測IC!AZ15</f>
        <v>0.49829000845290833</v>
      </c>
      <c r="BA15" s="10">
        <f>AZ15+預測IC!BA15</f>
        <v>0.50890352326056132</v>
      </c>
      <c r="BB15" s="10">
        <f>BA15+預測IC!BB15</f>
        <v>0.62010586857966787</v>
      </c>
      <c r="BC15" s="10">
        <f>BB15+預測IC!BC15</f>
        <v>0.68226101224749813</v>
      </c>
      <c r="BD15" s="10">
        <f>BC15+預測IC!BD15</f>
        <v>0.72521083259946661</v>
      </c>
      <c r="BE15" s="10">
        <f>BD15+預測IC!BE15</f>
        <v>0.76435734745713502</v>
      </c>
      <c r="BF15" s="10">
        <f>BE15+預測IC!BF15</f>
        <v>0.81553523473467848</v>
      </c>
      <c r="BG15" s="10">
        <f>BF15+預測IC!BG15</f>
        <v>0.8183600568160545</v>
      </c>
      <c r="BH15" s="10">
        <f>BG15+預測IC!BH15</f>
        <v>0.85191659410243148</v>
      </c>
      <c r="BI15" s="10">
        <f>BH15+預測IC!BI15</f>
        <v>0.92050325321740112</v>
      </c>
      <c r="BJ15" s="10">
        <f>BI15+預測IC!BJ15</f>
        <v>0.90488415054540927</v>
      </c>
      <c r="BK15" s="10">
        <f>BJ15+預測IC!BK15</f>
        <v>0.89372778283195331</v>
      </c>
      <c r="BL15" s="10">
        <f>BK15+預測IC!BL15</f>
        <v>0.95647595883214342</v>
      </c>
      <c r="BM15" s="10">
        <f>BL15+預測IC!BM15</f>
        <v>1.0216828418308772</v>
      </c>
      <c r="BN15" s="10">
        <f>BM15+預測IC!BN15</f>
        <v>1.0618254115640671</v>
      </c>
      <c r="BO15" s="10">
        <f>BN15+預測IC!BO15</f>
        <v>1.089559887518998</v>
      </c>
      <c r="BP15" s="10">
        <f>BO15+預測IC!BP15</f>
        <v>1.1037441082268027</v>
      </c>
      <c r="BQ15" s="10">
        <f>BP15+預測IC!BQ15</f>
        <v>1.1165470395171304</v>
      </c>
      <c r="BR15" s="10">
        <f>BQ15+預測IC!BR15</f>
        <v>1.0663896103950707</v>
      </c>
      <c r="BS15" s="10">
        <f>BR15+預測IC!BS15</f>
        <v>1.0495658329447843</v>
      </c>
      <c r="BT15" s="10">
        <f>BS15+預測IC!BT15</f>
        <v>1.1386260386761187</v>
      </c>
      <c r="BU15" s="10">
        <f>BT15+預測IC!BU15</f>
        <v>1.1581024584719122</v>
      </c>
      <c r="BV15" s="10">
        <f>BU15+預測IC!BV15</f>
        <v>1.2173313954323606</v>
      </c>
      <c r="BW15" s="10">
        <f>BV15+預測IC!BW15</f>
        <v>1.1813855053029569</v>
      </c>
      <c r="BX15" s="10">
        <f>BW15+預測IC!BX15</f>
        <v>1.2020560513465854</v>
      </c>
      <c r="BY15" s="10">
        <f>BX15+預測IC!BY15</f>
        <v>1.1144009335850324</v>
      </c>
      <c r="BZ15" s="10">
        <f>BY15+預測IC!BZ15</f>
        <v>1.2173074025623798</v>
      </c>
      <c r="CA15" s="10">
        <f>BZ15+預測IC!CA15</f>
        <v>1.1987153817659375</v>
      </c>
      <c r="CB15" s="10">
        <f>CA15+預測IC!CB15</f>
        <v>1.213772275777762</v>
      </c>
      <c r="CC15" s="10">
        <f>CB15+預測IC!CC15</f>
        <v>1.0602700030640786</v>
      </c>
      <c r="CD15" s="10">
        <f>CC15+預測IC!CD15</f>
        <v>1.1804220870271629</v>
      </c>
      <c r="CE15" s="10">
        <f>CD15+預測IC!CE15</f>
        <v>1.0637820763909416</v>
      </c>
      <c r="CF15" s="10">
        <f>CE15+預測IC!CF15</f>
        <v>1.1622520708019928</v>
      </c>
      <c r="CG15" s="10">
        <f>CF15+預測IC!CG15</f>
        <v>1.1579531915486285</v>
      </c>
      <c r="CH15" s="10">
        <f>CG15+預測IC!CH15</f>
        <v>1.2208391498323299</v>
      </c>
      <c r="CI15" s="10">
        <f>CH15+預測IC!CI15</f>
        <v>1.1930360779913394</v>
      </c>
      <c r="CJ15" s="10">
        <f>CI15+預測IC!CJ15</f>
        <v>1.1059917219186213</v>
      </c>
      <c r="CK15" s="10">
        <f>CJ15+預測IC!CK15</f>
        <v>1.1626643676907207</v>
      </c>
      <c r="CL15" s="10">
        <f>CK15+預測IC!CL15</f>
        <v>1.194086342683969</v>
      </c>
      <c r="CM15" s="10">
        <f>CL15+預測IC!CM15</f>
        <v>1.2687174588124228</v>
      </c>
      <c r="CN15" s="10">
        <f>CM15+預測IC!CN15</f>
        <v>1.2260833430132625</v>
      </c>
      <c r="CO15" s="10">
        <f>CN15+預測IC!CO15</f>
        <v>1.096634318131221</v>
      </c>
      <c r="CP15" s="10">
        <f>CO15+預測IC!CP15</f>
        <v>1.2241701535641707</v>
      </c>
      <c r="CQ15" s="10">
        <f>CP15+預測IC!CQ15</f>
        <v>1.2610464779278401</v>
      </c>
      <c r="CR15" s="10">
        <f>CQ15+預測IC!CR15</f>
        <v>1.3072270998186328</v>
      </c>
      <c r="CS15" s="10">
        <f>CR15+預測IC!CS15</f>
        <v>1.3674122722822275</v>
      </c>
      <c r="CT15" s="10">
        <f>CS15+預測IC!CT15</f>
        <v>1.3748068472576822</v>
      </c>
      <c r="CU15" s="10">
        <f>CT15+預測IC!CU15</f>
        <v>1.3116281873429094</v>
      </c>
      <c r="CV15" s="10">
        <f>CU15+預測IC!CV15</f>
        <v>1.3054863404381005</v>
      </c>
      <c r="CW15" s="10">
        <f>CV15+預測IC!CW15</f>
        <v>1.290095416054758</v>
      </c>
      <c r="CX15" s="10">
        <f>CW15+預測IC!CX15</f>
        <v>1.3141350231080888</v>
      </c>
      <c r="CY15" s="10">
        <f>CX15+預測IC!CY15</f>
        <v>1.2716643500303264</v>
      </c>
      <c r="CZ15" s="10">
        <f>CY15+預測IC!CZ15</f>
        <v>1.348809423970788</v>
      </c>
      <c r="DA15" s="10">
        <f>CZ15+預測IC!DA15</f>
        <v>1.3224335885289114</v>
      </c>
      <c r="DB15" s="10">
        <f>DA15+預測IC!DB15</f>
        <v>1.2922069703147876</v>
      </c>
      <c r="DC15" s="10">
        <f>DB15+預測IC!DC15</f>
        <v>1.3170280772455205</v>
      </c>
      <c r="DD15" s="10">
        <f>DC15+預測IC!DD15</f>
        <v>1.2812117645201353</v>
      </c>
      <c r="DE15" s="10">
        <f>DD15+預測IC!DE15</f>
        <v>1.3061604792651784</v>
      </c>
      <c r="DF15" s="10">
        <f>DE15+預測IC!DF15</f>
        <v>1.2637691728657836</v>
      </c>
      <c r="DG15" s="10">
        <f>DF15+預測IC!DG15</f>
        <v>1.2799659044840248</v>
      </c>
      <c r="DH15" s="10">
        <f>DG15+預測IC!DH15</f>
        <v>1.2612568934401327</v>
      </c>
      <c r="DI15" s="10">
        <f>DH15+預測IC!DI15</f>
        <v>1.249538444430675</v>
      </c>
      <c r="DJ15" s="10">
        <f>DI15+預測IC!DJ15</f>
        <v>1.1980156336072707</v>
      </c>
      <c r="DK15" s="10">
        <f>DJ15+預測IC!DK15</f>
        <v>1.2997904676587386</v>
      </c>
      <c r="DL15" s="10">
        <f>DK15+預測IC!DL15</f>
        <v>1.3624259617471766</v>
      </c>
      <c r="DM15" s="10">
        <f>DL15+預測IC!DM15</f>
        <v>1.3386174148795078</v>
      </c>
      <c r="DN15" s="10">
        <f>DM15+預測IC!DN15</f>
        <v>1.3826139123031274</v>
      </c>
      <c r="DO15" s="10">
        <f>DN15+預測IC!DO15</f>
        <v>1.4289106395369282</v>
      </c>
      <c r="DP15" s="10">
        <f>DO15+預測IC!DP15</f>
        <v>1.4526462415438208</v>
      </c>
      <c r="DQ15" s="10">
        <f>DP15+預測IC!DQ15</f>
        <v>1.3529740264886851</v>
      </c>
      <c r="DR15" s="10">
        <f>DQ15+預測IC!DR15</f>
        <v>1.392759634543786</v>
      </c>
      <c r="DS15" s="10">
        <f>DR15+預測IC!DS15</f>
        <v>1.3097147179128168</v>
      </c>
      <c r="DT15" s="10">
        <f>DS15+預測IC!DT15</f>
        <v>1.2375510861946537</v>
      </c>
      <c r="DU15" s="10">
        <f>DT15+預測IC!DU15</f>
        <v>1.191780357242973</v>
      </c>
      <c r="DV15" s="10">
        <f>DU15+預測IC!DV15</f>
        <v>1.3315487141838445</v>
      </c>
      <c r="DW15" s="10">
        <f>DV15+預測IC!DW15</f>
        <v>1.357087341330677</v>
      </c>
      <c r="DX15" s="10">
        <f>DW15+預測IC!DX15</f>
        <v>1.2384710906806906</v>
      </c>
      <c r="DY15" s="10">
        <f>DX15+預測IC!DY15</f>
        <v>1.3450102572817002</v>
      </c>
      <c r="DZ15" s="10">
        <f>DY15+預測IC!DZ15</f>
        <v>1.3260900132123159</v>
      </c>
      <c r="EA15" s="10">
        <f>DZ15+預測IC!EA15</f>
        <v>1.3583297045113538</v>
      </c>
      <c r="EB15" s="10">
        <f>EA15+預測IC!EB15</f>
        <v>1.4068482776425988</v>
      </c>
      <c r="EC15" s="10">
        <f>EB15+預測IC!EC15</f>
        <v>1.4575847764112351</v>
      </c>
      <c r="ED15" s="10">
        <f>EC15+預測IC!ED15</f>
        <v>1.3442277204759236</v>
      </c>
      <c r="EE15" s="10">
        <f>ED15+預測IC!EE15</f>
        <v>1.3217691804988438</v>
      </c>
      <c r="EF15" s="10">
        <f>EE15+預測IC!EF15</f>
        <v>1.3839774857379199</v>
      </c>
    </row>
    <row r="16" spans="1:137">
      <c r="A16" s="4">
        <v>9</v>
      </c>
      <c r="B16" s="4">
        <v>107</v>
      </c>
      <c r="C16" s="21">
        <f>預測IC!C16</f>
        <v>-2.7383644610379052E-2</v>
      </c>
      <c r="D16" s="10">
        <f>C16+預測IC!D16</f>
        <v>0.38081179983406532</v>
      </c>
      <c r="E16" s="10">
        <f>D16+預測IC!E16</f>
        <v>0.37798162322397993</v>
      </c>
      <c r="F16" s="10">
        <f>E16+預測IC!F16</f>
        <v>0.48540117877953554</v>
      </c>
      <c r="G16" s="10">
        <f>F16+預測IC!G16</f>
        <v>0.59441473433509107</v>
      </c>
      <c r="H16" s="10">
        <f>G16+預測IC!H16</f>
        <v>0.66726351211286883</v>
      </c>
      <c r="I16" s="10">
        <f>H16+預測IC!I16</f>
        <v>0.72479413077849031</v>
      </c>
      <c r="J16" s="10">
        <f>I16+預測IC!J16</f>
        <v>0.65610068633404584</v>
      </c>
      <c r="K16" s="10">
        <f>J16+預測IC!K16</f>
        <v>0.67402513077849024</v>
      </c>
      <c r="L16" s="10">
        <f>K16+預測IC!L16</f>
        <v>0.7050516863340458</v>
      </c>
      <c r="M16" s="10">
        <f>L16+預測IC!M16</f>
        <v>0.51017590855626804</v>
      </c>
      <c r="N16" s="10">
        <f>M16+預測IC!N16</f>
        <v>0.87716379744515693</v>
      </c>
      <c r="O16" s="10">
        <f>N16+預測IC!O16</f>
        <v>0.89278490855626802</v>
      </c>
      <c r="P16" s="10">
        <f>O16+預測IC!P16</f>
        <v>0.83173967676484573</v>
      </c>
      <c r="Q16" s="10">
        <f>P16+預測IC!Q16</f>
        <v>0.92835956565373468</v>
      </c>
      <c r="R16" s="10">
        <f>Q16+預測IC!R16</f>
        <v>0.94754201009817918</v>
      </c>
      <c r="S16" s="10">
        <f>R16+預測IC!S16</f>
        <v>0.66208740583445325</v>
      </c>
      <c r="T16" s="10">
        <f>S16+預測IC!T16</f>
        <v>0.63885996139000878</v>
      </c>
      <c r="U16" s="10">
        <f>T16+預測IC!U16</f>
        <v>0.68750962805667548</v>
      </c>
      <c r="V16" s="10">
        <f>U16+預測IC!V16</f>
        <v>0.58319440583445326</v>
      </c>
      <c r="W16" s="10">
        <f>V16+預測IC!W16</f>
        <v>0.66156785027889775</v>
      </c>
      <c r="X16" s="10">
        <f>W16+預測IC!X16</f>
        <v>0.53715806657041099</v>
      </c>
      <c r="Y16" s="10">
        <f>X16+預測IC!Y16</f>
        <v>0.53286951101485547</v>
      </c>
      <c r="Z16" s="10">
        <f>Y16+預測IC!Z16</f>
        <v>0.51279373323707766</v>
      </c>
      <c r="AA16" s="10">
        <f>Z16+預測IC!AA16</f>
        <v>0.56302139990374434</v>
      </c>
      <c r="AB16" s="10">
        <f>AA16+預測IC!AB16</f>
        <v>0.49200539990374437</v>
      </c>
      <c r="AC16" s="10">
        <f>AB16+預測IC!AC16</f>
        <v>0.45096528879263326</v>
      </c>
      <c r="AD16" s="10">
        <f>AC16+預測IC!AD16</f>
        <v>0.48577628879263324</v>
      </c>
      <c r="AE16" s="10">
        <f>AD16+預測IC!AE16</f>
        <v>0.38927392830402757</v>
      </c>
      <c r="AF16" s="10">
        <f>AE16+預測IC!AF16</f>
        <v>0.40428426163736092</v>
      </c>
      <c r="AG16" s="10">
        <f>AF16+預測IC!AG16</f>
        <v>0.39598270608180536</v>
      </c>
      <c r="AH16" s="10">
        <f>AG16+預測IC!AH16</f>
        <v>0.35187426163736091</v>
      </c>
      <c r="AI16" s="10">
        <f>AH16+預測IC!AI16</f>
        <v>0.44239737274847202</v>
      </c>
      <c r="AJ16" s="10">
        <f>AI16+預測IC!AJ16</f>
        <v>0.42476737274847204</v>
      </c>
      <c r="AK16" s="10">
        <f>AJ16+預測IC!AK16</f>
        <v>0.41678103941513872</v>
      </c>
      <c r="AL16" s="10">
        <f>AK16+預測IC!AL16</f>
        <v>0.46546997251966199</v>
      </c>
      <c r="AM16" s="10">
        <f>AL16+預測IC!AM16</f>
        <v>0.48920252807521752</v>
      </c>
      <c r="AN16" s="10">
        <f>AM16+預測IC!AN16</f>
        <v>0.59565872816489307</v>
      </c>
      <c r="AO16" s="10">
        <f>AN16+預測IC!AO16</f>
        <v>0.63570128372044865</v>
      </c>
      <c r="AP16" s="10">
        <f>AO16+預測IC!AP16</f>
        <v>0.55790291557486016</v>
      </c>
      <c r="AQ16" s="10">
        <f>AP16+預測IC!AQ16</f>
        <v>0.53387036001930466</v>
      </c>
      <c r="AR16" s="10">
        <f>AQ16+預測IC!AR16</f>
        <v>0.56636258224152691</v>
      </c>
      <c r="AS16" s="10">
        <f>AR16+預測IC!AS16</f>
        <v>0.50129435676755763</v>
      </c>
      <c r="AT16" s="10">
        <f>AS16+預測IC!AT16</f>
        <v>0.56116149591195175</v>
      </c>
      <c r="AU16" s="10">
        <f>AT16+預測IC!AU16</f>
        <v>0.60298833416684683</v>
      </c>
      <c r="AV16" s="10">
        <f>AU16+預測IC!AV16</f>
        <v>0.59391582738682813</v>
      </c>
      <c r="AW16" s="10">
        <f>AV16+預測IC!AW16</f>
        <v>0.63316875746147883</v>
      </c>
      <c r="AX16" s="10">
        <f>AW16+預測IC!AX16</f>
        <v>0.73399853070545173</v>
      </c>
      <c r="AY16" s="10">
        <f>AX16+預測IC!AY16</f>
        <v>0.76781112054979772</v>
      </c>
      <c r="AZ16" s="10">
        <f>AY16+預測IC!AZ16</f>
        <v>0.66290148537108551</v>
      </c>
      <c r="BA16" s="10">
        <f>AZ16+預測IC!BA16</f>
        <v>0.6727096839154354</v>
      </c>
      <c r="BB16" s="10">
        <f>BA16+預測IC!BB16</f>
        <v>0.78074860806817348</v>
      </c>
      <c r="BC16" s="10">
        <f>BB16+預測IC!BC16</f>
        <v>0.84685085316786224</v>
      </c>
      <c r="BD16" s="10">
        <f>BC16+預測IC!BD16</f>
        <v>0.88278756471376629</v>
      </c>
      <c r="BE16" s="10">
        <f>BD16+預測IC!BE16</f>
        <v>0.93419855910824123</v>
      </c>
      <c r="BF16" s="10">
        <f>BE16+預測IC!BF16</f>
        <v>0.99846661342795939</v>
      </c>
      <c r="BG16" s="10">
        <f>BF16+預測IC!BG16</f>
        <v>1.012312432527928</v>
      </c>
      <c r="BH16" s="10">
        <f>BG16+預測IC!BH16</f>
        <v>1.0068999524609707</v>
      </c>
      <c r="BI16" s="10">
        <f>BH16+預測IC!BI16</f>
        <v>1.0592357127554355</v>
      </c>
      <c r="BJ16" s="10">
        <f>BI16+預測IC!BJ16</f>
        <v>1.0387318964722279</v>
      </c>
      <c r="BK16" s="10">
        <f>BJ16+預測IC!BK16</f>
        <v>1.0366089446597122</v>
      </c>
      <c r="BL16" s="10">
        <f>BK16+預測IC!BL16</f>
        <v>1.1072325103672354</v>
      </c>
      <c r="BM16" s="10">
        <f>BL16+預測IC!BM16</f>
        <v>1.198339682717108</v>
      </c>
      <c r="BN16" s="10">
        <f>BM16+預測IC!BN16</f>
        <v>1.2462455153211351</v>
      </c>
      <c r="BO16" s="10">
        <f>BN16+預測IC!BO16</f>
        <v>1.2681358752747929</v>
      </c>
      <c r="BP16" s="10">
        <f>BO16+預測IC!BP16</f>
        <v>1.2798830732581321</v>
      </c>
      <c r="BQ16" s="10">
        <f>BP16+預測IC!BQ16</f>
        <v>1.293195527002948</v>
      </c>
      <c r="BR16" s="10">
        <f>BQ16+預測IC!BR16</f>
        <v>1.2668986789815035</v>
      </c>
      <c r="BS16" s="10">
        <f>BR16+預測IC!BS16</f>
        <v>1.2537071058340394</v>
      </c>
      <c r="BT16" s="10">
        <f>BS16+預測IC!BT16</f>
        <v>1.339190297101839</v>
      </c>
      <c r="BU16" s="10">
        <f>BT16+預測IC!BU16</f>
        <v>1.3969554072866395</v>
      </c>
      <c r="BV16" s="10">
        <f>BU16+預測IC!BV16</f>
        <v>1.4607378956357928</v>
      </c>
      <c r="BW16" s="10">
        <f>BV16+預測IC!BW16</f>
        <v>1.3949969682092582</v>
      </c>
      <c r="BX16" s="10">
        <f>BW16+預測IC!BX16</f>
        <v>1.4265562057303891</v>
      </c>
      <c r="BY16" s="10">
        <f>BX16+預測IC!BY16</f>
        <v>1.3492014294656993</v>
      </c>
      <c r="BZ16" s="10">
        <f>BY16+預測IC!BZ16</f>
        <v>1.4607272779673486</v>
      </c>
      <c r="CA16" s="10">
        <f>BZ16+預測IC!CA16</f>
        <v>1.4436111742835771</v>
      </c>
      <c r="CB16" s="10">
        <f>CA16+預測IC!CB16</f>
        <v>1.4421831292943599</v>
      </c>
      <c r="CC16" s="10">
        <f>CB16+預測IC!CC16</f>
        <v>1.2831106148104254</v>
      </c>
      <c r="CD16" s="10">
        <f>CC16+預測IC!CD16</f>
        <v>1.4381818864367872</v>
      </c>
      <c r="CE16" s="10">
        <f>CD16+預測IC!CE16</f>
        <v>1.3055868256432759</v>
      </c>
      <c r="CF16" s="10">
        <f>CE16+預測IC!CF16</f>
        <v>1.4107880896530269</v>
      </c>
      <c r="CG16" s="10">
        <f>CF16+預測IC!CG16</f>
        <v>1.4172361112002345</v>
      </c>
      <c r="CH16" s="10">
        <f>CG16+預測IC!CH16</f>
        <v>1.4589335259032616</v>
      </c>
      <c r="CI16" s="10">
        <f>CH16+預測IC!CI16</f>
        <v>1.4202236440747442</v>
      </c>
      <c r="CJ16" s="10">
        <f>CI16+預測IC!CJ16</f>
        <v>1.3747000932870777</v>
      </c>
      <c r="CK16" s="10">
        <f>CJ16+預測IC!CK16</f>
        <v>1.4511730770047679</v>
      </c>
      <c r="CL16" s="10">
        <f>CK16+預測IC!CL16</f>
        <v>1.4711684464835442</v>
      </c>
      <c r="CM16" s="10">
        <f>CL16+預測IC!CM16</f>
        <v>1.5601570746330558</v>
      </c>
      <c r="CN16" s="10">
        <f>CM16+預測IC!CN16</f>
        <v>1.5270995594921057</v>
      </c>
      <c r="CO16" s="10">
        <f>CN16+預測IC!CO16</f>
        <v>1.3562208683848593</v>
      </c>
      <c r="CP16" s="10">
        <f>CO16+預測IC!CP16</f>
        <v>1.4938346844132715</v>
      </c>
      <c r="CQ16" s="10">
        <f>CP16+預測IC!CQ16</f>
        <v>1.5347128607377267</v>
      </c>
      <c r="CR16" s="10">
        <f>CQ16+預測IC!CR16</f>
        <v>1.5830126274210432</v>
      </c>
      <c r="CS16" s="10">
        <f>CR16+預測IC!CS16</f>
        <v>1.6479610296175224</v>
      </c>
      <c r="CT16" s="10">
        <f>CS16+預測IC!CT16</f>
        <v>1.6530284361183634</v>
      </c>
      <c r="CU16" s="10">
        <f>CT16+預測IC!CU16</f>
        <v>1.5889150670544796</v>
      </c>
      <c r="CV16" s="10">
        <f>CU16+預測IC!CV16</f>
        <v>1.5710541076363456</v>
      </c>
      <c r="CW16" s="10">
        <f>CV16+預測IC!CW16</f>
        <v>1.5586307656560545</v>
      </c>
      <c r="CX16" s="10">
        <f>CW16+預測IC!CX16</f>
        <v>1.5708710504103045</v>
      </c>
      <c r="CY16" s="10">
        <f>CX16+預測IC!CY16</f>
        <v>1.521754001293679</v>
      </c>
      <c r="CZ16" s="10">
        <f>CY16+預測IC!CZ16</f>
        <v>1.6243872604718115</v>
      </c>
      <c r="DA16" s="10">
        <f>CZ16+預測IC!DA16</f>
        <v>1.594582466504576</v>
      </c>
      <c r="DB16" s="10">
        <f>DA16+預測IC!DB16</f>
        <v>1.5518702967243501</v>
      </c>
      <c r="DC16" s="10">
        <f>DB16+預測IC!DC16</f>
        <v>1.5872280159078782</v>
      </c>
      <c r="DD16" s="10">
        <f>DC16+預測IC!DD16</f>
        <v>1.527250940507052</v>
      </c>
      <c r="DE16" s="10">
        <f>DD16+預測IC!DE16</f>
        <v>1.4960578124709192</v>
      </c>
      <c r="DF16" s="10">
        <f>DE16+預測IC!DF16</f>
        <v>1.4729113792453601</v>
      </c>
      <c r="DG16" s="10">
        <f>DF16+預測IC!DG16</f>
        <v>1.4873643268767986</v>
      </c>
      <c r="DH16" s="10">
        <f>DG16+預測IC!DH16</f>
        <v>1.4682349834588275</v>
      </c>
      <c r="DI16" s="10">
        <f>DH16+預測IC!DI16</f>
        <v>1.4550015577463054</v>
      </c>
      <c r="DJ16" s="10">
        <f>DI16+預測IC!DJ16</f>
        <v>1.4183584150147217</v>
      </c>
      <c r="DK16" s="10">
        <f>DJ16+預測IC!DK16</f>
        <v>1.5519527716403023</v>
      </c>
      <c r="DL16" s="10">
        <f>DK16+預測IC!DL16</f>
        <v>1.6234471465562668</v>
      </c>
      <c r="DM16" s="10">
        <f>DL16+預測IC!DM16</f>
        <v>1.5931161967979257</v>
      </c>
      <c r="DN16" s="10">
        <f>DM16+預測IC!DN16</f>
        <v>1.6355540501573329</v>
      </c>
      <c r="DO16" s="10">
        <f>DN16+預測IC!DO16</f>
        <v>1.6879659095731789</v>
      </c>
      <c r="DP16" s="10">
        <f>DO16+預測IC!DP16</f>
        <v>1.707807858152405</v>
      </c>
      <c r="DQ16" s="10">
        <f>DP16+預測IC!DQ16</f>
        <v>1.6247742000753884</v>
      </c>
      <c r="DR16" s="10">
        <f>DQ16+預測IC!DR16</f>
        <v>1.6799654517249036</v>
      </c>
      <c r="DS16" s="10">
        <f>DR16+預測IC!DS16</f>
        <v>1.5862133867351493</v>
      </c>
      <c r="DT16" s="10">
        <f>DS16+預測IC!DT16</f>
        <v>1.485520062439277</v>
      </c>
      <c r="DU16" s="10">
        <f>DT16+預測IC!DU16</f>
        <v>1.4210463286697383</v>
      </c>
      <c r="DV16" s="10">
        <f>DU16+預測IC!DV16</f>
        <v>1.5580000606875319</v>
      </c>
      <c r="DW16" s="10">
        <f>DV16+預測IC!DW16</f>
        <v>1.5989177903872227</v>
      </c>
      <c r="DX16" s="10">
        <f>DW16+預測IC!DX16</f>
        <v>1.4736330840632452</v>
      </c>
      <c r="DY16" s="10">
        <f>DX16+預測IC!DY16</f>
        <v>1.5899874189735885</v>
      </c>
      <c r="DZ16" s="10">
        <f>DY16+預測IC!DZ16</f>
        <v>1.5587103391489121</v>
      </c>
      <c r="EA16" s="10">
        <f>DZ16+預測IC!EA16</f>
        <v>1.605371710704639</v>
      </c>
      <c r="EB16" s="10">
        <f>EA16+預測IC!EB16</f>
        <v>1.6833494935645861</v>
      </c>
      <c r="EC16" s="10">
        <f>EB16+預測IC!EC16</f>
        <v>1.7344671458189667</v>
      </c>
      <c r="ED16" s="10">
        <f>EC16+預測IC!ED16</f>
        <v>1.6190503983200455</v>
      </c>
      <c r="EE16" s="10">
        <f>ED16+預測IC!EE16</f>
        <v>1.5859921287754175</v>
      </c>
      <c r="EF16" s="10">
        <f>EE16+預測IC!EF16</f>
        <v>1.6258860354880613</v>
      </c>
    </row>
    <row r="17" spans="1:136">
      <c r="A17" s="4">
        <v>8</v>
      </c>
      <c r="B17" s="4">
        <v>120</v>
      </c>
      <c r="C17" s="21">
        <f>預測IC!C17</f>
        <v>-4.5056429492109057E-2</v>
      </c>
      <c r="D17" s="10">
        <f>C17+預測IC!D17</f>
        <v>0.39453194550789095</v>
      </c>
      <c r="E17" s="10">
        <f>D17+預測IC!E17</f>
        <v>0.4019109470031923</v>
      </c>
      <c r="F17" s="10">
        <f>E17+預測IC!F17</f>
        <v>0.54868294700319231</v>
      </c>
      <c r="G17" s="10">
        <f>F17+預測IC!G17</f>
        <v>0.6658155720031923</v>
      </c>
      <c r="H17" s="10">
        <f>G17+預測IC!H17</f>
        <v>0.77081032200319233</v>
      </c>
      <c r="I17" s="10">
        <f>H17+預測IC!I17</f>
        <v>0.88453534980537984</v>
      </c>
      <c r="J17" s="10">
        <f>I17+預測IC!J17</f>
        <v>0.76923697480537989</v>
      </c>
      <c r="K17" s="10">
        <f>J17+預測IC!K17</f>
        <v>0.80868072480537989</v>
      </c>
      <c r="L17" s="10">
        <f>K17+預測IC!L17</f>
        <v>0.84245559980537987</v>
      </c>
      <c r="M17" s="10">
        <f>L17+預測IC!M17</f>
        <v>0.61551572480537986</v>
      </c>
      <c r="N17" s="10">
        <f>M17+預測IC!N17</f>
        <v>1.0206239748053798</v>
      </c>
      <c r="O17" s="10">
        <f>N17+預測IC!O17</f>
        <v>1.0452560998053797</v>
      </c>
      <c r="P17" s="10">
        <f>O17+預測IC!P17</f>
        <v>0.97684532548617176</v>
      </c>
      <c r="Q17" s="10">
        <f>P17+預測IC!Q17</f>
        <v>1.0832777004861718</v>
      </c>
      <c r="R17" s="10">
        <f>Q17+預測IC!R17</f>
        <v>1.0852527004861718</v>
      </c>
      <c r="S17" s="10">
        <f>R17+預測IC!S17</f>
        <v>0.77459926783087363</v>
      </c>
      <c r="T17" s="10">
        <f>S17+預測IC!T17</f>
        <v>0.7510908928308736</v>
      </c>
      <c r="U17" s="10">
        <f>T17+預測IC!U17</f>
        <v>0.80337926783087366</v>
      </c>
      <c r="V17" s="10">
        <f>U17+預測IC!V17</f>
        <v>0.68702414283087365</v>
      </c>
      <c r="W17" s="10">
        <f>V17+預測IC!W17</f>
        <v>0.7661662678308736</v>
      </c>
      <c r="X17" s="10">
        <f>W17+預測IC!X17</f>
        <v>0.6089536405839806</v>
      </c>
      <c r="Y17" s="10">
        <f>X17+預測IC!Y17</f>
        <v>0.61045276558398065</v>
      </c>
      <c r="Z17" s="10">
        <f>Y17+預測IC!Z17</f>
        <v>0.58884426558398062</v>
      </c>
      <c r="AA17" s="10">
        <f>Z17+預測IC!AA17</f>
        <v>0.65110039058398061</v>
      </c>
      <c r="AB17" s="10">
        <f>AA17+預測IC!AB17</f>
        <v>0.59276601558398057</v>
      </c>
      <c r="AC17" s="10">
        <f>AB17+預測IC!AC17</f>
        <v>0.55196689058398052</v>
      </c>
      <c r="AD17" s="10">
        <f>AC17+預測IC!AD17</f>
        <v>0.62058676558398052</v>
      </c>
      <c r="AE17" s="10">
        <f>AD17+預測IC!AE17</f>
        <v>0.49342834313675554</v>
      </c>
      <c r="AF17" s="10">
        <f>AE17+預測IC!AF17</f>
        <v>0.50184096813675549</v>
      </c>
      <c r="AG17" s="10">
        <f>AF17+預測IC!AG17</f>
        <v>0.50048971813675547</v>
      </c>
      <c r="AH17" s="10">
        <f>AG17+預測IC!AH17</f>
        <v>0.46856684313675545</v>
      </c>
      <c r="AI17" s="10">
        <f>AH17+預測IC!AI17</f>
        <v>0.58343196813675546</v>
      </c>
      <c r="AJ17" s="10">
        <f>AI17+預測IC!AJ17</f>
        <v>0.57315884313675547</v>
      </c>
      <c r="AK17" s="10">
        <f>AJ17+預測IC!AK17</f>
        <v>0.55983421813675549</v>
      </c>
      <c r="AL17" s="10">
        <f>AK17+預測IC!AL17</f>
        <v>0.61055862388531201</v>
      </c>
      <c r="AM17" s="10">
        <f>AL17+預測IC!AM17</f>
        <v>0.63842774888531206</v>
      </c>
      <c r="AN17" s="10">
        <f>AM17+預測IC!AN17</f>
        <v>0.75171486923122977</v>
      </c>
      <c r="AO17" s="10">
        <f>AN17+預測IC!AO17</f>
        <v>0.7824187442312297</v>
      </c>
      <c r="AP17" s="10">
        <f>AO17+預測IC!AP17</f>
        <v>0.70517592981164423</v>
      </c>
      <c r="AQ17" s="10">
        <f>AP17+預測IC!AQ17</f>
        <v>0.69594555481164422</v>
      </c>
      <c r="AR17" s="10">
        <f>AQ17+預測IC!AR17</f>
        <v>0.73094217981164422</v>
      </c>
      <c r="AS17" s="10">
        <f>AR17+預測IC!AS17</f>
        <v>0.67461861777716847</v>
      </c>
      <c r="AT17" s="10">
        <f>AS17+預測IC!AT17</f>
        <v>0.72688642422689065</v>
      </c>
      <c r="AU17" s="10">
        <f>AT17+預測IC!AU17</f>
        <v>0.77953465546988365</v>
      </c>
      <c r="AV17" s="10">
        <f>AU17+預測IC!AV17</f>
        <v>0.75802629253197806</v>
      </c>
      <c r="AW17" s="10">
        <f>AV17+預測IC!AW17</f>
        <v>0.77719026630629784</v>
      </c>
      <c r="AX17" s="10">
        <f>AW17+預測IC!AX17</f>
        <v>0.87343082481509682</v>
      </c>
      <c r="AY17" s="10">
        <f>AX17+預測IC!AY17</f>
        <v>0.90085452150569767</v>
      </c>
      <c r="AZ17" s="10">
        <f>AY17+預測IC!AZ17</f>
        <v>0.77574369659832954</v>
      </c>
      <c r="BA17" s="10">
        <f>AZ17+預測IC!BA17</f>
        <v>0.78556887570544254</v>
      </c>
      <c r="BB17" s="10">
        <f>BA17+預測IC!BB17</f>
        <v>0.9093329388192869</v>
      </c>
      <c r="BC17" s="10">
        <f>BB17+預測IC!BC17</f>
        <v>0.99204951036309708</v>
      </c>
      <c r="BD17" s="10">
        <f>BC17+預測IC!BD17</f>
        <v>1.0144059926093019</v>
      </c>
      <c r="BE17" s="10">
        <f>BD17+預測IC!BE17</f>
        <v>1.0917562348473622</v>
      </c>
      <c r="BF17" s="10">
        <f>BE17+預測IC!BF17</f>
        <v>1.1469537314563159</v>
      </c>
      <c r="BG17" s="10">
        <f>BF17+預測IC!BG17</f>
        <v>1.1115594953682786</v>
      </c>
      <c r="BH17" s="10">
        <f>BG17+預測IC!BH17</f>
        <v>1.109828110603654</v>
      </c>
      <c r="BI17" s="10">
        <f>BH17+預測IC!BI17</f>
        <v>1.2091935026412044</v>
      </c>
      <c r="BJ17" s="10">
        <f>BI17+預測IC!BJ17</f>
        <v>1.199335438367968</v>
      </c>
      <c r="BK17" s="10">
        <f>BJ17+預測IC!BK17</f>
        <v>1.1855124862978625</v>
      </c>
      <c r="BL17" s="10">
        <f>BK17+預測IC!BL17</f>
        <v>1.2594437914996086</v>
      </c>
      <c r="BM17" s="10">
        <f>BL17+預測IC!BM17</f>
        <v>1.3354415619454685</v>
      </c>
      <c r="BN17" s="10">
        <f>BM17+預測IC!BN17</f>
        <v>1.3831711813993173</v>
      </c>
      <c r="BO17" s="10">
        <f>BN17+預測IC!BO17</f>
        <v>1.4030572621082043</v>
      </c>
      <c r="BP17" s="10">
        <f>BO17+預測IC!BP17</f>
        <v>1.4298947631866383</v>
      </c>
      <c r="BQ17" s="10">
        <f>BP17+預測IC!BQ17</f>
        <v>1.4412712736330899</v>
      </c>
      <c r="BR17" s="10">
        <f>BQ17+預測IC!BR17</f>
        <v>1.4403533282271692</v>
      </c>
      <c r="BS17" s="10">
        <f>BR17+預測IC!BS17</f>
        <v>1.4362498591165627</v>
      </c>
      <c r="BT17" s="10">
        <f>BS17+預測IC!BT17</f>
        <v>1.5456662379869859</v>
      </c>
      <c r="BU17" s="10">
        <f>BT17+預測IC!BU17</f>
        <v>1.6167940567377383</v>
      </c>
      <c r="BV17" s="10">
        <f>BU17+預測IC!BV17</f>
        <v>1.6912409575364735</v>
      </c>
      <c r="BW17" s="10">
        <f>BV17+預測IC!BW17</f>
        <v>1.6108092449372076</v>
      </c>
      <c r="BX17" s="10">
        <f>BW17+預測IC!BX17</f>
        <v>1.6396322095568803</v>
      </c>
      <c r="BY17" s="10">
        <f>BX17+預測IC!BY17</f>
        <v>1.539450139374257</v>
      </c>
      <c r="BZ17" s="10">
        <f>BY17+預測IC!BZ17</f>
        <v>1.6600282952553422</v>
      </c>
      <c r="CA17" s="10">
        <f>BZ17+預測IC!CA17</f>
        <v>1.6320934628968526</v>
      </c>
      <c r="CB17" s="10">
        <f>CA17+預測IC!CB17</f>
        <v>1.6307581525627406</v>
      </c>
      <c r="CC17" s="10">
        <f>CB17+預測IC!CC17</f>
        <v>1.4558001785730597</v>
      </c>
      <c r="CD17" s="10">
        <f>CC17+預測IC!CD17</f>
        <v>1.6287599197922082</v>
      </c>
      <c r="CE17" s="10">
        <f>CD17+預測IC!CE17</f>
        <v>1.4536436742861567</v>
      </c>
      <c r="CF17" s="10">
        <f>CE17+預測IC!CF17</f>
        <v>1.5523898717123552</v>
      </c>
      <c r="CG17" s="10">
        <f>CF17+預測IC!CG17</f>
        <v>1.5501676247881331</v>
      </c>
      <c r="CH17" s="10">
        <f>CG17+預測IC!CH17</f>
        <v>1.608804071395183</v>
      </c>
      <c r="CI17" s="10">
        <f>CH17+預測IC!CI17</f>
        <v>1.5942728864055944</v>
      </c>
      <c r="CJ17" s="10">
        <f>CI17+預測IC!CJ17</f>
        <v>1.5435305649211524</v>
      </c>
      <c r="CK17" s="10">
        <f>CJ17+預測IC!CK17</f>
        <v>1.6352691375790653</v>
      </c>
      <c r="CL17" s="10">
        <f>CK17+預測IC!CL17</f>
        <v>1.6258427928100341</v>
      </c>
      <c r="CM17" s="10">
        <f>CL17+預測IC!CM17</f>
        <v>1.7604121372416084</v>
      </c>
      <c r="CN17" s="10">
        <f>CM17+預測IC!CN17</f>
        <v>1.7336940760906214</v>
      </c>
      <c r="CO17" s="10">
        <f>CN17+預測IC!CO17</f>
        <v>1.531155448827632</v>
      </c>
      <c r="CP17" s="10">
        <f>CO17+預測IC!CP17</f>
        <v>1.6793147180249757</v>
      </c>
      <c r="CQ17" s="10">
        <f>CP17+預測IC!CQ17</f>
        <v>1.720402651208379</v>
      </c>
      <c r="CR17" s="10">
        <f>CQ17+預測IC!CR17</f>
        <v>1.7691402926506274</v>
      </c>
      <c r="CS17" s="10">
        <f>CR17+預測IC!CS17</f>
        <v>1.8621802133508194</v>
      </c>
      <c r="CT17" s="10">
        <f>CS17+預測IC!CT17</f>
        <v>1.9114402697400126</v>
      </c>
      <c r="CU17" s="10">
        <f>CT17+預測IC!CU17</f>
        <v>1.8370319621567586</v>
      </c>
      <c r="CV17" s="10">
        <f>CU17+預測IC!CV17</f>
        <v>1.840911570096686</v>
      </c>
      <c r="CW17" s="10">
        <f>CV17+預測IC!CW17</f>
        <v>1.8211497161873331</v>
      </c>
      <c r="CX17" s="10">
        <f>CW17+預測IC!CX17</f>
        <v>1.8319221107112809</v>
      </c>
      <c r="CY17" s="10">
        <f>CX17+預測IC!CY17</f>
        <v>1.7825388119951908</v>
      </c>
      <c r="CZ17" s="10">
        <f>CY17+預測IC!CZ17</f>
        <v>1.9067876498428113</v>
      </c>
      <c r="DA17" s="10">
        <f>CZ17+預測IC!DA17</f>
        <v>1.8628917906976772</v>
      </c>
      <c r="DB17" s="10">
        <f>DA17+預測IC!DB17</f>
        <v>1.8280087799052094</v>
      </c>
      <c r="DC17" s="10">
        <f>DB17+預測IC!DC17</f>
        <v>1.8713722488827087</v>
      </c>
      <c r="DD17" s="10">
        <f>DC17+預測IC!DD17</f>
        <v>1.7862383157985549</v>
      </c>
      <c r="DE17" s="10">
        <f>DD17+預測IC!DE17</f>
        <v>1.7530573851312876</v>
      </c>
      <c r="DF17" s="10">
        <f>DE17+預測IC!DF17</f>
        <v>1.7418260148046283</v>
      </c>
      <c r="DG17" s="10">
        <f>DF17+預測IC!DG17</f>
        <v>1.7487605912319113</v>
      </c>
      <c r="DH17" s="10">
        <f>DG17+預測IC!DH17</f>
        <v>1.7100339402938987</v>
      </c>
      <c r="DI17" s="10">
        <f>DH17+預測IC!DI17</f>
        <v>1.7047406959701161</v>
      </c>
      <c r="DJ17" s="10">
        <f>DI17+預測IC!DJ17</f>
        <v>1.6594045384292961</v>
      </c>
      <c r="DK17" s="10">
        <f>DJ17+預測IC!DK17</f>
        <v>1.8154409665458424</v>
      </c>
      <c r="DL17" s="10">
        <f>DK17+預測IC!DL17</f>
        <v>1.8889565674830135</v>
      </c>
      <c r="DM17" s="10">
        <f>DL17+預測IC!DM17</f>
        <v>1.8367036569006976</v>
      </c>
      <c r="DN17" s="10">
        <f>DM17+預測IC!DN17</f>
        <v>1.8721926896150367</v>
      </c>
      <c r="DO17" s="10">
        <f>DN17+預測IC!DO17</f>
        <v>1.92564405995494</v>
      </c>
      <c r="DP17" s="10">
        <f>DO17+預測IC!DP17</f>
        <v>1.9087654506210432</v>
      </c>
      <c r="DQ17" s="10">
        <f>DP17+預測IC!DQ17</f>
        <v>1.8010629818244124</v>
      </c>
      <c r="DR17" s="10">
        <f>DQ17+預測IC!DR17</f>
        <v>1.8569477967007406</v>
      </c>
      <c r="DS17" s="10">
        <f>DR17+預測IC!DS17</f>
        <v>1.7326316368959298</v>
      </c>
      <c r="DT17" s="10">
        <f>DS17+預測IC!DT17</f>
        <v>1.6386514245332062</v>
      </c>
      <c r="DU17" s="10">
        <f>DT17+預測IC!DU17</f>
        <v>1.566920718482701</v>
      </c>
      <c r="DV17" s="10">
        <f>DU17+預測IC!DV17</f>
        <v>1.6846861165936553</v>
      </c>
      <c r="DW17" s="10">
        <f>DV17+預測IC!DW17</f>
        <v>1.7333676000078055</v>
      </c>
      <c r="DX17" s="10">
        <f>DW17+預測IC!DX17</f>
        <v>1.6038286174113314</v>
      </c>
      <c r="DY17" s="10">
        <f>DX17+預測IC!DY17</f>
        <v>1.7069492956794856</v>
      </c>
      <c r="DZ17" s="10">
        <f>DY17+預測IC!DZ17</f>
        <v>1.6588039968324779</v>
      </c>
      <c r="EA17" s="10">
        <f>DZ17+預測IC!EA17</f>
        <v>1.6706219206981905</v>
      </c>
      <c r="EB17" s="10">
        <f>EA17+預測IC!EB17</f>
        <v>1.7577222698929298</v>
      </c>
      <c r="EC17" s="10">
        <f>EB17+預測IC!EC17</f>
        <v>1.7741474871089904</v>
      </c>
      <c r="ED17" s="10">
        <f>EC17+預測IC!ED17</f>
        <v>1.6458230431800778</v>
      </c>
      <c r="EE17" s="10">
        <f>ED17+預測IC!EE17</f>
        <v>1.6204096828700438</v>
      </c>
      <c r="EF17" s="10">
        <f>EE17+預測IC!EF17</f>
        <v>1.6681194498798957</v>
      </c>
    </row>
    <row r="18" spans="1:136">
      <c r="A18" s="4">
        <v>7</v>
      </c>
      <c r="B18" s="4">
        <v>137</v>
      </c>
      <c r="C18" s="21">
        <f>預測IC!C18</f>
        <v>-5.3942228163147227E-2</v>
      </c>
      <c r="D18" s="10">
        <f>C18+預測IC!D18</f>
        <v>0.34794177183685282</v>
      </c>
      <c r="E18" s="10">
        <f>D18+預測IC!E18</f>
        <v>0.28894111473864503</v>
      </c>
      <c r="F18" s="10">
        <f>E18+預測IC!F18</f>
        <v>0.50103197188150217</v>
      </c>
      <c r="G18" s="10">
        <f>F18+預測IC!G18</f>
        <v>0.63409068616721642</v>
      </c>
      <c r="H18" s="10">
        <f>G18+預測IC!H18</f>
        <v>0.76263068616721641</v>
      </c>
      <c r="I18" s="10">
        <f>H18+預測IC!I18</f>
        <v>0.89813086639045747</v>
      </c>
      <c r="J18" s="10">
        <f>I18+預測IC!J18</f>
        <v>0.77297000924760029</v>
      </c>
      <c r="K18" s="10">
        <f>J18+預測IC!K18</f>
        <v>0.80455529496188594</v>
      </c>
      <c r="L18" s="10">
        <f>K18+預測IC!L18</f>
        <v>0.85122686639045742</v>
      </c>
      <c r="M18" s="10">
        <f>L18+預測IC!M18</f>
        <v>0.59771400924760021</v>
      </c>
      <c r="N18" s="10">
        <f>M18+預測IC!N18</f>
        <v>1.0595344378190288</v>
      </c>
      <c r="O18" s="10">
        <f>N18+預測IC!O18</f>
        <v>1.0838585806761716</v>
      </c>
      <c r="P18" s="10">
        <f>O18+預測IC!P18</f>
        <v>1.003684396553659</v>
      </c>
      <c r="Q18" s="10">
        <f>P18+預測IC!Q18</f>
        <v>1.1254231108393733</v>
      </c>
      <c r="R18" s="10">
        <f>Q18+預測IC!R18</f>
        <v>1.1447496822679448</v>
      </c>
      <c r="S18" s="10">
        <f>R18+預測IC!S18</f>
        <v>0.76101705333605052</v>
      </c>
      <c r="T18" s="10">
        <f>S18+預測IC!T18</f>
        <v>0.75598748190747911</v>
      </c>
      <c r="U18" s="10">
        <f>T18+預測IC!U18</f>
        <v>0.78412105333605053</v>
      </c>
      <c r="V18" s="10">
        <f>U18+預測IC!V18</f>
        <v>0.65286805333605047</v>
      </c>
      <c r="W18" s="10">
        <f>V18+預測IC!W18</f>
        <v>0.73016505333605042</v>
      </c>
      <c r="X18" s="10">
        <f>W18+預測IC!X18</f>
        <v>0.57431682585448618</v>
      </c>
      <c r="Y18" s="10">
        <f>X18+預測IC!Y18</f>
        <v>0.5985286829973433</v>
      </c>
      <c r="Z18" s="10">
        <f>Y18+預測IC!Z18</f>
        <v>0.58162311156877189</v>
      </c>
      <c r="AA18" s="10">
        <f>Z18+預測IC!AA18</f>
        <v>0.63642868299734334</v>
      </c>
      <c r="AB18" s="10">
        <f>AA18+預測IC!AB18</f>
        <v>0.5747146829973433</v>
      </c>
      <c r="AC18" s="10">
        <f>AB18+預測IC!AC18</f>
        <v>0.49999482585448618</v>
      </c>
      <c r="AD18" s="10">
        <f>AC18+預測IC!AD18</f>
        <v>0.59628068299734327</v>
      </c>
      <c r="AE18" s="10">
        <f>AD18+預測IC!AE18</f>
        <v>0.45275144156826874</v>
      </c>
      <c r="AF18" s="10">
        <f>AE18+預測IC!AF18</f>
        <v>0.45100187013969734</v>
      </c>
      <c r="AG18" s="10">
        <f>AF18+預測IC!AG18</f>
        <v>0.44238401299684021</v>
      </c>
      <c r="AH18" s="10">
        <f>AG18+預測IC!AH18</f>
        <v>0.40646915585398308</v>
      </c>
      <c r="AI18" s="10">
        <f>AH18+預測IC!AI18</f>
        <v>0.52455558442541173</v>
      </c>
      <c r="AJ18" s="10">
        <f>AI18+預測IC!AJ18</f>
        <v>0.51722744156826883</v>
      </c>
      <c r="AK18" s="10">
        <f>AJ18+預測IC!AK18</f>
        <v>0.54451872728255457</v>
      </c>
      <c r="AL18" s="10">
        <f>AK18+預測IC!AL18</f>
        <v>0.59037885287742564</v>
      </c>
      <c r="AM18" s="10">
        <f>AL18+預測IC!AM18</f>
        <v>0.60023785287742559</v>
      </c>
      <c r="AN18" s="10">
        <f>AM18+預測IC!AN18</f>
        <v>0.6795324928326274</v>
      </c>
      <c r="AO18" s="10">
        <f>AN18+預測IC!AO18</f>
        <v>0.72620120711834169</v>
      </c>
      <c r="AP18" s="10">
        <f>AO18+預測IC!AP18</f>
        <v>0.64792261518453476</v>
      </c>
      <c r="AQ18" s="10">
        <f>AP18+預測IC!AQ18</f>
        <v>0.66471075804167756</v>
      </c>
      <c r="AR18" s="10">
        <f>AQ18+預測IC!AR18</f>
        <v>0.72640518661310616</v>
      </c>
      <c r="AS18" s="10">
        <f>AR18+預測IC!AS18</f>
        <v>0.64057863505913704</v>
      </c>
      <c r="AT18" s="10">
        <f>AS18+預測IC!AT18</f>
        <v>0.68390428487971566</v>
      </c>
      <c r="AU18" s="10">
        <f>AT18+預測IC!AU18</f>
        <v>0.75221962493640881</v>
      </c>
      <c r="AV18" s="10">
        <f>AU18+預測IC!AV18</f>
        <v>0.72345086905469158</v>
      </c>
      <c r="AW18" s="10">
        <f>AV18+預測IC!AW18</f>
        <v>0.74798890329579903</v>
      </c>
      <c r="AX18" s="10">
        <f>AW18+預測IC!AX18</f>
        <v>0.85554977155163514</v>
      </c>
      <c r="AY18" s="10">
        <f>AX18+預測IC!AY18</f>
        <v>0.89033305019278319</v>
      </c>
      <c r="AZ18" s="10">
        <f>AY18+預測IC!AZ18</f>
        <v>0.74192396780388403</v>
      </c>
      <c r="BA18" s="10">
        <f>AZ18+預測IC!BA18</f>
        <v>0.74141184219057676</v>
      </c>
      <c r="BB18" s="10">
        <f>BA18+預測IC!BB18</f>
        <v>0.87453235601725943</v>
      </c>
      <c r="BC18" s="10">
        <f>BB18+預測IC!BC18</f>
        <v>0.95773392861058004</v>
      </c>
      <c r="BD18" s="10">
        <f>BC18+預測IC!BD18</f>
        <v>0.93371765692327957</v>
      </c>
      <c r="BE18" s="10">
        <f>BD18+預測IC!BE18</f>
        <v>1.0020788701614425</v>
      </c>
      <c r="BF18" s="10">
        <f>BE18+預測IC!BF18</f>
        <v>1.0479634064610213</v>
      </c>
      <c r="BG18" s="10">
        <f>BF18+預測IC!BG18</f>
        <v>1.0135287774104254</v>
      </c>
      <c r="BH18" s="10">
        <f>BG18+預測IC!BH18</f>
        <v>1.0435447693911466</v>
      </c>
      <c r="BI18" s="10">
        <f>BH18+預測IC!BI18</f>
        <v>1.1525447763098122</v>
      </c>
      <c r="BJ18" s="10">
        <f>BI18+預測IC!BJ18</f>
        <v>1.1585008403602717</v>
      </c>
      <c r="BK18" s="10">
        <f>BJ18+預測IC!BK18</f>
        <v>1.1077557889762102</v>
      </c>
      <c r="BL18" s="10">
        <f>BK18+預測IC!BL18</f>
        <v>1.1889134627964142</v>
      </c>
      <c r="BM18" s="10">
        <f>BL18+預測IC!BM18</f>
        <v>1.2916874018598539</v>
      </c>
      <c r="BN18" s="10">
        <f>BM18+預測IC!BN18</f>
        <v>1.3444617914836841</v>
      </c>
      <c r="BO18" s="10">
        <f>BN18+預測IC!BO18</f>
        <v>1.3646892875900587</v>
      </c>
      <c r="BP18" s="10">
        <f>BO18+預測IC!BP18</f>
        <v>1.4115468279247407</v>
      </c>
      <c r="BQ18" s="10">
        <f>BP18+預測IC!BQ18</f>
        <v>1.4134636120345898</v>
      </c>
      <c r="BR18" s="10">
        <f>BQ18+預測IC!BR18</f>
        <v>1.4077154184506351</v>
      </c>
      <c r="BS18" s="10">
        <f>BR18+預測IC!BS18</f>
        <v>1.3862182170689337</v>
      </c>
      <c r="BT18" s="10">
        <f>BS18+預測IC!BT18</f>
        <v>1.5290892847371831</v>
      </c>
      <c r="BU18" s="10">
        <f>BT18+預測IC!BU18</f>
        <v>1.6097667287772239</v>
      </c>
      <c r="BV18" s="10">
        <f>BU18+預測IC!BV18</f>
        <v>1.6906901240542662</v>
      </c>
      <c r="BW18" s="10">
        <f>BV18+預測IC!BW18</f>
        <v>1.6053790371210708</v>
      </c>
      <c r="BX18" s="10">
        <f>BW18+預測IC!BX18</f>
        <v>1.6243975118371063</v>
      </c>
      <c r="BY18" s="10">
        <f>BX18+預測IC!BY18</f>
        <v>1.5013225360130815</v>
      </c>
      <c r="BZ18" s="10">
        <f>BY18+預測IC!BZ18</f>
        <v>1.6546425238156797</v>
      </c>
      <c r="CA18" s="10">
        <f>BZ18+預測IC!CA18</f>
        <v>1.6385659799228189</v>
      </c>
      <c r="CB18" s="10">
        <f>CA18+預測IC!CB18</f>
        <v>1.6139886233103706</v>
      </c>
      <c r="CC18" s="10">
        <f>CB18+預測IC!CC18</f>
        <v>1.5858151792909705</v>
      </c>
      <c r="CD18" s="10">
        <f>CC18+預測IC!CD18</f>
        <v>1.7795319979378013</v>
      </c>
      <c r="CE18" s="10">
        <f>CD18+預測IC!CE18</f>
        <v>1.6121380626563491</v>
      </c>
      <c r="CF18" s="10">
        <f>CE18+預測IC!CF18</f>
        <v>1.6815758135014891</v>
      </c>
      <c r="CG18" s="10">
        <f>CF18+預測IC!CG18</f>
        <v>1.6787744545620735</v>
      </c>
      <c r="CH18" s="10">
        <f>CG18+預測IC!CH18</f>
        <v>1.8414315012493068</v>
      </c>
      <c r="CI18" s="10">
        <f>CH18+預測IC!CI18</f>
        <v>1.7968655148016099</v>
      </c>
      <c r="CJ18" s="10">
        <f>CI18+預測IC!CJ18</f>
        <v>1.7345518369767003</v>
      </c>
      <c r="CK18" s="10">
        <f>CJ18+預測IC!CK18</f>
        <v>1.825219621268984</v>
      </c>
      <c r="CL18" s="10">
        <f>CK18+預測IC!CL18</f>
        <v>1.7942300762107908</v>
      </c>
      <c r="CM18" s="10">
        <f>CL18+預測IC!CM18</f>
        <v>1.9538658739698245</v>
      </c>
      <c r="CN18" s="10">
        <f>CM18+預測IC!CN18</f>
        <v>1.9158688368754437</v>
      </c>
      <c r="CO18" s="10">
        <f>CN18+預測IC!CO18</f>
        <v>1.6842949583260145</v>
      </c>
      <c r="CP18" s="10">
        <f>CO18+預測IC!CP18</f>
        <v>1.8471340672740253</v>
      </c>
      <c r="CQ18" s="10">
        <f>CP18+預測IC!CQ18</f>
        <v>1.8951106036822929</v>
      </c>
      <c r="CR18" s="10">
        <f>CQ18+預測IC!CR18</f>
        <v>1.9502667323988849</v>
      </c>
      <c r="CS18" s="10">
        <f>CR18+預測IC!CS18</f>
        <v>2.0372838632383585</v>
      </c>
      <c r="CT18" s="10">
        <f>CS18+預測IC!CT18</f>
        <v>2.1322348923038441</v>
      </c>
      <c r="CU18" s="10">
        <f>CT18+預測IC!CU18</f>
        <v>2.0605862010987339</v>
      </c>
      <c r="CV18" s="10">
        <f>CU18+預測IC!CV18</f>
        <v>2.1516264833290224</v>
      </c>
      <c r="CW18" s="10">
        <f>CV18+預測IC!CW18</f>
        <v>2.1431703977644965</v>
      </c>
      <c r="CX18" s="10">
        <f>CW18+預測IC!CX18</f>
        <v>2.2047305835982747</v>
      </c>
      <c r="CY18" s="10">
        <f>CX18+預測IC!CY18</f>
        <v>2.1533731698234924</v>
      </c>
      <c r="CZ18" s="10">
        <f>CY18+預測IC!CZ18</f>
        <v>2.2862160331252639</v>
      </c>
      <c r="DA18" s="10">
        <f>CZ18+預測IC!DA18</f>
        <v>2.2388350936065704</v>
      </c>
      <c r="DB18" s="10">
        <f>DA18+預測IC!DB18</f>
        <v>2.1930998849278112</v>
      </c>
      <c r="DC18" s="10">
        <f>DB18+預測IC!DC18</f>
        <v>2.2295086664233175</v>
      </c>
      <c r="DD18" s="10">
        <f>DC18+預測IC!DD18</f>
        <v>2.1470463129279032</v>
      </c>
      <c r="DE18" s="10">
        <f>DD18+預測IC!DE18</f>
        <v>2.1122449652569126</v>
      </c>
      <c r="DF18" s="10">
        <f>DE18+預測IC!DF18</f>
        <v>2.0772021864745422</v>
      </c>
      <c r="DG18" s="10">
        <f>DF18+預測IC!DG18</f>
        <v>2.0695827133169145</v>
      </c>
      <c r="DH18" s="10">
        <f>DG18+預測IC!DH18</f>
        <v>2.0415447000682656</v>
      </c>
      <c r="DI18" s="10">
        <f>DH18+預測IC!DI18</f>
        <v>2.0254300708302386</v>
      </c>
      <c r="DJ18" s="10">
        <f>DI18+預測IC!DJ18</f>
        <v>1.9802260310449491</v>
      </c>
      <c r="DK18" s="10">
        <f>DJ18+預測IC!DK18</f>
        <v>2.1387396581373763</v>
      </c>
      <c r="DL18" s="10">
        <f>DK18+預測IC!DL18</f>
        <v>2.2201374010536172</v>
      </c>
      <c r="DM18" s="10">
        <f>DL18+預測IC!DM18</f>
        <v>2.153629260321579</v>
      </c>
      <c r="DN18" s="10">
        <f>DM18+預測IC!DN18</f>
        <v>2.1369071962435577</v>
      </c>
      <c r="DO18" s="10">
        <f>DN18+預測IC!DO18</f>
        <v>2.1790121037941881</v>
      </c>
      <c r="DP18" s="10">
        <f>DO18+預測IC!DP18</f>
        <v>2.1584074173273224</v>
      </c>
      <c r="DQ18" s="10">
        <f>DP18+預測IC!DQ18</f>
        <v>2.0576801390214907</v>
      </c>
      <c r="DR18" s="10">
        <f>DQ18+預測IC!DR18</f>
        <v>2.1345207937934516</v>
      </c>
      <c r="DS18" s="10">
        <f>DR18+預測IC!DS18</f>
        <v>1.986798795341719</v>
      </c>
      <c r="DT18" s="10">
        <f>DS18+預測IC!DT18</f>
        <v>1.8707814052307419</v>
      </c>
      <c r="DU18" s="10">
        <f>DT18+預測IC!DU18</f>
        <v>1.7738862191538372</v>
      </c>
      <c r="DV18" s="10">
        <f>DU18+預測IC!DV18</f>
        <v>1.879526827953899</v>
      </c>
      <c r="DW18" s="10">
        <f>DV18+預測IC!DW18</f>
        <v>1.9614355202382723</v>
      </c>
      <c r="DX18" s="10">
        <f>DW18+預測IC!DX18</f>
        <v>1.8078325427757904</v>
      </c>
      <c r="DY18" s="10">
        <f>DX18+預測IC!DY18</f>
        <v>1.9052605797517401</v>
      </c>
      <c r="DZ18" s="10">
        <f>DY18+預測IC!DZ18</f>
        <v>1.8297442204553744</v>
      </c>
      <c r="EA18" s="10">
        <f>DZ18+預測IC!EA18</f>
        <v>1.8233826577113927</v>
      </c>
      <c r="EB18" s="10">
        <f>EA18+預測IC!EB18</f>
        <v>1.9232290356897133</v>
      </c>
      <c r="EC18" s="10">
        <f>EB18+預測IC!EC18</f>
        <v>1.9290518831652108</v>
      </c>
      <c r="ED18" s="10">
        <f>EC18+預測IC!ED18</f>
        <v>1.8089744508888703</v>
      </c>
      <c r="EE18" s="10">
        <f>ED18+預測IC!EE18</f>
        <v>1.7951206969143632</v>
      </c>
      <c r="EF18" s="10">
        <f>EE18+預測IC!EF18</f>
        <v>1.8440757140247797</v>
      </c>
    </row>
    <row r="19" spans="1:136">
      <c r="A19" s="4">
        <v>6</v>
      </c>
      <c r="B19" s="4">
        <v>160</v>
      </c>
      <c r="C19" s="21">
        <f>預測IC!C19</f>
        <v>-7.7959416087486216E-2</v>
      </c>
      <c r="D19" s="10">
        <f>C19+預測IC!D19</f>
        <v>0.32956191724584716</v>
      </c>
      <c r="E19" s="10">
        <f>D19+預測IC!E19</f>
        <v>0.28146168569830254</v>
      </c>
      <c r="F19" s="10">
        <f>E19+預測IC!F19</f>
        <v>0.51763251903163587</v>
      </c>
      <c r="G19" s="10">
        <f>F19+預測IC!G19</f>
        <v>0.67049768569830259</v>
      </c>
      <c r="H19" s="10">
        <f>G19+預測IC!H19</f>
        <v>0.84810785236496933</v>
      </c>
      <c r="I19" s="10">
        <f>H19+預測IC!I19</f>
        <v>0.98276218525643588</v>
      </c>
      <c r="J19" s="10">
        <f>I19+預測IC!J19</f>
        <v>0.82653301858976924</v>
      </c>
      <c r="K19" s="10">
        <f>J19+預測IC!K19</f>
        <v>0.88307251858976921</v>
      </c>
      <c r="L19" s="10">
        <f>K19+預測IC!L19</f>
        <v>0.91343368525643587</v>
      </c>
      <c r="M19" s="10">
        <f>L19+預測IC!M19</f>
        <v>0.6518920185897692</v>
      </c>
      <c r="N19" s="10">
        <f>M19+預測IC!N19</f>
        <v>1.1842665185897692</v>
      </c>
      <c r="O19" s="10">
        <f>N19+預測IC!O19</f>
        <v>1.1644695185897691</v>
      </c>
      <c r="P19" s="10">
        <f>O19+預測IC!P19</f>
        <v>1.071935332403072</v>
      </c>
      <c r="Q19" s="10">
        <f>P19+預測IC!Q19</f>
        <v>1.2423996657364054</v>
      </c>
      <c r="R19" s="10">
        <f>Q19+預測IC!R19</f>
        <v>1.2843426657364054</v>
      </c>
      <c r="S19" s="10">
        <f>R19+預測IC!S19</f>
        <v>1.1177720983073707</v>
      </c>
      <c r="T19" s="10">
        <f>S19+預測IC!T19</f>
        <v>1.0082452649740374</v>
      </c>
      <c r="U19" s="10">
        <f>T19+預測IC!U19</f>
        <v>1.0524294316407041</v>
      </c>
      <c r="V19" s="10">
        <f>U19+預測IC!V19</f>
        <v>0.93374593164070419</v>
      </c>
      <c r="W19" s="10">
        <f>V19+預測IC!W19</f>
        <v>1.0061617649740375</v>
      </c>
      <c r="X19" s="10">
        <f>W19+預測IC!X19</f>
        <v>0.8860754712767579</v>
      </c>
      <c r="Y19" s="10">
        <f>X19+預測IC!Y19</f>
        <v>0.91013763794342462</v>
      </c>
      <c r="Z19" s="10">
        <f>Y19+預測IC!Z19</f>
        <v>0.88791463794342462</v>
      </c>
      <c r="AA19" s="10">
        <f>Z19+預測IC!AA19</f>
        <v>0.93521630461009131</v>
      </c>
      <c r="AB19" s="10">
        <f>AA19+預測IC!AB19</f>
        <v>0.87445380461009137</v>
      </c>
      <c r="AC19" s="10">
        <f>AB19+預測IC!AC19</f>
        <v>0.790940971276758</v>
      </c>
      <c r="AD19" s="10">
        <f>AC19+預測IC!AD19</f>
        <v>0.8869338046100913</v>
      </c>
      <c r="AE19" s="10">
        <f>AD19+預測IC!AE19</f>
        <v>0.71751774361230147</v>
      </c>
      <c r="AF19" s="10">
        <f>AE19+預測IC!AF19</f>
        <v>0.71778157694563482</v>
      </c>
      <c r="AG19" s="10">
        <f>AF19+預測IC!AG19</f>
        <v>0.73708007694563482</v>
      </c>
      <c r="AH19" s="10">
        <f>AG19+預測IC!AH19</f>
        <v>0.72098874361230147</v>
      </c>
      <c r="AI19" s="10">
        <f>AH19+預測IC!AI19</f>
        <v>0.81253807694563485</v>
      </c>
      <c r="AJ19" s="10">
        <f>AI19+預測IC!AJ19</f>
        <v>0.82470441027896813</v>
      </c>
      <c r="AK19" s="10">
        <f>AJ19+預測IC!AK19</f>
        <v>0.87376507694563477</v>
      </c>
      <c r="AL19" s="10">
        <f>AK19+預測IC!AL19</f>
        <v>0.94403602261644037</v>
      </c>
      <c r="AM19" s="10">
        <f>AL19+預測IC!AM19</f>
        <v>0.95456852261644043</v>
      </c>
      <c r="AN19" s="10">
        <f>AM19+預測IC!AN19</f>
        <v>1.0381368169821226</v>
      </c>
      <c r="AO19" s="10">
        <f>AN19+預測IC!AO19</f>
        <v>1.0958836503154559</v>
      </c>
      <c r="AP19" s="10">
        <f>AO19+預測IC!AP19</f>
        <v>1.0083095300426037</v>
      </c>
      <c r="AQ19" s="10">
        <f>AP19+預測IC!AQ19</f>
        <v>1.0632373633759371</v>
      </c>
      <c r="AR19" s="10">
        <f>AQ19+預測IC!AR19</f>
        <v>1.1378541967092703</v>
      </c>
      <c r="AS19" s="10">
        <f>AR19+預測IC!AS19</f>
        <v>1.0400572414409559</v>
      </c>
      <c r="AT19" s="10">
        <f>AS19+預測IC!AT19</f>
        <v>1.0893522232066573</v>
      </c>
      <c r="AU19" s="10">
        <f>AT19+預測IC!AU19</f>
        <v>1.1657809389203113</v>
      </c>
      <c r="AV19" s="10">
        <f>AU19+預測IC!AV19</f>
        <v>1.1173178373464647</v>
      </c>
      <c r="AW19" s="10">
        <f>AV19+預測IC!AW19</f>
        <v>1.1396740055006012</v>
      </c>
      <c r="AX19" s="10">
        <f>AW19+預測IC!AX19</f>
        <v>1.219880419811014</v>
      </c>
      <c r="AY19" s="10">
        <f>AX19+預測IC!AY19</f>
        <v>1.2494093902043939</v>
      </c>
      <c r="AZ19" s="10">
        <f>AY19+預測IC!AZ19</f>
        <v>1.0625297720362197</v>
      </c>
      <c r="BA19" s="10">
        <f>AZ19+預測IC!BA19</f>
        <v>1.0281658880821467</v>
      </c>
      <c r="BB19" s="10">
        <f>BA19+預測IC!BB19</f>
        <v>1.1879120871545783</v>
      </c>
      <c r="BC19" s="10">
        <f>BB19+預測IC!BC19</f>
        <v>1.251967573500764</v>
      </c>
      <c r="BD19" s="10">
        <f>BC19+預測IC!BD19</f>
        <v>1.2487331808706958</v>
      </c>
      <c r="BE19" s="10">
        <f>BD19+預測IC!BE19</f>
        <v>1.3026006785599844</v>
      </c>
      <c r="BF19" s="10">
        <f>BE19+預測IC!BF19</f>
        <v>1.316171652709123</v>
      </c>
      <c r="BG19" s="10">
        <f>BF19+預測IC!BG19</f>
        <v>1.2998279943762807</v>
      </c>
      <c r="BH19" s="10">
        <f>BG19+預測IC!BH19</f>
        <v>1.3018461960777117</v>
      </c>
      <c r="BI19" s="10">
        <f>BH19+預測IC!BI19</f>
        <v>1.4296448248969305</v>
      </c>
      <c r="BJ19" s="10">
        <f>BI19+預測IC!BJ19</f>
        <v>1.4513521264355096</v>
      </c>
      <c r="BK19" s="10">
        <f>BJ19+預測IC!BK19</f>
        <v>1.3996026003435171</v>
      </c>
      <c r="BL19" s="10">
        <f>BK19+預測IC!BL19</f>
        <v>1.4795672584900204</v>
      </c>
      <c r="BM19" s="10">
        <f>BL19+預測IC!BM19</f>
        <v>1.593817858748716</v>
      </c>
      <c r="BN19" s="10">
        <f>BM19+預測IC!BN19</f>
        <v>1.6610705062159878</v>
      </c>
      <c r="BO19" s="10">
        <f>BN19+預測IC!BO19</f>
        <v>1.6867994674811033</v>
      </c>
      <c r="BP19" s="10">
        <f>BO19+預測IC!BP19</f>
        <v>1.7242257303576396</v>
      </c>
      <c r="BQ19" s="10">
        <f>BP19+預測IC!BQ19</f>
        <v>1.7341597748119626</v>
      </c>
      <c r="BR19" s="10">
        <f>BQ19+預測IC!BR19</f>
        <v>1.7408350208354826</v>
      </c>
      <c r="BS19" s="10">
        <f>BR19+預測IC!BS19</f>
        <v>1.7165786820910005</v>
      </c>
      <c r="BT19" s="10">
        <f>BS19+預測IC!BT19</f>
        <v>1.8582113619445739</v>
      </c>
      <c r="BU19" s="10">
        <f>BT19+預測IC!BU19</f>
        <v>1.934147613178812</v>
      </c>
      <c r="BV19" s="10">
        <f>BU19+預測IC!BV19</f>
        <v>2.0278028543321582</v>
      </c>
      <c r="BW19" s="10">
        <f>BV19+預測IC!BW19</f>
        <v>1.9188358929485132</v>
      </c>
      <c r="BX19" s="10">
        <f>BW19+預測IC!BX19</f>
        <v>1.9529236782203714</v>
      </c>
      <c r="BY19" s="10">
        <f>BX19+預測IC!BY19</f>
        <v>1.8452739416647232</v>
      </c>
      <c r="BZ19" s="10">
        <f>BY19+預測IC!BZ19</f>
        <v>1.9090893354319372</v>
      </c>
      <c r="CA19" s="10">
        <f>BZ19+預測IC!CA19</f>
        <v>1.8875436453007579</v>
      </c>
      <c r="CB19" s="10">
        <f>CA19+預測IC!CB19</f>
        <v>1.839502476792513</v>
      </c>
      <c r="CC19" s="10">
        <f>CB19+預測IC!CC19</f>
        <v>1.8147792240266856</v>
      </c>
      <c r="CD19" s="10">
        <f>CC19+預測IC!CD19</f>
        <v>2.0218650246760417</v>
      </c>
      <c r="CE19" s="10">
        <f>CD19+預測IC!CE19</f>
        <v>1.8235991954990824</v>
      </c>
      <c r="CF19" s="10">
        <f>CE19+預測IC!CF19</f>
        <v>1.9085707042521609</v>
      </c>
      <c r="CG19" s="10">
        <f>CF19+預測IC!CG19</f>
        <v>1.8579371742375075</v>
      </c>
      <c r="CH19" s="10">
        <f>CG19+預測IC!CH19</f>
        <v>2.0108270412874338</v>
      </c>
      <c r="CI19" s="10">
        <f>CH19+預測IC!CI19</f>
        <v>1.9737600951272387</v>
      </c>
      <c r="CJ19" s="10">
        <f>CI19+預測IC!CJ19</f>
        <v>1.9118195951612025</v>
      </c>
      <c r="CK19" s="10">
        <f>CJ19+預測IC!CK19</f>
        <v>2.0157873129783006</v>
      </c>
      <c r="CL19" s="10">
        <f>CK19+預測IC!CL19</f>
        <v>1.9725470330035106</v>
      </c>
      <c r="CM19" s="10">
        <f>CL19+預測IC!CM19</f>
        <v>2.1478946745852259</v>
      </c>
      <c r="CN19" s="10">
        <f>CM19+預測IC!CN19</f>
        <v>2.0709620199179226</v>
      </c>
      <c r="CO19" s="10">
        <f>CN19+預測IC!CO19</f>
        <v>1.7985076152894162</v>
      </c>
      <c r="CP19" s="10">
        <f>CO19+預測IC!CP19</f>
        <v>1.9575402142717488</v>
      </c>
      <c r="CQ19" s="10">
        <f>CP19+預測IC!CQ19</f>
        <v>1.9548103061171869</v>
      </c>
      <c r="CR19" s="10">
        <f>CQ19+預測IC!CR19</f>
        <v>2.004147972157321</v>
      </c>
      <c r="CS19" s="10">
        <f>CR19+預測IC!CS19</f>
        <v>2.064848823055859</v>
      </c>
      <c r="CT19" s="10">
        <f>CS19+預測IC!CT19</f>
        <v>2.1874692496858898</v>
      </c>
      <c r="CU19" s="10">
        <f>CT19+預測IC!CU19</f>
        <v>2.1040328525719967</v>
      </c>
      <c r="CV19" s="10">
        <f>CU19+預測IC!CV19</f>
        <v>2.1938689433339311</v>
      </c>
      <c r="CW19" s="10">
        <f>CV19+預測IC!CW19</f>
        <v>2.1719671355520327</v>
      </c>
      <c r="CX19" s="10">
        <f>CW19+預測IC!CX19</f>
        <v>2.2655168538114543</v>
      </c>
      <c r="CY19" s="10">
        <f>CX19+預測IC!CY19</f>
        <v>2.1945949842470847</v>
      </c>
      <c r="CZ19" s="10">
        <f>CY19+預測IC!CZ19</f>
        <v>2.2950597192225946</v>
      </c>
      <c r="DA19" s="10">
        <f>CZ19+預測IC!DA19</f>
        <v>2.236835842519358</v>
      </c>
      <c r="DB19" s="10">
        <f>DA19+預測IC!DB19</f>
        <v>2.2011149434941424</v>
      </c>
      <c r="DC19" s="10">
        <f>DB19+預測IC!DC19</f>
        <v>2.1659355435920484</v>
      </c>
      <c r="DD19" s="10">
        <f>DC19+預測IC!DD19</f>
        <v>2.061406917525836</v>
      </c>
      <c r="DE19" s="10">
        <f>DD19+預測IC!DE19</f>
        <v>2.0174612815853754</v>
      </c>
      <c r="DF19" s="10">
        <f>DE19+預測IC!DF19</f>
        <v>1.9477682346923528</v>
      </c>
      <c r="DG19" s="10">
        <f>DF19+預測IC!DG19</f>
        <v>1.9350217597817037</v>
      </c>
      <c r="DH19" s="10">
        <f>DG19+預測IC!DH19</f>
        <v>1.9348647766522988</v>
      </c>
      <c r="DI19" s="10">
        <f>DH19+預測IC!DI19</f>
        <v>1.93853120109472</v>
      </c>
      <c r="DJ19" s="10">
        <f>DI19+預測IC!DJ19</f>
        <v>1.8900168503717434</v>
      </c>
      <c r="DK19" s="10">
        <f>DJ19+預測IC!DK19</f>
        <v>2.0141614381559512</v>
      </c>
      <c r="DL19" s="10">
        <f>DK19+預測IC!DL19</f>
        <v>2.0843288459558207</v>
      </c>
      <c r="DM19" s="10">
        <f>DL19+預測IC!DM19</f>
        <v>2.0023765909218265</v>
      </c>
      <c r="DN19" s="10">
        <f>DM19+預測IC!DN19</f>
        <v>1.9981989461185579</v>
      </c>
      <c r="DO19" s="10">
        <f>DN19+預測IC!DO19</f>
        <v>2.0533255095185017</v>
      </c>
      <c r="DP19" s="10">
        <f>DO19+預測IC!DP19</f>
        <v>2.0804909520298653</v>
      </c>
      <c r="DQ19" s="10">
        <f>DP19+預測IC!DQ19</f>
        <v>1.9600015726692301</v>
      </c>
      <c r="DR19" s="10">
        <f>DQ19+預測IC!DR19</f>
        <v>2.0359639259942783</v>
      </c>
      <c r="DS19" s="10">
        <f>DR19+預測IC!DS19</f>
        <v>1.8579683790403081</v>
      </c>
      <c r="DT19" s="10">
        <f>DS19+預測IC!DT19</f>
        <v>1.7248398784209586</v>
      </c>
      <c r="DU19" s="10">
        <f>DT19+預測IC!DU19</f>
        <v>1.5820091803665184</v>
      </c>
      <c r="DV19" s="10">
        <f>DU19+預測IC!DV19</f>
        <v>1.7015410247809204</v>
      </c>
      <c r="DW19" s="10">
        <f>DV19+預測IC!DW19</f>
        <v>1.7621501641216046</v>
      </c>
      <c r="DX19" s="10">
        <f>DW19+預測IC!DX19</f>
        <v>1.6237850298834269</v>
      </c>
      <c r="DY19" s="10">
        <f>DX19+預測IC!DY19</f>
        <v>1.6938946075713499</v>
      </c>
      <c r="DZ19" s="10">
        <f>DY19+預測IC!DZ19</f>
        <v>1.5819737787073569</v>
      </c>
      <c r="EA19" s="10">
        <f>DZ19+預測IC!EA19</f>
        <v>1.5538944252316895</v>
      </c>
      <c r="EB19" s="10">
        <f>EA19+預測IC!EB19</f>
        <v>1.5756671952444681</v>
      </c>
      <c r="EC19" s="10">
        <f>EB19+預測IC!EC19</f>
        <v>1.5670456727459132</v>
      </c>
      <c r="ED19" s="10">
        <f>EC19+預測IC!ED19</f>
        <v>1.4161103557557564</v>
      </c>
      <c r="EE19" s="10">
        <f>ED19+預測IC!EE19</f>
        <v>1.4287443986961788</v>
      </c>
      <c r="EF19" s="10">
        <f>EE19+預測IC!EF19</f>
        <v>1.4457223535709478</v>
      </c>
    </row>
    <row r="20" spans="1:136">
      <c r="A20" s="4">
        <v>5</v>
      </c>
      <c r="B20" s="4">
        <v>192</v>
      </c>
      <c r="C20" s="21">
        <f>預測IC!C20</f>
        <v>-0.13932460396499161</v>
      </c>
      <c r="D20" s="10">
        <f>C20+預測IC!D20</f>
        <v>0.24270119603500842</v>
      </c>
      <c r="E20" s="10">
        <f>D20+預測IC!E20</f>
        <v>0.26409362282297971</v>
      </c>
      <c r="F20" s="10">
        <f>E20+預測IC!F20</f>
        <v>0.44651282282297972</v>
      </c>
      <c r="G20" s="10">
        <f>F20+預測IC!G20</f>
        <v>0.60454102282297972</v>
      </c>
      <c r="H20" s="10">
        <f>G20+預測IC!H20</f>
        <v>0.74847322282297979</v>
      </c>
      <c r="I20" s="10">
        <f>H20+預測IC!I20</f>
        <v>0.90662278542408148</v>
      </c>
      <c r="J20" s="10">
        <f>I20+預測IC!J20</f>
        <v>0.77341658542408154</v>
      </c>
      <c r="K20" s="10">
        <f>J20+預測IC!K20</f>
        <v>0.81082018542408152</v>
      </c>
      <c r="L20" s="10">
        <f>K20+預測IC!L20</f>
        <v>0.84151378542408151</v>
      </c>
      <c r="M20" s="10">
        <f>L20+預測IC!M20</f>
        <v>0.57281978542408152</v>
      </c>
      <c r="N20" s="10">
        <f>M20+預測IC!N20</f>
        <v>1.0728313854240814</v>
      </c>
      <c r="O20" s="10">
        <f>N20+預測IC!O20</f>
        <v>0.96271758542408137</v>
      </c>
      <c r="P20" s="10">
        <f>O20+預測IC!P20</f>
        <v>0.87154765775555609</v>
      </c>
      <c r="Q20" s="10">
        <f>P20+預測IC!Q20</f>
        <v>1.096374257755556</v>
      </c>
      <c r="R20" s="10">
        <f>Q20+預測IC!R20</f>
        <v>1.162843857755556</v>
      </c>
      <c r="S20" s="10">
        <f>R20+預測IC!S20</f>
        <v>1.0005076325653106</v>
      </c>
      <c r="T20" s="10">
        <f>S20+預測IC!T20</f>
        <v>0.89966183256531063</v>
      </c>
      <c r="U20" s="10">
        <f>T20+預測IC!U20</f>
        <v>0.93189683256531064</v>
      </c>
      <c r="V20" s="10">
        <f>U20+預測IC!V20</f>
        <v>0.79560863256531067</v>
      </c>
      <c r="W20" s="10">
        <f>V20+預測IC!W20</f>
        <v>0.88669363256531064</v>
      </c>
      <c r="X20" s="10">
        <f>W20+預測IC!X20</f>
        <v>0.73385973318835351</v>
      </c>
      <c r="Y20" s="10">
        <f>X20+預測IC!Y20</f>
        <v>0.72900173318835348</v>
      </c>
      <c r="Z20" s="10">
        <f>Y20+預測IC!Z20</f>
        <v>0.75816013318835351</v>
      </c>
      <c r="AA20" s="10">
        <f>Z20+預測IC!AA20</f>
        <v>0.82512413318835354</v>
      </c>
      <c r="AB20" s="10">
        <f>AA20+預測IC!AB20</f>
        <v>0.76470113318835353</v>
      </c>
      <c r="AC20" s="10">
        <f>AB20+預測IC!AC20</f>
        <v>0.66839293318835358</v>
      </c>
      <c r="AD20" s="10">
        <f>AC20+預測IC!AD20</f>
        <v>0.79823553318835361</v>
      </c>
      <c r="AE20" s="10">
        <f>AD20+預測IC!AE20</f>
        <v>0.62295401862514221</v>
      </c>
      <c r="AF20" s="10">
        <f>AE20+預測IC!AF20</f>
        <v>0.6164864186251422</v>
      </c>
      <c r="AG20" s="10">
        <f>AF20+預測IC!AG20</f>
        <v>0.61024681862514218</v>
      </c>
      <c r="AH20" s="10">
        <f>AG20+預測IC!AH20</f>
        <v>0.58243781862514221</v>
      </c>
      <c r="AI20" s="10">
        <f>AH20+預測IC!AI20</f>
        <v>0.69877501862514224</v>
      </c>
      <c r="AJ20" s="10">
        <f>AI20+預測IC!AJ20</f>
        <v>0.71601561862514218</v>
      </c>
      <c r="AK20" s="10">
        <f>AJ20+預測IC!AK20</f>
        <v>0.78298421862514223</v>
      </c>
      <c r="AL20" s="10">
        <f>AK20+預測IC!AL20</f>
        <v>0.85587767066211917</v>
      </c>
      <c r="AM20" s="10">
        <f>AL20+預測IC!AM20</f>
        <v>0.88861627066211912</v>
      </c>
      <c r="AN20" s="10">
        <f>AM20+預測IC!AN20</f>
        <v>0.96408646418111743</v>
      </c>
      <c r="AO20" s="10">
        <f>AN20+預測IC!AO20</f>
        <v>1.0321724641811174</v>
      </c>
      <c r="AP20" s="10">
        <f>AO20+預測IC!AP20</f>
        <v>0.90044200292572962</v>
      </c>
      <c r="AQ20" s="10">
        <f>AP20+預測IC!AQ20</f>
        <v>0.82754340292572959</v>
      </c>
      <c r="AR20" s="10">
        <f>AQ20+預測IC!AR20</f>
        <v>0.84083260292572959</v>
      </c>
      <c r="AS20" s="10">
        <f>AR20+預測IC!AS20</f>
        <v>0.72873679324291263</v>
      </c>
      <c r="AT20" s="10">
        <f>AS20+預測IC!AT20</f>
        <v>0.73459556700311834</v>
      </c>
      <c r="AU20" s="10">
        <f>AT20+預測IC!AU20</f>
        <v>0.80749538514403763</v>
      </c>
      <c r="AV20" s="10">
        <f>AU20+預測IC!AV20</f>
        <v>0.75286967136155947</v>
      </c>
      <c r="AW20" s="10">
        <f>AV20+預測IC!AW20</f>
        <v>0.75973493954071047</v>
      </c>
      <c r="AX20" s="10">
        <f>AW20+預測IC!AX20</f>
        <v>0.87046748753941205</v>
      </c>
      <c r="AY20" s="10">
        <f>AX20+預測IC!AY20</f>
        <v>0.90914218598232144</v>
      </c>
      <c r="AZ20" s="10">
        <f>AY20+預測IC!AZ20</f>
        <v>0.69533975480523269</v>
      </c>
      <c r="BA20" s="10">
        <f>AZ20+預測IC!BA20</f>
        <v>0.64129462079492594</v>
      </c>
      <c r="BB20" s="10">
        <f>BA20+預測IC!BB20</f>
        <v>0.80895004417149519</v>
      </c>
      <c r="BC20" s="10">
        <f>BB20+預測IC!BC20</f>
        <v>0.87955561184923536</v>
      </c>
      <c r="BD20" s="10">
        <f>BC20+預測IC!BD20</f>
        <v>0.82612579862763802</v>
      </c>
      <c r="BE20" s="10">
        <f>BD20+預測IC!BE20</f>
        <v>0.82017900148837763</v>
      </c>
      <c r="BF20" s="10">
        <f>BE20+預測IC!BF20</f>
        <v>0.82586758381970637</v>
      </c>
      <c r="BG20" s="10">
        <f>BF20+預測IC!BG20</f>
        <v>0.84836242428043518</v>
      </c>
      <c r="BH20" s="10">
        <f>BG20+預測IC!BH20</f>
        <v>0.77675597716632416</v>
      </c>
      <c r="BI20" s="10">
        <f>BH20+預測IC!BI20</f>
        <v>0.90850124425149903</v>
      </c>
      <c r="BJ20" s="10">
        <f>BI20+預測IC!BJ20</f>
        <v>0.93013075608468565</v>
      </c>
      <c r="BK20" s="10">
        <f>BJ20+預測IC!BK20</f>
        <v>0.87089758824185837</v>
      </c>
      <c r="BL20" s="10">
        <f>BK20+預測IC!BL20</f>
        <v>0.95718981941831305</v>
      </c>
      <c r="BM20" s="10">
        <f>BL20+預測IC!BM20</f>
        <v>1.0941074807467515</v>
      </c>
      <c r="BN20" s="10">
        <f>BM20+預測IC!BN20</f>
        <v>1.1784471215241157</v>
      </c>
      <c r="BO20" s="10">
        <f>BN20+預測IC!BO20</f>
        <v>1.1399854040081365</v>
      </c>
      <c r="BP20" s="10">
        <f>BO20+預測IC!BP20</f>
        <v>1.2003929247710916</v>
      </c>
      <c r="BQ20" s="10">
        <f>BP20+預測IC!BQ20</f>
        <v>1.2158446317319347</v>
      </c>
      <c r="BR20" s="10">
        <f>BQ20+預測IC!BR20</f>
        <v>1.2240447143071502</v>
      </c>
      <c r="BS20" s="10">
        <f>BR20+預測IC!BS20</f>
        <v>1.2219220307184853</v>
      </c>
      <c r="BT20" s="10">
        <f>BS20+預測IC!BT20</f>
        <v>1.3697250638971326</v>
      </c>
      <c r="BU20" s="10">
        <f>BT20+預測IC!BU20</f>
        <v>1.4684800132648392</v>
      </c>
      <c r="BV20" s="10">
        <f>BU20+預測IC!BV20</f>
        <v>1.5843983448279113</v>
      </c>
      <c r="BW20" s="10">
        <f>BV20+預測IC!BW20</f>
        <v>1.4488950930154352</v>
      </c>
      <c r="BX20" s="10">
        <f>BW20+預測IC!BX20</f>
        <v>1.4795887296986794</v>
      </c>
      <c r="BY20" s="10">
        <f>BX20+預測IC!BY20</f>
        <v>1.374354763329376</v>
      </c>
      <c r="BZ20" s="10">
        <f>BY20+預測IC!BZ20</f>
        <v>1.4646261675896597</v>
      </c>
      <c r="CA20" s="10">
        <f>BZ20+預測IC!CA20</f>
        <v>1.4626323454487098</v>
      </c>
      <c r="CB20" s="10">
        <f>CA20+預測IC!CB20</f>
        <v>1.4243803954377818</v>
      </c>
      <c r="CC20" s="10">
        <f>CB20+預測IC!CC20</f>
        <v>1.4244750908886135</v>
      </c>
      <c r="CD20" s="10">
        <f>CC20+預測IC!CD20</f>
        <v>1.6055025883792107</v>
      </c>
      <c r="CE20" s="10">
        <f>CD20+預測IC!CE20</f>
        <v>1.3615387929094775</v>
      </c>
      <c r="CF20" s="10">
        <f>CE20+預測IC!CF20</f>
        <v>1.4424967301081542</v>
      </c>
      <c r="CG20" s="10">
        <f>CF20+預測IC!CG20</f>
        <v>1.3434438415780654</v>
      </c>
      <c r="CH20" s="10">
        <f>CG20+預測IC!CH20</f>
        <v>1.4153078671752037</v>
      </c>
      <c r="CI20" s="10">
        <f>CH20+預測IC!CI20</f>
        <v>1.3849131934061218</v>
      </c>
      <c r="CJ20" s="10">
        <f>CI20+預測IC!CJ20</f>
        <v>1.2614728735187708</v>
      </c>
      <c r="CK20" s="10">
        <f>CJ20+預測IC!CK20</f>
        <v>1.3524512702688773</v>
      </c>
      <c r="CL20" s="10">
        <f>CK20+預測IC!CL20</f>
        <v>1.2602663360797484</v>
      </c>
      <c r="CM20" s="10">
        <f>CL20+預測IC!CM20</f>
        <v>1.449317501250369</v>
      </c>
      <c r="CN20" s="10">
        <f>CM20+預測IC!CN20</f>
        <v>1.4714769126208536</v>
      </c>
      <c r="CO20" s="10">
        <f>CN20+預測IC!CO20</f>
        <v>1.0555055774518411</v>
      </c>
      <c r="CP20" s="10">
        <f>CO20+預測IC!CP20</f>
        <v>1.2475367825608685</v>
      </c>
      <c r="CQ20" s="10">
        <f>CP20+預測IC!CQ20</f>
        <v>1.2536481404899307</v>
      </c>
      <c r="CR20" s="10">
        <f>CQ20+預測IC!CR20</f>
        <v>1.3267643849957811</v>
      </c>
      <c r="CS20" s="10">
        <f>CR20+預測IC!CS20</f>
        <v>1.4151286620080425</v>
      </c>
      <c r="CT20" s="10">
        <f>CS20+預測IC!CT20</f>
        <v>1.5056026994223088</v>
      </c>
      <c r="CU20" s="10">
        <f>CT20+預測IC!CU20</f>
        <v>1.4015018016298826</v>
      </c>
      <c r="CV20" s="10">
        <f>CU20+預測IC!CV20</f>
        <v>1.4940128773253087</v>
      </c>
      <c r="CW20" s="10">
        <f>CV20+預測IC!CW20</f>
        <v>1.5039659402465915</v>
      </c>
      <c r="CX20" s="10">
        <f>CW20+預測IC!CX20</f>
        <v>1.594264491114356</v>
      </c>
      <c r="CY20" s="10">
        <f>CX20+預測IC!CY20</f>
        <v>1.5817847584460591</v>
      </c>
      <c r="CZ20" s="10">
        <f>CY20+預測IC!CZ20</f>
        <v>1.7369464035952575</v>
      </c>
      <c r="DA20" s="10">
        <f>CZ20+預測IC!DA20</f>
        <v>1.6894745104400799</v>
      </c>
      <c r="DB20" s="10">
        <f>DA20+預測IC!DB20</f>
        <v>1.6325718006829457</v>
      </c>
      <c r="DC20" s="10">
        <f>DB20+預測IC!DC20</f>
        <v>1.5854876673751825</v>
      </c>
      <c r="DD20" s="10">
        <f>DC20+預測IC!DD20</f>
        <v>1.43737885303636</v>
      </c>
      <c r="DE20" s="10">
        <f>DD20+預測IC!DE20</f>
        <v>1.4106289891154316</v>
      </c>
      <c r="DF20" s="10">
        <f>DE20+預測IC!DF20</f>
        <v>1.4114881106478521</v>
      </c>
      <c r="DG20" s="10">
        <f>DF20+預測IC!DG20</f>
        <v>1.4072859000274813</v>
      </c>
      <c r="DH20" s="10">
        <f>DG20+預測IC!DH20</f>
        <v>1.3963104882849542</v>
      </c>
      <c r="DI20" s="10">
        <f>DH20+預測IC!DI20</f>
        <v>1.3885529202709617</v>
      </c>
      <c r="DJ20" s="10">
        <f>DI20+預測IC!DJ20</f>
        <v>1.3490929740020738</v>
      </c>
      <c r="DK20" s="10">
        <f>DJ20+預測IC!DK20</f>
        <v>1.4340469554481288</v>
      </c>
      <c r="DL20" s="10">
        <f>DK20+預測IC!DL20</f>
        <v>1.5098735916266712</v>
      </c>
      <c r="DM20" s="10">
        <f>DL20+預測IC!DM20</f>
        <v>1.5191572419061083</v>
      </c>
      <c r="DN20" s="10">
        <f>DM20+預測IC!DN20</f>
        <v>1.5771764485603075</v>
      </c>
      <c r="DO20" s="10">
        <f>DN20+預測IC!DO20</f>
        <v>1.6429922503982779</v>
      </c>
      <c r="DP20" s="10">
        <f>DO20+預測IC!DP20</f>
        <v>1.6528227817891652</v>
      </c>
      <c r="DQ20" s="10">
        <f>DP20+預測IC!DQ20</f>
        <v>1.4614932433328818</v>
      </c>
      <c r="DR20" s="10">
        <f>DQ20+預測IC!DR20</f>
        <v>1.5400059033611724</v>
      </c>
      <c r="DS20" s="10">
        <f>DR20+預測IC!DS20</f>
        <v>1.3339248057828177</v>
      </c>
      <c r="DT20" s="10">
        <f>DS20+預測IC!DT20</f>
        <v>1.2066501038952646</v>
      </c>
      <c r="DU20" s="10">
        <f>DT20+預測IC!DU20</f>
        <v>1.0345809966893953</v>
      </c>
      <c r="DV20" s="10">
        <f>DU20+預測IC!DV20</f>
        <v>1.163926468528254</v>
      </c>
      <c r="DW20" s="10">
        <f>DV20+預測IC!DW20</f>
        <v>1.2329866724862937</v>
      </c>
      <c r="DX20" s="10">
        <f>DW20+預測IC!DX20</f>
        <v>1.0791203428799789</v>
      </c>
      <c r="DY20" s="10">
        <f>DX20+預測IC!DY20</f>
        <v>1.1327389522316278</v>
      </c>
      <c r="DZ20" s="10">
        <f>DY20+預測IC!DZ20</f>
        <v>1.0482643739219357</v>
      </c>
      <c r="EA20" s="10">
        <f>DZ20+預測IC!EA20</f>
        <v>1.0620731001232937</v>
      </c>
      <c r="EB20" s="10">
        <f>EA20+預測IC!EB20</f>
        <v>1.089462257977281</v>
      </c>
      <c r="EC20" s="10">
        <f>EB20+預測IC!EC20</f>
        <v>1.1235118393912229</v>
      </c>
      <c r="ED20" s="10">
        <f>EC20+預測IC!ED20</f>
        <v>0.94659297832421263</v>
      </c>
      <c r="EE20" s="10">
        <f>ED20+預測IC!EE20</f>
        <v>0.94896020925159452</v>
      </c>
      <c r="EF20" s="10">
        <f>EE20+預測IC!EF20</f>
        <v>0.96924162586750173</v>
      </c>
    </row>
    <row r="21" spans="1:136">
      <c r="A21" s="4">
        <v>4</v>
      </c>
      <c r="B21" s="4">
        <v>241</v>
      </c>
      <c r="C21" s="21">
        <f>預測IC!C21</f>
        <v>-0.19764916434148611</v>
      </c>
      <c r="D21" s="10">
        <f>C21+預測IC!D21</f>
        <v>-7.1260164341486104E-2</v>
      </c>
      <c r="E21" s="10">
        <f>D21+預測IC!E21</f>
        <v>-7.1539516612277948E-2</v>
      </c>
      <c r="F21" s="10">
        <f>E21+預測IC!F21</f>
        <v>0.13187348338772206</v>
      </c>
      <c r="G21" s="10">
        <f>F21+預測IC!G21</f>
        <v>0.27720548338772205</v>
      </c>
      <c r="H21" s="10">
        <f>G21+預測IC!H21</f>
        <v>0.43936948338772208</v>
      </c>
      <c r="I21" s="10">
        <f>H21+預測IC!I21</f>
        <v>0.58662509151519504</v>
      </c>
      <c r="J21" s="10">
        <f>I21+預測IC!J21</f>
        <v>0.44988359151519508</v>
      </c>
      <c r="K21" s="10">
        <f>J21+預測IC!K21</f>
        <v>0.45135359151519505</v>
      </c>
      <c r="L21" s="10">
        <f>K21+預測IC!L21</f>
        <v>0.44632259151519504</v>
      </c>
      <c r="M21" s="10">
        <f>L21+預測IC!M21</f>
        <v>0.24643759151519504</v>
      </c>
      <c r="N21" s="10">
        <f>M21+預測IC!N21</f>
        <v>0.83132809151519504</v>
      </c>
      <c r="O21" s="10">
        <f>N21+預測IC!O21</f>
        <v>0.69205084151519503</v>
      </c>
      <c r="P21" s="10">
        <f>O21+預測IC!P21</f>
        <v>0.54727824062551012</v>
      </c>
      <c r="Q21" s="10">
        <f>P21+預測IC!Q21</f>
        <v>0.82136399062551013</v>
      </c>
      <c r="R21" s="10">
        <f>Q21+預測IC!R21</f>
        <v>0.90626924062551018</v>
      </c>
      <c r="S21" s="10">
        <f>R21+預測IC!S21</f>
        <v>0.77767895517555319</v>
      </c>
      <c r="T21" s="10">
        <f>S21+預測IC!T21</f>
        <v>0.64655895517555317</v>
      </c>
      <c r="U21" s="10">
        <f>T21+預測IC!U21</f>
        <v>0.63673220517555318</v>
      </c>
      <c r="V21" s="10">
        <f>U21+預測IC!V21</f>
        <v>0.50498195517555322</v>
      </c>
      <c r="W21" s="10">
        <f>V21+預測IC!W21</f>
        <v>0.62948070517555321</v>
      </c>
      <c r="X21" s="10">
        <f>W21+預測IC!X21</f>
        <v>0.43214352659190652</v>
      </c>
      <c r="Y21" s="10">
        <f>X21+預測IC!Y21</f>
        <v>0.42199602659190655</v>
      </c>
      <c r="Z21" s="10">
        <f>Y21+預測IC!Z21</f>
        <v>0.46145502659190657</v>
      </c>
      <c r="AA21" s="10">
        <f>Z21+預測IC!AA21</f>
        <v>0.48949052659190656</v>
      </c>
      <c r="AB21" s="10">
        <f>AA21+預測IC!AB21</f>
        <v>0.42420352659190658</v>
      </c>
      <c r="AC21" s="10">
        <f>AB21+預測IC!AC21</f>
        <v>0.26466227659190655</v>
      </c>
      <c r="AD21" s="10">
        <f>AC21+預測IC!AD21</f>
        <v>0.39348677659190656</v>
      </c>
      <c r="AE21" s="10">
        <f>AD21+預測IC!AE21</f>
        <v>0.15303066609871988</v>
      </c>
      <c r="AF21" s="10">
        <f>AE21+預測IC!AF21</f>
        <v>0.11946516609871988</v>
      </c>
      <c r="AG21" s="10">
        <f>AF21+預測IC!AG21</f>
        <v>0.10889716609871988</v>
      </c>
      <c r="AH21" s="10">
        <f>AG21+預測IC!AH21</f>
        <v>6.5487916098719873E-2</v>
      </c>
      <c r="AI21" s="10">
        <f>AH21+預測IC!AI21</f>
        <v>0.16761216609871987</v>
      </c>
      <c r="AJ21" s="10">
        <f>AI21+預測IC!AJ21</f>
        <v>0.17279566609871988</v>
      </c>
      <c r="AK21" s="10">
        <f>AJ21+預測IC!AK21</f>
        <v>0.27778616609871987</v>
      </c>
      <c r="AL21" s="10">
        <f>AK21+預測IC!AL21</f>
        <v>0.34316598883183047</v>
      </c>
      <c r="AM21" s="10">
        <f>AL21+預測IC!AM21</f>
        <v>0.37987673883183048</v>
      </c>
      <c r="AN21" s="10">
        <f>AM21+預測IC!AN21</f>
        <v>0.49183279489492482</v>
      </c>
      <c r="AO21" s="10">
        <f>AN21+預測IC!AO21</f>
        <v>0.5868185448949248</v>
      </c>
      <c r="AP21" s="10">
        <f>AO21+預測IC!AP21</f>
        <v>0.5244279911959886</v>
      </c>
      <c r="AQ21" s="10">
        <f>AP21+預測IC!AQ21</f>
        <v>0.45722974119598858</v>
      </c>
      <c r="AR21" s="10">
        <f>AQ21+預測IC!AR21</f>
        <v>0.40924149119598857</v>
      </c>
      <c r="AS21" s="10">
        <f>AR21+預測IC!AS21</f>
        <v>0.34478562254935918</v>
      </c>
      <c r="AT21" s="10">
        <f>AS21+預測IC!AT21</f>
        <v>0.34229271127220412</v>
      </c>
      <c r="AU21" s="10">
        <f>AT21+預測IC!AU21</f>
        <v>0.39010234278116113</v>
      </c>
      <c r="AV21" s="10">
        <f>AU21+預測IC!AV21</f>
        <v>0.33458156271902739</v>
      </c>
      <c r="AW21" s="10">
        <f>AV21+預測IC!AW21</f>
        <v>0.34437259267312481</v>
      </c>
      <c r="AX21" s="10">
        <f>AW21+預測IC!AX21</f>
        <v>0.48752028014288151</v>
      </c>
      <c r="AY21" s="10">
        <f>AX21+預測IC!AY21</f>
        <v>0.53454157112091949</v>
      </c>
      <c r="AZ21" s="10">
        <f>AY21+預測IC!AZ21</f>
        <v>0.27963030122378307</v>
      </c>
      <c r="BA21" s="10">
        <f>AZ21+預測IC!BA21</f>
        <v>0.20859811957569724</v>
      </c>
      <c r="BB21" s="10">
        <f>BA21+預測IC!BB21</f>
        <v>0.43419378840061096</v>
      </c>
      <c r="BC21" s="10">
        <f>BB21+預測IC!BC21</f>
        <v>0.47251493612580486</v>
      </c>
      <c r="BD21" s="10">
        <f>BC21+預測IC!BD21</f>
        <v>0.45076407275517694</v>
      </c>
      <c r="BE21" s="10">
        <f>BD21+預測IC!BE21</f>
        <v>0.45711460615257843</v>
      </c>
      <c r="BF21" s="10">
        <f>BE21+預測IC!BF21</f>
        <v>0.4606917063330131</v>
      </c>
      <c r="BG21" s="10">
        <f>BF21+預測IC!BG21</f>
        <v>0.51071224676948224</v>
      </c>
      <c r="BH21" s="10">
        <f>BG21+預測IC!BH21</f>
        <v>0.43439088363072692</v>
      </c>
      <c r="BI21" s="10">
        <f>BH21+預測IC!BI21</f>
        <v>0.60036047980911866</v>
      </c>
      <c r="BJ21" s="10">
        <f>BI21+預測IC!BJ21</f>
        <v>0.62393950599083636</v>
      </c>
      <c r="BK21" s="10">
        <f>BJ21+預測IC!BK21</f>
        <v>0.55548962561130155</v>
      </c>
      <c r="BL21" s="10">
        <f>BK21+預測IC!BL21</f>
        <v>0.69821071825765135</v>
      </c>
      <c r="BM21" s="10">
        <f>BL21+預測IC!BM21</f>
        <v>0.85333072217875117</v>
      </c>
      <c r="BN21" s="10">
        <f>BM21+預測IC!BN21</f>
        <v>0.91697867017099921</v>
      </c>
      <c r="BO21" s="10">
        <f>BN21+預測IC!BO21</f>
        <v>0.90631027861780933</v>
      </c>
      <c r="BP21" s="10">
        <f>BO21+預測IC!BP21</f>
        <v>1.0108194080372237</v>
      </c>
      <c r="BQ21" s="10">
        <f>BP21+預測IC!BQ21</f>
        <v>1.0653616388717286</v>
      </c>
      <c r="BR21" s="10">
        <f>BQ21+預測IC!BR21</f>
        <v>1.079324896011344</v>
      </c>
      <c r="BS21" s="10">
        <f>BR21+預測IC!BS21</f>
        <v>1.0542450416008471</v>
      </c>
      <c r="BT21" s="10">
        <f>BS21+預測IC!BT21</f>
        <v>1.1864897355752899</v>
      </c>
      <c r="BU21" s="10">
        <f>BT21+預測IC!BU21</f>
        <v>1.3073106749254788</v>
      </c>
      <c r="BV21" s="10">
        <f>BU21+預測IC!BV21</f>
        <v>1.4494536751109321</v>
      </c>
      <c r="BW21" s="10">
        <f>BV21+預測IC!BW21</f>
        <v>1.3027744781752011</v>
      </c>
      <c r="BX21" s="10">
        <f>BW21+預測IC!BX21</f>
        <v>1.287366550608888</v>
      </c>
      <c r="BY21" s="10">
        <f>BX21+預測IC!BY21</f>
        <v>1.2369866993907714</v>
      </c>
      <c r="BZ21" s="10">
        <f>BY21+預測IC!BZ21</f>
        <v>1.3351434098306698</v>
      </c>
      <c r="CA21" s="10">
        <f>BZ21+預測IC!CA21</f>
        <v>1.3105873412778823</v>
      </c>
      <c r="CB21" s="10">
        <f>CA21+預測IC!CB21</f>
        <v>1.1983437304787239</v>
      </c>
      <c r="CC21" s="10">
        <f>CB21+預測IC!CC21</f>
        <v>1.1516501810097608</v>
      </c>
      <c r="CD21" s="10">
        <f>CC21+預測IC!CD21</f>
        <v>1.439706245372234</v>
      </c>
      <c r="CE21" s="10">
        <f>CD21+預測IC!CE21</f>
        <v>1.1341169344957249</v>
      </c>
      <c r="CF21" s="10">
        <f>CE21+預測IC!CF21</f>
        <v>1.2653826112967972</v>
      </c>
      <c r="CG21" s="10">
        <f>CF21+預測IC!CG21</f>
        <v>1.1216314221391115</v>
      </c>
      <c r="CH21" s="10">
        <f>CG21+預測IC!CH21</f>
        <v>1.2017317432153232</v>
      </c>
      <c r="CI21" s="10">
        <f>CH21+預測IC!CI21</f>
        <v>1.1212321268243408</v>
      </c>
      <c r="CJ21" s="10">
        <f>CI21+預測IC!CJ21</f>
        <v>1.0494774648682952</v>
      </c>
      <c r="CK21" s="10">
        <f>CJ21+預測IC!CK21</f>
        <v>1.1765280115984293</v>
      </c>
      <c r="CL21" s="10">
        <f>CK21+預測IC!CL21</f>
        <v>0.96607563574432087</v>
      </c>
      <c r="CM21" s="10">
        <f>CL21+預測IC!CM21</f>
        <v>1.1915786241476922</v>
      </c>
      <c r="CN21" s="10">
        <f>CM21+預測IC!CN21</f>
        <v>1.2221175143514678</v>
      </c>
      <c r="CO21" s="10">
        <f>CN21+預測IC!CO21</f>
        <v>0.70725226575387512</v>
      </c>
      <c r="CP21" s="10">
        <f>CO21+預測IC!CP21</f>
        <v>0.92995232663178784</v>
      </c>
      <c r="CQ21" s="10">
        <f>CP21+預測IC!CQ21</f>
        <v>0.93324041835687865</v>
      </c>
      <c r="CR21" s="10">
        <f>CQ21+預測IC!CR21</f>
        <v>1.0240646963365583</v>
      </c>
      <c r="CS21" s="10">
        <f>CR21+預測IC!CS21</f>
        <v>1.09371109248333</v>
      </c>
      <c r="CT21" s="10">
        <f>CS21+預測IC!CT21</f>
        <v>1.176003965337669</v>
      </c>
      <c r="CU21" s="10">
        <f>CT21+預測IC!CU21</f>
        <v>1.1133304051681778</v>
      </c>
      <c r="CV21" s="10">
        <f>CU21+預測IC!CV21</f>
        <v>1.2115560371895648</v>
      </c>
      <c r="CW21" s="10">
        <f>CV21+預測IC!CW21</f>
        <v>1.2765614544705535</v>
      </c>
      <c r="CX21" s="10">
        <f>CW21+預測IC!CX21</f>
        <v>1.3786836301279606</v>
      </c>
      <c r="CY21" s="10">
        <f>CX21+預測IC!CY21</f>
        <v>1.3702017137240461</v>
      </c>
      <c r="CZ21" s="10">
        <f>CY21+預測IC!CZ21</f>
        <v>1.6076530845498762</v>
      </c>
      <c r="DA21" s="10">
        <f>CZ21+預測IC!DA21</f>
        <v>1.6088453410066079</v>
      </c>
      <c r="DB21" s="10">
        <f>DA21+預測IC!DB21</f>
        <v>1.5743819320184427</v>
      </c>
      <c r="DC21" s="10">
        <f>DB21+預測IC!DC21</f>
        <v>1.5358356613535293</v>
      </c>
      <c r="DD21" s="10">
        <f>DC21+預測IC!DD21</f>
        <v>1.6571583502221783</v>
      </c>
      <c r="DE21" s="10">
        <f>DD21+預測IC!DE21</f>
        <v>1.6693964588104973</v>
      </c>
      <c r="DF21" s="10">
        <f>DE21+預測IC!DF21</f>
        <v>1.677125018082116</v>
      </c>
      <c r="DG21" s="10">
        <f>DF21+預測IC!DG21</f>
        <v>1.6849713962106494</v>
      </c>
      <c r="DH21" s="10">
        <f>DG21+預測IC!DH21</f>
        <v>1.699048216423104</v>
      </c>
      <c r="DI21" s="10">
        <f>DH21+預測IC!DI21</f>
        <v>1.7334556947032835</v>
      </c>
      <c r="DJ21" s="10">
        <f>DI21+預測IC!DJ21</f>
        <v>1.6955443815127234</v>
      </c>
      <c r="DK21" s="10">
        <f>DJ21+預測IC!DK21</f>
        <v>1.8350470883316279</v>
      </c>
      <c r="DL21" s="10">
        <f>DK21+預測IC!DL21</f>
        <v>1.9334120271710045</v>
      </c>
      <c r="DM21" s="10">
        <f>DL21+預測IC!DM21</f>
        <v>1.9035779075287642</v>
      </c>
      <c r="DN21" s="10">
        <f>DM21+預測IC!DN21</f>
        <v>1.9655386889755526</v>
      </c>
      <c r="DO21" s="10">
        <f>DN21+預測IC!DO21</f>
        <v>2.0479844813062322</v>
      </c>
      <c r="DP21" s="10">
        <f>DO21+預測IC!DP21</f>
        <v>2.0722506363997981</v>
      </c>
      <c r="DQ21" s="10">
        <f>DP21+預測IC!DQ21</f>
        <v>1.9444972433011456</v>
      </c>
      <c r="DR21" s="10">
        <f>DQ21+預測IC!DR21</f>
        <v>1.9946681023382262</v>
      </c>
      <c r="DS21" s="10">
        <f>DR21+預測IC!DS21</f>
        <v>1.7938286285009306</v>
      </c>
      <c r="DT21" s="10">
        <f>DS21+預測IC!DT21</f>
        <v>1.6232578258154697</v>
      </c>
      <c r="DU21" s="10">
        <f>DT21+預測IC!DU21</f>
        <v>1.595167531819091</v>
      </c>
      <c r="DV21" s="10">
        <f>DU21+預測IC!DV21</f>
        <v>1.735443508688969</v>
      </c>
      <c r="DW21" s="10">
        <f>DV21+預測IC!DW21</f>
        <v>1.8547907260629728</v>
      </c>
      <c r="DX21" s="10">
        <f>DW21+預測IC!DX21</f>
        <v>1.6688245120317893</v>
      </c>
      <c r="DY21" s="10">
        <f>DX21+預測IC!DY21</f>
        <v>1.6934205075698052</v>
      </c>
      <c r="DZ21" s="10">
        <f>DY21+預測IC!DZ21</f>
        <v>1.6405764410095163</v>
      </c>
      <c r="EA21" s="10">
        <f>DZ21+預測IC!EA21</f>
        <v>1.6143255445282558</v>
      </c>
      <c r="EB21" s="10">
        <f>EA21+預測IC!EB21</f>
        <v>1.6227336906988417</v>
      </c>
      <c r="EC21" s="10">
        <f>EB21+預測IC!EC21</f>
        <v>1.6257986592016405</v>
      </c>
      <c r="ED21" s="10">
        <f>EC21+預測IC!ED21</f>
        <v>1.5712998028534597</v>
      </c>
      <c r="EE21" s="10">
        <f>ED21+預測IC!EE21</f>
        <v>1.5857286549618776</v>
      </c>
      <c r="EF21" s="10">
        <f>EE21+預測IC!EF21</f>
        <v>1.5777370521058458</v>
      </c>
    </row>
    <row r="22" spans="1:136">
      <c r="A22" s="4">
        <v>3</v>
      </c>
      <c r="B22" s="4">
        <v>321</v>
      </c>
      <c r="C22" s="21">
        <f>預測IC!C22</f>
        <v>6.4235717628454689E-2</v>
      </c>
      <c r="D22" s="10">
        <f>C22+預測IC!D22</f>
        <v>0.206665050961788</v>
      </c>
      <c r="E22" s="10">
        <f>D22+預測IC!E22</f>
        <v>0.16563751896116896</v>
      </c>
      <c r="F22" s="10">
        <f>E22+預測IC!F22</f>
        <v>2.5769518961168969E-2</v>
      </c>
      <c r="G22" s="10">
        <f>F22+預測IC!G22</f>
        <v>0.25871485229450236</v>
      </c>
      <c r="H22" s="10">
        <f>G22+預測IC!H22</f>
        <v>0.38289285229450237</v>
      </c>
      <c r="I22" s="10">
        <f>H22+預測IC!I22</f>
        <v>0.50638602163257218</v>
      </c>
      <c r="J22" s="10">
        <f>I22+預測IC!J22</f>
        <v>0.40213402163257217</v>
      </c>
      <c r="K22" s="10">
        <f>J22+預測IC!K22</f>
        <v>0.43079068829923883</v>
      </c>
      <c r="L22" s="10">
        <f>K22+預測IC!L22</f>
        <v>0.44506268829923884</v>
      </c>
      <c r="M22" s="10">
        <f>L22+預測IC!M22</f>
        <v>0.26039935496590555</v>
      </c>
      <c r="N22" s="10">
        <f>M22+預測IC!N22</f>
        <v>1.0165416882992389</v>
      </c>
      <c r="O22" s="10">
        <f>N22+預測IC!O22</f>
        <v>0.95009935496590558</v>
      </c>
      <c r="P22" s="10">
        <f>O22+預測IC!P22</f>
        <v>0.87731647083708864</v>
      </c>
      <c r="Q22" s="10">
        <f>P22+預測IC!Q22</f>
        <v>1.0045911375037553</v>
      </c>
      <c r="R22" s="10">
        <f>Q22+預測IC!R22</f>
        <v>1.0712888041704218</v>
      </c>
      <c r="S22" s="10">
        <f>R22+預測IC!S22</f>
        <v>0.90164224861248121</v>
      </c>
      <c r="T22" s="10">
        <f>S22+預測IC!T22</f>
        <v>0.79679424861248127</v>
      </c>
      <c r="U22" s="10">
        <f>T22+預測IC!U22</f>
        <v>0.84927858194581463</v>
      </c>
      <c r="V22" s="10">
        <f>U22+預測IC!V22</f>
        <v>0.67365491527914789</v>
      </c>
      <c r="W22" s="10">
        <f>V22+預測IC!W22</f>
        <v>0.83170291527914786</v>
      </c>
      <c r="X22" s="10">
        <f>W22+預測IC!X22</f>
        <v>0.61680286754958291</v>
      </c>
      <c r="Y22" s="10">
        <f>X22+預測IC!Y22</f>
        <v>0.54694553421624958</v>
      </c>
      <c r="Z22" s="10">
        <f>Y22+預測IC!Z22</f>
        <v>0.57081353421624959</v>
      </c>
      <c r="AA22" s="10">
        <f>Z22+預測IC!AA22</f>
        <v>0.68893620088291629</v>
      </c>
      <c r="AB22" s="10">
        <f>AA22+預測IC!AB22</f>
        <v>0.65066286754958291</v>
      </c>
      <c r="AC22" s="10">
        <f>AB22+預測IC!AC22</f>
        <v>0.47345153421624964</v>
      </c>
      <c r="AD22" s="10">
        <f>AC22+預測IC!AD22</f>
        <v>0.48702286754958296</v>
      </c>
      <c r="AE22" s="10">
        <f>AD22+預測IC!AE22</f>
        <v>0.22433714619743944</v>
      </c>
      <c r="AF22" s="10">
        <f>AE22+預測IC!AF22</f>
        <v>0.13793381286410611</v>
      </c>
      <c r="AG22" s="10">
        <f>AF22+預測IC!AG22</f>
        <v>9.1963479530772774E-2</v>
      </c>
      <c r="AH22" s="10">
        <f>AG22+預測IC!AH22</f>
        <v>9.2450146197439437E-2</v>
      </c>
      <c r="AI22" s="10">
        <f>AH22+預測IC!AI22</f>
        <v>0.20345481286410613</v>
      </c>
      <c r="AJ22" s="10">
        <f>AI22+預測IC!AJ22</f>
        <v>0.21653614619743947</v>
      </c>
      <c r="AK22" s="10">
        <f>AJ22+預測IC!AK22</f>
        <v>0.1482694795307728</v>
      </c>
      <c r="AL22" s="10">
        <f>AK22+預測IC!AL22</f>
        <v>0.18861044633767321</v>
      </c>
      <c r="AM22" s="10">
        <f>AL22+預測IC!AM22</f>
        <v>0.23008377967100654</v>
      </c>
      <c r="AN22" s="10">
        <f>AM22+預測IC!AN22</f>
        <v>0.34121658933456583</v>
      </c>
      <c r="AO22" s="10">
        <f>AN22+預測IC!AO22</f>
        <v>0.53188958933456587</v>
      </c>
      <c r="AP22" s="10">
        <f>AO22+預測IC!AP22</f>
        <v>0.46935323544657315</v>
      </c>
      <c r="AQ22" s="10">
        <f>AP22+預測IC!AQ22</f>
        <v>0.35922390211323985</v>
      </c>
      <c r="AR22" s="10">
        <f>AQ22+預測IC!AR22</f>
        <v>0.29129923544657321</v>
      </c>
      <c r="AS22" s="10">
        <f>AR22+預測IC!AS22</f>
        <v>0.20848879654802327</v>
      </c>
      <c r="AT22" s="10">
        <f>AS22+預測IC!AT22</f>
        <v>0.21506918689704282</v>
      </c>
      <c r="AU22" s="10">
        <f>AT22+預測IC!AU22</f>
        <v>0.26821197859742107</v>
      </c>
      <c r="AV22" s="10">
        <f>AU22+預測IC!AV22</f>
        <v>0.20839880192154112</v>
      </c>
      <c r="AW22" s="10">
        <f>AV22+預測IC!AW22</f>
        <v>0.17824941271453218</v>
      </c>
      <c r="AX22" s="10">
        <f>AW22+預測IC!AX22</f>
        <v>0.35201281269455642</v>
      </c>
      <c r="AY22" s="10">
        <f>AX22+預測IC!AY22</f>
        <v>0.42374619802878699</v>
      </c>
      <c r="AZ22" s="10">
        <f>AY22+預測IC!AZ22</f>
        <v>0.26884241970763489</v>
      </c>
      <c r="BA22" s="10">
        <f>AZ22+預測IC!BA22</f>
        <v>0.22324399454017294</v>
      </c>
      <c r="BB22" s="10">
        <f>BA22+預測IC!BB22</f>
        <v>0.52517393908059595</v>
      </c>
      <c r="BC22" s="10">
        <f>BB22+預測IC!BC22</f>
        <v>0.39433700095764079</v>
      </c>
      <c r="BD22" s="10">
        <f>BC22+預測IC!BD22</f>
        <v>0.407284390800213</v>
      </c>
      <c r="BE22" s="10">
        <f>BD22+預測IC!BE22</f>
        <v>0.42950057419469345</v>
      </c>
      <c r="BF22" s="10">
        <f>BE22+預測IC!BF22</f>
        <v>0.44313939153301307</v>
      </c>
      <c r="BG22" s="10">
        <f>BF22+預測IC!BG22</f>
        <v>0.48941890370139912</v>
      </c>
      <c r="BH22" s="10">
        <f>BG22+預測IC!BH22</f>
        <v>0.36145836136326726</v>
      </c>
      <c r="BI22" s="10">
        <f>BH22+預測IC!BI22</f>
        <v>0.47254708077317426</v>
      </c>
      <c r="BJ22" s="10">
        <f>BI22+預測IC!BJ22</f>
        <v>0.52754349592389516</v>
      </c>
      <c r="BK22" s="10">
        <f>BJ22+預測IC!BK22</f>
        <v>0.48570385999023002</v>
      </c>
      <c r="BL22" s="10">
        <f>BK22+預測IC!BL22</f>
        <v>0.64748419906126531</v>
      </c>
      <c r="BM22" s="10">
        <f>BL22+預測IC!BM22</f>
        <v>0.75308867601897678</v>
      </c>
      <c r="BN22" s="10">
        <f>BM22+預測IC!BN22</f>
        <v>0.73776112399593452</v>
      </c>
      <c r="BO22" s="10">
        <f>BN22+預測IC!BO22</f>
        <v>0.64074822847232871</v>
      </c>
      <c r="BP22" s="10">
        <f>BO22+預測IC!BP22</f>
        <v>0.71558377862743505</v>
      </c>
      <c r="BQ22" s="10">
        <f>BP22+預測IC!BQ22</f>
        <v>0.7434138760257476</v>
      </c>
      <c r="BR22" s="10">
        <f>BQ22+預測IC!BR22</f>
        <v>0.76422748549220054</v>
      </c>
      <c r="BS22" s="10">
        <f>BR22+預測IC!BS22</f>
        <v>0.74785470311540136</v>
      </c>
      <c r="BT22" s="10">
        <f>BS22+預測IC!BT22</f>
        <v>0.8783854064519474</v>
      </c>
      <c r="BU22" s="10">
        <f>BT22+預測IC!BU22</f>
        <v>1.0913341725899577</v>
      </c>
      <c r="BV22" s="10">
        <f>BU22+預測IC!BV22</f>
        <v>1.2498781449875667</v>
      </c>
      <c r="BW22" s="10">
        <f>BV22+預測IC!BW22</f>
        <v>1.0752096470599595</v>
      </c>
      <c r="BX22" s="10">
        <f>BW22+預測IC!BX22</f>
        <v>1.1118470927519319</v>
      </c>
      <c r="BY22" s="10">
        <f>BX22+預測IC!BY22</f>
        <v>1.1071003063491973</v>
      </c>
      <c r="BZ22" s="10">
        <f>BY22+預測IC!BZ22</f>
        <v>1.1543580422120896</v>
      </c>
      <c r="CA22" s="10">
        <f>BZ22+預測IC!CA22</f>
        <v>1.126867963731766</v>
      </c>
      <c r="CB22" s="10">
        <f>CA22+預測IC!CB22</f>
        <v>0.97787468548583945</v>
      </c>
      <c r="CC22" s="10">
        <f>CB22+預測IC!CC22</f>
        <v>0.96288898204768303</v>
      </c>
      <c r="CD22" s="10">
        <f>CC22+預測IC!CD22</f>
        <v>1.2967670187604059</v>
      </c>
      <c r="CE22" s="10">
        <f>CD22+預測IC!CE22</f>
        <v>0.90337967965612775</v>
      </c>
      <c r="CF22" s="10">
        <f>CE22+預測IC!CF22</f>
        <v>1.0921794654164052</v>
      </c>
      <c r="CG22" s="10">
        <f>CF22+預測IC!CG22</f>
        <v>0.88891637321381811</v>
      </c>
      <c r="CH22" s="10">
        <f>CG22+預測IC!CH22</f>
        <v>1.0048351444932664</v>
      </c>
      <c r="CI22" s="10">
        <f>CH22+預測IC!CI22</f>
        <v>0.8870553982149072</v>
      </c>
      <c r="CJ22" s="10">
        <f>CI22+預測IC!CJ22</f>
        <v>0.78367589312534447</v>
      </c>
      <c r="CK22" s="10">
        <f>CJ22+預測IC!CK22</f>
        <v>0.81983923573002682</v>
      </c>
      <c r="CL22" s="10">
        <f>CK22+預測IC!CL22</f>
        <v>0.57918743710498599</v>
      </c>
      <c r="CM22" s="10">
        <f>CL22+預測IC!CM22</f>
        <v>0.8809476950144679</v>
      </c>
      <c r="CN22" s="10">
        <f>CM22+預測IC!CN22</f>
        <v>0.87240092319356055</v>
      </c>
      <c r="CO22" s="10">
        <f>CN22+預測IC!CO22</f>
        <v>0.2224444549444049</v>
      </c>
      <c r="CP22" s="10">
        <f>CO22+預測IC!CP22</f>
        <v>0.48185301191380742</v>
      </c>
      <c r="CQ22" s="10">
        <f>CP22+預測IC!CQ22</f>
        <v>0.46951923258814282</v>
      </c>
      <c r="CR22" s="10">
        <f>CQ22+預測IC!CR22</f>
        <v>0.63136965388953481</v>
      </c>
      <c r="CS22" s="10">
        <f>CR22+預測IC!CS22</f>
        <v>0.61616747036811204</v>
      </c>
      <c r="CT22" s="10">
        <f>CS22+預測IC!CT22</f>
        <v>0.67439999172409737</v>
      </c>
      <c r="CU22" s="10">
        <f>CT22+預測IC!CU22</f>
        <v>0.56355857208223159</v>
      </c>
      <c r="CV22" s="10">
        <f>CU22+預測IC!CV22</f>
        <v>0.67579226728928576</v>
      </c>
      <c r="CW22" s="10">
        <f>CV22+預測IC!CW22</f>
        <v>0.71224352061545093</v>
      </c>
      <c r="CX22" s="10">
        <f>CW22+預測IC!CX22</f>
        <v>0.71599311388329989</v>
      </c>
      <c r="CY22" s="10">
        <f>CX22+預測IC!CY22</f>
        <v>0.70800428810979077</v>
      </c>
      <c r="CZ22" s="10">
        <f>CY22+預測IC!CZ22</f>
        <v>0.97092477270902988</v>
      </c>
      <c r="DA22" s="10">
        <f>CZ22+預測IC!DA22</f>
        <v>0.96693301882710581</v>
      </c>
      <c r="DB22" s="10">
        <f>DA22+預測IC!DB22</f>
        <v>0.9366696601074872</v>
      </c>
      <c r="DC22" s="10">
        <f>DB22+預測IC!DC22</f>
        <v>0.89717533015759032</v>
      </c>
      <c r="DD22" s="10">
        <f>DC22+預測IC!DD22</f>
        <v>1.0450694327303938</v>
      </c>
      <c r="DE22" s="10">
        <f>DD22+預測IC!DE22</f>
        <v>1.0395776747484435</v>
      </c>
      <c r="DF22" s="10">
        <f>DE22+預測IC!DF22</f>
        <v>1.0566094500219967</v>
      </c>
      <c r="DG22" s="10">
        <f>DF22+預測IC!DG22</f>
        <v>1.0885944931028844</v>
      </c>
      <c r="DH22" s="10">
        <f>DG22+預測IC!DH22</f>
        <v>1.1025398392863883</v>
      </c>
      <c r="DI22" s="10">
        <f>DH22+預測IC!DI22</f>
        <v>1.1661008385486378</v>
      </c>
      <c r="DJ22" s="10">
        <f>DI22+預測IC!DJ22</f>
        <v>1.115854832715542</v>
      </c>
      <c r="DK22" s="10">
        <f>DJ22+預測IC!DK22</f>
        <v>1.2949895465383821</v>
      </c>
      <c r="DL22" s="10">
        <f>DK22+預測IC!DL22</f>
        <v>1.4199311942757651</v>
      </c>
      <c r="DM22" s="10">
        <f>DL22+預測IC!DM22</f>
        <v>1.3564651432377315</v>
      </c>
      <c r="DN22" s="10">
        <f>DM22+預測IC!DN22</f>
        <v>1.4032284714417389</v>
      </c>
      <c r="DO22" s="10">
        <f>DN22+預測IC!DO22</f>
        <v>1.5266659727533771</v>
      </c>
      <c r="DP22" s="10">
        <f>DO22+預測IC!DP22</f>
        <v>1.5288382960924074</v>
      </c>
      <c r="DQ22" s="10">
        <f>DP22+預測IC!DQ22</f>
        <v>1.3978072922729674</v>
      </c>
      <c r="DR22" s="10">
        <f>DQ22+預測IC!DR22</f>
        <v>1.3917147396576495</v>
      </c>
      <c r="DS22" s="10">
        <f>DR22+預測IC!DS22</f>
        <v>1.1946638180952902</v>
      </c>
      <c r="DT22" s="10">
        <f>DS22+預測IC!DT22</f>
        <v>1.1682874618590895</v>
      </c>
      <c r="DU22" s="10">
        <f>DT22+預測IC!DU22</f>
        <v>1.1107920710222505</v>
      </c>
      <c r="DV22" s="10">
        <f>DU22+預測IC!DV22</f>
        <v>1.2364971887004286</v>
      </c>
      <c r="DW22" s="10">
        <f>DV22+預測IC!DW22</f>
        <v>1.346000255341993</v>
      </c>
      <c r="DX22" s="10">
        <f>DW22+預測IC!DX22</f>
        <v>1.1235576468936983</v>
      </c>
      <c r="DY22" s="10">
        <f>DX22+預測IC!DY22</f>
        <v>1.1154105302681583</v>
      </c>
      <c r="DZ22" s="10">
        <f>DY22+預測IC!DZ22</f>
        <v>1.0116625493226006</v>
      </c>
      <c r="EA22" s="10">
        <f>DZ22+預測IC!EA22</f>
        <v>0.94111390048324184</v>
      </c>
      <c r="EB22" s="10">
        <f>EA22+預測IC!EB22</f>
        <v>0.86051717294792385</v>
      </c>
      <c r="EC22" s="10">
        <f>EB22+預測IC!EC22</f>
        <v>0.88201227452356201</v>
      </c>
      <c r="ED22" s="10">
        <f>EC22+預測IC!ED22</f>
        <v>0.80459870746595452</v>
      </c>
      <c r="EE22" s="10">
        <f>ED22+預測IC!EE22</f>
        <v>0.83804501127816788</v>
      </c>
      <c r="EF22" s="10">
        <f>EE22+預測IC!EF22</f>
        <v>0.80325476490599557</v>
      </c>
    </row>
    <row r="23" spans="1:136" s="2" customFormat="1">
      <c r="A23" s="4">
        <v>2</v>
      </c>
      <c r="B23" s="4">
        <v>482</v>
      </c>
      <c r="C23" s="21">
        <f>預測IC!C23</f>
        <v>-3.4987009286289193E-2</v>
      </c>
      <c r="D23" s="10">
        <f>C23+預測IC!D23</f>
        <v>0.21910699071371079</v>
      </c>
      <c r="E23" s="10">
        <f>D23+預測IC!E23</f>
        <v>0.13816581814303858</v>
      </c>
      <c r="F23" s="10">
        <f>E23+預測IC!F23</f>
        <v>0.13442381814303858</v>
      </c>
      <c r="G23" s="10">
        <f>F23+預測IC!G23</f>
        <v>0.49605581814303856</v>
      </c>
      <c r="H23" s="10">
        <f>G23+預測IC!H23</f>
        <v>0.47786731814303857</v>
      </c>
      <c r="I23" s="10">
        <f>H23+預測IC!I23</f>
        <v>0.62601934674333259</v>
      </c>
      <c r="J23" s="10">
        <f>I23+預測IC!J23</f>
        <v>0.51114384674333257</v>
      </c>
      <c r="K23" s="10">
        <f>J23+預測IC!K23</f>
        <v>0.45122534674333259</v>
      </c>
      <c r="L23" s="10">
        <f>K23+預測IC!L23</f>
        <v>0.5019963467433326</v>
      </c>
      <c r="M23" s="10">
        <f>L23+預測IC!M23</f>
        <v>0.35470684674333264</v>
      </c>
      <c r="N23" s="10">
        <f>M23+預測IC!N23</f>
        <v>1.3306078467433327</v>
      </c>
      <c r="O23" s="10">
        <f>N23+預測IC!O23</f>
        <v>1.2077078467433326</v>
      </c>
      <c r="P23" s="10">
        <f>O23+預測IC!P23</f>
        <v>1.1173061355612073</v>
      </c>
      <c r="Q23" s="10">
        <f>P23+預測IC!Q23</f>
        <v>1.4084836355612071</v>
      </c>
      <c r="R23" s="10">
        <f>Q23+預測IC!R23</f>
        <v>1.4713036355612072</v>
      </c>
      <c r="S23" s="10">
        <f>R23+預測IC!S23</f>
        <v>1.3575791027339452</v>
      </c>
      <c r="T23" s="10">
        <f>S23+預測IC!T23</f>
        <v>1.2729021027339451</v>
      </c>
      <c r="U23" s="10">
        <f>T23+預測IC!U23</f>
        <v>1.332138602733945</v>
      </c>
      <c r="V23" s="10">
        <f>U23+預測IC!V23</f>
        <v>1.099663102733945</v>
      </c>
      <c r="W23" s="10">
        <f>V23+預測IC!W23</f>
        <v>1.3592101027339449</v>
      </c>
      <c r="X23" s="10">
        <f>W23+預測IC!X23</f>
        <v>1.0951244077706477</v>
      </c>
      <c r="Y23" s="10">
        <f>X23+預測IC!Y23</f>
        <v>1.0271699077706478</v>
      </c>
      <c r="Z23" s="10">
        <f>Y23+預測IC!Z23</f>
        <v>1.0682219077706478</v>
      </c>
      <c r="AA23" s="10">
        <f>Z23+預測IC!AA23</f>
        <v>1.2198739077706477</v>
      </c>
      <c r="AB23" s="10">
        <f>AA23+預測IC!AB23</f>
        <v>1.1721259077706478</v>
      </c>
      <c r="AC23" s="10">
        <f>AB23+預測IC!AC23</f>
        <v>0.93811740777064778</v>
      </c>
      <c r="AD23" s="10">
        <f>AC23+預測IC!AD23</f>
        <v>1.0097444077706479</v>
      </c>
      <c r="AE23" s="10">
        <f>AD23+預測IC!AE23</f>
        <v>0.64776902851709406</v>
      </c>
      <c r="AF23" s="10">
        <f>AE23+預測IC!AF23</f>
        <v>0.62246952851709403</v>
      </c>
      <c r="AG23" s="10">
        <f>AF23+預測IC!AG23</f>
        <v>0.62041402851709404</v>
      </c>
      <c r="AH23" s="10">
        <f>AG23+預測IC!AH23</f>
        <v>0.65769202851709407</v>
      </c>
      <c r="AI23" s="10">
        <f>AH23+預測IC!AI23</f>
        <v>0.86684402851709408</v>
      </c>
      <c r="AJ23" s="10">
        <f>AI23+預測IC!AJ23</f>
        <v>0.8904310285170941</v>
      </c>
      <c r="AK23" s="10">
        <f>AJ23+預測IC!AK23</f>
        <v>0.90899102851709412</v>
      </c>
      <c r="AL23" s="10">
        <f>AK23+預測IC!AL23</f>
        <v>1.0404227417096297</v>
      </c>
      <c r="AM23" s="10">
        <f>AL23+預測IC!AM23</f>
        <v>1.1271177417096296</v>
      </c>
      <c r="AN23" s="10">
        <f>AM23+預測IC!AN23</f>
        <v>1.3694324410669303</v>
      </c>
      <c r="AO23" s="10">
        <f>AN23+預測IC!AO23</f>
        <v>1.7159169410669302</v>
      </c>
      <c r="AP23" s="10">
        <f>AO23+預測IC!AP23</f>
        <v>1.7190380404192358</v>
      </c>
      <c r="AQ23" s="10">
        <f>AP23+預測IC!AQ23</f>
        <v>1.6196590404192357</v>
      </c>
      <c r="AR23" s="10">
        <f>AQ23+預測IC!AR23</f>
        <v>1.4735230404192357</v>
      </c>
      <c r="AS23" s="10">
        <f>AR23+預測IC!AS23</f>
        <v>1.4882299284166132</v>
      </c>
      <c r="AT23" s="10">
        <f>AS23+預測IC!AT23</f>
        <v>1.4468022066029635</v>
      </c>
      <c r="AU23" s="10">
        <f>AT23+預測IC!AU23</f>
        <v>1.4799477327314678</v>
      </c>
      <c r="AV23" s="10">
        <f>AU23+預測IC!AV23</f>
        <v>1.4523087385340938</v>
      </c>
      <c r="AW23" s="10">
        <f>AV23+預測IC!AW23</f>
        <v>1.4002818286956911</v>
      </c>
      <c r="AX23" s="10">
        <f>AW23+預測IC!AX23</f>
        <v>1.4701199825227351</v>
      </c>
      <c r="AY23" s="10">
        <f>AX23+預測IC!AY23</f>
        <v>1.6403539633633173</v>
      </c>
      <c r="AZ23" s="10">
        <f>AY23+預測IC!AZ23</f>
        <v>1.5766003459622571</v>
      </c>
      <c r="BA23" s="10">
        <f>AZ23+預測IC!BA23</f>
        <v>1.5862471260423578</v>
      </c>
      <c r="BB23" s="10">
        <f>BA23+預測IC!BB23</f>
        <v>1.5351976419394728</v>
      </c>
      <c r="BC23" s="10">
        <f>BB23+預測IC!BC23</f>
        <v>1.234369392766407</v>
      </c>
      <c r="BD23" s="10">
        <f>BC23+預測IC!BD23</f>
        <v>1.3292002741128572</v>
      </c>
      <c r="BE23" s="10">
        <f>BD23+預測IC!BE23</f>
        <v>1.2577695117155607</v>
      </c>
      <c r="BF23" s="10">
        <f>BE23+預測IC!BF23</f>
        <v>1.2349225211108745</v>
      </c>
      <c r="BG23" s="10">
        <f>BF23+預測IC!BG23</f>
        <v>1.3096839923076271</v>
      </c>
      <c r="BH23" s="10">
        <f>BG23+預測IC!BH23</f>
        <v>1.10620001095234</v>
      </c>
      <c r="BI23" s="10">
        <f>BH23+預測IC!BI23</f>
        <v>1.2973120902755391</v>
      </c>
      <c r="BJ23" s="10">
        <f>BI23+預測IC!BJ23</f>
        <v>1.401315405543466</v>
      </c>
      <c r="BK23" s="10">
        <f>BJ23+預測IC!BK23</f>
        <v>1.40600238325439</v>
      </c>
      <c r="BL23" s="10">
        <f>BK23+預測IC!BL23</f>
        <v>1.5555366795046295</v>
      </c>
      <c r="BM23" s="10">
        <f>BL23+預測IC!BM23</f>
        <v>1.7447173662917834</v>
      </c>
      <c r="BN23" s="10">
        <f>BM23+預測IC!BN23</f>
        <v>1.7377701955329703</v>
      </c>
      <c r="BO23" s="10">
        <f>BN23+預測IC!BO23</f>
        <v>1.5714600296402799</v>
      </c>
      <c r="BP23" s="10">
        <f>BO23+預測IC!BP23</f>
        <v>1.6697264288517364</v>
      </c>
      <c r="BQ23" s="10">
        <f>BP23+預測IC!BQ23</f>
        <v>1.7193382701397275</v>
      </c>
      <c r="BR23" s="10">
        <f>BQ23+預測IC!BR23</f>
        <v>1.7371825916036903</v>
      </c>
      <c r="BS23" s="10">
        <f>BR23+預測IC!BS23</f>
        <v>1.6639072029457784</v>
      </c>
      <c r="BT23" s="10">
        <f>BS23+預測IC!BT23</f>
        <v>1.8075570089717756</v>
      </c>
      <c r="BU23" s="10">
        <f>BT23+預測IC!BU23</f>
        <v>2.0132447448177215</v>
      </c>
      <c r="BV23" s="10">
        <f>BU23+預測IC!BV23</f>
        <v>2.1267123131779102</v>
      </c>
      <c r="BW23" s="10">
        <f>BV23+預測IC!BW23</f>
        <v>1.9245599799022191</v>
      </c>
      <c r="BX23" s="10">
        <f>BW23+預測IC!BX23</f>
        <v>1.9163468601749658</v>
      </c>
      <c r="BY23" s="10">
        <f>BX23+預測IC!BY23</f>
        <v>1.9061411674806181</v>
      </c>
      <c r="BZ23" s="10">
        <f>BY23+預測IC!BZ23</f>
        <v>1.913810929912463</v>
      </c>
      <c r="CA23" s="10">
        <f>BZ23+預測IC!CA23</f>
        <v>1.8381577301658338</v>
      </c>
      <c r="CB23" s="10">
        <f>CA23+預測IC!CB23</f>
        <v>1.6205435271733939</v>
      </c>
      <c r="CC23" s="10">
        <f>CB23+預測IC!CC23</f>
        <v>1.845502154669074</v>
      </c>
      <c r="CD23" s="10">
        <f>CC23+預測IC!CD23</f>
        <v>2.0371786096838589</v>
      </c>
      <c r="CE23" s="10">
        <f>CD23+預測IC!CE23</f>
        <v>1.9205540028873975</v>
      </c>
      <c r="CF23" s="10">
        <f>CE23+預測IC!CF23</f>
        <v>2.0776889126785627</v>
      </c>
      <c r="CG23" s="10">
        <f>CF23+預測IC!CG23</f>
        <v>1.6844451247548859</v>
      </c>
      <c r="CH23" s="10">
        <f>CG23+預測IC!CH23</f>
        <v>1.8646415736763142</v>
      </c>
      <c r="CI23" s="10">
        <f>CH23+預測IC!CI23</f>
        <v>1.5547421565482173</v>
      </c>
      <c r="CJ23" s="10">
        <f>CI23+預測IC!CJ23</f>
        <v>1.5348667889978067</v>
      </c>
      <c r="CK23" s="10">
        <f>CJ23+預測IC!CK23</f>
        <v>1.6309837837257684</v>
      </c>
      <c r="CL23" s="10">
        <f>CK23+預測IC!CL23</f>
        <v>1.22232277105835</v>
      </c>
      <c r="CM23" s="10">
        <f>CL23+預測IC!CM23</f>
        <v>1.6090557175812594</v>
      </c>
      <c r="CN23" s="10">
        <f>CM23+預測IC!CN23</f>
        <v>1.5560505392114561</v>
      </c>
      <c r="CO23" s="10">
        <f>CN23+預測IC!CO23</f>
        <v>0.6471272518458363</v>
      </c>
      <c r="CP23" s="10">
        <f>CO23+預測IC!CP23</f>
        <v>0.95848799500859294</v>
      </c>
      <c r="CQ23" s="10">
        <f>CP23+預測IC!CQ23</f>
        <v>0.94930425050878708</v>
      </c>
      <c r="CR23" s="10">
        <f>CQ23+預測IC!CR23</f>
        <v>1.0880296382654091</v>
      </c>
      <c r="CS23" s="10">
        <f>CR23+預測IC!CS23</f>
        <v>1.0510554192741306</v>
      </c>
      <c r="CT23" s="10">
        <f>CS23+預測IC!CT23</f>
        <v>1.0967179609853845</v>
      </c>
      <c r="CU23" s="10">
        <f>CT23+預測IC!CU23</f>
        <v>1.0756613652720974</v>
      </c>
      <c r="CV23" s="10">
        <f>CU23+預測IC!CV23</f>
        <v>1.0534162277832917</v>
      </c>
      <c r="CW23" s="10">
        <f>CV23+預測IC!CW23</f>
        <v>1.1543175595857103</v>
      </c>
      <c r="CX23" s="10">
        <f>CW23+預測IC!CX23</f>
        <v>1.0656005654891838</v>
      </c>
      <c r="CY23" s="10">
        <f>CX23+預測IC!CY23</f>
        <v>1.0876470962425624</v>
      </c>
      <c r="CZ23" s="10">
        <f>CY23+預測IC!CZ23</f>
        <v>1.2696458900999137</v>
      </c>
      <c r="DA23" s="10">
        <f>CZ23+預測IC!DA23</f>
        <v>1.2386637538740033</v>
      </c>
      <c r="DB23" s="10">
        <f>DA23+預測IC!DB23</f>
        <v>1.2227085970070068</v>
      </c>
      <c r="DC23" s="10">
        <f>DB23+預測IC!DC23</f>
        <v>1.3418990830774211</v>
      </c>
      <c r="DD23" s="10">
        <f>DC23+預測IC!DD23</f>
        <v>1.5518261731703467</v>
      </c>
      <c r="DE23" s="10">
        <f>DD23+預測IC!DE23</f>
        <v>1.5424309472187017</v>
      </c>
      <c r="DF23" s="10">
        <f>DE23+預測IC!DF23</f>
        <v>1.6043730742636071</v>
      </c>
      <c r="DG23" s="10">
        <f>DF23+預測IC!DG23</f>
        <v>1.6426430861383241</v>
      </c>
      <c r="DH23" s="10">
        <f>DG23+預測IC!DH23</f>
        <v>1.6980565334470665</v>
      </c>
      <c r="DI23" s="10">
        <f>DH23+預測IC!DI23</f>
        <v>1.7515361303630874</v>
      </c>
      <c r="DJ23" s="10">
        <f>DI23+預測IC!DJ23</f>
        <v>1.6644781221907397</v>
      </c>
      <c r="DK23" s="10">
        <f>DJ23+預測IC!DK23</f>
        <v>1.9423113387495827</v>
      </c>
      <c r="DL23" s="10">
        <f>DK23+預測IC!DL23</f>
        <v>2.1584123982898564</v>
      </c>
      <c r="DM23" s="10">
        <f>DL23+預測IC!DM23</f>
        <v>2.1389150933704904</v>
      </c>
      <c r="DN23" s="10">
        <f>DM23+預測IC!DN23</f>
        <v>2.1454122894144607</v>
      </c>
      <c r="DO23" s="10">
        <f>DN23+預測IC!DO23</f>
        <v>2.3095035931482948</v>
      </c>
      <c r="DP23" s="10">
        <f>DO23+預測IC!DP23</f>
        <v>2.3565918258040175</v>
      </c>
      <c r="DQ23" s="10">
        <f>DP23+預測IC!DQ23</f>
        <v>2.1863808293004796</v>
      </c>
      <c r="DR23" s="10">
        <f>DQ23+預測IC!DR23</f>
        <v>2.096494826569173</v>
      </c>
      <c r="DS23" s="10">
        <f>DR23+預測IC!DS23</f>
        <v>1.8083982496501267</v>
      </c>
      <c r="DT23" s="10">
        <f>DS23+預測IC!DT23</f>
        <v>1.6844430264539278</v>
      </c>
      <c r="DU23" s="10">
        <f>DT23+預測IC!DU23</f>
        <v>1.7187302117089254</v>
      </c>
      <c r="DV23" s="10">
        <f>DU23+預測IC!DV23</f>
        <v>1.995001820038365</v>
      </c>
      <c r="DW23" s="10">
        <f>DV23+預測IC!DW23</f>
        <v>2.1362300526212037</v>
      </c>
      <c r="DX23" s="10">
        <f>DW23+預測IC!DX23</f>
        <v>1.8227368462422375</v>
      </c>
      <c r="DY23" s="10">
        <f>DX23+預測IC!DY23</f>
        <v>1.9926136748944916</v>
      </c>
      <c r="DZ23" s="10">
        <f>DY23+預測IC!DZ23</f>
        <v>1.9069227724115303</v>
      </c>
      <c r="EA23" s="10">
        <f>DZ23+預測IC!EA23</f>
        <v>1.8834738647984108</v>
      </c>
      <c r="EB23" s="10">
        <f>EA23+預測IC!EB23</f>
        <v>1.8207204250877358</v>
      </c>
      <c r="EC23" s="10">
        <f>EB23+預測IC!EC23</f>
        <v>1.7841361087619225</v>
      </c>
      <c r="ED23" s="10">
        <f>EC23+預測IC!ED23</f>
        <v>1.6927102041421416</v>
      </c>
      <c r="EE23" s="10">
        <f>ED23+預測IC!EE23</f>
        <v>1.7517608880303819</v>
      </c>
      <c r="EF23" s="10">
        <f>EE23+預測IC!EF23</f>
        <v>1.7039786094387221</v>
      </c>
    </row>
    <row r="24" spans="1:136">
      <c r="A24" s="4">
        <v>1</v>
      </c>
      <c r="B24" s="4">
        <v>964</v>
      </c>
      <c r="C24" s="21">
        <f>預測IC!C24</f>
        <v>0.162993136931085</v>
      </c>
      <c r="D24" s="10">
        <f>C24+預測IC!D24</f>
        <v>0.263603136931085</v>
      </c>
      <c r="E24" s="10">
        <f>D24+預測IC!E24</f>
        <v>0.33500346710038192</v>
      </c>
      <c r="F24" s="10">
        <f>E24+預測IC!F24</f>
        <v>0.41032946710038193</v>
      </c>
      <c r="G24" s="10">
        <f>F24+預測IC!G24</f>
        <v>0.63993646710038199</v>
      </c>
      <c r="H24" s="10">
        <f>G24+預測IC!H24</f>
        <v>0.67579246710038199</v>
      </c>
      <c r="I24" s="10">
        <f>H24+預測IC!I24</f>
        <v>0.67368053389723848</v>
      </c>
      <c r="J24" s="10">
        <f>I24+預測IC!J24</f>
        <v>0.55821953389723844</v>
      </c>
      <c r="K24" s="10">
        <f>J24+預測IC!K24</f>
        <v>0.61195253389723847</v>
      </c>
      <c r="L24" s="10">
        <f>K24+預測IC!L24</f>
        <v>0.70575253389723847</v>
      </c>
      <c r="M24" s="10">
        <f>L24+預測IC!M24</f>
        <v>0.48796653389723843</v>
      </c>
      <c r="N24" s="10">
        <f>M24+預測IC!N24</f>
        <v>2.2569985338972383</v>
      </c>
      <c r="O24" s="10">
        <f>N24+預測IC!O24</f>
        <v>2.0127185338972384</v>
      </c>
      <c r="P24" s="10">
        <f>O24+預測IC!P24</f>
        <v>1.908470119488239</v>
      </c>
      <c r="Q24" s="10">
        <f>P24+預測IC!Q24</f>
        <v>1.905630119488239</v>
      </c>
      <c r="R24" s="10">
        <f>Q24+預測IC!R24</f>
        <v>1.877803119488239</v>
      </c>
      <c r="S24" s="10">
        <f>R24+預測IC!S24</f>
        <v>1.5252886584280745</v>
      </c>
      <c r="T24" s="10">
        <f>S24+預測IC!T24</f>
        <v>1.2374686584280745</v>
      </c>
      <c r="U24" s="10">
        <f>T24+預測IC!U24</f>
        <v>1.5233216584280744</v>
      </c>
      <c r="V24" s="10">
        <f>U24+預測IC!V24</f>
        <v>1.4246416584280743</v>
      </c>
      <c r="W24" s="10">
        <f>V24+預測IC!W24</f>
        <v>1.2600796584280742</v>
      </c>
      <c r="X24" s="10">
        <f>W24+預測IC!X24</f>
        <v>1.1420572259220703</v>
      </c>
      <c r="Y24" s="10">
        <f>X24+預測IC!Y24</f>
        <v>1.0217382259220702</v>
      </c>
      <c r="Z24" s="10">
        <f>Y24+預測IC!Z24</f>
        <v>0.99734322592207025</v>
      </c>
      <c r="AA24" s="10">
        <f>Z24+預測IC!AA24</f>
        <v>1.0917052259220703</v>
      </c>
      <c r="AB24" s="10">
        <f>AA24+預測IC!AB24</f>
        <v>0.90745622592207031</v>
      </c>
      <c r="AC24" s="10">
        <f>AB24+預測IC!AC24</f>
        <v>0.66128622592207031</v>
      </c>
      <c r="AD24" s="10">
        <f>AC24+預測IC!AD24</f>
        <v>0.7624602259220703</v>
      </c>
      <c r="AE24" s="10">
        <f>AD24+預測IC!AE24</f>
        <v>0.22120210467578905</v>
      </c>
      <c r="AF24" s="10">
        <f>AE24+預測IC!AF24</f>
        <v>5.5500104675789058E-2</v>
      </c>
      <c r="AG24" s="10">
        <f>AF24+預測IC!AG24</f>
        <v>0.16140110467578905</v>
      </c>
      <c r="AH24" s="10">
        <f>AG24+預測IC!AH24</f>
        <v>9.2784104675789056E-2</v>
      </c>
      <c r="AI24" s="10">
        <f>AH24+預測IC!AI24</f>
        <v>0.40319810467578909</v>
      </c>
      <c r="AJ24" s="10">
        <f>AI24+預測IC!AJ24</f>
        <v>0.48863310467578908</v>
      </c>
      <c r="AK24" s="10">
        <f>AJ24+預測IC!AK24</f>
        <v>0.49007310467578907</v>
      </c>
      <c r="AL24" s="10">
        <f>AK24+預測IC!AL24</f>
        <v>0.43539616918515367</v>
      </c>
      <c r="AM24" s="10">
        <f>AL24+預測IC!AM24</f>
        <v>0.51399516918515364</v>
      </c>
      <c r="AN24" s="10">
        <f>AM24+預測IC!AN24</f>
        <v>0.73518463433058501</v>
      </c>
      <c r="AO24" s="10">
        <f>AN24+預測IC!AO24</f>
        <v>0.817876634330585</v>
      </c>
      <c r="AP24" s="10">
        <f>AO24+預測IC!AP24</f>
        <v>0.79502491884148863</v>
      </c>
      <c r="AQ24" s="10">
        <f>AP24+預測IC!AQ24</f>
        <v>0.57790091884148864</v>
      </c>
      <c r="AR24" s="10">
        <f>AQ24+預測IC!AR24</f>
        <v>0.40706791884148863</v>
      </c>
      <c r="AS24" s="10">
        <f>AR24+預測IC!AS24</f>
        <v>0.43502399610807868</v>
      </c>
      <c r="AT24" s="10">
        <f>AS24+預測IC!AT24</f>
        <v>0.46548320359278733</v>
      </c>
      <c r="AU24" s="10">
        <f>AT24+預測IC!AU24</f>
        <v>0.50957852345801169</v>
      </c>
      <c r="AV24" s="10">
        <f>AU24+預測IC!AV24</f>
        <v>0.42242657127111582</v>
      </c>
      <c r="AW24" s="10">
        <f>AV24+預測IC!AW24</f>
        <v>0.42741411278215502</v>
      </c>
      <c r="AX24" s="10">
        <f>AW24+預測IC!AX24</f>
        <v>0.45572029937057956</v>
      </c>
      <c r="AY24" s="10">
        <f>AX24+預測IC!AY24</f>
        <v>0.62384759325546901</v>
      </c>
      <c r="AZ24" s="10">
        <f>AY24+預測IC!AZ24</f>
        <v>0.66171466685513425</v>
      </c>
      <c r="BA24" s="10">
        <f>AZ24+預測IC!BA24</f>
        <v>0.6079199347705011</v>
      </c>
      <c r="BB24" s="10">
        <f>BA24+預測IC!BB24</f>
        <v>0.52176090137516629</v>
      </c>
      <c r="BC24" s="10">
        <f>BB24+預測IC!BC24</f>
        <v>-7.7660739648725552E-2</v>
      </c>
      <c r="BD24" s="10">
        <f>BC24+預測IC!BD24</f>
        <v>0.10793447959770966</v>
      </c>
      <c r="BE24" s="10">
        <f>BD24+預測IC!BE24</f>
        <v>6.1870125566022789E-2</v>
      </c>
      <c r="BF24" s="10">
        <f>BE24+預測IC!BF24</f>
        <v>0.14952146162011509</v>
      </c>
      <c r="BG24" s="10">
        <f>BF24+預測IC!BG24</f>
        <v>0.17635742748642602</v>
      </c>
      <c r="BH24" s="10">
        <f>BG24+預測IC!BH24</f>
        <v>-0.20989790942710895</v>
      </c>
      <c r="BI24" s="10">
        <f>BH24+預測IC!BI24</f>
        <v>1.3731196642938148E-2</v>
      </c>
      <c r="BJ24" s="10">
        <f>BI24+預測IC!BJ24</f>
        <v>1.7079512397822731E-2</v>
      </c>
      <c r="BK24" s="10">
        <f>BJ24+預測IC!BK24</f>
        <v>2.1103059292108959E-2</v>
      </c>
      <c r="BL24" s="10">
        <f>BK24+預測IC!BL24</f>
        <v>0.33826735321682561</v>
      </c>
      <c r="BM24" s="10">
        <f>BL24+預測IC!BM24</f>
        <v>0.34974037233456273</v>
      </c>
      <c r="BN24" s="10">
        <f>BM24+預測IC!BN24</f>
        <v>0.35658971418013752</v>
      </c>
      <c r="BO24" s="10">
        <f>BN24+預測IC!BO24</f>
        <v>0.19548002308449561</v>
      </c>
      <c r="BP24" s="10">
        <f>BO24+預測IC!BP24</f>
        <v>0.3188312042138175</v>
      </c>
      <c r="BQ24" s="10">
        <f>BP24+預測IC!BQ24</f>
        <v>0.25466157088370245</v>
      </c>
      <c r="BR24" s="10">
        <f>BQ24+預測IC!BR24</f>
        <v>0.29701779418712015</v>
      </c>
      <c r="BS24" s="10">
        <f>BR24+預測IC!BS24</f>
        <v>0.29573307670266319</v>
      </c>
      <c r="BT24" s="10">
        <f>BS24+預測IC!BT24</f>
        <v>0.41200377275685052</v>
      </c>
      <c r="BU24" s="10">
        <f>BT24+預測IC!BU24</f>
        <v>0.64033040431679122</v>
      </c>
      <c r="BV24" s="10">
        <f>BU24+預測IC!BV24</f>
        <v>0.74805885820477414</v>
      </c>
      <c r="BW24" s="10">
        <f>BV24+預測IC!BW24</f>
        <v>0.68622297456918102</v>
      </c>
      <c r="BX24" s="10">
        <f>BW24+預測IC!BX24</f>
        <v>0.55326291885872325</v>
      </c>
      <c r="BY24" s="10">
        <f>BX24+預測IC!BY24</f>
        <v>0.6630085880261406</v>
      </c>
      <c r="BZ24" s="10">
        <f>BY24+預測IC!BZ24</f>
        <v>0.92190148687613749</v>
      </c>
      <c r="CA24" s="10">
        <f>BZ24+預測IC!CA24</f>
        <v>0.80667980610272283</v>
      </c>
      <c r="CB24" s="10">
        <f>CA24+預測IC!CB24</f>
        <v>1.015441780390592</v>
      </c>
      <c r="CC24" s="10">
        <f>CB24+預測IC!CC24</f>
        <v>1.4552962926575255</v>
      </c>
      <c r="CD24" s="10">
        <f>CC24+預測IC!CD24</f>
        <v>1.4876885600118017</v>
      </c>
      <c r="CE24" s="10">
        <f>CD24+預測IC!CE24</f>
        <v>1.2775671247757132</v>
      </c>
      <c r="CF24" s="10">
        <f>CE24+預測IC!CF24</f>
        <v>1.4992884870211016</v>
      </c>
      <c r="CG24" s="10">
        <f>CF24+預測IC!CG24</f>
        <v>1.1754705080020411</v>
      </c>
      <c r="CH24" s="10">
        <f>CG24+預測IC!CH24</f>
        <v>1.5297478048445441</v>
      </c>
      <c r="CI24" s="10">
        <f>CH24+預測IC!CI24</f>
        <v>1.8581996255538087</v>
      </c>
      <c r="CJ24" s="10">
        <f>CI24+預測IC!CJ24</f>
        <v>1.8713091109732283</v>
      </c>
      <c r="CK24" s="10">
        <f>CJ24+預測IC!CK24</f>
        <v>1.9648391902889248</v>
      </c>
      <c r="CL24" s="10">
        <f>CK24+預測IC!CL24</f>
        <v>2.1065945236614656</v>
      </c>
      <c r="CM24" s="10">
        <f>CL24+預測IC!CM24</f>
        <v>2.6561816336205659</v>
      </c>
      <c r="CN24" s="10">
        <f>CM24+預測IC!CN24</f>
        <v>2.5484428671633528</v>
      </c>
      <c r="CO24" s="10">
        <f>CN24+預測IC!CO24</f>
        <v>1.7717896488271216</v>
      </c>
      <c r="CP24" s="10">
        <f>CO24+預測IC!CP24</f>
        <v>2.0596054200557576</v>
      </c>
      <c r="CQ24" s="10">
        <f>CP24+預測IC!CQ24</f>
        <v>2.1742925939190543</v>
      </c>
      <c r="CR24" s="10">
        <f>CQ24+預測IC!CR24</f>
        <v>2.2353774321586108</v>
      </c>
      <c r="CS24" s="10">
        <f>CR24+預測IC!CS24</f>
        <v>2.1494821994118052</v>
      </c>
      <c r="CT24" s="10">
        <f>CS24+預測IC!CT24</f>
        <v>2.2459012075592009</v>
      </c>
      <c r="CU24" s="10">
        <f>CT24+預測IC!CU24</f>
        <v>2.173149859902491</v>
      </c>
      <c r="CV24" s="10">
        <f>CU24+預測IC!CV24</f>
        <v>2.1882139074418663</v>
      </c>
      <c r="CW24" s="10">
        <f>CV24+預測IC!CW24</f>
        <v>2.3633310735138737</v>
      </c>
      <c r="CX24" s="10">
        <f>CW24+預測IC!CX24</f>
        <v>2.4185382672225608</v>
      </c>
      <c r="CY24" s="10">
        <f>CX24+預測IC!CY24</f>
        <v>2.3384713625857421</v>
      </c>
      <c r="CZ24" s="10">
        <f>CY24+預測IC!CZ24</f>
        <v>2.4506779910303091</v>
      </c>
      <c r="DA24" s="10">
        <f>CZ24+預測IC!DA24</f>
        <v>2.4751891951930638</v>
      </c>
      <c r="DB24" s="10">
        <f>DA24+預測IC!DB24</f>
        <v>2.2797285226804096</v>
      </c>
      <c r="DC24" s="10">
        <f>DB24+預測IC!DC24</f>
        <v>2.4741821209716273</v>
      </c>
      <c r="DD24" s="10">
        <f>DC24+預測IC!DD24</f>
        <v>2.6275635017107333</v>
      </c>
      <c r="DE24" s="10">
        <f>DD24+預測IC!DE24</f>
        <v>2.4515007442011982</v>
      </c>
      <c r="DF24" s="10">
        <f>DE24+預測IC!DF24</f>
        <v>2.3468357681806369</v>
      </c>
      <c r="DG24" s="10">
        <f>DF24+預測IC!DG24</f>
        <v>2.4059416023049809</v>
      </c>
      <c r="DH24" s="10">
        <f>DG24+預測IC!DH24</f>
        <v>2.5053085828049202</v>
      </c>
      <c r="DI24" s="10">
        <f>DH24+預測IC!DI24</f>
        <v>2.6471840417431896</v>
      </c>
      <c r="DJ24" s="10">
        <f>DI24+預測IC!DJ24</f>
        <v>2.51469543123395</v>
      </c>
      <c r="DK24" s="10">
        <f>DJ24+預測IC!DK24</f>
        <v>2.8542046418643938</v>
      </c>
      <c r="DL24" s="10">
        <f>DK24+預測IC!DL24</f>
        <v>3.067309068150275</v>
      </c>
      <c r="DM24" s="10">
        <f>DL24+預測IC!DM24</f>
        <v>2.9258695409234003</v>
      </c>
      <c r="DN24" s="10">
        <f>DM24+預測IC!DN24</f>
        <v>3.1592041116980965</v>
      </c>
      <c r="DO24" s="10">
        <f>DN24+預測IC!DO24</f>
        <v>3.3446449143307841</v>
      </c>
      <c r="DP24" s="10">
        <f>DO24+預測IC!DP24</f>
        <v>3.4590183398167982</v>
      </c>
      <c r="DQ24" s="10">
        <f>DP24+預測IC!DQ24</f>
        <v>3.3260409885808282</v>
      </c>
      <c r="DR24" s="10">
        <f>DQ24+預測IC!DR24</f>
        <v>3.3055253583687989</v>
      </c>
      <c r="DS24" s="10">
        <f>DR24+預測IC!DS24</f>
        <v>3.0892638173359535</v>
      </c>
      <c r="DT24" s="10">
        <f>DS24+預測IC!DT24</f>
        <v>3.0509009511658238</v>
      </c>
      <c r="DU24" s="10">
        <f>DT24+預測IC!DU24</f>
        <v>3.0032623638920661</v>
      </c>
      <c r="DV24" s="10">
        <f>DU24+預測IC!DV24</f>
        <v>3.1614870625358806</v>
      </c>
      <c r="DW24" s="10">
        <f>DV24+預測IC!DW24</f>
        <v>3.270344152427211</v>
      </c>
      <c r="DX24" s="10">
        <f>DW24+預測IC!DX24</f>
        <v>2.9587510246347071</v>
      </c>
      <c r="DY24" s="10">
        <f>DX24+預測IC!DY24</f>
        <v>3.3025553114329158</v>
      </c>
      <c r="DZ24" s="10">
        <f>DY24+預測IC!DZ24</f>
        <v>3.2520861290297991</v>
      </c>
      <c r="EA24" s="10">
        <f>DZ24+預測IC!EA24</f>
        <v>3.329437051257135</v>
      </c>
      <c r="EB24" s="10">
        <f>EA24+預測IC!EB24</f>
        <v>3.3578087881678718</v>
      </c>
      <c r="EC24" s="10">
        <f>EB24+預測IC!EC24</f>
        <v>3.3434988693971928</v>
      </c>
      <c r="ED24" s="10">
        <f>EC24+預測IC!ED24</f>
        <v>3.2873260240988307</v>
      </c>
      <c r="EE24" s="10">
        <f>ED24+預測IC!EE24</f>
        <v>3.4007554632900496</v>
      </c>
      <c r="EF24" s="10">
        <f>EE24+預測IC!EF24</f>
        <v>3.4680321403340182</v>
      </c>
    </row>
    <row r="25" spans="1:136">
      <c r="A25" s="3" t="s">
        <v>144</v>
      </c>
      <c r="B25" s="3" t="s">
        <v>145</v>
      </c>
      <c r="C25" s="11">
        <v>-1.7446770539390338E-2</v>
      </c>
      <c r="D25" s="17">
        <f>C25+預測IC!D26</f>
        <v>3.2542899924252917E-3</v>
      </c>
      <c r="E25" s="17">
        <f>D25+預測IC!E26</f>
        <v>2.7236419247192001E-2</v>
      </c>
      <c r="F25" s="17">
        <f>E25+預測IC!F26</f>
        <v>2.0678840274368924E-2</v>
      </c>
      <c r="G25" s="17">
        <f>F25+預測IC!G26</f>
        <v>5.2523970074888612E-2</v>
      </c>
      <c r="H25" s="17">
        <f>G25+預測IC!H26</f>
        <v>8.6872502811879138E-2</v>
      </c>
      <c r="I25" s="17">
        <f>H25+預測IC!I26</f>
        <v>7.8617570030553904E-2</v>
      </c>
      <c r="J25" s="17">
        <f>I25+預測IC!J26</f>
        <v>9.1461094424606662E-2</v>
      </c>
      <c r="K25" s="17">
        <f>J25+預測IC!K26</f>
        <v>4.0442569797815839E-2</v>
      </c>
      <c r="L25" s="17">
        <f>K25+預測IC!L26</f>
        <v>4.1316512538852428E-2</v>
      </c>
      <c r="M25" s="17">
        <f>L25+預測IC!M26</f>
        <v>6.4706088044348353E-2</v>
      </c>
      <c r="N25" s="17">
        <f>M25+預測IC!N26</f>
        <v>7.7695060244681202E-2</v>
      </c>
      <c r="O25" s="17">
        <f>N25+預測IC!O26</f>
        <v>8.3549648970316082E-2</v>
      </c>
      <c r="P25" s="17">
        <f>O25+預測IC!P26</f>
        <v>0.11096285554210664</v>
      </c>
      <c r="Q25" s="17">
        <f>P25+預測IC!Q26</f>
        <v>0.10724991942441378</v>
      </c>
      <c r="R25" s="17">
        <f>Q25+預測IC!R26</f>
        <v>0.13132653347223711</v>
      </c>
      <c r="S25" s="17">
        <f>R25+預測IC!S26</f>
        <v>0.11913650817319715</v>
      </c>
      <c r="T25" s="17">
        <f>S25+預測IC!T26</f>
        <v>7.9386930013607554E-2</v>
      </c>
      <c r="U25" s="17">
        <f>T25+預測IC!U26</f>
        <v>6.2314801819580018E-3</v>
      </c>
      <c r="V25" s="17">
        <f>U25+預測IC!V26</f>
        <v>-5.2028749728156659E-2</v>
      </c>
      <c r="W25" s="17">
        <f>V25+預測IC!W26</f>
        <v>-5.1255952162648284E-2</v>
      </c>
      <c r="X25" s="17">
        <f>W25+預測IC!X26</f>
        <v>-6.6644310274293142E-3</v>
      </c>
      <c r="Y25" s="17">
        <f>X25+預測IC!Y26</f>
        <v>-3.4364111077642409E-2</v>
      </c>
      <c r="Z25" s="17">
        <f>Y25+預測IC!Z26</f>
        <v>-3.226910512789876E-2</v>
      </c>
      <c r="AA25" s="17">
        <f>Z25+預測IC!AA26</f>
        <v>-5.5669656120462874E-2</v>
      </c>
      <c r="AB25" s="17">
        <f>AA25+預測IC!AB26</f>
        <v>-2.3540285023140685E-2</v>
      </c>
      <c r="AC25" s="17">
        <f>AB25+預測IC!AC26</f>
        <v>1.5362988070925745E-2</v>
      </c>
      <c r="AD25" s="17">
        <f>AC25+預測IC!AD26</f>
        <v>-2.7502394100178525E-2</v>
      </c>
      <c r="AE25" s="17">
        <f>AD25+預測IC!AE26</f>
        <v>-8.8551995500263658E-3</v>
      </c>
      <c r="AF25" s="17">
        <f>AE25+預測IC!AF26</f>
        <v>6.3745687725025833E-3</v>
      </c>
      <c r="AG25" s="17">
        <f>AF25+預測IC!AG26</f>
        <v>4.2391172551395004E-2</v>
      </c>
      <c r="AH25" s="17">
        <f>AG25+預測IC!AH26</f>
        <v>5.174578393671117E-2</v>
      </c>
      <c r="AI25" s="17">
        <f>AH25+預測IC!AI26</f>
        <v>6.2494035273549312E-2</v>
      </c>
      <c r="AJ25" s="17">
        <f>AI25+預測IC!AJ26</f>
        <v>7.5851789326630281E-2</v>
      </c>
      <c r="AK25" s="17">
        <f>AJ25+預測IC!AK26</f>
        <v>7.0519041997534893E-2</v>
      </c>
      <c r="AL25" s="17">
        <f>AK25+預測IC!AL26</f>
        <v>7.1902177804796574E-2</v>
      </c>
      <c r="AM25" s="17">
        <f>AL25+預測IC!AM26</f>
        <v>9.2698106224871041E-2</v>
      </c>
      <c r="AN25" s="17">
        <f>AM25+預測IC!AN26</f>
        <v>0.12421580844526167</v>
      </c>
      <c r="AO25" s="17">
        <f>AN25+預測IC!AO26</f>
        <v>0.13045752497859112</v>
      </c>
      <c r="AP25" s="17">
        <f>AO25+預測IC!AP26</f>
        <v>0.13660278663216249</v>
      </c>
      <c r="AQ25" s="17">
        <f>AP25+預測IC!AQ26</f>
        <v>0.15354914430885899</v>
      </c>
      <c r="AR25" s="17">
        <f>AQ25+預測IC!AR26</f>
        <v>0.18823197476316722</v>
      </c>
      <c r="AS25" s="17">
        <f>AR25+預測IC!AS26</f>
        <v>0.19133056338036419</v>
      </c>
      <c r="AT25" s="17">
        <f>AS25+預測IC!AT26</f>
        <v>0.2064119105238503</v>
      </c>
      <c r="AU25" s="17">
        <f>AT25+預測IC!AU26</f>
        <v>0.18716070129398632</v>
      </c>
      <c r="AV25" s="17">
        <f>AU25+預測IC!AV26</f>
        <v>0.22587221468161775</v>
      </c>
      <c r="AW25" s="17">
        <f>AV25+預測IC!AW26</f>
        <v>0.20401526354588115</v>
      </c>
      <c r="AX25" s="17">
        <f>AW25+預測IC!AX26</f>
        <v>0.21178956425567083</v>
      </c>
      <c r="AY25" s="17">
        <f>AX25+預測IC!AY26</f>
        <v>0.25418681095099677</v>
      </c>
      <c r="AZ25" s="17">
        <f>AY25+預測IC!AZ26</f>
        <v>0.22787783608983703</v>
      </c>
      <c r="BA25" s="17">
        <f>AZ25+預測IC!BA26</f>
        <v>0.23744958539855326</v>
      </c>
      <c r="BB25" s="17">
        <f>BA25+預測IC!BB26</f>
        <v>0.21319984413227844</v>
      </c>
      <c r="BC25" s="17">
        <f>BB25+預測IC!BC26</f>
        <v>0.23336321827619427</v>
      </c>
      <c r="BD25" s="17">
        <f>BC25+預測IC!BD26</f>
        <v>0.22985821949407825</v>
      </c>
      <c r="BE25" s="17">
        <f>BD25+預測IC!BE26</f>
        <v>0.25001015459262055</v>
      </c>
      <c r="BF25" s="17">
        <f>BE25+預測IC!BF26</f>
        <v>0.25059149082339083</v>
      </c>
      <c r="BG25" s="17">
        <f>BF25+預測IC!BG26</f>
        <v>0.24537178987013822</v>
      </c>
      <c r="BH25" s="17">
        <f>BG25+預測IC!BH26</f>
        <v>0.12950002846800823</v>
      </c>
      <c r="BI25" s="17">
        <f>BH25+預測IC!BI26</f>
        <v>0.13822525416044559</v>
      </c>
      <c r="BJ25" s="17">
        <f>BI25+預測IC!BJ26</f>
        <v>0.12184799318262345</v>
      </c>
      <c r="BK25" s="17">
        <f>BJ25+預測IC!BK26</f>
        <v>0.14268836478288388</v>
      </c>
      <c r="BL25" s="17">
        <f>BK25+預測IC!BL26</f>
        <v>0.18766423688499859</v>
      </c>
      <c r="BM25" s="17">
        <f>BL25+預測IC!BM26</f>
        <v>0.21161854296686244</v>
      </c>
      <c r="BN25" s="17">
        <f>BM25+預測IC!BN26</f>
        <v>0.24185764435830504</v>
      </c>
      <c r="BO25" s="17">
        <f>BN25+預測IC!BO26</f>
        <v>0.19813175676721753</v>
      </c>
      <c r="BP25" s="17">
        <f>BO25+預測IC!BP26</f>
        <v>0.22002122633541615</v>
      </c>
      <c r="BQ25" s="17">
        <f>BP25+預測IC!BQ26</f>
        <v>0.22864865659892455</v>
      </c>
      <c r="BR25" s="17">
        <f>BQ25+預測IC!BR26</f>
        <v>0.20945570260426577</v>
      </c>
      <c r="BS25" s="17">
        <f>BR25+預測IC!BS26</f>
        <v>0.22919083249239883</v>
      </c>
      <c r="BT25" s="17">
        <f>BS25+預測IC!BT26</f>
        <v>0.27688516997609824</v>
      </c>
      <c r="BU25" s="17">
        <f>BT25+預測IC!BU26</f>
        <v>0.28833998678268163</v>
      </c>
      <c r="BV25" s="17">
        <f>BU25+預測IC!BV26</f>
        <v>0.33156860751789485</v>
      </c>
      <c r="BW25" s="17">
        <f>BV25+預測IC!BW26</f>
        <v>0.28882117708097205</v>
      </c>
      <c r="BX25" s="17">
        <f>BW25+預測IC!BX26</f>
        <v>0.27100988465317749</v>
      </c>
      <c r="BY25" s="17">
        <f>BX25+預測IC!BY26</f>
        <v>0.11985678778410189</v>
      </c>
      <c r="BZ25" s="17">
        <f>BY25+預測IC!BZ26</f>
        <v>0.24408079140367717</v>
      </c>
      <c r="CA25" s="17">
        <f>BZ25+預測IC!CA26</f>
        <v>0.23952353755914751</v>
      </c>
      <c r="CB25" s="17">
        <f>CA25+預測IC!CB26</f>
        <v>0.29973477776405871</v>
      </c>
      <c r="CC25" s="17">
        <f>CB25+預測IC!CC26</f>
        <v>0.385726811246561</v>
      </c>
      <c r="CD25" s="17">
        <f>CC25+預測IC!CD26</f>
        <v>0.37991833166419492</v>
      </c>
      <c r="CE25" s="17">
        <f>CD25+預測IC!CE26</f>
        <v>0.37387698467522684</v>
      </c>
      <c r="CF25" s="17">
        <f>CE25+預測IC!CF26</f>
        <v>0.37632930904747891</v>
      </c>
      <c r="CG25" s="17">
        <f>CF25+預測IC!CG26</f>
        <v>0.46596556098450181</v>
      </c>
      <c r="CH25" s="17">
        <f>CG25+預測IC!CH26</f>
        <v>0.53695829351125968</v>
      </c>
      <c r="CI25" s="17">
        <f>CH25+預測IC!CI26</f>
        <v>0.56412893641304307</v>
      </c>
      <c r="CJ25" s="17">
        <f>CI25+預測IC!CJ26</f>
        <v>0.61659736483837313</v>
      </c>
      <c r="CK25" s="17">
        <f>CJ25+預測IC!CK26</f>
        <v>0.64607802578142259</v>
      </c>
      <c r="CL25" s="17">
        <f>CK25+預測IC!CL26</f>
        <v>0.71290310684162383</v>
      </c>
      <c r="CM25" s="17">
        <f>CL25+預測IC!CM26</f>
        <v>0.68413087782180682</v>
      </c>
      <c r="CN25" s="17">
        <f>CM25+預測IC!CN26</f>
        <v>0.72359339372344467</v>
      </c>
      <c r="CO25" s="17">
        <f>CN25+預測IC!CO26</f>
        <v>0.69456230674608477</v>
      </c>
      <c r="CP25" s="17">
        <f>CO25+預測IC!CP26</f>
        <v>0.70854618926555268</v>
      </c>
      <c r="CQ25" s="17">
        <f>CP25+預測IC!CQ26</f>
        <v>0.67626922430621883</v>
      </c>
      <c r="CR25" s="17">
        <f>CQ25+預測IC!CR26</f>
        <v>0.6793728009191129</v>
      </c>
      <c r="CS25" s="17">
        <f>CR25+預測IC!CS26</f>
        <v>0.70496465668619601</v>
      </c>
      <c r="CT25" s="17">
        <f>CS25+預測IC!CT26</f>
        <v>0.74935654297338927</v>
      </c>
      <c r="CU25" s="17">
        <f>CT25+預測IC!CU26</f>
        <v>0.71901758442381181</v>
      </c>
      <c r="CV25" s="17">
        <f>CU25+預測IC!CV26</f>
        <v>0.7177596079692401</v>
      </c>
      <c r="CW25" s="17">
        <f>CV25+預測IC!CW26</f>
        <v>0.72009596442509805</v>
      </c>
      <c r="CX25" s="17">
        <f>CW25+預測IC!CX26</f>
        <v>0.655831819499192</v>
      </c>
      <c r="CY25" s="17">
        <f>CX25+預測IC!CY26</f>
        <v>0.66874159895818441</v>
      </c>
      <c r="CZ25" s="17">
        <f>CY25+預測IC!CZ26</f>
        <v>0.54326450428732564</v>
      </c>
      <c r="DA25" s="17">
        <f>CZ25+預測IC!DA26</f>
        <v>0.55495518722711823</v>
      </c>
      <c r="DB25" s="17">
        <f>DA25+預測IC!DB26</f>
        <v>0.56129303092785998</v>
      </c>
      <c r="DC25" s="17">
        <f>DB25+預測IC!DC26</f>
        <v>0.44398767445847448</v>
      </c>
      <c r="DD25" s="17">
        <f>DC25+預測IC!DD26</f>
        <v>0.40797680240902789</v>
      </c>
      <c r="DE25" s="17">
        <f>DD25+預測IC!DE26</f>
        <v>0.54688810648129582</v>
      </c>
      <c r="DF25" s="17">
        <f>DE25+預測IC!DF26</f>
        <v>0.49574460025519007</v>
      </c>
      <c r="DG25" s="17">
        <f>DF25+預測IC!DG26</f>
        <v>0.57247604743715907</v>
      </c>
      <c r="DH25" s="17">
        <f>DG25+預測IC!DH26</f>
        <v>0.58798482963416721</v>
      </c>
      <c r="DI25" s="17">
        <f>DH25+預測IC!DI26</f>
        <v>0.61120860330892302</v>
      </c>
      <c r="DJ25" s="17">
        <f>DI25+預測IC!DJ26</f>
        <v>0.59283572694769515</v>
      </c>
      <c r="DK25" s="17">
        <f>DJ25+預測IC!DK26</f>
        <v>0.65503474103279458</v>
      </c>
      <c r="DL25" s="17">
        <f>DK25+預測IC!DL26</f>
        <v>0.67513304551975173</v>
      </c>
      <c r="DM25" s="17">
        <f>DL25+預測IC!DM26</f>
        <v>0.68863198526781977</v>
      </c>
      <c r="DN25" s="17">
        <f>DM25+預測IC!DN26</f>
        <v>0.65837977253939894</v>
      </c>
      <c r="DO25" s="17">
        <f>DN25+預測IC!DO26</f>
        <v>0.64135693683134509</v>
      </c>
      <c r="DP25" s="17">
        <f>DO25+預測IC!DP26</f>
        <v>0.61956841355888315</v>
      </c>
      <c r="DQ25" s="17">
        <f>DP25+預測IC!DQ26</f>
        <v>0.70531403814402038</v>
      </c>
      <c r="DR25" s="17">
        <f>DQ25+預測IC!DR26</f>
        <v>0.73342078174899417</v>
      </c>
      <c r="DS25" s="17">
        <f>DR25+預測IC!DS26</f>
        <v>0.73111762194163477</v>
      </c>
      <c r="DT25" s="17">
        <f>DS25+預測IC!DT26</f>
        <v>0.78958882007312226</v>
      </c>
      <c r="DU25" s="17">
        <f>DT25+預測IC!DU26</f>
        <v>0.85724776912176992</v>
      </c>
      <c r="DV25" s="17">
        <f>DU25+預測IC!DV26</f>
        <v>0.86226853976220219</v>
      </c>
      <c r="DW25" s="17">
        <f>DV25+預測IC!DW26</f>
        <v>0.89968472343740924</v>
      </c>
      <c r="DX25" s="17">
        <f>DW25+預測IC!DX26</f>
        <v>0.98379572718345132</v>
      </c>
      <c r="DY25" s="17">
        <f>DX25+預測IC!DY26</f>
        <v>0.94696332863943844</v>
      </c>
      <c r="DZ25" s="17">
        <f>DY25+預測IC!DZ26</f>
        <v>0.95005503145637549</v>
      </c>
      <c r="EA25" s="17">
        <f>DZ25+預測IC!EA26</f>
        <v>0.94809740324208092</v>
      </c>
      <c r="EB25" s="17">
        <f>EA25+預測IC!EB26</f>
        <v>0.97455650684560069</v>
      </c>
      <c r="EC25" s="17">
        <f>EB25+預測IC!EC26</f>
        <v>0.94980396808491041</v>
      </c>
      <c r="ED25" s="17">
        <f>EC25+預測IC!ED26</f>
        <v>0.98391945906747036</v>
      </c>
      <c r="EE25" s="17">
        <f>ED25+預測IC!EE26</f>
        <v>1.0049814330565034</v>
      </c>
      <c r="EF25" s="17">
        <f>EE25+預測IC!EF26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CCBC-B015-4587-AFCB-17B5E5770A72}">
  <dimension ref="A1:EG25"/>
  <sheetViews>
    <sheetView topLeftCell="A5" zoomScale="108" zoomScaleNormal="87" workbookViewId="0">
      <selection activeCell="N28" sqref="N28"/>
    </sheetView>
  </sheetViews>
  <sheetFormatPr baseColWidth="10" defaultColWidth="9" defaultRowHeight="14"/>
  <cols>
    <col min="136" max="136" width="9.3984375" bestFit="1" customWidth="1"/>
  </cols>
  <sheetData>
    <row r="1" spans="1:137">
      <c r="A1" s="7" t="str">
        <f>預測IC!A1</f>
        <v>NN4</v>
      </c>
      <c r="B1" s="7"/>
    </row>
    <row r="2" spans="1:137">
      <c r="A2" s="7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5" t="s">
        <v>43</v>
      </c>
      <c r="AT2" s="5" t="s">
        <v>44</v>
      </c>
      <c r="AU2" s="5" t="s">
        <v>45</v>
      </c>
      <c r="AV2" s="5" t="s">
        <v>46</v>
      </c>
      <c r="AW2" s="5" t="s">
        <v>47</v>
      </c>
      <c r="AX2" s="5" t="s">
        <v>48</v>
      </c>
      <c r="AY2" s="5" t="s">
        <v>49</v>
      </c>
      <c r="AZ2" s="5" t="s">
        <v>50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55</v>
      </c>
      <c r="BF2" s="5" t="s">
        <v>56</v>
      </c>
      <c r="BG2" s="5" t="s">
        <v>57</v>
      </c>
      <c r="BH2" s="5" t="s">
        <v>58</v>
      </c>
      <c r="BI2" s="5" t="s">
        <v>59</v>
      </c>
      <c r="BJ2" s="5" t="s">
        <v>60</v>
      </c>
      <c r="BK2" s="5" t="s">
        <v>61</v>
      </c>
      <c r="BL2" s="5" t="s">
        <v>62</v>
      </c>
      <c r="BM2" s="5" t="s">
        <v>63</v>
      </c>
      <c r="BN2" s="5" t="s">
        <v>64</v>
      </c>
      <c r="BO2" s="5" t="s">
        <v>65</v>
      </c>
      <c r="BP2" s="5" t="s">
        <v>66</v>
      </c>
      <c r="BQ2" s="5" t="s">
        <v>67</v>
      </c>
      <c r="BR2" s="5" t="s">
        <v>68</v>
      </c>
      <c r="BS2" s="5" t="s">
        <v>69</v>
      </c>
      <c r="BT2" s="5" t="s">
        <v>70</v>
      </c>
      <c r="BU2" s="5" t="s">
        <v>71</v>
      </c>
      <c r="BV2" s="5" t="s">
        <v>72</v>
      </c>
      <c r="BW2" s="5" t="s">
        <v>73</v>
      </c>
      <c r="BX2" s="5" t="s">
        <v>74</v>
      </c>
      <c r="BY2" s="5" t="s">
        <v>75</v>
      </c>
      <c r="BZ2" s="5" t="s">
        <v>76</v>
      </c>
      <c r="CA2" s="5" t="s">
        <v>77</v>
      </c>
      <c r="CB2" s="5" t="s">
        <v>78</v>
      </c>
      <c r="CC2" s="5" t="s">
        <v>79</v>
      </c>
      <c r="CD2" s="5" t="s">
        <v>80</v>
      </c>
      <c r="CE2" s="5" t="s">
        <v>81</v>
      </c>
      <c r="CF2" s="5" t="s">
        <v>82</v>
      </c>
      <c r="CG2" s="5" t="s">
        <v>83</v>
      </c>
      <c r="CH2" s="5" t="s">
        <v>84</v>
      </c>
      <c r="CI2" s="5" t="s">
        <v>85</v>
      </c>
      <c r="CJ2" s="5" t="s">
        <v>86</v>
      </c>
      <c r="CK2" s="5" t="s">
        <v>87</v>
      </c>
      <c r="CL2" s="5" t="s">
        <v>88</v>
      </c>
      <c r="CM2" s="5" t="s">
        <v>89</v>
      </c>
      <c r="CN2" s="5" t="s">
        <v>90</v>
      </c>
      <c r="CO2" s="5" t="s">
        <v>91</v>
      </c>
      <c r="CP2" s="5" t="s">
        <v>92</v>
      </c>
      <c r="CQ2" s="5" t="s">
        <v>93</v>
      </c>
      <c r="CR2" s="5" t="s">
        <v>94</v>
      </c>
      <c r="CS2" s="5" t="s">
        <v>95</v>
      </c>
      <c r="CT2" s="5" t="s">
        <v>96</v>
      </c>
      <c r="CU2" s="5" t="s">
        <v>97</v>
      </c>
      <c r="CV2" s="5" t="s">
        <v>98</v>
      </c>
      <c r="CW2" s="5" t="s">
        <v>99</v>
      </c>
      <c r="CX2" s="5" t="s">
        <v>100</v>
      </c>
      <c r="CY2" s="5" t="s">
        <v>101</v>
      </c>
      <c r="CZ2" s="5" t="s">
        <v>102</v>
      </c>
      <c r="DA2" s="5" t="s">
        <v>103</v>
      </c>
      <c r="DB2" s="5" t="s">
        <v>104</v>
      </c>
      <c r="DC2" s="5" t="s">
        <v>105</v>
      </c>
      <c r="DD2" s="5" t="s">
        <v>106</v>
      </c>
      <c r="DE2" s="5" t="s">
        <v>107</v>
      </c>
      <c r="DF2" s="5" t="s">
        <v>108</v>
      </c>
      <c r="DG2" s="5" t="s">
        <v>109</v>
      </c>
      <c r="DH2" s="5" t="s">
        <v>110</v>
      </c>
      <c r="DI2" s="5" t="s">
        <v>111</v>
      </c>
      <c r="DJ2" s="5" t="s">
        <v>112</v>
      </c>
      <c r="DK2" s="5" t="s">
        <v>113</v>
      </c>
      <c r="DL2" s="5" t="s">
        <v>114</v>
      </c>
      <c r="DM2" s="5" t="s">
        <v>115</v>
      </c>
      <c r="DN2" s="5" t="s">
        <v>116</v>
      </c>
      <c r="DO2" s="5" t="s">
        <v>117</v>
      </c>
      <c r="DP2" s="5" t="s">
        <v>118</v>
      </c>
      <c r="DQ2" s="5" t="s">
        <v>119</v>
      </c>
      <c r="DR2" s="5" t="s">
        <v>120</v>
      </c>
      <c r="DS2" s="5" t="s">
        <v>121</v>
      </c>
      <c r="DT2" s="5" t="s">
        <v>122</v>
      </c>
      <c r="DU2" s="5" t="s">
        <v>123</v>
      </c>
      <c r="DV2" s="5" t="s">
        <v>124</v>
      </c>
      <c r="DW2" s="5" t="s">
        <v>125</v>
      </c>
      <c r="DX2" s="5" t="s">
        <v>126</v>
      </c>
      <c r="DY2" s="5" t="s">
        <v>127</v>
      </c>
      <c r="DZ2" s="5" t="s">
        <v>128</v>
      </c>
      <c r="EA2" s="5" t="s">
        <v>129</v>
      </c>
      <c r="EB2" s="5" t="s">
        <v>130</v>
      </c>
      <c r="EC2" s="5" t="s">
        <v>131</v>
      </c>
      <c r="ED2" s="5" t="s">
        <v>132</v>
      </c>
      <c r="EE2" s="5" t="s">
        <v>133</v>
      </c>
      <c r="EF2" s="5" t="s">
        <v>134</v>
      </c>
      <c r="EG2" s="5" t="s">
        <v>135</v>
      </c>
    </row>
    <row r="3" spans="1:137">
      <c r="A3" s="7"/>
      <c r="B3" s="5" t="s">
        <v>136</v>
      </c>
      <c r="C3" s="21">
        <f>預測IC!C3</f>
        <v>5.338069424033165E-2</v>
      </c>
      <c r="D3" s="21">
        <f>預測IC!D3</f>
        <v>2.5363307446241379E-2</v>
      </c>
      <c r="E3" s="21">
        <f>預測IC!E3</f>
        <v>3.7131085991859443E-2</v>
      </c>
      <c r="F3" s="21">
        <f>預測IC!F3</f>
        <v>-1.5433895401656629E-2</v>
      </c>
      <c r="G3" s="21">
        <f>預測IC!G3</f>
        <v>3.8762547075748437E-2</v>
      </c>
      <c r="H3" s="21">
        <f>預測IC!H3</f>
        <v>1.892003417015076E-2</v>
      </c>
      <c r="I3" s="21">
        <f>預測IC!I3</f>
        <v>3.051983006298542E-2</v>
      </c>
      <c r="J3" s="21">
        <f>預測IC!J3</f>
        <v>-7.0650950074195862E-3</v>
      </c>
      <c r="K3" s="21">
        <f>預測IC!K3</f>
        <v>8.7663400918245316E-3</v>
      </c>
      <c r="L3" s="21">
        <f>預測IC!L3</f>
        <v>-1.6310771927237511E-2</v>
      </c>
      <c r="M3" s="21">
        <f>預測IC!M3</f>
        <v>2.2654309868812561E-2</v>
      </c>
      <c r="N3" s="21">
        <f>預測IC!N3</f>
        <v>-1.6186010092496868E-2</v>
      </c>
      <c r="O3" s="21">
        <f>預測IC!O3</f>
        <v>-2.7719441801309589E-2</v>
      </c>
      <c r="P3" s="21">
        <f>預測IC!P3</f>
        <v>9.2788353562355042E-2</v>
      </c>
      <c r="Q3" s="21">
        <f>預測IC!Q3</f>
        <v>-1.6570717096328739E-2</v>
      </c>
      <c r="R3" s="21">
        <f>預測IC!R3</f>
        <v>-1.4206883497536181E-2</v>
      </c>
      <c r="S3" s="21">
        <f>預測IC!S3</f>
        <v>4.957927018404007E-2</v>
      </c>
      <c r="T3" s="21">
        <f>預測IC!T3</f>
        <v>2.795058116316795E-2</v>
      </c>
      <c r="U3" s="21">
        <f>預測IC!U3</f>
        <v>1.4803186058998111E-4</v>
      </c>
      <c r="V3" s="21">
        <f>預測IC!V3</f>
        <v>-1.9191417843103409E-2</v>
      </c>
      <c r="W3" s="21">
        <f>預測IC!W3</f>
        <v>-2.0450763404369351E-2</v>
      </c>
      <c r="X3" s="21">
        <f>預測IC!X3</f>
        <v>-3.8444548845291138E-2</v>
      </c>
      <c r="Y3" s="21">
        <f>預測IC!Y3</f>
        <v>-2.1946478635072712E-2</v>
      </c>
      <c r="Z3" s="21">
        <f>預測IC!Z3</f>
        <v>1.4381051063537599E-2</v>
      </c>
      <c r="AA3" s="21">
        <f>預測IC!AA3</f>
        <v>2.881650626659393E-2</v>
      </c>
      <c r="AB3" s="21">
        <f>預測IC!AB3</f>
        <v>-2.372733503580093E-2</v>
      </c>
      <c r="AC3" s="21">
        <f>預測IC!AC3</f>
        <v>-1.292891800403595E-2</v>
      </c>
      <c r="AD3" s="21">
        <f>預測IC!AD3</f>
        <v>2.2476669400930401E-2</v>
      </c>
      <c r="AE3" s="21">
        <f>預測IC!AE3</f>
        <v>3.8704991340637207E-2</v>
      </c>
      <c r="AF3" s="21">
        <f>預測IC!AF3</f>
        <v>1.200170814990997E-2</v>
      </c>
      <c r="AG3" s="21">
        <f>預測IC!AG3</f>
        <v>-2.7202442288398739E-2</v>
      </c>
      <c r="AH3" s="21">
        <f>預測IC!AH3</f>
        <v>1.702401414513588E-2</v>
      </c>
      <c r="AI3" s="21">
        <f>預測IC!AI3</f>
        <v>1.4300147071480749E-2</v>
      </c>
      <c r="AJ3" s="21">
        <f>預測IC!AJ3</f>
        <v>1.841375045478344E-2</v>
      </c>
      <c r="AK3" s="21">
        <f>預測IC!AK3</f>
        <v>1.0560634545981881E-2</v>
      </c>
      <c r="AL3" s="21">
        <f>預測IC!AL3</f>
        <v>3.8964591920375817E-2</v>
      </c>
      <c r="AM3" s="21">
        <f>預測IC!AM3</f>
        <v>1.855255663394928E-2</v>
      </c>
      <c r="AN3" s="21">
        <f>預測IC!AN3</f>
        <v>4.386327788233757E-2</v>
      </c>
      <c r="AO3" s="21">
        <f>預測IC!AO3</f>
        <v>-3.6691559944301839E-3</v>
      </c>
      <c r="AP3" s="21">
        <f>預測IC!AP3</f>
        <v>3.8291200995445251E-2</v>
      </c>
      <c r="AQ3" s="21">
        <f>預測IC!AQ3</f>
        <v>1.015769504010677E-2</v>
      </c>
      <c r="AR3" s="21">
        <f>預測IC!AR3</f>
        <v>8.0924127250909805E-3</v>
      </c>
      <c r="AS3" s="21">
        <f>預測IC!AS3</f>
        <v>-6.6054962575435638E-2</v>
      </c>
      <c r="AT3" s="21">
        <f>預測IC!AT3</f>
        <v>4.3137997388839722E-2</v>
      </c>
      <c r="AU3" s="21">
        <f>預測IC!AU3</f>
        <v>4.9771856516599662E-2</v>
      </c>
      <c r="AV3" s="21">
        <f>預測IC!AV3</f>
        <v>4.9413982778787613E-2</v>
      </c>
      <c r="AW3" s="21">
        <f>預測IC!AW3</f>
        <v>5.1071316003799438E-2</v>
      </c>
      <c r="AX3" s="21">
        <f>預測IC!AX3</f>
        <v>4.962177574634552E-2</v>
      </c>
      <c r="AY3" s="21">
        <f>預測IC!AY3</f>
        <v>5.1257487386465073E-2</v>
      </c>
      <c r="AZ3" s="21">
        <f>預測IC!AZ3</f>
        <v>4.2423129081726067E-2</v>
      </c>
      <c r="BA3" s="21">
        <f>預測IC!BA3</f>
        <v>3.9333701133728027E-2</v>
      </c>
      <c r="BB3" s="21">
        <f>預測IC!BB3</f>
        <v>3.9388258010149002E-2</v>
      </c>
      <c r="BC3" s="21">
        <f>預測IC!BC3</f>
        <v>4.2884018272161477E-2</v>
      </c>
      <c r="BD3" s="21">
        <f>預測IC!BD3</f>
        <v>4.4494438916444778E-2</v>
      </c>
      <c r="BE3" s="21">
        <f>預測IC!BE3</f>
        <v>4.6050392091274261E-2</v>
      </c>
      <c r="BF3" s="21">
        <f>預測IC!BF3</f>
        <v>5.2774351090192788E-2</v>
      </c>
      <c r="BG3" s="21">
        <f>預測IC!BG3</f>
        <v>5.2520696073770523E-2</v>
      </c>
      <c r="BH3" s="21">
        <f>預測IC!BH3</f>
        <v>5.204303190112114E-2</v>
      </c>
      <c r="BI3" s="21">
        <f>預測IC!BI3</f>
        <v>5.3213786333799362E-2</v>
      </c>
      <c r="BJ3" s="21">
        <f>預測IC!BJ3</f>
        <v>5.14848493039608E-2</v>
      </c>
      <c r="BK3" s="21">
        <f>預測IC!BK3</f>
        <v>5.2345767617225647E-2</v>
      </c>
      <c r="BL3" s="21">
        <f>預測IC!BL3</f>
        <v>5.2821684628725052E-2</v>
      </c>
      <c r="BM3" s="21">
        <f>預測IC!BM3</f>
        <v>5.246623232960701E-2</v>
      </c>
      <c r="BN3" s="21">
        <f>預測IC!BN3</f>
        <v>5.7477392256259918E-2</v>
      </c>
      <c r="BO3" s="21">
        <f>預測IC!BO3</f>
        <v>5.5104456841945648E-2</v>
      </c>
      <c r="BP3" s="21">
        <f>預測IC!BP3</f>
        <v>4.081440344452858E-2</v>
      </c>
      <c r="BQ3" s="21">
        <f>預測IC!BQ3</f>
        <v>5.2616532891988747E-2</v>
      </c>
      <c r="BR3" s="21">
        <f>預測IC!BR3</f>
        <v>3.6645740270614617E-2</v>
      </c>
      <c r="BS3" s="21">
        <f>預測IC!BS3</f>
        <v>5.4600823670625687E-2</v>
      </c>
      <c r="BT3" s="21">
        <f>預測IC!BT3</f>
        <v>4.5548383146524429E-2</v>
      </c>
      <c r="BU3" s="21">
        <f>預測IC!BU3</f>
        <v>5.5572357028722763E-2</v>
      </c>
      <c r="BV3" s="21">
        <f>預測IC!BV3</f>
        <v>5.2330784499645233E-2</v>
      </c>
      <c r="BW3" s="21">
        <f>預測IC!BW3</f>
        <v>4.1799742728471763E-2</v>
      </c>
      <c r="BX3" s="21">
        <f>預測IC!BX3</f>
        <v>4.7964099794626243E-2</v>
      </c>
      <c r="BY3" s="21">
        <f>預測IC!BY3</f>
        <v>4.9554049968719482E-2</v>
      </c>
      <c r="BZ3" s="21">
        <f>預測IC!BZ3</f>
        <v>5.3468108177185059E-2</v>
      </c>
      <c r="CA3" s="21">
        <f>預測IC!CA3</f>
        <v>4.868757352232933E-2</v>
      </c>
      <c r="CB3" s="21">
        <f>預測IC!CB3</f>
        <v>4.6025428920984268E-2</v>
      </c>
      <c r="CC3" s="21">
        <f>預測IC!CC3</f>
        <v>5.2412558346986771E-2</v>
      </c>
      <c r="CD3" s="21">
        <f>預測IC!CD3</f>
        <v>4.9619406461715698E-2</v>
      </c>
      <c r="CE3" s="21">
        <f>預測IC!CE3</f>
        <v>4.6824052929878228E-2</v>
      </c>
      <c r="CF3" s="21">
        <f>預測IC!CF3</f>
        <v>5.0924398005008698E-2</v>
      </c>
      <c r="CG3" s="21">
        <f>預測IC!CG3</f>
        <v>4.6287201344966888E-2</v>
      </c>
      <c r="CH3" s="21">
        <f>預測IC!CH3</f>
        <v>5.0006065517663963E-2</v>
      </c>
      <c r="CI3" s="21">
        <f>預測IC!CI3</f>
        <v>4.8990387469530113E-2</v>
      </c>
      <c r="CJ3" s="21">
        <f>預測IC!CJ3</f>
        <v>5.0737027078866959E-2</v>
      </c>
      <c r="CK3" s="21">
        <f>預測IC!CK3</f>
        <v>5.0407581031322479E-2</v>
      </c>
      <c r="CL3" s="21">
        <f>預測IC!CL3</f>
        <v>5.1771163940429688E-2</v>
      </c>
      <c r="CM3" s="21">
        <f>預測IC!CM3</f>
        <v>4.9744158983230591E-2</v>
      </c>
      <c r="CN3" s="21">
        <f>預測IC!CN3</f>
        <v>4.9877673387527473E-2</v>
      </c>
      <c r="CO3" s="21">
        <f>預測IC!CO3</f>
        <v>4.8527717590332031E-2</v>
      </c>
      <c r="CP3" s="21">
        <f>預測IC!CP3</f>
        <v>4.8692740499973297E-2</v>
      </c>
      <c r="CQ3" s="21">
        <f>預測IC!CQ3</f>
        <v>4.9047302454710007E-2</v>
      </c>
      <c r="CR3" s="21">
        <f>預測IC!CR3</f>
        <v>4.9837246537208557E-2</v>
      </c>
      <c r="CS3" s="21">
        <f>預測IC!CS3</f>
        <v>4.7483202069997787E-2</v>
      </c>
      <c r="CT3" s="21">
        <f>預測IC!CT3</f>
        <v>3.1795904040336609E-2</v>
      </c>
      <c r="CU3" s="21">
        <f>預測IC!CU3</f>
        <v>4.4976841658353812E-2</v>
      </c>
      <c r="CV3" s="21">
        <f>預測IC!CV3</f>
        <v>4.9786105751991272E-2</v>
      </c>
      <c r="CW3" s="21">
        <f>預測IC!CW3</f>
        <v>4.3859463185071952E-2</v>
      </c>
      <c r="CX3" s="21">
        <f>預測IC!CX3</f>
        <v>5.1966626197099693E-2</v>
      </c>
      <c r="CY3" s="21">
        <f>預測IC!CY3</f>
        <v>5.0948314368724823E-2</v>
      </c>
      <c r="CZ3" s="21">
        <f>預測IC!CZ3</f>
        <v>4.4357843697071082E-2</v>
      </c>
      <c r="DA3" s="21">
        <f>預測IC!DA3</f>
        <v>4.5401513576507568E-2</v>
      </c>
      <c r="DB3" s="21">
        <f>預測IC!DB3</f>
        <v>5.2733633667230613E-2</v>
      </c>
      <c r="DC3" s="21">
        <f>預測IC!DC3</f>
        <v>5.2081622183322913E-2</v>
      </c>
      <c r="DD3" s="21">
        <f>預測IC!DD3</f>
        <v>4.963703453540802E-2</v>
      </c>
      <c r="DE3" s="21">
        <f>預測IC!DE3</f>
        <v>5.2589800208806992E-2</v>
      </c>
      <c r="DF3" s="21">
        <f>預測IC!DF3</f>
        <v>4.1408929973840707E-2</v>
      </c>
      <c r="DG3" s="21">
        <f>預測IC!DG3</f>
        <v>4.3718356639146798E-2</v>
      </c>
      <c r="DH3" s="21">
        <f>預測IC!DH3</f>
        <v>4.6793397516012192E-2</v>
      </c>
      <c r="DI3" s="21">
        <f>預測IC!DI3</f>
        <v>4.7784905880689621E-2</v>
      </c>
      <c r="DJ3" s="21">
        <f>預測IC!DJ3</f>
        <v>5.1443465054035187E-2</v>
      </c>
      <c r="DK3" s="21">
        <f>預測IC!DK3</f>
        <v>4.1621468961238861E-2</v>
      </c>
      <c r="DL3" s="21">
        <f>預測IC!DL3</f>
        <v>4.8520050942897797E-2</v>
      </c>
      <c r="DM3" s="21">
        <f>預測IC!DM3</f>
        <v>4.8485212028026581E-2</v>
      </c>
      <c r="DN3" s="21">
        <f>預測IC!DN3</f>
        <v>4.6739093959331512E-2</v>
      </c>
      <c r="DO3" s="21">
        <f>預測IC!DO3</f>
        <v>4.815780371427536E-2</v>
      </c>
      <c r="DP3" s="21">
        <f>預測IC!DP3</f>
        <v>4.7622770071029663E-2</v>
      </c>
      <c r="DQ3" s="21">
        <f>預測IC!DQ3</f>
        <v>4.8637110739946372E-2</v>
      </c>
      <c r="DR3" s="21">
        <f>預測IC!DR3</f>
        <v>4.879031702876091E-2</v>
      </c>
      <c r="DS3" s="21">
        <f>預測IC!DS3</f>
        <v>4.4818054884672158E-2</v>
      </c>
      <c r="DT3" s="21">
        <f>預測IC!DT3</f>
        <v>4.8045273870229721E-2</v>
      </c>
      <c r="DU3" s="21">
        <f>預測IC!DU3</f>
        <v>4.7465518116950989E-2</v>
      </c>
      <c r="DV3" s="21">
        <f>預測IC!DV3</f>
        <v>4.6620264649391167E-2</v>
      </c>
      <c r="DW3" s="21">
        <f>預測IC!DW3</f>
        <v>4.7323688864707947E-2</v>
      </c>
      <c r="DX3" s="21">
        <f>預測IC!DX3</f>
        <v>4.754440113902092E-2</v>
      </c>
      <c r="DY3" s="21">
        <f>預測IC!DY3</f>
        <v>4.7807488590478897E-2</v>
      </c>
      <c r="DZ3" s="21">
        <f>預測IC!DZ3</f>
        <v>3.4820709377527237E-2</v>
      </c>
      <c r="EA3" s="21">
        <f>預測IC!EA3</f>
        <v>4.8265136778354638E-2</v>
      </c>
      <c r="EB3" s="21">
        <f>預測IC!EB3</f>
        <v>4.2205382138490677E-2</v>
      </c>
      <c r="EC3" s="21">
        <f>預測IC!EC3</f>
        <v>3.6263357847929001E-2</v>
      </c>
      <c r="ED3" s="21">
        <f>預測IC!ED3</f>
        <v>3.9504203945398331E-2</v>
      </c>
      <c r="EE3" s="21">
        <f>預測IC!EE3</f>
        <v>4.6422228217124939E-2</v>
      </c>
      <c r="EF3" s="21">
        <f>預測IC!EF3</f>
        <v>5.0174936652183533E-2</v>
      </c>
      <c r="EG3" s="1"/>
    </row>
    <row r="4" spans="1:137">
      <c r="A4" s="7"/>
      <c r="B4" s="5" t="s">
        <v>137</v>
      </c>
      <c r="C4" s="21">
        <f>預測IC!C4</f>
        <v>-2.5382354855537411E-2</v>
      </c>
      <c r="D4" s="21">
        <f>預測IC!D4</f>
        <v>-3.0302392318844799E-2</v>
      </c>
      <c r="E4" s="21">
        <f>預測IC!E4</f>
        <v>-2.2067004814743999E-2</v>
      </c>
      <c r="F4" s="21">
        <f>預測IC!F4</f>
        <v>-3.342650830745697E-2</v>
      </c>
      <c r="G4" s="21">
        <f>預測IC!G4</f>
        <v>-4.356461763381958E-2</v>
      </c>
      <c r="H4" s="21">
        <f>預測IC!H4</f>
        <v>-2.4043656885623928E-2</v>
      </c>
      <c r="I4" s="21">
        <f>預測IC!I4</f>
        <v>-2.6620017364621159E-2</v>
      </c>
      <c r="J4" s="21">
        <f>預測IC!J4</f>
        <v>-3.6628138273954391E-2</v>
      </c>
      <c r="K4" s="21">
        <f>預測IC!K4</f>
        <v>-3.3706646412611008E-2</v>
      </c>
      <c r="L4" s="21">
        <f>預測IC!L4</f>
        <v>-3.9789609611034393E-2</v>
      </c>
      <c r="M4" s="21">
        <f>預測IC!M4</f>
        <v>-3.8071341812610633E-2</v>
      </c>
      <c r="N4" s="21">
        <f>預測IC!N4</f>
        <v>-2.9651828110218052E-2</v>
      </c>
      <c r="O4" s="21">
        <f>預測IC!O4</f>
        <v>-3.6376375705003738E-2</v>
      </c>
      <c r="P4" s="21">
        <f>預測IC!P4</f>
        <v>-3.8347743451595313E-2</v>
      </c>
      <c r="Q4" s="21">
        <f>預測IC!Q4</f>
        <v>-2.434376627206802E-2</v>
      </c>
      <c r="R4" s="21">
        <f>預測IC!R4</f>
        <v>-3.3573232591152191E-2</v>
      </c>
      <c r="S4" s="21">
        <f>預測IC!S4</f>
        <v>-2.8594411909580231E-2</v>
      </c>
      <c r="T4" s="21">
        <f>預測IC!T4</f>
        <v>-2.798360958695412E-2</v>
      </c>
      <c r="U4" s="21">
        <f>預測IC!U4</f>
        <v>-2.942265011370182E-2</v>
      </c>
      <c r="V4" s="21">
        <f>預測IC!V4</f>
        <v>-2.794249914586544E-2</v>
      </c>
      <c r="W4" s="21">
        <f>預測IC!W4</f>
        <v>-2.784637734293938E-2</v>
      </c>
      <c r="X4" s="21">
        <f>預測IC!X4</f>
        <v>-2.9234068468213081E-2</v>
      </c>
      <c r="Y4" s="21">
        <f>預測IC!Y4</f>
        <v>-3.1967829912900918E-2</v>
      </c>
      <c r="Z4" s="21">
        <f>預測IC!Z4</f>
        <v>-2.9925361275672909E-2</v>
      </c>
      <c r="AA4" s="21">
        <f>預測IC!AA4</f>
        <v>-3.0244136229157451E-2</v>
      </c>
      <c r="AB4" s="21">
        <f>預測IC!AB4</f>
        <v>-2.8592776507139209E-2</v>
      </c>
      <c r="AC4" s="21">
        <f>預測IC!AC4</f>
        <v>-2.740947529673576E-2</v>
      </c>
      <c r="AD4" s="21">
        <f>預測IC!AD4</f>
        <v>-2.904889173805714E-2</v>
      </c>
      <c r="AE4" s="21">
        <f>預測IC!AE4</f>
        <v>-3.0896455049514771E-2</v>
      </c>
      <c r="AF4" s="21">
        <f>預測IC!AF4</f>
        <v>-2.8318248689174649E-2</v>
      </c>
      <c r="AG4" s="21">
        <f>預測IC!AG4</f>
        <v>-2.835783921182156E-2</v>
      </c>
      <c r="AH4" s="21">
        <f>預測IC!AH4</f>
        <v>-2.0635519176721569E-2</v>
      </c>
      <c r="AI4" s="21">
        <f>預測IC!AI4</f>
        <v>-3.9616737514734268E-2</v>
      </c>
      <c r="AJ4" s="21">
        <f>預測IC!AJ4</f>
        <v>-3.4279849380254752E-2</v>
      </c>
      <c r="AK4" s="21">
        <f>預測IC!AK4</f>
        <v>-2.738221921026707E-2</v>
      </c>
      <c r="AL4" s="21">
        <f>預測IC!AL4</f>
        <v>-2.863131649792194E-2</v>
      </c>
      <c r="AM4" s="21">
        <f>預測IC!AM4</f>
        <v>-3.1148817390203479E-2</v>
      </c>
      <c r="AN4" s="21">
        <f>預測IC!AN4</f>
        <v>-2.5323469191789631E-2</v>
      </c>
      <c r="AO4" s="21">
        <f>預測IC!AO4</f>
        <v>-3.5884447395801537E-2</v>
      </c>
      <c r="AP4" s="21">
        <f>預測IC!AP4</f>
        <v>-2.0551485940814022E-2</v>
      </c>
      <c r="AQ4" s="21">
        <f>預測IC!AQ4</f>
        <v>-2.1187437698245049E-2</v>
      </c>
      <c r="AR4" s="21">
        <f>預測IC!AR4</f>
        <v>-2.6181202381849289E-2</v>
      </c>
      <c r="AS4" s="21">
        <f>預測IC!AS4</f>
        <v>-2.9181500896811489E-2</v>
      </c>
      <c r="AT4" s="21">
        <f>預測IC!AT4</f>
        <v>-2.6695109903812408E-2</v>
      </c>
      <c r="AU4" s="21">
        <f>預測IC!AU4</f>
        <v>-3.0467243865132328E-2</v>
      </c>
      <c r="AV4" s="21">
        <f>預測IC!AV4</f>
        <v>-3.2533787190914147E-2</v>
      </c>
      <c r="AW4" s="21">
        <f>預測IC!AW4</f>
        <v>-2.7417561039328579E-2</v>
      </c>
      <c r="AX4" s="21">
        <f>預測IC!AX4</f>
        <v>-2.6351917535066601E-2</v>
      </c>
      <c r="AY4" s="21">
        <f>預測IC!AY4</f>
        <v>-3.3511210232973099E-2</v>
      </c>
      <c r="AZ4" s="21">
        <f>預測IC!AZ4</f>
        <v>-2.682668715715408E-2</v>
      </c>
      <c r="BA4" s="21">
        <f>預測IC!BA4</f>
        <v>-3.1055137515068051E-2</v>
      </c>
      <c r="BB4" s="21">
        <f>預測IC!BB4</f>
        <v>-3.3870145678520203E-2</v>
      </c>
      <c r="BC4" s="21">
        <f>預測IC!BC4</f>
        <v>-3.1388275325298309E-2</v>
      </c>
      <c r="BD4" s="21">
        <f>預測IC!BD4</f>
        <v>-3.1560800969600677E-2</v>
      </c>
      <c r="BE4" s="21">
        <f>預測IC!BE4</f>
        <v>-3.270566463470459E-2</v>
      </c>
      <c r="BF4" s="21">
        <f>預測IC!BF4</f>
        <v>-3.091945685446262E-2</v>
      </c>
      <c r="BG4" s="21">
        <f>預測IC!BG4</f>
        <v>-3.1984996050596237E-2</v>
      </c>
      <c r="BH4" s="21">
        <f>預測IC!BH4</f>
        <v>-3.0280498787760731E-2</v>
      </c>
      <c r="BI4" s="21">
        <f>預測IC!BI4</f>
        <v>-3.1126156449317929E-2</v>
      </c>
      <c r="BJ4" s="21">
        <f>預測IC!BJ4</f>
        <v>-3.047936782240868E-2</v>
      </c>
      <c r="BK4" s="21">
        <f>預測IC!BK4</f>
        <v>-3.2265529036521912E-2</v>
      </c>
      <c r="BL4" s="21">
        <f>預測IC!BL4</f>
        <v>-3.1362555921077728E-2</v>
      </c>
      <c r="BM4" s="21">
        <f>預測IC!BM4</f>
        <v>-3.135472908616066E-2</v>
      </c>
      <c r="BN4" s="21">
        <f>預測IC!BN4</f>
        <v>-1.223484799265862E-2</v>
      </c>
      <c r="BO4" s="21">
        <f>預測IC!BO4</f>
        <v>-2.3717723786830899E-2</v>
      </c>
      <c r="BP4" s="21">
        <f>預測IC!BP4</f>
        <v>-2.602463960647583E-2</v>
      </c>
      <c r="BQ4" s="21">
        <f>預測IC!BQ4</f>
        <v>-3.055395744740963E-2</v>
      </c>
      <c r="BR4" s="21">
        <f>預測IC!BR4</f>
        <v>-1.1215118691325189E-2</v>
      </c>
      <c r="BS4" s="21">
        <f>預測IC!BS4</f>
        <v>-3.3343475311994553E-2</v>
      </c>
      <c r="BT4" s="21">
        <f>預測IC!BT4</f>
        <v>-2.5871314108371731E-2</v>
      </c>
      <c r="BU4" s="21">
        <f>預測IC!BU4</f>
        <v>-3.636319562792778E-2</v>
      </c>
      <c r="BV4" s="21">
        <f>預測IC!BV4</f>
        <v>-3.3731509000062943E-2</v>
      </c>
      <c r="BW4" s="21">
        <f>預測IC!BW4</f>
        <v>-2.4674531072378159E-2</v>
      </c>
      <c r="BX4" s="21">
        <f>預測IC!BX4</f>
        <v>-3.3149182796478271E-2</v>
      </c>
      <c r="BY4" s="21">
        <f>預測IC!BY4</f>
        <v>-3.1638260930776603E-2</v>
      </c>
      <c r="BZ4" s="21">
        <f>預測IC!BZ4</f>
        <v>-3.5745307803153992E-2</v>
      </c>
      <c r="CA4" s="21">
        <f>預測IC!CA4</f>
        <v>-3.2566580921411507E-2</v>
      </c>
      <c r="CB4" s="21">
        <f>預測IC!CB4</f>
        <v>-2.4697717279195789E-2</v>
      </c>
      <c r="CC4" s="21">
        <f>預測IC!CC4</f>
        <v>-2.9147785156965259E-2</v>
      </c>
      <c r="CD4" s="21">
        <f>預測IC!CD4</f>
        <v>-2.5953460484743118E-2</v>
      </c>
      <c r="CE4" s="21">
        <f>預測IC!CE4</f>
        <v>-3.1028131023049351E-2</v>
      </c>
      <c r="CF4" s="21">
        <f>預測IC!CF4</f>
        <v>-3.1018134206533429E-2</v>
      </c>
      <c r="CG4" s="21">
        <f>預測IC!CG4</f>
        <v>-3.0473332852125171E-2</v>
      </c>
      <c r="CH4" s="21">
        <f>預測IC!CH4</f>
        <v>-3.1180024147033691E-2</v>
      </c>
      <c r="CI4" s="21">
        <f>預測IC!CI4</f>
        <v>-3.08760479092598E-2</v>
      </c>
      <c r="CJ4" s="21">
        <f>預測IC!CJ4</f>
        <v>-3.3132713288068771E-2</v>
      </c>
      <c r="CK4" s="21">
        <f>預測IC!CK4</f>
        <v>-3.1985852867364883E-2</v>
      </c>
      <c r="CL4" s="21">
        <f>預測IC!CL4</f>
        <v>-3.1450629234313958E-2</v>
      </c>
      <c r="CM4" s="21">
        <f>預測IC!CM4</f>
        <v>-3.0559267848730091E-2</v>
      </c>
      <c r="CN4" s="21">
        <f>預測IC!CN4</f>
        <v>-3.1584195792675018E-2</v>
      </c>
      <c r="CO4" s="21">
        <f>預測IC!CO4</f>
        <v>-3.0493449419736859E-2</v>
      </c>
      <c r="CP4" s="21">
        <f>預測IC!CP4</f>
        <v>-3.0219420790672299E-2</v>
      </c>
      <c r="CQ4" s="21">
        <f>預測IC!CQ4</f>
        <v>-3.1929124146699912E-2</v>
      </c>
      <c r="CR4" s="21">
        <f>預測IC!CR4</f>
        <v>-2.934969961643219E-2</v>
      </c>
      <c r="CS4" s="21">
        <f>預測IC!CS4</f>
        <v>-3.0506746843457219E-2</v>
      </c>
      <c r="CT4" s="21">
        <f>預測IC!CT4</f>
        <v>-2.308591827750206E-2</v>
      </c>
      <c r="CU4" s="21">
        <f>預測IC!CU4</f>
        <v>-2.7401415631175041E-2</v>
      </c>
      <c r="CV4" s="21">
        <f>預測IC!CV4</f>
        <v>-2.833597362041473E-2</v>
      </c>
      <c r="CW4" s="21">
        <f>預測IC!CW4</f>
        <v>-3.2171882688999183E-2</v>
      </c>
      <c r="CX4" s="21">
        <f>預測IC!CX4</f>
        <v>-2.7837745845317841E-2</v>
      </c>
      <c r="CY4" s="21">
        <f>預測IC!CY4</f>
        <v>-2.7134021744132038E-2</v>
      </c>
      <c r="CZ4" s="21">
        <f>預測IC!CZ4</f>
        <v>-2.573245391249657E-2</v>
      </c>
      <c r="DA4" s="21">
        <f>預測IC!DA4</f>
        <v>-2.8771925717592239E-2</v>
      </c>
      <c r="DB4" s="21">
        <f>預測IC!DB4</f>
        <v>-3.3348452299833298E-2</v>
      </c>
      <c r="DC4" s="21">
        <f>預測IC!DC4</f>
        <v>-3.2358631491661072E-2</v>
      </c>
      <c r="DD4" s="21">
        <f>預測IC!DD4</f>
        <v>-3.2213933765888207E-2</v>
      </c>
      <c r="DE4" s="21">
        <f>預測IC!DE4</f>
        <v>-2.9715811833739281E-2</v>
      </c>
      <c r="DF4" s="21">
        <f>預測IC!DF4</f>
        <v>-2.911583706736565E-2</v>
      </c>
      <c r="DG4" s="21">
        <f>預測IC!DG4</f>
        <v>-2.7615876868367199E-2</v>
      </c>
      <c r="DH4" s="21">
        <f>預測IC!DH4</f>
        <v>-2.9729645699262619E-2</v>
      </c>
      <c r="DI4" s="21">
        <f>預測IC!DI4</f>
        <v>-2.982079982757568E-2</v>
      </c>
      <c r="DJ4" s="21">
        <f>預測IC!DJ4</f>
        <v>-3.0264958739280701E-2</v>
      </c>
      <c r="DK4" s="21">
        <f>預測IC!DK4</f>
        <v>-2.9952950775623322E-2</v>
      </c>
      <c r="DL4" s="21">
        <f>預測IC!DL4</f>
        <v>-3.0072087422013279E-2</v>
      </c>
      <c r="DM4" s="21">
        <f>預測IC!DM4</f>
        <v>-2.81603466719389E-2</v>
      </c>
      <c r="DN4" s="21">
        <f>預測IC!DN4</f>
        <v>-2.7362493798136711E-2</v>
      </c>
      <c r="DO4" s="21">
        <f>預測IC!DO4</f>
        <v>-2.868092060089111E-2</v>
      </c>
      <c r="DP4" s="21">
        <f>預測IC!DP4</f>
        <v>-2.6546770706772801E-2</v>
      </c>
      <c r="DQ4" s="21">
        <f>預測IC!DQ4</f>
        <v>-2.7645908296108249E-2</v>
      </c>
      <c r="DR4" s="21">
        <f>預測IC!DR4</f>
        <v>-3.0578829348087311E-2</v>
      </c>
      <c r="DS4" s="21">
        <f>預測IC!DS4</f>
        <v>-2.7206588536500931E-2</v>
      </c>
      <c r="DT4" s="21">
        <f>預測IC!DT4</f>
        <v>-2.9622273519635201E-2</v>
      </c>
      <c r="DU4" s="21">
        <f>預測IC!DU4</f>
        <v>-2.8198828920722011E-2</v>
      </c>
      <c r="DV4" s="21">
        <f>預測IC!DV4</f>
        <v>-2.79831737279892E-2</v>
      </c>
      <c r="DW4" s="21">
        <f>預測IC!DW4</f>
        <v>-2.6147188618779179E-2</v>
      </c>
      <c r="DX4" s="21">
        <f>預測IC!DX4</f>
        <v>-2.7574015781283379E-2</v>
      </c>
      <c r="DY4" s="21">
        <f>預測IC!DY4</f>
        <v>-2.9771693050861359E-2</v>
      </c>
      <c r="DZ4" s="21">
        <f>預測IC!DZ4</f>
        <v>-2.387923933565617E-2</v>
      </c>
      <c r="EA4" s="21">
        <f>預測IC!EA4</f>
        <v>-2.6729578152298931E-2</v>
      </c>
      <c r="EB4" s="21">
        <f>預測IC!EB4</f>
        <v>-2.6265991851687431E-2</v>
      </c>
      <c r="EC4" s="21">
        <f>預測IC!EC4</f>
        <v>-2.85224225372076E-2</v>
      </c>
      <c r="ED4" s="21">
        <f>預測IC!ED4</f>
        <v>-2.3929797112941738E-2</v>
      </c>
      <c r="EE4" s="21">
        <f>預測IC!EE4</f>
        <v>-3.5369247198104858E-2</v>
      </c>
      <c r="EF4" s="21">
        <f>預測IC!EF4</f>
        <v>-2.889788523316383E-2</v>
      </c>
      <c r="EG4" s="1"/>
    </row>
    <row r="5" spans="1:137">
      <c r="A5" s="7"/>
      <c r="B5" s="8" t="s">
        <v>138</v>
      </c>
      <c r="C5" s="21">
        <f>預測IC!C5</f>
        <v>6.8580564111471176E-3</v>
      </c>
      <c r="D5" s="21">
        <f>預測IC!D5</f>
        <v>-4.5473207719624043E-3</v>
      </c>
      <c r="E5" s="21">
        <f>預測IC!E5</f>
        <v>-5.2568246610462674E-3</v>
      </c>
      <c r="F5" s="21">
        <f>預測IC!F5</f>
        <v>-5.0700334832072258E-3</v>
      </c>
      <c r="G5" s="21">
        <f>預測IC!G5</f>
        <v>-7.554895244538784E-3</v>
      </c>
      <c r="H5" s="21">
        <f>預測IC!H5</f>
        <v>-5.7517439126968384E-3</v>
      </c>
      <c r="I5" s="21">
        <f>預測IC!I5</f>
        <v>-6.6213347017765054E-3</v>
      </c>
      <c r="J5" s="21">
        <f>預測IC!J5</f>
        <v>-6.4456779509782791E-3</v>
      </c>
      <c r="K5" s="21">
        <f>預測IC!K5</f>
        <v>-7.2449943982064724E-3</v>
      </c>
      <c r="L5" s="21">
        <f>預測IC!L5</f>
        <v>-7.4795205146074304E-3</v>
      </c>
      <c r="M5" s="21">
        <f>預測IC!M5</f>
        <v>-5.7203313335776329E-3</v>
      </c>
      <c r="N5" s="21">
        <f>預測IC!N5</f>
        <v>1.217774953693151E-2</v>
      </c>
      <c r="O5" s="21">
        <f>預測IC!O5</f>
        <v>2.0977385342121121E-2</v>
      </c>
      <c r="P5" s="21">
        <f>預測IC!P5</f>
        <v>4.1054370813071728E-3</v>
      </c>
      <c r="Q5" s="21">
        <f>預測IC!Q5</f>
        <v>2.752495463937521E-3</v>
      </c>
      <c r="R5" s="21">
        <f>預測IC!R5</f>
        <v>2.2056563757359982E-3</v>
      </c>
      <c r="S5" s="21">
        <f>預測IC!S5</f>
        <v>-3.200523322448134E-3</v>
      </c>
      <c r="T5" s="21">
        <f>預測IC!T5</f>
        <v>4.7661159187555313E-3</v>
      </c>
      <c r="U5" s="21">
        <f>預測IC!U5</f>
        <v>3.1950199045240879E-3</v>
      </c>
      <c r="V5" s="21">
        <f>預測IC!V5</f>
        <v>1.3798894360661509E-4</v>
      </c>
      <c r="W5" s="21">
        <f>預測IC!W5</f>
        <v>9.084991761483252E-4</v>
      </c>
      <c r="X5" s="21">
        <f>預測IC!X5</f>
        <v>-4.8395749181509018E-3</v>
      </c>
      <c r="Y5" s="21">
        <f>預測IC!Y5</f>
        <v>-9.668414480984211E-3</v>
      </c>
      <c r="Z5" s="21">
        <f>預測IC!Z5</f>
        <v>-4.3582962825894356E-3</v>
      </c>
      <c r="AA5" s="21">
        <f>預測IC!AA5</f>
        <v>-9.451698511838913E-3</v>
      </c>
      <c r="AB5" s="21">
        <f>預測IC!AB5</f>
        <v>-7.8619010746479034E-3</v>
      </c>
      <c r="AC5" s="21">
        <f>預測IC!AC5</f>
        <v>-9.5739839598536491E-3</v>
      </c>
      <c r="AD5" s="21">
        <f>預測IC!AD5</f>
        <v>-1.192590594291687E-2</v>
      </c>
      <c r="AE5" s="21">
        <f>預測IC!AE5</f>
        <v>-9.073648601770401E-3</v>
      </c>
      <c r="AF5" s="21">
        <f>預測IC!AF5</f>
        <v>-5.2689705044031143E-3</v>
      </c>
      <c r="AG5" s="21">
        <f>預測IC!AG5</f>
        <v>-6.2905293889343739E-3</v>
      </c>
      <c r="AH5" s="21">
        <f>預測IC!AH5</f>
        <v>-4.2838593944907188E-3</v>
      </c>
      <c r="AI5" s="21">
        <f>預測IC!AI5</f>
        <v>-3.658974077552557E-3</v>
      </c>
      <c r="AJ5" s="21">
        <f>預測IC!AJ5</f>
        <v>-3.1868440564721818E-3</v>
      </c>
      <c r="AK5" s="21">
        <f>預測IC!AK5</f>
        <v>-6.5460228361189374E-3</v>
      </c>
      <c r="AL5" s="21">
        <f>預測IC!AL5</f>
        <v>-5.4174191318452358E-3</v>
      </c>
      <c r="AM5" s="21">
        <f>預測IC!AM5</f>
        <v>-6.3505335710942754E-3</v>
      </c>
      <c r="AN5" s="21">
        <f>預測IC!AN5</f>
        <v>9.4361149240285158E-4</v>
      </c>
      <c r="AO5" s="21">
        <f>預測IC!AO5</f>
        <v>-4.1886745020747176E-3</v>
      </c>
      <c r="AP5" s="21">
        <f>預測IC!AP5</f>
        <v>-6.3021155074238777E-3</v>
      </c>
      <c r="AQ5" s="21">
        <f>預測IC!AQ5</f>
        <v>-7.8539003152400255E-4</v>
      </c>
      <c r="AR5" s="21">
        <f>預測IC!AR5</f>
        <v>1.274428068427369E-4</v>
      </c>
      <c r="AS5" s="21">
        <f>預測IC!AS5</f>
        <v>-2.6125095319002871E-3</v>
      </c>
      <c r="AT5" s="21">
        <f>預測IC!AT5</f>
        <v>1.7251728102564812E-2</v>
      </c>
      <c r="AU5" s="21">
        <f>預測IC!AU5</f>
        <v>-1.1382638476788999E-2</v>
      </c>
      <c r="AV5" s="21">
        <f>預測IC!AV5</f>
        <v>9.8412996158003807E-3</v>
      </c>
      <c r="AW5" s="21">
        <f>預測IC!AW5</f>
        <v>6.4438600093126297E-3</v>
      </c>
      <c r="AX5" s="21">
        <f>預測IC!AX5</f>
        <v>-9.4542577862739563E-3</v>
      </c>
      <c r="AY5" s="21">
        <f>預測IC!AY5</f>
        <v>-2.605369314551353E-3</v>
      </c>
      <c r="AZ5" s="21">
        <f>預測IC!AZ5</f>
        <v>1.02137690410018E-2</v>
      </c>
      <c r="BA5" s="21">
        <f>預測IC!BA5</f>
        <v>-3.370878694113344E-4</v>
      </c>
      <c r="BB5" s="21">
        <f>預測IC!BB5</f>
        <v>-7.658196147531271E-3</v>
      </c>
      <c r="BC5" s="21">
        <f>預測IC!BC5</f>
        <v>1.95592432282865E-3</v>
      </c>
      <c r="BD5" s="21">
        <f>預測IC!BD5</f>
        <v>-1.753970421850681E-2</v>
      </c>
      <c r="BE5" s="21">
        <f>預測IC!BE5</f>
        <v>-5.8258567005395889E-3</v>
      </c>
      <c r="BF5" s="21">
        <f>預測IC!BF5</f>
        <v>6.1481038574129343E-4</v>
      </c>
      <c r="BG5" s="21">
        <f>預測IC!BG5</f>
        <v>-7.2949402965605259E-3</v>
      </c>
      <c r="BH5" s="21">
        <f>預測IC!BH5</f>
        <v>-4.383845254778862E-3</v>
      </c>
      <c r="BI5" s="21">
        <f>預測IC!BI5</f>
        <v>7.9724268289282918E-5</v>
      </c>
      <c r="BJ5" s="21">
        <f>預測IC!BJ5</f>
        <v>-4.1618733666837221E-4</v>
      </c>
      <c r="BK5" s="21">
        <f>預測IC!BK5</f>
        <v>-8.1078559160232544E-3</v>
      </c>
      <c r="BL5" s="21">
        <f>預測IC!BL5</f>
        <v>-1.816836651414633E-3</v>
      </c>
      <c r="BM5" s="21">
        <f>預測IC!BM5</f>
        <v>-3.0251548159867529E-3</v>
      </c>
      <c r="BN5" s="21">
        <f>預測IC!BN5</f>
        <v>-7.1253179339691997E-4</v>
      </c>
      <c r="BO5" s="21">
        <f>預測IC!BO5</f>
        <v>-4.3908162042498589E-3</v>
      </c>
      <c r="BP5" s="21">
        <f>預測IC!BP5</f>
        <v>-8.6731631308794022E-3</v>
      </c>
      <c r="BQ5" s="21">
        <f>預測IC!BQ5</f>
        <v>9.8586292006075382E-4</v>
      </c>
      <c r="BR5" s="21">
        <f>預測IC!BR5</f>
        <v>5.6344678159803152E-4</v>
      </c>
      <c r="BS5" s="21">
        <f>預測IC!BS5</f>
        <v>-7.2165514575317502E-4</v>
      </c>
      <c r="BT5" s="21">
        <f>預測IC!BT5</f>
        <v>2.1159742027521131E-4</v>
      </c>
      <c r="BU5" s="21">
        <f>預測IC!BU5</f>
        <v>-3.9482754655182362E-3</v>
      </c>
      <c r="BV5" s="21">
        <f>預測IC!BV5</f>
        <v>-1.754006138071418E-3</v>
      </c>
      <c r="BW5" s="21">
        <f>預測IC!BW5</f>
        <v>-3.9257919415831566E-3</v>
      </c>
      <c r="BX5" s="21">
        <f>預測IC!BX5</f>
        <v>-2.280559623613954E-3</v>
      </c>
      <c r="BY5" s="21">
        <f>預測IC!BY5</f>
        <v>-2.5638358201831579E-3</v>
      </c>
      <c r="BZ5" s="21">
        <f>預測IC!BZ5</f>
        <v>9.5798890106379986E-4</v>
      </c>
      <c r="CA5" s="21">
        <f>預測IC!CA5</f>
        <v>-1.7290487885475159E-2</v>
      </c>
      <c r="CB5" s="21">
        <f>預測IC!CB5</f>
        <v>-1.8011752516031269E-2</v>
      </c>
      <c r="CC5" s="21">
        <f>預測IC!CC5</f>
        <v>-1.120550092309713E-2</v>
      </c>
      <c r="CD5" s="21">
        <f>預測IC!CD5</f>
        <v>-5.9453980065882206E-3</v>
      </c>
      <c r="CE5" s="21">
        <f>預測IC!CE5</f>
        <v>5.6577795185148716E-3</v>
      </c>
      <c r="CF5" s="21">
        <f>預測IC!CF5</f>
        <v>-5.0181304104626179E-3</v>
      </c>
      <c r="CG5" s="21">
        <f>預測IC!CG5</f>
        <v>-1.080882735550404E-3</v>
      </c>
      <c r="CH5" s="21">
        <f>預測IC!CH5</f>
        <v>-2.4344832636415958E-3</v>
      </c>
      <c r="CI5" s="21">
        <f>預測IC!CI5</f>
        <v>-5.8056642301380634E-3</v>
      </c>
      <c r="CJ5" s="21">
        <f>預測IC!CJ5</f>
        <v>5.3442474454641342E-3</v>
      </c>
      <c r="CK5" s="21">
        <f>預測IC!CK5</f>
        <v>-6.6559319384396076E-3</v>
      </c>
      <c r="CL5" s="21">
        <f>預測IC!CL5</f>
        <v>-8.122333325445652E-3</v>
      </c>
      <c r="CM5" s="21">
        <f>預測IC!CM5</f>
        <v>4.4885189272463322E-3</v>
      </c>
      <c r="CN5" s="21">
        <f>預測IC!CN5</f>
        <v>-1.260940451174974E-3</v>
      </c>
      <c r="CO5" s="21">
        <f>預測IC!CO5</f>
        <v>2.2093972656875849E-3</v>
      </c>
      <c r="CP5" s="21">
        <f>預測IC!CP5</f>
        <v>-3.1657333020120859E-3</v>
      </c>
      <c r="CQ5" s="21">
        <f>預測IC!CQ5</f>
        <v>-4.2476160451769829E-3</v>
      </c>
      <c r="CR5" s="21">
        <f>預測IC!CR5</f>
        <v>7.4740842683240771E-4</v>
      </c>
      <c r="CS5" s="21">
        <f>預測IC!CS5</f>
        <v>-6.8966434337198734E-3</v>
      </c>
      <c r="CT5" s="21">
        <f>預測IC!CT5</f>
        <v>-8.8150595547631383E-4</v>
      </c>
      <c r="CU5" s="21">
        <f>預測IC!CU5</f>
        <v>-5.4849479347467422E-3</v>
      </c>
      <c r="CV5" s="21">
        <f>預測IC!CV5</f>
        <v>-5.0015887245535851E-4</v>
      </c>
      <c r="CW5" s="21">
        <f>預測IC!CW5</f>
        <v>-3.6941524595022202E-3</v>
      </c>
      <c r="CX5" s="21">
        <f>預測IC!CX5</f>
        <v>-1.516487682238221E-3</v>
      </c>
      <c r="CY5" s="21">
        <f>預測IC!CY5</f>
        <v>-2.2506022360175848E-3</v>
      </c>
      <c r="CZ5" s="21">
        <f>預測IC!CZ5</f>
        <v>-1.037915935739875E-4</v>
      </c>
      <c r="DA5" s="21">
        <f>預測IC!DA5</f>
        <v>-1.3994954060763121E-3</v>
      </c>
      <c r="DB5" s="21">
        <f>預測IC!DB5</f>
        <v>-2.8583267703652382E-3</v>
      </c>
      <c r="DC5" s="21">
        <f>預測IC!DC5</f>
        <v>-3.8185073062777519E-3</v>
      </c>
      <c r="DD5" s="21">
        <f>預測IC!DD5</f>
        <v>-4.7922488301992416E-3</v>
      </c>
      <c r="DE5" s="21">
        <f>預測IC!DE5</f>
        <v>-4.4267559424042702E-3</v>
      </c>
      <c r="DF5" s="21">
        <f>預測IC!DF5</f>
        <v>-2.32978705316782E-2</v>
      </c>
      <c r="DG5" s="21">
        <f>預測IC!DG5</f>
        <v>-6.6420962102711201E-3</v>
      </c>
      <c r="DH5" s="21">
        <f>預測IC!DH5</f>
        <v>-4.64266212657094E-3</v>
      </c>
      <c r="DI5" s="21">
        <f>預測IC!DI5</f>
        <v>-2.1060877479612832E-3</v>
      </c>
      <c r="DJ5" s="21">
        <f>預測IC!DJ5</f>
        <v>-1.062803342938423E-2</v>
      </c>
      <c r="DK5" s="21">
        <f>預測IC!DK5</f>
        <v>-9.6024703234434128E-3</v>
      </c>
      <c r="DL5" s="21">
        <f>預測IC!DL5</f>
        <v>-3.8239909335970879E-3</v>
      </c>
      <c r="DM5" s="21">
        <f>預測IC!DM5</f>
        <v>-6.1252154409885406E-4</v>
      </c>
      <c r="DN5" s="21">
        <f>預測IC!DN5</f>
        <v>-3.627817146480083E-3</v>
      </c>
      <c r="DO5" s="21">
        <f>預測IC!DO5</f>
        <v>2.946552587673068E-3</v>
      </c>
      <c r="DP5" s="21">
        <f>預測IC!DP5</f>
        <v>-5.6377304717898369E-3</v>
      </c>
      <c r="DQ5" s="21">
        <f>預測IC!DQ5</f>
        <v>-4.3007815256714821E-3</v>
      </c>
      <c r="DR5" s="21">
        <f>預測IC!DR5</f>
        <v>-7.0757018402218819E-3</v>
      </c>
      <c r="DS5" s="21">
        <f>預測IC!DS5</f>
        <v>-3.6393199115991588E-3</v>
      </c>
      <c r="DT5" s="21">
        <f>預測IC!DT5</f>
        <v>-1.078812405467033E-3</v>
      </c>
      <c r="DU5" s="21">
        <f>預測IC!DU5</f>
        <v>-5.7610021904110909E-3</v>
      </c>
      <c r="DV5" s="21">
        <f>預測IC!DV5</f>
        <v>-3.170169191434979E-3</v>
      </c>
      <c r="DW5" s="21">
        <f>預測IC!DW5</f>
        <v>1.376348081976175E-4</v>
      </c>
      <c r="DX5" s="21">
        <f>預測IC!DX5</f>
        <v>-5.2125225774943829E-3</v>
      </c>
      <c r="DY5" s="21">
        <f>預測IC!DY5</f>
        <v>-3.231637179851532E-3</v>
      </c>
      <c r="DZ5" s="21">
        <f>預測IC!DZ5</f>
        <v>-1.969799399375916E-3</v>
      </c>
      <c r="EA5" s="21">
        <f>預測IC!EA5</f>
        <v>-2.5265156291425228E-3</v>
      </c>
      <c r="EB5" s="21">
        <f>預測IC!EB5</f>
        <v>-4.4835992157459259E-3</v>
      </c>
      <c r="EC5" s="21">
        <f>預測IC!EC5</f>
        <v>-4.603260662406683E-3</v>
      </c>
      <c r="ED5" s="21">
        <f>預測IC!ED5</f>
        <v>-6.4388466998934746E-3</v>
      </c>
      <c r="EE5" s="21">
        <f>預測IC!EE5</f>
        <v>-5.9161325916647911E-3</v>
      </c>
      <c r="EF5" s="21">
        <f>預測IC!EF5</f>
        <v>-6.1999494209885597E-3</v>
      </c>
      <c r="EG5" s="1"/>
    </row>
    <row r="6" spans="1:137" s="2" customFormat="1">
      <c r="A6" s="32" t="s">
        <v>139</v>
      </c>
      <c r="B6" s="33"/>
      <c r="C6" s="9">
        <f t="array" ref="C6">MATCH(MAX(ABS(C3:C5)), ABS(C3:C5), 0)</f>
        <v>1</v>
      </c>
      <c r="D6" s="9">
        <f t="array" ref="D6">MATCH(MAX(ABS(D3:D5)), ABS(D3:D5), 0)</f>
        <v>2</v>
      </c>
      <c r="E6" s="9">
        <f t="array" ref="E6">MATCH(MAX(ABS(E3:E5)), ABS(E3:E5), 0)</f>
        <v>1</v>
      </c>
      <c r="F6" s="9">
        <f t="array" ref="F6">MATCH(MAX(ABS(F3:F5)), ABS(F3:F5), 0)</f>
        <v>2</v>
      </c>
      <c r="G6" s="9">
        <f t="array" ref="G6">MATCH(MAX(ABS(G3:G5)), ABS(G3:G5), 0)</f>
        <v>2</v>
      </c>
      <c r="H6" s="9">
        <f t="array" ref="H6">MATCH(MAX(ABS(H3:H5)), ABS(H3:H5), 0)</f>
        <v>2</v>
      </c>
      <c r="I6" s="9">
        <f t="array" ref="I6">MATCH(MAX(ABS(I3:I5)), ABS(I3:I5), 0)</f>
        <v>1</v>
      </c>
      <c r="J6" s="9">
        <f t="array" ref="J6">MATCH(MAX(ABS(J3:J5)), ABS(J3:J5), 0)</f>
        <v>2</v>
      </c>
      <c r="K6" s="9">
        <f t="array" ref="K6">MATCH(MAX(ABS(K3:K5)), ABS(K3:K5), 0)</f>
        <v>2</v>
      </c>
      <c r="L6" s="9">
        <f t="array" ref="L6">MATCH(MAX(ABS(L3:L5)), ABS(L3:L5), 0)</f>
        <v>2</v>
      </c>
      <c r="M6" s="9">
        <f t="array" ref="M6">MATCH(MAX(ABS(M3:M5)), ABS(M3:M5), 0)</f>
        <v>2</v>
      </c>
      <c r="N6" s="9">
        <f t="array" ref="N6">MATCH(MAX(ABS(N3:N5)), ABS(N3:N5), 0)</f>
        <v>2</v>
      </c>
      <c r="O6" s="9">
        <f t="array" ref="O6">MATCH(MAX(ABS(O3:O5)), ABS(O3:O5), 0)</f>
        <v>2</v>
      </c>
      <c r="P6" s="9">
        <f t="array" ref="P6">MATCH(MAX(ABS(P3:P5)), ABS(P3:P5), 0)</f>
        <v>1</v>
      </c>
      <c r="Q6" s="9">
        <f t="array" ref="Q6">MATCH(MAX(ABS(Q3:Q5)), ABS(Q3:Q5), 0)</f>
        <v>2</v>
      </c>
      <c r="R6" s="9">
        <f t="array" ref="R6">MATCH(MAX(ABS(R3:R5)), ABS(R3:R5), 0)</f>
        <v>2</v>
      </c>
      <c r="S6" s="9">
        <f t="array" ref="S6">MATCH(MAX(ABS(S3:S5)), ABS(S3:S5), 0)</f>
        <v>1</v>
      </c>
      <c r="T6" s="9">
        <f t="array" ref="T6">MATCH(MAX(ABS(T3:T5)), ABS(T3:T5), 0)</f>
        <v>2</v>
      </c>
      <c r="U6" s="9">
        <f t="array" ref="U6">MATCH(MAX(ABS(U3:U5)), ABS(U3:U5), 0)</f>
        <v>2</v>
      </c>
      <c r="V6" s="9">
        <f t="array" ref="V6">MATCH(MAX(ABS(V3:V5)), ABS(V3:V5), 0)</f>
        <v>2</v>
      </c>
      <c r="W6" s="9">
        <f t="array" ref="W6">MATCH(MAX(ABS(W3:W5)), ABS(W3:W5), 0)</f>
        <v>2</v>
      </c>
      <c r="X6" s="9">
        <f t="array" ref="X6">MATCH(MAX(ABS(X3:X5)), ABS(X3:X5), 0)</f>
        <v>1</v>
      </c>
      <c r="Y6" s="9">
        <f t="array" ref="Y6">MATCH(MAX(ABS(Y3:Y5)), ABS(Y3:Y5), 0)</f>
        <v>2</v>
      </c>
      <c r="Z6" s="9">
        <f t="array" ref="Z6">MATCH(MAX(ABS(Z3:Z5)), ABS(Z3:Z5), 0)</f>
        <v>2</v>
      </c>
      <c r="AA6" s="9">
        <f t="array" ref="AA6">MATCH(MAX(ABS(AA3:AA5)), ABS(AA3:AA5), 0)</f>
        <v>2</v>
      </c>
      <c r="AB6" s="9">
        <f t="array" ref="AB6">MATCH(MAX(ABS(AB3:AB5)), ABS(AB3:AB5), 0)</f>
        <v>2</v>
      </c>
      <c r="AC6" s="9">
        <f t="array" ref="AC6">MATCH(MAX(ABS(AC3:AC5)), ABS(AC3:AC5), 0)</f>
        <v>2</v>
      </c>
      <c r="AD6" s="9">
        <f t="array" ref="AD6">MATCH(MAX(ABS(AD3:AD5)), ABS(AD3:AD5), 0)</f>
        <v>2</v>
      </c>
      <c r="AE6" s="9">
        <f t="array" ref="AE6">MATCH(MAX(ABS(AE3:AE5)), ABS(AE3:AE5), 0)</f>
        <v>1</v>
      </c>
      <c r="AF6" s="9">
        <f t="array" ref="AF6">MATCH(MAX(ABS(AF3:AF5)), ABS(AF3:AF5), 0)</f>
        <v>2</v>
      </c>
      <c r="AG6" s="9">
        <f t="array" ref="AG6">MATCH(MAX(ABS(AG3:AG5)), ABS(AG3:AG5), 0)</f>
        <v>2</v>
      </c>
      <c r="AH6" s="9">
        <f t="array" ref="AH6">MATCH(MAX(ABS(AH3:AH5)), ABS(AH3:AH5), 0)</f>
        <v>2</v>
      </c>
      <c r="AI6" s="9">
        <f t="array" ref="AI6">MATCH(MAX(ABS(AI3:AI5)), ABS(AI3:AI5), 0)</f>
        <v>2</v>
      </c>
      <c r="AJ6" s="9">
        <f t="array" ref="AJ6">MATCH(MAX(ABS(AJ3:AJ5)), ABS(AJ3:AJ5), 0)</f>
        <v>2</v>
      </c>
      <c r="AK6" s="9">
        <f t="array" ref="AK6">MATCH(MAX(ABS(AK3:AK5)), ABS(AK3:AK5), 0)</f>
        <v>2</v>
      </c>
      <c r="AL6" s="9">
        <f t="array" ref="AL6">MATCH(MAX(ABS(AL3:AL5)), ABS(AL3:AL5), 0)</f>
        <v>1</v>
      </c>
      <c r="AM6" s="9">
        <f t="array" ref="AM6">MATCH(MAX(ABS(AM3:AM5)), ABS(AM3:AM5), 0)</f>
        <v>2</v>
      </c>
      <c r="AN6" s="9">
        <f t="array" ref="AN6">MATCH(MAX(ABS(AN3:AN5)), ABS(AN3:AN5), 0)</f>
        <v>1</v>
      </c>
      <c r="AO6" s="9">
        <f t="array" ref="AO6">MATCH(MAX(ABS(AO3:AO5)), ABS(AO3:AO5), 0)</f>
        <v>2</v>
      </c>
      <c r="AP6" s="9">
        <f t="array" ref="AP6">MATCH(MAX(ABS(AP3:AP5)), ABS(AP3:AP5), 0)</f>
        <v>1</v>
      </c>
      <c r="AQ6" s="9">
        <f t="array" ref="AQ6">MATCH(MAX(ABS(AQ3:AQ5)), ABS(AQ3:AQ5), 0)</f>
        <v>2</v>
      </c>
      <c r="AR6" s="9">
        <f t="array" ref="AR6">MATCH(MAX(ABS(AR3:AR5)), ABS(AR3:AR5), 0)</f>
        <v>2</v>
      </c>
      <c r="AS6" s="9">
        <f t="array" ref="AS6">MATCH(MAX(ABS(AS3:AS5)), ABS(AS3:AS5), 0)</f>
        <v>1</v>
      </c>
      <c r="AT6" s="9">
        <f t="array" ref="AT6">MATCH(MAX(ABS(AT3:AT5)), ABS(AT3:AT5), 0)</f>
        <v>1</v>
      </c>
      <c r="AU6" s="9">
        <f t="array" ref="AU6">MATCH(MAX(ABS(AU3:AU5)), ABS(AU3:AU5), 0)</f>
        <v>1</v>
      </c>
      <c r="AV6" s="9">
        <f t="array" ref="AV6">MATCH(MAX(ABS(AV3:AV5)), ABS(AV3:AV5), 0)</f>
        <v>1</v>
      </c>
      <c r="AW6" s="9">
        <f t="array" ref="AW6">MATCH(MAX(ABS(AW3:AW5)), ABS(AW3:AW5), 0)</f>
        <v>1</v>
      </c>
      <c r="AX6" s="9">
        <f t="array" ref="AX6">MATCH(MAX(ABS(AX3:AX5)), ABS(AX3:AX5), 0)</f>
        <v>1</v>
      </c>
      <c r="AY6" s="9">
        <f t="array" ref="AY6">MATCH(MAX(ABS(AY3:AY5)), ABS(AY3:AY5), 0)</f>
        <v>1</v>
      </c>
      <c r="AZ6" s="9">
        <f t="array" ref="AZ6">MATCH(MAX(ABS(AZ3:AZ5)), ABS(AZ3:AZ5), 0)</f>
        <v>1</v>
      </c>
      <c r="BA6" s="9">
        <f t="array" ref="BA6">MATCH(MAX(ABS(BA3:BA5)), ABS(BA3:BA5), 0)</f>
        <v>1</v>
      </c>
      <c r="BB6" s="9">
        <f t="array" ref="BB6">MATCH(MAX(ABS(BB3:BB5)), ABS(BB3:BB5), 0)</f>
        <v>1</v>
      </c>
      <c r="BC6" s="9">
        <f t="array" ref="BC6">MATCH(MAX(ABS(BC3:BC5)), ABS(BC3:BC5), 0)</f>
        <v>1</v>
      </c>
      <c r="BD6" s="9">
        <f t="array" ref="BD6">MATCH(MAX(ABS(BD3:BD5)), ABS(BD3:BD5), 0)</f>
        <v>1</v>
      </c>
      <c r="BE6" s="9">
        <f t="array" ref="BE6">MATCH(MAX(ABS(BE3:BE5)), ABS(BE3:BE5), 0)</f>
        <v>1</v>
      </c>
      <c r="BF6" s="9">
        <f t="array" ref="BF6">MATCH(MAX(ABS(BF3:BF5)), ABS(BF3:BF5), 0)</f>
        <v>1</v>
      </c>
      <c r="BG6" s="9">
        <f t="array" ref="BG6">MATCH(MAX(ABS(BG3:BG5)), ABS(BG3:BG5), 0)</f>
        <v>1</v>
      </c>
      <c r="BH6" s="9">
        <f t="array" ref="BH6">MATCH(MAX(ABS(BH3:BH5)), ABS(BH3:BH5), 0)</f>
        <v>1</v>
      </c>
      <c r="BI6" s="9">
        <f t="array" ref="BI6">MATCH(MAX(ABS(BI3:BI5)), ABS(BI3:BI5), 0)</f>
        <v>1</v>
      </c>
      <c r="BJ6" s="9">
        <f t="array" ref="BJ6">MATCH(MAX(ABS(BJ3:BJ5)), ABS(BJ3:BJ5), 0)</f>
        <v>1</v>
      </c>
      <c r="BK6" s="9">
        <f t="array" ref="BK6">MATCH(MAX(ABS(BK3:BK5)), ABS(BK3:BK5), 0)</f>
        <v>1</v>
      </c>
      <c r="BL6" s="9">
        <f t="array" ref="BL6">MATCH(MAX(ABS(BL3:BL5)), ABS(BL3:BL5), 0)</f>
        <v>1</v>
      </c>
      <c r="BM6" s="9">
        <f t="array" ref="BM6">MATCH(MAX(ABS(BM3:BM5)), ABS(BM3:BM5), 0)</f>
        <v>1</v>
      </c>
      <c r="BN6" s="9">
        <f t="array" ref="BN6">MATCH(MAX(ABS(BN3:BN5)), ABS(BN3:BN5), 0)</f>
        <v>1</v>
      </c>
      <c r="BO6" s="9">
        <f t="array" ref="BO6">MATCH(MAX(ABS(BO3:BO5)), ABS(BO3:BO5), 0)</f>
        <v>1</v>
      </c>
      <c r="BP6" s="9">
        <f t="array" ref="BP6">MATCH(MAX(ABS(BP3:BP5)), ABS(BP3:BP5), 0)</f>
        <v>1</v>
      </c>
      <c r="BQ6" s="9">
        <f t="array" ref="BQ6">MATCH(MAX(ABS(BQ3:BQ5)), ABS(BQ3:BQ5), 0)</f>
        <v>1</v>
      </c>
      <c r="BR6" s="9">
        <f t="array" ref="BR6">MATCH(MAX(ABS(BR3:BR5)), ABS(BR3:BR5), 0)</f>
        <v>1</v>
      </c>
      <c r="BS6" s="9">
        <f t="array" ref="BS6">MATCH(MAX(ABS(BS3:BS5)), ABS(BS3:BS5), 0)</f>
        <v>1</v>
      </c>
      <c r="BT6" s="9">
        <f t="array" ref="BT6">MATCH(MAX(ABS(BT3:BT5)), ABS(BT3:BT5), 0)</f>
        <v>1</v>
      </c>
      <c r="BU6" s="9">
        <f t="array" ref="BU6">MATCH(MAX(ABS(BU3:BU5)), ABS(BU3:BU5), 0)</f>
        <v>1</v>
      </c>
      <c r="BV6" s="9">
        <f t="array" ref="BV6">MATCH(MAX(ABS(BV3:BV5)), ABS(BV3:BV5), 0)</f>
        <v>1</v>
      </c>
      <c r="BW6" s="9">
        <f t="array" ref="BW6">MATCH(MAX(ABS(BW3:BW5)), ABS(BW3:BW5), 0)</f>
        <v>1</v>
      </c>
      <c r="BX6" s="9">
        <f t="array" ref="BX6">MATCH(MAX(ABS(BX3:BX5)), ABS(BX3:BX5), 0)</f>
        <v>1</v>
      </c>
      <c r="BY6" s="9">
        <f t="array" ref="BY6">MATCH(MAX(ABS(BY3:BY5)), ABS(BY3:BY5), 0)</f>
        <v>1</v>
      </c>
      <c r="BZ6" s="9">
        <f t="array" ref="BZ6">MATCH(MAX(ABS(BZ3:BZ5)), ABS(BZ3:BZ5), 0)</f>
        <v>1</v>
      </c>
      <c r="CA6" s="9">
        <f t="array" ref="CA6">MATCH(MAX(ABS(CA3:CA5)), ABS(CA3:CA5), 0)</f>
        <v>1</v>
      </c>
      <c r="CB6" s="9">
        <f t="array" ref="CB6">MATCH(MAX(ABS(CB3:CB5)), ABS(CB3:CB5), 0)</f>
        <v>1</v>
      </c>
      <c r="CC6" s="9">
        <f t="array" ref="CC6">MATCH(MAX(ABS(CC3:CC5)), ABS(CC3:CC5), 0)</f>
        <v>1</v>
      </c>
      <c r="CD6" s="9">
        <f t="array" ref="CD6">MATCH(MAX(ABS(CD3:CD5)), ABS(CD3:CD5), 0)</f>
        <v>1</v>
      </c>
      <c r="CE6" s="9">
        <f t="array" ref="CE6">MATCH(MAX(ABS(CE3:CE5)), ABS(CE3:CE5), 0)</f>
        <v>1</v>
      </c>
      <c r="CF6" s="9">
        <f t="array" ref="CF6">MATCH(MAX(ABS(CF3:CF5)), ABS(CF3:CF5), 0)</f>
        <v>1</v>
      </c>
      <c r="CG6" s="9">
        <f t="array" ref="CG6">MATCH(MAX(ABS(CG3:CG5)), ABS(CG3:CG5), 0)</f>
        <v>1</v>
      </c>
      <c r="CH6" s="9">
        <f t="array" ref="CH6">MATCH(MAX(ABS(CH3:CH5)), ABS(CH3:CH5), 0)</f>
        <v>1</v>
      </c>
      <c r="CI6" s="9">
        <f t="array" ref="CI6">MATCH(MAX(ABS(CI3:CI5)), ABS(CI3:CI5), 0)</f>
        <v>1</v>
      </c>
      <c r="CJ6" s="9">
        <f t="array" ref="CJ6">MATCH(MAX(ABS(CJ3:CJ5)), ABS(CJ3:CJ5), 0)</f>
        <v>1</v>
      </c>
      <c r="CK6" s="9">
        <f t="array" ref="CK6">MATCH(MAX(ABS(CK3:CK5)), ABS(CK3:CK5), 0)</f>
        <v>1</v>
      </c>
      <c r="CL6" s="9">
        <f t="array" ref="CL6">MATCH(MAX(ABS(CL3:CL5)), ABS(CL3:CL5), 0)</f>
        <v>1</v>
      </c>
      <c r="CM6" s="9">
        <f t="array" ref="CM6">MATCH(MAX(ABS(CM3:CM5)), ABS(CM3:CM5), 0)</f>
        <v>1</v>
      </c>
      <c r="CN6" s="9">
        <f t="array" ref="CN6">MATCH(MAX(ABS(CN3:CN5)), ABS(CN3:CN5), 0)</f>
        <v>1</v>
      </c>
      <c r="CO6" s="9">
        <f t="array" ref="CO6">MATCH(MAX(ABS(CO3:CO5)), ABS(CO3:CO5), 0)</f>
        <v>1</v>
      </c>
      <c r="CP6" s="9">
        <f t="array" ref="CP6">MATCH(MAX(ABS(CP3:CP5)), ABS(CP3:CP5), 0)</f>
        <v>1</v>
      </c>
      <c r="CQ6" s="9">
        <f t="array" ref="CQ6">MATCH(MAX(ABS(CQ3:CQ5)), ABS(CQ3:CQ5), 0)</f>
        <v>1</v>
      </c>
      <c r="CR6" s="9">
        <f t="array" ref="CR6">MATCH(MAX(ABS(CR3:CR5)), ABS(CR3:CR5), 0)</f>
        <v>1</v>
      </c>
      <c r="CS6" s="9">
        <f t="array" ref="CS6">MATCH(MAX(ABS(CS3:CS5)), ABS(CS3:CS5), 0)</f>
        <v>1</v>
      </c>
      <c r="CT6" s="9">
        <f t="array" ref="CT6">MATCH(MAX(ABS(CT3:CT5)), ABS(CT3:CT5), 0)</f>
        <v>1</v>
      </c>
      <c r="CU6" s="9">
        <f t="array" ref="CU6">MATCH(MAX(ABS(CU3:CU5)), ABS(CU3:CU5), 0)</f>
        <v>1</v>
      </c>
      <c r="CV6" s="9">
        <f t="array" ref="CV6">MATCH(MAX(ABS(CV3:CV5)), ABS(CV3:CV5), 0)</f>
        <v>1</v>
      </c>
      <c r="CW6" s="9">
        <f t="array" ref="CW6">MATCH(MAX(ABS(CW3:CW5)), ABS(CW3:CW5), 0)</f>
        <v>1</v>
      </c>
      <c r="CX6" s="9">
        <f t="array" ref="CX6">MATCH(MAX(ABS(CX3:CX5)), ABS(CX3:CX5), 0)</f>
        <v>1</v>
      </c>
      <c r="CY6" s="9">
        <f t="array" ref="CY6">MATCH(MAX(ABS(CY3:CY5)), ABS(CY3:CY5), 0)</f>
        <v>1</v>
      </c>
      <c r="CZ6" s="9">
        <f t="array" ref="CZ6">MATCH(MAX(ABS(CZ3:CZ5)), ABS(CZ3:CZ5), 0)</f>
        <v>1</v>
      </c>
      <c r="DA6" s="9">
        <f t="array" ref="DA6">MATCH(MAX(ABS(DA3:DA5)), ABS(DA3:DA5), 0)</f>
        <v>1</v>
      </c>
      <c r="DB6" s="9">
        <f t="array" ref="DB6">MATCH(MAX(ABS(DB3:DB5)), ABS(DB3:DB5), 0)</f>
        <v>1</v>
      </c>
      <c r="DC6" s="9">
        <f t="array" ref="DC6">MATCH(MAX(ABS(DC3:DC5)), ABS(DC3:DC5), 0)</f>
        <v>1</v>
      </c>
      <c r="DD6" s="9">
        <f t="array" ref="DD6">MATCH(MAX(ABS(DD3:DD5)), ABS(DD3:DD5), 0)</f>
        <v>1</v>
      </c>
      <c r="DE6" s="9">
        <f t="array" ref="DE6">MATCH(MAX(ABS(DE3:DE5)), ABS(DE3:DE5), 0)</f>
        <v>1</v>
      </c>
      <c r="DF6" s="9">
        <f t="array" ref="DF6">MATCH(MAX(ABS(DF3:DF5)), ABS(DF3:DF5), 0)</f>
        <v>1</v>
      </c>
      <c r="DG6" s="9">
        <f t="array" ref="DG6">MATCH(MAX(ABS(DG3:DG5)), ABS(DG3:DG5), 0)</f>
        <v>1</v>
      </c>
      <c r="DH6" s="9">
        <f t="array" ref="DH6">MATCH(MAX(ABS(DH3:DH5)), ABS(DH3:DH5), 0)</f>
        <v>1</v>
      </c>
      <c r="DI6" s="9">
        <f t="array" ref="DI6">MATCH(MAX(ABS(DI3:DI5)), ABS(DI3:DI5), 0)</f>
        <v>1</v>
      </c>
      <c r="DJ6" s="9">
        <f t="array" ref="DJ6">MATCH(MAX(ABS(DJ3:DJ5)), ABS(DJ3:DJ5), 0)</f>
        <v>1</v>
      </c>
      <c r="DK6" s="9">
        <f t="array" ref="DK6">MATCH(MAX(ABS(DK3:DK5)), ABS(DK3:DK5), 0)</f>
        <v>1</v>
      </c>
      <c r="DL6" s="9">
        <f t="array" ref="DL6">MATCH(MAX(ABS(DL3:DL5)), ABS(DL3:DL5), 0)</f>
        <v>1</v>
      </c>
      <c r="DM6" s="9">
        <f t="array" ref="DM6">MATCH(MAX(ABS(DM3:DM5)), ABS(DM3:DM5), 0)</f>
        <v>1</v>
      </c>
      <c r="DN6" s="9">
        <f t="array" ref="DN6">MATCH(MAX(ABS(DN3:DN5)), ABS(DN3:DN5), 0)</f>
        <v>1</v>
      </c>
      <c r="DO6" s="9">
        <f t="array" ref="DO6">MATCH(MAX(ABS(DO3:DO5)), ABS(DO3:DO5), 0)</f>
        <v>1</v>
      </c>
      <c r="DP6" s="9">
        <f t="array" ref="DP6">MATCH(MAX(ABS(DP3:DP5)), ABS(DP3:DP5), 0)</f>
        <v>1</v>
      </c>
      <c r="DQ6" s="9">
        <f t="array" ref="DQ6">MATCH(MAX(ABS(DQ3:DQ5)), ABS(DQ3:DQ5), 0)</f>
        <v>1</v>
      </c>
      <c r="DR6" s="9">
        <f t="array" ref="DR6">MATCH(MAX(ABS(DR3:DR5)), ABS(DR3:DR5), 0)</f>
        <v>1</v>
      </c>
      <c r="DS6" s="9">
        <f t="array" ref="DS6">MATCH(MAX(ABS(DS3:DS5)), ABS(DS3:DS5), 0)</f>
        <v>1</v>
      </c>
      <c r="DT6" s="9">
        <f t="array" ref="DT6">MATCH(MAX(ABS(DT3:DT5)), ABS(DT3:DT5), 0)</f>
        <v>1</v>
      </c>
      <c r="DU6" s="9">
        <f t="array" ref="DU6">MATCH(MAX(ABS(DU3:DU5)), ABS(DU3:DU5), 0)</f>
        <v>1</v>
      </c>
      <c r="DV6" s="9">
        <f t="array" ref="DV6">MATCH(MAX(ABS(DV3:DV5)), ABS(DV3:DV5), 0)</f>
        <v>1</v>
      </c>
      <c r="DW6" s="9">
        <f t="array" ref="DW6">MATCH(MAX(ABS(DW3:DW5)), ABS(DW3:DW5), 0)</f>
        <v>1</v>
      </c>
      <c r="DX6" s="9">
        <f t="array" ref="DX6">MATCH(MAX(ABS(DX3:DX5)), ABS(DX3:DX5), 0)</f>
        <v>1</v>
      </c>
      <c r="DY6" s="9">
        <f t="array" ref="DY6">MATCH(MAX(ABS(DY3:DY5)), ABS(DY3:DY5), 0)</f>
        <v>1</v>
      </c>
      <c r="DZ6" s="9">
        <f t="array" ref="DZ6">MATCH(MAX(ABS(DZ3:DZ5)), ABS(DZ3:DZ5), 0)</f>
        <v>1</v>
      </c>
      <c r="EA6" s="9">
        <f t="array" ref="EA6">MATCH(MAX(ABS(EA3:EA5)), ABS(EA3:EA5), 0)</f>
        <v>1</v>
      </c>
      <c r="EB6" s="9">
        <f t="array" ref="EB6">MATCH(MAX(ABS(EB3:EB5)), ABS(EB3:EB5), 0)</f>
        <v>1</v>
      </c>
      <c r="EC6" s="9">
        <f t="array" ref="EC6">MATCH(MAX(ABS(EC3:EC5)), ABS(EC3:EC5), 0)</f>
        <v>1</v>
      </c>
      <c r="ED6" s="9">
        <f t="array" ref="ED6">MATCH(MAX(ABS(ED3:ED5)), ABS(ED3:ED5), 0)</f>
        <v>1</v>
      </c>
      <c r="EE6" s="9">
        <f t="array" ref="EE6">MATCH(MAX(ABS(EE3:EE5)), ABS(EE3:EE5), 0)</f>
        <v>1</v>
      </c>
      <c r="EF6" s="9">
        <f t="array" ref="EF6">MATCH(MAX(ABS(EF3:EF5)), ABS(EF3:EF5), 0)</f>
        <v>1</v>
      </c>
    </row>
    <row r="7" spans="1:137" s="2" customFormat="1">
      <c r="C7" s="9" t="str">
        <f t="shared" ref="C7:BN7" si="0">IF(C6=1,"bm",IF(C6=2,"size",IF(C6=3,"mom")))</f>
        <v>bm</v>
      </c>
      <c r="D7" s="9" t="str">
        <f t="shared" si="0"/>
        <v>size</v>
      </c>
      <c r="E7" s="9" t="str">
        <f t="shared" si="0"/>
        <v>bm</v>
      </c>
      <c r="F7" s="9" t="str">
        <f t="shared" si="0"/>
        <v>size</v>
      </c>
      <c r="G7" s="9" t="str">
        <f t="shared" si="0"/>
        <v>size</v>
      </c>
      <c r="H7" s="9" t="str">
        <f t="shared" si="0"/>
        <v>size</v>
      </c>
      <c r="I7" s="9" t="str">
        <f t="shared" si="0"/>
        <v>bm</v>
      </c>
      <c r="J7" s="9" t="str">
        <f t="shared" si="0"/>
        <v>size</v>
      </c>
      <c r="K7" s="9" t="str">
        <f t="shared" si="0"/>
        <v>size</v>
      </c>
      <c r="L7" s="9" t="str">
        <f t="shared" si="0"/>
        <v>size</v>
      </c>
      <c r="M7" s="9" t="str">
        <f t="shared" si="0"/>
        <v>size</v>
      </c>
      <c r="N7" s="9" t="str">
        <f t="shared" si="0"/>
        <v>size</v>
      </c>
      <c r="O7" s="9" t="str">
        <f t="shared" si="0"/>
        <v>size</v>
      </c>
      <c r="P7" s="9" t="str">
        <f t="shared" si="0"/>
        <v>bm</v>
      </c>
      <c r="Q7" s="9" t="str">
        <f t="shared" si="0"/>
        <v>size</v>
      </c>
      <c r="R7" s="9" t="str">
        <f t="shared" si="0"/>
        <v>size</v>
      </c>
      <c r="S7" s="9" t="str">
        <f t="shared" si="0"/>
        <v>bm</v>
      </c>
      <c r="T7" s="9" t="str">
        <f t="shared" si="0"/>
        <v>size</v>
      </c>
      <c r="U7" s="9" t="str">
        <f t="shared" si="0"/>
        <v>size</v>
      </c>
      <c r="V7" s="9" t="str">
        <f t="shared" si="0"/>
        <v>size</v>
      </c>
      <c r="W7" s="9" t="str">
        <f t="shared" si="0"/>
        <v>size</v>
      </c>
      <c r="X7" s="9" t="str">
        <f t="shared" si="0"/>
        <v>bm</v>
      </c>
      <c r="Y7" s="9" t="str">
        <f t="shared" si="0"/>
        <v>size</v>
      </c>
      <c r="Z7" s="9" t="str">
        <f t="shared" si="0"/>
        <v>size</v>
      </c>
      <c r="AA7" s="9" t="str">
        <f t="shared" si="0"/>
        <v>size</v>
      </c>
      <c r="AB7" s="9" t="str">
        <f t="shared" si="0"/>
        <v>size</v>
      </c>
      <c r="AC7" s="9" t="str">
        <f t="shared" si="0"/>
        <v>size</v>
      </c>
      <c r="AD7" s="9" t="str">
        <f t="shared" si="0"/>
        <v>size</v>
      </c>
      <c r="AE7" s="9" t="str">
        <f t="shared" si="0"/>
        <v>bm</v>
      </c>
      <c r="AF7" s="9" t="str">
        <f t="shared" si="0"/>
        <v>size</v>
      </c>
      <c r="AG7" s="9" t="str">
        <f t="shared" si="0"/>
        <v>size</v>
      </c>
      <c r="AH7" s="9" t="str">
        <f t="shared" si="0"/>
        <v>size</v>
      </c>
      <c r="AI7" s="9" t="str">
        <f t="shared" si="0"/>
        <v>size</v>
      </c>
      <c r="AJ7" s="9" t="str">
        <f t="shared" si="0"/>
        <v>size</v>
      </c>
      <c r="AK7" s="9" t="str">
        <f t="shared" si="0"/>
        <v>size</v>
      </c>
      <c r="AL7" s="9" t="str">
        <f t="shared" si="0"/>
        <v>bm</v>
      </c>
      <c r="AM7" s="9" t="str">
        <f t="shared" si="0"/>
        <v>size</v>
      </c>
      <c r="AN7" s="9" t="str">
        <f t="shared" si="0"/>
        <v>bm</v>
      </c>
      <c r="AO7" s="9" t="str">
        <f t="shared" si="0"/>
        <v>size</v>
      </c>
      <c r="AP7" s="9" t="str">
        <f t="shared" si="0"/>
        <v>bm</v>
      </c>
      <c r="AQ7" s="9" t="str">
        <f t="shared" si="0"/>
        <v>size</v>
      </c>
      <c r="AR7" s="9" t="str">
        <f t="shared" si="0"/>
        <v>size</v>
      </c>
      <c r="AS7" s="9" t="str">
        <f t="shared" si="0"/>
        <v>bm</v>
      </c>
      <c r="AT7" s="9" t="str">
        <f t="shared" si="0"/>
        <v>bm</v>
      </c>
      <c r="AU7" s="9" t="str">
        <f t="shared" si="0"/>
        <v>bm</v>
      </c>
      <c r="AV7" s="9" t="str">
        <f t="shared" si="0"/>
        <v>bm</v>
      </c>
      <c r="AW7" s="9" t="str">
        <f t="shared" si="0"/>
        <v>bm</v>
      </c>
      <c r="AX7" s="9" t="str">
        <f t="shared" si="0"/>
        <v>bm</v>
      </c>
      <c r="AY7" s="9" t="str">
        <f t="shared" si="0"/>
        <v>bm</v>
      </c>
      <c r="AZ7" s="9" t="str">
        <f t="shared" si="0"/>
        <v>bm</v>
      </c>
      <c r="BA7" s="9" t="str">
        <f t="shared" si="0"/>
        <v>bm</v>
      </c>
      <c r="BB7" s="9" t="str">
        <f t="shared" si="0"/>
        <v>bm</v>
      </c>
      <c r="BC7" s="9" t="str">
        <f t="shared" si="0"/>
        <v>bm</v>
      </c>
      <c r="BD7" s="9" t="str">
        <f t="shared" si="0"/>
        <v>bm</v>
      </c>
      <c r="BE7" s="9" t="str">
        <f t="shared" si="0"/>
        <v>bm</v>
      </c>
      <c r="BF7" s="9" t="str">
        <f t="shared" si="0"/>
        <v>bm</v>
      </c>
      <c r="BG7" s="9" t="str">
        <f t="shared" si="0"/>
        <v>bm</v>
      </c>
      <c r="BH7" s="9" t="str">
        <f t="shared" si="0"/>
        <v>bm</v>
      </c>
      <c r="BI7" s="9" t="str">
        <f t="shared" si="0"/>
        <v>bm</v>
      </c>
      <c r="BJ7" s="9" t="str">
        <f t="shared" si="0"/>
        <v>bm</v>
      </c>
      <c r="BK7" s="9" t="str">
        <f t="shared" si="0"/>
        <v>bm</v>
      </c>
      <c r="BL7" s="9" t="str">
        <f t="shared" si="0"/>
        <v>bm</v>
      </c>
      <c r="BM7" s="9" t="str">
        <f t="shared" si="0"/>
        <v>bm</v>
      </c>
      <c r="BN7" s="9" t="str">
        <f t="shared" si="0"/>
        <v>bm</v>
      </c>
      <c r="BO7" s="9" t="str">
        <f t="shared" ref="BO7:DZ7" si="1">IF(BO6=1,"bm",IF(BO6=2,"size",IF(BO6=3,"mom")))</f>
        <v>bm</v>
      </c>
      <c r="BP7" s="9" t="str">
        <f t="shared" si="1"/>
        <v>bm</v>
      </c>
      <c r="BQ7" s="9" t="str">
        <f t="shared" si="1"/>
        <v>bm</v>
      </c>
      <c r="BR7" s="9" t="str">
        <f t="shared" si="1"/>
        <v>bm</v>
      </c>
      <c r="BS7" s="9" t="str">
        <f t="shared" si="1"/>
        <v>bm</v>
      </c>
      <c r="BT7" s="9" t="str">
        <f t="shared" si="1"/>
        <v>bm</v>
      </c>
      <c r="BU7" s="9" t="str">
        <f t="shared" si="1"/>
        <v>bm</v>
      </c>
      <c r="BV7" s="9" t="str">
        <f t="shared" si="1"/>
        <v>bm</v>
      </c>
      <c r="BW7" s="9" t="str">
        <f t="shared" si="1"/>
        <v>bm</v>
      </c>
      <c r="BX7" s="9" t="str">
        <f t="shared" si="1"/>
        <v>bm</v>
      </c>
      <c r="BY7" s="9" t="str">
        <f t="shared" si="1"/>
        <v>bm</v>
      </c>
      <c r="BZ7" s="9" t="str">
        <f t="shared" si="1"/>
        <v>bm</v>
      </c>
      <c r="CA7" s="9" t="str">
        <f t="shared" si="1"/>
        <v>bm</v>
      </c>
      <c r="CB7" s="9" t="str">
        <f t="shared" si="1"/>
        <v>bm</v>
      </c>
      <c r="CC7" s="9" t="str">
        <f t="shared" si="1"/>
        <v>bm</v>
      </c>
      <c r="CD7" s="9" t="str">
        <f t="shared" si="1"/>
        <v>bm</v>
      </c>
      <c r="CE7" s="9" t="str">
        <f t="shared" si="1"/>
        <v>bm</v>
      </c>
      <c r="CF7" s="9" t="str">
        <f t="shared" si="1"/>
        <v>bm</v>
      </c>
      <c r="CG7" s="9" t="str">
        <f t="shared" si="1"/>
        <v>bm</v>
      </c>
      <c r="CH7" s="9" t="str">
        <f t="shared" si="1"/>
        <v>bm</v>
      </c>
      <c r="CI7" s="9" t="str">
        <f t="shared" si="1"/>
        <v>bm</v>
      </c>
      <c r="CJ7" s="9" t="str">
        <f t="shared" si="1"/>
        <v>bm</v>
      </c>
      <c r="CK7" s="9" t="str">
        <f t="shared" si="1"/>
        <v>bm</v>
      </c>
      <c r="CL7" s="9" t="str">
        <f t="shared" si="1"/>
        <v>bm</v>
      </c>
      <c r="CM7" s="9" t="str">
        <f t="shared" si="1"/>
        <v>bm</v>
      </c>
      <c r="CN7" s="9" t="str">
        <f t="shared" si="1"/>
        <v>bm</v>
      </c>
      <c r="CO7" s="9" t="str">
        <f t="shared" si="1"/>
        <v>bm</v>
      </c>
      <c r="CP7" s="9" t="str">
        <f t="shared" si="1"/>
        <v>bm</v>
      </c>
      <c r="CQ7" s="9" t="str">
        <f t="shared" si="1"/>
        <v>bm</v>
      </c>
      <c r="CR7" s="9" t="str">
        <f t="shared" si="1"/>
        <v>bm</v>
      </c>
      <c r="CS7" s="9" t="str">
        <f t="shared" si="1"/>
        <v>bm</v>
      </c>
      <c r="CT7" s="9" t="str">
        <f t="shared" si="1"/>
        <v>bm</v>
      </c>
      <c r="CU7" s="9" t="str">
        <f t="shared" si="1"/>
        <v>bm</v>
      </c>
      <c r="CV7" s="9" t="str">
        <f t="shared" si="1"/>
        <v>bm</v>
      </c>
      <c r="CW7" s="9" t="str">
        <f t="shared" si="1"/>
        <v>bm</v>
      </c>
      <c r="CX7" s="9" t="str">
        <f t="shared" si="1"/>
        <v>bm</v>
      </c>
      <c r="CY7" s="9" t="str">
        <f t="shared" si="1"/>
        <v>bm</v>
      </c>
      <c r="CZ7" s="9" t="str">
        <f t="shared" si="1"/>
        <v>bm</v>
      </c>
      <c r="DA7" s="9" t="str">
        <f t="shared" si="1"/>
        <v>bm</v>
      </c>
      <c r="DB7" s="9" t="str">
        <f t="shared" si="1"/>
        <v>bm</v>
      </c>
      <c r="DC7" s="9" t="str">
        <f t="shared" si="1"/>
        <v>bm</v>
      </c>
      <c r="DD7" s="9" t="str">
        <f t="shared" si="1"/>
        <v>bm</v>
      </c>
      <c r="DE7" s="9" t="str">
        <f t="shared" si="1"/>
        <v>bm</v>
      </c>
      <c r="DF7" s="9" t="str">
        <f t="shared" si="1"/>
        <v>bm</v>
      </c>
      <c r="DG7" s="9" t="str">
        <f t="shared" si="1"/>
        <v>bm</v>
      </c>
      <c r="DH7" s="9" t="str">
        <f t="shared" si="1"/>
        <v>bm</v>
      </c>
      <c r="DI7" s="9" t="str">
        <f t="shared" si="1"/>
        <v>bm</v>
      </c>
      <c r="DJ7" s="9" t="str">
        <f t="shared" si="1"/>
        <v>bm</v>
      </c>
      <c r="DK7" s="9" t="str">
        <f t="shared" si="1"/>
        <v>bm</v>
      </c>
      <c r="DL7" s="9" t="str">
        <f t="shared" si="1"/>
        <v>bm</v>
      </c>
      <c r="DM7" s="9" t="str">
        <f t="shared" si="1"/>
        <v>bm</v>
      </c>
      <c r="DN7" s="9" t="str">
        <f t="shared" si="1"/>
        <v>bm</v>
      </c>
      <c r="DO7" s="9" t="str">
        <f t="shared" si="1"/>
        <v>bm</v>
      </c>
      <c r="DP7" s="9" t="str">
        <f t="shared" si="1"/>
        <v>bm</v>
      </c>
      <c r="DQ7" s="9" t="str">
        <f t="shared" si="1"/>
        <v>bm</v>
      </c>
      <c r="DR7" s="9" t="str">
        <f t="shared" si="1"/>
        <v>bm</v>
      </c>
      <c r="DS7" s="9" t="str">
        <f t="shared" si="1"/>
        <v>bm</v>
      </c>
      <c r="DT7" s="9" t="str">
        <f t="shared" si="1"/>
        <v>bm</v>
      </c>
      <c r="DU7" s="9" t="str">
        <f t="shared" si="1"/>
        <v>bm</v>
      </c>
      <c r="DV7" s="9" t="str">
        <f t="shared" si="1"/>
        <v>bm</v>
      </c>
      <c r="DW7" s="9" t="str">
        <f t="shared" si="1"/>
        <v>bm</v>
      </c>
      <c r="DX7" s="9" t="str">
        <f t="shared" si="1"/>
        <v>bm</v>
      </c>
      <c r="DY7" s="9" t="str">
        <f t="shared" si="1"/>
        <v>bm</v>
      </c>
      <c r="DZ7" s="9" t="str">
        <f t="shared" si="1"/>
        <v>bm</v>
      </c>
      <c r="EA7" s="9" t="str">
        <f t="shared" ref="EA7:EF7" si="2">IF(EA6=1,"bm",IF(EA6=2,"size",IF(EA6=3,"mom")))</f>
        <v>bm</v>
      </c>
      <c r="EB7" s="9" t="str">
        <f t="shared" si="2"/>
        <v>bm</v>
      </c>
      <c r="EC7" s="9" t="str">
        <f t="shared" si="2"/>
        <v>bm</v>
      </c>
      <c r="ED7" s="9" t="str">
        <f t="shared" si="2"/>
        <v>bm</v>
      </c>
      <c r="EE7" s="9" t="str">
        <f t="shared" si="2"/>
        <v>bm</v>
      </c>
      <c r="EF7" s="9" t="str">
        <f t="shared" si="2"/>
        <v>bm</v>
      </c>
    </row>
    <row r="8" spans="1:137" s="2" customFormat="1">
      <c r="C8" s="9">
        <f t="shared" ref="C8:BN8" si="3">IF(C6=1,C3,IF(C6=2,C4,IF(C6=3,C5)))</f>
        <v>5.338069424033165E-2</v>
      </c>
      <c r="D8" s="9">
        <f t="shared" si="3"/>
        <v>-3.0302392318844799E-2</v>
      </c>
      <c r="E8" s="9">
        <f t="shared" si="3"/>
        <v>3.7131085991859443E-2</v>
      </c>
      <c r="F8" s="9">
        <f t="shared" si="3"/>
        <v>-3.342650830745697E-2</v>
      </c>
      <c r="G8" s="9">
        <f t="shared" si="3"/>
        <v>-4.356461763381958E-2</v>
      </c>
      <c r="H8" s="9">
        <f t="shared" si="3"/>
        <v>-2.4043656885623928E-2</v>
      </c>
      <c r="I8" s="9">
        <f t="shared" si="3"/>
        <v>3.051983006298542E-2</v>
      </c>
      <c r="J8" s="9">
        <f t="shared" si="3"/>
        <v>-3.6628138273954391E-2</v>
      </c>
      <c r="K8" s="9">
        <f t="shared" si="3"/>
        <v>-3.3706646412611008E-2</v>
      </c>
      <c r="L8" s="9">
        <f t="shared" si="3"/>
        <v>-3.9789609611034393E-2</v>
      </c>
      <c r="M8" s="9">
        <f t="shared" si="3"/>
        <v>-3.8071341812610633E-2</v>
      </c>
      <c r="N8" s="9">
        <f t="shared" si="3"/>
        <v>-2.9651828110218052E-2</v>
      </c>
      <c r="O8" s="9">
        <f t="shared" si="3"/>
        <v>-3.6376375705003738E-2</v>
      </c>
      <c r="P8" s="9">
        <f t="shared" si="3"/>
        <v>9.2788353562355042E-2</v>
      </c>
      <c r="Q8" s="9">
        <f t="shared" si="3"/>
        <v>-2.434376627206802E-2</v>
      </c>
      <c r="R8" s="9">
        <f t="shared" si="3"/>
        <v>-3.3573232591152191E-2</v>
      </c>
      <c r="S8" s="9">
        <f t="shared" si="3"/>
        <v>4.957927018404007E-2</v>
      </c>
      <c r="T8" s="9">
        <f t="shared" si="3"/>
        <v>-2.798360958695412E-2</v>
      </c>
      <c r="U8" s="9">
        <f t="shared" si="3"/>
        <v>-2.942265011370182E-2</v>
      </c>
      <c r="V8" s="9">
        <f t="shared" si="3"/>
        <v>-2.794249914586544E-2</v>
      </c>
      <c r="W8" s="9">
        <f t="shared" si="3"/>
        <v>-2.784637734293938E-2</v>
      </c>
      <c r="X8" s="9">
        <f t="shared" si="3"/>
        <v>-3.8444548845291138E-2</v>
      </c>
      <c r="Y8" s="9">
        <f t="shared" si="3"/>
        <v>-3.1967829912900918E-2</v>
      </c>
      <c r="Z8" s="9">
        <f t="shared" si="3"/>
        <v>-2.9925361275672909E-2</v>
      </c>
      <c r="AA8" s="9">
        <f t="shared" si="3"/>
        <v>-3.0244136229157451E-2</v>
      </c>
      <c r="AB8" s="9">
        <f t="shared" si="3"/>
        <v>-2.8592776507139209E-2</v>
      </c>
      <c r="AC8" s="9">
        <f t="shared" si="3"/>
        <v>-2.740947529673576E-2</v>
      </c>
      <c r="AD8" s="9">
        <f t="shared" si="3"/>
        <v>-2.904889173805714E-2</v>
      </c>
      <c r="AE8" s="9">
        <f t="shared" si="3"/>
        <v>3.8704991340637207E-2</v>
      </c>
      <c r="AF8" s="9">
        <f t="shared" si="3"/>
        <v>-2.8318248689174649E-2</v>
      </c>
      <c r="AG8" s="9">
        <f t="shared" si="3"/>
        <v>-2.835783921182156E-2</v>
      </c>
      <c r="AH8" s="9">
        <f t="shared" si="3"/>
        <v>-2.0635519176721569E-2</v>
      </c>
      <c r="AI8" s="9">
        <f t="shared" si="3"/>
        <v>-3.9616737514734268E-2</v>
      </c>
      <c r="AJ8" s="9">
        <f t="shared" si="3"/>
        <v>-3.4279849380254752E-2</v>
      </c>
      <c r="AK8" s="9">
        <f t="shared" si="3"/>
        <v>-2.738221921026707E-2</v>
      </c>
      <c r="AL8" s="9">
        <f t="shared" si="3"/>
        <v>3.8964591920375817E-2</v>
      </c>
      <c r="AM8" s="9">
        <f t="shared" si="3"/>
        <v>-3.1148817390203479E-2</v>
      </c>
      <c r="AN8" s="9">
        <f t="shared" si="3"/>
        <v>4.386327788233757E-2</v>
      </c>
      <c r="AO8" s="9">
        <f t="shared" si="3"/>
        <v>-3.5884447395801537E-2</v>
      </c>
      <c r="AP8" s="9">
        <f t="shared" si="3"/>
        <v>3.8291200995445251E-2</v>
      </c>
      <c r="AQ8" s="9">
        <f t="shared" si="3"/>
        <v>-2.1187437698245049E-2</v>
      </c>
      <c r="AR8" s="9">
        <f t="shared" si="3"/>
        <v>-2.6181202381849289E-2</v>
      </c>
      <c r="AS8" s="9">
        <f t="shared" si="3"/>
        <v>-6.6054962575435638E-2</v>
      </c>
      <c r="AT8" s="9">
        <f t="shared" si="3"/>
        <v>4.3137997388839722E-2</v>
      </c>
      <c r="AU8" s="9">
        <f t="shared" si="3"/>
        <v>4.9771856516599662E-2</v>
      </c>
      <c r="AV8" s="9">
        <f t="shared" si="3"/>
        <v>4.9413982778787613E-2</v>
      </c>
      <c r="AW8" s="9">
        <f t="shared" si="3"/>
        <v>5.1071316003799438E-2</v>
      </c>
      <c r="AX8" s="9">
        <f t="shared" si="3"/>
        <v>4.962177574634552E-2</v>
      </c>
      <c r="AY8" s="9">
        <f t="shared" si="3"/>
        <v>5.1257487386465073E-2</v>
      </c>
      <c r="AZ8" s="9">
        <f t="shared" si="3"/>
        <v>4.2423129081726067E-2</v>
      </c>
      <c r="BA8" s="9">
        <f t="shared" si="3"/>
        <v>3.9333701133728027E-2</v>
      </c>
      <c r="BB8" s="9">
        <f t="shared" si="3"/>
        <v>3.9388258010149002E-2</v>
      </c>
      <c r="BC8" s="9">
        <f t="shared" si="3"/>
        <v>4.2884018272161477E-2</v>
      </c>
      <c r="BD8" s="9">
        <f t="shared" si="3"/>
        <v>4.4494438916444778E-2</v>
      </c>
      <c r="BE8" s="9">
        <f t="shared" si="3"/>
        <v>4.6050392091274261E-2</v>
      </c>
      <c r="BF8" s="9">
        <f t="shared" si="3"/>
        <v>5.2774351090192788E-2</v>
      </c>
      <c r="BG8" s="9">
        <f t="shared" si="3"/>
        <v>5.2520696073770523E-2</v>
      </c>
      <c r="BH8" s="9">
        <f t="shared" si="3"/>
        <v>5.204303190112114E-2</v>
      </c>
      <c r="BI8" s="9">
        <f t="shared" si="3"/>
        <v>5.3213786333799362E-2</v>
      </c>
      <c r="BJ8" s="9">
        <f t="shared" si="3"/>
        <v>5.14848493039608E-2</v>
      </c>
      <c r="BK8" s="9">
        <f t="shared" si="3"/>
        <v>5.2345767617225647E-2</v>
      </c>
      <c r="BL8" s="9">
        <f t="shared" si="3"/>
        <v>5.2821684628725052E-2</v>
      </c>
      <c r="BM8" s="9">
        <f t="shared" si="3"/>
        <v>5.246623232960701E-2</v>
      </c>
      <c r="BN8" s="9">
        <f t="shared" si="3"/>
        <v>5.7477392256259918E-2</v>
      </c>
      <c r="BO8" s="9">
        <f t="shared" ref="BO8:DZ8" si="4">IF(BO6=1,BO3,IF(BO6=2,BO4,IF(BO6=3,BO5)))</f>
        <v>5.5104456841945648E-2</v>
      </c>
      <c r="BP8" s="9">
        <f t="shared" si="4"/>
        <v>4.081440344452858E-2</v>
      </c>
      <c r="BQ8" s="9">
        <f t="shared" si="4"/>
        <v>5.2616532891988747E-2</v>
      </c>
      <c r="BR8" s="9">
        <f t="shared" si="4"/>
        <v>3.6645740270614617E-2</v>
      </c>
      <c r="BS8" s="9">
        <f t="shared" si="4"/>
        <v>5.4600823670625687E-2</v>
      </c>
      <c r="BT8" s="9">
        <f t="shared" si="4"/>
        <v>4.5548383146524429E-2</v>
      </c>
      <c r="BU8" s="9">
        <f t="shared" si="4"/>
        <v>5.5572357028722763E-2</v>
      </c>
      <c r="BV8" s="9">
        <f t="shared" si="4"/>
        <v>5.2330784499645233E-2</v>
      </c>
      <c r="BW8" s="9">
        <f t="shared" si="4"/>
        <v>4.1799742728471763E-2</v>
      </c>
      <c r="BX8" s="9">
        <f t="shared" si="4"/>
        <v>4.7964099794626243E-2</v>
      </c>
      <c r="BY8" s="9">
        <f t="shared" si="4"/>
        <v>4.9554049968719482E-2</v>
      </c>
      <c r="BZ8" s="9">
        <f t="shared" si="4"/>
        <v>5.3468108177185059E-2</v>
      </c>
      <c r="CA8" s="9">
        <f t="shared" si="4"/>
        <v>4.868757352232933E-2</v>
      </c>
      <c r="CB8" s="9">
        <f t="shared" si="4"/>
        <v>4.6025428920984268E-2</v>
      </c>
      <c r="CC8" s="9">
        <f t="shared" si="4"/>
        <v>5.2412558346986771E-2</v>
      </c>
      <c r="CD8" s="9">
        <f t="shared" si="4"/>
        <v>4.9619406461715698E-2</v>
      </c>
      <c r="CE8" s="9">
        <f t="shared" si="4"/>
        <v>4.6824052929878228E-2</v>
      </c>
      <c r="CF8" s="9">
        <f t="shared" si="4"/>
        <v>5.0924398005008698E-2</v>
      </c>
      <c r="CG8" s="9">
        <f t="shared" si="4"/>
        <v>4.6287201344966888E-2</v>
      </c>
      <c r="CH8" s="9">
        <f t="shared" si="4"/>
        <v>5.0006065517663963E-2</v>
      </c>
      <c r="CI8" s="9">
        <f t="shared" si="4"/>
        <v>4.8990387469530113E-2</v>
      </c>
      <c r="CJ8" s="9">
        <f t="shared" si="4"/>
        <v>5.0737027078866959E-2</v>
      </c>
      <c r="CK8" s="9">
        <f t="shared" si="4"/>
        <v>5.0407581031322479E-2</v>
      </c>
      <c r="CL8" s="9">
        <f t="shared" si="4"/>
        <v>5.1771163940429688E-2</v>
      </c>
      <c r="CM8" s="9">
        <f t="shared" si="4"/>
        <v>4.9744158983230591E-2</v>
      </c>
      <c r="CN8" s="9">
        <f t="shared" si="4"/>
        <v>4.9877673387527473E-2</v>
      </c>
      <c r="CO8" s="9">
        <f t="shared" si="4"/>
        <v>4.8527717590332031E-2</v>
      </c>
      <c r="CP8" s="9">
        <f t="shared" si="4"/>
        <v>4.8692740499973297E-2</v>
      </c>
      <c r="CQ8" s="9">
        <f t="shared" si="4"/>
        <v>4.9047302454710007E-2</v>
      </c>
      <c r="CR8" s="9">
        <f t="shared" si="4"/>
        <v>4.9837246537208557E-2</v>
      </c>
      <c r="CS8" s="9">
        <f t="shared" si="4"/>
        <v>4.7483202069997787E-2</v>
      </c>
      <c r="CT8" s="9">
        <f t="shared" si="4"/>
        <v>3.1795904040336609E-2</v>
      </c>
      <c r="CU8" s="9">
        <f t="shared" si="4"/>
        <v>4.4976841658353812E-2</v>
      </c>
      <c r="CV8" s="9">
        <f t="shared" si="4"/>
        <v>4.9786105751991272E-2</v>
      </c>
      <c r="CW8" s="9">
        <f t="shared" si="4"/>
        <v>4.3859463185071952E-2</v>
      </c>
      <c r="CX8" s="9">
        <f t="shared" si="4"/>
        <v>5.1966626197099693E-2</v>
      </c>
      <c r="CY8" s="9">
        <f t="shared" si="4"/>
        <v>5.0948314368724823E-2</v>
      </c>
      <c r="CZ8" s="9">
        <f t="shared" si="4"/>
        <v>4.4357843697071082E-2</v>
      </c>
      <c r="DA8" s="9">
        <f t="shared" si="4"/>
        <v>4.5401513576507568E-2</v>
      </c>
      <c r="DB8" s="9">
        <f t="shared" si="4"/>
        <v>5.2733633667230613E-2</v>
      </c>
      <c r="DC8" s="9">
        <f t="shared" si="4"/>
        <v>5.2081622183322913E-2</v>
      </c>
      <c r="DD8" s="9">
        <f t="shared" si="4"/>
        <v>4.963703453540802E-2</v>
      </c>
      <c r="DE8" s="9">
        <f t="shared" si="4"/>
        <v>5.2589800208806992E-2</v>
      </c>
      <c r="DF8" s="9">
        <f t="shared" si="4"/>
        <v>4.1408929973840707E-2</v>
      </c>
      <c r="DG8" s="9">
        <f t="shared" si="4"/>
        <v>4.3718356639146798E-2</v>
      </c>
      <c r="DH8" s="9">
        <f t="shared" si="4"/>
        <v>4.6793397516012192E-2</v>
      </c>
      <c r="DI8" s="9">
        <f t="shared" si="4"/>
        <v>4.7784905880689621E-2</v>
      </c>
      <c r="DJ8" s="9">
        <f t="shared" si="4"/>
        <v>5.1443465054035187E-2</v>
      </c>
      <c r="DK8" s="9">
        <f t="shared" si="4"/>
        <v>4.1621468961238861E-2</v>
      </c>
      <c r="DL8" s="9">
        <f t="shared" si="4"/>
        <v>4.8520050942897797E-2</v>
      </c>
      <c r="DM8" s="9">
        <f t="shared" si="4"/>
        <v>4.8485212028026581E-2</v>
      </c>
      <c r="DN8" s="9">
        <f t="shared" si="4"/>
        <v>4.6739093959331512E-2</v>
      </c>
      <c r="DO8" s="9">
        <f t="shared" si="4"/>
        <v>4.815780371427536E-2</v>
      </c>
      <c r="DP8" s="9">
        <f t="shared" si="4"/>
        <v>4.7622770071029663E-2</v>
      </c>
      <c r="DQ8" s="9">
        <f t="shared" si="4"/>
        <v>4.8637110739946372E-2</v>
      </c>
      <c r="DR8" s="9">
        <f t="shared" si="4"/>
        <v>4.879031702876091E-2</v>
      </c>
      <c r="DS8" s="9">
        <f t="shared" si="4"/>
        <v>4.4818054884672158E-2</v>
      </c>
      <c r="DT8" s="9">
        <f t="shared" si="4"/>
        <v>4.8045273870229721E-2</v>
      </c>
      <c r="DU8" s="9">
        <f t="shared" si="4"/>
        <v>4.7465518116950989E-2</v>
      </c>
      <c r="DV8" s="9">
        <f t="shared" si="4"/>
        <v>4.6620264649391167E-2</v>
      </c>
      <c r="DW8" s="9">
        <f t="shared" si="4"/>
        <v>4.7323688864707947E-2</v>
      </c>
      <c r="DX8" s="9">
        <f t="shared" si="4"/>
        <v>4.754440113902092E-2</v>
      </c>
      <c r="DY8" s="9">
        <f t="shared" si="4"/>
        <v>4.7807488590478897E-2</v>
      </c>
      <c r="DZ8" s="9">
        <f t="shared" si="4"/>
        <v>3.4820709377527237E-2</v>
      </c>
      <c r="EA8" s="9">
        <f t="shared" ref="EA8:EF8" si="5">IF(EA6=1,EA3,IF(EA6=2,EA4,IF(EA6=3,EA5)))</f>
        <v>4.8265136778354638E-2</v>
      </c>
      <c r="EB8" s="9">
        <f t="shared" si="5"/>
        <v>4.2205382138490677E-2</v>
      </c>
      <c r="EC8" s="9">
        <f t="shared" si="5"/>
        <v>3.6263357847929001E-2</v>
      </c>
      <c r="ED8" s="9">
        <f t="shared" si="5"/>
        <v>3.9504203945398331E-2</v>
      </c>
      <c r="EE8" s="9">
        <f t="shared" si="5"/>
        <v>4.6422228217124939E-2</v>
      </c>
      <c r="EF8" s="9">
        <f t="shared" si="5"/>
        <v>5.0174936652183533E-2</v>
      </c>
    </row>
    <row r="10" spans="1:137">
      <c r="A10" s="32" t="s">
        <v>140</v>
      </c>
      <c r="B10" s="33"/>
      <c r="C10" s="4" t="s">
        <v>141</v>
      </c>
      <c r="D10" s="6">
        <v>964</v>
      </c>
    </row>
    <row r="11" spans="1:137">
      <c r="A11" s="4" t="s">
        <v>142</v>
      </c>
      <c r="B11" s="4" t="s">
        <v>143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I11" s="5" t="s">
        <v>8</v>
      </c>
      <c r="J11" s="5" t="s">
        <v>9</v>
      </c>
      <c r="K11" s="5" t="s">
        <v>10</v>
      </c>
      <c r="L11" s="5" t="s">
        <v>11</v>
      </c>
      <c r="M11" s="5" t="s">
        <v>12</v>
      </c>
      <c r="N11" s="5" t="s">
        <v>13</v>
      </c>
      <c r="O11" s="5" t="s">
        <v>14</v>
      </c>
      <c r="P11" s="5" t="s">
        <v>15</v>
      </c>
      <c r="Q11" s="5" t="s">
        <v>16</v>
      </c>
      <c r="R11" s="5" t="s">
        <v>17</v>
      </c>
      <c r="S11" s="5" t="s">
        <v>18</v>
      </c>
      <c r="T11" s="5" t="s">
        <v>19</v>
      </c>
      <c r="U11" s="5" t="s">
        <v>20</v>
      </c>
      <c r="V11" s="5" t="s">
        <v>21</v>
      </c>
      <c r="W11" s="5" t="s">
        <v>22</v>
      </c>
      <c r="X11" s="5" t="s">
        <v>23</v>
      </c>
      <c r="Y11" s="5" t="s">
        <v>24</v>
      </c>
      <c r="Z11" s="5" t="s">
        <v>25</v>
      </c>
      <c r="AA11" s="5" t="s">
        <v>26</v>
      </c>
      <c r="AB11" s="5" t="s">
        <v>27</v>
      </c>
      <c r="AC11" s="5" t="s">
        <v>28</v>
      </c>
      <c r="AD11" s="5" t="s">
        <v>29</v>
      </c>
      <c r="AE11" s="5" t="s">
        <v>30</v>
      </c>
      <c r="AF11" s="5" t="s">
        <v>31</v>
      </c>
      <c r="AG11" s="5" t="s">
        <v>32</v>
      </c>
      <c r="AH11" s="5" t="s">
        <v>33</v>
      </c>
      <c r="AI11" s="5" t="s">
        <v>34</v>
      </c>
      <c r="AJ11" s="5" t="s">
        <v>35</v>
      </c>
      <c r="AK11" s="5" t="s">
        <v>36</v>
      </c>
      <c r="AL11" s="5" t="s">
        <v>37</v>
      </c>
      <c r="AM11" s="5" t="s">
        <v>38</v>
      </c>
      <c r="AN11" s="5" t="s">
        <v>39</v>
      </c>
      <c r="AO11" s="5" t="s">
        <v>40</v>
      </c>
      <c r="AP11" s="5" t="s">
        <v>41</v>
      </c>
      <c r="AQ11" s="5" t="s">
        <v>42</v>
      </c>
      <c r="AR11" s="5" t="s">
        <v>43</v>
      </c>
      <c r="AS11" s="5" t="s">
        <v>44</v>
      </c>
      <c r="AT11" s="5" t="s">
        <v>45</v>
      </c>
      <c r="AU11" s="5" t="s">
        <v>46</v>
      </c>
      <c r="AV11" s="5" t="s">
        <v>47</v>
      </c>
      <c r="AW11" s="5" t="s">
        <v>48</v>
      </c>
      <c r="AX11" s="5" t="s">
        <v>49</v>
      </c>
      <c r="AY11" s="5" t="s">
        <v>50</v>
      </c>
      <c r="AZ11" s="5" t="s">
        <v>51</v>
      </c>
      <c r="BA11" s="5" t="s">
        <v>52</v>
      </c>
      <c r="BB11" s="5" t="s">
        <v>53</v>
      </c>
      <c r="BC11" s="5" t="s">
        <v>54</v>
      </c>
      <c r="BD11" s="5" t="s">
        <v>55</v>
      </c>
      <c r="BE11" s="5" t="s">
        <v>56</v>
      </c>
      <c r="BF11" s="5" t="s">
        <v>57</v>
      </c>
      <c r="BG11" s="5" t="s">
        <v>58</v>
      </c>
      <c r="BH11" s="5" t="s">
        <v>59</v>
      </c>
      <c r="BI11" s="5" t="s">
        <v>60</v>
      </c>
      <c r="BJ11" s="5" t="s">
        <v>61</v>
      </c>
      <c r="BK11" s="5" t="s">
        <v>62</v>
      </c>
      <c r="BL11" s="5" t="s">
        <v>63</v>
      </c>
      <c r="BM11" s="5" t="s">
        <v>64</v>
      </c>
      <c r="BN11" s="5" t="s">
        <v>65</v>
      </c>
      <c r="BO11" s="5" t="s">
        <v>66</v>
      </c>
      <c r="BP11" s="5" t="s">
        <v>67</v>
      </c>
      <c r="BQ11" s="5" t="s">
        <v>68</v>
      </c>
      <c r="BR11" s="5" t="s">
        <v>69</v>
      </c>
      <c r="BS11" s="5" t="s">
        <v>70</v>
      </c>
      <c r="BT11" s="5" t="s">
        <v>71</v>
      </c>
      <c r="BU11" s="5" t="s">
        <v>72</v>
      </c>
      <c r="BV11" s="5" t="s">
        <v>73</v>
      </c>
      <c r="BW11" s="5" t="s">
        <v>74</v>
      </c>
      <c r="BX11" s="5" t="s">
        <v>75</v>
      </c>
      <c r="BY11" s="5" t="s">
        <v>76</v>
      </c>
      <c r="BZ11" s="5" t="s">
        <v>77</v>
      </c>
      <c r="CA11" s="5" t="s">
        <v>78</v>
      </c>
      <c r="CB11" s="5" t="s">
        <v>79</v>
      </c>
      <c r="CC11" s="5" t="s">
        <v>80</v>
      </c>
      <c r="CD11" s="5" t="s">
        <v>81</v>
      </c>
      <c r="CE11" s="5" t="s">
        <v>82</v>
      </c>
      <c r="CF11" s="5" t="s">
        <v>83</v>
      </c>
      <c r="CG11" s="5" t="s">
        <v>84</v>
      </c>
      <c r="CH11" s="5" t="s">
        <v>85</v>
      </c>
      <c r="CI11" s="5" t="s">
        <v>86</v>
      </c>
      <c r="CJ11" s="5" t="s">
        <v>87</v>
      </c>
      <c r="CK11" s="5" t="s">
        <v>88</v>
      </c>
      <c r="CL11" s="5" t="s">
        <v>89</v>
      </c>
      <c r="CM11" s="5" t="s">
        <v>90</v>
      </c>
      <c r="CN11" s="5" t="s">
        <v>91</v>
      </c>
      <c r="CO11" s="5" t="s">
        <v>92</v>
      </c>
      <c r="CP11" s="5" t="s">
        <v>93</v>
      </c>
      <c r="CQ11" s="5" t="s">
        <v>94</v>
      </c>
      <c r="CR11" s="5" t="s">
        <v>95</v>
      </c>
      <c r="CS11" s="5" t="s">
        <v>96</v>
      </c>
      <c r="CT11" s="5" t="s">
        <v>97</v>
      </c>
      <c r="CU11" s="5" t="s">
        <v>98</v>
      </c>
      <c r="CV11" s="5" t="s">
        <v>99</v>
      </c>
      <c r="CW11" s="5" t="s">
        <v>100</v>
      </c>
      <c r="CX11" s="5" t="s">
        <v>101</v>
      </c>
      <c r="CY11" s="5" t="s">
        <v>102</v>
      </c>
      <c r="CZ11" s="5" t="s">
        <v>103</v>
      </c>
      <c r="DA11" s="5" t="s">
        <v>104</v>
      </c>
      <c r="DB11" s="5" t="s">
        <v>105</v>
      </c>
      <c r="DC11" s="5" t="s">
        <v>106</v>
      </c>
      <c r="DD11" s="5" t="s">
        <v>107</v>
      </c>
      <c r="DE11" s="5" t="s">
        <v>108</v>
      </c>
      <c r="DF11" s="5" t="s">
        <v>109</v>
      </c>
      <c r="DG11" s="5" t="s">
        <v>110</v>
      </c>
      <c r="DH11" s="5" t="s">
        <v>111</v>
      </c>
      <c r="DI11" s="5" t="s">
        <v>112</v>
      </c>
      <c r="DJ11" s="5" t="s">
        <v>113</v>
      </c>
      <c r="DK11" s="5" t="s">
        <v>114</v>
      </c>
      <c r="DL11" s="5" t="s">
        <v>115</v>
      </c>
      <c r="DM11" s="5" t="s">
        <v>116</v>
      </c>
      <c r="DN11" s="5" t="s">
        <v>117</v>
      </c>
      <c r="DO11" s="5" t="s">
        <v>118</v>
      </c>
      <c r="DP11" s="5" t="s">
        <v>119</v>
      </c>
      <c r="DQ11" s="5" t="s">
        <v>120</v>
      </c>
      <c r="DR11" s="5" t="s">
        <v>121</v>
      </c>
      <c r="DS11" s="5" t="s">
        <v>122</v>
      </c>
      <c r="DT11" s="5" t="s">
        <v>123</v>
      </c>
      <c r="DU11" s="5" t="s">
        <v>124</v>
      </c>
      <c r="DV11" s="5" t="s">
        <v>125</v>
      </c>
      <c r="DW11" s="5" t="s">
        <v>126</v>
      </c>
      <c r="DX11" s="5" t="s">
        <v>127</v>
      </c>
      <c r="DY11" s="5" t="s">
        <v>128</v>
      </c>
      <c r="DZ11" s="5" t="s">
        <v>129</v>
      </c>
      <c r="EA11" s="5" t="s">
        <v>130</v>
      </c>
      <c r="EB11" s="5" t="s">
        <v>131</v>
      </c>
      <c r="EC11" s="5" t="s">
        <v>132</v>
      </c>
      <c r="ED11" s="5" t="s">
        <v>133</v>
      </c>
      <c r="EE11" s="5" t="s">
        <v>134</v>
      </c>
      <c r="EF11" s="5" t="s">
        <v>135</v>
      </c>
    </row>
    <row r="12" spans="1:137">
      <c r="A12" s="4">
        <v>10</v>
      </c>
      <c r="B12" s="4">
        <v>96</v>
      </c>
      <c r="C12" s="21" cm="1">
        <f t="array" ref="C12">PRODUCT(1+預測IC!$C12:C12)-1</f>
        <v>4.686768274486397E-2</v>
      </c>
      <c r="D12" s="21" cm="1">
        <f t="array" ref="D12">PRODUCT(1+預測IC!$C12:D12)-1</f>
        <v>0.1669313778822199</v>
      </c>
      <c r="E12" s="21" cm="1">
        <f t="array" ref="E12">PRODUCT(1+預測IC!$C12:E12)-1</f>
        <v>0.15900375914505305</v>
      </c>
      <c r="F12" s="21" cm="1">
        <f t="array" ref="F12">PRODUCT(1+預測IC!$C12:F12)-1</f>
        <v>0.17455921944181596</v>
      </c>
      <c r="G12" s="21" cm="1">
        <f t="array" ref="G12">PRODUCT(1+預測IC!$C12:G12)-1</f>
        <v>0.18833088958479571</v>
      </c>
      <c r="H12" s="21" cm="1">
        <f t="array" ref="H12">PRODUCT(1+預測IC!$C12:H12)-1</f>
        <v>0.23411813287332461</v>
      </c>
      <c r="I12" s="21" cm="1">
        <f t="array" ref="I12">PRODUCT(1+預測IC!$C12:I12)-1</f>
        <v>0.28113447360059518</v>
      </c>
      <c r="J12" s="21" cm="1">
        <f t="array" ref="J12">PRODUCT(1+預測IC!$C12:J12)-1</f>
        <v>0.24345912455881336</v>
      </c>
      <c r="K12" s="21" cm="1">
        <f t="array" ref="K12">PRODUCT(1+預測IC!$C12:K12)-1</f>
        <v>0.26680404635916721</v>
      </c>
      <c r="L12" s="21" cm="1">
        <f t="array" ref="L12">PRODUCT(1+預測IC!$C12:L12)-1</f>
        <v>0.21373681990877724</v>
      </c>
      <c r="M12" s="21" cm="1">
        <f t="array" ref="M12">PRODUCT(1+預測IC!$C12:M12)-1</f>
        <v>0.2132553456840296</v>
      </c>
      <c r="N12" s="21" cm="1">
        <f t="array" ref="N12">PRODUCT(1+預測IC!$C12:N12)-1</f>
        <v>0.29736639572042978</v>
      </c>
      <c r="O12" s="21" cm="1">
        <f t="array" ref="O12">PRODUCT(1+預測IC!$C12:O12)-1</f>
        <v>0.31973408703554629</v>
      </c>
      <c r="P12" s="21" cm="1">
        <f t="array" ref="P12">PRODUCT(1+預測IC!$C12:P12)-1</f>
        <v>0.29359046504485709</v>
      </c>
      <c r="Q12" s="21" cm="1">
        <f t="array" ref="Q12">PRODUCT(1+預測IC!$C12:Q12)-1</f>
        <v>0.33921600711751987</v>
      </c>
      <c r="R12" s="21" cm="1">
        <f t="array" ref="R12">PRODUCT(1+預測IC!$C12:R12)-1</f>
        <v>0.34813931497427797</v>
      </c>
      <c r="S12" s="21" cm="1">
        <f t="array" ref="S12">PRODUCT(1+預測IC!$C12:S12)-1</f>
        <v>0.24601397778510292</v>
      </c>
      <c r="T12" s="21" cm="1">
        <f t="array" ref="T12">PRODUCT(1+預測IC!$C12:T12)-1</f>
        <v>0.23636934936249232</v>
      </c>
      <c r="U12" s="21" cm="1">
        <f t="array" ref="U12">PRODUCT(1+預測IC!$C12:U12)-1</f>
        <v>0.21636638723610435</v>
      </c>
      <c r="V12" s="21" cm="1">
        <f t="array" ref="V12">PRODUCT(1+預測IC!$C12:V12)-1</f>
        <v>0.22391369992972376</v>
      </c>
      <c r="W12" s="21" cm="1">
        <f t="array" ref="W12">PRODUCT(1+預測IC!$C12:W12)-1</f>
        <v>0.30229269980378803</v>
      </c>
      <c r="X12" s="21" cm="1">
        <f t="array" ref="X12">PRODUCT(1+預測IC!$C12:X12)-1</f>
        <v>0.23869149387969224</v>
      </c>
      <c r="Y12" s="21" cm="1">
        <f t="array" ref="Y12">PRODUCT(1+預測IC!$C12:Y12)-1</f>
        <v>0.25781701957555869</v>
      </c>
      <c r="Z12" s="21" cm="1">
        <f t="array" ref="Z12">PRODUCT(1+預測IC!$C12:Z12)-1</f>
        <v>0.26431495470772837</v>
      </c>
      <c r="AA12" s="21" cm="1">
        <f t="array" ref="AA12">PRODUCT(1+預測IC!$C12:AA12)-1</f>
        <v>0.24924832411163567</v>
      </c>
      <c r="AB12" s="21" cm="1">
        <f t="array" ref="AB12">PRODUCT(1+預測IC!$C12:AB12)-1</f>
        <v>0.24461196017775277</v>
      </c>
      <c r="AC12" s="21" cm="1">
        <f t="array" ref="AC12">PRODUCT(1+預測IC!$C12:AC12)-1</f>
        <v>0.25104342765843168</v>
      </c>
      <c r="AD12" s="21" cm="1">
        <f t="array" ref="AD12">PRODUCT(1+預測IC!$C12:AD12)-1</f>
        <v>0.26509332299955934</v>
      </c>
      <c r="AE12" s="21" cm="1">
        <f t="array" ref="AE12">PRODUCT(1+預測IC!$C12:AE12)-1</f>
        <v>0.21762547689483869</v>
      </c>
      <c r="AF12" s="21" cm="1">
        <f t="array" ref="AF12">PRODUCT(1+預測IC!$C12:AF12)-1</f>
        <v>0.27385776788360516</v>
      </c>
      <c r="AG12" s="21" cm="1">
        <f t="array" ref="AG12">PRODUCT(1+預測IC!$C12:AG12)-1</f>
        <v>0.28924493471020263</v>
      </c>
      <c r="AH12" s="21" cm="1">
        <f t="array" ref="AH12">PRODUCT(1+預測IC!$C12:AH12)-1</f>
        <v>0.31514988090931695</v>
      </c>
      <c r="AI12" s="21" cm="1">
        <f t="array" ref="AI12">PRODUCT(1+預測IC!$C12:AI12)-1</f>
        <v>0.3457231153929039</v>
      </c>
      <c r="AJ12" s="21" cm="1">
        <f t="array" ref="AJ12">PRODUCT(1+預測IC!$C12:AJ12)-1</f>
        <v>0.37406724029547767</v>
      </c>
      <c r="AK12" s="21" cm="1">
        <f t="array" ref="AK12">PRODUCT(1+預測IC!$C12:AK12)-1</f>
        <v>0.38805492991127633</v>
      </c>
      <c r="AL12" s="21" cm="1">
        <f t="array" ref="AL12">PRODUCT(1+預測IC!$C12:AL12)-1</f>
        <v>0.41284420709915559</v>
      </c>
      <c r="AM12" s="21" cm="1">
        <f t="array" ref="AM12">PRODUCT(1+預測IC!$C12:AM12)-1</f>
        <v>0.44139188695663933</v>
      </c>
      <c r="AN12" s="21" cm="1">
        <f t="array" ref="AN12">PRODUCT(1+預測IC!$C12:AN12)-1</f>
        <v>0.54282388296998541</v>
      </c>
      <c r="AO12" s="21" cm="1">
        <f t="array" ref="AO12">PRODUCT(1+預測IC!$C12:AO12)-1</f>
        <v>0.56088109369626604</v>
      </c>
      <c r="AP12" s="21" cm="1">
        <f t="array" ref="AP12">PRODUCT(1+預測IC!$C12:AP12)-1</f>
        <v>0.50823414188765614</v>
      </c>
      <c r="AQ12" s="21" cm="1">
        <f t="array" ref="AQ12">PRODUCT(1+預測IC!$C12:AQ12)-1</f>
        <v>0.4981566555178214</v>
      </c>
      <c r="AR12" s="21" cm="1">
        <f t="array" ref="AR12">PRODUCT(1+預測IC!$C12:AR12)-1</f>
        <v>0.4869139417718682</v>
      </c>
      <c r="AS12" s="21" cm="1">
        <f t="array" ref="AS12">PRODUCT(1+預測IC!$C12:AS12)-1</f>
        <v>0.45758288198459707</v>
      </c>
      <c r="AT12" s="21" cm="1">
        <f t="array" ref="AT12">PRODUCT(1+預測IC!$C12:AT12)-1</f>
        <v>0.47663192554702882</v>
      </c>
      <c r="AU12" s="21" cm="1">
        <f t="array" ref="AU12">PRODUCT(1+預測IC!$C12:AU12)-1</f>
        <v>0.50612713098002216</v>
      </c>
      <c r="AV12" s="21" cm="1">
        <f t="array" ref="AV12">PRODUCT(1+預測IC!$C12:AV12)-1</f>
        <v>0.44418603966870829</v>
      </c>
      <c r="AW12" s="21" cm="1">
        <f t="array" ref="AW12">PRODUCT(1+預測IC!$C12:AW12)-1</f>
        <v>0.44552847925403549</v>
      </c>
      <c r="AX12" s="21" cm="1">
        <f t="array" ref="AX12">PRODUCT(1+預測IC!$C12:AX12)-1</f>
        <v>0.5077157795359255</v>
      </c>
      <c r="AY12" s="21" cm="1">
        <f t="array" ref="AY12">PRODUCT(1+預測IC!$C12:AY12)-1</f>
        <v>0.54462971861357778</v>
      </c>
      <c r="AZ12" s="21" cm="1">
        <f t="array" ref="AZ12">PRODUCT(1+預測IC!$C12:AZ12)-1</f>
        <v>0.5399059090541336</v>
      </c>
      <c r="BA12" s="21" cm="1">
        <f t="array" ref="BA12">PRODUCT(1+預測IC!$C12:BA12)-1</f>
        <v>0.54630789933465884</v>
      </c>
      <c r="BB12" s="21" cm="1">
        <f t="array" ref="BB12">PRODUCT(1+預測IC!$C12:BB12)-1</f>
        <v>0.57102237118756505</v>
      </c>
      <c r="BC12" s="21" cm="1">
        <f t="array" ref="BC12">PRODUCT(1+預測IC!$C12:BC12)-1</f>
        <v>0.59142300219500665</v>
      </c>
      <c r="BD12" s="21" cm="1">
        <f t="array" ref="BD12">PRODUCT(1+預測IC!$C12:BD12)-1</f>
        <v>0.6096152332864182</v>
      </c>
      <c r="BE12" s="21" cm="1">
        <f t="array" ref="BE12">PRODUCT(1+預測IC!$C12:BE12)-1</f>
        <v>0.64829507765712502</v>
      </c>
      <c r="BF12" s="21" cm="1">
        <f t="array" ref="BF12">PRODUCT(1+預測IC!$C12:BF12)-1</f>
        <v>0.76158208354508727</v>
      </c>
      <c r="BG12" s="21" cm="1">
        <f t="array" ref="BG12">PRODUCT(1+預測IC!$C12:BG12)-1</f>
        <v>0.82920592563856421</v>
      </c>
      <c r="BH12" s="21" cm="1">
        <f t="array" ref="BH12">PRODUCT(1+預測IC!$C12:BH12)-1</f>
        <v>0.84959958814231551</v>
      </c>
      <c r="BI12" s="21" cm="1">
        <f t="array" ref="BI12">PRODUCT(1+預測IC!$C12:BI12)-1</f>
        <v>0.94474285665132651</v>
      </c>
      <c r="BJ12" s="21" cm="1">
        <f t="array" ref="BJ12">PRODUCT(1+預測IC!$C12:BJ12)-1</f>
        <v>0.94319485432847405</v>
      </c>
      <c r="BK12" s="21" cm="1">
        <f t="array" ref="BK12">PRODUCT(1+預測IC!$C12:BK12)-1</f>
        <v>0.90103437690868216</v>
      </c>
      <c r="BL12" s="21" cm="1">
        <f t="array" ref="BL12">PRODUCT(1+預測IC!$C12:BL12)-1</f>
        <v>0.94800750265928202</v>
      </c>
      <c r="BM12" s="21" cm="1">
        <f t="array" ref="BM12">PRODUCT(1+預測IC!$C12:BM12)-1</f>
        <v>0.94425703672942984</v>
      </c>
      <c r="BN12" s="21" cm="1">
        <f t="array" ref="BN12">PRODUCT(1+預測IC!$C12:BN12)-1</f>
        <v>0.96630162927922747</v>
      </c>
      <c r="BO12" s="21" cm="1">
        <f t="array" ref="BO12">PRODUCT(1+預測IC!$C12:BO12)-1</f>
        <v>1.0139771886400757</v>
      </c>
      <c r="BP12" s="21" cm="1">
        <f t="array" ref="BP12">PRODUCT(1+預測IC!$C12:BP12)-1</f>
        <v>0.99267572149212957</v>
      </c>
      <c r="BQ12" s="21" cm="1">
        <f t="array" ref="BQ12">PRODUCT(1+預測IC!$C12:BQ12)-1</f>
        <v>1.0229775048057062</v>
      </c>
      <c r="BR12" s="21" cm="1">
        <f t="array" ref="BR12">PRODUCT(1+預測IC!$C12:BR12)-1</f>
        <v>1.0199295565895179</v>
      </c>
      <c r="BS12" s="21" cm="1">
        <f t="array" ref="BS12">PRODUCT(1+預測IC!$C12:BS12)-1</f>
        <v>1.0556760612070679</v>
      </c>
      <c r="BT12" s="21" cm="1">
        <f t="array" ref="BT12">PRODUCT(1+預測IC!$C12:BT12)-1</f>
        <v>1.100485380380487</v>
      </c>
      <c r="BU12" s="21" cm="1">
        <f t="array" ref="BU12">PRODUCT(1+預測IC!$C12:BU12)-1</f>
        <v>1.1219302873683183</v>
      </c>
      <c r="BV12" s="21" cm="1">
        <f t="array" ref="BV12">PRODUCT(1+預測IC!$C12:BV12)-1</f>
        <v>1.1860631120347542</v>
      </c>
      <c r="BW12" s="21" cm="1">
        <f t="array" ref="BW12">PRODUCT(1+預測IC!$C12:BW12)-1</f>
        <v>1.1230676059979134</v>
      </c>
      <c r="BX12" s="21" cm="1">
        <f t="array" ref="BX12">PRODUCT(1+預測IC!$C12:BX12)-1</f>
        <v>1.1436891856900564</v>
      </c>
      <c r="BY12" s="21" cm="1">
        <f t="array" ref="BY12">PRODUCT(1+預測IC!$C12:BY12)-1</f>
        <v>1.0728372364386107</v>
      </c>
      <c r="BZ12" s="21" cm="1">
        <f t="array" ref="BZ12">PRODUCT(1+預測IC!$C12:BZ12)-1</f>
        <v>1.1661232618481199</v>
      </c>
      <c r="CA12" s="21" cm="1">
        <f t="array" ref="CA12">PRODUCT(1+預測IC!$C12:CA12)-1</f>
        <v>1.1001696313930025</v>
      </c>
      <c r="CB12" s="21" cm="1">
        <f t="array" ref="CB12">PRODUCT(1+預測IC!$C12:CB12)-1</f>
        <v>1.1036661778006618</v>
      </c>
      <c r="CC12" s="21" cm="1">
        <f t="array" ref="CC12">PRODUCT(1+預測IC!$C12:CC12)-1</f>
        <v>1.066513545539264</v>
      </c>
      <c r="CD12" s="21" cm="1">
        <f t="array" ref="CD12">PRODUCT(1+預測IC!$C12:CD12)-1</f>
        <v>1.2957594019974246</v>
      </c>
      <c r="CE12" s="21" cm="1">
        <f t="array" ref="CE12">PRODUCT(1+預測IC!$C12:CE12)-1</f>
        <v>1.3224347681743205</v>
      </c>
      <c r="CF12" s="21" cm="1">
        <f t="array" ref="CF12">PRODUCT(1+預測IC!$C12:CF12)-1</f>
        <v>1.3851250688241428</v>
      </c>
      <c r="CG12" s="21" cm="1">
        <f t="array" ref="CG12">PRODUCT(1+預測IC!$C12:CG12)-1</f>
        <v>1.4836529954754551</v>
      </c>
      <c r="CH12" s="21" cm="1">
        <f t="array" ref="CH12">PRODUCT(1+預測IC!$C12:CH12)-1</f>
        <v>1.6436068062259008</v>
      </c>
      <c r="CI12" s="21" cm="1">
        <f t="array" ref="CI12">PRODUCT(1+預測IC!$C12:CI12)-1</f>
        <v>1.5489460864993632</v>
      </c>
      <c r="CJ12" s="21" cm="1">
        <f t="array" ref="CJ12">PRODUCT(1+預測IC!$C12:CJ12)-1</f>
        <v>1.5938428393551689</v>
      </c>
      <c r="CK12" s="21" cm="1">
        <f t="array" ref="CK12">PRODUCT(1+預測IC!$C12:CK12)-1</f>
        <v>1.6249535677317981</v>
      </c>
      <c r="CL12" s="21" cm="1">
        <f t="array" ref="CL12">PRODUCT(1+預測IC!$C12:CL12)-1</f>
        <v>1.9347390581321782</v>
      </c>
      <c r="CM12" s="21" cm="1">
        <f t="array" ref="CM12">PRODUCT(1+預測IC!$C12:CM12)-1</f>
        <v>1.8925296142292445</v>
      </c>
      <c r="CN12" s="21" cm="1">
        <f t="array" ref="CN12">PRODUCT(1+預測IC!$C12:CN12)-1</f>
        <v>1.8185185663407908</v>
      </c>
      <c r="CO12" s="21" cm="1">
        <f t="array" ref="CO12">PRODUCT(1+預測IC!$C12:CO12)-1</f>
        <v>1.7431289857582799</v>
      </c>
      <c r="CP12" s="21" cm="1">
        <f t="array" ref="CP12">PRODUCT(1+預測IC!$C12:CP12)-1</f>
        <v>1.8666800518481343</v>
      </c>
      <c r="CQ12" s="21" cm="1">
        <f t="array" ref="CQ12">PRODUCT(1+預測IC!$C12:CQ12)-1</f>
        <v>1.9734887113506998</v>
      </c>
      <c r="CR12" s="21" cm="1">
        <f t="array" ref="CR12">PRODUCT(1+預測IC!$C12:CR12)-1</f>
        <v>1.9809547609275793</v>
      </c>
      <c r="CS12" s="21" cm="1">
        <f t="array" ref="CS12">PRODUCT(1+預測IC!$C12:CS12)-1</f>
        <v>1.935639336880937</v>
      </c>
      <c r="CT12" s="21" cm="1">
        <f t="array" ref="CT12">PRODUCT(1+預測IC!$C12:CT12)-1</f>
        <v>1.9328162904565986</v>
      </c>
      <c r="CU12" s="21" cm="1">
        <f t="array" ref="CU12">PRODUCT(1+預測IC!$C12:CU12)-1</f>
        <v>2.0267725174177174</v>
      </c>
      <c r="CV12" s="21" cm="1">
        <f t="array" ref="CV12">PRODUCT(1+預測IC!$C12:CV12)-1</f>
        <v>2.0517832046366999</v>
      </c>
      <c r="CW12" s="21" cm="1">
        <f t="array" ref="CW12">PRODUCT(1+預測IC!$C12:CW12)-1</f>
        <v>2.0682055461255118</v>
      </c>
      <c r="CX12" s="21" cm="1">
        <f t="array" ref="CX12">PRODUCT(1+預測IC!$C12:CX12)-1</f>
        <v>2.255335041983054</v>
      </c>
      <c r="CY12" s="21" cm="1">
        <f t="array" ref="CY12">PRODUCT(1+預測IC!$C12:CY12)-1</f>
        <v>2.235209844127799</v>
      </c>
      <c r="CZ12" s="21" cm="1">
        <f t="array" ref="CZ12">PRODUCT(1+預測IC!$C12:CZ12)-1</f>
        <v>2.4927561105903058</v>
      </c>
      <c r="DA12" s="21" cm="1">
        <f t="array" ref="DA12">PRODUCT(1+預測IC!$C12:DA12)-1</f>
        <v>2.5046426861123821</v>
      </c>
      <c r="DB12" s="21" cm="1">
        <f t="array" ref="DB12">PRODUCT(1+預測IC!$C12:DB12)-1</f>
        <v>2.4225926923203307</v>
      </c>
      <c r="DC12" s="21" cm="1">
        <f t="array" ref="DC12">PRODUCT(1+預測IC!$C12:DC12)-1</f>
        <v>2.5356901365320104</v>
      </c>
      <c r="DD12" s="21" cm="1">
        <f t="array" ref="DD12">PRODUCT(1+預測IC!$C12:DD12)-1</f>
        <v>2.630859566466468</v>
      </c>
      <c r="DE12" s="21" cm="1">
        <f t="array" ref="DE12">PRODUCT(1+預測IC!$C12:DE12)-1</f>
        <v>2.6301887860570456</v>
      </c>
      <c r="DF12" s="21" cm="1">
        <f t="array" ref="DF12">PRODUCT(1+預測IC!$C12:DF12)-1</f>
        <v>2.6053836473324314</v>
      </c>
      <c r="DG12" s="21" cm="1">
        <f t="array" ref="DG12">PRODUCT(1+預測IC!$C12:DG12)-1</f>
        <v>2.6025344205350605</v>
      </c>
      <c r="DH12" s="21" cm="1">
        <f t="array" ref="DH12">PRODUCT(1+預測IC!$C12:DH12)-1</f>
        <v>2.5835773664605277</v>
      </c>
      <c r="DI12" s="21" cm="1">
        <f t="array" ref="DI12">PRODUCT(1+預測IC!$C12:DI12)-1</f>
        <v>2.3884760439676267</v>
      </c>
      <c r="DJ12" s="21" cm="1">
        <f t="array" ref="DJ12">PRODUCT(1+預測IC!$C12:DJ12)-1</f>
        <v>2.4157959650060512</v>
      </c>
      <c r="DK12" s="21" cm="1">
        <f t="array" ref="DK12">PRODUCT(1+預測IC!$C12:DK12)-1</f>
        <v>2.3636558780708046</v>
      </c>
      <c r="DL12" s="21" cm="1">
        <f t="array" ref="DL12">PRODUCT(1+預測IC!$C12:DL12)-1</f>
        <v>2.3600760562994179</v>
      </c>
      <c r="DM12" s="21" cm="1">
        <f t="array" ref="DM12">PRODUCT(1+預測IC!$C12:DM12)-1</f>
        <v>2.3408739897649409</v>
      </c>
      <c r="DN12" s="21" cm="1">
        <f t="array" ref="DN12">PRODUCT(1+預測IC!$C12:DN12)-1</f>
        <v>2.471930939328582</v>
      </c>
      <c r="DO12" s="21" cm="1">
        <f t="array" ref="DO12">PRODUCT(1+預測IC!$C12:DO12)-1</f>
        <v>2.5487586957092958</v>
      </c>
      <c r="DP12" s="21" cm="1">
        <f t="array" ref="DP12">PRODUCT(1+預測IC!$C12:DP12)-1</f>
        <v>2.6643930445732518</v>
      </c>
      <c r="DQ12" s="21" cm="1">
        <f t="array" ref="DQ12">PRODUCT(1+預測IC!$C12:DQ12)-1</f>
        <v>2.5784689253299176</v>
      </c>
      <c r="DR12" s="21" cm="1">
        <f t="array" ref="DR12">PRODUCT(1+預測IC!$C12:DR12)-1</f>
        <v>2.645668790305737</v>
      </c>
      <c r="DS12" s="21" cm="1">
        <f t="array" ref="DS12">PRODUCT(1+預測IC!$C12:DS12)-1</f>
        <v>2.5098164775323202</v>
      </c>
      <c r="DT12" s="21" cm="1">
        <f t="array" ref="DT12">PRODUCT(1+預測IC!$C12:DT12)-1</f>
        <v>2.3546081642556254</v>
      </c>
      <c r="DU12" s="21" cm="1">
        <f t="array" ref="DU12">PRODUCT(1+預測IC!$C12:DU12)-1</f>
        <v>2.4007429098063389</v>
      </c>
      <c r="DV12" s="21" cm="1">
        <f t="array" ref="DV12">PRODUCT(1+預測IC!$C12:DV12)-1</f>
        <v>2.5781704947286066</v>
      </c>
      <c r="DW12" s="21" cm="1">
        <f t="array" ref="DW12">PRODUCT(1+預測IC!$C12:DW12)-1</f>
        <v>2.7202034736094198</v>
      </c>
      <c r="DX12" s="21" cm="1">
        <f t="array" ref="DX12">PRODUCT(1+預測IC!$C12:DX12)-1</f>
        <v>2.5356099281023088</v>
      </c>
      <c r="DY12" s="21" cm="1">
        <f t="array" ref="DY12">PRODUCT(1+預測IC!$C12:DY12)-1</f>
        <v>2.5965820443607721</v>
      </c>
      <c r="DZ12" s="21" cm="1">
        <f t="array" ref="DZ12">PRODUCT(1+預測IC!$C12:DZ12)-1</f>
        <v>2.5794712149175041</v>
      </c>
      <c r="EA12" s="21" cm="1">
        <f t="array" ref="EA12">PRODUCT(1+預測IC!$C12:EA12)-1</f>
        <v>2.8085714805251567</v>
      </c>
      <c r="EB12" s="21" cm="1">
        <f t="array" ref="EB12">PRODUCT(1+預測IC!$C12:EB12)-1</f>
        <v>2.8225465980167797</v>
      </c>
      <c r="EC12" s="21" cm="1">
        <f t="array" ref="EC12">PRODUCT(1+預測IC!$C12:EC12)-1</f>
        <v>2.924423235292541</v>
      </c>
      <c r="ED12" s="21" cm="1">
        <f t="array" ref="ED12">PRODUCT(1+預測IC!$C12:ED12)-1</f>
        <v>2.7021908558010197</v>
      </c>
      <c r="EE12" s="21" cm="1">
        <f t="array" ref="EE12">PRODUCT(1+預測IC!$C12:EE12)-1</f>
        <v>2.7483141350782558</v>
      </c>
      <c r="EF12" s="21" cm="1">
        <f t="array" ref="EF12">PRODUCT(1+預測IC!$C12:EF12)-1</f>
        <v>2.8953730480985183</v>
      </c>
    </row>
    <row r="13" spans="1:137">
      <c r="A13" s="4">
        <v>20</v>
      </c>
      <c r="B13" s="4">
        <v>48</v>
      </c>
      <c r="C13" s="21" cm="1">
        <f t="array" ref="C13">PRODUCT(1+預測IC!$C13:C13)-1</f>
        <v>5.4209042671596208E-2</v>
      </c>
      <c r="D13" s="21" cm="1">
        <f t="array" ref="D13">PRODUCT(1+預測IC!$C13:D13)-1</f>
        <v>0.18466225047043472</v>
      </c>
      <c r="E13" s="21" cm="1">
        <f t="array" ref="E13">PRODUCT(1+預測IC!$C13:E13)-1</f>
        <v>0.14379540759018616</v>
      </c>
      <c r="F13" s="21" cm="1">
        <f t="array" ref="F13">PRODUCT(1+預測IC!$C13:F13)-1</f>
        <v>0.13069344565787944</v>
      </c>
      <c r="G13" s="21" cm="1">
        <f t="array" ref="G13">PRODUCT(1+預測IC!$C13:G13)-1</f>
        <v>0.14849604906696867</v>
      </c>
      <c r="H13" s="21" cm="1">
        <f t="array" ref="H13">PRODUCT(1+預測IC!$C13:H13)-1</f>
        <v>0.18293985233750432</v>
      </c>
      <c r="I13" s="21" cm="1">
        <f t="array" ref="I13">PRODUCT(1+預測IC!$C13:I13)-1</f>
        <v>0.22708206224957972</v>
      </c>
      <c r="J13" s="21" cm="1">
        <f t="array" ref="J13">PRODUCT(1+預測IC!$C13:J13)-1</f>
        <v>0.17321461687677209</v>
      </c>
      <c r="K13" s="21" cm="1">
        <f t="array" ref="K13">PRODUCT(1+預測IC!$C13:K13)-1</f>
        <v>0.17161027033016429</v>
      </c>
      <c r="L13" s="21" cm="1">
        <f t="array" ref="L13">PRODUCT(1+預測IC!$C13:L13)-1</f>
        <v>0.16455119640868854</v>
      </c>
      <c r="M13" s="21" cm="1">
        <f t="array" ref="M13">PRODUCT(1+預測IC!$C13:M13)-1</f>
        <v>0.19446536265160397</v>
      </c>
      <c r="N13" s="21" cm="1">
        <f t="array" ref="N13">PRODUCT(1+預測IC!$C13:N13)-1</f>
        <v>0.3136810436007369</v>
      </c>
      <c r="O13" s="21" cm="1">
        <f t="array" ref="O13">PRODUCT(1+預測IC!$C13:O13)-1</f>
        <v>0.36595159127495802</v>
      </c>
      <c r="P13" s="21" cm="1">
        <f t="array" ref="P13">PRODUCT(1+預測IC!$C13:P13)-1</f>
        <v>0.33712444969318112</v>
      </c>
      <c r="Q13" s="21" cm="1">
        <f t="array" ref="Q13">PRODUCT(1+預測IC!$C13:Q13)-1</f>
        <v>0.4350354153787237</v>
      </c>
      <c r="R13" s="21" cm="1">
        <f t="array" ref="R13">PRODUCT(1+預測IC!$C13:R13)-1</f>
        <v>0.45535527768791706</v>
      </c>
      <c r="S13" s="21" cm="1">
        <f t="array" ref="S13">PRODUCT(1+預測IC!$C13:S13)-1</f>
        <v>0.27646985002986657</v>
      </c>
      <c r="T13" s="21" cm="1">
        <f t="array" ref="T13">PRODUCT(1+預測IC!$C13:T13)-1</f>
        <v>0.24885462151495474</v>
      </c>
      <c r="U13" s="21" cm="1">
        <f t="array" ref="U13">PRODUCT(1+預測IC!$C13:U13)-1</f>
        <v>0.25084818375796192</v>
      </c>
      <c r="V13" s="21" cm="1">
        <f t="array" ref="V13">PRODUCT(1+預測IC!$C13:V13)-1</f>
        <v>0.22571348399750657</v>
      </c>
      <c r="W13" s="21" cm="1">
        <f t="array" ref="W13">PRODUCT(1+預測IC!$C13:W13)-1</f>
        <v>0.31822592009395634</v>
      </c>
      <c r="X13" s="21" cm="1">
        <f t="array" ref="X13">PRODUCT(1+預測IC!$C13:X13)-1</f>
        <v>0.21869637078427862</v>
      </c>
      <c r="Y13" s="21" cm="1">
        <f t="array" ref="Y13">PRODUCT(1+預測IC!$C13:Y13)-1</f>
        <v>0.23566108127673502</v>
      </c>
      <c r="Z13" s="21" cm="1">
        <f t="array" ref="Z13">PRODUCT(1+預測IC!$C13:Z13)-1</f>
        <v>0.26109582600197845</v>
      </c>
      <c r="AA13" s="21" cm="1">
        <f t="array" ref="AA13">PRODUCT(1+預測IC!$C13:AA13)-1</f>
        <v>0.2403633580768465</v>
      </c>
      <c r="AB13" s="21" cm="1">
        <f t="array" ref="AB13">PRODUCT(1+預測IC!$C13:AB13)-1</f>
        <v>0.2204729171076294</v>
      </c>
      <c r="AC13" s="21" cm="1">
        <f t="array" ref="AC13">PRODUCT(1+預測IC!$C13:AC13)-1</f>
        <v>0.23027486564966937</v>
      </c>
      <c r="AD13" s="21" cm="1">
        <f t="array" ref="AD13">PRODUCT(1+預測IC!$C13:AD13)-1</f>
        <v>0.25677877960326589</v>
      </c>
      <c r="AE13" s="21" cm="1">
        <f t="array" ref="AE13">PRODUCT(1+預測IC!$C13:AE13)-1</f>
        <v>0.19860989389016015</v>
      </c>
      <c r="AF13" s="21" cm="1">
        <f t="array" ref="AF13">PRODUCT(1+預測IC!$C13:AF13)-1</f>
        <v>0.26086089733923945</v>
      </c>
      <c r="AG13" s="21" cm="1">
        <f t="array" ref="AG13">PRODUCT(1+預測IC!$C13:AG13)-1</f>
        <v>0.26499962069888472</v>
      </c>
      <c r="AH13" s="21" cm="1">
        <f t="array" ref="AH13">PRODUCT(1+預測IC!$C13:AH13)-1</f>
        <v>0.30532111465043887</v>
      </c>
      <c r="AI13" s="21" cm="1">
        <f t="array" ref="AI13">PRODUCT(1+預測IC!$C13:AI13)-1</f>
        <v>0.33131011243150899</v>
      </c>
      <c r="AJ13" s="21" cm="1">
        <f t="array" ref="AJ13">PRODUCT(1+預測IC!$C13:AJ13)-1</f>
        <v>0.35778443438481267</v>
      </c>
      <c r="AK13" s="21" cm="1">
        <f t="array" ref="AK13">PRODUCT(1+預測IC!$C13:AK13)-1</f>
        <v>0.36229086434818436</v>
      </c>
      <c r="AL13" s="21" cm="1">
        <f t="array" ref="AL13">PRODUCT(1+預測IC!$C13:AL13)-1</f>
        <v>0.39815862024798521</v>
      </c>
      <c r="AM13" s="21" cm="1">
        <f t="array" ref="AM13">PRODUCT(1+預測IC!$C13:AM13)-1</f>
        <v>0.39496665324626368</v>
      </c>
      <c r="AN13" s="21" cm="1">
        <f t="array" ref="AN13">PRODUCT(1+預測IC!$C13:AN13)-1</f>
        <v>0.54189882302451919</v>
      </c>
      <c r="AO13" s="21" cm="1">
        <f t="array" ref="AO13">PRODUCT(1+預測IC!$C13:AO13)-1</f>
        <v>0.54655686724598418</v>
      </c>
      <c r="AP13" s="21" cm="1">
        <f t="array" ref="AP13">PRODUCT(1+預測IC!$C13:AP13)-1</f>
        <v>0.4544776239740238</v>
      </c>
      <c r="AQ13" s="21" cm="1">
        <f t="array" ref="AQ13">PRODUCT(1+預測IC!$C13:AQ13)-1</f>
        <v>0.43835925445322954</v>
      </c>
      <c r="AR13" s="21" cm="1">
        <f t="array" ref="AR13">PRODUCT(1+預測IC!$C13:AR13)-1</f>
        <v>0.45166467687327794</v>
      </c>
      <c r="AS13" s="21" cm="1">
        <f t="array" ref="AS13">PRODUCT(1+預測IC!$C13:AS13)-1</f>
        <v>0.39392042759984136</v>
      </c>
      <c r="AT13" s="21" cm="1">
        <f t="array" ref="AT13">PRODUCT(1+預測IC!$C13:AT13)-1</f>
        <v>0.45032275232391172</v>
      </c>
      <c r="AU13" s="21" cm="1">
        <f t="array" ref="AU13">PRODUCT(1+預測IC!$C13:AU13)-1</f>
        <v>0.51190488093515985</v>
      </c>
      <c r="AV13" s="21" cm="1">
        <f t="array" ref="AV13">PRODUCT(1+預測IC!$C13:AV13)-1</f>
        <v>0.49829656071264283</v>
      </c>
      <c r="AW13" s="21" cm="1">
        <f t="array" ref="AW13">PRODUCT(1+預測IC!$C13:AW13)-1</f>
        <v>0.50319339966877785</v>
      </c>
      <c r="AX13" s="21" cm="1">
        <f t="array" ref="AX13">PRODUCT(1+預測IC!$C13:AX13)-1</f>
        <v>0.60142561742634593</v>
      </c>
      <c r="AY13" s="21" cm="1">
        <f t="array" ref="AY13">PRODUCT(1+預測IC!$C13:AY13)-1</f>
        <v>0.62667632549847641</v>
      </c>
      <c r="AZ13" s="21" cm="1">
        <f t="array" ref="AZ13">PRODUCT(1+預測IC!$C13:AZ13)-1</f>
        <v>0.61203987605730692</v>
      </c>
      <c r="BA13" s="21" cm="1">
        <f t="array" ref="BA13">PRODUCT(1+預測IC!$C13:BA13)-1</f>
        <v>0.62476604849940598</v>
      </c>
      <c r="BB13" s="21" cm="1">
        <f t="array" ref="BB13">PRODUCT(1+預測IC!$C13:BB13)-1</f>
        <v>0.69442850129852163</v>
      </c>
      <c r="BC13" s="21" cm="1">
        <f t="array" ref="BC13">PRODUCT(1+預測IC!$C13:BC13)-1</f>
        <v>0.71650111015475448</v>
      </c>
      <c r="BD13" s="21" cm="1">
        <f t="array" ref="BD13">PRODUCT(1+預測IC!$C13:BD13)-1</f>
        <v>0.72611709032484928</v>
      </c>
      <c r="BE13" s="21" cm="1">
        <f t="array" ref="BE13">PRODUCT(1+預測IC!$C13:BE13)-1</f>
        <v>0.77517911699420194</v>
      </c>
      <c r="BF13" s="21" cm="1">
        <f t="array" ref="BF13">PRODUCT(1+預測IC!$C13:BF13)-1</f>
        <v>0.9241688623496036</v>
      </c>
      <c r="BG13" s="21" cm="1">
        <f t="array" ref="BG13">PRODUCT(1+預測IC!$C13:BG13)-1</f>
        <v>1.013770599211528</v>
      </c>
      <c r="BH13" s="21" cm="1">
        <f t="array" ref="BH13">PRODUCT(1+預測IC!$C13:BH13)-1</f>
        <v>1.0278192104581945</v>
      </c>
      <c r="BI13" s="21" cm="1">
        <f t="array" ref="BI13">PRODUCT(1+預測IC!$C13:BI13)-1</f>
        <v>1.1348639734000163</v>
      </c>
      <c r="BJ13" s="21" cm="1">
        <f t="array" ref="BJ13">PRODUCT(1+預測IC!$C13:BJ13)-1</f>
        <v>1.0971748531250176</v>
      </c>
      <c r="BK13" s="21" cm="1">
        <f t="array" ref="BK13">PRODUCT(1+預測IC!$C13:BK13)-1</f>
        <v>1.0586056582240104</v>
      </c>
      <c r="BL13" s="21" cm="1">
        <f t="array" ref="BL13">PRODUCT(1+預測IC!$C13:BL13)-1</f>
        <v>1.1346970966770051</v>
      </c>
      <c r="BM13" s="21" cm="1">
        <f t="array" ref="BM13">PRODUCT(1+預測IC!$C13:BM13)-1</f>
        <v>1.1668376290841778</v>
      </c>
      <c r="BN13" s="21" cm="1">
        <f t="array" ref="BN13">PRODUCT(1+預測IC!$C13:BN13)-1</f>
        <v>1.1904404257648449</v>
      </c>
      <c r="BO13" s="21" cm="1">
        <f t="array" ref="BO13">PRODUCT(1+預測IC!$C13:BO13)-1</f>
        <v>1.2599547368209558</v>
      </c>
      <c r="BP13" s="21" cm="1">
        <f t="array" ref="BP13">PRODUCT(1+預測IC!$C13:BP13)-1</f>
        <v>1.2772477902924741</v>
      </c>
      <c r="BQ13" s="21" cm="1">
        <f t="array" ref="BQ13">PRODUCT(1+預測IC!$C13:BQ13)-1</f>
        <v>1.3702029882169029</v>
      </c>
      <c r="BR13" s="21" cm="1">
        <f t="array" ref="BR13">PRODUCT(1+預測IC!$C13:BR13)-1</f>
        <v>1.3534423787101759</v>
      </c>
      <c r="BS13" s="21" cm="1">
        <f t="array" ref="BS13">PRODUCT(1+預測IC!$C13:BS13)-1</f>
        <v>1.3705242342233022</v>
      </c>
      <c r="BT13" s="21" cm="1">
        <f t="array" ref="BT13">PRODUCT(1+預測IC!$C13:BT13)-1</f>
        <v>1.4614184435122284</v>
      </c>
      <c r="BU13" s="21" cm="1">
        <f t="array" ref="BU13">PRODUCT(1+預測IC!$C13:BU13)-1</f>
        <v>1.5020982931931486</v>
      </c>
      <c r="BV13" s="21" cm="1">
        <f t="array" ref="BV13">PRODUCT(1+預測IC!$C13:BV13)-1</f>
        <v>1.5537512975987906</v>
      </c>
      <c r="BW13" s="21" cm="1">
        <f t="array" ref="BW13">PRODUCT(1+預測IC!$C13:BW13)-1</f>
        <v>1.5582541684457825</v>
      </c>
      <c r="BX13" s="21" cm="1">
        <f t="array" ref="BX13">PRODUCT(1+預測IC!$C13:BX13)-1</f>
        <v>1.613986991333459</v>
      </c>
      <c r="BY13" s="21" cm="1">
        <f t="array" ref="BY13">PRODUCT(1+預測IC!$C13:BY13)-1</f>
        <v>1.5760517726097389</v>
      </c>
      <c r="BZ13" s="21" cm="1">
        <f t="array" ref="BZ13">PRODUCT(1+預測IC!$C13:BZ13)-1</f>
        <v>1.7742219503524961</v>
      </c>
      <c r="CA13" s="21" cm="1">
        <f t="array" ref="CA13">PRODUCT(1+預測IC!$C13:CA13)-1</f>
        <v>1.6811979450341905</v>
      </c>
      <c r="CB13" s="21" cm="1">
        <f t="array" ref="CB13">PRODUCT(1+預測IC!$C13:CB13)-1</f>
        <v>1.6620759914336536</v>
      </c>
      <c r="CC13" s="21" cm="1">
        <f t="array" ref="CC13">PRODUCT(1+預測IC!$C13:CC13)-1</f>
        <v>1.6297780460349176</v>
      </c>
      <c r="CD13" s="21" cm="1">
        <f t="array" ref="CD13">PRODUCT(1+預測IC!$C13:CD13)-1</f>
        <v>1.9071982714340021</v>
      </c>
      <c r="CE13" s="21" cm="1">
        <f t="array" ref="CE13">PRODUCT(1+預測IC!$C13:CE13)-1</f>
        <v>1.9419925221125509</v>
      </c>
      <c r="CF13" s="21" cm="1">
        <f t="array" ref="CF13">PRODUCT(1+預測IC!$C13:CF13)-1</f>
        <v>2.0800880413399589</v>
      </c>
      <c r="CG13" s="21" cm="1">
        <f t="array" ref="CG13">PRODUCT(1+預測IC!$C13:CG13)-1</f>
        <v>2.1940983376686698</v>
      </c>
      <c r="CH13" s="21" cm="1">
        <f t="array" ref="CH13">PRODUCT(1+預測IC!$C13:CH13)-1</f>
        <v>2.3804248243344994</v>
      </c>
      <c r="CI13" s="21" cm="1">
        <f t="array" ref="CI13">PRODUCT(1+預測IC!$C13:CI13)-1</f>
        <v>2.2051379348281799</v>
      </c>
      <c r="CJ13" s="21" cm="1">
        <f t="array" ref="CJ13">PRODUCT(1+預測IC!$C13:CJ13)-1</f>
        <v>2.1927128961661349</v>
      </c>
      <c r="CK13" s="21" cm="1">
        <f t="array" ref="CK13">PRODUCT(1+預測IC!$C13:CK13)-1</f>
        <v>2.2950242405185088</v>
      </c>
      <c r="CL13" s="21" cm="1">
        <f t="array" ref="CL13">PRODUCT(1+預測IC!$C13:CL13)-1</f>
        <v>2.5728092534819571</v>
      </c>
      <c r="CM13" s="21" cm="1">
        <f t="array" ref="CM13">PRODUCT(1+預測IC!$C13:CM13)-1</f>
        <v>2.5360207377398214</v>
      </c>
      <c r="CN13" s="21" cm="1">
        <f t="array" ref="CN13">PRODUCT(1+預測IC!$C13:CN13)-1</f>
        <v>2.4409457467805313</v>
      </c>
      <c r="CO13" s="21" cm="1">
        <f t="array" ref="CO13">PRODUCT(1+預測IC!$C13:CO13)-1</f>
        <v>2.3946393619749187</v>
      </c>
      <c r="CP13" s="21" cm="1">
        <f t="array" ref="CP13">PRODUCT(1+預測IC!$C13:CP13)-1</f>
        <v>2.6349712487943497</v>
      </c>
      <c r="CQ13" s="21" cm="1">
        <f t="array" ref="CQ13">PRODUCT(1+預測IC!$C13:CQ13)-1</f>
        <v>2.7729146448431967</v>
      </c>
      <c r="CR13" s="21" cm="1">
        <f t="array" ref="CR13">PRODUCT(1+預測IC!$C13:CR13)-1</f>
        <v>2.8054854480388824</v>
      </c>
      <c r="CS13" s="21" cm="1">
        <f t="array" ref="CS13">PRODUCT(1+預測IC!$C13:CS13)-1</f>
        <v>2.85144871141997</v>
      </c>
      <c r="CT13" s="21" cm="1">
        <f t="array" ref="CT13">PRODUCT(1+預測IC!$C13:CT13)-1</f>
        <v>2.8825329810471656</v>
      </c>
      <c r="CU13" s="21" cm="1">
        <f t="array" ref="CU13">PRODUCT(1+預測IC!$C13:CU13)-1</f>
        <v>3.0223310181548229</v>
      </c>
      <c r="CV13" s="21" cm="1">
        <f t="array" ref="CV13">PRODUCT(1+預測IC!$C13:CV13)-1</f>
        <v>3.013359713042381</v>
      </c>
      <c r="CW13" s="21" cm="1">
        <f t="array" ref="CW13">PRODUCT(1+預測IC!$C13:CW13)-1</f>
        <v>3.0373476878844503</v>
      </c>
      <c r="CX13" s="21" cm="1">
        <f t="array" ref="CX13">PRODUCT(1+預測IC!$C13:CX13)-1</f>
        <v>3.2821876387074242</v>
      </c>
      <c r="CY13" s="21" cm="1">
        <f t="array" ref="CY13">PRODUCT(1+預測IC!$C13:CY13)-1</f>
        <v>3.2260107319515017</v>
      </c>
      <c r="CZ13" s="21" cm="1">
        <f t="array" ref="CZ13">PRODUCT(1+預測IC!$C13:CZ13)-1</f>
        <v>3.4678409012928872</v>
      </c>
      <c r="DA13" s="21" cm="1">
        <f t="array" ref="DA13">PRODUCT(1+預測IC!$C13:DA13)-1</f>
        <v>3.4361347300507514</v>
      </c>
      <c r="DB13" s="21" cm="1">
        <f t="array" ref="DB13">PRODUCT(1+預測IC!$C13:DB13)-1</f>
        <v>3.2543022448917522</v>
      </c>
      <c r="DC13" s="21" cm="1">
        <f t="array" ref="DC13">PRODUCT(1+預測IC!$C13:DC13)-1</f>
        <v>3.3808259821205207</v>
      </c>
      <c r="DD13" s="21" cm="1">
        <f t="array" ref="DD13">PRODUCT(1+預測IC!$C13:DD13)-1</f>
        <v>3.4229324477162226</v>
      </c>
      <c r="DE13" s="21" cm="1">
        <f t="array" ref="DE13">PRODUCT(1+預測IC!$C13:DE13)-1</f>
        <v>3.4457886273859071</v>
      </c>
      <c r="DF13" s="21" cm="1">
        <f t="array" ref="DF13">PRODUCT(1+預測IC!$C13:DF13)-1</f>
        <v>3.3190000849340358</v>
      </c>
      <c r="DG13" s="21" cm="1">
        <f t="array" ref="DG13">PRODUCT(1+預測IC!$C13:DG13)-1</f>
        <v>3.3119572764658258</v>
      </c>
      <c r="DH13" s="21" cm="1">
        <f t="array" ref="DH13">PRODUCT(1+預測IC!$C13:DH13)-1</f>
        <v>3.3679792820286556</v>
      </c>
      <c r="DI13" s="21" cm="1">
        <f t="array" ref="DI13">PRODUCT(1+預測IC!$C13:DI13)-1</f>
        <v>3.1645998033230116</v>
      </c>
      <c r="DJ13" s="21" cm="1">
        <f t="array" ref="DJ13">PRODUCT(1+預測IC!$C13:DJ13)-1</f>
        <v>3.1657762193434191</v>
      </c>
      <c r="DK13" s="21" cm="1">
        <f t="array" ref="DK13">PRODUCT(1+預測IC!$C13:DK13)-1</f>
        <v>3.2158771344491166</v>
      </c>
      <c r="DL13" s="21" cm="1">
        <f t="array" ref="DL13">PRODUCT(1+預測IC!$C13:DL13)-1</f>
        <v>3.1498794647649282</v>
      </c>
      <c r="DM13" s="21" cm="1">
        <f t="array" ref="DM13">PRODUCT(1+預測IC!$C13:DM13)-1</f>
        <v>3.1222459608422319</v>
      </c>
      <c r="DN13" s="21" cm="1">
        <f t="array" ref="DN13">PRODUCT(1+預測IC!$C13:DN13)-1</f>
        <v>3.1834192573016429</v>
      </c>
      <c r="DO13" s="21" cm="1">
        <f t="array" ref="DO13">PRODUCT(1+預測IC!$C13:DO13)-1</f>
        <v>3.3864469243045878</v>
      </c>
      <c r="DP13" s="21" cm="1">
        <f t="array" ref="DP13">PRODUCT(1+預測IC!$C13:DP13)-1</f>
        <v>3.5936545762327832</v>
      </c>
      <c r="DQ13" s="21" cm="1">
        <f t="array" ref="DQ13">PRODUCT(1+預測IC!$C13:DQ13)-1</f>
        <v>3.4722439117807848</v>
      </c>
      <c r="DR13" s="21" cm="1">
        <f t="array" ref="DR13">PRODUCT(1+預測IC!$C13:DR13)-1</f>
        <v>3.5338321186067407</v>
      </c>
      <c r="DS13" s="21" cm="1">
        <f t="array" ref="DS13">PRODUCT(1+預測IC!$C13:DS13)-1</f>
        <v>3.3592670007370709</v>
      </c>
      <c r="DT13" s="21" cm="1">
        <f t="array" ref="DT13">PRODUCT(1+預測IC!$C13:DT13)-1</f>
        <v>3.2048342956218088</v>
      </c>
      <c r="DU13" s="21" cm="1">
        <f t="array" ref="DU13">PRODUCT(1+預測IC!$C13:DU13)-1</f>
        <v>3.2924984240007369</v>
      </c>
      <c r="DV13" s="21" cm="1">
        <f t="array" ref="DV13">PRODUCT(1+預測IC!$C13:DV13)-1</f>
        <v>3.6342677667432781</v>
      </c>
      <c r="DW13" s="21" cm="1">
        <f t="array" ref="DW13">PRODUCT(1+預測IC!$C13:DW13)-1</f>
        <v>3.8459934628663541</v>
      </c>
      <c r="DX13" s="21" cm="1">
        <f t="array" ref="DX13">PRODUCT(1+預測IC!$C13:DX13)-1</f>
        <v>3.532739143588107</v>
      </c>
      <c r="DY13" s="21" cm="1">
        <f t="array" ref="DY13">PRODUCT(1+預測IC!$C13:DY13)-1</f>
        <v>3.6927726570416093</v>
      </c>
      <c r="DZ13" s="21" cm="1">
        <f t="array" ref="DZ13">PRODUCT(1+預測IC!$C13:DZ13)-1</f>
        <v>3.6375365371517807</v>
      </c>
      <c r="EA13" s="21" cm="1">
        <f t="array" ref="EA13">PRODUCT(1+預測IC!$C13:EA13)-1</f>
        <v>3.9927271594893696</v>
      </c>
      <c r="EB13" s="21" cm="1">
        <f t="array" ref="EB13">PRODUCT(1+預測IC!$C13:EB13)-1</f>
        <v>4.0994378064791386</v>
      </c>
      <c r="EC13" s="21" cm="1">
        <f t="array" ref="EC13">PRODUCT(1+預測IC!$C13:EC13)-1</f>
        <v>4.3118791281553444</v>
      </c>
      <c r="ED13" s="21" cm="1">
        <f t="array" ref="ED13">PRODUCT(1+預測IC!$C13:ED13)-1</f>
        <v>3.9629837857533099</v>
      </c>
      <c r="EE13" s="21" cm="1">
        <f t="array" ref="EE13">PRODUCT(1+預測IC!$C13:EE13)-1</f>
        <v>4.0063504656356006</v>
      </c>
      <c r="EF13" s="21" cm="1">
        <f t="array" ref="EF13">PRODUCT(1+預測IC!$C13:EF13)-1</f>
        <v>4.3432335795213284</v>
      </c>
    </row>
    <row r="14" spans="1:137">
      <c r="A14" s="4">
        <v>50</v>
      </c>
      <c r="B14" s="4">
        <v>19</v>
      </c>
      <c r="C14" s="21" cm="1">
        <f t="array" ref="C14">PRODUCT(1+預測IC!$C14:C14)-1</f>
        <v>-3.037156627906501E-2</v>
      </c>
      <c r="D14" s="21" cm="1">
        <f t="array" ref="D14">PRODUCT(1+預測IC!$C14:D14)-1</f>
        <v>0.1851853570607005</v>
      </c>
      <c r="E14" s="21" cm="1">
        <f t="array" ref="E14">PRODUCT(1+預測IC!$C14:E14)-1</f>
        <v>0.12885830501985107</v>
      </c>
      <c r="F14" s="21" cm="1">
        <f t="array" ref="F14">PRODUCT(1+預測IC!$C14:F14)-1</f>
        <v>0.1678526951045316</v>
      </c>
      <c r="G14" s="21" cm="1">
        <f t="array" ref="G14">PRODUCT(1+預測IC!$C14:G14)-1</f>
        <v>0.26729443010371279</v>
      </c>
      <c r="H14" s="21" cm="1">
        <f t="array" ref="H14">PRODUCT(1+預測IC!$C14:H14)-1</f>
        <v>0.34281117119945614</v>
      </c>
      <c r="I14" s="21" cm="1">
        <f t="array" ref="I14">PRODUCT(1+預測IC!$C14:I14)-1</f>
        <v>0.40160932712730202</v>
      </c>
      <c r="J14" s="21" cm="1">
        <f t="array" ref="J14">PRODUCT(1+預測IC!$C14:J14)-1</f>
        <v>0.25430918665348101</v>
      </c>
      <c r="K14" s="21" cm="1">
        <f t="array" ref="K14">PRODUCT(1+預測IC!$C14:K14)-1</f>
        <v>0.26992718448296027</v>
      </c>
      <c r="L14" s="21" cm="1">
        <f t="array" ref="L14">PRODUCT(1+預測IC!$C14:L14)-1</f>
        <v>0.25915793460545333</v>
      </c>
      <c r="M14" s="21" cm="1">
        <f t="array" ref="M14">PRODUCT(1+預測IC!$C14:M14)-1</f>
        <v>0.16352316641394271</v>
      </c>
      <c r="N14" s="21" cm="1">
        <f t="array" ref="N14">PRODUCT(1+預測IC!$C14:N14)-1</f>
        <v>0.40185073973164154</v>
      </c>
      <c r="O14" s="21" cm="1">
        <f t="array" ref="O14">PRODUCT(1+預測IC!$C14:O14)-1</f>
        <v>0.45742342322740859</v>
      </c>
      <c r="P14" s="21" cm="1">
        <f t="array" ref="P14">PRODUCT(1+預測IC!$C14:P14)-1</f>
        <v>0.37238871000311491</v>
      </c>
      <c r="Q14" s="21" cm="1">
        <f t="array" ref="Q14">PRODUCT(1+預測IC!$C14:Q14)-1</f>
        <v>0.4523153283159711</v>
      </c>
      <c r="R14" s="21" cm="1">
        <f t="array" ref="R14">PRODUCT(1+預測IC!$C14:R14)-1</f>
        <v>0.4317626204155367</v>
      </c>
      <c r="S14" s="21" cm="1">
        <f t="array" ref="S14">PRODUCT(1+預測IC!$C14:S14)-1</f>
        <v>0.19424289875236833</v>
      </c>
      <c r="T14" s="21" cm="1">
        <f t="array" ref="T14">PRODUCT(1+預測IC!$C14:T14)-1</f>
        <v>0.17350876781867663</v>
      </c>
      <c r="U14" s="21" cm="1">
        <f t="array" ref="U14">PRODUCT(1+預測IC!$C14:U14)-1</f>
        <v>0.21643368034604515</v>
      </c>
      <c r="V14" s="21" cm="1">
        <f t="array" ref="V14">PRODUCT(1+預測IC!$C14:V14)-1</f>
        <v>0.16975387015949428</v>
      </c>
      <c r="W14" s="21" cm="1">
        <f t="array" ref="W14">PRODUCT(1+預測IC!$C14:W14)-1</f>
        <v>0.30563875944852414</v>
      </c>
      <c r="X14" s="21" cm="1">
        <f t="array" ref="X14">PRODUCT(1+預測IC!$C14:X14)-1</f>
        <v>0.15626283839641442</v>
      </c>
      <c r="Y14" s="21" cm="1">
        <f t="array" ref="Y14">PRODUCT(1+預測IC!$C14:Y14)-1</f>
        <v>0.13687973502104778</v>
      </c>
      <c r="Z14" s="21" cm="1">
        <f t="array" ref="Z14">PRODUCT(1+預測IC!$C14:Z14)-1</f>
        <v>0.16104070314971519</v>
      </c>
      <c r="AA14" s="21" cm="1">
        <f t="array" ref="AA14">PRODUCT(1+預測IC!$C14:AA14)-1</f>
        <v>0.15799217690767664</v>
      </c>
      <c r="AB14" s="21" cm="1">
        <f t="array" ref="AB14">PRODUCT(1+預測IC!$C14:AB14)-1</f>
        <v>7.1162876135305142E-2</v>
      </c>
      <c r="AC14" s="21" cm="1">
        <f t="array" ref="AC14">PRODUCT(1+預測IC!$C14:AC14)-1</f>
        <v>3.9785696643628077E-2</v>
      </c>
      <c r="AD14" s="21" cm="1">
        <f t="array" ref="AD14">PRODUCT(1+預測IC!$C14:AD14)-1</f>
        <v>8.0678333795665802E-2</v>
      </c>
      <c r="AE14" s="21" cm="1">
        <f t="array" ref="AE14">PRODUCT(1+預測IC!$C14:AE14)-1</f>
        <v>-3.5423633739222748E-2</v>
      </c>
      <c r="AF14" s="21" cm="1">
        <f t="array" ref="AF14">PRODUCT(1+預測IC!$C14:AF14)-1</f>
        <v>4.5907313242444792E-2</v>
      </c>
      <c r="AG14" s="21" cm="1">
        <f t="array" ref="AG14">PRODUCT(1+預測IC!$C14:AG14)-1</f>
        <v>5.2591266499350642E-2</v>
      </c>
      <c r="AH14" s="21" cm="1">
        <f t="array" ref="AH14">PRODUCT(1+預測IC!$C14:AH14)-1</f>
        <v>0.1193360233085341</v>
      </c>
      <c r="AI14" s="21" cm="1">
        <f t="array" ref="AI14">PRODUCT(1+預測IC!$C14:AI14)-1</f>
        <v>0.13160989627864583</v>
      </c>
      <c r="AJ14" s="21" cm="1">
        <f t="array" ref="AJ14">PRODUCT(1+預測IC!$C14:AJ14)-1</f>
        <v>0.24529499996373416</v>
      </c>
      <c r="AK14" s="21" cm="1">
        <f t="array" ref="AK14">PRODUCT(1+預測IC!$C14:AK14)-1</f>
        <v>0.23096237547441478</v>
      </c>
      <c r="AL14" s="21" cm="1">
        <f t="array" ref="AL14">PRODUCT(1+預測IC!$C14:AL14)-1</f>
        <v>0.2777010194500138</v>
      </c>
      <c r="AM14" s="21" cm="1">
        <f t="array" ref="AM14">PRODUCT(1+預測IC!$C14:AM14)-1</f>
        <v>0.28172376023861911</v>
      </c>
      <c r="AN14" s="21" cm="1">
        <f t="array" ref="AN14">PRODUCT(1+預測IC!$C14:AN14)-1</f>
        <v>0.39997622138208122</v>
      </c>
      <c r="AO14" s="21" cm="1">
        <f t="array" ref="AO14">PRODUCT(1+預測IC!$C14:AO14)-1</f>
        <v>0.38597984858437528</v>
      </c>
      <c r="AP14" s="21" cm="1">
        <f t="array" ref="AP14">PRODUCT(1+預測IC!$C14:AP14)-1</f>
        <v>0.28899379484962884</v>
      </c>
      <c r="AQ14" s="21" cm="1">
        <f t="array" ref="AQ14">PRODUCT(1+預測IC!$C14:AQ14)-1</f>
        <v>0.2785188885384513</v>
      </c>
      <c r="AR14" s="21" cm="1">
        <f t="array" ref="AR14">PRODUCT(1+預測IC!$C14:AR14)-1</f>
        <v>0.30175018235740536</v>
      </c>
      <c r="AS14" s="21" cm="1">
        <f t="array" ref="AS14">PRODUCT(1+預測IC!$C14:AS14)-1</f>
        <v>0.19457321578173015</v>
      </c>
      <c r="AT14" s="21" cm="1">
        <f t="array" ref="AT14">PRODUCT(1+預測IC!$C14:AT14)-1</f>
        <v>0.24346060578439421</v>
      </c>
      <c r="AU14" s="21" cm="1">
        <f t="array" ref="AU14">PRODUCT(1+預測IC!$C14:AU14)-1</f>
        <v>0.30192980700047656</v>
      </c>
      <c r="AV14" s="21" cm="1">
        <f t="array" ref="AV14">PRODUCT(1+預測IC!$C14:AV14)-1</f>
        <v>0.27239580749816406</v>
      </c>
      <c r="AW14" s="21" cm="1">
        <f t="array" ref="AW14">PRODUCT(1+預測IC!$C14:AW14)-1</f>
        <v>0.25277371062829057</v>
      </c>
      <c r="AX14" s="21" cm="1">
        <f t="array" ref="AX14">PRODUCT(1+預測IC!$C14:AX14)-1</f>
        <v>0.42434235851901692</v>
      </c>
      <c r="AY14" s="21" cm="1">
        <f t="array" ref="AY14">PRODUCT(1+預測IC!$C14:AY14)-1</f>
        <v>0.44580451834883261</v>
      </c>
      <c r="AZ14" s="21" cm="1">
        <f t="array" ref="AZ14">PRODUCT(1+預測IC!$C14:AZ14)-1</f>
        <v>0.36894808362934639</v>
      </c>
      <c r="BA14" s="21" cm="1">
        <f t="array" ref="BA14">PRODUCT(1+預測IC!$C14:BA14)-1</f>
        <v>0.39649941097451946</v>
      </c>
      <c r="BB14" s="21" cm="1">
        <f t="array" ref="BB14">PRODUCT(1+預測IC!$C14:BB14)-1</f>
        <v>0.48271129942679325</v>
      </c>
      <c r="BC14" s="21" cm="1">
        <f t="array" ref="BC14">PRODUCT(1+預測IC!$C14:BC14)-1</f>
        <v>0.4692424633723784</v>
      </c>
      <c r="BD14" s="21" cm="1">
        <f t="array" ref="BD14">PRODUCT(1+預測IC!$C14:BD14)-1</f>
        <v>0.53290148004185767</v>
      </c>
      <c r="BE14" s="21" cm="1">
        <f t="array" ref="BE14">PRODUCT(1+預測IC!$C14:BE14)-1</f>
        <v>0.59908640886053255</v>
      </c>
      <c r="BF14" s="21" cm="1">
        <f t="array" ref="BF14">PRODUCT(1+預測IC!$C14:BF14)-1</f>
        <v>0.66428199574640057</v>
      </c>
      <c r="BG14" s="21" cm="1">
        <f t="array" ref="BG14">PRODUCT(1+預測IC!$C14:BG14)-1</f>
        <v>0.73314043853190403</v>
      </c>
      <c r="BH14" s="21" cm="1">
        <f t="array" ref="BH14">PRODUCT(1+預測IC!$C14:BH14)-1</f>
        <v>0.73264918998398287</v>
      </c>
      <c r="BI14" s="21" cm="1">
        <f t="array" ref="BI14">PRODUCT(1+預測IC!$C14:BI14)-1</f>
        <v>0.82277161320930037</v>
      </c>
      <c r="BJ14" s="21" cm="1">
        <f t="array" ref="BJ14">PRODUCT(1+預測IC!$C14:BJ14)-1</f>
        <v>0.79861209003345723</v>
      </c>
      <c r="BK14" s="21" cm="1">
        <f t="array" ref="BK14">PRODUCT(1+預測IC!$C14:BK14)-1</f>
        <v>0.79845502572952798</v>
      </c>
      <c r="BL14" s="21" cm="1">
        <f t="array" ref="BL14">PRODUCT(1+預測IC!$C14:BL14)-1</f>
        <v>0.90589071273304778</v>
      </c>
      <c r="BM14" s="21" cm="1">
        <f t="array" ref="BM14">PRODUCT(1+預測IC!$C14:BM14)-1</f>
        <v>0.96688462298389655</v>
      </c>
      <c r="BN14" s="21" cm="1">
        <f t="array" ref="BN14">PRODUCT(1+預測IC!$C14:BN14)-1</f>
        <v>1.0080643777773148</v>
      </c>
      <c r="BO14" s="21" cm="1">
        <f t="array" ref="BO14">PRODUCT(1+預測IC!$C14:BO14)-1</f>
        <v>1.0755535051729201</v>
      </c>
      <c r="BP14" s="21" cm="1">
        <f t="array" ref="BP14">PRODUCT(1+預測IC!$C14:BP14)-1</f>
        <v>1.1021676374207341</v>
      </c>
      <c r="BQ14" s="21" cm="1">
        <f t="array" ref="BQ14">PRODUCT(1+預測IC!$C14:BQ14)-1</f>
        <v>1.1274975440492465</v>
      </c>
      <c r="BR14" s="21" cm="1">
        <f t="array" ref="BR14">PRODUCT(1+預測IC!$C14:BR14)-1</f>
        <v>1.0680777513119053</v>
      </c>
      <c r="BS14" s="21" cm="1">
        <f t="array" ref="BS14">PRODUCT(1+預測IC!$C14:BS14)-1</f>
        <v>0.98818955476626558</v>
      </c>
      <c r="BT14" s="21" cm="1">
        <f t="array" ref="BT14">PRODUCT(1+預測IC!$C14:BT14)-1</f>
        <v>1.1336040062953745</v>
      </c>
      <c r="BU14" s="21" cm="1">
        <f t="array" ref="BU14">PRODUCT(1+預測IC!$C14:BU14)-1</f>
        <v>1.114711294100394</v>
      </c>
      <c r="BV14" s="21" cm="1">
        <f t="array" ref="BV14">PRODUCT(1+預測IC!$C14:BV14)-1</f>
        <v>1.1758083102588999</v>
      </c>
      <c r="BW14" s="21" cm="1">
        <f t="array" ref="BW14">PRODUCT(1+預測IC!$C14:BW14)-1</f>
        <v>1.20302320802206</v>
      </c>
      <c r="BX14" s="21" cm="1">
        <f t="array" ref="BX14">PRODUCT(1+預測IC!$C14:BX14)-1</f>
        <v>1.3216744295302507</v>
      </c>
      <c r="BY14" s="21" cm="1">
        <f t="array" ref="BY14">PRODUCT(1+預測IC!$C14:BY14)-1</f>
        <v>1.2786726704759812</v>
      </c>
      <c r="BZ14" s="21" cm="1">
        <f t="array" ref="BZ14">PRODUCT(1+預測IC!$C14:BZ14)-1</f>
        <v>1.533383887702874</v>
      </c>
      <c r="CA14" s="21" cm="1">
        <f t="array" ref="CA14">PRODUCT(1+預測IC!$C14:CA14)-1</f>
        <v>1.4714039767189293</v>
      </c>
      <c r="CB14" s="21" cm="1">
        <f t="array" ref="CB14">PRODUCT(1+預測IC!$C14:CB14)-1</f>
        <v>1.5260902562365719</v>
      </c>
      <c r="CC14" s="21" cm="1">
        <f t="array" ref="CC14">PRODUCT(1+預測IC!$C14:CC14)-1</f>
        <v>1.4751728535277362</v>
      </c>
      <c r="CD14" s="21" cm="1">
        <f t="array" ref="CD14">PRODUCT(1+預測IC!$C14:CD14)-1</f>
        <v>1.7177811531440148</v>
      </c>
      <c r="CE14" s="21" cm="1">
        <f t="array" ref="CE14">PRODUCT(1+預測IC!$C14:CE14)-1</f>
        <v>1.5216749815977573</v>
      </c>
      <c r="CF14" s="21" cm="1">
        <f t="array" ref="CF14">PRODUCT(1+預測IC!$C14:CF14)-1</f>
        <v>1.7622204388270526</v>
      </c>
      <c r="CG14" s="21" cm="1">
        <f t="array" ref="CG14">PRODUCT(1+預測IC!$C14:CG14)-1</f>
        <v>1.9088032690136325</v>
      </c>
      <c r="CH14" s="21" cm="1">
        <f t="array" ref="CH14">PRODUCT(1+預測IC!$C14:CH14)-1</f>
        <v>2.0968905382514831</v>
      </c>
      <c r="CI14" s="21" cm="1">
        <f t="array" ref="CI14">PRODUCT(1+預測IC!$C14:CI14)-1</f>
        <v>1.7689769730900324</v>
      </c>
      <c r="CJ14" s="21" cm="1">
        <f t="array" ref="CJ14">PRODUCT(1+預測IC!$C14:CJ14)-1</f>
        <v>1.6789010260708741</v>
      </c>
      <c r="CK14" s="21" cm="1">
        <f t="array" ref="CK14">PRODUCT(1+預測IC!$C14:CK14)-1</f>
        <v>1.7164494790187592</v>
      </c>
      <c r="CL14" s="21" cm="1">
        <f t="array" ref="CL14">PRODUCT(1+預測IC!$C14:CL14)-1</f>
        <v>1.8856026655078963</v>
      </c>
      <c r="CM14" s="21" cm="1">
        <f t="array" ref="CM14">PRODUCT(1+預測IC!$C14:CM14)-1</f>
        <v>1.9780574048296131</v>
      </c>
      <c r="CN14" s="21" cm="1">
        <f t="array" ref="CN14">PRODUCT(1+預測IC!$C14:CN14)-1</f>
        <v>1.9170685818405913</v>
      </c>
      <c r="CO14" s="21" cm="1">
        <f t="array" ref="CO14">PRODUCT(1+預測IC!$C14:CO14)-1</f>
        <v>1.702408155705855</v>
      </c>
      <c r="CP14" s="21" cm="1">
        <f t="array" ref="CP14">PRODUCT(1+預測IC!$C14:CP14)-1</f>
        <v>1.9721337071176928</v>
      </c>
      <c r="CQ14" s="21" cm="1">
        <f t="array" ref="CQ14">PRODUCT(1+預測IC!$C14:CQ14)-1</f>
        <v>2.1302857805795696</v>
      </c>
      <c r="CR14" s="21" cm="1">
        <f t="array" ref="CR14">PRODUCT(1+預測IC!$C14:CR14)-1</f>
        <v>2.3077058555400978</v>
      </c>
      <c r="CS14" s="21" cm="1">
        <f t="array" ref="CS14">PRODUCT(1+預測IC!$C14:CS14)-1</f>
        <v>2.5029502068718612</v>
      </c>
      <c r="CT14" s="21" cm="1">
        <f t="array" ref="CT14">PRODUCT(1+預測IC!$C14:CT14)-1</f>
        <v>2.5698585754514545</v>
      </c>
      <c r="CU14" s="21" cm="1">
        <f t="array" ref="CU14">PRODUCT(1+預測IC!$C14:CU14)-1</f>
        <v>2.4108412167856392</v>
      </c>
      <c r="CV14" s="21" cm="1">
        <f t="array" ref="CV14">PRODUCT(1+預測IC!$C14:CV14)-1</f>
        <v>2.4884232394844656</v>
      </c>
      <c r="CW14" s="21" cm="1">
        <f t="array" ref="CW14">PRODUCT(1+預測IC!$C14:CW14)-1</f>
        <v>2.4765682431222378</v>
      </c>
      <c r="CX14" s="21" cm="1">
        <f t="array" ref="CX14">PRODUCT(1+預測IC!$C14:CX14)-1</f>
        <v>2.5904756691318602</v>
      </c>
      <c r="CY14" s="21" cm="1">
        <f t="array" ref="CY14">PRODUCT(1+預測IC!$C14:CY14)-1</f>
        <v>2.4872167474596858</v>
      </c>
      <c r="CZ14" s="21" cm="1">
        <f t="array" ref="CZ14">PRODUCT(1+預測IC!$C14:CZ14)-1</f>
        <v>2.7106202784770876</v>
      </c>
      <c r="DA14" s="21" cm="1">
        <f t="array" ref="DA14">PRODUCT(1+預測IC!$C14:DA14)-1</f>
        <v>2.620436290226746</v>
      </c>
      <c r="DB14" s="21" cm="1">
        <f t="array" ref="DB14">PRODUCT(1+預測IC!$C14:DB14)-1</f>
        <v>2.5612683074000384</v>
      </c>
      <c r="DC14" s="21" cm="1">
        <f t="array" ref="DC14">PRODUCT(1+預測IC!$C14:DC14)-1</f>
        <v>2.6593245987508314</v>
      </c>
      <c r="DD14" s="21" cm="1">
        <f t="array" ref="DD14">PRODUCT(1+預測IC!$C14:DD14)-1</f>
        <v>2.5979996252560515</v>
      </c>
      <c r="DE14" s="21" cm="1">
        <f t="array" ref="DE14">PRODUCT(1+預測IC!$C14:DE14)-1</f>
        <v>2.6173723332270549</v>
      </c>
      <c r="DF14" s="21" cm="1">
        <f t="array" ref="DF14">PRODUCT(1+預測IC!$C14:DF14)-1</f>
        <v>2.4735077698716008</v>
      </c>
      <c r="DG14" s="21" cm="1">
        <f t="array" ref="DG14">PRODUCT(1+預測IC!$C14:DG14)-1</f>
        <v>2.5132674724420618</v>
      </c>
      <c r="DH14" s="21" cm="1">
        <f t="array" ref="DH14">PRODUCT(1+預測IC!$C14:DH14)-1</f>
        <v>2.5300427528137877</v>
      </c>
      <c r="DI14" s="21" cm="1">
        <f t="array" ref="DI14">PRODUCT(1+預測IC!$C14:DI14)-1</f>
        <v>2.3422727284327691</v>
      </c>
      <c r="DJ14" s="21" cm="1">
        <f t="array" ref="DJ14">PRODUCT(1+預測IC!$C14:DJ14)-1</f>
        <v>2.3456942941327923</v>
      </c>
      <c r="DK14" s="21" cm="1">
        <f t="array" ref="DK14">PRODUCT(1+預測IC!$C14:DK14)-1</f>
        <v>2.4069786347566935</v>
      </c>
      <c r="DL14" s="21" cm="1">
        <f t="array" ref="DL14">PRODUCT(1+預測IC!$C14:DL14)-1</f>
        <v>2.3553112533465548</v>
      </c>
      <c r="DM14" s="21" cm="1">
        <f t="array" ref="DM14">PRODUCT(1+預測IC!$C14:DM14)-1</f>
        <v>2.3737797893779278</v>
      </c>
      <c r="DN14" s="21" cm="1">
        <f t="array" ref="DN14">PRODUCT(1+預測IC!$C14:DN14)-1</f>
        <v>2.5082306749381358</v>
      </c>
      <c r="DO14" s="21" cm="1">
        <f t="array" ref="DO14">PRODUCT(1+預測IC!$C14:DO14)-1</f>
        <v>2.6533859824936172</v>
      </c>
      <c r="DP14" s="21" cm="1">
        <f t="array" ref="DP14">PRODUCT(1+預測IC!$C14:DP14)-1</f>
        <v>2.8014658542968407</v>
      </c>
      <c r="DQ14" s="21" cm="1">
        <f t="array" ref="DQ14">PRODUCT(1+預測IC!$C14:DQ14)-1</f>
        <v>2.4617369858801159</v>
      </c>
      <c r="DR14" s="21" cm="1">
        <f t="array" ref="DR14">PRODUCT(1+預測IC!$C14:DR14)-1</f>
        <v>2.6439023077815307</v>
      </c>
      <c r="DS14" s="21" cm="1">
        <f t="array" ref="DS14">PRODUCT(1+預測IC!$C14:DS14)-1</f>
        <v>2.5162020929449493</v>
      </c>
      <c r="DT14" s="21" cm="1">
        <f t="array" ref="DT14">PRODUCT(1+預測IC!$C14:DT14)-1</f>
        <v>2.3599660389293358</v>
      </c>
      <c r="DU14" s="21" cm="1">
        <f t="array" ref="DU14">PRODUCT(1+預測IC!$C14:DU14)-1</f>
        <v>2.2090533369293004</v>
      </c>
      <c r="DV14" s="21" cm="1">
        <f t="array" ref="DV14">PRODUCT(1+預測IC!$C14:DV14)-1</f>
        <v>2.5564730069979644</v>
      </c>
      <c r="DW14" s="21" cm="1">
        <f t="array" ref="DW14">PRODUCT(1+預測IC!$C14:DW14)-1</f>
        <v>2.8829904075756474</v>
      </c>
      <c r="DX14" s="21" cm="1">
        <f t="array" ref="DX14">PRODUCT(1+預測IC!$C14:DX14)-1</f>
        <v>2.486299370732707</v>
      </c>
      <c r="DY14" s="21" cm="1">
        <f t="array" ref="DY14">PRODUCT(1+預測IC!$C14:DY14)-1</f>
        <v>2.6187685666410854</v>
      </c>
      <c r="DZ14" s="21" cm="1">
        <f t="array" ref="DZ14">PRODUCT(1+預測IC!$C14:DZ14)-1</f>
        <v>2.6030618822277956</v>
      </c>
      <c r="EA14" s="21" cm="1">
        <f t="array" ref="EA14">PRODUCT(1+預測IC!$C14:EA14)-1</f>
        <v>2.8844799885498853</v>
      </c>
      <c r="EB14" s="21" cm="1">
        <f t="array" ref="EB14">PRODUCT(1+預測IC!$C14:EB14)-1</f>
        <v>2.9117392275072511</v>
      </c>
      <c r="EC14" s="21" cm="1">
        <f t="array" ref="EC14">PRODUCT(1+預測IC!$C14:EC14)-1</f>
        <v>2.9355201851351107</v>
      </c>
      <c r="ED14" s="21" cm="1">
        <f t="array" ref="ED14">PRODUCT(1+預測IC!$C14:ED14)-1</f>
        <v>2.5316188930383254</v>
      </c>
      <c r="EE14" s="21" cm="1">
        <f t="array" ref="EE14">PRODUCT(1+預測IC!$C14:EE14)-1</f>
        <v>2.5976176101601016</v>
      </c>
      <c r="EF14" s="21" cm="1">
        <f t="array" ref="EF14">PRODUCT(1+預測IC!$C14:EF14)-1</f>
        <v>2.8373353141601299</v>
      </c>
    </row>
    <row r="15" spans="1:137">
      <c r="A15" s="4">
        <v>100</v>
      </c>
      <c r="B15" s="4">
        <v>10</v>
      </c>
      <c r="C15" s="21" cm="1">
        <f t="array" ref="C15">PRODUCT(1+預測IC!$C15:C15)-1</f>
        <v>-9.650314199451604E-2</v>
      </c>
      <c r="D15" s="21" cm="1">
        <f t="array" ref="D15">PRODUCT(1+預測IC!$C15:D15)-1</f>
        <v>0.24023890090365052</v>
      </c>
      <c r="E15" s="21" cm="1">
        <f t="array" ref="E15">PRODUCT(1+預測IC!$C15:E15)-1</f>
        <v>0.22759041591301465</v>
      </c>
      <c r="F15" s="21" cm="1">
        <f t="array" ref="F15">PRODUCT(1+預測IC!$C15:F15)-1</f>
        <v>0.33844747738587322</v>
      </c>
      <c r="G15" s="21" cm="1">
        <f t="array" ref="G15">PRODUCT(1+預測IC!$C15:G15)-1</f>
        <v>0.46774980207570849</v>
      </c>
      <c r="H15" s="21" cm="1">
        <f t="array" ref="H15">PRODUCT(1+預測IC!$C15:H15)-1</f>
        <v>0.64218364665351468</v>
      </c>
      <c r="I15" s="21" cm="1">
        <f t="array" ref="I15">PRODUCT(1+預測IC!$C15:I15)-1</f>
        <v>0.73813880890025585</v>
      </c>
      <c r="J15" s="21" cm="1">
        <f t="array" ref="J15">PRODUCT(1+預測IC!$C15:J15)-1</f>
        <v>0.62598679276701397</v>
      </c>
      <c r="K15" s="21" cm="1">
        <f t="array" ref="K15">PRODUCT(1+預測IC!$C15:K15)-1</f>
        <v>0.61913976238267221</v>
      </c>
      <c r="L15" s="21" cm="1">
        <f t="array" ref="L15">PRODUCT(1+預測IC!$C15:L15)-1</f>
        <v>0.64013498576751227</v>
      </c>
      <c r="M15" s="21" cm="1">
        <f t="array" ref="M15">PRODUCT(1+預測IC!$C15:M15)-1</f>
        <v>0.33098364611121389</v>
      </c>
      <c r="N15" s="21" cm="1">
        <f t="array" ref="N15">PRODUCT(1+預測IC!$C15:N15)-1</f>
        <v>0.77062032186475071</v>
      </c>
      <c r="O15" s="21" cm="1">
        <f t="array" ref="O15">PRODUCT(1+預測IC!$C15:O15)-1</f>
        <v>0.85225211587384231</v>
      </c>
      <c r="P15" s="21" cm="1">
        <f t="array" ref="P15">PRODUCT(1+預測IC!$C15:P15)-1</f>
        <v>0.73349278021021469</v>
      </c>
      <c r="Q15" s="21" cm="1">
        <f t="array" ref="Q15">PRODUCT(1+預測IC!$C15:Q15)-1</f>
        <v>0.90749523831081946</v>
      </c>
      <c r="R15" s="21" cm="1">
        <f t="array" ref="R15">PRODUCT(1+預測IC!$C15:R15)-1</f>
        <v>0.93945570252776478</v>
      </c>
      <c r="S15" s="21" cm="1">
        <f t="array" ref="S15">PRODUCT(1+預測IC!$C15:S15)-1</f>
        <v>0.41535261996413242</v>
      </c>
      <c r="T15" s="21" cm="1">
        <f t="array" ref="T15">PRODUCT(1+預測IC!$C15:T15)-1</f>
        <v>0.34551954630088821</v>
      </c>
      <c r="U15" s="21" cm="1">
        <f t="array" ref="U15">PRODUCT(1+預測IC!$C15:U15)-1</f>
        <v>0.40847465669689664</v>
      </c>
      <c r="V15" s="21" cm="1">
        <f t="array" ref="V15">PRODUCT(1+預測IC!$C15:V15)-1</f>
        <v>0.2877959847212439</v>
      </c>
      <c r="W15" s="21" cm="1">
        <f t="array" ref="W15">PRODUCT(1+預測IC!$C15:W15)-1</f>
        <v>0.42550593322901631</v>
      </c>
      <c r="X15" s="21" cm="1">
        <f t="array" ref="X15">PRODUCT(1+預測IC!$C15:X15)-1</f>
        <v>0.24469001163701543</v>
      </c>
      <c r="Y15" s="21" cm="1">
        <f t="array" ref="Y15">PRODUCT(1+預測IC!$C15:Y15)-1</f>
        <v>0.21458133366251952</v>
      </c>
      <c r="Z15" s="21" cm="1">
        <f t="array" ref="Z15">PRODUCT(1+預測IC!$C15:Z15)-1</f>
        <v>0.18584895471713225</v>
      </c>
      <c r="AA15" s="21" cm="1">
        <f t="array" ref="AA15">PRODUCT(1+預測IC!$C15:AA15)-1</f>
        <v>0.24109635308355326</v>
      </c>
      <c r="AB15" s="21" cm="1">
        <f t="array" ref="AB15">PRODUCT(1+預測IC!$C15:AB15)-1</f>
        <v>0.14926093199859447</v>
      </c>
      <c r="AC15" s="21" cm="1">
        <f t="array" ref="AC15">PRODUCT(1+預測IC!$C15:AC15)-1</f>
        <v>0.10322751521957718</v>
      </c>
      <c r="AD15" s="21" cm="1">
        <f t="array" ref="AD15">PRODUCT(1+預測IC!$C15:AD15)-1</f>
        <v>0.1470150565896482</v>
      </c>
      <c r="AE15" s="21" cm="1">
        <f t="array" ref="AE15">PRODUCT(1+預測IC!$C15:AE15)-1</f>
        <v>3.0807157476510749E-2</v>
      </c>
      <c r="AF15" s="21" cm="1">
        <f t="array" ref="AF15">PRODUCT(1+預測IC!$C15:AF15)-1</f>
        <v>8.2114037529167794E-2</v>
      </c>
      <c r="AG15" s="21" cm="1">
        <f t="array" ref="AG15">PRODUCT(1+預測IC!$C15:AG15)-1</f>
        <v>7.156883623344612E-2</v>
      </c>
      <c r="AH15" s="21" cm="1">
        <f t="array" ref="AH15">PRODUCT(1+預測IC!$C15:AH15)-1</f>
        <v>5.6029159284155972E-2</v>
      </c>
      <c r="AI15" s="21" cm="1">
        <f t="array" ref="AI15">PRODUCT(1+預測IC!$C15:AI15)-1</f>
        <v>0.13446825955996888</v>
      </c>
      <c r="AJ15" s="21" cm="1">
        <f t="array" ref="AJ15">PRODUCT(1+預測IC!$C15:AJ15)-1</f>
        <v>0.13921419407701219</v>
      </c>
      <c r="AK15" s="21" cm="1">
        <f t="array" ref="AK15">PRODUCT(1+預測IC!$C15:AK15)-1</f>
        <v>9.706543340313134E-2</v>
      </c>
      <c r="AL15" s="21" cm="1">
        <f t="array" ref="AL15">PRODUCT(1+預測IC!$C15:AL15)-1</f>
        <v>0.14155764061777232</v>
      </c>
      <c r="AM15" s="21" cm="1">
        <f t="array" ref="AM15">PRODUCT(1+預測IC!$C15:AM15)-1</f>
        <v>0.14377625789231296</v>
      </c>
      <c r="AN15" s="21" cm="1">
        <f t="array" ref="AN15">PRODUCT(1+預測IC!$C15:AN15)-1</f>
        <v>0.24998950972191425</v>
      </c>
      <c r="AO15" s="21" cm="1">
        <f t="array" ref="AO15">PRODUCT(1+預測IC!$C15:AO15)-1</f>
        <v>0.29461701019485909</v>
      </c>
      <c r="AP15" s="21" cm="1">
        <f t="array" ref="AP15">PRODUCT(1+預測IC!$C15:AP15)-1</f>
        <v>0.18268731500690683</v>
      </c>
      <c r="AQ15" s="21" cm="1">
        <f t="array" ref="AQ15">PRODUCT(1+預測IC!$C15:AQ15)-1</f>
        <v>0.15933243379127093</v>
      </c>
      <c r="AR15" s="21" cm="1">
        <f t="array" ref="AR15">PRODUCT(1+預測IC!$C15:AR15)-1</f>
        <v>0.18779439284057675</v>
      </c>
      <c r="AS15" s="21" cm="1">
        <f t="array" ref="AS15">PRODUCT(1+預測IC!$C15:AS15)-1</f>
        <v>0.123865898164224</v>
      </c>
      <c r="AT15" s="21" cm="1">
        <f t="array" ref="AT15">PRODUCT(1+預測IC!$C15:AT15)-1</f>
        <v>0.19720375684351366</v>
      </c>
      <c r="AU15" s="21" cm="1">
        <f t="array" ref="AU15">PRODUCT(1+預測IC!$C15:AU15)-1</f>
        <v>0.24502397908040408</v>
      </c>
      <c r="AV15" s="21" cm="1">
        <f t="array" ref="AV15">PRODUCT(1+預測IC!$C15:AV15)-1</f>
        <v>0.18622545780706878</v>
      </c>
      <c r="AW15" s="21" cm="1">
        <f t="array" ref="AW15">PRODUCT(1+預測IC!$C15:AW15)-1</f>
        <v>0.20480167641856495</v>
      </c>
      <c r="AX15" s="21" cm="1">
        <f t="array" ref="AX15">PRODUCT(1+預測IC!$C15:AX15)-1</f>
        <v>0.35568378206325035</v>
      </c>
      <c r="AY15" s="21" cm="1">
        <f t="array" ref="AY15">PRODUCT(1+預測IC!$C15:AY15)-1</f>
        <v>0.39379126208511139</v>
      </c>
      <c r="AZ15" s="21" cm="1">
        <f t="array" ref="AZ15">PRODUCT(1+預測IC!$C15:AZ15)-1</f>
        <v>0.26650567230067979</v>
      </c>
      <c r="BA15" s="21" cm="1">
        <f t="array" ref="BA15">PRODUCT(1+預測IC!$C15:BA15)-1</f>
        <v>0.27994774900761943</v>
      </c>
      <c r="BB15" s="21" cm="1">
        <f t="array" ref="BB15">PRODUCT(1+預測IC!$C15:BB15)-1</f>
        <v>0.422280940583178</v>
      </c>
      <c r="BC15" s="21" cm="1">
        <f t="array" ref="BC15">PRODUCT(1+預測IC!$C15:BC15)-1</f>
        <v>0.51068301678114225</v>
      </c>
      <c r="BD15" s="21" cm="1">
        <f t="array" ref="BD15">PRODUCT(1+預測IC!$C15:BD15)-1</f>
        <v>0.57556658096066204</v>
      </c>
      <c r="BE15" s="21" cm="1">
        <f t="array" ref="BE15">PRODUCT(1+預測IC!$C15:BE15)-1</f>
        <v>0.63724452153148436</v>
      </c>
      <c r="BF15" s="21" cm="1">
        <f t="array" ref="BF15">PRODUCT(1+預測IC!$C15:BF15)-1</f>
        <v>0.72103523710019823</v>
      </c>
      <c r="BG15" s="21" cm="1">
        <f t="array" ref="BG15">PRODUCT(1+預測IC!$C15:BG15)-1</f>
        <v>0.72589685544078519</v>
      </c>
      <c r="BH15" s="21" cm="1">
        <f t="array" ref="BH15">PRODUCT(1+預測IC!$C15:BH15)-1</f>
        <v>0.78381197762282495</v>
      </c>
      <c r="BI15" s="21" cm="1">
        <f t="array" ref="BI15">PRODUCT(1+預測IC!$C15:BI15)-1</f>
        <v>0.9061576816572412</v>
      </c>
      <c r="BJ15" s="21" cm="1">
        <f t="array" ref="BJ15">PRODUCT(1+預測IC!$C15:BJ15)-1</f>
        <v>0.87638520911843076</v>
      </c>
      <c r="BK15" s="21" cm="1">
        <f t="array" ref="BK15">PRODUCT(1+預測IC!$C15:BK15)-1</f>
        <v>0.85545156575341563</v>
      </c>
      <c r="BL15" s="21" cm="1">
        <f t="array" ref="BL15">PRODUCT(1+預測IC!$C15:BL15)-1</f>
        <v>0.97187776716113938</v>
      </c>
      <c r="BM15" s="21" cm="1">
        <f t="array" ref="BM15">PRODUCT(1+預測IC!$C15:BM15)-1</f>
        <v>1.1004577700122202</v>
      </c>
      <c r="BN15" s="21" cm="1">
        <f t="array" ref="BN15">PRODUCT(1+預測IC!$C15:BN15)-1</f>
        <v>1.1847755425165563</v>
      </c>
      <c r="BO15" s="21" cm="1">
        <f t="array" ref="BO15">PRODUCT(1+預測IC!$C15:BO15)-1</f>
        <v>1.2453691472674029</v>
      </c>
      <c r="BP15" s="21" cm="1">
        <f t="array" ref="BP15">PRODUCT(1+預測IC!$C15:BP15)-1</f>
        <v>1.2772179588227388</v>
      </c>
      <c r="BQ15" s="21" cm="1">
        <f t="array" ref="BQ15">PRODUCT(1+預測IC!$C15:BQ15)-1</f>
        <v>1.3063730238826468</v>
      </c>
      <c r="BR15" s="21" cm="1">
        <f t="array" ref="BR15">PRODUCT(1+預測IC!$C15:BR15)-1</f>
        <v>1.1906912824082223</v>
      </c>
      <c r="BS15" s="21" cm="1">
        <f t="array" ref="BS15">PRODUCT(1+預測IC!$C15:BS15)-1</f>
        <v>1.1538355798107043</v>
      </c>
      <c r="BT15" s="21" cm="1">
        <f t="array" ref="BT15">PRODUCT(1+預測IC!$C15:BT15)-1</f>
        <v>1.3456566196601134</v>
      </c>
      <c r="BU15" s="21" cm="1">
        <f t="array" ref="BU15">PRODUCT(1+預測IC!$C15:BU15)-1</f>
        <v>1.3913416126813956</v>
      </c>
      <c r="BV15" s="21" cm="1">
        <f t="array" ref="BV15">PRODUCT(1+預測IC!$C15:BV15)-1</f>
        <v>1.5329782343097991</v>
      </c>
      <c r="BW15" s="21" cm="1">
        <f t="array" ref="BW15">PRODUCT(1+預測IC!$C15:BW15)-1</f>
        <v>1.4419280769991278</v>
      </c>
      <c r="BX15" s="21" cm="1">
        <f t="array" ref="BX15">PRODUCT(1+預測IC!$C15:BX15)-1</f>
        <v>1.4924040637499676</v>
      </c>
      <c r="BY15" s="21" cm="1">
        <f t="array" ref="BY15">PRODUCT(1+預測IC!$C15:BY15)-1</f>
        <v>1.2739320920325912</v>
      </c>
      <c r="BZ15" s="21" cm="1">
        <f t="array" ref="BZ15">PRODUCT(1+預測IC!$C15:BZ15)-1</f>
        <v>1.5079344143179374</v>
      </c>
      <c r="CA15" s="21" cm="1">
        <f t="array" ref="CA15">PRODUCT(1+預測IC!$C15:CA15)-1</f>
        <v>1.4613068455308249</v>
      </c>
      <c r="CB15" s="21" cm="1">
        <f t="array" ref="CB15">PRODUCT(1+預測IC!$C15:CB15)-1</f>
        <v>1.4983664818345606</v>
      </c>
      <c r="CC15" s="21" cm="1">
        <f t="array" ref="CC15">PRODUCT(1+預測IC!$C15:CC15)-1</f>
        <v>1.1148615488012661</v>
      </c>
      <c r="CD15" s="21" cm="1">
        <f t="array" ref="CD15">PRODUCT(1+預測IC!$C15:CD15)-1</f>
        <v>1.3689665711831345</v>
      </c>
      <c r="CE15" s="21" cm="1">
        <f t="array" ref="CE15">PRODUCT(1+預測IC!$C15:CE15)-1</f>
        <v>1.0926502851234807</v>
      </c>
      <c r="CF15" s="21" cm="1">
        <f t="array" ref="CF15">PRODUCT(1+預測IC!$C15:CF15)-1</f>
        <v>1.2987135470038744</v>
      </c>
      <c r="CG15" s="21" cm="1">
        <f t="array" ref="CG15">PRODUCT(1+預測IC!$C15:CG15)-1</f>
        <v>1.2888316550272325</v>
      </c>
      <c r="CH15" s="21" cm="1">
        <f t="array" ref="CH15">PRODUCT(1+預測IC!$C15:CH15)-1</f>
        <v>1.4327670270036901</v>
      </c>
      <c r="CI15" s="21" cm="1">
        <f t="array" ref="CI15">PRODUCT(1+預測IC!$C15:CI15)-1</f>
        <v>1.3651286305795138</v>
      </c>
      <c r="CJ15" s="21" cm="1">
        <f t="array" ref="CJ15">PRODUCT(1+預測IC!$C15:CJ15)-1</f>
        <v>1.1592575319015705</v>
      </c>
      <c r="CK15" s="21" cm="1">
        <f t="array" ref="CK15">PRODUCT(1+預測IC!$C15:CK15)-1</f>
        <v>1.2816283691377657</v>
      </c>
      <c r="CL15" s="21" cm="1">
        <f t="array" ref="CL15">PRODUCT(1+預測IC!$C15:CL15)-1</f>
        <v>1.3533216386966984</v>
      </c>
      <c r="CM15" s="21" cm="1">
        <f t="array" ref="CM15">PRODUCT(1+預測IC!$C15:CM15)-1</f>
        <v>1.5289526592018752</v>
      </c>
      <c r="CN15" s="21" cm="1">
        <f t="array" ref="CN15">PRODUCT(1+預測IC!$C15:CN15)-1</f>
        <v>1.4211329986788681</v>
      </c>
      <c r="CO15" s="21" cm="1">
        <f t="array" ref="CO15">PRODUCT(1+預測IC!$C15:CO15)-1</f>
        <v>1.1077196928901558</v>
      </c>
      <c r="CP15" s="21" cm="1">
        <f t="array" ref="CP15">PRODUCT(1+預測IC!$C15:CP15)-1</f>
        <v>1.3765294847813818</v>
      </c>
      <c r="CQ15" s="21" cm="1">
        <f t="array" ref="CQ15">PRODUCT(1+預測IC!$C15:CQ15)-1</f>
        <v>1.4641671569220041</v>
      </c>
      <c r="CR15" s="21" cm="1">
        <f t="array" ref="CR15">PRODUCT(1+預測IC!$C15:CR15)-1</f>
        <v>1.577963928671529</v>
      </c>
      <c r="CS15" s="21" cm="1">
        <f t="array" ref="CS15">PRODUCT(1+預測IC!$C15:CS15)-1</f>
        <v>1.7331191323235511</v>
      </c>
      <c r="CT15" s="21" cm="1">
        <f t="array" ref="CT15">PRODUCT(1+預測IC!$C15:CT15)-1</f>
        <v>1.7533293866643671</v>
      </c>
      <c r="CU15" s="21" cm="1">
        <f t="array" ref="CU15">PRODUCT(1+預測IC!$C15:CU15)-1</f>
        <v>1.5793777257109491</v>
      </c>
      <c r="CV15" s="21" cm="1">
        <f t="array" ref="CV15">PRODUCT(1+預測IC!$C15:CV15)-1</f>
        <v>1.5635355826099584</v>
      </c>
      <c r="CW15" s="21" cm="1">
        <f t="array" ref="CW15">PRODUCT(1+預測IC!$C15:CW15)-1</f>
        <v>1.5240804003040003</v>
      </c>
      <c r="CX15" s="21" cm="1">
        <f t="array" ref="CX15">PRODUCT(1+預測IC!$C15:CX15)-1</f>
        <v>1.5847583012983226</v>
      </c>
      <c r="CY15" s="21" cm="1">
        <f t="array" ref="CY15">PRODUCT(1+預測IC!$C15:CY15)-1</f>
        <v>1.4749818764988492</v>
      </c>
      <c r="CZ15" s="21" cm="1">
        <f t="array" ref="CZ15">PRODUCT(1+預測IC!$C15:CZ15)-1</f>
        <v>1.6659145363626551</v>
      </c>
      <c r="DA15" s="21" cm="1">
        <f t="array" ref="DA15">PRODUCT(1+預測IC!$C15:DA15)-1</f>
        <v>1.5955988132494472</v>
      </c>
      <c r="DB15" s="21" cm="1">
        <f t="array" ref="DB15">PRODUCT(1+預測IC!$C15:DB15)-1</f>
        <v>1.5171426388843239</v>
      </c>
      <c r="DC15" s="21" cm="1">
        <f t="array" ref="DC15">PRODUCT(1+預測IC!$C15:DC15)-1</f>
        <v>1.5796209054839787</v>
      </c>
      <c r="DD15" s="21" cm="1">
        <f t="array" ref="DD15">PRODUCT(1+預測IC!$C15:DD15)-1</f>
        <v>1.4872283964202229</v>
      </c>
      <c r="DE15" s="21" cm="1">
        <f t="array" ref="DE15">PRODUCT(1+預測IC!$C15:DE15)-1</f>
        <v>1.5492815481882816</v>
      </c>
      <c r="DF15" s="21" cm="1">
        <f t="array" ref="DF15">PRODUCT(1+預測IC!$C15:DF15)-1</f>
        <v>1.4412141729807084</v>
      </c>
      <c r="DG15" s="21" cm="1">
        <f t="array" ref="DG15">PRODUCT(1+預測IC!$C15:DG15)-1</f>
        <v>1.4807538637631237</v>
      </c>
      <c r="DH15" s="21" cm="1">
        <f t="array" ref="DH15">PRODUCT(1+預測IC!$C15:DH15)-1</f>
        <v>1.4343414123288012</v>
      </c>
      <c r="DI15" s="21" cm="1">
        <f t="array" ref="DI15">PRODUCT(1+預測IC!$C15:DI15)-1</f>
        <v>1.4058147066168147</v>
      </c>
      <c r="DJ15" s="21" cm="1">
        <f t="array" ref="DJ15">PRODUCT(1+預測IC!$C15:DJ15)-1</f>
        <v>1.2818603706116329</v>
      </c>
      <c r="DK15" s="21" cm="1">
        <f t="array" ref="DK15">PRODUCT(1+預測IC!$C15:DK15)-1</f>
        <v>1.5140963311592528</v>
      </c>
      <c r="DL15" s="21" cm="1">
        <f t="array" ref="DL15">PRODUCT(1+預測IC!$C15:DL15)-1</f>
        <v>1.6715679970473416</v>
      </c>
      <c r="DM15" s="21" cm="1">
        <f t="array" ref="DM15">PRODUCT(1+預測IC!$C15:DM15)-1</f>
        <v>1.6079618451794762</v>
      </c>
      <c r="DN15" s="21" cm="1">
        <f t="array" ref="DN15">PRODUCT(1+預測IC!$C15:DN15)-1</f>
        <v>1.7227030317818133</v>
      </c>
      <c r="DO15" s="21" cm="1">
        <f t="array" ref="DO15">PRODUCT(1+預測IC!$C15:DO15)-1</f>
        <v>1.8487552713828586</v>
      </c>
      <c r="DP15" s="21" cm="1">
        <f t="array" ref="DP15">PRODUCT(1+預測IC!$C15:DP15)-1</f>
        <v>1.9163721927194395</v>
      </c>
      <c r="DQ15" s="21" cm="1">
        <f t="array" ref="DQ15">PRODUCT(1+預測IC!$C15:DQ15)-1</f>
        <v>1.6256909163458899</v>
      </c>
      <c r="DR15" s="21" cm="1">
        <f t="array" ref="DR15">PRODUCT(1+預測IC!$C15:DR15)-1</f>
        <v>1.7301556260174662</v>
      </c>
      <c r="DS15" s="21" cm="1">
        <f t="array" ref="DS15">PRODUCT(1+預測IC!$C15:DS15)-1</f>
        <v>1.5034300796652742</v>
      </c>
      <c r="DT15" s="21" cm="1">
        <f t="array" ref="DT15">PRODUCT(1+預測IC!$C15:DT15)-1</f>
        <v>1.3227734733641379</v>
      </c>
      <c r="DU15" s="21" cm="1">
        <f t="array" ref="DU15">PRODUCT(1+預測IC!$C15:DU15)-1</f>
        <v>1.2164584382986341</v>
      </c>
      <c r="DV15" s="21" cm="1">
        <f t="array" ref="DV15">PRODUCT(1+預測IC!$C15:DV15)-1</f>
        <v>1.5262491924473642</v>
      </c>
      <c r="DW15" s="21" cm="1">
        <f t="array" ref="DW15">PRODUCT(1+預測IC!$C15:DW15)-1</f>
        <v>1.5907661286532644</v>
      </c>
      <c r="DX15" s="21" cm="1">
        <f t="array" ref="DX15">PRODUCT(1+預測IC!$C15:DX15)-1</f>
        <v>1.2834591641614339</v>
      </c>
      <c r="DY15" s="21" cm="1">
        <f t="array" ref="DY15">PRODUCT(1+預測IC!$C15:DY15)-1</f>
        <v>1.5267370004786311</v>
      </c>
      <c r="DZ15" s="21" cm="1">
        <f t="array" ref="DZ15">PRODUCT(1+預測IC!$C15:DZ15)-1</f>
        <v>1.4789305197304312</v>
      </c>
      <c r="EA15" s="21" cm="1">
        <f t="array" ref="EA15">PRODUCT(1+預測IC!$C15:EA15)-1</f>
        <v>1.5588504744383038</v>
      </c>
      <c r="EB15" s="21" cm="1">
        <f t="array" ref="EB15">PRODUCT(1+預測IC!$C15:EB15)-1</f>
        <v>1.6830022483142595</v>
      </c>
      <c r="EC15" s="21" cm="1">
        <f t="array" ref="EC15">PRODUCT(1+預測IC!$C15:EC15)-1</f>
        <v>1.8191283885821043</v>
      </c>
      <c r="ED15" s="21" cm="1">
        <f t="array" ref="ED15">PRODUCT(1+預測IC!$C15:ED15)-1</f>
        <v>1.4995602941487784</v>
      </c>
      <c r="EE15" s="21" cm="1">
        <f t="array" ref="EE15">PRODUCT(1+預測IC!$C15:EE15)-1</f>
        <v>1.4434238193575166</v>
      </c>
      <c r="EF15" s="21" cm="1">
        <f t="array" ref="EF15">PRODUCT(1+預測IC!$C15:EF15)-1</f>
        <v>1.5954250741405382</v>
      </c>
    </row>
    <row r="16" spans="1:137">
      <c r="A16" s="4">
        <v>107</v>
      </c>
      <c r="B16" s="4">
        <v>9</v>
      </c>
      <c r="C16" s="21" cm="1">
        <f t="array" ref="C16">PRODUCT(1+預測IC!$C16:C16)-1</f>
        <v>-2.738364461037901E-2</v>
      </c>
      <c r="D16" s="21" cm="1">
        <f t="array" ref="D16">PRODUCT(1+預測IC!$C16:D16)-1</f>
        <v>0.36963392085182312</v>
      </c>
      <c r="E16" s="21" cm="1">
        <f t="array" ref="E16">PRODUCT(1+預測IC!$C16:E16)-1</f>
        <v>0.36575761496464887</v>
      </c>
      <c r="F16" s="21" cm="1">
        <f t="array" ref="F16">PRODUCT(1+預測IC!$C16:F16)-1</f>
        <v>0.51246669096076691</v>
      </c>
      <c r="G16" s="21" cm="1">
        <f t="array" ref="G16">PRODUCT(1+預測IC!$C16:G16)-1</f>
        <v>0.67734606260174579</v>
      </c>
      <c r="H16" s="21" cm="1">
        <f t="array" ref="H16">PRODUCT(1+預測IC!$C16:H16)-1</f>
        <v>0.79953867317265082</v>
      </c>
      <c r="I16" s="21" cm="1">
        <f t="array" ref="I16">PRODUCT(1+預測IC!$C16:I16)-1</f>
        <v>0.90306724635298496</v>
      </c>
      <c r="J16" s="21" cm="1">
        <f t="array" ref="J16">PRODUCT(1+預測IC!$C16:J16)-1</f>
        <v>0.77233900219159435</v>
      </c>
      <c r="K16" s="21" cm="1">
        <f t="array" ref="K16">PRODUCT(1+預測IC!$C16:K16)-1</f>
        <v>0.80410719417309973</v>
      </c>
      <c r="L16" s="21" cm="1">
        <f t="array" ref="L16">PRODUCT(1+預測IC!$C16:L16)-1</f>
        <v>0.86008242626128895</v>
      </c>
      <c r="M16" s="21" cm="1">
        <f t="array" ref="M16">PRODUCT(1+預測IC!$C16:M16)-1</f>
        <v>0.4975974167128443</v>
      </c>
      <c r="N16" s="21" cm="1">
        <f t="array" ref="N16">PRODUCT(1+預測IC!$C16:N16)-1</f>
        <v>1.0471975310777446</v>
      </c>
      <c r="O16" s="21" cm="1">
        <f t="array" ref="O16">PRODUCT(1+預測IC!$C16:O16)-1</f>
        <v>1.0791770311771023</v>
      </c>
      <c r="P16" s="21" cm="1">
        <f t="array" ref="P16">PRODUCT(1+預測IC!$C16:P16)-1</f>
        <v>0.95225318737349474</v>
      </c>
      <c r="Q16" s="21" cm="1">
        <f t="array" ref="Q16">PRODUCT(1+預測IC!$C16:Q16)-1</f>
        <v>1.1408796734205011</v>
      </c>
      <c r="R16" s="21" cm="1">
        <f t="array" ref="R16">PRODUCT(1+預測IC!$C16:R16)-1</f>
        <v>1.18194697881813</v>
      </c>
      <c r="S16" s="21" cm="1">
        <f t="array" ref="S16">PRODUCT(1+預測IC!$C16:S16)-1</f>
        <v>0.55910016745516855</v>
      </c>
      <c r="T16" s="21" cm="1">
        <f t="array" ref="T16">PRODUCT(1+預測IC!$C16:T16)-1</f>
        <v>0.52288625493227947</v>
      </c>
      <c r="U16" s="21" cm="1">
        <f t="array" ref="U16">PRODUCT(1+預測IC!$C16:U16)-1</f>
        <v>0.59697416360598332</v>
      </c>
      <c r="V16" s="21" cm="1">
        <f t="array" ref="V16">PRODUCT(1+預測IC!$C16:V16)-1</f>
        <v>0.43038544884627772</v>
      </c>
      <c r="W16" s="21" cm="1">
        <f t="array" ref="W16">PRODUCT(1+預測IC!$C16:W16)-1</f>
        <v>0.54248968335557302</v>
      </c>
      <c r="X16" s="21" cm="1">
        <f t="array" ref="X16">PRODUCT(1+預測IC!$C16:X16)-1</f>
        <v>0.3505888754767339</v>
      </c>
      <c r="Y16" s="21" cm="1">
        <f t="array" ref="Y16">PRODUCT(1+預測IC!$C16:Y16)-1</f>
        <v>0.34479680005153668</v>
      </c>
      <c r="Z16" s="21" cm="1">
        <f t="array" ref="Z16">PRODUCT(1+預測IC!$C16:Z16)-1</f>
        <v>0.31779895833743543</v>
      </c>
      <c r="AA16" s="21" cm="1">
        <f t="array" ref="AA16">PRODUCT(1+預測IC!$C16:AA16)-1</f>
        <v>0.38398892515048888</v>
      </c>
      <c r="AB16" s="21" cm="1">
        <f t="array" ref="AB16">PRODUCT(1+預測IC!$C16:AB16)-1</f>
        <v>0.28570356764200189</v>
      </c>
      <c r="AC16" s="21" cm="1">
        <f t="array" ref="AC16">PRODUCT(1+預測IC!$C16:AC16)-1</f>
        <v>0.23293815037002208</v>
      </c>
      <c r="AD16" s="21" cm="1">
        <f t="array" ref="AD16">PRODUCT(1+預測IC!$C16:AD16)-1</f>
        <v>0.27585796032255283</v>
      </c>
      <c r="AE16" s="21" cm="1">
        <f t="array" ref="AE16">PRODUCT(1+預測IC!$C16:AE16)-1</f>
        <v>0.15273465550324872</v>
      </c>
      <c r="AF16" s="21" cm="1">
        <f t="array" ref="AF16">PRODUCT(1+預測IC!$C16:AF16)-1</f>
        <v>0.17003758692723769</v>
      </c>
      <c r="AG16" s="21" cm="1">
        <f t="array" ref="AG16">PRODUCT(1+預測IC!$C16:AG16)-1</f>
        <v>0.16032445489727309</v>
      </c>
      <c r="AH16" s="21" cm="1">
        <f t="array" ref="AH16">PRODUCT(1+預測IC!$C16:AH16)-1</f>
        <v>0.10914434814090646</v>
      </c>
      <c r="AI16" s="21" cm="1">
        <f t="array" ref="AI16">PRODUCT(1+預測IC!$C16:AI16)-1</f>
        <v>0.20954754520592656</v>
      </c>
      <c r="AJ16" s="21" cm="1">
        <f t="array" ref="AJ16">PRODUCT(1+預測IC!$C16:AJ16)-1</f>
        <v>0.18822322198394592</v>
      </c>
      <c r="AK16" s="21" cm="1">
        <f t="array" ref="AK16">PRODUCT(1+預測IC!$C16:AK16)-1</f>
        <v>0.17873367525877493</v>
      </c>
      <c r="AL16" s="21" cm="1">
        <f t="array" ref="AL16">PRODUCT(1+預測IC!$C16:AL16)-1</f>
        <v>0.23612496032149832</v>
      </c>
      <c r="AM16" s="21" cm="1">
        <f t="array" ref="AM16">PRODUCT(1+預測IC!$C16:AM16)-1</f>
        <v>0.26546136461593739</v>
      </c>
      <c r="AN16" s="21" cm="1">
        <f t="array" ref="AN16">PRODUCT(1+預測IC!$C16:AN16)-1</f>
        <v>0.40017757285324551</v>
      </c>
      <c r="AO16" s="21" cm="1">
        <f t="array" ref="AO16">PRODUCT(1+預測IC!$C16:AO16)-1</f>
        <v>0.45624426110186445</v>
      </c>
      <c r="AP16" s="21" cm="1">
        <f t="array" ref="AP16">PRODUCT(1+預測IC!$C16:AP16)-1</f>
        <v>0.34295083396676107</v>
      </c>
      <c r="AQ16" s="21" cm="1">
        <f t="array" ref="AQ16">PRODUCT(1+預測IC!$C16:AQ16)-1</f>
        <v>0.31067629344107539</v>
      </c>
      <c r="AR16" s="21" cm="1">
        <f t="array" ref="AR16">PRODUCT(1+預測IC!$C16:AR16)-1</f>
        <v>0.35326307882896124</v>
      </c>
      <c r="AS16" s="21" cm="1">
        <f t="array" ref="AS16">PRODUCT(1+預測IC!$C16:AS16)-1</f>
        <v>0.26520865169012042</v>
      </c>
      <c r="AT16" s="21" cm="1">
        <f t="array" ref="AT16">PRODUCT(1+預測IC!$C16:AT16)-1</f>
        <v>0.34095307408754416</v>
      </c>
      <c r="AU16" s="21" cm="1">
        <f t="array" ref="AU16">PRODUCT(1+預測IC!$C16:AU16)-1</f>
        <v>0.39704090142480841</v>
      </c>
      <c r="AV16" s="21" cm="1">
        <f t="array" ref="AV16">PRODUCT(1+預測IC!$C16:AV16)-1</f>
        <v>0.38436623837466843</v>
      </c>
      <c r="AW16" s="21" cm="1">
        <f t="array" ref="AW16">PRODUCT(1+預測IC!$C16:AW16)-1</f>
        <v>0.43870666952729653</v>
      </c>
      <c r="AX16" s="21" cm="1">
        <f t="array" ref="AX16">PRODUCT(1+預測IC!$C16:AX16)-1</f>
        <v>0.58377113678032533</v>
      </c>
      <c r="AY16" s="21" cm="1">
        <f t="array" ref="AY16">PRODUCT(1+預測IC!$C16:AY16)-1</f>
        <v>0.63732254063559202</v>
      </c>
      <c r="AZ16" s="21" cm="1">
        <f t="array" ref="AZ16">PRODUCT(1+預測IC!$C16:AZ16)-1</f>
        <v>0.46555163022762991</v>
      </c>
      <c r="BA16" s="21" cm="1">
        <f t="array" ref="BA16">PRODUCT(1+預測IC!$C16:BA16)-1</f>
        <v>0.47992605159389812</v>
      </c>
      <c r="BB16" s="21" cm="1">
        <f t="array" ref="BB16">PRODUCT(1+預測IC!$C16:BB16)-1</f>
        <v>0.63981567003371254</v>
      </c>
      <c r="BC16" s="21" cm="1">
        <f t="array" ref="BC16">PRODUCT(1+預測IC!$C16:BC16)-1</f>
        <v>0.74821116737259152</v>
      </c>
      <c r="BD16" s="21" cm="1">
        <f t="array" ref="BD16">PRODUCT(1+預測IC!$C16:BD16)-1</f>
        <v>0.81103612781578827</v>
      </c>
      <c r="BE16" s="21" cm="1">
        <f t="array" ref="BE16">PRODUCT(1+預測IC!$C16:BE16)-1</f>
        <v>0.90414329603111732</v>
      </c>
      <c r="BF16" s="21" cm="1">
        <f t="array" ref="BF16">PRODUCT(1+預測IC!$C16:BF16)-1</f>
        <v>1.0265188808129726</v>
      </c>
      <c r="BG16" s="21" cm="1">
        <f t="array" ref="BG16">PRODUCT(1+預測IC!$C16:BG16)-1</f>
        <v>1.0545776946393799</v>
      </c>
      <c r="BH16" s="21" cm="1">
        <f t="array" ref="BH16">PRODUCT(1+預測IC!$C16:BH16)-1</f>
        <v>1.043457333821129</v>
      </c>
      <c r="BI16" s="21" cm="1">
        <f t="array" ref="BI16">PRODUCT(1+預測IC!$C16:BI16)-1</f>
        <v>1.1504032270159579</v>
      </c>
      <c r="BJ16" s="21" cm="1">
        <f t="array" ref="BJ16">PRODUCT(1+預測IC!$C16:BJ16)-1</f>
        <v>1.1063117543144059</v>
      </c>
      <c r="BK16" s="21" cm="1">
        <f t="array" ref="BK16">PRODUCT(1+預測IC!$C16:BK16)-1</f>
        <v>1.101840155957861</v>
      </c>
      <c r="BL16" s="21" cm="1">
        <f t="array" ref="BL16">PRODUCT(1+預測IC!$C16:BL16)-1</f>
        <v>1.2502796023188618</v>
      </c>
      <c r="BM16" s="21" cm="1">
        <f t="array" ref="BM16">PRODUCT(1+預測IC!$C16:BM16)-1</f>
        <v>1.4552962138827295</v>
      </c>
      <c r="BN16" s="21" cm="1">
        <f t="array" ref="BN16">PRODUCT(1+預測IC!$C16:BN16)-1</f>
        <v>1.5729192232982969</v>
      </c>
      <c r="BO16" s="21" cm="1">
        <f t="array" ref="BO16">PRODUCT(1+預測IC!$C16:BO16)-1</f>
        <v>1.6292413512279822</v>
      </c>
      <c r="BP16" s="21" cm="1">
        <f t="array" ref="BP16">PRODUCT(1+預測IC!$C16:BP16)-1</f>
        <v>1.6601275699268396</v>
      </c>
      <c r="BQ16" s="21" cm="1">
        <f t="array" ref="BQ16">PRODUCT(1+預測IC!$C16:BQ16)-1</f>
        <v>1.6955403951568004</v>
      </c>
      <c r="BR16" s="21" cm="1">
        <f t="array" ref="BR16">PRODUCT(1+預測IC!$C16:BR16)-1</f>
        <v>1.6246561790496981</v>
      </c>
      <c r="BS16" s="21" cm="1">
        <f t="array" ref="BS16">PRODUCT(1+預測IC!$C16:BS16)-1</f>
        <v>1.59003283507682</v>
      </c>
      <c r="BT16" s="21" cm="1">
        <f t="array" ref="BT16">PRODUCT(1+預測IC!$C16:BT16)-1</f>
        <v>1.8114371073075732</v>
      </c>
      <c r="BU16" s="21" cm="1">
        <f t="array" ref="BU16">PRODUCT(1+預測IC!$C16:BU16)-1</f>
        <v>1.9738400815888317</v>
      </c>
      <c r="BV16" s="21" cm="1">
        <f t="array" ref="BV16">PRODUCT(1+預測IC!$C16:BV16)-1</f>
        <v>2.1635190019450166</v>
      </c>
      <c r="BW16" s="21" cm="1">
        <f t="array" ref="BW16">PRODUCT(1+預測IC!$C16:BW16)-1</f>
        <v>1.9555463288256862</v>
      </c>
      <c r="BX16" s="21" cm="1">
        <f t="array" ref="BX16">PRODUCT(1+預測IC!$C16:BX16)-1</f>
        <v>2.0488211174218023</v>
      </c>
      <c r="BY16" s="21" cm="1">
        <f t="array" ref="BY16">PRODUCT(1+預測IC!$C16:BY16)-1</f>
        <v>1.8129802420125771</v>
      </c>
      <c r="BZ16" s="21" cm="1">
        <f t="array" ref="BZ16">PRODUCT(1+預測IC!$C16:BZ16)-1</f>
        <v>2.1267002503214045</v>
      </c>
      <c r="CA16" s="21" cm="1">
        <f t="array" ref="CA16">PRODUCT(1+預測IC!$C16:CA16)-1</f>
        <v>2.0731833246488294</v>
      </c>
      <c r="CB16" s="21" cm="1">
        <f t="array" ref="CB16">PRODUCT(1+預測IC!$C16:CB16)-1</f>
        <v>2.0687946806011182</v>
      </c>
      <c r="CC16" s="21" cm="1">
        <f t="array" ref="CC16">PRODUCT(1+預測IC!$C16:CC16)-1</f>
        <v>1.580633794322976</v>
      </c>
      <c r="CD16" s="21" cm="1">
        <f t="array" ref="CD16">PRODUCT(1+預測IC!$C16:CD16)-1</f>
        <v>1.9808159584106031</v>
      </c>
      <c r="CE16" s="21" cm="1">
        <f t="array" ref="CE16">PRODUCT(1+預測IC!$C16:CE16)-1</f>
        <v>1.5855744851908802</v>
      </c>
      <c r="CF16" s="21" cm="1">
        <f t="array" ref="CF16">PRODUCT(1+預測IC!$C16:CF16)-1</f>
        <v>1.857580189224322</v>
      </c>
      <c r="CG16" s="21" cm="1">
        <f t="array" ref="CG16">PRODUCT(1+預測IC!$C16:CG16)-1</f>
        <v>1.8760059278573138</v>
      </c>
      <c r="CH16" s="21" cm="1">
        <f t="array" ref="CH16">PRODUCT(1+預測IC!$C16:CH16)-1</f>
        <v>1.9959279397195444</v>
      </c>
      <c r="CI16" s="21" cm="1">
        <f t="array" ref="CI16">PRODUCT(1+預測IC!$C16:CI16)-1</f>
        <v>1.8799559232062468</v>
      </c>
      <c r="CJ16" s="21" cm="1">
        <f t="array" ref="CJ16">PRODUCT(1+預測IC!$C16:CJ16)-1</f>
        <v>1.748850103469926</v>
      </c>
      <c r="CK16" s="21" cm="1">
        <f t="array" ref="CK16">PRODUCT(1+預測IC!$C16:CK16)-1</f>
        <v>1.959062872674953</v>
      </c>
      <c r="CL16" s="21" cm="1">
        <f t="array" ref="CL16">PRODUCT(1+預測IC!$C16:CL16)-1</f>
        <v>2.0182304281250176</v>
      </c>
      <c r="CM16" s="21" cm="1">
        <f t="array" ref="CM16">PRODUCT(1+預測IC!$C16:CM16)-1</f>
        <v>2.2868186133629758</v>
      </c>
      <c r="CN16" s="21" cm="1">
        <f t="array" ref="CN16">PRODUCT(1+預測IC!$C16:CN16)-1</f>
        <v>2.178164557286173</v>
      </c>
      <c r="CO16" s="21" cm="1">
        <f t="array" ref="CO16">PRODUCT(1+預測IC!$C16:CO16)-1</f>
        <v>1.6350839576136704</v>
      </c>
      <c r="CP16" s="21" cm="1">
        <f t="array" ref="CP16">PRODUCT(1+預測IC!$C16:CP16)-1</f>
        <v>1.9977079165761382</v>
      </c>
      <c r="CQ16" s="21" cm="1">
        <f t="array" ref="CQ16">PRODUCT(1+預測IC!$C16:CQ16)-1</f>
        <v>2.1202487493591531</v>
      </c>
      <c r="CR16" s="21" cm="1">
        <f t="array" ref="CR16">PRODUCT(1+預測IC!$C16:CR16)-1</f>
        <v>2.2709560359471102</v>
      </c>
      <c r="CS16" s="21" cm="1">
        <f t="array" ref="CS16">PRODUCT(1+預測IC!$C16:CS16)-1</f>
        <v>2.4833994041368044</v>
      </c>
      <c r="CT16" s="21" cm="1">
        <f t="array" ref="CT16">PRODUCT(1+預測IC!$C16:CT16)-1</f>
        <v>2.5010512049223528</v>
      </c>
      <c r="CU16" s="21" cm="1">
        <f t="array" ref="CU16">PRODUCT(1+預測IC!$C16:CU16)-1</f>
        <v>2.2765870169096112</v>
      </c>
      <c r="CV16" s="21" cm="1">
        <f t="array" ref="CV16">PRODUCT(1+預測IC!$C16:CV16)-1</f>
        <v>2.2180640291706037</v>
      </c>
      <c r="CW16" s="21" cm="1">
        <f t="array" ref="CW16">PRODUCT(1+預測IC!$C16:CW16)-1</f>
        <v>2.1780849192217437</v>
      </c>
      <c r="CX16" s="21" cm="1">
        <f t="array" ref="CX16">PRODUCT(1+預測IC!$C16:CX16)-1</f>
        <v>2.2169855836062053</v>
      </c>
      <c r="CY16" s="21" cm="1">
        <f t="array" ref="CY16">PRODUCT(1+預測IC!$C16:CY16)-1</f>
        <v>2.0589767446887435</v>
      </c>
      <c r="CZ16" s="21" cm="1">
        <f t="array" ref="CZ16">PRODUCT(1+預測IC!$C16:CZ16)-1</f>
        <v>2.3729294977462634</v>
      </c>
      <c r="DA16" s="21" cm="1">
        <f t="array" ref="DA16">PRODUCT(1+預測IC!$C16:DA16)-1</f>
        <v>2.2724000289999249</v>
      </c>
      <c r="DB16" s="21" cm="1">
        <f t="array" ref="DB16">PRODUCT(1+預測IC!$C16:DB16)-1</f>
        <v>2.1326287233724632</v>
      </c>
      <c r="DC16" s="21" cm="1">
        <f t="array" ref="DC16">PRODUCT(1+預測IC!$C16:DC16)-1</f>
        <v>2.2433913300797212</v>
      </c>
      <c r="DD16" s="21" cm="1">
        <f t="array" ref="DD16">PRODUCT(1+預測IC!$C16:DD16)-1</f>
        <v>2.0488622037211437</v>
      </c>
      <c r="DE16" s="21" cm="1">
        <f t="array" ref="DE16">PRODUCT(1+預測IC!$C16:DE16)-1</f>
        <v>1.9537586546359438</v>
      </c>
      <c r="DF16" s="21" cm="1">
        <f t="array" ref="DF16">PRODUCT(1+預測IC!$C16:DF16)-1</f>
        <v>1.8853896771719958</v>
      </c>
      <c r="DG16" s="21" cm="1">
        <f t="array" ref="DG16">PRODUCT(1+預測IC!$C16:DG16)-1</f>
        <v>1.9270920630724562</v>
      </c>
      <c r="DH16" s="21" cm="1">
        <f t="array" ref="DH16">PRODUCT(1+預測IC!$C16:DH16)-1</f>
        <v>1.8710987137819255</v>
      </c>
      <c r="DI16" s="21" cm="1">
        <f t="array" ref="DI16">PRODUCT(1+預測IC!$C16:DI16)-1</f>
        <v>1.8331042422397741</v>
      </c>
      <c r="DJ16" s="21" cm="1">
        <f t="array" ref="DJ16">PRODUCT(1+預測IC!$C16:DJ16)-1</f>
        <v>1.7292903991179269</v>
      </c>
      <c r="DK16" s="21" cm="1">
        <f t="array" ref="DK16">PRODUCT(1+預測IC!$C16:DK16)-1</f>
        <v>2.0939081940324606</v>
      </c>
      <c r="DL16" s="21" cm="1">
        <f t="array" ref="DL16">PRODUCT(1+預測IC!$C16:DL16)-1</f>
        <v>2.3151052264121916</v>
      </c>
      <c r="DM16" s="21" cm="1">
        <f t="array" ref="DM16">PRODUCT(1+預測IC!$C16:DM16)-1</f>
        <v>2.21455493634627</v>
      </c>
      <c r="DN16" s="21" cm="1">
        <f t="array" ref="DN16">PRODUCT(1+預測IC!$C16:DN16)-1</f>
        <v>2.3509737473506913</v>
      </c>
      <c r="DO16" s="21" cm="1">
        <f t="array" ref="DO16">PRODUCT(1+預測IC!$C16:DO16)-1</f>
        <v>2.5266045123030265</v>
      </c>
      <c r="DP16" s="21" cm="1">
        <f t="array" ref="DP16">PRODUCT(1+預測IC!$C16:DP16)-1</f>
        <v>2.5965792176954099</v>
      </c>
      <c r="DQ16" s="21" cm="1">
        <f t="array" ref="DQ16">PRODUCT(1+預測IC!$C16:DQ16)-1</f>
        <v>2.2979420886863853</v>
      </c>
      <c r="DR16" s="21" cm="1">
        <f t="array" ref="DR16">PRODUCT(1+預測IC!$C16:DR16)-1</f>
        <v>2.4799596404286035</v>
      </c>
      <c r="DS16" s="21" cm="1">
        <f t="array" ref="DS16">PRODUCT(1+預測IC!$C16:DS16)-1</f>
        <v>2.1537062380574192</v>
      </c>
      <c r="DT16" s="21" cm="1">
        <f t="array" ref="DT16">PRODUCT(1+預測IC!$C16:DT16)-1</f>
        <v>1.8361490730947883</v>
      </c>
      <c r="DU16" s="21" cm="1">
        <f t="array" ref="DU16">PRODUCT(1+預測IC!$C16:DU16)-1</f>
        <v>1.6532919528253509</v>
      </c>
      <c r="DV16" s="21" cm="1">
        <f t="array" ref="DV16">PRODUCT(1+預測IC!$C16:DV16)-1</f>
        <v>2.0166701878975624</v>
      </c>
      <c r="DW16" s="21" cm="1">
        <f t="array" ref="DW16">PRODUCT(1+預測IC!$C16:DW16)-1</f>
        <v>2.1401054832390702</v>
      </c>
      <c r="DX16" s="21" cm="1">
        <f t="array" ref="DX16">PRODUCT(1+預測IC!$C16:DX16)-1</f>
        <v>1.7466982899451522</v>
      </c>
      <c r="DY16" s="21" cm="1">
        <f t="array" ref="DY16">PRODUCT(1+預測IC!$C16:DY16)-1</f>
        <v>2.0662885426710975</v>
      </c>
      <c r="DZ16" s="21" cm="1">
        <f t="array" ref="DZ16">PRODUCT(1+預測IC!$C16:DZ16)-1</f>
        <v>1.9703839911564827</v>
      </c>
      <c r="EA16" s="21" cm="1">
        <f t="array" ref="EA16">PRODUCT(1+預測IC!$C16:EA16)-1</f>
        <v>2.1089861822310185</v>
      </c>
      <c r="EB16" s="21" cm="1">
        <f t="array" ref="EB16">PRODUCT(1+預測IC!$C16:EB16)-1</f>
        <v>2.3514180316636049</v>
      </c>
      <c r="EC16" s="21" cm="1">
        <f t="array" ref="EC16">PRODUCT(1+預測IC!$C16:EC16)-1</f>
        <v>2.5227346531652457</v>
      </c>
      <c r="ED16" s="21" cm="1">
        <f t="array" ref="ED16">PRODUCT(1+預測IC!$C16:ED16)-1</f>
        <v>2.1161520771951734</v>
      </c>
      <c r="EE16" s="21" cm="1">
        <f t="array" ref="EE16">PRODUCT(1+預測IC!$C16:EE16)-1</f>
        <v>2.0131374818852028</v>
      </c>
      <c r="EF16" s="21" cm="1">
        <f t="array" ref="EF16">PRODUCT(1+預測IC!$C16:EF16)-1</f>
        <v>2.1333433074999015</v>
      </c>
    </row>
    <row r="17" spans="1:136">
      <c r="A17" s="4">
        <v>120</v>
      </c>
      <c r="B17" s="4">
        <v>8</v>
      </c>
      <c r="C17" s="21" cm="1">
        <f t="array" ref="C17">PRODUCT(1+預測IC!$C17:C17)-1</f>
        <v>-4.5056429492109085E-2</v>
      </c>
      <c r="D17" s="21" cm="1">
        <f t="array" ref="D17">PRODUCT(1+預測IC!$C17:D17)-1</f>
        <v>0.37472566288415265</v>
      </c>
      <c r="E17" s="21" cm="1">
        <f t="array" ref="E17">PRODUCT(1+預測IC!$C17:E17)-1</f>
        <v>0.3848697656062039</v>
      </c>
      <c r="F17" s="21" cm="1">
        <f t="array" ref="F17">PRODUCT(1+預測IC!$C17:F17)-1</f>
        <v>0.58812987084375745</v>
      </c>
      <c r="G17" s="21" cm="1">
        <f t="array" ref="G17">PRODUCT(1+預測IC!$C17:G17)-1</f>
        <v>0.77415169145659779</v>
      </c>
      <c r="H17" s="21" cm="1">
        <f t="array" ref="H17">PRODUCT(1+預測IC!$C17:H17)-1</f>
        <v>0.96042830476316032</v>
      </c>
      <c r="I17" s="21" cm="1">
        <f t="array" ref="I17">PRODUCT(1+預測IC!$C17:I17)-1</f>
        <v>1.183378068226546</v>
      </c>
      <c r="J17" s="21" cm="1">
        <f t="array" ref="J17">PRODUCT(1+預測IC!$C17:J17)-1</f>
        <v>0.93163812494938614</v>
      </c>
      <c r="K17" s="21" cm="1">
        <f t="array" ref="K17">PRODUCT(1+預測IC!$C17:K17)-1</f>
        <v>1.0078291762403584</v>
      </c>
      <c r="L17" s="21" cm="1">
        <f t="array" ref="L17">PRODUCT(1+預測IC!$C17:L17)-1</f>
        <v>1.0756433556892295</v>
      </c>
      <c r="M17" s="21" cm="1">
        <f t="array" ref="M17">PRODUCT(1+預測IC!$C17:M17)-1</f>
        <v>0.60459711200453525</v>
      </c>
      <c r="N17" s="21" cm="1">
        <f t="array" ref="N17">PRODUCT(1+預測IC!$C17:N17)-1</f>
        <v>1.2546326400037464</v>
      </c>
      <c r="O17" s="21" cm="1">
        <f t="array" ref="O17">PRODUCT(1+預測IC!$C17:O17)-1</f>
        <v>1.3101690330213986</v>
      </c>
      <c r="P17" s="21" cm="1">
        <f t="array" ref="P17">PRODUCT(1+預測IC!$C17:P17)-1</f>
        <v>1.152128580664149</v>
      </c>
      <c r="Q17" s="21" cm="1">
        <f t="array" ref="Q17">PRODUCT(1+預測IC!$C17:Q17)-1</f>
        <v>1.3811847368096135</v>
      </c>
      <c r="R17" s="21" cm="1">
        <f t="array" ref="R17">PRODUCT(1+預測IC!$C17:R17)-1</f>
        <v>1.3858875766648127</v>
      </c>
      <c r="S17" s="21" cm="1">
        <f t="array" ref="S17">PRODUCT(1+預測IC!$C17:S17)-1</f>
        <v>0.64470341104425755</v>
      </c>
      <c r="T17" s="21" cm="1">
        <f t="array" ref="T17">PRODUCT(1+預測IC!$C17:T17)-1</f>
        <v>0.60603910649364989</v>
      </c>
      <c r="U17" s="21" cm="1">
        <f t="array" ref="U17">PRODUCT(1+預測IC!$C17:U17)-1</f>
        <v>0.6900162815586548</v>
      </c>
      <c r="V17" s="21" cm="1">
        <f t="array" ref="V17">PRODUCT(1+預測IC!$C17:V17)-1</f>
        <v>0.49337422586586221</v>
      </c>
      <c r="W17" s="21" cm="1">
        <f t="array" ref="W17">PRODUCT(1+預測IC!$C17:W17)-1</f>
        <v>0.61156303552111635</v>
      </c>
      <c r="X17" s="21" cm="1">
        <f t="array" ref="X17">PRODUCT(1+預測IC!$C17:X17)-1</f>
        <v>0.35820497673286367</v>
      </c>
      <c r="Y17" s="21" cm="1">
        <f t="array" ref="Y17">PRODUCT(1+預測IC!$C17:Y17)-1</f>
        <v>0.36024109576860841</v>
      </c>
      <c r="Z17" s="21" cm="1">
        <f t="array" ref="Z17">PRODUCT(1+預測IC!$C17:Z17)-1</f>
        <v>0.33084832605069248</v>
      </c>
      <c r="AA17" s="21" cm="1">
        <f t="array" ref="AA17">PRODUCT(1+預測IC!$C17:AA17)-1</f>
        <v>0.41370178579334516</v>
      </c>
      <c r="AB17" s="21" cm="1">
        <f t="array" ref="AB17">PRODUCT(1+預測IC!$C17:AB17)-1</f>
        <v>0.33123437568270653</v>
      </c>
      <c r="AC17" s="21" cm="1">
        <f t="array" ref="AC17">PRODUCT(1+預測IC!$C17:AC17)-1</f>
        <v>0.27692117798493077</v>
      </c>
      <c r="AD17" s="21" cm="1">
        <f t="array" ref="AD17">PRODUCT(1+預測IC!$C17:AD17)-1</f>
        <v>0.36454334960310941</v>
      </c>
      <c r="AE17" s="21" cm="1">
        <f t="array" ref="AE17">PRODUCT(1+預測IC!$C17:AE17)-1</f>
        <v>0.19103016990672583</v>
      </c>
      <c r="AF17" s="21" cm="1">
        <f t="array" ref="AF17">PRODUCT(1+預測IC!$C17:AF17)-1</f>
        <v>0.20104986008983738</v>
      </c>
      <c r="AG17" s="21" cm="1">
        <f t="array" ref="AG17">PRODUCT(1+預測IC!$C17:AG17)-1</f>
        <v>0.19942694146639095</v>
      </c>
      <c r="AH17" s="21" cm="1">
        <f t="array" ref="AH17">PRODUCT(1+預測IC!$C17:AH17)-1</f>
        <v>0.16113778514232702</v>
      </c>
      <c r="AI17" s="21" cm="1">
        <f t="array" ref="AI17">PRODUCT(1+預測IC!$C17:AI17)-1</f>
        <v>0.29451202197492354</v>
      </c>
      <c r="AJ17" s="21" cm="1">
        <f t="array" ref="AJ17">PRODUCT(1+預測IC!$C17:AJ17)-1</f>
        <v>0.28121333815917238</v>
      </c>
      <c r="AK17" s="21" cm="1">
        <f t="array" ref="AK17">PRODUCT(1+預測IC!$C17:AK17)-1</f>
        <v>0.26414165088320329</v>
      </c>
      <c r="AL17" s="21" cm="1">
        <f t="array" ref="AL17">PRODUCT(1+預測IC!$C17:AL17)-1</f>
        <v>0.32826448490625304</v>
      </c>
      <c r="AM17" s="21" cm="1">
        <f t="array" ref="AM17">PRODUCT(1+預測IC!$C17:AM17)-1</f>
        <v>0.36528205386916612</v>
      </c>
      <c r="AN17" s="21" cm="1">
        <f t="array" ref="AN17">PRODUCT(1+預測IC!$C17:AN17)-1</f>
        <v>0.51995092621196415</v>
      </c>
      <c r="AO17" s="21" cm="1">
        <f t="array" ref="AO17">PRODUCT(1+預測IC!$C17:AO17)-1</f>
        <v>0.5666193094565104</v>
      </c>
      <c r="AP17" s="21" cm="1">
        <f t="array" ref="AP17">PRODUCT(1+預測IC!$C17:AP17)-1</f>
        <v>0.44560922487002208</v>
      </c>
      <c r="AQ17" s="21" cm="1">
        <f t="array" ref="AQ17">PRODUCT(1+預測IC!$C17:AQ17)-1</f>
        <v>0.43226570962101252</v>
      </c>
      <c r="AR17" s="21" cm="1">
        <f t="array" ref="AR17">PRODUCT(1+預測IC!$C17:AR17)-1</f>
        <v>0.48239017556097807</v>
      </c>
      <c r="AS17" s="21" cm="1">
        <f t="array" ref="AS17">PRODUCT(1+預測IC!$C17:AS17)-1</f>
        <v>0.39889668054847194</v>
      </c>
      <c r="AT17" s="21" cm="1">
        <f t="array" ref="AT17">PRODUCT(1+預測IC!$C17:AT17)-1</f>
        <v>0.47201394149053821</v>
      </c>
      <c r="AU17" s="21" cm="1">
        <f t="array" ref="AU17">PRODUCT(1+預測IC!$C17:AU17)-1</f>
        <v>0.54951287187504172</v>
      </c>
      <c r="AV17" s="21" cm="1">
        <f t="array" ref="AV17">PRODUCT(1+預測IC!$C17:AV17)-1</f>
        <v>0.51618538664979696</v>
      </c>
      <c r="AW17" s="21" cm="1">
        <f t="array" ref="AW17">PRODUCT(1+預測IC!$C17:AW17)-1</f>
        <v>0.54524152363656064</v>
      </c>
      <c r="AX17" s="21" cm="1">
        <f t="array" ref="AX17">PRODUCT(1+預測IC!$C17:AX17)-1</f>
        <v>0.69395643090233095</v>
      </c>
      <c r="AY17" s="21" cm="1">
        <f t="array" ref="AY17">PRODUCT(1+預測IC!$C17:AY17)-1</f>
        <v>0.74041097827048952</v>
      </c>
      <c r="AZ17" s="21" cm="1">
        <f t="array" ref="AZ17">PRODUCT(1+預測IC!$C17:AZ17)-1</f>
        <v>0.52266672510122891</v>
      </c>
      <c r="BA17" s="21" cm="1">
        <f t="array" ref="BA17">PRODUCT(1+預測IC!$C17:BA17)-1</f>
        <v>0.53762719839578943</v>
      </c>
      <c r="BB17" s="21" cm="1">
        <f t="array" ref="BB17">PRODUCT(1+預測IC!$C17:BB17)-1</f>
        <v>0.72793018802360954</v>
      </c>
      <c r="BC17" s="21" cm="1">
        <f t="array" ref="BC17">PRODUCT(1+預測IC!$C17:BC17)-1</f>
        <v>0.87085864904397403</v>
      </c>
      <c r="BD17" s="21" cm="1">
        <f t="array" ref="BD17">PRODUCT(1+預測IC!$C17:BD17)-1</f>
        <v>0.91268446721648422</v>
      </c>
      <c r="BE17" s="21" cm="1">
        <f t="array" ref="BE17">PRODUCT(1+預測IC!$C17:BE17)-1</f>
        <v>1.0606310740806544</v>
      </c>
      <c r="BF17" s="21" cm="1">
        <f t="array" ref="BF17">PRODUCT(1+預測IC!$C17:BF17)-1</f>
        <v>1.1743727508045261</v>
      </c>
      <c r="BG17" s="21" cm="1">
        <f t="array" ref="BG17">PRODUCT(1+預測IC!$C17:BG17)-1</f>
        <v>1.0974124883191556</v>
      </c>
      <c r="BH17" s="21" cm="1">
        <f t="array" ref="BH17">PRODUCT(1+預測IC!$C17:BH17)-1</f>
        <v>1.0937810602917462</v>
      </c>
      <c r="BI17" s="21" cm="1">
        <f t="array" ref="BI17">PRODUCT(1+預測IC!$C17:BI17)-1</f>
        <v>1.3018304361884332</v>
      </c>
      <c r="BJ17" s="21" cm="1">
        <f t="array" ref="BJ17">PRODUCT(1+預測IC!$C17:BJ17)-1</f>
        <v>1.2791388438023956</v>
      </c>
      <c r="BK17" s="21" cm="1">
        <f t="array" ref="BK17">PRODUCT(1+預測IC!$C17:BK17)-1</f>
        <v>1.2476344168033995</v>
      </c>
      <c r="BL17" s="21" cm="1">
        <f t="array" ref="BL17">PRODUCT(1+預測IC!$C17:BL17)-1</f>
        <v>1.4138049628540403</v>
      </c>
      <c r="BM17" s="21" cm="1">
        <f t="array" ref="BM17">PRODUCT(1+預測IC!$C17:BM17)-1</f>
        <v>1.5972487583220989</v>
      </c>
      <c r="BN17" s="21" cm="1">
        <f t="array" ref="BN17">PRODUCT(1+預測IC!$C17:BN17)-1</f>
        <v>1.7212144531837938</v>
      </c>
      <c r="BO17" s="21" cm="1">
        <f t="array" ref="BO17">PRODUCT(1+預測IC!$C17:BO17)-1</f>
        <v>1.7753287434259963</v>
      </c>
      <c r="BP17" s="21" cm="1">
        <f t="array" ref="BP17">PRODUCT(1+預測IC!$C17:BP17)-1</f>
        <v>1.8498116315707005</v>
      </c>
      <c r="BQ17" s="21" cm="1">
        <f t="array" ref="BQ17">PRODUCT(1+預測IC!$C17:BQ17)-1</f>
        <v>1.8822325433676839</v>
      </c>
      <c r="BR17" s="21" cm="1">
        <f t="array" ref="BR17">PRODUCT(1+預測IC!$C17:BR17)-1</f>
        <v>1.8795868112457041</v>
      </c>
      <c r="BS17" s="21" cm="1">
        <f t="array" ref="BS17">PRODUCT(1+預測IC!$C17:BS17)-1</f>
        <v>1.8677705157144473</v>
      </c>
      <c r="BT17" s="21" cm="1">
        <f t="array" ref="BT17">PRODUCT(1+預測IC!$C17:BT17)-1</f>
        <v>2.1815515809752881</v>
      </c>
      <c r="BU17" s="21" cm="1">
        <f t="array" ref="BU17">PRODUCT(1+預測IC!$C17:BU17)-1</f>
        <v>2.4078484051730684</v>
      </c>
      <c r="BV17" s="21" cm="1">
        <f t="array" ref="BV17">PRODUCT(1+預測IC!$C17:BV17)-1</f>
        <v>2.6615521573301155</v>
      </c>
      <c r="BW17" s="21" cm="1">
        <f t="array" ref="BW17">PRODUCT(1+預測IC!$C17:BW17)-1</f>
        <v>2.3670472465445176</v>
      </c>
      <c r="BX17" s="21" cm="1">
        <f t="array" ref="BX17">PRODUCT(1+預測IC!$C17:BX17)-1</f>
        <v>2.4640955302044367</v>
      </c>
      <c r="BY17" s="21" cm="1">
        <f t="array" ref="BY17">PRODUCT(1+預測IC!$C17:BY17)-1</f>
        <v>2.1170552686781843</v>
      </c>
      <c r="BZ17" s="21" cm="1">
        <f t="array" ref="BZ17">PRODUCT(1+預測IC!$C17:BZ17)-1</f>
        <v>2.4929040447548205</v>
      </c>
      <c r="CA17" s="21" cm="1">
        <f t="array" ref="CA17">PRODUCT(1+預測IC!$C17:CA17)-1</f>
        <v>2.3953303558203043</v>
      </c>
      <c r="CB17" s="21" cm="1">
        <f t="array" ref="CB17">PRODUCT(1+預測IC!$C17:CB17)-1</f>
        <v>2.3907965361084531</v>
      </c>
      <c r="CC17" s="21" cm="1">
        <f t="array" ref="CC17">PRODUCT(1+預測IC!$C17:CC17)-1</f>
        <v>1.7975496439396901</v>
      </c>
      <c r="CD17" s="21" cm="1">
        <f t="array" ref="CD17">PRODUCT(1+預測IC!$C17:CD17)-1</f>
        <v>2.2814131064032201</v>
      </c>
      <c r="CE17" s="21" cm="1">
        <f t="array" ref="CE17">PRODUCT(1+預測IC!$C17:CE17)-1</f>
        <v>1.7067843632555388</v>
      </c>
      <c r="CF17" s="21" cm="1">
        <f t="array" ref="CF17">PRODUCT(1+預測IC!$C17:CF17)-1</f>
        <v>1.9740690263797172</v>
      </c>
      <c r="CG17" s="21" cm="1">
        <f t="array" ref="CG17">PRODUCT(1+預測IC!$C17:CG17)-1</f>
        <v>1.9674599106334201</v>
      </c>
      <c r="CH17" s="21" cm="1">
        <f t="array" ref="CH17">PRODUCT(1+預測IC!$C17:CH17)-1</f>
        <v>2.1414612152418377</v>
      </c>
      <c r="CI17" s="21" cm="1">
        <f t="array" ref="CI17">PRODUCT(1+預測IC!$C17:CI17)-1</f>
        <v>2.0958120611855411</v>
      </c>
      <c r="CJ17" s="21" cm="1">
        <f t="array" ref="CJ17">PRODUCT(1+預測IC!$C17:CJ17)-1</f>
        <v>1.9387233703214513</v>
      </c>
      <c r="CK17" s="21" cm="1">
        <f t="array" ref="CK17">PRODUCT(1+預測IC!$C17:CK17)-1</f>
        <v>2.2083176577511927</v>
      </c>
      <c r="CL17" s="21" cm="1">
        <f t="array" ref="CL17">PRODUCT(1+預測IC!$C17:CL17)-1</f>
        <v>2.178074949380659</v>
      </c>
      <c r="CM17" s="21" cm="1">
        <f t="array" ref="CM17">PRODUCT(1+預測IC!$C17:CM17)-1</f>
        <v>2.605746411873223</v>
      </c>
      <c r="CN17" s="21" cm="1">
        <f t="array" ref="CN17">PRODUCT(1+預測IC!$C17:CN17)-1</f>
        <v>2.5094078587458424</v>
      </c>
      <c r="CO17" s="21" cm="1">
        <f t="array" ref="CO17">PRODUCT(1+預測IC!$C17:CO17)-1</f>
        <v>1.7986172085295125</v>
      </c>
      <c r="CP17" s="21" cm="1">
        <f t="array" ref="CP17">PRODUCT(1+預測IC!$C17:CP17)-1</f>
        <v>2.2132582889083552</v>
      </c>
      <c r="CQ17" s="21" cm="1">
        <f t="array" ref="CQ17">PRODUCT(1+預測IC!$C17:CQ17)-1</f>
        <v>2.3452844307840386</v>
      </c>
      <c r="CR17" s="21" cm="1">
        <f t="array" ref="CR17">PRODUCT(1+預測IC!$C17:CR17)-1</f>
        <v>2.5083257038939273</v>
      </c>
      <c r="CS17" s="21" cm="1">
        <f t="array" ref="CS17">PRODUCT(1+預測IC!$C17:CS17)-1</f>
        <v>2.8347400491746635</v>
      </c>
      <c r="CT17" s="21" cm="1">
        <f t="array" ref="CT17">PRODUCT(1+預測IC!$C17:CT17)-1</f>
        <v>3.0236395602349049</v>
      </c>
      <c r="CU17" s="21" cm="1">
        <f t="array" ref="CU17">PRODUCT(1+預測IC!$C17:CU17)-1</f>
        <v>2.7242473502327975</v>
      </c>
      <c r="CV17" s="21" cm="1">
        <f t="array" ref="CV17">PRODUCT(1+預測IC!$C17:CV17)-1</f>
        <v>2.7386959698230147</v>
      </c>
      <c r="CW17" s="21" cm="1">
        <f t="array" ref="CW17">PRODUCT(1+預測IC!$C17:CW17)-1</f>
        <v>2.6648124062558858</v>
      </c>
      <c r="CX17" s="21" cm="1">
        <f t="array" ref="CX17">PRODUCT(1+預測IC!$C17:CX17)-1</f>
        <v>2.7042912113523325</v>
      </c>
      <c r="CY17" s="21" cm="1">
        <f t="array" ref="CY17">PRODUCT(1+預測IC!$C17:CY17)-1</f>
        <v>2.5213610919307334</v>
      </c>
      <c r="CZ17" s="21" cm="1">
        <f t="array" ref="CZ17">PRODUCT(1+預測IC!$C17:CZ17)-1</f>
        <v>2.958886115244955</v>
      </c>
      <c r="DA17" s="21" cm="1">
        <f t="array" ref="DA17">PRODUCT(1+預測IC!$C17:DA17)-1</f>
        <v>2.785107407958535</v>
      </c>
      <c r="DB17" s="21" cm="1">
        <f t="array" ref="DB17">PRODUCT(1+預測IC!$C17:DB17)-1</f>
        <v>2.6530714653960672</v>
      </c>
      <c r="DC17" s="21" cm="1">
        <f t="array" ref="DC17">PRODUCT(1+預測IC!$C17:DC17)-1</f>
        <v>2.8114813165583574</v>
      </c>
      <c r="DD17" s="21" cm="1">
        <f t="array" ref="DD17">PRODUCT(1+預測IC!$C17:DD17)-1</f>
        <v>2.4869949212029754</v>
      </c>
      <c r="DE17" s="21" cm="1">
        <f t="array" ref="DE17">PRODUCT(1+預測IC!$C17:DE17)-1</f>
        <v>2.3712931844854266</v>
      </c>
      <c r="DF17" s="21" cm="1">
        <f t="array" ref="DF17">PRODUCT(1+預測IC!$C17:DF17)-1</f>
        <v>2.3334289422507282</v>
      </c>
      <c r="DG17" s="21" cm="1">
        <f t="array" ref="DG17">PRODUCT(1+預測IC!$C17:DG17)-1</f>
        <v>2.3565448600156831</v>
      </c>
      <c r="DH17" s="21" cm="1">
        <f t="array" ref="DH17">PRODUCT(1+預測IC!$C17:DH17)-1</f>
        <v>2.2265571188640747</v>
      </c>
      <c r="DI17" s="21" cm="1">
        <f t="array" ref="DI17">PRODUCT(1+預測IC!$C17:DI17)-1</f>
        <v>2.2094781637092877</v>
      </c>
      <c r="DJ17" s="21" cm="1">
        <f t="array" ref="DJ17">PRODUCT(1+預測IC!$C17:DJ17)-1</f>
        <v>2.0639727560555419</v>
      </c>
      <c r="DK17" s="21" cm="1">
        <f t="array" ref="DK17">PRODUCT(1+預測IC!$C17:DK17)-1</f>
        <v>2.5420641207568586</v>
      </c>
      <c r="DL17" s="21" cm="1">
        <f t="array" ref="DL17">PRODUCT(1+預測IC!$C17:DL17)-1</f>
        <v>2.8024610931522917</v>
      </c>
      <c r="DM17" s="21" cm="1">
        <f t="array" ref="DM17">PRODUCT(1+預測IC!$C17:DM17)-1</f>
        <v>2.6037714336590692</v>
      </c>
      <c r="DN17" s="21" cm="1">
        <f t="array" ref="DN17">PRODUCT(1+預測IC!$C17:DN17)-1</f>
        <v>2.7316657959631958</v>
      </c>
      <c r="DO17" s="21" cm="1">
        <f t="array" ref="DO17">PRODUCT(1+預測IC!$C17:DO17)-1</f>
        <v>2.9311284464079748</v>
      </c>
      <c r="DP17" s="21" cm="1">
        <f t="array" ref="DP17">PRODUCT(1+預測IC!$C17:DP17)-1</f>
        <v>2.8647764651196859</v>
      </c>
      <c r="DQ17" s="21" cm="1">
        <f t="array" ref="DQ17">PRODUCT(1+預測IC!$C17:DQ17)-1</f>
        <v>2.4485304984791796</v>
      </c>
      <c r="DR17" s="21" cm="1">
        <f t="array" ref="DR17">PRODUCT(1+預測IC!$C17:DR17)-1</f>
        <v>2.6412509869820604</v>
      </c>
      <c r="DS17" s="21" cm="1">
        <f t="array" ref="DS17">PRODUCT(1+預測IC!$C17:DS17)-1</f>
        <v>2.1885846473949733</v>
      </c>
      <c r="DT17" s="21" cm="1">
        <f t="array" ref="DT17">PRODUCT(1+預測IC!$C17:DT17)-1</f>
        <v>1.8889207850962735</v>
      </c>
      <c r="DU17" s="21" cm="1">
        <f t="array" ref="DU17">PRODUCT(1+預測IC!$C17:DU17)-1</f>
        <v>1.6816964574573374</v>
      </c>
      <c r="DV17" s="21" cm="1">
        <f t="array" ref="DV17">PRODUCT(1+預測IC!$C17:DV17)-1</f>
        <v>1.9975075083825367</v>
      </c>
      <c r="DW17" s="21" cm="1">
        <f t="array" ref="DW17">PRODUCT(1+預測IC!$C17:DW17)-1</f>
        <v>2.1434306204356521</v>
      </c>
      <c r="DX17" s="21" cm="1">
        <f t="array" ref="DX17">PRODUCT(1+預測IC!$C17:DX17)-1</f>
        <v>1.7362338160018149</v>
      </c>
      <c r="DY17" s="21" cm="1">
        <f t="array" ref="DY17">PRODUCT(1+預測IC!$C17:DY17)-1</f>
        <v>2.0183961030081821</v>
      </c>
      <c r="DZ17" s="21" cm="1">
        <f t="array" ref="DZ17">PRODUCT(1+預測IC!$C17:DZ17)-1</f>
        <v>1.87307452059021</v>
      </c>
      <c r="EA17" s="21" cm="1">
        <f t="array" ref="EA17">PRODUCT(1+預測IC!$C17:EA17)-1</f>
        <v>1.9070282965350636</v>
      </c>
      <c r="EB17" s="21" cm="1">
        <f t="array" ref="EB17">PRODUCT(1+預測IC!$C17:EB17)-1</f>
        <v>2.1602314762822559</v>
      </c>
      <c r="EC17" s="21" cm="1">
        <f t="array" ref="EC17">PRODUCT(1+預測IC!$C17:EC17)-1</f>
        <v>2.2121389647332239</v>
      </c>
      <c r="ED17" s="21" cm="1">
        <f t="array" ref="ED17">PRODUCT(1+預測IC!$C17:ED17)-1</f>
        <v>1.7999430182614393</v>
      </c>
      <c r="EE17" s="21" cm="1">
        <f t="array" ref="EE17">PRODUCT(1+預測IC!$C17:EE17)-1</f>
        <v>1.7287870574907975</v>
      </c>
      <c r="EF17" s="21" cm="1">
        <f t="array" ref="EF17">PRODUCT(1+預測IC!$C17:EF17)-1</f>
        <v>1.8589768522231829</v>
      </c>
    </row>
    <row r="18" spans="1:136">
      <c r="A18" s="4">
        <v>137</v>
      </c>
      <c r="B18" s="4">
        <v>7</v>
      </c>
      <c r="C18" s="21" cm="1">
        <f t="array" ref="C18">PRODUCT(1+預測IC!$C18:C18)-1</f>
        <v>-5.3942228163147199E-2</v>
      </c>
      <c r="D18" s="21" cm="1">
        <f t="array" ref="D18">PRODUCT(1+預測IC!$C18:D18)-1</f>
        <v>0.32626325341373463</v>
      </c>
      <c r="E18" s="21" cm="1">
        <f t="array" ref="E18">PRODUCT(1+預測IC!$C18:E18)-1</f>
        <v>0.24801284997711748</v>
      </c>
      <c r="F18" s="21" cm="1">
        <f t="array" ref="F18">PRODUCT(1+預測IC!$C18:F18)-1</f>
        <v>0.51270496505406427</v>
      </c>
      <c r="G18" s="21" cm="1">
        <f t="array" ref="G18">PRODUCT(1+預測IC!$C18:G18)-1</f>
        <v>0.71398354279777432</v>
      </c>
      <c r="H18" s="21" cm="1">
        <f t="array" ref="H18">PRODUCT(1+預測IC!$C18:H18)-1</f>
        <v>0.93429898738900041</v>
      </c>
      <c r="I18" s="21" cm="1">
        <f t="array" ref="I18">PRODUCT(1+預測IC!$C18:I18)-1</f>
        <v>1.196396848785843</v>
      </c>
      <c r="J18" s="21" cm="1">
        <f t="array" ref="J18">PRODUCT(1+預測IC!$C18:J18)-1</f>
        <v>0.92149393656593648</v>
      </c>
      <c r="K18" s="21" cm="1">
        <f t="array" ref="K18">PRODUCT(1+預測IC!$C18:K18)-1</f>
        <v>0.98218487155063916</v>
      </c>
      <c r="L18" s="21" cm="1">
        <f t="array" ref="L18">PRODUCT(1+預測IC!$C18:L18)-1</f>
        <v>1.0746965543678484</v>
      </c>
      <c r="M18" s="21" cm="1">
        <f t="array" ref="M18">PRODUCT(1+預測IC!$C18:M18)-1</f>
        <v>0.548734303165614</v>
      </c>
      <c r="N18" s="21" cm="1">
        <f t="array" ref="N18">PRODUCT(1+預測IC!$C18:N18)-1</f>
        <v>1.2639714427968305</v>
      </c>
      <c r="O18" s="21" cm="1">
        <f t="array" ref="O18">PRODUCT(1+預測IC!$C18:O18)-1</f>
        <v>1.3190406075959125</v>
      </c>
      <c r="P18" s="21" cm="1">
        <f t="array" ref="P18">PRODUCT(1+預測IC!$C18:P18)-1</f>
        <v>1.1331134189349346</v>
      </c>
      <c r="Q18" s="21" cm="1">
        <f t="array" ref="Q18">PRODUCT(1+預測IC!$C18:Q18)-1</f>
        <v>1.3927959039816775</v>
      </c>
      <c r="R18" s="21" cm="1">
        <f t="array" ref="R18">PRODUCT(1+預測IC!$C18:R18)-1</f>
        <v>1.4390404449339727</v>
      </c>
      <c r="S18" s="21" cm="1">
        <f t="array" ref="S18">PRODUCT(1+預測IC!$C18:S18)-1</f>
        <v>0.50310104292824209</v>
      </c>
      <c r="T18" s="21" cm="1">
        <f t="array" ref="T18">PRODUCT(1+預測IC!$C18:T18)-1</f>
        <v>0.49554108886847437</v>
      </c>
      <c r="U18" s="21" cm="1">
        <f t="array" ref="U18">PRODUCT(1+預測IC!$C18:U18)-1</f>
        <v>0.53761600091651918</v>
      </c>
      <c r="V18" s="21" cm="1">
        <f t="array" ref="V18">PRODUCT(1+預測IC!$C18:V18)-1</f>
        <v>0.33579928794822322</v>
      </c>
      <c r="W18" s="21" cm="1">
        <f t="array" ref="W18">PRODUCT(1+預測IC!$C18:W18)-1</f>
        <v>0.43905256550875693</v>
      </c>
      <c r="X18" s="21" cm="1">
        <f t="array" ref="X18">PRODUCT(1+預測IC!$C18:X18)-1</f>
        <v>0.21477877392141953</v>
      </c>
      <c r="Y18" s="21" cm="1">
        <f t="array" ref="Y18">PRODUCT(1+預測IC!$C18:Y18)-1</f>
        <v>0.24419082405577996</v>
      </c>
      <c r="Z18" s="21" cm="1">
        <f t="array" ref="Z18">PRODUCT(1+預測IC!$C18:Z18)-1</f>
        <v>0.2231570672089318</v>
      </c>
      <c r="AA18" s="21" cm="1">
        <f t="array" ref="AA18">PRODUCT(1+預測IC!$C18:AA18)-1</f>
        <v>0.29019288922421271</v>
      </c>
      <c r="AB18" s="21" cm="1">
        <f t="array" ref="AB18">PRODUCT(1+預測IC!$C18:AB18)-1</f>
        <v>0.2105699252586295</v>
      </c>
      <c r="AC18" s="21" cm="1">
        <f t="array" ref="AC18">PRODUCT(1+預測IC!$C18:AC18)-1</f>
        <v>0.12011631338186546</v>
      </c>
      <c r="AD18" s="21" cm="1">
        <f t="array" ref="AD18">PRODUCT(1+預測IC!$C18:AD18)-1</f>
        <v>0.22796767271553553</v>
      </c>
      <c r="AE18" s="21" cm="1">
        <f t="array" ref="AE18">PRODUCT(1+預測IC!$C18:AE18)-1</f>
        <v>5.171840415124862E-2</v>
      </c>
      <c r="AF18" s="21" cm="1">
        <f t="array" ref="AF18">PRODUCT(1+預測IC!$C18:AF18)-1</f>
        <v>4.9878347680442747E-2</v>
      </c>
      <c r="AG18" s="21" cm="1">
        <f t="array" ref="AG18">PRODUCT(1+預測IC!$C18:AG18)-1</f>
        <v>4.0830646062753884E-2</v>
      </c>
      <c r="AH18" s="21" cm="1">
        <f t="array" ref="AH18">PRODUCT(1+預測IC!$C18:AH18)-1</f>
        <v>3.4493620995024177E-3</v>
      </c>
      <c r="AI18" s="21" cm="1">
        <f t="array" ref="AI18">PRODUCT(1+預測IC!$C18:AI18)-1</f>
        <v>0.12194311352211096</v>
      </c>
      <c r="AJ18" s="21" cm="1">
        <f t="array" ref="AJ18">PRODUCT(1+預測IC!$C18:AJ18)-1</f>
        <v>0.11372135410863327</v>
      </c>
      <c r="AK18" s="21" cm="1">
        <f t="array" ref="AK18">PRODUCT(1+預測IC!$C18:AK18)-1</f>
        <v>0.14411624178971327</v>
      </c>
      <c r="AL18" s="21" cm="1">
        <f t="array" ref="AL18">PRODUCT(1+預測IC!$C18:AL18)-1</f>
        <v>0.1965855563333212</v>
      </c>
      <c r="AM18" s="21" cm="1">
        <f t="array" ref="AM18">PRODUCT(1+預測IC!$C18:AM18)-1</f>
        <v>0.20838269333321158</v>
      </c>
      <c r="AN18" s="21" cm="1">
        <f t="array" ref="AN18">PRODUCT(1+預測IC!$C18:AN18)-1</f>
        <v>0.3042009639291654</v>
      </c>
      <c r="AO18" s="21" cm="1">
        <f t="array" ref="AO18">PRODUCT(1+預測IC!$C18:AO18)-1</f>
        <v>0.36506634608592869</v>
      </c>
      <c r="AP18" s="21" cm="1">
        <f t="array" ref="AP18">PRODUCT(1+預測IC!$C18:AP18)-1</f>
        <v>0.25821087461809533</v>
      </c>
      <c r="AQ18" s="21" cm="1">
        <f t="array" ref="AQ18">PRODUCT(1+預測IC!$C18:AQ18)-1</f>
        <v>0.27933389852559443</v>
      </c>
      <c r="AR18" s="21" cm="1">
        <f t="array" ref="AR18">PRODUCT(1+預測IC!$C18:AR18)-1</f>
        <v>0.35826167234718875</v>
      </c>
      <c r="AS18" s="21" cm="1">
        <f t="array" ref="AS18">PRODUCT(1+預測IC!$C18:AS18)-1</f>
        <v>0.24168675690170249</v>
      </c>
      <c r="AT18" s="21" cm="1">
        <f t="array" ref="AT18">PRODUCT(1+預測IC!$C18:AT18)-1</f>
        <v>0.2954836425180758</v>
      </c>
      <c r="AU18" s="21" cm="1">
        <f t="array" ref="AU18">PRODUCT(1+預測IC!$C18:AU18)-1</f>
        <v>0.38398504809458167</v>
      </c>
      <c r="AV18" s="21" cm="1">
        <f t="array" ref="AV18">PRODUCT(1+預測IC!$C18:AV18)-1</f>
        <v>0.34416952010200186</v>
      </c>
      <c r="AW18" s="21" cm="1">
        <f t="array" ref="AW18">PRODUCT(1+預測IC!$C18:AW18)-1</f>
        <v>0.37715279781211786</v>
      </c>
      <c r="AX18" s="21" cm="1">
        <f t="array" ref="AX18">PRODUCT(1+預測IC!$C18:AX18)-1</f>
        <v>0.52528054846574301</v>
      </c>
      <c r="AY18" s="21" cm="1">
        <f t="array" ref="AY18">PRODUCT(1+預測IC!$C18:AY18)-1</f>
        <v>0.57833480678895022</v>
      </c>
      <c r="AZ18" s="21" cm="1">
        <f t="array" ref="AZ18">PRODUCT(1+預測IC!$C18:AZ18)-1</f>
        <v>0.34409558641094184</v>
      </c>
      <c r="BA18" s="21" cm="1">
        <f t="array" ref="BA18">PRODUCT(1+預測IC!$C18:BA18)-1</f>
        <v>0.34340724063440753</v>
      </c>
      <c r="BB18" s="21" cm="1">
        <f t="array" ref="BB18">PRODUCT(1+預測IC!$C18:BB18)-1</f>
        <v>0.52224230278614581</v>
      </c>
      <c r="BC18" s="21" cm="1">
        <f t="array" ref="BC18">PRODUCT(1+預測IC!$C18:BC18)-1</f>
        <v>0.64889525624603084</v>
      </c>
      <c r="BD18" s="21" cm="1">
        <f t="array" ref="BD18">PRODUCT(1+預測IC!$C18:BD18)-1</f>
        <v>0.60929493978812532</v>
      </c>
      <c r="BE18" s="21" cm="1">
        <f t="array" ref="BE18">PRODUCT(1+預測IC!$C18:BE18)-1</f>
        <v>0.7193082943300777</v>
      </c>
      <c r="BF18" s="21" cm="1">
        <f t="array" ref="BF18">PRODUCT(1+預測IC!$C18:BF18)-1</f>
        <v>0.79819795817143313</v>
      </c>
      <c r="BG18" s="21" cm="1">
        <f t="array" ref="BG18">PRODUCT(1+預測IC!$C18:BG18)-1</f>
        <v>0.73627767852226089</v>
      </c>
      <c r="BH18" s="21" cm="1">
        <f t="array" ref="BH18">PRODUCT(1+預測IC!$C18:BH18)-1</f>
        <v>0.78839377539709043</v>
      </c>
      <c r="BI18" s="21" cm="1">
        <f t="array" ref="BI18">PRODUCT(1+預測IC!$C18:BI18)-1</f>
        <v>0.98332870928867178</v>
      </c>
      <c r="BJ18" s="21" cm="1">
        <f t="array" ref="BJ18">PRODUCT(1+預測IC!$C18:BJ18)-1</f>
        <v>0.99514154211431016</v>
      </c>
      <c r="BK18" s="21" cm="1">
        <f t="array" ref="BK18">PRODUCT(1+預測IC!$C18:BK18)-1</f>
        <v>0.89389798204124382</v>
      </c>
      <c r="BL18" s="21" cm="1">
        <f t="array" ref="BL18">PRODUCT(1+預測IC!$C18:BL18)-1</f>
        <v>1.0476023367164897</v>
      </c>
      <c r="BM18" s="21" cm="1">
        <f t="array" ref="BM18">PRODUCT(1+預測IC!$C18:BM18)-1</f>
        <v>1.2580424944963471</v>
      </c>
      <c r="BN18" s="21" cm="1">
        <f t="array" ref="BN18">PRODUCT(1+預測IC!$C18:BN18)-1</f>
        <v>1.3772093088880628</v>
      </c>
      <c r="BO18" s="21" cm="1">
        <f t="array" ref="BO18">PRODUCT(1+預測IC!$C18:BO18)-1</f>
        <v>1.4252943009276335</v>
      </c>
      <c r="BP18" s="21" cm="1">
        <f t="array" ref="BP18">PRODUCT(1+預測IC!$C18:BP18)-1</f>
        <v>1.5389376264568244</v>
      </c>
      <c r="BQ18" s="21" cm="1">
        <f t="array" ref="BQ18">PRODUCT(1+預測IC!$C18:BQ18)-1</f>
        <v>1.5438042217551149</v>
      </c>
      <c r="BR18" s="21" cm="1">
        <f t="array" ref="BR18">PRODUCT(1+預測IC!$C18:BR18)-1</f>
        <v>1.5291819426487852</v>
      </c>
      <c r="BS18" s="21" cm="1">
        <f t="array" ref="BS18">PRODUCT(1+預測IC!$C18:BS18)-1</f>
        <v>1.4748116090967009</v>
      </c>
      <c r="BT18" s="21" cm="1">
        <f t="array" ref="BT18">PRODUCT(1+預測IC!$C18:BT18)-1</f>
        <v>1.8283905859661251</v>
      </c>
      <c r="BU18" s="21" cm="1">
        <f t="array" ref="BU18">PRODUCT(1+預測IC!$C18:BU18)-1</f>
        <v>2.0565779091887855</v>
      </c>
      <c r="BV18" s="21" cm="1">
        <f t="array" ref="BV18">PRODUCT(1+預測IC!$C18:BV18)-1</f>
        <v>2.303926571529145</v>
      </c>
      <c r="BW18" s="21" cm="1">
        <f t="array" ref="BW18">PRODUCT(1+預測IC!$C18:BW18)-1</f>
        <v>2.0220650045645279</v>
      </c>
      <c r="BX18" s="21" cm="1">
        <f t="array" ref="BX18">PRODUCT(1+預測IC!$C18:BX18)-1</f>
        <v>2.0795400714440544</v>
      </c>
      <c r="BY18" s="21" cm="1">
        <f t="array" ref="BY18">PRODUCT(1+預測IC!$C18:BY18)-1</f>
        <v>1.7005257516019618</v>
      </c>
      <c r="BZ18" s="21" cm="1">
        <f t="array" ref="BZ18">PRODUCT(1+預測IC!$C18:BZ18)-1</f>
        <v>2.114570326898177</v>
      </c>
      <c r="CA18" s="21" cm="1">
        <f t="array" ref="CA18">PRODUCT(1+預測IC!$C18:CA18)-1</f>
        <v>2.0644988003303966</v>
      </c>
      <c r="CB18" s="21" cm="1">
        <f t="array" ref="CB18">PRODUCT(1+預測IC!$C18:CB18)-1</f>
        <v>1.9891815204762562</v>
      </c>
      <c r="CC18" s="21" cm="1">
        <f t="array" ref="CC18">PRODUCT(1+預測IC!$C18:CC18)-1</f>
        <v>1.9049659822452929</v>
      </c>
      <c r="CD18" s="21" cm="1">
        <f t="array" ref="CD18">PRODUCT(1+預測IC!$C18:CD18)-1</f>
        <v>2.4677067506031167</v>
      </c>
      <c r="CE18" s="21" cm="1">
        <f t="array" ref="CE18">PRODUCT(1+預測IC!$C18:CE18)-1</f>
        <v>1.8872336712176043</v>
      </c>
      <c r="CF18" s="21" cm="1">
        <f t="array" ref="CF18">PRODUCT(1+預測IC!$C18:CF18)-1</f>
        <v>2.0877166835113115</v>
      </c>
      <c r="CG18" s="21" cm="1">
        <f t="array" ref="CG18">PRODUCT(1+預測IC!$C18:CG18)-1</f>
        <v>2.079066880777575</v>
      </c>
      <c r="CH18" s="21" cm="1">
        <f t="array" ref="CH18">PRODUCT(1+預測IC!$C18:CH18)-1</f>
        <v>2.5798988061573267</v>
      </c>
      <c r="CI18" s="21" cm="1">
        <f t="array" ref="CI18">PRODUCT(1+預測IC!$C18:CI18)-1</f>
        <v>2.4203570844779927</v>
      </c>
      <c r="CJ18" s="21" cm="1">
        <f t="array" ref="CJ18">PRODUCT(1+預測IC!$C18:CJ18)-1</f>
        <v>2.2072220550696837</v>
      </c>
      <c r="CK18" s="21" cm="1">
        <f t="array" ref="CK18">PRODUCT(1+預測IC!$C18:CK18)-1</f>
        <v>2.4980137725361971</v>
      </c>
      <c r="CL18" s="21" cm="1">
        <f t="array" ref="CL18">PRODUCT(1+預測IC!$C18:CL18)-1</f>
        <v>2.3896119171180064</v>
      </c>
      <c r="CM18" s="21" cm="1">
        <f t="array" ref="CM18">PRODUCT(1+預測IC!$C18:CM18)-1</f>
        <v>2.930715319600667</v>
      </c>
      <c r="CN18" s="21" cm="1">
        <f t="array" ref="CN18">PRODUCT(1+預測IC!$C18:CN18)-1</f>
        <v>2.78135978379435</v>
      </c>
      <c r="CO18" s="21" cm="1">
        <f t="array" ref="CO18">PRODUCT(1+預測IC!$C18:CO18)-1</f>
        <v>1.9056956324702612</v>
      </c>
      <c r="CP18" s="21" cm="1">
        <f t="array" ref="CP18">PRODUCT(1+預測IC!$C18:CP18)-1</f>
        <v>2.3788565201358454</v>
      </c>
      <c r="CQ18" s="21" cm="1">
        <f t="array" ref="CQ18">PRODUCT(1+預測IC!$C18:CQ18)-1</f>
        <v>2.5409623529924552</v>
      </c>
      <c r="CR18" s="21" cm="1">
        <f t="array" ref="CR18">PRODUCT(1+預測IC!$C18:CR18)-1</f>
        <v>2.7362681283147139</v>
      </c>
      <c r="CS18" s="21" cm="1">
        <f t="array" ref="CS18">PRODUCT(1+預測IC!$C18:CS18)-1</f>
        <v>3.0613874608876301</v>
      </c>
      <c r="CT18" s="21" cm="1">
        <f t="array" ref="CT18">PRODUCT(1+預測IC!$C18:CT18)-1</f>
        <v>3.44702037973257</v>
      </c>
      <c r="CU18" s="21" cm="1">
        <f t="array" ref="CU18">PRODUCT(1+預測IC!$C18:CU18)-1</f>
        <v>3.1283971897622802</v>
      </c>
      <c r="CV18" s="21" cm="1">
        <f t="array" ref="CV18">PRODUCT(1+預測IC!$C18:CV18)-1</f>
        <v>3.5042476350769691</v>
      </c>
      <c r="CW18" s="21" cm="1">
        <f t="array" ref="CW18">PRODUCT(1+預測IC!$C18:CW18)-1</f>
        <v>3.4661593316709451</v>
      </c>
      <c r="CX18" s="21" cm="1">
        <f t="array" ref="CX18">PRODUCT(1+預測IC!$C18:CX18)-1</f>
        <v>3.7410969300918699</v>
      </c>
      <c r="CY18" s="21" cm="1">
        <f t="array" ref="CY18">PRODUCT(1+預測IC!$C18:CY18)-1</f>
        <v>3.4976064533067923</v>
      </c>
      <c r="CZ18" s="21" cm="1">
        <f t="array" ref="CZ18">PRODUCT(1+預測IC!$C18:CZ18)-1</f>
        <v>4.0950813725685906</v>
      </c>
      <c r="DA18" s="21" cm="1">
        <f t="array" ref="DA18">PRODUCT(1+預測IC!$C18:DA18)-1</f>
        <v>3.8536716302120961</v>
      </c>
      <c r="DB18" s="21" cm="1">
        <f t="array" ref="DB18">PRODUCT(1+預測IC!$C18:DB18)-1</f>
        <v>3.6316879453461715</v>
      </c>
      <c r="DC18" s="21" cm="1">
        <f t="array" ref="DC18">PRODUCT(1+預測IC!$C18:DC18)-1</f>
        <v>3.8003220597036504</v>
      </c>
      <c r="DD18" s="21" cm="1">
        <f t="array" ref="DD18">PRODUCT(1+預測IC!$C18:DD18)-1</f>
        <v>3.4044762051245332</v>
      </c>
      <c r="DE18" s="21" cm="1">
        <f t="array" ref="DE18">PRODUCT(1+預測IC!$C18:DE18)-1</f>
        <v>3.2511944974013884</v>
      </c>
      <c r="DF18" s="21" cm="1">
        <f t="array" ref="DF18">PRODUCT(1+預測IC!$C18:DF18)-1</f>
        <v>3.1022208290681217</v>
      </c>
      <c r="DG18" s="21" cm="1">
        <f t="array" ref="DG18">PRODUCT(1+預測IC!$C18:DG18)-1</f>
        <v>3.0709640675743763</v>
      </c>
      <c r="DH18" s="21" cm="1">
        <f t="array" ref="DH18">PRODUCT(1+預測IC!$C18:DH18)-1</f>
        <v>2.9568223231129518</v>
      </c>
      <c r="DI18" s="21" cm="1">
        <f t="array" ref="DI18">PRODUCT(1+預測IC!$C18:DI18)-1</f>
        <v>2.8930595984152387</v>
      </c>
      <c r="DJ18" s="21" cm="1">
        <f t="array" ref="DJ18">PRODUCT(1+預測IC!$C18:DJ18)-1</f>
        <v>2.7170775774419731</v>
      </c>
      <c r="DK18" s="21" cm="1">
        <f t="array" ref="DK18">PRODUCT(1+預測IC!$C18:DK18)-1</f>
        <v>3.3062850264262336</v>
      </c>
      <c r="DL18" s="21" cm="1">
        <f t="array" ref="DL18">PRODUCT(1+預測IC!$C18:DL18)-1</f>
        <v>3.656806907931335</v>
      </c>
      <c r="DM18" s="21" cm="1">
        <f t="array" ref="DM18">PRODUCT(1+預測IC!$C18:DM18)-1</f>
        <v>3.3470913387367105</v>
      </c>
      <c r="DN18" s="21" cm="1">
        <f t="array" ref="DN18">PRODUCT(1+預測IC!$C18:DN18)-1</f>
        <v>3.2743989988173441</v>
      </c>
      <c r="DO18" s="21" cm="1">
        <f t="array" ref="DO18">PRODUCT(1+預測IC!$C18:DO18)-1</f>
        <v>3.4543721734970561</v>
      </c>
      <c r="DP18" s="21" cm="1">
        <f t="array" ref="DP18">PRODUCT(1+預測IC!$C18:DP18)-1</f>
        <v>3.3625912314554176</v>
      </c>
      <c r="DQ18" s="21" cm="1">
        <f t="array" ref="DQ18">PRODUCT(1+預測IC!$C18:DQ18)-1</f>
        <v>2.9231592903500276</v>
      </c>
      <c r="DR18" s="21" cm="1">
        <f t="array" ref="DR18">PRODUCT(1+預測IC!$C18:DR18)-1</f>
        <v>3.2246174189952264</v>
      </c>
      <c r="DS18" s="21" cm="1">
        <f t="array" ref="DS18">PRODUCT(1+預測IC!$C18:DS18)-1</f>
        <v>2.6005484911672503</v>
      </c>
      <c r="DT18" s="21" cm="1">
        <f t="array" ref="DT18">PRODUCT(1+預測IC!$C18:DT18)-1</f>
        <v>2.1828222522540095</v>
      </c>
      <c r="DU18" s="21" cm="1">
        <f t="array" ref="DU18">PRODUCT(1+預測IC!$C18:DU18)-1</f>
        <v>1.8744220978721446</v>
      </c>
      <c r="DV18" s="21" cm="1">
        <f t="array" ref="DV18">PRODUCT(1+預測IC!$C18:DV18)-1</f>
        <v>2.178077798239709</v>
      </c>
      <c r="DW18" s="21" cm="1">
        <f t="array" ref="DW18">PRODUCT(1+預測IC!$C18:DW18)-1</f>
        <v>2.4383899946715237</v>
      </c>
      <c r="DX18" s="21" cm="1">
        <f t="array" ref="DX18">PRODUCT(1+預測IC!$C18:DX18)-1</f>
        <v>1.9102430538127706</v>
      </c>
      <c r="DY18" s="21" cm="1">
        <f t="array" ref="DY18">PRODUCT(1+預測IC!$C18:DY18)-1</f>
        <v>2.1937823216686421</v>
      </c>
      <c r="DZ18" s="21" cm="1">
        <f t="array" ref="DZ18">PRODUCT(1+預測IC!$C18:DZ18)-1</f>
        <v>1.9525995083511321</v>
      </c>
      <c r="EA18" s="21" cm="1">
        <f t="array" ref="EA18">PRODUCT(1+預測IC!$C18:EA18)-1</f>
        <v>1.9338163613209063</v>
      </c>
      <c r="EB18" s="21" cm="1">
        <f t="array" ref="EB18">PRODUCT(1+預測IC!$C18:EB18)-1</f>
        <v>2.2267472986523345</v>
      </c>
      <c r="EC18" s="21" cm="1">
        <f t="array" ref="EC18">PRODUCT(1+預測IC!$C18:EC18)-1</f>
        <v>2.2455361560143605</v>
      </c>
      <c r="ED18" s="21" cm="1">
        <f t="array" ref="ED18">PRODUCT(1+預測IC!$C18:ED18)-1</f>
        <v>1.8558205080401318</v>
      </c>
      <c r="EE18" s="21" cm="1">
        <f t="array" ref="EE18">PRODUCT(1+預測IC!$C18:EE18)-1</f>
        <v>1.8162566733263921</v>
      </c>
      <c r="EF18" s="21" cm="1">
        <f t="array" ref="EF18">PRODUCT(1+預測IC!$C18:EF18)-1</f>
        <v>1.9541265669564103</v>
      </c>
    </row>
    <row r="19" spans="1:136">
      <c r="A19" s="4">
        <v>160</v>
      </c>
      <c r="B19" s="4">
        <v>6</v>
      </c>
      <c r="C19" s="21" cm="1">
        <f t="array" ref="C19">PRODUCT(1+預測IC!$C19:C19)-1</f>
        <v>-7.7959416087486244E-2</v>
      </c>
      <c r="D19" s="21" cm="1">
        <f t="array" ref="D19">PRODUCT(1+預測IC!$C19:D19)-1</f>
        <v>0.29779179205598671</v>
      </c>
      <c r="E19" s="21" cm="1">
        <f t="array" ref="E19">PRODUCT(1+預測IC!$C19:E19)-1</f>
        <v>0.23536770635759097</v>
      </c>
      <c r="F19" s="21" cm="1">
        <f t="array" ref="F19">PRODUCT(1+預測IC!$C19:F19)-1</f>
        <v>0.52712552704115168</v>
      </c>
      <c r="G19" s="21" cm="1">
        <f t="array" ref="G19">PRODUCT(1+預測IC!$C19:G19)-1</f>
        <v>0.76056982525321848</v>
      </c>
      <c r="H19" s="21" cm="1">
        <f t="array" ref="H19">PRODUCT(1+預測IC!$C19:H19)-1</f>
        <v>1.073264925344747</v>
      </c>
      <c r="I19" s="21" cm="1">
        <f t="array" ref="I19">PRODUCT(1+預測IC!$C19:I19)-1</f>
        <v>1.3524390307743199</v>
      </c>
      <c r="J19" s="21" cm="1">
        <f t="array" ref="J19">PRODUCT(1+預測IC!$C19:J19)-1</f>
        <v>0.98491944136230702</v>
      </c>
      <c r="K19" s="21" cm="1">
        <f t="array" ref="K19">PRODUCT(1+預測IC!$C19:K19)-1</f>
        <v>1.0971457941172109</v>
      </c>
      <c r="L19" s="21" cm="1">
        <f t="array" ref="L19">PRODUCT(1+預測IC!$C19:L19)-1</f>
        <v>1.160817587096703</v>
      </c>
      <c r="M19" s="21" cm="1">
        <f t="array" ref="M19">PRODUCT(1+預測IC!$C19:M19)-1</f>
        <v>0.59567375400478606</v>
      </c>
      <c r="N19" s="21" cm="1">
        <f t="array" ref="N19">PRODUCT(1+預測IC!$C19:N19)-1</f>
        <v>1.4451697709562068</v>
      </c>
      <c r="O19" s="21" cm="1">
        <f t="array" ref="O19">PRODUCT(1+預測IC!$C19:O19)-1</f>
        <v>1.3967627450005868</v>
      </c>
      <c r="P19" s="21" cm="1">
        <f t="array" ref="P19">PRODUCT(1+預測IC!$C19:P19)-1</f>
        <v>1.1749802549093635</v>
      </c>
      <c r="Q19" s="21" cm="1">
        <f t="array" ref="Q19">PRODUCT(1+預測IC!$C19:Q19)-1</f>
        <v>1.5457368140756516</v>
      </c>
      <c r="R19" s="21" cm="1">
        <f t="array" ref="R19">PRODUCT(1+預測IC!$C19:R19)-1</f>
        <v>1.6525126532684267</v>
      </c>
      <c r="S19" s="21" cm="1">
        <f t="array" ref="S19">PRODUCT(1+預測IC!$C19:S19)-1</f>
        <v>1.2106821155008105</v>
      </c>
      <c r="T19" s="21" cm="1">
        <f t="array" ref="T19">PRODUCT(1+預測IC!$C19:T19)-1</f>
        <v>0.96855310388337279</v>
      </c>
      <c r="U19" s="21" cm="1">
        <f t="array" ref="U19">PRODUCT(1+預測IC!$C19:U19)-1</f>
        <v>1.05553198231754</v>
      </c>
      <c r="V19" s="21" cm="1">
        <f t="array" ref="V19">PRODUCT(1+預測IC!$C19:V19)-1</f>
        <v>0.81157425229415625</v>
      </c>
      <c r="W19" s="21" cm="1">
        <f t="array" ref="W19">PRODUCT(1+預測IC!$C19:W19)-1</f>
        <v>0.94276091141924789</v>
      </c>
      <c r="X19" s="21" cm="1">
        <f t="array" ref="X19">PRODUCT(1+預測IC!$C19:X19)-1</f>
        <v>0.70946195402696133</v>
      </c>
      <c r="Y19" s="21" cm="1">
        <f t="array" ref="Y19">PRODUCT(1+預測IC!$C19:Y19)-1</f>
        <v>0.75059531247508393</v>
      </c>
      <c r="Z19" s="21" cm="1">
        <f t="array" ref="Z19">PRODUCT(1+預測IC!$C19:Z19)-1</f>
        <v>0.71169183284595006</v>
      </c>
      <c r="AA19" s="21" cm="1">
        <f t="array" ref="AA19">PRODUCT(1+預測IC!$C19:AA19)-1</f>
        <v>0.79265770935928481</v>
      </c>
      <c r="AB19" s="21" cm="1">
        <f t="array" ref="AB19">PRODUCT(1+預測IC!$C19:AB19)-1</f>
        <v>0.68373134529434121</v>
      </c>
      <c r="AC19" s="21" cm="1">
        <f t="array" ref="AC19">PRODUCT(1+預測IC!$C19:AC19)-1</f>
        <v>0.54311817007666563</v>
      </c>
      <c r="AD19" s="21" cm="1">
        <f t="array" ref="AD19">PRODUCT(1+預測IC!$C19:AD19)-1</f>
        <v>0.69124645539047336</v>
      </c>
      <c r="AE19" s="21" cm="1">
        <f t="array" ref="AE19">PRODUCT(1+預測IC!$C19:AE19)-1</f>
        <v>0.40472214274174512</v>
      </c>
      <c r="AF19" s="21" cm="1">
        <f t="array" ref="AF19">PRODUCT(1+預測IC!$C19:AF19)-1</f>
        <v>0.40509275526707178</v>
      </c>
      <c r="AG19" s="21" cm="1">
        <f t="array" ref="AG19">PRODUCT(1+預測IC!$C19:AG19)-1</f>
        <v>0.43220893780459346</v>
      </c>
      <c r="AH19" s="21" cm="1">
        <f t="array" ref="AH19">PRODUCT(1+預測IC!$C19:AH19)-1</f>
        <v>0.40916278638340042</v>
      </c>
      <c r="AI19" s="21" cm="1">
        <f t="array" ref="AI19">PRODUCT(1+預測IC!$C19:AI19)-1</f>
        <v>0.53817070003494294</v>
      </c>
      <c r="AJ19" s="21" cm="1">
        <f t="array" ref="AJ19">PRODUCT(1+預測IC!$C19:AJ19)-1</f>
        <v>0.55688459749513464</v>
      </c>
      <c r="AK19" s="21" cm="1">
        <f t="array" ref="AK19">PRODUCT(1+預測IC!$C19:AK19)-1</f>
        <v>0.633266393771311</v>
      </c>
      <c r="AL19" s="21" cm="1">
        <f t="array" ref="AL19">PRODUCT(1+預測IC!$C19:AL19)-1</f>
        <v>0.74803756779396724</v>
      </c>
      <c r="AM19" s="21" cm="1">
        <f t="array" ref="AM19">PRODUCT(1+預測IC!$C19:AM19)-1</f>
        <v>0.76644877347675733</v>
      </c>
      <c r="AN19" s="21" cm="1">
        <f t="array" ref="AN19">PRODUCT(1+預測IC!$C19:AN19)-1</f>
        <v>0.91406788456056121</v>
      </c>
      <c r="AO19" s="21" cm="1">
        <f t="array" ref="AO19">PRODUCT(1+預測IC!$C19:AO19)-1</f>
        <v>1.0245992436789657</v>
      </c>
      <c r="AP19" s="21" cm="1">
        <f t="array" ref="AP19">PRODUCT(1+預測IC!$C19:AP19)-1</f>
        <v>0.84729674600869864</v>
      </c>
      <c r="AQ19" s="21" cm="1">
        <f t="array" ref="AQ19">PRODUCT(1+預測IC!$C19:AQ19)-1</f>
        <v>0.9487647537906736</v>
      </c>
      <c r="AR19" s="21" cm="1">
        <f t="array" ref="AR19">PRODUCT(1+預測IC!$C19:AR19)-1</f>
        <v>1.0941754086301465</v>
      </c>
      <c r="AS19" s="21" cm="1">
        <f t="array" ref="AS19">PRODUCT(1+預測IC!$C19:AS19)-1</f>
        <v>0.88937142986833995</v>
      </c>
      <c r="AT19" s="21" cm="1">
        <f t="array" ref="AT19">PRODUCT(1+預測IC!$C19:AT19)-1</f>
        <v>0.98250796005233676</v>
      </c>
      <c r="AU19" s="21" cm="1">
        <f t="array" ref="AU19">PRODUCT(1+預測IC!$C19:AU19)-1</f>
        <v>1.1340284973312329</v>
      </c>
      <c r="AV19" s="21" cm="1">
        <f t="array" ref="AV19">PRODUCT(1+預測IC!$C19:AV19)-1</f>
        <v>1.030606857503586</v>
      </c>
      <c r="AW19" s="21" cm="1">
        <f t="array" ref="AW19">PRODUCT(1+預測IC!$C19:AW19)-1</f>
        <v>1.0760034458648788</v>
      </c>
      <c r="AX19" s="21" cm="1">
        <f t="array" ref="AX19">PRODUCT(1+預測IC!$C19:AX19)-1</f>
        <v>1.2425122383537621</v>
      </c>
      <c r="AY19" s="21" cm="1">
        <f t="array" ref="AY19">PRODUCT(1+預測IC!$C19:AY19)-1</f>
        <v>1.3087313158469023</v>
      </c>
      <c r="AZ19" s="21" cm="1">
        <f t="array" ref="AZ19">PRODUCT(1+預測IC!$C19:AZ19)-1</f>
        <v>0.87727648908852651</v>
      </c>
      <c r="BA19" s="21" cm="1">
        <f t="array" ref="BA19">PRODUCT(1+預測IC!$C19:BA19)-1</f>
        <v>0.81276597766777892</v>
      </c>
      <c r="BB19" s="21" cm="1">
        <f t="array" ref="BB19">PRODUCT(1+預測IC!$C19:BB19)-1</f>
        <v>1.1023484524080271</v>
      </c>
      <c r="BC19" s="21" cm="1">
        <f t="array" ref="BC19">PRODUCT(1+預測IC!$C19:BC19)-1</f>
        <v>1.2370154049961744</v>
      </c>
      <c r="BD19" s="21" cm="1">
        <f t="array" ref="BD19">PRODUCT(1+預測IC!$C19:BD19)-1</f>
        <v>1.2297800188569057</v>
      </c>
      <c r="BE19" s="21" cm="1">
        <f t="array" ref="BE19">PRODUCT(1+預測IC!$C19:BE19)-1</f>
        <v>1.3498926888703018</v>
      </c>
      <c r="BF19" s="21" cm="1">
        <f t="array" ref="BF19">PRODUCT(1+預測IC!$C19:BF19)-1</f>
        <v>1.3817830218042104</v>
      </c>
      <c r="BG19" s="21" cm="1">
        <f t="array" ref="BG19">PRODUCT(1+預測IC!$C19:BG19)-1</f>
        <v>1.342855973872878</v>
      </c>
      <c r="BH19" s="21" cm="1">
        <f t="array" ref="BH19">PRODUCT(1+預測IC!$C19:BH19)-1</f>
        <v>1.3475843297855561</v>
      </c>
      <c r="BI19" s="21" cm="1">
        <f t="array" ref="BI19">PRODUCT(1+預測IC!$C19:BI19)-1</f>
        <v>1.6476023881696347</v>
      </c>
      <c r="BJ19" s="21" cm="1">
        <f t="array" ref="BJ19">PRODUCT(1+預測IC!$C19:BJ19)-1</f>
        <v>1.7050746915638952</v>
      </c>
      <c r="BK19" s="21" cm="1">
        <f t="array" ref="BK19">PRODUCT(1+預測IC!$C19:BK19)-1</f>
        <v>1.5650883582320212</v>
      </c>
      <c r="BL19" s="21" cm="1">
        <f t="array" ref="BL19">PRODUCT(1+預測IC!$C19:BL19)-1</f>
        <v>1.7702047719136194</v>
      </c>
      <c r="BM19" s="21" cm="1">
        <f t="array" ref="BM19">PRODUCT(1+預測IC!$C19:BM19)-1</f>
        <v>2.0867023299442531</v>
      </c>
      <c r="BN19" s="21" cm="1">
        <f t="array" ref="BN19">PRODUCT(1+預測IC!$C19:BN19)-1</f>
        <v>2.2942912335763999</v>
      </c>
      <c r="BO19" s="21" cm="1">
        <f t="array" ref="BO19">PRODUCT(1+預測IC!$C19:BO19)-1</f>
        <v>2.3790499251210964</v>
      </c>
      <c r="BP19" s="21" cm="1">
        <f t="array" ref="BP19">PRODUCT(1+預測IC!$C19:BP19)-1</f>
        <v>2.5055151358916188</v>
      </c>
      <c r="BQ19" s="21" cm="1">
        <f t="array" ref="BQ19">PRODUCT(1+預測IC!$C19:BQ19)-1</f>
        <v>2.5403390790868681</v>
      </c>
      <c r="BR19" s="21" cm="1">
        <f t="array" ref="BR19">PRODUCT(1+預測IC!$C19:BR19)-1</f>
        <v>2.5639717134464552</v>
      </c>
      <c r="BS19" s="21" cm="1">
        <f t="array" ref="BS19">PRODUCT(1+預測IC!$C19:BS19)-1</f>
        <v>2.4775228082893457</v>
      </c>
      <c r="BT19" s="21" cm="1">
        <f t="array" ref="BT19">PRODUCT(1+預測IC!$C19:BT19)-1</f>
        <v>2.9700536828792901</v>
      </c>
      <c r="BU19" s="21" cm="1">
        <f t="array" ref="BU19">PRODUCT(1+預測IC!$C19:BU19)-1</f>
        <v>3.2715246767558241</v>
      </c>
      <c r="BV19" s="21" cm="1">
        <f t="array" ref="BV19">PRODUCT(1+預測IC!$C19:BV19)-1</f>
        <v>3.6715753504498609</v>
      </c>
      <c r="BW19" s="21" cm="1">
        <f t="array" ref="BW19">PRODUCT(1+預測IC!$C19:BW19)-1</f>
        <v>3.1625279796366028</v>
      </c>
      <c r="BX19" s="21" cm="1">
        <f t="array" ref="BX19">PRODUCT(1+預測IC!$C19:BX19)-1</f>
        <v>3.3044193395945571</v>
      </c>
      <c r="BY19" s="21" cm="1">
        <f t="array" ref="BY19">PRODUCT(1+預測IC!$C19:BY19)-1</f>
        <v>2.8410497316621655</v>
      </c>
      <c r="BZ19" s="21" cm="1">
        <f t="array" ref="BZ19">PRODUCT(1+預測IC!$C19:BZ19)-1</f>
        <v>3.0861678327676376</v>
      </c>
      <c r="CA19" s="21" cm="1">
        <f t="array" ref="CA19">PRODUCT(1+預測IC!$C19:CA19)-1</f>
        <v>2.9981285268188334</v>
      </c>
      <c r="CB19" s="21" cm="1">
        <f t="array" ref="CB19">PRODUCT(1+預測IC!$C19:CB19)-1</f>
        <v>2.8060537605443092</v>
      </c>
      <c r="CC19" s="21" cm="1">
        <f t="array" ref="CC19">PRODUCT(1+預測IC!$C19:CC19)-1</f>
        <v>2.7119557313820444</v>
      </c>
      <c r="CD19" s="21" cm="1">
        <f t="array" ref="CD19">PRODUCT(1+預測IC!$C19:CD19)-1</f>
        <v>3.480649055990261</v>
      </c>
      <c r="CE19" s="21" cm="1">
        <f t="array" ref="CE19">PRODUCT(1+預測IC!$C19:CE19)-1</f>
        <v>2.5922894556533924</v>
      </c>
      <c r="CF19" s="21" cm="1">
        <f t="array" ref="CF19">PRODUCT(1+預測IC!$C19:CF19)-1</f>
        <v>2.8975317105780363</v>
      </c>
      <c r="CG19" s="21" cm="1">
        <f t="array" ref="CG19">PRODUCT(1+預測IC!$C19:CG19)-1</f>
        <v>2.7001859217274191</v>
      </c>
      <c r="CH19" s="21" cm="1">
        <f t="array" ref="CH19">PRODUCT(1+預測IC!$C19:CH19)-1</f>
        <v>3.265906855360333</v>
      </c>
      <c r="CI19" s="21" cm="1">
        <f t="array" ref="CI19">PRODUCT(1+預測IC!$C19:CI19)-1</f>
        <v>3.107782715628284</v>
      </c>
      <c r="CJ19" s="21" cm="1">
        <f t="array" ref="CJ19">PRODUCT(1+預測IC!$C19:CJ19)-1</f>
        <v>2.8533446004704266</v>
      </c>
      <c r="CK19" s="21" cm="1">
        <f t="array" ref="CK19">PRODUCT(1+預測IC!$C19:CK19)-1</f>
        <v>3.253968044544175</v>
      </c>
      <c r="CL19" s="21" cm="1">
        <f t="array" ref="CL19">PRODUCT(1+預測IC!$C19:CL19)-1</f>
        <v>3.0700252752942747</v>
      </c>
      <c r="CM19" s="21" cm="1">
        <f t="array" ref="CM19">PRODUCT(1+預測IC!$C19:CM19)-1</f>
        <v>3.7836946084950958</v>
      </c>
      <c r="CN19" s="21" cm="1">
        <f t="array" ref="CN19">PRODUCT(1+預測IC!$C19:CN19)-1</f>
        <v>3.4156722831459012</v>
      </c>
      <c r="CO19" s="21" cm="1">
        <f t="array" ref="CO19">PRODUCT(1+預測IC!$C19:CO19)-1</f>
        <v>2.2126029202067867</v>
      </c>
      <c r="CP19" s="21" cm="1">
        <f t="array" ref="CP19">PRODUCT(1+預測IC!$C19:CP19)-1</f>
        <v>2.7235115121055036</v>
      </c>
      <c r="CQ19" s="21" cm="1">
        <f t="array" ref="CQ19">PRODUCT(1+預測IC!$C19:CQ19)-1</f>
        <v>2.7133466676650015</v>
      </c>
      <c r="CR19" s="21" cm="1">
        <f t="array" ref="CR19">PRODUCT(1+預測IC!$C19:CR19)-1</f>
        <v>2.8965545254455023</v>
      </c>
      <c r="CS19" s="21" cm="1">
        <f t="array" ref="CS19">PRODUCT(1+預測IC!$C19:CS19)-1</f>
        <v>3.1330787007125931</v>
      </c>
      <c r="CT19" s="21" cm="1">
        <f t="array" ref="CT19">PRODUCT(1+預測IC!$C19:CT19)-1</f>
        <v>3.6398785742894644</v>
      </c>
      <c r="CU19" s="21" cm="1">
        <f t="array" ref="CU19">PRODUCT(1+預測IC!$C19:CU19)-1</f>
        <v>3.2527438230048054</v>
      </c>
      <c r="CV19" s="21" cm="1">
        <f t="array" ref="CV19">PRODUCT(1+預測IC!$C19:CV19)-1</f>
        <v>3.6347937030755224</v>
      </c>
      <c r="CW19" s="21" cm="1">
        <f t="array" ref="CW19">PRODUCT(1+預測IC!$C19:CW19)-1</f>
        <v>3.5332833422820089</v>
      </c>
      <c r="CX19" s="21" cm="1">
        <f t="array" ref="CX19">PRODUCT(1+預測IC!$C19:CX19)-1</f>
        <v>3.9573707217426213</v>
      </c>
      <c r="CY19" s="21" cm="1">
        <f t="array" ref="CY19">PRODUCT(1+預測IC!$C19:CY19)-1</f>
        <v>3.6057847220329666</v>
      </c>
      <c r="CZ19" s="21" cm="1">
        <f t="array" ref="CZ19">PRODUCT(1+預測IC!$C19:CZ19)-1</f>
        <v>4.0685036634862621</v>
      </c>
      <c r="DA19" s="21" cm="1">
        <f t="array" ref="DA19">PRODUCT(1+預測IC!$C19:DA19)-1</f>
        <v>3.773395731113534</v>
      </c>
      <c r="DB19" s="21" cm="1">
        <f t="array" ref="DB19">PRODUCT(1+預測IC!$C19:DB19)-1</f>
        <v>3.6028857441950315</v>
      </c>
      <c r="DC19" s="21" cm="1">
        <f t="array" ref="DC19">PRODUCT(1+預測IC!$C19:DC19)-1</f>
        <v>3.440958985896347</v>
      </c>
      <c r="DD19" s="21" cm="1">
        <f t="array" ref="DD19">PRODUCT(1+預測IC!$C19:DD19)-1</f>
        <v>2.9767516446842013</v>
      </c>
      <c r="DE19" s="21" cm="1">
        <f t="array" ref="DE19">PRODUCT(1+預測IC!$C19:DE19)-1</f>
        <v>2.8019907646812809</v>
      </c>
      <c r="DF19" s="21" cm="1">
        <f t="array" ref="DF19">PRODUCT(1+預測IC!$C19:DF19)-1</f>
        <v>2.5370184440315091</v>
      </c>
      <c r="DG19" s="21" cm="1">
        <f t="array" ref="DG19">PRODUCT(1+預測IC!$C19:DG19)-1</f>
        <v>2.4919339271761585</v>
      </c>
      <c r="DH19" s="21" cm="1">
        <f t="array" ref="DH19">PRODUCT(1+預測IC!$C19:DH19)-1</f>
        <v>2.4913857524605958</v>
      </c>
      <c r="DI19" s="21" cm="1">
        <f t="array" ref="DI19">PRODUCT(1+預測IC!$C19:DI19)-1</f>
        <v>2.5041866545213383</v>
      </c>
      <c r="DJ19" s="21" cm="1">
        <f t="array" ref="DJ19">PRODUCT(1+預測IC!$C19:DJ19)-1</f>
        <v>2.334183314165116</v>
      </c>
      <c r="DK19" s="21" cm="1">
        <f t="array" ref="DK19">PRODUCT(1+預測IC!$C19:DK19)-1</f>
        <v>2.7481041272991273</v>
      </c>
      <c r="DL19" s="21" cm="1">
        <f t="array" ref="DL19">PRODUCT(1+預測IC!$C19:DL19)-1</f>
        <v>3.0110988780756989</v>
      </c>
      <c r="DM19" s="21" cm="1">
        <f t="array" ref="DM19">PRODUCT(1+預測IC!$C19:DM19)-1</f>
        <v>2.6823802798530703</v>
      </c>
      <c r="DN19" s="21" cm="1">
        <f t="array" ref="DN19">PRODUCT(1+預測IC!$C19:DN19)-1</f>
        <v>2.6669966030132835</v>
      </c>
      <c r="DO19" s="21" cm="1">
        <f t="array" ref="DO19">PRODUCT(1+預測IC!$C19:DO19)-1</f>
        <v>2.8691455237366736</v>
      </c>
      <c r="DP19" s="21" cm="1">
        <f t="array" ref="DP19">PRODUCT(1+預測IC!$C19:DP19)-1</f>
        <v>2.9742525740298422</v>
      </c>
      <c r="DQ19" s="21" cm="1">
        <f t="array" ref="DQ19">PRODUCT(1+預測IC!$C19:DQ19)-1</f>
        <v>2.4953973479625797</v>
      </c>
      <c r="DR19" s="21" cm="1">
        <f t="array" ref="DR19">PRODUCT(1+預測IC!$C19:DR19)-1</f>
        <v>2.7609159563199497</v>
      </c>
      <c r="DS19" s="21" cm="1">
        <f t="array" ref="DS19">PRODUCT(1+預測IC!$C19:DS19)-1</f>
        <v>2.0914896636268661</v>
      </c>
      <c r="DT19" s="21" cm="1">
        <f t="array" ref="DT19">PRODUCT(1+預測IC!$C19:DT19)-1</f>
        <v>1.6799242800280045</v>
      </c>
      <c r="DU19" s="21" cm="1">
        <f t="array" ref="DU19">PRODUCT(1+預測IC!$C19:DU19)-1</f>
        <v>1.2971488243785614</v>
      </c>
      <c r="DV19" s="21" cm="1">
        <f t="array" ref="DV19">PRODUCT(1+預測IC!$C19:DV19)-1</f>
        <v>1.5717312602509059</v>
      </c>
      <c r="DW19" s="21" cm="1">
        <f t="array" ref="DW19">PRODUCT(1+預測IC!$C19:DW19)-1</f>
        <v>1.7276016785502466</v>
      </c>
      <c r="DX19" s="21" cm="1">
        <f t="array" ref="DX19">PRODUCT(1+預測IC!$C19:DX19)-1</f>
        <v>1.3501967061493629</v>
      </c>
      <c r="DY19" s="21" cm="1">
        <f t="array" ref="DY19">PRODUCT(1+預測IC!$C19:DY19)-1</f>
        <v>1.5149680047010423</v>
      </c>
      <c r="DZ19" s="21" cm="1">
        <f t="array" ref="DZ19">PRODUCT(1+預測IC!$C19:DZ19)-1</f>
        <v>1.2334907010484786</v>
      </c>
      <c r="EA19" s="21" cm="1">
        <f t="array" ref="EA19">PRODUCT(1+預測IC!$C19:EA19)-1</f>
        <v>1.1707757261691221</v>
      </c>
      <c r="EB19" s="21" cm="1">
        <f t="array" ref="EB19">PRODUCT(1+預測IC!$C19:EB19)-1</f>
        <v>1.2180395268043247</v>
      </c>
      <c r="EC19" s="21" cm="1">
        <f t="array" ref="EC19">PRODUCT(1+預測IC!$C19:EC19)-1</f>
        <v>1.1989166491212968</v>
      </c>
      <c r="ED19" s="21" cm="1">
        <f t="array" ref="ED19">PRODUCT(1+預測IC!$C19:ED19)-1</f>
        <v>0.86702246765124036</v>
      </c>
      <c r="EE19" s="21" cm="1">
        <f t="array" ref="EE19">PRODUCT(1+預測IC!$C19:EE19)-1</f>
        <v>0.89061050967827948</v>
      </c>
      <c r="EF19" s="21" cm="1">
        <f t="array" ref="EF19">PRODUCT(1+預測IC!$C19:EF19)-1</f>
        <v>0.92270920959736147</v>
      </c>
    </row>
    <row r="20" spans="1:136">
      <c r="A20" s="4">
        <v>192</v>
      </c>
      <c r="B20" s="4">
        <v>5</v>
      </c>
      <c r="C20" s="21" cm="1">
        <f t="array" ref="C20">PRODUCT(1+預測IC!$C20:C20)-1</f>
        <v>-0.13932460396499158</v>
      </c>
      <c r="D20" s="21" cm="1">
        <f t="array" ref="D20">PRODUCT(1+預測IC!$C20:D20)-1</f>
        <v>0.18947560274559949</v>
      </c>
      <c r="E20" s="21" cm="1">
        <f t="array" ref="E20">PRODUCT(1+預測IC!$C20:E20)-1</f>
        <v>0.2149213724934127</v>
      </c>
      <c r="F20" s="21" cm="1">
        <f t="array" ref="F20">PRODUCT(1+預測IC!$C20:F20)-1</f>
        <v>0.43654635732656311</v>
      </c>
      <c r="G20" s="21" cm="1">
        <f t="array" ref="G20">PRODUCT(1+預測IC!$C20:G20)-1</f>
        <v>0.66356119239143663</v>
      </c>
      <c r="H20" s="21" cm="1">
        <f t="array" ref="H20">PRODUCT(1+預測IC!$C20:H20)-1</f>
        <v>0.90300121464695948</v>
      </c>
      <c r="I20" s="21" cm="1">
        <f t="array" ref="I20">PRODUCT(1+預測IC!$C20:I20)-1</f>
        <v>1.2039600243727411</v>
      </c>
      <c r="J20" s="21" cm="1">
        <f t="array" ref="J20">PRODUCT(1+預測IC!$C20:J20)-1</f>
        <v>0.91037888457414073</v>
      </c>
      <c r="K20" s="21" cm="1">
        <f t="array" ref="K20">PRODUCT(1+預測IC!$C20:K20)-1</f>
        <v>0.98183393222119797</v>
      </c>
      <c r="L20" s="21" cm="1">
        <f t="array" ref="L20">PRODUCT(1+預測IC!$C20:L20)-1</f>
        <v>1.0426635502032227</v>
      </c>
      <c r="M20" s="21" cm="1">
        <f t="array" ref="M20">PRODUCT(1+預測IC!$C20:M20)-1</f>
        <v>0.493812110244918</v>
      </c>
      <c r="N20" s="21" cm="1">
        <f t="array" ref="N20">PRODUCT(1+預測IC!$C20:N20)-1</f>
        <v>1.2407354935878558</v>
      </c>
      <c r="O20" s="21" cm="1">
        <f t="array" ref="O20">PRODUCT(1+預測IC!$C20:O20)-1</f>
        <v>0.99399959359402135</v>
      </c>
      <c r="P20" s="21" cm="1">
        <f t="array" ref="P20">PRODUCT(1+預測IC!$C20:P20)-1</f>
        <v>0.81220679487498559</v>
      </c>
      <c r="Q20" s="21" cm="1">
        <f t="array" ref="Q20">PRODUCT(1+預測IC!$C20:Q20)-1</f>
        <v>1.219639087063626</v>
      </c>
      <c r="R20" s="21" cm="1">
        <f t="array" ref="R20">PRODUCT(1+預測IC!$C20:R20)-1</f>
        <v>1.3671776093251102</v>
      </c>
      <c r="S20" s="21" cm="1">
        <f t="array" ref="S20">PRODUCT(1+預測IC!$C20:S20)-1</f>
        <v>0.98289893187240263</v>
      </c>
      <c r="T20" s="21" cm="1">
        <f t="array" ref="T20">PRODUCT(1+預測IC!$C20:T20)-1</f>
        <v>0.78293190276858482</v>
      </c>
      <c r="U20" s="21" cm="1">
        <f t="array" ref="U20">PRODUCT(1+預測IC!$C20:U20)-1</f>
        <v>0.84040471265433014</v>
      </c>
      <c r="V20" s="21" cm="1">
        <f t="array" ref="V20">PRODUCT(1+預測IC!$C20:V20)-1</f>
        <v>0.58957926709515429</v>
      </c>
      <c r="W20" s="21" cm="1">
        <f t="array" ref="W20">PRODUCT(1+預測IC!$C20:W20)-1</f>
        <v>0.73436609463851665</v>
      </c>
      <c r="X20" s="21" cm="1">
        <f t="array" ref="X20">PRODUCT(1+預測IC!$C20:X20)-1</f>
        <v>0.46929616144772757</v>
      </c>
      <c r="Y20" s="21" cm="1">
        <f t="array" ref="Y20">PRODUCT(1+預測IC!$C20:Y20)-1</f>
        <v>0.46215832069541452</v>
      </c>
      <c r="Z20" s="21" cm="1">
        <f t="array" ref="Z20">PRODUCT(1+預測IC!$C20:Z20)-1</f>
        <v>0.5047925178735797</v>
      </c>
      <c r="AA20" s="21" cm="1">
        <f t="array" ref="AA20">PRODUCT(1+預測IC!$C20:AA20)-1</f>
        <v>0.60555944404046613</v>
      </c>
      <c r="AB20" s="21" cm="1">
        <f t="array" ref="AB20">PRODUCT(1+預測IC!$C20:AB20)-1</f>
        <v>0.50854672575320903</v>
      </c>
      <c r="AC20" s="21" cm="1">
        <f t="array" ref="AC20">PRODUCT(1+預測IC!$C20:AC20)-1</f>
        <v>0.36326130598002382</v>
      </c>
      <c r="AD20" s="21" cm="1">
        <f t="array" ref="AD20">PRODUCT(1+預測IC!$C20:AD20)-1</f>
        <v>0.54027069842786557</v>
      </c>
      <c r="AE20" s="21" cm="1">
        <f t="array" ref="AE20">PRODUCT(1+預測IC!$C20:AE20)-1</f>
        <v>0.27028971757009379</v>
      </c>
      <c r="AF20" s="21" cm="1">
        <f t="array" ref="AF20">PRODUCT(1+預測IC!$C20:AF20)-1</f>
        <v>0.26207399179273749</v>
      </c>
      <c r="AG20" s="21" cm="1">
        <f t="array" ref="AG20">PRODUCT(1+預測IC!$C20:AG20)-1</f>
        <v>0.25419915491354761</v>
      </c>
      <c r="AH20" s="21" cm="1">
        <f t="array" ref="AH20">PRODUCT(1+預測IC!$C20:AH20)-1</f>
        <v>0.21932113061455683</v>
      </c>
      <c r="AI20" s="21" cm="1">
        <f t="array" ref="AI20">PRODUCT(1+預測IC!$C20:AI20)-1</f>
        <v>0.36117353685108866</v>
      </c>
      <c r="AJ20" s="21" cm="1">
        <f t="array" ref="AJ20">PRODUCT(1+預測IC!$C20:AJ20)-1</f>
        <v>0.38464098533052371</v>
      </c>
      <c r="AK20" s="21" cm="1">
        <f t="array" ref="AK20">PRODUCT(1+預測IC!$C20:AK20)-1</f>
        <v>0.47736845362072944</v>
      </c>
      <c r="AL20" s="21" cm="1">
        <f t="array" ref="AL20">PRODUCT(1+預測IC!$C20:AL20)-1</f>
        <v>0.58505894013567472</v>
      </c>
      <c r="AM20" s="21" cm="1">
        <f t="array" ref="AM20">PRODUCT(1+預測IC!$C20:AM20)-1</f>
        <v>0.63695155075320065</v>
      </c>
      <c r="AN20" s="21" cm="1">
        <f t="array" ref="AN20">PRODUCT(1+預測IC!$C20:AN20)-1</f>
        <v>0.76049260106976901</v>
      </c>
      <c r="AO20" s="21" cm="1">
        <f t="array" ref="AO20">PRODUCT(1+預測IC!$C20:AO20)-1</f>
        <v>0.88035750030620541</v>
      </c>
      <c r="AP20" s="21" cm="1">
        <f t="array" ref="AP20">PRODUCT(1+預測IC!$C20:AP20)-1</f>
        <v>0.6326571394658409</v>
      </c>
      <c r="AQ20" s="21" cm="1">
        <f t="array" ref="AQ20">PRODUCT(1+預測IC!$C20:AQ20)-1</f>
        <v>0.51363871971877639</v>
      </c>
      <c r="AR20" s="21" cm="1">
        <f t="array" ref="AR20">PRODUCT(1+預測IC!$C20:AR20)-1</f>
        <v>0.53375376739286318</v>
      </c>
      <c r="AS20" s="21" cm="1">
        <f t="array" ref="AS20">PRODUCT(1+預測IC!$C20:AS20)-1</f>
        <v>0.36182639698288921</v>
      </c>
      <c r="AT20" s="21" cm="1">
        <f t="array" ref="AT20">PRODUCT(1+預測IC!$C20:AT20)-1</f>
        <v>0.36980502974348828</v>
      </c>
      <c r="AU20" s="21" cm="1">
        <f t="array" ref="AU20">PRODUCT(1+預測IC!$C20:AU20)-1</f>
        <v>0.46966356730030512</v>
      </c>
      <c r="AV20" s="21" cm="1">
        <f t="array" ref="AV20">PRODUCT(1+預測IC!$C20:AV20)-1</f>
        <v>0.38938214591642284</v>
      </c>
      <c r="AW20" s="21" cm="1">
        <f t="array" ref="AW20">PRODUCT(1+預測IC!$C20:AW20)-1</f>
        <v>0.39892062695146335</v>
      </c>
      <c r="AX20" s="21" cm="1">
        <f t="array" ref="AX20">PRODUCT(1+預測IC!$C20:AX20)-1</f>
        <v>0.55382667242174</v>
      </c>
      <c r="AY20" s="21" cm="1">
        <f t="array" ref="AY20">PRODUCT(1+預測IC!$C20:AY20)-1</f>
        <v>0.61392045041020005</v>
      </c>
      <c r="AZ20" s="21" cm="1">
        <f t="array" ref="AZ20">PRODUCT(1+預測IC!$C20:AZ20)-1</f>
        <v>0.26886033438607715</v>
      </c>
      <c r="BA20" s="21" cm="1">
        <f t="array" ref="BA20">PRODUCT(1+預測IC!$C20:BA20)-1</f>
        <v>0.20028460757381894</v>
      </c>
      <c r="BB20" s="21" cm="1">
        <f t="array" ref="BB20">PRODUCT(1+預測IC!$C20:BB20)-1</f>
        <v>0.40151883162898683</v>
      </c>
      <c r="BC20" s="21" cm="1">
        <f t="array" ref="BC20">PRODUCT(1+預測IC!$C20:BC20)-1</f>
        <v>0.50047386434719465</v>
      </c>
      <c r="BD20" s="21" cm="1">
        <f t="array" ref="BD20">PRODUCT(1+預測IC!$C20:BD20)-1</f>
        <v>0.42030382603123573</v>
      </c>
      <c r="BE20" s="21" cm="1">
        <f t="array" ref="BE20">PRODUCT(1+預測IC!$C20:BE20)-1</f>
        <v>0.41185756730171263</v>
      </c>
      <c r="BF20" s="21" cm="1">
        <f t="array" ref="BF20">PRODUCT(1+預測IC!$C20:BF20)-1</f>
        <v>0.4198890353134177</v>
      </c>
      <c r="BG20" s="21" cm="1">
        <f t="array" ref="BG20">PRODUCT(1+預測IC!$C20:BG20)-1</f>
        <v>0.45182921263473119</v>
      </c>
      <c r="BH20" s="21" cm="1">
        <f t="array" ref="BH20">PRODUCT(1+預測IC!$C20:BH20)-1</f>
        <v>0.34786888090148094</v>
      </c>
      <c r="BI20" s="21" cm="1">
        <f t="array" ref="BI20">PRODUCT(1+預測IC!$C20:BI20)-1</f>
        <v>0.52544422661164236</v>
      </c>
      <c r="BJ20" s="21" cm="1">
        <f t="array" ref="BJ20">PRODUCT(1+預測IC!$C20:BJ20)-1</f>
        <v>0.5584388405620051</v>
      </c>
      <c r="BK20" s="21" cm="1">
        <f t="array" ref="BK20">PRODUCT(1+預測IC!$C20:BK20)-1</f>
        <v>0.46612757114621473</v>
      </c>
      <c r="BL20" s="21" cm="1">
        <f t="array" ref="BL20">PRODUCT(1+預測IC!$C20:BL20)-1</f>
        <v>0.59264299044973789</v>
      </c>
      <c r="BM20" s="21" cm="1">
        <f t="array" ref="BM20">PRODUCT(1+預測IC!$C20:BM20)-1</f>
        <v>0.81070394403324619</v>
      </c>
      <c r="BN20" s="21" cm="1">
        <f t="array" ref="BN20">PRODUCT(1+預測IC!$C20:BN20)-1</f>
        <v>0.9634180642271668</v>
      </c>
      <c r="BO20" s="21" cm="1">
        <f t="array" ref="BO20">PRODUCT(1+預測IC!$C20:BO20)-1</f>
        <v>0.88790163327509086</v>
      </c>
      <c r="BP20" s="21" cm="1">
        <f t="array" ref="BP20">PRODUCT(1+預測IC!$C20:BP20)-1</f>
        <v>1.0019450903855729</v>
      </c>
      <c r="BQ20" s="21" cm="1">
        <f t="array" ref="BQ20">PRODUCT(1+預測IC!$C20:BQ20)-1</f>
        <v>1.0328785592739091</v>
      </c>
      <c r="BR20" s="21" cm="1">
        <f t="array" ref="BR20">PRODUCT(1+預測IC!$C20:BR20)-1</f>
        <v>1.0495483313253402</v>
      </c>
      <c r="BS20" s="21" cm="1">
        <f t="array" ref="BS20">PRODUCT(1+預測IC!$C20:BS20)-1</f>
        <v>1.0451977887182604</v>
      </c>
      <c r="BT20" s="21" cm="1">
        <f t="array" ref="BT20">PRODUCT(1+預測IC!$C20:BT20)-1</f>
        <v>1.3474842253410815</v>
      </c>
      <c r="BU20" s="21" cm="1">
        <f t="array" ref="BU20">PRODUCT(1+預測IC!$C20:BU20)-1</f>
        <v>1.57930991115613</v>
      </c>
      <c r="BV20" s="21" cm="1">
        <f t="array" ref="BV20">PRODUCT(1+預測IC!$C20:BV20)-1</f>
        <v>1.8782992126414442</v>
      </c>
      <c r="BW20" s="21" cm="1">
        <f t="array" ref="BW20">PRODUCT(1+預測IC!$C20:BW20)-1</f>
        <v>1.4882803096392387</v>
      </c>
      <c r="BX20" s="21" cm="1">
        <f t="array" ref="BX20">PRODUCT(1+預測IC!$C20:BX20)-1</f>
        <v>1.564654681429376</v>
      </c>
      <c r="BY20" s="21" cm="1">
        <f t="array" ref="BY20">PRODUCT(1+預測IC!$C20:BY20)-1</f>
        <v>1.2947658969349605</v>
      </c>
      <c r="BZ20" s="21" cm="1">
        <f t="array" ref="BZ20">PRODUCT(1+預測IC!$C20:BZ20)-1</f>
        <v>1.5019176368998886</v>
      </c>
      <c r="CA20" s="21" cm="1">
        <f t="array" ref="CA20">PRODUCT(1+預測IC!$C20:CA20)-1</f>
        <v>1.4969292581206046</v>
      </c>
      <c r="CB20" s="21" cm="1">
        <f t="array" ref="CB20">PRODUCT(1+預測IC!$C20:CB20)-1</f>
        <v>1.4014168449581521</v>
      </c>
      <c r="CC20" s="21" cm="1">
        <f t="array" ref="CC20">PRODUCT(1+預測IC!$C20:CC20)-1</f>
        <v>1.4016442482089202</v>
      </c>
      <c r="CD20" s="21" cm="1">
        <f t="array" ref="CD20">PRODUCT(1+預測IC!$C20:CD20)-1</f>
        <v>1.8364078963248671</v>
      </c>
      <c r="CE20" s="21" cm="1">
        <f t="array" ref="CE20">PRODUCT(1+預測IC!$C20:CE20)-1</f>
        <v>1.1444270604371312</v>
      </c>
      <c r="CF20" s="21" cm="1">
        <f t="array" ref="CF20">PRODUCT(1+預測IC!$C20:CF20)-1</f>
        <v>1.318035451723143</v>
      </c>
      <c r="CG20" s="21" cm="1">
        <f t="array" ref="CG20">PRODUCT(1+預測IC!$C20:CG20)-1</f>
        <v>1.0884273445148165</v>
      </c>
      <c r="CH20" s="21" cm="1">
        <f t="array" ref="CH20">PRODUCT(1+預測IC!$C20:CH20)-1</f>
        <v>1.2385101406587928</v>
      </c>
      <c r="CI20" s="21" cm="1">
        <f t="array" ref="CI20">PRODUCT(1+預測IC!$C20:CI20)-1</f>
        <v>1.170471355204687</v>
      </c>
      <c r="CJ20" s="21" cm="1">
        <f t="array" ref="CJ20">PRODUCT(1+預測IC!$C20:CJ20)-1</f>
        <v>0.90254767681188808</v>
      </c>
      <c r="CK20" s="21" cm="1">
        <f t="array" ref="CK20">PRODUCT(1+預測IC!$C20:CK20)-1</f>
        <v>1.0756384141888735</v>
      </c>
      <c r="CL20" s="21" cm="1">
        <f t="array" ref="CL20">PRODUCT(1+預測IC!$C20:CL20)-1</f>
        <v>0.88429582357644421</v>
      </c>
      <c r="CM20" s="21" cm="1">
        <f t="array" ref="CM20">PRODUCT(1+預測IC!$C20:CM20)-1</f>
        <v>1.2405241445497057</v>
      </c>
      <c r="CN20" s="21" cm="1">
        <f t="array" ref="CN20">PRODUCT(1+預測IC!$C20:CN20)-1</f>
        <v>1.2901728407542858</v>
      </c>
      <c r="CO20" s="21" cm="1">
        <f t="array" ref="CO20">PRODUCT(1+預測IC!$C20:CO20)-1</f>
        <v>0.33752658641791555</v>
      </c>
      <c r="CP20" s="21" cm="1">
        <f t="array" ref="CP20">PRODUCT(1+預測IC!$C20:CP20)-1</f>
        <v>0.59437342867311149</v>
      </c>
      <c r="CQ20" s="21" cm="1">
        <f t="array" ref="CQ20">PRODUCT(1+預測IC!$C20:CQ20)-1</f>
        <v>0.60411721536831897</v>
      </c>
      <c r="CR20" s="21" cm="1">
        <f t="array" ref="CR20">PRODUCT(1+預測IC!$C20:CR20)-1</f>
        <v>0.72140424190323293</v>
      </c>
      <c r="CS20" s="21" cm="1">
        <f t="array" ref="CS20">PRODUCT(1+預測IC!$C20:CS20)-1</f>
        <v>0.87351488318485204</v>
      </c>
      <c r="CT20" s="21" cm="1">
        <f t="array" ref="CT20">PRODUCT(1+預測IC!$C20:CT20)-1</f>
        <v>1.0430193388223032</v>
      </c>
      <c r="CU20" s="21" cm="1">
        <f t="array" ref="CU20">PRODUCT(1+預測IC!$C20:CU20)-1</f>
        <v>0.83033919144361246</v>
      </c>
      <c r="CV20" s="21" cm="1">
        <f t="array" ref="CV20">PRODUCT(1+預測IC!$C20:CV20)-1</f>
        <v>0.99966583893155758</v>
      </c>
      <c r="CW20" s="21" cm="1">
        <f t="array" ref="CW20">PRODUCT(1+預測IC!$C20:CW20)-1</f>
        <v>1.019568638847983</v>
      </c>
      <c r="CX20" s="21" cm="1">
        <f t="array" ref="CX20">PRODUCT(1+預測IC!$C20:CX20)-1</f>
        <v>1.2019327603139396</v>
      </c>
      <c r="CY20" s="21" cm="1">
        <f t="array" ref="CY20">PRODUCT(1+預測IC!$C20:CY20)-1</f>
        <v>1.1744532281116569</v>
      </c>
      <c r="CZ20" s="21" cm="1">
        <f t="array" ref="CZ20">PRODUCT(1+預測IC!$C20:CZ20)-1</f>
        <v>1.5118449682854469</v>
      </c>
      <c r="DA20" s="21" cm="1">
        <f t="array" ref="DA20">PRODUCT(1+預測IC!$C20:DA20)-1</f>
        <v>1.39260293232863</v>
      </c>
      <c r="DB20" s="21" cm="1">
        <f t="array" ref="DB20">PRODUCT(1+預測IC!$C20:DB20)-1</f>
        <v>1.2564573421062661</v>
      </c>
      <c r="DC20" s="21" cm="1">
        <f t="array" ref="DC20">PRODUCT(1+預測IC!$C20:DC20)-1</f>
        <v>1.1502140038072541</v>
      </c>
      <c r="DD20" s="21" cm="1">
        <f t="array" ref="DD20">PRODUCT(1+預測IC!$C20:DD20)-1</f>
        <v>0.83174835712862905</v>
      </c>
      <c r="DE20" s="21" cm="1">
        <f t="array" ref="DE20">PRODUCT(1+預測IC!$C20:DE20)-1</f>
        <v>0.78274933783805389</v>
      </c>
      <c r="DF20" s="21" cm="1">
        <f t="array" ref="DF20">PRODUCT(1+預測IC!$C20:DF20)-1</f>
        <v>0.78428093618109895</v>
      </c>
      <c r="DG20" s="21" cm="1">
        <f t="array" ref="DG20">PRODUCT(1+預測IC!$C20:DG20)-1</f>
        <v>0.77678301188135368</v>
      </c>
      <c r="DH20" s="21" cm="1">
        <f t="array" ref="DH20">PRODUCT(1+預測IC!$C20:DH20)-1</f>
        <v>0.75728208674882858</v>
      </c>
      <c r="DI20" s="21" cm="1">
        <f t="array" ref="DI20">PRODUCT(1+預測IC!$C20:DI20)-1</f>
        <v>0.74364985144110385</v>
      </c>
      <c r="DJ20" s="21" cm="1">
        <f t="array" ref="DJ20">PRODUCT(1+預測IC!$C20:DJ20)-1</f>
        <v>0.67484552199148373</v>
      </c>
      <c r="DK20" s="21" cm="1">
        <f t="array" ref="DK20">PRODUCT(1+預測IC!$C20:DK20)-1</f>
        <v>0.81713031739175634</v>
      </c>
      <c r="DL20" s="21" cm="1">
        <f t="array" ref="DL20">PRODUCT(1+預測IC!$C20:DL20)-1</f>
        <v>0.95491719685762044</v>
      </c>
      <c r="DM20" s="21" cm="1">
        <f t="array" ref="DM20">PRODUCT(1+預測IC!$C20:DM20)-1</f>
        <v>0.97306596443850402</v>
      </c>
      <c r="DN20" s="21" cm="1">
        <f t="array" ref="DN20">PRODUCT(1+預測IC!$C20:DN20)-1</f>
        <v>1.0875416863716283</v>
      </c>
      <c r="DO20" s="21" cm="1">
        <f t="array" ref="DO20">PRODUCT(1+預測IC!$C20:DO20)-1</f>
        <v>1.224934916330366</v>
      </c>
      <c r="DP20" s="21" cm="1">
        <f t="array" ref="DP20">PRODUCT(1+預測IC!$C20:DP20)-1</f>
        <v>1.2468072088680326</v>
      </c>
      <c r="DQ20" s="21" cm="1">
        <f t="array" ref="DQ20">PRODUCT(1+預測IC!$C20:DQ20)-1</f>
        <v>0.81692662259506155</v>
      </c>
      <c r="DR20" s="21" cm="1">
        <f t="array" ref="DR20">PRODUCT(1+預測IC!$C20:DR20)-1</f>
        <v>0.95957836481121794</v>
      </c>
      <c r="DS20" s="21" cm="1">
        <f t="array" ref="DS20">PRODUCT(1+預測IC!$C20:DS20)-1</f>
        <v>0.55574630460012453</v>
      </c>
      <c r="DT20" s="21" cm="1">
        <f t="array" ref="DT20">PRODUCT(1+預測IC!$C20:DT20)-1</f>
        <v>0.35773915746948148</v>
      </c>
      <c r="DU20" s="21" cm="1">
        <f t="array" ref="DU20">PRODUCT(1+預測IC!$C20:DU20)-1</f>
        <v>0.12411419282525848</v>
      </c>
      <c r="DV20" s="21" cm="1">
        <f t="array" ref="DV20">PRODUCT(1+預測IC!$C20:DV20)-1</f>
        <v>0.26951327349699938</v>
      </c>
      <c r="DW20" s="21" cm="1">
        <f t="array" ref="DW20">PRODUCT(1+預測IC!$C20:DW20)-1</f>
        <v>0.35718611909214082</v>
      </c>
      <c r="DX20" s="21" cm="1">
        <f t="array" ref="DX20">PRODUCT(1+預測IC!$C20:DX20)-1</f>
        <v>0.14836087235479445</v>
      </c>
      <c r="DY20" s="21" cm="1">
        <f t="array" ref="DY20">PRODUCT(1+預測IC!$C20:DY20)-1</f>
        <v>0.20993438536430498</v>
      </c>
      <c r="DZ20" s="21" cm="1">
        <f t="array" ref="DZ20">PRODUCT(1+預測IC!$C20:DZ20)-1</f>
        <v>0.10772568837825869</v>
      </c>
      <c r="EA20" s="21" cm="1">
        <f t="array" ref="EA20">PRODUCT(1+預測IC!$C20:EA20)-1</f>
        <v>0.12302196911528496</v>
      </c>
      <c r="EB20" s="21" cm="1">
        <f t="array" ref="EB20">PRODUCT(1+預測IC!$C20:EB20)-1</f>
        <v>0.15378059510087927</v>
      </c>
      <c r="EC20" s="21" cm="1">
        <f t="array" ref="EC20">PRODUCT(1+預測IC!$C20:EC20)-1</f>
        <v>0.19306634140759305</v>
      </c>
      <c r="ED20" s="21" cm="1">
        <f t="array" ref="ED20">PRODUCT(1+預測IC!$C20:ED20)-1</f>
        <v>-1.8009596891623181E-2</v>
      </c>
      <c r="EE20" s="21" cm="1">
        <f t="array" ref="EE20">PRODUCT(1+預測IC!$C20:EE20)-1</f>
        <v>-1.568499883899277E-2</v>
      </c>
      <c r="EF20" s="21" cm="1">
        <f t="array" ref="EF20">PRODUCT(1+預測IC!$C20:EF20)-1</f>
        <v>4.2783037808409308E-3</v>
      </c>
    </row>
    <row r="21" spans="1:136">
      <c r="A21" s="4">
        <v>241</v>
      </c>
      <c r="B21" s="4">
        <v>4</v>
      </c>
      <c r="C21" s="21" cm="1">
        <f t="array" ref="C21">PRODUCT(1+預測IC!$C21:C21)-1</f>
        <v>-0.19764916434148616</v>
      </c>
      <c r="D21" s="21" cm="1">
        <f t="array" ref="D21">PRODUCT(1+預測IC!$C21:D21)-1</f>
        <v>-9.6240844573442175E-2</v>
      </c>
      <c r="E21" s="21" cm="1">
        <f t="array" ref="E21">PRODUCT(1+預測IC!$C21:E21)-1</f>
        <v>-9.649331174575948E-2</v>
      </c>
      <c r="F21" s="21" cm="1">
        <f t="array" ref="F21">PRODUCT(1+預測IC!$C21:F21)-1</f>
        <v>8.7291694232100481E-2</v>
      </c>
      <c r="G21" s="21" cm="1">
        <f t="array" ref="G21">PRODUCT(1+預測IC!$C21:G21)-1</f>
        <v>0.24530997073824024</v>
      </c>
      <c r="H21" s="21" cm="1">
        <f t="array" ref="H21">PRODUCT(1+預測IC!$C21:H21)-1</f>
        <v>0.44725441683303613</v>
      </c>
      <c r="I21" s="21" cm="1">
        <f t="array" ref="I21">PRODUCT(1+預測IC!$C21:I21)-1</f>
        <v>0.66037074609895607</v>
      </c>
      <c r="J21" s="21" cm="1">
        <f t="array" ref="J21">PRODUCT(1+預測IC!$C21:J21)-1</f>
        <v>0.43332915972126584</v>
      </c>
      <c r="K21" s="21" cm="1">
        <f t="array" ref="K21">PRODUCT(1+預測IC!$C21:K21)-1</f>
        <v>0.43543615358605625</v>
      </c>
      <c r="L21" s="21" cm="1">
        <f t="array" ref="L21">PRODUCT(1+預測IC!$C21:L21)-1</f>
        <v>0.42821447429736481</v>
      </c>
      <c r="M21" s="21" cm="1">
        <f t="array" ref="M21">PRODUCT(1+預測IC!$C21:M21)-1</f>
        <v>0.14273582410243613</v>
      </c>
      <c r="N21" s="21" cm="1">
        <f t="array" ref="N21">PRODUCT(1+預測IC!$C21:N21)-1</f>
        <v>0.81111115162962211</v>
      </c>
      <c r="O21" s="21" cm="1">
        <f t="array" ref="O21">PRODUCT(1+預測IC!$C21:O21)-1</f>
        <v>0.55886457098631537</v>
      </c>
      <c r="P21" s="21" cm="1">
        <f t="array" ref="P21">PRODUCT(1+預測IC!$C21:P21)-1</f>
        <v>0.33318369260984371</v>
      </c>
      <c r="Q21" s="21" cm="1">
        <f t="array" ref="Q21">PRODUCT(1+預測IC!$C21:Q21)-1</f>
        <v>0.69859034488658223</v>
      </c>
      <c r="R21" s="21" cm="1">
        <f t="array" ref="R21">PRODUCT(1+預測IC!$C21:R21)-1</f>
        <v>0.84280958276676388</v>
      </c>
      <c r="S21" s="21" cm="1">
        <f t="array" ref="S21">PRODUCT(1+預測IC!$C21:S21)-1</f>
        <v>0.60584217248886962</v>
      </c>
      <c r="T21" s="21" cm="1">
        <f t="array" ref="T21">PRODUCT(1+預測IC!$C21:T21)-1</f>
        <v>0.39528414683212909</v>
      </c>
      <c r="U21" s="21" cm="1">
        <f t="array" ref="U21">PRODUCT(1+預測IC!$C21:U21)-1</f>
        <v>0.38157303834224643</v>
      </c>
      <c r="V21" s="21" cm="1">
        <f t="array" ref="V21">PRODUCT(1+預測IC!$C21:V21)-1</f>
        <v>0.19955044514739573</v>
      </c>
      <c r="W21" s="21" cm="1">
        <f t="array" ref="W21">PRODUCT(1+預測IC!$C21:W21)-1</f>
        <v>0.34889297613019021</v>
      </c>
      <c r="X21" s="21" cm="1">
        <f t="array" ref="X21">PRODUCT(1+預測IC!$C21:X21)-1</f>
        <v>8.2706242009360276E-2</v>
      </c>
      <c r="Y21" s="21" cm="1">
        <f t="array" ref="Y21">PRODUCT(1+預測IC!$C21:Y21)-1</f>
        <v>7.1719480418570347E-2</v>
      </c>
      <c r="Z21" s="21" cm="1">
        <f t="array" ref="Z21">PRODUCT(1+預測IC!$C21:Z21)-1</f>
        <v>0.11400845939640658</v>
      </c>
      <c r="AA21" s="21" cm="1">
        <f t="array" ref="AA21">PRODUCT(1+預測IC!$C21:AA21)-1</f>
        <v>0.14524024355981457</v>
      </c>
      <c r="AB21" s="21" cm="1">
        <f t="array" ref="AB21">PRODUCT(1+預測IC!$C21:AB21)-1</f>
        <v>7.0470943778524919E-2</v>
      </c>
      <c r="AC21" s="21" cm="1">
        <f t="array" ref="AC21">PRODUCT(1+預測IC!$C21:AC21)-1</f>
        <v>-0.10031332868058063</v>
      </c>
      <c r="AD21" s="21" cm="1">
        <f t="array" ref="AD21">PRODUCT(1+預測IC!$C21:AD21)-1</f>
        <v>1.5588356908807777E-2</v>
      </c>
      <c r="AE21" s="21" cm="1">
        <f t="array" ref="AE21">PRODUCT(1+預測IC!$C21:AE21)-1</f>
        <v>-0.22861606925565048</v>
      </c>
      <c r="AF21" s="21" cm="1">
        <f t="array" ref="AF21">PRODUCT(1+預測IC!$C21:AF21)-1</f>
        <v>-0.25450795658304992</v>
      </c>
      <c r="AG21" s="21" cm="1">
        <f t="array" ref="AG21">PRODUCT(1+預測IC!$C21:AG21)-1</f>
        <v>-0.26238631649788025</v>
      </c>
      <c r="AH21" s="21" cm="1">
        <f t="array" ref="AH21">PRODUCT(1+預測IC!$C21:AH21)-1</f>
        <v>-0.29440557328844463</v>
      </c>
      <c r="AI21" s="21" cm="1">
        <f t="array" ref="AI21">PRODUCT(1+預測IC!$C21:AI21)-1</f>
        <v>-0.22234727165634716</v>
      </c>
      <c r="AJ21" s="21" cm="1">
        <f t="array" ref="AJ21">PRODUCT(1+預測IC!$C21:AJ21)-1</f>
        <v>-0.21831630873897778</v>
      </c>
      <c r="AK21" s="21" cm="1">
        <f t="array" ref="AK21">PRODUCT(1+預測IC!$C21:AK21)-1</f>
        <v>-0.13624694715163743</v>
      </c>
      <c r="AL21" s="21" cm="1">
        <f t="array" ref="AL21">PRODUCT(1+預測IC!$C21:AL21)-1</f>
        <v>-7.9774925671228347E-2</v>
      </c>
      <c r="AM21" s="21" cm="1">
        <f t="array" ref="AM21">PRODUCT(1+預測IC!$C21:AM21)-1</f>
        <v>-4.5992773023813438E-2</v>
      </c>
      <c r="AN21" s="21" cm="1">
        <f t="array" ref="AN21">PRODUCT(1+預測IC!$C21:AN21)-1</f>
        <v>6.0814113564129579E-2</v>
      </c>
      <c r="AO21" s="21" cm="1">
        <f t="array" ref="AO21">PRODUCT(1+預測IC!$C21:AO21)-1</f>
        <v>0.16157633775160352</v>
      </c>
      <c r="AP21" s="21" cm="1">
        <f t="array" ref="AP21">PRODUCT(1+預測IC!$C21:AP21)-1</f>
        <v>8.9104946875698365E-2</v>
      </c>
      <c r="AQ21" s="21" cm="1">
        <f t="array" ref="AQ21">PRODUCT(1+預測IC!$C21:AQ21)-1</f>
        <v>1.5919000379308379E-2</v>
      </c>
      <c r="AR21" s="21" cm="1">
        <f t="array" ref="AR21">PRODUCT(1+預測IC!$C21:AR21)-1</f>
        <v>-3.2833174590643943E-2</v>
      </c>
      <c r="AS21" s="21" cm="1">
        <f t="array" ref="AS21">PRODUCT(1+預測IC!$C21:AS21)-1</f>
        <v>-9.5172752448606901E-2</v>
      </c>
      <c r="AT21" s="21" cm="1">
        <f t="array" ref="AT21">PRODUCT(1+預測IC!$C21:AT21)-1</f>
        <v>-9.7428406497904851E-2</v>
      </c>
      <c r="AU21" s="21" cm="1">
        <f t="array" ref="AU21">PRODUCT(1+預測IC!$C21:AU21)-1</f>
        <v>-5.427679120211748E-2</v>
      </c>
      <c r="AV21" s="21" cm="1">
        <f t="array" ref="AV21">PRODUCT(1+預測IC!$C21:AV21)-1</f>
        <v>-0.10678408147744001</v>
      </c>
      <c r="AW21" s="21" cm="1">
        <f t="array" ref="AW21">PRODUCT(1+預測IC!$C21:AW21)-1</f>
        <v>-9.8038577663709048E-2</v>
      </c>
      <c r="AX21" s="21" cm="1">
        <f t="array" ref="AX21">PRODUCT(1+預測IC!$C21:AX21)-1</f>
        <v>3.107511413066355E-2</v>
      </c>
      <c r="AY21" s="21" cm="1">
        <f t="array" ref="AY21">PRODUCT(1+預測IC!$C21:AY21)-1</f>
        <v>7.9557597092415389E-2</v>
      </c>
      <c r="AZ21" s="21" cm="1">
        <f t="array" ref="AZ21">PRODUCT(1+預測IC!$C21:AZ21)-1</f>
        <v>-0.19563380090951332</v>
      </c>
      <c r="BA21" s="21" cm="1">
        <f t="array" ref="BA21">PRODUCT(1+預測IC!$C21:BA21)-1</f>
        <v>-0.25276968687488921</v>
      </c>
      <c r="BB21" s="21" cm="1">
        <f t="array" ref="BB21">PRODUCT(1+預測IC!$C21:BB21)-1</f>
        <v>-8.419776461918016E-2</v>
      </c>
      <c r="BC21" s="21" cm="1">
        <f t="array" ref="BC21">PRODUCT(1+預測IC!$C21:BC21)-1</f>
        <v>-4.9103171870088946E-2</v>
      </c>
      <c r="BD21" s="21" cm="1">
        <f t="array" ref="BD21">PRODUCT(1+預測IC!$C21:BD21)-1</f>
        <v>-6.9785998858306053E-2</v>
      </c>
      <c r="BE21" s="21" cm="1">
        <f t="array" ref="BE21">PRODUCT(1+預測IC!$C21:BE21)-1</f>
        <v>-6.3878643777325328E-2</v>
      </c>
      <c r="BF21" s="21" cm="1">
        <f t="array" ref="BF21">PRODUCT(1+預測IC!$C21:BF21)-1</f>
        <v>-6.0530043905072328E-2</v>
      </c>
      <c r="BG21" s="21" cm="1">
        <f t="array" ref="BG21">PRODUCT(1+預測IC!$C21:BG21)-1</f>
        <v>-1.353724897737818E-2</v>
      </c>
      <c r="BH21" s="21" cm="1">
        <f t="array" ref="BH21">PRODUCT(1+預測IC!$C21:BH21)-1</f>
        <v>-8.8825430821031226E-2</v>
      </c>
      <c r="BI21" s="21" cm="1">
        <f t="array" ref="BI21">PRODUCT(1+預測IC!$C21:BI21)-1</f>
        <v>6.2401844473622292E-2</v>
      </c>
      <c r="BJ21" s="21" cm="1">
        <f t="array" ref="BJ21">PRODUCT(1+預測IC!$C21:BJ21)-1</f>
        <v>8.7452245379971094E-2</v>
      </c>
      <c r="BK21" s="21" cm="1">
        <f t="array" ref="BK21">PRODUCT(1+預測IC!$C21:BK21)-1</f>
        <v>1.3016269265255564E-2</v>
      </c>
      <c r="BL21" s="21" cm="1">
        <f t="array" ref="BL21">PRODUCT(1+預測IC!$C21:BL21)-1</f>
        <v>0.15759505808332164</v>
      </c>
      <c r="BM21" s="21" cm="1">
        <f t="array" ref="BM21">PRODUCT(1+預測IC!$C21:BM21)-1</f>
        <v>0.33716120803225236</v>
      </c>
      <c r="BN21" s="21" cm="1">
        <f t="array" ref="BN21">PRODUCT(1+預測IC!$C21:BN21)-1</f>
        <v>0.42226877505834071</v>
      </c>
      <c r="BO21" s="21" cm="1">
        <f t="array" ref="BO21">PRODUCT(1+預測IC!$C21:BO21)-1</f>
        <v>0.4070954548721426</v>
      </c>
      <c r="BP21" s="21" cm="1">
        <f t="array" ref="BP21">PRODUCT(1+預測IC!$C21:BP21)-1</f>
        <v>0.55414977587084491</v>
      </c>
      <c r="BQ21" s="21" cm="1">
        <f t="array" ref="BQ21">PRODUCT(1+預測IC!$C21:BQ21)-1</f>
        <v>0.63891657169778671</v>
      </c>
      <c r="BR21" s="21" cm="1">
        <f t="array" ref="BR21">PRODUCT(1+預測IC!$C21:BR21)-1</f>
        <v>0.66180118521877973</v>
      </c>
      <c r="BS21" s="21" cm="1">
        <f t="array" ref="BS21">PRODUCT(1+預測IC!$C21:BS21)-1</f>
        <v>0.62012345343430164</v>
      </c>
      <c r="BT21" s="21" cm="1">
        <f t="array" ref="BT21">PRODUCT(1+預測IC!$C21:BT21)-1</f>
        <v>0.83437618373453826</v>
      </c>
      <c r="BU21" s="21" cm="1">
        <f t="array" ref="BU21">PRODUCT(1+預測IC!$C21:BU21)-1</f>
        <v>1.0560072373749598</v>
      </c>
      <c r="BV21" s="21" cm="1">
        <f t="array" ref="BV21">PRODUCT(1+預測IC!$C21:BV21)-1</f>
        <v>1.348254274498442</v>
      </c>
      <c r="BW21" s="21" cm="1">
        <f t="array" ref="BW21">PRODUCT(1+預測IC!$C21:BW21)-1</f>
        <v>1.0038142233141127</v>
      </c>
      <c r="BX21" s="21" cm="1">
        <f t="array" ref="BX21">PRODUCT(1+預測IC!$C21:BX21)-1</f>
        <v>0.97293959890494097</v>
      </c>
      <c r="BY21" s="21" cm="1">
        <f t="array" ref="BY21">PRODUCT(1+預測IC!$C21:BY21)-1</f>
        <v>0.87354319544977965</v>
      </c>
      <c r="BZ21" s="21" cm="1">
        <f t="array" ref="BZ21">PRODUCT(1+預測IC!$C21:BZ21)-1</f>
        <v>1.0574440323821857</v>
      </c>
      <c r="CA21" s="21" cm="1">
        <f t="array" ref="CA21">PRODUCT(1+預測IC!$C21:CA21)-1</f>
        <v>1.0069212956794851</v>
      </c>
      <c r="CB21" s="21" cm="1">
        <f t="array" ref="CB21">PRODUCT(1+預測IC!$C21:CB21)-1</f>
        <v>0.78165720286269424</v>
      </c>
      <c r="CC21" s="21" cm="1">
        <f t="array" ref="CC21">PRODUCT(1+預測IC!$C21:CC21)-1</f>
        <v>0.69846530412409091</v>
      </c>
      <c r="CD21" s="21" cm="1">
        <f t="array" ref="CD21">PRODUCT(1+預測IC!$C21:CD21)-1</f>
        <v>1.1877185350862876</v>
      </c>
      <c r="CE21" s="21" cm="1">
        <f t="array" ref="CE21">PRODUCT(1+預測IC!$C21:CE21)-1</f>
        <v>0.51917513555750294</v>
      </c>
      <c r="CF21" s="21" cm="1">
        <f t="array" ref="CF21">PRODUCT(1+預測IC!$C21:CF21)-1</f>
        <v>0.71859068790581926</v>
      </c>
      <c r="CG21" s="21" cm="1">
        <f t="array" ref="CG21">PRODUCT(1+預測IC!$C21:CG21)-1</f>
        <v>0.47154123284403249</v>
      </c>
      <c r="CH21" s="21" cm="1">
        <f t="array" ref="CH21">PRODUCT(1+預測IC!$C21:CH21)-1</f>
        <v>0.58941215807172376</v>
      </c>
      <c r="CI21" s="21" cm="1">
        <f t="array" ref="CI21">PRODUCT(1+預測IC!$C21:CI21)-1</f>
        <v>0.46146508905978667</v>
      </c>
      <c r="CJ21" s="21" cm="1">
        <f t="array" ref="CJ21">PRODUCT(1+預測IC!$C21:CJ21)-1</f>
        <v>0.35659815563373964</v>
      </c>
      <c r="CK21" s="21" cm="1">
        <f t="array" ref="CK21">PRODUCT(1+預測IC!$C21:CK21)-1</f>
        <v>0.5289546930000979</v>
      </c>
      <c r="CL21" s="21" cm="1">
        <f t="array" ref="CL21">PRODUCT(1+預測IC!$C21:CL21)-1</f>
        <v>0.20718254528493829</v>
      </c>
      <c r="CM21" s="21" cm="1">
        <f t="array" ref="CM21">PRODUCT(1+預測IC!$C21:CM21)-1</f>
        <v>0.47940581679507988</v>
      </c>
      <c r="CN21" s="21" cm="1">
        <f t="array" ref="CN21">PRODUCT(1+預測IC!$C21:CN21)-1</f>
        <v>0.52458522860101175</v>
      </c>
      <c r="CO21" s="21" cm="1">
        <f t="array" ref="CO21">PRODUCT(1+預測IC!$C21:CO21)-1</f>
        <v>-0.26037072413086582</v>
      </c>
      <c r="CP21" s="21" cm="1">
        <f t="array" ref="CP21">PRODUCT(1+預測IC!$C21:CP21)-1</f>
        <v>-9.5655239367723244E-2</v>
      </c>
      <c r="CQ21" s="21" cm="1">
        <f t="array" ref="CQ21">PRODUCT(1+預測IC!$C21:CQ21)-1</f>
        <v>-9.268167084365897E-2</v>
      </c>
      <c r="CR21" s="21" cm="1">
        <f t="array" ref="CR21">PRODUCT(1+預測IC!$C21:CR21)-1</f>
        <v>-1.0275138700304942E-2</v>
      </c>
      <c r="CS21" s="21" cm="1">
        <f t="array" ref="CS21">PRODUCT(1+預測IC!$C21:CS21)-1</f>
        <v>5.8655631066082403E-2</v>
      </c>
      <c r="CT21" s="21" cm="1">
        <f t="array" ref="CT21">PRODUCT(1+預測IC!$C21:CT21)-1</f>
        <v>0.1457754443099335</v>
      </c>
      <c r="CU21" s="21" cm="1">
        <f t="array" ref="CU21">PRODUCT(1+預測IC!$C21:CU21)-1</f>
        <v>7.3965618060249261E-2</v>
      </c>
      <c r="CV21" s="21" cm="1">
        <f t="array" ref="CV21">PRODUCT(1+預測IC!$C21:CV21)-1</f>
        <v>0.17945656966345669</v>
      </c>
      <c r="CW21" s="21" cm="1">
        <f t="array" ref="CW21">PRODUCT(1+預測IC!$C21:CW21)-1</f>
        <v>0.25612763613923306</v>
      </c>
      <c r="CX21" s="21" cm="1">
        <f t="array" ref="CX21">PRODUCT(1+預測IC!$C21:CX21)-1</f>
        <v>0.38440612324516743</v>
      </c>
      <c r="CY21" s="21" cm="1">
        <f t="array" ref="CY21">PRODUCT(1+預測IC!$C21:CY21)-1</f>
        <v>0.37266370623873457</v>
      </c>
      <c r="CZ21" s="21" cm="1">
        <f t="array" ref="CZ21">PRODUCT(1+預測IC!$C21:CZ21)-1</f>
        <v>0.69860458496798672</v>
      </c>
      <c r="DA21" s="21" cm="1">
        <f t="array" ref="DA21">PRODUCT(1+預測IC!$C21:DA21)-1</f>
        <v>0.70062975725184895</v>
      </c>
      <c r="DB21" s="21" cm="1">
        <f t="array" ref="DB21">PRODUCT(1+預測IC!$C21:DB21)-1</f>
        <v>0.64202025839023436</v>
      </c>
      <c r="DC21" s="21" cm="1">
        <f t="array" ref="DC21">PRODUCT(1+預測IC!$C21:DC21)-1</f>
        <v>0.57872650107305335</v>
      </c>
      <c r="DD21" s="21" cm="1">
        <f t="array" ref="DD21">PRODUCT(1+預測IC!$C21:DD21)-1</f>
        <v>0.77026184517143026</v>
      </c>
      <c r="DE21" s="21" cm="1">
        <f t="array" ref="DE21">PRODUCT(1+預測IC!$C21:DE21)-1</f>
        <v>0.79192650186239621</v>
      </c>
      <c r="DF21" s="21" cm="1">
        <f t="array" ref="DF21">PRODUCT(1+預測IC!$C21:DF21)-1</f>
        <v>0.80577551204242415</v>
      </c>
      <c r="DG21" s="21" cm="1">
        <f t="array" ref="DG21">PRODUCT(1+預測IC!$C21:DG21)-1</f>
        <v>0.81994430952515507</v>
      </c>
      <c r="DH21" s="21" cm="1">
        <f t="array" ref="DH21">PRODUCT(1+預測IC!$C21:DH21)-1</f>
        <v>0.84556333836702047</v>
      </c>
      <c r="DI21" s="21" cm="1">
        <f t="array" ref="DI21">PRODUCT(1+預測IC!$C21:DI21)-1</f>
        <v>0.90906451884657935</v>
      </c>
      <c r="DJ21" s="21" cm="1">
        <f t="array" ref="DJ21">PRODUCT(1+預測IC!$C21:DJ21)-1</f>
        <v>0.83668937597160076</v>
      </c>
      <c r="DK21" s="21" cm="1">
        <f t="array" ref="DK21">PRODUCT(1+預測IC!$C21:DK21)-1</f>
        <v>1.0929125155051636</v>
      </c>
      <c r="DL21" s="21" cm="1">
        <f t="array" ref="DL21">PRODUCT(1+預測IC!$C21:DL21)-1</f>
        <v>1.2987817270889948</v>
      </c>
      <c r="DM21" s="21" cm="1">
        <f t="array" ref="DM21">PRODUCT(1+預測IC!$C21:DM21)-1</f>
        <v>1.2301995980116258</v>
      </c>
      <c r="DN21" s="21" cm="1">
        <f t="array" ref="DN21">PRODUCT(1+預測IC!$C21:DN21)-1</f>
        <v>1.3683845078867396</v>
      </c>
      <c r="DO21" s="21" cm="1">
        <f t="array" ref="DO21">PRODUCT(1+預測IC!$C21:DO21)-1</f>
        <v>1.5636478451831692</v>
      </c>
      <c r="DP21" s="21" cm="1">
        <f t="array" ref="DP21">PRODUCT(1+預測IC!$C21:DP21)-1</f>
        <v>1.6258577213996706</v>
      </c>
      <c r="DQ21" s="21" cm="1">
        <f t="array" ref="DQ21">PRODUCT(1+預測IC!$C21:DQ21)-1</f>
        <v>1.2903954876965669</v>
      </c>
      <c r="DR21" s="21" cm="1">
        <f t="array" ref="DR21">PRODUCT(1+預測IC!$C21:DR21)-1</f>
        <v>1.4053065968489569</v>
      </c>
      <c r="DS21" s="21" cm="1">
        <f t="array" ref="DS21">PRODUCT(1+預測IC!$C21:DS21)-1</f>
        <v>0.92222608552043628</v>
      </c>
      <c r="DT21" s="21" cm="1">
        <f t="array" ref="DT21">PRODUCT(1+預測IC!$C21:DT21)-1</f>
        <v>0.59435043917028429</v>
      </c>
      <c r="DU21" s="21" cm="1">
        <f t="array" ref="DU21">PRODUCT(1+預測IC!$C21:DU21)-1</f>
        <v>0.54956466660073566</v>
      </c>
      <c r="DV21" s="21" cm="1">
        <f t="array" ref="DV21">PRODUCT(1+預測IC!$C21:DV21)-1</f>
        <v>0.76693136393120076</v>
      </c>
      <c r="DW21" s="21" cm="1">
        <f t="array" ref="DW21">PRODUCT(1+預測IC!$C21:DW21)-1</f>
        <v>0.97780970550724278</v>
      </c>
      <c r="DX21" s="21" cm="1">
        <f t="array" ref="DX21">PRODUCT(1+預測IC!$C21:DX21)-1</f>
        <v>0.61000392249993096</v>
      </c>
      <c r="DY21" s="21" cm="1">
        <f t="array" ref="DY21">PRODUCT(1+預測IC!$C21:DY21)-1</f>
        <v>0.64960357179392747</v>
      </c>
      <c r="DZ21" s="21" cm="1">
        <f t="array" ref="DZ21">PRODUCT(1+預測IC!$C21:DZ21)-1</f>
        <v>0.5624318108479589</v>
      </c>
      <c r="EA21" s="21" cm="1">
        <f t="array" ref="EA21">PRODUCT(1+預測IC!$C21:EA21)-1</f>
        <v>0.52141657512236073</v>
      </c>
      <c r="EB21" s="21" cm="1">
        <f t="array" ref="EB21">PRODUCT(1+預測IC!$C21:EB21)-1</f>
        <v>0.53420886807234158</v>
      </c>
      <c r="EC21" s="21" cm="1">
        <f t="array" ref="EC21">PRODUCT(1+預測IC!$C21:EC21)-1</f>
        <v>0.53891116992969801</v>
      </c>
      <c r="ED21" s="21" cm="1">
        <f t="array" ref="ED21">PRODUCT(1+預測IC!$C21:ED21)-1</f>
        <v>0.45504227114708873</v>
      </c>
      <c r="EE21" s="21" cm="1">
        <f t="array" ref="EE21">PRODUCT(1+預測IC!$C21:EE21)-1</f>
        <v>0.47603686088896668</v>
      </c>
      <c r="EF21" s="21" cm="1">
        <f t="array" ref="EF21">PRODUCT(1+預測IC!$C21:EF21)-1</f>
        <v>0.46424096049587793</v>
      </c>
    </row>
    <row r="22" spans="1:136">
      <c r="A22" s="4">
        <v>321</v>
      </c>
      <c r="B22" s="4">
        <v>3</v>
      </c>
      <c r="C22" s="21" cm="1">
        <f t="array" ref="C22">PRODUCT(1+預測IC!$C22:C22)-1</f>
        <v>6.4235717628454703E-2</v>
      </c>
      <c r="D22" s="21" cm="1">
        <f t="array" ref="D22">PRODUCT(1+預測IC!$C22:D22)-1</f>
        <v>0.21581410139979695</v>
      </c>
      <c r="E22" s="21" cm="1">
        <f t="array" ref="E22">PRODUCT(1+預測IC!$C22:E22)-1</f>
        <v>0.16593224944781282</v>
      </c>
      <c r="F22" s="21" cm="1">
        <f t="array" ref="F22">PRODUCT(1+預測IC!$C22:F22)-1</f>
        <v>2.8556375820461E-3</v>
      </c>
      <c r="G22" s="21" cm="1">
        <f t="array" ref="G22">PRODUCT(1+預測IC!$C22:G22)-1</f>
        <v>0.23646617836380845</v>
      </c>
      <c r="H22" s="21" cm="1">
        <f t="array" ref="H22">PRODUCT(1+預測IC!$C22:H22)-1</f>
        <v>0.3900080754606694</v>
      </c>
      <c r="I22" s="21" cm="1">
        <f t="array" ref="I22">PRODUCT(1+預測IC!$C22:I22)-1</f>
        <v>0.5616645781048184</v>
      </c>
      <c r="J22" s="21" cm="1">
        <f t="array" ref="J22">PRODUCT(1+預測IC!$C22:J22)-1</f>
        <v>0.39885792250823493</v>
      </c>
      <c r="K22" s="21" cm="1">
        <f t="array" ref="K22">PRODUCT(1+預測IC!$C22:K22)-1</f>
        <v>0.43894452770757919</v>
      </c>
      <c r="L22" s="21" cm="1">
        <f t="array" ref="L22">PRODUCT(1+預測IC!$C22:L22)-1</f>
        <v>0.45948114400702189</v>
      </c>
      <c r="M22" s="21" cm="1">
        <f t="array" ref="M22">PRODUCT(1+預測IC!$C22:M22)-1</f>
        <v>0.18996849101753854</v>
      </c>
      <c r="N22" s="21" cm="1">
        <f t="array" ref="N22">PRODUCT(1+預測IC!$C22:N22)-1</f>
        <v>1.0897540424086856</v>
      </c>
      <c r="O22" s="21" cm="1">
        <f t="array" ref="O22">PRODUCT(1+預測IC!$C22:O22)-1</f>
        <v>0.95090590773828709</v>
      </c>
      <c r="P22" s="21" cm="1">
        <f t="array" ref="P22">PRODUCT(1+預測IC!$C22:P22)-1</f>
        <v>0.80891334910914692</v>
      </c>
      <c r="Q22" s="21" cm="1">
        <f t="array" ref="Q22">PRODUCT(1+預測IC!$C22:Q22)-1</f>
        <v>1.039142192645897</v>
      </c>
      <c r="R22" s="21" cm="1">
        <f t="array" ref="R22">PRODUCT(1+預測IC!$C22:R22)-1</f>
        <v>1.1751482188969291</v>
      </c>
      <c r="S22" s="21" cm="1">
        <f t="array" ref="S22">PRODUCT(1+預測IC!$C22:S22)-1</f>
        <v>0.80614181573307575</v>
      </c>
      <c r="T22" s="21" cm="1">
        <f t="array" ref="T22">PRODUCT(1+預測IC!$C22:T22)-1</f>
        <v>0.61677145863709404</v>
      </c>
      <c r="U22" s="21" cm="1">
        <f t="array" ref="U22">PRODUCT(1+預測IC!$C22:U22)-1</f>
        <v>0.70162663079602283</v>
      </c>
      <c r="V22" s="21" cm="1">
        <f t="array" ref="V22">PRODUCT(1+預測IC!$C22:V22)-1</f>
        <v>0.40278072259797892</v>
      </c>
      <c r="W22" s="21" cm="1">
        <f t="array" ref="W22">PRODUCT(1+預測IC!$C22:W22)-1</f>
        <v>0.62448741024314436</v>
      </c>
      <c r="X22" s="21" cm="1">
        <f t="array" ref="X22">PRODUCT(1+預測IC!$C22:X22)-1</f>
        <v>0.27538498824581503</v>
      </c>
      <c r="Y22" s="21" cm="1">
        <f t="array" ref="Y22">PRODUCT(1+預測IC!$C22:Y22)-1</f>
        <v>0.1862899939935978</v>
      </c>
      <c r="Z22" s="21" cm="1">
        <f t="array" ref="Z22">PRODUCT(1+預測IC!$C22:Z22)-1</f>
        <v>0.21460436357023704</v>
      </c>
      <c r="AA22" s="21" cm="1">
        <f t="array" ref="AA22">PRODUCT(1+預測IC!$C22:AA22)-1</f>
        <v>0.35807666994012277</v>
      </c>
      <c r="AB22" s="21" cm="1">
        <f t="array" ref="AB22">PRODUCT(1+預測IC!$C22:AB22)-1</f>
        <v>0.30609854885928112</v>
      </c>
      <c r="AC22" s="21" cm="1">
        <f t="array" ref="AC22">PRODUCT(1+預測IC!$C22:AC22)-1</f>
        <v>7.4643083551196199E-2</v>
      </c>
      <c r="AD22" s="21" cm="1">
        <f t="array" ref="AD22">PRODUCT(1+預測IC!$C22:AD22)-1</f>
        <v>8.922742305243081E-2</v>
      </c>
      <c r="AE22" s="21" cm="1">
        <f t="array" ref="AE22">PRODUCT(1+預測IC!$C22:AE22)-1</f>
        <v>-0.1968970682886334</v>
      </c>
      <c r="AF22" s="21" cm="1">
        <f t="array" ref="AF22">PRODUCT(1+預測IC!$C22:AF22)-1</f>
        <v>-0.26628783859826788</v>
      </c>
      <c r="AG22" s="21" cm="1">
        <f t="array" ref="AG22">PRODUCT(1+預測IC!$C22:AG22)-1</f>
        <v>-0.30001683122862599</v>
      </c>
      <c r="AH22" s="21" cm="1">
        <f t="array" ref="AH22">PRODUCT(1+預測IC!$C22:AH22)-1</f>
        <v>-0.29967617275315717</v>
      </c>
      <c r="AI22" s="21" cm="1">
        <f t="array" ref="AI22">PRODUCT(1+預測IC!$C22:AI22)-1</f>
        <v>-0.22193695975089711</v>
      </c>
      <c r="AJ22" s="21" cm="1">
        <f t="array" ref="AJ22">PRODUCT(1+預測IC!$C22:AJ22)-1</f>
        <v>-0.21175885776705194</v>
      </c>
      <c r="AK22" s="21" cm="1">
        <f t="array" ref="AK22">PRODUCT(1+預測IC!$C22:AK22)-1</f>
        <v>-0.26556945307682123</v>
      </c>
      <c r="AL22" s="21" cm="1">
        <f t="array" ref="AL22">PRODUCT(1+預測IC!$C22:AL22)-1</f>
        <v>-0.23594181476141962</v>
      </c>
      <c r="AM22" s="21" cm="1">
        <f t="array" ref="AM22">PRODUCT(1+預測IC!$C22:AM22)-1</f>
        <v>-0.20425377495895825</v>
      </c>
      <c r="AN22" s="21" cm="1">
        <f t="array" ref="AN22">PRODUCT(1+預測IC!$C22:AN22)-1</f>
        <v>-0.11582026119097633</v>
      </c>
      <c r="AO22" s="21" cm="1">
        <f t="array" ref="AO22">PRODUCT(1+預測IC!$C22:AO22)-1</f>
        <v>5.2768942146956821E-2</v>
      </c>
      <c r="AP22" s="21" cm="1">
        <f t="array" ref="AP22">PRODUCT(1+預測IC!$C22:AP22)-1</f>
        <v>-1.3067388981433004E-2</v>
      </c>
      <c r="AQ22" s="21" cm="1">
        <f t="array" ref="AQ22">PRODUCT(1+預測IC!$C22:AQ22)-1</f>
        <v>-0.1217576194778337</v>
      </c>
      <c r="AR22" s="21" cm="1">
        <f t="array" ref="AR22">PRODUCT(1+預測IC!$C22:AR22)-1</f>
        <v>-0.18141194042734166</v>
      </c>
      <c r="AS22" s="21" cm="1">
        <f t="array" ref="AS22">PRODUCT(1+預測IC!$C22:AS22)-1</f>
        <v>-0.24919957691766592</v>
      </c>
      <c r="AT22" s="21" cm="1">
        <f t="array" ref="AT22">PRODUCT(1+預測IC!$C22:AT22)-1</f>
        <v>-0.24425901705957509</v>
      </c>
      <c r="AU22" s="21" cm="1">
        <f t="array" ref="AU22">PRODUCT(1+預測IC!$C22:AU22)-1</f>
        <v>-0.20409683142373303</v>
      </c>
      <c r="AV22" s="21" cm="1">
        <f t="array" ref="AV22">PRODUCT(1+預測IC!$C22:AV22)-1</f>
        <v>-0.25170232826267791</v>
      </c>
      <c r="AW22" s="21" cm="1">
        <f t="array" ref="AW22">PRODUCT(1+預測IC!$C22:AW22)-1</f>
        <v>-0.27426304601058504</v>
      </c>
      <c r="AX22" s="21" cm="1">
        <f t="array" ref="AX22">PRODUCT(1+預測IC!$C22:AX22)-1</f>
        <v>-0.14815652539423785</v>
      </c>
      <c r="AY22" s="21" cm="1">
        <f t="array" ref="AY22">PRODUCT(1+預測IC!$C22:AY22)-1</f>
        <v>-8.7050909185892866E-2</v>
      </c>
      <c r="AZ22" s="21" cm="1">
        <f t="array" ref="AZ22">PRODUCT(1+預測IC!$C22:AZ22)-1</f>
        <v>-0.22847017276785864</v>
      </c>
      <c r="BA22" s="21" cm="1">
        <f t="array" ref="BA22">PRODUCT(1+預測IC!$C22:BA22)-1</f>
        <v>-0.26365071785936822</v>
      </c>
      <c r="BB22" s="21" cm="1">
        <f t="array" ref="BB22">PRODUCT(1+預測IC!$C22:BB22)-1</f>
        <v>-4.1324819940266933E-2</v>
      </c>
      <c r="BC22" s="21" cm="1">
        <f t="array" ref="BC22">PRODUCT(1+預測IC!$C22:BC22)-1</f>
        <v>-0.16675494515375511</v>
      </c>
      <c r="BD22" s="21" cm="1">
        <f t="array" ref="BD22">PRODUCT(1+預測IC!$C22:BD22)-1</f>
        <v>-0.15596659659426526</v>
      </c>
      <c r="BE22" s="21" cm="1">
        <f t="array" ref="BE22">PRODUCT(1+預測IC!$C22:BE22)-1</f>
        <v>-0.1372153957131359</v>
      </c>
      <c r="BF22" s="21" cm="1">
        <f t="array" ref="BF22">PRODUCT(1+預測IC!$C22:BF22)-1</f>
        <v>-0.12544803409295313</v>
      </c>
      <c r="BG22" s="21" cm="1">
        <f t="array" ref="BG22">PRODUCT(1+預測IC!$C22:BG22)-1</f>
        <v>-8.4974195744871972E-2</v>
      </c>
      <c r="BH22" s="21" cm="1">
        <f t="array" ref="BH22">PRODUCT(1+預測IC!$C22:BH22)-1</f>
        <v>-0.20206139391074351</v>
      </c>
      <c r="BI22" s="21" cm="1">
        <f t="array" ref="BI22">PRODUCT(1+預測IC!$C22:BI22)-1</f>
        <v>-0.11341941599256178</v>
      </c>
      <c r="BJ22" s="21" cm="1">
        <f t="array" ref="BJ22">PRODUCT(1+預測IC!$C22:BJ22)-1</f>
        <v>-6.4660662129920055E-2</v>
      </c>
      <c r="BK22" s="21" cm="1">
        <f t="array" ref="BK22">PRODUCT(1+預測IC!$C22:BK22)-1</f>
        <v>-0.10379491950083963</v>
      </c>
      <c r="BL22" s="21" cm="1">
        <f t="array" ref="BL22">PRODUCT(1+預測IC!$C22:BL22)-1</f>
        <v>4.1193442299499061E-2</v>
      </c>
      <c r="BM22" s="21" cm="1">
        <f t="array" ref="BM22">PRODUCT(1+預測IC!$C22:BM22)-1</f>
        <v>0.15114813118533688</v>
      </c>
      <c r="BN22" s="21" cm="1">
        <f t="array" ref="BN22">PRODUCT(1+預測IC!$C22:BN22)-1</f>
        <v>0.1335038483183657</v>
      </c>
      <c r="BO22" s="21" cm="1">
        <f t="array" ref="BO22">PRODUCT(1+預測IC!$C22:BO22)-1</f>
        <v>2.3539357905850933E-2</v>
      </c>
      <c r="BP22" s="21" cm="1">
        <f t="array" ref="BP22">PRODUCT(1+預測IC!$C22:BP22)-1</f>
        <v>0.10013648886013948</v>
      </c>
      <c r="BQ22" s="21" cm="1">
        <f t="array" ref="BQ22">PRODUCT(1+預測IC!$C22:BQ22)-1</f>
        <v>0.13075339449655465</v>
      </c>
      <c r="BR22" s="21" cm="1">
        <f t="array" ref="BR22">PRODUCT(1+預測IC!$C22:BR22)-1</f>
        <v>0.15428845405247182</v>
      </c>
      <c r="BS22" s="21" cm="1">
        <f t="array" ref="BS22">PRODUCT(1+預測IC!$C22:BS22)-1</f>
        <v>0.13538954039421869</v>
      </c>
      <c r="BT22" s="21" cm="1">
        <f t="array" ref="BT22">PRODUCT(1+預測IC!$C22:BT22)-1</f>
        <v>0.28359273566283383</v>
      </c>
      <c r="BU22" s="21" cm="1">
        <f t="array" ref="BU22">PRODUCT(1+預測IC!$C22:BU22)-1</f>
        <v>0.55693222494594741</v>
      </c>
      <c r="BV22" s="21" cm="1">
        <f t="array" ref="BV22">PRODUCT(1+預測IC!$C22:BV22)-1</f>
        <v>0.80377444464272552</v>
      </c>
      <c r="BW22" s="21" cm="1">
        <f t="array" ref="BW22">PRODUCT(1+預測IC!$C22:BW22)-1</f>
        <v>0.48871187179677666</v>
      </c>
      <c r="BX22" s="21" cm="1">
        <f t="array" ref="BX22">PRODUCT(1+預測IC!$C22:BX22)-1</f>
        <v>0.54325447215072575</v>
      </c>
      <c r="BY22" s="21" cm="1">
        <f t="array" ref="BY22">PRODUCT(1+預測IC!$C22:BY22)-1</f>
        <v>0.5359289728063612</v>
      </c>
      <c r="BZ22" s="21" cm="1">
        <f t="array" ref="BZ22">PRODUCT(1+預測IC!$C22:BZ22)-1</f>
        <v>0.60851349850740744</v>
      </c>
      <c r="CA22" s="21" cm="1">
        <f t="array" ref="CA22">PRODUCT(1+預測IC!$C22:CA22)-1</f>
        <v>0.56429533619677907</v>
      </c>
      <c r="CB22" s="21" cm="1">
        <f t="array" ref="CB22">PRODUCT(1+預測IC!$C22:CB22)-1</f>
        <v>0.33122584591200721</v>
      </c>
      <c r="CC22" s="21" cm="1">
        <f t="array" ref="CC22">PRODUCT(1+預測IC!$C22:CC22)-1</f>
        <v>0.31127649017596104</v>
      </c>
      <c r="CD22" s="21" cm="1">
        <f t="array" ref="CD22">PRODUCT(1+預測IC!$C22:CD22)-1</f>
        <v>0.74908291030346108</v>
      </c>
      <c r="CE22" s="21" cm="1">
        <f t="array" ref="CE22">PRODUCT(1+預測IC!$C22:CE22)-1</f>
        <v>6.1015838346415663E-2</v>
      </c>
      <c r="CF22" s="21" cm="1">
        <f t="array" ref="CF22">PRODUCT(1+預測IC!$C22:CF22)-1</f>
        <v>0.26133540131448019</v>
      </c>
      <c r="CG22" s="21" cm="1">
        <f t="array" ref="CG22">PRODUCT(1+預測IC!$C22:CG22)-1</f>
        <v>4.9524673387078E-3</v>
      </c>
      <c r="CH22" s="21" cm="1">
        <f t="array" ref="CH22">PRODUCT(1+預測IC!$C22:CH22)-1</f>
        <v>0.12144532254686058</v>
      </c>
      <c r="CI22" s="21" cm="1">
        <f t="array" ref="CI22">PRODUCT(1+預測IC!$C22:CI22)-1</f>
        <v>-1.0638223007761294E-2</v>
      </c>
      <c r="CJ22" s="21" cm="1">
        <f t="array" ref="CJ22">PRODUCT(1+預測IC!$C22:CJ22)-1</f>
        <v>-0.11291795386774928</v>
      </c>
      <c r="CK22" s="21" cm="1">
        <f t="array" ref="CK22">PRODUCT(1+預測IC!$C22:CK22)-1</f>
        <v>-8.0838101915006066E-2</v>
      </c>
      <c r="CL22" s="21" cm="1">
        <f t="array" ref="CL22">PRODUCT(1+預測IC!$C22:CL22)-1</f>
        <v>-0.30203606591676635</v>
      </c>
      <c r="CM22" s="21" cm="1">
        <f t="array" ref="CM22">PRODUCT(1+預測IC!$C22:CM22)-1</f>
        <v>-9.141828915629302E-2</v>
      </c>
      <c r="CN22" s="21" cm="1">
        <f t="array" ref="CN22">PRODUCT(1+預測IC!$C22:CN22)-1</f>
        <v>-9.9183729719523828E-2</v>
      </c>
      <c r="CO22" s="21" cm="1">
        <f t="array" ref="CO22">PRODUCT(1+預測IC!$C22:CO22)-1</f>
        <v>-0.6846750912923989</v>
      </c>
      <c r="CP22" s="21" cm="1">
        <f t="array" ref="CP22">PRODUCT(1+預測IC!$C22:CP22)-1</f>
        <v>-0.60287711174805159</v>
      </c>
      <c r="CQ22" s="21" cm="1">
        <f t="array" ref="CQ22">PRODUCT(1+預測IC!$C22:CQ22)-1</f>
        <v>-0.60777513781692161</v>
      </c>
      <c r="CR22" s="21" cm="1">
        <f t="array" ref="CR22">PRODUCT(1+預測IC!$C22:CR22)-1</f>
        <v>-0.54429337862770999</v>
      </c>
      <c r="CS22" s="21" cm="1">
        <f t="array" ref="CS22">PRODUCT(1+預測IC!$C22:CS22)-1</f>
        <v>-0.55122111431773901</v>
      </c>
      <c r="CT22" s="21" cm="1">
        <f t="array" ref="CT22">PRODUCT(1+預測IC!$C22:CT22)-1</f>
        <v>-0.52508758827313151</v>
      </c>
      <c r="CU22" s="21" cm="1">
        <f t="array" ref="CU22">PRODUCT(1+預測IC!$C22:CU22)-1</f>
        <v>-0.57772755419447985</v>
      </c>
      <c r="CV22" s="21" cm="1">
        <f t="array" ref="CV22">PRODUCT(1+預測IC!$C22:CV22)-1</f>
        <v>-0.5303343572176058</v>
      </c>
      <c r="CW22" s="21" cm="1">
        <f t="array" ref="CW22">PRODUCT(1+預測IC!$C22:CW22)-1</f>
        <v>-0.51321445589394854</v>
      </c>
      <c r="CX22" s="21" cm="1">
        <f t="array" ref="CX22">PRODUCT(1+預測IC!$C22:CX22)-1</f>
        <v>-0.51138920809488231</v>
      </c>
      <c r="CY22" s="21" cm="1">
        <f t="array" ref="CY22">PRODUCT(1+預測IC!$C22:CY22)-1</f>
        <v>-0.51529263458246866</v>
      </c>
      <c r="CZ22" s="21" cm="1">
        <f t="array" ref="CZ22">PRODUCT(1+預測IC!$C22:CZ22)-1</f>
        <v>-0.38785313917807074</v>
      </c>
      <c r="DA22" s="21" cm="1">
        <f t="array" ref="DA22">PRODUCT(1+預測IC!$C22:DA22)-1</f>
        <v>-0.39029667878606433</v>
      </c>
      <c r="DB22" s="21" cm="1">
        <f t="array" ref="DB22">PRODUCT(1+預測IC!$C22:DB22)-1</f>
        <v>-0.40874834910850455</v>
      </c>
      <c r="DC22" s="21" cm="1">
        <f t="array" ref="DC22">PRODUCT(1+預測IC!$C22:DC22)-1</f>
        <v>-0.43209943689223451</v>
      </c>
      <c r="DD22" s="21" cm="1">
        <f t="array" ref="DD22">PRODUCT(1+預測IC!$C22:DD22)-1</f>
        <v>-0.34811029276082173</v>
      </c>
      <c r="DE22" s="21" cm="1">
        <f t="array" ref="DE22">PRODUCT(1+預測IC!$C22:DE22)-1</f>
        <v>-0.35169031326390365</v>
      </c>
      <c r="DF22" s="21" cm="1">
        <f t="array" ref="DF22">PRODUCT(1+預測IC!$C22:DF22)-1</f>
        <v>-0.34064844837174679</v>
      </c>
      <c r="DG22" s="21" cm="1">
        <f t="array" ref="DG22">PRODUCT(1+預測IC!$C22:DG22)-1</f>
        <v>-0.31955906058746697</v>
      </c>
      <c r="DH22" s="21" cm="1">
        <f t="array" ref="DH22">PRODUCT(1+預測IC!$C22:DH22)-1</f>
        <v>-0.31007007612993054</v>
      </c>
      <c r="DI22" s="21" cm="1">
        <f t="array" ref="DI22">PRODUCT(1+預測IC!$C22:DI22)-1</f>
        <v>-0.26621744074782128</v>
      </c>
      <c r="DJ22" s="21" cm="1">
        <f t="array" ref="DJ22">PRODUCT(1+預測IC!$C22:DJ22)-1</f>
        <v>-0.30308708350023028</v>
      </c>
      <c r="DK22" s="21" cm="1">
        <f t="array" ref="DK22">PRODUCT(1+預測IC!$C22:DK22)-1</f>
        <v>-0.17824578764360322</v>
      </c>
      <c r="DL22" s="21" cm="1">
        <f t="array" ref="DL22">PRODUCT(1+預測IC!$C22:DL22)-1</f>
        <v>-7.5574462316659652E-2</v>
      </c>
      <c r="DM22" s="21" cm="1">
        <f t="array" ref="DM22">PRODUCT(1+預測IC!$C22:DM22)-1</f>
        <v>-0.13424410067213211</v>
      </c>
      <c r="DN22" s="21" cm="1">
        <f t="array" ref="DN22">PRODUCT(1+預測IC!$C22:DN22)-1</f>
        <v>-9.3758473407307363E-2</v>
      </c>
      <c r="DO22" s="21" cm="1">
        <f t="array" ref="DO22">PRODUCT(1+預測IC!$C22:DO22)-1</f>
        <v>1.8105716220139234E-2</v>
      </c>
      <c r="DP22" s="21" cm="1">
        <f t="array" ref="DP22">PRODUCT(1+預測IC!$C22:DP22)-1</f>
        <v>2.0317371029084486E-2</v>
      </c>
      <c r="DQ22" s="21" cm="1">
        <f t="array" ref="DQ22">PRODUCT(1+預測IC!$C22:DQ22)-1</f>
        <v>-0.1133758383112683</v>
      </c>
      <c r="DR22" s="21" cm="1">
        <f t="array" ref="DR22">PRODUCT(1+預測IC!$C22:DR22)-1</f>
        <v>-0.11877764266636914</v>
      </c>
      <c r="DS22" s="21" cm="1">
        <f t="array" ref="DS22">PRODUCT(1+預測IC!$C22:DS22)-1</f>
        <v>-0.29242332028031581</v>
      </c>
      <c r="DT22" s="21" cm="1">
        <f t="array" ref="DT22">PRODUCT(1+預測IC!$C22:DT22)-1</f>
        <v>-0.31108661484903033</v>
      </c>
      <c r="DU22" s="21" cm="1">
        <f t="array" ref="DU22">PRODUCT(1+預測IC!$C22:DU22)-1</f>
        <v>-0.35069595918101515</v>
      </c>
      <c r="DV22" s="21" cm="1">
        <f t="array" ref="DV22">PRODUCT(1+預測IC!$C22:DV22)-1</f>
        <v>-0.2690751183209481</v>
      </c>
      <c r="DW22" s="21" cm="1">
        <f t="array" ref="DW22">PRODUCT(1+預測IC!$C22:DW22)-1</f>
        <v>-0.18903660229246932</v>
      </c>
      <c r="DX22" s="21" cm="1">
        <f t="array" ref="DX22">PRODUCT(1+預測IC!$C22:DX22)-1</f>
        <v>-0.36942941583462419</v>
      </c>
      <c r="DY22" s="21" cm="1">
        <f t="array" ref="DY22">PRODUCT(1+預測IC!$C22:DY22)-1</f>
        <v>-0.37456674792445444</v>
      </c>
      <c r="DZ22" s="21" cm="1">
        <f t="array" ref="DZ22">PRODUCT(1+預測IC!$C22:DZ22)-1</f>
        <v>-0.43945418504350631</v>
      </c>
      <c r="EA22" s="21" cm="1">
        <f t="array" ref="EA22">PRODUCT(1+預測IC!$C22:EA22)-1</f>
        <v>-0.47899993490124415</v>
      </c>
      <c r="EB22" s="21" cm="1">
        <f t="array" ref="EB22">PRODUCT(1+預測IC!$C22:EB22)-1</f>
        <v>-0.52099083519389144</v>
      </c>
      <c r="EC22" s="21" cm="1">
        <f t="array" ref="EC22">PRODUCT(1+預測IC!$C22:EC22)-1</f>
        <v>-0.51069448454072264</v>
      </c>
      <c r="ED22" s="21" cm="1">
        <f t="array" ref="ED22">PRODUCT(1+預測IC!$C22:ED22)-1</f>
        <v>-0.54857336987338656</v>
      </c>
      <c r="EE22" s="21" cm="1">
        <f t="array" ref="EE22">PRODUCT(1+預測IC!$C22:EE22)-1</f>
        <v>-0.53347481765324811</v>
      </c>
      <c r="EF22" s="21" cm="1">
        <f t="array" ref="EF22">PRODUCT(1+預測IC!$C22:EF22)-1</f>
        <v>-0.54970534368591428</v>
      </c>
    </row>
    <row r="23" spans="1:136">
      <c r="A23" s="4">
        <v>482</v>
      </c>
      <c r="B23" s="4">
        <v>2</v>
      </c>
      <c r="C23" s="21" cm="1">
        <f t="array" ref="C23">PRODUCT(1+預測IC!$C23:C23)-1</f>
        <v>-3.4987009286289172E-2</v>
      </c>
      <c r="D23" s="21" cm="1">
        <f t="array" ref="D23">PRODUCT(1+預測IC!$C23:D23)-1</f>
        <v>0.21021700157612044</v>
      </c>
      <c r="E23" s="21" cm="1">
        <f t="array" ref="E23">PRODUCT(1+預測IC!$C23:E23)-1</f>
        <v>0.11226061840358614</v>
      </c>
      <c r="F23" s="21" cm="1">
        <f t="array" ref="F23">PRODUCT(1+預測IC!$C23:F23)-1</f>
        <v>0.10809853916951995</v>
      </c>
      <c r="G23" s="21" cm="1">
        <f t="array" ref="G23">PRODUCT(1+預測IC!$C23:G23)-1</f>
        <v>0.50882243008647166</v>
      </c>
      <c r="H23" s="21" cm="1">
        <f t="array" ref="H23">PRODUCT(1+預測IC!$C23:H23)-1</f>
        <v>0.48137921331684375</v>
      </c>
      <c r="I23" s="21" cm="1">
        <f t="array" ref="I23">PRODUCT(1+預測IC!$C23:I23)-1</f>
        <v>0.70084854889604187</v>
      </c>
      <c r="J23" s="21" cm="1">
        <f t="array" ref="J23">PRODUCT(1+預測IC!$C23:J23)-1</f>
        <v>0.50546272141733462</v>
      </c>
      <c r="K23" s="21" cm="1">
        <f t="array" ref="K23">PRODUCT(1+預測IC!$C23:K23)-1</f>
        <v>0.41525765334409015</v>
      </c>
      <c r="L23" s="21" cm="1">
        <f t="array" ref="L23">PRODUCT(1+預測IC!$C23:L23)-1</f>
        <v>0.48711169966202283</v>
      </c>
      <c r="M23" s="21" cm="1">
        <f t="array" ref="M23">PRODUCT(1+預測IC!$C23:M23)-1</f>
        <v>0.26807576097465335</v>
      </c>
      <c r="N23" s="21" cm="1">
        <f t="array" ref="N23">PRODUCT(1+預測IC!$C23:N23)-1</f>
        <v>1.5055921641855785</v>
      </c>
      <c r="O23" s="21" cm="1">
        <f t="array" ref="O23">PRODUCT(1+預測IC!$C23:O23)-1</f>
        <v>1.1976548872071708</v>
      </c>
      <c r="P23" s="21" cm="1">
        <f t="array" ref="P23">PRODUCT(1+預測IC!$C23:P23)-1</f>
        <v>0.99898312481588181</v>
      </c>
      <c r="Q23" s="21" cm="1">
        <f t="array" ref="Q23">PRODUCT(1+預測IC!$C23:Q23)-1</f>
        <v>1.5810420336419582</v>
      </c>
      <c r="R23" s="21" cm="1">
        <f t="array" ref="R23">PRODUCT(1+預測IC!$C23:R23)-1</f>
        <v>1.7431830941953463</v>
      </c>
      <c r="S23" s="21" cm="1">
        <f t="array" ref="S23">PRODUCT(1+預測IC!$C23:S23)-1</f>
        <v>1.4312158783483371</v>
      </c>
      <c r="T23" s="21" cm="1">
        <f t="array" ref="T23">PRODUCT(1+預測IC!$C23:T23)-1</f>
        <v>1.2253478114174348</v>
      </c>
      <c r="U23" s="21" cm="1">
        <f t="array" ref="U23">PRODUCT(1+預測IC!$C23:U23)-1</f>
        <v>1.3571696270484637</v>
      </c>
      <c r="V23" s="21" cm="1">
        <f t="array" ref="V23">PRODUCT(1+預測IC!$C23:V23)-1</f>
        <v>0.80918543941555843</v>
      </c>
      <c r="W23" s="21" cm="1">
        <f t="array" ref="W23">PRODUCT(1+預測IC!$C23:W23)-1</f>
        <v>1.2787540926595482</v>
      </c>
      <c r="X23" s="21" cm="1">
        <f t="array" ref="X23">PRODUCT(1+預測IC!$C23:X23)-1</f>
        <v>0.67696773444909364</v>
      </c>
      <c r="Y23" s="21" cm="1">
        <f t="array" ref="Y23">PRODUCT(1+預測IC!$C23:Y23)-1</f>
        <v>0.56301023053847277</v>
      </c>
      <c r="Z23" s="21" cm="1">
        <f t="array" ref="Z23">PRODUCT(1+預測IC!$C23:Z23)-1</f>
        <v>0.62717492652253837</v>
      </c>
      <c r="AA23" s="21" cm="1">
        <f t="array" ref="AA23">PRODUCT(1+預測IC!$C23:AA23)-1</f>
        <v>0.87393925847953424</v>
      </c>
      <c r="AB23" s="21" cm="1">
        <f t="array" ref="AB23">PRODUCT(1+預測IC!$C23:AB23)-1</f>
        <v>0.78446240676565338</v>
      </c>
      <c r="AC23" s="21" cm="1">
        <f t="array" ref="AC23">PRODUCT(1+預測IC!$C23:AC23)-1</f>
        <v>0.36688303565203295</v>
      </c>
      <c r="AD23" s="21" cm="1">
        <f t="array" ref="AD23">PRODUCT(1+預測IC!$C23:AD23)-1</f>
        <v>0.46478876684668102</v>
      </c>
      <c r="AE23" s="21" cm="1">
        <f t="array" ref="AE23">PRODUCT(1+預測IC!$C23:AE23)-1</f>
        <v>-6.5428702558991803E-2</v>
      </c>
      <c r="AF23" s="21" cm="1">
        <f t="array" ref="AF23">PRODUCT(1+預測IC!$C23:AF23)-1</f>
        <v>-8.9072889098600672E-2</v>
      </c>
      <c r="AG23" s="21" cm="1">
        <f t="array" ref="AG23">PRODUCT(1+預測IC!$C23:AG23)-1</f>
        <v>-9.0945299775058497E-2</v>
      </c>
      <c r="AH23" s="21" cm="1">
        <f t="array" ref="AH23">PRODUCT(1+預測IC!$C23:AH23)-1</f>
        <v>-5.7057558660073227E-2</v>
      </c>
      <c r="AI23" s="21" cm="1">
        <f t="array" ref="AI23">PRODUCT(1+預測IC!$C23:AI23)-1</f>
        <v>0.14016073883105507</v>
      </c>
      <c r="AJ23" s="21" cm="1">
        <f t="array" ref="AJ23">PRODUCT(1+預測IC!$C23:AJ23)-1</f>
        <v>0.16705371017786308</v>
      </c>
      <c r="AK23" s="21" cm="1">
        <f t="array" ref="AK23">PRODUCT(1+預測IC!$C23:AK23)-1</f>
        <v>0.18871422703876406</v>
      </c>
      <c r="AL23" s="21" cm="1">
        <f t="array" ref="AL23">PRODUCT(1+預測IC!$C23:AL23)-1</f>
        <v>0.34494897439480954</v>
      </c>
      <c r="AM23" s="21" cm="1">
        <f t="array" ref="AM23">PRODUCT(1+預測IC!$C23:AM23)-1</f>
        <v>0.46154932572996743</v>
      </c>
      <c r="AN23" s="21" cm="1">
        <f t="array" ref="AN23">PRODUCT(1+預測IC!$C23:AN23)-1</f>
        <v>0.81570421119009007</v>
      </c>
      <c r="AO23" s="21" cm="1">
        <f t="array" ref="AO23">PRODUCT(1+預測IC!$C23:AO23)-1</f>
        <v>1.4448175769521825</v>
      </c>
      <c r="AP23" s="21" cm="1">
        <f t="array" ref="AP23">PRODUCT(1+預測IC!$C23:AP23)-1</f>
        <v>1.4524480955081134</v>
      </c>
      <c r="AQ23" s="21" cm="1">
        <f t="array" ref="AQ23">PRODUCT(1+預測IC!$C23:AQ23)-1</f>
        <v>1.2087262562246126</v>
      </c>
      <c r="AR23" s="21" cm="1">
        <f t="array" ref="AR23">PRODUCT(1+預測IC!$C23:AR23)-1</f>
        <v>0.88595183604497252</v>
      </c>
      <c r="AS23" s="21" cm="1">
        <f t="array" ref="AS23">PRODUCT(1+預測IC!$C23:AS23)-1</f>
        <v>0.91368831846613441</v>
      </c>
      <c r="AT23" s="21" cm="1">
        <f t="array" ref="AT23">PRODUCT(1+預測IC!$C23:AT23)-1</f>
        <v>0.83440857117068856</v>
      </c>
      <c r="AU23" s="21" cm="1">
        <f t="array" ref="AU23">PRODUCT(1+預測IC!$C23:AU23)-1</f>
        <v>0.89521100839677881</v>
      </c>
      <c r="AV23" s="21" cm="1">
        <f t="array" ref="AV23">PRODUCT(1+預測IC!$C23:AV23)-1</f>
        <v>0.84282928233290089</v>
      </c>
      <c r="AW23" s="21" cm="1">
        <f t="array" ref="AW23">PRODUCT(1+預測IC!$C23:AW23)-1</f>
        <v>0.74695256941339871</v>
      </c>
      <c r="AX23" s="21" cm="1">
        <f t="array" ref="AX23">PRODUCT(1+預測IC!$C23:AX23)-1</f>
        <v>0.86895651168464161</v>
      </c>
      <c r="AY23" s="21" cm="1">
        <f t="array" ref="AY23">PRODUCT(1+預測IC!$C23:AY23)-1</f>
        <v>1.1871164186866463</v>
      </c>
      <c r="AZ23" s="21" cm="1">
        <f t="array" ref="AZ23">PRODUCT(1+預測IC!$C23:AZ23)-1</f>
        <v>1.0476798353181209</v>
      </c>
      <c r="BA23" s="21" cm="1">
        <f t="array" ref="BA23">PRODUCT(1+預測IC!$C23:BA23)-1</f>
        <v>1.0674333523638917</v>
      </c>
      <c r="BB23" s="21" cm="1">
        <f t="array" ref="BB23">PRODUCT(1+預測IC!$C23:BB23)-1</f>
        <v>0.96189194630861663</v>
      </c>
      <c r="BC23" s="21" cm="1">
        <f t="array" ref="BC23">PRODUCT(1+預測IC!$C23:BC23)-1</f>
        <v>0.37169942703385694</v>
      </c>
      <c r="BD23" s="21" cm="1">
        <f t="array" ref="BD23">PRODUCT(1+預測IC!$C23:BD23)-1</f>
        <v>0.50177889264189846</v>
      </c>
      <c r="BE23" s="21" cm="1">
        <f t="array" ref="BE23">PRODUCT(1+預測IC!$C23:BE23)-1</f>
        <v>0.39450568138831987</v>
      </c>
      <c r="BF23" s="21" cm="1">
        <f t="array" ref="BF23">PRODUCT(1+預測IC!$C23:BF23)-1</f>
        <v>0.36264542318745918</v>
      </c>
      <c r="BG23" s="21" cm="1">
        <f t="array" ref="BG23">PRODUCT(1+預測IC!$C23:BG23)-1</f>
        <v>0.46451879974447507</v>
      </c>
      <c r="BH23" s="21" cm="1">
        <f t="array" ref="BH23">PRODUCT(1+預測IC!$C23:BH23)-1</f>
        <v>0.16651268360280258</v>
      </c>
      <c r="BI23" s="21" cm="1">
        <f t="array" ref="BI23">PRODUCT(1+預測IC!$C23:BI23)-1</f>
        <v>0.38944734812301918</v>
      </c>
      <c r="BJ23" s="21" cm="1">
        <f t="array" ref="BJ23">PRODUCT(1+預測IC!$C23:BJ23)-1</f>
        <v>0.53395447871804258</v>
      </c>
      <c r="BK23" s="21" cm="1">
        <f t="array" ref="BK23">PRODUCT(1+預測IC!$C23:BK23)-1</f>
        <v>0.54114408916936596</v>
      </c>
      <c r="BL23" s="21" cm="1">
        <f t="array" ref="BL23">PRODUCT(1+預測IC!$C23:BL23)-1</f>
        <v>0.77159798596352336</v>
      </c>
      <c r="BM23" s="21" cm="1">
        <f t="array" ref="BM23">PRODUCT(1+預測IC!$C23:BM23)-1</f>
        <v>1.1067501096588415</v>
      </c>
      <c r="BN23" s="21" cm="1">
        <f t="array" ref="BN23">PRODUCT(1+預測IC!$C23:BN23)-1</f>
        <v>1.0921141569008932</v>
      </c>
      <c r="BO23" s="21" cm="1">
        <f t="array" ref="BO23">PRODUCT(1+預測IC!$C23:BO23)-1</f>
        <v>0.74417430440025956</v>
      </c>
      <c r="BP23" s="21" cm="1">
        <f t="array" ref="BP23">PRODUCT(1+預測IC!$C23:BP23)-1</f>
        <v>0.91556803289082</v>
      </c>
      <c r="BQ23" s="21" cm="1">
        <f t="array" ref="BQ23">PRODUCT(1+預測IC!$C23:BQ23)-1</f>
        <v>1.0106028901149489</v>
      </c>
      <c r="BR23" s="21" cm="1">
        <f t="array" ref="BR23">PRODUCT(1+預測IC!$C23:BR23)-1</f>
        <v>1.0464807344225324</v>
      </c>
      <c r="BS23" s="21" cm="1">
        <f t="array" ref="BS23">PRODUCT(1+預測IC!$C23:BS23)-1</f>
        <v>0.89652406322679257</v>
      </c>
      <c r="BT23" s="21" cm="1">
        <f t="array" ref="BT23">PRODUCT(1+預測IC!$C23:BT23)-1</f>
        <v>1.1689593770329574</v>
      </c>
      <c r="BU23" s="21" cm="1">
        <f t="array" ref="BU23">PRODUCT(1+預測IC!$C23:BU23)-1</f>
        <v>1.6150877204366996</v>
      </c>
      <c r="BV23" s="21" cm="1">
        <f t="array" ref="BV23">PRODUCT(1+預測IC!$C23:BV23)-1</f>
        <v>1.9118153651232404</v>
      </c>
      <c r="BW23" s="21" cm="1">
        <f t="array" ref="BW23">PRODUCT(1+預測IC!$C23:BW23)-1</f>
        <v>1.3231850949955688</v>
      </c>
      <c r="BX23" s="21" cm="1">
        <f t="array" ref="BX23">PRODUCT(1+預測IC!$C23:BX23)-1</f>
        <v>1.3041044976618004</v>
      </c>
      <c r="BY23" s="21" cm="1">
        <f t="array" ref="BY23">PRODUCT(1+預測IC!$C23:BY23)-1</f>
        <v>1.2805895152229998</v>
      </c>
      <c r="BZ23" s="21" cm="1">
        <f t="array" ref="BZ23">PRODUCT(1+預測IC!$C23:BZ23)-1</f>
        <v>1.2980810950093167</v>
      </c>
      <c r="CA23" s="21" cm="1">
        <f t="array" ref="CA23">PRODUCT(1+預測IC!$C23:CA23)-1</f>
        <v>1.1242239068946249</v>
      </c>
      <c r="CB23" s="21" cm="1">
        <f t="array" ref="CB23">PRODUCT(1+預測IC!$C23:CB23)-1</f>
        <v>0.66196261441826421</v>
      </c>
      <c r="CC23" s="21" cm="1">
        <f t="array" ref="CC23">PRODUCT(1+預測IC!$C23:CC23)-1</f>
        <v>1.035835443106929</v>
      </c>
      <c r="CD23" s="21" cm="1">
        <f t="array" ref="CD23">PRODUCT(1+預測IC!$C23:CD23)-1</f>
        <v>1.4260571638351194</v>
      </c>
      <c r="CE23" s="21" cm="1">
        <f t="array" ref="CE23">PRODUCT(1+預測IC!$C23:CE23)-1</f>
        <v>1.1431192010371105</v>
      </c>
      <c r="CF23" s="21" cm="1">
        <f t="array" ref="CF23">PRODUCT(1+預測IC!$C23:CF23)-1</f>
        <v>1.4798780433637906</v>
      </c>
      <c r="CG23" s="21" cm="1">
        <f t="array" ref="CG23">PRODUCT(1+預測IC!$C23:CG23)-1</f>
        <v>0.50468140800265759</v>
      </c>
      <c r="CH23" s="21" cm="1">
        <f t="array" ref="CH23">PRODUCT(1+預測IC!$C23:CH23)-1</f>
        <v>0.77581965448283152</v>
      </c>
      <c r="CI23" s="21" cm="1">
        <f t="array" ref="CI23">PRODUCT(1+預測IC!$C23:CI23)-1</f>
        <v>0.22549417863398369</v>
      </c>
      <c r="CJ23" s="21" cm="1">
        <f t="array" ref="CJ23">PRODUCT(1+預測IC!$C23:CJ23)-1</f>
        <v>0.20113703140274475</v>
      </c>
      <c r="CK23" s="21" cm="1">
        <f t="array" ref="CK23">PRODUCT(1+預測IC!$C23:CK23)-1</f>
        <v>0.31658671311764186</v>
      </c>
      <c r="CL23" s="21" cm="1">
        <f t="array" ref="CL23">PRODUCT(1+預測IC!$C23:CL23)-1</f>
        <v>-0.22145094632948148</v>
      </c>
      <c r="CM23" s="21" cm="1">
        <f t="array" ref="CM23">PRODUCT(1+預測IC!$C23:CM23)-1</f>
        <v>7.9639623209140975E-2</v>
      </c>
      <c r="CN23" s="21" cm="1">
        <f t="array" ref="CN23">PRODUCT(1+預測IC!$C23:CN23)-1</f>
        <v>2.2413132405833203E-2</v>
      </c>
      <c r="CO23" s="21" cm="1">
        <f t="array" ref="CO23">PRODUCT(1+預測IC!$C23:CO23)-1</f>
        <v>-0.90688197294625739</v>
      </c>
      <c r="CP23" s="21" cm="1">
        <f t="array" ref="CP23">PRODUCT(1+預測IC!$C23:CP23)-1</f>
        <v>-0.87788867484095445</v>
      </c>
      <c r="CQ23" s="21" cm="1">
        <f t="array" ref="CQ23">PRODUCT(1+預測IC!$C23:CQ23)-1</f>
        <v>-0.87901011405174778</v>
      </c>
      <c r="CR23" s="21" cm="1">
        <f t="array" ref="CR23">PRODUCT(1+預測IC!$C23:CR23)-1</f>
        <v>-0.86222574520894701</v>
      </c>
      <c r="CS23" s="21" cm="1">
        <f t="array" ref="CS23">PRODUCT(1+預測IC!$C23:CS23)-1</f>
        <v>-0.86731984067695156</v>
      </c>
      <c r="CT23" s="21" cm="1">
        <f t="array" ref="CT23">PRODUCT(1+預測IC!$C23:CT23)-1</f>
        <v>-0.86126132736760708</v>
      </c>
      <c r="CU23" s="21" cm="1">
        <f t="array" ref="CU23">PRODUCT(1+預測IC!$C23:CU23)-1</f>
        <v>-0.86418269150702542</v>
      </c>
      <c r="CV23" s="21" cm="1">
        <f t="array" ref="CV23">PRODUCT(1+預測IC!$C23:CV23)-1</f>
        <v>-0.86720396620781126</v>
      </c>
      <c r="CW23" s="21" cm="1">
        <f t="array" ref="CW23">PRODUCT(1+預測IC!$C23:CW23)-1</f>
        <v>-0.85380466954010037</v>
      </c>
      <c r="CX23" s="21" cm="1">
        <f t="array" ref="CX23">PRODUCT(1+預測IC!$C23:CX23)-1</f>
        <v>-0.866774679809451</v>
      </c>
      <c r="CY23" s="21" cm="1">
        <f t="array" ref="CY23">PRODUCT(1+預測IC!$C23:CY23)-1</f>
        <v>-0.8638375236907414</v>
      </c>
      <c r="CZ23" s="21" cm="1">
        <f t="array" ref="CZ23">PRODUCT(1+預測IC!$C23:CZ23)-1</f>
        <v>-0.83905611723382612</v>
      </c>
      <c r="DA23" s="21" cm="1">
        <f t="array" ref="DA23">PRODUCT(1+預測IC!$C23:DA23)-1</f>
        <v>-0.84404250253441471</v>
      </c>
      <c r="DB23" s="21" cm="1">
        <f t="array" ref="DB23">PRODUCT(1+預測IC!$C23:DB23)-1</f>
        <v>-0.84653082887106235</v>
      </c>
      <c r="DC23" s="21" cm="1">
        <f t="array" ref="DC23">PRODUCT(1+預測IC!$C23:DC23)-1</f>
        <v>-0.8282387637673807</v>
      </c>
      <c r="DD23" s="21" cm="1">
        <f t="array" ref="DD23">PRODUCT(1+預測IC!$C23:DD23)-1</f>
        <v>-0.79218142725430329</v>
      </c>
      <c r="DE23" s="21" cm="1">
        <f t="array" ref="DE23">PRODUCT(1+預測IC!$C23:DE23)-1</f>
        <v>-0.79413392970219743</v>
      </c>
      <c r="DF23" s="21" cm="1">
        <f t="array" ref="DF23">PRODUCT(1+預測IC!$C23:DF23)-1</f>
        <v>-0.78138214742157552</v>
      </c>
      <c r="DG23" s="21" cm="1">
        <f t="array" ref="DG23">PRODUCT(1+預測IC!$C23:DG23)-1</f>
        <v>-0.77301563960737418</v>
      </c>
      <c r="DH23" s="21" cm="1">
        <f t="array" ref="DH23">PRODUCT(1+預測IC!$C23:DH23)-1</f>
        <v>-0.76043765371284877</v>
      </c>
      <c r="DI23" s="21" cm="1">
        <f t="array" ref="DI23">PRODUCT(1+預測IC!$C23:DI23)-1</f>
        <v>-0.74762595599715564</v>
      </c>
      <c r="DJ23" s="21" cm="1">
        <f t="array" ref="DJ23">PRODUCT(1+預測IC!$C23:DJ23)-1</f>
        <v>-0.76959713758244375</v>
      </c>
      <c r="DK23" s="21" cm="1">
        <f t="array" ref="DK23">PRODUCT(1+預測IC!$C23:DK23)-1</f>
        <v>-0.70558356921260956</v>
      </c>
      <c r="DL23" s="21" cm="1">
        <f t="array" ref="DL23">PRODUCT(1+預測IC!$C23:DL23)-1</f>
        <v>-0.64195986657338877</v>
      </c>
      <c r="DM23" s="21" cm="1">
        <f t="array" ref="DM23">PRODUCT(1+預測IC!$C23:DM23)-1</f>
        <v>-0.64894068422817797</v>
      </c>
      <c r="DN23" s="21" cm="1">
        <f t="array" ref="DN23">PRODUCT(1+預測IC!$C23:DN23)-1</f>
        <v>-0.6466597830305465</v>
      </c>
      <c r="DO23" s="21" cm="1">
        <f t="array" ref="DO23">PRODUCT(1+預測IC!$C23:DO23)-1</f>
        <v>-0.58867972616643294</v>
      </c>
      <c r="DP23" s="21" cm="1">
        <f t="array" ref="DP23">PRODUCT(1+預測IC!$C23:DP23)-1</f>
        <v>-0.56931138141614235</v>
      </c>
      <c r="DQ23" s="21" cm="1">
        <f t="array" ref="DQ23">PRODUCT(1+預測IC!$C23:DQ23)-1</f>
        <v>-0.64261932036803282</v>
      </c>
      <c r="DR23" s="21" cm="1">
        <f t="array" ref="DR23">PRODUCT(1+預測IC!$C23:DR23)-1</f>
        <v>-0.6747428411135481</v>
      </c>
      <c r="DS23" s="21" cm="1">
        <f t="array" ref="DS23">PRODUCT(1+預測IC!$C23:DS23)-1</f>
        <v>-0.76844831520714929</v>
      </c>
      <c r="DT23" s="21" cm="1">
        <f t="array" ref="DT23">PRODUCT(1+預測IC!$C23:DT23)-1</f>
        <v>-0.79715035597710293</v>
      </c>
      <c r="DU23" s="21" cm="1">
        <f t="array" ref="DU23">PRODUCT(1+預測IC!$C23:DU23)-1</f>
        <v>-0.79019521265357962</v>
      </c>
      <c r="DV23" s="21" cm="1">
        <f t="array" ref="DV23">PRODUCT(1+預測IC!$C23:DV23)-1</f>
        <v>-0.73223210661816795</v>
      </c>
      <c r="DW23" s="21" cm="1">
        <f t="array" ref="DW23">PRODUCT(1+預測IC!$C23:DW23)-1</f>
        <v>-0.6944157202934218</v>
      </c>
      <c r="DX23" s="21" cm="1">
        <f t="array" ref="DX23">PRODUCT(1+預測IC!$C23:DX23)-1</f>
        <v>-0.79021431595764391</v>
      </c>
      <c r="DY23" s="21" cm="1">
        <f t="array" ref="DY23">PRODUCT(1+預測IC!$C23:DY23)-1</f>
        <v>-0.75457658925588467</v>
      </c>
      <c r="DZ23" s="21" cm="1">
        <f t="array" ref="DZ23">PRODUCT(1+預測IC!$C23:DZ23)-1</f>
        <v>-0.77560714281299437</v>
      </c>
      <c r="EA23" s="21" cm="1">
        <f t="array" ref="EA23">PRODUCT(1+預測IC!$C23:EA23)-1</f>
        <v>-0.78086891019021643</v>
      </c>
      <c r="EB23" s="21" cm="1">
        <f t="array" ref="EB23">PRODUCT(1+預測IC!$C23:EB23)-1</f>
        <v>-0.79462013982332913</v>
      </c>
      <c r="EC23" s="21" cm="1">
        <f t="array" ref="EC23">PRODUCT(1+預測IC!$C23:EC23)-1</f>
        <v>-0.80213382159498381</v>
      </c>
      <c r="ED23" s="21" cm="1">
        <f t="array" ref="ED23">PRODUCT(1+預測IC!$C23:ED23)-1</f>
        <v>-0.82022391594932142</v>
      </c>
      <c r="EE23" s="21" cm="1">
        <f t="array" ref="EE23">PRODUCT(1+預測IC!$C23:EE23)-1</f>
        <v>-0.80960801523937909</v>
      </c>
      <c r="EF23" s="21" cm="1">
        <f t="array" ref="EF23">PRODUCT(1+預測IC!$C23:EF23)-1</f>
        <v>-0.81870537809683008</v>
      </c>
    </row>
    <row r="24" spans="1:136">
      <c r="A24" s="4">
        <v>964</v>
      </c>
      <c r="B24" s="4">
        <v>1</v>
      </c>
      <c r="C24" s="21" cm="1">
        <f t="array" ref="C24">PRODUCT(1+預測IC!$C24:C24)-1</f>
        <v>0.16299313693108508</v>
      </c>
      <c r="D24" s="21" cm="1">
        <f t="array" ref="D24">PRODUCT(1+預測IC!$C24:D24)-1</f>
        <v>0.28000187643772168</v>
      </c>
      <c r="E24" s="21" cm="1">
        <f t="array" ref="E24">PRODUCT(1+預測IC!$C24:E24)-1</f>
        <v>0.37139443303269459</v>
      </c>
      <c r="F24" s="21" cm="1">
        <f t="array" ref="F24">PRODUCT(1+預測IC!$C24:F24)-1</f>
        <v>0.47469609009531544</v>
      </c>
      <c r="G24" s="21" cm="1">
        <f t="array" ref="G24">PRODUCT(1+預測IC!$C24:G24)-1</f>
        <v>0.81329663525383067</v>
      </c>
      <c r="H24" s="21" cm="1">
        <f t="array" ref="H24">PRODUCT(1+預測IC!$C24:H24)-1</f>
        <v>0.87831419940749211</v>
      </c>
      <c r="I24" s="21" cm="1">
        <f t="array" ref="I24">PRODUCT(1+預測IC!$C24:I24)-1</f>
        <v>0.87434732528382741</v>
      </c>
      <c r="J24" s="21" cm="1">
        <f t="array" ref="J24">PRODUCT(1+預測IC!$C24:J24)-1</f>
        <v>0.65793330875923139</v>
      </c>
      <c r="K24" s="21" cm="1">
        <f t="array" ref="K24">PRODUCT(1+預測IC!$C24:K24)-1</f>
        <v>0.7470190392387912</v>
      </c>
      <c r="L24" s="21" cm="1">
        <f t="array" ref="L24">PRODUCT(1+預測IC!$C24:L24)-1</f>
        <v>0.91088942511938997</v>
      </c>
      <c r="M24" s="21" cm="1">
        <f t="array" ref="M24">PRODUCT(1+預測IC!$C24:M24)-1</f>
        <v>0.49472446078033849</v>
      </c>
      <c r="N24" s="21" cm="1">
        <f t="array" ref="N24">PRODUCT(1+預測IC!$C24:N24)-1</f>
        <v>3.1389398630835021</v>
      </c>
      <c r="O24" s="21" cm="1">
        <f t="array" ref="O24">PRODUCT(1+預測IC!$C24:O24)-1</f>
        <v>2.1278796333294641</v>
      </c>
      <c r="P24" s="21" cm="1">
        <f t="array" ref="P24">PRODUCT(1+預測IC!$C24:P24)-1</f>
        <v>1.8018031410926647</v>
      </c>
      <c r="Q24" s="21" cm="1">
        <f t="array" ref="Q24">PRODUCT(1+預測IC!$C24:Q24)-1</f>
        <v>1.7938460201719617</v>
      </c>
      <c r="R24" s="21" cm="1">
        <f t="array" ref="R24">PRODUCT(1+預測IC!$C24:R24)-1</f>
        <v>1.7161016669686364</v>
      </c>
      <c r="S24" s="21" cm="1">
        <f t="array" ref="S24">PRODUCT(1+預測IC!$C24:S24)-1</f>
        <v>0.75863655165257349</v>
      </c>
      <c r="T24" s="21" cm="1">
        <f t="array" ref="T24">PRODUCT(1+預測IC!$C24:T24)-1</f>
        <v>0.25246577935592995</v>
      </c>
      <c r="U24" s="21" cm="1">
        <f t="array" ref="U24">PRODUCT(1+預測IC!$C24:U24)-1</f>
        <v>0.61048687978216054</v>
      </c>
      <c r="V24" s="21" cm="1">
        <f t="array" ref="V24">PRODUCT(1+預測IC!$C24:V24)-1</f>
        <v>0.45156403448525695</v>
      </c>
      <c r="W24" s="21" cm="1">
        <f t="array" ref="W24">PRODUCT(1+預測IC!$C24:W24)-1</f>
        <v>0.21269175384229411</v>
      </c>
      <c r="X24" s="21" cm="1">
        <f t="array" ref="X24">PRODUCT(1+預測IC!$C24:X24)-1</f>
        <v>6.9566923173854489E-2</v>
      </c>
      <c r="Y24" s="21" cm="1">
        <f t="array" ref="Y24">PRODUCT(1+預測IC!$C24:Y24)-1</f>
        <v>-5.9122299455500404E-2</v>
      </c>
      <c r="Z24" s="21" cm="1">
        <f t="array" ref="Z24">PRODUCT(1+預測IC!$C24:Z24)-1</f>
        <v>-8.2075010960283468E-2</v>
      </c>
      <c r="AA24" s="21" cm="1">
        <f t="array" ref="AA24">PRODUCT(1+預測IC!$C24:AA24)-1</f>
        <v>4.5422268554822232E-3</v>
      </c>
      <c r="AB24" s="21" cm="1">
        <f t="array" ref="AB24">PRODUCT(1+預測IC!$C24:AB24)-1</f>
        <v>-0.18054367390041348</v>
      </c>
      <c r="AC24" s="21" cm="1">
        <f t="array" ref="AC24">PRODUCT(1+預測IC!$C24:AC24)-1</f>
        <v>-0.38226923769634868</v>
      </c>
      <c r="AD24" s="21" cm="1">
        <f t="array" ref="AD24">PRODUCT(1+預測IC!$C24:AD24)-1</f>
        <v>-0.31977094555103902</v>
      </c>
      <c r="AE24" s="21" cm="1">
        <f t="array" ref="AE24">PRODUCT(1+預測IC!$C24:AE24)-1</f>
        <v>-0.68795044557921803</v>
      </c>
      <c r="AF24" s="21" cm="1">
        <f t="array" ref="AF24">PRODUCT(1+預測IC!$C24:AF24)-1</f>
        <v>-0.73965768084585037</v>
      </c>
      <c r="AG24" s="21" cm="1">
        <f t="array" ref="AG24">PRODUCT(1+預測IC!$C24:AG24)-1</f>
        <v>-0.7120871689051067</v>
      </c>
      <c r="AH24" s="21" cm="1">
        <f t="array" ref="AH24">PRODUCT(1+預測IC!$C24:AH24)-1</f>
        <v>-0.73184288363634509</v>
      </c>
      <c r="AI24" s="21" cm="1">
        <f t="array" ref="AI24">PRODUCT(1+預測IC!$C24:AI24)-1</f>
        <v>-0.64860316051743749</v>
      </c>
      <c r="AJ24" s="21" cm="1">
        <f t="array" ref="AJ24">PRODUCT(1+預測IC!$C24:AJ24)-1</f>
        <v>-0.61858157153624482</v>
      </c>
      <c r="AK24" s="21" cm="1">
        <f t="array" ref="AK24">PRODUCT(1+預測IC!$C24:AK24)-1</f>
        <v>-0.61803232899925686</v>
      </c>
      <c r="AL24" s="21" cm="1">
        <f t="array" ref="AL24">PRODUCT(1+預測IC!$C24:AL24)-1</f>
        <v>-0.6389171507060728</v>
      </c>
      <c r="AM24" s="21" cm="1">
        <f t="array" ref="AM24">PRODUCT(1+預測IC!$C24:AM24)-1</f>
        <v>-0.61053639983441932</v>
      </c>
      <c r="AN24" s="21" cm="1">
        <f t="array" ref="AN24">PRODUCT(1+預測IC!$C24:AN24)-1</f>
        <v>-0.52439115442018047</v>
      </c>
      <c r="AO24" s="21" cm="1">
        <f t="array" ref="AO24">PRODUCT(1+預測IC!$C24:AO24)-1</f>
        <v>-0.48506210776149405</v>
      </c>
      <c r="AP24" s="21" cm="1">
        <f t="array" ref="AP24">PRODUCT(1+預測IC!$C24:AP24)-1</f>
        <v>-0.49682932196948337</v>
      </c>
      <c r="AQ24" s="21" cm="1">
        <f t="array" ref="AQ24">PRODUCT(1+預測IC!$C24:AQ24)-1</f>
        <v>-0.60607975226618127</v>
      </c>
      <c r="AR24" s="21" cm="1">
        <f t="array" ref="AR24">PRODUCT(1+預測IC!$C24:AR24)-1</f>
        <v>-0.67337432994729274</v>
      </c>
      <c r="AS24" s="21" cm="1">
        <f t="array" ref="AS24">PRODUCT(1+預測IC!$C24:AS24)-1</f>
        <v>-0.66424315747804741</v>
      </c>
      <c r="AT24" s="21" cm="1">
        <f t="array" ref="AT24">PRODUCT(1+預測IC!$C24:AT24)-1</f>
        <v>-0.65401627014726071</v>
      </c>
      <c r="AU24" s="21" cm="1">
        <f t="array" ref="AU24">PRODUCT(1+預測IC!$C24:AU24)-1</f>
        <v>-0.6387600069112408</v>
      </c>
      <c r="AV24" s="21" cm="1">
        <f t="array" ref="AV24">PRODUCT(1+預測IC!$C24:AV24)-1</f>
        <v>-0.67024277751690686</v>
      </c>
      <c r="AW24" s="21" cm="1">
        <f t="array" ref="AW24">PRODUCT(1+預測IC!$C24:AW24)-1</f>
        <v>-0.66859809968120754</v>
      </c>
      <c r="AX24" s="21" cm="1">
        <f t="array" ref="AX24">PRODUCT(1+預測IC!$C24:AX24)-1</f>
        <v>-0.65921737565502525</v>
      </c>
      <c r="AY24" s="21" cm="1">
        <f t="array" ref="AY24">PRODUCT(1+預測IC!$C24:AY24)-1</f>
        <v>-0.60192251522091389</v>
      </c>
      <c r="AZ24" s="21" cm="1">
        <f t="array" ref="AZ24">PRODUCT(1+預測IC!$C24:AZ24)-1</f>
        <v>-0.58684848580641469</v>
      </c>
      <c r="BA24" s="21" cm="1">
        <f t="array" ref="BA24">PRODUCT(1+預測IC!$C24:BA24)-1</f>
        <v>-0.60907386082281911</v>
      </c>
      <c r="BB24" s="21" cm="1">
        <f t="array" ref="BB24">PRODUCT(1+預測IC!$C24:BB24)-1</f>
        <v>-0.64275567910329512</v>
      </c>
      <c r="BC24" s="21" cm="1">
        <f t="array" ref="BC24">PRODUCT(1+預測IC!$C24:BC24)-1</f>
        <v>-0.85689565618166386</v>
      </c>
      <c r="BD24" s="21" cm="1">
        <f t="array" ref="BD24">PRODUCT(1+預測IC!$C24:BD24)-1</f>
        <v>-0.83033617411558247</v>
      </c>
      <c r="BE24" s="21" cm="1">
        <f t="array" ref="BE24">PRODUCT(1+預測IC!$C24:BE24)-1</f>
        <v>-0.83815162865749271</v>
      </c>
      <c r="BF24" s="21" cm="1">
        <f t="array" ref="BF24">PRODUCT(1+預測IC!$C24:BF24)-1</f>
        <v>-0.82396540267114315</v>
      </c>
      <c r="BG24" s="21" cm="1">
        <f t="array" ref="BG24">PRODUCT(1+預測IC!$C24:BG24)-1</f>
        <v>-0.81924134422593609</v>
      </c>
      <c r="BH24" s="21" cm="1">
        <f t="array" ref="BH24">PRODUCT(1+預測IC!$C24:BH24)-1</f>
        <v>-0.88906033971198484</v>
      </c>
      <c r="BI24" s="21" cm="1">
        <f t="array" ref="BI24">PRODUCT(1+預測IC!$C24:BI24)-1</f>
        <v>-0.8642510026540613</v>
      </c>
      <c r="BJ24" s="21" cm="1">
        <f t="array" ref="BJ24">PRODUCT(1+預測IC!$C24:BJ24)-1</f>
        <v>-0.86379647214753819</v>
      </c>
      <c r="BK24" s="21" cm="1">
        <f t="array" ref="BK24">PRODUCT(1+預測IC!$C24:BK24)-1</f>
        <v>-0.8632484508660565</v>
      </c>
      <c r="BL24" s="21" cm="1">
        <f t="array" ref="BL24">PRODUCT(1+預測IC!$C24:BL24)-1</f>
        <v>-0.81987574234187821</v>
      </c>
      <c r="BM24" s="21" cm="1">
        <f t="array" ref="BM24">PRODUCT(1+預測IC!$C24:BM24)-1</f>
        <v>-0.81780917329019831</v>
      </c>
      <c r="BN24" s="21" cm="1">
        <f t="array" ref="BN24">PRODUCT(1+預測IC!$C24:BN24)-1</f>
        <v>-0.81656128603693501</v>
      </c>
      <c r="BO24" s="21" cm="1">
        <f t="array" ref="BO24">PRODUCT(1+預測IC!$C24:BO24)-1</f>
        <v>-0.84611504057850628</v>
      </c>
      <c r="BP24" s="21" cm="1">
        <f t="array" ref="BP24">PRODUCT(1+預測IC!$C24:BP24)-1</f>
        <v>-0.82713314907582713</v>
      </c>
      <c r="BQ24" s="21" cm="1">
        <f t="array" ref="BQ24">PRODUCT(1+預測IC!$C24:BQ24)-1</f>
        <v>-0.83822595151456303</v>
      </c>
      <c r="BR24" s="21" cm="1">
        <f t="array" ref="BR24">PRODUCT(1+預測IC!$C24:BR24)-1</f>
        <v>-0.83137381379221598</v>
      </c>
      <c r="BS24" s="21" cm="1">
        <f t="array" ref="BS24">PRODUCT(1+預測IC!$C24:BS24)-1</f>
        <v>-0.83159045080197436</v>
      </c>
      <c r="BT24" s="21" cm="1">
        <f t="array" ref="BT24">PRODUCT(1+預測IC!$C24:BT24)-1</f>
        <v>-0.81200935529454799</v>
      </c>
      <c r="BU24" s="21" cm="1">
        <f t="array" ref="BU24">PRODUCT(1+預測IC!$C24:BU24)-1</f>
        <v>-0.7690860846241705</v>
      </c>
      <c r="BV24" s="21" cm="1">
        <f t="array" ref="BV24">PRODUCT(1+預測IC!$C24:BV24)-1</f>
        <v>-0.74421008553951196</v>
      </c>
      <c r="BW24" s="21" cm="1">
        <f t="array" ref="BW24">PRODUCT(1+預測IC!$C24:BW24)-1</f>
        <v>-0.76002708092524895</v>
      </c>
      <c r="BX24" s="21" cm="1">
        <f t="array" ref="BX24">PRODUCT(1+預測IC!$C24:BX24)-1</f>
        <v>-0.79193389361442912</v>
      </c>
      <c r="BY24" s="21" cm="1">
        <f t="array" ref="BY24">PRODUCT(1+預測IC!$C24:BY24)-1</f>
        <v>-0.76909953953808552</v>
      </c>
      <c r="BZ24" s="21" cm="1">
        <f t="array" ref="BZ24">PRODUCT(1+預測IC!$C24:BZ24)-1</f>
        <v>-0.70932104998330137</v>
      </c>
      <c r="CA24" s="21" cm="1">
        <f t="array" ref="CA24">PRODUCT(1+預測IC!$C24:CA24)-1</f>
        <v>-0.74281356716967684</v>
      </c>
      <c r="CB24" s="21" cm="1">
        <f t="array" ref="CB24">PRODUCT(1+預測IC!$C24:CB24)-1</f>
        <v>-0.68912281969196409</v>
      </c>
      <c r="CC24" s="21" cm="1">
        <f t="array" ref="CC24">PRODUCT(1+預測IC!$C24:CC24)-1</f>
        <v>-0.55238208917265341</v>
      </c>
      <c r="CD24" s="21" cm="1">
        <f t="array" ref="CD24">PRODUCT(1+預測IC!$C24:CD24)-1</f>
        <v>-0.53788273013257148</v>
      </c>
      <c r="CE24" s="21" cm="1">
        <f t="array" ref="CE24">PRODUCT(1+預測IC!$C24:CE24)-1</f>
        <v>-0.63498347412449829</v>
      </c>
      <c r="CF24" s="21" cm="1">
        <f t="array" ref="CF24">PRODUCT(1+預測IC!$C24:CF24)-1</f>
        <v>-0.55405151276530296</v>
      </c>
      <c r="CG24" s="21" cm="1">
        <f t="array" ref="CG24">PRODUCT(1+預測IC!$C24:CG24)-1</f>
        <v>-0.69845765064824994</v>
      </c>
      <c r="CH24" s="21" cm="1">
        <f t="array" ref="CH24">PRODUCT(1+預測IC!$C24:CH24)-1</f>
        <v>-0.59162804223637422</v>
      </c>
      <c r="CI24" s="21" cm="1">
        <f t="array" ref="CI24">PRODUCT(1+預測IC!$C24:CI24)-1</f>
        <v>-0.45749752918230446</v>
      </c>
      <c r="CJ24" s="21" cm="1">
        <f t="array" ref="CJ24">PRODUCT(1+預測IC!$C24:CJ24)-1</f>
        <v>-0.45038560095112079</v>
      </c>
      <c r="CK24" s="21" cm="1">
        <f t="array" ref="CK24">PRODUCT(1+預測IC!$C24:CK24)-1</f>
        <v>-0.39898012261503024</v>
      </c>
      <c r="CL24" s="21" cm="1">
        <f t="array" ref="CL24">PRODUCT(1+預測IC!$C24:CL24)-1</f>
        <v>-0.31378234953280026</v>
      </c>
      <c r="CM24" s="21" cm="1">
        <f t="array" ref="CM24">PRODUCT(1+預測IC!$C24:CM24)-1</f>
        <v>6.3354025790392177E-2</v>
      </c>
      <c r="CN24" s="21" cm="1">
        <f t="array" ref="CN24">PRODUCT(1+預測IC!$C24:CN24)-1</f>
        <v>-5.1210425255576286E-2</v>
      </c>
      <c r="CO24" s="21" cm="1">
        <f t="array" ref="CO24">PRODUCT(1+預測IC!$C24:CO24)-1</f>
        <v>-0.78809090200469711</v>
      </c>
      <c r="CP24" s="21" cm="1">
        <f t="array" ref="CP24">PRODUCT(1+預測IC!$C24:CP24)-1</f>
        <v>-0.72710012153481429</v>
      </c>
      <c r="CQ24" s="21" cm="1">
        <f t="array" ref="CQ24">PRODUCT(1+預測IC!$C24:CQ24)-1</f>
        <v>-0.69580200572600504</v>
      </c>
      <c r="CR24" s="21" cm="1">
        <f t="array" ref="CR24">PRODUCT(1+預測IC!$C24:CR24)-1</f>
        <v>-0.67722012045298041</v>
      </c>
      <c r="CS24" s="21" cm="1">
        <f t="array" ref="CS24">PRODUCT(1+預測IC!$C24:CS24)-1</f>
        <v>-0.70494537333265761</v>
      </c>
      <c r="CT24" s="21" cm="1">
        <f t="array" ref="CT24">PRODUCT(1+預測IC!$C24:CT24)-1</f>
        <v>-0.67649649888009233</v>
      </c>
      <c r="CU24" s="21" cm="1">
        <f t="array" ref="CU24">PRODUCT(1+預測IC!$C24:CU24)-1</f>
        <v>-0.7000318145582296</v>
      </c>
      <c r="CV24" s="21" cm="1">
        <f t="array" ref="CV24">PRODUCT(1+預測IC!$C24:CV24)-1</f>
        <v>-0.69551307955243469</v>
      </c>
      <c r="CW24" s="21" cm="1">
        <f t="array" ref="CW24">PRODUCT(1+預測IC!$C24:CW24)-1</f>
        <v>-0.64219219293766416</v>
      </c>
      <c r="CX24" s="21" cm="1">
        <f t="array" ref="CX24">PRODUCT(1+預測IC!$C24:CX24)-1</f>
        <v>-0.62243862802269323</v>
      </c>
      <c r="CY24" s="21" cm="1">
        <f t="array" ref="CY24">PRODUCT(1+預測IC!$C24:CY24)-1</f>
        <v>-0.65266879838734682</v>
      </c>
      <c r="CZ24" s="21" cm="1">
        <f t="array" ref="CZ24">PRODUCT(1+預測IC!$C24:CZ24)-1</f>
        <v>-0.6136959353007907</v>
      </c>
      <c r="DA24" s="21" cm="1">
        <f t="array" ref="DA24">PRODUCT(1+預測IC!$C24:DA24)-1</f>
        <v>-0.60422715750204636</v>
      </c>
      <c r="DB24" s="21" cm="1">
        <f t="array" ref="DB24">PRODUCT(1+預測IC!$C24:DB24)-1</f>
        <v>-0.68158518345894126</v>
      </c>
      <c r="DC24" s="21" cm="1">
        <f t="array" ref="DC24">PRODUCT(1+預測IC!$C24:DC24)-1</f>
        <v>-0.61966827663329438</v>
      </c>
      <c r="DD24" s="21" cm="1">
        <f t="array" ref="DD24">PRODUCT(1+預測IC!$C24:DD24)-1</f>
        <v>-0.56133247176442524</v>
      </c>
      <c r="DE24" s="21" cm="1">
        <f t="array" ref="DE24">PRODUCT(1+預測IC!$C24:DE24)-1</f>
        <v>-0.63856548641547239</v>
      </c>
      <c r="DF24" s="21" cm="1">
        <f t="array" ref="DF24">PRODUCT(1+預測IC!$C24:DF24)-1</f>
        <v>-0.67639502111280025</v>
      </c>
      <c r="DG24" s="21" cm="1">
        <f t="array" ref="DG24">PRODUCT(1+預測IC!$C24:DG24)-1</f>
        <v>-0.65726807890888161</v>
      </c>
      <c r="DH24" s="21" cm="1">
        <f t="array" ref="DH24">PRODUCT(1+預測IC!$C24:DH24)-1</f>
        <v>-0.62321184278911368</v>
      </c>
      <c r="DI24" s="21" cm="1">
        <f t="array" ref="DI24">PRODUCT(1+預測IC!$C24:DI24)-1</f>
        <v>-0.5697548500623143</v>
      </c>
      <c r="DJ24" s="21" cm="1">
        <f t="array" ref="DJ24">PRODUCT(1+預測IC!$C24:DJ24)-1</f>
        <v>-0.62675743215589774</v>
      </c>
      <c r="DK24" s="21" cm="1">
        <f t="array" ref="DK24">PRODUCT(1+預測IC!$C24:DK24)-1</f>
        <v>-0.50003814257346679</v>
      </c>
      <c r="DL24" s="21" cm="1">
        <f t="array" ref="DL24">PRODUCT(1+預測IC!$C24:DL24)-1</f>
        <v>-0.39349405778176194</v>
      </c>
      <c r="DM24" s="21" cm="1">
        <f t="array" ref="DM24">PRODUCT(1+預測IC!$C24:DM24)-1</f>
        <v>-0.47927797150939988</v>
      </c>
      <c r="DN24" s="21" cm="1">
        <f t="array" ref="DN24">PRODUCT(1+預測IC!$C24:DN24)-1</f>
        <v>-0.35777552049861661</v>
      </c>
      <c r="DO24" s="21" cm="1">
        <f t="array" ref="DO24">PRODUCT(1+預測IC!$C24:DO24)-1</f>
        <v>-0.23868089754951982</v>
      </c>
      <c r="DP24" s="21" cm="1">
        <f t="array" ref="DP24">PRODUCT(1+預測IC!$C24:DP24)-1</f>
        <v>-0.15160622391432088</v>
      </c>
      <c r="DQ24" s="21" cm="1">
        <f t="array" ref="DQ24">PRODUCT(1+預測IC!$C24:DQ24)-1</f>
        <v>-0.26442338106327712</v>
      </c>
      <c r="DR24" s="21" cm="1">
        <f t="array" ref="DR24">PRODUCT(1+預測IC!$C24:DR24)-1</f>
        <v>-0.27951419896999774</v>
      </c>
      <c r="DS24" s="21" cm="1">
        <f t="array" ref="DS24">PRODUCT(1+預測IC!$C24:DS24)-1</f>
        <v>-0.43532756859303012</v>
      </c>
      <c r="DT24" s="21" cm="1">
        <f t="array" ref="DT24">PRODUCT(1+預測IC!$C24:DT24)-1</f>
        <v>-0.45699002150905743</v>
      </c>
      <c r="DU24" s="21" cm="1">
        <f t="array" ref="DU24">PRODUCT(1+預測IC!$C24:DU24)-1</f>
        <v>-0.48285824975991931</v>
      </c>
      <c r="DV24" s="21" cm="1">
        <f t="array" ref="DV24">PRODUCT(1+預測IC!$C24:DV24)-1</f>
        <v>-0.40103365217204789</v>
      </c>
      <c r="DW24" s="21" cm="1">
        <f t="array" ref="DW24">PRODUCT(1+預測IC!$C24:DW24)-1</f>
        <v>-0.33583191860465866</v>
      </c>
      <c r="DX24" s="21" cm="1">
        <f t="array" ref="DX24">PRODUCT(1+預測IC!$C24:DX24)-1</f>
        <v>-0.54278212846657947</v>
      </c>
      <c r="DY24" s="21" cm="1">
        <f t="array" ref="DY24">PRODUCT(1+預測IC!$C24:DY24)-1</f>
        <v>-0.38558866423263682</v>
      </c>
      <c r="DZ24" s="21" cm="1">
        <f t="array" ref="DZ24">PRODUCT(1+預測IC!$C24:DZ24)-1</f>
        <v>-0.41659750200802248</v>
      </c>
      <c r="EA24" s="21" cm="1">
        <f t="array" ref="EA24">PRODUCT(1+預測IC!$C24:EA24)-1</f>
        <v>-0.37147078075861151</v>
      </c>
      <c r="EB24" s="21" cm="1">
        <f t="array" ref="EB24">PRODUCT(1+預測IC!$C24:EB24)-1</f>
        <v>-0.35363831510958421</v>
      </c>
      <c r="EC24" s="21" cm="1">
        <f t="array" ref="EC24">PRODUCT(1+預測IC!$C24:EC24)-1</f>
        <v>-0.3628876983168452</v>
      </c>
      <c r="ED24" s="21" cm="1">
        <f t="array" ref="ED24">PRODUCT(1+預測IC!$C24:ED24)-1</f>
        <v>-0.39867610907697648</v>
      </c>
      <c r="EE24" s="21" cm="1">
        <f t="array" ref="EE24">PRODUCT(1+預測IC!$C24:EE24)-1</f>
        <v>-0.33046827735729634</v>
      </c>
      <c r="EF24" s="21" cm="1">
        <f t="array" ref="EF24">PRODUCT(1+預測IC!$C24:EF24)-1</f>
        <v>-0.28542440788237133</v>
      </c>
    </row>
    <row r="25" spans="1:136" s="2" customFormat="1">
      <c r="A25" s="3" t="s">
        <v>144</v>
      </c>
      <c r="B25" s="3" t="s">
        <v>145</v>
      </c>
      <c r="C25" s="24" cm="1">
        <f t="array" ref="C25">PRODUCT(1+預測IC!$C26:C26)-1</f>
        <v>-1.7446770539390366E-2</v>
      </c>
      <c r="D25" s="24" cm="1">
        <f t="array" ref="D25">PRODUCT(1+預測IC!$C26:D26)-1</f>
        <v>2.893123339404724E-3</v>
      </c>
      <c r="E25" s="24" cm="1">
        <f t="array" ref="E25">PRODUCT(1+預測IC!$C26:E26)-1</f>
        <v>2.6944635852046872E-2</v>
      </c>
      <c r="F25" s="24" cm="1">
        <f t="array" ref="F25">PRODUCT(1+預測IC!$C26:F26)-1</f>
        <v>2.0210365301730038E-2</v>
      </c>
      <c r="G25" s="24" cm="1">
        <f t="array" ref="G25">PRODUCT(1+預測IC!$C26:G26)-1</f>
        <v>5.269909680859941E-2</v>
      </c>
      <c r="H25" s="24" cm="1">
        <f t="array" ref="H25">PRODUCT(1+預測IC!$C26:H26)-1</f>
        <v>8.8857766197530053E-2</v>
      </c>
      <c r="I25" s="24" cm="1">
        <f t="array" ref="I25">PRODUCT(1+預測IC!$C26:I26)-1</f>
        <v>7.9869318529145472E-2</v>
      </c>
      <c r="J25" s="24" cm="1">
        <f t="array" ref="J25">PRODUCT(1+預測IC!$C26:J26)-1</f>
        <v>9.3738646464063713E-2</v>
      </c>
      <c r="K25" s="24" cm="1">
        <f t="array" ref="K25">PRODUCT(1+預測IC!$C26:K26)-1</f>
        <v>3.7937714394164157E-2</v>
      </c>
      <c r="L25" s="24" cm="1">
        <f t="array" ref="L25">PRODUCT(1+預測IC!$C26:L26)-1</f>
        <v>3.8844812525307137E-2</v>
      </c>
      <c r="M25" s="24" cm="1">
        <f t="array" ref="M25">PRODUCT(1+預測IC!$C26:M26)-1</f>
        <v>6.3142951706360639E-2</v>
      </c>
      <c r="N25" s="24" cm="1">
        <f t="array" ref="N25">PRODUCT(1+預測IC!$C26:N26)-1</f>
        <v>7.6952085951054405E-2</v>
      </c>
      <c r="O25" s="24" cm="1">
        <f t="array" ref="O25">PRODUCT(1+預測IC!$C26:O26)-1</f>
        <v>8.3257197491512391E-2</v>
      </c>
      <c r="P25" s="24" cm="1">
        <f t="array" ref="P25">PRODUCT(1+預測IC!$C26:P26)-1</f>
        <v>0.11295275081672607</v>
      </c>
      <c r="Q25" s="24" cm="1">
        <f t="array" ref="Q25">PRODUCT(1+預測IC!$C26:Q26)-1</f>
        <v>0.10882042835093308</v>
      </c>
      <c r="R25" s="24" cm="1">
        <f t="array" ref="R25">PRODUCT(1+預測IC!$C26:R26)-1</f>
        <v>0.13551706985268064</v>
      </c>
      <c r="S25" s="24" cm="1">
        <f t="array" ref="S25">PRODUCT(1+預測IC!$C26:S26)-1</f>
        <v>0.12167508804368476</v>
      </c>
      <c r="T25" s="24" cm="1">
        <f t="array" ref="T25">PRODUCT(1+預測IC!$C26:T26)-1</f>
        <v>7.7088976461827885E-2</v>
      </c>
      <c r="U25" s="24" cm="1">
        <f t="array" ref="U25">PRODUCT(1+預測IC!$C26:U26)-1</f>
        <v>-1.7059521199481731E-3</v>
      </c>
      <c r="V25" s="24" cm="1">
        <f t="array" ref="V25">PRODUCT(1+預測IC!$C26:V26)-1</f>
        <v>-5.9866792867339091E-2</v>
      </c>
      <c r="W25" s="24" cm="1">
        <f t="array" ref="W25">PRODUCT(1+預測IC!$C26:W26)-1</f>
        <v>-5.9140260213613516E-2</v>
      </c>
      <c r="X25" s="24" cm="1">
        <f t="array" ref="X25">PRODUCT(1+預測IC!$C26:X26)-1</f>
        <v>-1.7185893241652206E-2</v>
      </c>
      <c r="Y25" s="24" cm="1">
        <f t="array" ref="Y25">PRODUCT(1+預測IC!$C26:Y26)-1</f>
        <v>-4.4409529547694393E-2</v>
      </c>
      <c r="Z25" s="24" cm="1">
        <f t="array" ref="Z25">PRODUCT(1+預測IC!$C26:Z26)-1</f>
        <v>-4.2407561826578566E-2</v>
      </c>
      <c r="AA25" s="24" cm="1">
        <f t="array" ref="AA25">PRODUCT(1+預測IC!$C26:AA26)-1</f>
        <v>-6.481575250614946E-2</v>
      </c>
      <c r="AB25" s="24" cm="1">
        <f t="array" ref="AB25">PRODUCT(1+預測IC!$C26:AB26)-1</f>
        <v>-3.4768870774049443E-2</v>
      </c>
      <c r="AC25" s="24" cm="1">
        <f t="array" ref="AC25">PRODUCT(1+預測IC!$C26:AC26)-1</f>
        <v>2.7817794451217015E-3</v>
      </c>
      <c r="AD25" s="24" cm="1">
        <f t="array" ref="AD25">PRODUCT(1+預測IC!$C26:AD26)-1</f>
        <v>-4.0202844765013457E-2</v>
      </c>
      <c r="AE25" s="24" cm="1">
        <f t="array" ref="AE25">PRODUCT(1+預測IC!$C26:AE26)-1</f>
        <v>-2.2305320482664204E-2</v>
      </c>
      <c r="AF25" s="24" cm="1">
        <f t="array" ref="AF25">PRODUCT(1+預測IC!$C26:AF26)-1</f>
        <v>-7.4152570234460313E-3</v>
      </c>
      <c r="AG25" s="24" cm="1">
        <f t="array" ref="AG25">PRODUCT(1+預測IC!$C26:AG26)-1</f>
        <v>2.8334274381314417E-2</v>
      </c>
      <c r="AH25" s="24" cm="1">
        <f t="array" ref="AH25">PRODUCT(1+預測IC!$C26:AH26)-1</f>
        <v>3.7953941892352683E-2</v>
      </c>
      <c r="AI25" s="24" cm="1">
        <f t="array" ref="AI25">PRODUCT(1+預測IC!$C26:AI26)-1</f>
        <v>4.9110131735873752E-2</v>
      </c>
      <c r="AJ25" s="24" cm="1">
        <f t="array" ref="AJ25">PRODUCT(1+預測IC!$C26:AJ26)-1</f>
        <v>6.3123886850196875E-2</v>
      </c>
      <c r="AK25" s="24" cm="1">
        <f t="array" ref="AK25">PRODUCT(1+預測IC!$C26:AK26)-1</f>
        <v>5.7454515782098925E-2</v>
      </c>
      <c r="AL25" s="24" cm="1">
        <f t="array" ref="AL25">PRODUCT(1+預測IC!$C26:AL26)-1</f>
        <v>5.8917118987427575E-2</v>
      </c>
      <c r="AM25" s="24" cm="1">
        <f t="array" ref="AM25">PRODUCT(1+預測IC!$C26:AM26)-1</f>
        <v>8.0938283596681648E-2</v>
      </c>
      <c r="AN25" s="24" cm="1">
        <f t="array" ref="AN25">PRODUCT(1+預測IC!$C26:AN26)-1</f>
        <v>0.11500697453770203</v>
      </c>
      <c r="AO25" s="24" cm="1">
        <f t="array" ref="AO25">PRODUCT(1+預測IC!$C26:AO26)-1</f>
        <v>0.12196653200545171</v>
      </c>
      <c r="AP25" s="24" cm="1">
        <f t="array" ref="AP25">PRODUCT(1+預測IC!$C26:AP26)-1</f>
        <v>0.12886130991117528</v>
      </c>
      <c r="AQ25" s="24" cm="1">
        <f t="array" ref="AQ25">PRODUCT(1+預測IC!$C26:AQ26)-1</f>
        <v>0.14799139743631429</v>
      </c>
      <c r="AR25" s="24" cm="1">
        <f t="array" ref="AR25">PRODUCT(1+預測IC!$C26:AR26)-1</f>
        <v>0.18780698843660248</v>
      </c>
      <c r="AS25" s="24" cm="1">
        <f t="array" ref="AS25">PRODUCT(1+預測IC!$C26:AS26)-1</f>
        <v>0.19148751365039929</v>
      </c>
      <c r="AT25" s="24" cm="1">
        <f t="array" ref="AT25">PRODUCT(1+預測IC!$C26:AT26)-1</f>
        <v>0.20945675046088996</v>
      </c>
      <c r="AU25" s="24" cm="1">
        <f t="array" ref="AU25">PRODUCT(1+預測IC!$C26:AU26)-1</f>
        <v>0.18617324550329584</v>
      </c>
      <c r="AV25" s="24" cm="1">
        <f t="array" ref="AV25">PRODUCT(1+預測IC!$C26:AV26)-1</f>
        <v>0.23209180697664689</v>
      </c>
      <c r="AW25" s="24" cm="1">
        <f t="array" ref="AW25">PRODUCT(1+預測IC!$C26:AW26)-1</f>
        <v>0.20516203655681697</v>
      </c>
      <c r="AX25" s="24" cm="1">
        <f t="array" ref="AX25">PRODUCT(1+預測IC!$C26:AX26)-1</f>
        <v>0.21453132863303215</v>
      </c>
      <c r="AY25" s="24" cm="1">
        <f t="array" ref="AY25">PRODUCT(1+預測IC!$C26:AY26)-1</f>
        <v>0.2660241129922889</v>
      </c>
      <c r="AZ25" s="24" cm="1">
        <f t="array" ref="AZ25">PRODUCT(1+預測IC!$C26:AZ26)-1</f>
        <v>0.23271631642995261</v>
      </c>
      <c r="BA25" s="24" cm="1">
        <f t="array" ref="BA25">PRODUCT(1+預測IC!$C26:BA26)-1</f>
        <v>0.24451556797958407</v>
      </c>
      <c r="BB25" s="24" cm="1">
        <f t="array" ref="BB25">PRODUCT(1+預測IC!$C26:BB26)-1</f>
        <v>0.21433638745422812</v>
      </c>
      <c r="BC25" s="24" cm="1">
        <f t="array" ref="BC25">PRODUCT(1+預測IC!$C26:BC26)-1</f>
        <v>0.23882150637103883</v>
      </c>
      <c r="BD25" s="24" cm="1">
        <f t="array" ref="BD25">PRODUCT(1+預測IC!$C26:BD26)-1</f>
        <v>0.23447943849994912</v>
      </c>
      <c r="BE25" s="24" cm="1">
        <f t="array" ref="BE25">PRODUCT(1+預測IC!$C26:BE26)-1</f>
        <v>0.25935658802508499</v>
      </c>
      <c r="BF25" s="24" cm="1">
        <f t="array" ref="BF25">PRODUCT(1+預測IC!$C26:BF26)-1</f>
        <v>0.26008869763716325</v>
      </c>
      <c r="BG25" s="24" cm="1">
        <f t="array" ref="BG25">PRODUCT(1+預測IC!$C26:BG26)-1</f>
        <v>0.2535114114609236</v>
      </c>
      <c r="BH25" s="24" cm="1">
        <f t="array" ref="BH25">PRODUCT(1+預測IC!$C26:BH26)-1</f>
        <v>0.10826483627727623</v>
      </c>
      <c r="BI25" s="24" cm="1">
        <f t="array" ref="BI25">PRODUCT(1+預測IC!$C26:BI26)-1</f>
        <v>0.11793469710078752</v>
      </c>
      <c r="BJ25" s="24" cm="1">
        <f t="array" ref="BJ25">PRODUCT(1+預測IC!$C26:BJ26)-1</f>
        <v>9.9625988810205346E-2</v>
      </c>
      <c r="BK25" s="24" cm="1">
        <f t="array" ref="BK25">PRODUCT(1+預測IC!$C26:BK26)-1</f>
        <v>0.12254260303831388</v>
      </c>
      <c r="BL25" s="24" cm="1">
        <f t="array" ref="BL25">PRODUCT(1+預測IC!$C26:BL26)-1</f>
        <v>0.17302993558173996</v>
      </c>
      <c r="BM25" s="24" cm="1">
        <f t="array" ref="BM25">PRODUCT(1+預測IC!$C26:BM26)-1</f>
        <v>0.20112905370185397</v>
      </c>
      <c r="BN25" s="24" cm="1">
        <f t="array" ref="BN25">PRODUCT(1+預測IC!$C26:BN26)-1</f>
        <v>0.23745011694095197</v>
      </c>
      <c r="BO25" s="24" cm="1">
        <f t="array" ref="BO25">PRODUCT(1+預測IC!$C26:BO26)-1</f>
        <v>0.18334151222801376</v>
      </c>
      <c r="BP25" s="24" cm="1">
        <f t="array" ref="BP25">PRODUCT(1+預測IC!$C26:BP26)-1</f>
        <v>0.20924423024871497</v>
      </c>
      <c r="BQ25" s="24" cm="1">
        <f t="array" ref="BQ25">PRODUCT(1+預測IC!$C26:BQ26)-1</f>
        <v>0.21967690051673561</v>
      </c>
      <c r="BR25" s="24" cm="1">
        <f t="array" ref="BR25">PRODUCT(1+預測IC!$C26:BR26)-1</f>
        <v>0.1962676978767699</v>
      </c>
      <c r="BS25" s="24" cm="1">
        <f t="array" ref="BS25">PRODUCT(1+預測IC!$C26:BS26)-1</f>
        <v>0.21987619627534571</v>
      </c>
      <c r="BT25" s="24" cm="1">
        <f t="array" ref="BT25">PRODUCT(1+預測IC!$C26:BT26)-1</f>
        <v>0.27805738326883356</v>
      </c>
      <c r="BU25" s="24" cm="1">
        <f t="array" ref="BU25">PRODUCT(1+預測IC!$C26:BU26)-1</f>
        <v>0.29269729646247922</v>
      </c>
      <c r="BV25" s="24" cm="1">
        <f t="array" ref="BV25">PRODUCT(1+預測IC!$C26:BV26)-1</f>
        <v>0.34857881761669129</v>
      </c>
      <c r="BW25" s="24" cm="1">
        <f t="array" ref="BW25">PRODUCT(1+預測IC!$C26:BW26)-1</f>
        <v>0.2909305384219143</v>
      </c>
      <c r="BX25" s="24" cm="1">
        <f t="array" ref="BX25">PRODUCT(1+預測IC!$C26:BX26)-1</f>
        <v>0.26793739709811137</v>
      </c>
      <c r="BY25" s="24" cm="1">
        <f t="array" ref="BY25">PRODUCT(1+預測IC!$C26:BY26)-1</f>
        <v>7.628473289061688E-2</v>
      </c>
      <c r="BZ25" s="24" cm="1">
        <f t="array" ref="BZ25">PRODUCT(1+預測IC!$C26:BZ26)-1</f>
        <v>0.20998513144491437</v>
      </c>
      <c r="CA25" s="24" cm="1">
        <f t="array" ref="CA25">PRODUCT(1+預測IC!$C26:CA26)-1</f>
        <v>0.20447092205281336</v>
      </c>
      <c r="CB25" s="24" cm="1">
        <f t="array" ref="CB25">PRODUCT(1+預測IC!$C26:CB26)-1</f>
        <v>0.27699361006036605</v>
      </c>
      <c r="CC25" s="24" cm="1">
        <f t="array" ref="CC25">PRODUCT(1+預測IC!$C26:CC26)-1</f>
        <v>0.38680488733361829</v>
      </c>
      <c r="CD25" s="24" cm="1">
        <f t="array" ref="CD25">PRODUCT(1+預測IC!$C26:CD26)-1</f>
        <v>0.37874965946081551</v>
      </c>
      <c r="CE25" s="24" cm="1">
        <f t="array" ref="CE25">PRODUCT(1+預測IC!$C26:CE26)-1</f>
        <v>0.37042015435709108</v>
      </c>
      <c r="CF25" s="24" cm="1">
        <f t="array" ref="CF25">PRODUCT(1+預測IC!$C26:CF26)-1</f>
        <v>0.37378086910184649</v>
      </c>
      <c r="CG25" s="24" cm="1">
        <f t="array" ref="CG25">PRODUCT(1+預測IC!$C26:CG26)-1</f>
        <v>0.49692143719092186</v>
      </c>
      <c r="CH25" s="24" cm="1">
        <f t="array" ref="CH25">PRODUCT(1+預測IC!$C26:CH26)-1</f>
        <v>0.603191980394987</v>
      </c>
      <c r="CI25" s="24" cm="1">
        <f t="array" ref="CI25">PRODUCT(1+預測IC!$C26:CI26)-1</f>
        <v>0.64675173719730239</v>
      </c>
      <c r="CJ25" s="24" cm="1">
        <f t="array" ref="CJ25">PRODUCT(1+預測IC!$C26:CJ26)-1</f>
        <v>0.73315421285472704</v>
      </c>
      <c r="CK25" s="24" cm="1">
        <f t="array" ref="CK25">PRODUCT(1+預測IC!$C26:CK26)-1</f>
        <v>0.7842487445659152</v>
      </c>
      <c r="CL25" s="24" cm="1">
        <f t="array" ref="CL25">PRODUCT(1+預測IC!$C26:CL26)-1</f>
        <v>0.90348131155309508</v>
      </c>
      <c r="CM25" s="24" cm="1">
        <f t="array" ref="CM25">PRODUCT(1+預測IC!$C26:CM26)-1</f>
        <v>0.8487139113221478</v>
      </c>
      <c r="CN25" s="24" cm="1">
        <f t="array" ref="CN25">PRODUCT(1+預測IC!$C26:CN26)-1</f>
        <v>0.92166881344527685</v>
      </c>
      <c r="CO25" s="24" cm="1">
        <f t="array" ref="CO25">PRODUCT(1+預測IC!$C26:CO26)-1</f>
        <v>0.86588067898046694</v>
      </c>
      <c r="CP25" s="24" cm="1">
        <f t="array" ref="CP25">PRODUCT(1+預測IC!$C26:CP26)-1</f>
        <v>0.89197293519067467</v>
      </c>
      <c r="CQ25" s="24" cm="1">
        <f t="array" ref="CQ25">PRODUCT(1+預測IC!$C26:CQ26)-1</f>
        <v>0.83090579105751727</v>
      </c>
      <c r="CR25" s="24" cm="1">
        <f t="array" ref="CR25">PRODUCT(1+預測IC!$C26:CR26)-1</f>
        <v>0.83658814745105547</v>
      </c>
      <c r="CS25" s="24" cm="1">
        <f t="array" ref="CS25">PRODUCT(1+預測IC!$C26:CS26)-1</f>
        <v>0.88358984642415717</v>
      </c>
      <c r="CT25" s="24" cm="1">
        <f t="array" ref="CT25">PRODUCT(1+預測IC!$C26:CT26)-1</f>
        <v>0.9672059526983301</v>
      </c>
      <c r="CU25" s="24" cm="1">
        <f t="array" ref="CU25">PRODUCT(1+預測IC!$C26:CU26)-1</f>
        <v>0.90752297284093331</v>
      </c>
      <c r="CV25" s="24" cm="1">
        <f t="array" ref="CV25">PRODUCT(1+預測IC!$C26:CV26)-1</f>
        <v>0.90512335385454468</v>
      </c>
      <c r="CW25" s="24" cm="1">
        <f t="array" ref="CW25">PRODUCT(1+預測IC!$C26:CW26)-1</f>
        <v>0.90957440110152876</v>
      </c>
      <c r="CX25" s="24" cm="1">
        <f t="array" ref="CX25">PRODUCT(1+預測IC!$C26:CX26)-1</f>
        <v>0.78685723504233995</v>
      </c>
      <c r="CY25" s="24" cm="1">
        <f t="array" ref="CY25">PRODUCT(1+預測IC!$C26:CY26)-1</f>
        <v>0.80992516787144164</v>
      </c>
      <c r="CZ25" s="24" cm="1">
        <f t="array" ref="CZ25">PRODUCT(1+預測IC!$C26:CZ26)-1</f>
        <v>0.58282101623526672</v>
      </c>
      <c r="DA25" s="24" cm="1">
        <f t="array" ref="DA25">PRODUCT(1+預測IC!$C26:DA26)-1</f>
        <v>0.60132527488651344</v>
      </c>
      <c r="DB25" s="24" cm="1">
        <f t="array" ref="DB25">PRODUCT(1+預測IC!$C26:DB26)-1</f>
        <v>0.61147422419279152</v>
      </c>
      <c r="DC25" s="24" cm="1">
        <f t="array" ref="DC25">PRODUCT(1+預測IC!$C26:DC26)-1</f>
        <v>0.42243966588262949</v>
      </c>
      <c r="DD25" s="24" cm="1">
        <f t="array" ref="DD25">PRODUCT(1+預測IC!$C26:DD26)-1</f>
        <v>0.37121637307647259</v>
      </c>
      <c r="DE25" s="24" cm="1">
        <f t="array" ref="DE25">PRODUCT(1+預測IC!$C26:DE26)-1</f>
        <v>0.5616938276257708</v>
      </c>
      <c r="DF25" s="24" cm="1">
        <f t="array" ref="DF25">PRODUCT(1+預測IC!$C26:DF26)-1</f>
        <v>0.48182332962932128</v>
      </c>
      <c r="DG25" s="24" cm="1">
        <f t="array" ref="DG25">PRODUCT(1+預測IC!$C26:DG26)-1</f>
        <v>0.59552577817978314</v>
      </c>
      <c r="DH25" s="24" cm="1">
        <f t="array" ref="DH25">PRODUCT(1+預測IC!$C26:DH26)-1</f>
        <v>0.62027043996328524</v>
      </c>
      <c r="DI25" s="24" cm="1">
        <f t="array" ref="DI25">PRODUCT(1+預測IC!$C26:DI26)-1</f>
        <v>0.65789923395288952</v>
      </c>
      <c r="DJ25" s="24" cm="1">
        <f t="array" ref="DJ25">PRODUCT(1+預測IC!$C26:DJ26)-1</f>
        <v>0.62743885630809859</v>
      </c>
      <c r="DK25" s="24" cm="1">
        <f t="array" ref="DK25">PRODUCT(1+預測IC!$C26:DK26)-1</f>
        <v>0.72866394865424411</v>
      </c>
      <c r="DL25" s="24" cm="1">
        <f t="array" ref="DL25">PRODUCT(1+預測IC!$C26:DL26)-1</f>
        <v>0.76340716304992284</v>
      </c>
      <c r="DM25" s="24" cm="1">
        <f t="array" ref="DM25">PRODUCT(1+預測IC!$C26:DM26)-1</f>
        <v>0.78721129009524526</v>
      </c>
      <c r="DN25" s="24" cm="1">
        <f t="array" ref="DN25">PRODUCT(1+預測IC!$C26:DN26)-1</f>
        <v>0.73314419395664854</v>
      </c>
      <c r="DO25" s="24" cm="1">
        <f t="array" ref="DO25">PRODUCT(1+預測IC!$C26:DO26)-1</f>
        <v>0.7036411650845571</v>
      </c>
      <c r="DP25" s="24" cm="1">
        <f t="array" ref="DP25">PRODUCT(1+預測IC!$C26:DP26)-1</f>
        <v>0.666521339911188</v>
      </c>
      <c r="DQ25" s="24" cm="1">
        <f t="array" ref="DQ25">PRODUCT(1+預測IC!$C26:DQ26)-1</f>
        <v>0.80941825308633253</v>
      </c>
      <c r="DR25" s="24" cm="1">
        <f t="array" ref="DR25">PRODUCT(1+預測IC!$C26:DR26)-1</f>
        <v>0.86027510799998974</v>
      </c>
      <c r="DS25" s="24" cm="1">
        <f t="array" ref="DS25">PRODUCT(1+預測IC!$C26:DS26)-1</f>
        <v>0.85599059714061299</v>
      </c>
      <c r="DT25" s="24" cm="1">
        <f t="array" ref="DT25">PRODUCT(1+預測IC!$C26:DT26)-1</f>
        <v>0.9645125910761998</v>
      </c>
      <c r="DU25" s="24" cm="1">
        <f t="array" ref="DU25">PRODUCT(1+預測IC!$C26:DU26)-1</f>
        <v>1.0974294483812512</v>
      </c>
      <c r="DV25" s="24" cm="1">
        <f t="array" ref="DV25">PRODUCT(1+預測IC!$C26:DV26)-1</f>
        <v>1.1079601605760616</v>
      </c>
      <c r="DW25" s="24" cm="1">
        <f t="array" ref="DW25">PRODUCT(1+預測IC!$C26:DW26)-1</f>
        <v>1.1868319851241949</v>
      </c>
      <c r="DX25" s="24" cm="1">
        <f t="array" ref="DX25">PRODUCT(1+預測IC!$C26:DX26)-1</f>
        <v>1.3707686184169408</v>
      </c>
      <c r="DY25" s="24" cm="1">
        <f t="array" ref="DY25">PRODUCT(1+預測IC!$C26:DY26)-1</f>
        <v>1.2834475238077694</v>
      </c>
      <c r="DZ25" s="24" cm="1">
        <f t="array" ref="DZ25">PRODUCT(1+預測IC!$C26:DZ26)-1</f>
        <v>1.2905072649494538</v>
      </c>
      <c r="EA25" s="24" cm="1">
        <f t="array" ref="EA25">PRODUCT(1+預測IC!$C26:EA26)-1</f>
        <v>1.2860233033025419</v>
      </c>
      <c r="EB25" s="24" cm="1">
        <f t="array" ref="EB25">PRODUCT(1+預測IC!$C26:EB26)-1</f>
        <v>1.3465094307246845</v>
      </c>
      <c r="EC25" s="24" cm="1">
        <f t="array" ref="EC25">PRODUCT(1+預測IC!$C26:EC26)-1</f>
        <v>1.2884273650883467</v>
      </c>
      <c r="ED25" s="24" cm="1">
        <f t="array" ref="ED25">PRODUCT(1+預測IC!$C26:ED26)-1</f>
        <v>1.3664981882262612</v>
      </c>
      <c r="EE25" s="24" cm="1">
        <f t="array" ref="EE25">PRODUCT(1+預測IC!$C26:EE26)-1</f>
        <v>1.4163413115117764</v>
      </c>
      <c r="EF25" s="24" cm="1">
        <f t="array" ref="EF25">PRODUCT(1+預測IC!$C26:EF26)-1</f>
        <v>1.367344209826507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I26"/>
  <sheetViews>
    <sheetView topLeftCell="DP1" zoomScale="161" zoomScaleNormal="93" workbookViewId="0">
      <selection activeCell="EH8" sqref="EH8"/>
    </sheetView>
  </sheetViews>
  <sheetFormatPr baseColWidth="10" defaultColWidth="9" defaultRowHeight="14"/>
  <cols>
    <col min="136" max="136" width="9.3984375" bestFit="1" customWidth="1"/>
    <col min="139" max="139" width="10.3984375" customWidth="1"/>
  </cols>
  <sheetData>
    <row r="1" spans="1:139">
      <c r="A1" s="25" t="str">
        <f>預測IC!A1</f>
        <v>NN4</v>
      </c>
      <c r="B1" s="7"/>
    </row>
    <row r="2" spans="1:139">
      <c r="A2" s="7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5" t="s">
        <v>43</v>
      </c>
      <c r="AT2" s="5" t="s">
        <v>44</v>
      </c>
      <c r="AU2" s="5" t="s">
        <v>45</v>
      </c>
      <c r="AV2" s="5" t="s">
        <v>46</v>
      </c>
      <c r="AW2" s="5" t="s">
        <v>47</v>
      </c>
      <c r="AX2" s="5" t="s">
        <v>48</v>
      </c>
      <c r="AY2" s="5" t="s">
        <v>49</v>
      </c>
      <c r="AZ2" s="5" t="s">
        <v>50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55</v>
      </c>
      <c r="BF2" s="5" t="s">
        <v>56</v>
      </c>
      <c r="BG2" s="5" t="s">
        <v>57</v>
      </c>
      <c r="BH2" s="5" t="s">
        <v>58</v>
      </c>
      <c r="BI2" s="5" t="s">
        <v>59</v>
      </c>
      <c r="BJ2" s="5" t="s">
        <v>60</v>
      </c>
      <c r="BK2" s="5" t="s">
        <v>61</v>
      </c>
      <c r="BL2" s="5" t="s">
        <v>62</v>
      </c>
      <c r="BM2" s="5" t="s">
        <v>63</v>
      </c>
      <c r="BN2" s="5" t="s">
        <v>64</v>
      </c>
      <c r="BO2" s="5" t="s">
        <v>65</v>
      </c>
      <c r="BP2" s="5" t="s">
        <v>66</v>
      </c>
      <c r="BQ2" s="5" t="s">
        <v>67</v>
      </c>
      <c r="BR2" s="5" t="s">
        <v>68</v>
      </c>
      <c r="BS2" s="5" t="s">
        <v>69</v>
      </c>
      <c r="BT2" s="5" t="s">
        <v>70</v>
      </c>
      <c r="BU2" s="5" t="s">
        <v>71</v>
      </c>
      <c r="BV2" s="5" t="s">
        <v>72</v>
      </c>
      <c r="BW2" s="5" t="s">
        <v>73</v>
      </c>
      <c r="BX2" s="5" t="s">
        <v>74</v>
      </c>
      <c r="BY2" s="5" t="s">
        <v>75</v>
      </c>
      <c r="BZ2" s="5" t="s">
        <v>76</v>
      </c>
      <c r="CA2" s="5" t="s">
        <v>77</v>
      </c>
      <c r="CB2" s="5" t="s">
        <v>78</v>
      </c>
      <c r="CC2" s="5" t="s">
        <v>79</v>
      </c>
      <c r="CD2" s="5" t="s">
        <v>80</v>
      </c>
      <c r="CE2" s="5" t="s">
        <v>81</v>
      </c>
      <c r="CF2" s="5" t="s">
        <v>82</v>
      </c>
      <c r="CG2" s="5" t="s">
        <v>83</v>
      </c>
      <c r="CH2" s="5" t="s">
        <v>84</v>
      </c>
      <c r="CI2" s="5" t="s">
        <v>85</v>
      </c>
      <c r="CJ2" s="5" t="s">
        <v>86</v>
      </c>
      <c r="CK2" s="5" t="s">
        <v>87</v>
      </c>
      <c r="CL2" s="5" t="s">
        <v>88</v>
      </c>
      <c r="CM2" s="5" t="s">
        <v>89</v>
      </c>
      <c r="CN2" s="5" t="s">
        <v>90</v>
      </c>
      <c r="CO2" s="5" t="s">
        <v>91</v>
      </c>
      <c r="CP2" s="5" t="s">
        <v>92</v>
      </c>
      <c r="CQ2" s="5" t="s">
        <v>93</v>
      </c>
      <c r="CR2" s="5" t="s">
        <v>94</v>
      </c>
      <c r="CS2" s="5" t="s">
        <v>95</v>
      </c>
      <c r="CT2" s="5" t="s">
        <v>96</v>
      </c>
      <c r="CU2" s="5" t="s">
        <v>97</v>
      </c>
      <c r="CV2" s="5" t="s">
        <v>98</v>
      </c>
      <c r="CW2" s="5" t="s">
        <v>99</v>
      </c>
      <c r="CX2" s="5" t="s">
        <v>100</v>
      </c>
      <c r="CY2" s="5" t="s">
        <v>101</v>
      </c>
      <c r="CZ2" s="5" t="s">
        <v>102</v>
      </c>
      <c r="DA2" s="5" t="s">
        <v>103</v>
      </c>
      <c r="DB2" s="5" t="s">
        <v>104</v>
      </c>
      <c r="DC2" s="5" t="s">
        <v>105</v>
      </c>
      <c r="DD2" s="5" t="s">
        <v>106</v>
      </c>
      <c r="DE2" s="5" t="s">
        <v>107</v>
      </c>
      <c r="DF2" s="5" t="s">
        <v>108</v>
      </c>
      <c r="DG2" s="5" t="s">
        <v>109</v>
      </c>
      <c r="DH2" s="5" t="s">
        <v>110</v>
      </c>
      <c r="DI2" s="5" t="s">
        <v>111</v>
      </c>
      <c r="DJ2" s="5" t="s">
        <v>112</v>
      </c>
      <c r="DK2" s="5" t="s">
        <v>113</v>
      </c>
      <c r="DL2" s="5" t="s">
        <v>114</v>
      </c>
      <c r="DM2" s="5" t="s">
        <v>115</v>
      </c>
      <c r="DN2" s="5" t="s">
        <v>116</v>
      </c>
      <c r="DO2" s="5" t="s">
        <v>117</v>
      </c>
      <c r="DP2" s="5" t="s">
        <v>118</v>
      </c>
      <c r="DQ2" s="5" t="s">
        <v>119</v>
      </c>
      <c r="DR2" s="5" t="s">
        <v>120</v>
      </c>
      <c r="DS2" s="5" t="s">
        <v>121</v>
      </c>
      <c r="DT2" s="5" t="s">
        <v>122</v>
      </c>
      <c r="DU2" s="5" t="s">
        <v>123</v>
      </c>
      <c r="DV2" s="5" t="s">
        <v>124</v>
      </c>
      <c r="DW2" s="5" t="s">
        <v>125</v>
      </c>
      <c r="DX2" s="5" t="s">
        <v>126</v>
      </c>
      <c r="DY2" s="5" t="s">
        <v>127</v>
      </c>
      <c r="DZ2" s="5" t="s">
        <v>128</v>
      </c>
      <c r="EA2" s="5" t="s">
        <v>129</v>
      </c>
      <c r="EB2" s="5" t="s">
        <v>130</v>
      </c>
      <c r="EC2" s="5" t="s">
        <v>131</v>
      </c>
      <c r="ED2" s="5" t="s">
        <v>132</v>
      </c>
      <c r="EE2" s="5" t="s">
        <v>133</v>
      </c>
      <c r="EF2" s="5" t="s">
        <v>134</v>
      </c>
      <c r="EG2" s="5" t="s">
        <v>135</v>
      </c>
    </row>
    <row r="3" spans="1:139">
      <c r="A3" s="7"/>
      <c r="B3" s="4" t="s">
        <v>136</v>
      </c>
      <c r="C3" s="26">
        <f>預測IC!C3</f>
        <v>5.338069424033165E-2</v>
      </c>
      <c r="D3" s="26">
        <f>預測IC!D3</f>
        <v>2.5363307446241379E-2</v>
      </c>
      <c r="E3" s="26">
        <f>預測IC!E3</f>
        <v>3.7131085991859443E-2</v>
      </c>
      <c r="F3" s="26">
        <f>預測IC!F3</f>
        <v>-1.5433895401656629E-2</v>
      </c>
      <c r="G3" s="26">
        <f>預測IC!G3</f>
        <v>3.8762547075748437E-2</v>
      </c>
      <c r="H3" s="26">
        <f>預測IC!H3</f>
        <v>1.892003417015076E-2</v>
      </c>
      <c r="I3" s="26">
        <f>預測IC!I3</f>
        <v>3.051983006298542E-2</v>
      </c>
      <c r="J3" s="26">
        <f>預測IC!J3</f>
        <v>-7.0650950074195862E-3</v>
      </c>
      <c r="K3" s="26">
        <f>預測IC!K3</f>
        <v>8.7663400918245316E-3</v>
      </c>
      <c r="L3" s="26">
        <f>預測IC!L3</f>
        <v>-1.6310771927237511E-2</v>
      </c>
      <c r="M3" s="26">
        <f>預測IC!M3</f>
        <v>2.2654309868812561E-2</v>
      </c>
      <c r="N3" s="26">
        <f>預測IC!N3</f>
        <v>-1.6186010092496868E-2</v>
      </c>
      <c r="O3" s="26">
        <f>預測IC!O3</f>
        <v>-2.7719441801309589E-2</v>
      </c>
      <c r="P3" s="26">
        <f>預測IC!P3</f>
        <v>9.2788353562355042E-2</v>
      </c>
      <c r="Q3" s="26">
        <f>預測IC!Q3</f>
        <v>-1.6570717096328739E-2</v>
      </c>
      <c r="R3" s="26">
        <f>預測IC!R3</f>
        <v>-1.4206883497536181E-2</v>
      </c>
      <c r="S3" s="26">
        <f>預測IC!S3</f>
        <v>4.957927018404007E-2</v>
      </c>
      <c r="T3" s="26">
        <f>預測IC!T3</f>
        <v>2.795058116316795E-2</v>
      </c>
      <c r="U3" s="26">
        <f>預測IC!U3</f>
        <v>1.4803186058998111E-4</v>
      </c>
      <c r="V3" s="26">
        <f>預測IC!V3</f>
        <v>-1.9191417843103409E-2</v>
      </c>
      <c r="W3" s="26">
        <f>預測IC!W3</f>
        <v>-2.0450763404369351E-2</v>
      </c>
      <c r="X3" s="26">
        <f>預測IC!X3</f>
        <v>-3.8444548845291138E-2</v>
      </c>
      <c r="Y3" s="26">
        <f>預測IC!Y3</f>
        <v>-2.1946478635072712E-2</v>
      </c>
      <c r="Z3" s="26">
        <f>預測IC!Z3</f>
        <v>1.4381051063537599E-2</v>
      </c>
      <c r="AA3" s="26">
        <f>預測IC!AA3</f>
        <v>2.881650626659393E-2</v>
      </c>
      <c r="AB3" s="26">
        <f>預測IC!AB3</f>
        <v>-2.372733503580093E-2</v>
      </c>
      <c r="AC3" s="26">
        <f>預測IC!AC3</f>
        <v>-1.292891800403595E-2</v>
      </c>
      <c r="AD3" s="26">
        <f>預測IC!AD3</f>
        <v>2.2476669400930401E-2</v>
      </c>
      <c r="AE3" s="26">
        <f>預測IC!AE3</f>
        <v>3.8704991340637207E-2</v>
      </c>
      <c r="AF3" s="26">
        <f>預測IC!AF3</f>
        <v>1.200170814990997E-2</v>
      </c>
      <c r="AG3" s="26">
        <f>預測IC!AG3</f>
        <v>-2.7202442288398739E-2</v>
      </c>
      <c r="AH3" s="26">
        <f>預測IC!AH3</f>
        <v>1.702401414513588E-2</v>
      </c>
      <c r="AI3" s="26">
        <f>預測IC!AI3</f>
        <v>1.4300147071480749E-2</v>
      </c>
      <c r="AJ3" s="26">
        <f>預測IC!AJ3</f>
        <v>1.841375045478344E-2</v>
      </c>
      <c r="AK3" s="26">
        <f>預測IC!AK3</f>
        <v>1.0560634545981881E-2</v>
      </c>
      <c r="AL3" s="26">
        <f>預測IC!AL3</f>
        <v>3.8964591920375817E-2</v>
      </c>
      <c r="AM3" s="26">
        <f>預測IC!AM3</f>
        <v>1.855255663394928E-2</v>
      </c>
      <c r="AN3" s="26">
        <f>預測IC!AN3</f>
        <v>4.386327788233757E-2</v>
      </c>
      <c r="AO3" s="26">
        <f>預測IC!AO3</f>
        <v>-3.6691559944301839E-3</v>
      </c>
      <c r="AP3" s="26">
        <f>預測IC!AP3</f>
        <v>3.8291200995445251E-2</v>
      </c>
      <c r="AQ3" s="26">
        <f>預測IC!AQ3</f>
        <v>1.015769504010677E-2</v>
      </c>
      <c r="AR3" s="26">
        <f>預測IC!AR3</f>
        <v>8.0924127250909805E-3</v>
      </c>
      <c r="AS3" s="26">
        <f>預測IC!AS3</f>
        <v>-6.6054962575435638E-2</v>
      </c>
      <c r="AT3" s="26">
        <f>預測IC!AT3</f>
        <v>4.3137997388839722E-2</v>
      </c>
      <c r="AU3" s="26">
        <f>預測IC!AU3</f>
        <v>4.9771856516599662E-2</v>
      </c>
      <c r="AV3" s="26">
        <f>預測IC!AV3</f>
        <v>4.9413982778787613E-2</v>
      </c>
      <c r="AW3" s="26">
        <f>預測IC!AW3</f>
        <v>5.1071316003799438E-2</v>
      </c>
      <c r="AX3" s="26">
        <f>預測IC!AX3</f>
        <v>4.962177574634552E-2</v>
      </c>
      <c r="AY3" s="26">
        <f>預測IC!AY3</f>
        <v>5.1257487386465073E-2</v>
      </c>
      <c r="AZ3" s="26">
        <f>預測IC!AZ3</f>
        <v>4.2423129081726067E-2</v>
      </c>
      <c r="BA3" s="26">
        <f>預測IC!BA3</f>
        <v>3.9333701133728027E-2</v>
      </c>
      <c r="BB3" s="26">
        <f>預測IC!BB3</f>
        <v>3.9388258010149002E-2</v>
      </c>
      <c r="BC3" s="26">
        <f>預測IC!BC3</f>
        <v>4.2884018272161477E-2</v>
      </c>
      <c r="BD3" s="26">
        <f>預測IC!BD3</f>
        <v>4.4494438916444778E-2</v>
      </c>
      <c r="BE3" s="26">
        <f>預測IC!BE3</f>
        <v>4.6050392091274261E-2</v>
      </c>
      <c r="BF3" s="26">
        <f>預測IC!BF3</f>
        <v>5.2774351090192788E-2</v>
      </c>
      <c r="BG3" s="26">
        <f>預測IC!BG3</f>
        <v>5.2520696073770523E-2</v>
      </c>
      <c r="BH3" s="26">
        <f>預測IC!BH3</f>
        <v>5.204303190112114E-2</v>
      </c>
      <c r="BI3" s="26">
        <f>預測IC!BI3</f>
        <v>5.3213786333799362E-2</v>
      </c>
      <c r="BJ3" s="26">
        <f>預測IC!BJ3</f>
        <v>5.14848493039608E-2</v>
      </c>
      <c r="BK3" s="26">
        <f>預測IC!BK3</f>
        <v>5.2345767617225647E-2</v>
      </c>
      <c r="BL3" s="26">
        <f>預測IC!BL3</f>
        <v>5.2821684628725052E-2</v>
      </c>
      <c r="BM3" s="26">
        <f>預測IC!BM3</f>
        <v>5.246623232960701E-2</v>
      </c>
      <c r="BN3" s="26">
        <f>預測IC!BN3</f>
        <v>5.7477392256259918E-2</v>
      </c>
      <c r="BO3" s="26">
        <f>預測IC!BO3</f>
        <v>5.5104456841945648E-2</v>
      </c>
      <c r="BP3" s="26">
        <f>預測IC!BP3</f>
        <v>4.081440344452858E-2</v>
      </c>
      <c r="BQ3" s="26">
        <f>預測IC!BQ3</f>
        <v>5.2616532891988747E-2</v>
      </c>
      <c r="BR3" s="26">
        <f>預測IC!BR3</f>
        <v>3.6645740270614617E-2</v>
      </c>
      <c r="BS3" s="26">
        <f>預測IC!BS3</f>
        <v>5.4600823670625687E-2</v>
      </c>
      <c r="BT3" s="26">
        <f>預測IC!BT3</f>
        <v>4.5548383146524429E-2</v>
      </c>
      <c r="BU3" s="26">
        <f>預測IC!BU3</f>
        <v>5.5572357028722763E-2</v>
      </c>
      <c r="BV3" s="26">
        <f>預測IC!BV3</f>
        <v>5.2330784499645233E-2</v>
      </c>
      <c r="BW3" s="26">
        <f>預測IC!BW3</f>
        <v>4.1799742728471763E-2</v>
      </c>
      <c r="BX3" s="26">
        <f>預測IC!BX3</f>
        <v>4.7964099794626243E-2</v>
      </c>
      <c r="BY3" s="26">
        <f>預測IC!BY3</f>
        <v>4.9554049968719482E-2</v>
      </c>
      <c r="BZ3" s="26">
        <f>預測IC!BZ3</f>
        <v>5.3468108177185059E-2</v>
      </c>
      <c r="CA3" s="26">
        <f>預測IC!CA3</f>
        <v>4.868757352232933E-2</v>
      </c>
      <c r="CB3" s="26">
        <f>預測IC!CB3</f>
        <v>4.6025428920984268E-2</v>
      </c>
      <c r="CC3" s="26">
        <f>預測IC!CC3</f>
        <v>5.2412558346986771E-2</v>
      </c>
      <c r="CD3" s="26">
        <f>預測IC!CD3</f>
        <v>4.9619406461715698E-2</v>
      </c>
      <c r="CE3" s="26">
        <f>預測IC!CE3</f>
        <v>4.6824052929878228E-2</v>
      </c>
      <c r="CF3" s="26">
        <f>預測IC!CF3</f>
        <v>5.0924398005008698E-2</v>
      </c>
      <c r="CG3" s="26">
        <f>預測IC!CG3</f>
        <v>4.6287201344966888E-2</v>
      </c>
      <c r="CH3" s="26">
        <f>預測IC!CH3</f>
        <v>5.0006065517663963E-2</v>
      </c>
      <c r="CI3" s="26">
        <f>預測IC!CI3</f>
        <v>4.8990387469530113E-2</v>
      </c>
      <c r="CJ3" s="26">
        <f>預測IC!CJ3</f>
        <v>5.0737027078866959E-2</v>
      </c>
      <c r="CK3" s="26">
        <f>預測IC!CK3</f>
        <v>5.0407581031322479E-2</v>
      </c>
      <c r="CL3" s="26">
        <f>預測IC!CL3</f>
        <v>5.1771163940429688E-2</v>
      </c>
      <c r="CM3" s="26">
        <f>預測IC!CM3</f>
        <v>4.9744158983230591E-2</v>
      </c>
      <c r="CN3" s="26">
        <f>預測IC!CN3</f>
        <v>4.9877673387527473E-2</v>
      </c>
      <c r="CO3" s="26">
        <f>預測IC!CO3</f>
        <v>4.8527717590332031E-2</v>
      </c>
      <c r="CP3" s="26">
        <f>預測IC!CP3</f>
        <v>4.8692740499973297E-2</v>
      </c>
      <c r="CQ3" s="26">
        <f>預測IC!CQ3</f>
        <v>4.9047302454710007E-2</v>
      </c>
      <c r="CR3" s="26">
        <f>預測IC!CR3</f>
        <v>4.9837246537208557E-2</v>
      </c>
      <c r="CS3" s="26">
        <f>預測IC!CS3</f>
        <v>4.7483202069997787E-2</v>
      </c>
      <c r="CT3" s="26">
        <f>預測IC!CT3</f>
        <v>3.1795904040336609E-2</v>
      </c>
      <c r="CU3" s="26">
        <f>預測IC!CU3</f>
        <v>4.4976841658353812E-2</v>
      </c>
      <c r="CV3" s="26">
        <f>預測IC!CV3</f>
        <v>4.9786105751991272E-2</v>
      </c>
      <c r="CW3" s="26">
        <f>預測IC!CW3</f>
        <v>4.3859463185071952E-2</v>
      </c>
      <c r="CX3" s="26">
        <f>預測IC!CX3</f>
        <v>5.1966626197099693E-2</v>
      </c>
      <c r="CY3" s="26">
        <f>預測IC!CY3</f>
        <v>5.0948314368724823E-2</v>
      </c>
      <c r="CZ3" s="26">
        <f>預測IC!CZ3</f>
        <v>4.4357843697071082E-2</v>
      </c>
      <c r="DA3" s="26">
        <f>預測IC!DA3</f>
        <v>4.5401513576507568E-2</v>
      </c>
      <c r="DB3" s="26">
        <f>預測IC!DB3</f>
        <v>5.2733633667230613E-2</v>
      </c>
      <c r="DC3" s="26">
        <f>預測IC!DC3</f>
        <v>5.2081622183322913E-2</v>
      </c>
      <c r="DD3" s="26">
        <f>預測IC!DD3</f>
        <v>4.963703453540802E-2</v>
      </c>
      <c r="DE3" s="26">
        <f>預測IC!DE3</f>
        <v>5.2589800208806992E-2</v>
      </c>
      <c r="DF3" s="26">
        <f>預測IC!DF3</f>
        <v>4.1408929973840707E-2</v>
      </c>
      <c r="DG3" s="26">
        <f>預測IC!DG3</f>
        <v>4.3718356639146798E-2</v>
      </c>
      <c r="DH3" s="26">
        <f>預測IC!DH3</f>
        <v>4.6793397516012192E-2</v>
      </c>
      <c r="DI3" s="26">
        <f>預測IC!DI3</f>
        <v>4.7784905880689621E-2</v>
      </c>
      <c r="DJ3" s="26">
        <f>預測IC!DJ3</f>
        <v>5.1443465054035187E-2</v>
      </c>
      <c r="DK3" s="26">
        <f>預測IC!DK3</f>
        <v>4.1621468961238861E-2</v>
      </c>
      <c r="DL3" s="26">
        <f>預測IC!DL3</f>
        <v>4.8520050942897797E-2</v>
      </c>
      <c r="DM3" s="26">
        <f>預測IC!DM3</f>
        <v>4.8485212028026581E-2</v>
      </c>
      <c r="DN3" s="26">
        <f>預測IC!DN3</f>
        <v>4.6739093959331512E-2</v>
      </c>
      <c r="DO3" s="26">
        <f>預測IC!DO3</f>
        <v>4.815780371427536E-2</v>
      </c>
      <c r="DP3" s="26">
        <f>預測IC!DP3</f>
        <v>4.7622770071029663E-2</v>
      </c>
      <c r="DQ3" s="26">
        <f>預測IC!DQ3</f>
        <v>4.8637110739946372E-2</v>
      </c>
      <c r="DR3" s="26">
        <f>預測IC!DR3</f>
        <v>4.879031702876091E-2</v>
      </c>
      <c r="DS3" s="26">
        <f>預測IC!DS3</f>
        <v>4.4818054884672158E-2</v>
      </c>
      <c r="DT3" s="26">
        <f>預測IC!DT3</f>
        <v>4.8045273870229721E-2</v>
      </c>
      <c r="DU3" s="26">
        <f>預測IC!DU3</f>
        <v>4.7465518116950989E-2</v>
      </c>
      <c r="DV3" s="26">
        <f>預測IC!DV3</f>
        <v>4.6620264649391167E-2</v>
      </c>
      <c r="DW3" s="26">
        <f>預測IC!DW3</f>
        <v>4.7323688864707947E-2</v>
      </c>
      <c r="DX3" s="26">
        <f>預測IC!DX3</f>
        <v>4.754440113902092E-2</v>
      </c>
      <c r="DY3" s="26">
        <f>預測IC!DY3</f>
        <v>4.7807488590478897E-2</v>
      </c>
      <c r="DZ3" s="26">
        <f>預測IC!DZ3</f>
        <v>3.4820709377527237E-2</v>
      </c>
      <c r="EA3" s="26">
        <f>預測IC!EA3</f>
        <v>4.8265136778354638E-2</v>
      </c>
      <c r="EB3" s="26">
        <f>預測IC!EB3</f>
        <v>4.2205382138490677E-2</v>
      </c>
      <c r="EC3" s="26">
        <f>預測IC!EC3</f>
        <v>3.6263357847929001E-2</v>
      </c>
      <c r="ED3" s="26">
        <f>預測IC!ED3</f>
        <v>3.9504203945398331E-2</v>
      </c>
      <c r="EE3" s="26">
        <f>預測IC!EE3</f>
        <v>4.6422228217124939E-2</v>
      </c>
      <c r="EF3" s="26">
        <f>預測IC!EF3</f>
        <v>5.0174936652183533E-2</v>
      </c>
      <c r="EG3" s="1"/>
    </row>
    <row r="4" spans="1:139">
      <c r="A4" s="7"/>
      <c r="B4" s="4" t="s">
        <v>137</v>
      </c>
      <c r="C4" s="26">
        <f>預測IC!C4</f>
        <v>-2.5382354855537411E-2</v>
      </c>
      <c r="D4" s="26">
        <f>預測IC!D4</f>
        <v>-3.0302392318844799E-2</v>
      </c>
      <c r="E4" s="26">
        <f>預測IC!E4</f>
        <v>-2.2067004814743999E-2</v>
      </c>
      <c r="F4" s="26">
        <f>預測IC!F4</f>
        <v>-3.342650830745697E-2</v>
      </c>
      <c r="G4" s="26">
        <f>預測IC!G4</f>
        <v>-4.356461763381958E-2</v>
      </c>
      <c r="H4" s="26">
        <f>預測IC!H4</f>
        <v>-2.4043656885623928E-2</v>
      </c>
      <c r="I4" s="26">
        <f>預測IC!I4</f>
        <v>-2.6620017364621159E-2</v>
      </c>
      <c r="J4" s="26">
        <f>預測IC!J4</f>
        <v>-3.6628138273954391E-2</v>
      </c>
      <c r="K4" s="26">
        <f>預測IC!K4</f>
        <v>-3.3706646412611008E-2</v>
      </c>
      <c r="L4" s="26">
        <f>預測IC!L4</f>
        <v>-3.9789609611034393E-2</v>
      </c>
      <c r="M4" s="26">
        <f>預測IC!M4</f>
        <v>-3.8071341812610633E-2</v>
      </c>
      <c r="N4" s="26">
        <f>預測IC!N4</f>
        <v>-2.9651828110218052E-2</v>
      </c>
      <c r="O4" s="26">
        <f>預測IC!O4</f>
        <v>-3.6376375705003738E-2</v>
      </c>
      <c r="P4" s="26">
        <f>預測IC!P4</f>
        <v>-3.8347743451595313E-2</v>
      </c>
      <c r="Q4" s="26">
        <f>預測IC!Q4</f>
        <v>-2.434376627206802E-2</v>
      </c>
      <c r="R4" s="26">
        <f>預測IC!R4</f>
        <v>-3.3573232591152191E-2</v>
      </c>
      <c r="S4" s="26">
        <f>預測IC!S4</f>
        <v>-2.8594411909580231E-2</v>
      </c>
      <c r="T4" s="26">
        <f>預測IC!T4</f>
        <v>-2.798360958695412E-2</v>
      </c>
      <c r="U4" s="26">
        <f>預測IC!U4</f>
        <v>-2.942265011370182E-2</v>
      </c>
      <c r="V4" s="26">
        <f>預測IC!V4</f>
        <v>-2.794249914586544E-2</v>
      </c>
      <c r="W4" s="26">
        <f>預測IC!W4</f>
        <v>-2.784637734293938E-2</v>
      </c>
      <c r="X4" s="26">
        <f>預測IC!X4</f>
        <v>-2.9234068468213081E-2</v>
      </c>
      <c r="Y4" s="26">
        <f>預測IC!Y4</f>
        <v>-3.1967829912900918E-2</v>
      </c>
      <c r="Z4" s="26">
        <f>預測IC!Z4</f>
        <v>-2.9925361275672909E-2</v>
      </c>
      <c r="AA4" s="26">
        <f>預測IC!AA4</f>
        <v>-3.0244136229157451E-2</v>
      </c>
      <c r="AB4" s="26">
        <f>預測IC!AB4</f>
        <v>-2.8592776507139209E-2</v>
      </c>
      <c r="AC4" s="26">
        <f>預測IC!AC4</f>
        <v>-2.740947529673576E-2</v>
      </c>
      <c r="AD4" s="26">
        <f>預測IC!AD4</f>
        <v>-2.904889173805714E-2</v>
      </c>
      <c r="AE4" s="26">
        <f>預測IC!AE4</f>
        <v>-3.0896455049514771E-2</v>
      </c>
      <c r="AF4" s="26">
        <f>預測IC!AF4</f>
        <v>-2.8318248689174649E-2</v>
      </c>
      <c r="AG4" s="26">
        <f>預測IC!AG4</f>
        <v>-2.835783921182156E-2</v>
      </c>
      <c r="AH4" s="26">
        <f>預測IC!AH4</f>
        <v>-2.0635519176721569E-2</v>
      </c>
      <c r="AI4" s="26">
        <f>預測IC!AI4</f>
        <v>-3.9616737514734268E-2</v>
      </c>
      <c r="AJ4" s="26">
        <f>預測IC!AJ4</f>
        <v>-3.4279849380254752E-2</v>
      </c>
      <c r="AK4" s="26">
        <f>預測IC!AK4</f>
        <v>-2.738221921026707E-2</v>
      </c>
      <c r="AL4" s="26">
        <f>預測IC!AL4</f>
        <v>-2.863131649792194E-2</v>
      </c>
      <c r="AM4" s="26">
        <f>預測IC!AM4</f>
        <v>-3.1148817390203479E-2</v>
      </c>
      <c r="AN4" s="26">
        <f>預測IC!AN4</f>
        <v>-2.5323469191789631E-2</v>
      </c>
      <c r="AO4" s="26">
        <f>預測IC!AO4</f>
        <v>-3.5884447395801537E-2</v>
      </c>
      <c r="AP4" s="26">
        <f>預測IC!AP4</f>
        <v>-2.0551485940814022E-2</v>
      </c>
      <c r="AQ4" s="26">
        <f>預測IC!AQ4</f>
        <v>-2.1187437698245049E-2</v>
      </c>
      <c r="AR4" s="26">
        <f>預測IC!AR4</f>
        <v>-2.6181202381849289E-2</v>
      </c>
      <c r="AS4" s="26">
        <f>預測IC!AS4</f>
        <v>-2.9181500896811489E-2</v>
      </c>
      <c r="AT4" s="26">
        <f>預測IC!AT4</f>
        <v>-2.6695109903812408E-2</v>
      </c>
      <c r="AU4" s="26">
        <f>預測IC!AU4</f>
        <v>-3.0467243865132328E-2</v>
      </c>
      <c r="AV4" s="26">
        <f>預測IC!AV4</f>
        <v>-3.2533787190914147E-2</v>
      </c>
      <c r="AW4" s="26">
        <f>預測IC!AW4</f>
        <v>-2.7417561039328579E-2</v>
      </c>
      <c r="AX4" s="26">
        <f>預測IC!AX4</f>
        <v>-2.6351917535066601E-2</v>
      </c>
      <c r="AY4" s="26">
        <f>預測IC!AY4</f>
        <v>-3.3511210232973099E-2</v>
      </c>
      <c r="AZ4" s="26">
        <f>預測IC!AZ4</f>
        <v>-2.682668715715408E-2</v>
      </c>
      <c r="BA4" s="26">
        <f>預測IC!BA4</f>
        <v>-3.1055137515068051E-2</v>
      </c>
      <c r="BB4" s="26">
        <f>預測IC!BB4</f>
        <v>-3.3870145678520203E-2</v>
      </c>
      <c r="BC4" s="26">
        <f>預測IC!BC4</f>
        <v>-3.1388275325298309E-2</v>
      </c>
      <c r="BD4" s="26">
        <f>預測IC!BD4</f>
        <v>-3.1560800969600677E-2</v>
      </c>
      <c r="BE4" s="26">
        <f>預測IC!BE4</f>
        <v>-3.270566463470459E-2</v>
      </c>
      <c r="BF4" s="26">
        <f>預測IC!BF4</f>
        <v>-3.091945685446262E-2</v>
      </c>
      <c r="BG4" s="26">
        <f>預測IC!BG4</f>
        <v>-3.1984996050596237E-2</v>
      </c>
      <c r="BH4" s="26">
        <f>預測IC!BH4</f>
        <v>-3.0280498787760731E-2</v>
      </c>
      <c r="BI4" s="26">
        <f>預測IC!BI4</f>
        <v>-3.1126156449317929E-2</v>
      </c>
      <c r="BJ4" s="26">
        <f>預測IC!BJ4</f>
        <v>-3.047936782240868E-2</v>
      </c>
      <c r="BK4" s="26">
        <f>預測IC!BK4</f>
        <v>-3.2265529036521912E-2</v>
      </c>
      <c r="BL4" s="26">
        <f>預測IC!BL4</f>
        <v>-3.1362555921077728E-2</v>
      </c>
      <c r="BM4" s="26">
        <f>預測IC!BM4</f>
        <v>-3.135472908616066E-2</v>
      </c>
      <c r="BN4" s="26">
        <f>預測IC!BN4</f>
        <v>-1.223484799265862E-2</v>
      </c>
      <c r="BO4" s="26">
        <f>預測IC!BO4</f>
        <v>-2.3717723786830899E-2</v>
      </c>
      <c r="BP4" s="26">
        <f>預測IC!BP4</f>
        <v>-2.602463960647583E-2</v>
      </c>
      <c r="BQ4" s="26">
        <f>預測IC!BQ4</f>
        <v>-3.055395744740963E-2</v>
      </c>
      <c r="BR4" s="26">
        <f>預測IC!BR4</f>
        <v>-1.1215118691325189E-2</v>
      </c>
      <c r="BS4" s="26">
        <f>預測IC!BS4</f>
        <v>-3.3343475311994553E-2</v>
      </c>
      <c r="BT4" s="26">
        <f>預測IC!BT4</f>
        <v>-2.5871314108371731E-2</v>
      </c>
      <c r="BU4" s="26">
        <f>預測IC!BU4</f>
        <v>-3.636319562792778E-2</v>
      </c>
      <c r="BV4" s="26">
        <f>預測IC!BV4</f>
        <v>-3.3731509000062943E-2</v>
      </c>
      <c r="BW4" s="26">
        <f>預測IC!BW4</f>
        <v>-2.4674531072378159E-2</v>
      </c>
      <c r="BX4" s="26">
        <f>預測IC!BX4</f>
        <v>-3.3149182796478271E-2</v>
      </c>
      <c r="BY4" s="26">
        <f>預測IC!BY4</f>
        <v>-3.1638260930776603E-2</v>
      </c>
      <c r="BZ4" s="26">
        <f>預測IC!BZ4</f>
        <v>-3.5745307803153992E-2</v>
      </c>
      <c r="CA4" s="26">
        <f>預測IC!CA4</f>
        <v>-3.2566580921411507E-2</v>
      </c>
      <c r="CB4" s="26">
        <f>預測IC!CB4</f>
        <v>-2.4697717279195789E-2</v>
      </c>
      <c r="CC4" s="26">
        <f>預測IC!CC4</f>
        <v>-2.9147785156965259E-2</v>
      </c>
      <c r="CD4" s="26">
        <f>預測IC!CD4</f>
        <v>-2.5953460484743118E-2</v>
      </c>
      <c r="CE4" s="26">
        <f>預測IC!CE4</f>
        <v>-3.1028131023049351E-2</v>
      </c>
      <c r="CF4" s="26">
        <f>預測IC!CF4</f>
        <v>-3.1018134206533429E-2</v>
      </c>
      <c r="CG4" s="26">
        <f>預測IC!CG4</f>
        <v>-3.0473332852125171E-2</v>
      </c>
      <c r="CH4" s="26">
        <f>預測IC!CH4</f>
        <v>-3.1180024147033691E-2</v>
      </c>
      <c r="CI4" s="26">
        <f>預測IC!CI4</f>
        <v>-3.08760479092598E-2</v>
      </c>
      <c r="CJ4" s="26">
        <f>預測IC!CJ4</f>
        <v>-3.3132713288068771E-2</v>
      </c>
      <c r="CK4" s="26">
        <f>預測IC!CK4</f>
        <v>-3.1985852867364883E-2</v>
      </c>
      <c r="CL4" s="26">
        <f>預測IC!CL4</f>
        <v>-3.1450629234313958E-2</v>
      </c>
      <c r="CM4" s="26">
        <f>預測IC!CM4</f>
        <v>-3.0559267848730091E-2</v>
      </c>
      <c r="CN4" s="26">
        <f>預測IC!CN4</f>
        <v>-3.1584195792675018E-2</v>
      </c>
      <c r="CO4" s="26">
        <f>預測IC!CO4</f>
        <v>-3.0493449419736859E-2</v>
      </c>
      <c r="CP4" s="26">
        <f>預測IC!CP4</f>
        <v>-3.0219420790672299E-2</v>
      </c>
      <c r="CQ4" s="26">
        <f>預測IC!CQ4</f>
        <v>-3.1929124146699912E-2</v>
      </c>
      <c r="CR4" s="26">
        <f>預測IC!CR4</f>
        <v>-2.934969961643219E-2</v>
      </c>
      <c r="CS4" s="26">
        <f>預測IC!CS4</f>
        <v>-3.0506746843457219E-2</v>
      </c>
      <c r="CT4" s="26">
        <f>預測IC!CT4</f>
        <v>-2.308591827750206E-2</v>
      </c>
      <c r="CU4" s="26">
        <f>預測IC!CU4</f>
        <v>-2.7401415631175041E-2</v>
      </c>
      <c r="CV4" s="26">
        <f>預測IC!CV4</f>
        <v>-2.833597362041473E-2</v>
      </c>
      <c r="CW4" s="26">
        <f>預測IC!CW4</f>
        <v>-3.2171882688999183E-2</v>
      </c>
      <c r="CX4" s="26">
        <f>預測IC!CX4</f>
        <v>-2.7837745845317841E-2</v>
      </c>
      <c r="CY4" s="26">
        <f>預測IC!CY4</f>
        <v>-2.7134021744132038E-2</v>
      </c>
      <c r="CZ4" s="26">
        <f>預測IC!CZ4</f>
        <v>-2.573245391249657E-2</v>
      </c>
      <c r="DA4" s="26">
        <f>預測IC!DA4</f>
        <v>-2.8771925717592239E-2</v>
      </c>
      <c r="DB4" s="26">
        <f>預測IC!DB4</f>
        <v>-3.3348452299833298E-2</v>
      </c>
      <c r="DC4" s="26">
        <f>預測IC!DC4</f>
        <v>-3.2358631491661072E-2</v>
      </c>
      <c r="DD4" s="26">
        <f>預測IC!DD4</f>
        <v>-3.2213933765888207E-2</v>
      </c>
      <c r="DE4" s="26">
        <f>預測IC!DE4</f>
        <v>-2.9715811833739281E-2</v>
      </c>
      <c r="DF4" s="26">
        <f>預測IC!DF4</f>
        <v>-2.911583706736565E-2</v>
      </c>
      <c r="DG4" s="26">
        <f>預測IC!DG4</f>
        <v>-2.7615876868367199E-2</v>
      </c>
      <c r="DH4" s="26">
        <f>預測IC!DH4</f>
        <v>-2.9729645699262619E-2</v>
      </c>
      <c r="DI4" s="26">
        <f>預測IC!DI4</f>
        <v>-2.982079982757568E-2</v>
      </c>
      <c r="DJ4" s="26">
        <f>預測IC!DJ4</f>
        <v>-3.0264958739280701E-2</v>
      </c>
      <c r="DK4" s="26">
        <f>預測IC!DK4</f>
        <v>-2.9952950775623322E-2</v>
      </c>
      <c r="DL4" s="26">
        <f>預測IC!DL4</f>
        <v>-3.0072087422013279E-2</v>
      </c>
      <c r="DM4" s="26">
        <f>預測IC!DM4</f>
        <v>-2.81603466719389E-2</v>
      </c>
      <c r="DN4" s="26">
        <f>預測IC!DN4</f>
        <v>-2.7362493798136711E-2</v>
      </c>
      <c r="DO4" s="26">
        <f>預測IC!DO4</f>
        <v>-2.868092060089111E-2</v>
      </c>
      <c r="DP4" s="26">
        <f>預測IC!DP4</f>
        <v>-2.6546770706772801E-2</v>
      </c>
      <c r="DQ4" s="26">
        <f>預測IC!DQ4</f>
        <v>-2.7645908296108249E-2</v>
      </c>
      <c r="DR4" s="26">
        <f>預測IC!DR4</f>
        <v>-3.0578829348087311E-2</v>
      </c>
      <c r="DS4" s="26">
        <f>預測IC!DS4</f>
        <v>-2.7206588536500931E-2</v>
      </c>
      <c r="DT4" s="26">
        <f>預測IC!DT4</f>
        <v>-2.9622273519635201E-2</v>
      </c>
      <c r="DU4" s="26">
        <f>預測IC!DU4</f>
        <v>-2.8198828920722011E-2</v>
      </c>
      <c r="DV4" s="26">
        <f>預測IC!DV4</f>
        <v>-2.79831737279892E-2</v>
      </c>
      <c r="DW4" s="26">
        <f>預測IC!DW4</f>
        <v>-2.6147188618779179E-2</v>
      </c>
      <c r="DX4" s="26">
        <f>預測IC!DX4</f>
        <v>-2.7574015781283379E-2</v>
      </c>
      <c r="DY4" s="26">
        <f>預測IC!DY4</f>
        <v>-2.9771693050861359E-2</v>
      </c>
      <c r="DZ4" s="26">
        <f>預測IC!DZ4</f>
        <v>-2.387923933565617E-2</v>
      </c>
      <c r="EA4" s="26">
        <f>預測IC!EA4</f>
        <v>-2.6729578152298931E-2</v>
      </c>
      <c r="EB4" s="26">
        <f>預測IC!EB4</f>
        <v>-2.6265991851687431E-2</v>
      </c>
      <c r="EC4" s="26">
        <f>預測IC!EC4</f>
        <v>-2.85224225372076E-2</v>
      </c>
      <c r="ED4" s="26">
        <f>預測IC!ED4</f>
        <v>-2.3929797112941738E-2</v>
      </c>
      <c r="EE4" s="26">
        <f>預測IC!EE4</f>
        <v>-3.5369247198104858E-2</v>
      </c>
      <c r="EF4" s="26">
        <f>預測IC!EF4</f>
        <v>-2.889788523316383E-2</v>
      </c>
      <c r="EG4" s="1"/>
    </row>
    <row r="5" spans="1:139">
      <c r="A5" s="7"/>
      <c r="B5" s="6" t="s">
        <v>138</v>
      </c>
      <c r="C5" s="26">
        <f>預測IC!C5</f>
        <v>6.8580564111471176E-3</v>
      </c>
      <c r="D5" s="26">
        <f>預測IC!D5</f>
        <v>-4.5473207719624043E-3</v>
      </c>
      <c r="E5" s="26">
        <f>預測IC!E5</f>
        <v>-5.2568246610462674E-3</v>
      </c>
      <c r="F5" s="26">
        <f>預測IC!F5</f>
        <v>-5.0700334832072258E-3</v>
      </c>
      <c r="G5" s="26">
        <f>預測IC!G5</f>
        <v>-7.554895244538784E-3</v>
      </c>
      <c r="H5" s="26">
        <f>預測IC!H5</f>
        <v>-5.7517439126968384E-3</v>
      </c>
      <c r="I5" s="26">
        <f>預測IC!I5</f>
        <v>-6.6213347017765054E-3</v>
      </c>
      <c r="J5" s="26">
        <f>預測IC!J5</f>
        <v>-6.4456779509782791E-3</v>
      </c>
      <c r="K5" s="26">
        <f>預測IC!K5</f>
        <v>-7.2449943982064724E-3</v>
      </c>
      <c r="L5" s="26">
        <f>預測IC!L5</f>
        <v>-7.4795205146074304E-3</v>
      </c>
      <c r="M5" s="26">
        <f>預測IC!M5</f>
        <v>-5.7203313335776329E-3</v>
      </c>
      <c r="N5" s="26">
        <f>預測IC!N5</f>
        <v>1.217774953693151E-2</v>
      </c>
      <c r="O5" s="26">
        <f>預測IC!O5</f>
        <v>2.0977385342121121E-2</v>
      </c>
      <c r="P5" s="26">
        <f>預測IC!P5</f>
        <v>4.1054370813071728E-3</v>
      </c>
      <c r="Q5" s="26">
        <f>預測IC!Q5</f>
        <v>2.752495463937521E-3</v>
      </c>
      <c r="R5" s="26">
        <f>預測IC!R5</f>
        <v>2.2056563757359982E-3</v>
      </c>
      <c r="S5" s="26">
        <f>預測IC!S5</f>
        <v>-3.200523322448134E-3</v>
      </c>
      <c r="T5" s="26">
        <f>預測IC!T5</f>
        <v>4.7661159187555313E-3</v>
      </c>
      <c r="U5" s="26">
        <f>預測IC!U5</f>
        <v>3.1950199045240879E-3</v>
      </c>
      <c r="V5" s="26">
        <f>預測IC!V5</f>
        <v>1.3798894360661509E-4</v>
      </c>
      <c r="W5" s="26">
        <f>預測IC!W5</f>
        <v>9.084991761483252E-4</v>
      </c>
      <c r="X5" s="26">
        <f>預測IC!X5</f>
        <v>-4.8395749181509018E-3</v>
      </c>
      <c r="Y5" s="26">
        <f>預測IC!Y5</f>
        <v>-9.668414480984211E-3</v>
      </c>
      <c r="Z5" s="26">
        <f>預測IC!Z5</f>
        <v>-4.3582962825894356E-3</v>
      </c>
      <c r="AA5" s="26">
        <f>預測IC!AA5</f>
        <v>-9.451698511838913E-3</v>
      </c>
      <c r="AB5" s="26">
        <f>預測IC!AB5</f>
        <v>-7.8619010746479034E-3</v>
      </c>
      <c r="AC5" s="26">
        <f>預測IC!AC5</f>
        <v>-9.5739839598536491E-3</v>
      </c>
      <c r="AD5" s="26">
        <f>預測IC!AD5</f>
        <v>-1.192590594291687E-2</v>
      </c>
      <c r="AE5" s="26">
        <f>預測IC!AE5</f>
        <v>-9.073648601770401E-3</v>
      </c>
      <c r="AF5" s="26">
        <f>預測IC!AF5</f>
        <v>-5.2689705044031143E-3</v>
      </c>
      <c r="AG5" s="26">
        <f>預測IC!AG5</f>
        <v>-6.2905293889343739E-3</v>
      </c>
      <c r="AH5" s="26">
        <f>預測IC!AH5</f>
        <v>-4.2838593944907188E-3</v>
      </c>
      <c r="AI5" s="26">
        <f>預測IC!AI5</f>
        <v>-3.658974077552557E-3</v>
      </c>
      <c r="AJ5" s="26">
        <f>預測IC!AJ5</f>
        <v>-3.1868440564721818E-3</v>
      </c>
      <c r="AK5" s="26">
        <f>預測IC!AK5</f>
        <v>-6.5460228361189374E-3</v>
      </c>
      <c r="AL5" s="26">
        <f>預測IC!AL5</f>
        <v>-5.4174191318452358E-3</v>
      </c>
      <c r="AM5" s="26">
        <f>預測IC!AM5</f>
        <v>-6.3505335710942754E-3</v>
      </c>
      <c r="AN5" s="26">
        <f>預測IC!AN5</f>
        <v>9.4361149240285158E-4</v>
      </c>
      <c r="AO5" s="26">
        <f>預測IC!AO5</f>
        <v>-4.1886745020747176E-3</v>
      </c>
      <c r="AP5" s="26">
        <f>預測IC!AP5</f>
        <v>-6.3021155074238777E-3</v>
      </c>
      <c r="AQ5" s="26">
        <f>預測IC!AQ5</f>
        <v>-7.8539003152400255E-4</v>
      </c>
      <c r="AR5" s="26">
        <f>預測IC!AR5</f>
        <v>1.274428068427369E-4</v>
      </c>
      <c r="AS5" s="26">
        <f>預測IC!AS5</f>
        <v>-2.6125095319002871E-3</v>
      </c>
      <c r="AT5" s="26">
        <f>預測IC!AT5</f>
        <v>1.7251728102564812E-2</v>
      </c>
      <c r="AU5" s="26">
        <f>預測IC!AU5</f>
        <v>-1.1382638476788999E-2</v>
      </c>
      <c r="AV5" s="26">
        <f>預測IC!AV5</f>
        <v>9.8412996158003807E-3</v>
      </c>
      <c r="AW5" s="26">
        <f>預測IC!AW5</f>
        <v>6.4438600093126297E-3</v>
      </c>
      <c r="AX5" s="26">
        <f>預測IC!AX5</f>
        <v>-9.4542577862739563E-3</v>
      </c>
      <c r="AY5" s="26">
        <f>預測IC!AY5</f>
        <v>-2.605369314551353E-3</v>
      </c>
      <c r="AZ5" s="26">
        <f>預測IC!AZ5</f>
        <v>1.02137690410018E-2</v>
      </c>
      <c r="BA5" s="26">
        <f>預測IC!BA5</f>
        <v>-3.370878694113344E-4</v>
      </c>
      <c r="BB5" s="26">
        <f>預測IC!BB5</f>
        <v>-7.658196147531271E-3</v>
      </c>
      <c r="BC5" s="26">
        <f>預測IC!BC5</f>
        <v>1.95592432282865E-3</v>
      </c>
      <c r="BD5" s="26">
        <f>預測IC!BD5</f>
        <v>-1.753970421850681E-2</v>
      </c>
      <c r="BE5" s="26">
        <f>預測IC!BE5</f>
        <v>-5.8258567005395889E-3</v>
      </c>
      <c r="BF5" s="26">
        <f>預測IC!BF5</f>
        <v>6.1481038574129343E-4</v>
      </c>
      <c r="BG5" s="26">
        <f>預測IC!BG5</f>
        <v>-7.2949402965605259E-3</v>
      </c>
      <c r="BH5" s="26">
        <f>預測IC!BH5</f>
        <v>-4.383845254778862E-3</v>
      </c>
      <c r="BI5" s="26">
        <f>預測IC!BI5</f>
        <v>7.9724268289282918E-5</v>
      </c>
      <c r="BJ5" s="26">
        <f>預測IC!BJ5</f>
        <v>-4.1618733666837221E-4</v>
      </c>
      <c r="BK5" s="26">
        <f>預測IC!BK5</f>
        <v>-8.1078559160232544E-3</v>
      </c>
      <c r="BL5" s="26">
        <f>預測IC!BL5</f>
        <v>-1.816836651414633E-3</v>
      </c>
      <c r="BM5" s="26">
        <f>預測IC!BM5</f>
        <v>-3.0251548159867529E-3</v>
      </c>
      <c r="BN5" s="26">
        <f>預測IC!BN5</f>
        <v>-7.1253179339691997E-4</v>
      </c>
      <c r="BO5" s="26">
        <f>預測IC!BO5</f>
        <v>-4.3908162042498589E-3</v>
      </c>
      <c r="BP5" s="26">
        <f>預測IC!BP5</f>
        <v>-8.6731631308794022E-3</v>
      </c>
      <c r="BQ5" s="26">
        <f>預測IC!BQ5</f>
        <v>9.8586292006075382E-4</v>
      </c>
      <c r="BR5" s="26">
        <f>預測IC!BR5</f>
        <v>5.6344678159803152E-4</v>
      </c>
      <c r="BS5" s="26">
        <f>預測IC!BS5</f>
        <v>-7.2165514575317502E-4</v>
      </c>
      <c r="BT5" s="26">
        <f>預測IC!BT5</f>
        <v>2.1159742027521131E-4</v>
      </c>
      <c r="BU5" s="26">
        <f>預測IC!BU5</f>
        <v>-3.9482754655182362E-3</v>
      </c>
      <c r="BV5" s="26">
        <f>預測IC!BV5</f>
        <v>-1.754006138071418E-3</v>
      </c>
      <c r="BW5" s="26">
        <f>預測IC!BW5</f>
        <v>-3.9257919415831566E-3</v>
      </c>
      <c r="BX5" s="26">
        <f>預測IC!BX5</f>
        <v>-2.280559623613954E-3</v>
      </c>
      <c r="BY5" s="26">
        <f>預測IC!BY5</f>
        <v>-2.5638358201831579E-3</v>
      </c>
      <c r="BZ5" s="26">
        <f>預測IC!BZ5</f>
        <v>9.5798890106379986E-4</v>
      </c>
      <c r="CA5" s="26">
        <f>預測IC!CA5</f>
        <v>-1.7290487885475159E-2</v>
      </c>
      <c r="CB5" s="26">
        <f>預測IC!CB5</f>
        <v>-1.8011752516031269E-2</v>
      </c>
      <c r="CC5" s="26">
        <f>預測IC!CC5</f>
        <v>-1.120550092309713E-2</v>
      </c>
      <c r="CD5" s="26">
        <f>預測IC!CD5</f>
        <v>-5.9453980065882206E-3</v>
      </c>
      <c r="CE5" s="26">
        <f>預測IC!CE5</f>
        <v>5.6577795185148716E-3</v>
      </c>
      <c r="CF5" s="26">
        <f>預測IC!CF5</f>
        <v>-5.0181304104626179E-3</v>
      </c>
      <c r="CG5" s="26">
        <f>預測IC!CG5</f>
        <v>-1.080882735550404E-3</v>
      </c>
      <c r="CH5" s="26">
        <f>預測IC!CH5</f>
        <v>-2.4344832636415958E-3</v>
      </c>
      <c r="CI5" s="26">
        <f>預測IC!CI5</f>
        <v>-5.8056642301380634E-3</v>
      </c>
      <c r="CJ5" s="26">
        <f>預測IC!CJ5</f>
        <v>5.3442474454641342E-3</v>
      </c>
      <c r="CK5" s="26">
        <f>預測IC!CK5</f>
        <v>-6.6559319384396076E-3</v>
      </c>
      <c r="CL5" s="26">
        <f>預測IC!CL5</f>
        <v>-8.122333325445652E-3</v>
      </c>
      <c r="CM5" s="26">
        <f>預測IC!CM5</f>
        <v>4.4885189272463322E-3</v>
      </c>
      <c r="CN5" s="26">
        <f>預測IC!CN5</f>
        <v>-1.260940451174974E-3</v>
      </c>
      <c r="CO5" s="26">
        <f>預測IC!CO5</f>
        <v>2.2093972656875849E-3</v>
      </c>
      <c r="CP5" s="26">
        <f>預測IC!CP5</f>
        <v>-3.1657333020120859E-3</v>
      </c>
      <c r="CQ5" s="26">
        <f>預測IC!CQ5</f>
        <v>-4.2476160451769829E-3</v>
      </c>
      <c r="CR5" s="26">
        <f>預測IC!CR5</f>
        <v>7.4740842683240771E-4</v>
      </c>
      <c r="CS5" s="26">
        <f>預測IC!CS5</f>
        <v>-6.8966434337198734E-3</v>
      </c>
      <c r="CT5" s="26">
        <f>預測IC!CT5</f>
        <v>-8.8150595547631383E-4</v>
      </c>
      <c r="CU5" s="26">
        <f>預測IC!CU5</f>
        <v>-5.4849479347467422E-3</v>
      </c>
      <c r="CV5" s="26">
        <f>預測IC!CV5</f>
        <v>-5.0015887245535851E-4</v>
      </c>
      <c r="CW5" s="26">
        <f>預測IC!CW5</f>
        <v>-3.6941524595022202E-3</v>
      </c>
      <c r="CX5" s="26">
        <f>預測IC!CX5</f>
        <v>-1.516487682238221E-3</v>
      </c>
      <c r="CY5" s="26">
        <f>預測IC!CY5</f>
        <v>-2.2506022360175848E-3</v>
      </c>
      <c r="CZ5" s="26">
        <f>預測IC!CZ5</f>
        <v>-1.037915935739875E-4</v>
      </c>
      <c r="DA5" s="26">
        <f>預測IC!DA5</f>
        <v>-1.3994954060763121E-3</v>
      </c>
      <c r="DB5" s="26">
        <f>預測IC!DB5</f>
        <v>-2.8583267703652382E-3</v>
      </c>
      <c r="DC5" s="26">
        <f>預測IC!DC5</f>
        <v>-3.8185073062777519E-3</v>
      </c>
      <c r="DD5" s="26">
        <f>預測IC!DD5</f>
        <v>-4.7922488301992416E-3</v>
      </c>
      <c r="DE5" s="26">
        <f>預測IC!DE5</f>
        <v>-4.4267559424042702E-3</v>
      </c>
      <c r="DF5" s="26">
        <f>預測IC!DF5</f>
        <v>-2.32978705316782E-2</v>
      </c>
      <c r="DG5" s="26">
        <f>預測IC!DG5</f>
        <v>-6.6420962102711201E-3</v>
      </c>
      <c r="DH5" s="26">
        <f>預測IC!DH5</f>
        <v>-4.64266212657094E-3</v>
      </c>
      <c r="DI5" s="26">
        <f>預測IC!DI5</f>
        <v>-2.1060877479612832E-3</v>
      </c>
      <c r="DJ5" s="26">
        <f>預測IC!DJ5</f>
        <v>-1.062803342938423E-2</v>
      </c>
      <c r="DK5" s="26">
        <f>預測IC!DK5</f>
        <v>-9.6024703234434128E-3</v>
      </c>
      <c r="DL5" s="26">
        <f>預測IC!DL5</f>
        <v>-3.8239909335970879E-3</v>
      </c>
      <c r="DM5" s="26">
        <f>預測IC!DM5</f>
        <v>-6.1252154409885406E-4</v>
      </c>
      <c r="DN5" s="26">
        <f>預測IC!DN5</f>
        <v>-3.627817146480083E-3</v>
      </c>
      <c r="DO5" s="26">
        <f>預測IC!DO5</f>
        <v>2.946552587673068E-3</v>
      </c>
      <c r="DP5" s="26">
        <f>預測IC!DP5</f>
        <v>-5.6377304717898369E-3</v>
      </c>
      <c r="DQ5" s="26">
        <f>預測IC!DQ5</f>
        <v>-4.3007815256714821E-3</v>
      </c>
      <c r="DR5" s="26">
        <f>預測IC!DR5</f>
        <v>-7.0757018402218819E-3</v>
      </c>
      <c r="DS5" s="26">
        <f>預測IC!DS5</f>
        <v>-3.6393199115991588E-3</v>
      </c>
      <c r="DT5" s="26">
        <f>預測IC!DT5</f>
        <v>-1.078812405467033E-3</v>
      </c>
      <c r="DU5" s="26">
        <f>預測IC!DU5</f>
        <v>-5.7610021904110909E-3</v>
      </c>
      <c r="DV5" s="26">
        <f>預測IC!DV5</f>
        <v>-3.170169191434979E-3</v>
      </c>
      <c r="DW5" s="26">
        <f>預測IC!DW5</f>
        <v>1.376348081976175E-4</v>
      </c>
      <c r="DX5" s="26">
        <f>預測IC!DX5</f>
        <v>-5.2125225774943829E-3</v>
      </c>
      <c r="DY5" s="26">
        <f>預測IC!DY5</f>
        <v>-3.231637179851532E-3</v>
      </c>
      <c r="DZ5" s="26">
        <f>預測IC!DZ5</f>
        <v>-1.969799399375916E-3</v>
      </c>
      <c r="EA5" s="26">
        <f>預測IC!EA5</f>
        <v>-2.5265156291425228E-3</v>
      </c>
      <c r="EB5" s="26">
        <f>預測IC!EB5</f>
        <v>-4.4835992157459259E-3</v>
      </c>
      <c r="EC5" s="26">
        <f>預測IC!EC5</f>
        <v>-4.603260662406683E-3</v>
      </c>
      <c r="ED5" s="26">
        <f>預測IC!ED5</f>
        <v>-6.4388466998934746E-3</v>
      </c>
      <c r="EE5" s="26">
        <f>預測IC!EE5</f>
        <v>-5.9161325916647911E-3</v>
      </c>
      <c r="EF5" s="26">
        <f>預測IC!EF5</f>
        <v>-6.1999494209885597E-3</v>
      </c>
      <c r="EG5" s="1"/>
    </row>
    <row r="6" spans="1:139" s="2" customFormat="1">
      <c r="A6" s="32" t="s">
        <v>139</v>
      </c>
      <c r="B6" s="33"/>
      <c r="C6" s="27">
        <f t="array" ref="C6">MATCH(MAX(ABS(C3:C5)), ABS(C3:C5), 0)</f>
        <v>1</v>
      </c>
      <c r="D6" s="27">
        <f t="array" ref="D6">MATCH(MAX(ABS(D3:D5)), ABS(D3:D5), 0)</f>
        <v>2</v>
      </c>
      <c r="E6" s="27">
        <f t="array" ref="E6">MATCH(MAX(ABS(E3:E5)), ABS(E3:E5), 0)</f>
        <v>1</v>
      </c>
      <c r="F6" s="27">
        <f t="array" ref="F6">MATCH(MAX(ABS(F3:F5)), ABS(F3:F5), 0)</f>
        <v>2</v>
      </c>
      <c r="G6" s="27">
        <f t="array" ref="G6">MATCH(MAX(ABS(G3:G5)), ABS(G3:G5), 0)</f>
        <v>2</v>
      </c>
      <c r="H6" s="27">
        <f t="array" ref="H6">MATCH(MAX(ABS(H3:H5)), ABS(H3:H5), 0)</f>
        <v>2</v>
      </c>
      <c r="I6" s="27">
        <f t="array" ref="I6">MATCH(MAX(ABS(I3:I5)), ABS(I3:I5), 0)</f>
        <v>1</v>
      </c>
      <c r="J6" s="27">
        <f t="array" ref="J6">MATCH(MAX(ABS(J3:J5)), ABS(J3:J5), 0)</f>
        <v>2</v>
      </c>
      <c r="K6" s="27">
        <f t="array" ref="K6">MATCH(MAX(ABS(K3:K5)), ABS(K3:K5), 0)</f>
        <v>2</v>
      </c>
      <c r="L6" s="27">
        <f t="array" ref="L6">MATCH(MAX(ABS(L3:L5)), ABS(L3:L5), 0)</f>
        <v>2</v>
      </c>
      <c r="M6" s="27">
        <f t="array" ref="M6">MATCH(MAX(ABS(M3:M5)), ABS(M3:M5), 0)</f>
        <v>2</v>
      </c>
      <c r="N6" s="27">
        <f t="array" ref="N6">MATCH(MAX(ABS(N3:N5)), ABS(N3:N5), 0)</f>
        <v>2</v>
      </c>
      <c r="O6" s="27">
        <f t="array" ref="O6">MATCH(MAX(ABS(O3:O5)), ABS(O3:O5), 0)</f>
        <v>2</v>
      </c>
      <c r="P6" s="27">
        <f t="array" ref="P6">MATCH(MAX(ABS(P3:P5)), ABS(P3:P5), 0)</f>
        <v>1</v>
      </c>
      <c r="Q6" s="27">
        <f t="array" ref="Q6">MATCH(MAX(ABS(Q3:Q5)), ABS(Q3:Q5), 0)</f>
        <v>2</v>
      </c>
      <c r="R6" s="27">
        <f t="array" ref="R6">MATCH(MAX(ABS(R3:R5)), ABS(R3:R5), 0)</f>
        <v>2</v>
      </c>
      <c r="S6" s="27">
        <f t="array" ref="S6">MATCH(MAX(ABS(S3:S5)), ABS(S3:S5), 0)</f>
        <v>1</v>
      </c>
      <c r="T6" s="27">
        <f t="array" ref="T6">MATCH(MAX(ABS(T3:T5)), ABS(T3:T5), 0)</f>
        <v>2</v>
      </c>
      <c r="U6" s="27">
        <f t="array" ref="U6">MATCH(MAX(ABS(U3:U5)), ABS(U3:U5), 0)</f>
        <v>2</v>
      </c>
      <c r="V6" s="27">
        <f t="array" ref="V6">MATCH(MAX(ABS(V3:V5)), ABS(V3:V5), 0)</f>
        <v>2</v>
      </c>
      <c r="W6" s="27">
        <f t="array" ref="W6">MATCH(MAX(ABS(W3:W5)), ABS(W3:W5), 0)</f>
        <v>2</v>
      </c>
      <c r="X6" s="27">
        <f t="array" ref="X6">MATCH(MAX(ABS(X3:X5)), ABS(X3:X5), 0)</f>
        <v>1</v>
      </c>
      <c r="Y6" s="27">
        <f t="array" ref="Y6">MATCH(MAX(ABS(Y3:Y5)), ABS(Y3:Y5), 0)</f>
        <v>2</v>
      </c>
      <c r="Z6" s="27">
        <f t="array" ref="Z6">MATCH(MAX(ABS(Z3:Z5)), ABS(Z3:Z5), 0)</f>
        <v>2</v>
      </c>
      <c r="AA6" s="27">
        <f t="array" ref="AA6">MATCH(MAX(ABS(AA3:AA5)), ABS(AA3:AA5), 0)</f>
        <v>2</v>
      </c>
      <c r="AB6" s="27">
        <f t="array" ref="AB6">MATCH(MAX(ABS(AB3:AB5)), ABS(AB3:AB5), 0)</f>
        <v>2</v>
      </c>
      <c r="AC6" s="27">
        <f t="array" ref="AC6">MATCH(MAX(ABS(AC3:AC5)), ABS(AC3:AC5), 0)</f>
        <v>2</v>
      </c>
      <c r="AD6" s="27">
        <f t="array" ref="AD6">MATCH(MAX(ABS(AD3:AD5)), ABS(AD3:AD5), 0)</f>
        <v>2</v>
      </c>
      <c r="AE6" s="27">
        <f t="array" ref="AE6">MATCH(MAX(ABS(AE3:AE5)), ABS(AE3:AE5), 0)</f>
        <v>1</v>
      </c>
      <c r="AF6" s="27">
        <f t="array" ref="AF6">MATCH(MAX(ABS(AF3:AF5)), ABS(AF3:AF5), 0)</f>
        <v>2</v>
      </c>
      <c r="AG6" s="27">
        <f t="array" ref="AG6">MATCH(MAX(ABS(AG3:AG5)), ABS(AG3:AG5), 0)</f>
        <v>2</v>
      </c>
      <c r="AH6" s="27">
        <f t="array" ref="AH6">MATCH(MAX(ABS(AH3:AH5)), ABS(AH3:AH5), 0)</f>
        <v>2</v>
      </c>
      <c r="AI6" s="27">
        <f t="array" ref="AI6">MATCH(MAX(ABS(AI3:AI5)), ABS(AI3:AI5), 0)</f>
        <v>2</v>
      </c>
      <c r="AJ6" s="27">
        <f t="array" ref="AJ6">MATCH(MAX(ABS(AJ3:AJ5)), ABS(AJ3:AJ5), 0)</f>
        <v>2</v>
      </c>
      <c r="AK6" s="27">
        <f t="array" ref="AK6">MATCH(MAX(ABS(AK3:AK5)), ABS(AK3:AK5), 0)</f>
        <v>2</v>
      </c>
      <c r="AL6" s="27">
        <f t="array" ref="AL6">MATCH(MAX(ABS(AL3:AL5)), ABS(AL3:AL5), 0)</f>
        <v>1</v>
      </c>
      <c r="AM6" s="27">
        <f t="array" ref="AM6">MATCH(MAX(ABS(AM3:AM5)), ABS(AM3:AM5), 0)</f>
        <v>2</v>
      </c>
      <c r="AN6" s="27">
        <f t="array" ref="AN6">MATCH(MAX(ABS(AN3:AN5)), ABS(AN3:AN5), 0)</f>
        <v>1</v>
      </c>
      <c r="AO6" s="27">
        <f t="array" ref="AO6">MATCH(MAX(ABS(AO3:AO5)), ABS(AO3:AO5), 0)</f>
        <v>2</v>
      </c>
      <c r="AP6" s="27">
        <f t="array" ref="AP6">MATCH(MAX(ABS(AP3:AP5)), ABS(AP3:AP5), 0)</f>
        <v>1</v>
      </c>
      <c r="AQ6" s="27">
        <f t="array" ref="AQ6">MATCH(MAX(ABS(AQ3:AQ5)), ABS(AQ3:AQ5), 0)</f>
        <v>2</v>
      </c>
      <c r="AR6" s="27">
        <f t="array" ref="AR6">MATCH(MAX(ABS(AR3:AR5)), ABS(AR3:AR5), 0)</f>
        <v>2</v>
      </c>
      <c r="AS6" s="27">
        <f t="array" ref="AS6">MATCH(MAX(ABS(AS3:AS5)), ABS(AS3:AS5), 0)</f>
        <v>1</v>
      </c>
      <c r="AT6" s="27">
        <f t="array" ref="AT6">MATCH(MAX(ABS(AT3:AT5)), ABS(AT3:AT5), 0)</f>
        <v>1</v>
      </c>
      <c r="AU6" s="27">
        <f t="array" ref="AU6">MATCH(MAX(ABS(AU3:AU5)), ABS(AU3:AU5), 0)</f>
        <v>1</v>
      </c>
      <c r="AV6" s="27">
        <f t="array" ref="AV6">MATCH(MAX(ABS(AV3:AV5)), ABS(AV3:AV5), 0)</f>
        <v>1</v>
      </c>
      <c r="AW6" s="27">
        <f t="array" ref="AW6">MATCH(MAX(ABS(AW3:AW5)), ABS(AW3:AW5), 0)</f>
        <v>1</v>
      </c>
      <c r="AX6" s="27">
        <f t="array" ref="AX6">MATCH(MAX(ABS(AX3:AX5)), ABS(AX3:AX5), 0)</f>
        <v>1</v>
      </c>
      <c r="AY6" s="27">
        <f t="array" ref="AY6">MATCH(MAX(ABS(AY3:AY5)), ABS(AY3:AY5), 0)</f>
        <v>1</v>
      </c>
      <c r="AZ6" s="27">
        <f t="array" ref="AZ6">MATCH(MAX(ABS(AZ3:AZ5)), ABS(AZ3:AZ5), 0)</f>
        <v>1</v>
      </c>
      <c r="BA6" s="27">
        <f t="array" ref="BA6">MATCH(MAX(ABS(BA3:BA5)), ABS(BA3:BA5), 0)</f>
        <v>1</v>
      </c>
      <c r="BB6" s="27">
        <f t="array" ref="BB6">MATCH(MAX(ABS(BB3:BB5)), ABS(BB3:BB5), 0)</f>
        <v>1</v>
      </c>
      <c r="BC6" s="27">
        <f t="array" ref="BC6">MATCH(MAX(ABS(BC3:BC5)), ABS(BC3:BC5), 0)</f>
        <v>1</v>
      </c>
      <c r="BD6" s="27">
        <f t="array" ref="BD6">MATCH(MAX(ABS(BD3:BD5)), ABS(BD3:BD5), 0)</f>
        <v>1</v>
      </c>
      <c r="BE6" s="27">
        <f t="array" ref="BE6">MATCH(MAX(ABS(BE3:BE5)), ABS(BE3:BE5), 0)</f>
        <v>1</v>
      </c>
      <c r="BF6" s="27">
        <f t="array" ref="BF6">MATCH(MAX(ABS(BF3:BF5)), ABS(BF3:BF5), 0)</f>
        <v>1</v>
      </c>
      <c r="BG6" s="27">
        <f t="array" ref="BG6">MATCH(MAX(ABS(BG3:BG5)), ABS(BG3:BG5), 0)</f>
        <v>1</v>
      </c>
      <c r="BH6" s="27">
        <f t="array" ref="BH6">MATCH(MAX(ABS(BH3:BH5)), ABS(BH3:BH5), 0)</f>
        <v>1</v>
      </c>
      <c r="BI6" s="27">
        <f t="array" ref="BI6">MATCH(MAX(ABS(BI3:BI5)), ABS(BI3:BI5), 0)</f>
        <v>1</v>
      </c>
      <c r="BJ6" s="27">
        <f t="array" ref="BJ6">MATCH(MAX(ABS(BJ3:BJ5)), ABS(BJ3:BJ5), 0)</f>
        <v>1</v>
      </c>
      <c r="BK6" s="27">
        <f t="array" ref="BK6">MATCH(MAX(ABS(BK3:BK5)), ABS(BK3:BK5), 0)</f>
        <v>1</v>
      </c>
      <c r="BL6" s="27">
        <f t="array" ref="BL6">MATCH(MAX(ABS(BL3:BL5)), ABS(BL3:BL5), 0)</f>
        <v>1</v>
      </c>
      <c r="BM6" s="27">
        <f t="array" ref="BM6">MATCH(MAX(ABS(BM3:BM5)), ABS(BM3:BM5), 0)</f>
        <v>1</v>
      </c>
      <c r="BN6" s="27">
        <f t="array" ref="BN6">MATCH(MAX(ABS(BN3:BN5)), ABS(BN3:BN5), 0)</f>
        <v>1</v>
      </c>
      <c r="BO6" s="27">
        <f t="array" ref="BO6">MATCH(MAX(ABS(BO3:BO5)), ABS(BO3:BO5), 0)</f>
        <v>1</v>
      </c>
      <c r="BP6" s="27">
        <f t="array" ref="BP6">MATCH(MAX(ABS(BP3:BP5)), ABS(BP3:BP5), 0)</f>
        <v>1</v>
      </c>
      <c r="BQ6" s="27">
        <f t="array" ref="BQ6">MATCH(MAX(ABS(BQ3:BQ5)), ABS(BQ3:BQ5), 0)</f>
        <v>1</v>
      </c>
      <c r="BR6" s="27">
        <f t="array" ref="BR6">MATCH(MAX(ABS(BR3:BR5)), ABS(BR3:BR5), 0)</f>
        <v>1</v>
      </c>
      <c r="BS6" s="27">
        <f t="array" ref="BS6">MATCH(MAX(ABS(BS3:BS5)), ABS(BS3:BS5), 0)</f>
        <v>1</v>
      </c>
      <c r="BT6" s="27">
        <f t="array" ref="BT6">MATCH(MAX(ABS(BT3:BT5)), ABS(BT3:BT5), 0)</f>
        <v>1</v>
      </c>
      <c r="BU6" s="27">
        <f t="array" ref="BU6">MATCH(MAX(ABS(BU3:BU5)), ABS(BU3:BU5), 0)</f>
        <v>1</v>
      </c>
      <c r="BV6" s="27">
        <f t="array" ref="BV6">MATCH(MAX(ABS(BV3:BV5)), ABS(BV3:BV5), 0)</f>
        <v>1</v>
      </c>
      <c r="BW6" s="27">
        <f t="array" ref="BW6">MATCH(MAX(ABS(BW3:BW5)), ABS(BW3:BW5), 0)</f>
        <v>1</v>
      </c>
      <c r="BX6" s="27">
        <f t="array" ref="BX6">MATCH(MAX(ABS(BX3:BX5)), ABS(BX3:BX5), 0)</f>
        <v>1</v>
      </c>
      <c r="BY6" s="27">
        <f t="array" ref="BY6">MATCH(MAX(ABS(BY3:BY5)), ABS(BY3:BY5), 0)</f>
        <v>1</v>
      </c>
      <c r="BZ6" s="27">
        <f t="array" ref="BZ6">MATCH(MAX(ABS(BZ3:BZ5)), ABS(BZ3:BZ5), 0)</f>
        <v>1</v>
      </c>
      <c r="CA6" s="27">
        <f t="array" ref="CA6">MATCH(MAX(ABS(CA3:CA5)), ABS(CA3:CA5), 0)</f>
        <v>1</v>
      </c>
      <c r="CB6" s="27">
        <f t="array" ref="CB6">MATCH(MAX(ABS(CB3:CB5)), ABS(CB3:CB5), 0)</f>
        <v>1</v>
      </c>
      <c r="CC6" s="27">
        <f t="array" ref="CC6">MATCH(MAX(ABS(CC3:CC5)), ABS(CC3:CC5), 0)</f>
        <v>1</v>
      </c>
      <c r="CD6" s="27">
        <f t="array" ref="CD6">MATCH(MAX(ABS(CD3:CD5)), ABS(CD3:CD5), 0)</f>
        <v>1</v>
      </c>
      <c r="CE6" s="27">
        <f t="array" ref="CE6">MATCH(MAX(ABS(CE3:CE5)), ABS(CE3:CE5), 0)</f>
        <v>1</v>
      </c>
      <c r="CF6" s="27">
        <f t="array" ref="CF6">MATCH(MAX(ABS(CF3:CF5)), ABS(CF3:CF5), 0)</f>
        <v>1</v>
      </c>
      <c r="CG6" s="27">
        <f t="array" ref="CG6">MATCH(MAX(ABS(CG3:CG5)), ABS(CG3:CG5), 0)</f>
        <v>1</v>
      </c>
      <c r="CH6" s="27">
        <f t="array" ref="CH6">MATCH(MAX(ABS(CH3:CH5)), ABS(CH3:CH5), 0)</f>
        <v>1</v>
      </c>
      <c r="CI6" s="27">
        <f t="array" ref="CI6">MATCH(MAX(ABS(CI3:CI5)), ABS(CI3:CI5), 0)</f>
        <v>1</v>
      </c>
      <c r="CJ6" s="27">
        <f t="array" ref="CJ6">MATCH(MAX(ABS(CJ3:CJ5)), ABS(CJ3:CJ5), 0)</f>
        <v>1</v>
      </c>
      <c r="CK6" s="27">
        <f t="array" ref="CK6">MATCH(MAX(ABS(CK3:CK5)), ABS(CK3:CK5), 0)</f>
        <v>1</v>
      </c>
      <c r="CL6" s="27">
        <f t="array" ref="CL6">MATCH(MAX(ABS(CL3:CL5)), ABS(CL3:CL5), 0)</f>
        <v>1</v>
      </c>
      <c r="CM6" s="27">
        <f t="array" ref="CM6">MATCH(MAX(ABS(CM3:CM5)), ABS(CM3:CM5), 0)</f>
        <v>1</v>
      </c>
      <c r="CN6" s="27">
        <f t="array" ref="CN6">MATCH(MAX(ABS(CN3:CN5)), ABS(CN3:CN5), 0)</f>
        <v>1</v>
      </c>
      <c r="CO6" s="27">
        <f t="array" ref="CO6">MATCH(MAX(ABS(CO3:CO5)), ABS(CO3:CO5), 0)</f>
        <v>1</v>
      </c>
      <c r="CP6" s="27">
        <f t="array" ref="CP6">MATCH(MAX(ABS(CP3:CP5)), ABS(CP3:CP5), 0)</f>
        <v>1</v>
      </c>
      <c r="CQ6" s="27">
        <f t="array" ref="CQ6">MATCH(MAX(ABS(CQ3:CQ5)), ABS(CQ3:CQ5), 0)</f>
        <v>1</v>
      </c>
      <c r="CR6" s="27">
        <f t="array" ref="CR6">MATCH(MAX(ABS(CR3:CR5)), ABS(CR3:CR5), 0)</f>
        <v>1</v>
      </c>
      <c r="CS6" s="27">
        <f t="array" ref="CS6">MATCH(MAX(ABS(CS3:CS5)), ABS(CS3:CS5), 0)</f>
        <v>1</v>
      </c>
      <c r="CT6" s="27">
        <f t="array" ref="CT6">MATCH(MAX(ABS(CT3:CT5)), ABS(CT3:CT5), 0)</f>
        <v>1</v>
      </c>
      <c r="CU6" s="27">
        <f t="array" ref="CU6">MATCH(MAX(ABS(CU3:CU5)), ABS(CU3:CU5), 0)</f>
        <v>1</v>
      </c>
      <c r="CV6" s="27">
        <f t="array" ref="CV6">MATCH(MAX(ABS(CV3:CV5)), ABS(CV3:CV5), 0)</f>
        <v>1</v>
      </c>
      <c r="CW6" s="27">
        <f t="array" ref="CW6">MATCH(MAX(ABS(CW3:CW5)), ABS(CW3:CW5), 0)</f>
        <v>1</v>
      </c>
      <c r="CX6" s="27">
        <f t="array" ref="CX6">MATCH(MAX(ABS(CX3:CX5)), ABS(CX3:CX5), 0)</f>
        <v>1</v>
      </c>
      <c r="CY6" s="27">
        <f t="array" ref="CY6">MATCH(MAX(ABS(CY3:CY5)), ABS(CY3:CY5), 0)</f>
        <v>1</v>
      </c>
      <c r="CZ6" s="27">
        <f t="array" ref="CZ6">MATCH(MAX(ABS(CZ3:CZ5)), ABS(CZ3:CZ5), 0)</f>
        <v>1</v>
      </c>
      <c r="DA6" s="27">
        <f t="array" ref="DA6">MATCH(MAX(ABS(DA3:DA5)), ABS(DA3:DA5), 0)</f>
        <v>1</v>
      </c>
      <c r="DB6" s="27">
        <f t="array" ref="DB6">MATCH(MAX(ABS(DB3:DB5)), ABS(DB3:DB5), 0)</f>
        <v>1</v>
      </c>
      <c r="DC6" s="27">
        <f t="array" ref="DC6">MATCH(MAX(ABS(DC3:DC5)), ABS(DC3:DC5), 0)</f>
        <v>1</v>
      </c>
      <c r="DD6" s="27">
        <f t="array" ref="DD6">MATCH(MAX(ABS(DD3:DD5)), ABS(DD3:DD5), 0)</f>
        <v>1</v>
      </c>
      <c r="DE6" s="27">
        <f t="array" ref="DE6">MATCH(MAX(ABS(DE3:DE5)), ABS(DE3:DE5), 0)</f>
        <v>1</v>
      </c>
      <c r="DF6" s="27">
        <f t="array" ref="DF6">MATCH(MAX(ABS(DF3:DF5)), ABS(DF3:DF5), 0)</f>
        <v>1</v>
      </c>
      <c r="DG6" s="27">
        <f t="array" ref="DG6">MATCH(MAX(ABS(DG3:DG5)), ABS(DG3:DG5), 0)</f>
        <v>1</v>
      </c>
      <c r="DH6" s="27">
        <f t="array" ref="DH6">MATCH(MAX(ABS(DH3:DH5)), ABS(DH3:DH5), 0)</f>
        <v>1</v>
      </c>
      <c r="DI6" s="27">
        <f t="array" ref="DI6">MATCH(MAX(ABS(DI3:DI5)), ABS(DI3:DI5), 0)</f>
        <v>1</v>
      </c>
      <c r="DJ6" s="27">
        <f t="array" ref="DJ6">MATCH(MAX(ABS(DJ3:DJ5)), ABS(DJ3:DJ5), 0)</f>
        <v>1</v>
      </c>
      <c r="DK6" s="27">
        <f t="array" ref="DK6">MATCH(MAX(ABS(DK3:DK5)), ABS(DK3:DK5), 0)</f>
        <v>1</v>
      </c>
      <c r="DL6" s="27">
        <f t="array" ref="DL6">MATCH(MAX(ABS(DL3:DL5)), ABS(DL3:DL5), 0)</f>
        <v>1</v>
      </c>
      <c r="DM6" s="27">
        <f t="array" ref="DM6">MATCH(MAX(ABS(DM3:DM5)), ABS(DM3:DM5), 0)</f>
        <v>1</v>
      </c>
      <c r="DN6" s="27">
        <f t="array" ref="DN6">MATCH(MAX(ABS(DN3:DN5)), ABS(DN3:DN5), 0)</f>
        <v>1</v>
      </c>
      <c r="DO6" s="27">
        <f t="array" ref="DO6">MATCH(MAX(ABS(DO3:DO5)), ABS(DO3:DO5), 0)</f>
        <v>1</v>
      </c>
      <c r="DP6" s="27">
        <f t="array" ref="DP6">MATCH(MAX(ABS(DP3:DP5)), ABS(DP3:DP5), 0)</f>
        <v>1</v>
      </c>
      <c r="DQ6" s="27">
        <f t="array" ref="DQ6">MATCH(MAX(ABS(DQ3:DQ5)), ABS(DQ3:DQ5), 0)</f>
        <v>1</v>
      </c>
      <c r="DR6" s="27">
        <f t="array" ref="DR6">MATCH(MAX(ABS(DR3:DR5)), ABS(DR3:DR5), 0)</f>
        <v>1</v>
      </c>
      <c r="DS6" s="27">
        <f t="array" ref="DS6">MATCH(MAX(ABS(DS3:DS5)), ABS(DS3:DS5), 0)</f>
        <v>1</v>
      </c>
      <c r="DT6" s="27">
        <f t="array" ref="DT6">MATCH(MAX(ABS(DT3:DT5)), ABS(DT3:DT5), 0)</f>
        <v>1</v>
      </c>
      <c r="DU6" s="27">
        <f t="array" ref="DU6">MATCH(MAX(ABS(DU3:DU5)), ABS(DU3:DU5), 0)</f>
        <v>1</v>
      </c>
      <c r="DV6" s="27">
        <f t="array" ref="DV6">MATCH(MAX(ABS(DV3:DV5)), ABS(DV3:DV5), 0)</f>
        <v>1</v>
      </c>
      <c r="DW6" s="27">
        <f t="array" ref="DW6">MATCH(MAX(ABS(DW3:DW5)), ABS(DW3:DW5), 0)</f>
        <v>1</v>
      </c>
      <c r="DX6" s="27">
        <f t="array" ref="DX6">MATCH(MAX(ABS(DX3:DX5)), ABS(DX3:DX5), 0)</f>
        <v>1</v>
      </c>
      <c r="DY6" s="27">
        <f t="array" ref="DY6">MATCH(MAX(ABS(DY3:DY5)), ABS(DY3:DY5), 0)</f>
        <v>1</v>
      </c>
      <c r="DZ6" s="27">
        <f t="array" ref="DZ6">MATCH(MAX(ABS(DZ3:DZ5)), ABS(DZ3:DZ5), 0)</f>
        <v>1</v>
      </c>
      <c r="EA6" s="27">
        <f t="array" ref="EA6">MATCH(MAX(ABS(EA3:EA5)), ABS(EA3:EA5), 0)</f>
        <v>1</v>
      </c>
      <c r="EB6" s="27">
        <f t="array" ref="EB6">MATCH(MAX(ABS(EB3:EB5)), ABS(EB3:EB5), 0)</f>
        <v>1</v>
      </c>
      <c r="EC6" s="27">
        <f t="array" ref="EC6">MATCH(MAX(ABS(EC3:EC5)), ABS(EC3:EC5), 0)</f>
        <v>1</v>
      </c>
      <c r="ED6" s="27">
        <f t="array" ref="ED6">MATCH(MAX(ABS(ED3:ED5)), ABS(ED3:ED5), 0)</f>
        <v>1</v>
      </c>
      <c r="EE6" s="27">
        <f t="array" ref="EE6">MATCH(MAX(ABS(EE3:EE5)), ABS(EE3:EE5), 0)</f>
        <v>1</v>
      </c>
      <c r="EF6" s="27">
        <f t="array" ref="EF6">MATCH(MAX(ABS(EF3:EF5)), ABS(EF3:EF5), 0)</f>
        <v>1</v>
      </c>
    </row>
    <row r="7" spans="1:139" s="2" customFormat="1">
      <c r="C7" s="27" t="str">
        <f t="shared" ref="C7:AH7" si="0">IF(C6=1,"bm",IF(C6=2,"size",IF(C6=3,"mom")))</f>
        <v>bm</v>
      </c>
      <c r="D7" s="27" t="str">
        <f t="shared" si="0"/>
        <v>size</v>
      </c>
      <c r="E7" s="27" t="str">
        <f t="shared" si="0"/>
        <v>bm</v>
      </c>
      <c r="F7" s="27" t="str">
        <f t="shared" si="0"/>
        <v>size</v>
      </c>
      <c r="G7" s="27" t="str">
        <f t="shared" si="0"/>
        <v>size</v>
      </c>
      <c r="H7" s="27" t="str">
        <f t="shared" si="0"/>
        <v>size</v>
      </c>
      <c r="I7" s="27" t="str">
        <f t="shared" si="0"/>
        <v>bm</v>
      </c>
      <c r="J7" s="27" t="str">
        <f t="shared" si="0"/>
        <v>size</v>
      </c>
      <c r="K7" s="27" t="str">
        <f t="shared" si="0"/>
        <v>size</v>
      </c>
      <c r="L7" s="27" t="str">
        <f t="shared" si="0"/>
        <v>size</v>
      </c>
      <c r="M7" s="27" t="str">
        <f t="shared" si="0"/>
        <v>size</v>
      </c>
      <c r="N7" s="27" t="str">
        <f t="shared" si="0"/>
        <v>size</v>
      </c>
      <c r="O7" s="27" t="str">
        <f t="shared" si="0"/>
        <v>size</v>
      </c>
      <c r="P7" s="27" t="str">
        <f t="shared" si="0"/>
        <v>bm</v>
      </c>
      <c r="Q7" s="27" t="str">
        <f t="shared" si="0"/>
        <v>size</v>
      </c>
      <c r="R7" s="27" t="str">
        <f t="shared" si="0"/>
        <v>size</v>
      </c>
      <c r="S7" s="27" t="str">
        <f t="shared" si="0"/>
        <v>bm</v>
      </c>
      <c r="T7" s="27" t="str">
        <f t="shared" si="0"/>
        <v>size</v>
      </c>
      <c r="U7" s="27" t="str">
        <f t="shared" si="0"/>
        <v>size</v>
      </c>
      <c r="V7" s="27" t="str">
        <f t="shared" si="0"/>
        <v>size</v>
      </c>
      <c r="W7" s="27" t="str">
        <f t="shared" si="0"/>
        <v>size</v>
      </c>
      <c r="X7" s="27" t="str">
        <f t="shared" si="0"/>
        <v>bm</v>
      </c>
      <c r="Y7" s="27" t="str">
        <f t="shared" si="0"/>
        <v>size</v>
      </c>
      <c r="Z7" s="27" t="str">
        <f t="shared" si="0"/>
        <v>size</v>
      </c>
      <c r="AA7" s="27" t="str">
        <f t="shared" si="0"/>
        <v>size</v>
      </c>
      <c r="AB7" s="27" t="str">
        <f t="shared" si="0"/>
        <v>size</v>
      </c>
      <c r="AC7" s="27" t="str">
        <f t="shared" si="0"/>
        <v>size</v>
      </c>
      <c r="AD7" s="27" t="str">
        <f t="shared" si="0"/>
        <v>size</v>
      </c>
      <c r="AE7" s="27" t="str">
        <f t="shared" si="0"/>
        <v>bm</v>
      </c>
      <c r="AF7" s="27" t="str">
        <f t="shared" si="0"/>
        <v>size</v>
      </c>
      <c r="AG7" s="27" t="str">
        <f t="shared" si="0"/>
        <v>size</v>
      </c>
      <c r="AH7" s="27" t="str">
        <f t="shared" si="0"/>
        <v>size</v>
      </c>
      <c r="AI7" s="27" t="str">
        <f t="shared" ref="AI7:BN7" si="1">IF(AI6=1,"bm",IF(AI6=2,"size",IF(AI6=3,"mom")))</f>
        <v>size</v>
      </c>
      <c r="AJ7" s="27" t="str">
        <f t="shared" si="1"/>
        <v>size</v>
      </c>
      <c r="AK7" s="27" t="str">
        <f t="shared" si="1"/>
        <v>size</v>
      </c>
      <c r="AL7" s="27" t="str">
        <f t="shared" si="1"/>
        <v>bm</v>
      </c>
      <c r="AM7" s="27" t="str">
        <f t="shared" si="1"/>
        <v>size</v>
      </c>
      <c r="AN7" s="27" t="str">
        <f t="shared" si="1"/>
        <v>bm</v>
      </c>
      <c r="AO7" s="27" t="str">
        <f t="shared" si="1"/>
        <v>size</v>
      </c>
      <c r="AP7" s="27" t="str">
        <f t="shared" si="1"/>
        <v>bm</v>
      </c>
      <c r="AQ7" s="27" t="str">
        <f t="shared" si="1"/>
        <v>size</v>
      </c>
      <c r="AR7" s="27" t="str">
        <f t="shared" si="1"/>
        <v>size</v>
      </c>
      <c r="AS7" s="27" t="str">
        <f t="shared" si="1"/>
        <v>bm</v>
      </c>
      <c r="AT7" s="27" t="str">
        <f t="shared" si="1"/>
        <v>bm</v>
      </c>
      <c r="AU7" s="27" t="str">
        <f t="shared" si="1"/>
        <v>bm</v>
      </c>
      <c r="AV7" s="27" t="str">
        <f t="shared" si="1"/>
        <v>bm</v>
      </c>
      <c r="AW7" s="27" t="str">
        <f t="shared" si="1"/>
        <v>bm</v>
      </c>
      <c r="AX7" s="27" t="str">
        <f t="shared" si="1"/>
        <v>bm</v>
      </c>
      <c r="AY7" s="27" t="str">
        <f t="shared" si="1"/>
        <v>bm</v>
      </c>
      <c r="AZ7" s="27" t="str">
        <f t="shared" si="1"/>
        <v>bm</v>
      </c>
      <c r="BA7" s="27" t="str">
        <f t="shared" si="1"/>
        <v>bm</v>
      </c>
      <c r="BB7" s="27" t="str">
        <f t="shared" si="1"/>
        <v>bm</v>
      </c>
      <c r="BC7" s="27" t="str">
        <f t="shared" si="1"/>
        <v>bm</v>
      </c>
      <c r="BD7" s="27" t="str">
        <f t="shared" si="1"/>
        <v>bm</v>
      </c>
      <c r="BE7" s="27" t="str">
        <f t="shared" si="1"/>
        <v>bm</v>
      </c>
      <c r="BF7" s="27" t="str">
        <f t="shared" si="1"/>
        <v>bm</v>
      </c>
      <c r="BG7" s="27" t="str">
        <f t="shared" si="1"/>
        <v>bm</v>
      </c>
      <c r="BH7" s="27" t="str">
        <f t="shared" si="1"/>
        <v>bm</v>
      </c>
      <c r="BI7" s="27" t="str">
        <f t="shared" si="1"/>
        <v>bm</v>
      </c>
      <c r="BJ7" s="27" t="str">
        <f t="shared" si="1"/>
        <v>bm</v>
      </c>
      <c r="BK7" s="27" t="str">
        <f t="shared" si="1"/>
        <v>bm</v>
      </c>
      <c r="BL7" s="27" t="str">
        <f t="shared" si="1"/>
        <v>bm</v>
      </c>
      <c r="BM7" s="27" t="str">
        <f t="shared" si="1"/>
        <v>bm</v>
      </c>
      <c r="BN7" s="27" t="str">
        <f t="shared" si="1"/>
        <v>bm</v>
      </c>
      <c r="BO7" s="27" t="str">
        <f t="shared" ref="BO7:CT7" si="2">IF(BO6=1,"bm",IF(BO6=2,"size",IF(BO6=3,"mom")))</f>
        <v>bm</v>
      </c>
      <c r="BP7" s="27" t="str">
        <f t="shared" si="2"/>
        <v>bm</v>
      </c>
      <c r="BQ7" s="27" t="str">
        <f t="shared" si="2"/>
        <v>bm</v>
      </c>
      <c r="BR7" s="27" t="str">
        <f t="shared" si="2"/>
        <v>bm</v>
      </c>
      <c r="BS7" s="27" t="str">
        <f t="shared" si="2"/>
        <v>bm</v>
      </c>
      <c r="BT7" s="27" t="str">
        <f t="shared" si="2"/>
        <v>bm</v>
      </c>
      <c r="BU7" s="27" t="str">
        <f t="shared" si="2"/>
        <v>bm</v>
      </c>
      <c r="BV7" s="27" t="str">
        <f t="shared" si="2"/>
        <v>bm</v>
      </c>
      <c r="BW7" s="27" t="str">
        <f t="shared" si="2"/>
        <v>bm</v>
      </c>
      <c r="BX7" s="27" t="str">
        <f t="shared" si="2"/>
        <v>bm</v>
      </c>
      <c r="BY7" s="27" t="str">
        <f t="shared" si="2"/>
        <v>bm</v>
      </c>
      <c r="BZ7" s="27" t="str">
        <f t="shared" si="2"/>
        <v>bm</v>
      </c>
      <c r="CA7" s="27" t="str">
        <f t="shared" si="2"/>
        <v>bm</v>
      </c>
      <c r="CB7" s="27" t="str">
        <f t="shared" si="2"/>
        <v>bm</v>
      </c>
      <c r="CC7" s="27" t="str">
        <f t="shared" si="2"/>
        <v>bm</v>
      </c>
      <c r="CD7" s="27" t="str">
        <f t="shared" si="2"/>
        <v>bm</v>
      </c>
      <c r="CE7" s="27" t="str">
        <f t="shared" si="2"/>
        <v>bm</v>
      </c>
      <c r="CF7" s="27" t="str">
        <f t="shared" si="2"/>
        <v>bm</v>
      </c>
      <c r="CG7" s="27" t="str">
        <f t="shared" si="2"/>
        <v>bm</v>
      </c>
      <c r="CH7" s="27" t="str">
        <f t="shared" si="2"/>
        <v>bm</v>
      </c>
      <c r="CI7" s="27" t="str">
        <f t="shared" si="2"/>
        <v>bm</v>
      </c>
      <c r="CJ7" s="27" t="str">
        <f t="shared" si="2"/>
        <v>bm</v>
      </c>
      <c r="CK7" s="27" t="str">
        <f t="shared" si="2"/>
        <v>bm</v>
      </c>
      <c r="CL7" s="27" t="str">
        <f t="shared" si="2"/>
        <v>bm</v>
      </c>
      <c r="CM7" s="27" t="str">
        <f t="shared" si="2"/>
        <v>bm</v>
      </c>
      <c r="CN7" s="27" t="str">
        <f t="shared" si="2"/>
        <v>bm</v>
      </c>
      <c r="CO7" s="27" t="str">
        <f t="shared" si="2"/>
        <v>bm</v>
      </c>
      <c r="CP7" s="27" t="str">
        <f t="shared" si="2"/>
        <v>bm</v>
      </c>
      <c r="CQ7" s="27" t="str">
        <f t="shared" si="2"/>
        <v>bm</v>
      </c>
      <c r="CR7" s="27" t="str">
        <f t="shared" si="2"/>
        <v>bm</v>
      </c>
      <c r="CS7" s="27" t="str">
        <f t="shared" si="2"/>
        <v>bm</v>
      </c>
      <c r="CT7" s="27" t="str">
        <f t="shared" si="2"/>
        <v>bm</v>
      </c>
      <c r="CU7" s="27" t="str">
        <f t="shared" ref="CU7:DZ7" si="3">IF(CU6=1,"bm",IF(CU6=2,"size",IF(CU6=3,"mom")))</f>
        <v>bm</v>
      </c>
      <c r="CV7" s="27" t="str">
        <f t="shared" si="3"/>
        <v>bm</v>
      </c>
      <c r="CW7" s="27" t="str">
        <f t="shared" si="3"/>
        <v>bm</v>
      </c>
      <c r="CX7" s="27" t="str">
        <f t="shared" si="3"/>
        <v>bm</v>
      </c>
      <c r="CY7" s="27" t="str">
        <f t="shared" si="3"/>
        <v>bm</v>
      </c>
      <c r="CZ7" s="27" t="str">
        <f t="shared" si="3"/>
        <v>bm</v>
      </c>
      <c r="DA7" s="27" t="str">
        <f t="shared" si="3"/>
        <v>bm</v>
      </c>
      <c r="DB7" s="27" t="str">
        <f t="shared" si="3"/>
        <v>bm</v>
      </c>
      <c r="DC7" s="27" t="str">
        <f t="shared" si="3"/>
        <v>bm</v>
      </c>
      <c r="DD7" s="27" t="str">
        <f t="shared" si="3"/>
        <v>bm</v>
      </c>
      <c r="DE7" s="27" t="str">
        <f t="shared" si="3"/>
        <v>bm</v>
      </c>
      <c r="DF7" s="27" t="str">
        <f t="shared" si="3"/>
        <v>bm</v>
      </c>
      <c r="DG7" s="27" t="str">
        <f t="shared" si="3"/>
        <v>bm</v>
      </c>
      <c r="DH7" s="27" t="str">
        <f t="shared" si="3"/>
        <v>bm</v>
      </c>
      <c r="DI7" s="27" t="str">
        <f t="shared" si="3"/>
        <v>bm</v>
      </c>
      <c r="DJ7" s="27" t="str">
        <f t="shared" si="3"/>
        <v>bm</v>
      </c>
      <c r="DK7" s="27" t="str">
        <f t="shared" si="3"/>
        <v>bm</v>
      </c>
      <c r="DL7" s="27" t="str">
        <f t="shared" si="3"/>
        <v>bm</v>
      </c>
      <c r="DM7" s="27" t="str">
        <f t="shared" si="3"/>
        <v>bm</v>
      </c>
      <c r="DN7" s="27" t="str">
        <f t="shared" si="3"/>
        <v>bm</v>
      </c>
      <c r="DO7" s="27" t="str">
        <f t="shared" si="3"/>
        <v>bm</v>
      </c>
      <c r="DP7" s="27" t="str">
        <f t="shared" si="3"/>
        <v>bm</v>
      </c>
      <c r="DQ7" s="27" t="str">
        <f t="shared" si="3"/>
        <v>bm</v>
      </c>
      <c r="DR7" s="27" t="str">
        <f t="shared" si="3"/>
        <v>bm</v>
      </c>
      <c r="DS7" s="27" t="str">
        <f t="shared" si="3"/>
        <v>bm</v>
      </c>
      <c r="DT7" s="27" t="str">
        <f t="shared" si="3"/>
        <v>bm</v>
      </c>
      <c r="DU7" s="27" t="str">
        <f t="shared" si="3"/>
        <v>bm</v>
      </c>
      <c r="DV7" s="27" t="str">
        <f t="shared" si="3"/>
        <v>bm</v>
      </c>
      <c r="DW7" s="27" t="str">
        <f t="shared" si="3"/>
        <v>bm</v>
      </c>
      <c r="DX7" s="27" t="str">
        <f t="shared" si="3"/>
        <v>bm</v>
      </c>
      <c r="DY7" s="27" t="str">
        <f t="shared" si="3"/>
        <v>bm</v>
      </c>
      <c r="DZ7" s="27" t="str">
        <f t="shared" si="3"/>
        <v>bm</v>
      </c>
      <c r="EA7" s="27" t="str">
        <f t="shared" ref="EA7:EF7" si="4">IF(EA6=1,"bm",IF(EA6=2,"size",IF(EA6=3,"mom")))</f>
        <v>bm</v>
      </c>
      <c r="EB7" s="27" t="str">
        <f t="shared" si="4"/>
        <v>bm</v>
      </c>
      <c r="EC7" s="27" t="str">
        <f t="shared" si="4"/>
        <v>bm</v>
      </c>
      <c r="ED7" s="27" t="str">
        <f t="shared" si="4"/>
        <v>bm</v>
      </c>
      <c r="EE7" s="27" t="str">
        <f t="shared" si="4"/>
        <v>bm</v>
      </c>
      <c r="EF7" s="27" t="str">
        <f t="shared" si="4"/>
        <v>bm</v>
      </c>
    </row>
    <row r="8" spans="1:139" s="2" customFormat="1">
      <c r="C8" s="27">
        <f t="shared" ref="C8:AH8" si="5">IF(C6=1,C3,IF(C6=2,C4,IF(C6=3,C5)))</f>
        <v>5.338069424033165E-2</v>
      </c>
      <c r="D8" s="27">
        <f t="shared" si="5"/>
        <v>-3.0302392318844799E-2</v>
      </c>
      <c r="E8" s="27">
        <f t="shared" si="5"/>
        <v>3.7131085991859443E-2</v>
      </c>
      <c r="F8" s="27">
        <f t="shared" si="5"/>
        <v>-3.342650830745697E-2</v>
      </c>
      <c r="G8" s="27">
        <f t="shared" si="5"/>
        <v>-4.356461763381958E-2</v>
      </c>
      <c r="H8" s="27">
        <f t="shared" si="5"/>
        <v>-2.4043656885623928E-2</v>
      </c>
      <c r="I8" s="27">
        <f t="shared" si="5"/>
        <v>3.051983006298542E-2</v>
      </c>
      <c r="J8" s="27">
        <f t="shared" si="5"/>
        <v>-3.6628138273954391E-2</v>
      </c>
      <c r="K8" s="27">
        <f t="shared" si="5"/>
        <v>-3.3706646412611008E-2</v>
      </c>
      <c r="L8" s="27">
        <f t="shared" si="5"/>
        <v>-3.9789609611034393E-2</v>
      </c>
      <c r="M8" s="27">
        <f t="shared" si="5"/>
        <v>-3.8071341812610633E-2</v>
      </c>
      <c r="N8" s="27">
        <f t="shared" si="5"/>
        <v>-2.9651828110218052E-2</v>
      </c>
      <c r="O8" s="27">
        <f t="shared" si="5"/>
        <v>-3.6376375705003738E-2</v>
      </c>
      <c r="P8" s="27">
        <f t="shared" si="5"/>
        <v>9.2788353562355042E-2</v>
      </c>
      <c r="Q8" s="27">
        <f t="shared" si="5"/>
        <v>-2.434376627206802E-2</v>
      </c>
      <c r="R8" s="27">
        <f t="shared" si="5"/>
        <v>-3.3573232591152191E-2</v>
      </c>
      <c r="S8" s="27">
        <f t="shared" si="5"/>
        <v>4.957927018404007E-2</v>
      </c>
      <c r="T8" s="27">
        <f t="shared" si="5"/>
        <v>-2.798360958695412E-2</v>
      </c>
      <c r="U8" s="27">
        <f t="shared" si="5"/>
        <v>-2.942265011370182E-2</v>
      </c>
      <c r="V8" s="27">
        <f t="shared" si="5"/>
        <v>-2.794249914586544E-2</v>
      </c>
      <c r="W8" s="27">
        <f t="shared" si="5"/>
        <v>-2.784637734293938E-2</v>
      </c>
      <c r="X8" s="27">
        <f t="shared" si="5"/>
        <v>-3.8444548845291138E-2</v>
      </c>
      <c r="Y8" s="27">
        <f t="shared" si="5"/>
        <v>-3.1967829912900918E-2</v>
      </c>
      <c r="Z8" s="27">
        <f t="shared" si="5"/>
        <v>-2.9925361275672909E-2</v>
      </c>
      <c r="AA8" s="27">
        <f t="shared" si="5"/>
        <v>-3.0244136229157451E-2</v>
      </c>
      <c r="AB8" s="27">
        <f t="shared" si="5"/>
        <v>-2.8592776507139209E-2</v>
      </c>
      <c r="AC8" s="27">
        <f t="shared" si="5"/>
        <v>-2.740947529673576E-2</v>
      </c>
      <c r="AD8" s="27">
        <f t="shared" si="5"/>
        <v>-2.904889173805714E-2</v>
      </c>
      <c r="AE8" s="27">
        <f t="shared" si="5"/>
        <v>3.8704991340637207E-2</v>
      </c>
      <c r="AF8" s="27">
        <f t="shared" si="5"/>
        <v>-2.8318248689174649E-2</v>
      </c>
      <c r="AG8" s="27">
        <f t="shared" si="5"/>
        <v>-2.835783921182156E-2</v>
      </c>
      <c r="AH8" s="27">
        <f t="shared" si="5"/>
        <v>-2.0635519176721569E-2</v>
      </c>
      <c r="AI8" s="27">
        <f t="shared" ref="AI8:BN8" si="6">IF(AI6=1,AI3,IF(AI6=2,AI4,IF(AI6=3,AI5)))</f>
        <v>-3.9616737514734268E-2</v>
      </c>
      <c r="AJ8" s="27">
        <f t="shared" si="6"/>
        <v>-3.4279849380254752E-2</v>
      </c>
      <c r="AK8" s="27">
        <f t="shared" si="6"/>
        <v>-2.738221921026707E-2</v>
      </c>
      <c r="AL8" s="27">
        <f t="shared" si="6"/>
        <v>3.8964591920375817E-2</v>
      </c>
      <c r="AM8" s="27">
        <f t="shared" si="6"/>
        <v>-3.1148817390203479E-2</v>
      </c>
      <c r="AN8" s="27">
        <f t="shared" si="6"/>
        <v>4.386327788233757E-2</v>
      </c>
      <c r="AO8" s="27">
        <f t="shared" si="6"/>
        <v>-3.5884447395801537E-2</v>
      </c>
      <c r="AP8" s="27">
        <f t="shared" si="6"/>
        <v>3.8291200995445251E-2</v>
      </c>
      <c r="AQ8" s="27">
        <f t="shared" si="6"/>
        <v>-2.1187437698245049E-2</v>
      </c>
      <c r="AR8" s="27">
        <f t="shared" si="6"/>
        <v>-2.6181202381849289E-2</v>
      </c>
      <c r="AS8" s="27">
        <f t="shared" si="6"/>
        <v>-6.6054962575435638E-2</v>
      </c>
      <c r="AT8" s="27">
        <f t="shared" si="6"/>
        <v>4.3137997388839722E-2</v>
      </c>
      <c r="AU8" s="27">
        <f t="shared" si="6"/>
        <v>4.9771856516599662E-2</v>
      </c>
      <c r="AV8" s="27">
        <f t="shared" si="6"/>
        <v>4.9413982778787613E-2</v>
      </c>
      <c r="AW8" s="27">
        <f t="shared" si="6"/>
        <v>5.1071316003799438E-2</v>
      </c>
      <c r="AX8" s="27">
        <f t="shared" si="6"/>
        <v>4.962177574634552E-2</v>
      </c>
      <c r="AY8" s="27">
        <f t="shared" si="6"/>
        <v>5.1257487386465073E-2</v>
      </c>
      <c r="AZ8" s="27">
        <f t="shared" si="6"/>
        <v>4.2423129081726067E-2</v>
      </c>
      <c r="BA8" s="27">
        <f t="shared" si="6"/>
        <v>3.9333701133728027E-2</v>
      </c>
      <c r="BB8" s="27">
        <f t="shared" si="6"/>
        <v>3.9388258010149002E-2</v>
      </c>
      <c r="BC8" s="27">
        <f t="shared" si="6"/>
        <v>4.2884018272161477E-2</v>
      </c>
      <c r="BD8" s="27">
        <f t="shared" si="6"/>
        <v>4.4494438916444778E-2</v>
      </c>
      <c r="BE8" s="27">
        <f t="shared" si="6"/>
        <v>4.6050392091274261E-2</v>
      </c>
      <c r="BF8" s="27">
        <f t="shared" si="6"/>
        <v>5.2774351090192788E-2</v>
      </c>
      <c r="BG8" s="27">
        <f t="shared" si="6"/>
        <v>5.2520696073770523E-2</v>
      </c>
      <c r="BH8" s="27">
        <f t="shared" si="6"/>
        <v>5.204303190112114E-2</v>
      </c>
      <c r="BI8" s="27">
        <f t="shared" si="6"/>
        <v>5.3213786333799362E-2</v>
      </c>
      <c r="BJ8" s="27">
        <f t="shared" si="6"/>
        <v>5.14848493039608E-2</v>
      </c>
      <c r="BK8" s="27">
        <f t="shared" si="6"/>
        <v>5.2345767617225647E-2</v>
      </c>
      <c r="BL8" s="27">
        <f t="shared" si="6"/>
        <v>5.2821684628725052E-2</v>
      </c>
      <c r="BM8" s="27">
        <f t="shared" si="6"/>
        <v>5.246623232960701E-2</v>
      </c>
      <c r="BN8" s="27">
        <f t="shared" si="6"/>
        <v>5.7477392256259918E-2</v>
      </c>
      <c r="BO8" s="27">
        <f t="shared" ref="BO8:CT8" si="7">IF(BO6=1,BO3,IF(BO6=2,BO4,IF(BO6=3,BO5)))</f>
        <v>5.5104456841945648E-2</v>
      </c>
      <c r="BP8" s="27">
        <f t="shared" si="7"/>
        <v>4.081440344452858E-2</v>
      </c>
      <c r="BQ8" s="27">
        <f t="shared" si="7"/>
        <v>5.2616532891988747E-2</v>
      </c>
      <c r="BR8" s="27">
        <f t="shared" si="7"/>
        <v>3.6645740270614617E-2</v>
      </c>
      <c r="BS8" s="27">
        <f t="shared" si="7"/>
        <v>5.4600823670625687E-2</v>
      </c>
      <c r="BT8" s="27">
        <f t="shared" si="7"/>
        <v>4.5548383146524429E-2</v>
      </c>
      <c r="BU8" s="27">
        <f t="shared" si="7"/>
        <v>5.5572357028722763E-2</v>
      </c>
      <c r="BV8" s="27">
        <f t="shared" si="7"/>
        <v>5.2330784499645233E-2</v>
      </c>
      <c r="BW8" s="27">
        <f t="shared" si="7"/>
        <v>4.1799742728471763E-2</v>
      </c>
      <c r="BX8" s="27">
        <f t="shared" si="7"/>
        <v>4.7964099794626243E-2</v>
      </c>
      <c r="BY8" s="27">
        <f t="shared" si="7"/>
        <v>4.9554049968719482E-2</v>
      </c>
      <c r="BZ8" s="27">
        <f t="shared" si="7"/>
        <v>5.3468108177185059E-2</v>
      </c>
      <c r="CA8" s="27">
        <f t="shared" si="7"/>
        <v>4.868757352232933E-2</v>
      </c>
      <c r="CB8" s="27">
        <f t="shared" si="7"/>
        <v>4.6025428920984268E-2</v>
      </c>
      <c r="CC8" s="27">
        <f t="shared" si="7"/>
        <v>5.2412558346986771E-2</v>
      </c>
      <c r="CD8" s="27">
        <f t="shared" si="7"/>
        <v>4.9619406461715698E-2</v>
      </c>
      <c r="CE8" s="27">
        <f t="shared" si="7"/>
        <v>4.6824052929878228E-2</v>
      </c>
      <c r="CF8" s="27">
        <f t="shared" si="7"/>
        <v>5.0924398005008698E-2</v>
      </c>
      <c r="CG8" s="27">
        <f t="shared" si="7"/>
        <v>4.6287201344966888E-2</v>
      </c>
      <c r="CH8" s="27">
        <f t="shared" si="7"/>
        <v>5.0006065517663963E-2</v>
      </c>
      <c r="CI8" s="27">
        <f t="shared" si="7"/>
        <v>4.8990387469530113E-2</v>
      </c>
      <c r="CJ8" s="27">
        <f t="shared" si="7"/>
        <v>5.0737027078866959E-2</v>
      </c>
      <c r="CK8" s="27">
        <f t="shared" si="7"/>
        <v>5.0407581031322479E-2</v>
      </c>
      <c r="CL8" s="27">
        <f t="shared" si="7"/>
        <v>5.1771163940429688E-2</v>
      </c>
      <c r="CM8" s="27">
        <f t="shared" si="7"/>
        <v>4.9744158983230591E-2</v>
      </c>
      <c r="CN8" s="27">
        <f t="shared" si="7"/>
        <v>4.9877673387527473E-2</v>
      </c>
      <c r="CO8" s="27">
        <f t="shared" si="7"/>
        <v>4.8527717590332031E-2</v>
      </c>
      <c r="CP8" s="27">
        <f t="shared" si="7"/>
        <v>4.8692740499973297E-2</v>
      </c>
      <c r="CQ8" s="27">
        <f t="shared" si="7"/>
        <v>4.9047302454710007E-2</v>
      </c>
      <c r="CR8" s="27">
        <f t="shared" si="7"/>
        <v>4.9837246537208557E-2</v>
      </c>
      <c r="CS8" s="27">
        <f t="shared" si="7"/>
        <v>4.7483202069997787E-2</v>
      </c>
      <c r="CT8" s="27">
        <f t="shared" si="7"/>
        <v>3.1795904040336609E-2</v>
      </c>
      <c r="CU8" s="27">
        <f t="shared" ref="CU8:DZ8" si="8">IF(CU6=1,CU3,IF(CU6=2,CU4,IF(CU6=3,CU5)))</f>
        <v>4.4976841658353812E-2</v>
      </c>
      <c r="CV8" s="27">
        <f t="shared" si="8"/>
        <v>4.9786105751991272E-2</v>
      </c>
      <c r="CW8" s="27">
        <f t="shared" si="8"/>
        <v>4.3859463185071952E-2</v>
      </c>
      <c r="CX8" s="27">
        <f t="shared" si="8"/>
        <v>5.1966626197099693E-2</v>
      </c>
      <c r="CY8" s="27">
        <f t="shared" si="8"/>
        <v>5.0948314368724823E-2</v>
      </c>
      <c r="CZ8" s="27">
        <f t="shared" si="8"/>
        <v>4.4357843697071082E-2</v>
      </c>
      <c r="DA8" s="27">
        <f t="shared" si="8"/>
        <v>4.5401513576507568E-2</v>
      </c>
      <c r="DB8" s="27">
        <f t="shared" si="8"/>
        <v>5.2733633667230613E-2</v>
      </c>
      <c r="DC8" s="27">
        <f t="shared" si="8"/>
        <v>5.2081622183322913E-2</v>
      </c>
      <c r="DD8" s="27">
        <f t="shared" si="8"/>
        <v>4.963703453540802E-2</v>
      </c>
      <c r="DE8" s="27">
        <f t="shared" si="8"/>
        <v>5.2589800208806992E-2</v>
      </c>
      <c r="DF8" s="27">
        <f t="shared" si="8"/>
        <v>4.1408929973840707E-2</v>
      </c>
      <c r="DG8" s="27">
        <f t="shared" si="8"/>
        <v>4.3718356639146798E-2</v>
      </c>
      <c r="DH8" s="27">
        <f t="shared" si="8"/>
        <v>4.6793397516012192E-2</v>
      </c>
      <c r="DI8" s="27">
        <f t="shared" si="8"/>
        <v>4.7784905880689621E-2</v>
      </c>
      <c r="DJ8" s="27">
        <f t="shared" si="8"/>
        <v>5.1443465054035187E-2</v>
      </c>
      <c r="DK8" s="27">
        <f t="shared" si="8"/>
        <v>4.1621468961238861E-2</v>
      </c>
      <c r="DL8" s="27">
        <f t="shared" si="8"/>
        <v>4.8520050942897797E-2</v>
      </c>
      <c r="DM8" s="27">
        <f t="shared" si="8"/>
        <v>4.8485212028026581E-2</v>
      </c>
      <c r="DN8" s="27">
        <f t="shared" si="8"/>
        <v>4.6739093959331512E-2</v>
      </c>
      <c r="DO8" s="27">
        <f t="shared" si="8"/>
        <v>4.815780371427536E-2</v>
      </c>
      <c r="DP8" s="27">
        <f t="shared" si="8"/>
        <v>4.7622770071029663E-2</v>
      </c>
      <c r="DQ8" s="27">
        <f t="shared" si="8"/>
        <v>4.8637110739946372E-2</v>
      </c>
      <c r="DR8" s="27">
        <f t="shared" si="8"/>
        <v>4.879031702876091E-2</v>
      </c>
      <c r="DS8" s="27">
        <f t="shared" si="8"/>
        <v>4.4818054884672158E-2</v>
      </c>
      <c r="DT8" s="27">
        <f t="shared" si="8"/>
        <v>4.8045273870229721E-2</v>
      </c>
      <c r="DU8" s="27">
        <f t="shared" si="8"/>
        <v>4.7465518116950989E-2</v>
      </c>
      <c r="DV8" s="27">
        <f t="shared" si="8"/>
        <v>4.6620264649391167E-2</v>
      </c>
      <c r="DW8" s="27">
        <f t="shared" si="8"/>
        <v>4.7323688864707947E-2</v>
      </c>
      <c r="DX8" s="27">
        <f t="shared" si="8"/>
        <v>4.754440113902092E-2</v>
      </c>
      <c r="DY8" s="27">
        <f t="shared" si="8"/>
        <v>4.7807488590478897E-2</v>
      </c>
      <c r="DZ8" s="27">
        <f t="shared" si="8"/>
        <v>3.4820709377527237E-2</v>
      </c>
      <c r="EA8" s="27">
        <f t="shared" ref="EA8:EF8" si="9">IF(EA6=1,EA3,IF(EA6=2,EA4,IF(EA6=3,EA5)))</f>
        <v>4.8265136778354638E-2</v>
      </c>
      <c r="EB8" s="27">
        <f t="shared" si="9"/>
        <v>4.2205382138490677E-2</v>
      </c>
      <c r="EC8" s="27">
        <f t="shared" si="9"/>
        <v>3.6263357847929001E-2</v>
      </c>
      <c r="ED8" s="27">
        <f t="shared" si="9"/>
        <v>3.9504203945398331E-2</v>
      </c>
      <c r="EE8" s="27">
        <f t="shared" si="9"/>
        <v>4.6422228217124939E-2</v>
      </c>
      <c r="EF8" s="27">
        <f t="shared" si="9"/>
        <v>5.0174936652183533E-2</v>
      </c>
    </row>
    <row r="10" spans="1:139">
      <c r="A10" s="32" t="s">
        <v>140</v>
      </c>
      <c r="B10" s="33"/>
      <c r="C10" s="4" t="s">
        <v>141</v>
      </c>
      <c r="D10" s="6">
        <v>964</v>
      </c>
    </row>
    <row r="11" spans="1:139">
      <c r="A11" s="4" t="s">
        <v>142</v>
      </c>
      <c r="B11" s="4" t="s">
        <v>143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I11" s="5" t="s">
        <v>8</v>
      </c>
      <c r="J11" s="5" t="s">
        <v>9</v>
      </c>
      <c r="K11" s="5" t="s">
        <v>10</v>
      </c>
      <c r="L11" s="5" t="s">
        <v>11</v>
      </c>
      <c r="M11" s="5" t="s">
        <v>12</v>
      </c>
      <c r="N11" s="5" t="s">
        <v>13</v>
      </c>
      <c r="O11" s="5" t="s">
        <v>14</v>
      </c>
      <c r="P11" s="5" t="s">
        <v>15</v>
      </c>
      <c r="Q11" s="5" t="s">
        <v>16</v>
      </c>
      <c r="R11" s="5" t="s">
        <v>17</v>
      </c>
      <c r="S11" s="5" t="s">
        <v>18</v>
      </c>
      <c r="T11" s="5" t="s">
        <v>19</v>
      </c>
      <c r="U11" s="5" t="s">
        <v>20</v>
      </c>
      <c r="V11" s="5" t="s">
        <v>21</v>
      </c>
      <c r="W11" s="5" t="s">
        <v>22</v>
      </c>
      <c r="X11" s="5" t="s">
        <v>23</v>
      </c>
      <c r="Y11" s="5" t="s">
        <v>24</v>
      </c>
      <c r="Z11" s="5" t="s">
        <v>25</v>
      </c>
      <c r="AA11" s="5" t="s">
        <v>26</v>
      </c>
      <c r="AB11" s="5" t="s">
        <v>27</v>
      </c>
      <c r="AC11" s="5" t="s">
        <v>28</v>
      </c>
      <c r="AD11" s="5" t="s">
        <v>29</v>
      </c>
      <c r="AE11" s="5" t="s">
        <v>30</v>
      </c>
      <c r="AF11" s="5" t="s">
        <v>31</v>
      </c>
      <c r="AG11" s="5" t="s">
        <v>32</v>
      </c>
      <c r="AH11" s="5" t="s">
        <v>33</v>
      </c>
      <c r="AI11" s="5" t="s">
        <v>34</v>
      </c>
      <c r="AJ11" s="5" t="s">
        <v>35</v>
      </c>
      <c r="AK11" s="5" t="s">
        <v>36</v>
      </c>
      <c r="AL11" s="5" t="s">
        <v>37</v>
      </c>
      <c r="AM11" s="5" t="s">
        <v>38</v>
      </c>
      <c r="AN11" s="5" t="s">
        <v>39</v>
      </c>
      <c r="AO11" s="5" t="s">
        <v>40</v>
      </c>
      <c r="AP11" s="5" t="s">
        <v>41</v>
      </c>
      <c r="AQ11" s="5" t="s">
        <v>42</v>
      </c>
      <c r="AR11" s="5" t="s">
        <v>43</v>
      </c>
      <c r="AS11" s="5" t="s">
        <v>44</v>
      </c>
      <c r="AT11" s="5" t="s">
        <v>45</v>
      </c>
      <c r="AU11" s="5" t="s">
        <v>46</v>
      </c>
      <c r="AV11" s="5" t="s">
        <v>47</v>
      </c>
      <c r="AW11" s="5" t="s">
        <v>48</v>
      </c>
      <c r="AX11" s="5" t="s">
        <v>49</v>
      </c>
      <c r="AY11" s="5" t="s">
        <v>50</v>
      </c>
      <c r="AZ11" s="5" t="s">
        <v>51</v>
      </c>
      <c r="BA11" s="5" t="s">
        <v>52</v>
      </c>
      <c r="BB11" s="5" t="s">
        <v>53</v>
      </c>
      <c r="BC11" s="5" t="s">
        <v>54</v>
      </c>
      <c r="BD11" s="5" t="s">
        <v>55</v>
      </c>
      <c r="BE11" s="5" t="s">
        <v>56</v>
      </c>
      <c r="BF11" s="5" t="s">
        <v>57</v>
      </c>
      <c r="BG11" s="5" t="s">
        <v>58</v>
      </c>
      <c r="BH11" s="5" t="s">
        <v>59</v>
      </c>
      <c r="BI11" s="5" t="s">
        <v>60</v>
      </c>
      <c r="BJ11" s="5" t="s">
        <v>61</v>
      </c>
      <c r="BK11" s="5" t="s">
        <v>62</v>
      </c>
      <c r="BL11" s="5" t="s">
        <v>63</v>
      </c>
      <c r="BM11" s="5" t="s">
        <v>64</v>
      </c>
      <c r="BN11" s="5" t="s">
        <v>65</v>
      </c>
      <c r="BO11" s="5" t="s">
        <v>66</v>
      </c>
      <c r="BP11" s="5" t="s">
        <v>67</v>
      </c>
      <c r="BQ11" s="5" t="s">
        <v>68</v>
      </c>
      <c r="BR11" s="5" t="s">
        <v>69</v>
      </c>
      <c r="BS11" s="5" t="s">
        <v>70</v>
      </c>
      <c r="BT11" s="5" t="s">
        <v>71</v>
      </c>
      <c r="BU11" s="5" t="s">
        <v>72</v>
      </c>
      <c r="BV11" s="5" t="s">
        <v>73</v>
      </c>
      <c r="BW11" s="5" t="s">
        <v>74</v>
      </c>
      <c r="BX11" s="5" t="s">
        <v>75</v>
      </c>
      <c r="BY11" s="5" t="s">
        <v>76</v>
      </c>
      <c r="BZ11" s="5" t="s">
        <v>77</v>
      </c>
      <c r="CA11" s="5" t="s">
        <v>78</v>
      </c>
      <c r="CB11" s="5" t="s">
        <v>79</v>
      </c>
      <c r="CC11" s="5" t="s">
        <v>80</v>
      </c>
      <c r="CD11" s="5" t="s">
        <v>81</v>
      </c>
      <c r="CE11" s="5" t="s">
        <v>82</v>
      </c>
      <c r="CF11" s="5" t="s">
        <v>83</v>
      </c>
      <c r="CG11" s="5" t="s">
        <v>84</v>
      </c>
      <c r="CH11" s="5" t="s">
        <v>85</v>
      </c>
      <c r="CI11" s="5" t="s">
        <v>86</v>
      </c>
      <c r="CJ11" s="5" t="s">
        <v>87</v>
      </c>
      <c r="CK11" s="5" t="s">
        <v>88</v>
      </c>
      <c r="CL11" s="5" t="s">
        <v>89</v>
      </c>
      <c r="CM11" s="5" t="s">
        <v>90</v>
      </c>
      <c r="CN11" s="5" t="s">
        <v>91</v>
      </c>
      <c r="CO11" s="5" t="s">
        <v>92</v>
      </c>
      <c r="CP11" s="5" t="s">
        <v>93</v>
      </c>
      <c r="CQ11" s="5" t="s">
        <v>94</v>
      </c>
      <c r="CR11" s="5" t="s">
        <v>95</v>
      </c>
      <c r="CS11" s="5" t="s">
        <v>96</v>
      </c>
      <c r="CT11" s="5" t="s">
        <v>97</v>
      </c>
      <c r="CU11" s="5" t="s">
        <v>98</v>
      </c>
      <c r="CV11" s="5" t="s">
        <v>99</v>
      </c>
      <c r="CW11" s="5" t="s">
        <v>100</v>
      </c>
      <c r="CX11" s="5" t="s">
        <v>101</v>
      </c>
      <c r="CY11" s="5" t="s">
        <v>102</v>
      </c>
      <c r="CZ11" s="5" t="s">
        <v>103</v>
      </c>
      <c r="DA11" s="5" t="s">
        <v>104</v>
      </c>
      <c r="DB11" s="5" t="s">
        <v>105</v>
      </c>
      <c r="DC11" s="5" t="s">
        <v>106</v>
      </c>
      <c r="DD11" s="5" t="s">
        <v>107</v>
      </c>
      <c r="DE11" s="5" t="s">
        <v>108</v>
      </c>
      <c r="DF11" s="5" t="s">
        <v>109</v>
      </c>
      <c r="DG11" s="5" t="s">
        <v>110</v>
      </c>
      <c r="DH11" s="5" t="s">
        <v>111</v>
      </c>
      <c r="DI11" s="5" t="s">
        <v>112</v>
      </c>
      <c r="DJ11" s="5" t="s">
        <v>113</v>
      </c>
      <c r="DK11" s="5" t="s">
        <v>114</v>
      </c>
      <c r="DL11" s="5" t="s">
        <v>115</v>
      </c>
      <c r="DM11" s="5" t="s">
        <v>116</v>
      </c>
      <c r="DN11" s="5" t="s">
        <v>117</v>
      </c>
      <c r="DO11" s="5" t="s">
        <v>118</v>
      </c>
      <c r="DP11" s="5" t="s">
        <v>119</v>
      </c>
      <c r="DQ11" s="5" t="s">
        <v>120</v>
      </c>
      <c r="DR11" s="5" t="s">
        <v>121</v>
      </c>
      <c r="DS11" s="5" t="s">
        <v>122</v>
      </c>
      <c r="DT11" s="5" t="s">
        <v>123</v>
      </c>
      <c r="DU11" s="5" t="s">
        <v>124</v>
      </c>
      <c r="DV11" s="5" t="s">
        <v>125</v>
      </c>
      <c r="DW11" s="5" t="s">
        <v>126</v>
      </c>
      <c r="DX11" s="5" t="s">
        <v>127</v>
      </c>
      <c r="DY11" s="5" t="s">
        <v>128</v>
      </c>
      <c r="DZ11" s="5" t="s">
        <v>129</v>
      </c>
      <c r="EA11" s="5" t="s">
        <v>130</v>
      </c>
      <c r="EB11" s="5" t="s">
        <v>131</v>
      </c>
      <c r="EC11" s="5" t="s">
        <v>132</v>
      </c>
      <c r="ED11" s="5" t="s">
        <v>133</v>
      </c>
      <c r="EE11" s="5" t="s">
        <v>134</v>
      </c>
      <c r="EF11" s="5" t="s">
        <v>135</v>
      </c>
      <c r="EG11" s="19" t="s">
        <v>148</v>
      </c>
      <c r="EH11" s="19" t="s">
        <v>149</v>
      </c>
      <c r="EI11" s="19" t="s">
        <v>150</v>
      </c>
    </row>
    <row r="12" spans="1:139">
      <c r="A12" s="22">
        <f>預測IC!A12</f>
        <v>10</v>
      </c>
      <c r="B12" s="22">
        <f>預測IC!B12</f>
        <v>96</v>
      </c>
      <c r="C12" s="26">
        <f>預測IC!C12</f>
        <v>4.6867682744863907E-2</v>
      </c>
      <c r="D12" s="26">
        <f>預測IC!D12</f>
        <v>0.11468851041666669</v>
      </c>
      <c r="E12" s="26">
        <f>預測IC!E12</f>
        <v>-6.7935603476136659E-3</v>
      </c>
      <c r="F12" s="26">
        <f>預測IC!F12</f>
        <v>1.342140625E-2</v>
      </c>
      <c r="G12" s="26">
        <f>預測IC!G12</f>
        <v>1.172496874999999E-2</v>
      </c>
      <c r="H12" s="26">
        <f>預測IC!H12</f>
        <v>3.8530718750000012E-2</v>
      </c>
      <c r="I12" s="26">
        <f>預測IC!I12</f>
        <v>3.8097115239531458E-2</v>
      </c>
      <c r="J12" s="26">
        <f>預測IC!J12</f>
        <v>-2.940780208333334E-2</v>
      </c>
      <c r="K12" s="26">
        <f>預測IC!K12</f>
        <v>1.877417708333334E-2</v>
      </c>
      <c r="L12" s="26">
        <f>預測IC!L12</f>
        <v>-4.1890635416666662E-2</v>
      </c>
      <c r="M12" s="26">
        <f>預測IC!M12</f>
        <v>-3.9668749999999768E-4</v>
      </c>
      <c r="N12" s="26">
        <f>預測IC!N12</f>
        <v>6.9326749999999965E-2</v>
      </c>
      <c r="O12" s="26">
        <f>預測IC!O12</f>
        <v>1.7240843749999998E-2</v>
      </c>
      <c r="P12" s="26">
        <f>預測IC!P12</f>
        <v>-1.9809764896968261E-2</v>
      </c>
      <c r="Q12" s="26">
        <f>預測IC!Q12</f>
        <v>3.5270468749999978E-2</v>
      </c>
      <c r="R12" s="26">
        <f>預測IC!R12</f>
        <v>6.6630833333333368E-3</v>
      </c>
      <c r="S12" s="26">
        <f>預測IC!S12</f>
        <v>-7.5752806890824614E-2</v>
      </c>
      <c r="T12" s="26">
        <f>預測IC!T12</f>
        <v>-7.7403854166666827E-3</v>
      </c>
      <c r="U12" s="26">
        <f>預測IC!U12</f>
        <v>-1.6178791666666682E-2</v>
      </c>
      <c r="V12" s="26">
        <f>預測IC!V12</f>
        <v>6.2048020833333078E-3</v>
      </c>
      <c r="W12" s="26">
        <f>預測IC!W12</f>
        <v>6.4039645833333339E-2</v>
      </c>
      <c r="X12" s="26">
        <f>預測IC!X12</f>
        <v>-4.883787333959428E-2</v>
      </c>
      <c r="Y12" s="26">
        <f>預測IC!Y12</f>
        <v>1.544010416666668E-2</v>
      </c>
      <c r="Z12" s="26">
        <f>預測IC!Z12</f>
        <v>5.166041666666666E-3</v>
      </c>
      <c r="AA12" s="26">
        <f>預測IC!AA12</f>
        <v>-1.1916833333333311E-2</v>
      </c>
      <c r="AB12" s="26">
        <f>預測IC!AB12</f>
        <v>-3.7113229166666761E-3</v>
      </c>
      <c r="AC12" s="26">
        <f>預測IC!AC12</f>
        <v>5.1674479166666544E-3</v>
      </c>
      <c r="AD12" s="26">
        <f>預測IC!AD12</f>
        <v>1.123054166666667E-2</v>
      </c>
      <c r="AE12" s="26">
        <f>預測IC!AE12</f>
        <v>-3.7521220957971363E-2</v>
      </c>
      <c r="AF12" s="26">
        <f>預測IC!AF12</f>
        <v>4.6181927083333352E-2</v>
      </c>
      <c r="AG12" s="26">
        <f>預測IC!AG12</f>
        <v>1.207918750000001E-2</v>
      </c>
      <c r="AH12" s="26">
        <f>預測IC!AH12</f>
        <v>2.0093114583333321E-2</v>
      </c>
      <c r="AI12" s="26">
        <f>預測IC!AI12</f>
        <v>2.3246958333333331E-2</v>
      </c>
      <c r="AJ12" s="26">
        <f>預測IC!AJ12</f>
        <v>2.1062375000000012E-2</v>
      </c>
      <c r="AK12" s="26">
        <f>預測IC!AK12</f>
        <v>1.0179770833333339E-2</v>
      </c>
      <c r="AL12" s="26">
        <f>預測IC!AL12</f>
        <v>1.7859003021922081E-2</v>
      </c>
      <c r="AM12" s="26">
        <f>預測IC!AM12</f>
        <v>2.0205822916666651E-2</v>
      </c>
      <c r="AN12" s="26">
        <f>預測IC!AN12</f>
        <v>7.0370866473731905E-2</v>
      </c>
      <c r="AO12" s="26">
        <f>預測IC!AO12</f>
        <v>1.1704000000000001E-2</v>
      </c>
      <c r="AP12" s="26">
        <f>預測IC!AP12</f>
        <v>-3.3728995771188847E-2</v>
      </c>
      <c r="AQ12" s="26">
        <f>預測IC!AQ12</f>
        <v>-6.6816458333333311E-3</v>
      </c>
      <c r="AR12" s="26">
        <f>預測IC!AR12</f>
        <v>-7.5043645833333256E-3</v>
      </c>
      <c r="AS12" s="26">
        <f>預測IC!AS12</f>
        <v>-1.9726131394207671E-2</v>
      </c>
      <c r="AT12" s="26">
        <f>預測IC!AT12</f>
        <v>1.3068926506940861E-2</v>
      </c>
      <c r="AU12" s="26">
        <f>預測IC!AU12</f>
        <v>1.9974649689404891E-2</v>
      </c>
      <c r="AV12" s="26">
        <f>預測IC!AV12</f>
        <v>-4.112607099176907E-2</v>
      </c>
      <c r="AW12" s="26">
        <f>預測IC!AW12</f>
        <v>9.295475433588607E-4</v>
      </c>
      <c r="AX12" s="26">
        <f>預測IC!AX12</f>
        <v>4.3020460111572283E-2</v>
      </c>
      <c r="AY12" s="26">
        <f>預測IC!AY12</f>
        <v>2.448335394421234E-2</v>
      </c>
      <c r="AZ12" s="26">
        <f>預測IC!AZ12</f>
        <v>-3.0582148605065619E-3</v>
      </c>
      <c r="BA12" s="26">
        <f>預測IC!BA12</f>
        <v>4.1573905541135263E-3</v>
      </c>
      <c r="BB12" s="26">
        <f>預測IC!BB12</f>
        <v>1.598289180540334E-2</v>
      </c>
      <c r="BC12" s="26">
        <f>預測IC!BC12</f>
        <v>1.2985576387445449E-2</v>
      </c>
      <c r="BD12" s="26">
        <f>預測IC!BD12</f>
        <v>1.143142399369595E-2</v>
      </c>
      <c r="BE12" s="26">
        <f>預測IC!BE12</f>
        <v>2.40304909961199E-2</v>
      </c>
      <c r="BF12" s="26">
        <f>預測IC!BF12</f>
        <v>6.8729809015135521E-2</v>
      </c>
      <c r="BG12" s="26">
        <f>預測IC!BG12</f>
        <v>3.8388130036715477E-2</v>
      </c>
      <c r="BH12" s="26">
        <f>預測IC!BH12</f>
        <v>1.114891561300402E-2</v>
      </c>
      <c r="BI12" s="26">
        <f>預測IC!BI12</f>
        <v>5.1439927386970313E-2</v>
      </c>
      <c r="BJ12" s="26">
        <f>預測IC!BJ12</f>
        <v>-7.9599331991781624E-4</v>
      </c>
      <c r="BK12" s="26">
        <f>預測IC!BK12</f>
        <v>-2.169647440444759E-2</v>
      </c>
      <c r="BL12" s="26">
        <f>預測IC!BL12</f>
        <v>2.4709245830148639E-2</v>
      </c>
      <c r="BM12" s="26">
        <f>預測IC!BM12</f>
        <v>-1.9252831032387019E-3</v>
      </c>
      <c r="BN12" s="26">
        <f>預測IC!BN12</f>
        <v>1.133831182469593E-2</v>
      </c>
      <c r="BO12" s="26">
        <f>預測IC!BO12</f>
        <v>2.4246310256236889E-2</v>
      </c>
      <c r="BP12" s="26">
        <f>預測IC!BP12</f>
        <v>-1.0576816494296939E-2</v>
      </c>
      <c r="BQ12" s="26">
        <f>預測IC!BQ12</f>
        <v>1.520658027131792E-2</v>
      </c>
      <c r="BR12" s="26">
        <f>預測IC!BR12</f>
        <v>-1.506664413690911E-3</v>
      </c>
      <c r="BS12" s="26">
        <f>預測IC!BS12</f>
        <v>1.7696906558417349E-2</v>
      </c>
      <c r="BT12" s="26">
        <f>預測IC!BT12</f>
        <v>2.1797850361261389E-2</v>
      </c>
      <c r="BU12" s="26">
        <f>預測IC!BU12</f>
        <v>1.020950071261458E-2</v>
      </c>
      <c r="BV12" s="26">
        <f>預測IC!BV12</f>
        <v>3.0223813217716548E-2</v>
      </c>
      <c r="BW12" s="26">
        <f>預測IC!BW12</f>
        <v>-2.8816874357394821E-2</v>
      </c>
      <c r="BX12" s="26">
        <f>預測IC!BX12</f>
        <v>9.7131055242352677E-3</v>
      </c>
      <c r="BY12" s="26">
        <f>預測IC!BY12</f>
        <v>-3.3051409562733967E-2</v>
      </c>
      <c r="BZ12" s="26">
        <f>預測IC!BZ12</f>
        <v>4.5004028183990963E-2</v>
      </c>
      <c r="CA12" s="26">
        <f>預測IC!CA12</f>
        <v>-3.044777350243975E-2</v>
      </c>
      <c r="CB12" s="26">
        <f>預測IC!CB12</f>
        <v>1.6648876145019531E-3</v>
      </c>
      <c r="CC12" s="26">
        <f>預測IC!CC12</f>
        <v>-1.7660897272322871E-2</v>
      </c>
      <c r="CD12" s="26">
        <f>預測IC!CD12</f>
        <v>0.1109336335844525</v>
      </c>
      <c r="CE12" s="26">
        <f>預測IC!CE12</f>
        <v>1.1619408442229209E-2</v>
      </c>
      <c r="CF12" s="26">
        <f>預測IC!CF12</f>
        <v>2.6993352626693411E-2</v>
      </c>
      <c r="CG12" s="26">
        <f>預測IC!CG12</f>
        <v>4.130933339268713E-2</v>
      </c>
      <c r="CH12" s="26">
        <f>預測IC!CH12</f>
        <v>6.4402640401794498E-2</v>
      </c>
      <c r="CI12" s="26">
        <f>預測IC!CI12</f>
        <v>-3.5807412624148278E-2</v>
      </c>
      <c r="CJ12" s="26">
        <f>預測IC!CJ12</f>
        <v>1.7613849541033368E-2</v>
      </c>
      <c r="CK12" s="26">
        <f>預測IC!CK12</f>
        <v>1.199406837785265E-2</v>
      </c>
      <c r="CL12" s="26">
        <f>預測IC!CL12</f>
        <v>0.1180156076696104</v>
      </c>
      <c r="CM12" s="26">
        <f>預測IC!CM12</f>
        <v>-1.438269061297669E-2</v>
      </c>
      <c r="CN12" s="26">
        <f>預測IC!CN12</f>
        <v>-2.5586962886869249E-2</v>
      </c>
      <c r="CO12" s="26">
        <f>預測IC!CO12</f>
        <v>-2.6747945350733469E-2</v>
      </c>
      <c r="CP12" s="26">
        <f>預測IC!CP12</f>
        <v>4.5040195605567372E-2</v>
      </c>
      <c r="CQ12" s="26">
        <f>預測IC!CQ12</f>
        <v>3.7258660740219933E-2</v>
      </c>
      <c r="CR12" s="26">
        <f>預測IC!CR12</f>
        <v>2.5108720098311441E-3</v>
      </c>
      <c r="CS12" s="26">
        <f>預測IC!CS12</f>
        <v>-1.5201647687045549E-2</v>
      </c>
      <c r="CT12" s="26">
        <f>預測IC!CT12</f>
        <v>-9.6164620390248173E-4</v>
      </c>
      <c r="CU12" s="26">
        <f>預測IC!CU12</f>
        <v>3.2036178763345129E-2</v>
      </c>
      <c r="CV12" s="26">
        <f>預測IC!CV12</f>
        <v>8.2631539288325045E-3</v>
      </c>
      <c r="CW12" s="26">
        <f>預測IC!CW12</f>
        <v>5.3812280845706873E-3</v>
      </c>
      <c r="CX12" s="26">
        <f>預測IC!CX12</f>
        <v>6.0989882536991787E-2</v>
      </c>
      <c r="CY12" s="26">
        <f>預測IC!CY12</f>
        <v>-6.1822201388509711E-3</v>
      </c>
      <c r="CZ12" s="26">
        <f>預測IC!CZ12</f>
        <v>7.9607283258604278E-2</v>
      </c>
      <c r="DA12" s="26">
        <f>預測IC!DA12</f>
        <v>3.4032079955525099E-3</v>
      </c>
      <c r="DB12" s="26">
        <f>預測IC!DB12</f>
        <v>-2.3411800043749219E-2</v>
      </c>
      <c r="DC12" s="26">
        <f>預測IC!DC12</f>
        <v>3.3044377283177648E-2</v>
      </c>
      <c r="DD12" s="26">
        <f>預測IC!DD12</f>
        <v>2.6916790289718179E-2</v>
      </c>
      <c r="DE12" s="26">
        <f>預測IC!DE12</f>
        <v>-1.847442450316206E-4</v>
      </c>
      <c r="DF12" s="26">
        <f>預測IC!DF12</f>
        <v>-6.8330161835898516E-3</v>
      </c>
      <c r="DG12" s="26">
        <f>預測IC!DG12</f>
        <v>-7.9027007277837277E-4</v>
      </c>
      <c r="DH12" s="26">
        <f>預測IC!DH12</f>
        <v>-5.262143774803156E-3</v>
      </c>
      <c r="DI12" s="26">
        <f>預測IC!DI12</f>
        <v>-5.4443172992132458E-2</v>
      </c>
      <c r="DJ12" s="26">
        <f>預測IC!DJ12</f>
        <v>8.0625982547704537E-3</v>
      </c>
      <c r="DK12" s="26">
        <f>預測IC!DK12</f>
        <v>-1.526440322238466E-2</v>
      </c>
      <c r="DL12" s="26">
        <f>預測IC!DL12</f>
        <v>-1.0642651630106659E-3</v>
      </c>
      <c r="DM12" s="26">
        <f>預測IC!DM12</f>
        <v>-5.7147713958668224E-3</v>
      </c>
      <c r="DN12" s="26">
        <f>預測IC!DN12</f>
        <v>3.9228342632839662E-2</v>
      </c>
      <c r="DO12" s="26">
        <f>預測IC!DO12</f>
        <v>2.2128250164898451E-2</v>
      </c>
      <c r="DP12" s="26">
        <f>預測IC!DP12</f>
        <v>3.2584449600297112E-2</v>
      </c>
      <c r="DQ12" s="26">
        <f>預測IC!DQ12</f>
        <v>-2.3448390551494561E-2</v>
      </c>
      <c r="DR12" s="26">
        <f>預測IC!DR12</f>
        <v>1.8778943279386909E-2</v>
      </c>
      <c r="DS12" s="26">
        <f>預測IC!DS12</f>
        <v>-3.7264030439260992E-2</v>
      </c>
      <c r="DT12" s="26">
        <f>預測IC!DT12</f>
        <v>-4.4221204803796148E-2</v>
      </c>
      <c r="DU12" s="26">
        <f>預測IC!DU12</f>
        <v>1.3752648086382459E-2</v>
      </c>
      <c r="DV12" s="26">
        <f>預測IC!DV12</f>
        <v>5.2173183809525743E-2</v>
      </c>
      <c r="DW12" s="26">
        <f>預測IC!DW12</f>
        <v>3.9694301624267903E-2</v>
      </c>
      <c r="DX12" s="26">
        <f>預測IC!DX12</f>
        <v>-4.9619206803227477E-2</v>
      </c>
      <c r="DY12" s="26">
        <f>預測IC!DY12</f>
        <v>1.72451479372299E-2</v>
      </c>
      <c r="DZ12" s="26">
        <f>預測IC!DZ12</f>
        <v>-4.7575251258613243E-3</v>
      </c>
      <c r="EA12" s="26">
        <f>預測IC!EA12</f>
        <v>6.4003941323197033E-2</v>
      </c>
      <c r="EB12" s="26">
        <f>預測IC!EB12</f>
        <v>3.669385637917882E-3</v>
      </c>
      <c r="EC12" s="26">
        <f>預測IC!EC12</f>
        <v>2.6651509579665299E-2</v>
      </c>
      <c r="ED12" s="26">
        <f>預測IC!ED12</f>
        <v>-5.6628035807395623E-2</v>
      </c>
      <c r="EE12" s="26">
        <f>預測IC!EE12</f>
        <v>1.245837426370521E-2</v>
      </c>
      <c r="EF12" s="26">
        <f>預測IC!EF12</f>
        <v>3.9233348038795662E-2</v>
      </c>
      <c r="EG12" s="28">
        <f t="shared" ref="EG12:EG24" si="10">AVERAGE(C12:EF12)</f>
        <v>1.0726706836504129E-2</v>
      </c>
      <c r="EH12" s="28">
        <f t="shared" ref="EH12:EH24" si="11">STDEV(C12:EF12)</f>
        <v>3.2911184059041663E-2</v>
      </c>
      <c r="EI12" s="28">
        <f t="shared" ref="EI12:EI24" si="12">EG12/EH12</f>
        <v>0.3259289248682376</v>
      </c>
    </row>
    <row r="13" spans="1:139">
      <c r="A13" s="22">
        <f>預測IC!A13</f>
        <v>20</v>
      </c>
      <c r="B13" s="22">
        <f>預測IC!B13</f>
        <v>48</v>
      </c>
      <c r="C13" s="26">
        <f>預測IC!C13</f>
        <v>5.420904267159625E-2</v>
      </c>
      <c r="D13" s="26">
        <f>預測IC!D13</f>
        <v>0.12374510416666661</v>
      </c>
      <c r="E13" s="26">
        <f>預測IC!E13</f>
        <v>-3.4496619491353048E-2</v>
      </c>
      <c r="F13" s="26">
        <f>預測IC!F13</f>
        <v>-1.14548125E-2</v>
      </c>
      <c r="G13" s="26">
        <f>預測IC!G13</f>
        <v>1.574485416666668E-2</v>
      </c>
      <c r="H13" s="26">
        <f>預測IC!H13</f>
        <v>2.999035416666665E-2</v>
      </c>
      <c r="I13" s="26">
        <f>預測IC!I13</f>
        <v>3.731568416166707E-2</v>
      </c>
      <c r="J13" s="26">
        <f>預測IC!J13</f>
        <v>-4.3898812500000023E-2</v>
      </c>
      <c r="K13" s="26">
        <f>預測IC!K13</f>
        <v>-1.3674791666666709E-3</v>
      </c>
      <c r="L13" s="26">
        <f>預測IC!L13</f>
        <v>-6.0251041666666613E-3</v>
      </c>
      <c r="M13" s="26">
        <f>預測IC!M13</f>
        <v>2.5687291666666671E-2</v>
      </c>
      <c r="N13" s="26">
        <f>預測IC!N13</f>
        <v>9.9806729166666663E-2</v>
      </c>
      <c r="O13" s="26">
        <f>預測IC!O13</f>
        <v>3.9789374999999988E-2</v>
      </c>
      <c r="P13" s="26">
        <f>預測IC!P13</f>
        <v>-2.110407262300578E-2</v>
      </c>
      <c r="Q13" s="26">
        <f>預測IC!Q13</f>
        <v>7.3225020833333321E-2</v>
      </c>
      <c r="R13" s="26">
        <f>預測IC!R13</f>
        <v>1.415983333333333E-2</v>
      </c>
      <c r="S13" s="26">
        <f>預測IC!S13</f>
        <v>-0.1229152980035506</v>
      </c>
      <c r="T13" s="26">
        <f>預測IC!T13</f>
        <v>-2.1634062499999988E-2</v>
      </c>
      <c r="U13" s="26">
        <f>預測IC!U13</f>
        <v>1.5963125000000159E-3</v>
      </c>
      <c r="V13" s="26">
        <f>預測IC!V13</f>
        <v>-2.009412499999998E-2</v>
      </c>
      <c r="W13" s="26">
        <f>預測IC!W13</f>
        <v>7.5476395833333348E-2</v>
      </c>
      <c r="X13" s="26">
        <f>預測IC!X13</f>
        <v>-7.5502649274703834E-2</v>
      </c>
      <c r="Y13" s="26">
        <f>預測IC!Y13</f>
        <v>1.392037499999999E-2</v>
      </c>
      <c r="Z13" s="26">
        <f>預測IC!Z13</f>
        <v>2.058391666666666E-2</v>
      </c>
      <c r="AA13" s="26">
        <f>預測IC!AA13</f>
        <v>-1.6440041666666641E-2</v>
      </c>
      <c r="AB13" s="26">
        <f>預測IC!AB13</f>
        <v>-1.6035979166666669E-2</v>
      </c>
      <c r="AC13" s="26">
        <f>預測IC!AC13</f>
        <v>8.031270833333326E-3</v>
      </c>
      <c r="AD13" s="26">
        <f>預測IC!AD13</f>
        <v>2.1543083333333331E-2</v>
      </c>
      <c r="AE13" s="26">
        <f>預測IC!AE13</f>
        <v>-4.6284108752590758E-2</v>
      </c>
      <c r="AF13" s="26">
        <f>預測IC!AF13</f>
        <v>5.1936000000000003E-2</v>
      </c>
      <c r="AG13" s="26">
        <f>預測IC!AG13</f>
        <v>3.2824583333333321E-3</v>
      </c>
      <c r="AH13" s="26">
        <f>預測IC!AH13</f>
        <v>3.1874708333333307E-2</v>
      </c>
      <c r="AI13" s="26">
        <f>預測IC!AI13</f>
        <v>1.9910041666666659E-2</v>
      </c>
      <c r="AJ13" s="26">
        <f>預測IC!AJ13</f>
        <v>1.9885916666666659E-2</v>
      </c>
      <c r="AK13" s="26">
        <f>預測IC!AK13</f>
        <v>3.3189583333333439E-3</v>
      </c>
      <c r="AL13" s="26">
        <f>預測IC!AL13</f>
        <v>2.6328999803549549E-2</v>
      </c>
      <c r="AM13" s="26">
        <f>預測IC!AM13</f>
        <v>-2.282979166666674E-3</v>
      </c>
      <c r="AN13" s="26">
        <f>預測IC!AN13</f>
        <v>0.10533023813603409</v>
      </c>
      <c r="AO13" s="26">
        <f>預測IC!AO13</f>
        <v>3.020979166666661E-3</v>
      </c>
      <c r="AP13" s="26">
        <f>預測IC!AP13</f>
        <v>-5.9538220172873163E-2</v>
      </c>
      <c r="AQ13" s="26">
        <f>預測IC!AQ13</f>
        <v>-1.1081895833333331E-2</v>
      </c>
      <c r="AR13" s="26">
        <f>預測IC!AR13</f>
        <v>9.2504166666666568E-3</v>
      </c>
      <c r="AS13" s="26">
        <f>預測IC!AS13</f>
        <v>-3.9777952989674729E-2</v>
      </c>
      <c r="AT13" s="26">
        <f>預測IC!AT13</f>
        <v>4.0463087854439729E-2</v>
      </c>
      <c r="AU13" s="26">
        <f>預測IC!AU13</f>
        <v>4.2460982227971428E-2</v>
      </c>
      <c r="AV13" s="26">
        <f>預測IC!AV13</f>
        <v>-9.000778021233561E-3</v>
      </c>
      <c r="AW13" s="26">
        <f>預測IC!AW13</f>
        <v>3.2682708380548479E-3</v>
      </c>
      <c r="AX13" s="26">
        <f>預測IC!AX13</f>
        <v>6.5349021476021063E-2</v>
      </c>
      <c r="AY13" s="26">
        <f>預測IC!AY13</f>
        <v>1.5767643403076691E-2</v>
      </c>
      <c r="AZ13" s="26">
        <f>預測IC!AZ13</f>
        <v>-8.9977638524273464E-3</v>
      </c>
      <c r="BA13" s="26">
        <f>預測IC!BA13</f>
        <v>7.8944526317949112E-3</v>
      </c>
      <c r="BB13" s="26">
        <f>預測IC!BB13</f>
        <v>4.2875374496810892E-2</v>
      </c>
      <c r="BC13" s="26">
        <f>預測IC!BC13</f>
        <v>1.302658025364759E-2</v>
      </c>
      <c r="BD13" s="26">
        <f>預測IC!BD13</f>
        <v>5.6020821153025258E-3</v>
      </c>
      <c r="BE13" s="26">
        <f>預測IC!BE13</f>
        <v>2.842334795498689E-2</v>
      </c>
      <c r="BF13" s="26">
        <f>預測IC!BF13</f>
        <v>8.3929415307496771E-2</v>
      </c>
      <c r="BG13" s="26">
        <f>預測IC!BG13</f>
        <v>4.6566462338711673E-2</v>
      </c>
      <c r="BH13" s="26">
        <f>預測IC!BH13</f>
        <v>6.9762719011622898E-3</v>
      </c>
      <c r="BI13" s="26">
        <f>預測IC!BI13</f>
        <v>5.2788119566948392E-2</v>
      </c>
      <c r="BJ13" s="26">
        <f>預測IC!BJ13</f>
        <v>-1.765410852616266E-2</v>
      </c>
      <c r="BK13" s="26">
        <f>預測IC!BK13</f>
        <v>-1.8391024879749449E-2</v>
      </c>
      <c r="BL13" s="26">
        <f>預測IC!BL13</f>
        <v>3.6962610176948373E-2</v>
      </c>
      <c r="BM13" s="26">
        <f>預測IC!BM13</f>
        <v>1.505624964647417E-2</v>
      </c>
      <c r="BN13" s="26">
        <f>預測IC!BN13</f>
        <v>1.089273896846772E-2</v>
      </c>
      <c r="BO13" s="26">
        <f>預測IC!BO13</f>
        <v>3.1735312331920007E-2</v>
      </c>
      <c r="BP13" s="26">
        <f>預測IC!BP13</f>
        <v>7.6519468243173693E-3</v>
      </c>
      <c r="BQ13" s="26">
        <f>預測IC!BQ13</f>
        <v>4.0819096771410428E-2</v>
      </c>
      <c r="BR13" s="26">
        <f>預測IC!BR13</f>
        <v>-7.0713814766287129E-3</v>
      </c>
      <c r="BS13" s="26">
        <f>預測IC!BS13</f>
        <v>7.2582425079335874E-3</v>
      </c>
      <c r="BT13" s="26">
        <f>預測IC!BT13</f>
        <v>3.8343505616472817E-2</v>
      </c>
      <c r="BU13" s="26">
        <f>預測IC!BU13</f>
        <v>1.6526994744897359E-2</v>
      </c>
      <c r="BV13" s="26">
        <f>預測IC!BV13</f>
        <v>2.0643875001298689E-2</v>
      </c>
      <c r="BW13" s="26">
        <f>預測IC!BW13</f>
        <v>1.763237810676999E-3</v>
      </c>
      <c r="BX13" s="26">
        <f>預測IC!BX13</f>
        <v>2.1785490892617498E-2</v>
      </c>
      <c r="BY13" s="26">
        <f>預測IC!BY13</f>
        <v>-1.4512397670490481E-2</v>
      </c>
      <c r="BZ13" s="26">
        <f>預測IC!BZ13</f>
        <v>7.692787072442861E-2</v>
      </c>
      <c r="CA13" s="26">
        <f>預測IC!CA13</f>
        <v>-3.3531565600396843E-2</v>
      </c>
      <c r="CB13" s="26">
        <f>預測IC!CB13</f>
        <v>-7.1318694078340711E-3</v>
      </c>
      <c r="CC13" s="26">
        <f>預測IC!CC13</f>
        <v>-1.2132615861706589E-2</v>
      </c>
      <c r="CD13" s="26">
        <f>預測IC!CD13</f>
        <v>0.1054918782280385</v>
      </c>
      <c r="CE13" s="26">
        <f>預測IC!CE13</f>
        <v>1.196831018387538E-2</v>
      </c>
      <c r="CF13" s="26">
        <f>預測IC!CF13</f>
        <v>4.6939452833226827E-2</v>
      </c>
      <c r="CG13" s="26">
        <f>預測IC!CG13</f>
        <v>3.7015271900835547E-2</v>
      </c>
      <c r="CH13" s="26">
        <f>預測IC!CH13</f>
        <v>5.8334611827207158E-2</v>
      </c>
      <c r="CI13" s="26">
        <f>預測IC!CI13</f>
        <v>-5.1853509134263329E-2</v>
      </c>
      <c r="CJ13" s="26">
        <f>預測IC!CJ13</f>
        <v>-3.876600294492813E-3</v>
      </c>
      <c r="CK13" s="26">
        <f>預測IC!CK13</f>
        <v>3.2045269236463961E-2</v>
      </c>
      <c r="CL13" s="26">
        <f>預測IC!CL13</f>
        <v>8.4304391314503846E-2</v>
      </c>
      <c r="CM13" s="26">
        <f>預測IC!CM13</f>
        <v>-1.0296803756394969E-2</v>
      </c>
      <c r="CN13" s="26">
        <f>預測IC!CN13</f>
        <v>-2.6887565998852329E-2</v>
      </c>
      <c r="CO13" s="26">
        <f>預測IC!CO13</f>
        <v>-1.345745856322739E-2</v>
      </c>
      <c r="CP13" s="26">
        <f>預測IC!CP13</f>
        <v>7.0797472483089319E-2</v>
      </c>
      <c r="CQ13" s="26">
        <f>預測IC!CQ13</f>
        <v>3.7948964821826262E-2</v>
      </c>
      <c r="CR13" s="26">
        <f>預測IC!CR13</f>
        <v>8.6327961964905008E-3</v>
      </c>
      <c r="CS13" s="26">
        <f>預測IC!CS13</f>
        <v>1.2078160331627031E-2</v>
      </c>
      <c r="CT13" s="26">
        <f>預測IC!CT13</f>
        <v>8.0707993163786768E-3</v>
      </c>
      <c r="CU13" s="26">
        <f>預測IC!CU13</f>
        <v>3.6006915534289197E-2</v>
      </c>
      <c r="CV13" s="26">
        <f>預測IC!CV13</f>
        <v>-2.2303746439440819E-3</v>
      </c>
      <c r="CW13" s="26">
        <f>預測IC!CW13</f>
        <v>5.97703085624611E-3</v>
      </c>
      <c r="CX13" s="26">
        <f>預測IC!CX13</f>
        <v>6.064376163531978E-2</v>
      </c>
      <c r="CY13" s="26">
        <f>預測IC!CY13</f>
        <v>-1.3118740115012659E-2</v>
      </c>
      <c r="CZ13" s="26">
        <f>預測IC!CZ13</f>
        <v>5.7224220353485108E-2</v>
      </c>
      <c r="DA13" s="26">
        <f>預測IC!DA13</f>
        <v>-7.0965309514403824E-3</v>
      </c>
      <c r="DB13" s="26">
        <f>預測IC!DB13</f>
        <v>-4.0988945607817198E-2</v>
      </c>
      <c r="DC13" s="26">
        <f>預測IC!DC13</f>
        <v>2.9740185333726261E-2</v>
      </c>
      <c r="DD13" s="26">
        <f>預測IC!DD13</f>
        <v>9.6115357623313795E-3</v>
      </c>
      <c r="DE13" s="26">
        <f>預測IC!DE13</f>
        <v>5.1676528954192752E-3</v>
      </c>
      <c r="DF13" s="26">
        <f>預測IC!DF13</f>
        <v>-2.8518796793634778E-2</v>
      </c>
      <c r="DG13" s="26">
        <f>預測IC!DG13</f>
        <v>-1.6306571728899009E-3</v>
      </c>
      <c r="DH13" s="26">
        <f>預測IC!DH13</f>
        <v>1.2992245045791989E-2</v>
      </c>
      <c r="DI13" s="26">
        <f>預測IC!DI13</f>
        <v>-4.6561456814233543E-2</v>
      </c>
      <c r="DJ13" s="26">
        <f>預測IC!DJ13</f>
        <v>2.8247996829593169E-4</v>
      </c>
      <c r="DK13" s="26">
        <f>預測IC!DK13</f>
        <v>1.202678983884406E-2</v>
      </c>
      <c r="DL13" s="26">
        <f>預測IC!DL13</f>
        <v>-1.56545524405593E-2</v>
      </c>
      <c r="DM13" s="26">
        <f>預測IC!DM13</f>
        <v>-6.6588690484439203E-3</v>
      </c>
      <c r="DN13" s="26">
        <f>預測IC!DN13</f>
        <v>1.4839797780264639E-2</v>
      </c>
      <c r="DO13" s="26">
        <f>預測IC!DO13</f>
        <v>4.8531513222965908E-2</v>
      </c>
      <c r="DP13" s="26">
        <f>預測IC!DP13</f>
        <v>4.7238153226040899E-2</v>
      </c>
      <c r="DQ13" s="26">
        <f>預測IC!DQ13</f>
        <v>-2.6430081417128711E-2</v>
      </c>
      <c r="DR13" s="26">
        <f>預測IC!DR13</f>
        <v>1.377120927231194E-2</v>
      </c>
      <c r="DS13" s="26">
        <f>預測IC!DS13</f>
        <v>-3.8502774982174401E-2</v>
      </c>
      <c r="DT13" s="26">
        <f>預測IC!DT13</f>
        <v>-3.542630104766481E-2</v>
      </c>
      <c r="DU13" s="26">
        <f>預測IC!DU13</f>
        <v>2.0848414519023192E-2</v>
      </c>
      <c r="DV13" s="26">
        <f>預測IC!DV13</f>
        <v>7.9620144024188558E-2</v>
      </c>
      <c r="DW13" s="26">
        <f>預測IC!DW13</f>
        <v>4.5686979428007042E-2</v>
      </c>
      <c r="DX13" s="26">
        <f>預測IC!DX13</f>
        <v>-6.4641919490531136E-2</v>
      </c>
      <c r="DY13" s="26">
        <f>預測IC!DY13</f>
        <v>3.5306137940869793E-2</v>
      </c>
      <c r="DZ13" s="26">
        <f>預測IC!DZ13</f>
        <v>-1.177046576227069E-2</v>
      </c>
      <c r="EA13" s="26">
        <f>預測IC!EA13</f>
        <v>7.659036634905636E-2</v>
      </c>
      <c r="EB13" s="26">
        <f>預測IC!EB13</f>
        <v>2.1373218199386389E-2</v>
      </c>
      <c r="EC13" s="26">
        <f>預測IC!EC13</f>
        <v>4.1659753435228923E-2</v>
      </c>
      <c r="ED13" s="26">
        <f>預測IC!ED13</f>
        <v>-6.5682093659234955E-2</v>
      </c>
      <c r="EE13" s="26">
        <f>預測IC!EE13</f>
        <v>8.7380257027594461E-3</v>
      </c>
      <c r="EF13" s="26">
        <f>預測IC!EF13</f>
        <v>6.7291156741452265E-2</v>
      </c>
      <c r="EG13" s="28">
        <f t="shared" si="10"/>
        <v>1.3327421602716995E-2</v>
      </c>
      <c r="EH13" s="1">
        <f t="shared" si="11"/>
        <v>3.889292810883923E-2</v>
      </c>
      <c r="EI13" s="28">
        <f t="shared" si="12"/>
        <v>0.34266953533097605</v>
      </c>
    </row>
    <row r="14" spans="1:139">
      <c r="A14" s="22">
        <f>預測IC!A14</f>
        <v>50</v>
      </c>
      <c r="B14" s="22">
        <f>預測IC!B14</f>
        <v>19</v>
      </c>
      <c r="C14" s="26">
        <f>預測IC!C14</f>
        <v>-3.0371566279064999E-2</v>
      </c>
      <c r="D14" s="26">
        <f>預測IC!D14</f>
        <v>0.22230878947368421</v>
      </c>
      <c r="E14" s="26">
        <f>預測IC!E14</f>
        <v>-4.7525943267256017E-2</v>
      </c>
      <c r="F14" s="26">
        <f>預測IC!F14</f>
        <v>3.4543210526315787E-2</v>
      </c>
      <c r="G14" s="26">
        <f>預測IC!G14</f>
        <v>8.5149210526315786E-2</v>
      </c>
      <c r="H14" s="26">
        <f>預測IC!H14</f>
        <v>5.9588947368421033E-2</v>
      </c>
      <c r="I14" s="26">
        <f>預測IC!I14</f>
        <v>4.3787359823142302E-2</v>
      </c>
      <c r="J14" s="26">
        <f>預測IC!J14</f>
        <v>-0.1050935789473684</v>
      </c>
      <c r="K14" s="26">
        <f>預測IC!K14</f>
        <v>1.2451473684210519E-2</v>
      </c>
      <c r="L14" s="26">
        <f>預測IC!L14</f>
        <v>-8.480210526315788E-3</v>
      </c>
      <c r="M14" s="26">
        <f>預測IC!M14</f>
        <v>-7.5951368421052629E-2</v>
      </c>
      <c r="N14" s="26">
        <f>預測IC!N14</f>
        <v>0.20483268421052631</v>
      </c>
      <c r="O14" s="26">
        <f>預測IC!O14</f>
        <v>3.9642368421052628E-2</v>
      </c>
      <c r="P14" s="26">
        <f>預測IC!P14</f>
        <v>-5.8345921898241219E-2</v>
      </c>
      <c r="Q14" s="26">
        <f>預測IC!Q14</f>
        <v>5.8239052631578962E-2</v>
      </c>
      <c r="R14" s="26">
        <f>預測IC!R14</f>
        <v>-1.4151684210526309E-2</v>
      </c>
      <c r="S14" s="26">
        <f>預測IC!S14</f>
        <v>-0.1658932271847087</v>
      </c>
      <c r="T14" s="26">
        <f>預測IC!T14</f>
        <v>-1.736173684210527E-2</v>
      </c>
      <c r="U14" s="26">
        <f>預測IC!U14</f>
        <v>3.6578263157894739E-2</v>
      </c>
      <c r="V14" s="26">
        <f>預測IC!V14</f>
        <v>-3.837431578947368E-2</v>
      </c>
      <c r="W14" s="26">
        <f>預測IC!W14</f>
        <v>0.1161653684210526</v>
      </c>
      <c r="X14" s="26">
        <f>預測IC!X14</f>
        <v>-0.1144083077889041</v>
      </c>
      <c r="Y14" s="26">
        <f>預測IC!Y14</f>
        <v>-1.6763578947368431E-2</v>
      </c>
      <c r="Z14" s="26">
        <f>預測IC!Z14</f>
        <v>2.1252E-2</v>
      </c>
      <c r="AA14" s="26">
        <f>預測IC!AA14</f>
        <v>-2.6256842105263178E-3</v>
      </c>
      <c r="AB14" s="26">
        <f>預測IC!AB14</f>
        <v>-7.498263157894737E-2</v>
      </c>
      <c r="AC14" s="26">
        <f>預測IC!AC14</f>
        <v>-2.9292631578947369E-2</v>
      </c>
      <c r="AD14" s="26">
        <f>預測IC!AD14</f>
        <v>3.9327947368421053E-2</v>
      </c>
      <c r="AE14" s="26">
        <f>預測IC!AE14</f>
        <v>-0.1074343436932835</v>
      </c>
      <c r="AF14" s="26">
        <f>預測IC!AF14</f>
        <v>8.4317789473684207E-2</v>
      </c>
      <c r="AG14" s="26">
        <f>預測IC!AG14</f>
        <v>6.3905789473684242E-3</v>
      </c>
      <c r="AH14" s="26">
        <f>預測IC!AH14</f>
        <v>6.3409947368421052E-2</v>
      </c>
      <c r="AI14" s="26">
        <f>預測IC!AI14</f>
        <v>1.0965315789473681E-2</v>
      </c>
      <c r="AJ14" s="26">
        <f>預測IC!AJ14</f>
        <v>0.1004631578947368</v>
      </c>
      <c r="AK14" s="26">
        <f>預測IC!AK14</f>
        <v>-1.150942105263158E-2</v>
      </c>
      <c r="AL14" s="26">
        <f>預測IC!AL14</f>
        <v>3.7969189722460717E-2</v>
      </c>
      <c r="AM14" s="26">
        <f>預測IC!AM14</f>
        <v>3.1484210526315781E-3</v>
      </c>
      <c r="AN14" s="26">
        <f>預測IC!AN14</f>
        <v>9.2260489203576102E-2</v>
      </c>
      <c r="AO14" s="26">
        <f>預測IC!AO14</f>
        <v>-9.9975789473684285E-3</v>
      </c>
      <c r="AP14" s="26">
        <f>預測IC!AP14</f>
        <v>-6.9976525152084218E-2</v>
      </c>
      <c r="AQ14" s="26">
        <f>預測IC!AQ14</f>
        <v>-8.1264210526315814E-3</v>
      </c>
      <c r="AR14" s="26">
        <f>預測IC!AR14</f>
        <v>1.8170473684210521E-2</v>
      </c>
      <c r="AS14" s="26">
        <f>預測IC!AS14</f>
        <v>-8.2332976041211745E-2</v>
      </c>
      <c r="AT14" s="26">
        <f>預測IC!AT14</f>
        <v>4.0924565658097392E-2</v>
      </c>
      <c r="AU14" s="26">
        <f>預測IC!AU14</f>
        <v>4.7021353908674138E-2</v>
      </c>
      <c r="AV14" s="26">
        <f>預測IC!AV14</f>
        <v>-2.2684786340637021E-2</v>
      </c>
      <c r="AW14" s="26">
        <f>預測IC!AW14</f>
        <v>-1.542137812325498E-2</v>
      </c>
      <c r="AX14" s="26">
        <f>預測IC!AX14</f>
        <v>0.13695102829439271</v>
      </c>
      <c r="AY14" s="26">
        <f>預測IC!AY14</f>
        <v>1.5068118771761551E-2</v>
      </c>
      <c r="AZ14" s="26">
        <f>預測IC!AZ14</f>
        <v>-5.3158247705062792E-2</v>
      </c>
      <c r="BA14" s="26">
        <f>預測IC!BA14</f>
        <v>2.0125911036837359E-2</v>
      </c>
      <c r="BB14" s="26">
        <f>預測IC!BB14</f>
        <v>6.1734282001674842E-2</v>
      </c>
      <c r="BC14" s="26">
        <f>預測IC!BC14</f>
        <v>-9.0839235255182754E-3</v>
      </c>
      <c r="BD14" s="26">
        <f>預測IC!BD14</f>
        <v>4.3327781667405418E-2</v>
      </c>
      <c r="BE14" s="26">
        <f>預測IC!BE14</f>
        <v>4.3176244318628702E-2</v>
      </c>
      <c r="BF14" s="26">
        <f>預測IC!BF14</f>
        <v>4.0770521545689782E-2</v>
      </c>
      <c r="BG14" s="26">
        <f>預測IC!BG14</f>
        <v>4.1374264073932777E-2</v>
      </c>
      <c r="BH14" s="26">
        <f>預測IC!BH14</f>
        <v>-2.8344416701581171E-4</v>
      </c>
      <c r="BI14" s="26">
        <f>預測IC!BI14</f>
        <v>5.2014235626168727E-2</v>
      </c>
      <c r="BJ14" s="26">
        <f>預測IC!BJ14</f>
        <v>-1.32542788140672E-2</v>
      </c>
      <c r="BK14" s="26">
        <f>預測IC!BK14</f>
        <v>-8.7325279752963059E-5</v>
      </c>
      <c r="BL14" s="26">
        <f>預測IC!BL14</f>
        <v>5.9737766842370338E-2</v>
      </c>
      <c r="BM14" s="26">
        <f>預測IC!BM14</f>
        <v>3.2002837226371338E-2</v>
      </c>
      <c r="BN14" s="26">
        <f>預測IC!BN14</f>
        <v>2.0936538072551379E-2</v>
      </c>
      <c r="BO14" s="26">
        <f>預測IC!BO14</f>
        <v>3.3609045677264478E-2</v>
      </c>
      <c r="BP14" s="26">
        <f>預測IC!BP14</f>
        <v>1.282266739040127E-2</v>
      </c>
      <c r="BQ14" s="26">
        <f>預測IC!BQ14</f>
        <v>1.204942278513583E-2</v>
      </c>
      <c r="BR14" s="26">
        <f>預測IC!BR14</f>
        <v>-2.7929429532617921E-2</v>
      </c>
      <c r="BS14" s="26">
        <f>預測IC!BS14</f>
        <v>-3.8629203614304157E-2</v>
      </c>
      <c r="BT14" s="26">
        <f>預測IC!BT14</f>
        <v>7.3139128600946568E-2</v>
      </c>
      <c r="BU14" s="26">
        <f>預測IC!BU14</f>
        <v>-8.8548353580308568E-3</v>
      </c>
      <c r="BV14" s="26">
        <f>預測IC!BV14</f>
        <v>2.8891421882955771E-2</v>
      </c>
      <c r="BW14" s="26">
        <f>預測IC!BW14</f>
        <v>1.250794825759332E-2</v>
      </c>
      <c r="BX14" s="26">
        <f>預測IC!BX14</f>
        <v>5.3858362034560223E-2</v>
      </c>
      <c r="BY14" s="26">
        <f>預測IC!BY14</f>
        <v>-1.852187305304925E-2</v>
      </c>
      <c r="BZ14" s="26">
        <f>預測IC!BZ14</f>
        <v>0.1117805205315809</v>
      </c>
      <c r="CA14" s="26">
        <f>預測IC!CA14</f>
        <v>-2.4465266114937059E-2</v>
      </c>
      <c r="CB14" s="26">
        <f>預測IC!CB14</f>
        <v>2.2127616542174811E-2</v>
      </c>
      <c r="CC14" s="26">
        <f>預測IC!CC14</f>
        <v>-2.0156604691034939E-2</v>
      </c>
      <c r="CD14" s="26">
        <f>預測IC!CD14</f>
        <v>9.8016709932197743E-2</v>
      </c>
      <c r="CE14" s="26">
        <f>預測IC!CE14</f>
        <v>-7.2156719211697945E-2</v>
      </c>
      <c r="CF14" s="26">
        <f>預測IC!CF14</f>
        <v>9.5391142389366829E-2</v>
      </c>
      <c r="CG14" s="26">
        <f>預測IC!CG14</f>
        <v>5.3067028295838897E-2</v>
      </c>
      <c r="CH14" s="26">
        <f>預測IC!CH14</f>
        <v>6.46613922782171E-2</v>
      </c>
      <c r="CI14" s="26">
        <f>預測IC!CI14</f>
        <v>-0.1058847773633588</v>
      </c>
      <c r="CJ14" s="26">
        <f>預測IC!CJ14</f>
        <v>-3.2530406678910828E-2</v>
      </c>
      <c r="CK14" s="26">
        <f>預測IC!CK14</f>
        <v>1.40163643906461E-2</v>
      </c>
      <c r="CL14" s="26">
        <f>預測IC!CL14</f>
        <v>6.2269954878836478E-2</v>
      </c>
      <c r="CM14" s="26">
        <f>預測IC!CM14</f>
        <v>3.2040010368317121E-2</v>
      </c>
      <c r="CN14" s="26">
        <f>預測IC!CN14</f>
        <v>-2.0479398043205661E-2</v>
      </c>
      <c r="CO14" s="26">
        <f>預測IC!CO14</f>
        <v>-7.3587720038892968E-2</v>
      </c>
      <c r="CP14" s="26">
        <f>預測IC!CP14</f>
        <v>9.9809331481752833E-2</v>
      </c>
      <c r="CQ14" s="26">
        <f>預測IC!CQ14</f>
        <v>5.321162809167454E-2</v>
      </c>
      <c r="CR14" s="26">
        <f>預測IC!CR14</f>
        <v>5.6678555057576477E-2</v>
      </c>
      <c r="CS14" s="26">
        <f>預測IC!CS14</f>
        <v>5.9027120263655718E-2</v>
      </c>
      <c r="CT14" s="26">
        <f>預測IC!CT14</f>
        <v>1.910057655068487E-2</v>
      </c>
      <c r="CU14" s="26">
        <f>預測IC!CU14</f>
        <v>-4.4544442113006052E-2</v>
      </c>
      <c r="CV14" s="26">
        <f>預測IC!CV14</f>
        <v>2.274571513825533E-2</v>
      </c>
      <c r="CW14" s="26">
        <f>預測IC!CW14</f>
        <v>-3.3983824634707719E-3</v>
      </c>
      <c r="CX14" s="26">
        <f>預測IC!CX14</f>
        <v>3.2764329086583478E-2</v>
      </c>
      <c r="CY14" s="26">
        <f>預測IC!CY14</f>
        <v>-2.875912029147424E-2</v>
      </c>
      <c r="CZ14" s="26">
        <f>預測IC!CZ14</f>
        <v>6.4063563350383365E-2</v>
      </c>
      <c r="DA14" s="26">
        <f>預測IC!DA14</f>
        <v>-2.4304289170584491E-2</v>
      </c>
      <c r="DB14" s="26">
        <f>預測IC!DB14</f>
        <v>-1.6342776970397099E-2</v>
      </c>
      <c r="DC14" s="26">
        <f>預測IC!DC14</f>
        <v>2.7534092600391691E-2</v>
      </c>
      <c r="DD14" s="26">
        <f>預測IC!DD14</f>
        <v>-1.6758549792416429E-2</v>
      </c>
      <c r="DE14" s="26">
        <f>預測IC!DE14</f>
        <v>5.3842996077645561E-3</v>
      </c>
      <c r="DF14" s="26">
        <f>預測IC!DF14</f>
        <v>-3.9770460462142318E-2</v>
      </c>
      <c r="DG14" s="26">
        <f>預測IC!DG14</f>
        <v>1.144655639331721E-2</v>
      </c>
      <c r="DH14" s="26">
        <f>預測IC!DH14</f>
        <v>4.7748372429115976E-3</v>
      </c>
      <c r="DI14" s="26">
        <f>預測IC!DI14</f>
        <v>-5.3191997244607769E-2</v>
      </c>
      <c r="DJ14" s="26">
        <f>預測IC!DJ14</f>
        <v>1.023724267297355E-3</v>
      </c>
      <c r="DK14" s="26">
        <f>預測IC!DK14</f>
        <v>1.831737607687968E-2</v>
      </c>
      <c r="DL14" s="26">
        <f>預測IC!DL14</f>
        <v>-1.516516155488856E-2</v>
      </c>
      <c r="DM14" s="26">
        <f>預測IC!DM14</f>
        <v>5.504269093650517E-3</v>
      </c>
      <c r="DN14" s="26">
        <f>預測IC!DN14</f>
        <v>3.9851707566544763E-2</v>
      </c>
      <c r="DO14" s="26">
        <f>預測IC!DO14</f>
        <v>4.1375645162797292E-2</v>
      </c>
      <c r="DP14" s="26">
        <f>預測IC!DP14</f>
        <v>4.053222750423735E-2</v>
      </c>
      <c r="DQ14" s="26">
        <f>預測IC!DQ14</f>
        <v>-8.9367860040811792E-2</v>
      </c>
      <c r="DR14" s="26">
        <f>預測IC!DR14</f>
        <v>5.2622519458999567E-2</v>
      </c>
      <c r="DS14" s="26">
        <f>預測IC!DS14</f>
        <v>-3.5044906270916831E-2</v>
      </c>
      <c r="DT14" s="26">
        <f>預測IC!DT14</f>
        <v>-4.4433183840340729E-2</v>
      </c>
      <c r="DU14" s="26">
        <f>預測IC!DU14</f>
        <v>-4.4914948618981987E-2</v>
      </c>
      <c r="DV14" s="26">
        <f>預測IC!DV14</f>
        <v>0.10826235453010739</v>
      </c>
      <c r="DW14" s="26">
        <f>預測IC!DW14</f>
        <v>9.1809329055838426E-2</v>
      </c>
      <c r="DX14" s="26">
        <f>預測IC!DX14</f>
        <v>-0.10216121988583921</v>
      </c>
      <c r="DY14" s="26">
        <f>預測IC!DY14</f>
        <v>3.7997079946848547E-2</v>
      </c>
      <c r="DZ14" s="26">
        <f>預測IC!DZ14</f>
        <v>-4.3403395724387417E-3</v>
      </c>
      <c r="EA14" s="26">
        <f>預測IC!EA14</f>
        <v>7.8105265887936245E-2</v>
      </c>
      <c r="EB14" s="26">
        <f>預測IC!EB14</f>
        <v>7.0174744206990061E-3</v>
      </c>
      <c r="EC14" s="26">
        <f>預測IC!EC14</f>
        <v>6.079382148132988E-3</v>
      </c>
      <c r="ED14" s="26">
        <f>預測IC!ED14</f>
        <v>-0.102629709186187</v>
      </c>
      <c r="EE14" s="26">
        <f>預測IC!EE14</f>
        <v>1.8687949951756041E-2</v>
      </c>
      <c r="EF14" s="26">
        <f>預測IC!EF14</f>
        <v>6.6632346729412442E-2</v>
      </c>
      <c r="EG14" s="28">
        <f t="shared" si="10"/>
        <v>1.1831633299641695E-2</v>
      </c>
      <c r="EH14" s="1">
        <f t="shared" si="11"/>
        <v>5.967871425572318E-2</v>
      </c>
      <c r="EI14" s="28">
        <f t="shared" si="12"/>
        <v>0.19825549942217535</v>
      </c>
    </row>
    <row r="15" spans="1:139">
      <c r="A15" s="22">
        <f>預測IC!A15</f>
        <v>100</v>
      </c>
      <c r="B15" s="22">
        <f>預測IC!B15</f>
        <v>10</v>
      </c>
      <c r="C15" s="26">
        <f>預測IC!C15</f>
        <v>-9.6503141994516081E-2</v>
      </c>
      <c r="D15" s="26">
        <f>預測IC!D15</f>
        <v>0.37270970000000009</v>
      </c>
      <c r="E15" s="26">
        <f>預測IC!E15</f>
        <v>-1.019842627208351E-2</v>
      </c>
      <c r="F15" s="26">
        <f>預測IC!F15</f>
        <v>9.0304599999999999E-2</v>
      </c>
      <c r="G15" s="26">
        <f>預測IC!G15</f>
        <v>9.6606200000000003E-2</v>
      </c>
      <c r="H15" s="26">
        <f>預測IC!H15</f>
        <v>0.1188444</v>
      </c>
      <c r="I15" s="26">
        <f>預測IC!I15</f>
        <v>5.843144427986554E-2</v>
      </c>
      <c r="J15" s="26">
        <f>預測IC!J15</f>
        <v>-6.4524200000000004E-2</v>
      </c>
      <c r="K15" s="26">
        <f>預測IC!K15</f>
        <v>-4.2110000000000064E-3</v>
      </c>
      <c r="L15" s="26">
        <f>預測IC!L15</f>
        <v>1.296690000000001E-2</v>
      </c>
      <c r="M15" s="26">
        <f>預測IC!M15</f>
        <v>-0.1884914</v>
      </c>
      <c r="N15" s="26">
        <f>預測IC!N15</f>
        <v>0.33030959999999998</v>
      </c>
      <c r="O15" s="26">
        <f>預測IC!O15</f>
        <v>4.6103499999999999E-2</v>
      </c>
      <c r="P15" s="26">
        <f>預測IC!P15</f>
        <v>-6.4116183021661763E-2</v>
      </c>
      <c r="Q15" s="26">
        <f>預測IC!Q15</f>
        <v>0.1003768</v>
      </c>
      <c r="R15" s="26">
        <f>預測IC!R15</f>
        <v>1.6755200000000001E-2</v>
      </c>
      <c r="S15" s="26">
        <f>預測IC!S15</f>
        <v>-0.27023204597070688</v>
      </c>
      <c r="T15" s="26">
        <f>預測IC!T15</f>
        <v>-4.9339700000000007E-2</v>
      </c>
      <c r="U15" s="26">
        <f>預測IC!U15</f>
        <v>4.6788700000000003E-2</v>
      </c>
      <c r="V15" s="26">
        <f>預測IC!V15</f>
        <v>-8.568039999999999E-2</v>
      </c>
      <c r="W15" s="26">
        <f>預測IC!W15</f>
        <v>0.1069346</v>
      </c>
      <c r="X15" s="26">
        <f>預測IC!X15</f>
        <v>-0.1268433314636731</v>
      </c>
      <c r="Y15" s="26">
        <f>預測IC!Y15</f>
        <v>-2.4189700000000001E-2</v>
      </c>
      <c r="Z15" s="26">
        <f>預測IC!Z15</f>
        <v>-2.3656199999999999E-2</v>
      </c>
      <c r="AA15" s="26">
        <f>預測IC!AA15</f>
        <v>4.6588900000000003E-2</v>
      </c>
      <c r="AB15" s="26">
        <f>預測IC!AB15</f>
        <v>-7.3995400000000003E-2</v>
      </c>
      <c r="AC15" s="26">
        <f>預測IC!AC15</f>
        <v>-4.0054800000000002E-2</v>
      </c>
      <c r="AD15" s="26">
        <f>預測IC!AD15</f>
        <v>3.9690400000000001E-2</v>
      </c>
      <c r="AE15" s="26">
        <f>預測IC!AE15</f>
        <v>-0.101313316198875</v>
      </c>
      <c r="AF15" s="26">
        <f>預測IC!AF15</f>
        <v>4.9773500000000012E-2</v>
      </c>
      <c r="AG15" s="26">
        <f>預測IC!AG15</f>
        <v>-9.7449999999999967E-3</v>
      </c>
      <c r="AH15" s="26">
        <f>預測IC!AH15</f>
        <v>-1.45018E-2</v>
      </c>
      <c r="AI15" s="26">
        <f>預測IC!AI15</f>
        <v>7.4277400000000007E-2</v>
      </c>
      <c r="AJ15" s="26">
        <f>預測IC!AJ15</f>
        <v>4.1834000000000038E-3</v>
      </c>
      <c r="AK15" s="26">
        <f>預測IC!AK15</f>
        <v>-3.6998099999999999E-2</v>
      </c>
      <c r="AL15" s="26">
        <f>預測IC!AL15</f>
        <v>4.055565498643466E-2</v>
      </c>
      <c r="AM15" s="26">
        <f>預測IC!AM15</f>
        <v>1.943500000000004E-3</v>
      </c>
      <c r="AN15" s="26">
        <f>預測IC!AN15</f>
        <v>9.2861913417686362E-2</v>
      </c>
      <c r="AO15" s="26">
        <f>預測IC!AO15</f>
        <v>3.5702299999999992E-2</v>
      </c>
      <c r="AP15" s="26">
        <f>預測IC!AP15</f>
        <v>-8.645776651050277E-2</v>
      </c>
      <c r="AQ15" s="26">
        <f>預測IC!AQ15</f>
        <v>-1.9747299999999999E-2</v>
      </c>
      <c r="AR15" s="26">
        <f>預測IC!AR15</f>
        <v>2.4550300000000001E-2</v>
      </c>
      <c r="AS15" s="26">
        <f>預測IC!AS15</f>
        <v>-5.3821179037114017E-2</v>
      </c>
      <c r="AT15" s="26">
        <f>預測IC!AT15</f>
        <v>6.5254990652428568E-2</v>
      </c>
      <c r="AU15" s="26">
        <f>預測IC!AU15</f>
        <v>3.9943261089466317E-2</v>
      </c>
      <c r="AV15" s="26">
        <f>預測IC!AV15</f>
        <v>-4.7226818327438858E-2</v>
      </c>
      <c r="AW15" s="26">
        <f>預測IC!AW15</f>
        <v>1.5659939254580951E-2</v>
      </c>
      <c r="AX15" s="26">
        <f>預測IC!AX15</f>
        <v>0.12523397717473519</v>
      </c>
      <c r="AY15" s="26">
        <f>預測IC!AY15</f>
        <v>2.8109416462786169E-2</v>
      </c>
      <c r="AZ15" s="26">
        <f>預測IC!AZ15</f>
        <v>-9.1323280068503487E-2</v>
      </c>
      <c r="BA15" s="26">
        <f>預測IC!BA15</f>
        <v>1.061351480765297E-2</v>
      </c>
      <c r="BB15" s="26">
        <f>預測IC!BB15</f>
        <v>0.1112023453191066</v>
      </c>
      <c r="BC15" s="26">
        <f>預測IC!BC15</f>
        <v>6.2155143667830287E-2</v>
      </c>
      <c r="BD15" s="26">
        <f>預測IC!BD15</f>
        <v>4.294982035196844E-2</v>
      </c>
      <c r="BE15" s="26">
        <f>預測IC!BE15</f>
        <v>3.9146514857668353E-2</v>
      </c>
      <c r="BF15" s="26">
        <f>預測IC!BF15</f>
        <v>5.1177887277543473E-2</v>
      </c>
      <c r="BG15" s="26">
        <f>預測IC!BG15</f>
        <v>2.8248220813759869E-3</v>
      </c>
      <c r="BH15" s="26">
        <f>預測IC!BH15</f>
        <v>3.3556537286376982E-2</v>
      </c>
      <c r="BI15" s="26">
        <f>預測IC!BI15</f>
        <v>6.8586659114969639E-2</v>
      </c>
      <c r="BJ15" s="26">
        <f>預測IC!BJ15</f>
        <v>-1.561910267199181E-2</v>
      </c>
      <c r="BK15" s="26">
        <f>預測IC!BK15</f>
        <v>-1.115636771345601E-2</v>
      </c>
      <c r="BL15" s="26">
        <f>預測IC!BL15</f>
        <v>6.274817600019017E-2</v>
      </c>
      <c r="BM15" s="26">
        <f>預測IC!BM15</f>
        <v>6.5206882998733687E-2</v>
      </c>
      <c r="BN15" s="26">
        <f>預測IC!BN15</f>
        <v>4.0142569733189887E-2</v>
      </c>
      <c r="BO15" s="26">
        <f>預測IC!BO15</f>
        <v>2.773447595493098E-2</v>
      </c>
      <c r="BP15" s="26">
        <f>預測IC!BP15</f>
        <v>1.4184220707804779E-2</v>
      </c>
      <c r="BQ15" s="26">
        <f>預測IC!BQ15</f>
        <v>1.280293129032776E-2</v>
      </c>
      <c r="BR15" s="26">
        <f>預測IC!BR15</f>
        <v>-5.0157429122059692E-2</v>
      </c>
      <c r="BS15" s="26">
        <f>預測IC!BS15</f>
        <v>-1.682377745028632E-2</v>
      </c>
      <c r="BT15" s="26">
        <f>預測IC!BT15</f>
        <v>8.9060205731334427E-2</v>
      </c>
      <c r="BU15" s="26">
        <f>預測IC!BU15</f>
        <v>1.9476419795793471E-2</v>
      </c>
      <c r="BV15" s="26">
        <f>預測IC!BV15</f>
        <v>5.9228936960448321E-2</v>
      </c>
      <c r="BW15" s="26">
        <f>預測IC!BW15</f>
        <v>-3.5945890129403732E-2</v>
      </c>
      <c r="BX15" s="26">
        <f>預測IC!BX15</f>
        <v>2.0670546043628599E-2</v>
      </c>
      <c r="BY15" s="26">
        <f>預測IC!BY15</f>
        <v>-8.7655117761552964E-2</v>
      </c>
      <c r="BZ15" s="26">
        <f>預測IC!BZ15</f>
        <v>0.1029064689773473</v>
      </c>
      <c r="CA15" s="26">
        <f>預測IC!CA15</f>
        <v>-1.859202079644226E-2</v>
      </c>
      <c r="CB15" s="26">
        <f>預測IC!CB15</f>
        <v>1.5056894011824499E-2</v>
      </c>
      <c r="CC15" s="26">
        <f>預測IC!CC15</f>
        <v>-0.1535022727136835</v>
      </c>
      <c r="CD15" s="26">
        <f>預測IC!CD15</f>
        <v>0.1201520839630844</v>
      </c>
      <c r="CE15" s="26">
        <f>預測IC!CE15</f>
        <v>-0.1166400106362214</v>
      </c>
      <c r="CF15" s="26">
        <f>預測IC!CF15</f>
        <v>9.846999441105124E-2</v>
      </c>
      <c r="CG15" s="26">
        <f>預測IC!CG15</f>
        <v>-4.2988792533641684E-3</v>
      </c>
      <c r="CH15" s="26">
        <f>預測IC!CH15</f>
        <v>6.2885958283701332E-2</v>
      </c>
      <c r="CI15" s="26">
        <f>預測IC!CI15</f>
        <v>-2.7803071840990439E-2</v>
      </c>
      <c r="CJ15" s="26">
        <f>預測IC!CJ15</f>
        <v>-8.7044356072718071E-2</v>
      </c>
      <c r="CK15" s="26">
        <f>預測IC!CK15</f>
        <v>5.667264577209942E-2</v>
      </c>
      <c r="CL15" s="26">
        <f>預測IC!CL15</f>
        <v>3.1421974993248308E-2</v>
      </c>
      <c r="CM15" s="26">
        <f>預測IC!CM15</f>
        <v>7.4631116128453773E-2</v>
      </c>
      <c r="CN15" s="26">
        <f>預測IC!CN15</f>
        <v>-4.2634115799160301E-2</v>
      </c>
      <c r="CO15" s="26">
        <f>預測IC!CO15</f>
        <v>-0.12944902488204141</v>
      </c>
      <c r="CP15" s="26">
        <f>預測IC!CP15</f>
        <v>0.12753583543294969</v>
      </c>
      <c r="CQ15" s="26">
        <f>預測IC!CQ15</f>
        <v>3.6876324363669319E-2</v>
      </c>
      <c r="CR15" s="26">
        <f>預測IC!CR15</f>
        <v>4.6180621890792688E-2</v>
      </c>
      <c r="CS15" s="26">
        <f>預測IC!CS15</f>
        <v>6.0185172463594637E-2</v>
      </c>
      <c r="CT15" s="26">
        <f>預測IC!CT15</f>
        <v>7.3945749754547726E-3</v>
      </c>
      <c r="CU15" s="26">
        <f>預測IC!CU15</f>
        <v>-6.3178659914772728E-2</v>
      </c>
      <c r="CV15" s="26">
        <f>預測IC!CV15</f>
        <v>-6.1418469048089043E-3</v>
      </c>
      <c r="CW15" s="26">
        <f>預測IC!CW15</f>
        <v>-1.539092438334265E-2</v>
      </c>
      <c r="CX15" s="26">
        <f>預測IC!CX15</f>
        <v>2.4039607053330959E-2</v>
      </c>
      <c r="CY15" s="26">
        <f>預測IC!CY15</f>
        <v>-4.2470673077762339E-2</v>
      </c>
      <c r="CZ15" s="26">
        <f>預測IC!CZ15</f>
        <v>7.7145073940461564E-2</v>
      </c>
      <c r="DA15" s="26">
        <f>預測IC!DA15</f>
        <v>-2.6375835441876511E-2</v>
      </c>
      <c r="DB15" s="26">
        <f>預測IC!DB15</f>
        <v>-3.0226618214123681E-2</v>
      </c>
      <c r="DC15" s="26">
        <f>預測IC!DC15</f>
        <v>2.4821106930732879E-2</v>
      </c>
      <c r="DD15" s="26">
        <f>預測IC!DD15</f>
        <v>-3.5816312725385303E-2</v>
      </c>
      <c r="DE15" s="26">
        <f>預測IC!DE15</f>
        <v>2.494871474504301E-2</v>
      </c>
      <c r="DF15" s="26">
        <f>預測IC!DF15</f>
        <v>-4.2391306399394757E-2</v>
      </c>
      <c r="DG15" s="26">
        <f>預測IC!DG15</f>
        <v>1.61967316182412E-2</v>
      </c>
      <c r="DH15" s="26">
        <f>預測IC!DH15</f>
        <v>-1.8709011043892099E-2</v>
      </c>
      <c r="DI15" s="26">
        <f>預測IC!DI15</f>
        <v>-1.171844900945769E-2</v>
      </c>
      <c r="DJ15" s="26">
        <f>預測IC!DJ15</f>
        <v>-5.1522810823404298E-2</v>
      </c>
      <c r="DK15" s="26">
        <f>預測IC!DK15</f>
        <v>0.101774834051468</v>
      </c>
      <c r="DL15" s="26">
        <f>預測IC!DL15</f>
        <v>6.2635494088437937E-2</v>
      </c>
      <c r="DM15" s="26">
        <f>預測IC!DM15</f>
        <v>-2.380854686766869E-2</v>
      </c>
      <c r="DN15" s="26">
        <f>預測IC!DN15</f>
        <v>4.3996497423619649E-2</v>
      </c>
      <c r="DO15" s="26">
        <f>預測IC!DO15</f>
        <v>4.6296727233800808E-2</v>
      </c>
      <c r="DP15" s="26">
        <f>預測IC!DP15</f>
        <v>2.3735602006892551E-2</v>
      </c>
      <c r="DQ15" s="26">
        <f>預測IC!DQ15</f>
        <v>-9.9672215055135627E-2</v>
      </c>
      <c r="DR15" s="26">
        <f>預測IC!DR15</f>
        <v>3.9785608055100882E-2</v>
      </c>
      <c r="DS15" s="26">
        <f>預測IC!DS15</f>
        <v>-8.3044916630969273E-2</v>
      </c>
      <c r="DT15" s="26">
        <f>預測IC!DT15</f>
        <v>-7.2163631718163007E-2</v>
      </c>
      <c r="DU15" s="26">
        <f>預測IC!DU15</f>
        <v>-4.5770728951680668E-2</v>
      </c>
      <c r="DV15" s="26">
        <f>預測IC!DV15</f>
        <v>0.13976835694087139</v>
      </c>
      <c r="DW15" s="26">
        <f>預測IC!DW15</f>
        <v>2.553862714683254E-2</v>
      </c>
      <c r="DX15" s="26">
        <f>預測IC!DX15</f>
        <v>-0.1186162506499864</v>
      </c>
      <c r="DY15" s="26">
        <f>預測IC!DY15</f>
        <v>0.10653916660100959</v>
      </c>
      <c r="DZ15" s="26">
        <f>預測IC!DZ15</f>
        <v>-1.8920244069384411E-2</v>
      </c>
      <c r="EA15" s="26">
        <f>預測IC!EA15</f>
        <v>3.2239691299037927E-2</v>
      </c>
      <c r="EB15" s="26">
        <f>預測IC!EB15</f>
        <v>4.8518573131244899E-2</v>
      </c>
      <c r="EC15" s="26">
        <f>預測IC!EC15</f>
        <v>5.0736498768636222E-2</v>
      </c>
      <c r="ED15" s="26">
        <f>預測IC!ED15</f>
        <v>-0.1133570559353114</v>
      </c>
      <c r="EE15" s="26">
        <f>預測IC!EE15</f>
        <v>-2.2458539977079871E-2</v>
      </c>
      <c r="EF15" s="26">
        <f>預測IC!EF15</f>
        <v>6.2208305239075959E-2</v>
      </c>
      <c r="EG15" s="28">
        <f t="shared" si="10"/>
        <v>1.032819019207403E-2</v>
      </c>
      <c r="EH15" s="1">
        <f t="shared" si="11"/>
        <v>8.0947676314531647E-2</v>
      </c>
      <c r="EI15" s="28">
        <f t="shared" si="12"/>
        <v>0.12759094099184071</v>
      </c>
    </row>
    <row r="16" spans="1:139">
      <c r="A16" s="22">
        <f>預測IC!A16</f>
        <v>107</v>
      </c>
      <c r="B16" s="22">
        <f>預測IC!B16</f>
        <v>9</v>
      </c>
      <c r="C16" s="26">
        <f>預測IC!C16</f>
        <v>-2.7383644610379052E-2</v>
      </c>
      <c r="D16" s="26">
        <f>預測IC!D16</f>
        <v>0.40819544444444439</v>
      </c>
      <c r="E16" s="26">
        <f>預測IC!E16</f>
        <v>-2.8301766100853822E-3</v>
      </c>
      <c r="F16" s="26">
        <f>預測IC!F16</f>
        <v>0.1074195555555556</v>
      </c>
      <c r="G16" s="26">
        <f>預測IC!G16</f>
        <v>0.1090135555555555</v>
      </c>
      <c r="H16" s="26">
        <f>預測IC!H16</f>
        <v>7.2848777777777762E-2</v>
      </c>
      <c r="I16" s="26">
        <f>預測IC!I16</f>
        <v>5.7530618665621432E-2</v>
      </c>
      <c r="J16" s="26">
        <f>預測IC!J16</f>
        <v>-6.8693444444444446E-2</v>
      </c>
      <c r="K16" s="26">
        <f>預測IC!K16</f>
        <v>1.7924444444444441E-2</v>
      </c>
      <c r="L16" s="26">
        <f>預測IC!L16</f>
        <v>3.1026555555555561E-2</v>
      </c>
      <c r="M16" s="26">
        <f>預測IC!M16</f>
        <v>-0.19487577777777779</v>
      </c>
      <c r="N16" s="26">
        <f>預測IC!N16</f>
        <v>0.36698788888888889</v>
      </c>
      <c r="O16" s="26">
        <f>預測IC!O16</f>
        <v>1.562111111111111E-2</v>
      </c>
      <c r="P16" s="26">
        <f>預測IC!P16</f>
        <v>-6.1045231791422308E-2</v>
      </c>
      <c r="Q16" s="26">
        <f>預測IC!Q16</f>
        <v>9.6619888888888894E-2</v>
      </c>
      <c r="R16" s="26">
        <f>預測IC!R16</f>
        <v>1.918244444444445E-2</v>
      </c>
      <c r="S16" s="26">
        <f>預測IC!S16</f>
        <v>-0.28545460426372588</v>
      </c>
      <c r="T16" s="26">
        <f>預測IC!T16</f>
        <v>-2.322744444444445E-2</v>
      </c>
      <c r="U16" s="26">
        <f>預測IC!U16</f>
        <v>4.8649666666666667E-2</v>
      </c>
      <c r="V16" s="26">
        <f>預測IC!V16</f>
        <v>-0.1043152222222222</v>
      </c>
      <c r="W16" s="26">
        <f>預測IC!W16</f>
        <v>7.8373444444444454E-2</v>
      </c>
      <c r="X16" s="26">
        <f>預測IC!X16</f>
        <v>-0.12440978370848681</v>
      </c>
      <c r="Y16" s="26">
        <f>預測IC!Y16</f>
        <v>-4.2885555555555559E-3</v>
      </c>
      <c r="Z16" s="26">
        <f>預測IC!Z16</f>
        <v>-2.0075777777777779E-2</v>
      </c>
      <c r="AA16" s="26">
        <f>預測IC!AA16</f>
        <v>5.022766666666667E-2</v>
      </c>
      <c r="AB16" s="26">
        <f>預測IC!AB16</f>
        <v>-7.1015999999999996E-2</v>
      </c>
      <c r="AC16" s="26">
        <f>預測IC!AC16</f>
        <v>-4.1040111111111117E-2</v>
      </c>
      <c r="AD16" s="26">
        <f>預測IC!AD16</f>
        <v>3.4810999999999988E-2</v>
      </c>
      <c r="AE16" s="26">
        <f>預測IC!AE16</f>
        <v>-9.6502360488605665E-2</v>
      </c>
      <c r="AF16" s="26">
        <f>預測IC!AF16</f>
        <v>1.5010333333333341E-2</v>
      </c>
      <c r="AG16" s="26">
        <f>預測IC!AG16</f>
        <v>-8.3015555555555516E-3</v>
      </c>
      <c r="AH16" s="26">
        <f>預測IC!AH16</f>
        <v>-4.4108444444444443E-2</v>
      </c>
      <c r="AI16" s="26">
        <f>預測IC!AI16</f>
        <v>9.052311111111111E-2</v>
      </c>
      <c r="AJ16" s="26">
        <f>預測IC!AJ16</f>
        <v>-1.7629999999999989E-2</v>
      </c>
      <c r="AK16" s="26">
        <f>預測IC!AK16</f>
        <v>-7.9863333333333383E-3</v>
      </c>
      <c r="AL16" s="26">
        <f>預測IC!AL16</f>
        <v>4.8688933104523248E-2</v>
      </c>
      <c r="AM16" s="26">
        <f>預測IC!AM16</f>
        <v>2.3732555555555559E-2</v>
      </c>
      <c r="AN16" s="26">
        <f>預測IC!AN16</f>
        <v>0.1064562000896756</v>
      </c>
      <c r="AO16" s="26">
        <f>預測IC!AO16</f>
        <v>4.004255555555554E-2</v>
      </c>
      <c r="AP16" s="26">
        <f>預測IC!AP16</f>
        <v>-7.779836814558852E-2</v>
      </c>
      <c r="AQ16" s="26">
        <f>預測IC!AQ16</f>
        <v>-2.403255555555555E-2</v>
      </c>
      <c r="AR16" s="26">
        <f>預測IC!AR16</f>
        <v>3.2492222222222207E-2</v>
      </c>
      <c r="AS16" s="26">
        <f>預測IC!AS16</f>
        <v>-6.5068225473969343E-2</v>
      </c>
      <c r="AT16" s="26">
        <f>預測IC!AT16</f>
        <v>5.9867139144394142E-2</v>
      </c>
      <c r="AU16" s="26">
        <f>預測IC!AU16</f>
        <v>4.1826838254895117E-2</v>
      </c>
      <c r="AV16" s="26">
        <f>預測IC!AV16</f>
        <v>-9.0725067800187069E-3</v>
      </c>
      <c r="AW16" s="26">
        <f>預測IC!AW16</f>
        <v>3.9252930074650652E-2</v>
      </c>
      <c r="AX16" s="26">
        <f>預測IC!AX16</f>
        <v>0.10082977324397289</v>
      </c>
      <c r="AY16" s="26">
        <f>預測IC!AY16</f>
        <v>3.3812589844345937E-2</v>
      </c>
      <c r="AZ16" s="26">
        <f>預測IC!AZ16</f>
        <v>-0.1049096351787122</v>
      </c>
      <c r="BA16" s="26">
        <f>預測IC!BA16</f>
        <v>9.8081985443499303E-3</v>
      </c>
      <c r="BB16" s="26">
        <f>預測IC!BB16</f>
        <v>0.10803892415273809</v>
      </c>
      <c r="BC16" s="26">
        <f>預測IC!BC16</f>
        <v>6.6102245099688817E-2</v>
      </c>
      <c r="BD16" s="26">
        <f>預測IC!BD16</f>
        <v>3.5936711545904013E-2</v>
      </c>
      <c r="BE16" s="26">
        <f>預測IC!BE16</f>
        <v>5.1410994394474947E-2</v>
      </c>
      <c r="BF16" s="26">
        <f>預測IC!BF16</f>
        <v>6.4268054319718215E-2</v>
      </c>
      <c r="BG16" s="26">
        <f>預測IC!BG16</f>
        <v>1.3845819099968581E-2</v>
      </c>
      <c r="BH16" s="26">
        <f>預測IC!BH16</f>
        <v>-5.4124800669573259E-3</v>
      </c>
      <c r="BI16" s="26">
        <f>預測IC!BI16</f>
        <v>5.2335760294464642E-2</v>
      </c>
      <c r="BJ16" s="26">
        <f>預測IC!BJ16</f>
        <v>-2.0503816283207601E-2</v>
      </c>
      <c r="BK16" s="26">
        <f>預測IC!BK16</f>
        <v>-2.122951812515751E-3</v>
      </c>
      <c r="BL16" s="26">
        <f>預測IC!BL16</f>
        <v>7.0623565707523178E-2</v>
      </c>
      <c r="BM16" s="26">
        <f>預測IC!BM16</f>
        <v>9.1107172349872617E-2</v>
      </c>
      <c r="BN16" s="26">
        <f>預測IC!BN16</f>
        <v>4.7905832604027233E-2</v>
      </c>
      <c r="BO16" s="26">
        <f>預測IC!BO16</f>
        <v>2.1890359953657689E-2</v>
      </c>
      <c r="BP16" s="26">
        <f>預測IC!BP16</f>
        <v>1.174719798333914E-2</v>
      </c>
      <c r="BQ16" s="26">
        <f>預測IC!BQ16</f>
        <v>1.331245374481595E-2</v>
      </c>
      <c r="BR16" s="26">
        <f>預測IC!BR16</f>
        <v>-2.6296848021444389E-2</v>
      </c>
      <c r="BS16" s="26">
        <f>預測IC!BS16</f>
        <v>-1.319157314746418E-2</v>
      </c>
      <c r="BT16" s="26">
        <f>預測IC!BT16</f>
        <v>8.5483191267799616E-2</v>
      </c>
      <c r="BU16" s="26">
        <f>預測IC!BU16</f>
        <v>5.7765110184800447E-2</v>
      </c>
      <c r="BV16" s="26">
        <f>預測IC!BV16</f>
        <v>6.3782488349153427E-2</v>
      </c>
      <c r="BW16" s="26">
        <f>預測IC!BW16</f>
        <v>-6.5740927426534632E-2</v>
      </c>
      <c r="BX16" s="26">
        <f>預測IC!BX16</f>
        <v>3.1559237521130948E-2</v>
      </c>
      <c r="BY16" s="26">
        <f>預測IC!BY16</f>
        <v>-7.7354776264689812E-2</v>
      </c>
      <c r="BZ16" s="26">
        <f>預測IC!BZ16</f>
        <v>0.11152584850164921</v>
      </c>
      <c r="CA16" s="26">
        <f>預測IC!CA16</f>
        <v>-1.7116103683771391E-2</v>
      </c>
      <c r="CB16" s="26">
        <f>預測IC!CB16</f>
        <v>-1.4280449892172949E-3</v>
      </c>
      <c r="CC16" s="26">
        <f>預測IC!CC16</f>
        <v>-0.15907251448393439</v>
      </c>
      <c r="CD16" s="26">
        <f>預測IC!CD16</f>
        <v>0.15507127162636181</v>
      </c>
      <c r="CE16" s="26">
        <f>預測IC!CE16</f>
        <v>-0.13259506079351141</v>
      </c>
      <c r="CF16" s="26">
        <f>預測IC!CF16</f>
        <v>0.10520126400975099</v>
      </c>
      <c r="CG16" s="26">
        <f>預測IC!CG16</f>
        <v>6.4480215472076802E-3</v>
      </c>
      <c r="CH16" s="26">
        <f>預測IC!CH16</f>
        <v>4.1697414703027062E-2</v>
      </c>
      <c r="CI16" s="26">
        <f>預測IC!CI16</f>
        <v>-3.8709881828517527E-2</v>
      </c>
      <c r="CJ16" s="26">
        <f>預測IC!CJ16</f>
        <v>-4.5523550787666608E-2</v>
      </c>
      <c r="CK16" s="26">
        <f>預測IC!CK16</f>
        <v>7.6472983717690388E-2</v>
      </c>
      <c r="CL16" s="26">
        <f>預測IC!CL16</f>
        <v>1.9995369478776299E-2</v>
      </c>
      <c r="CM16" s="26">
        <f>預測IC!CM16</f>
        <v>8.8988628149511681E-2</v>
      </c>
      <c r="CN16" s="26">
        <f>預測IC!CN16</f>
        <v>-3.3057515140949983E-2</v>
      </c>
      <c r="CO16" s="26">
        <f>預測IC!CO16</f>
        <v>-0.17087869110724641</v>
      </c>
      <c r="CP16" s="26">
        <f>預測IC!CP16</f>
        <v>0.13761381602841219</v>
      </c>
      <c r="CQ16" s="26">
        <f>預測IC!CQ16</f>
        <v>4.0878176324455222E-2</v>
      </c>
      <c r="CR16" s="26">
        <f>預測IC!CR16</f>
        <v>4.829976668331655E-2</v>
      </c>
      <c r="CS16" s="26">
        <f>預測IC!CS16</f>
        <v>6.4948402196479196E-2</v>
      </c>
      <c r="CT16" s="26">
        <f>預測IC!CT16</f>
        <v>5.0674065008409694E-3</v>
      </c>
      <c r="CU16" s="26">
        <f>預測IC!CU16</f>
        <v>-6.4113369063883735E-2</v>
      </c>
      <c r="CV16" s="26">
        <f>預測IC!CV16</f>
        <v>-1.7860959418134061E-2</v>
      </c>
      <c r="CW16" s="26">
        <f>預測IC!CW16</f>
        <v>-1.242334198029111E-2</v>
      </c>
      <c r="CX16" s="26">
        <f>預測IC!CX16</f>
        <v>1.224028475424996E-2</v>
      </c>
      <c r="CY16" s="26">
        <f>預測IC!CY16</f>
        <v>-4.9117049116625407E-2</v>
      </c>
      <c r="CZ16" s="26">
        <f>預測IC!CZ16</f>
        <v>0.1026332591781325</v>
      </c>
      <c r="DA16" s="26">
        <f>預測IC!DA16</f>
        <v>-2.9804793967235531E-2</v>
      </c>
      <c r="DB16" s="26">
        <f>預測IC!DB16</f>
        <v>-4.2712169780226052E-2</v>
      </c>
      <c r="DC16" s="26">
        <f>預測IC!DC16</f>
        <v>3.5357719183528223E-2</v>
      </c>
      <c r="DD16" s="26">
        <f>預測IC!DD16</f>
        <v>-5.9977075400826273E-2</v>
      </c>
      <c r="DE16" s="26">
        <f>預測IC!DE16</f>
        <v>-3.1193128036132781E-2</v>
      </c>
      <c r="DF16" s="26">
        <f>預測IC!DF16</f>
        <v>-2.31464332255591E-2</v>
      </c>
      <c r="DG16" s="26">
        <f>預測IC!DG16</f>
        <v>1.445294763143863E-2</v>
      </c>
      <c r="DH16" s="26">
        <f>預測IC!DH16</f>
        <v>-1.9129343417971109E-2</v>
      </c>
      <c r="DI16" s="26">
        <f>預測IC!DI16</f>
        <v>-1.323342571252226E-2</v>
      </c>
      <c r="DJ16" s="26">
        <f>預測IC!DJ16</f>
        <v>-3.66431427315837E-2</v>
      </c>
      <c r="DK16" s="26">
        <f>預測IC!DK16</f>
        <v>0.1335943566255807</v>
      </c>
      <c r="DL16" s="26">
        <f>預測IC!DL16</f>
        <v>7.1494374915964373E-2</v>
      </c>
      <c r="DM16" s="26">
        <f>預測IC!DM16</f>
        <v>-3.0330949758340948E-2</v>
      </c>
      <c r="DN16" s="26">
        <f>預測IC!DN16</f>
        <v>4.2437853359407113E-2</v>
      </c>
      <c r="DO16" s="26">
        <f>預測IC!DO16</f>
        <v>5.2411859415845988E-2</v>
      </c>
      <c r="DP16" s="26">
        <f>預測IC!DP16</f>
        <v>1.9841948579226051E-2</v>
      </c>
      <c r="DQ16" s="26">
        <f>預測IC!DQ16</f>
        <v>-8.3033658077016542E-2</v>
      </c>
      <c r="DR16" s="26">
        <f>預測IC!DR16</f>
        <v>5.5191251649515209E-2</v>
      </c>
      <c r="DS16" s="26">
        <f>預測IC!DS16</f>
        <v>-9.3752064989754288E-2</v>
      </c>
      <c r="DT16" s="26">
        <f>預測IC!DT16</f>
        <v>-0.1006933242958723</v>
      </c>
      <c r="DU16" s="26">
        <f>預測IC!DU16</f>
        <v>-6.447373376953866E-2</v>
      </c>
      <c r="DV16" s="26">
        <f>預測IC!DV16</f>
        <v>0.13695373201779351</v>
      </c>
      <c r="DW16" s="26">
        <f>預測IC!DW16</f>
        <v>4.0917729699690833E-2</v>
      </c>
      <c r="DX16" s="26">
        <f>預測IC!DX16</f>
        <v>-0.1252847063239774</v>
      </c>
      <c r="DY16" s="26">
        <f>預測IC!DY16</f>
        <v>0.11635433491034319</v>
      </c>
      <c r="DZ16" s="26">
        <f>預測IC!DZ16</f>
        <v>-3.1277079824676451E-2</v>
      </c>
      <c r="EA16" s="26">
        <f>預測IC!EA16</f>
        <v>4.6661371555726909E-2</v>
      </c>
      <c r="EB16" s="26">
        <f>預測IC!EB16</f>
        <v>7.7977782859947109E-2</v>
      </c>
      <c r="EC16" s="26">
        <f>預測IC!EC16</f>
        <v>5.1117652254380558E-2</v>
      </c>
      <c r="ED16" s="26">
        <f>預測IC!ED16</f>
        <v>-0.1154167474989211</v>
      </c>
      <c r="EE16" s="26">
        <f>預測IC!EE16</f>
        <v>-3.3058269544628087E-2</v>
      </c>
      <c r="EF16" s="26">
        <f>預測IC!EF16</f>
        <v>3.9893906712643798E-2</v>
      </c>
      <c r="EG16" s="28">
        <f t="shared" si="10"/>
        <v>1.2133477876776577E-2</v>
      </c>
      <c r="EH16" s="1">
        <f t="shared" si="11"/>
        <v>8.6004384071214496E-2</v>
      </c>
      <c r="EI16" s="28">
        <f t="shared" si="12"/>
        <v>0.14107976015187379</v>
      </c>
    </row>
    <row r="17" spans="1:139">
      <c r="A17" s="22">
        <f>預測IC!A17</f>
        <v>120</v>
      </c>
      <c r="B17" s="22">
        <f>預測IC!B17</f>
        <v>8</v>
      </c>
      <c r="C17" s="26">
        <f>預測IC!C17</f>
        <v>-4.5056429492109057E-2</v>
      </c>
      <c r="D17" s="26">
        <f>預測IC!D17</f>
        <v>0.43958837499999998</v>
      </c>
      <c r="E17" s="26">
        <f>預測IC!E17</f>
        <v>7.3790014953013412E-3</v>
      </c>
      <c r="F17" s="26">
        <f>預測IC!F17</f>
        <v>0.14677200000000001</v>
      </c>
      <c r="G17" s="26">
        <f>預測IC!G17</f>
        <v>0.117132625</v>
      </c>
      <c r="H17" s="26">
        <f>預測IC!H17</f>
        <v>0.10499475</v>
      </c>
      <c r="I17" s="26">
        <f>預測IC!I17</f>
        <v>0.1137250278021875</v>
      </c>
      <c r="J17" s="26">
        <f>預測IC!J17</f>
        <v>-0.11529837499999999</v>
      </c>
      <c r="K17" s="26">
        <f>預測IC!K17</f>
        <v>3.944375E-2</v>
      </c>
      <c r="L17" s="26">
        <f>預測IC!L17</f>
        <v>3.3774875000000003E-2</v>
      </c>
      <c r="M17" s="26">
        <f>預測IC!M17</f>
        <v>-0.22693987500000001</v>
      </c>
      <c r="N17" s="26">
        <f>預測IC!N17</f>
        <v>0.40510825</v>
      </c>
      <c r="O17" s="26">
        <f>預測IC!O17</f>
        <v>2.4632125000000001E-2</v>
      </c>
      <c r="P17" s="26">
        <f>預測IC!P17</f>
        <v>-6.841077431920789E-2</v>
      </c>
      <c r="Q17" s="26">
        <f>預測IC!Q17</f>
        <v>0.106432375</v>
      </c>
      <c r="R17" s="26">
        <f>預測IC!R17</f>
        <v>1.975000000000005E-3</v>
      </c>
      <c r="S17" s="26">
        <f>預測IC!S17</f>
        <v>-0.31065343265529821</v>
      </c>
      <c r="T17" s="26">
        <f>預測IC!T17</f>
        <v>-2.3508375000000001E-2</v>
      </c>
      <c r="U17" s="26">
        <f>預測IC!U17</f>
        <v>5.2288375000000012E-2</v>
      </c>
      <c r="V17" s="26">
        <f>預測IC!V17</f>
        <v>-0.116355125</v>
      </c>
      <c r="W17" s="26">
        <f>預測IC!W17</f>
        <v>7.9142125000000008E-2</v>
      </c>
      <c r="X17" s="26">
        <f>預測IC!X17</f>
        <v>-0.157212627246893</v>
      </c>
      <c r="Y17" s="26">
        <f>預測IC!Y17</f>
        <v>1.4991250000000039E-3</v>
      </c>
      <c r="Z17" s="26">
        <f>預測IC!Z17</f>
        <v>-2.1608499999999999E-2</v>
      </c>
      <c r="AA17" s="26">
        <f>預測IC!AA17</f>
        <v>6.2256125000000002E-2</v>
      </c>
      <c r="AB17" s="26">
        <f>預測IC!AB17</f>
        <v>-5.8334375000000008E-2</v>
      </c>
      <c r="AC17" s="26">
        <f>預測IC!AC17</f>
        <v>-4.0799124999999999E-2</v>
      </c>
      <c r="AD17" s="26">
        <f>預測IC!AD17</f>
        <v>6.8619874999999997E-2</v>
      </c>
      <c r="AE17" s="26">
        <f>預測IC!AE17</f>
        <v>-0.127158422447225</v>
      </c>
      <c r="AF17" s="26">
        <f>預測IC!AF17</f>
        <v>8.412625E-3</v>
      </c>
      <c r="AG17" s="26">
        <f>預測IC!AG17</f>
        <v>-1.3512499999999981E-3</v>
      </c>
      <c r="AH17" s="26">
        <f>預測IC!AH17</f>
        <v>-3.1922875000000003E-2</v>
      </c>
      <c r="AI17" s="26">
        <f>預測IC!AI17</f>
        <v>0.114865125</v>
      </c>
      <c r="AJ17" s="26">
        <f>預測IC!AJ17</f>
        <v>-1.0273124999999999E-2</v>
      </c>
      <c r="AK17" s="26">
        <f>預測IC!AK17</f>
        <v>-1.3324625E-2</v>
      </c>
      <c r="AL17" s="26">
        <f>預測IC!AL17</f>
        <v>5.0724405748556509E-2</v>
      </c>
      <c r="AM17" s="26">
        <f>預測IC!AM17</f>
        <v>2.7869125000000002E-2</v>
      </c>
      <c r="AN17" s="26">
        <f>預測IC!AN17</f>
        <v>0.1132871203459177</v>
      </c>
      <c r="AO17" s="26">
        <f>預測IC!AO17</f>
        <v>3.0703874999999981E-2</v>
      </c>
      <c r="AP17" s="26">
        <f>預測IC!AP17</f>
        <v>-7.7242814419585484E-2</v>
      </c>
      <c r="AQ17" s="26">
        <f>預測IC!AQ17</f>
        <v>-9.2303749999999955E-3</v>
      </c>
      <c r="AR17" s="26">
        <f>預測IC!AR17</f>
        <v>3.4996625000000003E-2</v>
      </c>
      <c r="AS17" s="26">
        <f>預測IC!AS17</f>
        <v>-5.6323562034475708E-2</v>
      </c>
      <c r="AT17" s="26">
        <f>預測IC!AT17</f>
        <v>5.2267806449722218E-2</v>
      </c>
      <c r="AU17" s="26">
        <f>預測IC!AU17</f>
        <v>5.2648231242993053E-2</v>
      </c>
      <c r="AV17" s="26">
        <f>預測IC!AV17</f>
        <v>-2.1508362937905631E-2</v>
      </c>
      <c r="AW17" s="26">
        <f>預測IC!AW17</f>
        <v>1.916397377431981E-2</v>
      </c>
      <c r="AX17" s="26">
        <f>預測IC!AX17</f>
        <v>9.6240558508798979E-2</v>
      </c>
      <c r="AY17" s="26">
        <f>預測IC!AY17</f>
        <v>2.742369669060089E-2</v>
      </c>
      <c r="AZ17" s="26">
        <f>預測IC!AZ17</f>
        <v>-0.12511082490736811</v>
      </c>
      <c r="BA17" s="26">
        <f>預測IC!BA17</f>
        <v>9.8251791071129642E-3</v>
      </c>
      <c r="BB17" s="26">
        <f>預測IC!BB17</f>
        <v>0.1237640631138444</v>
      </c>
      <c r="BC17" s="26">
        <f>預測IC!BC17</f>
        <v>8.2716571543810222E-2</v>
      </c>
      <c r="BD17" s="26">
        <f>預測IC!BD17</f>
        <v>2.235648224620481E-2</v>
      </c>
      <c r="BE17" s="26">
        <f>預測IC!BE17</f>
        <v>7.7350242238060404E-2</v>
      </c>
      <c r="BF17" s="26">
        <f>預測IC!BF17</f>
        <v>5.5197496608953713E-2</v>
      </c>
      <c r="BG17" s="26">
        <f>預測IC!BG17</f>
        <v>-3.5394236088037302E-2</v>
      </c>
      <c r="BH17" s="26">
        <f>預測IC!BH17</f>
        <v>-1.7313847646246161E-3</v>
      </c>
      <c r="BI17" s="26">
        <f>預測IC!BI17</f>
        <v>9.9365392037550321E-2</v>
      </c>
      <c r="BJ17" s="26">
        <f>預測IC!BJ17</f>
        <v>-9.8580642732364818E-3</v>
      </c>
      <c r="BK17" s="26">
        <f>預測IC!BK17</f>
        <v>-1.3822952070105509E-2</v>
      </c>
      <c r="BL17" s="26">
        <f>預測IC!BL17</f>
        <v>7.3931305201746164E-2</v>
      </c>
      <c r="BM17" s="26">
        <f>預測IC!BM17</f>
        <v>7.5997770445859966E-2</v>
      </c>
      <c r="BN17" s="26">
        <f>預測IC!BN17</f>
        <v>4.772961945384889E-2</v>
      </c>
      <c r="BO17" s="26">
        <f>預測IC!BO17</f>
        <v>1.9886080708886981E-2</v>
      </c>
      <c r="BP17" s="26">
        <f>預測IC!BP17</f>
        <v>2.683750107843403E-2</v>
      </c>
      <c r="BQ17" s="26">
        <f>預測IC!BQ17</f>
        <v>1.1376510446451601E-2</v>
      </c>
      <c r="BR17" s="26">
        <f>預測IC!BR17</f>
        <v>-9.1794540592071705E-4</v>
      </c>
      <c r="BS17" s="26">
        <f>預測IC!BS17</f>
        <v>-4.1034691106065987E-3</v>
      </c>
      <c r="BT17" s="26">
        <f>預測IC!BT17</f>
        <v>0.1094163788704233</v>
      </c>
      <c r="BU17" s="26">
        <f>預測IC!BU17</f>
        <v>7.1127818750752414E-2</v>
      </c>
      <c r="BV17" s="26">
        <f>預測IC!BV17</f>
        <v>7.4446900798735116E-2</v>
      </c>
      <c r="BW17" s="26">
        <f>預測IC!BW17</f>
        <v>-8.0431712599265903E-2</v>
      </c>
      <c r="BX17" s="26">
        <f>預測IC!BX17</f>
        <v>2.8822964619672729E-2</v>
      </c>
      <c r="BY17" s="26">
        <f>預測IC!BY17</f>
        <v>-0.1001820701826233</v>
      </c>
      <c r="BZ17" s="26">
        <f>預測IC!BZ17</f>
        <v>0.12057815588108529</v>
      </c>
      <c r="CA17" s="26">
        <f>預測IC!CA17</f>
        <v>-2.7934832358489561E-2</v>
      </c>
      <c r="CB17" s="26">
        <f>預測IC!CB17</f>
        <v>-1.3353103341121051E-3</v>
      </c>
      <c r="CC17" s="26">
        <f>預測IC!CC17</f>
        <v>-0.17495797398968091</v>
      </c>
      <c r="CD17" s="26">
        <f>預測IC!CD17</f>
        <v>0.17295974121914859</v>
      </c>
      <c r="CE17" s="26">
        <f>預測IC!CE17</f>
        <v>-0.17511624550605151</v>
      </c>
      <c r="CF17" s="26">
        <f>預測IC!CF17</f>
        <v>9.8746197426198501E-2</v>
      </c>
      <c r="CG17" s="26">
        <f>預測IC!CG17</f>
        <v>-2.2222469242222098E-3</v>
      </c>
      <c r="CH17" s="26">
        <f>預測IC!CH17</f>
        <v>5.8636446607050002E-2</v>
      </c>
      <c r="CI17" s="26">
        <f>預測IC!CI17</f>
        <v>-1.4531184989588509E-2</v>
      </c>
      <c r="CJ17" s="26">
        <f>預測IC!CJ17</f>
        <v>-5.0742321484442049E-2</v>
      </c>
      <c r="CK17" s="26">
        <f>預測IC!CK17</f>
        <v>9.1738572657912937E-2</v>
      </c>
      <c r="CL17" s="26">
        <f>預測IC!CL17</f>
        <v>-9.426344769031314E-3</v>
      </c>
      <c r="CM17" s="26">
        <f>預測IC!CM17</f>
        <v>0.13456934443157431</v>
      </c>
      <c r="CN17" s="26">
        <f>預測IC!CN17</f>
        <v>-2.6718061150986971E-2</v>
      </c>
      <c r="CO17" s="26">
        <f>預測IC!CO17</f>
        <v>-0.20253862726298949</v>
      </c>
      <c r="CP17" s="26">
        <f>預測IC!CP17</f>
        <v>0.1481592691973436</v>
      </c>
      <c r="CQ17" s="26">
        <f>預測IC!CQ17</f>
        <v>4.1087933183403327E-2</v>
      </c>
      <c r="CR17" s="26">
        <f>預測IC!CR17</f>
        <v>4.8737641442248417E-2</v>
      </c>
      <c r="CS17" s="26">
        <f>預測IC!CS17</f>
        <v>9.3039920700191861E-2</v>
      </c>
      <c r="CT17" s="26">
        <f>預測IC!CT17</f>
        <v>4.9260056389193077E-2</v>
      </c>
      <c r="CU17" s="26">
        <f>預測IC!CU17</f>
        <v>-7.440830758325391E-2</v>
      </c>
      <c r="CV17" s="26">
        <f>預測IC!CV17</f>
        <v>3.8796079399274282E-3</v>
      </c>
      <c r="CW17" s="26">
        <f>預測IC!CW17</f>
        <v>-1.976185390935294E-2</v>
      </c>
      <c r="CX17" s="26">
        <f>預測IC!CX17</f>
        <v>1.0772394523947831E-2</v>
      </c>
      <c r="CY17" s="26">
        <f>預測IC!CY17</f>
        <v>-4.9383298716090041E-2</v>
      </c>
      <c r="CZ17" s="26">
        <f>預測IC!CZ17</f>
        <v>0.1242488378476205</v>
      </c>
      <c r="DA17" s="26">
        <f>預測IC!DA17</f>
        <v>-4.3895859145134192E-2</v>
      </c>
      <c r="DB17" s="26">
        <f>預測IC!DB17</f>
        <v>-3.4883010792467917E-2</v>
      </c>
      <c r="DC17" s="26">
        <f>預測IC!DC17</f>
        <v>4.3363468977499313E-2</v>
      </c>
      <c r="DD17" s="26">
        <f>預測IC!DD17</f>
        <v>-8.5133933084153957E-2</v>
      </c>
      <c r="DE17" s="26">
        <f>預測IC!DE17</f>
        <v>-3.3180930667267239E-2</v>
      </c>
      <c r="DF17" s="26">
        <f>預測IC!DF17</f>
        <v>-1.123137032665928E-2</v>
      </c>
      <c r="DG17" s="26">
        <f>預測IC!DG17</f>
        <v>6.934576427282943E-3</v>
      </c>
      <c r="DH17" s="26">
        <f>預測IC!DH17</f>
        <v>-3.8726650938012717E-2</v>
      </c>
      <c r="DI17" s="26">
        <f>預測IC!DI17</f>
        <v>-5.2932443237824409E-3</v>
      </c>
      <c r="DJ17" s="26">
        <f>預測IC!DJ17</f>
        <v>-4.5336157540819967E-2</v>
      </c>
      <c r="DK17" s="26">
        <f>預測IC!DK17</f>
        <v>0.15603642811654619</v>
      </c>
      <c r="DL17" s="26">
        <f>預測IC!DL17</f>
        <v>7.3515600937171063E-2</v>
      </c>
      <c r="DM17" s="26">
        <f>預測IC!DM17</f>
        <v>-5.2252910582316028E-2</v>
      </c>
      <c r="DN17" s="26">
        <f>預測IC!DN17</f>
        <v>3.5489032714339008E-2</v>
      </c>
      <c r="DO17" s="26">
        <f>預測IC!DO17</f>
        <v>5.3451370339903423E-2</v>
      </c>
      <c r="DP17" s="26">
        <f>預測IC!DP17</f>
        <v>-1.6878609333896889E-2</v>
      </c>
      <c r="DQ17" s="26">
        <f>預測IC!DQ17</f>
        <v>-0.1077024687966308</v>
      </c>
      <c r="DR17" s="26">
        <f>預測IC!DR17</f>
        <v>5.5884814876328279E-2</v>
      </c>
      <c r="DS17" s="26">
        <f>預測IC!DS17</f>
        <v>-0.12431615980481089</v>
      </c>
      <c r="DT17" s="26">
        <f>預測IC!DT17</f>
        <v>-9.3980212362723553E-2</v>
      </c>
      <c r="DU17" s="26">
        <f>預測IC!DU17</f>
        <v>-7.1730706050505327E-2</v>
      </c>
      <c r="DV17" s="26">
        <f>預測IC!DV17</f>
        <v>0.11776539811095429</v>
      </c>
      <c r="DW17" s="26">
        <f>預測IC!DW17</f>
        <v>4.8681483414150163E-2</v>
      </c>
      <c r="DX17" s="26">
        <f>預測IC!DX17</f>
        <v>-0.12953898259647401</v>
      </c>
      <c r="DY17" s="26">
        <f>預測IC!DY17</f>
        <v>0.1031206782681542</v>
      </c>
      <c r="DZ17" s="26">
        <f>預測IC!DZ17</f>
        <v>-4.8145298847007592E-2</v>
      </c>
      <c r="EA17" s="26">
        <f>預測IC!EA17</f>
        <v>1.181792386571255E-2</v>
      </c>
      <c r="EB17" s="26">
        <f>預測IC!EB17</f>
        <v>8.7100349194739315E-2</v>
      </c>
      <c r="EC17" s="26">
        <f>預測IC!EC17</f>
        <v>1.6425217216060651E-2</v>
      </c>
      <c r="ED17" s="26">
        <f>預測IC!ED17</f>
        <v>-0.12832444392891271</v>
      </c>
      <c r="EE17" s="26">
        <f>預測IC!EE17</f>
        <v>-2.5413360310033831E-2</v>
      </c>
      <c r="EF17" s="26">
        <f>預測IC!EF17</f>
        <v>4.7709767009851849E-2</v>
      </c>
      <c r="EG17" s="28">
        <f t="shared" si="10"/>
        <v>1.2448652611043998E-2</v>
      </c>
      <c r="EH17" s="1">
        <f t="shared" si="11"/>
        <v>9.7024866962124395E-2</v>
      </c>
      <c r="EI17" s="28">
        <f t="shared" si="12"/>
        <v>0.12830373285545013</v>
      </c>
    </row>
    <row r="18" spans="1:139">
      <c r="A18" s="22">
        <f>預測IC!A18</f>
        <v>137</v>
      </c>
      <c r="B18" s="22">
        <f>預測IC!B18</f>
        <v>7</v>
      </c>
      <c r="C18" s="26">
        <f>預測IC!C18</f>
        <v>-5.3942228163147227E-2</v>
      </c>
      <c r="D18" s="26">
        <f>預測IC!D18</f>
        <v>0.40188400000000007</v>
      </c>
      <c r="E18" s="26">
        <f>預測IC!E18</f>
        <v>-5.900065709820778E-2</v>
      </c>
      <c r="F18" s="26">
        <f>預測IC!F18</f>
        <v>0.21209085714285711</v>
      </c>
      <c r="G18" s="26">
        <f>預測IC!G18</f>
        <v>0.13305871428571431</v>
      </c>
      <c r="H18" s="26">
        <f>預測IC!H18</f>
        <v>0.12853999999999999</v>
      </c>
      <c r="I18" s="26">
        <f>預測IC!I18</f>
        <v>0.13550018022324109</v>
      </c>
      <c r="J18" s="26">
        <f>預測IC!J18</f>
        <v>-0.12516085714285721</v>
      </c>
      <c r="K18" s="26">
        <f>預測IC!K18</f>
        <v>3.1585285714285698E-2</v>
      </c>
      <c r="L18" s="26">
        <f>預測IC!L18</f>
        <v>4.667157142857143E-2</v>
      </c>
      <c r="M18" s="26">
        <f>預測IC!M18</f>
        <v>-0.25351285714285721</v>
      </c>
      <c r="N18" s="26">
        <f>預測IC!N18</f>
        <v>0.46182042857142858</v>
      </c>
      <c r="O18" s="26">
        <f>預測IC!O18</f>
        <v>2.432414285714286E-2</v>
      </c>
      <c r="P18" s="26">
        <f>預測IC!P18</f>
        <v>-8.0174184122512426E-2</v>
      </c>
      <c r="Q18" s="26">
        <f>預測IC!Q18</f>
        <v>0.1217387142857143</v>
      </c>
      <c r="R18" s="26">
        <f>預測IC!R18</f>
        <v>1.9326571428571419E-2</v>
      </c>
      <c r="S18" s="26">
        <f>預測IC!S18</f>
        <v>-0.3837326289318943</v>
      </c>
      <c r="T18" s="26">
        <f>預測IC!T18</f>
        <v>-5.0295714285714301E-3</v>
      </c>
      <c r="U18" s="26">
        <f>預測IC!U18</f>
        <v>2.8133571428571431E-2</v>
      </c>
      <c r="V18" s="26">
        <f>預測IC!V18</f>
        <v>-0.13125300000000001</v>
      </c>
      <c r="W18" s="26">
        <f>預測IC!W18</f>
        <v>7.7297000000000005E-2</v>
      </c>
      <c r="X18" s="26">
        <f>預測IC!X18</f>
        <v>-0.15584822748156429</v>
      </c>
      <c r="Y18" s="26">
        <f>預測IC!Y18</f>
        <v>2.4211857142857139E-2</v>
      </c>
      <c r="Z18" s="26">
        <f>預測IC!Z18</f>
        <v>-1.690557142857143E-2</v>
      </c>
      <c r="AA18" s="26">
        <f>預測IC!AA18</f>
        <v>5.4805571428571433E-2</v>
      </c>
      <c r="AB18" s="26">
        <f>預測IC!AB18</f>
        <v>-6.1713999999999991E-2</v>
      </c>
      <c r="AC18" s="26">
        <f>預測IC!AC18</f>
        <v>-7.4719857142857143E-2</v>
      </c>
      <c r="AD18" s="26">
        <f>預測IC!AD18</f>
        <v>9.6285857142857145E-2</v>
      </c>
      <c r="AE18" s="26">
        <f>預測IC!AE18</f>
        <v>-0.1435292414290745</v>
      </c>
      <c r="AF18" s="26">
        <f>預測IC!AF18</f>
        <v>-1.749571428571428E-3</v>
      </c>
      <c r="AG18" s="26">
        <f>預測IC!AG18</f>
        <v>-8.6178571428571424E-3</v>
      </c>
      <c r="AH18" s="26">
        <f>預測IC!AH18</f>
        <v>-3.5914857142857137E-2</v>
      </c>
      <c r="AI18" s="26">
        <f>預測IC!AI18</f>
        <v>0.11808642857142861</v>
      </c>
      <c r="AJ18" s="26">
        <f>預測IC!AJ18</f>
        <v>-7.3281428571428664E-3</v>
      </c>
      <c r="AK18" s="26">
        <f>預測IC!AK18</f>
        <v>2.7291285714285719E-2</v>
      </c>
      <c r="AL18" s="26">
        <f>預測IC!AL18</f>
        <v>4.5860125594871057E-2</v>
      </c>
      <c r="AM18" s="26">
        <f>預測IC!AM18</f>
        <v>9.8589999999999962E-3</v>
      </c>
      <c r="AN18" s="26">
        <f>預測IC!AN18</f>
        <v>7.9294639955201793E-2</v>
      </c>
      <c r="AO18" s="26">
        <f>預測IC!AO18</f>
        <v>4.6668714285714258E-2</v>
      </c>
      <c r="AP18" s="26">
        <f>預測IC!AP18</f>
        <v>-7.8278591933806971E-2</v>
      </c>
      <c r="AQ18" s="26">
        <f>預測IC!AQ18</f>
        <v>1.6788142857142859E-2</v>
      </c>
      <c r="AR18" s="26">
        <f>預測IC!AR18</f>
        <v>6.169442857142856E-2</v>
      </c>
      <c r="AS18" s="26">
        <f>預測IC!AS18</f>
        <v>-8.5826551553969135E-2</v>
      </c>
      <c r="AT18" s="26">
        <f>預測IC!AT18</f>
        <v>4.3325649820578682E-2</v>
      </c>
      <c r="AU18" s="26">
        <f>預測IC!AU18</f>
        <v>6.8315340056693138E-2</v>
      </c>
      <c r="AV18" s="26">
        <f>預測IC!AV18</f>
        <v>-2.8768755881717199E-2</v>
      </c>
      <c r="AW18" s="26">
        <f>預測IC!AW18</f>
        <v>2.4538034241107461E-2</v>
      </c>
      <c r="AX18" s="26">
        <f>預測IC!AX18</f>
        <v>0.10756086825583611</v>
      </c>
      <c r="AY18" s="26">
        <f>預測IC!AY18</f>
        <v>3.4783278641148073E-2</v>
      </c>
      <c r="AZ18" s="26">
        <f>預測IC!AZ18</f>
        <v>-0.14840908238889911</v>
      </c>
      <c r="BA18" s="26">
        <f>預測IC!BA18</f>
        <v>-5.1212561330724396E-4</v>
      </c>
      <c r="BB18" s="26">
        <f>預測IC!BB18</f>
        <v>0.13312051382668269</v>
      </c>
      <c r="BC18" s="26">
        <f>預測IC!BC18</f>
        <v>8.3201572593320589E-2</v>
      </c>
      <c r="BD18" s="26">
        <f>預測IC!BD18</f>
        <v>-2.4016271687300441E-2</v>
      </c>
      <c r="BE18" s="26">
        <f>預測IC!BE18</f>
        <v>6.8361213238162841E-2</v>
      </c>
      <c r="BF18" s="26">
        <f>預測IC!BF18</f>
        <v>4.5884536299578838E-2</v>
      </c>
      <c r="BG18" s="26">
        <f>預測IC!BG18</f>
        <v>-3.4434629050595897E-2</v>
      </c>
      <c r="BH18" s="26">
        <f>預測IC!BH18</f>
        <v>3.0015991980721329E-2</v>
      </c>
      <c r="BI18" s="26">
        <f>預測IC!BI18</f>
        <v>0.1090000069186657</v>
      </c>
      <c r="BJ18" s="26">
        <f>預測IC!BJ18</f>
        <v>5.9560640504595433E-3</v>
      </c>
      <c r="BK18" s="26">
        <f>預測IC!BK18</f>
        <v>-5.0745051384061532E-2</v>
      </c>
      <c r="BL18" s="26">
        <f>預測IC!BL18</f>
        <v>8.1157673820204085E-2</v>
      </c>
      <c r="BM18" s="26">
        <f>預測IC!BM18</f>
        <v>0.1027739390634396</v>
      </c>
      <c r="BN18" s="26">
        <f>預測IC!BN18</f>
        <v>5.2774389623830152E-2</v>
      </c>
      <c r="BO18" s="26">
        <f>預測IC!BO18</f>
        <v>2.0227496106374639E-2</v>
      </c>
      <c r="BP18" s="26">
        <f>預測IC!BP18</f>
        <v>4.6857540334682007E-2</v>
      </c>
      <c r="BQ18" s="26">
        <f>預測IC!BQ18</f>
        <v>1.916784109848992E-3</v>
      </c>
      <c r="BR18" s="26">
        <f>預測IC!BR18</f>
        <v>-5.7481935839547244E-3</v>
      </c>
      <c r="BS18" s="26">
        <f>預測IC!BS18</f>
        <v>-2.149720138170149E-2</v>
      </c>
      <c r="BT18" s="26">
        <f>預測IC!BT18</f>
        <v>0.1428710676682495</v>
      </c>
      <c r="BU18" s="26">
        <f>預測IC!BU18</f>
        <v>8.0677444040040805E-2</v>
      </c>
      <c r="BV18" s="26">
        <f>預測IC!BV18</f>
        <v>8.0923395277042356E-2</v>
      </c>
      <c r="BW18" s="26">
        <f>預測IC!BW18</f>
        <v>-8.531108693319546E-2</v>
      </c>
      <c r="BX18" s="26">
        <f>預測IC!BX18</f>
        <v>1.9018474716035669E-2</v>
      </c>
      <c r="BY18" s="26">
        <f>預測IC!BY18</f>
        <v>-0.1230749758240248</v>
      </c>
      <c r="BZ18" s="26">
        <f>預測IC!BZ18</f>
        <v>0.15331998780259809</v>
      </c>
      <c r="CA18" s="26">
        <f>預測IC!CA18</f>
        <v>-1.6076543892860819E-2</v>
      </c>
      <c r="CB18" s="26">
        <f>預測IC!CB18</f>
        <v>-2.4577356612448309E-2</v>
      </c>
      <c r="CC18" s="26">
        <f>預測IC!CC18</f>
        <v>-2.817344401940013E-2</v>
      </c>
      <c r="CD18" s="26">
        <f>預測IC!CD18</f>
        <v>0.19371681864683071</v>
      </c>
      <c r="CE18" s="26">
        <f>預測IC!CE18</f>
        <v>-0.16739393528145211</v>
      </c>
      <c r="CF18" s="26">
        <f>預測IC!CF18</f>
        <v>6.9437750845139964E-2</v>
      </c>
      <c r="CG18" s="26">
        <f>預測IC!CG18</f>
        <v>-2.8013589394155079E-3</v>
      </c>
      <c r="CH18" s="26">
        <f>預測IC!CH18</f>
        <v>0.16265704668723319</v>
      </c>
      <c r="CI18" s="26">
        <f>預測IC!CI18</f>
        <v>-4.4565986447696902E-2</v>
      </c>
      <c r="CJ18" s="26">
        <f>預測IC!CJ18</f>
        <v>-6.2313677824909687E-2</v>
      </c>
      <c r="CK18" s="26">
        <f>預測IC!CK18</f>
        <v>9.0667784292283726E-2</v>
      </c>
      <c r="CL18" s="26">
        <f>預測IC!CL18</f>
        <v>-3.0989545058193149E-2</v>
      </c>
      <c r="CM18" s="26">
        <f>預測IC!CM18</f>
        <v>0.15963579775903361</v>
      </c>
      <c r="CN18" s="26">
        <f>預測IC!CN18</f>
        <v>-3.7997037094380737E-2</v>
      </c>
      <c r="CO18" s="26">
        <f>預測IC!CO18</f>
        <v>-0.23157387854942929</v>
      </c>
      <c r="CP18" s="26">
        <f>預測IC!CP18</f>
        <v>0.16283910894801071</v>
      </c>
      <c r="CQ18" s="26">
        <f>預測IC!CQ18</f>
        <v>4.7976536408267538E-2</v>
      </c>
      <c r="CR18" s="26">
        <f>預測IC!CR18</f>
        <v>5.5156128716592027E-2</v>
      </c>
      <c r="CS18" s="26">
        <f>預測IC!CS18</f>
        <v>8.7017130839473586E-2</v>
      </c>
      <c r="CT18" s="26">
        <f>預測IC!CT18</f>
        <v>9.4951029065485665E-2</v>
      </c>
      <c r="CU18" s="26">
        <f>預測IC!CU18</f>
        <v>-7.1648691205109999E-2</v>
      </c>
      <c r="CV18" s="26">
        <f>預測IC!CV18</f>
        <v>9.1040282230288663E-2</v>
      </c>
      <c r="CW18" s="26">
        <f>預測IC!CW18</f>
        <v>-8.4560855645258066E-3</v>
      </c>
      <c r="CX18" s="26">
        <f>預測IC!CX18</f>
        <v>6.1560185833778078E-2</v>
      </c>
      <c r="CY18" s="26">
        <f>預測IC!CY18</f>
        <v>-5.135741377478225E-2</v>
      </c>
      <c r="CZ18" s="26">
        <f>預測IC!CZ18</f>
        <v>0.13284286330177139</v>
      </c>
      <c r="DA18" s="26">
        <f>預測IC!DA18</f>
        <v>-4.7380939518693557E-2</v>
      </c>
      <c r="DB18" s="26">
        <f>預測IC!DB18</f>
        <v>-4.5735208678759381E-2</v>
      </c>
      <c r="DC18" s="26">
        <f>預測IC!DC18</f>
        <v>3.6408781495506221E-2</v>
      </c>
      <c r="DD18" s="26">
        <f>預測IC!DD18</f>
        <v>-8.2462353495414184E-2</v>
      </c>
      <c r="DE18" s="26">
        <f>預測IC!DE18</f>
        <v>-3.4801347670990683E-2</v>
      </c>
      <c r="DF18" s="26">
        <f>預測IC!DF18</f>
        <v>-3.5042778782370249E-2</v>
      </c>
      <c r="DG18" s="26">
        <f>預測IC!DG18</f>
        <v>-7.619473157627699E-3</v>
      </c>
      <c r="DH18" s="26">
        <f>預測IC!DH18</f>
        <v>-2.8038013248649029E-2</v>
      </c>
      <c r="DI18" s="26">
        <f>預測IC!DI18</f>
        <v>-1.6114629238026808E-2</v>
      </c>
      <c r="DJ18" s="26">
        <f>預測IC!DJ18</f>
        <v>-4.5204039785289522E-2</v>
      </c>
      <c r="DK18" s="26">
        <f>預測IC!DK18</f>
        <v>0.15851362709242739</v>
      </c>
      <c r="DL18" s="26">
        <f>預測IC!DL18</f>
        <v>8.1397742916241134E-2</v>
      </c>
      <c r="DM18" s="26">
        <f>預測IC!DM18</f>
        <v>-6.650814073203816E-2</v>
      </c>
      <c r="DN18" s="26">
        <f>預測IC!DN18</f>
        <v>-1.6722064078021251E-2</v>
      </c>
      <c r="DO18" s="26">
        <f>預測IC!DO18</f>
        <v>4.2104907550630517E-2</v>
      </c>
      <c r="DP18" s="26">
        <f>預測IC!DP18</f>
        <v>-2.0604686466865741E-2</v>
      </c>
      <c r="DQ18" s="26">
        <f>預測IC!DQ18</f>
        <v>-0.1007272783058315</v>
      </c>
      <c r="DR18" s="26">
        <f>預測IC!DR18</f>
        <v>7.6840654771961045E-2</v>
      </c>
      <c r="DS18" s="26">
        <f>預測IC!DS18</f>
        <v>-0.1477219984517327</v>
      </c>
      <c r="DT18" s="26">
        <f>預測IC!DT18</f>
        <v>-0.1160173901109771</v>
      </c>
      <c r="DU18" s="26">
        <f>預測IC!DU18</f>
        <v>-9.6895186076904644E-2</v>
      </c>
      <c r="DV18" s="26">
        <f>預測IC!DV18</f>
        <v>0.1056406088000619</v>
      </c>
      <c r="DW18" s="26">
        <f>預測IC!DW18</f>
        <v>8.1908692284373169E-2</v>
      </c>
      <c r="DX18" s="26">
        <f>預測IC!DX18</f>
        <v>-0.1536029774624818</v>
      </c>
      <c r="DY18" s="26">
        <f>預測IC!DY18</f>
        <v>9.7428036975949608E-2</v>
      </c>
      <c r="DZ18" s="26">
        <f>預測IC!DZ18</f>
        <v>-7.5516359296365659E-2</v>
      </c>
      <c r="EA18" s="26">
        <f>預測IC!EA18</f>
        <v>-6.3615627439817801E-3</v>
      </c>
      <c r="EB18" s="26">
        <f>預測IC!EB18</f>
        <v>9.9846377978320619E-2</v>
      </c>
      <c r="EC18" s="26">
        <f>預測IC!EC18</f>
        <v>5.8228474754975761E-3</v>
      </c>
      <c r="ED18" s="26">
        <f>預測IC!ED18</f>
        <v>-0.1200774322763405</v>
      </c>
      <c r="EE18" s="26">
        <f>預測IC!EE18</f>
        <v>-1.385375397450707E-2</v>
      </c>
      <c r="EF18" s="26">
        <f>預測IC!EF18</f>
        <v>4.8955017110416547E-2</v>
      </c>
      <c r="EG18" s="28">
        <f t="shared" si="10"/>
        <v>1.3761759059886415E-2</v>
      </c>
      <c r="EH18" s="1">
        <f t="shared" si="11"/>
        <v>0.10680417295942832</v>
      </c>
      <c r="EI18" s="28">
        <f t="shared" si="12"/>
        <v>0.12885038738246765</v>
      </c>
    </row>
    <row r="19" spans="1:139">
      <c r="A19" s="22">
        <f>預測IC!A19</f>
        <v>160</v>
      </c>
      <c r="B19" s="22">
        <f>預測IC!B19</f>
        <v>6</v>
      </c>
      <c r="C19" s="26">
        <f>預測IC!C19</f>
        <v>-7.7959416087486216E-2</v>
      </c>
      <c r="D19" s="26">
        <f>預測IC!D19</f>
        <v>0.4075213333333334</v>
      </c>
      <c r="E19" s="26">
        <f>預測IC!E19</f>
        <v>-4.8100231547544642E-2</v>
      </c>
      <c r="F19" s="26">
        <f>預測IC!F19</f>
        <v>0.2361708333333333</v>
      </c>
      <c r="G19" s="26">
        <f>預測IC!G19</f>
        <v>0.15286516666666669</v>
      </c>
      <c r="H19" s="26">
        <f>預測IC!H19</f>
        <v>0.17761016666666671</v>
      </c>
      <c r="I19" s="26">
        <f>預測IC!I19</f>
        <v>0.1346543328914665</v>
      </c>
      <c r="J19" s="26">
        <f>預測IC!J19</f>
        <v>-0.1562291666666667</v>
      </c>
      <c r="K19" s="26">
        <f>預測IC!K19</f>
        <v>5.6539499999999999E-2</v>
      </c>
      <c r="L19" s="26">
        <f>預測IC!L19</f>
        <v>3.0361166666666672E-2</v>
      </c>
      <c r="M19" s="26">
        <f>預測IC!M19</f>
        <v>-0.26154166666666667</v>
      </c>
      <c r="N19" s="26">
        <f>預測IC!N19</f>
        <v>0.53237449999999997</v>
      </c>
      <c r="O19" s="26">
        <f>預測IC!O19</f>
        <v>-1.9796999999999999E-2</v>
      </c>
      <c r="P19" s="26">
        <f>預測IC!P19</f>
        <v>-9.2534186186697107E-2</v>
      </c>
      <c r="Q19" s="26">
        <f>預測IC!Q19</f>
        <v>0.1704643333333333</v>
      </c>
      <c r="R19" s="26">
        <f>預測IC!R19</f>
        <v>4.1943000000000008E-2</v>
      </c>
      <c r="S19" s="26">
        <f>預測IC!S19</f>
        <v>-0.1665705674290347</v>
      </c>
      <c r="T19" s="26">
        <f>預測IC!T19</f>
        <v>-0.1095268333333333</v>
      </c>
      <c r="U19" s="26">
        <f>預測IC!U19</f>
        <v>4.4184166666666663E-2</v>
      </c>
      <c r="V19" s="26">
        <f>預測IC!V19</f>
        <v>-0.1186835</v>
      </c>
      <c r="W19" s="26">
        <f>預測IC!W19</f>
        <v>7.2415833333333346E-2</v>
      </c>
      <c r="X19" s="26">
        <f>預測IC!X19</f>
        <v>-0.12008629369727961</v>
      </c>
      <c r="Y19" s="26">
        <f>預測IC!Y19</f>
        <v>2.4062166666666669E-2</v>
      </c>
      <c r="Z19" s="26">
        <f>預測IC!Z19</f>
        <v>-2.2223E-2</v>
      </c>
      <c r="AA19" s="26">
        <f>預測IC!AA19</f>
        <v>4.7301666666666672E-2</v>
      </c>
      <c r="AB19" s="26">
        <f>預測IC!AB19</f>
        <v>-6.0762499999999997E-2</v>
      </c>
      <c r="AC19" s="26">
        <f>預測IC!AC19</f>
        <v>-8.3512833333333328E-2</v>
      </c>
      <c r="AD19" s="26">
        <f>預測IC!AD19</f>
        <v>9.5992833333333333E-2</v>
      </c>
      <c r="AE19" s="26">
        <f>預測IC!AE19</f>
        <v>-0.1694160609977898</v>
      </c>
      <c r="AF19" s="26">
        <f>預測IC!AF19</f>
        <v>2.6383333333333288E-4</v>
      </c>
      <c r="AG19" s="26">
        <f>預測IC!AG19</f>
        <v>1.92985E-2</v>
      </c>
      <c r="AH19" s="26">
        <f>預測IC!AH19</f>
        <v>-1.6091333333333329E-2</v>
      </c>
      <c r="AI19" s="26">
        <f>預測IC!AI19</f>
        <v>9.154933333333333E-2</v>
      </c>
      <c r="AJ19" s="26">
        <f>預測IC!AJ19</f>
        <v>1.2166333333333329E-2</v>
      </c>
      <c r="AK19" s="26">
        <f>預測IC!AK19</f>
        <v>4.9060666666666669E-2</v>
      </c>
      <c r="AL19" s="26">
        <f>預測IC!AL19</f>
        <v>7.0270945670805551E-2</v>
      </c>
      <c r="AM19" s="26">
        <f>預測IC!AM19</f>
        <v>1.05325E-2</v>
      </c>
      <c r="AN19" s="26">
        <f>預測IC!AN19</f>
        <v>8.3568294365682083E-2</v>
      </c>
      <c r="AO19" s="26">
        <f>預測IC!AO19</f>
        <v>5.7746833333333317E-2</v>
      </c>
      <c r="AP19" s="26">
        <f>預測IC!AP19</f>
        <v>-8.757412027285208E-2</v>
      </c>
      <c r="AQ19" s="26">
        <f>預測IC!AQ19</f>
        <v>5.4927833333333342E-2</v>
      </c>
      <c r="AR19" s="26">
        <f>預測IC!AR19</f>
        <v>7.4616833333333327E-2</v>
      </c>
      <c r="AS19" s="26">
        <f>預測IC!AS19</f>
        <v>-9.7796955268314459E-2</v>
      </c>
      <c r="AT19" s="26">
        <f>預測IC!AT19</f>
        <v>4.9294981765701303E-2</v>
      </c>
      <c r="AU19" s="26">
        <f>預測IC!AU19</f>
        <v>7.6428715713654158E-2</v>
      </c>
      <c r="AV19" s="26">
        <f>預測IC!AV19</f>
        <v>-4.8463101573846611E-2</v>
      </c>
      <c r="AW19" s="26">
        <f>預測IC!AW19</f>
        <v>2.2356168154136491E-2</v>
      </c>
      <c r="AX19" s="26">
        <f>預測IC!AX19</f>
        <v>8.0206414310412866E-2</v>
      </c>
      <c r="AY19" s="26">
        <f>預測IC!AY19</f>
        <v>2.9528970393379841E-2</v>
      </c>
      <c r="AZ19" s="26">
        <f>預測IC!AZ19</f>
        <v>-0.18687961816817431</v>
      </c>
      <c r="BA19" s="26">
        <f>預測IC!BA19</f>
        <v>-3.4363883954073027E-2</v>
      </c>
      <c r="BB19" s="26">
        <f>預測IC!BB19</f>
        <v>0.15974619907243159</v>
      </c>
      <c r="BC19" s="26">
        <f>預測IC!BC19</f>
        <v>6.4055486346185755E-2</v>
      </c>
      <c r="BD19" s="26">
        <f>預測IC!BD19</f>
        <v>-3.2343926300681461E-3</v>
      </c>
      <c r="BE19" s="26">
        <f>預測IC!BE19</f>
        <v>5.3867497689288543E-2</v>
      </c>
      <c r="BF19" s="26">
        <f>預測IC!BF19</f>
        <v>1.3570974149138619E-2</v>
      </c>
      <c r="BG19" s="26">
        <f>預測IC!BG19</f>
        <v>-1.6343658332842181E-2</v>
      </c>
      <c r="BH19" s="26">
        <f>預測IC!BH19</f>
        <v>2.0182017014309939E-3</v>
      </c>
      <c r="BI19" s="26">
        <f>預測IC!BI19</f>
        <v>0.12779862881921869</v>
      </c>
      <c r="BJ19" s="26">
        <f>預測IC!BJ19</f>
        <v>2.1707301538579211E-2</v>
      </c>
      <c r="BK19" s="26">
        <f>預測IC!BK19</f>
        <v>-5.1749526091992383E-2</v>
      </c>
      <c r="BL19" s="26">
        <f>預測IC!BL19</f>
        <v>7.9964658146503109E-2</v>
      </c>
      <c r="BM19" s="26">
        <f>預測IC!BM19</f>
        <v>0.1142506002586957</v>
      </c>
      <c r="BN19" s="26">
        <f>預測IC!BN19</f>
        <v>6.7252647467271776E-2</v>
      </c>
      <c r="BO19" s="26">
        <f>預測IC!BO19</f>
        <v>2.5728961265115379E-2</v>
      </c>
      <c r="BP19" s="26">
        <f>預測IC!BP19</f>
        <v>3.742626287653638E-2</v>
      </c>
      <c r="BQ19" s="26">
        <f>預測IC!BQ19</f>
        <v>9.9340444543230683E-3</v>
      </c>
      <c r="BR19" s="26">
        <f>預測IC!BR19</f>
        <v>6.6752460235200081E-3</v>
      </c>
      <c r="BS19" s="26">
        <f>預測IC!BS19</f>
        <v>-2.4256338744482069E-2</v>
      </c>
      <c r="BT19" s="26">
        <f>預測IC!BT19</f>
        <v>0.14163267985357339</v>
      </c>
      <c r="BU19" s="26">
        <f>預測IC!BU19</f>
        <v>7.593625123423807E-2</v>
      </c>
      <c r="BV19" s="26">
        <f>預測IC!BV19</f>
        <v>9.3655241153346391E-2</v>
      </c>
      <c r="BW19" s="26">
        <f>預測IC!BW19</f>
        <v>-0.10896696138364501</v>
      </c>
      <c r="BX19" s="26">
        <f>預測IC!BX19</f>
        <v>3.4087785271858247E-2</v>
      </c>
      <c r="BY19" s="26">
        <f>預測IC!BY19</f>
        <v>-0.1076497365556482</v>
      </c>
      <c r="BZ19" s="26">
        <f>預測IC!BZ19</f>
        <v>6.3815393767213791E-2</v>
      </c>
      <c r="CA19" s="26">
        <f>預測IC!CA19</f>
        <v>-2.154569013117932E-2</v>
      </c>
      <c r="CB19" s="26">
        <f>預測IC!CB19</f>
        <v>-4.804116850824483E-2</v>
      </c>
      <c r="CC19" s="26">
        <f>預測IC!CC19</f>
        <v>-2.4723252765827462E-2</v>
      </c>
      <c r="CD19" s="26">
        <f>預測IC!CD19</f>
        <v>0.20708580064935611</v>
      </c>
      <c r="CE19" s="26">
        <f>預測IC!CE19</f>
        <v>-0.1982658291769592</v>
      </c>
      <c r="CF19" s="26">
        <f>預測IC!CF19</f>
        <v>8.4971508753078559E-2</v>
      </c>
      <c r="CG19" s="26">
        <f>預測IC!CG19</f>
        <v>-5.0633530014653497E-2</v>
      </c>
      <c r="CH19" s="26">
        <f>預測IC!CH19</f>
        <v>0.1528898670499263</v>
      </c>
      <c r="CI19" s="26">
        <f>預測IC!CI19</f>
        <v>-3.7066946160195187E-2</v>
      </c>
      <c r="CJ19" s="26">
        <f>預測IC!CJ19</f>
        <v>-6.194049996603615E-2</v>
      </c>
      <c r="CK19" s="26">
        <f>預測IC!CK19</f>
        <v>0.1039677178170982</v>
      </c>
      <c r="CL19" s="26">
        <f>預測IC!CL19</f>
        <v>-4.3240279974789908E-2</v>
      </c>
      <c r="CM19" s="26">
        <f>預測IC!CM19</f>
        <v>0.17534764158171501</v>
      </c>
      <c r="CN19" s="26">
        <f>預測IC!CN19</f>
        <v>-7.6932654667303466E-2</v>
      </c>
      <c r="CO19" s="26">
        <f>預測IC!CO19</f>
        <v>-0.27245440462850651</v>
      </c>
      <c r="CP19" s="26">
        <f>預測IC!CP19</f>
        <v>0.15903259898233271</v>
      </c>
      <c r="CQ19" s="26">
        <f>預測IC!CQ19</f>
        <v>-2.7299081545619341E-3</v>
      </c>
      <c r="CR19" s="26">
        <f>預測IC!CR19</f>
        <v>4.9337666040134218E-2</v>
      </c>
      <c r="CS19" s="26">
        <f>預測IC!CS19</f>
        <v>6.0700850898538133E-2</v>
      </c>
      <c r="CT19" s="26">
        <f>預測IC!CT19</f>
        <v>0.1226204266300308</v>
      </c>
      <c r="CU19" s="26">
        <f>預測IC!CU19</f>
        <v>-8.3436397113892974E-2</v>
      </c>
      <c r="CV19" s="26">
        <f>預測IC!CV19</f>
        <v>8.9836090761934634E-2</v>
      </c>
      <c r="CW19" s="26">
        <f>預測IC!CW19</f>
        <v>-2.190180778189859E-2</v>
      </c>
      <c r="CX19" s="26">
        <f>預測IC!CX19</f>
        <v>9.354971825942178E-2</v>
      </c>
      <c r="CY19" s="26">
        <f>預測IC!CY19</f>
        <v>-7.092186956436955E-2</v>
      </c>
      <c r="CZ19" s="26">
        <f>預測IC!CZ19</f>
        <v>0.1004647349755101</v>
      </c>
      <c r="DA19" s="26">
        <f>預測IC!DA19</f>
        <v>-5.8223876703236761E-2</v>
      </c>
      <c r="DB19" s="26">
        <f>預測IC!DB19</f>
        <v>-3.572089902521567E-2</v>
      </c>
      <c r="DC19" s="26">
        <f>預測IC!DC19</f>
        <v>-3.5179399902094073E-2</v>
      </c>
      <c r="DD19" s="26">
        <f>預測IC!DD19</f>
        <v>-0.10452862606621249</v>
      </c>
      <c r="DE19" s="26">
        <f>預測IC!DE19</f>
        <v>-4.3945635940460762E-2</v>
      </c>
      <c r="DF19" s="26">
        <f>預測IC!DF19</f>
        <v>-6.969304689302265E-2</v>
      </c>
      <c r="DG19" s="26">
        <f>預測IC!DG19</f>
        <v>-1.27464749106491E-2</v>
      </c>
      <c r="DH19" s="26">
        <f>預測IC!DH19</f>
        <v>-1.569831294047225E-4</v>
      </c>
      <c r="DI19" s="26">
        <f>預測IC!DI19</f>
        <v>3.666424442421171E-3</v>
      </c>
      <c r="DJ19" s="26">
        <f>預測IC!DJ19</f>
        <v>-4.8514350722976607E-2</v>
      </c>
      <c r="DK19" s="26">
        <f>預測IC!DK19</f>
        <v>0.1241445877842076</v>
      </c>
      <c r="DL19" s="26">
        <f>預測IC!DL19</f>
        <v>7.0167407799869491E-2</v>
      </c>
      <c r="DM19" s="26">
        <f>預測IC!DM19</f>
        <v>-8.1952255033994378E-2</v>
      </c>
      <c r="DN19" s="26">
        <f>預測IC!DN19</f>
        <v>-4.1776448032685917E-3</v>
      </c>
      <c r="DO19" s="26">
        <f>預測IC!DO19</f>
        <v>5.5126563399943852E-2</v>
      </c>
      <c r="DP19" s="26">
        <f>預測IC!DP19</f>
        <v>2.716544251136371E-2</v>
      </c>
      <c r="DQ19" s="26">
        <f>預測IC!DQ19</f>
        <v>-0.1204893793606352</v>
      </c>
      <c r="DR19" s="26">
        <f>預測IC!DR19</f>
        <v>7.5962353325048193E-2</v>
      </c>
      <c r="DS19" s="26">
        <f>預測IC!DS19</f>
        <v>-0.1779955469539703</v>
      </c>
      <c r="DT19" s="26">
        <f>預測IC!DT19</f>
        <v>-0.13312850061934939</v>
      </c>
      <c r="DU19" s="26">
        <f>預測IC!DU19</f>
        <v>-0.14283069805444029</v>
      </c>
      <c r="DV19" s="26">
        <f>預測IC!DV19</f>
        <v>0.119531844414402</v>
      </c>
      <c r="DW19" s="26">
        <f>預測IC!DW19</f>
        <v>6.0609139340684293E-2</v>
      </c>
      <c r="DX19" s="26">
        <f>預測IC!DX19</f>
        <v>-0.1383651342381777</v>
      </c>
      <c r="DY19" s="26">
        <f>預測IC!DY19</f>
        <v>7.0109577687923127E-2</v>
      </c>
      <c r="DZ19" s="26">
        <f>預測IC!DZ19</f>
        <v>-0.1119208288639931</v>
      </c>
      <c r="EA19" s="26">
        <f>預測IC!EA19</f>
        <v>-2.807935347566733E-2</v>
      </c>
      <c r="EB19" s="26">
        <f>預測IC!EB19</f>
        <v>2.1772770012778581E-2</v>
      </c>
      <c r="EC19" s="26">
        <f>預測IC!EC19</f>
        <v>-8.6215224985549642E-3</v>
      </c>
      <c r="ED19" s="26">
        <f>預測IC!ED19</f>
        <v>-0.15093531699015689</v>
      </c>
      <c r="EE19" s="26">
        <f>預測IC!EE19</f>
        <v>1.2634042940422471E-2</v>
      </c>
      <c r="EF19" s="26">
        <f>預測IC!EF19</f>
        <v>1.697795487476916E-2</v>
      </c>
      <c r="EG19" s="28">
        <f t="shared" si="10"/>
        <v>1.0788972787842894E-2</v>
      </c>
      <c r="EH19" s="1">
        <f t="shared" si="11"/>
        <v>0.11119746806949898</v>
      </c>
      <c r="EI19" s="28">
        <f t="shared" si="12"/>
        <v>9.7025345766863433E-2</v>
      </c>
    </row>
    <row r="20" spans="1:139">
      <c r="A20" s="22">
        <f>預測IC!A20</f>
        <v>192</v>
      </c>
      <c r="B20" s="22">
        <f>預測IC!B20</f>
        <v>5</v>
      </c>
      <c r="C20" s="26">
        <f>預測IC!C20</f>
        <v>-0.13932460396499161</v>
      </c>
      <c r="D20" s="26">
        <f>預測IC!D20</f>
        <v>0.38202580000000003</v>
      </c>
      <c r="E20" s="26">
        <f>預測IC!E20</f>
        <v>2.1392426787971309E-2</v>
      </c>
      <c r="F20" s="26">
        <f>預測IC!F20</f>
        <v>0.1824192</v>
      </c>
      <c r="G20" s="26">
        <f>預測IC!G20</f>
        <v>0.15802820000000001</v>
      </c>
      <c r="H20" s="26">
        <f>預測IC!H20</f>
        <v>0.14393220000000001</v>
      </c>
      <c r="I20" s="26">
        <f>預測IC!I20</f>
        <v>0.15814956260110169</v>
      </c>
      <c r="J20" s="26">
        <f>預測IC!J20</f>
        <v>-0.1332062</v>
      </c>
      <c r="K20" s="26">
        <f>預測IC!K20</f>
        <v>3.7403600000000002E-2</v>
      </c>
      <c r="L20" s="26">
        <f>預測IC!L20</f>
        <v>3.0693600000000008E-2</v>
      </c>
      <c r="M20" s="26">
        <f>預測IC!M20</f>
        <v>-0.26869399999999999</v>
      </c>
      <c r="N20" s="26">
        <f>預測IC!N20</f>
        <v>0.5000116</v>
      </c>
      <c r="O20" s="26">
        <f>預測IC!O20</f>
        <v>-0.1101138</v>
      </c>
      <c r="P20" s="26">
        <f>預測IC!P20</f>
        <v>-9.1169927668525261E-2</v>
      </c>
      <c r="Q20" s="26">
        <f>預測IC!Q20</f>
        <v>0.22482659999999999</v>
      </c>
      <c r="R20" s="26">
        <f>預測IC!R20</f>
        <v>6.646959999999999E-2</v>
      </c>
      <c r="S20" s="26">
        <f>預測IC!S20</f>
        <v>-0.16233622519024529</v>
      </c>
      <c r="T20" s="26">
        <f>預測IC!T20</f>
        <v>-0.1008458</v>
      </c>
      <c r="U20" s="26">
        <f>預測IC!U20</f>
        <v>3.2235E-2</v>
      </c>
      <c r="V20" s="26">
        <f>預測IC!V20</f>
        <v>-0.1362882</v>
      </c>
      <c r="W20" s="26">
        <f>預測IC!W20</f>
        <v>9.1084999999999999E-2</v>
      </c>
      <c r="X20" s="26">
        <f>預測IC!X20</f>
        <v>-0.1528338993769571</v>
      </c>
      <c r="Y20" s="26">
        <f>預測IC!Y20</f>
        <v>-4.8579999999999977E-3</v>
      </c>
      <c r="Z20" s="26">
        <f>預測IC!Z20</f>
        <v>2.9158400000000001E-2</v>
      </c>
      <c r="AA20" s="26">
        <f>預測IC!AA20</f>
        <v>6.6963999999999996E-2</v>
      </c>
      <c r="AB20" s="26">
        <f>預測IC!AB20</f>
        <v>-6.0422999999999998E-2</v>
      </c>
      <c r="AC20" s="26">
        <f>預測IC!AC20</f>
        <v>-9.6308199999999997E-2</v>
      </c>
      <c r="AD20" s="26">
        <f>預測IC!AD20</f>
        <v>0.1298426</v>
      </c>
      <c r="AE20" s="26">
        <f>預測IC!AE20</f>
        <v>-0.17528151456321139</v>
      </c>
      <c r="AF20" s="26">
        <f>預測IC!AF20</f>
        <v>-6.4676000000000004E-3</v>
      </c>
      <c r="AG20" s="26">
        <f>預測IC!AG20</f>
        <v>-6.2396000000000014E-3</v>
      </c>
      <c r="AH20" s="26">
        <f>預測IC!AH20</f>
        <v>-2.7809E-2</v>
      </c>
      <c r="AI20" s="26">
        <f>預測IC!AI20</f>
        <v>0.1163372</v>
      </c>
      <c r="AJ20" s="26">
        <f>預測IC!AJ20</f>
        <v>1.7240599999999991E-2</v>
      </c>
      <c r="AK20" s="26">
        <f>預測IC!AK20</f>
        <v>6.6968600000000003E-2</v>
      </c>
      <c r="AL20" s="26">
        <f>預測IC!AL20</f>
        <v>7.2893452036976947E-2</v>
      </c>
      <c r="AM20" s="26">
        <f>預測IC!AM20</f>
        <v>3.2738599999999993E-2</v>
      </c>
      <c r="AN20" s="26">
        <f>預測IC!AN20</f>
        <v>7.5470193518998266E-2</v>
      </c>
      <c r="AO20" s="26">
        <f>預測IC!AO20</f>
        <v>6.808599999999998E-2</v>
      </c>
      <c r="AP20" s="26">
        <f>預測IC!AP20</f>
        <v>-0.13173046125538779</v>
      </c>
      <c r="AQ20" s="26">
        <f>預測IC!AQ20</f>
        <v>-7.2898600000000008E-2</v>
      </c>
      <c r="AR20" s="26">
        <f>預測IC!AR20</f>
        <v>1.3289199999999999E-2</v>
      </c>
      <c r="AS20" s="26">
        <f>預測IC!AS20</f>
        <v>-0.112095809682817</v>
      </c>
      <c r="AT20" s="26">
        <f>預測IC!AT20</f>
        <v>5.858773760205771E-3</v>
      </c>
      <c r="AU20" s="26">
        <f>預測IC!AU20</f>
        <v>7.2899818140919309E-2</v>
      </c>
      <c r="AV20" s="26">
        <f>預測IC!AV20</f>
        <v>-5.4625713782478207E-2</v>
      </c>
      <c r="AW20" s="26">
        <f>預測IC!AW20</f>
        <v>6.8652681791509596E-3</v>
      </c>
      <c r="AX20" s="26">
        <f>預測IC!AX20</f>
        <v>0.11073254799870159</v>
      </c>
      <c r="AY20" s="26">
        <f>預測IC!AY20</f>
        <v>3.8674698442909439E-2</v>
      </c>
      <c r="AZ20" s="26">
        <f>預測IC!AZ20</f>
        <v>-0.21380243117708869</v>
      </c>
      <c r="BA20" s="26">
        <f>預測IC!BA20</f>
        <v>-5.4045134010306708E-2</v>
      </c>
      <c r="BB20" s="26">
        <f>預測IC!BB20</f>
        <v>0.1676554233765693</v>
      </c>
      <c r="BC20" s="26">
        <f>預測IC!BC20</f>
        <v>7.0605567677740205E-2</v>
      </c>
      <c r="BD20" s="26">
        <f>預測IC!BD20</f>
        <v>-5.3429813221597323E-2</v>
      </c>
      <c r="BE20" s="26">
        <f>預測IC!BE20</f>
        <v>-5.9467971392603326E-3</v>
      </c>
      <c r="BF20" s="26">
        <f>預測IC!BF20</f>
        <v>5.6885823313286886E-3</v>
      </c>
      <c r="BG20" s="26">
        <f>預測IC!BG20</f>
        <v>2.2494840460728811E-2</v>
      </c>
      <c r="BH20" s="26">
        <f>預測IC!BH20</f>
        <v>-7.1606447114111002E-2</v>
      </c>
      <c r="BI20" s="26">
        <f>預測IC!BI20</f>
        <v>0.13174526708517489</v>
      </c>
      <c r="BJ20" s="26">
        <f>預測IC!BJ20</f>
        <v>2.1629511833186621E-2</v>
      </c>
      <c r="BK20" s="26">
        <f>預測IC!BK20</f>
        <v>-5.9233167842827283E-2</v>
      </c>
      <c r="BL20" s="26">
        <f>預測IC!BL20</f>
        <v>8.6292231176454737E-2</v>
      </c>
      <c r="BM20" s="26">
        <f>預測IC!BM20</f>
        <v>0.1369176613284383</v>
      </c>
      <c r="BN20" s="26">
        <f>預測IC!BN20</f>
        <v>8.4339640777364208E-2</v>
      </c>
      <c r="BO20" s="26">
        <f>預測IC!BO20</f>
        <v>-3.8461717515979203E-2</v>
      </c>
      <c r="BP20" s="26">
        <f>預測IC!BP20</f>
        <v>6.0407520762954983E-2</v>
      </c>
      <c r="BQ20" s="26">
        <f>預測IC!BQ20</f>
        <v>1.5451706960843021E-2</v>
      </c>
      <c r="BR20" s="26">
        <f>預測IC!BR20</f>
        <v>8.200082575215574E-3</v>
      </c>
      <c r="BS20" s="26">
        <f>預測IC!BS20</f>
        <v>-2.122683588664995E-3</v>
      </c>
      <c r="BT20" s="26">
        <f>預測IC!BT20</f>
        <v>0.14780303317864721</v>
      </c>
      <c r="BU20" s="26">
        <f>預測IC!BU20</f>
        <v>9.8754949367706665E-2</v>
      </c>
      <c r="BV20" s="26">
        <f>預測IC!BV20</f>
        <v>0.11591833156307201</v>
      </c>
      <c r="BW20" s="26">
        <f>預測IC!BW20</f>
        <v>-0.13550325181247611</v>
      </c>
      <c r="BX20" s="26">
        <f>預測IC!BX20</f>
        <v>3.069363668324426E-2</v>
      </c>
      <c r="BY20" s="26">
        <f>預測IC!BY20</f>
        <v>-0.10523396636930341</v>
      </c>
      <c r="BZ20" s="26">
        <f>預測IC!BZ20</f>
        <v>9.02714042602836E-2</v>
      </c>
      <c r="CA20" s="26">
        <f>預測IC!CA20</f>
        <v>-1.9938221409499298E-3</v>
      </c>
      <c r="CB20" s="26">
        <f>預測IC!CB20</f>
        <v>-3.8251950010927849E-2</v>
      </c>
      <c r="CC20" s="26">
        <f>預測IC!CC20</f>
        <v>9.4695450831700639E-5</v>
      </c>
      <c r="CD20" s="26">
        <f>預測IC!CD20</f>
        <v>0.1810274974905971</v>
      </c>
      <c r="CE20" s="26">
        <f>預測IC!CE20</f>
        <v>-0.2439637954697331</v>
      </c>
      <c r="CF20" s="26">
        <f>預測IC!CF20</f>
        <v>8.0957937198676569E-2</v>
      </c>
      <c r="CG20" s="26">
        <f>預測IC!CG20</f>
        <v>-9.9052888530088784E-2</v>
      </c>
      <c r="CH20" s="26">
        <f>預測IC!CH20</f>
        <v>7.1864025597138351E-2</v>
      </c>
      <c r="CI20" s="26">
        <f>預測IC!CI20</f>
        <v>-3.0394673769081951E-2</v>
      </c>
      <c r="CJ20" s="26">
        <f>預測IC!CJ20</f>
        <v>-0.123440319887351</v>
      </c>
      <c r="CK20" s="26">
        <f>預測IC!CK20</f>
        <v>9.0978396750106633E-2</v>
      </c>
      <c r="CL20" s="26">
        <f>預測IC!CL20</f>
        <v>-9.2184934189128986E-2</v>
      </c>
      <c r="CM20" s="26">
        <f>預測IC!CM20</f>
        <v>0.18905116517062071</v>
      </c>
      <c r="CN20" s="26">
        <f>預測IC!CN20</f>
        <v>2.215941137048465E-2</v>
      </c>
      <c r="CO20" s="26">
        <f>預測IC!CO20</f>
        <v>-0.41597133516901241</v>
      </c>
      <c r="CP20" s="26">
        <f>預測IC!CP20</f>
        <v>0.1920312051090273</v>
      </c>
      <c r="CQ20" s="26">
        <f>預測IC!CQ20</f>
        <v>6.1113579290622234E-3</v>
      </c>
      <c r="CR20" s="26">
        <f>預測IC!CR20</f>
        <v>7.3116244505850386E-2</v>
      </c>
      <c r="CS20" s="26">
        <f>預測IC!CS20</f>
        <v>8.8364277012261461E-2</v>
      </c>
      <c r="CT20" s="26">
        <f>預測IC!CT20</f>
        <v>9.0474037414266281E-2</v>
      </c>
      <c r="CU20" s="26">
        <f>預測IC!CU20</f>
        <v>-0.10410089779242621</v>
      </c>
      <c r="CV20" s="26">
        <f>預測IC!CV20</f>
        <v>9.2511075695426118E-2</v>
      </c>
      <c r="CW20" s="26">
        <f>預測IC!CW20</f>
        <v>9.9530629212826391E-3</v>
      </c>
      <c r="CX20" s="26">
        <f>預測IC!CX20</f>
        <v>9.0298550867764463E-2</v>
      </c>
      <c r="CY20" s="26">
        <f>預測IC!CY20</f>
        <v>-1.247973266829688E-2</v>
      </c>
      <c r="CZ20" s="26">
        <f>預測IC!CZ20</f>
        <v>0.15516164514919831</v>
      </c>
      <c r="DA20" s="26">
        <f>預測IC!DA20</f>
        <v>-4.7471893155177573E-2</v>
      </c>
      <c r="DB20" s="26">
        <f>預測IC!DB20</f>
        <v>-5.6902709757134122E-2</v>
      </c>
      <c r="DC20" s="26">
        <f>預測IC!DC20</f>
        <v>-4.7084133307763107E-2</v>
      </c>
      <c r="DD20" s="26">
        <f>預測IC!DD20</f>
        <v>-0.14810881433882259</v>
      </c>
      <c r="DE20" s="26">
        <f>預測IC!DE20</f>
        <v>-2.674986392092854E-2</v>
      </c>
      <c r="DF20" s="26">
        <f>預測IC!DF20</f>
        <v>8.591215324206241E-4</v>
      </c>
      <c r="DG20" s="26">
        <f>預測IC!DG20</f>
        <v>-4.2022106203706937E-3</v>
      </c>
      <c r="DH20" s="26">
        <f>預測IC!DH20</f>
        <v>-1.097541174252706E-2</v>
      </c>
      <c r="DI20" s="26">
        <f>預測IC!DI20</f>
        <v>-7.7575680139924984E-3</v>
      </c>
      <c r="DJ20" s="26">
        <f>預測IC!DJ20</f>
        <v>-3.9459946268887811E-2</v>
      </c>
      <c r="DK20" s="26">
        <f>預測IC!DK20</f>
        <v>8.4953981446054899E-2</v>
      </c>
      <c r="DL20" s="26">
        <f>預測IC!DL20</f>
        <v>7.5826636178542531E-2</v>
      </c>
      <c r="DM20" s="26">
        <f>預測IC!DM20</f>
        <v>9.2836502794370751E-3</v>
      </c>
      <c r="DN20" s="26">
        <f>預測IC!DN20</f>
        <v>5.8019206654199171E-2</v>
      </c>
      <c r="DO20" s="26">
        <f>預測IC!DO20</f>
        <v>6.5815801837970381E-2</v>
      </c>
      <c r="DP20" s="26">
        <f>預測IC!DP20</f>
        <v>9.8305313908873052E-3</v>
      </c>
      <c r="DQ20" s="26">
        <f>預測IC!DQ20</f>
        <v>-0.19132953845628339</v>
      </c>
      <c r="DR20" s="26">
        <f>預測IC!DR20</f>
        <v>7.8512660028290493E-2</v>
      </c>
      <c r="DS20" s="26">
        <f>預測IC!DS20</f>
        <v>-0.20608109757835469</v>
      </c>
      <c r="DT20" s="26">
        <f>預測IC!DT20</f>
        <v>-0.12727470188755299</v>
      </c>
      <c r="DU20" s="26">
        <f>預測IC!DU20</f>
        <v>-0.1720691072058694</v>
      </c>
      <c r="DV20" s="26">
        <f>預測IC!DV20</f>
        <v>0.12934547183885869</v>
      </c>
      <c r="DW20" s="26">
        <f>預測IC!DW20</f>
        <v>6.9060203958039607E-2</v>
      </c>
      <c r="DX20" s="26">
        <f>預測IC!DX20</f>
        <v>-0.15386632960631469</v>
      </c>
      <c r="DY20" s="26">
        <f>預測IC!DY20</f>
        <v>5.3618609351648763E-2</v>
      </c>
      <c r="DZ20" s="26">
        <f>預測IC!DZ20</f>
        <v>-8.4474578309692155E-2</v>
      </c>
      <c r="EA20" s="26">
        <f>預測IC!EA20</f>
        <v>1.3808726201357891E-2</v>
      </c>
      <c r="EB20" s="26">
        <f>預測IC!EB20</f>
        <v>2.7389157853987239E-2</v>
      </c>
      <c r="EC20" s="26">
        <f>預測IC!EC20</f>
        <v>3.4049581413941779E-2</v>
      </c>
      <c r="ED20" s="26">
        <f>預測IC!ED20</f>
        <v>-0.17691886106701021</v>
      </c>
      <c r="EE20" s="26">
        <f>預測IC!EE20</f>
        <v>2.3672309273819309E-3</v>
      </c>
      <c r="EF20" s="26">
        <f>預測IC!EF20</f>
        <v>2.0281416615907238E-2</v>
      </c>
      <c r="EG20" s="28">
        <f t="shared" si="10"/>
        <v>7.233146461697774E-3</v>
      </c>
      <c r="EH20" s="1">
        <f t="shared" si="11"/>
        <v>0.11958954876292718</v>
      </c>
      <c r="EI20" s="28">
        <f t="shared" si="12"/>
        <v>6.0483098535948757E-2</v>
      </c>
    </row>
    <row r="21" spans="1:139">
      <c r="A21" s="22">
        <f>預測IC!A21</f>
        <v>241</v>
      </c>
      <c r="B21" s="22">
        <f>預測IC!B21</f>
        <v>4</v>
      </c>
      <c r="C21" s="26">
        <f>預測IC!C21</f>
        <v>-0.19764916434148611</v>
      </c>
      <c r="D21" s="26">
        <f>預測IC!D21</f>
        <v>0.126389</v>
      </c>
      <c r="E21" s="26">
        <f>預測IC!E21</f>
        <v>-2.7935227079184388E-4</v>
      </c>
      <c r="F21" s="26">
        <f>預測IC!F21</f>
        <v>0.20341300000000001</v>
      </c>
      <c r="G21" s="26">
        <f>預測IC!G21</f>
        <v>0.14533199999999999</v>
      </c>
      <c r="H21" s="26">
        <f>預測IC!H21</f>
        <v>0.162164</v>
      </c>
      <c r="I21" s="26">
        <f>預測IC!I21</f>
        <v>0.14725560812747299</v>
      </c>
      <c r="J21" s="26">
        <f>預測IC!J21</f>
        <v>-0.13674149999999999</v>
      </c>
      <c r="K21" s="26">
        <f>預測IC!K21</f>
        <v>1.4699999999999991E-3</v>
      </c>
      <c r="L21" s="26">
        <f>預測IC!L21</f>
        <v>-5.030999999999999E-3</v>
      </c>
      <c r="M21" s="26">
        <f>預測IC!M21</f>
        <v>-0.19988500000000001</v>
      </c>
      <c r="N21" s="26">
        <f>預測IC!N21</f>
        <v>0.58489049999999998</v>
      </c>
      <c r="O21" s="26">
        <f>預測IC!O21</f>
        <v>-0.13927724999999999</v>
      </c>
      <c r="P21" s="26">
        <f>預測IC!P21</f>
        <v>-0.14477260088968491</v>
      </c>
      <c r="Q21" s="26">
        <f>預測IC!Q21</f>
        <v>0.27408575000000002</v>
      </c>
      <c r="R21" s="26">
        <f>預測IC!R21</f>
        <v>8.4905250000000002E-2</v>
      </c>
      <c r="S21" s="26">
        <f>預測IC!S21</f>
        <v>-0.12859028544995699</v>
      </c>
      <c r="T21" s="26">
        <f>預測IC!T21</f>
        <v>-0.13111999999999999</v>
      </c>
      <c r="U21" s="26">
        <f>預測IC!U21</f>
        <v>-9.8267499999999952E-3</v>
      </c>
      <c r="V21" s="26">
        <f>預測IC!V21</f>
        <v>-0.13175025000000001</v>
      </c>
      <c r="W21" s="26">
        <f>預測IC!W21</f>
        <v>0.12449875000000001</v>
      </c>
      <c r="X21" s="26">
        <f>預測IC!X21</f>
        <v>-0.19733717858364669</v>
      </c>
      <c r="Y21" s="26">
        <f>預測IC!Y21</f>
        <v>-1.01475E-2</v>
      </c>
      <c r="Z21" s="26">
        <f>預測IC!Z21</f>
        <v>3.9459000000000001E-2</v>
      </c>
      <c r="AA21" s="26">
        <f>預測IC!AA21</f>
        <v>2.8035500000000001E-2</v>
      </c>
      <c r="AB21" s="26">
        <f>預測IC!AB21</f>
        <v>-6.5286999999999998E-2</v>
      </c>
      <c r="AC21" s="26">
        <f>預測IC!AC21</f>
        <v>-0.15954125</v>
      </c>
      <c r="AD21" s="26">
        <f>預測IC!AD21</f>
        <v>0.12882450000000001</v>
      </c>
      <c r="AE21" s="26">
        <f>預測IC!AE21</f>
        <v>-0.24045611049318669</v>
      </c>
      <c r="AF21" s="26">
        <f>預測IC!AF21</f>
        <v>-3.3565499999999998E-2</v>
      </c>
      <c r="AG21" s="26">
        <f>預測IC!AG21</f>
        <v>-1.0567999999999999E-2</v>
      </c>
      <c r="AH21" s="26">
        <f>預測IC!AH21</f>
        <v>-4.3409250000000003E-2</v>
      </c>
      <c r="AI21" s="26">
        <f>預測IC!AI21</f>
        <v>0.10212425</v>
      </c>
      <c r="AJ21" s="26">
        <f>預測IC!AJ21</f>
        <v>5.1835000000000006E-3</v>
      </c>
      <c r="AK21" s="26">
        <f>預測IC!AK21</f>
        <v>0.1049905</v>
      </c>
      <c r="AL21" s="26">
        <f>預測IC!AL21</f>
        <v>6.5379822733110632E-2</v>
      </c>
      <c r="AM21" s="26">
        <f>預測IC!AM21</f>
        <v>3.6710749999999993E-2</v>
      </c>
      <c r="AN21" s="26">
        <f>預測IC!AN21</f>
        <v>0.11195605606309431</v>
      </c>
      <c r="AO21" s="26">
        <f>預測IC!AO21</f>
        <v>9.498574999999998E-2</v>
      </c>
      <c r="AP21" s="26">
        <f>預測IC!AP21</f>
        <v>-6.239055369893616E-2</v>
      </c>
      <c r="AQ21" s="26">
        <f>預測IC!AQ21</f>
        <v>-6.7198250000000001E-2</v>
      </c>
      <c r="AR21" s="26">
        <f>預測IC!AR21</f>
        <v>-4.7988250000000003E-2</v>
      </c>
      <c r="AS21" s="26">
        <f>預測IC!AS21</f>
        <v>-6.4455868646629361E-2</v>
      </c>
      <c r="AT21" s="26">
        <f>預測IC!AT21</f>
        <v>-2.4929112771550628E-3</v>
      </c>
      <c r="AU21" s="26">
        <f>預測IC!AU21</f>
        <v>4.7809631508957028E-2</v>
      </c>
      <c r="AV21" s="26">
        <f>預測IC!AV21</f>
        <v>-5.5520780062133721E-2</v>
      </c>
      <c r="AW21" s="26">
        <f>預測IC!AW21</f>
        <v>9.7910299540974015E-3</v>
      </c>
      <c r="AX21" s="26">
        <f>預測IC!AX21</f>
        <v>0.1431476874697567</v>
      </c>
      <c r="AY21" s="26">
        <f>預測IC!AY21</f>
        <v>4.7021290978038012E-2</v>
      </c>
      <c r="AZ21" s="26">
        <f>預測IC!AZ21</f>
        <v>-0.25491126989713642</v>
      </c>
      <c r="BA21" s="26">
        <f>預測IC!BA21</f>
        <v>-7.1032181648085849E-2</v>
      </c>
      <c r="BB21" s="26">
        <f>預測IC!BB21</f>
        <v>0.22559566882491369</v>
      </c>
      <c r="BC21" s="26">
        <f>預測IC!BC21</f>
        <v>3.8321147725193877E-2</v>
      </c>
      <c r="BD21" s="26">
        <f>預測IC!BD21</f>
        <v>-2.1750863370627919E-2</v>
      </c>
      <c r="BE21" s="26">
        <f>預測IC!BE21</f>
        <v>6.3505333974014731E-3</v>
      </c>
      <c r="BF21" s="26">
        <f>預測IC!BF21</f>
        <v>3.5771001804346838E-3</v>
      </c>
      <c r="BG21" s="26">
        <f>預測IC!BG21</f>
        <v>5.0020540436469169E-2</v>
      </c>
      <c r="BH21" s="26">
        <f>預測IC!BH21</f>
        <v>-7.6321363138755302E-2</v>
      </c>
      <c r="BI21" s="26">
        <f>預測IC!BI21</f>
        <v>0.1659695961783918</v>
      </c>
      <c r="BJ21" s="26">
        <f>預測IC!BJ21</f>
        <v>2.3579026181717661E-2</v>
      </c>
      <c r="BK21" s="26">
        <f>預測IC!BK21</f>
        <v>-6.8449880379534783E-2</v>
      </c>
      <c r="BL21" s="26">
        <f>預測IC!BL21</f>
        <v>0.1427210926463498</v>
      </c>
      <c r="BM21" s="26">
        <f>預測IC!BM21</f>
        <v>0.15512000392109981</v>
      </c>
      <c r="BN21" s="26">
        <f>預測IC!BN21</f>
        <v>6.3647947992248044E-2</v>
      </c>
      <c r="BO21" s="26">
        <f>預測IC!BO21</f>
        <v>-1.066839155318992E-2</v>
      </c>
      <c r="BP21" s="26">
        <f>預測IC!BP21</f>
        <v>0.1045091294194143</v>
      </c>
      <c r="BQ21" s="26">
        <f>預測IC!BQ21</f>
        <v>5.4542230834504879E-2</v>
      </c>
      <c r="BR21" s="26">
        <f>預測IC!BR21</f>
        <v>1.3963257139615239E-2</v>
      </c>
      <c r="BS21" s="26">
        <f>預測IC!BS21</f>
        <v>-2.5079854410496889E-2</v>
      </c>
      <c r="BT21" s="26">
        <f>預測IC!BT21</f>
        <v>0.13224469397444291</v>
      </c>
      <c r="BU21" s="26">
        <f>預測IC!BU21</f>
        <v>0.120820939350189</v>
      </c>
      <c r="BV21" s="26">
        <f>預測IC!BV21</f>
        <v>0.14214300018545339</v>
      </c>
      <c r="BW21" s="26">
        <f>預測IC!BW21</f>
        <v>-0.146679196935731</v>
      </c>
      <c r="BX21" s="26">
        <f>預測IC!BX21</f>
        <v>-1.540792756631305E-2</v>
      </c>
      <c r="BY21" s="26">
        <f>預測IC!BY21</f>
        <v>-5.0379851218116528E-2</v>
      </c>
      <c r="BZ21" s="26">
        <f>預測IC!BZ21</f>
        <v>9.8156710439898404E-2</v>
      </c>
      <c r="CA21" s="26">
        <f>預測IC!CA21</f>
        <v>-2.4556068552787459E-2</v>
      </c>
      <c r="CB21" s="26">
        <f>預測IC!CB21</f>
        <v>-0.1122436107991584</v>
      </c>
      <c r="CC21" s="26">
        <f>預測IC!CC21</f>
        <v>-4.6693549468963022E-2</v>
      </c>
      <c r="CD21" s="26">
        <f>預測IC!CD21</f>
        <v>0.28805606436247322</v>
      </c>
      <c r="CE21" s="26">
        <f>預測IC!CE21</f>
        <v>-0.30558931087650909</v>
      </c>
      <c r="CF21" s="26">
        <f>預測IC!CF21</f>
        <v>0.13126567680107229</v>
      </c>
      <c r="CG21" s="26">
        <f>預測IC!CG21</f>
        <v>-0.14375118915768581</v>
      </c>
      <c r="CH21" s="26">
        <f>預測IC!CH21</f>
        <v>8.0100321076211733E-2</v>
      </c>
      <c r="CI21" s="26">
        <f>預測IC!CI21</f>
        <v>-8.0499616390982326E-2</v>
      </c>
      <c r="CJ21" s="26">
        <f>預測IC!CJ21</f>
        <v>-7.1754661956045684E-2</v>
      </c>
      <c r="CK21" s="26">
        <f>預測IC!CK21</f>
        <v>0.12705054673013411</v>
      </c>
      <c r="CL21" s="26">
        <f>預測IC!CL21</f>
        <v>-0.2104523758541085</v>
      </c>
      <c r="CM21" s="26">
        <f>預測IC!CM21</f>
        <v>0.2255029884033713</v>
      </c>
      <c r="CN21" s="26">
        <f>預測IC!CN21</f>
        <v>3.05388902037756E-2</v>
      </c>
      <c r="CO21" s="26">
        <f>預測IC!CO21</f>
        <v>-0.51486524859759264</v>
      </c>
      <c r="CP21" s="26">
        <f>預測IC!CP21</f>
        <v>0.22270006087791269</v>
      </c>
      <c r="CQ21" s="26">
        <f>預測IC!CQ21</f>
        <v>3.2880917250907721E-3</v>
      </c>
      <c r="CR21" s="26">
        <f>預測IC!CR21</f>
        <v>9.0824277979679707E-2</v>
      </c>
      <c r="CS21" s="26">
        <f>預測IC!CS21</f>
        <v>6.9646396146771747E-2</v>
      </c>
      <c r="CT21" s="26">
        <f>預測IC!CT21</f>
        <v>8.2292872854338978E-2</v>
      </c>
      <c r="CU21" s="26">
        <f>預測IC!CU21</f>
        <v>-6.2673560169491313E-2</v>
      </c>
      <c r="CV21" s="26">
        <f>預測IC!CV21</f>
        <v>9.8225632021386913E-2</v>
      </c>
      <c r="CW21" s="26">
        <f>預測IC!CW21</f>
        <v>6.5005417280988659E-2</v>
      </c>
      <c r="CX21" s="26">
        <f>預測IC!CX21</f>
        <v>0.1021221756574071</v>
      </c>
      <c r="CY21" s="26">
        <f>預測IC!CY21</f>
        <v>-8.4819164039144704E-3</v>
      </c>
      <c r="CZ21" s="26">
        <f>預測IC!CZ21</f>
        <v>0.2374513708258302</v>
      </c>
      <c r="DA21" s="26">
        <f>預測IC!DA21</f>
        <v>1.192256456731756E-3</v>
      </c>
      <c r="DB21" s="26">
        <f>預測IC!DB21</f>
        <v>-3.4463408988165301E-2</v>
      </c>
      <c r="DC21" s="26">
        <f>預測IC!DC21</f>
        <v>-3.8546270664913319E-2</v>
      </c>
      <c r="DD21" s="26">
        <f>預測IC!DD21</f>
        <v>0.121322688868649</v>
      </c>
      <c r="DE21" s="26">
        <f>預測IC!DE21</f>
        <v>1.2238108588318921E-2</v>
      </c>
      <c r="DF21" s="26">
        <f>預測IC!DF21</f>
        <v>7.7285592716186992E-3</v>
      </c>
      <c r="DG21" s="26">
        <f>預測IC!DG21</f>
        <v>7.8463781285332893E-3</v>
      </c>
      <c r="DH21" s="26">
        <f>預測IC!DH21</f>
        <v>1.407682021245452E-2</v>
      </c>
      <c r="DI21" s="26">
        <f>預測IC!DI21</f>
        <v>3.4407478280179482E-2</v>
      </c>
      <c r="DJ21" s="26">
        <f>預測IC!DJ21</f>
        <v>-3.7911313190560098E-2</v>
      </c>
      <c r="DK21" s="26">
        <f>預測IC!DK21</f>
        <v>0.13950270681890459</v>
      </c>
      <c r="DL21" s="26">
        <f>預測IC!DL21</f>
        <v>9.8364938839376553E-2</v>
      </c>
      <c r="DM21" s="26">
        <f>預測IC!DM21</f>
        <v>-2.9834119642240212E-2</v>
      </c>
      <c r="DN21" s="26">
        <f>預測IC!DN21</f>
        <v>6.1960781446788349E-2</v>
      </c>
      <c r="DO21" s="26">
        <f>預測IC!DO21</f>
        <v>8.2445792330679737E-2</v>
      </c>
      <c r="DP21" s="26">
        <f>預測IC!DP21</f>
        <v>2.426615509356601E-2</v>
      </c>
      <c r="DQ21" s="26">
        <f>預測IC!DQ21</f>
        <v>-0.12775339309865241</v>
      </c>
      <c r="DR21" s="26">
        <f>預測IC!DR21</f>
        <v>5.0170859037080733E-2</v>
      </c>
      <c r="DS21" s="26">
        <f>預測IC!DS21</f>
        <v>-0.20083947383729561</v>
      </c>
      <c r="DT21" s="26">
        <f>預測IC!DT21</f>
        <v>-0.17057080268546079</v>
      </c>
      <c r="DU21" s="26">
        <f>預測IC!DU21</f>
        <v>-2.8090293996378659E-2</v>
      </c>
      <c r="DV21" s="26">
        <f>預測IC!DV21</f>
        <v>0.140275976869878</v>
      </c>
      <c r="DW21" s="26">
        <f>預測IC!DW21</f>
        <v>0.11934721737400381</v>
      </c>
      <c r="DX21" s="26">
        <f>預測IC!DX21</f>
        <v>-0.18596621403118341</v>
      </c>
      <c r="DY21" s="26">
        <f>預測IC!DY21</f>
        <v>2.459599553801604E-2</v>
      </c>
      <c r="DZ21" s="26">
        <f>預測IC!DZ21</f>
        <v>-5.2844066560288887E-2</v>
      </c>
      <c r="EA21" s="26">
        <f>預測IC!EA21</f>
        <v>-2.625089648126052E-2</v>
      </c>
      <c r="EB21" s="26">
        <f>預測IC!EB21</f>
        <v>8.4081461705858979E-3</v>
      </c>
      <c r="EC21" s="26">
        <f>預測IC!EC21</f>
        <v>3.0649685027988702E-3</v>
      </c>
      <c r="ED21" s="26">
        <f>預測IC!ED21</f>
        <v>-5.4498856348180663E-2</v>
      </c>
      <c r="EE21" s="26">
        <f>預測IC!EE21</f>
        <v>1.4428852108417999E-2</v>
      </c>
      <c r="EF21" s="26">
        <f>預測IC!EF21</f>
        <v>-7.9916028560319194E-3</v>
      </c>
      <c r="EG21" s="28">
        <f t="shared" si="10"/>
        <v>1.1774157105267505E-2</v>
      </c>
      <c r="EH21" s="1">
        <f t="shared" si="11"/>
        <v>0.13141356878283258</v>
      </c>
      <c r="EI21" s="28">
        <f t="shared" si="12"/>
        <v>8.9596205432369638E-2</v>
      </c>
    </row>
    <row r="22" spans="1:139">
      <c r="A22" s="22">
        <f>預測IC!A22</f>
        <v>321</v>
      </c>
      <c r="B22" s="22">
        <f>預測IC!B22</f>
        <v>3</v>
      </c>
      <c r="C22" s="26">
        <f>預測IC!C22</f>
        <v>6.4235717628454689E-2</v>
      </c>
      <c r="D22" s="26">
        <f>預測IC!D22</f>
        <v>0.1424293333333333</v>
      </c>
      <c r="E22" s="26">
        <f>預測IC!E22</f>
        <v>-4.1027532000619052E-2</v>
      </c>
      <c r="F22" s="26">
        <f>預測IC!F22</f>
        <v>-0.13986799999999999</v>
      </c>
      <c r="G22" s="26">
        <f>預測IC!G22</f>
        <v>0.23294533333333339</v>
      </c>
      <c r="H22" s="26">
        <f>預測IC!H22</f>
        <v>0.124178</v>
      </c>
      <c r="I22" s="26">
        <f>預測IC!I22</f>
        <v>0.12349316933806979</v>
      </c>
      <c r="J22" s="26">
        <f>預測IC!J22</f>
        <v>-0.104252</v>
      </c>
      <c r="K22" s="26">
        <f>預測IC!K22</f>
        <v>2.865666666666666E-2</v>
      </c>
      <c r="L22" s="26">
        <f>預測IC!L22</f>
        <v>1.427200000000001E-2</v>
      </c>
      <c r="M22" s="26">
        <f>預測IC!M22</f>
        <v>-0.18466333333333329</v>
      </c>
      <c r="N22" s="26">
        <f>預測IC!N22</f>
        <v>0.75614233333333325</v>
      </c>
      <c r="O22" s="26">
        <f>預測IC!O22</f>
        <v>-6.6442333333333325E-2</v>
      </c>
      <c r="P22" s="26">
        <f>預測IC!P22</f>
        <v>-7.2782884128816977E-2</v>
      </c>
      <c r="Q22" s="26">
        <f>預測IC!Q22</f>
        <v>0.12727466666666659</v>
      </c>
      <c r="R22" s="26">
        <f>預測IC!R22</f>
        <v>6.6697666666666655E-2</v>
      </c>
      <c r="S22" s="26">
        <f>預測IC!S22</f>
        <v>-0.16964655555794059</v>
      </c>
      <c r="T22" s="26">
        <f>預測IC!T22</f>
        <v>-0.104848</v>
      </c>
      <c r="U22" s="26">
        <f>預測IC!U22</f>
        <v>5.2484333333333327E-2</v>
      </c>
      <c r="V22" s="26">
        <f>預測IC!V22</f>
        <v>-0.17562366666666671</v>
      </c>
      <c r="W22" s="26">
        <f>預測IC!W22</f>
        <v>0.15804799999999999</v>
      </c>
      <c r="X22" s="26">
        <f>預測IC!X22</f>
        <v>-0.214900047729565</v>
      </c>
      <c r="Y22" s="26">
        <f>預測IC!Y22</f>
        <v>-6.9857333333333327E-2</v>
      </c>
      <c r="Z22" s="26">
        <f>預測IC!Z22</f>
        <v>2.3868E-2</v>
      </c>
      <c r="AA22" s="26">
        <f>預測IC!AA22</f>
        <v>0.1181226666666667</v>
      </c>
      <c r="AB22" s="26">
        <f>預測IC!AB22</f>
        <v>-3.8273333333333333E-2</v>
      </c>
      <c r="AC22" s="26">
        <f>預測IC!AC22</f>
        <v>-0.1772113333333333</v>
      </c>
      <c r="AD22" s="26">
        <f>預測IC!AD22</f>
        <v>1.3571333333333329E-2</v>
      </c>
      <c r="AE22" s="26">
        <f>預測IC!AE22</f>
        <v>-0.26268572135214352</v>
      </c>
      <c r="AF22" s="26">
        <f>預測IC!AF22</f>
        <v>-8.6403333333333332E-2</v>
      </c>
      <c r="AG22" s="26">
        <f>預測IC!AG22</f>
        <v>-4.5970333333333342E-2</v>
      </c>
      <c r="AH22" s="26">
        <f>預測IC!AH22</f>
        <v>4.8666666666666818E-4</v>
      </c>
      <c r="AI22" s="26">
        <f>預測IC!AI22</f>
        <v>0.1110046666666667</v>
      </c>
      <c r="AJ22" s="26">
        <f>預測IC!AJ22</f>
        <v>1.308133333333333E-2</v>
      </c>
      <c r="AK22" s="26">
        <f>預測IC!AK22</f>
        <v>-6.8266666666666656E-2</v>
      </c>
      <c r="AL22" s="26">
        <f>預測IC!AL22</f>
        <v>4.0340966806900407E-2</v>
      </c>
      <c r="AM22" s="26">
        <f>預測IC!AM22</f>
        <v>4.1473333333333327E-2</v>
      </c>
      <c r="AN22" s="26">
        <f>預測IC!AN22</f>
        <v>0.1111328096635593</v>
      </c>
      <c r="AO22" s="26">
        <f>預測IC!AO22</f>
        <v>0.19067300000000001</v>
      </c>
      <c r="AP22" s="26">
        <f>預測IC!AP22</f>
        <v>-6.2536353887992696E-2</v>
      </c>
      <c r="AQ22" s="26">
        <f>預測IC!AQ22</f>
        <v>-0.1101293333333333</v>
      </c>
      <c r="AR22" s="26">
        <f>預測IC!AR22</f>
        <v>-6.7924666666666661E-2</v>
      </c>
      <c r="AS22" s="26">
        <f>預測IC!AS22</f>
        <v>-8.2810438898549957E-2</v>
      </c>
      <c r="AT22" s="26">
        <f>預測IC!AT22</f>
        <v>6.5803903490195548E-3</v>
      </c>
      <c r="AU22" s="26">
        <f>預測IC!AU22</f>
        <v>5.3142791700378257E-2</v>
      </c>
      <c r="AV22" s="26">
        <f>預測IC!AV22</f>
        <v>-5.9813176675879959E-2</v>
      </c>
      <c r="AW22" s="26">
        <f>預測IC!AW22</f>
        <v>-3.014938920700894E-2</v>
      </c>
      <c r="AX22" s="26">
        <f>預測IC!AX22</f>
        <v>0.17376339998002421</v>
      </c>
      <c r="AY22" s="26">
        <f>預測IC!AY22</f>
        <v>7.1733385334230598E-2</v>
      </c>
      <c r="AZ22" s="26">
        <f>預測IC!AZ22</f>
        <v>-0.1549037783211521</v>
      </c>
      <c r="BA22" s="26">
        <f>預測IC!BA22</f>
        <v>-4.5598425167461952E-2</v>
      </c>
      <c r="BB22" s="26">
        <f>預測IC!BB22</f>
        <v>0.30192994454042299</v>
      </c>
      <c r="BC22" s="26">
        <f>預測IC!BC22</f>
        <v>-0.13083693812295519</v>
      </c>
      <c r="BD22" s="26">
        <f>預測IC!BD22</f>
        <v>1.294738984257221E-2</v>
      </c>
      <c r="BE22" s="26">
        <f>預測IC!BE22</f>
        <v>2.221618339448047E-2</v>
      </c>
      <c r="BF22" s="26">
        <f>預測IC!BF22</f>
        <v>1.363881733831962E-2</v>
      </c>
      <c r="BG22" s="26">
        <f>預測IC!BG22</f>
        <v>4.6279512168386029E-2</v>
      </c>
      <c r="BH22" s="26">
        <f>預測IC!BH22</f>
        <v>-0.12796054233813189</v>
      </c>
      <c r="BI22" s="26">
        <f>預測IC!BI22</f>
        <v>0.111088719409907</v>
      </c>
      <c r="BJ22" s="26">
        <f>預測IC!BJ22</f>
        <v>5.4996415150720922E-2</v>
      </c>
      <c r="BK22" s="26">
        <f>預測IC!BK22</f>
        <v>-4.1839635933665138E-2</v>
      </c>
      <c r="BL22" s="26">
        <f>預測IC!BL22</f>
        <v>0.16178033907103531</v>
      </c>
      <c r="BM22" s="26">
        <f>預測IC!BM22</f>
        <v>0.1056044769577115</v>
      </c>
      <c r="BN22" s="26">
        <f>預測IC!BN22</f>
        <v>-1.5327552023042271E-2</v>
      </c>
      <c r="BO22" s="26">
        <f>預測IC!BO22</f>
        <v>-9.7012895523605869E-2</v>
      </c>
      <c r="BP22" s="26">
        <f>預測IC!BP22</f>
        <v>7.4835550155106345E-2</v>
      </c>
      <c r="BQ22" s="26">
        <f>預測IC!BQ22</f>
        <v>2.7830097398312589E-2</v>
      </c>
      <c r="BR22" s="26">
        <f>預測IC!BR22</f>
        <v>2.081360946645289E-2</v>
      </c>
      <c r="BS22" s="26">
        <f>預測IC!BS22</f>
        <v>-1.637278237679916E-2</v>
      </c>
      <c r="BT22" s="26">
        <f>預測IC!BT22</f>
        <v>0.13053070333654609</v>
      </c>
      <c r="BU22" s="26">
        <f>預測IC!BU22</f>
        <v>0.21294876613801031</v>
      </c>
      <c r="BV22" s="26">
        <f>預測IC!BV22</f>
        <v>0.1585439723976089</v>
      </c>
      <c r="BW22" s="26">
        <f>預測IC!BW22</f>
        <v>-0.1746684979276073</v>
      </c>
      <c r="BX22" s="26">
        <f>預測IC!BX22</f>
        <v>3.6637445691972373E-2</v>
      </c>
      <c r="BY22" s="26">
        <f>預測IC!BY22</f>
        <v>-4.7467864027346263E-3</v>
      </c>
      <c r="BZ22" s="26">
        <f>預測IC!BZ22</f>
        <v>4.725773586289217E-2</v>
      </c>
      <c r="CA22" s="26">
        <f>預測IC!CA22</f>
        <v>-2.749007848032349E-2</v>
      </c>
      <c r="CB22" s="26">
        <f>預測IC!CB22</f>
        <v>-0.14899327824592659</v>
      </c>
      <c r="CC22" s="26">
        <f>預測IC!CC22</f>
        <v>-1.498570343815637E-2</v>
      </c>
      <c r="CD22" s="26">
        <f>預測IC!CD22</f>
        <v>0.33387803671272293</v>
      </c>
      <c r="CE22" s="26">
        <f>預測IC!CE22</f>
        <v>-0.39338733910427809</v>
      </c>
      <c r="CF22" s="26">
        <f>預測IC!CF22</f>
        <v>0.18879978576027739</v>
      </c>
      <c r="CG22" s="26">
        <f>預測IC!CG22</f>
        <v>-0.20326309220258709</v>
      </c>
      <c r="CH22" s="26">
        <f>預測IC!CH22</f>
        <v>0.1159187712794482</v>
      </c>
      <c r="CI22" s="26">
        <f>預測IC!CI22</f>
        <v>-0.1177797462783592</v>
      </c>
      <c r="CJ22" s="26">
        <f>預測IC!CJ22</f>
        <v>-0.1033795050895627</v>
      </c>
      <c r="CK22" s="26">
        <f>預測IC!CK22</f>
        <v>3.6163342604682402E-2</v>
      </c>
      <c r="CL22" s="26">
        <f>預測IC!CL22</f>
        <v>-0.2406517986250408</v>
      </c>
      <c r="CM22" s="26">
        <f>預測IC!CM22</f>
        <v>0.30176025790948191</v>
      </c>
      <c r="CN22" s="26">
        <f>預測IC!CN22</f>
        <v>-8.5467718209073992E-3</v>
      </c>
      <c r="CO22" s="26">
        <f>預測IC!CO22</f>
        <v>-0.64995646824915565</v>
      </c>
      <c r="CP22" s="26">
        <f>預測IC!CP22</f>
        <v>0.25940855696940252</v>
      </c>
      <c r="CQ22" s="26">
        <f>預測IC!CQ22</f>
        <v>-1.233377932566462E-2</v>
      </c>
      <c r="CR22" s="26">
        <f>預測IC!CR22</f>
        <v>0.16185042130139199</v>
      </c>
      <c r="CS22" s="26">
        <f>預測IC!CS22</f>
        <v>-1.5202183521422779E-2</v>
      </c>
      <c r="CT22" s="26">
        <f>預測IC!CT22</f>
        <v>5.8232521355985362E-2</v>
      </c>
      <c r="CU22" s="26">
        <f>預測IC!CU22</f>
        <v>-0.11084141964186579</v>
      </c>
      <c r="CV22" s="26">
        <f>預測IC!CV22</f>
        <v>0.1122336952070542</v>
      </c>
      <c r="CW22" s="26">
        <f>預測IC!CW22</f>
        <v>3.6451253326165209E-2</v>
      </c>
      <c r="CX22" s="26">
        <f>預測IC!CX22</f>
        <v>3.749593267848913E-3</v>
      </c>
      <c r="CY22" s="26">
        <f>預測IC!CY22</f>
        <v>-7.9888257735091419E-3</v>
      </c>
      <c r="CZ22" s="26">
        <f>預測IC!CZ22</f>
        <v>0.26292048459923911</v>
      </c>
      <c r="DA22" s="26">
        <f>預測IC!DA22</f>
        <v>-3.9917538819241108E-3</v>
      </c>
      <c r="DB22" s="26">
        <f>預測IC!DB22</f>
        <v>-3.0263358719618581E-2</v>
      </c>
      <c r="DC22" s="26">
        <f>預測IC!DC22</f>
        <v>-3.9494329949896927E-2</v>
      </c>
      <c r="DD22" s="26">
        <f>預測IC!DD22</f>
        <v>0.1478941025728035</v>
      </c>
      <c r="DE22" s="26">
        <f>預測IC!DE22</f>
        <v>-5.4917579819501461E-3</v>
      </c>
      <c r="DF22" s="26">
        <f>預測IC!DF22</f>
        <v>1.7031775273553061E-2</v>
      </c>
      <c r="DG22" s="26">
        <f>預測IC!DG22</f>
        <v>3.1985043080887662E-2</v>
      </c>
      <c r="DH22" s="26">
        <f>預測IC!DH22</f>
        <v>1.3945346183503959E-2</v>
      </c>
      <c r="DI22" s="26">
        <f>預測IC!DI22</f>
        <v>6.356099926224941E-2</v>
      </c>
      <c r="DJ22" s="26">
        <f>預測IC!DJ22</f>
        <v>-5.0246005833095859E-2</v>
      </c>
      <c r="DK22" s="26">
        <f>預測IC!DK22</f>
        <v>0.1791347138228401</v>
      </c>
      <c r="DL22" s="26">
        <f>預測IC!DL22</f>
        <v>0.1249416477373831</v>
      </c>
      <c r="DM22" s="26">
        <f>預測IC!DM22</f>
        <v>-6.3466051038033502E-2</v>
      </c>
      <c r="DN22" s="26">
        <f>預測IC!DN22</f>
        <v>4.6763328204007498E-2</v>
      </c>
      <c r="DO22" s="26">
        <f>預測IC!DO22</f>
        <v>0.12343750131163821</v>
      </c>
      <c r="DP22" s="26">
        <f>預測IC!DP22</f>
        <v>2.1723233390302729E-3</v>
      </c>
      <c r="DQ22" s="26">
        <f>預測IC!DQ22</f>
        <v>-0.13103100381943991</v>
      </c>
      <c r="DR22" s="26">
        <f>預測IC!DR22</f>
        <v>-6.0925526153180337E-3</v>
      </c>
      <c r="DS22" s="26">
        <f>預測IC!DS22</f>
        <v>-0.19705092156235929</v>
      </c>
      <c r="DT22" s="26">
        <f>預測IC!DT22</f>
        <v>-2.637635623620076E-2</v>
      </c>
      <c r="DU22" s="26">
        <f>預測IC!DU22</f>
        <v>-5.7495390836838987E-2</v>
      </c>
      <c r="DV22" s="26">
        <f>預測IC!DV22</f>
        <v>0.12570511767817799</v>
      </c>
      <c r="DW22" s="26">
        <f>預測IC!DW22</f>
        <v>0.1095030666415643</v>
      </c>
      <c r="DX22" s="26">
        <f>預測IC!DX22</f>
        <v>-0.22244260844829469</v>
      </c>
      <c r="DY22" s="26">
        <f>預測IC!DY22</f>
        <v>-8.1471166255399959E-3</v>
      </c>
      <c r="DZ22" s="26">
        <f>預測IC!DZ22</f>
        <v>-0.10374798094555759</v>
      </c>
      <c r="EA22" s="26">
        <f>預測IC!EA22</f>
        <v>-7.0548648839358755E-2</v>
      </c>
      <c r="EB22" s="26">
        <f>預測IC!EB22</f>
        <v>-8.0596727535317977E-2</v>
      </c>
      <c r="EC22" s="26">
        <f>預測IC!EC22</f>
        <v>2.1495101575638179E-2</v>
      </c>
      <c r="ED22" s="26">
        <f>預測IC!ED22</f>
        <v>-7.7413567057607463E-2</v>
      </c>
      <c r="EE22" s="26">
        <f>預測IC!EE22</f>
        <v>3.344630381221339E-2</v>
      </c>
      <c r="EF22" s="26">
        <f>預測IC!EF22</f>
        <v>-3.4790246372172352E-2</v>
      </c>
      <c r="EG22" s="28">
        <f t="shared" si="10"/>
        <v>5.9944385440745939E-3</v>
      </c>
      <c r="EH22" s="1">
        <f t="shared" si="11"/>
        <v>0.14956666770160706</v>
      </c>
      <c r="EI22" s="28">
        <f t="shared" si="12"/>
        <v>4.0078706279889825E-2</v>
      </c>
    </row>
    <row r="23" spans="1:139">
      <c r="A23" s="22">
        <f>預測IC!A23</f>
        <v>482</v>
      </c>
      <c r="B23" s="22">
        <f>預測IC!B23</f>
        <v>2</v>
      </c>
      <c r="C23" s="26">
        <f>預測IC!C23</f>
        <v>-3.4987009286289193E-2</v>
      </c>
      <c r="D23" s="26">
        <f>預測IC!D23</f>
        <v>0.25409399999999999</v>
      </c>
      <c r="E23" s="26">
        <f>預測IC!E23</f>
        <v>-8.094117257067221E-2</v>
      </c>
      <c r="F23" s="26">
        <f>預測IC!F23</f>
        <v>-3.7419999999999949E-3</v>
      </c>
      <c r="G23" s="26">
        <f>預測IC!G23</f>
        <v>0.36163200000000001</v>
      </c>
      <c r="H23" s="26">
        <f>預測IC!H23</f>
        <v>-1.81885E-2</v>
      </c>
      <c r="I23" s="26">
        <f>預測IC!I23</f>
        <v>0.148152028600294</v>
      </c>
      <c r="J23" s="26">
        <f>預測IC!J23</f>
        <v>-0.11487550000000001</v>
      </c>
      <c r="K23" s="26">
        <f>預測IC!K23</f>
        <v>-5.9918500000000013E-2</v>
      </c>
      <c r="L23" s="26">
        <f>預測IC!L23</f>
        <v>5.0770999999999997E-2</v>
      </c>
      <c r="M23" s="26">
        <f>預測IC!M23</f>
        <v>-0.14728949999999999</v>
      </c>
      <c r="N23" s="26">
        <f>預測IC!N23</f>
        <v>0.97590100000000002</v>
      </c>
      <c r="O23" s="26">
        <f>預測IC!O23</f>
        <v>-0.1229</v>
      </c>
      <c r="P23" s="26">
        <f>預測IC!P23</f>
        <v>-9.040171118212538E-2</v>
      </c>
      <c r="Q23" s="26">
        <f>預測IC!Q23</f>
        <v>0.29117749999999998</v>
      </c>
      <c r="R23" s="26">
        <f>預測IC!R23</f>
        <v>6.2820000000000001E-2</v>
      </c>
      <c r="S23" s="26">
        <f>預測IC!S23</f>
        <v>-0.1137245328272621</v>
      </c>
      <c r="T23" s="26">
        <f>預測IC!T23</f>
        <v>-8.4677000000000002E-2</v>
      </c>
      <c r="U23" s="26">
        <f>預測IC!U23</f>
        <v>5.9236499999999997E-2</v>
      </c>
      <c r="V23" s="26">
        <f>預測IC!V23</f>
        <v>-0.2324755</v>
      </c>
      <c r="W23" s="26">
        <f>預測IC!W23</f>
        <v>0.25954700000000003</v>
      </c>
      <c r="X23" s="26">
        <f>預測IC!X23</f>
        <v>-0.26408569496329731</v>
      </c>
      <c r="Y23" s="26">
        <f>預測IC!Y23</f>
        <v>-6.7954499999999987E-2</v>
      </c>
      <c r="Z23" s="26">
        <f>預測IC!Z23</f>
        <v>4.1052000000000012E-2</v>
      </c>
      <c r="AA23" s="26">
        <f>預測IC!AA23</f>
        <v>0.15165200000000001</v>
      </c>
      <c r="AB23" s="26">
        <f>預測IC!AB23</f>
        <v>-4.7747999999999999E-2</v>
      </c>
      <c r="AC23" s="26">
        <f>預測IC!AC23</f>
        <v>-0.23400850000000001</v>
      </c>
      <c r="AD23" s="26">
        <f>預測IC!AD23</f>
        <v>7.1626999999999996E-2</v>
      </c>
      <c r="AE23" s="26">
        <f>預測IC!AE23</f>
        <v>-0.36197537925355378</v>
      </c>
      <c r="AF23" s="26">
        <f>預測IC!AF23</f>
        <v>-2.5299499999999999E-2</v>
      </c>
      <c r="AG23" s="26">
        <f>預測IC!AG23</f>
        <v>-2.0555000000000091E-3</v>
      </c>
      <c r="AH23" s="26">
        <f>預測IC!AH23</f>
        <v>3.7278000000000013E-2</v>
      </c>
      <c r="AI23" s="26">
        <f>預測IC!AI23</f>
        <v>0.209152</v>
      </c>
      <c r="AJ23" s="26">
        <f>預測IC!AJ23</f>
        <v>2.3587E-2</v>
      </c>
      <c r="AK23" s="26">
        <f>預測IC!AK23</f>
        <v>1.856E-2</v>
      </c>
      <c r="AL23" s="26">
        <f>預測IC!AL23</f>
        <v>0.1314317131925356</v>
      </c>
      <c r="AM23" s="26">
        <f>預測IC!AM23</f>
        <v>8.6694999999999994E-2</v>
      </c>
      <c r="AN23" s="26">
        <f>預測IC!AN23</f>
        <v>0.24231469935730071</v>
      </c>
      <c r="AO23" s="26">
        <f>預測IC!AO23</f>
        <v>0.34648449999999997</v>
      </c>
      <c r="AP23" s="26">
        <f>預測IC!AP23</f>
        <v>3.1210993523056942E-3</v>
      </c>
      <c r="AQ23" s="26">
        <f>預測IC!AQ23</f>
        <v>-9.9379000000000009E-2</v>
      </c>
      <c r="AR23" s="26">
        <f>預測IC!AR23</f>
        <v>-0.14613599999999999</v>
      </c>
      <c r="AS23" s="26">
        <f>預測IC!AS23</f>
        <v>1.470688799737762E-2</v>
      </c>
      <c r="AT23" s="26">
        <f>預測IC!AT23</f>
        <v>-4.1427721813649641E-2</v>
      </c>
      <c r="AU23" s="26">
        <f>預測IC!AU23</f>
        <v>3.3145526128504327E-2</v>
      </c>
      <c r="AV23" s="26">
        <f>預測IC!AV23</f>
        <v>-2.7638994197374041E-2</v>
      </c>
      <c r="AW23" s="26">
        <f>預測IC!AW23</f>
        <v>-5.202690983840276E-2</v>
      </c>
      <c r="AX23" s="26">
        <f>預測IC!AX23</f>
        <v>6.9838153827044058E-2</v>
      </c>
      <c r="AY23" s="26">
        <f>預測IC!AY23</f>
        <v>0.17023398084058211</v>
      </c>
      <c r="AZ23" s="26">
        <f>預測IC!AZ23</f>
        <v>-6.3753617401060211E-2</v>
      </c>
      <c r="BA23" s="26">
        <f>預測IC!BA23</f>
        <v>9.6467800801007808E-3</v>
      </c>
      <c r="BB23" s="26">
        <f>預測IC!BB23</f>
        <v>-5.1049484102885123E-2</v>
      </c>
      <c r="BC23" s="26">
        <f>預測IC!BC23</f>
        <v>-0.30082824917306578</v>
      </c>
      <c r="BD23" s="26">
        <f>預測IC!BD23</f>
        <v>9.4830881346450333E-2</v>
      </c>
      <c r="BE23" s="26">
        <f>預測IC!BE23</f>
        <v>-7.1430762397296579E-2</v>
      </c>
      <c r="BF23" s="26">
        <f>預測IC!BF23</f>
        <v>-2.284699060468626E-2</v>
      </c>
      <c r="BG23" s="26">
        <f>預測IC!BG23</f>
        <v>7.4761471196752541E-2</v>
      </c>
      <c r="BH23" s="26">
        <f>預測IC!BH23</f>
        <v>-0.2034839813552872</v>
      </c>
      <c r="BI23" s="26">
        <f>預測IC!BI23</f>
        <v>0.1911120793231991</v>
      </c>
      <c r="BJ23" s="26">
        <f>預測IC!BJ23</f>
        <v>0.1040033152679269</v>
      </c>
      <c r="BK23" s="26">
        <f>預測IC!BK23</f>
        <v>4.6869777109240134E-3</v>
      </c>
      <c r="BL23" s="26">
        <f>預測IC!BL23</f>
        <v>0.14953429625023959</v>
      </c>
      <c r="BM23" s="26">
        <f>預測IC!BM23</f>
        <v>0.18918068678715391</v>
      </c>
      <c r="BN23" s="26">
        <f>預測IC!BN23</f>
        <v>-6.9471707588132049E-3</v>
      </c>
      <c r="BO23" s="26">
        <f>預測IC!BO23</f>
        <v>-0.16631016589269049</v>
      </c>
      <c r="BP23" s="26">
        <f>預測IC!BP23</f>
        <v>9.8266399211456468E-2</v>
      </c>
      <c r="BQ23" s="26">
        <f>預測IC!BQ23</f>
        <v>4.9611841287991017E-2</v>
      </c>
      <c r="BR23" s="26">
        <f>預測IC!BR23</f>
        <v>1.7844321463962809E-2</v>
      </c>
      <c r="BS23" s="26">
        <f>預測IC!BS23</f>
        <v>-7.3275388657911791E-2</v>
      </c>
      <c r="BT23" s="26">
        <f>預測IC!BT23</f>
        <v>0.14364980602599711</v>
      </c>
      <c r="BU23" s="26">
        <f>預測IC!BU23</f>
        <v>0.20568773584594591</v>
      </c>
      <c r="BV23" s="26">
        <f>預測IC!BV23</f>
        <v>0.11346756836018849</v>
      </c>
      <c r="BW23" s="26">
        <f>預測IC!BW23</f>
        <v>-0.20215233327569121</v>
      </c>
      <c r="BX23" s="26">
        <f>預測IC!BX23</f>
        <v>-8.2131197272531514E-3</v>
      </c>
      <c r="BY23" s="26">
        <f>預測IC!BY23</f>
        <v>-1.020569269434762E-2</v>
      </c>
      <c r="BZ23" s="26">
        <f>預測IC!BZ23</f>
        <v>7.6697624318448621E-3</v>
      </c>
      <c r="CA23" s="26">
        <f>預測IC!CA23</f>
        <v>-7.5653199746629096E-2</v>
      </c>
      <c r="CB23" s="26">
        <f>預測IC!CB23</f>
        <v>-0.21761420299243989</v>
      </c>
      <c r="CC23" s="26">
        <f>預測IC!CC23</f>
        <v>0.2249586274956801</v>
      </c>
      <c r="CD23" s="26">
        <f>預測IC!CD23</f>
        <v>0.19167645501478511</v>
      </c>
      <c r="CE23" s="26">
        <f>預測IC!CE23</f>
        <v>-0.1166246067964614</v>
      </c>
      <c r="CF23" s="26">
        <f>預測IC!CF23</f>
        <v>0.15713490979116501</v>
      </c>
      <c r="CG23" s="26">
        <f>預測IC!CG23</f>
        <v>-0.3932437879236767</v>
      </c>
      <c r="CH23" s="26">
        <f>預測IC!CH23</f>
        <v>0.18019644892142839</v>
      </c>
      <c r="CI23" s="26">
        <f>預測IC!CI23</f>
        <v>-0.30989941712809688</v>
      </c>
      <c r="CJ23" s="26">
        <f>預測IC!CJ23</f>
        <v>-1.9875367550410569E-2</v>
      </c>
      <c r="CK23" s="26">
        <f>預測IC!CK23</f>
        <v>9.6116994727961536E-2</v>
      </c>
      <c r="CL23" s="26">
        <f>預測IC!CL23</f>
        <v>-0.40866101266741839</v>
      </c>
      <c r="CM23" s="26">
        <f>預測IC!CM23</f>
        <v>0.3867329465229094</v>
      </c>
      <c r="CN23" s="26">
        <f>預測IC!CN23</f>
        <v>-5.3005178369803271E-2</v>
      </c>
      <c r="CO23" s="26">
        <f>預測IC!CO23</f>
        <v>-0.90892328736561978</v>
      </c>
      <c r="CP23" s="26">
        <f>預測IC!CP23</f>
        <v>0.31136074316275669</v>
      </c>
      <c r="CQ23" s="26">
        <f>預測IC!CQ23</f>
        <v>-9.1837444998058917E-3</v>
      </c>
      <c r="CR23" s="26">
        <f>預測IC!CR23</f>
        <v>0.1387253877566221</v>
      </c>
      <c r="CS23" s="26">
        <f>預測IC!CS23</f>
        <v>-3.697421899127859E-2</v>
      </c>
      <c r="CT23" s="26">
        <f>預測IC!CT23</f>
        <v>4.5662541711253862E-2</v>
      </c>
      <c r="CU23" s="26">
        <f>預測IC!CU23</f>
        <v>-2.1056595713287041E-2</v>
      </c>
      <c r="CV23" s="26">
        <f>預測IC!CV23</f>
        <v>-2.2245137488805671E-2</v>
      </c>
      <c r="CW23" s="26">
        <f>預測IC!CW23</f>
        <v>0.1009013318024186</v>
      </c>
      <c r="CX23" s="26">
        <f>預測IC!CX23</f>
        <v>-8.8716994096526336E-2</v>
      </c>
      <c r="CY23" s="26">
        <f>預測IC!CY23</f>
        <v>2.20465307533785E-2</v>
      </c>
      <c r="CZ23" s="26">
        <f>預測IC!CZ23</f>
        <v>0.18199879385735121</v>
      </c>
      <c r="DA23" s="26">
        <f>預測IC!DA23</f>
        <v>-3.0982136225910391E-2</v>
      </c>
      <c r="DB23" s="26">
        <f>預測IC!DB23</f>
        <v>-1.5955156866996431E-2</v>
      </c>
      <c r="DC23" s="26">
        <f>預測IC!DC23</f>
        <v>0.1191904860704142</v>
      </c>
      <c r="DD23" s="26">
        <f>預測IC!DD23</f>
        <v>0.20992709009292551</v>
      </c>
      <c r="DE23" s="26">
        <f>預測IC!DE23</f>
        <v>-9.3952259516448811E-3</v>
      </c>
      <c r="DF23" s="26">
        <f>預測IC!DF23</f>
        <v>6.194212704490535E-2</v>
      </c>
      <c r="DG23" s="26">
        <f>預測IC!DG23</f>
        <v>3.8270011874717E-2</v>
      </c>
      <c r="DH23" s="26">
        <f>預測IC!DH23</f>
        <v>5.5413447308742453E-2</v>
      </c>
      <c r="DI23" s="26">
        <f>預測IC!DI23</f>
        <v>5.3479596916020812E-2</v>
      </c>
      <c r="DJ23" s="26">
        <f>預測IC!DJ23</f>
        <v>-8.7058008172347823E-2</v>
      </c>
      <c r="DK23" s="26">
        <f>預測IC!DK23</f>
        <v>0.27783321655884308</v>
      </c>
      <c r="DL23" s="26">
        <f>預測IC!DL23</f>
        <v>0.21610105954027359</v>
      </c>
      <c r="DM23" s="26">
        <f>預測IC!DM23</f>
        <v>-1.949730491936592E-2</v>
      </c>
      <c r="DN23" s="26">
        <f>預測IC!DN23</f>
        <v>6.4971960439702253E-3</v>
      </c>
      <c r="DO23" s="26">
        <f>預測IC!DO23</f>
        <v>0.16409130373383399</v>
      </c>
      <c r="DP23" s="26">
        <f>預測IC!DP23</f>
        <v>4.7088232655722921E-2</v>
      </c>
      <c r="DQ23" s="26">
        <f>預測IC!DQ23</f>
        <v>-0.17021099650353791</v>
      </c>
      <c r="DR23" s="26">
        <f>預測IC!DR23</f>
        <v>-8.9886002731306744E-2</v>
      </c>
      <c r="DS23" s="26">
        <f>預測IC!DS23</f>
        <v>-0.28809657691904628</v>
      </c>
      <c r="DT23" s="26">
        <f>預測IC!DT23</f>
        <v>-0.12395522319619889</v>
      </c>
      <c r="DU23" s="26">
        <f>預測IC!DU23</f>
        <v>3.4287185254997438E-2</v>
      </c>
      <c r="DV23" s="26">
        <f>預測IC!DV23</f>
        <v>0.27627160832943959</v>
      </c>
      <c r="DW23" s="26">
        <f>預測IC!DW23</f>
        <v>0.14122823258283859</v>
      </c>
      <c r="DX23" s="26">
        <f>預測IC!DX23</f>
        <v>-0.31349320637896622</v>
      </c>
      <c r="DY23" s="26">
        <f>預測IC!DY23</f>
        <v>0.16987682865225409</v>
      </c>
      <c r="DZ23" s="26">
        <f>預測IC!DZ23</f>
        <v>-8.5690902482961295E-2</v>
      </c>
      <c r="EA23" s="26">
        <f>預測IC!EA23</f>
        <v>-2.3448907613119421E-2</v>
      </c>
      <c r="EB23" s="26">
        <f>預測IC!EB23</f>
        <v>-6.2753439710675096E-2</v>
      </c>
      <c r="EC23" s="26">
        <f>預測IC!EC23</f>
        <v>-3.6584316325813361E-2</v>
      </c>
      <c r="ED23" s="26">
        <f>預測IC!ED23</f>
        <v>-9.1425904619781034E-2</v>
      </c>
      <c r="EE23" s="26">
        <f>預測IC!EE23</f>
        <v>5.9050683888240307E-2</v>
      </c>
      <c r="EF23" s="26">
        <f>預測IC!EF23</f>
        <v>-4.7782278591659677E-2</v>
      </c>
      <c r="EG23" s="28">
        <f t="shared" si="10"/>
        <v>1.2716258279393449E-2</v>
      </c>
      <c r="EH23" s="1">
        <f t="shared" si="11"/>
        <v>0.19201328460139669</v>
      </c>
      <c r="EI23" s="28">
        <f t="shared" si="12"/>
        <v>6.6225929657894894E-2</v>
      </c>
    </row>
    <row r="24" spans="1:139">
      <c r="A24" s="22">
        <f>預測IC!A24</f>
        <v>964</v>
      </c>
      <c r="B24" s="22">
        <f>預測IC!B24</f>
        <v>1</v>
      </c>
      <c r="C24" s="26">
        <f>預測IC!C24</f>
        <v>0.162993136931085</v>
      </c>
      <c r="D24" s="26">
        <f>預測IC!D24</f>
        <v>0.10061</v>
      </c>
      <c r="E24" s="26">
        <f>預測IC!E24</f>
        <v>7.1400330169296908E-2</v>
      </c>
      <c r="F24" s="26">
        <f>預測IC!F24</f>
        <v>7.5326000000000004E-2</v>
      </c>
      <c r="G24" s="26">
        <f>預測IC!G24</f>
        <v>0.22960700000000001</v>
      </c>
      <c r="H24" s="26">
        <f>預測IC!H24</f>
        <v>3.5856000000000013E-2</v>
      </c>
      <c r="I24" s="26">
        <f>預測IC!I24</f>
        <v>-2.111933203143501E-3</v>
      </c>
      <c r="J24" s="26">
        <f>預測IC!J24</f>
        <v>-0.11546099999999999</v>
      </c>
      <c r="K24" s="26">
        <f>預測IC!K24</f>
        <v>5.3733000000000003E-2</v>
      </c>
      <c r="L24" s="26">
        <f>預測IC!L24</f>
        <v>9.3800000000000008E-2</v>
      </c>
      <c r="M24" s="26">
        <f>預測IC!M24</f>
        <v>-0.21778600000000001</v>
      </c>
      <c r="N24" s="26">
        <f>預測IC!N24</f>
        <v>1.7690319999999999</v>
      </c>
      <c r="O24" s="26">
        <f>預測IC!O24</f>
        <v>-0.24428</v>
      </c>
      <c r="P24" s="26">
        <f>預測IC!P24</f>
        <v>-0.1042484144089995</v>
      </c>
      <c r="Q24" s="26">
        <f>預測IC!Q24</f>
        <v>-2.8400000000000018E-3</v>
      </c>
      <c r="R24" s="26">
        <f>預測IC!R24</f>
        <v>-2.7827000000000001E-2</v>
      </c>
      <c r="S24" s="26">
        <f>預測IC!S24</f>
        <v>-0.35251446106016437</v>
      </c>
      <c r="T24" s="26">
        <f>預測IC!T24</f>
        <v>-0.28782000000000002</v>
      </c>
      <c r="U24" s="26">
        <f>預測IC!U24</f>
        <v>0.28585300000000002</v>
      </c>
      <c r="V24" s="26">
        <f>預測IC!V24</f>
        <v>-9.8680000000000004E-2</v>
      </c>
      <c r="W24" s="26">
        <f>預測IC!W24</f>
        <v>-0.16456200000000001</v>
      </c>
      <c r="X24" s="26">
        <f>預測IC!X24</f>
        <v>-0.1180224325060039</v>
      </c>
      <c r="Y24" s="26">
        <f>預測IC!Y24</f>
        <v>-0.120319</v>
      </c>
      <c r="Z24" s="26">
        <f>預測IC!Z24</f>
        <v>-2.4395E-2</v>
      </c>
      <c r="AA24" s="26">
        <f>預測IC!AA24</f>
        <v>9.4362000000000001E-2</v>
      </c>
      <c r="AB24" s="26">
        <f>預測IC!AB24</f>
        <v>-0.184249</v>
      </c>
      <c r="AC24" s="26">
        <f>預測IC!AC24</f>
        <v>-0.24617</v>
      </c>
      <c r="AD24" s="26">
        <f>預測IC!AD24</f>
        <v>0.101174</v>
      </c>
      <c r="AE24" s="26">
        <f>預測IC!AE24</f>
        <v>-0.54125812124628125</v>
      </c>
      <c r="AF24" s="26">
        <f>預測IC!AF24</f>
        <v>-0.16570199999999999</v>
      </c>
      <c r="AG24" s="26">
        <f>預測IC!AG24</f>
        <v>0.105901</v>
      </c>
      <c r="AH24" s="26">
        <f>預測IC!AH24</f>
        <v>-6.8616999999999997E-2</v>
      </c>
      <c r="AI24" s="26">
        <f>預測IC!AI24</f>
        <v>0.31041400000000002</v>
      </c>
      <c r="AJ24" s="26">
        <f>預測IC!AJ24</f>
        <v>8.5434999999999997E-2</v>
      </c>
      <c r="AK24" s="26">
        <f>預測IC!AK24</f>
        <v>1.4400000000000001E-3</v>
      </c>
      <c r="AL24" s="26">
        <f>預測IC!AL24</f>
        <v>-5.4676935490635382E-2</v>
      </c>
      <c r="AM24" s="26">
        <f>預測IC!AM24</f>
        <v>7.8599000000000002E-2</v>
      </c>
      <c r="AN24" s="26">
        <f>預測IC!AN24</f>
        <v>0.22118946514543131</v>
      </c>
      <c r="AO24" s="26">
        <f>預測IC!AO24</f>
        <v>8.2692000000000002E-2</v>
      </c>
      <c r="AP24" s="26">
        <f>預測IC!AP24</f>
        <v>-2.28517154890964E-2</v>
      </c>
      <c r="AQ24" s="26">
        <f>預測IC!AQ24</f>
        <v>-0.21712400000000001</v>
      </c>
      <c r="AR24" s="26">
        <f>預測IC!AR24</f>
        <v>-0.17083300000000001</v>
      </c>
      <c r="AS24" s="26">
        <f>預測IC!AS24</f>
        <v>2.7956077266590069E-2</v>
      </c>
      <c r="AT24" s="26">
        <f>預測IC!AT24</f>
        <v>3.045920748470865E-2</v>
      </c>
      <c r="AU24" s="26">
        <f>預測IC!AU24</f>
        <v>4.4095319865224331E-2</v>
      </c>
      <c r="AV24" s="26">
        <f>預測IC!AV24</f>
        <v>-8.7151952186895892E-2</v>
      </c>
      <c r="AW24" s="26">
        <f>預測IC!AW24</f>
        <v>4.9875415110391882E-3</v>
      </c>
      <c r="AX24" s="26">
        <f>預測IC!AX24</f>
        <v>2.8306186588424521E-2</v>
      </c>
      <c r="AY24" s="26">
        <f>預測IC!AY24</f>
        <v>0.16812729388488939</v>
      </c>
      <c r="AZ24" s="26">
        <f>預測IC!AZ24</f>
        <v>3.7867073599665187E-2</v>
      </c>
      <c r="BA24" s="26">
        <f>預測IC!BA24</f>
        <v>-5.3794732084633153E-2</v>
      </c>
      <c r="BB24" s="26">
        <f>預測IC!BB24</f>
        <v>-8.6159033395334803E-2</v>
      </c>
      <c r="BC24" s="26">
        <f>預測IC!BC24</f>
        <v>-0.59942164102389184</v>
      </c>
      <c r="BD24" s="26">
        <f>預測IC!BD24</f>
        <v>0.18559521924643521</v>
      </c>
      <c r="BE24" s="26">
        <f>預測IC!BE24</f>
        <v>-4.606435403168687E-2</v>
      </c>
      <c r="BF24" s="26">
        <f>預測IC!BF24</f>
        <v>8.765133605409231E-2</v>
      </c>
      <c r="BG24" s="26">
        <f>預測IC!BG24</f>
        <v>2.6835965866310919E-2</v>
      </c>
      <c r="BH24" s="26">
        <f>預測IC!BH24</f>
        <v>-0.38625533691353497</v>
      </c>
      <c r="BI24" s="26">
        <f>預測IC!BI24</f>
        <v>0.2236291060700471</v>
      </c>
      <c r="BJ24" s="26">
        <f>預測IC!BJ24</f>
        <v>3.3483157548845829E-3</v>
      </c>
      <c r="BK24" s="26">
        <f>預測IC!BK24</f>
        <v>4.0235468942862278E-3</v>
      </c>
      <c r="BL24" s="26">
        <f>預測IC!BL24</f>
        <v>0.31716429392471662</v>
      </c>
      <c r="BM24" s="26">
        <f>預測IC!BM24</f>
        <v>1.1473019117737151E-2</v>
      </c>
      <c r="BN24" s="26">
        <f>預測IC!BN24</f>
        <v>6.849341845574783E-3</v>
      </c>
      <c r="BO24" s="26">
        <f>預測IC!BO24</f>
        <v>-0.16110969109564191</v>
      </c>
      <c r="BP24" s="26">
        <f>預測IC!BP24</f>
        <v>0.1233511811293219</v>
      </c>
      <c r="BQ24" s="26">
        <f>預測IC!BQ24</f>
        <v>-6.4169633330115036E-2</v>
      </c>
      <c r="BR24" s="26">
        <f>預測IC!BR24</f>
        <v>4.2356223303417713E-2</v>
      </c>
      <c r="BS24" s="26">
        <f>預測IC!BS24</f>
        <v>-1.284717484456964E-3</v>
      </c>
      <c r="BT24" s="26">
        <f>預測IC!BT24</f>
        <v>0.1162706960541873</v>
      </c>
      <c r="BU24" s="26">
        <f>預測IC!BU24</f>
        <v>0.22832663155994071</v>
      </c>
      <c r="BV24" s="26">
        <f>預測IC!BV24</f>
        <v>0.1077284538879829</v>
      </c>
      <c r="BW24" s="26">
        <f>預測IC!BW24</f>
        <v>-6.1835883635593128E-2</v>
      </c>
      <c r="BX24" s="26">
        <f>預測IC!BX24</f>
        <v>-0.1329600557104578</v>
      </c>
      <c r="BY24" s="26">
        <f>預測IC!BY24</f>
        <v>0.10974566916741731</v>
      </c>
      <c r="BZ24" s="26">
        <f>預測IC!BZ24</f>
        <v>0.25889289884999689</v>
      </c>
      <c r="CA24" s="26">
        <f>預測IC!CA24</f>
        <v>-0.1152216807734147</v>
      </c>
      <c r="CB24" s="26">
        <f>預測IC!CB24</f>
        <v>0.20876197428786911</v>
      </c>
      <c r="CC24" s="26">
        <f>預測IC!CC24</f>
        <v>0.43985451226693362</v>
      </c>
      <c r="CD24" s="26">
        <f>預測IC!CD24</f>
        <v>3.2392267354276312E-2</v>
      </c>
      <c r="CE24" s="26">
        <f>預測IC!CE24</f>
        <v>-0.21012143523608839</v>
      </c>
      <c r="CF24" s="26">
        <f>預測IC!CF24</f>
        <v>0.2217213622453883</v>
      </c>
      <c r="CG24" s="26">
        <f>預測IC!CG24</f>
        <v>-0.32381797901906062</v>
      </c>
      <c r="CH24" s="26">
        <f>預測IC!CH24</f>
        <v>0.35427729684250298</v>
      </c>
      <c r="CI24" s="26">
        <f>預測IC!CI24</f>
        <v>0.3284518207092646</v>
      </c>
      <c r="CJ24" s="26">
        <f>預測IC!CJ24</f>
        <v>1.310948541941956E-2</v>
      </c>
      <c r="CK24" s="26">
        <f>預測IC!CK24</f>
        <v>9.3530079315696568E-2</v>
      </c>
      <c r="CL24" s="26">
        <f>預測IC!CL24</f>
        <v>0.1417553333725407</v>
      </c>
      <c r="CM24" s="26">
        <f>預測IC!CM24</f>
        <v>0.54958710995910021</v>
      </c>
      <c r="CN24" s="26">
        <f>預測IC!CN24</f>
        <v>-0.1077387664572132</v>
      </c>
      <c r="CO24" s="26">
        <f>預測IC!CO24</f>
        <v>-0.77665321833623113</v>
      </c>
      <c r="CP24" s="26">
        <f>預測IC!CP24</f>
        <v>0.28781577122863622</v>
      </c>
      <c r="CQ24" s="26">
        <f>預測IC!CQ24</f>
        <v>0.1146871738632968</v>
      </c>
      <c r="CR24" s="26">
        <f>預測IC!CR24</f>
        <v>6.1084838239556717E-2</v>
      </c>
      <c r="CS24" s="26">
        <f>預測IC!CS24</f>
        <v>-8.5895232746805786E-2</v>
      </c>
      <c r="CT24" s="26">
        <f>預測IC!CT24</f>
        <v>9.6419008147395818E-2</v>
      </c>
      <c r="CU24" s="26">
        <f>預測IC!CU24</f>
        <v>-7.2751347656710041E-2</v>
      </c>
      <c r="CV24" s="26">
        <f>預測IC!CV24</f>
        <v>1.5064047539375311E-2</v>
      </c>
      <c r="CW24" s="26">
        <f>預測IC!CW24</f>
        <v>0.17511716607200739</v>
      </c>
      <c r="CX24" s="26">
        <f>預測IC!CX24</f>
        <v>5.5207193708687041E-2</v>
      </c>
      <c r="CY24" s="26">
        <f>預測IC!CY24</f>
        <v>-8.0066904636818925E-2</v>
      </c>
      <c r="CZ24" s="26">
        <f>預測IC!CZ24</f>
        <v>0.11220662844456721</v>
      </c>
      <c r="DA24" s="26">
        <f>預測IC!DA24</f>
        <v>2.451120416275485E-2</v>
      </c>
      <c r="DB24" s="26">
        <f>預測IC!DB24</f>
        <v>-0.19546067251265431</v>
      </c>
      <c r="DC24" s="26">
        <f>預測IC!DC24</f>
        <v>0.19445359829121789</v>
      </c>
      <c r="DD24" s="26">
        <f>預測IC!DD24</f>
        <v>0.15338138073910601</v>
      </c>
      <c r="DE24" s="26">
        <f>預測IC!DE24</f>
        <v>-0.17606275750953501</v>
      </c>
      <c r="DF24" s="26">
        <f>預測IC!DF24</f>
        <v>-0.1046649760205613</v>
      </c>
      <c r="DG24" s="26">
        <f>預測IC!DG24</f>
        <v>5.9105834124344087E-2</v>
      </c>
      <c r="DH24" s="26">
        <f>預測IC!DH24</f>
        <v>9.936698049993925E-2</v>
      </c>
      <c r="DI24" s="26">
        <f>預測IC!DI24</f>
        <v>0.1418754589382695</v>
      </c>
      <c r="DJ24" s="26">
        <f>預測IC!DJ24</f>
        <v>-0.13248861050923971</v>
      </c>
      <c r="DK24" s="26">
        <f>預測IC!DK24</f>
        <v>0.33950921063044381</v>
      </c>
      <c r="DL24" s="26">
        <f>預測IC!DL24</f>
        <v>0.21310442628588119</v>
      </c>
      <c r="DM24" s="26">
        <f>預測IC!DM24</f>
        <v>-0.14143952722687489</v>
      </c>
      <c r="DN24" s="26">
        <f>預測IC!DN24</f>
        <v>0.23333457077469619</v>
      </c>
      <c r="DO24" s="26">
        <f>預測IC!DO24</f>
        <v>0.18544080263268789</v>
      </c>
      <c r="DP24" s="26">
        <f>預測IC!DP24</f>
        <v>0.1143734254860139</v>
      </c>
      <c r="DQ24" s="26">
        <f>預測IC!DQ24</f>
        <v>-0.13297735123596999</v>
      </c>
      <c r="DR24" s="26">
        <f>預測IC!DR24</f>
        <v>-2.0515630212029241E-2</v>
      </c>
      <c r="DS24" s="26">
        <f>預測IC!DS24</f>
        <v>-0.21626154103284559</v>
      </c>
      <c r="DT24" s="26">
        <f>預測IC!DT24</f>
        <v>-3.8362866170129663E-2</v>
      </c>
      <c r="DU24" s="26">
        <f>預測IC!DU24</f>
        <v>-4.7638587273757492E-2</v>
      </c>
      <c r="DV24" s="26">
        <f>預測IC!DV24</f>
        <v>0.1582246986438143</v>
      </c>
      <c r="DW24" s="26">
        <f>預測IC!DW24</f>
        <v>0.10885708989133031</v>
      </c>
      <c r="DX24" s="26">
        <f>預測IC!DX24</f>
        <v>-0.31159312779250392</v>
      </c>
      <c r="DY24" s="26">
        <f>預測IC!DY24</f>
        <v>0.34380428679820851</v>
      </c>
      <c r="DZ24" s="26">
        <f>預測IC!DZ24</f>
        <v>-5.0469182403116652E-2</v>
      </c>
      <c r="EA24" s="26">
        <f>預測IC!EA24</f>
        <v>7.7350922227335792E-2</v>
      </c>
      <c r="EB24" s="26">
        <f>預測IC!EB24</f>
        <v>2.837173691073663E-2</v>
      </c>
      <c r="EC24" s="26">
        <f>預測IC!EC24</f>
        <v>-1.4309918770678909E-2</v>
      </c>
      <c r="ED24" s="26">
        <f>預測IC!ED24</f>
        <v>-5.6172845298362112E-2</v>
      </c>
      <c r="EE24" s="26">
        <f>預測IC!EE24</f>
        <v>0.1134294391912188</v>
      </c>
      <c r="EF24" s="26">
        <f>預測IC!EF24</f>
        <v>6.7276677043968364E-2</v>
      </c>
      <c r="EG24" s="28">
        <f t="shared" si="10"/>
        <v>2.5880836868164316E-2</v>
      </c>
      <c r="EH24" s="1">
        <f t="shared" si="11"/>
        <v>0.24443283002116534</v>
      </c>
      <c r="EI24" s="1">
        <f t="shared" si="12"/>
        <v>0.10588118161510181</v>
      </c>
    </row>
    <row r="26" spans="1:139" s="2" customFormat="1">
      <c r="A26" s="3" t="s">
        <v>144</v>
      </c>
      <c r="B26" s="3" t="s">
        <v>145</v>
      </c>
      <c r="C26" s="11">
        <v>-1.7446770539390338E-2</v>
      </c>
      <c r="D26" s="11">
        <v>2.070106053181563E-2</v>
      </c>
      <c r="E26" s="11">
        <v>2.3982129254766709E-2</v>
      </c>
      <c r="F26" s="11">
        <v>-6.557578972823077E-3</v>
      </c>
      <c r="G26" s="11">
        <v>3.1845129800519692E-2</v>
      </c>
      <c r="H26" s="11">
        <v>3.4348532736990518E-2</v>
      </c>
      <c r="I26" s="11">
        <v>-8.2549327813252367E-3</v>
      </c>
      <c r="J26" s="11">
        <v>1.2843524394052759E-2</v>
      </c>
      <c r="K26" s="11">
        <v>-5.1018524626790823E-2</v>
      </c>
      <c r="L26" s="11">
        <v>8.7394274103658827E-4</v>
      </c>
      <c r="M26" s="11">
        <v>2.3389575505495919E-2</v>
      </c>
      <c r="N26" s="11">
        <v>1.2988972200332851E-2</v>
      </c>
      <c r="O26" s="11">
        <v>5.8545887256348812E-3</v>
      </c>
      <c r="P26" s="11">
        <v>2.7413206571790558E-2</v>
      </c>
      <c r="Q26" s="11">
        <v>-3.7129361176928542E-3</v>
      </c>
      <c r="R26" s="11">
        <v>2.4076614047823328E-2</v>
      </c>
      <c r="S26" s="11">
        <v>-1.219002529903996E-2</v>
      </c>
      <c r="T26" s="11">
        <v>-3.9749578159589592E-2</v>
      </c>
      <c r="U26" s="11">
        <v>-7.3155449831649552E-2</v>
      </c>
      <c r="V26" s="11">
        <v>-5.8260229910114661E-2</v>
      </c>
      <c r="W26" s="11">
        <v>7.7279756550837221E-4</v>
      </c>
      <c r="X26" s="11">
        <v>4.459152113521897E-2</v>
      </c>
      <c r="Y26" s="11">
        <v>-2.7699680050213091E-2</v>
      </c>
      <c r="Z26" s="11">
        <v>2.0950059497436462E-3</v>
      </c>
      <c r="AA26" s="11">
        <v>-2.340055099256411E-2</v>
      </c>
      <c r="AB26" s="11">
        <v>3.2129371097322189E-2</v>
      </c>
      <c r="AC26" s="11">
        <v>3.890327309406643E-2</v>
      </c>
      <c r="AD26" s="11">
        <v>-4.286538217110427E-2</v>
      </c>
      <c r="AE26" s="11">
        <v>1.8647194550152159E-2</v>
      </c>
      <c r="AF26" s="11">
        <v>1.5229768322528949E-2</v>
      </c>
      <c r="AG26" s="11">
        <v>3.6016603778892417E-2</v>
      </c>
      <c r="AH26" s="11">
        <v>9.3546113853161701E-3</v>
      </c>
      <c r="AI26" s="11">
        <v>1.0748251336838139E-2</v>
      </c>
      <c r="AJ26" s="11">
        <v>1.335775405308097E-2</v>
      </c>
      <c r="AK26" s="11">
        <v>-5.3327473290953921E-3</v>
      </c>
      <c r="AL26" s="11">
        <v>1.383135807261675E-3</v>
      </c>
      <c r="AM26" s="11">
        <v>2.079592842007446E-2</v>
      </c>
      <c r="AN26" s="11">
        <v>3.1517702220390638E-2</v>
      </c>
      <c r="AO26" s="11">
        <v>6.2417165333294418E-3</v>
      </c>
      <c r="AP26" s="11">
        <v>6.1452616535713897E-3</v>
      </c>
      <c r="AQ26" s="11">
        <v>1.694635767669651E-2</v>
      </c>
      <c r="AR26" s="11">
        <v>3.4682830454308228E-2</v>
      </c>
      <c r="AS26" s="11">
        <v>3.0985886171969678E-3</v>
      </c>
      <c r="AT26" s="11">
        <v>1.508134714348611E-2</v>
      </c>
      <c r="AU26" s="11">
        <v>-1.9251209229863991E-2</v>
      </c>
      <c r="AV26" s="11">
        <v>3.8711513387631437E-2</v>
      </c>
      <c r="AW26" s="11">
        <v>-2.1856951135736599E-2</v>
      </c>
      <c r="AX26" s="11">
        <v>7.7743007097896798E-3</v>
      </c>
      <c r="AY26" s="11">
        <v>4.2397246695325942E-2</v>
      </c>
      <c r="AZ26" s="11">
        <v>-2.630897486115975E-2</v>
      </c>
      <c r="BA26" s="11">
        <v>9.5717493087162323E-3</v>
      </c>
      <c r="BB26" s="11">
        <v>-2.424974126627483E-2</v>
      </c>
      <c r="BC26" s="11">
        <v>2.0163374143915822E-2</v>
      </c>
      <c r="BD26" s="11">
        <v>-3.5049987821160239E-3</v>
      </c>
      <c r="BE26" s="11">
        <v>2.0151935098542271E-2</v>
      </c>
      <c r="BF26" s="11">
        <v>5.8133623077027128E-4</v>
      </c>
      <c r="BG26" s="11">
        <v>-5.2197009532526043E-3</v>
      </c>
      <c r="BH26" s="11">
        <v>-0.11587176140213</v>
      </c>
      <c r="BI26" s="11">
        <v>8.7252256924373536E-3</v>
      </c>
      <c r="BJ26" s="11">
        <v>-1.6377260977822151E-2</v>
      </c>
      <c r="BK26" s="11">
        <v>2.0840371600260421E-2</v>
      </c>
      <c r="BL26" s="11">
        <v>4.4975872102114713E-2</v>
      </c>
      <c r="BM26" s="11">
        <v>2.3954306081863871E-2</v>
      </c>
      <c r="BN26" s="11">
        <v>3.0239101391442601E-2</v>
      </c>
      <c r="BO26" s="11">
        <v>-4.372588759108751E-2</v>
      </c>
      <c r="BP26" s="11">
        <v>2.1889469568198618E-2</v>
      </c>
      <c r="BQ26" s="11">
        <v>8.6274302635084028E-3</v>
      </c>
      <c r="BR26" s="11">
        <v>-1.9192953994658781E-2</v>
      </c>
      <c r="BS26" s="11">
        <v>1.973512988813305E-2</v>
      </c>
      <c r="BT26" s="11">
        <v>4.7694337483699438E-2</v>
      </c>
      <c r="BU26" s="11">
        <v>1.145481680658339E-2</v>
      </c>
      <c r="BV26" s="11">
        <v>4.3228620735213191E-2</v>
      </c>
      <c r="BW26" s="11">
        <v>-4.2747430436922793E-2</v>
      </c>
      <c r="BX26" s="11">
        <v>-1.781129242779457E-2</v>
      </c>
      <c r="BY26" s="11">
        <v>-0.1511530968690756</v>
      </c>
      <c r="BZ26" s="11">
        <v>0.12422400361957529</v>
      </c>
      <c r="CA26" s="11">
        <v>-4.5572538445296431E-3</v>
      </c>
      <c r="CB26" s="11">
        <v>6.0211240204911178E-2</v>
      </c>
      <c r="CC26" s="11">
        <v>8.5992033482502284E-2</v>
      </c>
      <c r="CD26" s="11">
        <v>-5.8084795823660634E-3</v>
      </c>
      <c r="CE26" s="11">
        <v>-6.0413469889680736E-3</v>
      </c>
      <c r="CF26" s="11">
        <v>2.4523243722520739E-3</v>
      </c>
      <c r="CG26" s="11">
        <v>8.963625193702289E-2</v>
      </c>
      <c r="CH26" s="11">
        <v>7.099273252675789E-2</v>
      </c>
      <c r="CI26" s="11">
        <v>2.7170642901783448E-2</v>
      </c>
      <c r="CJ26" s="11">
        <v>5.2468428425330033E-2</v>
      </c>
      <c r="CK26" s="11">
        <v>2.9480660943049509E-2</v>
      </c>
      <c r="CL26" s="11">
        <v>6.6825081060201283E-2</v>
      </c>
      <c r="CM26" s="11">
        <v>-2.8772229019816971E-2</v>
      </c>
      <c r="CN26" s="11">
        <v>3.9462515901637851E-2</v>
      </c>
      <c r="CO26" s="11">
        <v>-2.9031086977359909E-2</v>
      </c>
      <c r="CP26" s="11">
        <v>1.3983882519467901E-2</v>
      </c>
      <c r="CQ26" s="11">
        <v>-3.2276964959333833E-2</v>
      </c>
      <c r="CR26" s="11">
        <v>3.1035766128940231E-3</v>
      </c>
      <c r="CS26" s="11">
        <v>2.5591855767083171E-2</v>
      </c>
      <c r="CT26" s="11">
        <v>4.4391886287193302E-2</v>
      </c>
      <c r="CU26" s="11">
        <v>-3.0338958549577438E-2</v>
      </c>
      <c r="CV26" s="11">
        <v>-1.2579764545717069E-3</v>
      </c>
      <c r="CW26" s="11">
        <v>2.336356455857952E-3</v>
      </c>
      <c r="CX26" s="11">
        <v>-6.4264144925906069E-2</v>
      </c>
      <c r="CY26" s="11">
        <v>1.2909779458992439E-2</v>
      </c>
      <c r="CZ26" s="11">
        <v>-0.12547709467085871</v>
      </c>
      <c r="DA26" s="11">
        <v>1.1690682939792569E-2</v>
      </c>
      <c r="DB26" s="11">
        <v>6.3378437007417512E-3</v>
      </c>
      <c r="DC26" s="11">
        <v>-0.1173053564693855</v>
      </c>
      <c r="DD26" s="11">
        <v>-3.6010872049446613E-2</v>
      </c>
      <c r="DE26" s="11">
        <v>0.1389113040722679</v>
      </c>
      <c r="DF26" s="11">
        <v>-5.1143506226105737E-2</v>
      </c>
      <c r="DG26" s="11">
        <v>7.6731447181969059E-2</v>
      </c>
      <c r="DH26" s="11">
        <v>1.550878219700816E-2</v>
      </c>
      <c r="DI26" s="11">
        <v>2.3223773674755831E-2</v>
      </c>
      <c r="DJ26" s="11">
        <v>-1.8372876361227891E-2</v>
      </c>
      <c r="DK26" s="11">
        <v>6.2199014085099431E-2</v>
      </c>
      <c r="DL26" s="11">
        <v>2.0098304486957191E-2</v>
      </c>
      <c r="DM26" s="11">
        <v>1.349893974806809E-2</v>
      </c>
      <c r="DN26" s="11">
        <v>-3.025221272842088E-2</v>
      </c>
      <c r="DO26" s="11">
        <v>-1.7022835708053841E-2</v>
      </c>
      <c r="DP26" s="11">
        <v>-2.1788523272461981E-2</v>
      </c>
      <c r="DQ26" s="11">
        <v>8.5745624585137223E-2</v>
      </c>
      <c r="DR26" s="11">
        <v>2.8106743604973752E-2</v>
      </c>
      <c r="DS26" s="11">
        <v>-2.3031598073594501E-3</v>
      </c>
      <c r="DT26" s="11">
        <v>5.8471198131487503E-2</v>
      </c>
      <c r="DU26" s="11">
        <v>6.7658949048647651E-2</v>
      </c>
      <c r="DV26" s="11">
        <v>5.0207706404322644E-3</v>
      </c>
      <c r="DW26" s="11">
        <v>3.7416183675207063E-2</v>
      </c>
      <c r="DX26" s="11">
        <v>8.4111003746042121E-2</v>
      </c>
      <c r="DY26" s="11">
        <v>-3.6832398544012837E-2</v>
      </c>
      <c r="DZ26" s="11">
        <v>3.0917028169369942E-3</v>
      </c>
      <c r="EA26" s="11">
        <v>-1.957628214294549E-3</v>
      </c>
      <c r="EB26" s="11">
        <v>2.6459103603519739E-2</v>
      </c>
      <c r="EC26" s="11">
        <v>-2.4752538760690269E-2</v>
      </c>
      <c r="ED26" s="11">
        <v>3.4115490982559941E-2</v>
      </c>
      <c r="EE26" s="11">
        <v>2.1061973989032982E-2</v>
      </c>
      <c r="EF26" s="11">
        <v>-2.0277392706005919E-2</v>
      </c>
      <c r="EG26" s="29">
        <f>AVERAGE(C26:EF26)</f>
        <v>7.3485376145559517E-3</v>
      </c>
      <c r="EH26" s="29">
        <f>STDEV(C26:EF26)</f>
        <v>4.2276369775976368E-2</v>
      </c>
      <c r="EI26" s="29">
        <f>EG26/EH26</f>
        <v>0.17382139605401439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G21"/>
  <sheetViews>
    <sheetView workbookViewId="0">
      <selection activeCell="H22" sqref="H22"/>
    </sheetView>
  </sheetViews>
  <sheetFormatPr baseColWidth="10" defaultColWidth="9" defaultRowHeight="14"/>
  <cols>
    <col min="1" max="1" width="15.3984375" customWidth="1"/>
  </cols>
  <sheetData>
    <row r="1" spans="1:137">
      <c r="A1" s="12" t="str">
        <f>預測IC!A1</f>
        <v>NN4</v>
      </c>
      <c r="B1" s="7"/>
    </row>
    <row r="2" spans="1:137">
      <c r="A2" s="7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5" t="s">
        <v>43</v>
      </c>
      <c r="AT2" s="5" t="s">
        <v>44</v>
      </c>
      <c r="AU2" s="5" t="s">
        <v>45</v>
      </c>
      <c r="AV2" s="5" t="s">
        <v>46</v>
      </c>
      <c r="AW2" s="5" t="s">
        <v>47</v>
      </c>
      <c r="AX2" s="5" t="s">
        <v>48</v>
      </c>
      <c r="AY2" s="5" t="s">
        <v>49</v>
      </c>
      <c r="AZ2" s="5" t="s">
        <v>50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55</v>
      </c>
      <c r="BF2" s="5" t="s">
        <v>56</v>
      </c>
      <c r="BG2" s="5" t="s">
        <v>57</v>
      </c>
      <c r="BH2" s="5" t="s">
        <v>58</v>
      </c>
      <c r="BI2" s="5" t="s">
        <v>59</v>
      </c>
      <c r="BJ2" s="5" t="s">
        <v>60</v>
      </c>
      <c r="BK2" s="5" t="s">
        <v>61</v>
      </c>
      <c r="BL2" s="5" t="s">
        <v>62</v>
      </c>
      <c r="BM2" s="5" t="s">
        <v>63</v>
      </c>
      <c r="BN2" s="5" t="s">
        <v>64</v>
      </c>
      <c r="BO2" s="5" t="s">
        <v>65</v>
      </c>
      <c r="BP2" s="5" t="s">
        <v>66</v>
      </c>
      <c r="BQ2" s="5" t="s">
        <v>67</v>
      </c>
      <c r="BR2" s="5" t="s">
        <v>68</v>
      </c>
      <c r="BS2" s="5" t="s">
        <v>69</v>
      </c>
      <c r="BT2" s="5" t="s">
        <v>70</v>
      </c>
      <c r="BU2" s="5" t="s">
        <v>71</v>
      </c>
      <c r="BV2" s="5" t="s">
        <v>72</v>
      </c>
      <c r="BW2" s="5" t="s">
        <v>73</v>
      </c>
      <c r="BX2" s="5" t="s">
        <v>74</v>
      </c>
      <c r="BY2" s="5" t="s">
        <v>75</v>
      </c>
      <c r="BZ2" s="5" t="s">
        <v>76</v>
      </c>
      <c r="CA2" s="5" t="s">
        <v>77</v>
      </c>
      <c r="CB2" s="5" t="s">
        <v>78</v>
      </c>
      <c r="CC2" s="5" t="s">
        <v>79</v>
      </c>
      <c r="CD2" s="5" t="s">
        <v>80</v>
      </c>
      <c r="CE2" s="5" t="s">
        <v>81</v>
      </c>
      <c r="CF2" s="5" t="s">
        <v>82</v>
      </c>
      <c r="CG2" s="5" t="s">
        <v>83</v>
      </c>
      <c r="CH2" s="5" t="s">
        <v>84</v>
      </c>
      <c r="CI2" s="5" t="s">
        <v>85</v>
      </c>
      <c r="CJ2" s="5" t="s">
        <v>86</v>
      </c>
      <c r="CK2" s="5" t="s">
        <v>87</v>
      </c>
      <c r="CL2" s="5" t="s">
        <v>88</v>
      </c>
      <c r="CM2" s="5" t="s">
        <v>89</v>
      </c>
      <c r="CN2" s="5" t="s">
        <v>90</v>
      </c>
      <c r="CO2" s="5" t="s">
        <v>91</v>
      </c>
      <c r="CP2" s="5" t="s">
        <v>92</v>
      </c>
      <c r="CQ2" s="5" t="s">
        <v>93</v>
      </c>
      <c r="CR2" s="5" t="s">
        <v>94</v>
      </c>
      <c r="CS2" s="5" t="s">
        <v>95</v>
      </c>
      <c r="CT2" s="5" t="s">
        <v>96</v>
      </c>
      <c r="CU2" s="5" t="s">
        <v>97</v>
      </c>
      <c r="CV2" s="5" t="s">
        <v>98</v>
      </c>
      <c r="CW2" s="5" t="s">
        <v>99</v>
      </c>
      <c r="CX2" s="5" t="s">
        <v>100</v>
      </c>
      <c r="CY2" s="5" t="s">
        <v>101</v>
      </c>
      <c r="CZ2" s="5" t="s">
        <v>102</v>
      </c>
      <c r="DA2" s="5" t="s">
        <v>103</v>
      </c>
      <c r="DB2" s="5" t="s">
        <v>104</v>
      </c>
      <c r="DC2" s="5" t="s">
        <v>105</v>
      </c>
      <c r="DD2" s="5" t="s">
        <v>106</v>
      </c>
      <c r="DE2" s="5" t="s">
        <v>107</v>
      </c>
      <c r="DF2" s="5" t="s">
        <v>108</v>
      </c>
      <c r="DG2" s="5" t="s">
        <v>109</v>
      </c>
      <c r="DH2" s="5" t="s">
        <v>110</v>
      </c>
      <c r="DI2" s="5" t="s">
        <v>111</v>
      </c>
      <c r="DJ2" s="5" t="s">
        <v>112</v>
      </c>
      <c r="DK2" s="5" t="s">
        <v>113</v>
      </c>
      <c r="DL2" s="5" t="s">
        <v>114</v>
      </c>
      <c r="DM2" s="5" t="s">
        <v>115</v>
      </c>
      <c r="DN2" s="5" t="s">
        <v>116</v>
      </c>
      <c r="DO2" s="5" t="s">
        <v>117</v>
      </c>
      <c r="DP2" s="5" t="s">
        <v>118</v>
      </c>
      <c r="DQ2" s="5" t="s">
        <v>119</v>
      </c>
      <c r="DR2" s="5" t="s">
        <v>120</v>
      </c>
      <c r="DS2" s="5" t="s">
        <v>121</v>
      </c>
      <c r="DT2" s="5" t="s">
        <v>122</v>
      </c>
      <c r="DU2" s="5" t="s">
        <v>123</v>
      </c>
      <c r="DV2" s="5" t="s">
        <v>124</v>
      </c>
      <c r="DW2" s="5" t="s">
        <v>125</v>
      </c>
      <c r="DX2" s="5" t="s">
        <v>126</v>
      </c>
      <c r="DY2" s="5" t="s">
        <v>127</v>
      </c>
      <c r="DZ2" s="5" t="s">
        <v>128</v>
      </c>
      <c r="EA2" s="5" t="s">
        <v>129</v>
      </c>
      <c r="EB2" s="5" t="s">
        <v>130</v>
      </c>
      <c r="EC2" s="5" t="s">
        <v>131</v>
      </c>
      <c r="ED2" s="5" t="s">
        <v>132</v>
      </c>
      <c r="EE2" s="5" t="s">
        <v>133</v>
      </c>
      <c r="EF2" s="5" t="s">
        <v>134</v>
      </c>
      <c r="EG2" s="5" t="s">
        <v>135</v>
      </c>
    </row>
    <row r="3" spans="1:137">
      <c r="A3" s="7"/>
      <c r="B3" s="4" t="s">
        <v>136</v>
      </c>
      <c r="C3" s="23">
        <f>預測IC!C3</f>
        <v>5.338069424033165E-2</v>
      </c>
      <c r="D3" s="23">
        <f>預測IC!D3</f>
        <v>2.5363307446241379E-2</v>
      </c>
      <c r="E3" s="23">
        <f>預測IC!E3</f>
        <v>3.7131085991859443E-2</v>
      </c>
      <c r="F3" s="23">
        <f>預測IC!F3</f>
        <v>-1.5433895401656629E-2</v>
      </c>
      <c r="G3" s="23">
        <f>預測IC!G3</f>
        <v>3.8762547075748437E-2</v>
      </c>
      <c r="H3" s="23">
        <f>預測IC!H3</f>
        <v>1.892003417015076E-2</v>
      </c>
      <c r="I3" s="23">
        <f>預測IC!I3</f>
        <v>3.051983006298542E-2</v>
      </c>
      <c r="J3" s="23">
        <f>預測IC!J3</f>
        <v>-7.0650950074195862E-3</v>
      </c>
      <c r="K3" s="23">
        <f>預測IC!K3</f>
        <v>8.7663400918245316E-3</v>
      </c>
      <c r="L3" s="23">
        <f>預測IC!L3</f>
        <v>-1.6310771927237511E-2</v>
      </c>
      <c r="M3" s="23">
        <f>預測IC!M3</f>
        <v>2.2654309868812561E-2</v>
      </c>
      <c r="N3" s="23">
        <f>預測IC!N3</f>
        <v>-1.6186010092496868E-2</v>
      </c>
      <c r="O3" s="23">
        <f>預測IC!O3</f>
        <v>-2.7719441801309589E-2</v>
      </c>
      <c r="P3" s="23">
        <f>預測IC!P3</f>
        <v>9.2788353562355042E-2</v>
      </c>
      <c r="Q3" s="23">
        <f>預測IC!Q3</f>
        <v>-1.6570717096328739E-2</v>
      </c>
      <c r="R3" s="23">
        <f>預測IC!R3</f>
        <v>-1.4206883497536181E-2</v>
      </c>
      <c r="S3" s="23">
        <f>預測IC!S3</f>
        <v>4.957927018404007E-2</v>
      </c>
      <c r="T3" s="23">
        <f>預測IC!T3</f>
        <v>2.795058116316795E-2</v>
      </c>
      <c r="U3" s="23">
        <f>預測IC!U3</f>
        <v>1.4803186058998111E-4</v>
      </c>
      <c r="V3" s="23">
        <f>預測IC!V3</f>
        <v>-1.9191417843103409E-2</v>
      </c>
      <c r="W3" s="23">
        <f>預測IC!W3</f>
        <v>-2.0450763404369351E-2</v>
      </c>
      <c r="X3" s="23">
        <f>預測IC!X3</f>
        <v>-3.8444548845291138E-2</v>
      </c>
      <c r="Y3" s="23">
        <f>預測IC!Y3</f>
        <v>-2.1946478635072712E-2</v>
      </c>
      <c r="Z3" s="23">
        <f>預測IC!Z3</f>
        <v>1.4381051063537599E-2</v>
      </c>
      <c r="AA3" s="23">
        <f>預測IC!AA3</f>
        <v>2.881650626659393E-2</v>
      </c>
      <c r="AB3" s="23">
        <f>預測IC!AB3</f>
        <v>-2.372733503580093E-2</v>
      </c>
      <c r="AC3" s="23">
        <f>預測IC!AC3</f>
        <v>-1.292891800403595E-2</v>
      </c>
      <c r="AD3" s="23">
        <f>預測IC!AD3</f>
        <v>2.2476669400930401E-2</v>
      </c>
      <c r="AE3" s="23">
        <f>預測IC!AE3</f>
        <v>3.8704991340637207E-2</v>
      </c>
      <c r="AF3" s="23">
        <f>預測IC!AF3</f>
        <v>1.200170814990997E-2</v>
      </c>
      <c r="AG3" s="23">
        <f>預測IC!AG3</f>
        <v>-2.7202442288398739E-2</v>
      </c>
      <c r="AH3" s="23">
        <f>預測IC!AH3</f>
        <v>1.702401414513588E-2</v>
      </c>
      <c r="AI3" s="23">
        <f>預測IC!AI3</f>
        <v>1.4300147071480749E-2</v>
      </c>
      <c r="AJ3" s="23">
        <f>預測IC!AJ3</f>
        <v>1.841375045478344E-2</v>
      </c>
      <c r="AK3" s="23">
        <f>預測IC!AK3</f>
        <v>1.0560634545981881E-2</v>
      </c>
      <c r="AL3" s="23">
        <f>預測IC!AL3</f>
        <v>3.8964591920375817E-2</v>
      </c>
      <c r="AM3" s="23">
        <f>預測IC!AM3</f>
        <v>1.855255663394928E-2</v>
      </c>
      <c r="AN3" s="23">
        <f>預測IC!AN3</f>
        <v>4.386327788233757E-2</v>
      </c>
      <c r="AO3" s="23">
        <f>預測IC!AO3</f>
        <v>-3.6691559944301839E-3</v>
      </c>
      <c r="AP3" s="23">
        <f>預測IC!AP3</f>
        <v>3.8291200995445251E-2</v>
      </c>
      <c r="AQ3" s="23">
        <f>預測IC!AQ3</f>
        <v>1.015769504010677E-2</v>
      </c>
      <c r="AR3" s="23">
        <f>預測IC!AR3</f>
        <v>8.0924127250909805E-3</v>
      </c>
      <c r="AS3" s="23">
        <f>預測IC!AS3</f>
        <v>-6.6054962575435638E-2</v>
      </c>
      <c r="AT3" s="23">
        <f>預測IC!AT3</f>
        <v>4.3137997388839722E-2</v>
      </c>
      <c r="AU3" s="23">
        <f>預測IC!AU3</f>
        <v>4.9771856516599662E-2</v>
      </c>
      <c r="AV3" s="23">
        <f>預測IC!AV3</f>
        <v>4.9413982778787613E-2</v>
      </c>
      <c r="AW3" s="23">
        <f>預測IC!AW3</f>
        <v>5.1071316003799438E-2</v>
      </c>
      <c r="AX3" s="23">
        <f>預測IC!AX3</f>
        <v>4.962177574634552E-2</v>
      </c>
      <c r="AY3" s="23">
        <f>預測IC!AY3</f>
        <v>5.1257487386465073E-2</v>
      </c>
      <c r="AZ3" s="23">
        <f>預測IC!AZ3</f>
        <v>4.2423129081726067E-2</v>
      </c>
      <c r="BA3" s="23">
        <f>預測IC!BA3</f>
        <v>3.9333701133728027E-2</v>
      </c>
      <c r="BB3" s="23">
        <f>預測IC!BB3</f>
        <v>3.9388258010149002E-2</v>
      </c>
      <c r="BC3" s="23">
        <f>預測IC!BC3</f>
        <v>4.2884018272161477E-2</v>
      </c>
      <c r="BD3" s="23">
        <f>預測IC!BD3</f>
        <v>4.4494438916444778E-2</v>
      </c>
      <c r="BE3" s="23">
        <f>預測IC!BE3</f>
        <v>4.6050392091274261E-2</v>
      </c>
      <c r="BF3" s="23">
        <f>預測IC!BF3</f>
        <v>5.2774351090192788E-2</v>
      </c>
      <c r="BG3" s="23">
        <f>預測IC!BG3</f>
        <v>5.2520696073770523E-2</v>
      </c>
      <c r="BH3" s="23">
        <f>預測IC!BH3</f>
        <v>5.204303190112114E-2</v>
      </c>
      <c r="BI3" s="23">
        <f>預測IC!BI3</f>
        <v>5.3213786333799362E-2</v>
      </c>
      <c r="BJ3" s="23">
        <f>預測IC!BJ3</f>
        <v>5.14848493039608E-2</v>
      </c>
      <c r="BK3" s="23">
        <f>預測IC!BK3</f>
        <v>5.2345767617225647E-2</v>
      </c>
      <c r="BL3" s="23">
        <f>預測IC!BL3</f>
        <v>5.2821684628725052E-2</v>
      </c>
      <c r="BM3" s="23">
        <f>預測IC!BM3</f>
        <v>5.246623232960701E-2</v>
      </c>
      <c r="BN3" s="23">
        <f>預測IC!BN3</f>
        <v>5.7477392256259918E-2</v>
      </c>
      <c r="BO3" s="23">
        <f>預測IC!BO3</f>
        <v>5.5104456841945648E-2</v>
      </c>
      <c r="BP3" s="23">
        <f>預測IC!BP3</f>
        <v>4.081440344452858E-2</v>
      </c>
      <c r="BQ3" s="23">
        <f>預測IC!BQ3</f>
        <v>5.2616532891988747E-2</v>
      </c>
      <c r="BR3" s="23">
        <f>預測IC!BR3</f>
        <v>3.6645740270614617E-2</v>
      </c>
      <c r="BS3" s="23">
        <f>預測IC!BS3</f>
        <v>5.4600823670625687E-2</v>
      </c>
      <c r="BT3" s="23">
        <f>預測IC!BT3</f>
        <v>4.5548383146524429E-2</v>
      </c>
      <c r="BU3" s="23">
        <f>預測IC!BU3</f>
        <v>5.5572357028722763E-2</v>
      </c>
      <c r="BV3" s="23">
        <f>預測IC!BV3</f>
        <v>5.2330784499645233E-2</v>
      </c>
      <c r="BW3" s="23">
        <f>預測IC!BW3</f>
        <v>4.1799742728471763E-2</v>
      </c>
      <c r="BX3" s="23">
        <f>預測IC!BX3</f>
        <v>4.7964099794626243E-2</v>
      </c>
      <c r="BY3" s="23">
        <f>預測IC!BY3</f>
        <v>4.9554049968719482E-2</v>
      </c>
      <c r="BZ3" s="23">
        <f>預測IC!BZ3</f>
        <v>5.3468108177185059E-2</v>
      </c>
      <c r="CA3" s="23">
        <f>預測IC!CA3</f>
        <v>4.868757352232933E-2</v>
      </c>
      <c r="CB3" s="23">
        <f>預測IC!CB3</f>
        <v>4.6025428920984268E-2</v>
      </c>
      <c r="CC3" s="23">
        <f>預測IC!CC3</f>
        <v>5.2412558346986771E-2</v>
      </c>
      <c r="CD3" s="23">
        <f>預測IC!CD3</f>
        <v>4.9619406461715698E-2</v>
      </c>
      <c r="CE3" s="23">
        <f>預測IC!CE3</f>
        <v>4.6824052929878228E-2</v>
      </c>
      <c r="CF3" s="23">
        <f>預測IC!CF3</f>
        <v>5.0924398005008698E-2</v>
      </c>
      <c r="CG3" s="23">
        <f>預測IC!CG3</f>
        <v>4.6287201344966888E-2</v>
      </c>
      <c r="CH3" s="23">
        <f>預測IC!CH3</f>
        <v>5.0006065517663963E-2</v>
      </c>
      <c r="CI3" s="23">
        <f>預測IC!CI3</f>
        <v>4.8990387469530113E-2</v>
      </c>
      <c r="CJ3" s="23">
        <f>預測IC!CJ3</f>
        <v>5.0737027078866959E-2</v>
      </c>
      <c r="CK3" s="23">
        <f>預測IC!CK3</f>
        <v>5.0407581031322479E-2</v>
      </c>
      <c r="CL3" s="23">
        <f>預測IC!CL3</f>
        <v>5.1771163940429688E-2</v>
      </c>
      <c r="CM3" s="23">
        <f>預測IC!CM3</f>
        <v>4.9744158983230591E-2</v>
      </c>
      <c r="CN3" s="23">
        <f>預測IC!CN3</f>
        <v>4.9877673387527473E-2</v>
      </c>
      <c r="CO3" s="23">
        <f>預測IC!CO3</f>
        <v>4.8527717590332031E-2</v>
      </c>
      <c r="CP3" s="23">
        <f>預測IC!CP3</f>
        <v>4.8692740499973297E-2</v>
      </c>
      <c r="CQ3" s="23">
        <f>預測IC!CQ3</f>
        <v>4.9047302454710007E-2</v>
      </c>
      <c r="CR3" s="23">
        <f>預測IC!CR3</f>
        <v>4.9837246537208557E-2</v>
      </c>
      <c r="CS3" s="23">
        <f>預測IC!CS3</f>
        <v>4.7483202069997787E-2</v>
      </c>
      <c r="CT3" s="23">
        <f>預測IC!CT3</f>
        <v>3.1795904040336609E-2</v>
      </c>
      <c r="CU3" s="23">
        <f>預測IC!CU3</f>
        <v>4.4976841658353812E-2</v>
      </c>
      <c r="CV3" s="23">
        <f>預測IC!CV3</f>
        <v>4.9786105751991272E-2</v>
      </c>
      <c r="CW3" s="23">
        <f>預測IC!CW3</f>
        <v>4.3859463185071952E-2</v>
      </c>
      <c r="CX3" s="23">
        <f>預測IC!CX3</f>
        <v>5.1966626197099693E-2</v>
      </c>
      <c r="CY3" s="23">
        <f>預測IC!CY3</f>
        <v>5.0948314368724823E-2</v>
      </c>
      <c r="CZ3" s="23">
        <f>預測IC!CZ3</f>
        <v>4.4357843697071082E-2</v>
      </c>
      <c r="DA3" s="23">
        <f>預測IC!DA3</f>
        <v>4.5401513576507568E-2</v>
      </c>
      <c r="DB3" s="23">
        <f>預測IC!DB3</f>
        <v>5.2733633667230613E-2</v>
      </c>
      <c r="DC3" s="23">
        <f>預測IC!DC3</f>
        <v>5.2081622183322913E-2</v>
      </c>
      <c r="DD3" s="23">
        <f>預測IC!DD3</f>
        <v>4.963703453540802E-2</v>
      </c>
      <c r="DE3" s="23">
        <f>預測IC!DE3</f>
        <v>5.2589800208806992E-2</v>
      </c>
      <c r="DF3" s="23">
        <f>預測IC!DF3</f>
        <v>4.1408929973840707E-2</v>
      </c>
      <c r="DG3" s="23">
        <f>預測IC!DG3</f>
        <v>4.3718356639146798E-2</v>
      </c>
      <c r="DH3" s="23">
        <f>預測IC!DH3</f>
        <v>4.6793397516012192E-2</v>
      </c>
      <c r="DI3" s="23">
        <f>預測IC!DI3</f>
        <v>4.7784905880689621E-2</v>
      </c>
      <c r="DJ3" s="23">
        <f>預測IC!DJ3</f>
        <v>5.1443465054035187E-2</v>
      </c>
      <c r="DK3" s="23">
        <f>預測IC!DK3</f>
        <v>4.1621468961238861E-2</v>
      </c>
      <c r="DL3" s="23">
        <f>預測IC!DL3</f>
        <v>4.8520050942897797E-2</v>
      </c>
      <c r="DM3" s="23">
        <f>預測IC!DM3</f>
        <v>4.8485212028026581E-2</v>
      </c>
      <c r="DN3" s="23">
        <f>預測IC!DN3</f>
        <v>4.6739093959331512E-2</v>
      </c>
      <c r="DO3" s="23">
        <f>預測IC!DO3</f>
        <v>4.815780371427536E-2</v>
      </c>
      <c r="DP3" s="23">
        <f>預測IC!DP3</f>
        <v>4.7622770071029663E-2</v>
      </c>
      <c r="DQ3" s="23">
        <f>預測IC!DQ3</f>
        <v>4.8637110739946372E-2</v>
      </c>
      <c r="DR3" s="23">
        <f>預測IC!DR3</f>
        <v>4.879031702876091E-2</v>
      </c>
      <c r="DS3" s="23">
        <f>預測IC!DS3</f>
        <v>4.4818054884672158E-2</v>
      </c>
      <c r="DT3" s="23">
        <f>預測IC!DT3</f>
        <v>4.8045273870229721E-2</v>
      </c>
      <c r="DU3" s="23">
        <f>預測IC!DU3</f>
        <v>4.7465518116950989E-2</v>
      </c>
      <c r="DV3" s="23">
        <f>預測IC!DV3</f>
        <v>4.6620264649391167E-2</v>
      </c>
      <c r="DW3" s="23">
        <f>預測IC!DW3</f>
        <v>4.7323688864707947E-2</v>
      </c>
      <c r="DX3" s="23">
        <f>預測IC!DX3</f>
        <v>4.754440113902092E-2</v>
      </c>
      <c r="DY3" s="23">
        <f>預測IC!DY3</f>
        <v>4.7807488590478897E-2</v>
      </c>
      <c r="DZ3" s="23">
        <f>預測IC!DZ3</f>
        <v>3.4820709377527237E-2</v>
      </c>
      <c r="EA3" s="23">
        <f>預測IC!EA3</f>
        <v>4.8265136778354638E-2</v>
      </c>
      <c r="EB3" s="23">
        <f>預測IC!EB3</f>
        <v>4.2205382138490677E-2</v>
      </c>
      <c r="EC3" s="23">
        <f>預測IC!EC3</f>
        <v>3.6263357847929001E-2</v>
      </c>
      <c r="ED3" s="23">
        <f>預測IC!ED3</f>
        <v>3.9504203945398331E-2</v>
      </c>
      <c r="EE3" s="23">
        <f>預測IC!EE3</f>
        <v>4.6422228217124939E-2</v>
      </c>
      <c r="EF3" s="23">
        <f>預測IC!EF3</f>
        <v>5.0174936652183533E-2</v>
      </c>
      <c r="EG3" s="1"/>
    </row>
    <row r="4" spans="1:137">
      <c r="A4" s="7"/>
      <c r="B4" s="4" t="s">
        <v>137</v>
      </c>
      <c r="C4" s="23">
        <f>預測IC!C4</f>
        <v>-2.5382354855537411E-2</v>
      </c>
      <c r="D4" s="23">
        <f>預測IC!D4</f>
        <v>-3.0302392318844799E-2</v>
      </c>
      <c r="E4" s="23">
        <f>預測IC!E4</f>
        <v>-2.2067004814743999E-2</v>
      </c>
      <c r="F4" s="23">
        <f>預測IC!F4</f>
        <v>-3.342650830745697E-2</v>
      </c>
      <c r="G4" s="23">
        <f>預測IC!G4</f>
        <v>-4.356461763381958E-2</v>
      </c>
      <c r="H4" s="23">
        <f>預測IC!H4</f>
        <v>-2.4043656885623928E-2</v>
      </c>
      <c r="I4" s="23">
        <f>預測IC!I4</f>
        <v>-2.6620017364621159E-2</v>
      </c>
      <c r="J4" s="23">
        <f>預測IC!J4</f>
        <v>-3.6628138273954391E-2</v>
      </c>
      <c r="K4" s="23">
        <f>預測IC!K4</f>
        <v>-3.3706646412611008E-2</v>
      </c>
      <c r="L4" s="23">
        <f>預測IC!L4</f>
        <v>-3.9789609611034393E-2</v>
      </c>
      <c r="M4" s="23">
        <f>預測IC!M4</f>
        <v>-3.8071341812610633E-2</v>
      </c>
      <c r="N4" s="23">
        <f>預測IC!N4</f>
        <v>-2.9651828110218052E-2</v>
      </c>
      <c r="O4" s="23">
        <f>預測IC!O4</f>
        <v>-3.6376375705003738E-2</v>
      </c>
      <c r="P4" s="23">
        <f>預測IC!P4</f>
        <v>-3.8347743451595313E-2</v>
      </c>
      <c r="Q4" s="23">
        <f>預測IC!Q4</f>
        <v>-2.434376627206802E-2</v>
      </c>
      <c r="R4" s="23">
        <f>預測IC!R4</f>
        <v>-3.3573232591152191E-2</v>
      </c>
      <c r="S4" s="23">
        <f>預測IC!S4</f>
        <v>-2.8594411909580231E-2</v>
      </c>
      <c r="T4" s="23">
        <f>預測IC!T4</f>
        <v>-2.798360958695412E-2</v>
      </c>
      <c r="U4" s="23">
        <f>預測IC!U4</f>
        <v>-2.942265011370182E-2</v>
      </c>
      <c r="V4" s="23">
        <f>預測IC!V4</f>
        <v>-2.794249914586544E-2</v>
      </c>
      <c r="W4" s="23">
        <f>預測IC!W4</f>
        <v>-2.784637734293938E-2</v>
      </c>
      <c r="X4" s="23">
        <f>預測IC!X4</f>
        <v>-2.9234068468213081E-2</v>
      </c>
      <c r="Y4" s="23">
        <f>預測IC!Y4</f>
        <v>-3.1967829912900918E-2</v>
      </c>
      <c r="Z4" s="23">
        <f>預測IC!Z4</f>
        <v>-2.9925361275672909E-2</v>
      </c>
      <c r="AA4" s="23">
        <f>預測IC!AA4</f>
        <v>-3.0244136229157451E-2</v>
      </c>
      <c r="AB4" s="23">
        <f>預測IC!AB4</f>
        <v>-2.8592776507139209E-2</v>
      </c>
      <c r="AC4" s="23">
        <f>預測IC!AC4</f>
        <v>-2.740947529673576E-2</v>
      </c>
      <c r="AD4" s="23">
        <f>預測IC!AD4</f>
        <v>-2.904889173805714E-2</v>
      </c>
      <c r="AE4" s="23">
        <f>預測IC!AE4</f>
        <v>-3.0896455049514771E-2</v>
      </c>
      <c r="AF4" s="23">
        <f>預測IC!AF4</f>
        <v>-2.8318248689174649E-2</v>
      </c>
      <c r="AG4" s="23">
        <f>預測IC!AG4</f>
        <v>-2.835783921182156E-2</v>
      </c>
      <c r="AH4" s="23">
        <f>預測IC!AH4</f>
        <v>-2.0635519176721569E-2</v>
      </c>
      <c r="AI4" s="23">
        <f>預測IC!AI4</f>
        <v>-3.9616737514734268E-2</v>
      </c>
      <c r="AJ4" s="23">
        <f>預測IC!AJ4</f>
        <v>-3.4279849380254752E-2</v>
      </c>
      <c r="AK4" s="23">
        <f>預測IC!AK4</f>
        <v>-2.738221921026707E-2</v>
      </c>
      <c r="AL4" s="23">
        <f>預測IC!AL4</f>
        <v>-2.863131649792194E-2</v>
      </c>
      <c r="AM4" s="23">
        <f>預測IC!AM4</f>
        <v>-3.1148817390203479E-2</v>
      </c>
      <c r="AN4" s="23">
        <f>預測IC!AN4</f>
        <v>-2.5323469191789631E-2</v>
      </c>
      <c r="AO4" s="23">
        <f>預測IC!AO4</f>
        <v>-3.5884447395801537E-2</v>
      </c>
      <c r="AP4" s="23">
        <f>預測IC!AP4</f>
        <v>-2.0551485940814022E-2</v>
      </c>
      <c r="AQ4" s="23">
        <f>預測IC!AQ4</f>
        <v>-2.1187437698245049E-2</v>
      </c>
      <c r="AR4" s="23">
        <f>預測IC!AR4</f>
        <v>-2.6181202381849289E-2</v>
      </c>
      <c r="AS4" s="23">
        <f>預測IC!AS4</f>
        <v>-2.9181500896811489E-2</v>
      </c>
      <c r="AT4" s="23">
        <f>預測IC!AT4</f>
        <v>-2.6695109903812408E-2</v>
      </c>
      <c r="AU4" s="23">
        <f>預測IC!AU4</f>
        <v>-3.0467243865132328E-2</v>
      </c>
      <c r="AV4" s="23">
        <f>預測IC!AV4</f>
        <v>-3.2533787190914147E-2</v>
      </c>
      <c r="AW4" s="23">
        <f>預測IC!AW4</f>
        <v>-2.7417561039328579E-2</v>
      </c>
      <c r="AX4" s="23">
        <f>預測IC!AX4</f>
        <v>-2.6351917535066601E-2</v>
      </c>
      <c r="AY4" s="23">
        <f>預測IC!AY4</f>
        <v>-3.3511210232973099E-2</v>
      </c>
      <c r="AZ4" s="23">
        <f>預測IC!AZ4</f>
        <v>-2.682668715715408E-2</v>
      </c>
      <c r="BA4" s="23">
        <f>預測IC!BA4</f>
        <v>-3.1055137515068051E-2</v>
      </c>
      <c r="BB4" s="23">
        <f>預測IC!BB4</f>
        <v>-3.3870145678520203E-2</v>
      </c>
      <c r="BC4" s="23">
        <f>預測IC!BC4</f>
        <v>-3.1388275325298309E-2</v>
      </c>
      <c r="BD4" s="23">
        <f>預測IC!BD4</f>
        <v>-3.1560800969600677E-2</v>
      </c>
      <c r="BE4" s="23">
        <f>預測IC!BE4</f>
        <v>-3.270566463470459E-2</v>
      </c>
      <c r="BF4" s="23">
        <f>預測IC!BF4</f>
        <v>-3.091945685446262E-2</v>
      </c>
      <c r="BG4" s="23">
        <f>預測IC!BG4</f>
        <v>-3.1984996050596237E-2</v>
      </c>
      <c r="BH4" s="23">
        <f>預測IC!BH4</f>
        <v>-3.0280498787760731E-2</v>
      </c>
      <c r="BI4" s="23">
        <f>預測IC!BI4</f>
        <v>-3.1126156449317929E-2</v>
      </c>
      <c r="BJ4" s="23">
        <f>預測IC!BJ4</f>
        <v>-3.047936782240868E-2</v>
      </c>
      <c r="BK4" s="23">
        <f>預測IC!BK4</f>
        <v>-3.2265529036521912E-2</v>
      </c>
      <c r="BL4" s="23">
        <f>預測IC!BL4</f>
        <v>-3.1362555921077728E-2</v>
      </c>
      <c r="BM4" s="23">
        <f>預測IC!BM4</f>
        <v>-3.135472908616066E-2</v>
      </c>
      <c r="BN4" s="23">
        <f>預測IC!BN4</f>
        <v>-1.223484799265862E-2</v>
      </c>
      <c r="BO4" s="23">
        <f>預測IC!BO4</f>
        <v>-2.3717723786830899E-2</v>
      </c>
      <c r="BP4" s="23">
        <f>預測IC!BP4</f>
        <v>-2.602463960647583E-2</v>
      </c>
      <c r="BQ4" s="23">
        <f>預測IC!BQ4</f>
        <v>-3.055395744740963E-2</v>
      </c>
      <c r="BR4" s="23">
        <f>預測IC!BR4</f>
        <v>-1.1215118691325189E-2</v>
      </c>
      <c r="BS4" s="23">
        <f>預測IC!BS4</f>
        <v>-3.3343475311994553E-2</v>
      </c>
      <c r="BT4" s="23">
        <f>預測IC!BT4</f>
        <v>-2.5871314108371731E-2</v>
      </c>
      <c r="BU4" s="23">
        <f>預測IC!BU4</f>
        <v>-3.636319562792778E-2</v>
      </c>
      <c r="BV4" s="23">
        <f>預測IC!BV4</f>
        <v>-3.3731509000062943E-2</v>
      </c>
      <c r="BW4" s="23">
        <f>預測IC!BW4</f>
        <v>-2.4674531072378159E-2</v>
      </c>
      <c r="BX4" s="23">
        <f>預測IC!BX4</f>
        <v>-3.3149182796478271E-2</v>
      </c>
      <c r="BY4" s="23">
        <f>預測IC!BY4</f>
        <v>-3.1638260930776603E-2</v>
      </c>
      <c r="BZ4" s="23">
        <f>預測IC!BZ4</f>
        <v>-3.5745307803153992E-2</v>
      </c>
      <c r="CA4" s="23">
        <f>預測IC!CA4</f>
        <v>-3.2566580921411507E-2</v>
      </c>
      <c r="CB4" s="23">
        <f>預測IC!CB4</f>
        <v>-2.4697717279195789E-2</v>
      </c>
      <c r="CC4" s="23">
        <f>預測IC!CC4</f>
        <v>-2.9147785156965259E-2</v>
      </c>
      <c r="CD4" s="23">
        <f>預測IC!CD4</f>
        <v>-2.5953460484743118E-2</v>
      </c>
      <c r="CE4" s="23">
        <f>預測IC!CE4</f>
        <v>-3.1028131023049351E-2</v>
      </c>
      <c r="CF4" s="23">
        <f>預測IC!CF4</f>
        <v>-3.1018134206533429E-2</v>
      </c>
      <c r="CG4" s="23">
        <f>預測IC!CG4</f>
        <v>-3.0473332852125171E-2</v>
      </c>
      <c r="CH4" s="23">
        <f>預測IC!CH4</f>
        <v>-3.1180024147033691E-2</v>
      </c>
      <c r="CI4" s="23">
        <f>預測IC!CI4</f>
        <v>-3.08760479092598E-2</v>
      </c>
      <c r="CJ4" s="23">
        <f>預測IC!CJ4</f>
        <v>-3.3132713288068771E-2</v>
      </c>
      <c r="CK4" s="23">
        <f>預測IC!CK4</f>
        <v>-3.1985852867364883E-2</v>
      </c>
      <c r="CL4" s="23">
        <f>預測IC!CL4</f>
        <v>-3.1450629234313958E-2</v>
      </c>
      <c r="CM4" s="23">
        <f>預測IC!CM4</f>
        <v>-3.0559267848730091E-2</v>
      </c>
      <c r="CN4" s="23">
        <f>預測IC!CN4</f>
        <v>-3.1584195792675018E-2</v>
      </c>
      <c r="CO4" s="23">
        <f>預測IC!CO4</f>
        <v>-3.0493449419736859E-2</v>
      </c>
      <c r="CP4" s="23">
        <f>預測IC!CP4</f>
        <v>-3.0219420790672299E-2</v>
      </c>
      <c r="CQ4" s="23">
        <f>預測IC!CQ4</f>
        <v>-3.1929124146699912E-2</v>
      </c>
      <c r="CR4" s="23">
        <f>預測IC!CR4</f>
        <v>-2.934969961643219E-2</v>
      </c>
      <c r="CS4" s="23">
        <f>預測IC!CS4</f>
        <v>-3.0506746843457219E-2</v>
      </c>
      <c r="CT4" s="23">
        <f>預測IC!CT4</f>
        <v>-2.308591827750206E-2</v>
      </c>
      <c r="CU4" s="23">
        <f>預測IC!CU4</f>
        <v>-2.7401415631175041E-2</v>
      </c>
      <c r="CV4" s="23">
        <f>預測IC!CV4</f>
        <v>-2.833597362041473E-2</v>
      </c>
      <c r="CW4" s="23">
        <f>預測IC!CW4</f>
        <v>-3.2171882688999183E-2</v>
      </c>
      <c r="CX4" s="23">
        <f>預測IC!CX4</f>
        <v>-2.7837745845317841E-2</v>
      </c>
      <c r="CY4" s="23">
        <f>預測IC!CY4</f>
        <v>-2.7134021744132038E-2</v>
      </c>
      <c r="CZ4" s="23">
        <f>預測IC!CZ4</f>
        <v>-2.573245391249657E-2</v>
      </c>
      <c r="DA4" s="23">
        <f>預測IC!DA4</f>
        <v>-2.8771925717592239E-2</v>
      </c>
      <c r="DB4" s="23">
        <f>預測IC!DB4</f>
        <v>-3.3348452299833298E-2</v>
      </c>
      <c r="DC4" s="23">
        <f>預測IC!DC4</f>
        <v>-3.2358631491661072E-2</v>
      </c>
      <c r="DD4" s="23">
        <f>預測IC!DD4</f>
        <v>-3.2213933765888207E-2</v>
      </c>
      <c r="DE4" s="23">
        <f>預測IC!DE4</f>
        <v>-2.9715811833739281E-2</v>
      </c>
      <c r="DF4" s="23">
        <f>預測IC!DF4</f>
        <v>-2.911583706736565E-2</v>
      </c>
      <c r="DG4" s="23">
        <f>預測IC!DG4</f>
        <v>-2.7615876868367199E-2</v>
      </c>
      <c r="DH4" s="23">
        <f>預測IC!DH4</f>
        <v>-2.9729645699262619E-2</v>
      </c>
      <c r="DI4" s="23">
        <f>預測IC!DI4</f>
        <v>-2.982079982757568E-2</v>
      </c>
      <c r="DJ4" s="23">
        <f>預測IC!DJ4</f>
        <v>-3.0264958739280701E-2</v>
      </c>
      <c r="DK4" s="23">
        <f>預測IC!DK4</f>
        <v>-2.9952950775623322E-2</v>
      </c>
      <c r="DL4" s="23">
        <f>預測IC!DL4</f>
        <v>-3.0072087422013279E-2</v>
      </c>
      <c r="DM4" s="23">
        <f>預測IC!DM4</f>
        <v>-2.81603466719389E-2</v>
      </c>
      <c r="DN4" s="23">
        <f>預測IC!DN4</f>
        <v>-2.7362493798136711E-2</v>
      </c>
      <c r="DO4" s="23">
        <f>預測IC!DO4</f>
        <v>-2.868092060089111E-2</v>
      </c>
      <c r="DP4" s="23">
        <f>預測IC!DP4</f>
        <v>-2.6546770706772801E-2</v>
      </c>
      <c r="DQ4" s="23">
        <f>預測IC!DQ4</f>
        <v>-2.7645908296108249E-2</v>
      </c>
      <c r="DR4" s="23">
        <f>預測IC!DR4</f>
        <v>-3.0578829348087311E-2</v>
      </c>
      <c r="DS4" s="23">
        <f>預測IC!DS4</f>
        <v>-2.7206588536500931E-2</v>
      </c>
      <c r="DT4" s="23">
        <f>預測IC!DT4</f>
        <v>-2.9622273519635201E-2</v>
      </c>
      <c r="DU4" s="23">
        <f>預測IC!DU4</f>
        <v>-2.8198828920722011E-2</v>
      </c>
      <c r="DV4" s="23">
        <f>預測IC!DV4</f>
        <v>-2.79831737279892E-2</v>
      </c>
      <c r="DW4" s="23">
        <f>預測IC!DW4</f>
        <v>-2.6147188618779179E-2</v>
      </c>
      <c r="DX4" s="23">
        <f>預測IC!DX4</f>
        <v>-2.7574015781283379E-2</v>
      </c>
      <c r="DY4" s="23">
        <f>預測IC!DY4</f>
        <v>-2.9771693050861359E-2</v>
      </c>
      <c r="DZ4" s="23">
        <f>預測IC!DZ4</f>
        <v>-2.387923933565617E-2</v>
      </c>
      <c r="EA4" s="23">
        <f>預測IC!EA4</f>
        <v>-2.6729578152298931E-2</v>
      </c>
      <c r="EB4" s="23">
        <f>預測IC!EB4</f>
        <v>-2.6265991851687431E-2</v>
      </c>
      <c r="EC4" s="23">
        <f>預測IC!EC4</f>
        <v>-2.85224225372076E-2</v>
      </c>
      <c r="ED4" s="23">
        <f>預測IC!ED4</f>
        <v>-2.3929797112941738E-2</v>
      </c>
      <c r="EE4" s="23">
        <f>預測IC!EE4</f>
        <v>-3.5369247198104858E-2</v>
      </c>
      <c r="EF4" s="23">
        <f>預測IC!EF4</f>
        <v>-2.889788523316383E-2</v>
      </c>
      <c r="EG4" s="1"/>
    </row>
    <row r="5" spans="1:137">
      <c r="A5" s="7"/>
      <c r="B5" s="4" t="s">
        <v>138</v>
      </c>
      <c r="C5" s="23">
        <f>預測IC!C5</f>
        <v>6.8580564111471176E-3</v>
      </c>
      <c r="D5" s="23">
        <f>預測IC!D5</f>
        <v>-4.5473207719624043E-3</v>
      </c>
      <c r="E5" s="23">
        <f>預測IC!E5</f>
        <v>-5.2568246610462674E-3</v>
      </c>
      <c r="F5" s="23">
        <f>預測IC!F5</f>
        <v>-5.0700334832072258E-3</v>
      </c>
      <c r="G5" s="23">
        <f>預測IC!G5</f>
        <v>-7.554895244538784E-3</v>
      </c>
      <c r="H5" s="23">
        <f>預測IC!H5</f>
        <v>-5.7517439126968384E-3</v>
      </c>
      <c r="I5" s="23">
        <f>預測IC!I5</f>
        <v>-6.6213347017765054E-3</v>
      </c>
      <c r="J5" s="23">
        <f>預測IC!J5</f>
        <v>-6.4456779509782791E-3</v>
      </c>
      <c r="K5" s="23">
        <f>預測IC!K5</f>
        <v>-7.2449943982064724E-3</v>
      </c>
      <c r="L5" s="23">
        <f>預測IC!L5</f>
        <v>-7.4795205146074304E-3</v>
      </c>
      <c r="M5" s="23">
        <f>預測IC!M5</f>
        <v>-5.7203313335776329E-3</v>
      </c>
      <c r="N5" s="23">
        <f>預測IC!N5</f>
        <v>1.217774953693151E-2</v>
      </c>
      <c r="O5" s="23">
        <f>預測IC!O5</f>
        <v>2.0977385342121121E-2</v>
      </c>
      <c r="P5" s="23">
        <f>預測IC!P5</f>
        <v>4.1054370813071728E-3</v>
      </c>
      <c r="Q5" s="23">
        <f>預測IC!Q5</f>
        <v>2.752495463937521E-3</v>
      </c>
      <c r="R5" s="23">
        <f>預測IC!R5</f>
        <v>2.2056563757359982E-3</v>
      </c>
      <c r="S5" s="23">
        <f>預測IC!S5</f>
        <v>-3.200523322448134E-3</v>
      </c>
      <c r="T5" s="23">
        <f>預測IC!T5</f>
        <v>4.7661159187555313E-3</v>
      </c>
      <c r="U5" s="23">
        <f>預測IC!U5</f>
        <v>3.1950199045240879E-3</v>
      </c>
      <c r="V5" s="23">
        <f>預測IC!V5</f>
        <v>1.3798894360661509E-4</v>
      </c>
      <c r="W5" s="23">
        <f>預測IC!W5</f>
        <v>9.084991761483252E-4</v>
      </c>
      <c r="X5" s="23">
        <f>預測IC!X5</f>
        <v>-4.8395749181509018E-3</v>
      </c>
      <c r="Y5" s="23">
        <f>預測IC!Y5</f>
        <v>-9.668414480984211E-3</v>
      </c>
      <c r="Z5" s="23">
        <f>預測IC!Z5</f>
        <v>-4.3582962825894356E-3</v>
      </c>
      <c r="AA5" s="23">
        <f>預測IC!AA5</f>
        <v>-9.451698511838913E-3</v>
      </c>
      <c r="AB5" s="23">
        <f>預測IC!AB5</f>
        <v>-7.8619010746479034E-3</v>
      </c>
      <c r="AC5" s="23">
        <f>預測IC!AC5</f>
        <v>-9.5739839598536491E-3</v>
      </c>
      <c r="AD5" s="23">
        <f>預測IC!AD5</f>
        <v>-1.192590594291687E-2</v>
      </c>
      <c r="AE5" s="23">
        <f>預測IC!AE5</f>
        <v>-9.073648601770401E-3</v>
      </c>
      <c r="AF5" s="23">
        <f>預測IC!AF5</f>
        <v>-5.2689705044031143E-3</v>
      </c>
      <c r="AG5" s="23">
        <f>預測IC!AG5</f>
        <v>-6.2905293889343739E-3</v>
      </c>
      <c r="AH5" s="23">
        <f>預測IC!AH5</f>
        <v>-4.2838593944907188E-3</v>
      </c>
      <c r="AI5" s="23">
        <f>預測IC!AI5</f>
        <v>-3.658974077552557E-3</v>
      </c>
      <c r="AJ5" s="23">
        <f>預測IC!AJ5</f>
        <v>-3.1868440564721818E-3</v>
      </c>
      <c r="AK5" s="23">
        <f>預測IC!AK5</f>
        <v>-6.5460228361189374E-3</v>
      </c>
      <c r="AL5" s="23">
        <f>預測IC!AL5</f>
        <v>-5.4174191318452358E-3</v>
      </c>
      <c r="AM5" s="23">
        <f>預測IC!AM5</f>
        <v>-6.3505335710942754E-3</v>
      </c>
      <c r="AN5" s="23">
        <f>預測IC!AN5</f>
        <v>9.4361149240285158E-4</v>
      </c>
      <c r="AO5" s="23">
        <f>預測IC!AO5</f>
        <v>-4.1886745020747176E-3</v>
      </c>
      <c r="AP5" s="23">
        <f>預測IC!AP5</f>
        <v>-6.3021155074238777E-3</v>
      </c>
      <c r="AQ5" s="23">
        <f>預測IC!AQ5</f>
        <v>-7.8539003152400255E-4</v>
      </c>
      <c r="AR5" s="23">
        <f>預測IC!AR5</f>
        <v>1.274428068427369E-4</v>
      </c>
      <c r="AS5" s="23">
        <f>預測IC!AS5</f>
        <v>-2.6125095319002871E-3</v>
      </c>
      <c r="AT5" s="23">
        <f>預測IC!AT5</f>
        <v>1.7251728102564812E-2</v>
      </c>
      <c r="AU5" s="23">
        <f>預測IC!AU5</f>
        <v>-1.1382638476788999E-2</v>
      </c>
      <c r="AV5" s="23">
        <f>預測IC!AV5</f>
        <v>9.8412996158003807E-3</v>
      </c>
      <c r="AW5" s="23">
        <f>預測IC!AW5</f>
        <v>6.4438600093126297E-3</v>
      </c>
      <c r="AX5" s="23">
        <f>預測IC!AX5</f>
        <v>-9.4542577862739563E-3</v>
      </c>
      <c r="AY5" s="23">
        <f>預測IC!AY5</f>
        <v>-2.605369314551353E-3</v>
      </c>
      <c r="AZ5" s="23">
        <f>預測IC!AZ5</f>
        <v>1.02137690410018E-2</v>
      </c>
      <c r="BA5" s="23">
        <f>預測IC!BA5</f>
        <v>-3.370878694113344E-4</v>
      </c>
      <c r="BB5" s="23">
        <f>預測IC!BB5</f>
        <v>-7.658196147531271E-3</v>
      </c>
      <c r="BC5" s="23">
        <f>預測IC!BC5</f>
        <v>1.95592432282865E-3</v>
      </c>
      <c r="BD5" s="23">
        <f>預測IC!BD5</f>
        <v>-1.753970421850681E-2</v>
      </c>
      <c r="BE5" s="23">
        <f>預測IC!BE5</f>
        <v>-5.8258567005395889E-3</v>
      </c>
      <c r="BF5" s="23">
        <f>預測IC!BF5</f>
        <v>6.1481038574129343E-4</v>
      </c>
      <c r="BG5" s="23">
        <f>預測IC!BG5</f>
        <v>-7.2949402965605259E-3</v>
      </c>
      <c r="BH5" s="23">
        <f>預測IC!BH5</f>
        <v>-4.383845254778862E-3</v>
      </c>
      <c r="BI5" s="23">
        <f>預測IC!BI5</f>
        <v>7.9724268289282918E-5</v>
      </c>
      <c r="BJ5" s="23">
        <f>預測IC!BJ5</f>
        <v>-4.1618733666837221E-4</v>
      </c>
      <c r="BK5" s="23">
        <f>預測IC!BK5</f>
        <v>-8.1078559160232544E-3</v>
      </c>
      <c r="BL5" s="23">
        <f>預測IC!BL5</f>
        <v>-1.816836651414633E-3</v>
      </c>
      <c r="BM5" s="23">
        <f>預測IC!BM5</f>
        <v>-3.0251548159867529E-3</v>
      </c>
      <c r="BN5" s="23">
        <f>預測IC!BN5</f>
        <v>-7.1253179339691997E-4</v>
      </c>
      <c r="BO5" s="23">
        <f>預測IC!BO5</f>
        <v>-4.3908162042498589E-3</v>
      </c>
      <c r="BP5" s="23">
        <f>預測IC!BP5</f>
        <v>-8.6731631308794022E-3</v>
      </c>
      <c r="BQ5" s="23">
        <f>預測IC!BQ5</f>
        <v>9.8586292006075382E-4</v>
      </c>
      <c r="BR5" s="23">
        <f>預測IC!BR5</f>
        <v>5.6344678159803152E-4</v>
      </c>
      <c r="BS5" s="23">
        <f>預測IC!BS5</f>
        <v>-7.2165514575317502E-4</v>
      </c>
      <c r="BT5" s="23">
        <f>預測IC!BT5</f>
        <v>2.1159742027521131E-4</v>
      </c>
      <c r="BU5" s="23">
        <f>預測IC!BU5</f>
        <v>-3.9482754655182362E-3</v>
      </c>
      <c r="BV5" s="23">
        <f>預測IC!BV5</f>
        <v>-1.754006138071418E-3</v>
      </c>
      <c r="BW5" s="23">
        <f>預測IC!BW5</f>
        <v>-3.9257919415831566E-3</v>
      </c>
      <c r="BX5" s="23">
        <f>預測IC!BX5</f>
        <v>-2.280559623613954E-3</v>
      </c>
      <c r="BY5" s="23">
        <f>預測IC!BY5</f>
        <v>-2.5638358201831579E-3</v>
      </c>
      <c r="BZ5" s="23">
        <f>預測IC!BZ5</f>
        <v>9.5798890106379986E-4</v>
      </c>
      <c r="CA5" s="23">
        <f>預測IC!CA5</f>
        <v>-1.7290487885475159E-2</v>
      </c>
      <c r="CB5" s="23">
        <f>預測IC!CB5</f>
        <v>-1.8011752516031269E-2</v>
      </c>
      <c r="CC5" s="23">
        <f>預測IC!CC5</f>
        <v>-1.120550092309713E-2</v>
      </c>
      <c r="CD5" s="23">
        <f>預測IC!CD5</f>
        <v>-5.9453980065882206E-3</v>
      </c>
      <c r="CE5" s="23">
        <f>預測IC!CE5</f>
        <v>5.6577795185148716E-3</v>
      </c>
      <c r="CF5" s="23">
        <f>預測IC!CF5</f>
        <v>-5.0181304104626179E-3</v>
      </c>
      <c r="CG5" s="23">
        <f>預測IC!CG5</f>
        <v>-1.080882735550404E-3</v>
      </c>
      <c r="CH5" s="23">
        <f>預測IC!CH5</f>
        <v>-2.4344832636415958E-3</v>
      </c>
      <c r="CI5" s="23">
        <f>預測IC!CI5</f>
        <v>-5.8056642301380634E-3</v>
      </c>
      <c r="CJ5" s="23">
        <f>預測IC!CJ5</f>
        <v>5.3442474454641342E-3</v>
      </c>
      <c r="CK5" s="23">
        <f>預測IC!CK5</f>
        <v>-6.6559319384396076E-3</v>
      </c>
      <c r="CL5" s="23">
        <f>預測IC!CL5</f>
        <v>-8.122333325445652E-3</v>
      </c>
      <c r="CM5" s="23">
        <f>預測IC!CM5</f>
        <v>4.4885189272463322E-3</v>
      </c>
      <c r="CN5" s="23">
        <f>預測IC!CN5</f>
        <v>-1.260940451174974E-3</v>
      </c>
      <c r="CO5" s="23">
        <f>預測IC!CO5</f>
        <v>2.2093972656875849E-3</v>
      </c>
      <c r="CP5" s="23">
        <f>預測IC!CP5</f>
        <v>-3.1657333020120859E-3</v>
      </c>
      <c r="CQ5" s="23">
        <f>預測IC!CQ5</f>
        <v>-4.2476160451769829E-3</v>
      </c>
      <c r="CR5" s="23">
        <f>預測IC!CR5</f>
        <v>7.4740842683240771E-4</v>
      </c>
      <c r="CS5" s="23">
        <f>預測IC!CS5</f>
        <v>-6.8966434337198734E-3</v>
      </c>
      <c r="CT5" s="23">
        <f>預測IC!CT5</f>
        <v>-8.8150595547631383E-4</v>
      </c>
      <c r="CU5" s="23">
        <f>預測IC!CU5</f>
        <v>-5.4849479347467422E-3</v>
      </c>
      <c r="CV5" s="23">
        <f>預測IC!CV5</f>
        <v>-5.0015887245535851E-4</v>
      </c>
      <c r="CW5" s="23">
        <f>預測IC!CW5</f>
        <v>-3.6941524595022202E-3</v>
      </c>
      <c r="CX5" s="23">
        <f>預測IC!CX5</f>
        <v>-1.516487682238221E-3</v>
      </c>
      <c r="CY5" s="23">
        <f>預測IC!CY5</f>
        <v>-2.2506022360175848E-3</v>
      </c>
      <c r="CZ5" s="23">
        <f>預測IC!CZ5</f>
        <v>-1.037915935739875E-4</v>
      </c>
      <c r="DA5" s="23">
        <f>預測IC!DA5</f>
        <v>-1.3994954060763121E-3</v>
      </c>
      <c r="DB5" s="23">
        <f>預測IC!DB5</f>
        <v>-2.8583267703652382E-3</v>
      </c>
      <c r="DC5" s="23">
        <f>預測IC!DC5</f>
        <v>-3.8185073062777519E-3</v>
      </c>
      <c r="DD5" s="23">
        <f>預測IC!DD5</f>
        <v>-4.7922488301992416E-3</v>
      </c>
      <c r="DE5" s="23">
        <f>預測IC!DE5</f>
        <v>-4.4267559424042702E-3</v>
      </c>
      <c r="DF5" s="23">
        <f>預測IC!DF5</f>
        <v>-2.32978705316782E-2</v>
      </c>
      <c r="DG5" s="23">
        <f>預測IC!DG5</f>
        <v>-6.6420962102711201E-3</v>
      </c>
      <c r="DH5" s="23">
        <f>預測IC!DH5</f>
        <v>-4.64266212657094E-3</v>
      </c>
      <c r="DI5" s="23">
        <f>預測IC!DI5</f>
        <v>-2.1060877479612832E-3</v>
      </c>
      <c r="DJ5" s="23">
        <f>預測IC!DJ5</f>
        <v>-1.062803342938423E-2</v>
      </c>
      <c r="DK5" s="23">
        <f>預測IC!DK5</f>
        <v>-9.6024703234434128E-3</v>
      </c>
      <c r="DL5" s="23">
        <f>預測IC!DL5</f>
        <v>-3.8239909335970879E-3</v>
      </c>
      <c r="DM5" s="23">
        <f>預測IC!DM5</f>
        <v>-6.1252154409885406E-4</v>
      </c>
      <c r="DN5" s="23">
        <f>預測IC!DN5</f>
        <v>-3.627817146480083E-3</v>
      </c>
      <c r="DO5" s="23">
        <f>預測IC!DO5</f>
        <v>2.946552587673068E-3</v>
      </c>
      <c r="DP5" s="23">
        <f>預測IC!DP5</f>
        <v>-5.6377304717898369E-3</v>
      </c>
      <c r="DQ5" s="23">
        <f>預測IC!DQ5</f>
        <v>-4.3007815256714821E-3</v>
      </c>
      <c r="DR5" s="23">
        <f>預測IC!DR5</f>
        <v>-7.0757018402218819E-3</v>
      </c>
      <c r="DS5" s="23">
        <f>預測IC!DS5</f>
        <v>-3.6393199115991588E-3</v>
      </c>
      <c r="DT5" s="23">
        <f>預測IC!DT5</f>
        <v>-1.078812405467033E-3</v>
      </c>
      <c r="DU5" s="23">
        <f>預測IC!DU5</f>
        <v>-5.7610021904110909E-3</v>
      </c>
      <c r="DV5" s="23">
        <f>預測IC!DV5</f>
        <v>-3.170169191434979E-3</v>
      </c>
      <c r="DW5" s="23">
        <f>預測IC!DW5</f>
        <v>1.376348081976175E-4</v>
      </c>
      <c r="DX5" s="23">
        <f>預測IC!DX5</f>
        <v>-5.2125225774943829E-3</v>
      </c>
      <c r="DY5" s="23">
        <f>預測IC!DY5</f>
        <v>-3.231637179851532E-3</v>
      </c>
      <c r="DZ5" s="23">
        <f>預測IC!DZ5</f>
        <v>-1.969799399375916E-3</v>
      </c>
      <c r="EA5" s="23">
        <f>預測IC!EA5</f>
        <v>-2.5265156291425228E-3</v>
      </c>
      <c r="EB5" s="23">
        <f>預測IC!EB5</f>
        <v>-4.4835992157459259E-3</v>
      </c>
      <c r="EC5" s="23">
        <f>預測IC!EC5</f>
        <v>-4.603260662406683E-3</v>
      </c>
      <c r="ED5" s="23">
        <f>預測IC!ED5</f>
        <v>-6.4388466998934746E-3</v>
      </c>
      <c r="EE5" s="23">
        <f>預測IC!EE5</f>
        <v>-5.9161325916647911E-3</v>
      </c>
      <c r="EF5" s="23">
        <f>預測IC!EF5</f>
        <v>-6.1999494209885597E-3</v>
      </c>
      <c r="EG5" s="1"/>
    </row>
    <row r="6" spans="1:137">
      <c r="A6" s="12"/>
      <c r="B6" s="12"/>
    </row>
    <row r="7" spans="1:137">
      <c r="A7" s="4" t="s">
        <v>151</v>
      </c>
      <c r="B7" s="12"/>
    </row>
    <row r="8" spans="1:137">
      <c r="A8" s="12"/>
      <c r="B8" s="4" t="s">
        <v>0</v>
      </c>
      <c r="C8" s="5" t="s">
        <v>1</v>
      </c>
      <c r="D8" s="5" t="s">
        <v>2</v>
      </c>
      <c r="E8" s="5" t="s">
        <v>3</v>
      </c>
      <c r="F8" s="5" t="s">
        <v>4</v>
      </c>
      <c r="G8" s="5" t="s">
        <v>5</v>
      </c>
      <c r="H8" s="5" t="s">
        <v>6</v>
      </c>
      <c r="I8" s="5" t="s">
        <v>7</v>
      </c>
      <c r="J8" s="5" t="s">
        <v>8</v>
      </c>
      <c r="K8" s="5" t="s">
        <v>9</v>
      </c>
      <c r="L8" s="5" t="s">
        <v>10</v>
      </c>
      <c r="M8" s="5" t="s">
        <v>11</v>
      </c>
      <c r="N8" s="5" t="s">
        <v>12</v>
      </c>
      <c r="O8" s="5" t="s">
        <v>13</v>
      </c>
      <c r="P8" s="5" t="s">
        <v>14</v>
      </c>
      <c r="Q8" s="5" t="s">
        <v>15</v>
      </c>
      <c r="R8" s="5" t="s">
        <v>16</v>
      </c>
      <c r="S8" s="5" t="s">
        <v>17</v>
      </c>
      <c r="T8" s="5" t="s">
        <v>18</v>
      </c>
      <c r="U8" s="5" t="s">
        <v>19</v>
      </c>
      <c r="V8" s="5" t="s">
        <v>20</v>
      </c>
      <c r="W8" s="5" t="s">
        <v>21</v>
      </c>
      <c r="X8" s="5" t="s">
        <v>22</v>
      </c>
      <c r="Y8" s="5" t="s">
        <v>23</v>
      </c>
      <c r="Z8" s="5" t="s">
        <v>24</v>
      </c>
      <c r="AA8" s="5" t="s">
        <v>25</v>
      </c>
      <c r="AB8" s="5" t="s">
        <v>26</v>
      </c>
      <c r="AC8" s="5" t="s">
        <v>27</v>
      </c>
      <c r="AD8" s="5" t="s">
        <v>28</v>
      </c>
      <c r="AE8" s="5" t="s">
        <v>29</v>
      </c>
      <c r="AF8" s="5" t="s">
        <v>30</v>
      </c>
      <c r="AG8" s="5" t="s">
        <v>31</v>
      </c>
      <c r="AH8" s="5" t="s">
        <v>32</v>
      </c>
      <c r="AI8" s="5" t="s">
        <v>33</v>
      </c>
      <c r="AJ8" s="5" t="s">
        <v>34</v>
      </c>
      <c r="AK8" s="5" t="s">
        <v>35</v>
      </c>
      <c r="AL8" s="5" t="s">
        <v>36</v>
      </c>
      <c r="AM8" s="5" t="s">
        <v>37</v>
      </c>
      <c r="AN8" s="5" t="s">
        <v>38</v>
      </c>
      <c r="AO8" s="5" t="s">
        <v>39</v>
      </c>
      <c r="AP8" s="5" t="s">
        <v>40</v>
      </c>
      <c r="AQ8" s="5" t="s">
        <v>41</v>
      </c>
      <c r="AR8" s="5" t="s">
        <v>42</v>
      </c>
      <c r="AS8" s="5" t="s">
        <v>43</v>
      </c>
      <c r="AT8" s="5" t="s">
        <v>44</v>
      </c>
      <c r="AU8" s="5" t="s">
        <v>45</v>
      </c>
      <c r="AV8" s="5" t="s">
        <v>46</v>
      </c>
      <c r="AW8" s="5" t="s">
        <v>47</v>
      </c>
      <c r="AX8" s="5" t="s">
        <v>48</v>
      </c>
      <c r="AY8" s="5" t="s">
        <v>49</v>
      </c>
      <c r="AZ8" s="5" t="s">
        <v>50</v>
      </c>
      <c r="BA8" s="5" t="s">
        <v>51</v>
      </c>
      <c r="BB8" s="5" t="s">
        <v>52</v>
      </c>
      <c r="BC8" s="5" t="s">
        <v>53</v>
      </c>
      <c r="BD8" s="5" t="s">
        <v>54</v>
      </c>
      <c r="BE8" s="5" t="s">
        <v>55</v>
      </c>
      <c r="BF8" s="5" t="s">
        <v>56</v>
      </c>
      <c r="BG8" s="5" t="s">
        <v>57</v>
      </c>
      <c r="BH8" s="5" t="s">
        <v>58</v>
      </c>
      <c r="BI8" s="5" t="s">
        <v>59</v>
      </c>
      <c r="BJ8" s="5" t="s">
        <v>60</v>
      </c>
      <c r="BK8" s="5" t="s">
        <v>61</v>
      </c>
      <c r="BL8" s="5" t="s">
        <v>62</v>
      </c>
      <c r="BM8" s="5" t="s">
        <v>63</v>
      </c>
      <c r="BN8" s="5" t="s">
        <v>64</v>
      </c>
      <c r="BO8" s="5" t="s">
        <v>65</v>
      </c>
      <c r="BP8" s="5" t="s">
        <v>66</v>
      </c>
      <c r="BQ8" s="5" t="s">
        <v>67</v>
      </c>
      <c r="BR8" s="5" t="s">
        <v>68</v>
      </c>
      <c r="BS8" s="5" t="s">
        <v>69</v>
      </c>
      <c r="BT8" s="5" t="s">
        <v>70</v>
      </c>
      <c r="BU8" s="5" t="s">
        <v>71</v>
      </c>
      <c r="BV8" s="5" t="s">
        <v>72</v>
      </c>
      <c r="BW8" s="5" t="s">
        <v>73</v>
      </c>
      <c r="BX8" s="5" t="s">
        <v>74</v>
      </c>
      <c r="BY8" s="5" t="s">
        <v>75</v>
      </c>
      <c r="BZ8" s="5" t="s">
        <v>76</v>
      </c>
      <c r="CA8" s="5" t="s">
        <v>77</v>
      </c>
      <c r="CB8" s="5" t="s">
        <v>78</v>
      </c>
      <c r="CC8" s="5" t="s">
        <v>79</v>
      </c>
      <c r="CD8" s="5" t="s">
        <v>80</v>
      </c>
      <c r="CE8" s="5" t="s">
        <v>81</v>
      </c>
      <c r="CF8" s="5" t="s">
        <v>82</v>
      </c>
      <c r="CG8" s="5" t="s">
        <v>83</v>
      </c>
      <c r="CH8" s="5" t="s">
        <v>84</v>
      </c>
      <c r="CI8" s="5" t="s">
        <v>85</v>
      </c>
      <c r="CJ8" s="5" t="s">
        <v>86</v>
      </c>
      <c r="CK8" s="5" t="s">
        <v>87</v>
      </c>
      <c r="CL8" s="5" t="s">
        <v>88</v>
      </c>
      <c r="CM8" s="5" t="s">
        <v>89</v>
      </c>
      <c r="CN8" s="5" t="s">
        <v>90</v>
      </c>
      <c r="CO8" s="5" t="s">
        <v>91</v>
      </c>
      <c r="CP8" s="5" t="s">
        <v>92</v>
      </c>
      <c r="CQ8" s="5" t="s">
        <v>93</v>
      </c>
      <c r="CR8" s="5" t="s">
        <v>94</v>
      </c>
      <c r="CS8" s="5" t="s">
        <v>95</v>
      </c>
      <c r="CT8" s="5" t="s">
        <v>96</v>
      </c>
      <c r="CU8" s="5" t="s">
        <v>97</v>
      </c>
      <c r="CV8" s="5" t="s">
        <v>98</v>
      </c>
      <c r="CW8" s="5" t="s">
        <v>99</v>
      </c>
      <c r="CX8" s="5" t="s">
        <v>100</v>
      </c>
      <c r="CY8" s="5" t="s">
        <v>101</v>
      </c>
      <c r="CZ8" s="5" t="s">
        <v>102</v>
      </c>
      <c r="DA8" s="5" t="s">
        <v>103</v>
      </c>
      <c r="DB8" s="5" t="s">
        <v>104</v>
      </c>
      <c r="DC8" s="5" t="s">
        <v>105</v>
      </c>
      <c r="DD8" s="5" t="s">
        <v>106</v>
      </c>
      <c r="DE8" s="5" t="s">
        <v>107</v>
      </c>
      <c r="DF8" s="5" t="s">
        <v>108</v>
      </c>
      <c r="DG8" s="5" t="s">
        <v>109</v>
      </c>
      <c r="DH8" s="5" t="s">
        <v>110</v>
      </c>
      <c r="DI8" s="5" t="s">
        <v>111</v>
      </c>
      <c r="DJ8" s="5" t="s">
        <v>112</v>
      </c>
      <c r="DK8" s="5" t="s">
        <v>113</v>
      </c>
      <c r="DL8" s="5" t="s">
        <v>114</v>
      </c>
      <c r="DM8" s="5" t="s">
        <v>115</v>
      </c>
      <c r="DN8" s="5" t="s">
        <v>116</v>
      </c>
      <c r="DO8" s="5" t="s">
        <v>117</v>
      </c>
      <c r="DP8" s="5" t="s">
        <v>118</v>
      </c>
      <c r="DQ8" s="5" t="s">
        <v>119</v>
      </c>
      <c r="DR8" s="5" t="s">
        <v>120</v>
      </c>
      <c r="DS8" s="5" t="s">
        <v>121</v>
      </c>
      <c r="DT8" s="5" t="s">
        <v>122</v>
      </c>
      <c r="DU8" s="5" t="s">
        <v>123</v>
      </c>
      <c r="DV8" s="5" t="s">
        <v>124</v>
      </c>
      <c r="DW8" s="5" t="s">
        <v>125</v>
      </c>
      <c r="DX8" s="5" t="s">
        <v>126</v>
      </c>
      <c r="DY8" s="5" t="s">
        <v>127</v>
      </c>
      <c r="DZ8" s="5" t="s">
        <v>128</v>
      </c>
      <c r="EA8" s="5" t="s">
        <v>129</v>
      </c>
      <c r="EB8" s="5" t="s">
        <v>130</v>
      </c>
      <c r="EC8" s="5" t="s">
        <v>131</v>
      </c>
      <c r="ED8" s="5" t="s">
        <v>132</v>
      </c>
      <c r="EE8" s="5" t="s">
        <v>133</v>
      </c>
      <c r="EF8" s="5" t="s">
        <v>134</v>
      </c>
    </row>
    <row r="9" spans="1:137">
      <c r="A9" s="12"/>
      <c r="B9" s="14" t="s">
        <v>136</v>
      </c>
      <c r="C9" s="13">
        <v>0.109105830631824</v>
      </c>
      <c r="D9" s="13">
        <v>1.4576582608432649E-2</v>
      </c>
      <c r="E9" s="13">
        <v>-3.6154356576976902E-2</v>
      </c>
      <c r="F9" s="13">
        <v>-4.742600977062153E-3</v>
      </c>
      <c r="G9" s="13">
        <v>-5.7477531385562736E-3</v>
      </c>
      <c r="H9" s="13">
        <v>4.9378023156909527E-2</v>
      </c>
      <c r="I9" s="13">
        <v>0.18325176920476779</v>
      </c>
      <c r="J9" s="13">
        <v>0.1164863088741452</v>
      </c>
      <c r="K9" s="13">
        <v>-3.0594945598924051E-2</v>
      </c>
      <c r="L9" s="13">
        <v>1.9828051430277011E-2</v>
      </c>
      <c r="M9" s="13">
        <v>-2.0999006362740089E-2</v>
      </c>
      <c r="N9" s="13">
        <v>0.1497794247734946</v>
      </c>
      <c r="O9" s="13">
        <v>1.5463406170905081E-2</v>
      </c>
      <c r="P9" s="13">
        <v>-9.1792321477913982E-2</v>
      </c>
      <c r="Q9" s="13">
        <v>-7.7409013100986537E-2</v>
      </c>
      <c r="R9" s="13">
        <v>5.4776596014220982E-2</v>
      </c>
      <c r="S9" s="13">
        <v>-0.12533438670858049</v>
      </c>
      <c r="T9" s="13">
        <v>-0.1190534205538864</v>
      </c>
      <c r="U9" s="13">
        <v>-3.777005083138045E-2</v>
      </c>
      <c r="V9" s="13">
        <v>8.1183823152198617E-2</v>
      </c>
      <c r="W9" s="13">
        <v>8.4008967865119855E-2</v>
      </c>
      <c r="X9" s="13">
        <v>0.14701135657134901</v>
      </c>
      <c r="Y9" s="13">
        <v>-0.12536053701812139</v>
      </c>
      <c r="Z9" s="13">
        <v>0.1919535535452612</v>
      </c>
      <c r="AA9" s="13">
        <v>-8.4370782422902996E-2</v>
      </c>
      <c r="AB9" s="13">
        <v>7.2897613803716274E-2</v>
      </c>
      <c r="AC9" s="13">
        <v>0.10260456025692451</v>
      </c>
      <c r="AD9" s="13">
        <v>1.5770167253116588E-2</v>
      </c>
      <c r="AE9" s="13">
        <v>-0.15200716210156701</v>
      </c>
      <c r="AF9" s="13">
        <v>5.9250251506559243E-2</v>
      </c>
      <c r="AG9" s="13">
        <v>0.13005883770177931</v>
      </c>
      <c r="AH9" s="13">
        <v>0.11525639530312259</v>
      </c>
      <c r="AI9" s="13">
        <v>3.2606621901195412E-2</v>
      </c>
      <c r="AJ9" s="13">
        <v>2.79991148643382E-2</v>
      </c>
      <c r="AK9" s="13">
        <v>0.14657041796408479</v>
      </c>
      <c r="AL9" s="13">
        <v>4.0841921466891577E-2</v>
      </c>
      <c r="AM9" s="13">
        <v>0.13137636706820099</v>
      </c>
      <c r="AN9" s="13">
        <v>0.22143295930140211</v>
      </c>
      <c r="AO9" s="13">
        <v>-2.0941038924054418E-2</v>
      </c>
      <c r="AP9" s="13">
        <v>-0.13715995040864579</v>
      </c>
      <c r="AQ9" s="13">
        <v>-2.4882854865750599E-2</v>
      </c>
      <c r="AR9" s="13">
        <v>1.551397070984222E-2</v>
      </c>
      <c r="AS9" s="13">
        <v>3.4373036510765703E-2</v>
      </c>
      <c r="AT9" s="13">
        <v>6.3095686135752824E-2</v>
      </c>
      <c r="AU9" s="13">
        <v>4.3237695395113553E-2</v>
      </c>
      <c r="AV9" s="13">
        <v>-7.4230367380587331E-2</v>
      </c>
      <c r="AW9" s="13">
        <v>2.7994827208502701E-2</v>
      </c>
      <c r="AX9" s="13">
        <v>0.1198644178103629</v>
      </c>
      <c r="AY9" s="13">
        <v>7.6559571245744709E-2</v>
      </c>
      <c r="AZ9" s="13">
        <v>-2.1730386111293399E-2</v>
      </c>
      <c r="BA9" s="13">
        <v>-1.2464632784982711E-3</v>
      </c>
      <c r="BB9" s="13">
        <v>0.10099582217884891</v>
      </c>
      <c r="BC9" s="13">
        <v>2.9826929857085831E-2</v>
      </c>
      <c r="BD9" s="13">
        <v>8.6757683796749117E-3</v>
      </c>
      <c r="BE9" s="13">
        <v>6.8557206018591665E-2</v>
      </c>
      <c r="BF9" s="13">
        <v>0.15691259652648329</v>
      </c>
      <c r="BG9" s="13">
        <v>0.1592037331379933</v>
      </c>
      <c r="BH9" s="13">
        <v>6.1121667651573217E-2</v>
      </c>
      <c r="BI9" s="13">
        <v>9.6912851275401127E-2</v>
      </c>
      <c r="BJ9" s="13">
        <v>-5.4746248471514068E-2</v>
      </c>
      <c r="BK9" s="13">
        <v>-8.7492963132843785E-2</v>
      </c>
      <c r="BL9" s="13">
        <v>9.4426745861656128E-2</v>
      </c>
      <c r="BM9" s="13">
        <v>-2.2191058729398399E-2</v>
      </c>
      <c r="BN9" s="13">
        <v>1.562861243910833E-2</v>
      </c>
      <c r="BO9" s="13">
        <v>8.1418240100881306E-2</v>
      </c>
      <c r="BP9" s="13">
        <v>-1.8508942424783719E-2</v>
      </c>
      <c r="BQ9" s="13">
        <v>6.8729568027927734E-2</v>
      </c>
      <c r="BR9" s="13">
        <v>3.1023605185006549E-3</v>
      </c>
      <c r="BS9" s="13">
        <v>7.4964417651561921E-2</v>
      </c>
      <c r="BT9" s="13">
        <v>4.5201587698112312E-2</v>
      </c>
      <c r="BU9" s="13">
        <v>2.5677329398223779E-2</v>
      </c>
      <c r="BV9" s="13">
        <v>9.180403106274436E-2</v>
      </c>
      <c r="BW9" s="13">
        <v>-2.6353999034970911E-2</v>
      </c>
      <c r="BX9" s="13">
        <v>1.9394832235212069E-2</v>
      </c>
      <c r="BY9" s="13">
        <v>-7.6838899317359197E-2</v>
      </c>
      <c r="BZ9" s="13">
        <v>0.1133093139289441</v>
      </c>
      <c r="CA9" s="13">
        <v>-0.10735493495839039</v>
      </c>
      <c r="CB9" s="13">
        <v>4.0844788501696747E-2</v>
      </c>
      <c r="CC9" s="13">
        <v>-1.9801708972640539E-2</v>
      </c>
      <c r="CD9" s="13">
        <v>0.1883770899619405</v>
      </c>
      <c r="CE9" s="13">
        <v>5.5574905720929421E-2</v>
      </c>
      <c r="CF9" s="13">
        <v>7.4872074365934668E-2</v>
      </c>
      <c r="CG9" s="13">
        <v>0.1000001919024945</v>
      </c>
      <c r="CH9" s="13">
        <v>0.1360217220005796</v>
      </c>
      <c r="CI9" s="13">
        <v>-9.3741014702459921E-2</v>
      </c>
      <c r="CJ9" s="13">
        <v>3.9305991202356373E-3</v>
      </c>
      <c r="CK9" s="13">
        <v>5.6507776574398372E-2</v>
      </c>
      <c r="CL9" s="13">
        <v>0.26354577822564818</v>
      </c>
      <c r="CM9" s="13">
        <v>-9.5554349157474378E-3</v>
      </c>
      <c r="CN9" s="13">
        <v>-3.1511899508967982E-2</v>
      </c>
      <c r="CO9" s="13">
        <v>-2.2619031528730349E-2</v>
      </c>
      <c r="CP9" s="13">
        <v>0.13265560934539161</v>
      </c>
      <c r="CQ9" s="13">
        <v>0.1330727797426777</v>
      </c>
      <c r="CR9" s="13">
        <v>-1.4956408370414089E-2</v>
      </c>
      <c r="CS9" s="13">
        <v>-3.3419937997587537E-2</v>
      </c>
      <c r="CT9" s="13">
        <v>1.228120855821169E-2</v>
      </c>
      <c r="CU9" s="13">
        <v>0.11681498356736621</v>
      </c>
      <c r="CV9" s="13">
        <v>-3.1589453565969692E-3</v>
      </c>
      <c r="CW9" s="13">
        <v>3.8217758352757383E-2</v>
      </c>
      <c r="CX9" s="13">
        <v>0.13917409482071269</v>
      </c>
      <c r="CY9" s="13">
        <v>-2.3712287606589749E-2</v>
      </c>
      <c r="CZ9" s="13">
        <v>0.21835291106172269</v>
      </c>
      <c r="DA9" s="13">
        <v>-5.796736233046404E-2</v>
      </c>
      <c r="DB9" s="13">
        <v>-1.410421852050941E-2</v>
      </c>
      <c r="DC9" s="13">
        <v>0.11395608079284369</v>
      </c>
      <c r="DD9" s="13">
        <v>7.4472261891957006E-2</v>
      </c>
      <c r="DE9" s="13">
        <v>-8.9969275376677231E-4</v>
      </c>
      <c r="DF9" s="13">
        <v>9.7707180382245536E-4</v>
      </c>
      <c r="DG9" s="13">
        <v>-7.2980095070914866E-2</v>
      </c>
      <c r="DH9" s="13">
        <v>-2.384528684741952E-2</v>
      </c>
      <c r="DI9" s="13">
        <v>-0.101530671996864</v>
      </c>
      <c r="DJ9" s="13">
        <v>2.7692536462605249E-2</v>
      </c>
      <c r="DK9" s="13">
        <v>-4.9335152901351147E-2</v>
      </c>
      <c r="DL9" s="13">
        <v>-5.6993575669654463E-3</v>
      </c>
      <c r="DM9" s="13">
        <v>-3.698176006290884E-2</v>
      </c>
      <c r="DN9" s="13">
        <v>0.1098129862949979</v>
      </c>
      <c r="DO9" s="13">
        <v>4.2036825231170707E-2</v>
      </c>
      <c r="DP9" s="13">
        <v>8.4566668006112469E-2</v>
      </c>
      <c r="DQ9" s="13">
        <v>-0.11027981086457481</v>
      </c>
      <c r="DR9" s="13">
        <v>9.4328709127723676E-2</v>
      </c>
      <c r="DS9" s="13">
        <v>-7.1906912609422696E-2</v>
      </c>
      <c r="DT9" s="13">
        <v>-9.6236429507091506E-2</v>
      </c>
      <c r="DU9" s="13">
        <v>2.3455494098847921E-3</v>
      </c>
      <c r="DV9" s="13">
        <v>0.13401742358239299</v>
      </c>
      <c r="DW9" s="13">
        <v>9.4732519114383587E-2</v>
      </c>
      <c r="DX9" s="13">
        <v>-0.1037731978548066</v>
      </c>
      <c r="DY9" s="13">
        <v>7.5762154171076845E-2</v>
      </c>
      <c r="DZ9" s="13">
        <v>-3.1829720434029513E-2</v>
      </c>
      <c r="EA9" s="13">
        <v>0.16130801932992569</v>
      </c>
      <c r="EB9" s="13">
        <v>1.020353315832318E-2</v>
      </c>
      <c r="EC9" s="13">
        <v>7.3988425168607055E-2</v>
      </c>
      <c r="ED9" s="13">
        <v>-0.15737687498945321</v>
      </c>
      <c r="EE9" s="13">
        <v>7.9137553498671423E-2</v>
      </c>
      <c r="EF9" s="13">
        <v>7.252854687485949E-2</v>
      </c>
    </row>
    <row r="10" spans="1:137">
      <c r="A10" s="12"/>
      <c r="B10" s="14" t="s">
        <v>137</v>
      </c>
      <c r="C10" s="13">
        <v>-0.24758976829669241</v>
      </c>
      <c r="D10" s="13">
        <v>-0.27469343057649981</v>
      </c>
      <c r="E10" s="13">
        <v>-8.4647408680952302E-2</v>
      </c>
      <c r="F10" s="13">
        <v>2.264455067244003E-2</v>
      </c>
      <c r="G10" s="13">
        <v>-4.9680731580516939E-2</v>
      </c>
      <c r="H10" s="13">
        <v>-0.1007602928168904</v>
      </c>
      <c r="I10" s="13">
        <v>-1.252391121317452E-2</v>
      </c>
      <c r="J10" s="13">
        <v>7.8736564428810718E-2</v>
      </c>
      <c r="K10" s="13">
        <v>-3.418472217397777E-2</v>
      </c>
      <c r="L10" s="13">
        <v>8.8405768063395687E-2</v>
      </c>
      <c r="M10" s="13">
        <v>-3.063223768107371E-3</v>
      </c>
      <c r="N10" s="13">
        <v>-0.2122176757121633</v>
      </c>
      <c r="O10" s="13">
        <v>-3.6806047186275802E-2</v>
      </c>
      <c r="P10" s="13">
        <v>7.1032869038915328E-2</v>
      </c>
      <c r="Q10" s="13">
        <v>-7.1262725769719926E-2</v>
      </c>
      <c r="R10" s="13">
        <v>2.1560122359075201E-2</v>
      </c>
      <c r="S10" s="13">
        <v>0.1011106285268777</v>
      </c>
      <c r="T10" s="13">
        <v>4.3225785783864448E-2</v>
      </c>
      <c r="U10" s="13">
        <v>1.4882448402382731E-2</v>
      </c>
      <c r="V10" s="13">
        <v>6.3254548831656442E-3</v>
      </c>
      <c r="W10" s="13">
        <v>-0.14355359981714769</v>
      </c>
      <c r="X10" s="13">
        <v>-6.4281941457823372E-2</v>
      </c>
      <c r="Y10" s="13">
        <v>-1.903357696299891E-2</v>
      </c>
      <c r="Z10" s="13">
        <v>-2.0645024824591421E-2</v>
      </c>
      <c r="AA10" s="13">
        <v>3.3059348848449917E-2</v>
      </c>
      <c r="AB10" s="13">
        <v>-1.941869708891026E-2</v>
      </c>
      <c r="AC10" s="13">
        <v>-6.3126586896155801E-2</v>
      </c>
      <c r="AD10" s="13">
        <v>-6.5628500983560253E-2</v>
      </c>
      <c r="AE10" s="13">
        <v>0.1379961310212432</v>
      </c>
      <c r="AF10" s="13">
        <v>-0.10056964052741781</v>
      </c>
      <c r="AG10" s="13">
        <v>-3.7969245798925112E-2</v>
      </c>
      <c r="AH10" s="13">
        <v>-4.583935548720363E-2</v>
      </c>
      <c r="AI10" s="13">
        <v>-5.10352789387125E-2</v>
      </c>
      <c r="AJ10" s="13">
        <v>-3.220095653721949E-3</v>
      </c>
      <c r="AK10" s="13">
        <v>4.8875658220115276E-4</v>
      </c>
      <c r="AL10" s="13">
        <v>-0.10644527618290631</v>
      </c>
      <c r="AM10" s="13">
        <v>-1.3722774699556021E-2</v>
      </c>
      <c r="AN10" s="13">
        <v>-0.1219647211588806</v>
      </c>
      <c r="AO10" s="13">
        <v>-4.8589181402462003E-2</v>
      </c>
      <c r="AP10" s="13">
        <v>-1.9041778059185339E-3</v>
      </c>
      <c r="AQ10" s="13">
        <v>2.9066018342296149E-2</v>
      </c>
      <c r="AR10" s="13">
        <v>5.2635349974144381E-2</v>
      </c>
      <c r="AS10" s="13">
        <v>-1.289283221458187E-2</v>
      </c>
      <c r="AT10" s="13">
        <v>-2.131658648460029E-3</v>
      </c>
      <c r="AU10" s="13">
        <v>-0.15538501290530821</v>
      </c>
      <c r="AV10" s="13">
        <v>1.268162681278474E-2</v>
      </c>
      <c r="AW10" s="13">
        <v>-1.194344908582658E-2</v>
      </c>
      <c r="AX10" s="13">
        <v>-4.254256820393142E-3</v>
      </c>
      <c r="AY10" s="13">
        <v>2.9300270445388139E-2</v>
      </c>
      <c r="AZ10" s="13">
        <v>-0.13412921407419631</v>
      </c>
      <c r="BA10" s="13">
        <v>-0.13711153382780539</v>
      </c>
      <c r="BB10" s="13">
        <v>1.7544829562932121E-3</v>
      </c>
      <c r="BC10" s="13">
        <v>2.511654347888697E-2</v>
      </c>
      <c r="BD10" s="13">
        <v>-0.1196024857992017</v>
      </c>
      <c r="BE10" s="13">
        <v>0.135761177270974</v>
      </c>
      <c r="BF10" s="13">
        <v>4.709043184574481E-2</v>
      </c>
      <c r="BG10" s="13">
        <v>-2.6049007567284111E-2</v>
      </c>
      <c r="BH10" s="13">
        <v>4.3752029296548839E-2</v>
      </c>
      <c r="BI10" s="13">
        <v>-8.1392655361459662E-2</v>
      </c>
      <c r="BJ10" s="13">
        <v>-0.1006007358674621</v>
      </c>
      <c r="BK10" s="13">
        <v>9.0489366897286788E-2</v>
      </c>
      <c r="BL10" s="13">
        <v>-3.0897742772999219E-2</v>
      </c>
      <c r="BM10" s="13">
        <v>5.8813938006831247E-2</v>
      </c>
      <c r="BN10" s="13">
        <v>8.1345468366351176E-2</v>
      </c>
      <c r="BO10" s="13">
        <v>-7.7170833199325618E-3</v>
      </c>
      <c r="BP10" s="13">
        <v>0.10673674154857379</v>
      </c>
      <c r="BQ10" s="13">
        <v>-2.7158740562488171E-2</v>
      </c>
      <c r="BR10" s="13">
        <v>-5.4431215783143028E-2</v>
      </c>
      <c r="BS10" s="13">
        <v>-6.8229022045583829E-2</v>
      </c>
      <c r="BT10" s="13">
        <v>9.8612198309463703E-2</v>
      </c>
      <c r="BU10" s="13">
        <v>0.12839898850779141</v>
      </c>
      <c r="BV10" s="13">
        <v>-7.8402881325410026E-2</v>
      </c>
      <c r="BW10" s="13">
        <v>-0.11913343161806331</v>
      </c>
      <c r="BX10" s="13">
        <v>-4.6889397915272413E-2</v>
      </c>
      <c r="BY10" s="13">
        <v>0.10169993825866221</v>
      </c>
      <c r="BZ10" s="13">
        <v>-2.5680337081998201E-2</v>
      </c>
      <c r="CA10" s="13">
        <v>-8.3302285587760524E-2</v>
      </c>
      <c r="CB10" s="13">
        <v>-0.15782773316385521</v>
      </c>
      <c r="CC10" s="13">
        <v>-7.1052051902174743E-2</v>
      </c>
      <c r="CD10" s="13">
        <v>-7.3875061081766558E-2</v>
      </c>
      <c r="CE10" s="13">
        <v>-0.23678696446753891</v>
      </c>
      <c r="CF10" s="13">
        <v>3.2627523242064679E-2</v>
      </c>
      <c r="CG10" s="13">
        <v>1.342288764413619E-2</v>
      </c>
      <c r="CH10" s="13">
        <v>-2.7968633716377342E-3</v>
      </c>
      <c r="CI10" s="13">
        <v>4.7924567852651742E-2</v>
      </c>
      <c r="CJ10" s="13">
        <v>-3.2519419403671838E-3</v>
      </c>
      <c r="CK10" s="13">
        <v>-7.5708975107552243E-2</v>
      </c>
      <c r="CL10" s="13">
        <v>-4.439755258059426E-2</v>
      </c>
      <c r="CM10" s="13">
        <v>0.1789885274463347</v>
      </c>
      <c r="CN10" s="13">
        <v>5.7993573646864159E-2</v>
      </c>
      <c r="CO10" s="13">
        <v>-0.1393893811280717</v>
      </c>
      <c r="CP10" s="13">
        <v>6.4714037678969882E-2</v>
      </c>
      <c r="CQ10" s="13">
        <v>-0.18118875703586679</v>
      </c>
      <c r="CR10" s="13">
        <v>-8.8634319298032588E-2</v>
      </c>
      <c r="CS10" s="13">
        <v>-2.532291666049663E-2</v>
      </c>
      <c r="CT10" s="13">
        <v>-0.1130794212593592</v>
      </c>
      <c r="CU10" s="13">
        <v>8.0959592543356738E-3</v>
      </c>
      <c r="CV10" s="13">
        <v>-4.5200602925950961E-2</v>
      </c>
      <c r="CW10" s="13">
        <v>-5.8940913730987268E-2</v>
      </c>
      <c r="CX10" s="13">
        <v>-0.1077272712682267</v>
      </c>
      <c r="CY10" s="13">
        <v>-9.6502906155934681E-2</v>
      </c>
      <c r="CZ10" s="13">
        <v>-0.21035670398856179</v>
      </c>
      <c r="DA10" s="13">
        <v>-0.10996050959466699</v>
      </c>
      <c r="DB10" s="13">
        <v>-0.19082024937938699</v>
      </c>
      <c r="DC10" s="13">
        <v>-2.0727737658121869E-2</v>
      </c>
      <c r="DD10" s="13">
        <v>8.7028261289215092E-2</v>
      </c>
      <c r="DE10" s="13">
        <v>8.2023977632666611E-2</v>
      </c>
      <c r="DF10" s="13">
        <v>-0.16687716690833529</v>
      </c>
      <c r="DG10" s="13">
        <v>0.22243851882761501</v>
      </c>
      <c r="DH10" s="13">
        <v>-0.14429810695607659</v>
      </c>
      <c r="DI10" s="13">
        <v>-0.119619738842503</v>
      </c>
      <c r="DJ10" s="13">
        <v>-0.1015940725034912</v>
      </c>
      <c r="DK10" s="13">
        <v>9.2855169802784146E-2</v>
      </c>
      <c r="DL10" s="13">
        <v>-4.2631286140289042E-2</v>
      </c>
      <c r="DM10" s="13">
        <v>8.2731669362718641E-2</v>
      </c>
      <c r="DN10" s="13">
        <v>-3.1050001267846308E-2</v>
      </c>
      <c r="DO10" s="13">
        <v>-9.8141681786819784E-2</v>
      </c>
      <c r="DP10" s="13">
        <v>-0.1305889729339012</v>
      </c>
      <c r="DQ10" s="13">
        <v>4.8655494847405382E-2</v>
      </c>
      <c r="DR10" s="13">
        <v>-3.9252138227420609E-2</v>
      </c>
      <c r="DS10" s="13">
        <v>-0.16103059951017251</v>
      </c>
      <c r="DT10" s="13">
        <v>-7.888400008748718E-2</v>
      </c>
      <c r="DU10" s="13">
        <v>0.16407752749761609</v>
      </c>
      <c r="DV10" s="13">
        <v>7.5037004087490427E-3</v>
      </c>
      <c r="DW10" s="13">
        <v>-0.101645045369852</v>
      </c>
      <c r="DX10" s="13">
        <v>-5.6040172749099469E-2</v>
      </c>
      <c r="DY10" s="13">
        <v>-0.1066562704218547</v>
      </c>
      <c r="DZ10" s="13">
        <v>-6.9185868549906715E-2</v>
      </c>
      <c r="EA10" s="13">
        <v>-0.12618794756914789</v>
      </c>
      <c r="EB10" s="13">
        <v>-6.4736793075017299E-2</v>
      </c>
      <c r="EC10" s="13">
        <v>5.1424695154523088E-2</v>
      </c>
      <c r="ED10" s="13">
        <v>3.4496896225120741E-2</v>
      </c>
      <c r="EE10" s="13">
        <v>0.1576775401573908</v>
      </c>
      <c r="EF10" s="13">
        <v>-0.12717941252358159</v>
      </c>
    </row>
    <row r="11" spans="1:137">
      <c r="A11" s="12"/>
      <c r="B11" s="14" t="s">
        <v>138</v>
      </c>
      <c r="C11" s="13">
        <v>-5.4244781267602057E-2</v>
      </c>
      <c r="D11" s="13">
        <v>4.5377022463556939E-2</v>
      </c>
      <c r="E11" s="13">
        <v>-1.7752272607948309E-2</v>
      </c>
      <c r="F11" s="13">
        <v>-8.7687354470119203E-2</v>
      </c>
      <c r="G11" s="13">
        <v>0.1027592597916023</v>
      </c>
      <c r="H11" s="13">
        <v>2.5113717342445511E-3</v>
      </c>
      <c r="I11" s="13">
        <v>-1.8303552483615069E-2</v>
      </c>
      <c r="J11" s="13">
        <v>2.2110525104917209E-2</v>
      </c>
      <c r="K11" s="13">
        <v>7.7258045731841044E-2</v>
      </c>
      <c r="L11" s="13">
        <v>9.3440783982297517E-3</v>
      </c>
      <c r="M11" s="13">
        <v>5.3602181204841143E-2</v>
      </c>
      <c r="N11" s="13">
        <v>-6.7877357290963961E-2</v>
      </c>
      <c r="O11" s="13">
        <v>6.4929886491987929E-2</v>
      </c>
      <c r="P11" s="13">
        <v>4.8806817542238106E-3</v>
      </c>
      <c r="Q11" s="13">
        <v>1.919781824762783E-2</v>
      </c>
      <c r="R11" s="13">
        <v>-5.4653492448842392E-3</v>
      </c>
      <c r="S11" s="13">
        <v>3.6551467134004201E-2</v>
      </c>
      <c r="T11" s="13">
        <v>0.12918506866843241</v>
      </c>
      <c r="U11" s="13">
        <v>1.369240766293847E-2</v>
      </c>
      <c r="V11" s="13">
        <v>1.529525194063162E-2</v>
      </c>
      <c r="W11" s="13">
        <v>-0.10468571910271469</v>
      </c>
      <c r="X11" s="13">
        <v>-0.29384805056845642</v>
      </c>
      <c r="Y11" s="13">
        <v>5.9212485033458218E-2</v>
      </c>
      <c r="Z11" s="13">
        <v>-0.18494831245363619</v>
      </c>
      <c r="AA11" s="13">
        <v>9.8247438772127521E-2</v>
      </c>
      <c r="AB11" s="13">
        <v>-6.5734107189282197E-4</v>
      </c>
      <c r="AC11" s="13">
        <v>-0.1036861156532312</v>
      </c>
      <c r="AD11" s="13">
        <v>3.5450938075395509E-3</v>
      </c>
      <c r="AE11" s="13">
        <v>0.17560148677061019</v>
      </c>
      <c r="AF11" s="13">
        <v>-0.1550331010885124</v>
      </c>
      <c r="AG11" s="13">
        <v>-2.6328625232284051E-2</v>
      </c>
      <c r="AH11" s="13">
        <v>-4.9988101579694936E-3</v>
      </c>
      <c r="AI11" s="13">
        <v>2.8067714594873169E-2</v>
      </c>
      <c r="AJ11" s="13">
        <v>-2.2384193940381401E-2</v>
      </c>
      <c r="AK11" s="13">
        <v>-4.7020825392250949E-2</v>
      </c>
      <c r="AL11" s="13">
        <v>-0.10156151199043489</v>
      </c>
      <c r="AM11" s="13">
        <v>2.3525148704495701E-2</v>
      </c>
      <c r="AN11" s="13">
        <v>5.2525230105422573E-2</v>
      </c>
      <c r="AO11" s="13">
        <v>5.8502893637957562E-2</v>
      </c>
      <c r="AP11" s="13">
        <v>3.3447356041428761E-2</v>
      </c>
      <c r="AQ11" s="13">
        <v>1.430036545094069E-2</v>
      </c>
      <c r="AR11" s="13">
        <v>3.5903594729592501E-2</v>
      </c>
      <c r="AS11" s="13">
        <v>3.9782285287992311E-2</v>
      </c>
      <c r="AT11" s="13">
        <v>0.1484561956282951</v>
      </c>
      <c r="AU11" s="13">
        <v>-4.078729487218978E-2</v>
      </c>
      <c r="AV11" s="13">
        <v>0.13895895413073689</v>
      </c>
      <c r="AW11" s="13">
        <v>5.9863283397122748E-2</v>
      </c>
      <c r="AX11" s="13">
        <v>-0.1497898129881709</v>
      </c>
      <c r="AY11" s="13">
        <v>6.1595851435820623E-2</v>
      </c>
      <c r="AZ11" s="13">
        <v>-6.1949751488506538E-2</v>
      </c>
      <c r="BA11" s="13">
        <v>-2.389264381020083E-3</v>
      </c>
      <c r="BB11" s="13">
        <v>-0.14887029613688371</v>
      </c>
      <c r="BC11" s="13">
        <v>6.0350517971681748E-2</v>
      </c>
      <c r="BD11" s="13">
        <v>-1.468575255625916E-2</v>
      </c>
      <c r="BE11" s="13">
        <v>-0.14651529968819679</v>
      </c>
      <c r="BF11" s="13">
        <v>-0.2087626486148127</v>
      </c>
      <c r="BG11" s="13">
        <v>-0.20144325578474859</v>
      </c>
      <c r="BH11" s="13">
        <v>-0.11804991677814031</v>
      </c>
      <c r="BI11" s="13">
        <v>-7.7026576071686378E-2</v>
      </c>
      <c r="BJ11" s="13">
        <v>-3.6220317042829728E-2</v>
      </c>
      <c r="BK11" s="13">
        <v>-1.8907268725092598E-2</v>
      </c>
      <c r="BL11" s="13">
        <v>-0.17125563757433929</v>
      </c>
      <c r="BM11" s="13">
        <v>0.13291749710961351</v>
      </c>
      <c r="BN11" s="13">
        <v>-3.5907701607395578E-2</v>
      </c>
      <c r="BO11" s="13">
        <v>2.1344518209370389E-2</v>
      </c>
      <c r="BP11" s="13">
        <v>4.9634822871427897E-2</v>
      </c>
      <c r="BQ11" s="13">
        <v>-1.7211216417584319E-2</v>
      </c>
      <c r="BR11" s="13">
        <v>0.18982724311105359</v>
      </c>
      <c r="BS11" s="13">
        <v>-9.7605037382284945E-2</v>
      </c>
      <c r="BT11" s="13">
        <v>3.7831444138355132E-2</v>
      </c>
      <c r="BU11" s="13">
        <v>5.6008305208474198E-2</v>
      </c>
      <c r="BV11" s="13">
        <v>-0.1167370363031352</v>
      </c>
      <c r="BW11" s="13">
        <v>-0.1413229882478122</v>
      </c>
      <c r="BX11" s="13">
        <v>-3.3770258788579869E-3</v>
      </c>
      <c r="BY11" s="13">
        <v>0.13033606071126891</v>
      </c>
      <c r="BZ11" s="13">
        <v>3.1697731081681189E-2</v>
      </c>
      <c r="CA11" s="13">
        <v>4.0555037474470507E-2</v>
      </c>
      <c r="CB11" s="13">
        <v>-4.2037331365292897E-2</v>
      </c>
      <c r="CC11" s="13">
        <v>5.0013723389441531E-2</v>
      </c>
      <c r="CD11" s="13">
        <v>-6.8456279312897411E-2</v>
      </c>
      <c r="CE11" s="13">
        <v>-8.0832090081974353E-2</v>
      </c>
      <c r="CF11" s="13">
        <v>-1.948310790200239E-3</v>
      </c>
      <c r="CG11" s="13">
        <v>-0.1182090018050031</v>
      </c>
      <c r="CH11" s="13">
        <v>-3.67198859644461E-2</v>
      </c>
      <c r="CI11" s="13">
        <v>-8.3332793120616616E-2</v>
      </c>
      <c r="CJ11" s="13">
        <v>0.23067286701975129</v>
      </c>
      <c r="CK11" s="13">
        <v>0.1327785225954993</v>
      </c>
      <c r="CL11" s="13">
        <v>0.1412873189704931</v>
      </c>
      <c r="CM11" s="13">
        <v>-0.11268938730850959</v>
      </c>
      <c r="CN11" s="13">
        <v>0.22348855763592371</v>
      </c>
      <c r="CO11" s="13">
        <v>-0.10441916957268479</v>
      </c>
      <c r="CP11" s="13">
        <v>-1.442822447791231E-2</v>
      </c>
      <c r="CQ11" s="13">
        <v>-0.20723337326778599</v>
      </c>
      <c r="CR11" s="13">
        <v>-0.1348638695123113</v>
      </c>
      <c r="CS11" s="13">
        <v>7.3007738807373504E-2</v>
      </c>
      <c r="CT11" s="13">
        <v>-3.0218378407130288E-2</v>
      </c>
      <c r="CU11" s="13">
        <v>-0.28688917437274691</v>
      </c>
      <c r="CV11" s="13">
        <v>0.2307305381875536</v>
      </c>
      <c r="CW11" s="13">
        <v>9.1075698514216888E-2</v>
      </c>
      <c r="CX11" s="13">
        <v>-0.1224857321642277</v>
      </c>
      <c r="CY11" s="13">
        <v>7.8381925305362449E-2</v>
      </c>
      <c r="CZ11" s="13">
        <v>-4.5950103566863888E-2</v>
      </c>
      <c r="DA11" s="13">
        <v>8.2670164530151122E-2</v>
      </c>
      <c r="DB11" s="13">
        <v>0.14934927010032351</v>
      </c>
      <c r="DC11" s="13">
        <v>-4.7798705164587528E-2</v>
      </c>
      <c r="DD11" s="13">
        <v>-0.1645134604307108</v>
      </c>
      <c r="DE11" s="13">
        <v>-0.1105683533423189</v>
      </c>
      <c r="DF11" s="13">
        <v>5.7416867202733347E-2</v>
      </c>
      <c r="DG11" s="13">
        <v>-0.21489021548963169</v>
      </c>
      <c r="DH11" s="13">
        <v>6.2997155047871164E-2</v>
      </c>
      <c r="DI11" s="13">
        <v>6.7721109014009601E-2</v>
      </c>
      <c r="DJ11" s="13">
        <v>0.1188020770386063</v>
      </c>
      <c r="DK11" s="13">
        <v>7.2827306455158416E-3</v>
      </c>
      <c r="DL11" s="13">
        <v>7.1320599005857979E-2</v>
      </c>
      <c r="DM11" s="13">
        <v>2.1021900655620821E-2</v>
      </c>
      <c r="DN11" s="13">
        <v>-3.0403223939335849E-2</v>
      </c>
      <c r="DO11" s="13">
        <v>-9.694965661135331E-2</v>
      </c>
      <c r="DP11" s="13">
        <v>-0.23067649178859881</v>
      </c>
      <c r="DQ11" s="13">
        <v>0.238184312236043</v>
      </c>
      <c r="DR11" s="13">
        <v>3.5748752036958448E-3</v>
      </c>
      <c r="DS11" s="13">
        <v>0.13395561672683809</v>
      </c>
      <c r="DT11" s="13">
        <v>0.11510609642796051</v>
      </c>
      <c r="DU11" s="13">
        <v>0.1040797891887878</v>
      </c>
      <c r="DV11" s="13">
        <v>-5.4611063064875308E-2</v>
      </c>
      <c r="DW11" s="13">
        <v>-3.3290193961398547E-2</v>
      </c>
      <c r="DX11" s="13">
        <v>5.5094916778075383E-2</v>
      </c>
      <c r="DY11" s="13">
        <v>6.8793773385234666E-2</v>
      </c>
      <c r="DZ11" s="13">
        <v>1.4480773118257949E-2</v>
      </c>
      <c r="EA11" s="13">
        <v>-0.29313654086030699</v>
      </c>
      <c r="EB11" s="13">
        <v>-0.14097501940218221</v>
      </c>
      <c r="EC11" s="13">
        <v>-1.2209361583162239E-2</v>
      </c>
      <c r="ED11" s="13">
        <v>5.816768758959897E-2</v>
      </c>
      <c r="EE11" s="13">
        <v>-0.14440301349005499</v>
      </c>
      <c r="EF11" s="13">
        <v>-9.7009034240055067E-2</v>
      </c>
    </row>
    <row r="12" spans="1:137">
      <c r="A12" s="12"/>
      <c r="B12" s="12"/>
    </row>
    <row r="13" spans="1:137">
      <c r="A13" s="4" t="s">
        <v>152</v>
      </c>
      <c r="B13" s="14" t="s">
        <v>136</v>
      </c>
      <c r="C13" s="13">
        <f t="shared" ref="C13:AH13" si="0">(C3-C9)^2</f>
        <v>3.1052908258504246E-3</v>
      </c>
      <c r="D13" s="13">
        <f t="shared" si="0"/>
        <v>1.1635343272659977E-4</v>
      </c>
      <c r="E13" s="13">
        <f t="shared" si="0"/>
        <v>5.3707560925102104E-3</v>
      </c>
      <c r="F13" s="13">
        <f t="shared" si="0"/>
        <v>1.1430377647336494E-4</v>
      </c>
      <c r="G13" s="13">
        <f t="shared" si="0"/>
        <v>1.9811668251675336E-3</v>
      </c>
      <c r="H13" s="13">
        <f t="shared" si="0"/>
        <v>9.2768909311751835E-4</v>
      </c>
      <c r="I13" s="13">
        <f t="shared" si="0"/>
        <v>2.3327045234009115E-2</v>
      </c>
      <c r="J13" s="13">
        <f t="shared" si="0"/>
        <v>1.5264949401105541E-2</v>
      </c>
      <c r="K13" s="13">
        <f t="shared" si="0"/>
        <v>1.5493108112287289E-3</v>
      </c>
      <c r="L13" s="13">
        <f t="shared" si="0"/>
        <v>1.3060145536656369E-3</v>
      </c>
      <c r="M13" s="13">
        <f t="shared" si="0"/>
        <v>1.905612018011938E-3</v>
      </c>
      <c r="N13" s="13">
        <f t="shared" si="0"/>
        <v>2.7544525570257657E-2</v>
      </c>
      <c r="O13" s="13">
        <f t="shared" si="0"/>
        <v>1.8647583589914043E-3</v>
      </c>
      <c r="P13" s="13">
        <f t="shared" si="0"/>
        <v>3.4070025598321396E-2</v>
      </c>
      <c r="Q13" s="13">
        <f t="shared" si="0"/>
        <v>3.7012982607503614E-3</v>
      </c>
      <c r="R13" s="13">
        <f t="shared" si="0"/>
        <v>4.7587204455490206E-3</v>
      </c>
      <c r="S13" s="13">
        <f t="shared" si="0"/>
        <v>3.0594787367549389E-2</v>
      </c>
      <c r="T13" s="13">
        <f t="shared" si="0"/>
        <v>2.161017652082772E-2</v>
      </c>
      <c r="U13" s="13">
        <f t="shared" si="0"/>
        <v>1.4377809950351075E-3</v>
      </c>
      <c r="V13" s="13">
        <f t="shared" si="0"/>
        <v>1.0075189004864961E-2</v>
      </c>
      <c r="W13" s="13">
        <f t="shared" si="0"/>
        <v>1.0911835456893901E-2</v>
      </c>
      <c r="X13" s="13">
        <f t="shared" si="0"/>
        <v>3.4393892853905775E-2</v>
      </c>
      <c r="Y13" s="13">
        <f t="shared" si="0"/>
        <v>1.06944674712526E-2</v>
      </c>
      <c r="Z13" s="13">
        <f t="shared" si="0"/>
        <v>3.1531993637621734E-2</v>
      </c>
      <c r="AA13" s="13">
        <f t="shared" si="0"/>
        <v>1.2811362320879519E-2</v>
      </c>
      <c r="AB13" s="13">
        <f t="shared" si="0"/>
        <v>9.3363807382393187E-3</v>
      </c>
      <c r="AC13" s="13">
        <f t="shared" si="0"/>
        <v>1.3347984599075822E-2</v>
      </c>
      <c r="AD13" s="13">
        <f t="shared" si="0"/>
        <v>4.4977171058631283E-5</v>
      </c>
      <c r="AE13" s="13">
        <f t="shared" si="0"/>
        <v>3.6371125470562843E-2</v>
      </c>
      <c r="AF13" s="13">
        <f t="shared" si="0"/>
        <v>2.232424849325166E-3</v>
      </c>
      <c r="AG13" s="13">
        <f t="shared" si="0"/>
        <v>2.4731110184149176E-2</v>
      </c>
      <c r="AH13" s="13">
        <f t="shared" si="0"/>
        <v>9.6496007079679841E-3</v>
      </c>
      <c r="AI13" s="13">
        <f t="shared" ref="AI13:BN13" si="1">(AI3-AI9)^2</f>
        <v>3.3512702069097644E-4</v>
      </c>
      <c r="AJ13" s="13">
        <f t="shared" si="1"/>
        <v>9.1879210863959085E-5</v>
      </c>
      <c r="AK13" s="13">
        <f t="shared" si="1"/>
        <v>1.8498661185439261E-2</v>
      </c>
      <c r="AL13" s="13">
        <f t="shared" si="1"/>
        <v>3.5243662262210698E-6</v>
      </c>
      <c r="AM13" s="13">
        <f t="shared" si="1"/>
        <v>1.2729212200903966E-2</v>
      </c>
      <c r="AN13" s="13">
        <f t="shared" si="1"/>
        <v>3.1530991759268073E-2</v>
      </c>
      <c r="AO13" s="13">
        <f t="shared" si="1"/>
        <v>2.9831793993464502E-4</v>
      </c>
      <c r="AP13" s="13">
        <f t="shared" si="1"/>
        <v>3.0783106529021276E-2</v>
      </c>
      <c r="AQ13" s="13">
        <f t="shared" si="1"/>
        <v>1.2278401377048807E-3</v>
      </c>
      <c r="AR13" s="13">
        <f t="shared" si="1"/>
        <v>5.507952292102488E-5</v>
      </c>
      <c r="AS13" s="13">
        <f t="shared" si="1"/>
        <v>1.0085783000458058E-2</v>
      </c>
      <c r="AT13" s="13">
        <f t="shared" si="1"/>
        <v>3.9830934011866187E-4</v>
      </c>
      <c r="AU13" s="13">
        <f t="shared" si="1"/>
        <v>4.2695261561540612E-5</v>
      </c>
      <c r="AV13" s="13">
        <f t="shared" si="1"/>
        <v>1.5287925326334122E-2</v>
      </c>
      <c r="AW13" s="13">
        <f t="shared" si="1"/>
        <v>5.3252433511945588E-4</v>
      </c>
      <c r="AX13" s="13">
        <f t="shared" si="1"/>
        <v>4.9340287641336644E-3</v>
      </c>
      <c r="AY13" s="13">
        <f t="shared" si="1"/>
        <v>6.4019544762201907E-4</v>
      </c>
      <c r="AZ13" s="13">
        <f t="shared" si="1"/>
        <v>4.1156735116209802E-3</v>
      </c>
      <c r="BA13" s="13">
        <f t="shared" si="1"/>
        <v>1.6467497437233176E-3</v>
      </c>
      <c r="BB13" s="13">
        <f t="shared" si="1"/>
        <v>3.7954919628004763E-3</v>
      </c>
      <c r="BC13" s="13">
        <f t="shared" si="1"/>
        <v>1.7048755787910262E-4</v>
      </c>
      <c r="BD13" s="13">
        <f t="shared" si="1"/>
        <v>1.2829771590216659E-3</v>
      </c>
      <c r="BE13" s="13">
        <f t="shared" si="1"/>
        <v>5.0655667315888868E-4</v>
      </c>
      <c r="BF13" s="13">
        <f t="shared" si="1"/>
        <v>1.0844774162549078E-2</v>
      </c>
      <c r="BG13" s="13">
        <f t="shared" si="1"/>
        <v>1.138127039724633E-2</v>
      </c>
      <c r="BH13" s="13">
        <f t="shared" si="1"/>
        <v>8.2421627089386551E-5</v>
      </c>
      <c r="BI13" s="13">
        <f t="shared" si="1"/>
        <v>1.9096082767703284E-3</v>
      </c>
      <c r="BJ13" s="13">
        <f t="shared" si="1"/>
        <v>1.1285046134582503E-2</v>
      </c>
      <c r="BK13" s="13">
        <f t="shared" si="1"/>
        <v>1.9554870617790411E-2</v>
      </c>
      <c r="BL13" s="13">
        <f t="shared" si="1"/>
        <v>1.7309811201959443E-3</v>
      </c>
      <c r="BM13" s="13">
        <f t="shared" si="1"/>
        <v>5.5737111082690494E-3</v>
      </c>
      <c r="BN13" s="13">
        <f t="shared" si="1"/>
        <v>1.7513203721844339E-3</v>
      </c>
      <c r="BO13" s="13">
        <f t="shared" ref="BO13:CT13" si="2">(BO3-BO9)^2</f>
        <v>6.9241518939824247E-4</v>
      </c>
      <c r="BP13" s="13">
        <f t="shared" si="2"/>
        <v>3.5192593651300532E-3</v>
      </c>
      <c r="BQ13" s="13">
        <f t="shared" si="2"/>
        <v>2.5962990129200434E-4</v>
      </c>
      <c r="BR13" s="13">
        <f t="shared" si="2"/>
        <v>1.1251583251945287E-3</v>
      </c>
      <c r="BS13" s="13">
        <f t="shared" si="2"/>
        <v>4.1467595982042245E-4</v>
      </c>
      <c r="BT13" s="13">
        <f t="shared" si="2"/>
        <v>1.2026708303936123E-7</v>
      </c>
      <c r="BU13" s="13">
        <f t="shared" si="2"/>
        <v>8.9371267702829775E-4</v>
      </c>
      <c r="BV13" s="13">
        <f t="shared" si="2"/>
        <v>1.5581371942312171E-3</v>
      </c>
      <c r="BW13" s="13">
        <f t="shared" si="2"/>
        <v>4.6449325163580302E-3</v>
      </c>
      <c r="BX13" s="13">
        <f t="shared" si="2"/>
        <v>8.1620304888139507E-4</v>
      </c>
      <c r="BY13" s="13">
        <f t="shared" si="2"/>
        <v>1.5975177629233259E-2</v>
      </c>
      <c r="BZ13" s="13">
        <f t="shared" si="2"/>
        <v>3.5809699058243589E-3</v>
      </c>
      <c r="CA13" s="13">
        <f t="shared" si="2"/>
        <v>2.4349264452955481E-2</v>
      </c>
      <c r="CB13" s="13">
        <f t="shared" si="2"/>
        <v>2.6839035153955588E-5</v>
      </c>
      <c r="CC13" s="13">
        <f t="shared" si="2"/>
        <v>5.2149004045105932E-3</v>
      </c>
      <c r="CD13" s="13">
        <f t="shared" si="2"/>
        <v>1.9253694730348558E-2</v>
      </c>
      <c r="CE13" s="13">
        <f t="shared" si="2"/>
        <v>7.6577424570648464E-5</v>
      </c>
      <c r="CF13" s="13">
        <f t="shared" si="2"/>
        <v>5.7349120308765257E-4</v>
      </c>
      <c r="CG13" s="13">
        <f t="shared" si="2"/>
        <v>2.8850853546330503E-3</v>
      </c>
      <c r="CH13" s="13">
        <f t="shared" si="2"/>
        <v>7.3986931601869484E-3</v>
      </c>
      <c r="CI13" s="13">
        <f t="shared" si="2"/>
        <v>2.0372253165982363E-2</v>
      </c>
      <c r="CJ13" s="13">
        <f t="shared" si="2"/>
        <v>2.1908416982465441E-3</v>
      </c>
      <c r="CK13" s="13">
        <f t="shared" si="2"/>
        <v>3.7212385663762985E-5</v>
      </c>
      <c r="CL13" s="13">
        <f t="shared" si="2"/>
        <v>4.4848487255653068E-2</v>
      </c>
      <c r="CM13" s="13">
        <f t="shared" si="2"/>
        <v>3.5164418365837124E-3</v>
      </c>
      <c r="CN13" s="13">
        <f t="shared" si="2"/>
        <v>6.6242625762739475E-3</v>
      </c>
      <c r="CO13" s="13">
        <f t="shared" si="2"/>
        <v>5.0618599102108036E-3</v>
      </c>
      <c r="CP13" s="13">
        <f t="shared" si="2"/>
        <v>7.0497633447529177E-3</v>
      </c>
      <c r="CQ13" s="13">
        <f t="shared" si="2"/>
        <v>7.0602808334707745E-3</v>
      </c>
      <c r="CR13" s="13">
        <f t="shared" si="2"/>
        <v>4.1982177162880928E-3</v>
      </c>
      <c r="CS13" s="13">
        <f t="shared" si="2"/>
        <v>6.5453180727953301E-3</v>
      </c>
      <c r="CT13" s="13">
        <f t="shared" si="2"/>
        <v>3.8082333976006668E-4</v>
      </c>
      <c r="CU13" s="13">
        <f t="shared" ref="CU13:DZ13" si="3">(CU3-CU9)^2</f>
        <v>5.1607186329394022E-3</v>
      </c>
      <c r="CV13" s="13">
        <f t="shared" si="3"/>
        <v>2.8031784368910211E-3</v>
      </c>
      <c r="CW13" s="13">
        <f t="shared" si="3"/>
        <v>3.1828833414961556E-5</v>
      </c>
      <c r="CX13" s="13">
        <f t="shared" si="3"/>
        <v>7.605142583738447E-3</v>
      </c>
      <c r="CY13" s="13">
        <f t="shared" si="3"/>
        <v>5.5742054873163466E-3</v>
      </c>
      <c r="CZ13" s="13">
        <f t="shared" si="3"/>
        <v>3.0274283467229653E-2</v>
      </c>
      <c r="DA13" s="13">
        <f t="shared" si="3"/>
        <v>1.0685124506270896E-2</v>
      </c>
      <c r="DB13" s="13">
        <f t="shared" si="3"/>
        <v>4.4672984850701834E-3</v>
      </c>
      <c r="DC13" s="13">
        <f t="shared" si="3"/>
        <v>3.8284486282213004E-3</v>
      </c>
      <c r="DD13" s="13">
        <f t="shared" si="3"/>
        <v>6.167885178514791E-4</v>
      </c>
      <c r="DE13" s="13">
        <f t="shared" si="3"/>
        <v>2.861125857393228E-3</v>
      </c>
      <c r="DF13" s="13">
        <f t="shared" si="3"/>
        <v>1.6347351550804715E-3</v>
      </c>
      <c r="DG13" s="13">
        <f t="shared" si="3"/>
        <v>1.3618528631525592E-2</v>
      </c>
      <c r="DH13" s="13">
        <f t="shared" si="3"/>
        <v>4.9898237285965312E-3</v>
      </c>
      <c r="DI13" s="13">
        <f t="shared" si="3"/>
        <v>2.229514179690778E-2</v>
      </c>
      <c r="DJ13" s="13">
        <f t="shared" si="3"/>
        <v>5.6410660895520406E-4</v>
      </c>
      <c r="DK13" s="13">
        <f t="shared" si="3"/>
        <v>8.2731070606541883E-3</v>
      </c>
      <c r="DL13" s="13">
        <f t="shared" si="3"/>
        <v>2.9397442591594311E-3</v>
      </c>
      <c r="DM13" s="13">
        <f t="shared" si="3"/>
        <v>7.3046033183927356E-3</v>
      </c>
      <c r="DN13" s="13">
        <f t="shared" si="3"/>
        <v>3.9783158943712356E-3</v>
      </c>
      <c r="DO13" s="13">
        <f t="shared" si="3"/>
        <v>3.7466377590630133E-5</v>
      </c>
      <c r="DP13" s="13">
        <f t="shared" si="3"/>
        <v>1.3648515946378156E-3</v>
      </c>
      <c r="DQ13" s="13">
        <f t="shared" si="3"/>
        <v>2.5254587972257526E-2</v>
      </c>
      <c r="DR13" s="13">
        <f t="shared" si="3"/>
        <v>2.0737451549588744E-3</v>
      </c>
      <c r="DS13" s="13">
        <f t="shared" si="3"/>
        <v>1.3624718036497502E-2</v>
      </c>
      <c r="DT13" s="13">
        <f t="shared" si="3"/>
        <v>2.0817209929461303E-2</v>
      </c>
      <c r="DU13" s="13">
        <f t="shared" si="3"/>
        <v>2.0358115761266327E-3</v>
      </c>
      <c r="DV13" s="13">
        <f t="shared" si="3"/>
        <v>7.6382633895603789E-3</v>
      </c>
      <c r="DW13" s="13">
        <f t="shared" si="3"/>
        <v>2.24759718564256E-3</v>
      </c>
      <c r="DX13" s="13">
        <f t="shared" si="3"/>
        <v>2.2897015765256792E-2</v>
      </c>
      <c r="DY13" s="13">
        <f t="shared" si="3"/>
        <v>7.8146332772306758E-4</v>
      </c>
      <c r="DZ13" s="13">
        <f t="shared" si="3"/>
        <v>4.4422797940652523E-3</v>
      </c>
      <c r="EA13" s="13">
        <f t="shared" ref="EA13:EF13" si="4">(EA3-EA9)^2</f>
        <v>1.2778693295568286E-2</v>
      </c>
      <c r="EB13" s="13">
        <f t="shared" si="4"/>
        <v>1.0241183381494473E-3</v>
      </c>
      <c r="EC13" s="13">
        <f t="shared" si="4"/>
        <v>1.4231807043496912E-3</v>
      </c>
      <c r="ED13" s="13">
        <f t="shared" si="4"/>
        <v>3.8762159242551247E-2</v>
      </c>
      <c r="EE13" s="13">
        <f t="shared" si="4"/>
        <v>1.0702925082773946E-3</v>
      </c>
      <c r="EF13" s="13">
        <f t="shared" si="4"/>
        <v>4.9968388998732299E-4</v>
      </c>
    </row>
    <row r="14" spans="1:137">
      <c r="A14" s="12"/>
      <c r="B14" s="14" t="s">
        <v>137</v>
      </c>
      <c r="C14" s="13">
        <f t="shared" ref="C14:AH14" si="5">(C4-C10)^2</f>
        <v>4.9376134588208387E-2</v>
      </c>
      <c r="D14" s="13">
        <f t="shared" si="5"/>
        <v>5.9726979580654593E-2</v>
      </c>
      <c r="E14" s="13">
        <f t="shared" si="5"/>
        <v>3.9163069480577396E-3</v>
      </c>
      <c r="F14" s="13">
        <f t="shared" si="5"/>
        <v>3.1439636551270885E-3</v>
      </c>
      <c r="G14" s="13">
        <f t="shared" si="5"/>
        <v>3.7406849808985945E-5</v>
      </c>
      <c r="H14" s="13">
        <f t="shared" si="5"/>
        <v>5.8854422286104859E-3</v>
      </c>
      <c r="I14" s="13">
        <f t="shared" si="5"/>
        <v>1.9870020863285178E-4</v>
      </c>
      <c r="J14" s="13">
        <f t="shared" si="5"/>
        <v>1.3309014629697379E-2</v>
      </c>
      <c r="K14" s="13">
        <f t="shared" si="5"/>
        <v>2.2855643360640985E-7</v>
      </c>
      <c r="L14" s="13">
        <f t="shared" si="5"/>
        <v>1.6434054857089764E-2</v>
      </c>
      <c r="M14" s="13">
        <f t="shared" si="5"/>
        <v>1.2255683290178748E-3</v>
      </c>
      <c r="N14" s="13">
        <f t="shared" si="5"/>
        <v>3.3330288710616697E-2</v>
      </c>
      <c r="O14" s="13">
        <f t="shared" si="5"/>
        <v>1.8461758181852913E-7</v>
      </c>
      <c r="P14" s="13">
        <f t="shared" si="5"/>
        <v>1.1964118388799254E-2</v>
      </c>
      <c r="Q14" s="13">
        <f t="shared" si="5"/>
        <v>2.2013887603422994E-3</v>
      </c>
      <c r="R14" s="13">
        <f t="shared" si="5"/>
        <v>3.0396868280677634E-3</v>
      </c>
      <c r="S14" s="13">
        <f t="shared" si="5"/>
        <v>1.6823397514623185E-2</v>
      </c>
      <c r="T14" s="13">
        <f t="shared" si="5"/>
        <v>5.0707779890775562E-3</v>
      </c>
      <c r="U14" s="13">
        <f t="shared" si="5"/>
        <v>1.9629417545199575E-3</v>
      </c>
      <c r="V14" s="13">
        <f t="shared" si="5"/>
        <v>1.1742926733357879E-3</v>
      </c>
      <c r="W14" s="13">
        <f t="shared" si="5"/>
        <v>1.3388161332695936E-2</v>
      </c>
      <c r="X14" s="13">
        <f t="shared" si="5"/>
        <v>1.2283534010958546E-3</v>
      </c>
      <c r="Y14" s="13">
        <f t="shared" si="5"/>
        <v>1.672948993720488E-4</v>
      </c>
      <c r="Z14" s="13">
        <f t="shared" si="5"/>
        <v>8.6124644645271751E-5</v>
      </c>
      <c r="AA14" s="13">
        <f t="shared" si="5"/>
        <v>4.0073312229708591E-3</v>
      </c>
      <c r="AB14" s="13">
        <f t="shared" si="5"/>
        <v>8.4163733171972027E-5</v>
      </c>
      <c r="AC14" s="13">
        <f t="shared" si="5"/>
        <v>1.2757120610054253E-3</v>
      </c>
      <c r="AD14" s="13">
        <f t="shared" si="5"/>
        <v>1.3380678125536971E-3</v>
      </c>
      <c r="AE14" s="13">
        <f t="shared" si="5"/>
        <v>2.8524705629668388E-2</v>
      </c>
      <c r="AF14" s="13">
        <f t="shared" si="5"/>
        <v>5.2202636225633491E-3</v>
      </c>
      <c r="AG14" s="13">
        <f t="shared" si="5"/>
        <v>9.2379136582617562E-5</v>
      </c>
      <c r="AH14" s="13">
        <f t="shared" si="5"/>
        <v>6.35233364765574E-4</v>
      </c>
      <c r="AI14" s="13">
        <f t="shared" ref="AI14:BN14" si="6">(AI4-AI10)^2</f>
        <v>1.3038308825110684E-4</v>
      </c>
      <c r="AJ14" s="13">
        <f t="shared" si="6"/>
        <v>9.6470830155286828E-4</v>
      </c>
      <c r="AK14" s="13">
        <f t="shared" si="6"/>
        <v>7.7679129162434965E-4</v>
      </c>
      <c r="AL14" s="13">
        <f t="shared" si="6"/>
        <v>6.0550123218563717E-3</v>
      </c>
      <c r="AM14" s="13">
        <f t="shared" si="6"/>
        <v>3.0366696385626771E-4</v>
      </c>
      <c r="AN14" s="13">
        <f t="shared" si="6"/>
        <v>9.3395315817667648E-3</v>
      </c>
      <c r="AO14" s="13">
        <f t="shared" si="6"/>
        <v>1.6141026617999489E-4</v>
      </c>
      <c r="AP14" s="13">
        <f t="shared" si="6"/>
        <v>3.4772210067773944E-4</v>
      </c>
      <c r="AQ14" s="13">
        <f t="shared" si="6"/>
        <v>2.5254098440186065E-3</v>
      </c>
      <c r="AR14" s="13">
        <f t="shared" si="6"/>
        <v>6.2120489252850903E-3</v>
      </c>
      <c r="AS14" s="13">
        <f t="shared" si="6"/>
        <v>2.6532072743944802E-4</v>
      </c>
      <c r="AT14" s="13">
        <f t="shared" si="6"/>
        <v>6.0336313757407235E-4</v>
      </c>
      <c r="AU14" s="13">
        <f t="shared" si="6"/>
        <v>1.5604449021974722E-2</v>
      </c>
      <c r="AV14" s="13">
        <f t="shared" si="6"/>
        <v>2.0444336635258892E-3</v>
      </c>
      <c r="AW14" s="13">
        <f t="shared" si="6"/>
        <v>2.3944814074951343E-4</v>
      </c>
      <c r="AX14" s="13">
        <f t="shared" si="6"/>
        <v>4.883066090608227E-4</v>
      </c>
      <c r="AY14" s="13">
        <f t="shared" si="6"/>
        <v>3.9452821050081459E-3</v>
      </c>
      <c r="AZ14" s="13">
        <f t="shared" si="6"/>
        <v>1.1513832282782572E-2</v>
      </c>
      <c r="BA14" s="13">
        <f t="shared" si="6"/>
        <v>1.1247959198844405E-2</v>
      </c>
      <c r="BB14" s="13">
        <f t="shared" si="6"/>
        <v>1.2691141653683679E-3</v>
      </c>
      <c r="BC14" s="13">
        <f t="shared" si="6"/>
        <v>3.1927945480938105E-3</v>
      </c>
      <c r="BD14" s="13">
        <f t="shared" si="6"/>
        <v>7.7513382676347988E-3</v>
      </c>
      <c r="BE14" s="13">
        <f t="shared" si="6"/>
        <v>2.8381076821672905E-2</v>
      </c>
      <c r="BF14" s="13">
        <f t="shared" si="6"/>
        <v>6.0855427350187509E-3</v>
      </c>
      <c r="BG14" s="13">
        <f t="shared" si="6"/>
        <v>3.5235959274014197E-5</v>
      </c>
      <c r="BH14" s="13">
        <f t="shared" si="6"/>
        <v>5.4808152145540854E-3</v>
      </c>
      <c r="BI14" s="13">
        <f t="shared" si="6"/>
        <v>2.5267209128843459E-3</v>
      </c>
      <c r="BJ14" s="13">
        <f t="shared" si="6"/>
        <v>4.9170062565098392E-3</v>
      </c>
      <c r="BK14" s="13">
        <f t="shared" si="6"/>
        <v>1.5068764475720203E-2</v>
      </c>
      <c r="BL14" s="13">
        <f t="shared" si="6"/>
        <v>2.1605126262665412E-7</v>
      </c>
      <c r="BM14" s="13">
        <f t="shared" si="6"/>
        <v>8.1303885253268E-3</v>
      </c>
      <c r="BN14" s="13">
        <f t="shared" si="6"/>
        <v>8.7572756098523562E-3</v>
      </c>
      <c r="BO14" s="13">
        <f t="shared" ref="BO14:CT14" si="7">(BO4-BO10)^2</f>
        <v>2.5602049535094459E-4</v>
      </c>
      <c r="BP14" s="13">
        <f t="shared" si="7"/>
        <v>1.7625584326196365E-2</v>
      </c>
      <c r="BQ14" s="13">
        <f t="shared" si="7"/>
        <v>1.1527497695655772E-5</v>
      </c>
      <c r="BR14" s="13">
        <f t="shared" si="7"/>
        <v>1.8676310478494263E-3</v>
      </c>
      <c r="BS14" s="13">
        <f t="shared" si="7"/>
        <v>1.2170013709014414E-3</v>
      </c>
      <c r="BT14" s="13">
        <f t="shared" si="7"/>
        <v>1.549614486388139E-2</v>
      </c>
      <c r="BU14" s="13">
        <f t="shared" si="7"/>
        <v>2.7146577321172635E-2</v>
      </c>
      <c r="BV14" s="13">
        <f t="shared" si="7"/>
        <v>1.9955315054297853E-3</v>
      </c>
      <c r="BW14" s="13">
        <f t="shared" si="7"/>
        <v>8.9224838922996388E-3</v>
      </c>
      <c r="BX14" s="13">
        <f t="shared" si="7"/>
        <v>1.887935115107391E-4</v>
      </c>
      <c r="BY14" s="13">
        <f t="shared" si="7"/>
        <v>1.7779075363082462E-2</v>
      </c>
      <c r="BZ14" s="13">
        <f t="shared" si="7"/>
        <v>1.0130363561772332E-4</v>
      </c>
      <c r="CA14" s="13">
        <f t="shared" si="7"/>
        <v>2.5741117279909896E-3</v>
      </c>
      <c r="CB14" s="13">
        <f t="shared" si="7"/>
        <v>1.7723601129449668E-2</v>
      </c>
      <c r="CC14" s="13">
        <f t="shared" si="7"/>
        <v>1.7559675714536697E-3</v>
      </c>
      <c r="CD14" s="13">
        <f t="shared" si="7"/>
        <v>2.2964798037806372E-3</v>
      </c>
      <c r="CE14" s="13">
        <f t="shared" si="7"/>
        <v>4.2336697540437195E-2</v>
      </c>
      <c r="CF14" s="13">
        <f t="shared" si="7"/>
        <v>4.0507697120642921E-3</v>
      </c>
      <c r="CG14" s="13">
        <f t="shared" si="7"/>
        <v>1.9268781738563964E-3</v>
      </c>
      <c r="CH14" s="13">
        <f t="shared" si="7"/>
        <v>8.0560381560197561E-4</v>
      </c>
      <c r="CI14" s="13">
        <f t="shared" si="7"/>
        <v>6.2095370444564214E-3</v>
      </c>
      <c r="CJ14" s="13">
        <f t="shared" si="7"/>
        <v>8.9286049633362414E-4</v>
      </c>
      <c r="CK14" s="13">
        <f t="shared" si="7"/>
        <v>1.9117114184303665E-3</v>
      </c>
      <c r="CL14" s="13">
        <f t="shared" si="7"/>
        <v>1.6762282413445795E-4</v>
      </c>
      <c r="CM14" s="13">
        <f t="shared" si="7"/>
        <v>4.3910278513022379E-2</v>
      </c>
      <c r="CN14" s="13">
        <f t="shared" si="7"/>
        <v>8.0241767777632401E-3</v>
      </c>
      <c r="CO14" s="13">
        <f t="shared" si="7"/>
        <v>1.1858323942626325E-2</v>
      </c>
      <c r="CP14" s="13">
        <f t="shared" si="7"/>
        <v>9.0123615370072772E-3</v>
      </c>
      <c r="CQ14" s="13">
        <f t="shared" si="7"/>
        <v>2.227843801020887E-2</v>
      </c>
      <c r="CR14" s="13">
        <f t="shared" si="7"/>
        <v>3.5146661307920014E-3</v>
      </c>
      <c r="CS14" s="13">
        <f t="shared" si="7"/>
        <v>2.6872095365773204E-5</v>
      </c>
      <c r="CT14" s="13">
        <f t="shared" si="7"/>
        <v>8.09883057894553E-3</v>
      </c>
      <c r="CU14" s="13">
        <f t="shared" ref="CU14:DZ14" si="8">(CU4-CU10)^2</f>
        <v>1.260063623762487E-3</v>
      </c>
      <c r="CV14" s="13">
        <f t="shared" si="8"/>
        <v>2.8441572161315144E-4</v>
      </c>
      <c r="CW14" s="13">
        <f t="shared" si="8"/>
        <v>7.1658102292692174E-4</v>
      </c>
      <c r="CX14" s="13">
        <f t="shared" si="8"/>
        <v>6.3823362722976017E-3</v>
      </c>
      <c r="CY14" s="13">
        <f t="shared" si="8"/>
        <v>4.8120421245380351E-3</v>
      </c>
      <c r="CZ14" s="13">
        <f t="shared" si="8"/>
        <v>3.4086113716149474E-2</v>
      </c>
      <c r="DA14" s="13">
        <f t="shared" si="8"/>
        <v>6.5915861519648027E-3</v>
      </c>
      <c r="DB14" s="13">
        <f t="shared" si="8"/>
        <v>2.4797366875464136E-2</v>
      </c>
      <c r="DC14" s="13">
        <f t="shared" si="8"/>
        <v>1.3527769136706025E-4</v>
      </c>
      <c r="DD14" s="13">
        <f t="shared" si="8"/>
        <v>1.4218701081559303E-2</v>
      </c>
      <c r="DE14" s="13">
        <f t="shared" si="8"/>
        <v>1.2485780549996713E-2</v>
      </c>
      <c r="DF14" s="13">
        <f t="shared" si="8"/>
        <v>1.8978183999552433E-2</v>
      </c>
      <c r="DG14" s="13">
        <f t="shared" si="8"/>
        <v>6.2527200806882843E-2</v>
      </c>
      <c r="DH14" s="13">
        <f t="shared" si="8"/>
        <v>1.3125932314754084E-2</v>
      </c>
      <c r="DI14" s="13">
        <f t="shared" si="8"/>
        <v>8.0638494482066364E-3</v>
      </c>
      <c r="DJ14" s="13">
        <f t="shared" si="8"/>
        <v>5.0878424703876841E-3</v>
      </c>
      <c r="DK14" s="13">
        <f t="shared" si="8"/>
        <v>1.5081834480000668E-2</v>
      </c>
      <c r="DL14" s="13">
        <f t="shared" si="8"/>
        <v>1.5773347244513956E-4</v>
      </c>
      <c r="DM14" s="13">
        <f t="shared" si="8"/>
        <v>1.2297039220230744E-2</v>
      </c>
      <c r="DN14" s="13">
        <f t="shared" si="8"/>
        <v>1.3597711339164076E-5</v>
      </c>
      <c r="DO14" s="13">
        <f t="shared" si="8"/>
        <v>4.8247973445286153E-3</v>
      </c>
      <c r="DP14" s="13">
        <f t="shared" si="8"/>
        <v>1.0824779844270683E-2</v>
      </c>
      <c r="DQ14" s="13">
        <f t="shared" si="8"/>
        <v>5.8219041216689927E-3</v>
      </c>
      <c r="DR14" s="13">
        <f t="shared" si="8"/>
        <v>7.5226286916321838E-5</v>
      </c>
      <c r="DS14" s="13">
        <f t="shared" si="8"/>
        <v>1.790886591308137E-2</v>
      </c>
      <c r="DT14" s="13">
        <f t="shared" si="8"/>
        <v>2.4267177044458134E-3</v>
      </c>
      <c r="DU14" s="13">
        <f t="shared" si="8"/>
        <v>3.6970197237511784E-2</v>
      </c>
      <c r="DV14" s="13">
        <f t="shared" si="8"/>
        <v>1.2593182359967015E-3</v>
      </c>
      <c r="DW14" s="13">
        <f t="shared" si="8"/>
        <v>5.6999263740055116E-3</v>
      </c>
      <c r="DX14" s="13">
        <f t="shared" si="8"/>
        <v>8.1032209251634456E-4</v>
      </c>
      <c r="DY14" s="13">
        <f t="shared" si="8"/>
        <v>5.9112382375162619E-3</v>
      </c>
      <c r="DZ14" s="13">
        <f t="shared" si="8"/>
        <v>2.0526906507575813E-3</v>
      </c>
      <c r="EA14" s="13">
        <f t="shared" ref="EA14:EF14" si="9">(EA4-EA10)^2</f>
        <v>9.8919672470583978E-3</v>
      </c>
      <c r="EB14" s="13">
        <f t="shared" si="9"/>
        <v>1.4800025467649588E-3</v>
      </c>
      <c r="EC14" s="13">
        <f t="shared" si="9"/>
        <v>6.3915416272154373E-3</v>
      </c>
      <c r="ED14" s="13">
        <f t="shared" si="9"/>
        <v>3.4136784944199948E-3</v>
      </c>
      <c r="EE14" s="13">
        <f t="shared" si="9"/>
        <v>3.726706210827796E-2</v>
      </c>
      <c r="EF14" s="13">
        <f t="shared" si="9"/>
        <v>9.65925860653713E-3</v>
      </c>
    </row>
    <row r="15" spans="1:137">
      <c r="A15" s="12"/>
      <c r="B15" s="14" t="s">
        <v>138</v>
      </c>
      <c r="C15" s="13">
        <f t="shared" ref="C15:AH15" si="10">(C5-C11)^2</f>
        <v>3.7335567723955697E-3</v>
      </c>
      <c r="D15" s="13">
        <f t="shared" si="10"/>
        <v>2.492440047497946E-3</v>
      </c>
      <c r="E15" s="13">
        <f t="shared" si="10"/>
        <v>1.5613621939373847E-4</v>
      </c>
      <c r="F15" s="13">
        <f t="shared" si="10"/>
        <v>6.8256217270544458E-3</v>
      </c>
      <c r="G15" s="13">
        <f t="shared" si="10"/>
        <v>1.2169212801337773E-2</v>
      </c>
      <c r="H15" s="13">
        <f t="shared" si="10"/>
        <v>6.827908019472761E-5</v>
      </c>
      <c r="I15" s="13">
        <f t="shared" si="10"/>
        <v>1.3647421230230514E-4</v>
      </c>
      <c r="J15" s="13">
        <f t="shared" si="10"/>
        <v>8.1545673296953478E-4</v>
      </c>
      <c r="K15" s="13">
        <f t="shared" si="10"/>
        <v>7.1407637912204213E-3</v>
      </c>
      <c r="L15" s="13">
        <f t="shared" si="10"/>
        <v>2.8303348038001644E-4</v>
      </c>
      <c r="M15" s="13">
        <f t="shared" si="10"/>
        <v>3.519160493870853E-3</v>
      </c>
      <c r="N15" s="13">
        <f t="shared" si="10"/>
        <v>6.4088201292257568E-3</v>
      </c>
      <c r="O15" s="13">
        <f t="shared" si="10"/>
        <v>1.9318223573290428E-3</v>
      </c>
      <c r="P15" s="13">
        <f t="shared" si="10"/>
        <v>6.010043028856247E-7</v>
      </c>
      <c r="Q15" s="13">
        <f t="shared" si="10"/>
        <v>2.7044864145976357E-4</v>
      </c>
      <c r="R15" s="13">
        <f t="shared" si="10"/>
        <v>5.8844327231587274E-5</v>
      </c>
      <c r="S15" s="13">
        <f t="shared" si="10"/>
        <v>1.5802207452498775E-3</v>
      </c>
      <c r="T15" s="13">
        <f t="shared" si="10"/>
        <v>1.5480075803326327E-2</v>
      </c>
      <c r="U15" s="13">
        <f t="shared" si="10"/>
        <v>1.1019514975050812E-4</v>
      </c>
      <c r="V15" s="13">
        <f t="shared" si="10"/>
        <v>2.2974262156098344E-4</v>
      </c>
      <c r="W15" s="13">
        <f t="shared" si="10"/>
        <v>1.1150138933924169E-2</v>
      </c>
      <c r="X15" s="13">
        <f t="shared" si="10"/>
        <v>8.3525898997713233E-2</v>
      </c>
      <c r="Y15" s="13">
        <f t="shared" si="10"/>
        <v>4.744578317918715E-3</v>
      </c>
      <c r="Z15" s="13">
        <f t="shared" si="10"/>
        <v>3.2612753940658927E-2</v>
      </c>
      <c r="AA15" s="13">
        <f t="shared" si="10"/>
        <v>1.1599104171710648E-2</v>
      </c>
      <c r="AB15" s="13">
        <f t="shared" si="10"/>
        <v>5.1905684833298297E-5</v>
      </c>
      <c r="AC15" s="13">
        <f t="shared" si="10"/>
        <v>8.8570933318716395E-3</v>
      </c>
      <c r="AD15" s="13">
        <f t="shared" si="10"/>
        <v>2.3935183327862268E-4</v>
      </c>
      <c r="AE15" s="13">
        <f t="shared" si="10"/>
        <v>3.4104905624807093E-2</v>
      </c>
      <c r="AF15" s="13">
        <f t="shared" si="10"/>
        <v>2.2429294809614139E-2</v>
      </c>
      <c r="AG15" s="13">
        <f t="shared" si="10"/>
        <v>4.0152528502726759E-4</v>
      </c>
      <c r="AH15" s="13">
        <f t="shared" si="10"/>
        <v>5.1115459419888292E-7</v>
      </c>
      <c r="AI15" s="13">
        <f t="shared" ref="AI15:BN15" si="11">(AI5-AI11)^2</f>
        <v>1.006582774117027E-3</v>
      </c>
      <c r="AJ15" s="13">
        <f t="shared" si="11"/>
        <v>3.6853824256522931E-4</v>
      </c>
      <c r="AK15" s="13">
        <f t="shared" si="11"/>
        <v>1.6382096419578706E-3</v>
      </c>
      <c r="AL15" s="13">
        <f t="shared" si="11"/>
        <v>9.2436865916011111E-3</v>
      </c>
      <c r="AM15" s="13">
        <f t="shared" si="11"/>
        <v>8.9255639143200104E-4</v>
      </c>
      <c r="AN15" s="13">
        <f t="shared" si="11"/>
        <v>2.6606633787390225E-3</v>
      </c>
      <c r="AO15" s="13">
        <f t="shared" si="11"/>
        <v>3.9302327158563105E-3</v>
      </c>
      <c r="AP15" s="13">
        <f t="shared" si="11"/>
        <v>1.5800204884130454E-3</v>
      </c>
      <c r="AQ15" s="13">
        <f t="shared" si="11"/>
        <v>2.2758001847671353E-4</v>
      </c>
      <c r="AR15" s="13">
        <f t="shared" si="11"/>
        <v>1.2799330463996717E-3</v>
      </c>
      <c r="AS15" s="13">
        <f t="shared" si="11"/>
        <v>1.7973186278207923E-3</v>
      </c>
      <c r="AT15" s="13">
        <f t="shared" si="11"/>
        <v>1.7214612298710411E-2</v>
      </c>
      <c r="AU15" s="13">
        <f t="shared" si="11"/>
        <v>8.6463381773158412E-4</v>
      </c>
      <c r="AV15" s="13">
        <f t="shared" si="11"/>
        <v>1.6671368707438503E-2</v>
      </c>
      <c r="AW15" s="13">
        <f t="shared" si="11"/>
        <v>2.8536347950861144E-3</v>
      </c>
      <c r="AX15" s="13">
        <f t="shared" si="11"/>
        <v>1.9694068053824666E-2</v>
      </c>
      <c r="AY15" s="13">
        <f t="shared" si="11"/>
        <v>4.1217967458379934E-3</v>
      </c>
      <c r="AZ15" s="13">
        <f t="shared" si="11"/>
        <v>5.2075736952127711E-3</v>
      </c>
      <c r="BA15" s="13">
        <f t="shared" si="11"/>
        <v>4.2114284347986526E-6</v>
      </c>
      <c r="BB15" s="13">
        <f t="shared" si="11"/>
        <v>1.9940857183402872E-2</v>
      </c>
      <c r="BC15" s="13">
        <f t="shared" si="11"/>
        <v>3.4099285674146747E-3</v>
      </c>
      <c r="BD15" s="13">
        <f t="shared" si="11"/>
        <v>8.1450400904461224E-6</v>
      </c>
      <c r="BE15" s="13">
        <f t="shared" si="11"/>
        <v>1.9793519368177248E-2</v>
      </c>
      <c r="BF15" s="13">
        <f t="shared" si="11"/>
        <v>4.3838920337528668E-2</v>
      </c>
      <c r="BG15" s="13">
        <f t="shared" si="11"/>
        <v>3.7693568406901003E-2</v>
      </c>
      <c r="BH15" s="13">
        <f t="shared" si="11"/>
        <v>1.291997581555392E-2</v>
      </c>
      <c r="BI15" s="13">
        <f t="shared" si="11"/>
        <v>5.945381552118531E-3</v>
      </c>
      <c r="BJ15" s="13">
        <f t="shared" si="11"/>
        <v>1.2819357040156261E-3</v>
      </c>
      <c r="BK15" s="13">
        <f t="shared" si="11"/>
        <v>1.1662731702069102E-4</v>
      </c>
      <c r="BL15" s="13">
        <f t="shared" si="11"/>
        <v>2.8709507258198493E-2</v>
      </c>
      <c r="BM15" s="13">
        <f t="shared" si="11"/>
        <v>1.8480404612564907E-2</v>
      </c>
      <c r="BN15" s="13">
        <f t="shared" si="11"/>
        <v>1.2386999782362023E-3</v>
      </c>
      <c r="BO15" s="13">
        <f t="shared" ref="BO15:CT15" si="12">(BO5-BO11)^2</f>
        <v>6.6230743738086666E-4</v>
      </c>
      <c r="BP15" s="13">
        <f t="shared" si="12"/>
        <v>3.3998212316452641E-3</v>
      </c>
      <c r="BQ15" s="13">
        <f t="shared" si="12"/>
        <v>3.3113369642054927E-4</v>
      </c>
      <c r="BR15" s="13">
        <f t="shared" si="12"/>
        <v>3.5820784601037638E-2</v>
      </c>
      <c r="BS15" s="13">
        <f t="shared" si="12"/>
        <v>9.3863897535899198E-3</v>
      </c>
      <c r="BT15" s="13">
        <f t="shared" si="12"/>
        <v>1.4152528670918285E-3</v>
      </c>
      <c r="BU15" s="13">
        <f t="shared" si="12"/>
        <v>3.5947915661169632E-3</v>
      </c>
      <c r="BV15" s="13">
        <f t="shared" si="12"/>
        <v>1.3221097225939967E-2</v>
      </c>
      <c r="BW15" s="13">
        <f t="shared" si="12"/>
        <v>1.8877989552812439E-2</v>
      </c>
      <c r="BX15" s="13">
        <f t="shared" si="12"/>
        <v>1.2022382488888727E-6</v>
      </c>
      <c r="BY15" s="13">
        <f t="shared" si="12"/>
        <v>1.7662382498070665E-2</v>
      </c>
      <c r="BZ15" s="13">
        <f t="shared" si="12"/>
        <v>9.4493174933082795E-4</v>
      </c>
      <c r="CA15" s="13">
        <f t="shared" si="12"/>
        <v>3.346104804168117E-3</v>
      </c>
      <c r="CB15" s="13">
        <f t="shared" si="12"/>
        <v>5.7722843904208768E-4</v>
      </c>
      <c r="CC15" s="13">
        <f t="shared" si="12"/>
        <v>3.7477934254289253E-3</v>
      </c>
      <c r="CD15" s="13">
        <f t="shared" si="12"/>
        <v>3.9076102816914754E-3</v>
      </c>
      <c r="CE15" s="13">
        <f t="shared" si="12"/>
        <v>7.4804975435096305E-3</v>
      </c>
      <c r="CF15" s="13">
        <f t="shared" si="12"/>
        <v>9.4237925009478559E-6</v>
      </c>
      <c r="CG15" s="13">
        <f t="shared" si="12"/>
        <v>1.3718996276747889E-2</v>
      </c>
      <c r="CH15" s="13">
        <f t="shared" si="12"/>
        <v>1.1754888383563328E-3</v>
      </c>
      <c r="CI15" s="13">
        <f t="shared" si="12"/>
        <v>6.0104557140008745E-3</v>
      </c>
      <c r="CJ15" s="13">
        <f t="shared" si="12"/>
        <v>5.0772986799253822E-2</v>
      </c>
      <c r="CK15" s="13">
        <f t="shared" si="12"/>
        <v>1.9441967111177075E-2</v>
      </c>
      <c r="CL15" s="13">
        <f t="shared" si="12"/>
        <v>2.2323244199193314E-2</v>
      </c>
      <c r="CM15" s="13">
        <f t="shared" si="12"/>
        <v>1.3730661709795608E-2</v>
      </c>
      <c r="CN15" s="13">
        <f t="shared" si="12"/>
        <v>5.0512336890402777E-2</v>
      </c>
      <c r="CO15" s="13">
        <f t="shared" si="12"/>
        <v>1.1369651266005245E-2</v>
      </c>
      <c r="CP15" s="13">
        <f t="shared" si="12"/>
        <v>1.2684370748723041E-4</v>
      </c>
      <c r="CQ15" s="13">
        <f t="shared" si="12"/>
        <v>4.1203217635235961E-2</v>
      </c>
      <c r="CR15" s="13">
        <f t="shared" si="12"/>
        <v>1.8390418704287686E-2</v>
      </c>
      <c r="CS15" s="13">
        <f t="shared" si="12"/>
        <v>6.384710301330759E-3</v>
      </c>
      <c r="CT15" s="13">
        <f t="shared" si="12"/>
        <v>8.6065208524461394E-4</v>
      </c>
      <c r="CU15" s="13">
        <f t="shared" ref="CU15:DZ15" si="13">(CU5-CU11)^2</f>
        <v>7.9188338657169274E-2</v>
      </c>
      <c r="CV15" s="13">
        <f t="shared" si="13"/>
        <v>5.3467635262857631E-2</v>
      </c>
      <c r="CW15" s="13">
        <f t="shared" si="13"/>
        <v>8.9813246535809278E-3</v>
      </c>
      <c r="CX15" s="13">
        <f t="shared" si="13"/>
        <v>1.4633558110543341E-2</v>
      </c>
      <c r="CY15" s="13">
        <f t="shared" si="13"/>
        <v>6.5016044977114096E-3</v>
      </c>
      <c r="CZ15" s="13">
        <f t="shared" si="13"/>
        <v>2.101884321552225E-3</v>
      </c>
      <c r="DA15" s="13">
        <f t="shared" si="13"/>
        <v>7.0677077217929244E-3</v>
      </c>
      <c r="DB15" s="13">
        <f t="shared" si="13"/>
        <v>2.3167152545150099E-2</v>
      </c>
      <c r="DC15" s="13">
        <f t="shared" si="13"/>
        <v>1.9342578036560759E-3</v>
      </c>
      <c r="DD15" s="13">
        <f t="shared" si="13"/>
        <v>2.5510865435135387E-2</v>
      </c>
      <c r="DE15" s="13">
        <f t="shared" si="13"/>
        <v>1.1266038698605565E-2</v>
      </c>
      <c r="DF15" s="13">
        <f t="shared" si="13"/>
        <v>6.5148688875348382E-3</v>
      </c>
      <c r="DG15" s="13">
        <f t="shared" si="13"/>
        <v>4.336727918339079E-2</v>
      </c>
      <c r="DH15" s="13">
        <f t="shared" si="13"/>
        <v>4.5751448673919531E-3</v>
      </c>
      <c r="DI15" s="13">
        <f t="shared" si="13"/>
        <v>4.875837407634997E-3</v>
      </c>
      <c r="DJ15" s="13">
        <f t="shared" si="13"/>
        <v>1.675215349575623E-2</v>
      </c>
      <c r="DK15" s="13">
        <f t="shared" si="13"/>
        <v>2.8511001176214262E-4</v>
      </c>
      <c r="DL15" s="13">
        <f t="shared" si="13"/>
        <v>5.6467093971688514E-3</v>
      </c>
      <c r="DM15" s="13">
        <f t="shared" si="13"/>
        <v>4.6804822391572352E-4</v>
      </c>
      <c r="DN15" s="13">
        <f t="shared" si="13"/>
        <v>7.1692240892290665E-4</v>
      </c>
      <c r="DO15" s="13">
        <f t="shared" si="13"/>
        <v>9.9792526123356432E-3</v>
      </c>
      <c r="DP15" s="13">
        <f t="shared" si="13"/>
        <v>5.0642444095003715E-2</v>
      </c>
      <c r="DQ15" s="13">
        <f t="shared" si="13"/>
        <v>5.8799020696627464E-2</v>
      </c>
      <c r="DR15" s="13">
        <f t="shared" si="13"/>
        <v>1.1343479136842726E-4</v>
      </c>
      <c r="DS15" s="13">
        <f t="shared" si="13"/>
        <v>1.893236658853556E-2</v>
      </c>
      <c r="DT15" s="13">
        <f t="shared" si="13"/>
        <v>1.3498933040631869E-2</v>
      </c>
      <c r="DU15" s="13">
        <f t="shared" si="13"/>
        <v>1.2064999450808692E-2</v>
      </c>
      <c r="DV15" s="13">
        <f t="shared" si="13"/>
        <v>2.6461655624985506E-3</v>
      </c>
      <c r="DW15" s="13">
        <f t="shared" si="13"/>
        <v>1.1174197362494411E-3</v>
      </c>
      <c r="DX15" s="13">
        <f t="shared" si="13"/>
        <v>3.636987241625725E-3</v>
      </c>
      <c r="DY15" s="13">
        <f t="shared" si="13"/>
        <v>5.1876597670692309E-3</v>
      </c>
      <c r="DZ15" s="13">
        <f t="shared" si="13"/>
        <v>2.7062133615793067E-4</v>
      </c>
      <c r="EA15" s="13">
        <f t="shared" ref="EA15:EF15" si="14">(EA5-EA11)^2</f>
        <v>8.4454186764858052E-2</v>
      </c>
      <c r="EB15" s="13">
        <f t="shared" si="14"/>
        <v>1.8629907784510305E-2</v>
      </c>
      <c r="EC15" s="13">
        <f t="shared" si="14"/>
        <v>5.7852771216718519E-5</v>
      </c>
      <c r="ED15" s="13">
        <f t="shared" si="14"/>
        <v>4.174004272899364E-3</v>
      </c>
      <c r="EE15" s="13">
        <f t="shared" si="14"/>
        <v>1.9178616180964912E-2</v>
      </c>
      <c r="EF15" s="13">
        <f t="shared" si="14"/>
        <v>8.2462898856764145E-3</v>
      </c>
    </row>
    <row r="16" spans="1:137">
      <c r="A16" s="12"/>
      <c r="B16" s="12"/>
    </row>
    <row r="17" spans="1:136">
      <c r="A17" s="4" t="s">
        <v>153</v>
      </c>
      <c r="B17" s="14" t="s">
        <v>136</v>
      </c>
      <c r="C17" s="13">
        <f t="shared" ref="C17:AH17" si="15">C9^2</f>
        <v>1.1904082277860264E-2</v>
      </c>
      <c r="D17" s="13">
        <f t="shared" si="15"/>
        <v>2.1247676054046116E-4</v>
      </c>
      <c r="E17" s="13">
        <f t="shared" si="15"/>
        <v>1.3071374994951929E-3</v>
      </c>
      <c r="F17" s="13">
        <f t="shared" si="15"/>
        <v>2.2492264027630889E-5</v>
      </c>
      <c r="G17" s="13">
        <f t="shared" si="15"/>
        <v>3.3036666141783492E-5</v>
      </c>
      <c r="H17" s="13">
        <f t="shared" si="15"/>
        <v>2.4381891708842936E-3</v>
      </c>
      <c r="I17" s="13">
        <f t="shared" si="15"/>
        <v>3.3581210916677484E-2</v>
      </c>
      <c r="J17" s="13">
        <f t="shared" si="15"/>
        <v>1.3569060155122757E-2</v>
      </c>
      <c r="K17" s="13">
        <f t="shared" si="15"/>
        <v>9.3605069620112215E-4</v>
      </c>
      <c r="L17" s="13">
        <f t="shared" si="15"/>
        <v>3.9315162352171023E-4</v>
      </c>
      <c r="M17" s="13">
        <f t="shared" si="15"/>
        <v>4.4095826822239875E-4</v>
      </c>
      <c r="N17" s="13">
        <f t="shared" si="15"/>
        <v>2.2433876085478928E-2</v>
      </c>
      <c r="O17" s="13">
        <f t="shared" si="15"/>
        <v>2.3911693040638534E-4</v>
      </c>
      <c r="P17" s="13">
        <f t="shared" si="15"/>
        <v>8.4258302823047079E-3</v>
      </c>
      <c r="Q17" s="13">
        <f t="shared" si="15"/>
        <v>5.9921553092687051E-3</v>
      </c>
      <c r="R17" s="13">
        <f t="shared" si="15"/>
        <v>3.0004754709051702E-3</v>
      </c>
      <c r="S17" s="13">
        <f t="shared" si="15"/>
        <v>1.5708708491616E-2</v>
      </c>
      <c r="T17" s="13">
        <f t="shared" si="15"/>
        <v>1.4173716945580542E-2</v>
      </c>
      <c r="U17" s="13">
        <f t="shared" si="15"/>
        <v>1.4265767398050631E-3</v>
      </c>
      <c r="V17" s="13">
        <f t="shared" si="15"/>
        <v>6.5908131416074602E-3</v>
      </c>
      <c r="W17" s="13">
        <f t="shared" si="15"/>
        <v>7.0575066817627407E-3</v>
      </c>
      <c r="X17" s="13">
        <f t="shared" si="15"/>
        <v>2.1612338960948319E-2</v>
      </c>
      <c r="Y17" s="13">
        <f t="shared" si="15"/>
        <v>1.5715264241471783E-2</v>
      </c>
      <c r="Z17" s="13">
        <f t="shared" si="15"/>
        <v>3.6846166718653456E-2</v>
      </c>
      <c r="AA17" s="13">
        <f t="shared" si="15"/>
        <v>7.1184289266528374E-3</v>
      </c>
      <c r="AB17" s="13">
        <f t="shared" si="15"/>
        <v>5.3140620982757656E-3</v>
      </c>
      <c r="AC17" s="13">
        <f t="shared" si="15"/>
        <v>1.0527695785516851E-2</v>
      </c>
      <c r="AD17" s="13">
        <f t="shared" si="15"/>
        <v>2.4869817519127077E-4</v>
      </c>
      <c r="AE17" s="13">
        <f t="shared" si="15"/>
        <v>2.3106177330172069E-2</v>
      </c>
      <c r="AF17" s="13">
        <f t="shared" si="15"/>
        <v>3.5105923035905259E-3</v>
      </c>
      <c r="AG17" s="13">
        <f t="shared" si="15"/>
        <v>1.6915301264337771E-2</v>
      </c>
      <c r="AH17" s="13">
        <f t="shared" si="15"/>
        <v>1.328403665826966E-2</v>
      </c>
      <c r="AI17" s="13">
        <f t="shared" ref="AI17:BN17" si="16">AI9^2</f>
        <v>1.0631917918075163E-3</v>
      </c>
      <c r="AJ17" s="13">
        <f t="shared" si="16"/>
        <v>7.8395043318640434E-4</v>
      </c>
      <c r="AK17" s="13">
        <f t="shared" si="16"/>
        <v>2.1482887422166509E-2</v>
      </c>
      <c r="AL17" s="13">
        <f t="shared" si="16"/>
        <v>1.668062549107739E-3</v>
      </c>
      <c r="AM17" s="13">
        <f t="shared" si="16"/>
        <v>1.7259749824038686E-2</v>
      </c>
      <c r="AN17" s="13">
        <f t="shared" si="16"/>
        <v>4.9032555464976403E-2</v>
      </c>
      <c r="AO17" s="13">
        <f t="shared" si="16"/>
        <v>4.3852711121876225E-4</v>
      </c>
      <c r="AP17" s="13">
        <f t="shared" si="16"/>
        <v>1.8812851996102171E-2</v>
      </c>
      <c r="AQ17" s="13">
        <f t="shared" si="16"/>
        <v>6.1915646627000822E-4</v>
      </c>
      <c r="AR17" s="13">
        <f t="shared" si="16"/>
        <v>2.4068328718584233E-4</v>
      </c>
      <c r="AS17" s="13">
        <f t="shared" si="16"/>
        <v>1.1815056389704321E-3</v>
      </c>
      <c r="AT17" s="13">
        <f t="shared" si="16"/>
        <v>3.9810656089414309E-3</v>
      </c>
      <c r="AU17" s="13">
        <f t="shared" si="16"/>
        <v>1.8694983030806238E-3</v>
      </c>
      <c r="AV17" s="13">
        <f t="shared" si="16"/>
        <v>5.5101474414569638E-3</v>
      </c>
      <c r="AW17" s="13">
        <f t="shared" si="16"/>
        <v>7.8371035043392316E-4</v>
      </c>
      <c r="AX17" s="13">
        <f t="shared" si="16"/>
        <v>1.4367478657017244E-2</v>
      </c>
      <c r="AY17" s="13">
        <f t="shared" si="16"/>
        <v>5.8613679493322605E-3</v>
      </c>
      <c r="AZ17" s="13">
        <f t="shared" si="16"/>
        <v>4.7220968054589304E-4</v>
      </c>
      <c r="BA17" s="13">
        <f t="shared" si="16"/>
        <v>1.5536707046446584E-6</v>
      </c>
      <c r="BB17" s="13">
        <f t="shared" si="16"/>
        <v>1.0200156097581669E-2</v>
      </c>
      <c r="BC17" s="13">
        <f t="shared" si="16"/>
        <v>8.8964574469951819E-4</v>
      </c>
      <c r="BD17" s="13">
        <f t="shared" si="16"/>
        <v>7.5268956977767048E-5</v>
      </c>
      <c r="BE17" s="13">
        <f t="shared" si="16"/>
        <v>4.7000904970756216E-3</v>
      </c>
      <c r="BF17" s="13">
        <f t="shared" si="16"/>
        <v>2.4621562948682934E-2</v>
      </c>
      <c r="BG17" s="13">
        <f t="shared" si="16"/>
        <v>2.5345828645073384E-2</v>
      </c>
      <c r="BH17" s="13">
        <f t="shared" si="16"/>
        <v>3.7358582565093718E-3</v>
      </c>
      <c r="BI17" s="13">
        <f t="shared" si="16"/>
        <v>9.3921007423280172E-3</v>
      </c>
      <c r="BJ17" s="13">
        <f t="shared" si="16"/>
        <v>2.9971517217047563E-3</v>
      </c>
      <c r="BK17" s="13">
        <f t="shared" si="16"/>
        <v>7.6550185977651616E-3</v>
      </c>
      <c r="BL17" s="13">
        <f t="shared" si="16"/>
        <v>8.9164103340217925E-3</v>
      </c>
      <c r="BM17" s="13">
        <f t="shared" si="16"/>
        <v>4.9244308753160887E-4</v>
      </c>
      <c r="BN17" s="13">
        <f t="shared" si="16"/>
        <v>2.4425352677185161E-4</v>
      </c>
      <c r="BO17" s="13">
        <f t="shared" ref="BO17:CT17" si="17">BO9^2</f>
        <v>6.6289298211247571E-3</v>
      </c>
      <c r="BP17" s="13">
        <f t="shared" si="17"/>
        <v>3.4258094968395863E-4</v>
      </c>
      <c r="BQ17" s="13">
        <f t="shared" si="17"/>
        <v>4.7237535213055463E-3</v>
      </c>
      <c r="BR17" s="13">
        <f t="shared" si="17"/>
        <v>9.6246407867516525E-6</v>
      </c>
      <c r="BS17" s="13">
        <f t="shared" si="17"/>
        <v>5.6196639138378088E-3</v>
      </c>
      <c r="BT17" s="13">
        <f t="shared" si="17"/>
        <v>2.0431835304301382E-3</v>
      </c>
      <c r="BU17" s="13">
        <f t="shared" si="17"/>
        <v>6.5932524502488709E-4</v>
      </c>
      <c r="BV17" s="13">
        <f t="shared" si="17"/>
        <v>8.427980119369332E-3</v>
      </c>
      <c r="BW17" s="13">
        <f t="shared" si="17"/>
        <v>6.9453326513524774E-4</v>
      </c>
      <c r="BX17" s="13">
        <f t="shared" si="17"/>
        <v>3.7615951743202121E-4</v>
      </c>
      <c r="BY17" s="13">
        <f t="shared" si="17"/>
        <v>5.9042164483032638E-3</v>
      </c>
      <c r="BZ17" s="13">
        <f t="shared" si="17"/>
        <v>1.2839000623048005E-2</v>
      </c>
      <c r="CA17" s="13">
        <f t="shared" si="17"/>
        <v>1.1525082059920233E-2</v>
      </c>
      <c r="CB17" s="13">
        <f t="shared" si="17"/>
        <v>1.6682967477483388E-3</v>
      </c>
      <c r="CC17" s="13">
        <f t="shared" si="17"/>
        <v>3.9210767823715285E-4</v>
      </c>
      <c r="CD17" s="13">
        <f t="shared" si="17"/>
        <v>3.548592802252902E-2</v>
      </c>
      <c r="CE17" s="13">
        <f t="shared" si="17"/>
        <v>3.0885701458901937E-3</v>
      </c>
      <c r="CF17" s="13">
        <f t="shared" si="17"/>
        <v>5.6058275198580514E-3</v>
      </c>
      <c r="CG17" s="13">
        <f t="shared" si="17"/>
        <v>1.0000038380535725E-2</v>
      </c>
      <c r="CH17" s="13">
        <f t="shared" si="17"/>
        <v>1.850190885600296E-2</v>
      </c>
      <c r="CI17" s="13">
        <f t="shared" si="17"/>
        <v>8.7873778374468071E-3</v>
      </c>
      <c r="CJ17" s="13">
        <f t="shared" si="17"/>
        <v>1.5449609443997168E-5</v>
      </c>
      <c r="CK17" s="13">
        <f t="shared" si="17"/>
        <v>3.1931288133821255E-3</v>
      </c>
      <c r="CL17" s="13">
        <f t="shared" si="17"/>
        <v>6.9456377220562526E-2</v>
      </c>
      <c r="CM17" s="13">
        <f t="shared" si="17"/>
        <v>9.1306336429085243E-5</v>
      </c>
      <c r="CN17" s="13">
        <f t="shared" si="17"/>
        <v>9.9299981066329653E-4</v>
      </c>
      <c r="CO17" s="13">
        <f t="shared" si="17"/>
        <v>5.1162058729769763E-4</v>
      </c>
      <c r="CP17" s="13">
        <f t="shared" si="17"/>
        <v>1.7597510690797149E-2</v>
      </c>
      <c r="CQ17" s="13">
        <f t="shared" si="17"/>
        <v>1.7708364708443211E-2</v>
      </c>
      <c r="CR17" s="13">
        <f t="shared" si="17"/>
        <v>2.2369415134259262E-4</v>
      </c>
      <c r="CS17" s="13">
        <f t="shared" si="17"/>
        <v>1.1168922557625953E-3</v>
      </c>
      <c r="CT17" s="13">
        <f t="shared" si="17"/>
        <v>1.5082808365029206E-4</v>
      </c>
      <c r="CU17" s="13">
        <f t="shared" ref="CU17:DZ17" si="18">CU9^2</f>
        <v>1.3645740385844037E-2</v>
      </c>
      <c r="CV17" s="13">
        <f t="shared" si="18"/>
        <v>9.9789357659655527E-6</v>
      </c>
      <c r="CW17" s="13">
        <f t="shared" si="18"/>
        <v>1.4605970535097568E-3</v>
      </c>
      <c r="CX17" s="13">
        <f t="shared" si="18"/>
        <v>1.9369428669164728E-2</v>
      </c>
      <c r="CY17" s="13">
        <f t="shared" si="18"/>
        <v>5.6227258353762984E-4</v>
      </c>
      <c r="CZ17" s="13">
        <f t="shared" si="18"/>
        <v>4.7677993769128582E-2</v>
      </c>
      <c r="DA17" s="13">
        <f t="shared" si="18"/>
        <v>3.3602150955513014E-3</v>
      </c>
      <c r="DB17" s="13">
        <f t="shared" si="18"/>
        <v>1.9892898007428065E-4</v>
      </c>
      <c r="DC17" s="13">
        <f t="shared" si="18"/>
        <v>1.298598834966512E-2</v>
      </c>
      <c r="DD17" s="13">
        <f t="shared" si="18"/>
        <v>5.5461177913042319E-3</v>
      </c>
      <c r="DE17" s="13">
        <f t="shared" si="18"/>
        <v>8.0944705118043796E-7</v>
      </c>
      <c r="DF17" s="13">
        <f t="shared" si="18"/>
        <v>9.5466930982486662E-7</v>
      </c>
      <c r="DG17" s="13">
        <f t="shared" si="18"/>
        <v>5.3260942765597724E-3</v>
      </c>
      <c r="DH17" s="13">
        <f t="shared" si="18"/>
        <v>5.6859770483571833E-4</v>
      </c>
      <c r="DI17" s="13">
        <f t="shared" si="18"/>
        <v>1.0308477356134783E-2</v>
      </c>
      <c r="DJ17" s="13">
        <f t="shared" si="18"/>
        <v>7.6687657573272126E-4</v>
      </c>
      <c r="DK17" s="13">
        <f t="shared" si="18"/>
        <v>2.4339573117996964E-3</v>
      </c>
      <c r="DL17" s="13">
        <f t="shared" si="18"/>
        <v>3.248267667612629E-5</v>
      </c>
      <c r="DM17" s="13">
        <f t="shared" si="18"/>
        <v>1.3676505773505593E-3</v>
      </c>
      <c r="DN17" s="13">
        <f t="shared" si="18"/>
        <v>1.2058891959025398E-2</v>
      </c>
      <c r="DO17" s="13">
        <f t="shared" si="18"/>
        <v>1.7670946755159902E-3</v>
      </c>
      <c r="DP17" s="13">
        <f t="shared" si="18"/>
        <v>7.1515213376560464E-3</v>
      </c>
      <c r="DQ17" s="13">
        <f t="shared" si="18"/>
        <v>1.2161636684326392E-2</v>
      </c>
      <c r="DR17" s="13">
        <f t="shared" si="18"/>
        <v>8.8979053657027001E-3</v>
      </c>
      <c r="DS17" s="13">
        <f t="shared" si="18"/>
        <v>5.1706040810191528E-3</v>
      </c>
      <c r="DT17" s="13">
        <f t="shared" si="18"/>
        <v>9.2614503642733919E-3</v>
      </c>
      <c r="DU17" s="13">
        <f t="shared" si="18"/>
        <v>5.5016020342108963E-6</v>
      </c>
      <c r="DV17" s="13">
        <f t="shared" si="18"/>
        <v>1.7960669823662546E-2</v>
      </c>
      <c r="DW17" s="13">
        <f t="shared" si="18"/>
        <v>8.9742501777570517E-3</v>
      </c>
      <c r="DX17" s="13">
        <f t="shared" si="18"/>
        <v>1.0768876593012837E-2</v>
      </c>
      <c r="DY17" s="13">
        <f t="shared" si="18"/>
        <v>5.7399040046420165E-3</v>
      </c>
      <c r="DZ17" s="13">
        <f t="shared" si="18"/>
        <v>1.0131311029084758E-3</v>
      </c>
      <c r="EA17" s="13">
        <f t="shared" ref="EA17:EF17" si="19">EA9^2</f>
        <v>2.6020277100143683E-2</v>
      </c>
      <c r="EB17" s="13">
        <f t="shared" si="19"/>
        <v>1.0411208891300061E-4</v>
      </c>
      <c r="EC17" s="13">
        <f t="shared" si="19"/>
        <v>5.4742870589305657E-3</v>
      </c>
      <c r="ED17" s="13">
        <f t="shared" si="19"/>
        <v>2.4767480781445986E-2</v>
      </c>
      <c r="EE17" s="13">
        <f t="shared" si="19"/>
        <v>6.2627523737550815E-3</v>
      </c>
      <c r="EF17" s="13">
        <f t="shared" si="19"/>
        <v>5.2603901117786907E-3</v>
      </c>
    </row>
    <row r="18" spans="1:136">
      <c r="A18" s="12"/>
      <c r="B18" s="14" t="s">
        <v>137</v>
      </c>
      <c r="C18" s="13">
        <f t="shared" ref="C18:AH18" si="20">C10^2</f>
        <v>6.1300693365209831E-2</v>
      </c>
      <c r="D18" s="13">
        <f t="shared" si="20"/>
        <v>7.5456480801886314E-2</v>
      </c>
      <c r="E18" s="13">
        <f t="shared" si="20"/>
        <v>7.1651837964001588E-3</v>
      </c>
      <c r="F18" s="13">
        <f t="shared" si="20"/>
        <v>5.1277567515670423E-4</v>
      </c>
      <c r="G18" s="13">
        <f t="shared" si="20"/>
        <v>2.468175090375373E-3</v>
      </c>
      <c r="H18" s="13">
        <f t="shared" si="20"/>
        <v>1.0152636608545497E-2</v>
      </c>
      <c r="I18" s="13">
        <f t="shared" si="20"/>
        <v>1.5684835207547849E-4</v>
      </c>
      <c r="J18" s="13">
        <f t="shared" si="20"/>
        <v>6.1994465780522614E-3</v>
      </c>
      <c r="K18" s="13">
        <f t="shared" si="20"/>
        <v>1.1685952301120474E-3</v>
      </c>
      <c r="L18" s="13">
        <f t="shared" si="20"/>
        <v>7.8155798268789121E-3</v>
      </c>
      <c r="M18" s="13">
        <f t="shared" si="20"/>
        <v>9.3833398534979199E-6</v>
      </c>
      <c r="N18" s="13">
        <f t="shared" si="20"/>
        <v>4.5036341884672905E-2</v>
      </c>
      <c r="O18" s="13">
        <f t="shared" si="20"/>
        <v>1.3546851094783608E-3</v>
      </c>
      <c r="P18" s="13">
        <f t="shared" si="20"/>
        <v>5.045668483899696E-3</v>
      </c>
      <c r="Q18" s="13">
        <f t="shared" si="20"/>
        <v>5.0783760841303042E-3</v>
      </c>
      <c r="R18" s="13">
        <f t="shared" si="20"/>
        <v>4.6483887613829443E-4</v>
      </c>
      <c r="S18" s="13">
        <f t="shared" si="20"/>
        <v>1.0223359201100256E-2</v>
      </c>
      <c r="T18" s="13">
        <f t="shared" si="20"/>
        <v>1.8684685566325379E-3</v>
      </c>
      <c r="U18" s="13">
        <f t="shared" si="20"/>
        <v>2.2148727044958431E-4</v>
      </c>
      <c r="V18" s="13">
        <f t="shared" si="20"/>
        <v>4.0011379478964094E-5</v>
      </c>
      <c r="W18" s="13">
        <f t="shared" si="20"/>
        <v>2.0607636020461784E-2</v>
      </c>
      <c r="X18" s="13">
        <f t="shared" si="20"/>
        <v>4.1321679975870312E-3</v>
      </c>
      <c r="Y18" s="13">
        <f t="shared" si="20"/>
        <v>3.6227705200640281E-4</v>
      </c>
      <c r="Z18" s="13">
        <f t="shared" si="20"/>
        <v>4.2621705000799601E-4</v>
      </c>
      <c r="AA18" s="13">
        <f t="shared" si="20"/>
        <v>1.0929205462835068E-3</v>
      </c>
      <c r="AB18" s="13">
        <f t="shared" si="20"/>
        <v>3.7708579663085182E-4</v>
      </c>
      <c r="AC18" s="13">
        <f t="shared" si="20"/>
        <v>3.9849659731579093E-3</v>
      </c>
      <c r="AD18" s="13">
        <f t="shared" si="20"/>
        <v>4.3071001413491688E-3</v>
      </c>
      <c r="AE18" s="13">
        <f t="shared" si="20"/>
        <v>1.9042932176832117E-2</v>
      </c>
      <c r="AF18" s="13">
        <f t="shared" si="20"/>
        <v>1.0114252595814038E-2</v>
      </c>
      <c r="AG18" s="13">
        <f t="shared" si="20"/>
        <v>1.4416636265391922E-3</v>
      </c>
      <c r="AH18" s="13">
        <f t="shared" si="20"/>
        <v>2.1012465114822257E-3</v>
      </c>
      <c r="AI18" s="13">
        <f t="shared" ref="AI18:BN18" si="21">AI10^2</f>
        <v>2.6045996963521916E-3</v>
      </c>
      <c r="AJ18" s="13">
        <f t="shared" si="21"/>
        <v>1.0369016019118986E-5</v>
      </c>
      <c r="AK18" s="13">
        <f t="shared" si="21"/>
        <v>2.3888299664495222E-7</v>
      </c>
      <c r="AL18" s="13">
        <f t="shared" si="21"/>
        <v>1.1330596821655201E-2</v>
      </c>
      <c r="AM18" s="13">
        <f t="shared" si="21"/>
        <v>1.8831454545477483E-4</v>
      </c>
      <c r="AN18" s="13">
        <f t="shared" si="21"/>
        <v>1.4875393207363497E-2</v>
      </c>
      <c r="AO18" s="13">
        <f t="shared" si="21"/>
        <v>2.3609085493613595E-3</v>
      </c>
      <c r="AP18" s="13">
        <f t="shared" si="21"/>
        <v>3.6258931165527219E-6</v>
      </c>
      <c r="AQ18" s="13">
        <f t="shared" si="21"/>
        <v>8.4483342227469613E-4</v>
      </c>
      <c r="AR18" s="13">
        <f t="shared" si="21"/>
        <v>2.7704800669006609E-3</v>
      </c>
      <c r="AS18" s="13">
        <f t="shared" si="21"/>
        <v>1.6622512251336004E-4</v>
      </c>
      <c r="AT18" s="13">
        <f t="shared" si="21"/>
        <v>4.5439685935544372E-6</v>
      </c>
      <c r="AU18" s="13">
        <f t="shared" si="21"/>
        <v>2.4144502235582798E-2</v>
      </c>
      <c r="AV18" s="13">
        <f t="shared" si="21"/>
        <v>1.6082365861874086E-4</v>
      </c>
      <c r="AW18" s="13">
        <f t="shared" si="21"/>
        <v>1.4264597606573177E-4</v>
      </c>
      <c r="AX18" s="13">
        <f t="shared" si="21"/>
        <v>1.8098701093861567E-5</v>
      </c>
      <c r="AY18" s="13">
        <f t="shared" si="21"/>
        <v>8.5850584817288563E-4</v>
      </c>
      <c r="AZ18" s="13">
        <f t="shared" si="21"/>
        <v>1.7990646068161583E-2</v>
      </c>
      <c r="BA18" s="13">
        <f t="shared" si="21"/>
        <v>1.8799572708613422E-2</v>
      </c>
      <c r="BB18" s="13">
        <f t="shared" si="21"/>
        <v>3.0782104439233691E-6</v>
      </c>
      <c r="BC18" s="13">
        <f t="shared" si="21"/>
        <v>6.3084075632681956E-4</v>
      </c>
      <c r="BD18" s="13">
        <f t="shared" si="21"/>
        <v>1.4304754609348245E-2</v>
      </c>
      <c r="BE18" s="13">
        <f t="shared" si="21"/>
        <v>1.8431097254000828E-2</v>
      </c>
      <c r="BF18" s="13">
        <f t="shared" si="21"/>
        <v>2.217508771418737E-3</v>
      </c>
      <c r="BG18" s="13">
        <f t="shared" si="21"/>
        <v>6.7855079524042493E-4</v>
      </c>
      <c r="BH18" s="13">
        <f t="shared" si="21"/>
        <v>1.914240067566068E-3</v>
      </c>
      <c r="BI18" s="13">
        <f t="shared" si="21"/>
        <v>6.6247643467893481E-3</v>
      </c>
      <c r="BJ18" s="13">
        <f t="shared" si="21"/>
        <v>1.0120508057074875E-2</v>
      </c>
      <c r="BK18" s="13">
        <f t="shared" si="21"/>
        <v>8.1883255214717822E-3</v>
      </c>
      <c r="BL18" s="13">
        <f t="shared" si="21"/>
        <v>9.5467050846642545E-4</v>
      </c>
      <c r="BM18" s="13">
        <f t="shared" si="21"/>
        <v>3.4590793038713889E-3</v>
      </c>
      <c r="BN18" s="13">
        <f t="shared" si="21"/>
        <v>6.6170852237410396E-3</v>
      </c>
      <c r="BO18" s="13">
        <f t="shared" ref="BO18:CT18" si="22">BO10^2</f>
        <v>5.955337496678137E-5</v>
      </c>
      <c r="BP18" s="13">
        <f t="shared" si="22"/>
        <v>1.139273199640704E-2</v>
      </c>
      <c r="BQ18" s="13">
        <f t="shared" si="22"/>
        <v>7.3759718894054029E-4</v>
      </c>
      <c r="BR18" s="13">
        <f t="shared" si="22"/>
        <v>2.9627572516310787E-3</v>
      </c>
      <c r="BS18" s="13">
        <f t="shared" si="22"/>
        <v>4.6551994492967643E-3</v>
      </c>
      <c r="BT18" s="13">
        <f t="shared" si="22"/>
        <v>9.724365655424996E-3</v>
      </c>
      <c r="BU18" s="13">
        <f t="shared" si="22"/>
        <v>1.6486300249823952E-2</v>
      </c>
      <c r="BV18" s="13">
        <f t="shared" si="22"/>
        <v>6.147011800126328E-3</v>
      </c>
      <c r="BW18" s="13">
        <f t="shared" si="22"/>
        <v>1.4192774529095765E-2</v>
      </c>
      <c r="BX18" s="13">
        <f t="shared" si="22"/>
        <v>2.1986156368567528E-3</v>
      </c>
      <c r="BY18" s="13">
        <f t="shared" si="22"/>
        <v>1.0342877441815704E-2</v>
      </c>
      <c r="BZ18" s="13">
        <f t="shared" si="22"/>
        <v>6.5947971264505184E-4</v>
      </c>
      <c r="CA18" s="13">
        <f t="shared" si="22"/>
        <v>6.939270784144815E-3</v>
      </c>
      <c r="CB18" s="13">
        <f t="shared" si="22"/>
        <v>2.490959335564108E-2</v>
      </c>
      <c r="CC18" s="13">
        <f t="shared" si="22"/>
        <v>5.0483940795093335E-3</v>
      </c>
      <c r="CD18" s="13">
        <f t="shared" si="22"/>
        <v>5.4575246498347399E-3</v>
      </c>
      <c r="CE18" s="13">
        <f t="shared" si="22"/>
        <v>5.6068066541751532E-2</v>
      </c>
      <c r="CF18" s="13">
        <f t="shared" si="22"/>
        <v>1.0645552729114708E-3</v>
      </c>
      <c r="CG18" s="13">
        <f t="shared" si="22"/>
        <v>1.8017391270710401E-4</v>
      </c>
      <c r="CH18" s="13">
        <f t="shared" si="22"/>
        <v>7.8224447196087939E-6</v>
      </c>
      <c r="CI18" s="13">
        <f t="shared" si="22"/>
        <v>2.2967642038634207E-3</v>
      </c>
      <c r="CJ18" s="13">
        <f t="shared" si="22"/>
        <v>1.0575126383519084E-5</v>
      </c>
      <c r="CK18" s="13">
        <f t="shared" si="22"/>
        <v>5.7318489118359647E-3</v>
      </c>
      <c r="CL18" s="13">
        <f t="shared" si="22"/>
        <v>1.9711426751466321E-3</v>
      </c>
      <c r="CM18" s="13">
        <f t="shared" si="22"/>
        <v>3.2036892957407311E-2</v>
      </c>
      <c r="CN18" s="13">
        <f t="shared" si="22"/>
        <v>3.3632545843342572E-3</v>
      </c>
      <c r="CO18" s="13">
        <f t="shared" si="22"/>
        <v>1.9429399571266829E-2</v>
      </c>
      <c r="CP18" s="13">
        <f t="shared" si="22"/>
        <v>4.1879066727151335E-3</v>
      </c>
      <c r="CQ18" s="13">
        <f t="shared" si="22"/>
        <v>3.2829365676202364E-2</v>
      </c>
      <c r="CR18" s="13">
        <f t="shared" si="22"/>
        <v>7.8560425574255924E-3</v>
      </c>
      <c r="CS18" s="13">
        <f t="shared" si="22"/>
        <v>6.4125010819445784E-4</v>
      </c>
      <c r="CT18" s="13">
        <f t="shared" si="22"/>
        <v>1.2786955512351617E-2</v>
      </c>
      <c r="CU18" s="13">
        <f t="shared" ref="CU18:DZ18" si="23">CU10^2</f>
        <v>6.5544556247863439E-5</v>
      </c>
      <c r="CV18" s="13">
        <f t="shared" si="23"/>
        <v>2.0430945048694866E-3</v>
      </c>
      <c r="CW18" s="13">
        <f t="shared" si="23"/>
        <v>3.4740313114436836E-3</v>
      </c>
      <c r="CX18" s="13">
        <f t="shared" si="23"/>
        <v>1.1605164974898103E-2</v>
      </c>
      <c r="CY18" s="13">
        <f t="shared" si="23"/>
        <v>9.312810896541136E-3</v>
      </c>
      <c r="CZ18" s="13">
        <f t="shared" si="23"/>
        <v>4.4249942912931411E-2</v>
      </c>
      <c r="DA18" s="13">
        <f t="shared" si="23"/>
        <v>1.2091313670318852E-2</v>
      </c>
      <c r="DB18" s="13">
        <f t="shared" si="23"/>
        <v>3.6412367573211445E-2</v>
      </c>
      <c r="DC18" s="13">
        <f t="shared" si="23"/>
        <v>4.2963910842392348E-4</v>
      </c>
      <c r="DD18" s="13">
        <f t="shared" si="23"/>
        <v>7.5739182630238941E-3</v>
      </c>
      <c r="DE18" s="13">
        <f t="shared" si="23"/>
        <v>6.7279329066841928E-3</v>
      </c>
      <c r="DF18" s="13">
        <f t="shared" si="23"/>
        <v>2.7847988835352395E-2</v>
      </c>
      <c r="DG18" s="13">
        <f t="shared" si="23"/>
        <v>4.9478894658223235E-2</v>
      </c>
      <c r="DH18" s="13">
        <f t="shared" si="23"/>
        <v>2.0821943671107318E-2</v>
      </c>
      <c r="DI18" s="13">
        <f t="shared" si="23"/>
        <v>1.430888192074862E-2</v>
      </c>
      <c r="DJ18" s="13">
        <f t="shared" si="23"/>
        <v>1.0321355567844626E-2</v>
      </c>
      <c r="DK18" s="13">
        <f t="shared" si="23"/>
        <v>8.6220825591038774E-3</v>
      </c>
      <c r="DL18" s="13">
        <f t="shared" si="23"/>
        <v>1.8174265579752006E-3</v>
      </c>
      <c r="DM18" s="13">
        <f t="shared" si="23"/>
        <v>6.8445291155421984E-3</v>
      </c>
      <c r="DN18" s="13">
        <f t="shared" si="23"/>
        <v>9.6410257873325738E-4</v>
      </c>
      <c r="DO18" s="13">
        <f t="shared" si="23"/>
        <v>9.631789703945395E-3</v>
      </c>
      <c r="DP18" s="13">
        <f t="shared" si="23"/>
        <v>1.7053479851931182E-2</v>
      </c>
      <c r="DQ18" s="13">
        <f t="shared" si="23"/>
        <v>2.3673571788458917E-3</v>
      </c>
      <c r="DR18" s="13">
        <f t="shared" si="23"/>
        <v>1.5407303554245343E-3</v>
      </c>
      <c r="DS18" s="13">
        <f t="shared" si="23"/>
        <v>2.5930853978605572E-2</v>
      </c>
      <c r="DT18" s="13">
        <f t="shared" si="23"/>
        <v>6.2226854698026772E-3</v>
      </c>
      <c r="DU18" s="13">
        <f t="shared" si="23"/>
        <v>2.6921435029730965E-2</v>
      </c>
      <c r="DV18" s="13">
        <f t="shared" si="23"/>
        <v>5.6305519824260551E-5</v>
      </c>
      <c r="DW18" s="13">
        <f t="shared" si="23"/>
        <v>1.0331715248239271E-2</v>
      </c>
      <c r="DX18" s="13">
        <f t="shared" si="23"/>
        <v>3.1405009617489106E-3</v>
      </c>
      <c r="DY18" s="13">
        <f t="shared" si="23"/>
        <v>1.1375560020299798E-2</v>
      </c>
      <c r="DZ18" s="13">
        <f t="shared" si="23"/>
        <v>4.7866844070049708E-3</v>
      </c>
      <c r="EA18" s="13">
        <f t="shared" ref="EA18:EF18" si="24">EA10^2</f>
        <v>1.5923398111714018E-2</v>
      </c>
      <c r="EB18" s="13">
        <f t="shared" si="24"/>
        <v>4.1908523776376079E-3</v>
      </c>
      <c r="EC18" s="13">
        <f t="shared" si="24"/>
        <v>2.6444992717356303E-3</v>
      </c>
      <c r="ED18" s="13">
        <f t="shared" si="24"/>
        <v>1.1900358491667496E-3</v>
      </c>
      <c r="EE18" s="13">
        <f t="shared" si="24"/>
        <v>2.4862206670085589E-2</v>
      </c>
      <c r="EF18" s="13">
        <f t="shared" si="24"/>
        <v>1.6174602969843341E-2</v>
      </c>
    </row>
    <row r="19" spans="1:136">
      <c r="A19" s="12"/>
      <c r="B19" s="14" t="s">
        <v>138</v>
      </c>
      <c r="C19" s="13">
        <f t="shared" ref="C19:AH19" si="25">C11^2</f>
        <v>2.9424962947699911E-3</v>
      </c>
      <c r="D19" s="13">
        <f t="shared" si="25"/>
        <v>2.059074167658151E-3</v>
      </c>
      <c r="E19" s="13">
        <f t="shared" si="25"/>
        <v>3.1514318274691188E-4</v>
      </c>
      <c r="F19" s="13">
        <f t="shared" si="25"/>
        <v>7.6890721339683337E-3</v>
      </c>
      <c r="G19" s="13">
        <f t="shared" si="25"/>
        <v>1.0559465472918014E-2</v>
      </c>
      <c r="H19" s="13">
        <f t="shared" si="25"/>
        <v>6.3069879875624846E-6</v>
      </c>
      <c r="I19" s="13">
        <f t="shared" si="25"/>
        <v>3.3502003352045134E-4</v>
      </c>
      <c r="J19" s="13">
        <f t="shared" si="25"/>
        <v>4.8887532041517415E-4</v>
      </c>
      <c r="K19" s="13">
        <f t="shared" si="25"/>
        <v>5.9688056303032417E-3</v>
      </c>
      <c r="L19" s="13">
        <f t="shared" si="25"/>
        <v>8.7311801112263879E-5</v>
      </c>
      <c r="M19" s="13">
        <f t="shared" si="25"/>
        <v>2.873193829916625E-3</v>
      </c>
      <c r="N19" s="13">
        <f t="shared" si="25"/>
        <v>4.6073356328051786E-3</v>
      </c>
      <c r="O19" s="13">
        <f t="shared" si="25"/>
        <v>4.2158901598624366E-3</v>
      </c>
      <c r="P19" s="13">
        <f t="shared" si="25"/>
        <v>2.3821054386013211E-5</v>
      </c>
      <c r="Q19" s="13">
        <f t="shared" si="25"/>
        <v>3.6855622546895207E-4</v>
      </c>
      <c r="R19" s="13">
        <f t="shared" si="25"/>
        <v>2.9870042368556722E-5</v>
      </c>
      <c r="S19" s="13">
        <f t="shared" si="25"/>
        <v>1.3360097496481892E-3</v>
      </c>
      <c r="T19" s="13">
        <f t="shared" si="25"/>
        <v>1.6688781966867596E-2</v>
      </c>
      <c r="U19" s="13">
        <f t="shared" si="25"/>
        <v>1.8748202760809614E-4</v>
      </c>
      <c r="V19" s="13">
        <f t="shared" si="25"/>
        <v>2.3394473192739536E-4</v>
      </c>
      <c r="W19" s="13">
        <f t="shared" si="25"/>
        <v>1.0959099784052484E-2</v>
      </c>
      <c r="X19" s="13">
        <f t="shared" si="25"/>
        <v>8.6346676822882121E-2</v>
      </c>
      <c r="Y19" s="13">
        <f t="shared" si="25"/>
        <v>3.5061183838375133E-3</v>
      </c>
      <c r="Z19" s="13">
        <f t="shared" si="25"/>
        <v>3.4205878279447842E-2</v>
      </c>
      <c r="AA19" s="13">
        <f t="shared" si="25"/>
        <v>9.6525592252829466E-3</v>
      </c>
      <c r="AB19" s="13">
        <f t="shared" si="25"/>
        <v>4.3209728479720412E-7</v>
      </c>
      <c r="AC19" s="13">
        <f t="shared" si="25"/>
        <v>1.0750810579255237E-2</v>
      </c>
      <c r="AD19" s="13">
        <f t="shared" si="25"/>
        <v>1.2567690104255271E-5</v>
      </c>
      <c r="AE19" s="13">
        <f t="shared" si="25"/>
        <v>3.0835882156048783E-2</v>
      </c>
      <c r="AF19" s="13">
        <f t="shared" si="25"/>
        <v>2.4035262433120905E-2</v>
      </c>
      <c r="AG19" s="13">
        <f t="shared" si="25"/>
        <v>6.9319650662206438E-4</v>
      </c>
      <c r="AH19" s="13">
        <f t="shared" si="25"/>
        <v>2.4988102995418992E-5</v>
      </c>
      <c r="AI19" s="13">
        <f t="shared" ref="AI19:BN19" si="26">AI11^2</f>
        <v>7.8779660257925624E-4</v>
      </c>
      <c r="AJ19" s="13">
        <f t="shared" si="26"/>
        <v>5.0105213836060746E-4</v>
      </c>
      <c r="AK19" s="13">
        <f t="shared" si="26"/>
        <v>2.2109580205685515E-3</v>
      </c>
      <c r="AL19" s="13">
        <f t="shared" si="26"/>
        <v>1.0314740717783251E-2</v>
      </c>
      <c r="AM19" s="13">
        <f t="shared" si="26"/>
        <v>5.5343262156863572E-4</v>
      </c>
      <c r="AN19" s="13">
        <f t="shared" si="26"/>
        <v>2.7588997976275898E-3</v>
      </c>
      <c r="AO19" s="13">
        <f t="shared" si="26"/>
        <v>3.4225885640141755E-3</v>
      </c>
      <c r="AP19" s="13">
        <f t="shared" si="26"/>
        <v>1.118725626162101E-3</v>
      </c>
      <c r="AQ19" s="13">
        <f t="shared" si="26"/>
        <v>2.0450045203045813E-4</v>
      </c>
      <c r="AR19" s="13">
        <f t="shared" si="26"/>
        <v>1.2890681145068224E-3</v>
      </c>
      <c r="AS19" s="13">
        <f t="shared" si="26"/>
        <v>1.5826302227352094E-3</v>
      </c>
      <c r="AT19" s="13">
        <f t="shared" si="26"/>
        <v>2.2039242020426623E-2</v>
      </c>
      <c r="AU19" s="13">
        <f t="shared" si="26"/>
        <v>1.6636034229909587E-3</v>
      </c>
      <c r="AV19" s="13">
        <f t="shared" si="26"/>
        <v>1.9309590933108238E-2</v>
      </c>
      <c r="AW19" s="13">
        <f t="shared" si="26"/>
        <v>3.5836126990842318E-3</v>
      </c>
      <c r="AX19" s="13">
        <f t="shared" si="26"/>
        <v>2.2436988075031212E-2</v>
      </c>
      <c r="AY19" s="13">
        <f t="shared" si="26"/>
        <v>3.7940489141036855E-3</v>
      </c>
      <c r="AZ19" s="13">
        <f t="shared" si="26"/>
        <v>3.8377717094877179E-3</v>
      </c>
      <c r="BA19" s="13">
        <f t="shared" si="26"/>
        <v>5.7085842824112805E-6</v>
      </c>
      <c r="BB19" s="13">
        <f t="shared" si="26"/>
        <v>2.2162365071883454E-2</v>
      </c>
      <c r="BC19" s="13">
        <f t="shared" si="26"/>
        <v>3.6421850194502817E-3</v>
      </c>
      <c r="BD19" s="13">
        <f t="shared" si="26"/>
        <v>2.1567132814367246E-4</v>
      </c>
      <c r="BE19" s="13">
        <f t="shared" si="26"/>
        <v>2.1466733042722119E-2</v>
      </c>
      <c r="BF19" s="13">
        <f t="shared" si="26"/>
        <v>4.3581843456671758E-2</v>
      </c>
      <c r="BG19" s="13">
        <f t="shared" si="26"/>
        <v>4.0579385301159648E-2</v>
      </c>
      <c r="BH19" s="13">
        <f t="shared" si="26"/>
        <v>1.3935782851325853E-2</v>
      </c>
      <c r="BI19" s="13">
        <f t="shared" si="26"/>
        <v>5.9330934213272886E-3</v>
      </c>
      <c r="BJ19" s="13">
        <f t="shared" si="26"/>
        <v>1.3119113666831017E-3</v>
      </c>
      <c r="BK19" s="13">
        <f t="shared" si="26"/>
        <v>3.5748481064286472E-4</v>
      </c>
      <c r="BL19" s="13">
        <f t="shared" si="26"/>
        <v>2.9328493400993451E-2</v>
      </c>
      <c r="BM19" s="13">
        <f t="shared" si="26"/>
        <v>1.7667061037884114E-2</v>
      </c>
      <c r="BN19" s="13">
        <f t="shared" si="26"/>
        <v>1.2893630347257589E-3</v>
      </c>
      <c r="BO19" s="13">
        <f t="shared" ref="BO19:CT19" si="27">BO11^2</f>
        <v>4.555884575901441E-4</v>
      </c>
      <c r="BP19" s="13">
        <f t="shared" si="27"/>
        <v>2.4636156414780219E-3</v>
      </c>
      <c r="BQ19" s="13">
        <f t="shared" si="27"/>
        <v>2.9622597057292401E-4</v>
      </c>
      <c r="BR19" s="13">
        <f t="shared" si="27"/>
        <v>3.6034382227143044E-2</v>
      </c>
      <c r="BS19" s="13">
        <f t="shared" si="27"/>
        <v>9.5267433223972416E-3</v>
      </c>
      <c r="BT19" s="13">
        <f t="shared" si="27"/>
        <v>1.4312181655934848E-3</v>
      </c>
      <c r="BU19" s="13">
        <f t="shared" si="27"/>
        <v>3.1369302523255979E-3</v>
      </c>
      <c r="BV19" s="13">
        <f t="shared" si="27"/>
        <v>1.3627535644839506E-2</v>
      </c>
      <c r="BW19" s="13">
        <f t="shared" si="27"/>
        <v>1.9972187007291264E-2</v>
      </c>
      <c r="BX19" s="13">
        <f t="shared" si="27"/>
        <v>1.140430378647656E-5</v>
      </c>
      <c r="BY19" s="13">
        <f t="shared" si="27"/>
        <v>1.6987488721731576E-2</v>
      </c>
      <c r="BZ19" s="13">
        <f t="shared" si="27"/>
        <v>1.0047461557265778E-3</v>
      </c>
      <c r="CA19" s="13">
        <f t="shared" si="27"/>
        <v>1.6447110645557072E-3</v>
      </c>
      <c r="CB19" s="13">
        <f t="shared" si="27"/>
        <v>1.767137228315438E-3</v>
      </c>
      <c r="CC19" s="13">
        <f t="shared" si="27"/>
        <v>2.5013725272755708E-3</v>
      </c>
      <c r="CD19" s="13">
        <f t="shared" si="27"/>
        <v>4.6862621773654262E-3</v>
      </c>
      <c r="CE19" s="13">
        <f t="shared" si="27"/>
        <v>6.5338267870204162E-3</v>
      </c>
      <c r="CF19" s="13">
        <f t="shared" si="27"/>
        <v>3.7959149352106796E-6</v>
      </c>
      <c r="CG19" s="13">
        <f t="shared" si="27"/>
        <v>1.3973368107735227E-2</v>
      </c>
      <c r="CH19" s="13">
        <f t="shared" si="27"/>
        <v>1.3483500252419256E-3</v>
      </c>
      <c r="CI19" s="13">
        <f t="shared" si="27"/>
        <v>6.944354409283488E-3</v>
      </c>
      <c r="CJ19" s="13">
        <f t="shared" si="27"/>
        <v>5.3209971579111864E-2</v>
      </c>
      <c r="CK19" s="13">
        <f t="shared" si="27"/>
        <v>1.7630136062643516E-2</v>
      </c>
      <c r="CL19" s="13">
        <f t="shared" si="27"/>
        <v>1.9962106501869858E-2</v>
      </c>
      <c r="CM19" s="13">
        <f t="shared" si="27"/>
        <v>1.2698898011967283E-2</v>
      </c>
      <c r="CN19" s="13">
        <f t="shared" si="27"/>
        <v>4.9947135394185591E-2</v>
      </c>
      <c r="CO19" s="13">
        <f t="shared" si="27"/>
        <v>1.0903362974249101E-2</v>
      </c>
      <c r="CP19" s="13">
        <f t="shared" si="27"/>
        <v>2.0817366158502797E-4</v>
      </c>
      <c r="CQ19" s="13">
        <f t="shared" si="27"/>
        <v>4.2945670995945519E-2</v>
      </c>
      <c r="CR19" s="13">
        <f t="shared" si="27"/>
        <v>1.818826329983373E-2</v>
      </c>
      <c r="CS19" s="13">
        <f t="shared" si="27"/>
        <v>5.330129925765671E-3</v>
      </c>
      <c r="CT19" s="13">
        <f t="shared" si="27"/>
        <v>9.1315039355651805E-4</v>
      </c>
      <c r="CU19" s="13">
        <f t="shared" ref="CU19:DZ19" si="28">CU11^2</f>
        <v>8.2305398372276378E-2</v>
      </c>
      <c r="CV19" s="13">
        <f t="shared" si="28"/>
        <v>5.323658125231813E-2</v>
      </c>
      <c r="CW19" s="13">
        <f t="shared" si="28"/>
        <v>8.2947828598525283E-3</v>
      </c>
      <c r="CX19" s="13">
        <f t="shared" si="28"/>
        <v>1.5002754583806925E-2</v>
      </c>
      <c r="CY19" s="13">
        <f t="shared" si="28"/>
        <v>6.1437262145754186E-3</v>
      </c>
      <c r="CZ19" s="13">
        <f t="shared" si="28"/>
        <v>2.1114120178055175E-3</v>
      </c>
      <c r="DA19" s="13">
        <f t="shared" si="28"/>
        <v>6.8343561034422563E-3</v>
      </c>
      <c r="DB19" s="13">
        <f t="shared" si="28"/>
        <v>2.2305204479499383E-2</v>
      </c>
      <c r="DC19" s="13">
        <f t="shared" si="28"/>
        <v>2.2847162154111663E-3</v>
      </c>
      <c r="DD19" s="13">
        <f t="shared" si="28"/>
        <v>2.7064678662887049E-2</v>
      </c>
      <c r="DE19" s="13">
        <f t="shared" si="28"/>
        <v>1.2225360760831885E-2</v>
      </c>
      <c r="DF19" s="13">
        <f t="shared" si="28"/>
        <v>3.2966966393763162E-3</v>
      </c>
      <c r="DG19" s="13">
        <f t="shared" si="28"/>
        <v>4.6177804713180344E-2</v>
      </c>
      <c r="DH19" s="13">
        <f t="shared" si="28"/>
        <v>3.9686415441255191E-3</v>
      </c>
      <c r="DI19" s="13">
        <f t="shared" si="28"/>
        <v>4.5861486060873721E-3</v>
      </c>
      <c r="DJ19" s="13">
        <f t="shared" si="28"/>
        <v>1.4113933508686947E-2</v>
      </c>
      <c r="DK19" s="13">
        <f t="shared" si="28"/>
        <v>5.3038165655135587E-5</v>
      </c>
      <c r="DL19" s="13">
        <f t="shared" si="28"/>
        <v>5.0866278425543898E-3</v>
      </c>
      <c r="DM19" s="13">
        <f t="shared" si="28"/>
        <v>4.4192030717479113E-4</v>
      </c>
      <c r="DN19" s="13">
        <f t="shared" si="28"/>
        <v>9.2435602590540443E-4</v>
      </c>
      <c r="DO19" s="13">
        <f t="shared" si="28"/>
        <v>9.3992359170593232E-3</v>
      </c>
      <c r="DP19" s="13">
        <f t="shared" si="28"/>
        <v>5.3211643863895493E-2</v>
      </c>
      <c r="DQ19" s="13">
        <f t="shared" si="28"/>
        <v>5.6731766595356822E-2</v>
      </c>
      <c r="DR19" s="13">
        <f t="shared" si="28"/>
        <v>1.2779732721999408E-5</v>
      </c>
      <c r="DS19" s="13">
        <f t="shared" si="28"/>
        <v>1.7944107252667544E-2</v>
      </c>
      <c r="DT19" s="13">
        <f t="shared" si="28"/>
        <v>1.3249413434882942E-2</v>
      </c>
      <c r="DU19" s="13">
        <f t="shared" si="28"/>
        <v>1.0832602517582508E-2</v>
      </c>
      <c r="DV19" s="13">
        <f t="shared" si="28"/>
        <v>2.9823682090757879E-3</v>
      </c>
      <c r="DW19" s="13">
        <f t="shared" si="28"/>
        <v>1.1082370139875364E-3</v>
      </c>
      <c r="DX19" s="13">
        <f t="shared" si="28"/>
        <v>3.0354498547830525E-3</v>
      </c>
      <c r="DY19" s="13">
        <f t="shared" si="28"/>
        <v>4.7325832565790213E-3</v>
      </c>
      <c r="DZ19" s="13">
        <f t="shared" si="28"/>
        <v>2.0969279010246204E-4</v>
      </c>
      <c r="EA19" s="13">
        <f t="shared" ref="EA19:EF19" si="29">EA11^2</f>
        <v>8.5929031587546431E-2</v>
      </c>
      <c r="EB19" s="13">
        <f t="shared" si="29"/>
        <v>1.987395609544565E-2</v>
      </c>
      <c r="EC19" s="13">
        <f t="shared" si="29"/>
        <v>1.4906851026839793E-4</v>
      </c>
      <c r="ED19" s="13">
        <f t="shared" si="29"/>
        <v>3.3834798795211859E-3</v>
      </c>
      <c r="EE19" s="13">
        <f t="shared" si="29"/>
        <v>2.0852230305009004E-2</v>
      </c>
      <c r="EF19" s="13">
        <f t="shared" si="29"/>
        <v>9.4107527241881761E-3</v>
      </c>
    </row>
    <row r="20" spans="1:136">
      <c r="A20" s="12"/>
      <c r="B20" s="12"/>
    </row>
    <row r="21" spans="1:136">
      <c r="A21" s="4" t="s">
        <v>154</v>
      </c>
      <c r="B21" s="20">
        <f>1-SUM(C13:EF15)/SUM(C17:EF19)</f>
        <v>3.3194572614009155E-2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預測IC</vt:lpstr>
      <vt:lpstr>勝率</vt:lpstr>
      <vt:lpstr>累積報酬</vt:lpstr>
      <vt:lpstr>累積畫圖</vt:lpstr>
      <vt:lpstr>NN4再投資累積報酬</vt:lpstr>
      <vt:lpstr>夏普比率</vt:lpstr>
      <vt:lpstr>樣本外R2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陳祥瑋</cp:lastModifiedBy>
  <dcterms:created xsi:type="dcterms:W3CDTF">2015-06-05T18:17:20Z</dcterms:created>
  <dcterms:modified xsi:type="dcterms:W3CDTF">2025-06-04T09:34:56Z</dcterms:modified>
</cp:coreProperties>
</file>